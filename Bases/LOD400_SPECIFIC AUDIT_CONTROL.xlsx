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D 400 - CONTROL" sheetId="1" r:id="rId5"/>
    <sheet state="visible" name="LOD 400 - OVERVIEW" sheetId="2" r:id="rId6"/>
    <sheet state="visible" name="LOD 400 - ADMN" sheetId="3" r:id="rId7"/>
    <sheet state="visible" name="LOD 400 - COLO1" sheetId="4" r:id="rId8"/>
    <sheet state="visible" name="LOD 400 - COLO2" sheetId="5" r:id="rId9"/>
    <sheet state="visible" name="LOD 400 - COLO3" sheetId="6" r:id="rId10"/>
    <sheet state="visible" name="LOD 400 - COLO4" sheetId="7" r:id="rId11"/>
    <sheet state="visible" name="LOD 400 - SITE" sheetId="8" r:id="rId12"/>
    <sheet state="visible" name="LOD 400 - UTLS" sheetId="9" r:id="rId13"/>
    <sheet state="visible" name="RELATÓRIO ACC" sheetId="10" r:id="rId14"/>
    <sheet state="visible" name="R22 RELATÓRIO ACC" sheetId="11" r:id="rId15"/>
    <sheet state="visible" name="LOD 300 - CONTROL" sheetId="12" r:id="rId16"/>
    <sheet state="visible" name="CONTROLE - MODELOS COM INTERAÇÃ" sheetId="13" r:id="rId17"/>
  </sheets>
  <definedNames>
    <definedName name="HT">'LOD 400 - CONTROL'!$HF$74</definedName>
    <definedName hidden="1" localSheetId="0" name="_xlnm._FilterDatabase">'LOD 400 - CONTROL'!$A$3:$HJ$108</definedName>
    <definedName hidden="1" localSheetId="1" name="_xlnm._FilterDatabase">'LOD 400 - OVERVIEW'!$A$1:$N$106</definedName>
    <definedName hidden="1" localSheetId="2" name="_xlnm._FilterDatabase">'LOD 400 - ADMN'!$A$2:$DN$63</definedName>
    <definedName hidden="1" localSheetId="3" name="_xlnm._FilterDatabase">'LOD 400 - COLO1'!$A$2:$DN$63</definedName>
    <definedName hidden="1" localSheetId="4" name="_xlnm._FilterDatabase">'LOD 400 - COLO2'!$A$2:$DN$63</definedName>
    <definedName hidden="1" localSheetId="5" name="_xlnm._FilterDatabase">'LOD 400 - COLO3'!$A$2:$BL$63</definedName>
    <definedName hidden="1" localSheetId="6" name="_xlnm._FilterDatabase">'LOD 400 - COLO4'!$A$2:$S$63</definedName>
    <definedName hidden="1" localSheetId="7" name="_xlnm._FilterDatabase">'LOD 400 - SITE'!$A$2:$DK$67</definedName>
    <definedName hidden="1" localSheetId="8" name="_xlnm._FilterDatabase">'LOD 400 - UTLS'!$A$2:$DB$68</definedName>
    <definedName hidden="1" localSheetId="9" name="_xlnm._FilterDatabase">'RELATÓRIO ACC'!$A$1:$V$269</definedName>
    <definedName hidden="1" localSheetId="10" name="_xlnm._FilterDatabase">'R22 RELATÓRIO ACC'!$A$1:$V$409</definedName>
    <definedName hidden="1" localSheetId="11" name="_xlnm._FilterDatabase">'LOD 300 - CONTROL'!$A$3:$BC$116</definedName>
    <definedName hidden="1" localSheetId="12" name="_xlnm._FilterDatabase">'CONTROLE - MODELOS COM INTERAÇÃ'!$A$2:$H$42</definedName>
  </definedNames>
  <calcPr/>
</workbook>
</file>

<file path=xl/sharedStrings.xml><?xml version="1.0" encoding="utf-8"?>
<sst xmlns="http://schemas.openxmlformats.org/spreadsheetml/2006/main" count="28442" uniqueCount="1835">
  <si>
    <t>SPECIFIC AUDIT CONTROL | LOD 400</t>
  </si>
  <si>
    <t>META DO DIA 17/07</t>
  </si>
  <si>
    <t>ADMN</t>
  </si>
  <si>
    <t>COLO1</t>
  </si>
  <si>
    <t>COLO2</t>
  </si>
  <si>
    <t>COLO3</t>
  </si>
  <si>
    <t>COLO4</t>
  </si>
  <si>
    <t>SITE</t>
  </si>
  <si>
    <t>UTLS</t>
  </si>
  <si>
    <t>FILE NAME (R24)</t>
  </si>
  <si>
    <t>FILE NAME (R22)</t>
  </si>
  <si>
    <t>AREA</t>
  </si>
  <si>
    <t>TRADE COMPANY</t>
  </si>
  <si>
    <t>CODE</t>
  </si>
  <si>
    <t>BIM COMPANY</t>
  </si>
  <si>
    <t>ACC VERSION (R22)</t>
  </si>
  <si>
    <t>ACC FILE DATE (R22)</t>
  </si>
  <si>
    <t>ACC VERSION (R24)</t>
  </si>
  <si>
    <t>ACC FILE DATE (R24)</t>
  </si>
  <si>
    <t>VERSION ADMN/COL1/COL2/ SITE</t>
  </si>
  <si>
    <t>FILE DATE ADMN/COL1/COL2/SITE</t>
  </si>
  <si>
    <t>RVT TYPE APROVAL (ADMN/COL1/COL2/SITE)</t>
  </si>
  <si>
    <t>VERSION COL3</t>
  </si>
  <si>
    <t>FILE DATE COL3</t>
  </si>
  <si>
    <t>RVT TYPE APROVAL (COL3)</t>
  </si>
  <si>
    <t>VERSION COL4</t>
  </si>
  <si>
    <t>FILE DATE COL4</t>
  </si>
  <si>
    <t xml:space="preserve">UTLS VERSION </t>
  </si>
  <si>
    <t>UTLS FILE DATE</t>
  </si>
  <si>
    <t>RVT TYPE APROVAL (UTLS)</t>
  </si>
  <si>
    <t>R1 - APPROVAL (%)</t>
  </si>
  <si>
    <t>R2 - APPROVAL (%)</t>
  </si>
  <si>
    <t>R3 - APPROVAL (%)</t>
  </si>
  <si>
    <t>R4 - APPROVAL (%)</t>
  </si>
  <si>
    <t>R5 - APPROVAL (%)</t>
  </si>
  <si>
    <t>R6 - APPROVAL (%)</t>
  </si>
  <si>
    <t>R7 - APPROVAL (%)</t>
  </si>
  <si>
    <t>R8 - APPROVAL (%)</t>
  </si>
  <si>
    <t>R9 - APPROVAL (%)</t>
  </si>
  <si>
    <t>R10 - APPROVAL (%)</t>
  </si>
  <si>
    <t>R11 - APPROVAL (%)</t>
  </si>
  <si>
    <t>R12 - APPROVAL (%)</t>
  </si>
  <si>
    <t>R13 - APPROVAL (%)</t>
  </si>
  <si>
    <t>R14 - APPROVAL (%)</t>
  </si>
  <si>
    <t>R15 - APPROVAL (%)</t>
  </si>
  <si>
    <t>R16 - APPROVAL (%)</t>
  </si>
  <si>
    <t>R17 - APPROVAL (%)</t>
  </si>
  <si>
    <t>R18 - APPROVAL (%)</t>
  </si>
  <si>
    <t>R19 - APPROVAL (%)</t>
  </si>
  <si>
    <t>R20 - APPROVAL (%)</t>
  </si>
  <si>
    <t>R21 - APPROVAL (%)</t>
  </si>
  <si>
    <t>R22 - APPROVAL (%)</t>
  </si>
  <si>
    <t>R23 - APPROVAL (%)</t>
  </si>
  <si>
    <t>R24 - APPROVAL (%)</t>
  </si>
  <si>
    <t>R25 - APPROVAL (%)</t>
  </si>
  <si>
    <t>R26 - APPROVAL (%)</t>
  </si>
  <si>
    <t>R27 - APPROVAL (%)</t>
  </si>
  <si>
    <t>R28 - APPROVAL (%)</t>
  </si>
  <si>
    <t>R29 - APPROVAL (%)</t>
  </si>
  <si>
    <t>R30 - APPROVAL (%)</t>
  </si>
  <si>
    <t>R31 - APPROVAL (%)</t>
  </si>
  <si>
    <t>R32 - APPROVAL (%)</t>
  </si>
  <si>
    <t>R33 - APPROVAL (%)</t>
  </si>
  <si>
    <t>R34 - APPROVAL (%)</t>
  </si>
  <si>
    <t>GERAL</t>
  </si>
  <si>
    <t>R22- APPROVAL (%)</t>
  </si>
  <si>
    <t>R19- APPROVAL (%)</t>
  </si>
  <si>
    <t>R20- APPROVAL (%)</t>
  </si>
  <si>
    <t>R21- APPROVAL (%)</t>
  </si>
  <si>
    <t>R23- APPROVAL (%)</t>
  </si>
  <si>
    <t>R24- APPROVAL (%)</t>
  </si>
  <si>
    <t>R25- APPROVAL (%)</t>
  </si>
  <si>
    <t>R26- APPROVAL (%)</t>
  </si>
  <si>
    <t>R27- APPROVAL (%)</t>
  </si>
  <si>
    <t>R28- APPROVAL (%)</t>
  </si>
  <si>
    <t>R29- APPROVAL (%)</t>
  </si>
  <si>
    <t>R30- APPROVAL (%)</t>
  </si>
  <si>
    <t>ARCH | ARCHITECTURE</t>
  </si>
  <si>
    <t>CPQ11-ARCH-ARCH-DATA-R24.rvt</t>
  </si>
  <si>
    <t>CPQ11-ARCH-ARCH-DATA-R22.rvt</t>
  </si>
  <si>
    <t>ARE ARQUITETURA</t>
  </si>
  <si>
    <t>CPQ11-ARCH-ARCH-SITE-R24.rvt</t>
  </si>
  <si>
    <t>CPQ11-ARCH-ARCH-SITE-R22.rvt</t>
  </si>
  <si>
    <t>CPQ11-ARCH-METL-SITE-R24.rvt</t>
  </si>
  <si>
    <t>CPQ11-ARCH-METL-SITE-R22.rvt</t>
  </si>
  <si>
    <t>SERCOP</t>
  </si>
  <si>
    <t>CPQ11-ARCH-WOOD-DATA-R24.rvt</t>
  </si>
  <si>
    <t>CPQ11-ARCH-WOOD-DATA-R22.rvt</t>
  </si>
  <si>
    <t>MADEPISO</t>
  </si>
  <si>
    <t>CPQ11-ARCH-HMET-DATA-R24.rvt</t>
  </si>
  <si>
    <t>CPQ11-ARCH-HMET-DATA-R22.rvt</t>
  </si>
  <si>
    <t>S-VALE</t>
  </si>
  <si>
    <t>SPBIM</t>
  </si>
  <si>
    <t>CPQ11-ARCH-HMET-SITE-R24.rvt</t>
  </si>
  <si>
    <t>CPQ11-ARCH-HMET-SITE-R22.rvt</t>
  </si>
  <si>
    <t>CPQ11-ARCH-HM90-DATA-R24.rvt</t>
  </si>
  <si>
    <t>CPQ11-ARCH-HM90-DATA-R22.rvt</t>
  </si>
  <si>
    <t>ZEUS/PORTEX</t>
  </si>
  <si>
    <t>CPQ11-ARCH-WMES-DATA-R24.rvt</t>
  </si>
  <si>
    <t>CPQ11-ARCH-WMES-DATA-R22.rvt</t>
  </si>
  <si>
    <t>CPQ11-ARCH-CHAI-SITE-R24.rvt</t>
  </si>
  <si>
    <t>CPQ11-ARCH-CHAI-SITE-R22.rvt</t>
  </si>
  <si>
    <t>CPQ11-ARCH-FURN-DATA-R24.rvt</t>
  </si>
  <si>
    <t>CPQ11-ARCH-FURN-DATA-R22.rvt</t>
  </si>
  <si>
    <t>RACION/AL</t>
  </si>
  <si>
    <t>CONTRACTING</t>
  </si>
  <si>
    <t>CPQ11-ARCH-WTRP-DATA-R24.rvt</t>
  </si>
  <si>
    <t>CPQ11-ARCH-WTRP-DATA-R22.rvt</t>
  </si>
  <si>
    <t>ITS</t>
  </si>
  <si>
    <t>RBV</t>
  </si>
  <si>
    <t>CPQ11-ARCH-WTRP-SITE-R24.rvt</t>
  </si>
  <si>
    <t>CPQ11-ARCH-WTRP-SITE-R22.rvt</t>
  </si>
  <si>
    <t>CPQ11-ARCH-OHCD-DATA-R24.rvt</t>
  </si>
  <si>
    <t>CPQ11-ARCH-OHCD-DATA-R22.rvt</t>
  </si>
  <si>
    <t>MEGADOORS</t>
  </si>
  <si>
    <t>CPQ11-ARCH-BLPR-GUAR-R24.rvt</t>
  </si>
  <si>
    <t>CPQ11-ARCH-BLPR-GUAR-R22.rvt</t>
  </si>
  <si>
    <t>INOVAGLASS</t>
  </si>
  <si>
    <t>CPQ11-ARCH-FACD-DATA-R24.rvt</t>
  </si>
  <si>
    <t>CPQ11-ARCH-FACD-DATA-R22.rvt</t>
  </si>
  <si>
    <t>OMNITRADE</t>
  </si>
  <si>
    <t>CADBIM</t>
  </si>
  <si>
    <t>CPQ11-ARCH-ROOF-DATA-R24.rvt</t>
  </si>
  <si>
    <t>CPQ11-ARCH-ROOF-DATA-R22.rvt</t>
  </si>
  <si>
    <t>CPQ11-ARCH-PART-SITE-R24.rvt</t>
  </si>
  <si>
    <t>CPQ11-ARCH-PART-SITE-R22.rvt</t>
  </si>
  <si>
    <t>IDEIA DRYWALL</t>
  </si>
  <si>
    <t>FCH</t>
  </si>
  <si>
    <t>CPQ11-ARCH-PART-C345-R24.rvt</t>
  </si>
  <si>
    <t>CPQ11-ARCH-PART-C345-R22.rvt</t>
  </si>
  <si>
    <t>CPQ11-ARCH-PART-C12A-R24.rvt</t>
  </si>
  <si>
    <t>CPQ11-ARCH-PART-C12A-R22.rvt</t>
  </si>
  <si>
    <t>CPQ11-ARCH-COMN-DATA-R24.rvt</t>
  </si>
  <si>
    <t>CPQ11-ARCH-COMN-DATA-R22.rvt</t>
  </si>
  <si>
    <t>CPQ11-ARCH-SGNV-SITE-R24.rvt</t>
  </si>
  <si>
    <t>CPQ11-ARCH-SGNV-SITE-R22.rvt</t>
  </si>
  <si>
    <t>VISUAL GEAC</t>
  </si>
  <si>
    <t>CPQ11-ARCH-SGNH-SITE-R24.rvt</t>
  </si>
  <si>
    <t>CPQ11-ARCH-SGNH-SITE-R22.rvt</t>
  </si>
  <si>
    <t>CPQ11-ARCH-CEIL-DATA-R24.rvt</t>
  </si>
  <si>
    <t>CPQ11-ARCH-CEIL-DATA-R22.rvt</t>
  </si>
  <si>
    <t>IDEA DRYWALL</t>
  </si>
  <si>
    <t>T2B</t>
  </si>
  <si>
    <t>CPQ11-ARCH-CEIL-SITE-R24.rvt</t>
  </si>
  <si>
    <t>CPQ11-ARCH-CEIL-SITE-R22.rvt</t>
  </si>
  <si>
    <t>CPQ11-ARCH-SHLV-DATA-R24.rvt</t>
  </si>
  <si>
    <t>CPQ11-ARCH-SHLV-DATA-R22.rvt</t>
  </si>
  <si>
    <t>ALTAMIRA</t>
  </si>
  <si>
    <t>CPQ11-ARCH-STON-SITE-R24.rvt</t>
  </si>
  <si>
    <t>CPQ11-ARCH-STON-SITE-R23.rvt</t>
  </si>
  <si>
    <t>STONE</t>
  </si>
  <si>
    <t>SYST-SYSTEMS | INFRASTRUCTURE</t>
  </si>
  <si>
    <t>CPQ11-SYST-INFR-DATA-R24.rvt</t>
  </si>
  <si>
    <t>CPQ11-SYST-INFR-DATA-R22.rvt</t>
  </si>
  <si>
    <t>MENDES HOLLER</t>
  </si>
  <si>
    <t>PGMAK</t>
  </si>
  <si>
    <t>CPQ11-SYST-INFR-SITE-R24.rvt</t>
  </si>
  <si>
    <t>CPQ11-SYST-INFR-SITE-R22.rvt</t>
  </si>
  <si>
    <t>DAS-DISTRIBUTED ANTENN/A SYSTEM | DEVICES</t>
  </si>
  <si>
    <t>CPQ11-DASM-DEVS-DATA-R24.rvt</t>
  </si>
  <si>
    <t>CPQ11-DASM-DEVS-DATA-R22.rvt</t>
  </si>
  <si>
    <t>IB TECH</t>
  </si>
  <si>
    <t>EPMS-ELECTRICAL POWER MAN/AGEMENT SYSTEM | DEVICES</t>
  </si>
  <si>
    <t>CPQ11-EPMS-DEVS-DATA-R24.rvt</t>
  </si>
  <si>
    <t>CPQ11-EPMS-DEVS-DATA-R22.rvt</t>
  </si>
  <si>
    <t>BLACKBOX</t>
  </si>
  <si>
    <t>CPQ11-EPMS-DEVS-SITE-R24.rvt</t>
  </si>
  <si>
    <t>CPQ11-EPMS-DEVS-SITE-R22.rvt</t>
  </si>
  <si>
    <t>ROIP-RADIO OVER IP | DEVICES</t>
  </si>
  <si>
    <t>CPQ11-ROIP-DEVS-GUAR-R24.rvt</t>
  </si>
  <si>
    <t>CPQ11-ROIP-DEVS-GUAR-R22.rvt</t>
  </si>
  <si>
    <t>CPQ11-ROIP-DEVS-DATA-R24.rvt</t>
  </si>
  <si>
    <t>CPQ11-ROIP-DEVS-DATA-R22.rvt</t>
  </si>
  <si>
    <t>TELECOM | DEVICES</t>
  </si>
  <si>
    <t>CPQ11-TCOM-DEVS-SITE-R24.rvt</t>
  </si>
  <si>
    <t>CPQ11-TCOM-DEVS-SITE-R22.rvt</t>
  </si>
  <si>
    <t>CPQ11-TCOM-DEVS-DATA-R24.rvt</t>
  </si>
  <si>
    <t>CPQ11-TCOM-DEVS-DATA-R22.rvt</t>
  </si>
  <si>
    <t>BAS-BUILDING AUTOMATION SYSTEM | INFRASTRUCTURE</t>
  </si>
  <si>
    <t>CPQ11-BASM-INFR-DATA-R24.rvt</t>
  </si>
  <si>
    <t>CPQ11-BASM-INFR-DATA-R22.rvt</t>
  </si>
  <si>
    <t>CPQ11-BASM-INFR-PUMP-R24.rvt</t>
  </si>
  <si>
    <t>CPQ11-BASM-INFR-PUMP-R22.rvt</t>
  </si>
  <si>
    <t>BAS | DEVICES</t>
  </si>
  <si>
    <t>CPQ11-BASM-DEVS-PUMP-R24.rvt</t>
  </si>
  <si>
    <t>CPQ11-BASM-DEVS-PUMP-R22.rvt</t>
  </si>
  <si>
    <t>CPQ11-BASM-DEVS-DATA-R24.rvt</t>
  </si>
  <si>
    <t>CPQ11-BASM-DEVS-DATA-R22.rvt</t>
  </si>
  <si>
    <t>SCTY-SECURITY | INFRASTRUCTURE</t>
  </si>
  <si>
    <t>CPQ11-SCTY-INFR-DATA-R24.rvt</t>
  </si>
  <si>
    <t>CPQ11-SCTY-INFR-DATA-R22.rvt</t>
  </si>
  <si>
    <t>CPQ11-SCTY-INFR-SITE-R24.rvt</t>
  </si>
  <si>
    <t>CPQ11-SCTY-INFR-SITE-R22.rvt</t>
  </si>
  <si>
    <t>SCTY | DEVICES</t>
  </si>
  <si>
    <t>CPQ11-SCTY-DEVS-SITE-R24.rvt</t>
  </si>
  <si>
    <t>CPQ11-SCTY-DEVS-SITE-R22.rvt</t>
  </si>
  <si>
    <t>SEGURPRO</t>
  </si>
  <si>
    <t>CPQ11-SCTY-DEVS-DATA-R24.rvt</t>
  </si>
  <si>
    <t>CPQ11-SCTY-DEVS-DATA-R22.rvt</t>
  </si>
  <si>
    <t>CPQ11-SCTY-GATE-SITE-R24.rvt</t>
  </si>
  <si>
    <t>FM SECURITY</t>
  </si>
  <si>
    <t>ELEC-ELETRICAL</t>
  </si>
  <si>
    <t>CPQ11-ELEC-ELEC-SITE-R24.rvt</t>
  </si>
  <si>
    <t>CPQ11-ELEC-ELEC-SITE-R22.rvt</t>
  </si>
  <si>
    <t>CPQ11-ELEC-ELEC-DATA-R24.rvt</t>
  </si>
  <si>
    <t>CPQ11-ELEC-ELEC-DATA-R22.rvt</t>
  </si>
  <si>
    <t xml:space="preserve">SPDA | PROTECTION SYSTEM ATMOSPHERIC DISCHARGE </t>
  </si>
  <si>
    <t>CPQ11-ELEC-SPDA-DATA-R24.rvt</t>
  </si>
  <si>
    <t>CPQ11-ELEC-SPDA-DATA-R22.rvt</t>
  </si>
  <si>
    <t>CPQ11-ELEC-SPDA-SITE-R24.rvt</t>
  </si>
  <si>
    <t>CPQ11-ELEC-SPDA-SITE-R22.rvt</t>
  </si>
  <si>
    <t>DALI-DIGITAL ADDRESSABLE LIGHTING INTERFACE-DEVICES</t>
  </si>
  <si>
    <t>CPQ11-DALI-DEVS-DATA-R24.rvt</t>
  </si>
  <si>
    <t>CPQ11-DALI-DEVS-DATA-R22.rvt</t>
  </si>
  <si>
    <t>AUTOBRÁS</t>
  </si>
  <si>
    <t>FALM-FIRE ALARM</t>
  </si>
  <si>
    <t>CPQ11-FALM-FALM-SITE-R24.rvt</t>
  </si>
  <si>
    <t>CPQ11-FALM-FALM-SITE-R22.rvt</t>
  </si>
  <si>
    <t>CPQ11-FALM-FALM-DATA-R24.rvt</t>
  </si>
  <si>
    <t>CPQ11-FALM-FALM-DATA-R22.rvt</t>
  </si>
  <si>
    <t>FPRT-FIRE PROTECTION</t>
  </si>
  <si>
    <t>CPQ11-FPRT-FPRT-SITE-R24.rvt</t>
  </si>
  <si>
    <t>CPQ11-FPRT-FPRT-SITE-R22.rvt</t>
  </si>
  <si>
    <t>CPQ11-FPRT-FPRT-DATA-R24.rvt</t>
  </si>
  <si>
    <t>CPQ11-FPRT-FPRT-DATA-R22.rvt</t>
  </si>
  <si>
    <t>CPQ11-FPRT-METK-UTLS-R24.rvt</t>
  </si>
  <si>
    <t>CPQ11-FPRT-METK-UTLS-R22.rvt</t>
  </si>
  <si>
    <t>PETROTANQUE</t>
  </si>
  <si>
    <t>PLMB-PLUMBING</t>
  </si>
  <si>
    <t>CPQ11-PLMB-PLMB-SITE-R24.rvt</t>
  </si>
  <si>
    <t>CPQ11-PLMB-PLMB-SITE-R22.rvt</t>
  </si>
  <si>
    <t>CPQ11-PLMB-PLMB-DATA-R24.rvt</t>
  </si>
  <si>
    <t>CPQ11-PLMB-PLMB-DATA-R22.rvt</t>
  </si>
  <si>
    <t>CPQ11-PLMB-DIES-SITE-R24.rvt</t>
  </si>
  <si>
    <t>CPQ11-PLMB-DIES-SITE-R22.rvt</t>
  </si>
  <si>
    <t>CPQ11-PLMB-NPWT-SITE-R24.rvt</t>
  </si>
  <si>
    <t>CPQ11-PLMB-NPWT-SITE-R22.rvt</t>
  </si>
  <si>
    <t>STARCENTER</t>
  </si>
  <si>
    <t>CPQ11-PLMB-NPWT-DATA-R24.rvt</t>
  </si>
  <si>
    <t>CPQ11-PLMB-NPWT-DATA-R22.rvt</t>
  </si>
  <si>
    <t>CPQ11-PLMB-METK-UTLS-R24.rvt</t>
  </si>
  <si>
    <t>CPQ11-PLMB-METK-UTLS-R22.rvt</t>
  </si>
  <si>
    <t>MECH-MECHANICAL</t>
  </si>
  <si>
    <t>CPQ11-MECH-MECH-DATA-R24.rvt</t>
  </si>
  <si>
    <t>CPQ11-MECH-MECH-DATA-R22.rvt</t>
  </si>
  <si>
    <t>CPQ11-MECH-MECH-GUAR-R24.rvt</t>
  </si>
  <si>
    <t>CPQ11-MECH-MECH-GUAR-R22.rvt</t>
  </si>
  <si>
    <t>LAND-LANDSCAPE</t>
  </si>
  <si>
    <t>CPQ11-LAND-LAND-SITE-R24.rvt</t>
  </si>
  <si>
    <t>CPQ11-LAND-LAND-SITE-R22.rvt</t>
  </si>
  <si>
    <t>ORGANISMO VIVO</t>
  </si>
  <si>
    <t>CIVIL</t>
  </si>
  <si>
    <t>CPQ11-CIVL-DRNG-SITE-R24.rvt</t>
  </si>
  <si>
    <t>CPQ11-CIVL-DRNG-SITE-R22.rvt</t>
  </si>
  <si>
    <t>GARCIA</t>
  </si>
  <si>
    <t>CPQ11-CIVL-ERTH-SITE-R24.rvt</t>
  </si>
  <si>
    <t>CPQ11-CIVL-ERTH-SITE-R22.rvt</t>
  </si>
  <si>
    <t>eq</t>
  </si>
  <si>
    <t>CPQ11-CIVL-PAVM-SITE-R24.rvt</t>
  </si>
  <si>
    <t>CPQ11-CIVL-PAVM-SITE-R22.rvt</t>
  </si>
  <si>
    <t>CPQ11-CIVL-SIGN-SITE-R24.rvt</t>
  </si>
  <si>
    <t>CPQ11-CIVL-SIGN-SITE-R22.rvt</t>
  </si>
  <si>
    <t>CPQ11-CIVL-LOCK-SITE-R24.rvt</t>
  </si>
  <si>
    <t>CPQ11-CIVL-LOCK-SITE-R22.rvt</t>
  </si>
  <si>
    <t>STEINER</t>
  </si>
  <si>
    <t>PMD</t>
  </si>
  <si>
    <t>STRC-STRUCTURE</t>
  </si>
  <si>
    <t>CPQ11-STRC-CONC-DATA-R24.rvt</t>
  </si>
  <si>
    <t>CPQ11-STRC-CONC-DATA-R22.rvt</t>
  </si>
  <si>
    <t>SERV OBRAS</t>
  </si>
  <si>
    <t>TENAX</t>
  </si>
  <si>
    <t>CPQ11-STRC-CONC-SITE-R24.rvt</t>
  </si>
  <si>
    <t>CPQ11-STRC-CONC-SITE-R22.rvt</t>
  </si>
  <si>
    <t>CPQ11-STRC-DPFN-DATA-R24.rvt</t>
  </si>
  <si>
    <t>CPQ11-STRC-DPFN-DATA-R22.rvt</t>
  </si>
  <si>
    <t>GEOFIX/TECNOGEO</t>
  </si>
  <si>
    <t>CPQ11-STRC-DPFN-SITE-R24.rvt</t>
  </si>
  <si>
    <t>CPQ11-STRC-DPFN-SITE-R22.rvt</t>
  </si>
  <si>
    <t>CPQ11-STRC-FLOO-DATA-R24.rvt</t>
  </si>
  <si>
    <t>CPQ11-STRC-FLOO-DATA-R22.rvt</t>
  </si>
  <si>
    <t>MODAX</t>
  </si>
  <si>
    <t>CPQ11-STRC-FLOO-SITE-R24.rvt</t>
  </si>
  <si>
    <t>CPQ11-STRC-FLOO-SITE-R22.rvt</t>
  </si>
  <si>
    <t>CPQ11-STRC-CHAI-SITE-R24.rvt</t>
  </si>
  <si>
    <t>CPQ11-STRC-CHAI-SITE-R22.rvt</t>
  </si>
  <si>
    <t>CPQ11-STRC-FENC-SITE-R24.rvt</t>
  </si>
  <si>
    <t>CPQ11-STRC-FENC-SITE-R22.rvt</t>
  </si>
  <si>
    <t>SERCOP, SERV OBRAS</t>
  </si>
  <si>
    <t>CPQ11-STRC-STEE-ADMN-2X3.ifc</t>
  </si>
  <si>
    <t>METASA</t>
  </si>
  <si>
    <t>CPQ11-STRC-STEE-COL1-2X3.ifc</t>
  </si>
  <si>
    <t>CPQ11-STRC-STEE-COL2-2X3.ifc</t>
  </si>
  <si>
    <t>CPQ11-STRC-STEE-COL3-2X3.ifc</t>
  </si>
  <si>
    <t>CPQ11-STRC-STEE-COL4-2X3.ifc</t>
  </si>
  <si>
    <t>CPQ11-STRC-STEE-COL5-2X3.ifc</t>
  </si>
  <si>
    <t>CPQ11-STRC-STEE-UTLS-2X3.ifc</t>
  </si>
  <si>
    <t>CPQ11-STRC-STEE-GUAR-2X3.ifc</t>
  </si>
  <si>
    <t>CPQ11-STRC-STEE-STIR-2X3.ifc</t>
  </si>
  <si>
    <t>FILE NAME</t>
  </si>
  <si>
    <t>VERSÃO ANALISADA</t>
  </si>
  <si>
    <t>VERSÃO ANALISADA COLO3</t>
  </si>
  <si>
    <t>VERSÃO ANALISADA COLO4</t>
  </si>
  <si>
    <t>COLO5</t>
  </si>
  <si>
    <t>VERSÃO ANALISADA UTLS</t>
  </si>
  <si>
    <t>LOD 400 | ADMN</t>
  </si>
  <si>
    <t>VERSION</t>
  </si>
  <si>
    <t>FILE DATE</t>
  </si>
  <si>
    <t>RVT TYPE APROVAL (ADMN)</t>
  </si>
  <si>
    <t>RESPONSAVEL</t>
  </si>
  <si>
    <t>R1 - AUDIT STATUS</t>
  </si>
  <si>
    <t>R1 - VERSION</t>
  </si>
  <si>
    <t>R2 - AUDIT STATUS</t>
  </si>
  <si>
    <t>R2 - VERSION</t>
  </si>
  <si>
    <t>R3 - AUDIT STATUS</t>
  </si>
  <si>
    <t>R3 - VERSION</t>
  </si>
  <si>
    <t>R4 - AUDIT STATUS</t>
  </si>
  <si>
    <t>R4 - VERSION</t>
  </si>
  <si>
    <t>R5 - AUDIT STATUS</t>
  </si>
  <si>
    <t>R5 - VERSION</t>
  </si>
  <si>
    <t>R6 - AUDIT STATUS</t>
  </si>
  <si>
    <t>R6 - VERSION</t>
  </si>
  <si>
    <t>R7 - AUDIT STATUS</t>
  </si>
  <si>
    <t>R7 - VERSION</t>
  </si>
  <si>
    <t>R8 - AUDIT STATUS</t>
  </si>
  <si>
    <t>R8 - VERSION</t>
  </si>
  <si>
    <t>R9 - AUDIT STATUS</t>
  </si>
  <si>
    <t>R9 - VERSION</t>
  </si>
  <si>
    <t>10 - AUDIT STATUS</t>
  </si>
  <si>
    <t>R10 - VERSION</t>
  </si>
  <si>
    <t>R11 - AUDIT STATUS</t>
  </si>
  <si>
    <t>R11 - VERSION</t>
  </si>
  <si>
    <t>R12 - AUDIT STATUS</t>
  </si>
  <si>
    <t>R12 - VERSION</t>
  </si>
  <si>
    <t>R13 - AUDIT STATUS</t>
  </si>
  <si>
    <t>R13 - VERSION</t>
  </si>
  <si>
    <t>R14 - AUDIT STATUS</t>
  </si>
  <si>
    <t>R14 - VERSION</t>
  </si>
  <si>
    <t>R15 - AUDIT STATUS</t>
  </si>
  <si>
    <t>R15 - VERSION</t>
  </si>
  <si>
    <t>R16 - AUDIT STATUS</t>
  </si>
  <si>
    <t>R16 - VERSION</t>
  </si>
  <si>
    <t>R17 - AUDIT STATUS</t>
  </si>
  <si>
    <t>R17 - VERSION</t>
  </si>
  <si>
    <t>R18 - AUDIT STATUS</t>
  </si>
  <si>
    <t>R18 - VERSION</t>
  </si>
  <si>
    <t>R19 - AUDIT STATUS</t>
  </si>
  <si>
    <t>R19 - VERSION</t>
  </si>
  <si>
    <t>R20 - AUDIT STATUS</t>
  </si>
  <si>
    <t>R20 - VERSION</t>
  </si>
  <si>
    <t>R21 - AUDIT STATUS</t>
  </si>
  <si>
    <t>R21 - VERSION</t>
  </si>
  <si>
    <t>R22 - AUDIT STATUS</t>
  </si>
  <si>
    <t>R22 - VERSION</t>
  </si>
  <si>
    <t>R23 - AUDIT STATUS</t>
  </si>
  <si>
    <t>R23 - VERSION</t>
  </si>
  <si>
    <t>R24 - AUDIT STATUS</t>
  </si>
  <si>
    <t>R24 - VERSION</t>
  </si>
  <si>
    <t>R25 - AUDIT STATUS</t>
  </si>
  <si>
    <t>R25 - VERSION</t>
  </si>
  <si>
    <t>R26 - AUDIT STATUS</t>
  </si>
  <si>
    <t>R26 - VERSION</t>
  </si>
  <si>
    <t>R27 - AUDIT STATUS</t>
  </si>
  <si>
    <t>R27 - VERSION</t>
  </si>
  <si>
    <t>R28 - AUDIT STATUS</t>
  </si>
  <si>
    <t>R28 - VERSION</t>
  </si>
  <si>
    <t>R29 - AUDIT STATUS</t>
  </si>
  <si>
    <t>R29 - VERSION</t>
  </si>
  <si>
    <t>R30 - AUDIT STATUS</t>
  </si>
  <si>
    <t>R30 - VERSION</t>
  </si>
  <si>
    <t>R31 - AUDIT STATUS</t>
  </si>
  <si>
    <t>R31 - VERSION</t>
  </si>
  <si>
    <t>R32 - AUDIT STATUS</t>
  </si>
  <si>
    <t>R32 - VERSION</t>
  </si>
  <si>
    <t>R33 - AUDIT STATUS</t>
  </si>
  <si>
    <t>R33 - VERSION</t>
  </si>
  <si>
    <t>R34 - AUDIT STATUS</t>
  </si>
  <si>
    <t>R34 - VERSION</t>
  </si>
  <si>
    <t>V1</t>
  </si>
  <si>
    <t>R24</t>
  </si>
  <si>
    <t>OUTDATED</t>
  </si>
  <si>
    <t>N/A</t>
  </si>
  <si>
    <t>REPROVED</t>
  </si>
  <si>
    <t>V8</t>
  </si>
  <si>
    <t>NEXT ROUND</t>
  </si>
  <si>
    <t>V9</t>
  </si>
  <si>
    <t>V10</t>
  </si>
  <si>
    <t>APPROVED</t>
  </si>
  <si>
    <t>V2</t>
  </si>
  <si>
    <t>NOT PUBLISHED</t>
  </si>
  <si>
    <t>ANALYSING</t>
  </si>
  <si>
    <t>CPQ11-ARCH-FNSH-DATA-R24.rvt</t>
  </si>
  <si>
    <t>CPQ11-ARCH-FNSH-DATA-R22.rvt</t>
  </si>
  <si>
    <t>MENDES HOLLER, IDEIA, SERV OBRAS</t>
  </si>
  <si>
    <t>CPQ11-ARCH-ALUF-DATA-R24.rvt</t>
  </si>
  <si>
    <t>CPQ11-ARCH-ALUF-DATA-R22.rvt</t>
  </si>
  <si>
    <t>SMVIDROS</t>
  </si>
  <si>
    <t>04/06/2026</t>
  </si>
  <si>
    <t>INGRYD</t>
  </si>
  <si>
    <t>IMPROPER</t>
  </si>
  <si>
    <t>V4</t>
  </si>
  <si>
    <t>V3</t>
  </si>
  <si>
    <t>V19</t>
  </si>
  <si>
    <t>V20</t>
  </si>
  <si>
    <t>V22</t>
  </si>
  <si>
    <t>V23</t>
  </si>
  <si>
    <t>V24</t>
  </si>
  <si>
    <t>V26</t>
  </si>
  <si>
    <t>V27</t>
  </si>
  <si>
    <t>V29</t>
  </si>
  <si>
    <t>27/03/2026</t>
  </si>
  <si>
    <t>R22</t>
  </si>
  <si>
    <t>V5</t>
  </si>
  <si>
    <t>V7</t>
  </si>
  <si>
    <t>PREVIOUSLY APPROVED</t>
  </si>
  <si>
    <t>V12</t>
  </si>
  <si>
    <t>V13</t>
  </si>
  <si>
    <t>MAYUMI</t>
  </si>
  <si>
    <t>V11</t>
  </si>
  <si>
    <t>V14</t>
  </si>
  <si>
    <t>V16</t>
  </si>
  <si>
    <t>V28</t>
  </si>
  <si>
    <t>DONE</t>
  </si>
  <si>
    <t>V21</t>
  </si>
  <si>
    <t>V25</t>
  </si>
  <si>
    <t>T</t>
  </si>
  <si>
    <t>V15</t>
  </si>
  <si>
    <t>V17</t>
  </si>
  <si>
    <t>V18</t>
  </si>
  <si>
    <t>V6</t>
  </si>
  <si>
    <t>V35</t>
  </si>
  <si>
    <t>IURY</t>
  </si>
  <si>
    <t>V</t>
  </si>
  <si>
    <t>V32</t>
  </si>
  <si>
    <t>18/11/2025</t>
  </si>
  <si>
    <t>10/11/2025</t>
  </si>
  <si>
    <t>23/12/2025</t>
  </si>
  <si>
    <t>V30</t>
  </si>
  <si>
    <t>V31</t>
  </si>
  <si>
    <t>V34</t>
  </si>
  <si>
    <t>06/11/2025</t>
  </si>
  <si>
    <t>V42</t>
  </si>
  <si>
    <t>V37</t>
  </si>
  <si>
    <t>V39</t>
  </si>
  <si>
    <t>V40</t>
  </si>
  <si>
    <t>V41</t>
  </si>
  <si>
    <t>ALINNE</t>
  </si>
  <si>
    <t>V33</t>
  </si>
  <si>
    <t>05/01/2026</t>
  </si>
  <si>
    <t>V53</t>
  </si>
  <si>
    <t>V45</t>
  </si>
  <si>
    <t>V46</t>
  </si>
  <si>
    <t>V49</t>
  </si>
  <si>
    <t>TEN/AX</t>
  </si>
  <si>
    <t>16/01/2026</t>
  </si>
  <si>
    <t>07/11/2025</t>
  </si>
  <si>
    <t>LOD 400 | COLO1</t>
  </si>
  <si>
    <t>FILE NAME (R22</t>
  </si>
  <si>
    <t>RVT TYPE APROVAL (COLO1)</t>
  </si>
  <si>
    <t>R10 - AUDIT STATUS</t>
  </si>
  <si>
    <t>14/10/2025</t>
  </si>
  <si>
    <t>17/11/2025</t>
  </si>
  <si>
    <t>YASMIN</t>
  </si>
  <si>
    <t>LOD 400 | COLO2</t>
  </si>
  <si>
    <t>RVT TYPE APROVAL (COLO2)</t>
  </si>
  <si>
    <t>V44</t>
  </si>
  <si>
    <t>21/01/2026</t>
  </si>
  <si>
    <t>LOD 400 | COLO3</t>
  </si>
  <si>
    <t>RVT TYPE APROVAL (COLO3)</t>
  </si>
  <si>
    <t>V38</t>
  </si>
  <si>
    <t>V51</t>
  </si>
  <si>
    <t>V58</t>
  </si>
  <si>
    <t>26/03/0206</t>
  </si>
  <si>
    <t>09/04/2026</t>
  </si>
  <si>
    <t>13/03/2026</t>
  </si>
  <si>
    <t>v7</t>
  </si>
  <si>
    <t>LOD 400 | COLO 4</t>
  </si>
  <si>
    <t>N</t>
  </si>
  <si>
    <t>LOD 400 | SITE</t>
  </si>
  <si>
    <t>RVT TYPE APROVAL (SITE)</t>
  </si>
  <si>
    <t>R24- AUDIT STATUS</t>
  </si>
  <si>
    <t>R25- AUDIT STATUS</t>
  </si>
  <si>
    <t>R26- AUDIT STATUS</t>
  </si>
  <si>
    <t>R27- AUDIT STATUS</t>
  </si>
  <si>
    <t>R28- AUDIT STATUS</t>
  </si>
  <si>
    <t>R29- AUDIT STATUS</t>
  </si>
  <si>
    <t>R30- AUDIT STATUS</t>
  </si>
  <si>
    <t>R31- AUDIT STATUS</t>
  </si>
  <si>
    <t>R32- AUDIT STATUS</t>
  </si>
  <si>
    <t>R33- AUDIT STATUS</t>
  </si>
  <si>
    <t>CAROL</t>
  </si>
  <si>
    <t xml:space="preserve">NEXT ROUND </t>
  </si>
  <si>
    <t>CPQ11-ARCH-ALUF-SITE-R24.rvt</t>
  </si>
  <si>
    <t>CPQ11-ARCH-ALUF-SITE-R22.rvt</t>
  </si>
  <si>
    <t>CPQ11-ARCH-FENC-SITE-R24.rvt</t>
  </si>
  <si>
    <t>CPQ11-ARCH-FENC-SITE-R22.rvt</t>
  </si>
  <si>
    <t>CPQ11-ARCH-FNSH-SITE-R24.rvt</t>
  </si>
  <si>
    <t>CPQ11-ARCH-FNSH-SITE-R22.rvt</t>
  </si>
  <si>
    <t>V0</t>
  </si>
  <si>
    <t>17/10/2025</t>
  </si>
  <si>
    <t>08/12/2025</t>
  </si>
  <si>
    <t>11/11/2025</t>
  </si>
  <si>
    <t>21/11/2025</t>
  </si>
  <si>
    <t>03/03/2026</t>
  </si>
  <si>
    <t>V36</t>
  </si>
  <si>
    <t>LUIZA</t>
  </si>
  <si>
    <t>JOÃO</t>
  </si>
  <si>
    <t>01/11/2025</t>
  </si>
  <si>
    <t>31/10/2025</t>
  </si>
  <si>
    <t>27/10/2025</t>
  </si>
  <si>
    <t>19/11/2025</t>
  </si>
  <si>
    <t>LOD 400 | UTLS</t>
  </si>
  <si>
    <t>R9- AUDIT STATUS</t>
  </si>
  <si>
    <t>R10- AUDIT STATUS</t>
  </si>
  <si>
    <t>R20- AUDIT STATUS</t>
  </si>
  <si>
    <t>R21- AUDIT STATUS</t>
  </si>
  <si>
    <t>R22- AUDIT STATUS</t>
  </si>
  <si>
    <t>R23- AUDIT STATUS</t>
  </si>
  <si>
    <t>CPQ11-ARCH-NEWJ-SITE-R24.rvt</t>
  </si>
  <si>
    <t>CPQ11-ARCH-NEWJ-SITE-R22.rvt</t>
  </si>
  <si>
    <t>02/02/2026</t>
  </si>
  <si>
    <t>Folder name and path</t>
  </si>
  <si>
    <t>Name</t>
  </si>
  <si>
    <t>Software version</t>
  </si>
  <si>
    <t>Model type</t>
  </si>
  <si>
    <t>Description</t>
  </si>
  <si>
    <t>Version number</t>
  </si>
  <si>
    <t>Published to</t>
  </si>
  <si>
    <t>Extracted to folder</t>
  </si>
  <si>
    <t>Added to Packages</t>
  </si>
  <si>
    <t>Publicly shared</t>
  </si>
  <si>
    <t>Synced with Bridge</t>
  </si>
  <si>
    <t>Markups</t>
  </si>
  <si>
    <t>Issues</t>
  </si>
  <si>
    <t>File size</t>
  </si>
  <si>
    <t>Last updated</t>
  </si>
  <si>
    <t>Last updated for control table</t>
  </si>
  <si>
    <r>
      <rPr>
        <rFont val="Calibri"/>
        <b/>
        <color rgb="FF1155CC"/>
        <sz val="11.0"/>
        <u/>
      </rPr>
      <t>01-WORK IN PROGRESS/BIM/MODELS/DELEGATED DESIGN R24/ARCH</t>
    </r>
  </si>
  <si>
    <r>
      <rPr>
        <rFont val="Calibri"/>
        <b/>
        <color rgb="FF1155CC"/>
        <sz val="11.0"/>
        <u/>
      </rPr>
      <t>CPQ11-ARCH-ARCH-DATA-R24.rvt</t>
    </r>
  </si>
  <si>
    <t>Revit 2024</t>
  </si>
  <si>
    <t>Added manually</t>
  </si>
  <si>
    <t>--</t>
  </si>
  <si>
    <t>Sharing to</t>
  </si>
  <si>
    <t>No published markups</t>
  </si>
  <si>
    <t>No unresolved issues</t>
  </si>
  <si>
    <t>255.8 MB</t>
  </si>
  <si>
    <r>
      <rPr>
        <rFont val="Calibri"/>
        <b/>
        <color rgb="FF1155CC"/>
        <sz val="11.0"/>
        <u/>
      </rPr>
      <t>01-WORK IN PROGRESS/BIM/MODELS/DELEGATED DESIGN R24/ARCH</t>
    </r>
  </si>
  <si>
    <r>
      <rPr>
        <rFont val="Calibri"/>
        <b/>
        <color rgb="FF1155CC"/>
        <sz val="11.0"/>
        <u/>
      </rPr>
      <t>CPQ11-ARCH-ARCH-SITE-R24.rvt</t>
    </r>
  </si>
  <si>
    <t>69.4 MB</t>
  </si>
  <si>
    <r>
      <rPr>
        <rFont val="Calibri"/>
        <b/>
        <color rgb="FF1155CC"/>
        <sz val="11.0"/>
        <u/>
      </rPr>
      <t>01-WORK IN PROGRESS/BIM/MODELS/DELEGATED DESIGN R24/ARCH</t>
    </r>
  </si>
  <si>
    <r>
      <rPr>
        <rFont val="Calibri"/>
        <b/>
        <color rgb="FF1155CC"/>
        <sz val="11.0"/>
        <u/>
      </rPr>
      <t>CPQ11-ARCH-BLPR-GUAR-R24.rvt</t>
    </r>
  </si>
  <si>
    <t>36.2 MB</t>
  </si>
  <si>
    <t>May 20, 2026 5:55 PM</t>
  </si>
  <si>
    <r>
      <rPr>
        <rFont val="Calibri"/>
        <b/>
        <color rgb="FF1155CC"/>
        <sz val="11.0"/>
        <u/>
      </rPr>
      <t>01-WORK IN PROGRESS/BIM/MODELS/DELEGATED DESIGN R24/ARCH</t>
    </r>
  </si>
  <si>
    <r>
      <rPr>
        <rFont val="Calibri"/>
        <b/>
        <color rgb="FF1155CC"/>
        <sz val="11.0"/>
        <u/>
      </rPr>
      <t>CPQ11-ARCH-CEIL-DATA-R24.rvt</t>
    </r>
  </si>
  <si>
    <t>186.8 MB</t>
  </si>
  <si>
    <r>
      <rPr>
        <rFont val="Calibri"/>
        <b/>
        <color rgb="FF1155CC"/>
        <sz val="11.0"/>
        <u/>
      </rPr>
      <t>01-WORK IN PROGRESS/BIM/MODELS/DELEGATED DESIGN R24/ARCH</t>
    </r>
  </si>
  <si>
    <r>
      <rPr>
        <rFont val="Calibri"/>
        <b/>
        <color rgb="FF1155CC"/>
        <sz val="11.0"/>
        <u/>
      </rPr>
      <t>CPQ11-ARCH-CEIL-SITE-R24.rvt</t>
    </r>
  </si>
  <si>
    <t>49.2 MB</t>
  </si>
  <si>
    <r>
      <rPr>
        <rFont val="Calibri"/>
        <b/>
        <color rgb="FF1155CC"/>
        <sz val="11.0"/>
        <u/>
      </rPr>
      <t>01-WORK IN PROGRESS/BIM/MODELS/DELEGATED DESIGN R24/ARCH</t>
    </r>
  </si>
  <si>
    <r>
      <rPr>
        <rFont val="Calibri"/>
        <b/>
        <color rgb="FF1155CC"/>
        <sz val="11.0"/>
        <u/>
      </rPr>
      <t>CPQ11-ARCH-CHAI-SITE-R24.rvt</t>
    </r>
  </si>
  <si>
    <t>10.3 MB</t>
  </si>
  <si>
    <t>May 15, 2026 3:26 PM</t>
  </si>
  <si>
    <r>
      <rPr>
        <rFont val="Calibri"/>
        <b/>
        <color rgb="FF1155CC"/>
        <sz val="11.0"/>
        <u/>
      </rPr>
      <t>01-WORK IN PROGRESS/BIM/MODELS/DELEGATED DESIGN R24/ARCH</t>
    </r>
  </si>
  <si>
    <r>
      <rPr>
        <rFont val="Calibri"/>
        <b/>
        <color rgb="FF1155CC"/>
        <sz val="11.0"/>
        <u/>
      </rPr>
      <t>CPQ11-ARCH-FACD-DATA-R24.rvt</t>
    </r>
  </si>
  <si>
    <t>132.9 MB</t>
  </si>
  <si>
    <r>
      <rPr>
        <rFont val="Calibri"/>
        <b/>
        <color rgb="FF1155CC"/>
        <sz val="11.0"/>
        <u/>
      </rPr>
      <t>01-WORK IN PROGRESS/BIM/MODELS/DELEGATED DESIGN R24/ARCH</t>
    </r>
  </si>
  <si>
    <r>
      <rPr>
        <rFont val="Calibri"/>
        <b/>
        <color rgb="FF1155CC"/>
        <sz val="11.0"/>
        <u/>
      </rPr>
      <t>CPQ11-ARCH-HM90-DATA-R24.rvt</t>
    </r>
  </si>
  <si>
    <t>30.9 MB</t>
  </si>
  <si>
    <r>
      <rPr>
        <rFont val="Calibri"/>
        <b/>
        <color rgb="FF1155CC"/>
        <sz val="11.0"/>
        <u/>
      </rPr>
      <t>01-WORK IN PROGRESS/BIM/MODELS/DELEGATED DESIGN R24/ARCH</t>
    </r>
  </si>
  <si>
    <r>
      <rPr>
        <rFont val="Calibri"/>
        <b/>
        <color rgb="FF1155CC"/>
        <sz val="11.0"/>
        <u/>
      </rPr>
      <t>CPQ11-ARCH-HMET-DATA-R24.rvt</t>
    </r>
  </si>
  <si>
    <t>75.2 MB</t>
  </si>
  <si>
    <t>May 15, 2026 4:56 PM</t>
  </si>
  <si>
    <r>
      <rPr>
        <rFont val="Calibri"/>
        <b/>
        <color rgb="FF1155CC"/>
        <sz val="11.0"/>
        <u/>
      </rPr>
      <t>01-WORK IN PROGRESS/BIM/MODELS/DELEGATED DESIGN R24/ARCH</t>
    </r>
  </si>
  <si>
    <r>
      <rPr>
        <rFont val="Calibri"/>
        <b/>
        <color rgb="FF1155CC"/>
        <sz val="11.0"/>
        <u/>
      </rPr>
      <t>CPQ11-ARCH-HMET-SITE-R24.rvt</t>
    </r>
  </si>
  <si>
    <t>26.7 MB</t>
  </si>
  <si>
    <t>May 15, 2026 5:26 PM</t>
  </si>
  <si>
    <r>
      <rPr>
        <rFont val="Calibri"/>
        <b/>
        <color rgb="FF1155CC"/>
        <sz val="11.0"/>
        <u/>
      </rPr>
      <t>01-WORK IN PROGRESS/BIM/MODELS/DELEGATED DESIGN R24/ARCH</t>
    </r>
  </si>
  <si>
    <r>
      <rPr>
        <rFont val="Calibri"/>
        <b/>
        <color rgb="FF1155CC"/>
        <sz val="11.0"/>
        <u/>
      </rPr>
      <t>CPQ11-ARCH-METL-SITE-R24.rvt</t>
    </r>
  </si>
  <si>
    <t>36.3 MB</t>
  </si>
  <si>
    <r>
      <rPr>
        <rFont val="Calibri"/>
        <b/>
        <color rgb="FF1155CC"/>
        <sz val="11.0"/>
        <u/>
      </rPr>
      <t>01-WORK IN PROGRESS/BIM/MODELS/DELEGATED DESIGN R24/ARCH</t>
    </r>
  </si>
  <si>
    <r>
      <rPr>
        <rFont val="Calibri"/>
        <b/>
        <color rgb="FF1155CC"/>
        <sz val="11.0"/>
        <u/>
      </rPr>
      <t>CPQ11-ARCH-OHCD-DATA-R24.rvt</t>
    </r>
  </si>
  <si>
    <t>11.6 MB</t>
  </si>
  <si>
    <r>
      <rPr>
        <rFont val="Calibri"/>
        <b/>
        <color rgb="FF1155CC"/>
        <sz val="11.0"/>
        <u/>
      </rPr>
      <t>01-WORK IN PROGRESS/BIM/MODELS/DELEGATED DESIGN R24/ARCH</t>
    </r>
  </si>
  <si>
    <r>
      <rPr>
        <rFont val="Calibri"/>
        <b/>
        <color rgb="FF1155CC"/>
        <sz val="11.0"/>
        <u/>
      </rPr>
      <t>CPQ11-ARCH-PART-C12A-R24.rvt</t>
    </r>
  </si>
  <si>
    <t>87.8 MB</t>
  </si>
  <si>
    <t>May 27, 2026 10:24 AM</t>
  </si>
  <si>
    <r>
      <rPr>
        <rFont val="Calibri"/>
        <b/>
        <color rgb="FF1155CC"/>
        <sz val="11.0"/>
        <u/>
      </rPr>
      <t>01-WORK IN PROGRESS/BIM/MODELS/DELEGATED DESIGN R24/ARCH</t>
    </r>
  </si>
  <si>
    <r>
      <rPr>
        <rFont val="Calibri"/>
        <b/>
        <color rgb="FF1155CC"/>
        <sz val="11.0"/>
        <u/>
      </rPr>
      <t>CPQ11-ARCH-PART-C345-R24.rvt</t>
    </r>
  </si>
  <si>
    <t>68.2 MB</t>
  </si>
  <si>
    <t>May 19, 2026 2:37 PM</t>
  </si>
  <si>
    <r>
      <rPr>
        <rFont val="Calibri"/>
        <b/>
        <color rgb="FF1155CC"/>
        <sz val="11.0"/>
        <u/>
      </rPr>
      <t>01-WORK IN PROGRESS/BIM/MODELS/DELEGATED DESIGN R24/ARCH</t>
    </r>
  </si>
  <si>
    <r>
      <rPr>
        <rFont val="Calibri"/>
        <b/>
        <color rgb="FF1155CC"/>
        <sz val="11.0"/>
        <u/>
      </rPr>
      <t>CPQ11-ARCH-PART-SITE-R24.rvt</t>
    </r>
  </si>
  <si>
    <t>21.6 MB</t>
  </si>
  <si>
    <r>
      <rPr>
        <rFont val="Calibri"/>
        <b/>
        <color rgb="FF1155CC"/>
        <sz val="11.0"/>
        <u/>
      </rPr>
      <t>01-WORK IN PROGRESS/BIM/MODELS/DELEGATED DESIGN R24/ARCH</t>
    </r>
  </si>
  <si>
    <r>
      <rPr>
        <rFont val="Calibri"/>
        <b/>
        <color rgb="FF1155CC"/>
        <sz val="11.0"/>
        <u/>
      </rPr>
      <t>CPQ11-ARCH-ROOF-DATA-R24.rvt</t>
    </r>
  </si>
  <si>
    <t>22.6 MB</t>
  </si>
  <si>
    <t>May 20, 2026 3:57 PM</t>
  </si>
  <si>
    <r>
      <rPr>
        <rFont val="Calibri"/>
        <b/>
        <color rgb="FF1155CC"/>
        <sz val="11.0"/>
        <u/>
      </rPr>
      <t>01-WORK IN PROGRESS/BIM/MODELS/DELEGATED DESIGN R24/ARCH</t>
    </r>
  </si>
  <si>
    <r>
      <rPr>
        <rFont val="Calibri"/>
        <b/>
        <color rgb="FF1155CC"/>
        <sz val="11.0"/>
        <u/>
      </rPr>
      <t>CPQ11-ARCH-SHLV-DATA-R24.rvt</t>
    </r>
  </si>
  <si>
    <t>23.3 MB</t>
  </si>
  <si>
    <t>May 20, 2026 5:54 PM</t>
  </si>
  <si>
    <r>
      <rPr>
        <rFont val="Calibri"/>
        <b/>
        <color rgb="FF1155CC"/>
        <sz val="11.0"/>
        <u/>
      </rPr>
      <t>01-WORK IN PROGRESS/BIM/MODELS/DELEGATED DESIGN R24/ARCH</t>
    </r>
  </si>
  <si>
    <r>
      <rPr>
        <rFont val="Calibri"/>
        <b/>
        <color rgb="FF1155CC"/>
        <sz val="11.0"/>
        <u/>
      </rPr>
      <t>CPQ11-ARCH-STON-SITE-R24.rvt</t>
    </r>
  </si>
  <si>
    <t>10.4 MB</t>
  </si>
  <si>
    <r>
      <rPr>
        <rFont val="Calibri"/>
        <b/>
        <color rgb="FF1155CC"/>
        <sz val="11.0"/>
        <u/>
      </rPr>
      <t>01-WORK IN PROGRESS/BIM/MODELS/DELEGATED DESIGN R24/ARCH</t>
    </r>
  </si>
  <si>
    <r>
      <rPr>
        <rFont val="Calibri"/>
        <b/>
        <color rgb="FF1155CC"/>
        <sz val="11.0"/>
        <u/>
      </rPr>
      <t>CPQ11-ARCH-WMES-DATA-R24.rvt</t>
    </r>
  </si>
  <si>
    <t>31.3 MB</t>
  </si>
  <si>
    <r>
      <rPr>
        <rFont val="Calibri"/>
        <b/>
        <color rgb="FF1155CC"/>
        <sz val="11.0"/>
        <u/>
      </rPr>
      <t>01-WORK IN PROGRESS/BIM/MODELS/DELEGATED DESIGN R24/ARCH/NWC</t>
    </r>
  </si>
  <si>
    <r>
      <rPr>
        <rFont val="Calibri"/>
        <b/>
        <color rgb="FF1155CC"/>
        <sz val="11.0"/>
        <u/>
      </rPr>
      <t>CPQ11-ARCH-ARCH-DATA-R24.nwc</t>
    </r>
  </si>
  <si>
    <t>7 MB</t>
  </si>
  <si>
    <r>
      <rPr>
        <rFont val="Calibri"/>
        <b/>
        <color rgb="FF1155CC"/>
        <sz val="11.0"/>
        <u/>
      </rPr>
      <t>01-WORK IN PROGRESS/BIM/MODELS/DELEGATED DESIGN R24/ARCH/NWC</t>
    </r>
  </si>
  <si>
    <r>
      <rPr>
        <rFont val="Calibri"/>
        <b/>
        <color rgb="FF1155CC"/>
        <sz val="11.0"/>
        <u/>
      </rPr>
      <t>CPQ11-ARCH-ARCH-SITE-R24.nwc</t>
    </r>
  </si>
  <si>
    <t>1.7 MB</t>
  </si>
  <si>
    <r>
      <rPr>
        <rFont val="Calibri"/>
        <b/>
        <color rgb="FF1155CC"/>
        <sz val="11.0"/>
        <u/>
      </rPr>
      <t>01-WORK IN PROGRESS/BIM/MODELS/DELEGATED DESIGN R24/ARCH/NWC</t>
    </r>
  </si>
  <si>
    <r>
      <rPr>
        <rFont val="Calibri"/>
        <b/>
        <color rgb="FF1155CC"/>
        <sz val="11.0"/>
        <u/>
      </rPr>
      <t>CPQ11-ARCH-CHAI-SITE-R24.nwc</t>
    </r>
  </si>
  <si>
    <t>11.5 MB</t>
  </si>
  <si>
    <t>May 15, 2026 3:29 PM</t>
  </si>
  <si>
    <r>
      <rPr>
        <rFont val="Calibri"/>
        <b/>
        <color rgb="FF1155CC"/>
        <sz val="11.0"/>
        <u/>
      </rPr>
      <t>01-WORK IN PROGRESS/BIM/MODELS/DELEGATED DESIGN R24/ARCH/NWC</t>
    </r>
  </si>
  <si>
    <r>
      <rPr>
        <rFont val="Calibri"/>
        <b/>
        <color rgb="FF1155CC"/>
        <sz val="11.0"/>
        <u/>
      </rPr>
      <t>CPQ11-ARCH-FACD-DATA-R24.nwc</t>
    </r>
  </si>
  <si>
    <t>120.4 MB</t>
  </si>
  <si>
    <r>
      <rPr>
        <rFont val="Calibri"/>
        <b/>
        <color rgb="FF1155CC"/>
        <sz val="11.0"/>
        <u/>
      </rPr>
      <t>01-WORK IN PROGRESS/BIM/MODELS/DELEGATED DESIGN R24/ARCH/NWC</t>
    </r>
  </si>
  <si>
    <r>
      <rPr>
        <rFont val="Calibri"/>
        <b/>
        <color rgb="FF1155CC"/>
        <sz val="11.0"/>
        <u/>
      </rPr>
      <t>CPQ11-ARCH-HM90-DATA-R24.nwc</t>
    </r>
  </si>
  <si>
    <t>334.4 KB</t>
  </si>
  <si>
    <r>
      <rPr>
        <rFont val="Calibri"/>
        <b/>
        <color rgb="FF1155CC"/>
        <sz val="11.0"/>
        <u/>
      </rPr>
      <t>01-WORK IN PROGRESS/BIM/MODELS/DELEGATED DESIGN R24/ARCH/NWC</t>
    </r>
  </si>
  <si>
    <r>
      <rPr>
        <rFont val="Calibri"/>
        <b/>
        <color rgb="FF1155CC"/>
        <sz val="11.0"/>
        <u/>
      </rPr>
      <t>CPQ11-ARCH-HMET-DATA-R24.nwc</t>
    </r>
  </si>
  <si>
    <t>3.2 MB</t>
  </si>
  <si>
    <r>
      <rPr>
        <rFont val="Calibri"/>
        <b/>
        <color rgb="FF1155CC"/>
        <sz val="11.0"/>
        <u/>
      </rPr>
      <t>01-WORK IN PROGRESS/BIM/MODELS/DELEGATED DESIGN R24/ARCH/NWC</t>
    </r>
  </si>
  <si>
    <r>
      <rPr>
        <rFont val="Calibri"/>
        <b/>
        <color rgb="FF1155CC"/>
        <sz val="11.0"/>
        <u/>
      </rPr>
      <t>CPQ11-ARCH-HMET-SITE-R24.nwc</t>
    </r>
  </si>
  <si>
    <t>737.3 KB</t>
  </si>
  <si>
    <r>
      <rPr>
        <rFont val="Calibri"/>
        <b/>
        <color rgb="FF1155CC"/>
        <sz val="11.0"/>
        <u/>
      </rPr>
      <t>01-WORK IN PROGRESS/BIM/MODELS/DELEGATED DESIGN R24/ARCH/NWC</t>
    </r>
  </si>
  <si>
    <r>
      <rPr>
        <rFont val="Calibri"/>
        <b/>
        <color rgb="FF1155CC"/>
        <sz val="11.0"/>
        <u/>
      </rPr>
      <t>CPQ11-ARCH-METL-SITE-R24.nwc</t>
    </r>
  </si>
  <si>
    <t>161.1 MB</t>
  </si>
  <si>
    <r>
      <rPr>
        <rFont val="Calibri"/>
        <b/>
        <color rgb="FF1155CC"/>
        <sz val="11.0"/>
        <u/>
      </rPr>
      <t>01-WORK IN PROGRESS/BIM/MODELS/DELEGATED DESIGN R24/ARCH/NWC</t>
    </r>
  </si>
  <si>
    <r>
      <rPr>
        <rFont val="Calibri"/>
        <b/>
        <color rgb="FF1155CC"/>
        <sz val="11.0"/>
        <u/>
      </rPr>
      <t>CPQ11-ARCH-OHCD-DATA-R24.nwc</t>
    </r>
  </si>
  <si>
    <t>8.5 KB</t>
  </si>
  <si>
    <r>
      <rPr>
        <rFont val="Calibri"/>
        <b/>
        <color rgb="FF1155CC"/>
        <sz val="11.0"/>
        <u/>
      </rPr>
      <t>01-WORK IN PROGRESS/BIM/MODELS/DELEGATED DESIGN R24/ARCH/NWC</t>
    </r>
  </si>
  <si>
    <r>
      <rPr>
        <rFont val="Calibri"/>
        <b/>
        <color rgb="FF1155CC"/>
        <sz val="11.0"/>
        <u/>
      </rPr>
      <t>CPQ11-ARCH-PART-C12A-R24.nwc</t>
    </r>
  </si>
  <si>
    <t>5.6 MB</t>
  </si>
  <si>
    <t>May 27, 2026 10:18 AM</t>
  </si>
  <si>
    <r>
      <rPr>
        <rFont val="Calibri"/>
        <b/>
        <color rgb="FF1155CC"/>
        <sz val="11.0"/>
        <u/>
      </rPr>
      <t>01-WORK IN PROGRESS/BIM/MODELS/DELEGATED DESIGN R24/ARCH/NWC</t>
    </r>
  </si>
  <si>
    <r>
      <rPr>
        <rFont val="Calibri"/>
        <b/>
        <color rgb="FF1155CC"/>
        <sz val="11.0"/>
        <u/>
      </rPr>
      <t>CPQ11-ARCH-PART-C345-R24.nwc</t>
    </r>
  </si>
  <si>
    <t>3.8 MB</t>
  </si>
  <si>
    <t>May 19, 2026 2:27 PM</t>
  </si>
  <si>
    <r>
      <rPr>
        <rFont val="Calibri"/>
        <b/>
        <color rgb="FF1155CC"/>
        <sz val="11.0"/>
        <u/>
      </rPr>
      <t>01-WORK IN PROGRESS/BIM/MODELS/DELEGATED DESIGN R24/ARCH/NWC</t>
    </r>
  </si>
  <si>
    <r>
      <rPr>
        <rFont val="Calibri"/>
        <b/>
        <color rgb="FF1155CC"/>
        <sz val="11.0"/>
        <u/>
      </rPr>
      <t>CPQ11-ARCH-PART-SITE-R24.nwc</t>
    </r>
  </si>
  <si>
    <t>677.6 KB</t>
  </si>
  <si>
    <r>
      <rPr>
        <rFont val="Calibri"/>
        <b/>
        <color rgb="FF1155CC"/>
        <sz val="11.0"/>
        <u/>
      </rPr>
      <t>01-WORK IN PROGRESS/BIM/MODELS/DELEGATED DESIGN R24/ARCH/NWC</t>
    </r>
  </si>
  <si>
    <r>
      <rPr>
        <rFont val="Calibri"/>
        <b/>
        <color rgb="FF1155CC"/>
        <sz val="11.0"/>
        <u/>
      </rPr>
      <t>CPQ11-ARCH-ROOF-DATA-R24.nwc</t>
    </r>
  </si>
  <si>
    <t>12.6 MB</t>
  </si>
  <si>
    <t>May 20, 2026 3:41 PM</t>
  </si>
  <si>
    <r>
      <rPr>
        <rFont val="Calibri"/>
        <b/>
        <color rgb="FF1155CC"/>
        <sz val="11.0"/>
        <u/>
      </rPr>
      <t>01-WORK IN PROGRESS/BIM/MODELS/DELEGATED DESIGN R24/ARCH/NWC</t>
    </r>
  </si>
  <si>
    <r>
      <rPr>
        <rFont val="Calibri"/>
        <b/>
        <color rgb="FF1155CC"/>
        <sz val="11.0"/>
        <u/>
      </rPr>
      <t>CPQ11-ARCH-STON-SITE-R24.nwc</t>
    </r>
  </si>
  <si>
    <t>298.8 KB</t>
  </si>
  <si>
    <r>
      <rPr>
        <rFont val="Calibri"/>
        <b/>
        <color rgb="FF1155CC"/>
        <sz val="11.0"/>
        <u/>
      </rPr>
      <t>01-WORK IN PROGRESS/BIM/MODELS/DELEGATED DESIGN R24/ARCH/NWC</t>
    </r>
  </si>
  <si>
    <r>
      <rPr>
        <rFont val="Calibri"/>
        <b/>
        <color rgb="FF1155CC"/>
        <sz val="11.0"/>
        <u/>
      </rPr>
      <t>CPQ11-ARCH-WMES-DATA-R24.nwc</t>
    </r>
  </si>
  <si>
    <t>17.1 MB</t>
  </si>
  <si>
    <r>
      <rPr>
        <rFont val="Calibri"/>
        <b/>
        <color rgb="FF1155CC"/>
        <sz val="11.0"/>
        <u/>
      </rPr>
      <t>01-WORK IN PROGRESS/BIM/MODELS/DELEGATED DESIGN R24/CIVIL</t>
    </r>
  </si>
  <si>
    <r>
      <rPr>
        <rFont val="Calibri"/>
        <b/>
        <color rgb="FF1155CC"/>
        <sz val="11.0"/>
        <u/>
      </rPr>
      <t>CPQ11-CIVL-DRNG-SITE-R24.rvt</t>
    </r>
  </si>
  <si>
    <t>80.9 MB</t>
  </si>
  <si>
    <r>
      <rPr>
        <rFont val="Calibri"/>
        <b/>
        <color rgb="FF1155CC"/>
        <sz val="11.0"/>
        <u/>
      </rPr>
      <t>01-WORK IN PROGRESS/BIM/MODELS/DELEGATED DESIGN R24/CIVIL</t>
    </r>
  </si>
  <si>
    <r>
      <rPr>
        <rFont val="Calibri"/>
        <b/>
        <color rgb="FF1155CC"/>
        <sz val="11.0"/>
        <u/>
      </rPr>
      <t>CPQ11-CIVL-ERTH-SITE-R24.rvt</t>
    </r>
  </si>
  <si>
    <t>38.7 MB</t>
  </si>
  <si>
    <r>
      <rPr>
        <rFont val="Calibri"/>
        <b/>
        <color rgb="FF1155CC"/>
        <sz val="11.0"/>
        <u/>
      </rPr>
      <t>01-WORK IN PROGRESS/BIM/MODELS/DELEGATED DESIGN R24/CIVIL</t>
    </r>
  </si>
  <si>
    <r>
      <rPr>
        <rFont val="Calibri"/>
        <b/>
        <color rgb="FF1155CC"/>
        <sz val="11.0"/>
        <u/>
      </rPr>
      <t>CPQ11-CIVL-LOCK-SITE-R24.rvt</t>
    </r>
  </si>
  <si>
    <t>332.3 MB</t>
  </si>
  <si>
    <t>May 18, 2026 5:11 PM</t>
  </si>
  <si>
    <r>
      <rPr>
        <rFont val="Calibri"/>
        <b/>
        <color rgb="FF1155CC"/>
        <sz val="11.0"/>
        <u/>
      </rPr>
      <t>01-WORK IN PROGRESS/BIM/MODELS/DELEGATED DESIGN R24/CIVIL</t>
    </r>
  </si>
  <si>
    <r>
      <rPr>
        <rFont val="Calibri"/>
        <b/>
        <color rgb="FF1155CC"/>
        <sz val="11.0"/>
        <u/>
      </rPr>
      <t>CPQ11-CIVL-PAVM-SITE-R24.rvt</t>
    </r>
  </si>
  <si>
    <t>47.1 MB</t>
  </si>
  <si>
    <t>May 20, 2026 3:44 PM</t>
  </si>
  <si>
    <r>
      <rPr>
        <rFont val="Calibri"/>
        <b/>
        <color rgb="FF1155CC"/>
        <sz val="11.0"/>
        <u/>
      </rPr>
      <t>01-WORK IN PROGRESS/BIM/MODELS/DELEGATED DESIGN R24/CIVIL/NWC</t>
    </r>
  </si>
  <si>
    <r>
      <rPr>
        <rFont val="Calibri"/>
        <b/>
        <color rgb="FF1155CC"/>
        <sz val="11.0"/>
        <u/>
      </rPr>
      <t>CPQ11-CIVL-DRNG-SITE-R24.nwc</t>
    </r>
  </si>
  <si>
    <t>11.9 MB</t>
  </si>
  <si>
    <r>
      <rPr>
        <rFont val="Calibri"/>
        <b/>
        <color rgb="FF1155CC"/>
        <sz val="11.0"/>
        <u/>
      </rPr>
      <t>01-WORK IN PROGRESS/BIM/MODELS/DELEGATED DESIGN R24/CIVIL/NWC</t>
    </r>
  </si>
  <si>
    <r>
      <rPr>
        <rFont val="Calibri"/>
        <b/>
        <color rgb="FF1155CC"/>
        <sz val="11.0"/>
        <u/>
      </rPr>
      <t>CPQ11-CIVL-ERTH-SITE-R24.nwc</t>
    </r>
  </si>
  <si>
    <t>2 MB</t>
  </si>
  <si>
    <r>
      <rPr>
        <rFont val="Calibri"/>
        <b/>
        <color rgb="FF1155CC"/>
        <sz val="11.0"/>
        <u/>
      </rPr>
      <t>01-WORK IN PROGRESS/BIM/MODELS/DELEGATED DESIGN R24/CIVIL/NWC</t>
    </r>
  </si>
  <si>
    <r>
      <rPr>
        <rFont val="Calibri"/>
        <b/>
        <color rgb="FF1155CC"/>
        <sz val="11.0"/>
        <u/>
      </rPr>
      <t>CPQ11-CIVL-LOCK-SITE-R24.nwc</t>
    </r>
  </si>
  <si>
    <t>187.1 MB</t>
  </si>
  <si>
    <t>May 18, 2026 5:01 PM</t>
  </si>
  <si>
    <r>
      <rPr>
        <rFont val="Calibri"/>
        <b/>
        <color rgb="FF1155CC"/>
        <sz val="11.0"/>
        <u/>
      </rPr>
      <t>01-WORK IN PROGRESS/BIM/MODELS/DELEGATED DESIGN R24/CIVIL/NWC</t>
    </r>
  </si>
  <si>
    <r>
      <rPr>
        <rFont val="Calibri"/>
        <b/>
        <color rgb="FF1155CC"/>
        <sz val="11.0"/>
        <u/>
      </rPr>
      <t>CPQ11-CIVL-PAVM-SITE-R24.nwc</t>
    </r>
  </si>
  <si>
    <t>14 MB</t>
  </si>
  <si>
    <r>
      <rPr>
        <rFont val="Calibri"/>
        <b/>
        <color rgb="FF1155CC"/>
        <sz val="11.0"/>
        <u/>
      </rPr>
      <t>01-WORK IN PROGRESS/BIM/MODELS/DELEGATED DESIGN R24/MECH</t>
    </r>
  </si>
  <si>
    <r>
      <rPr>
        <rFont val="Calibri"/>
        <b/>
        <color rgb="FF1155CC"/>
        <sz val="11.0"/>
        <u/>
      </rPr>
      <t>CPQ11-MECH-MECH-DATA-R24.rvt</t>
    </r>
  </si>
  <si>
    <t>220 MB</t>
  </si>
  <si>
    <r>
      <rPr>
        <rFont val="Calibri"/>
        <b/>
        <color rgb="FF1155CC"/>
        <sz val="11.0"/>
        <u/>
      </rPr>
      <t>01-WORK IN PROGRESS/BIM/MODELS/DELEGATED DESIGN R24/MECH</t>
    </r>
  </si>
  <si>
    <r>
      <rPr>
        <rFont val="Calibri"/>
        <b/>
        <color rgb="FF1155CC"/>
        <sz val="11.0"/>
        <u/>
      </rPr>
      <t>CPQ11-MECH-MECH-GUAR-R24.rvt</t>
    </r>
  </si>
  <si>
    <t>123.7 MB</t>
  </si>
  <si>
    <t>May 19, 2026 2:43 PM</t>
  </si>
  <si>
    <r>
      <rPr>
        <rFont val="Calibri"/>
        <b/>
        <color rgb="FF1155CC"/>
        <sz val="11.0"/>
        <u/>
      </rPr>
      <t>01-WORK IN PROGRESS/BIM/MODELS/DELEGATED DESIGN R24/MECH</t>
    </r>
  </si>
  <si>
    <r>
      <rPr>
        <rFont val="Calibri"/>
        <b/>
        <color rgb="FF1155CC"/>
        <sz val="11.0"/>
        <u/>
      </rPr>
      <t>CPQ11-PLMB-METK-UTLS-R24.rvt</t>
    </r>
  </si>
  <si>
    <t>62.2 MB</t>
  </si>
  <si>
    <r>
      <rPr>
        <rFont val="Calibri"/>
        <b/>
        <color rgb="FF1155CC"/>
        <sz val="11.0"/>
        <u/>
      </rPr>
      <t>01-WORK IN PROGRESS/BIM/MODELS/DELEGATED DESIGN R24/MECH</t>
    </r>
  </si>
  <si>
    <r>
      <rPr>
        <rFont val="Calibri"/>
        <b/>
        <color rgb="FF1155CC"/>
        <sz val="11.0"/>
        <u/>
      </rPr>
      <t>CPQ11-PLMB-NPWT-DATA-R24.rvt</t>
    </r>
  </si>
  <si>
    <t>177.4 MB</t>
  </si>
  <si>
    <r>
      <rPr>
        <rFont val="Calibri"/>
        <b/>
        <color rgb="FF1155CC"/>
        <sz val="11.0"/>
        <u/>
      </rPr>
      <t>01-WORK IN PROGRESS/BIM/MODELS/DELEGATED DESIGN R24/MECH</t>
    </r>
  </si>
  <si>
    <r>
      <rPr>
        <rFont val="Calibri"/>
        <b/>
        <color rgb="FF1155CC"/>
        <sz val="11.0"/>
        <u/>
      </rPr>
      <t>CPQ11-PLMB-NPWT-SITE-R24.rvt</t>
    </r>
  </si>
  <si>
    <t>127.6 MB</t>
  </si>
  <si>
    <r>
      <rPr>
        <rFont val="Calibri"/>
        <b/>
        <color rgb="FF1155CC"/>
        <sz val="11.0"/>
        <u/>
      </rPr>
      <t>01-WORK IN PROGRESS/BIM/MODELS/DELEGATED DESIGN R24/MECH/NWC</t>
    </r>
  </si>
  <si>
    <r>
      <rPr>
        <rFont val="Calibri"/>
        <b/>
        <color rgb="FF1155CC"/>
        <sz val="11.0"/>
        <u/>
      </rPr>
      <t>CPQ11-MECH-MECH-DATA-R24.nwc</t>
    </r>
  </si>
  <si>
    <t>30.1 MB</t>
  </si>
  <si>
    <r>
      <rPr>
        <rFont val="Calibri"/>
        <b/>
        <color rgb="FF1155CC"/>
        <sz val="11.0"/>
        <u/>
      </rPr>
      <t>01-WORK IN PROGRESS/BIM/MODELS/DELEGATED DESIGN R24/MECH/NWC</t>
    </r>
  </si>
  <si>
    <r>
      <rPr>
        <rFont val="Calibri"/>
        <b/>
        <color rgb="FF1155CC"/>
        <sz val="11.0"/>
        <u/>
      </rPr>
      <t>CPQ11-MECH-MECH-GUAR-R24.nwc</t>
    </r>
  </si>
  <si>
    <t>863.2 KB</t>
  </si>
  <si>
    <t>May 15, 2026 1:24 PM</t>
  </si>
  <si>
    <r>
      <rPr>
        <rFont val="Calibri"/>
        <b/>
        <color rgb="FF1155CC"/>
        <sz val="11.0"/>
        <u/>
      </rPr>
      <t>01-WORK IN PROGRESS/BIM/MODELS/DELEGATED DESIGN R24/MECH/NWC</t>
    </r>
  </si>
  <si>
    <r>
      <rPr>
        <rFont val="Calibri"/>
        <b/>
        <color rgb="FF1155CC"/>
        <sz val="11.0"/>
        <u/>
      </rPr>
      <t>CPQ11-PLMB-METK-UTLS-R24.nwc</t>
    </r>
  </si>
  <si>
    <t>3.1 MB</t>
  </si>
  <si>
    <r>
      <rPr>
        <rFont val="Calibri"/>
        <b/>
        <color rgb="FF1155CC"/>
        <sz val="11.0"/>
        <u/>
      </rPr>
      <t>01-WORK IN PROGRESS/BIM/MODELS/DELEGATED DESIGN R24/MECH/NWC</t>
    </r>
  </si>
  <si>
    <r>
      <rPr>
        <rFont val="Calibri"/>
        <b/>
        <color rgb="FF1155CC"/>
        <sz val="11.0"/>
        <u/>
      </rPr>
      <t>CPQ11-PLMB-NPWT-DATA-R24.nwc</t>
    </r>
  </si>
  <si>
    <t>12.7 MB</t>
  </si>
  <si>
    <r>
      <rPr>
        <rFont val="Calibri"/>
        <b/>
        <color rgb="FF1155CC"/>
        <sz val="11.0"/>
        <u/>
      </rPr>
      <t>01-WORK IN PROGRESS/BIM/MODELS/DELEGATED DESIGN R24/MECH/NWC</t>
    </r>
  </si>
  <si>
    <r>
      <rPr>
        <rFont val="Calibri"/>
        <b/>
        <color rgb="FF1155CC"/>
        <sz val="11.0"/>
        <u/>
      </rPr>
      <t>CPQ11-PLMB-NPWT-SITE-R24.nwc</t>
    </r>
  </si>
  <si>
    <t>5.4 MB</t>
  </si>
  <si>
    <r>
      <rPr>
        <rFont val="Calibri"/>
        <b/>
        <color rgb="FF1155CC"/>
        <sz val="11.0"/>
        <u/>
      </rPr>
      <t>01-WORK IN PROGRESS/BIM/MODELS/DELEGATED DESIGN R24/MEP</t>
    </r>
  </si>
  <si>
    <r>
      <rPr>
        <rFont val="Calibri"/>
        <b/>
        <color rgb="FF1155CC"/>
        <sz val="11.0"/>
        <u/>
      </rPr>
      <t>CPQ11-BASM-DEVS-DATA-R24.rvt</t>
    </r>
  </si>
  <si>
    <t>53.4 MB</t>
  </si>
  <si>
    <r>
      <rPr>
        <rFont val="Calibri"/>
        <b/>
        <color rgb="FF1155CC"/>
        <sz val="11.0"/>
        <u/>
      </rPr>
      <t>01-WORK IN PROGRESS/BIM/MODELS/DELEGATED DESIGN R24/MEP</t>
    </r>
  </si>
  <si>
    <r>
      <rPr>
        <rFont val="Calibri"/>
        <b/>
        <color rgb="FF1155CC"/>
        <sz val="11.0"/>
        <u/>
      </rPr>
      <t>CPQ11-BASM-DEVS-PUMP-R24.rvt</t>
    </r>
  </si>
  <si>
    <t>42.4 MB</t>
  </si>
  <si>
    <t>May 15, 2026 5:44 PM</t>
  </si>
  <si>
    <r>
      <rPr>
        <rFont val="Calibri"/>
        <b/>
        <color rgb="FF1155CC"/>
        <sz val="11.0"/>
        <u/>
      </rPr>
      <t>01-WORK IN PROGRESS/BIM/MODELS/DELEGATED DESIGN R24/MEP</t>
    </r>
  </si>
  <si>
    <r>
      <rPr>
        <rFont val="Calibri"/>
        <b/>
        <color rgb="FF1155CC"/>
        <sz val="11.0"/>
        <u/>
      </rPr>
      <t>CPQ11-BASM-INFR-DATA-R24.rvt</t>
    </r>
  </si>
  <si>
    <t>66.1 MB</t>
  </si>
  <si>
    <r>
      <rPr>
        <rFont val="Calibri"/>
        <b/>
        <color rgb="FF1155CC"/>
        <sz val="11.0"/>
        <u/>
      </rPr>
      <t>01-WORK IN PROGRESS/BIM/MODELS/DELEGATED DESIGN R24/MEP</t>
    </r>
  </si>
  <si>
    <r>
      <rPr>
        <rFont val="Calibri"/>
        <b/>
        <color rgb="FF1155CC"/>
        <sz val="11.0"/>
        <u/>
      </rPr>
      <t>CPQ11-BASM-INFR-PUMP-R24.rvt</t>
    </r>
  </si>
  <si>
    <t>34.4 MB</t>
  </si>
  <si>
    <r>
      <rPr>
        <rFont val="Calibri"/>
        <b/>
        <color rgb="FF1155CC"/>
        <sz val="11.0"/>
        <u/>
      </rPr>
      <t>01-WORK IN PROGRESS/BIM/MODELS/DELEGATED DESIGN R24/MEP</t>
    </r>
  </si>
  <si>
    <r>
      <rPr>
        <rFont val="Calibri"/>
        <b/>
        <color rgb="FF1155CC"/>
        <sz val="11.0"/>
        <u/>
      </rPr>
      <t>CPQ11-DALI-DEVS-DATA-R24.rvt</t>
    </r>
  </si>
  <si>
    <t>215.4 MB</t>
  </si>
  <si>
    <r>
      <rPr>
        <rFont val="Calibri"/>
        <b/>
        <color rgb="FF1155CC"/>
        <sz val="11.0"/>
        <u/>
      </rPr>
      <t>01-WORK IN PROGRESS/BIM/MODELS/DELEGATED DESIGN R24/MEP</t>
    </r>
  </si>
  <si>
    <r>
      <rPr>
        <rFont val="Calibri"/>
        <b/>
        <color rgb="FF1155CC"/>
        <sz val="11.0"/>
        <u/>
      </rPr>
      <t>CPQ11-DASM-DEVS-DATA-R24.rvt</t>
    </r>
  </si>
  <si>
    <t>340.4 MB</t>
  </si>
  <si>
    <r>
      <rPr>
        <rFont val="Calibri"/>
        <b/>
        <color rgb="FF1155CC"/>
        <sz val="11.0"/>
        <u/>
      </rPr>
      <t>01-WORK IN PROGRESS/BIM/MODELS/DELEGATED DESIGN R24/MEP</t>
    </r>
  </si>
  <si>
    <r>
      <rPr>
        <rFont val="Calibri"/>
        <b/>
        <color rgb="FF1155CC"/>
        <sz val="11.0"/>
        <u/>
      </rPr>
      <t>CPQ11-ELEC-ELEC-DATA-R24.rvt</t>
    </r>
  </si>
  <si>
    <t>302 MB</t>
  </si>
  <si>
    <r>
      <rPr>
        <rFont val="Calibri"/>
        <b/>
        <color rgb="FF1155CC"/>
        <sz val="11.0"/>
        <u/>
      </rPr>
      <t>01-WORK IN PROGRESS/BIM/MODELS/DELEGATED DESIGN R24/MEP</t>
    </r>
  </si>
  <si>
    <r>
      <rPr>
        <rFont val="Calibri"/>
        <b/>
        <color rgb="FF1155CC"/>
        <sz val="11.0"/>
        <u/>
      </rPr>
      <t>CPQ11-ELEC-ELEC-SITE-R24.rvt</t>
    </r>
  </si>
  <si>
    <t>45.4 MB</t>
  </si>
  <si>
    <t>May 19, 2026 3:56 PM</t>
  </si>
  <si>
    <r>
      <rPr>
        <rFont val="Calibri"/>
        <b/>
        <color rgb="FF1155CC"/>
        <sz val="11.0"/>
        <u/>
      </rPr>
      <t>01-WORK IN PROGRESS/BIM/MODELS/DELEGATED DESIGN R24/MEP</t>
    </r>
  </si>
  <si>
    <r>
      <rPr>
        <rFont val="Calibri"/>
        <b/>
        <color rgb="FF1155CC"/>
        <sz val="11.0"/>
        <u/>
      </rPr>
      <t>CPQ11-ELEC-SPDA-DATA-R24.rvt</t>
    </r>
  </si>
  <si>
    <t>118.1 MB</t>
  </si>
  <si>
    <r>
      <rPr>
        <rFont val="Calibri"/>
        <b/>
        <color rgb="FF1155CC"/>
        <sz val="11.0"/>
        <u/>
      </rPr>
      <t>01-WORK IN PROGRESS/BIM/MODELS/DELEGATED DESIGN R24/MEP</t>
    </r>
  </si>
  <si>
    <r>
      <rPr>
        <rFont val="Calibri"/>
        <b/>
        <color rgb="FF1155CC"/>
        <sz val="11.0"/>
        <u/>
      </rPr>
      <t>CPQ11-ELEC-SPDA-SITE-R24.rvt</t>
    </r>
  </si>
  <si>
    <t>70.9 MB</t>
  </si>
  <si>
    <r>
      <rPr>
        <rFont val="Calibri"/>
        <b/>
        <color rgb="FF1155CC"/>
        <sz val="11.0"/>
        <u/>
      </rPr>
      <t>01-WORK IN PROGRESS/BIM/MODELS/DELEGATED DESIGN R24/MEP</t>
    </r>
  </si>
  <si>
    <r>
      <rPr>
        <rFont val="Calibri"/>
        <b/>
        <color rgb="FF1155CC"/>
        <sz val="11.0"/>
        <u/>
      </rPr>
      <t>CPQ11-EPMS-DEVS-DATA-R24.rvt</t>
    </r>
  </si>
  <si>
    <t>27.3 MB</t>
  </si>
  <si>
    <r>
      <rPr>
        <rFont val="Calibri"/>
        <b/>
        <color rgb="FF1155CC"/>
        <sz val="11.0"/>
        <u/>
      </rPr>
      <t>01-WORK IN PROGRESS/BIM/MODELS/DELEGATED DESIGN R24/MEP</t>
    </r>
  </si>
  <si>
    <r>
      <rPr>
        <rFont val="Calibri"/>
        <b/>
        <color rgb="FF1155CC"/>
        <sz val="11.0"/>
        <u/>
      </rPr>
      <t>CPQ11-EPMS-DEVS-SITE-R24.rvt</t>
    </r>
  </si>
  <si>
    <t>15.5 MB</t>
  </si>
  <si>
    <t>May 15, 2026 5:45 PM</t>
  </si>
  <si>
    <r>
      <rPr>
        <rFont val="Calibri"/>
        <b/>
        <color rgb="FF1155CC"/>
        <sz val="11.0"/>
        <u/>
      </rPr>
      <t>01-WORK IN PROGRESS/BIM/MODELS/DELEGATED DESIGN R24/MEP</t>
    </r>
  </si>
  <si>
    <r>
      <rPr>
        <rFont val="Calibri"/>
        <b/>
        <color rgb="FF1155CC"/>
        <sz val="11.0"/>
        <u/>
      </rPr>
      <t>CPQ11-FALM-FALM-DATA-R24.rvt</t>
    </r>
  </si>
  <si>
    <t>71.8 MB</t>
  </si>
  <si>
    <r>
      <rPr>
        <rFont val="Calibri"/>
        <b/>
        <color rgb="FF1155CC"/>
        <sz val="11.0"/>
        <u/>
      </rPr>
      <t>01-WORK IN PROGRESS/BIM/MODELS/DELEGATED DESIGN R24/MEP</t>
    </r>
  </si>
  <si>
    <r>
      <rPr>
        <rFont val="Calibri"/>
        <b/>
        <color rgb="FF1155CC"/>
        <sz val="11.0"/>
        <u/>
      </rPr>
      <t>CPQ11-FALM-FALM-SITE-R24.rvt</t>
    </r>
  </si>
  <si>
    <t>17.5 MB</t>
  </si>
  <si>
    <r>
      <rPr>
        <rFont val="Calibri"/>
        <b/>
        <color rgb="FF1155CC"/>
        <sz val="11.0"/>
        <u/>
      </rPr>
      <t>01-WORK IN PROGRESS/BIM/MODELS/DELEGATED DESIGN R24/MEP</t>
    </r>
  </si>
  <si>
    <r>
      <rPr>
        <rFont val="Calibri"/>
        <b/>
        <color rgb="FF1155CC"/>
        <sz val="11.0"/>
        <u/>
      </rPr>
      <t>CPQ11-FPRT-FPRT-DATA-R24.rvt</t>
    </r>
  </si>
  <si>
    <t>140.8 MB</t>
  </si>
  <si>
    <r>
      <rPr>
        <rFont val="Calibri"/>
        <b/>
        <color rgb="FF1155CC"/>
        <sz val="11.0"/>
        <u/>
      </rPr>
      <t>01-WORK IN PROGRESS/BIM/MODELS/DELEGATED DESIGN R24/MEP</t>
    </r>
  </si>
  <si>
    <r>
      <rPr>
        <rFont val="Calibri"/>
        <b/>
        <color rgb="FF1155CC"/>
        <sz val="11.0"/>
        <u/>
      </rPr>
      <t>CPQ11-FPRT-FPRT-SITE-R24.rvt</t>
    </r>
  </si>
  <si>
    <t>92.9 MB</t>
  </si>
  <si>
    <r>
      <rPr>
        <rFont val="Calibri"/>
        <b/>
        <color rgb="FF1155CC"/>
        <sz val="11.0"/>
        <u/>
      </rPr>
      <t>01-WORK IN PROGRESS/BIM/MODELS/DELEGATED DESIGN R24/MEP</t>
    </r>
  </si>
  <si>
    <r>
      <rPr>
        <rFont val="Calibri"/>
        <b/>
        <color rgb="FF1155CC"/>
        <sz val="11.0"/>
        <u/>
      </rPr>
      <t>CPQ11-FPRT-METK-UTLS-R24.rvt</t>
    </r>
  </si>
  <si>
    <r>
      <rPr>
        <rFont val="Calibri"/>
        <b/>
        <color rgb="FF1155CC"/>
        <sz val="11.0"/>
        <u/>
      </rPr>
      <t>01-WORK IN PROGRESS/BIM/MODELS/DELEGATED DESIGN R24/MEP</t>
    </r>
  </si>
  <si>
    <r>
      <rPr>
        <rFont val="Calibri"/>
        <b/>
        <color rgb="FF1155CC"/>
        <sz val="11.0"/>
        <u/>
      </rPr>
      <t>CPQ11-PLMB-DIES-SITE-R24.rvt</t>
    </r>
  </si>
  <si>
    <t>11.8 MB</t>
  </si>
  <si>
    <r>
      <rPr>
        <rFont val="Calibri"/>
        <b/>
        <color rgb="FF1155CC"/>
        <sz val="11.0"/>
        <u/>
      </rPr>
      <t>01-WORK IN PROGRESS/BIM/MODELS/DELEGATED DESIGN R24/MEP</t>
    </r>
  </si>
  <si>
    <r>
      <rPr>
        <rFont val="Calibri"/>
        <b/>
        <color rgb="FF1155CC"/>
        <sz val="11.0"/>
        <u/>
      </rPr>
      <t>CPQ11-PLMB-PLMB-DATA-R24.rvt</t>
    </r>
  </si>
  <si>
    <t>138.1 MB</t>
  </si>
  <si>
    <r>
      <rPr>
        <rFont val="Calibri"/>
        <b/>
        <color rgb="FF1155CC"/>
        <sz val="11.0"/>
        <u/>
      </rPr>
      <t>01-WORK IN PROGRESS/BIM/MODELS/DELEGATED DESIGN R24/MEP</t>
    </r>
  </si>
  <si>
    <r>
      <rPr>
        <rFont val="Calibri"/>
        <b/>
        <color rgb="FF1155CC"/>
        <sz val="11.0"/>
        <u/>
      </rPr>
      <t>CPQ11-PLMB-PLMB-SITE-R24.rvt</t>
    </r>
  </si>
  <si>
    <t>68.6 MB</t>
  </si>
  <si>
    <r>
      <rPr>
        <rFont val="Calibri"/>
        <b/>
        <color rgb="FF1155CC"/>
        <sz val="11.0"/>
        <u/>
      </rPr>
      <t>01-WORK IN PROGRESS/BIM/MODELS/DELEGATED DESIGN R24/MEP</t>
    </r>
  </si>
  <si>
    <r>
      <rPr>
        <rFont val="Calibri"/>
        <b/>
        <color rgb="FF1155CC"/>
        <sz val="11.0"/>
        <u/>
      </rPr>
      <t>CPQ11-ROIP-DEVS-DATA-R24.rvt</t>
    </r>
  </si>
  <si>
    <t>698.8 MB</t>
  </si>
  <si>
    <r>
      <rPr>
        <rFont val="Calibri"/>
        <b/>
        <color rgb="FF1155CC"/>
        <sz val="11.0"/>
        <u/>
      </rPr>
      <t>01-WORK IN PROGRESS/BIM/MODELS/DELEGATED DESIGN R24/MEP</t>
    </r>
  </si>
  <si>
    <r>
      <rPr>
        <rFont val="Calibri"/>
        <b/>
        <color rgb="FF1155CC"/>
        <sz val="11.0"/>
        <u/>
      </rPr>
      <t>CPQ11-ROIP-DEVS-GUAR-R24.rvt</t>
    </r>
  </si>
  <si>
    <t>39.5 MB</t>
  </si>
  <si>
    <r>
      <rPr>
        <rFont val="Calibri"/>
        <b/>
        <color rgb="FF1155CC"/>
        <sz val="11.0"/>
        <u/>
      </rPr>
      <t>01-WORK IN PROGRESS/BIM/MODELS/DELEGATED DESIGN R24/MEP</t>
    </r>
  </si>
  <si>
    <r>
      <rPr>
        <rFont val="Calibri"/>
        <b/>
        <color rgb="FF1155CC"/>
        <sz val="11.0"/>
        <u/>
      </rPr>
      <t>CPQ11-SCTY-DEVS-DATA-R24.rvt</t>
    </r>
  </si>
  <si>
    <t>232.5 MB</t>
  </si>
  <si>
    <r>
      <rPr>
        <rFont val="Calibri"/>
        <b/>
        <color rgb="FF1155CC"/>
        <sz val="11.0"/>
        <u/>
      </rPr>
      <t>01-WORK IN PROGRESS/BIM/MODELS/DELEGATED DESIGN R24/MEP</t>
    </r>
  </si>
  <si>
    <r>
      <rPr>
        <rFont val="Calibri"/>
        <b/>
        <color rgb="FF1155CC"/>
        <sz val="11.0"/>
        <u/>
      </rPr>
      <t>CPQ11-SCTY-DEVS-SITE-R24.rvt</t>
    </r>
  </si>
  <si>
    <t>234.5 MB</t>
  </si>
  <si>
    <t>May 20, 2026 9:33 AM</t>
  </si>
  <si>
    <r>
      <rPr>
        <rFont val="Calibri"/>
        <b/>
        <color rgb="FF1155CC"/>
        <sz val="11.0"/>
        <u/>
      </rPr>
      <t>01-WORK IN PROGRESS/BIM/MODELS/DELEGATED DESIGN R24/MEP</t>
    </r>
  </si>
  <si>
    <r>
      <rPr>
        <rFont val="Calibri"/>
        <b/>
        <color rgb="FF1155CC"/>
        <sz val="11.0"/>
        <u/>
      </rPr>
      <t>CPQ11-SCTY-GATE-SITE-R24.ifc</t>
    </r>
  </si>
  <si>
    <t>48 MB</t>
  </si>
  <si>
    <t>May 19, 2026 2:19 PM</t>
  </si>
  <si>
    <r>
      <rPr>
        <rFont val="Calibri"/>
        <b/>
        <color rgb="FF1155CC"/>
        <sz val="11.0"/>
        <u/>
      </rPr>
      <t>01-WORK IN PROGRESS/BIM/MODELS/DELEGATED DESIGN R24/MEP</t>
    </r>
  </si>
  <si>
    <r>
      <rPr>
        <rFont val="Calibri"/>
        <b/>
        <color rgb="FF1155CC"/>
        <sz val="11.0"/>
        <u/>
      </rPr>
      <t>CPQ11-SCTY-GATE-SITE-R24.rvt</t>
    </r>
  </si>
  <si>
    <t>94.6 MB</t>
  </si>
  <si>
    <r>
      <rPr>
        <rFont val="Calibri"/>
        <b/>
        <color rgb="FF1155CC"/>
        <sz val="11.0"/>
        <u/>
      </rPr>
      <t>01-WORK IN PROGRESS/BIM/MODELS/DELEGATED DESIGN R24/MEP</t>
    </r>
  </si>
  <si>
    <r>
      <rPr>
        <rFont val="Calibri"/>
        <b/>
        <color rgb="FF1155CC"/>
        <sz val="11.0"/>
        <u/>
      </rPr>
      <t>CPQ11-SCTY-INFR-DATA-R24.rvt</t>
    </r>
  </si>
  <si>
    <t>35.1 MB</t>
  </si>
  <si>
    <r>
      <rPr>
        <rFont val="Calibri"/>
        <b/>
        <color rgb="FF1155CC"/>
        <sz val="11.0"/>
        <u/>
      </rPr>
      <t>01-WORK IN PROGRESS/BIM/MODELS/DELEGATED DESIGN R24/MEP</t>
    </r>
  </si>
  <si>
    <r>
      <rPr>
        <rFont val="Calibri"/>
        <b/>
        <color rgb="FF1155CC"/>
        <sz val="11.0"/>
        <u/>
      </rPr>
      <t>CPQ11-SCTY-INFR-SITE-R24.rvt</t>
    </r>
  </si>
  <si>
    <t>33.5 MB</t>
  </si>
  <si>
    <r>
      <rPr>
        <rFont val="Calibri"/>
        <b/>
        <color rgb="FF1155CC"/>
        <sz val="11.0"/>
        <u/>
      </rPr>
      <t>01-WORK IN PROGRESS/BIM/MODELS/DELEGATED DESIGN R24/MEP</t>
    </r>
  </si>
  <si>
    <r>
      <rPr>
        <rFont val="Calibri"/>
        <b/>
        <color rgb="FF1155CC"/>
        <sz val="11.0"/>
        <u/>
      </rPr>
      <t>CPQ11-SYST-INFR-DATA-R24.rvt</t>
    </r>
  </si>
  <si>
    <t>121.7 MB</t>
  </si>
  <si>
    <r>
      <rPr>
        <rFont val="Calibri"/>
        <b/>
        <color rgb="FF1155CC"/>
        <sz val="11.0"/>
        <u/>
      </rPr>
      <t>01-WORK IN PROGRESS/BIM/MODELS/DELEGATED DESIGN R24/MEP</t>
    </r>
  </si>
  <si>
    <r>
      <rPr>
        <rFont val="Calibri"/>
        <b/>
        <color rgb="FF1155CC"/>
        <sz val="11.0"/>
        <u/>
      </rPr>
      <t>CPQ11-SYST-INFR-SITE-R24.rvt</t>
    </r>
  </si>
  <si>
    <t>79.4 MB</t>
  </si>
  <si>
    <r>
      <rPr>
        <rFont val="Calibri"/>
        <b/>
        <color rgb="FF1155CC"/>
        <sz val="11.0"/>
        <u/>
      </rPr>
      <t>01-WORK IN PROGRESS/BIM/MODELS/DELEGATED DESIGN R24/MEP</t>
    </r>
  </si>
  <si>
    <r>
      <rPr>
        <rFont val="Calibri"/>
        <b/>
        <color rgb="FF1155CC"/>
        <sz val="11.0"/>
        <u/>
      </rPr>
      <t>CPQ11-TCOM-DEVS-DATA-R24.rvt</t>
    </r>
  </si>
  <si>
    <t>121.8 MB</t>
  </si>
  <si>
    <r>
      <rPr>
        <rFont val="Calibri"/>
        <b/>
        <color rgb="FF1155CC"/>
        <sz val="11.0"/>
        <u/>
      </rPr>
      <t>01-WORK IN PROGRESS/BIM/MODELS/DELEGATED DESIGN R24/MEP</t>
    </r>
  </si>
  <si>
    <r>
      <rPr>
        <rFont val="Calibri"/>
        <b/>
        <color rgb="FF1155CC"/>
        <sz val="11.0"/>
        <u/>
      </rPr>
      <t>CPQ11-TCOM-DEVS-SITE-R24.rvt</t>
    </r>
  </si>
  <si>
    <t>40.3 MB</t>
  </si>
  <si>
    <r>
      <rPr>
        <rFont val="Calibri"/>
        <b/>
        <color rgb="FF1155CC"/>
        <sz val="11.0"/>
        <u/>
      </rPr>
      <t>01-WORK IN PROGRESS/BIM/MODELS/DELEGATED DESIGN R24/MEP/NWC</t>
    </r>
  </si>
  <si>
    <r>
      <rPr>
        <rFont val="Calibri"/>
        <b/>
        <color rgb="FF1155CC"/>
        <sz val="11.0"/>
        <u/>
      </rPr>
      <t>CPQ11-BASM-DEVS-DATA-R24.nwc</t>
    </r>
  </si>
  <si>
    <t>1.6 MB</t>
  </si>
  <si>
    <r>
      <rPr>
        <rFont val="Calibri"/>
        <b/>
        <color rgb="FF1155CC"/>
        <sz val="11.0"/>
        <u/>
      </rPr>
      <t>01-WORK IN PROGRESS/BIM/MODELS/DELEGATED DESIGN R24/MEP/NWC</t>
    </r>
  </si>
  <si>
    <r>
      <rPr>
        <rFont val="Calibri"/>
        <b/>
        <color rgb="FF1155CC"/>
        <sz val="11.0"/>
        <u/>
      </rPr>
      <t>CPQ11-BASM-DEVS-PUMP-R24.nwc</t>
    </r>
  </si>
  <si>
    <t>830 KB</t>
  </si>
  <si>
    <r>
      <rPr>
        <rFont val="Calibri"/>
        <b/>
        <color rgb="FF1155CC"/>
        <sz val="11.0"/>
        <u/>
      </rPr>
      <t>01-WORK IN PROGRESS/BIM/MODELS/DELEGATED DESIGN R24/MEP/NWC</t>
    </r>
  </si>
  <si>
    <r>
      <rPr>
        <rFont val="Calibri"/>
        <b/>
        <color rgb="FF1155CC"/>
        <sz val="11.0"/>
        <u/>
      </rPr>
      <t>CPQ11-BASM-INFR-DATA-R24.nwc</t>
    </r>
  </si>
  <si>
    <t>40.9 MB</t>
  </si>
  <si>
    <r>
      <rPr>
        <rFont val="Calibri"/>
        <b/>
        <color rgb="FF1155CC"/>
        <sz val="11.0"/>
        <u/>
      </rPr>
      <t>01-WORK IN PROGRESS/BIM/MODELS/DELEGATED DESIGN R24/MEP/NWC</t>
    </r>
  </si>
  <si>
    <r>
      <rPr>
        <rFont val="Calibri"/>
        <b/>
        <color rgb="FF1155CC"/>
        <sz val="11.0"/>
        <u/>
      </rPr>
      <t>CPQ11-BASM-INFR-PUMP-R24.nwc</t>
    </r>
  </si>
  <si>
    <t>1.3 MB</t>
  </si>
  <si>
    <r>
      <rPr>
        <rFont val="Calibri"/>
        <b/>
        <color rgb="FF1155CC"/>
        <sz val="11.0"/>
        <u/>
      </rPr>
      <t>01-WORK IN PROGRESS/BIM/MODELS/DELEGATED DESIGN R24/MEP/NWC</t>
    </r>
  </si>
  <si>
    <r>
      <rPr>
        <rFont val="Calibri"/>
        <b/>
        <color rgb="FF1155CC"/>
        <sz val="11.0"/>
        <u/>
      </rPr>
      <t>CPQ11-DALI-DEVS-DATA-R24.nwc</t>
    </r>
  </si>
  <si>
    <t>2.2 MB</t>
  </si>
  <si>
    <r>
      <rPr>
        <rFont val="Calibri"/>
        <b/>
        <color rgb="FF1155CC"/>
        <sz val="11.0"/>
        <u/>
      </rPr>
      <t>01-WORK IN PROGRESS/BIM/MODELS/DELEGATED DESIGN R24/MEP/NWC</t>
    </r>
  </si>
  <si>
    <r>
      <rPr>
        <rFont val="Calibri"/>
        <b/>
        <color rgb="FF1155CC"/>
        <sz val="11.0"/>
        <u/>
      </rPr>
      <t>CPQ11-DASM-DEVS-DATA-R24.nwc</t>
    </r>
  </si>
  <si>
    <t>33.1 MB</t>
  </si>
  <si>
    <r>
      <rPr>
        <rFont val="Calibri"/>
        <b/>
        <color rgb="FF1155CC"/>
        <sz val="11.0"/>
        <u/>
      </rPr>
      <t>01-WORK IN PROGRESS/BIM/MODELS/DELEGATED DESIGN R24/MEP/NWC</t>
    </r>
  </si>
  <si>
    <r>
      <rPr>
        <rFont val="Calibri"/>
        <b/>
        <color rgb="FF1155CC"/>
        <sz val="11.0"/>
        <u/>
      </rPr>
      <t>CPQ11-ELEC-ELEC-DATA-R24.nwc</t>
    </r>
  </si>
  <si>
    <t>199.5 MB</t>
  </si>
  <si>
    <r>
      <rPr>
        <rFont val="Calibri"/>
        <b/>
        <color rgb="FF1155CC"/>
        <sz val="11.0"/>
        <u/>
      </rPr>
      <t>01-WORK IN PROGRESS/BIM/MODELS/DELEGATED DESIGN R24/MEP/NWC</t>
    </r>
  </si>
  <si>
    <r>
      <rPr>
        <rFont val="Calibri"/>
        <b/>
        <color rgb="FF1155CC"/>
        <sz val="11.0"/>
        <u/>
      </rPr>
      <t>CPQ11-ELEC-ELEC-SITE-R24.nwc</t>
    </r>
  </si>
  <si>
    <t>162.7 MB</t>
  </si>
  <si>
    <t>May 18, 2026 8:11 AM</t>
  </si>
  <si>
    <r>
      <rPr>
        <rFont val="Calibri"/>
        <b/>
        <color rgb="FF1155CC"/>
        <sz val="11.0"/>
        <u/>
      </rPr>
      <t>01-WORK IN PROGRESS/BIM/MODELS/DELEGATED DESIGN R24/MEP/NWC</t>
    </r>
  </si>
  <si>
    <r>
      <rPr>
        <rFont val="Calibri"/>
        <b/>
        <color rgb="FF1155CC"/>
        <sz val="11.0"/>
        <u/>
      </rPr>
      <t>CPQ11-ELEC-SPDA-DATA-R24.nwc</t>
    </r>
  </si>
  <si>
    <t>55 MB</t>
  </si>
  <si>
    <r>
      <rPr>
        <rFont val="Calibri"/>
        <b/>
        <color rgb="FF1155CC"/>
        <sz val="11.0"/>
        <u/>
      </rPr>
      <t>01-WORK IN PROGRESS/BIM/MODELS/DELEGATED DESIGN R24/MEP/NWC</t>
    </r>
  </si>
  <si>
    <r>
      <rPr>
        <rFont val="Calibri"/>
        <b/>
        <color rgb="FF1155CC"/>
        <sz val="11.0"/>
        <u/>
      </rPr>
      <t>CPQ11-ELEC-SPDA-SITE-R24.nwc</t>
    </r>
  </si>
  <si>
    <r>
      <rPr>
        <rFont val="Calibri"/>
        <b/>
        <color rgb="FF1155CC"/>
        <sz val="11.0"/>
        <u/>
      </rPr>
      <t>01-WORK IN PROGRESS/BIM/MODELS/DELEGATED DESIGN R24/MEP/NWC</t>
    </r>
  </si>
  <si>
    <r>
      <rPr>
        <rFont val="Calibri"/>
        <b/>
        <color rgb="FF1155CC"/>
        <sz val="11.0"/>
        <u/>
      </rPr>
      <t>CPQ11-EPMS-DEVS-DATA-R24.nwc</t>
    </r>
  </si>
  <si>
    <t>57.2 KB</t>
  </si>
  <si>
    <r>
      <rPr>
        <rFont val="Calibri"/>
        <b/>
        <color rgb="FF1155CC"/>
        <sz val="11.0"/>
        <u/>
      </rPr>
      <t>01-WORK IN PROGRESS/BIM/MODELS/DELEGATED DESIGN R24/MEP/NWC</t>
    </r>
  </si>
  <si>
    <r>
      <rPr>
        <rFont val="Calibri"/>
        <b/>
        <color rgb="FF1155CC"/>
        <sz val="11.0"/>
        <u/>
      </rPr>
      <t>CPQ11-EPMS-DEVS-SITE-R24.nwc</t>
    </r>
  </si>
  <si>
    <t>70.1 KB</t>
  </si>
  <si>
    <r>
      <rPr>
        <rFont val="Calibri"/>
        <b/>
        <color rgb="FF1155CC"/>
        <sz val="11.0"/>
        <u/>
      </rPr>
      <t>01-WORK IN PROGRESS/BIM/MODELS/DELEGATED DESIGN R24/MEP/NWC</t>
    </r>
  </si>
  <si>
    <r>
      <rPr>
        <rFont val="Calibri"/>
        <b/>
        <color rgb="FF1155CC"/>
        <sz val="11.0"/>
        <u/>
      </rPr>
      <t>CPQ11-FALM-FALM-DATA-R24.nwc</t>
    </r>
  </si>
  <si>
    <t>142.4 MB</t>
  </si>
  <si>
    <r>
      <rPr>
        <rFont val="Calibri"/>
        <b/>
        <color rgb="FF1155CC"/>
        <sz val="11.0"/>
        <u/>
      </rPr>
      <t>01-WORK IN PROGRESS/BIM/MODELS/DELEGATED DESIGN R24/MEP/NWC</t>
    </r>
  </si>
  <si>
    <r>
      <rPr>
        <rFont val="Calibri"/>
        <b/>
        <color rgb="FF1155CC"/>
        <sz val="11.0"/>
        <u/>
      </rPr>
      <t>CPQ11-FALM-FALM-SITE-R24.nwc</t>
    </r>
  </si>
  <si>
    <r>
      <rPr>
        <rFont val="Calibri"/>
        <b/>
        <color rgb="FF1155CC"/>
        <sz val="11.0"/>
        <u/>
      </rPr>
      <t>01-WORK IN PROGRESS/BIM/MODELS/DELEGATED DESIGN R24/MEP/NWC</t>
    </r>
  </si>
  <si>
    <r>
      <rPr>
        <rFont val="Calibri"/>
        <b/>
        <color rgb="FF1155CC"/>
        <sz val="11.0"/>
        <u/>
      </rPr>
      <t>CPQ11-FPRT-FPRT-DATA-R24.nwc</t>
    </r>
  </si>
  <si>
    <t>111.7 MB</t>
  </si>
  <si>
    <r>
      <rPr>
        <rFont val="Calibri"/>
        <b/>
        <color rgb="FF1155CC"/>
        <sz val="11.0"/>
        <u/>
      </rPr>
      <t>01-WORK IN PROGRESS/BIM/MODELS/DELEGATED DESIGN R24/MEP/NWC</t>
    </r>
  </si>
  <si>
    <r>
      <rPr>
        <rFont val="Calibri"/>
        <b/>
        <color rgb="FF1155CC"/>
        <sz val="11.0"/>
        <u/>
      </rPr>
      <t>CPQ11-FPRT-FPRT-SITE-R24.nwc</t>
    </r>
  </si>
  <si>
    <t>19.2 MB</t>
  </si>
  <si>
    <r>
      <rPr>
        <rFont val="Calibri"/>
        <b/>
        <color rgb="FF1155CC"/>
        <sz val="11.0"/>
        <u/>
      </rPr>
      <t>01-WORK IN PROGRESS/BIM/MODELS/DELEGATED DESIGN R24/MEP/NWC</t>
    </r>
  </si>
  <si>
    <r>
      <rPr>
        <rFont val="Calibri"/>
        <b/>
        <color rgb="FF1155CC"/>
        <sz val="11.0"/>
        <u/>
      </rPr>
      <t>CPQ11-FPRT-METK-UTLS-R24.nwc</t>
    </r>
  </si>
  <si>
    <r>
      <rPr>
        <rFont val="Calibri"/>
        <b/>
        <color rgb="FF1155CC"/>
        <sz val="11.0"/>
        <u/>
      </rPr>
      <t>01-WORK IN PROGRESS/BIM/MODELS/DELEGATED DESIGN R24/MEP/NWC</t>
    </r>
  </si>
  <si>
    <r>
      <rPr>
        <rFont val="Calibri"/>
        <b/>
        <color rgb="FF1155CC"/>
        <sz val="11.0"/>
        <u/>
      </rPr>
      <t>CPQ11-PLMB-DIES-SITE-R24.nwc</t>
    </r>
  </si>
  <si>
    <t>3.9 MB</t>
  </si>
  <si>
    <r>
      <rPr>
        <rFont val="Calibri"/>
        <b/>
        <color rgb="FF1155CC"/>
        <sz val="11.0"/>
        <u/>
      </rPr>
      <t>01-WORK IN PROGRESS/BIM/MODELS/DELEGATED DESIGN R24/MEP/NWC</t>
    </r>
  </si>
  <si>
    <r>
      <rPr>
        <rFont val="Calibri"/>
        <b/>
        <color rgb="FF1155CC"/>
        <sz val="11.0"/>
        <u/>
      </rPr>
      <t>CPQ11-PLMB-PLMB-DATA-R24.nwc</t>
    </r>
  </si>
  <si>
    <t>31.4 MB</t>
  </si>
  <si>
    <r>
      <rPr>
        <rFont val="Calibri"/>
        <b/>
        <color rgb="FF1155CC"/>
        <sz val="11.0"/>
        <u/>
      </rPr>
      <t>01-WORK IN PROGRESS/BIM/MODELS/DELEGATED DESIGN R24/MEP/NWC</t>
    </r>
  </si>
  <si>
    <r>
      <rPr>
        <rFont val="Calibri"/>
        <b/>
        <color rgb="FF1155CC"/>
        <sz val="11.0"/>
        <u/>
      </rPr>
      <t>CPQ11-PLMB-PLMB-SITE-R24.nwc</t>
    </r>
  </si>
  <si>
    <t>6.7 MB</t>
  </si>
  <si>
    <r>
      <rPr>
        <rFont val="Calibri"/>
        <b/>
        <color rgb="FF1155CC"/>
        <sz val="11.0"/>
        <u/>
      </rPr>
      <t>01-WORK IN PROGRESS/BIM/MODELS/DELEGATED DESIGN R24/MEP/NWC</t>
    </r>
  </si>
  <si>
    <r>
      <rPr>
        <rFont val="Calibri"/>
        <b/>
        <color rgb="FF1155CC"/>
        <sz val="11.0"/>
        <u/>
      </rPr>
      <t>CPQ11-ROIP-DEVS-DATA-R24.nwc</t>
    </r>
  </si>
  <si>
    <r>
      <rPr>
        <rFont val="Calibri"/>
        <b/>
        <color rgb="FF1155CC"/>
        <sz val="11.0"/>
        <u/>
      </rPr>
      <t>01-WORK IN PROGRESS/BIM/MODELS/DELEGATED DESIGN R24/MEP/NWC</t>
    </r>
  </si>
  <si>
    <r>
      <rPr>
        <rFont val="Calibri"/>
        <b/>
        <color rgb="FF1155CC"/>
        <sz val="11.0"/>
        <u/>
      </rPr>
      <t>CPQ11-ROIP-DEVS-GUAR-R24.nwc</t>
    </r>
  </si>
  <si>
    <t>2.3 MB</t>
  </si>
  <si>
    <r>
      <rPr>
        <rFont val="Calibri"/>
        <b/>
        <color rgb="FF1155CC"/>
        <sz val="11.0"/>
        <u/>
      </rPr>
      <t>01-WORK IN PROGRESS/BIM/MODELS/DELEGATED DESIGN R24/MEP/NWC</t>
    </r>
  </si>
  <si>
    <r>
      <rPr>
        <rFont val="Calibri"/>
        <b/>
        <color rgb="FF1155CC"/>
        <sz val="11.0"/>
        <u/>
      </rPr>
      <t>CPQ11-SCTY-DEVS-DATA-R24.nwc</t>
    </r>
  </si>
  <si>
    <t>4.6 MB</t>
  </si>
  <si>
    <r>
      <rPr>
        <rFont val="Calibri"/>
        <b/>
        <color rgb="FF1155CC"/>
        <sz val="11.0"/>
        <u/>
      </rPr>
      <t>01-WORK IN PROGRESS/BIM/MODELS/DELEGATED DESIGN R24/MEP/NWC</t>
    </r>
  </si>
  <si>
    <r>
      <rPr>
        <rFont val="Calibri"/>
        <b/>
        <color rgb="FF1155CC"/>
        <sz val="11.0"/>
        <u/>
      </rPr>
      <t>CPQ11-SCTY-GATE-SITE-R24.nwc</t>
    </r>
  </si>
  <si>
    <t>4.7 MB</t>
  </si>
  <si>
    <r>
      <rPr>
        <rFont val="Calibri"/>
        <b/>
        <color rgb="FF1155CC"/>
        <sz val="11.0"/>
        <u/>
      </rPr>
      <t>01-WORK IN PROGRESS/BIM/MODELS/DELEGATED DESIGN R24/MEP/NWC</t>
    </r>
  </si>
  <si>
    <r>
      <rPr>
        <rFont val="Calibri"/>
        <b/>
        <color rgb="FF1155CC"/>
        <sz val="11.0"/>
        <u/>
      </rPr>
      <t>CPQ11-SCTY-INFR-DATA-R24.nwc</t>
    </r>
  </si>
  <si>
    <t>35.9 MB</t>
  </si>
  <si>
    <r>
      <rPr>
        <rFont val="Calibri"/>
        <b/>
        <color rgb="FF1155CC"/>
        <sz val="11.0"/>
        <u/>
      </rPr>
      <t>01-WORK IN PROGRESS/BIM/MODELS/DELEGATED DESIGN R24/MEP/NWC</t>
    </r>
  </si>
  <si>
    <r>
      <rPr>
        <rFont val="Calibri"/>
        <b/>
        <color rgb="FF1155CC"/>
        <sz val="11.0"/>
        <u/>
      </rPr>
      <t>CPQ11-SCTY-INFR-SITE-R24.nwc</t>
    </r>
  </si>
  <si>
    <t>915.3 KB</t>
  </si>
  <si>
    <r>
      <rPr>
        <rFont val="Calibri"/>
        <b/>
        <color rgb="FF1155CC"/>
        <sz val="11.0"/>
        <u/>
      </rPr>
      <t>01-WORK IN PROGRESS/BIM/MODELS/DELEGATED DESIGN R24/MEP/NWC</t>
    </r>
  </si>
  <si>
    <r>
      <rPr>
        <rFont val="Calibri"/>
        <b/>
        <color rgb="FF1155CC"/>
        <sz val="11.0"/>
        <u/>
      </rPr>
      <t>CPQ11-SYST-INFR-DATA-R24.nwc</t>
    </r>
  </si>
  <si>
    <t>62.5 MB</t>
  </si>
  <si>
    <r>
      <rPr>
        <rFont val="Calibri"/>
        <b/>
        <color rgb="FF1155CC"/>
        <sz val="11.0"/>
        <u/>
      </rPr>
      <t>01-WORK IN PROGRESS/BIM/MODELS/DELEGATED DESIGN R24/MEP/NWC</t>
    </r>
  </si>
  <si>
    <r>
      <rPr>
        <rFont val="Calibri"/>
        <b/>
        <color rgb="FF1155CC"/>
        <sz val="11.0"/>
        <u/>
      </rPr>
      <t>CPQ11-SYST-INFR-SITE-R24.nwc</t>
    </r>
  </si>
  <si>
    <t>155.4 MB</t>
  </si>
  <si>
    <r>
      <rPr>
        <rFont val="Calibri"/>
        <b/>
        <color rgb="FF1155CC"/>
        <sz val="11.0"/>
        <u/>
      </rPr>
      <t>01-WORK IN PROGRESS/BIM/MODELS/DELEGATED DESIGN R24/MEP/NWC</t>
    </r>
  </si>
  <si>
    <r>
      <rPr>
        <rFont val="Calibri"/>
        <b/>
        <color rgb="FF1155CC"/>
        <sz val="11.0"/>
        <u/>
      </rPr>
      <t>CPQ11-TCOM-DEVS-DATA-R24.nwc</t>
    </r>
  </si>
  <si>
    <t>6 MB</t>
  </si>
  <si>
    <r>
      <rPr>
        <rFont val="Calibri"/>
        <b/>
        <color rgb="FF1155CC"/>
        <sz val="11.0"/>
        <u/>
      </rPr>
      <t>01-WORK IN PROGRESS/BIM/MODELS/DELEGATED DESIGN R24/MEP/NWC</t>
    </r>
  </si>
  <si>
    <r>
      <rPr>
        <rFont val="Calibri"/>
        <b/>
        <color rgb="FF1155CC"/>
        <sz val="11.0"/>
        <u/>
      </rPr>
      <t>CPQ11-TCOM-DEVS-SITE-R24.nwc</t>
    </r>
  </si>
  <si>
    <t>190.4 KB</t>
  </si>
  <si>
    <r>
      <rPr>
        <rFont val="Calibri"/>
        <b/>
        <color rgb="FF1155CC"/>
        <sz val="11.0"/>
        <u/>
      </rPr>
      <t>01-WORK IN PROGRESS/BIM/MODELS/DELEGATED DESIGN R24/STEEL</t>
    </r>
  </si>
  <si>
    <r>
      <rPr>
        <rFont val="Calibri"/>
        <b/>
        <color rgb="FF1155CC"/>
        <sz val="11.0"/>
        <u/>
      </rPr>
      <t>CPQ11-STRC-STEE-ADMN-R24.rvt</t>
    </r>
  </si>
  <si>
    <t>213.2 MB</t>
  </si>
  <si>
    <t>May 20, 2026 9:25 AM</t>
  </si>
  <si>
    <r>
      <rPr>
        <rFont val="Calibri"/>
        <b/>
        <color rgb="FF1155CC"/>
        <sz val="11.0"/>
        <u/>
      </rPr>
      <t>01-WORK IN PROGRESS/BIM/MODELS/DELEGATED DESIGN R24/STEEL</t>
    </r>
  </si>
  <si>
    <r>
      <rPr>
        <rFont val="Calibri"/>
        <b/>
        <color rgb="FF1155CC"/>
        <sz val="11.0"/>
        <u/>
      </rPr>
      <t>CPQ11-STRC-STEE-COL1-R24.rvt</t>
    </r>
  </si>
  <si>
    <t>645.9 MB</t>
  </si>
  <si>
    <t>May 20, 2026 11:13 AM</t>
  </si>
  <si>
    <r>
      <rPr>
        <rFont val="Calibri"/>
        <b/>
        <color rgb="FF1155CC"/>
        <sz val="11.0"/>
        <u/>
      </rPr>
      <t>01-WORK IN PROGRESS/BIM/MODELS/DELEGATED DESIGN R24/STEEL</t>
    </r>
  </si>
  <si>
    <r>
      <rPr>
        <rFont val="Calibri"/>
        <b/>
        <color rgb="FF1155CC"/>
        <sz val="11.0"/>
        <u/>
      </rPr>
      <t>CPQ11-STRC-STEE-COL2-R24.rvt</t>
    </r>
  </si>
  <si>
    <t>724 MB</t>
  </si>
  <si>
    <t>May 20, 2026 12:45 PM</t>
  </si>
  <si>
    <r>
      <rPr>
        <rFont val="Calibri"/>
        <b/>
        <color rgb="FF1155CC"/>
        <sz val="11.0"/>
        <u/>
      </rPr>
      <t>01-WORK IN PROGRESS/BIM/MODELS/DELEGATED DESIGN R24/STEEL</t>
    </r>
  </si>
  <si>
    <r>
      <rPr>
        <rFont val="Calibri"/>
        <b/>
        <color rgb="FF1155CC"/>
        <sz val="11.0"/>
        <u/>
      </rPr>
      <t>CPQ11-STRC-STEE-COL3-R24.rvt</t>
    </r>
  </si>
  <si>
    <t>724.3 MB</t>
  </si>
  <si>
    <t>May 20, 2026 2:16 PM</t>
  </si>
  <si>
    <r>
      <rPr>
        <rFont val="Calibri"/>
        <b/>
        <color rgb="FF1155CC"/>
        <sz val="11.0"/>
        <u/>
      </rPr>
      <t>01-WORK IN PROGRESS/BIM/MODELS/DELEGATED DESIGN R24/STEEL</t>
    </r>
  </si>
  <si>
    <r>
      <rPr>
        <rFont val="Calibri"/>
        <b/>
        <color rgb="FF1155CC"/>
        <sz val="11.0"/>
        <u/>
      </rPr>
      <t>CPQ11-STRC-STEE-COL4-R24.rvt</t>
    </r>
  </si>
  <si>
    <t>661.3 MB</t>
  </si>
  <si>
    <t>May 20, 2026 5:52 PM</t>
  </si>
  <si>
    <r>
      <rPr>
        <rFont val="Calibri"/>
        <b/>
        <color rgb="FF1155CC"/>
        <sz val="11.0"/>
        <u/>
      </rPr>
      <t>01-WORK IN PROGRESS/BIM/MODELS/DELEGATED DESIGN R24/STEEL</t>
    </r>
  </si>
  <si>
    <r>
      <rPr>
        <rFont val="Calibri"/>
        <b/>
        <color rgb="FF1155CC"/>
        <sz val="11.0"/>
        <u/>
      </rPr>
      <t>CPQ11-STRC-STEE-COL5-R24.rvt</t>
    </r>
  </si>
  <si>
    <t>740.2 MB</t>
  </si>
  <si>
    <t>May 20, 2026 5:51 PM</t>
  </si>
  <si>
    <r>
      <rPr>
        <rFont val="Calibri"/>
        <b/>
        <color rgb="FF1155CC"/>
        <sz val="11.0"/>
        <u/>
      </rPr>
      <t>01-WORK IN PROGRESS/BIM/MODELS/DELEGATED DESIGN R24/STEEL</t>
    </r>
  </si>
  <si>
    <r>
      <rPr>
        <rFont val="Calibri"/>
        <b/>
        <color rgb="FF1155CC"/>
        <sz val="11.0"/>
        <u/>
      </rPr>
      <t>CPQ11-STRC-STEE-GUAR-R24.rvt</t>
    </r>
  </si>
  <si>
    <t>25.1 MB</t>
  </si>
  <si>
    <t>May 20, 2026 3:49 PM</t>
  </si>
  <si>
    <r>
      <rPr>
        <rFont val="Calibri"/>
        <b/>
        <color rgb="FF1155CC"/>
        <sz val="11.0"/>
        <u/>
      </rPr>
      <t>01-WORK IN PROGRESS/BIM/MODELS/DELEGATED DESIGN R24/STEEL</t>
    </r>
  </si>
  <si>
    <r>
      <rPr>
        <rFont val="Calibri"/>
        <b/>
        <color rgb="FF1155CC"/>
        <sz val="11.0"/>
        <u/>
      </rPr>
      <t>CPQ11-STRC-STEE-STIR-R24.rvt</t>
    </r>
  </si>
  <si>
    <t>103.7 MB</t>
  </si>
  <si>
    <t>May 20, 2026 4:13 PM</t>
  </si>
  <si>
    <r>
      <rPr>
        <rFont val="Calibri"/>
        <b/>
        <color rgb="FF1155CC"/>
        <sz val="11.0"/>
        <u/>
      </rPr>
      <t>01-WORK IN PROGRESS/BIM/MODELS/DELEGATED DESIGN R24/STEEL</t>
    </r>
  </si>
  <si>
    <r>
      <rPr>
        <rFont val="Calibri"/>
        <b/>
        <color rgb="FF1155CC"/>
        <sz val="11.0"/>
        <u/>
      </rPr>
      <t>CPQ11-STRC-STEE-UTLS-R24.rvt</t>
    </r>
  </si>
  <si>
    <t>101.8 MB</t>
  </si>
  <si>
    <t>May 20, 2026 4:24 PM</t>
  </si>
  <si>
    <r>
      <rPr>
        <rFont val="Calibri"/>
        <b/>
        <color rgb="FF1155CC"/>
        <sz val="11.0"/>
        <u/>
      </rPr>
      <t>01-WORK IN PROGRESS/BIM/MODELS/DELEGATED DESIGN R24/STEEL/IFC</t>
    </r>
  </si>
  <si>
    <r>
      <rPr>
        <rFont val="Calibri"/>
        <b/>
        <color rgb="FF1155CC"/>
        <sz val="11.0"/>
        <u/>
      </rPr>
      <t>837-RACIONAL-PROJETO_GALILEU.zip</t>
    </r>
  </si>
  <si>
    <t>Not synced</t>
  </si>
  <si>
    <t>303.1 MB</t>
  </si>
  <si>
    <t>May 21, 2026 5:25 PM</t>
  </si>
  <si>
    <r>
      <rPr>
        <rFont val="Calibri"/>
        <b/>
        <color rgb="FF1155CC"/>
        <sz val="11.0"/>
        <u/>
      </rPr>
      <t>01-WORK IN PROGRESS/BIM/MODELS/DELEGATED DESIGN R24/STEEL/IFC</t>
    </r>
  </si>
  <si>
    <r>
      <rPr>
        <rFont val="Calibri"/>
        <b/>
        <color rgb="FF1155CC"/>
        <sz val="11.0"/>
        <u/>
      </rPr>
      <t>CPQ11-STRC-STEE-ADMN-2X3.ifc</t>
    </r>
  </si>
  <si>
    <t>36.5 MB</t>
  </si>
  <si>
    <r>
      <rPr>
        <rFont val="Calibri"/>
        <b/>
        <color rgb="FF1155CC"/>
        <sz val="11.0"/>
        <u/>
      </rPr>
      <t>01-WORK IN PROGRESS/BIM/MODELS/DELEGATED DESIGN R24/STEEL/IFC</t>
    </r>
  </si>
  <si>
    <r>
      <rPr>
        <rFont val="Calibri"/>
        <b/>
        <color rgb="FF1155CC"/>
        <sz val="11.0"/>
        <u/>
      </rPr>
      <t>CPQ11-STRC-STEE-COL1-2X3.ifc</t>
    </r>
  </si>
  <si>
    <t>84.9 MB</t>
  </si>
  <si>
    <r>
      <rPr>
        <rFont val="Calibri"/>
        <b/>
        <color rgb="FF1155CC"/>
        <sz val="11.0"/>
        <u/>
      </rPr>
      <t>01-WORK IN PROGRESS/BIM/MODELS/DELEGATED DESIGN R24/STEEL/IFC</t>
    </r>
  </si>
  <si>
    <r>
      <rPr>
        <rFont val="Calibri"/>
        <b/>
        <color rgb="FF1155CC"/>
        <sz val="11.0"/>
        <u/>
      </rPr>
      <t>CPQ11-STRC-STEE-COL2-2X3.ifc</t>
    </r>
  </si>
  <si>
    <t>88.7 MB</t>
  </si>
  <si>
    <r>
      <rPr>
        <rFont val="Calibri"/>
        <b/>
        <color rgb="FF1155CC"/>
        <sz val="11.0"/>
        <u/>
      </rPr>
      <t>01-WORK IN PROGRESS/BIM/MODELS/DELEGATED DESIGN R24/STEEL/IFC</t>
    </r>
  </si>
  <si>
    <r>
      <rPr>
        <rFont val="Calibri"/>
        <b/>
        <color rgb="FF1155CC"/>
        <sz val="11.0"/>
        <u/>
      </rPr>
      <t>CPQ11-STRC-STEE-COL3-2X3.ifc</t>
    </r>
  </si>
  <si>
    <t>88.9 MB</t>
  </si>
  <si>
    <r>
      <rPr>
        <rFont val="Calibri"/>
        <b/>
        <color rgb="FF1155CC"/>
        <sz val="11.0"/>
        <u/>
      </rPr>
      <t>01-WORK IN PROGRESS/BIM/MODELS/DELEGATED DESIGN R24/STEEL/IFC</t>
    </r>
  </si>
  <si>
    <r>
      <rPr>
        <rFont val="Calibri"/>
        <b/>
        <color rgb="FF1155CC"/>
        <sz val="11.0"/>
        <u/>
      </rPr>
      <t>CPQ11-STRC-STEE-COL4-2X3.ifc</t>
    </r>
  </si>
  <si>
    <t>90.6 MB</t>
  </si>
  <si>
    <r>
      <rPr>
        <rFont val="Calibri"/>
        <b/>
        <color rgb="FF1155CC"/>
        <sz val="11.0"/>
        <u/>
      </rPr>
      <t>01-WORK IN PROGRESS/BIM/MODELS/DELEGATED DESIGN R24/STEEL/IFC</t>
    </r>
  </si>
  <si>
    <r>
      <rPr>
        <rFont val="Calibri"/>
        <b/>
        <color rgb="FF1155CC"/>
        <sz val="11.0"/>
        <u/>
      </rPr>
      <t>CPQ11-STRC-STEE-COL5-2X3.ifc</t>
    </r>
  </si>
  <si>
    <r>
      <rPr>
        <rFont val="Calibri"/>
        <b/>
        <color rgb="FF1155CC"/>
        <sz val="11.0"/>
        <u/>
      </rPr>
      <t>01-WORK IN PROGRESS/BIM/MODELS/DELEGATED DESIGN R24/STEEL/IFC</t>
    </r>
  </si>
  <si>
    <r>
      <rPr>
        <rFont val="Calibri"/>
        <b/>
        <color rgb="FF1155CC"/>
        <sz val="11.0"/>
        <u/>
      </rPr>
      <t>CPQ11-STRC-STEE-GUAR-2X3.ifc</t>
    </r>
  </si>
  <si>
    <t>4 MB</t>
  </si>
  <si>
    <r>
      <rPr>
        <rFont val="Calibri"/>
        <b/>
        <color rgb="FF1155CC"/>
        <sz val="11.0"/>
        <u/>
      </rPr>
      <t>01-WORK IN PROGRESS/BIM/MODELS/DELEGATED DESIGN R24/STEEL/IFC</t>
    </r>
  </si>
  <si>
    <r>
      <rPr>
        <rFont val="Calibri"/>
        <b/>
        <color rgb="FF1155CC"/>
        <sz val="11.0"/>
        <u/>
      </rPr>
      <t>CPQ11-STRC-STEE-STIR-2X3.ifc</t>
    </r>
  </si>
  <si>
    <t>12.2 MB</t>
  </si>
  <si>
    <r>
      <rPr>
        <rFont val="Calibri"/>
        <b/>
        <color rgb="FF1155CC"/>
        <sz val="11.0"/>
        <u/>
      </rPr>
      <t>01-WORK IN PROGRESS/BIM/MODELS/DELEGATED DESIGN R24/STEEL/IFC</t>
    </r>
  </si>
  <si>
    <r>
      <rPr>
        <rFont val="Calibri"/>
        <b/>
        <color rgb="FF1155CC"/>
        <sz val="11.0"/>
        <u/>
      </rPr>
      <t>CPQ11-STRC-STEE-UTLS-2X3.ifc</t>
    </r>
  </si>
  <si>
    <t>18.2 MB</t>
  </si>
  <si>
    <r>
      <rPr>
        <rFont val="Calibri"/>
        <b/>
        <color rgb="FF1155CC"/>
        <sz val="11.0"/>
        <u/>
      </rPr>
      <t>01-WORK IN PROGRESS/BIM/MODELS/DELEGATED DESIGN R24/STRC</t>
    </r>
  </si>
  <si>
    <r>
      <rPr>
        <rFont val="Calibri"/>
        <b/>
        <color rgb="FF1155CC"/>
        <sz val="11.0"/>
        <u/>
      </rPr>
      <t>CPQ11-STRC-CONC-DATA-R24.rvt</t>
    </r>
  </si>
  <si>
    <t>16.9 MB</t>
  </si>
  <si>
    <t>May 15, 2026 8:51 AM</t>
  </si>
  <si>
    <r>
      <rPr>
        <rFont val="Calibri"/>
        <b/>
        <color rgb="FF1155CC"/>
        <sz val="11.0"/>
        <u/>
      </rPr>
      <t>01-WORK IN PROGRESS/BIM/MODELS/DELEGATED DESIGN R24/STRC</t>
    </r>
  </si>
  <si>
    <r>
      <rPr>
        <rFont val="Calibri"/>
        <b/>
        <color rgb="FF1155CC"/>
        <sz val="11.0"/>
        <u/>
      </rPr>
      <t>CPQ11-STRC-CONC-SITE-R24.rvt</t>
    </r>
  </si>
  <si>
    <t>27.2 MB</t>
  </si>
  <si>
    <t>May 15, 2026 8:52 AM</t>
  </si>
  <si>
    <r>
      <rPr>
        <rFont val="Calibri"/>
        <b/>
        <color rgb="FF1155CC"/>
        <sz val="11.0"/>
        <u/>
      </rPr>
      <t>01-WORK IN PROGRESS/BIM/MODELS/DELEGATED DESIGN R24/STRC</t>
    </r>
  </si>
  <si>
    <r>
      <rPr>
        <rFont val="Calibri"/>
        <b/>
        <color rgb="FF1155CC"/>
        <sz val="11.0"/>
        <u/>
      </rPr>
      <t>CPQ11-STRC-DPFN-DATA-R24.rvt</t>
    </r>
  </si>
  <si>
    <r>
      <rPr>
        <rFont val="Calibri"/>
        <b/>
        <color rgb="FF1155CC"/>
        <sz val="11.0"/>
        <u/>
      </rPr>
      <t>01-WORK IN PROGRESS/BIM/MODELS/DELEGATED DESIGN R24/STRC</t>
    </r>
  </si>
  <si>
    <r>
      <rPr>
        <rFont val="Calibri"/>
        <b/>
        <color rgb="FF1155CC"/>
        <sz val="11.0"/>
        <u/>
      </rPr>
      <t>CPQ11-STRC-DPFN-SITE-R24.rvt</t>
    </r>
  </si>
  <si>
    <t>13.6 MB</t>
  </si>
  <si>
    <r>
      <rPr>
        <rFont val="Calibri"/>
        <b/>
        <color rgb="FF1155CC"/>
        <sz val="11.0"/>
        <u/>
      </rPr>
      <t>01-WORK IN PROGRESS/BIM/MODELS/DELEGATED DESIGN R24/STRC</t>
    </r>
  </si>
  <si>
    <r>
      <rPr>
        <rFont val="Calibri"/>
        <b/>
        <color rgb="FF1155CC"/>
        <sz val="11.0"/>
        <u/>
      </rPr>
      <t>CPQ11-STRC-FLOO-DATA-R24.rvt</t>
    </r>
  </si>
  <si>
    <t>122.5 MB</t>
  </si>
  <si>
    <r>
      <rPr>
        <rFont val="Calibri"/>
        <b/>
        <color rgb="FF1155CC"/>
        <sz val="11.0"/>
        <u/>
      </rPr>
      <t>01-WORK IN PROGRESS/BIM/MODELS/DELEGATED DESIGN R24/STRC</t>
    </r>
  </si>
  <si>
    <r>
      <rPr>
        <rFont val="Calibri"/>
        <b/>
        <color rgb="FF1155CC"/>
        <sz val="11.0"/>
        <u/>
      </rPr>
      <t>CPQ11-STRC-FLOO-SITE-R24.rvt</t>
    </r>
  </si>
  <si>
    <t>15.8 MB</t>
  </si>
  <si>
    <t>May 26, 2026 11:37 AM</t>
  </si>
  <si>
    <r>
      <rPr>
        <rFont val="Calibri"/>
        <b/>
        <color rgb="FF1155CC"/>
        <sz val="11.0"/>
        <u/>
      </rPr>
      <t>01-WORK IN PROGRESS/BIM/MODELS/DELEGATED DESIGN R24/STRC/NWC</t>
    </r>
  </si>
  <si>
    <r>
      <rPr>
        <rFont val="Calibri"/>
        <b/>
        <color rgb="FF1155CC"/>
        <sz val="11.0"/>
        <u/>
      </rPr>
      <t>CPQ11-STRC-CONC-DATA-R24.nwc</t>
    </r>
  </si>
  <si>
    <t>476 KB</t>
  </si>
  <si>
    <t>May 15, 2026 8:50 AM</t>
  </si>
  <si>
    <r>
      <rPr>
        <rFont val="Calibri"/>
        <b/>
        <color rgb="FF1155CC"/>
        <sz val="11.0"/>
        <u/>
      </rPr>
      <t>01-WORK IN PROGRESS/BIM/MODELS/DELEGATED DESIGN R24/STRC/NWC</t>
    </r>
  </si>
  <si>
    <r>
      <rPr>
        <rFont val="Calibri"/>
        <b/>
        <color rgb="FF1155CC"/>
        <sz val="11.0"/>
        <u/>
      </rPr>
      <t>CPQ11-STRC-CONC-SITE-R24.nwc</t>
    </r>
  </si>
  <si>
    <t>598.6 KB</t>
  </si>
  <si>
    <r>
      <rPr>
        <rFont val="Calibri"/>
        <b/>
        <color rgb="FF1155CC"/>
        <sz val="11.0"/>
        <u/>
      </rPr>
      <t>01-WORK IN PROGRESS/BIM/MODELS/DELEGATED DESIGN R24/STRC/NWC</t>
    </r>
  </si>
  <si>
    <r>
      <rPr>
        <rFont val="Calibri"/>
        <b/>
        <color rgb="FF1155CC"/>
        <sz val="11.0"/>
        <u/>
      </rPr>
      <t>CPQ11-STRC-DPFN-DATA-R24.nwc</t>
    </r>
  </si>
  <si>
    <t>259.5 KB</t>
  </si>
  <si>
    <r>
      <rPr>
        <rFont val="Calibri"/>
        <b/>
        <color rgb="FF1155CC"/>
        <sz val="11.0"/>
        <u/>
      </rPr>
      <t>01-WORK IN PROGRESS/BIM/MODELS/DELEGATED DESIGN R24/STRC/NWC</t>
    </r>
  </si>
  <si>
    <r>
      <rPr>
        <rFont val="Calibri"/>
        <b/>
        <color rgb="FF1155CC"/>
        <sz val="11.0"/>
        <u/>
      </rPr>
      <t>CPQ11-STRC-DPFN-SITE-R24.nwc</t>
    </r>
  </si>
  <si>
    <r>
      <rPr>
        <rFont val="Calibri"/>
        <b/>
        <color rgb="FF1155CC"/>
        <sz val="11.0"/>
        <u/>
      </rPr>
      <t>01-WORK IN PROGRESS/BIM/MODELS/DELEGATED DESIGN R24/STRC/NWC</t>
    </r>
  </si>
  <si>
    <r>
      <rPr>
        <rFont val="Calibri"/>
        <b/>
        <color rgb="FF1155CC"/>
        <sz val="11.0"/>
        <u/>
      </rPr>
      <t>CPQ11-STRC-FLOO-DATA-R24.nwc</t>
    </r>
  </si>
  <si>
    <t>203.3 MB</t>
  </si>
  <si>
    <r>
      <rPr>
        <rFont val="Calibri"/>
        <b/>
        <color rgb="FF1155CC"/>
        <sz val="11.0"/>
        <u/>
      </rPr>
      <t>01-WORK IN PROGRESS/BIM/MODELS/DELEGATED DESIGN R24/STRC/NWC</t>
    </r>
  </si>
  <si>
    <r>
      <rPr>
        <rFont val="Calibri"/>
        <b/>
        <color rgb="FF1155CC"/>
        <sz val="11.0"/>
        <u/>
      </rPr>
      <t>CPQ11-STRC-FLOO-SITE-R24.nwc</t>
    </r>
  </si>
  <si>
    <t>10.2 MB</t>
  </si>
  <si>
    <t>May 26, 2026 11:36 AM</t>
  </si>
  <si>
    <r>
      <rPr>
        <rFont val="Calibri"/>
        <b/>
        <color rgb="FF1155CC"/>
        <sz val="11.0"/>
        <u/>
      </rPr>
      <t>01-WORK IN PROGRESS/BIM/MODELS/DELEGATED DESIGN R22/ARCH/NWC</t>
    </r>
  </si>
  <si>
    <r>
      <rPr>
        <rFont val="Calibri"/>
        <b/>
        <color rgb="FF1155CC"/>
        <sz val="11.0"/>
        <u/>
      </rPr>
      <t>CPQ11-ARCH-ARCH-DATA-R22.nwc</t>
    </r>
  </si>
  <si>
    <t>7.1 MB</t>
  </si>
  <si>
    <t>Apr 10, 2026 4:49 PM</t>
  </si>
  <si>
    <r>
      <rPr>
        <rFont val="Calibri"/>
        <b/>
        <color rgb="FF1155CC"/>
        <sz val="11.0"/>
        <u/>
      </rPr>
      <t>01-WORK IN PROGRESS/BIM/MODELS/DELEGATED DESIGN R22/ARCH/NWC</t>
    </r>
  </si>
  <si>
    <r>
      <rPr>
        <rFont val="Calibri"/>
        <b/>
        <color rgb="FF1155CC"/>
        <sz val="11.0"/>
        <u/>
      </rPr>
      <t>CPQ11-ARCH-ARCH-SITE-R22.nwc</t>
    </r>
  </si>
  <si>
    <t>1.8 MB</t>
  </si>
  <si>
    <t>Apr 17, 2026 4:45 PM</t>
  </si>
  <si>
    <r>
      <rPr>
        <rFont val="Calibri"/>
        <b/>
        <color rgb="FF1155CC"/>
        <sz val="11.0"/>
        <u/>
      </rPr>
      <t>01-WORK IN PROGRESS/BIM/MODELS/DELEGATED DESIGN R22/ARCH/NWC</t>
    </r>
  </si>
  <si>
    <r>
      <rPr>
        <rFont val="Calibri"/>
        <b/>
        <color rgb="FF1155CC"/>
        <sz val="11.0"/>
        <u/>
      </rPr>
      <t>CPQ11-ARCH-BLPR-GUAR-R22.nwc</t>
    </r>
  </si>
  <si>
    <t>Dec 4, 2025 6:42 AM</t>
  </si>
  <si>
    <r>
      <rPr>
        <rFont val="Calibri"/>
        <b/>
        <color rgb="FF1155CC"/>
        <sz val="11.0"/>
        <u/>
      </rPr>
      <t>01-WORK IN PROGRESS/BIM/MODELS/DELEGATED DESIGN R22/ARCH/NWC</t>
    </r>
  </si>
  <si>
    <r>
      <rPr>
        <rFont val="Calibri"/>
        <b/>
        <color rgb="FF1155CC"/>
        <sz val="11.0"/>
        <u/>
      </rPr>
      <t>CPQ11-ARCH-CEIL-DATA-R22.nwc</t>
    </r>
  </si>
  <si>
    <t>5.3 MB</t>
  </si>
  <si>
    <t>Apr 29, 2026 6:51 AM</t>
  </si>
  <si>
    <r>
      <rPr>
        <rFont val="Calibri"/>
        <b/>
        <color rgb="FF1155CC"/>
        <sz val="11.0"/>
        <u/>
      </rPr>
      <t>01-WORK IN PROGRESS/BIM/MODELS/DELEGATED DESIGN R22/ARCH/NWC</t>
    </r>
  </si>
  <si>
    <r>
      <rPr>
        <rFont val="Calibri"/>
        <b/>
        <color rgb="FF1155CC"/>
        <sz val="11.0"/>
        <u/>
      </rPr>
      <t>CPQ11-ARCH-CEIL-SITE-R22.nwc</t>
    </r>
  </si>
  <si>
    <t>21.9 KB</t>
  </si>
  <si>
    <t>Apr 29, 2026 6:50 AM</t>
  </si>
  <si>
    <r>
      <rPr>
        <rFont val="Calibri"/>
        <b/>
        <color rgb="FF1155CC"/>
        <sz val="11.0"/>
        <u/>
      </rPr>
      <t>01-WORK IN PROGRESS/BIM/MODELS/DELEGATED DESIGN R22/ARCH/NWC</t>
    </r>
  </si>
  <si>
    <r>
      <rPr>
        <rFont val="Calibri"/>
        <b/>
        <color rgb="FF1155CC"/>
        <sz val="11.0"/>
        <u/>
      </rPr>
      <t>CPQ11-ARCH-CHAI-SITE-R22.nwc</t>
    </r>
  </si>
  <si>
    <t>Apr 6, 2026 10:43 AM</t>
  </si>
  <si>
    <r>
      <rPr>
        <rFont val="Calibri"/>
        <b/>
        <color rgb="FF1155CC"/>
        <sz val="11.0"/>
        <u/>
      </rPr>
      <t>01-WORK IN PROGRESS/BIM/MODELS/DELEGATED DESIGN R22/ARCH/NWC</t>
    </r>
  </si>
  <si>
    <r>
      <rPr>
        <rFont val="Calibri"/>
        <b/>
        <color rgb="FF1155CC"/>
        <sz val="11.0"/>
        <u/>
      </rPr>
      <t>CPQ11-ARCH-FACD-DATA-R22.nwc</t>
    </r>
  </si>
  <si>
    <t>120.2 MB</t>
  </si>
  <si>
    <t>Apr 10, 2026 5:50 PM</t>
  </si>
  <si>
    <r>
      <rPr>
        <rFont val="Calibri"/>
        <b/>
        <color rgb="FF1155CC"/>
        <sz val="11.0"/>
        <u/>
      </rPr>
      <t>01-WORK IN PROGRESS/BIM/MODELS/DELEGATED DESIGN R22/ARCH/NWC</t>
    </r>
  </si>
  <si>
    <r>
      <rPr>
        <rFont val="Calibri"/>
        <b/>
        <color rgb="FF1155CC"/>
        <sz val="11.0"/>
        <u/>
      </rPr>
      <t>CPQ11-ARCH-HM90-DATA-R22.nwc</t>
    </r>
  </si>
  <si>
    <t>305.7 KB</t>
  </si>
  <si>
    <r>
      <rPr>
        <rFont val="Calibri"/>
        <b/>
        <color rgb="FF1155CC"/>
        <sz val="11.0"/>
        <u/>
      </rPr>
      <t>01-WORK IN PROGRESS/BIM/MODELS/DELEGATED DESIGN R22/ARCH/NWC</t>
    </r>
  </si>
  <si>
    <r>
      <rPr>
        <rFont val="Calibri"/>
        <b/>
        <color rgb="FF1155CC"/>
        <sz val="11.0"/>
        <u/>
      </rPr>
      <t>CPQ11-ARCH-HMET-DATA-R22.nwc</t>
    </r>
  </si>
  <si>
    <t>Apr 8, 2026 8:02 AM</t>
  </si>
  <si>
    <r>
      <rPr>
        <rFont val="Calibri"/>
        <b/>
        <color rgb="FF1155CC"/>
        <sz val="11.0"/>
        <u/>
      </rPr>
      <t>01-WORK IN PROGRESS/BIM/MODELS/DELEGATED DESIGN R22/ARCH/NWC</t>
    </r>
  </si>
  <si>
    <r>
      <rPr>
        <rFont val="Calibri"/>
        <b/>
        <color rgb="FF1155CC"/>
        <sz val="11.0"/>
        <u/>
      </rPr>
      <t>CPQ11-ARCH-HMET-SITE-R22.nwc</t>
    </r>
  </si>
  <si>
    <t>Apr 10, 2026 8:25 AM</t>
  </si>
  <si>
    <r>
      <rPr>
        <rFont val="Calibri"/>
        <b/>
        <color rgb="FF1155CC"/>
        <sz val="11.0"/>
        <u/>
      </rPr>
      <t>01-WORK IN PROGRESS/BIM/MODELS/DELEGATED DESIGN R22/ARCH/NWC</t>
    </r>
  </si>
  <si>
    <r>
      <rPr>
        <rFont val="Calibri"/>
        <b/>
        <color rgb="FF1155CC"/>
        <sz val="11.0"/>
        <u/>
      </rPr>
      <t>CPQ11-ARCH-METL-SITE-R22.nwc</t>
    </r>
  </si>
  <si>
    <t>162.6 MB</t>
  </si>
  <si>
    <t>May 5, 2026 10:51 AM</t>
  </si>
  <si>
    <r>
      <rPr>
        <rFont val="Calibri"/>
        <b/>
        <color rgb="FF1155CC"/>
        <sz val="11.0"/>
        <u/>
      </rPr>
      <t>01-WORK IN PROGRESS/BIM/MODELS/DELEGATED DESIGN R22/ARCH/NWC</t>
    </r>
  </si>
  <si>
    <r>
      <rPr>
        <rFont val="Calibri"/>
        <b/>
        <color rgb="FF1155CC"/>
        <sz val="11.0"/>
        <u/>
      </rPr>
      <t>CPQ11-ARCH-OHCD-DATA-R22.nwc</t>
    </r>
  </si>
  <si>
    <t>229.3 KB</t>
  </si>
  <si>
    <t>Apr 10, 2026 9:03 AM</t>
  </si>
  <si>
    <r>
      <rPr>
        <rFont val="Calibri"/>
        <b/>
        <color rgb="FF1155CC"/>
        <sz val="11.0"/>
        <u/>
      </rPr>
      <t>01-WORK IN PROGRESS/BIM/MODELS/DELEGATED DESIGN R22/ARCH/NWC</t>
    </r>
  </si>
  <si>
    <r>
      <rPr>
        <rFont val="Calibri"/>
        <b/>
        <color rgb="FF1155CC"/>
        <sz val="11.0"/>
        <u/>
      </rPr>
      <t>CPQ11-ARCH-PART-C12A-R22.nwc</t>
    </r>
  </si>
  <si>
    <t>5.2 MB</t>
  </si>
  <si>
    <t>Apr 7, 2026 10:09 PM</t>
  </si>
  <si>
    <r>
      <rPr>
        <rFont val="Calibri"/>
        <b/>
        <color rgb="FF1155CC"/>
        <sz val="11.0"/>
        <u/>
      </rPr>
      <t>01-WORK IN PROGRESS/BIM/MODELS/DELEGATED DESIGN R22/ARCH/NWC</t>
    </r>
  </si>
  <si>
    <r>
      <rPr>
        <rFont val="Calibri"/>
        <b/>
        <color rgb="FF1155CC"/>
        <sz val="11.0"/>
        <u/>
      </rPr>
      <t>CPQ11-ARCH-PART-C345-R22.nwc</t>
    </r>
  </si>
  <si>
    <t>3.6 MB</t>
  </si>
  <si>
    <r>
      <rPr>
        <rFont val="Calibri"/>
        <b/>
        <color rgb="FF1155CC"/>
        <sz val="11.0"/>
        <u/>
      </rPr>
      <t>01-WORK IN PROGRESS/BIM/MODELS/DELEGATED DESIGN R22/ARCH/NWC</t>
    </r>
  </si>
  <si>
    <r>
      <rPr>
        <rFont val="Calibri"/>
        <b/>
        <color rgb="FF1155CC"/>
        <sz val="11.0"/>
        <u/>
      </rPr>
      <t>CPQ11-ARCH-PART-SITE-R22.nwc</t>
    </r>
  </si>
  <si>
    <t>666.8 KB</t>
  </si>
  <si>
    <r>
      <rPr>
        <rFont val="Calibri"/>
        <b/>
        <color rgb="FF1155CC"/>
        <sz val="11.0"/>
        <u/>
      </rPr>
      <t>01-WORK IN PROGRESS/BIM/MODELS/DELEGATED DESIGN R22/ARCH/NWC</t>
    </r>
  </si>
  <si>
    <r>
      <rPr>
        <rFont val="Calibri"/>
        <b/>
        <color rgb="FF1155CC"/>
        <sz val="11.0"/>
        <u/>
      </rPr>
      <t>CPQ11-ARCH-ROOF-DATA-R22.nwc</t>
    </r>
  </si>
  <si>
    <t>13.1 MB</t>
  </si>
  <si>
    <r>
      <rPr>
        <rFont val="Calibri"/>
        <b/>
        <color rgb="FF1155CC"/>
        <sz val="11.0"/>
        <u/>
      </rPr>
      <t>01-WORK IN PROGRESS/BIM/MODELS/DELEGATED DESIGN R22/ARCH/NWC</t>
    </r>
  </si>
  <si>
    <r>
      <rPr>
        <rFont val="Calibri"/>
        <b/>
        <color rgb="FF1155CC"/>
        <sz val="11.0"/>
        <u/>
      </rPr>
      <t>CPQ11-ARCH-SHLV-DATA-R22.nwc</t>
    </r>
  </si>
  <si>
    <t>47.4 MB</t>
  </si>
  <si>
    <r>
      <rPr>
        <rFont val="Calibri"/>
        <b/>
        <color rgb="FF1155CC"/>
        <sz val="11.0"/>
        <u/>
      </rPr>
      <t>01-WORK IN PROGRESS/BIM/MODELS/DELEGATED DESIGN R22/ARCH/NWC</t>
    </r>
  </si>
  <si>
    <r>
      <rPr>
        <rFont val="Calibri"/>
        <b/>
        <color rgb="FF1155CC"/>
        <sz val="11.0"/>
        <u/>
      </rPr>
      <t>CPQ11-ARCH-STON-SITE-R22.nwc</t>
    </r>
  </si>
  <si>
    <t>390.9 KB</t>
  </si>
  <si>
    <r>
      <rPr>
        <rFont val="Calibri"/>
        <b/>
        <color rgb="FF1155CC"/>
        <sz val="11.0"/>
        <u/>
      </rPr>
      <t>01-WORK IN PROGRESS/BIM/MODELS/DELEGATED DESIGN R22/ARCH/NWC</t>
    </r>
  </si>
  <si>
    <r>
      <rPr>
        <rFont val="Calibri"/>
        <b/>
        <color rgb="FF1155CC"/>
        <sz val="11.0"/>
        <u/>
      </rPr>
      <t>CPQ11-ARCH-STON-SITE-R23.nwc</t>
    </r>
  </si>
  <si>
    <t>5.1 KB</t>
  </si>
  <si>
    <t>May 11, 2026 12:36 PM</t>
  </si>
  <si>
    <r>
      <rPr>
        <rFont val="Calibri"/>
        <b/>
        <color rgb="FF1155CC"/>
        <sz val="11.0"/>
        <u/>
      </rPr>
      <t>01-WORK IN PROGRESS/BIM/MODELS/DELEGATED DESIGN R22/ARCH/NWC</t>
    </r>
  </si>
  <si>
    <r>
      <rPr>
        <rFont val="Calibri"/>
        <b/>
        <color rgb="FF1155CC"/>
        <sz val="11.0"/>
        <u/>
      </rPr>
      <t>CPQ11-ARCH-WMES-DATA-R22.nwc</t>
    </r>
  </si>
  <si>
    <t>113.4 KB</t>
  </si>
  <si>
    <r>
      <rPr>
        <rFont val="Calibri"/>
        <b/>
        <color rgb="FF1155CC"/>
        <sz val="11.0"/>
        <u/>
      </rPr>
      <t>01-WORK IN PROGRESS/BIM/MODELS/DELEGATED DESIGN R22/ARCH/OBSOLET</t>
    </r>
  </si>
  <si>
    <r>
      <rPr>
        <rFont val="Calibri"/>
        <b/>
        <color rgb="FF1155CC"/>
        <sz val="11.0"/>
        <u/>
      </rPr>
      <t>CPQ11-ARCH-ARCH-DATA-R22.nwd</t>
    </r>
  </si>
  <si>
    <t>Feb 4, 2025 2:38 PM</t>
  </si>
  <si>
    <r>
      <rPr>
        <rFont val="Calibri"/>
        <b/>
        <color rgb="FF1155CC"/>
        <sz val="11.0"/>
        <u/>
      </rPr>
      <t>01-WORK IN PROGRESS/BIM/MODELS/DELEGATED DESIGN R22/ARCH/OBSOLET</t>
    </r>
  </si>
  <si>
    <r>
      <rPr>
        <rFont val="Calibri"/>
        <b/>
        <color rgb="FF1155CC"/>
        <sz val="11.0"/>
        <u/>
      </rPr>
      <t>CPQ11-ARCH-ARCH-SITE-R22.nwd</t>
    </r>
  </si>
  <si>
    <t>142.2 MB</t>
  </si>
  <si>
    <r>
      <rPr>
        <rFont val="Calibri"/>
        <b/>
        <color rgb="FF1155CC"/>
        <sz val="11.0"/>
        <u/>
      </rPr>
      <t>01-WORK IN PROGRESS/BIM/MODELS/DELEGATED DESIGN R22/ARCH/OBSOLET</t>
    </r>
  </si>
  <si>
    <r>
      <rPr>
        <rFont val="Calibri"/>
        <b/>
        <color rgb="FF1155CC"/>
        <sz val="11.0"/>
        <u/>
      </rPr>
      <t>CPQ11-ARCH-PART-CL030405-R22.rvt</t>
    </r>
  </si>
  <si>
    <t>Revit 2022</t>
  </si>
  <si>
    <t>88.3 MB</t>
  </si>
  <si>
    <t>Feb 4, 2025 10:40 AM</t>
  </si>
  <si>
    <r>
      <rPr>
        <rFont val="Calibri"/>
        <b/>
        <color rgb="FF1155CC"/>
        <sz val="11.0"/>
        <u/>
      </rPr>
      <t>01-WORK IN PROGRESS/BIM/MODELS/DELEGATED DESIGN R22/ARCH/OBSOLET</t>
    </r>
  </si>
  <si>
    <r>
      <rPr>
        <rFont val="Calibri"/>
        <b/>
        <color rgb="FF1155CC"/>
        <sz val="11.0"/>
        <u/>
      </rPr>
      <t>CPQ11-ARCH-PART-CORE-R22.rvt</t>
    </r>
  </si>
  <si>
    <t>267.6 MB</t>
  </si>
  <si>
    <r>
      <rPr>
        <rFont val="Calibri"/>
        <b/>
        <color rgb="FF1155CC"/>
        <sz val="11.0"/>
        <u/>
      </rPr>
      <t>01-WORK IN PROGRESS/BIM/MODELS/DELEGATED DESIGN R22/ARCH/OBSOLET</t>
    </r>
  </si>
  <si>
    <r>
      <rPr>
        <rFont val="Calibri"/>
        <b/>
        <color rgb="FF1155CC"/>
        <sz val="11.0"/>
        <u/>
      </rPr>
      <t>CPQ11-ARCH-R23.rvt</t>
    </r>
  </si>
  <si>
    <t>253.6 MB</t>
  </si>
  <si>
    <t>Feb 4, 2025 10:41 AM</t>
  </si>
  <si>
    <r>
      <rPr>
        <rFont val="Calibri"/>
        <b/>
        <color rgb="FF1155CC"/>
        <sz val="11.0"/>
        <u/>
      </rPr>
      <t>01-WORK IN PROGRESS/BIM/MODELS/DELEGATED DESIGN R22/ARCH/OBSOLET</t>
    </r>
  </si>
  <si>
    <r>
      <rPr>
        <rFont val="Calibri"/>
        <b/>
        <color rgb="FF1155CC"/>
        <sz val="11.0"/>
        <u/>
      </rPr>
      <t>CPQ11-ARCH-ROOF-CORE-R22.nwc</t>
    </r>
  </si>
  <si>
    <t>13 MB</t>
  </si>
  <si>
    <t>Feb 4, 2025 10:39 AM</t>
  </si>
  <si>
    <r>
      <rPr>
        <rFont val="Calibri"/>
        <b/>
        <color rgb="FF1155CC"/>
        <sz val="11.0"/>
        <u/>
      </rPr>
      <t>01-WORK IN PROGRESS/BIM/MODELS/DELEGATED DESIGN R22/ARCH/OBSOLET</t>
    </r>
  </si>
  <si>
    <r>
      <rPr>
        <rFont val="Calibri"/>
        <b/>
        <color rgb="FF1155CC"/>
        <sz val="11.0"/>
        <u/>
      </rPr>
      <t>CPQ11-ARCH-ROOF-CORE-R22.rvt</t>
    </r>
  </si>
  <si>
    <t>19.3 MB</t>
  </si>
  <si>
    <r>
      <rPr>
        <rFont val="Calibri"/>
        <b/>
        <color rgb="FF1155CC"/>
        <sz val="11.0"/>
        <u/>
      </rPr>
      <t>01-WORK IN PROGRESS/BIM/MODELS/DELEGATED DESIGN R22/ARCH/OBSOLET</t>
    </r>
  </si>
  <si>
    <r>
      <rPr>
        <rFont val="Calibri"/>
        <b/>
        <color rgb="FF1155CC"/>
        <sz val="11.0"/>
        <u/>
      </rPr>
      <t>CPQ11-ARCH-SITE-R23.rvt</t>
    </r>
  </si>
  <si>
    <t>247 MB</t>
  </si>
  <si>
    <r>
      <rPr>
        <rFont val="Calibri"/>
        <b/>
        <color rgb="FF1155CC"/>
        <sz val="11.0"/>
        <u/>
      </rPr>
      <t>01-WORK IN PROGRESS/BIM/MODELS/DELEGATED DESIGN R22/ARCH/OBSOLET</t>
    </r>
  </si>
  <si>
    <r>
      <rPr>
        <rFont val="Calibri"/>
        <b/>
        <color rgb="FF1155CC"/>
        <sz val="11.0"/>
        <u/>
      </rPr>
      <t>CPQ11-RAC-ARCH-FACD-OMTR-R22.rvt</t>
    </r>
  </si>
  <si>
    <t>102.9 MB</t>
  </si>
  <si>
    <r>
      <rPr>
        <rFont val="Calibri"/>
        <b/>
        <color rgb="FF1155CC"/>
        <sz val="11.0"/>
        <u/>
      </rPr>
      <t>01-WORK IN PROGRESS/BIM/MODELS/DELEGATED DESIGN R22/ARCH</t>
    </r>
  </si>
  <si>
    <r>
      <rPr>
        <rFont val="Calibri"/>
        <b/>
        <color rgb="FF1155CC"/>
        <sz val="11.0"/>
        <u/>
      </rPr>
      <t>CPQ11-ARCH-ARCH-DATA-R22.rvt</t>
    </r>
  </si>
  <si>
    <t>226.6 MB</t>
  </si>
  <si>
    <t>Apr 13, 2026 6:05 PM</t>
  </si>
  <si>
    <r>
      <rPr>
        <rFont val="Calibri"/>
        <b/>
        <color rgb="FF1155CC"/>
        <sz val="11.0"/>
        <u/>
      </rPr>
      <t>01-WORK IN PROGRESS/BIM/MODELS/DELEGATED DESIGN R22/ARCH</t>
    </r>
  </si>
  <si>
    <r>
      <rPr>
        <rFont val="Calibri"/>
        <b/>
        <color rgb="FF1155CC"/>
        <sz val="11.0"/>
        <u/>
      </rPr>
      <t>CPQ11-ARCH-ARCH-SITE-R22.rvt</t>
    </r>
  </si>
  <si>
    <t>74.1 MB</t>
  </si>
  <si>
    <t>Apr 17, 2026 4:46 PM</t>
  </si>
  <si>
    <r>
      <rPr>
        <rFont val="Calibri"/>
        <b/>
        <color rgb="FF1155CC"/>
        <sz val="11.0"/>
        <u/>
      </rPr>
      <t>01-WORK IN PROGRESS/BIM/MODELS/DELEGATED DESIGN R22/ARCH</t>
    </r>
  </si>
  <si>
    <r>
      <rPr>
        <rFont val="Calibri"/>
        <b/>
        <color rgb="FF1155CC"/>
        <sz val="11.0"/>
        <u/>
      </rPr>
      <t>CPQ11-ARCH-BLPR-GUAR-R22.rvt</t>
    </r>
  </si>
  <si>
    <t>38.2 MB</t>
  </si>
  <si>
    <r>
      <rPr>
        <rFont val="Calibri"/>
        <b/>
        <color rgb="FF1155CC"/>
        <sz val="11.0"/>
        <u/>
      </rPr>
      <t>01-WORK IN PROGRESS/BIM/MODELS/DELEGATED DESIGN R22/ARCH</t>
    </r>
  </si>
  <si>
    <r>
      <rPr>
        <rFont val="Calibri"/>
        <b/>
        <color rgb="FF1155CC"/>
        <sz val="11.0"/>
        <u/>
      </rPr>
      <t>CPQ11-ARCH-CEIL-DATA-R22.rvt</t>
    </r>
  </si>
  <si>
    <t>168.5 MB</t>
  </si>
  <si>
    <t>Apr 29, 2026 7:10 AM</t>
  </si>
  <si>
    <r>
      <rPr>
        <rFont val="Calibri"/>
        <b/>
        <color rgb="FF1155CC"/>
        <sz val="11.0"/>
        <u/>
      </rPr>
      <t>01-WORK IN PROGRESS/BIM/MODELS/DELEGATED DESIGN R22/ARCH</t>
    </r>
  </si>
  <si>
    <r>
      <rPr>
        <rFont val="Calibri"/>
        <b/>
        <color rgb="FF1155CC"/>
        <sz val="11.0"/>
        <u/>
      </rPr>
      <t>CPQ11-ARCH-CEIL-SITE-R22.rvt</t>
    </r>
  </si>
  <si>
    <t>Apr 29, 2026 6:54 AM</t>
  </si>
  <si>
    <r>
      <rPr>
        <rFont val="Calibri"/>
        <b/>
        <color rgb="FF1155CC"/>
        <sz val="11.0"/>
        <u/>
      </rPr>
      <t>01-WORK IN PROGRESS/BIM/MODELS/DELEGATED DESIGN R22/ARCH</t>
    </r>
  </si>
  <si>
    <r>
      <rPr>
        <rFont val="Calibri"/>
        <b/>
        <color rgb="FF1155CC"/>
        <sz val="11.0"/>
        <u/>
      </rPr>
      <t>CPQ11-ARCH-CHAI-SITE-R22.rvt</t>
    </r>
  </si>
  <si>
    <t>9.9 MB</t>
  </si>
  <si>
    <t>Apr 6, 2026 10:44 AM</t>
  </si>
  <si>
    <r>
      <rPr>
        <rFont val="Calibri"/>
        <b/>
        <color rgb="FF1155CC"/>
        <sz val="11.0"/>
        <u/>
      </rPr>
      <t>01-WORK IN PROGRESS/BIM/MODELS/DELEGATED DESIGN R22/ARCH</t>
    </r>
  </si>
  <si>
    <r>
      <rPr>
        <rFont val="Calibri"/>
        <b/>
        <color rgb="FF1155CC"/>
        <sz val="11.0"/>
        <u/>
      </rPr>
      <t>CPQ11-ARCH-FACD-DATA-R22.rvt</t>
    </r>
  </si>
  <si>
    <t>128.4 MB</t>
  </si>
  <si>
    <t>May 6, 2026 5:41 PM</t>
  </si>
  <si>
    <r>
      <rPr>
        <rFont val="Calibri"/>
        <b/>
        <color rgb="FF1155CC"/>
        <sz val="11.0"/>
        <u/>
      </rPr>
      <t>01-WORK IN PROGRESS/BIM/MODELS/DELEGATED DESIGN R22/ARCH</t>
    </r>
  </si>
  <si>
    <r>
      <rPr>
        <rFont val="Calibri"/>
        <b/>
        <color rgb="FF1155CC"/>
        <sz val="11.0"/>
        <u/>
      </rPr>
      <t>CPQ11-ARCH-HM90-DATA-R22.rvt</t>
    </r>
  </si>
  <si>
    <t>25 MB</t>
  </si>
  <si>
    <r>
      <rPr>
        <rFont val="Calibri"/>
        <b/>
        <color rgb="FF1155CC"/>
        <sz val="11.0"/>
        <u/>
      </rPr>
      <t>01-WORK IN PROGRESS/BIM/MODELS/DELEGATED DESIGN R22/ARCH</t>
    </r>
  </si>
  <si>
    <r>
      <rPr>
        <rFont val="Calibri"/>
        <b/>
        <color rgb="FF1155CC"/>
        <sz val="11.0"/>
        <u/>
      </rPr>
      <t>CPQ11-ARCH-HMET-DATA-R22.rvt</t>
    </r>
  </si>
  <si>
    <t>3 unresolved issues</t>
  </si>
  <si>
    <t>72.6 MB</t>
  </si>
  <si>
    <t>Apr 8, 2026 8:06 AM</t>
  </si>
  <si>
    <r>
      <rPr>
        <rFont val="Calibri"/>
        <b/>
        <color rgb="FF1155CC"/>
        <sz val="11.0"/>
        <u/>
      </rPr>
      <t>01-WORK IN PROGRESS/BIM/MODELS/DELEGATED DESIGN R22/ARCH</t>
    </r>
  </si>
  <si>
    <r>
      <rPr>
        <rFont val="Calibri"/>
        <b/>
        <color rgb="FF1155CC"/>
        <sz val="11.0"/>
        <u/>
      </rPr>
      <t>CPQ11-ARCH-HMET-SITE-R22.rvt</t>
    </r>
  </si>
  <si>
    <t>25.2 MB</t>
  </si>
  <si>
    <t>Apr 10, 2026 8:28 AM</t>
  </si>
  <si>
    <r>
      <rPr>
        <rFont val="Calibri"/>
        <b/>
        <color rgb="FF1155CC"/>
        <sz val="11.0"/>
        <u/>
      </rPr>
      <t>01-WORK IN PROGRESS/BIM/MODELS/DELEGATED DESIGN R22/ARCH</t>
    </r>
  </si>
  <si>
    <r>
      <rPr>
        <rFont val="Calibri"/>
        <b/>
        <color rgb="FF1155CC"/>
        <sz val="11.0"/>
        <u/>
      </rPr>
      <t>CPQ11-ARCH-METL-SITE-R22.rvt</t>
    </r>
  </si>
  <si>
    <t>35.6 MB</t>
  </si>
  <si>
    <t>May 5, 2026 11:11 AM</t>
  </si>
  <si>
    <r>
      <rPr>
        <rFont val="Calibri"/>
        <b/>
        <color rgb="FF1155CC"/>
        <sz val="11.0"/>
        <u/>
      </rPr>
      <t>01-WORK IN PROGRESS/BIM/MODELS/DELEGATED DESIGN R22/ARCH</t>
    </r>
  </si>
  <si>
    <r>
      <rPr>
        <rFont val="Calibri"/>
        <b/>
        <color rgb="FF1155CC"/>
        <sz val="11.0"/>
        <u/>
      </rPr>
      <t>CPQ11-ARCH-OHCD-DATA-R22.rvt</t>
    </r>
  </si>
  <si>
    <t>11 MB</t>
  </si>
  <si>
    <t>Apr 10, 2026 8:59 AM</t>
  </si>
  <si>
    <r>
      <rPr>
        <rFont val="Calibri"/>
        <b/>
        <color rgb="FF1155CC"/>
        <sz val="11.0"/>
        <u/>
      </rPr>
      <t>01-WORK IN PROGRESS/BIM/MODELS/DELEGATED DESIGN R22/ARCH</t>
    </r>
  </si>
  <si>
    <r>
      <rPr>
        <rFont val="Calibri"/>
        <b/>
        <color rgb="FF1155CC"/>
        <sz val="11.0"/>
        <u/>
      </rPr>
      <t>CPQ11-ARCH-PART-C12A-R22.rvt</t>
    </r>
  </si>
  <si>
    <t>112.4 MB</t>
  </si>
  <si>
    <t>Apr 7, 2026 10:17 PM</t>
  </si>
  <si>
    <r>
      <rPr>
        <rFont val="Calibri"/>
        <b/>
        <color rgb="FF1155CC"/>
        <sz val="11.0"/>
        <u/>
      </rPr>
      <t>01-WORK IN PROGRESS/BIM/MODELS/DELEGATED DESIGN R22/ARCH</t>
    </r>
  </si>
  <si>
    <r>
      <rPr>
        <rFont val="Calibri"/>
        <b/>
        <color rgb="FF1155CC"/>
        <sz val="11.0"/>
        <u/>
      </rPr>
      <t>CPQ11-ARCH-PART-C345-R22.rvt</t>
    </r>
  </si>
  <si>
    <t>105.8 MB</t>
  </si>
  <si>
    <r>
      <rPr>
        <rFont val="Calibri"/>
        <b/>
        <color rgb="FF1155CC"/>
        <sz val="11.0"/>
        <u/>
      </rPr>
      <t>01-WORK IN PROGRESS/BIM/MODELS/DELEGATED DESIGN R22/ARCH</t>
    </r>
  </si>
  <si>
    <r>
      <rPr>
        <rFont val="Calibri"/>
        <b/>
        <color rgb="FF1155CC"/>
        <sz val="11.0"/>
        <u/>
      </rPr>
      <t>CPQ11-ARCH-PART-SITE-R22.rvt</t>
    </r>
  </si>
  <si>
    <t>24.9 MB</t>
  </si>
  <si>
    <r>
      <rPr>
        <rFont val="Calibri"/>
        <b/>
        <color rgb="FF1155CC"/>
        <sz val="11.0"/>
        <u/>
      </rPr>
      <t>01-WORK IN PROGRESS/BIM/MODELS/DELEGATED DESIGN R22/ARCH</t>
    </r>
  </si>
  <si>
    <r>
      <rPr>
        <rFont val="Calibri"/>
        <b/>
        <color rgb="FF1155CC"/>
        <sz val="11.0"/>
        <u/>
      </rPr>
      <t>CPQ11-ARCH-ROOF-DATA-R22.rvt</t>
    </r>
  </si>
  <si>
    <t>20.9 MB</t>
  </si>
  <si>
    <r>
      <rPr>
        <rFont val="Calibri"/>
        <b/>
        <color rgb="FF1155CC"/>
        <sz val="11.0"/>
        <u/>
      </rPr>
      <t>01-WORK IN PROGRESS/BIM/MODELS/DELEGATED DESIGN R22/ARCH</t>
    </r>
  </si>
  <si>
    <r>
      <rPr>
        <rFont val="Calibri"/>
        <b/>
        <color rgb="FF1155CC"/>
        <sz val="11.0"/>
        <u/>
      </rPr>
      <t>CPQ11-ARCH-SHLV-DATA-R22.rvt</t>
    </r>
  </si>
  <si>
    <t>Feb 28, 2026 8:25 PM</t>
  </si>
  <si>
    <r>
      <rPr>
        <rFont val="Calibri"/>
        <b/>
        <color rgb="FF1155CC"/>
        <sz val="11.0"/>
        <u/>
      </rPr>
      <t>01-WORK IN PROGRESS/BIM/MODELS/DELEGATED DESIGN R22/ARCH</t>
    </r>
  </si>
  <si>
    <r>
      <rPr>
        <rFont val="Calibri"/>
        <b/>
        <color rgb="FF1155CC"/>
        <sz val="11.0"/>
        <u/>
      </rPr>
      <t>CPQ11-ARCH-STON-SITE-R23.ifc</t>
    </r>
  </si>
  <si>
    <t>3.3 MB</t>
  </si>
  <si>
    <t>May 11, 2026 12:33 PM</t>
  </si>
  <si>
    <r>
      <rPr>
        <rFont val="Calibri"/>
        <b/>
        <color rgb="FF1155CC"/>
        <sz val="11.0"/>
        <u/>
      </rPr>
      <t>01-WORK IN PROGRESS/BIM/MODELS/DELEGATED DESIGN R22/ARCH</t>
    </r>
  </si>
  <si>
    <r>
      <rPr>
        <rFont val="Calibri"/>
        <b/>
        <color rgb="FF1155CC"/>
        <sz val="11.0"/>
        <u/>
      </rPr>
      <t>CPQ11-ARCH-STON-SITE-R23.rvt</t>
    </r>
  </si>
  <si>
    <t>Revit 2023</t>
  </si>
  <si>
    <t>9.7 MB</t>
  </si>
  <si>
    <r>
      <rPr>
        <rFont val="Calibri"/>
        <b/>
        <color rgb="FF1155CC"/>
        <sz val="11.0"/>
        <u/>
      </rPr>
      <t>01-WORK IN PROGRESS/BIM/MODELS/DELEGATED DESIGN R22/ARCH</t>
    </r>
  </si>
  <si>
    <r>
      <rPr>
        <rFont val="Calibri"/>
        <b/>
        <color rgb="FF1155CC"/>
        <sz val="11.0"/>
        <u/>
      </rPr>
      <t>CPQ11-ARCH-WMES-DATA-R22.rvt</t>
    </r>
  </si>
  <si>
    <t>14.9 MB</t>
  </si>
  <si>
    <r>
      <rPr>
        <rFont val="Calibri"/>
        <b/>
        <color rgb="FF1155CC"/>
        <sz val="11.0"/>
        <u/>
      </rPr>
      <t>01-WORK IN PROGRESS/BIM/MODELS/DELEGATED DESIGN R22/CIVIL/NWC</t>
    </r>
  </si>
  <si>
    <r>
      <rPr>
        <rFont val="Calibri"/>
        <b/>
        <color rgb="FF1155CC"/>
        <sz val="11.0"/>
        <u/>
      </rPr>
      <t>CPQ11-CIVL-DRNG-SITE-R22.nwc</t>
    </r>
  </si>
  <si>
    <t>12 MB</t>
  </si>
  <si>
    <t>May 6, 2026 8:32 AM</t>
  </si>
  <si>
    <r>
      <rPr>
        <rFont val="Calibri"/>
        <b/>
        <color rgb="FF1155CC"/>
        <sz val="11.0"/>
        <u/>
      </rPr>
      <t>01-WORK IN PROGRESS/BIM/MODELS/DELEGATED DESIGN R22/CIVIL/NWC</t>
    </r>
  </si>
  <si>
    <r>
      <rPr>
        <rFont val="Calibri"/>
        <b/>
        <color rgb="FF1155CC"/>
        <sz val="11.0"/>
        <u/>
      </rPr>
      <t>CPQ11-CIVL-ERTH-SITE-R22.nwc</t>
    </r>
  </si>
  <si>
    <t>1.4 MB</t>
  </si>
  <si>
    <t>Apr 8, 2026 1:22 PM</t>
  </si>
  <si>
    <r>
      <rPr>
        <rFont val="Calibri"/>
        <b/>
        <color rgb="FF1155CC"/>
        <sz val="11.0"/>
        <u/>
      </rPr>
      <t>01-WORK IN PROGRESS/BIM/MODELS/DELEGATED DESIGN R22/CIVIL/NWC</t>
    </r>
  </si>
  <si>
    <r>
      <rPr>
        <rFont val="Calibri"/>
        <b/>
        <color rgb="FF1155CC"/>
        <sz val="11.0"/>
        <u/>
      </rPr>
      <t>CPQ11-CIVL-LOCK-SITE-R22.nwc</t>
    </r>
  </si>
  <si>
    <t>188.4 MB</t>
  </si>
  <si>
    <r>
      <rPr>
        <rFont val="Calibri"/>
        <b/>
        <color rgb="FF1155CC"/>
        <sz val="11.0"/>
        <u/>
      </rPr>
      <t>01-WORK IN PROGRESS/BIM/MODELS/DELEGATED DESIGN R22/CIVIL/NWC</t>
    </r>
  </si>
  <si>
    <r>
      <rPr>
        <rFont val="Calibri"/>
        <b/>
        <color rgb="FF1155CC"/>
        <sz val="11.0"/>
        <u/>
      </rPr>
      <t>CPQ11-CIVL-PAVM-SITE-R22.nwc</t>
    </r>
  </si>
  <si>
    <t>14.4 MB</t>
  </si>
  <si>
    <t>Apr 30, 2026 9:16 AM</t>
  </si>
  <si>
    <r>
      <rPr>
        <rFont val="Calibri"/>
        <b/>
        <color rgb="FF1155CC"/>
        <sz val="11.0"/>
        <u/>
      </rPr>
      <t>01-WORK IN PROGRESS/BIM/MODELS/DELEGATED DESIGN R22/CIVIL</t>
    </r>
  </si>
  <si>
    <r>
      <rPr>
        <rFont val="Calibri"/>
        <b/>
        <color rgb="FF1155CC"/>
        <sz val="11.0"/>
        <u/>
      </rPr>
      <t>CPQ11-CIVL-DRNG-SITE-R22.rvt</t>
    </r>
  </si>
  <si>
    <t>82.7 MB</t>
  </si>
  <si>
    <t>May 6, 2026 8:34 AM</t>
  </si>
  <si>
    <r>
      <rPr>
        <rFont val="Calibri"/>
        <b/>
        <color rgb="FF1155CC"/>
        <sz val="11.0"/>
        <u/>
      </rPr>
      <t>01-WORK IN PROGRESS/BIM/MODELS/DELEGATED DESIGN R22/CIVIL</t>
    </r>
  </si>
  <si>
    <r>
      <rPr>
        <rFont val="Calibri"/>
        <b/>
        <color rgb="FF1155CC"/>
        <sz val="11.0"/>
        <u/>
      </rPr>
      <t>CPQ11-CIVL-ERTH-SITE-R22.rvt</t>
    </r>
  </si>
  <si>
    <t>17.4 MB</t>
  </si>
  <si>
    <t>Apr 8, 2026 1:25 PM</t>
  </si>
  <si>
    <r>
      <rPr>
        <rFont val="Calibri"/>
        <b/>
        <color rgb="FF1155CC"/>
        <sz val="11.0"/>
        <u/>
      </rPr>
      <t>01-WORK IN PROGRESS/BIM/MODELS/DELEGATED DESIGN R22/CIVIL</t>
    </r>
  </si>
  <si>
    <r>
      <rPr>
        <rFont val="Calibri"/>
        <b/>
        <color rgb="FF1155CC"/>
        <sz val="11.0"/>
        <u/>
      </rPr>
      <t>CPQ11-CIVL-LOCK-SITE-R22.rvt</t>
    </r>
  </si>
  <si>
    <t>327.2 MB</t>
  </si>
  <si>
    <r>
      <rPr>
        <rFont val="Calibri"/>
        <b/>
        <color rgb="FF1155CC"/>
        <sz val="11.0"/>
        <u/>
      </rPr>
      <t>01-WORK IN PROGRESS/BIM/MODELS/DELEGATED DESIGN R22/CIVIL</t>
    </r>
  </si>
  <si>
    <r>
      <rPr>
        <rFont val="Calibri"/>
        <b/>
        <color rgb="FF1155CC"/>
        <sz val="11.0"/>
        <u/>
      </rPr>
      <t>CPQ11-CIVL-PAVM-SITE-R22.rvt</t>
    </r>
  </si>
  <si>
    <t>49.5 MB</t>
  </si>
  <si>
    <r>
      <rPr>
        <rFont val="Calibri"/>
        <b/>
        <color rgb="FF1155CC"/>
        <sz val="11.0"/>
        <u/>
      </rPr>
      <t>01-WORK IN PROGRESS/BIM/MODELS/DELEGATED DESIGN R22/MECH/NWC</t>
    </r>
  </si>
  <si>
    <r>
      <rPr>
        <rFont val="Calibri"/>
        <b/>
        <color rgb="FF1155CC"/>
        <sz val="11.0"/>
        <u/>
      </rPr>
      <t>CPQ11-MECH-MECH-DATA-R22.nwc</t>
    </r>
  </si>
  <si>
    <t>V50</t>
  </si>
  <si>
    <t>28.5 MB</t>
  </si>
  <si>
    <t>Apr 17, 2026 3:28 PM</t>
  </si>
  <si>
    <r>
      <rPr>
        <rFont val="Calibri"/>
        <b/>
        <color rgb="FF1155CC"/>
        <sz val="11.0"/>
        <u/>
      </rPr>
      <t>01-WORK IN PROGRESS/BIM/MODELS/DELEGATED DESIGN R22/MECH/NWC</t>
    </r>
  </si>
  <si>
    <r>
      <rPr>
        <rFont val="Calibri"/>
        <b/>
        <color rgb="FF1155CC"/>
        <sz val="11.0"/>
        <u/>
      </rPr>
      <t>CPQ11-MECH-MECH-GUAR-R22.nwc</t>
    </r>
  </si>
  <si>
    <t>1.2 MB</t>
  </si>
  <si>
    <t>Apr 16, 2026 9:16 AM</t>
  </si>
  <si>
    <r>
      <rPr>
        <rFont val="Calibri"/>
        <b/>
        <color rgb="FF1155CC"/>
        <sz val="11.0"/>
        <u/>
      </rPr>
      <t>01-WORK IN PROGRESS/BIM/MODELS/DELEGATED DESIGN R22/MECH/NWC</t>
    </r>
  </si>
  <si>
    <r>
      <rPr>
        <rFont val="Calibri"/>
        <b/>
        <color rgb="FF1155CC"/>
        <sz val="11.0"/>
        <u/>
      </rPr>
      <t>CPQ11-PLMB-METK-UTLS-R22.nwc</t>
    </r>
  </si>
  <si>
    <t>Feb 26, 2026 5:40 PM</t>
  </si>
  <si>
    <r>
      <rPr>
        <rFont val="Calibri"/>
        <b/>
        <color rgb="FF1155CC"/>
        <sz val="11.0"/>
        <u/>
      </rPr>
      <t>01-WORK IN PROGRESS/BIM/MODELS/DELEGATED DESIGN R22/MECH/NWC</t>
    </r>
  </si>
  <si>
    <r>
      <rPr>
        <rFont val="Calibri"/>
        <b/>
        <color rgb="FF1155CC"/>
        <sz val="11.0"/>
        <u/>
      </rPr>
      <t>CPQ11-PLMB-NPWT-DATA-R22.nwc</t>
    </r>
  </si>
  <si>
    <t>12.9 MB</t>
  </si>
  <si>
    <t>Apr 30, 2026 5:21 PM</t>
  </si>
  <si>
    <r>
      <rPr>
        <rFont val="Calibri"/>
        <b/>
        <color rgb="FF1155CC"/>
        <sz val="11.0"/>
        <u/>
      </rPr>
      <t>01-WORK IN PROGRESS/BIM/MODELS/DELEGATED DESIGN R22/MECH/NWC</t>
    </r>
  </si>
  <si>
    <r>
      <rPr>
        <rFont val="Calibri"/>
        <b/>
        <color rgb="FF1155CC"/>
        <sz val="11.0"/>
        <u/>
      </rPr>
      <t>CPQ11-PLMB-NPWT-SITE-R22.nwc</t>
    </r>
  </si>
  <si>
    <t>Apr 24, 2026 2:44 PM</t>
  </si>
  <si>
    <r>
      <rPr>
        <rFont val="Calibri"/>
        <b/>
        <color rgb="FF1155CC"/>
        <sz val="11.0"/>
        <u/>
      </rPr>
      <t>01-WORK IN PROGRESS/BIM/MODELS/DELEGATED DESIGN R22/MECH/OBSOLET</t>
    </r>
  </si>
  <si>
    <r>
      <rPr>
        <rFont val="Calibri"/>
        <b/>
        <color rgb="FF1155CC"/>
        <sz val="11.0"/>
        <u/>
      </rPr>
      <t>CPQ11-MECH-GENL-R22.nwc</t>
    </r>
  </si>
  <si>
    <t>Dec 17, 2024 6:31 PM</t>
  </si>
  <si>
    <r>
      <rPr>
        <rFont val="Calibri"/>
        <b/>
        <color rgb="FF1155CC"/>
        <sz val="11.0"/>
        <u/>
      </rPr>
      <t>01-WORK IN PROGRESS/BIM/MODELS/DELEGATED DESIGN R22/MECH/OBSOLET</t>
    </r>
  </si>
  <si>
    <r>
      <rPr>
        <rFont val="Calibri"/>
        <b/>
        <color rgb="FF1155CC"/>
        <sz val="11.0"/>
        <u/>
      </rPr>
      <t>CPQ11-MECH-GENL-R22.rvt</t>
    </r>
  </si>
  <si>
    <t>135.5 MB</t>
  </si>
  <si>
    <r>
      <rPr>
        <rFont val="Calibri"/>
        <b/>
        <color rgb="FF1155CC"/>
        <sz val="11.0"/>
        <u/>
      </rPr>
      <t>01-WORK IN PROGRESS/BIM/MODELS/DELEGATED DESIGN R22/MECH/OBSOLET</t>
    </r>
  </si>
  <si>
    <r>
      <rPr>
        <rFont val="Calibri"/>
        <b/>
        <color rgb="FF1155CC"/>
        <sz val="11.0"/>
        <u/>
      </rPr>
      <t>CPQ11-MECH-MECH-DATA-R22.nwc</t>
    </r>
  </si>
  <si>
    <t>30.5 MB</t>
  </si>
  <si>
    <t>Apr 16, 2025 6:20 PM</t>
  </si>
  <si>
    <r>
      <rPr>
        <rFont val="Calibri"/>
        <b/>
        <color rgb="FF1155CC"/>
        <sz val="11.0"/>
        <u/>
      </rPr>
      <t>01-WORK IN PROGRESS/BIM/MODELS/DELEGATED DESIGN R22/MECH/OBSOLET</t>
    </r>
  </si>
  <si>
    <r>
      <rPr>
        <rFont val="Calibri"/>
        <b/>
        <color rgb="FF1155CC"/>
        <sz val="11.0"/>
        <u/>
      </rPr>
      <t>CPQ11-MECH-MECH-GUAR-R22.nwc</t>
    </r>
  </si>
  <si>
    <t>Apr 16, 2025 6:17 PM</t>
  </si>
  <si>
    <r>
      <rPr>
        <rFont val="Calibri"/>
        <b/>
        <color rgb="FF1155CC"/>
        <sz val="11.0"/>
        <u/>
      </rPr>
      <t>01-WORK IN PROGRESS/BIM/MODELS/DELEGATED DESIGN R22/MECH/OBSOLET</t>
    </r>
  </si>
  <si>
    <r>
      <rPr>
        <rFont val="Calibri"/>
        <b/>
        <color rgb="FF1155CC"/>
        <sz val="11.0"/>
        <u/>
      </rPr>
      <t>CPQ11-PLMB-GENL-R22.nwc</t>
    </r>
  </si>
  <si>
    <t>6.1 MB</t>
  </si>
  <si>
    <t>Dec 19, 2024 10:08 AM</t>
  </si>
  <si>
    <r>
      <rPr>
        <rFont val="Calibri"/>
        <b/>
        <color rgb="FF1155CC"/>
        <sz val="11.0"/>
        <u/>
      </rPr>
      <t>01-WORK IN PROGRESS/BIM/MODELS/DELEGATED DESIGN R22/MECH/OBSOLET</t>
    </r>
  </si>
  <si>
    <r>
      <rPr>
        <rFont val="Calibri"/>
        <b/>
        <color rgb="FF1155CC"/>
        <sz val="11.0"/>
        <u/>
      </rPr>
      <t>CPQ11-PLMB-GENL-R22.rvt</t>
    </r>
  </si>
  <si>
    <t>105.6 MB</t>
  </si>
  <si>
    <t>Dec 19, 2024 10:07 AM</t>
  </si>
  <si>
    <r>
      <rPr>
        <rFont val="Calibri"/>
        <b/>
        <color rgb="FF1155CC"/>
        <sz val="11.0"/>
        <u/>
      </rPr>
      <t>01-WORK IN PROGRESS/BIM/MODELS/DELEGATED DESIGN R22/MECH/OBSOLET</t>
    </r>
  </si>
  <si>
    <r>
      <rPr>
        <rFont val="Calibri"/>
        <b/>
        <color rgb="FF1155CC"/>
        <sz val="11.0"/>
        <u/>
      </rPr>
      <t>CPQ11-PLMB-METK-UTLS-R22.nwc</t>
    </r>
  </si>
  <si>
    <r>
      <rPr>
        <rFont val="Calibri"/>
        <b/>
        <color rgb="FF1155CC"/>
        <sz val="11.0"/>
        <u/>
      </rPr>
      <t>01-WORK IN PROGRESS/BIM/MODELS/DELEGATED DESIGN R22/MECH/OBSOLET</t>
    </r>
  </si>
  <si>
    <r>
      <rPr>
        <rFont val="Calibri"/>
        <b/>
        <color rgb="FF1155CC"/>
        <sz val="11.0"/>
        <u/>
      </rPr>
      <t>CPQ11-PLMB-NPWT-DATA-R22.nwc</t>
    </r>
  </si>
  <si>
    <t>10.8 MB</t>
  </si>
  <si>
    <r>
      <rPr>
        <rFont val="Calibri"/>
        <b/>
        <color rgb="FF1155CC"/>
        <sz val="11.0"/>
        <u/>
      </rPr>
      <t>01-WORK IN PROGRESS/BIM/MODELS/DELEGATED DESIGN R22/MECH/OBSOLET</t>
    </r>
  </si>
  <si>
    <r>
      <rPr>
        <rFont val="Calibri"/>
        <b/>
        <color rgb="FF1155CC"/>
        <sz val="11.0"/>
        <u/>
      </rPr>
      <t>CPQ11-PLMB-NPWT-SITE-R22.nwc</t>
    </r>
  </si>
  <si>
    <r>
      <rPr>
        <rFont val="Calibri"/>
        <b/>
        <color rgb="FF1155CC"/>
        <sz val="11.0"/>
        <u/>
      </rPr>
      <t>01-WORK IN PROGRESS/BIM/MODELS/DELEGATED DESIGN R22/MECH/OBSOLET</t>
    </r>
  </si>
  <si>
    <r>
      <rPr>
        <rFont val="Calibri"/>
        <b/>
        <color rgb="FF1155CC"/>
        <sz val="11.0"/>
        <u/>
      </rPr>
      <t>CPQ11-PLMB-SITE-R22.nwc</t>
    </r>
  </si>
  <si>
    <t>Dec 18, 2024 10:34 AM</t>
  </si>
  <si>
    <r>
      <rPr>
        <rFont val="Calibri"/>
        <b/>
        <color rgb="FF1155CC"/>
        <sz val="11.0"/>
        <u/>
      </rPr>
      <t>01-WORK IN PROGRESS/BIM/MODELS/DELEGATED DESIGN R22/MECH/OBSOLET</t>
    </r>
  </si>
  <si>
    <r>
      <rPr>
        <rFont val="Calibri"/>
        <b/>
        <color rgb="FF1155CC"/>
        <sz val="11.0"/>
        <u/>
      </rPr>
      <t>CPQ11-PLMB-SITE-R22.rvt</t>
    </r>
  </si>
  <si>
    <t>100.7 MB</t>
  </si>
  <si>
    <r>
      <rPr>
        <rFont val="Calibri"/>
        <b/>
        <color rgb="FF1155CC"/>
        <sz val="11.0"/>
        <u/>
      </rPr>
      <t>01-WORK IN PROGRESS/BIM/MODELS/DELEGATED DESIGN R22/MECH</t>
    </r>
  </si>
  <si>
    <r>
      <rPr>
        <rFont val="Calibri"/>
        <b/>
        <color rgb="FF1155CC"/>
        <sz val="11.0"/>
        <u/>
      </rPr>
      <t>CPQ11-MECH-MECH-DATA-R22.rvt</t>
    </r>
  </si>
  <si>
    <t>V59</t>
  </si>
  <si>
    <t>168.9 MB</t>
  </si>
  <si>
    <t>Apr 17, 2026 3:44 PM</t>
  </si>
  <si>
    <r>
      <rPr>
        <rFont val="Calibri"/>
        <b/>
        <color rgb="FF1155CC"/>
        <sz val="11.0"/>
        <u/>
      </rPr>
      <t>01-WORK IN PROGRESS/BIM/MODELS/DELEGATED DESIGN R22/MECH</t>
    </r>
  </si>
  <si>
    <r>
      <rPr>
        <rFont val="Calibri"/>
        <b/>
        <color rgb="FF1155CC"/>
        <sz val="11.0"/>
        <u/>
      </rPr>
      <t>CPQ11-MECH-MECH-GUAR-R22.rvt</t>
    </r>
  </si>
  <si>
    <t>118.5 MB</t>
  </si>
  <si>
    <t>Apr 16, 2026 9:15 AM</t>
  </si>
  <si>
    <r>
      <rPr>
        <rFont val="Calibri"/>
        <b/>
        <color rgb="FF1155CC"/>
        <sz val="11.0"/>
        <u/>
      </rPr>
      <t>01-WORK IN PROGRESS/BIM/MODELS/DELEGATED DESIGN R22/MECH</t>
    </r>
  </si>
  <si>
    <r>
      <rPr>
        <rFont val="Calibri"/>
        <b/>
        <color rgb="FF1155CC"/>
        <sz val="11.0"/>
        <u/>
      </rPr>
      <t>CPQ11-PLMB-METK-UTLS-R22.rvt</t>
    </r>
  </si>
  <si>
    <t>60.5 MB</t>
  </si>
  <si>
    <t>Feb 26, 2026 5:41 PM</t>
  </si>
  <si>
    <r>
      <rPr>
        <rFont val="Calibri"/>
        <b/>
        <color rgb="FF1155CC"/>
        <sz val="11.0"/>
        <u/>
      </rPr>
      <t>01-WORK IN PROGRESS/BIM/MODELS/DELEGATED DESIGN R22/MECH</t>
    </r>
  </si>
  <si>
    <r>
      <rPr>
        <rFont val="Calibri"/>
        <b/>
        <color rgb="FF1155CC"/>
        <sz val="11.0"/>
        <u/>
      </rPr>
      <t>CPQ11-PLMB-NPWT-DATA-R22.rvt</t>
    </r>
  </si>
  <si>
    <t>157.3 MB</t>
  </si>
  <si>
    <t>Apr 30, 2026 5:57 PM</t>
  </si>
  <si>
    <r>
      <rPr>
        <rFont val="Calibri"/>
        <b/>
        <color rgb="FF1155CC"/>
        <sz val="11.0"/>
        <u/>
      </rPr>
      <t>01-WORK IN PROGRESS/BIM/MODELS/DELEGATED DESIGN R22/MECH</t>
    </r>
  </si>
  <si>
    <r>
      <rPr>
        <rFont val="Calibri"/>
        <b/>
        <color rgb="FF1155CC"/>
        <sz val="11.0"/>
        <u/>
      </rPr>
      <t>CPQ11-PLMB-NPWT-SITE-R22.rvt</t>
    </r>
  </si>
  <si>
    <t>123 MB</t>
  </si>
  <si>
    <t>Apr 24, 2026 2:45 PM</t>
  </si>
  <si>
    <r>
      <rPr>
        <rFont val="Calibri"/>
        <b/>
        <color rgb="FF1155CC"/>
        <sz val="11.0"/>
        <u/>
      </rPr>
      <t>01-WORK IN PROGRESS/BIM/MODELS/DELEGATED DESIGN R22/MEP/NWC</t>
    </r>
  </si>
  <si>
    <r>
      <rPr>
        <rFont val="Calibri"/>
        <b/>
        <color rgb="FF1155CC"/>
        <sz val="11.0"/>
        <u/>
      </rPr>
      <t>CPQ11-BASM-DEVS-DATA-R22.nwc</t>
    </r>
  </si>
  <si>
    <t>May 5, 2026 4:01 PM</t>
  </si>
  <si>
    <r>
      <rPr>
        <rFont val="Calibri"/>
        <b/>
        <color rgb="FF1155CC"/>
        <sz val="11.0"/>
        <u/>
      </rPr>
      <t>01-WORK IN PROGRESS/BIM/MODELS/DELEGATED DESIGN R22/MEP/NWC</t>
    </r>
  </si>
  <si>
    <r>
      <rPr>
        <rFont val="Calibri"/>
        <b/>
        <color rgb="FF1155CC"/>
        <sz val="11.0"/>
        <u/>
      </rPr>
      <t>CPQ11-BASM-DEVS-PUMP-R22.nwc</t>
    </r>
  </si>
  <si>
    <t>827.9 KB</t>
  </si>
  <si>
    <t>Feb 3, 2026 4:35 PM</t>
  </si>
  <si>
    <r>
      <rPr>
        <rFont val="Calibri"/>
        <b/>
        <color rgb="FF1155CC"/>
        <sz val="11.0"/>
        <u/>
      </rPr>
      <t>01-WORK IN PROGRESS/BIM/MODELS/DELEGATED DESIGN R22/MEP/NWC</t>
    </r>
  </si>
  <si>
    <r>
      <rPr>
        <rFont val="Calibri"/>
        <b/>
        <color rgb="FF1155CC"/>
        <sz val="11.0"/>
        <u/>
      </rPr>
      <t>CPQ11-BASM-INFR-DATA-R22.nwc</t>
    </r>
  </si>
  <si>
    <t>41.6 MB</t>
  </si>
  <si>
    <r>
      <rPr>
        <rFont val="Calibri"/>
        <b/>
        <color rgb="FF1155CC"/>
        <sz val="11.0"/>
        <u/>
      </rPr>
      <t>01-WORK IN PROGRESS/BIM/MODELS/DELEGATED DESIGN R22/MEP/NWC</t>
    </r>
  </si>
  <si>
    <r>
      <rPr>
        <rFont val="Calibri"/>
        <b/>
        <color rgb="FF1155CC"/>
        <sz val="11.0"/>
        <u/>
      </rPr>
      <t>CPQ11-BASM-INFR-PUMP-R22.nwc</t>
    </r>
  </si>
  <si>
    <t>Apr 24, 2026 11:18 AM</t>
  </si>
  <si>
    <r>
      <rPr>
        <rFont val="Calibri"/>
        <b/>
        <color rgb="FF1155CC"/>
        <sz val="11.0"/>
        <u/>
      </rPr>
      <t>01-WORK IN PROGRESS/BIM/MODELS/DELEGATED DESIGN R22/MEP/NWC</t>
    </r>
  </si>
  <si>
    <r>
      <rPr>
        <rFont val="Calibri"/>
        <b/>
        <color rgb="FF1155CC"/>
        <sz val="11.0"/>
        <u/>
      </rPr>
      <t>CPQ11-DALI-DEVS-DATA-R22.nwc</t>
    </r>
  </si>
  <si>
    <t>Apr 15, 2026 5:53 PM</t>
  </si>
  <si>
    <r>
      <rPr>
        <rFont val="Calibri"/>
        <b/>
        <color rgb="FF1155CC"/>
        <sz val="11.0"/>
        <u/>
      </rPr>
      <t>01-WORK IN PROGRESS/BIM/MODELS/DELEGATED DESIGN R22/MEP/NWC</t>
    </r>
  </si>
  <si>
    <r>
      <rPr>
        <rFont val="Calibri"/>
        <b/>
        <color rgb="FF1155CC"/>
        <sz val="11.0"/>
        <u/>
      </rPr>
      <t>CPQ11-DASM-DEVS-DATA-R22.nwc</t>
    </r>
  </si>
  <si>
    <t>Apr 27, 2026 6:14 PM</t>
  </si>
  <si>
    <r>
      <rPr>
        <rFont val="Calibri"/>
        <b/>
        <color rgb="FF1155CC"/>
        <sz val="11.0"/>
        <u/>
      </rPr>
      <t>01-WORK IN PROGRESS/BIM/MODELS/DELEGATED DESIGN R22/MEP/NWC</t>
    </r>
  </si>
  <si>
    <r>
      <rPr>
        <rFont val="Calibri"/>
        <b/>
        <color rgb="FF1155CC"/>
        <sz val="11.0"/>
        <u/>
      </rPr>
      <t>CPQ11-ELEC-ELEC-DATA-R22.nwc</t>
    </r>
  </si>
  <si>
    <t>194.9 MB</t>
  </si>
  <si>
    <t>Apr 13, 2026 4:58 PM</t>
  </si>
  <si>
    <r>
      <rPr>
        <rFont val="Calibri"/>
        <b/>
        <color rgb="FF1155CC"/>
        <sz val="11.0"/>
        <u/>
      </rPr>
      <t>01-WORK IN PROGRESS/BIM/MODELS/DELEGATED DESIGN R22/MEP/NWC</t>
    </r>
  </si>
  <si>
    <r>
      <rPr>
        <rFont val="Calibri"/>
        <b/>
        <color rgb="FF1155CC"/>
        <sz val="11.0"/>
        <u/>
      </rPr>
      <t>CPQ11-ELEC-ELEC-SITE-R22.nwc</t>
    </r>
  </si>
  <si>
    <t>168.4 MB</t>
  </si>
  <si>
    <t>Dec 23, 2025 12:43 PM</t>
  </si>
  <si>
    <r>
      <rPr>
        <rFont val="Calibri"/>
        <b/>
        <color rgb="FF1155CC"/>
        <sz val="11.0"/>
        <u/>
      </rPr>
      <t>01-WORK IN PROGRESS/BIM/MODELS/DELEGATED DESIGN R22/MEP/NWC</t>
    </r>
  </si>
  <si>
    <r>
      <rPr>
        <rFont val="Calibri"/>
        <b/>
        <color rgb="FF1155CC"/>
        <sz val="11.0"/>
        <u/>
      </rPr>
      <t>CPQ11-ELEC-SPDA-DATA-R22.nwc</t>
    </r>
  </si>
  <si>
    <t>May 12, 2026 9:35 AM</t>
  </si>
  <si>
    <r>
      <rPr>
        <rFont val="Calibri"/>
        <b/>
        <color rgb="FF1155CC"/>
        <sz val="11.0"/>
        <u/>
      </rPr>
      <t>01-WORK IN PROGRESS/BIM/MODELS/DELEGATED DESIGN R22/MEP/NWC</t>
    </r>
  </si>
  <si>
    <r>
      <rPr>
        <rFont val="Calibri"/>
        <b/>
        <color rgb="FF1155CC"/>
        <sz val="11.0"/>
        <u/>
      </rPr>
      <t>CPQ11-ELEC-SPDA-SITE-R22.nwc</t>
    </r>
  </si>
  <si>
    <t>Dec 8, 2025 12:09 PM</t>
  </si>
  <si>
    <r>
      <rPr>
        <rFont val="Calibri"/>
        <b/>
        <color rgb="FF1155CC"/>
        <sz val="11.0"/>
        <u/>
      </rPr>
      <t>01-WORK IN PROGRESS/BIM/MODELS/DELEGATED DESIGN R22/MEP/NWC</t>
    </r>
  </si>
  <si>
    <r>
      <rPr>
        <rFont val="Calibri"/>
        <b/>
        <color rgb="FF1155CC"/>
        <sz val="11.0"/>
        <u/>
      </rPr>
      <t>CPQ11-EPMS-DEVS-DATA-R22.nwc</t>
    </r>
  </si>
  <si>
    <t>84.4 KB</t>
  </si>
  <si>
    <t>Apr 27, 2026 10:44 PM</t>
  </si>
  <si>
    <r>
      <rPr>
        <rFont val="Calibri"/>
        <b/>
        <color rgb="FF1155CC"/>
        <sz val="11.0"/>
        <u/>
      </rPr>
      <t>01-WORK IN PROGRESS/BIM/MODELS/DELEGATED DESIGN R22/MEP/NWC</t>
    </r>
  </si>
  <si>
    <r>
      <rPr>
        <rFont val="Calibri"/>
        <b/>
        <color rgb="FF1155CC"/>
        <sz val="11.0"/>
        <u/>
      </rPr>
      <t>CPQ11-EPMS-DEVS-SITE-R22.nwc</t>
    </r>
  </si>
  <si>
    <t>84.2 KB</t>
  </si>
  <si>
    <t>Feb 3, 2026 4:34 PM</t>
  </si>
  <si>
    <r>
      <rPr>
        <rFont val="Calibri"/>
        <b/>
        <color rgb="FF1155CC"/>
        <sz val="11.0"/>
        <u/>
      </rPr>
      <t>01-WORK IN PROGRESS/BIM/MODELS/DELEGATED DESIGN R22/MEP/NWC</t>
    </r>
  </si>
  <si>
    <r>
      <rPr>
        <rFont val="Calibri"/>
        <b/>
        <color rgb="FF1155CC"/>
        <sz val="11.0"/>
        <u/>
      </rPr>
      <t>CPQ11-FALM-FALM-DATA-R22.nwc</t>
    </r>
  </si>
  <si>
    <t>45.6 MB</t>
  </si>
  <si>
    <r>
      <rPr>
        <rFont val="Calibri"/>
        <b/>
        <color rgb="FF1155CC"/>
        <sz val="11.0"/>
        <u/>
      </rPr>
      <t>01-WORK IN PROGRESS/BIM/MODELS/DELEGATED DESIGN R22/MEP/NWC</t>
    </r>
  </si>
  <si>
    <r>
      <rPr>
        <rFont val="Calibri"/>
        <b/>
        <color rgb="FF1155CC"/>
        <sz val="11.0"/>
        <u/>
      </rPr>
      <t>CPQ11-FALM-FALM-SITE-R22.nwc</t>
    </r>
  </si>
  <si>
    <t>7.2 MB</t>
  </si>
  <si>
    <t>May 8, 2026 8:49 AM</t>
  </si>
  <si>
    <r>
      <rPr>
        <rFont val="Calibri"/>
        <b/>
        <color rgb="FF1155CC"/>
        <sz val="11.0"/>
        <u/>
      </rPr>
      <t>01-WORK IN PROGRESS/BIM/MODELS/DELEGATED DESIGN R22/MEP/NWC</t>
    </r>
  </si>
  <si>
    <r>
      <rPr>
        <rFont val="Calibri"/>
        <b/>
        <color rgb="FF1155CC"/>
        <sz val="11.0"/>
        <u/>
      </rPr>
      <t>CPQ11-FPRT-FPRT-DATA-R22.nwc</t>
    </r>
  </si>
  <si>
    <t>119 MB</t>
  </si>
  <si>
    <t>May 14, 2026 10:42 AM</t>
  </si>
  <si>
    <r>
      <rPr>
        <rFont val="Calibri"/>
        <b/>
        <color rgb="FF1155CC"/>
        <sz val="11.0"/>
        <u/>
      </rPr>
      <t>01-WORK IN PROGRESS/BIM/MODELS/DELEGATED DESIGN R22/MEP/NWC</t>
    </r>
  </si>
  <si>
    <r>
      <rPr>
        <rFont val="Calibri"/>
        <b/>
        <color rgb="FF1155CC"/>
        <sz val="11.0"/>
        <u/>
      </rPr>
      <t>CPQ11-FPRT-FPRT-SITE-R22.nwc</t>
    </r>
  </si>
  <si>
    <t>19.7 MB</t>
  </si>
  <si>
    <r>
      <rPr>
        <rFont val="Calibri"/>
        <b/>
        <color rgb="FF1155CC"/>
        <sz val="11.0"/>
        <u/>
      </rPr>
      <t>01-WORK IN PROGRESS/BIM/MODELS/DELEGATED DESIGN R22/MEP/NWC</t>
    </r>
  </si>
  <si>
    <r>
      <rPr>
        <rFont val="Calibri"/>
        <b/>
        <color rgb="FF1155CC"/>
        <sz val="11.0"/>
        <u/>
      </rPr>
      <t>CPQ11-FPRT-METK-UTLS-R22.nwc</t>
    </r>
  </si>
  <si>
    <r>
      <rPr>
        <rFont val="Calibri"/>
        <b/>
        <color rgb="FF1155CC"/>
        <sz val="11.0"/>
        <u/>
      </rPr>
      <t>01-WORK IN PROGRESS/BIM/MODELS/DELEGATED DESIGN R22/MEP/NWC</t>
    </r>
  </si>
  <si>
    <r>
      <rPr>
        <rFont val="Calibri"/>
        <b/>
        <color rgb="FF1155CC"/>
        <sz val="11.0"/>
        <u/>
      </rPr>
      <t>CPQ11-PLMB-DIES-SITE-R22.nwc</t>
    </r>
  </si>
  <si>
    <r>
      <rPr>
        <rFont val="Calibri"/>
        <b/>
        <color rgb="FF1155CC"/>
        <sz val="11.0"/>
        <u/>
      </rPr>
      <t>01-WORK IN PROGRESS/BIM/MODELS/DELEGATED DESIGN R22/MEP/NWC</t>
    </r>
  </si>
  <si>
    <r>
      <rPr>
        <rFont val="Calibri"/>
        <b/>
        <color rgb="FF1155CC"/>
        <sz val="11.0"/>
        <u/>
      </rPr>
      <t>CPQ11-PLMB-PLMB-DATA-R22.nwc</t>
    </r>
  </si>
  <si>
    <t>31 MB</t>
  </si>
  <si>
    <r>
      <rPr>
        <rFont val="Calibri"/>
        <b/>
        <color rgb="FF1155CC"/>
        <sz val="11.0"/>
        <u/>
      </rPr>
      <t>01-WORK IN PROGRESS/BIM/MODELS/DELEGATED DESIGN R22/MEP/NWC</t>
    </r>
  </si>
  <si>
    <r>
      <rPr>
        <rFont val="Calibri"/>
        <b/>
        <color rgb="FF1155CC"/>
        <sz val="11.0"/>
        <u/>
      </rPr>
      <t>CPQ11-PLMB-PLMB-SITE-R22.nwc</t>
    </r>
  </si>
  <si>
    <t>34.2 MB</t>
  </si>
  <si>
    <t>Apr 8, 2026 10:56 AM</t>
  </si>
  <si>
    <r>
      <rPr>
        <rFont val="Calibri"/>
        <b/>
        <color rgb="FF1155CC"/>
        <sz val="11.0"/>
        <u/>
      </rPr>
      <t>01-WORK IN PROGRESS/BIM/MODELS/DELEGATED DESIGN R22/MEP/NWC</t>
    </r>
  </si>
  <si>
    <r>
      <rPr>
        <rFont val="Calibri"/>
        <b/>
        <color rgb="FF1155CC"/>
        <sz val="11.0"/>
        <u/>
      </rPr>
      <t>CPQ11-ROIP-DEVS-DATA-R22.nwc</t>
    </r>
  </si>
  <si>
    <t>May 8, 2026 3:07 PM</t>
  </si>
  <si>
    <r>
      <rPr>
        <rFont val="Calibri"/>
        <b/>
        <color rgb="FF1155CC"/>
        <sz val="11.0"/>
        <u/>
      </rPr>
      <t>01-WORK IN PROGRESS/BIM/MODELS/DELEGATED DESIGN R22/MEP/NWC</t>
    </r>
  </si>
  <si>
    <r>
      <rPr>
        <rFont val="Calibri"/>
        <b/>
        <color rgb="FF1155CC"/>
        <sz val="11.0"/>
        <u/>
      </rPr>
      <t>CPQ11-ROIP-DEVS-GUAR-R22.nwc</t>
    </r>
  </si>
  <si>
    <t>May 13, 2026 3:04 PM</t>
  </si>
  <si>
    <r>
      <rPr>
        <rFont val="Calibri"/>
        <b/>
        <color rgb="FF1155CC"/>
        <sz val="11.0"/>
        <u/>
      </rPr>
      <t>01-WORK IN PROGRESS/BIM/MODELS/DELEGATED DESIGN R22/MEP/NWC</t>
    </r>
  </si>
  <si>
    <r>
      <rPr>
        <rFont val="Calibri"/>
        <b/>
        <color rgb="FF1155CC"/>
        <sz val="11.0"/>
        <u/>
      </rPr>
      <t>CPQ11-SCTY-DEVS-DATA-R22.nwc</t>
    </r>
  </si>
  <si>
    <t>4.8 MB</t>
  </si>
  <si>
    <t>May 6, 2026 9:07 AM</t>
  </si>
  <si>
    <r>
      <rPr>
        <rFont val="Calibri"/>
        <b/>
        <color rgb="FF1155CC"/>
        <sz val="11.0"/>
        <u/>
      </rPr>
      <t>01-WORK IN PROGRESS/BIM/MODELS/DELEGATED DESIGN R22/MEP/NWC</t>
    </r>
  </si>
  <si>
    <r>
      <rPr>
        <rFont val="Calibri"/>
        <b/>
        <color rgb="FF1155CC"/>
        <sz val="11.0"/>
        <u/>
      </rPr>
      <t>CPQ11-SCTY-DEVS-SITE-R22.nwc</t>
    </r>
  </si>
  <si>
    <t>4.1 MB</t>
  </si>
  <si>
    <t>Apr 10, 2026 4:37 PM</t>
  </si>
  <si>
    <r>
      <rPr>
        <rFont val="Calibri"/>
        <b/>
        <color rgb="FF1155CC"/>
        <sz val="11.0"/>
        <u/>
      </rPr>
      <t>01-WORK IN PROGRESS/BIM/MODELS/DELEGATED DESIGN R22/MEP/NWC</t>
    </r>
  </si>
  <si>
    <r>
      <rPr>
        <rFont val="Calibri"/>
        <b/>
        <color rgb="FF1155CC"/>
        <sz val="11.0"/>
        <u/>
      </rPr>
      <t>CPQ11-SCTY-GATE-SITE-R24.nwc</t>
    </r>
  </si>
  <si>
    <t>May 7, 2026 5:21 PM</t>
  </si>
  <si>
    <r>
      <rPr>
        <rFont val="Calibri"/>
        <b/>
        <color rgb="FF1155CC"/>
        <sz val="11.0"/>
        <u/>
      </rPr>
      <t>01-WORK IN PROGRESS/BIM/MODELS/DELEGATED DESIGN R22/MEP/NWC</t>
    </r>
  </si>
  <si>
    <r>
      <rPr>
        <rFont val="Calibri"/>
        <b/>
        <color rgb="FF1155CC"/>
        <sz val="11.0"/>
        <u/>
      </rPr>
      <t>CPQ11-SCTY-INFR-DATA-R22.nwc</t>
    </r>
  </si>
  <si>
    <r>
      <rPr>
        <rFont val="Calibri"/>
        <b/>
        <color rgb="FF1155CC"/>
        <sz val="11.0"/>
        <u/>
      </rPr>
      <t>01-WORK IN PROGRESS/BIM/MODELS/DELEGATED DESIGN R22/MEP/NWC</t>
    </r>
  </si>
  <si>
    <r>
      <rPr>
        <rFont val="Calibri"/>
        <b/>
        <color rgb="FF1155CC"/>
        <sz val="11.0"/>
        <u/>
      </rPr>
      <t>CPQ11-SCTY-INFR-SITE-R22.nwc</t>
    </r>
  </si>
  <si>
    <t>883.5 KB</t>
  </si>
  <si>
    <t>May 5, 2026 10:22 AM</t>
  </si>
  <si>
    <r>
      <rPr>
        <rFont val="Calibri"/>
        <b/>
        <color rgb="FF1155CC"/>
        <sz val="11.0"/>
        <u/>
      </rPr>
      <t>01-WORK IN PROGRESS/BIM/MODELS/DELEGATED DESIGN R22/MEP/NWC</t>
    </r>
  </si>
  <si>
    <r>
      <rPr>
        <rFont val="Calibri"/>
        <b/>
        <color rgb="FF1155CC"/>
        <sz val="11.0"/>
        <u/>
      </rPr>
      <t>CPQ11-SYST-INFR-DATA-R22.nwc</t>
    </r>
  </si>
  <si>
    <t>63.5 MB</t>
  </si>
  <si>
    <t>Apr 10, 2026 4:17 PM</t>
  </si>
  <si>
    <r>
      <rPr>
        <rFont val="Calibri"/>
        <b/>
        <color rgb="FF1155CC"/>
        <sz val="11.0"/>
        <u/>
      </rPr>
      <t>01-WORK IN PROGRESS/BIM/MODELS/DELEGATED DESIGN R22/MEP/NWC</t>
    </r>
  </si>
  <si>
    <r>
      <rPr>
        <rFont val="Calibri"/>
        <b/>
        <color rgb="FF1155CC"/>
        <sz val="11.0"/>
        <u/>
      </rPr>
      <t>CPQ11-SYST-INFR-SITE-R22.nwc</t>
    </r>
  </si>
  <si>
    <t>166.6 MB</t>
  </si>
  <si>
    <t>May 12, 2026 9:50 AM</t>
  </si>
  <si>
    <r>
      <rPr>
        <rFont val="Calibri"/>
        <b/>
        <color rgb="FF1155CC"/>
        <sz val="11.0"/>
        <u/>
      </rPr>
      <t>01-WORK IN PROGRESS/BIM/MODELS/DELEGATED DESIGN R22/MEP/NWC</t>
    </r>
  </si>
  <si>
    <r>
      <rPr>
        <rFont val="Calibri"/>
        <b/>
        <color rgb="FF1155CC"/>
        <sz val="11.0"/>
        <u/>
      </rPr>
      <t>CPQ11-TCOM-DEVS-DATA-R22.nwc</t>
    </r>
  </si>
  <si>
    <t>6.5 MB</t>
  </si>
  <si>
    <r>
      <rPr>
        <rFont val="Calibri"/>
        <b/>
        <color rgb="FF1155CC"/>
        <sz val="11.0"/>
        <u/>
      </rPr>
      <t>01-WORK IN PROGRESS/BIM/MODELS/DELEGATED DESIGN R22/MEP/NWC</t>
    </r>
  </si>
  <si>
    <r>
      <rPr>
        <rFont val="Calibri"/>
        <b/>
        <color rgb="FF1155CC"/>
        <sz val="11.0"/>
        <u/>
      </rPr>
      <t>CPQ11-TCOM-DEVS-SITE-R22.nwc</t>
    </r>
  </si>
  <si>
    <t>221.9 KB</t>
  </si>
  <si>
    <t>Apr 29, 2026 4:50 PM</t>
  </si>
  <si>
    <r>
      <rPr>
        <rFont val="Calibri"/>
        <b/>
        <color rgb="FF1155CC"/>
        <sz val="11.0"/>
        <u/>
      </rPr>
      <t>01-WORK IN PROGRESS/BIM/MODELS/DELEGATED DESIGN R22/MEP/OBSOLET</t>
    </r>
  </si>
  <si>
    <r>
      <rPr>
        <rFont val="Calibri"/>
        <b/>
        <color rgb="FF1155CC"/>
        <sz val="11.0"/>
        <u/>
      </rPr>
      <t>CPQ11-BAS-R22.rvt</t>
    </r>
  </si>
  <si>
    <t>119.8 MB</t>
  </si>
  <si>
    <t>Dec 13, 2024 2:45 PM</t>
  </si>
  <si>
    <r>
      <rPr>
        <rFont val="Calibri"/>
        <b/>
        <color rgb="FF1155CC"/>
        <sz val="11.0"/>
        <u/>
      </rPr>
      <t>01-WORK IN PROGRESS/BIM/MODELS/DELEGATED DESIGN R22/MEP/OBSOLET</t>
    </r>
  </si>
  <si>
    <r>
      <rPr>
        <rFont val="Calibri"/>
        <b/>
        <color rgb="FF1155CC"/>
        <sz val="11.0"/>
        <u/>
      </rPr>
      <t>CPQ11-ELEC-R22.nwc</t>
    </r>
  </si>
  <si>
    <t>125.5 MB</t>
  </si>
  <si>
    <t>Dec 18, 2024 10:36 AM</t>
  </si>
  <si>
    <r>
      <rPr>
        <rFont val="Calibri"/>
        <b/>
        <color rgb="FF1155CC"/>
        <sz val="11.0"/>
        <u/>
      </rPr>
      <t>01-WORK IN PROGRESS/BIM/MODELS/DELEGATED DESIGN R22/MEP/OBSOLET</t>
    </r>
  </si>
  <si>
    <r>
      <rPr>
        <rFont val="Calibri"/>
        <b/>
        <color rgb="FF1155CC"/>
        <sz val="11.0"/>
        <u/>
      </rPr>
      <t>CPQ11-ELEC-R22.rvt</t>
    </r>
  </si>
  <si>
    <t>360 MB</t>
  </si>
  <si>
    <r>
      <rPr>
        <rFont val="Calibri"/>
        <b/>
        <color rgb="FF1155CC"/>
        <sz val="11.0"/>
        <u/>
      </rPr>
      <t>01-WORK IN PROGRESS/BIM/MODELS/DELEGATED DESIGN R22/MEP/OBSOLET</t>
    </r>
  </si>
  <si>
    <r>
      <rPr>
        <rFont val="Calibri"/>
        <b/>
        <color rgb="FF1155CC"/>
        <sz val="11.0"/>
        <u/>
      </rPr>
      <t>CPQ11-ELEC-SITE-R22.nwc</t>
    </r>
  </si>
  <si>
    <t>155.7 MB</t>
  </si>
  <si>
    <r>
      <rPr>
        <rFont val="Calibri"/>
        <b/>
        <color rgb="FF1155CC"/>
        <sz val="11.0"/>
        <u/>
      </rPr>
      <t>01-WORK IN PROGRESS/BIM/MODELS/DELEGATED DESIGN R22/MEP/OBSOLET</t>
    </r>
  </si>
  <si>
    <r>
      <rPr>
        <rFont val="Calibri"/>
        <b/>
        <color rgb="FF1155CC"/>
        <sz val="11.0"/>
        <u/>
      </rPr>
      <t>CPQ11-ELEC-SITE-R22.rvt</t>
    </r>
  </si>
  <si>
    <t>52.1 MB</t>
  </si>
  <si>
    <r>
      <rPr>
        <rFont val="Calibri"/>
        <b/>
        <color rgb="FF1155CC"/>
        <sz val="11.0"/>
        <u/>
      </rPr>
      <t>01-WORK IN PROGRESS/BIM/MODELS/DELEGATED DESIGN R22/MEP/OBSOLET</t>
    </r>
  </si>
  <si>
    <r>
      <rPr>
        <rFont val="Calibri"/>
        <b/>
        <color rgb="FF1155CC"/>
        <sz val="11.0"/>
        <u/>
      </rPr>
      <t>CPQ11-FALM-R22.rvt</t>
    </r>
  </si>
  <si>
    <t>32.6 MB</t>
  </si>
  <si>
    <r>
      <rPr>
        <rFont val="Calibri"/>
        <b/>
        <color rgb="FF1155CC"/>
        <sz val="11.0"/>
        <u/>
      </rPr>
      <t>01-WORK IN PROGRESS/BIM/MODELS/DELEGATED DESIGN R22/MEP/OBSOLET</t>
    </r>
  </si>
  <si>
    <r>
      <rPr>
        <rFont val="Calibri"/>
        <b/>
        <color rgb="FF1155CC"/>
        <sz val="11.0"/>
        <u/>
      </rPr>
      <t>CPQ11-FPRT-R22.rvt</t>
    </r>
  </si>
  <si>
    <t>197.6 MB</t>
  </si>
  <si>
    <t>Dec 19, 2024 11:31 AM</t>
  </si>
  <si>
    <r>
      <rPr>
        <rFont val="Calibri"/>
        <b/>
        <color rgb="FF1155CC"/>
        <sz val="11.0"/>
        <u/>
      </rPr>
      <t>01-WORK IN PROGRESS/BIM/MODELS/DELEGATED DESIGN R22/MEP/OBSOLET</t>
    </r>
  </si>
  <si>
    <r>
      <rPr>
        <rFont val="Calibri"/>
        <b/>
        <color rgb="FF1155CC"/>
        <sz val="11.0"/>
        <u/>
      </rPr>
      <t>CPQ11-FPRT-SITE-R22.rvt</t>
    </r>
  </si>
  <si>
    <t>68.3 MB</t>
  </si>
  <si>
    <t>Dec 19, 2024 11:32 AM</t>
  </si>
  <si>
    <r>
      <rPr>
        <rFont val="Calibri"/>
        <b/>
        <color rgb="FF1155CC"/>
        <sz val="11.0"/>
        <u/>
      </rPr>
      <t>01-WORK IN PROGRESS/BIM/MODELS/DELEGATED DESIGN R22/MEP/OBSOLET</t>
    </r>
  </si>
  <si>
    <r>
      <rPr>
        <rFont val="Calibri"/>
        <b/>
        <color rgb="FF1155CC"/>
        <sz val="11.0"/>
        <u/>
      </rPr>
      <t>CPQ11-FRPT-METK-UTLS-R22.nwc</t>
    </r>
  </si>
  <si>
    <r>
      <rPr>
        <rFont val="Calibri"/>
        <b/>
        <color rgb="FF1155CC"/>
        <sz val="11.0"/>
        <u/>
      </rPr>
      <t>01-WORK IN PROGRESS/BIM/MODELS/DELEGATED DESIGN R22/MEP/OBSOLET</t>
    </r>
  </si>
  <si>
    <r>
      <rPr>
        <rFont val="Calibri"/>
        <b/>
        <color rgb="FF1155CC"/>
        <sz val="11.0"/>
        <u/>
      </rPr>
      <t>CPQ11-FRPT-METK-UTLS-R22.rvt</t>
    </r>
  </si>
  <si>
    <t>8.4 MB</t>
  </si>
  <si>
    <r>
      <rPr>
        <rFont val="Calibri"/>
        <b/>
        <color rgb="FF1155CC"/>
        <sz val="11.0"/>
        <u/>
      </rPr>
      <t>01-WORK IN PROGRESS/BIM/MODELS/DELEGATED DESIGN R22/MEP/OBSOLET</t>
    </r>
  </si>
  <si>
    <r>
      <rPr>
        <rFont val="Calibri"/>
        <b/>
        <color rgb="FF1155CC"/>
        <sz val="11.0"/>
        <u/>
      </rPr>
      <t>CPQ11-FRPT-METK-UTLS_-R22.rvt</t>
    </r>
  </si>
  <si>
    <r>
      <rPr>
        <rFont val="Calibri"/>
        <b/>
        <color rgb="FF1155CC"/>
        <sz val="11.0"/>
        <u/>
      </rPr>
      <t>01-WORK IN PROGRESS/BIM/MODELS/DELEGATED DESIGN R22/MEP/OBSOLET</t>
    </r>
  </si>
  <si>
    <r>
      <rPr>
        <rFont val="Calibri"/>
        <b/>
        <color rgb="FF1155CC"/>
        <sz val="11.0"/>
        <u/>
      </rPr>
      <t>CPQ11-PLMB-R22.rvt</t>
    </r>
  </si>
  <si>
    <t>148.6 MB</t>
  </si>
  <si>
    <t>Dec 19, 2024 10:09 AM</t>
  </si>
  <si>
    <r>
      <rPr>
        <rFont val="Calibri"/>
        <b/>
        <color rgb="FF1155CC"/>
        <sz val="11.0"/>
        <u/>
      </rPr>
      <t>01-WORK IN PROGRESS/BIM/MODELS/DELEGATED DESIGN R22/MEP/OBSOLET</t>
    </r>
  </si>
  <si>
    <r>
      <rPr>
        <rFont val="Calibri"/>
        <b/>
        <color rgb="FF1155CC"/>
        <sz val="11.0"/>
        <u/>
      </rPr>
      <t>CPQ11-PLMB-SITE-R22.nwc</t>
    </r>
  </si>
  <si>
    <t>37.7 MB</t>
  </si>
  <si>
    <t>Dec 19, 2024 10:10 AM</t>
  </si>
  <si>
    <r>
      <rPr>
        <rFont val="Calibri"/>
        <b/>
        <color rgb="FF1155CC"/>
        <sz val="11.0"/>
        <u/>
      </rPr>
      <t>01-WORK IN PROGRESS/BIM/MODELS/DELEGATED DESIGN R22/MEP/OBSOLET</t>
    </r>
  </si>
  <si>
    <r>
      <rPr>
        <rFont val="Calibri"/>
        <b/>
        <color rgb="FF1155CC"/>
        <sz val="11.0"/>
        <u/>
      </rPr>
      <t>CPQ11-PLMB-SITE-R22.rvt</t>
    </r>
  </si>
  <si>
    <t>105.4 MB</t>
  </si>
  <si>
    <r>
      <rPr>
        <rFont val="Calibri"/>
        <b/>
        <color rgb="FF1155CC"/>
        <sz val="11.0"/>
        <u/>
      </rPr>
      <t>01-WORK IN PROGRESS/BIM/MODELS/DELEGATED DESIGN R22/MEP/OBSOLET</t>
    </r>
  </si>
  <si>
    <r>
      <rPr>
        <rFont val="Calibri"/>
        <b/>
        <color rgb="FF1155CC"/>
        <sz val="11.0"/>
        <u/>
      </rPr>
      <t>CPQ11-SCTY-R22.nwc</t>
    </r>
  </si>
  <si>
    <t>29.6 MB</t>
  </si>
  <si>
    <r>
      <rPr>
        <rFont val="Calibri"/>
        <b/>
        <color rgb="FF1155CC"/>
        <sz val="11.0"/>
        <u/>
      </rPr>
      <t>01-WORK IN PROGRESS/BIM/MODELS/DELEGATED DESIGN R22/MEP/OBSOLET</t>
    </r>
  </si>
  <si>
    <r>
      <rPr>
        <rFont val="Calibri"/>
        <b/>
        <color rgb="FF1155CC"/>
        <sz val="11.0"/>
        <u/>
      </rPr>
      <t>CPQ11-SCTY-R22.rvt</t>
    </r>
  </si>
  <si>
    <r>
      <rPr>
        <rFont val="Calibri"/>
        <b/>
        <color rgb="FF1155CC"/>
        <sz val="11.0"/>
        <u/>
      </rPr>
      <t>01-WORK IN PROGRESS/BIM/MODELS/DELEGATED DESIGN R22/MEP/OBSOLET</t>
    </r>
  </si>
  <si>
    <r>
      <rPr>
        <rFont val="Calibri"/>
        <b/>
        <color rgb="FF1155CC"/>
        <sz val="11.0"/>
        <u/>
      </rPr>
      <t>CPQ11-SECURITY-SITE-R22.ifc</t>
    </r>
  </si>
  <si>
    <t>66.7 MB</t>
  </si>
  <si>
    <t>May 13, 2026 3:35 PM</t>
  </si>
  <si>
    <r>
      <rPr>
        <rFont val="Calibri"/>
        <b/>
        <color rgb="FF1155CC"/>
        <sz val="11.0"/>
        <u/>
      </rPr>
      <t>01-WORK IN PROGRESS/BIM/MODELS/DELEGATED DESIGN R22/MEP/OBSOLET</t>
    </r>
  </si>
  <si>
    <r>
      <rPr>
        <rFont val="Calibri"/>
        <b/>
        <color rgb="FF1155CC"/>
        <sz val="11.0"/>
        <u/>
      </rPr>
      <t>CPQ11-SECURITY-SITE-R22.rvt</t>
    </r>
  </si>
  <si>
    <t>48.3 MB</t>
  </si>
  <si>
    <r>
      <rPr>
        <rFont val="Calibri"/>
        <b/>
        <color rgb="FF1155CC"/>
        <sz val="11.0"/>
        <u/>
      </rPr>
      <t>01-WORK IN PROGRESS/BIM/MODELS/DELEGATED DESIGN R22/MEP/OBSOLET</t>
    </r>
  </si>
  <si>
    <r>
      <rPr>
        <rFont val="Calibri"/>
        <b/>
        <color rgb="FF1155CC"/>
        <sz val="11.0"/>
        <u/>
      </rPr>
      <t>CPQ11-TCOM-INFR-DATA-R22.nwc</t>
    </r>
  </si>
  <si>
    <t>88 MB</t>
  </si>
  <si>
    <r>
      <rPr>
        <rFont val="Calibri"/>
        <b/>
        <color rgb="FF1155CC"/>
        <sz val="11.0"/>
        <u/>
      </rPr>
      <t>01-WORK IN PROGRESS/BIM/MODELS/DELEGATED DESIGN R22/MEP/OBSOLET</t>
    </r>
  </si>
  <si>
    <r>
      <rPr>
        <rFont val="Calibri"/>
        <b/>
        <color rgb="FF1155CC"/>
        <sz val="11.0"/>
        <u/>
      </rPr>
      <t>CPQ11-TCOM-INFR-DATA-R22.rvt</t>
    </r>
  </si>
  <si>
    <t>303.2 MB</t>
  </si>
  <si>
    <r>
      <rPr>
        <rFont val="Calibri"/>
        <b/>
        <color rgb="FF1155CC"/>
        <sz val="11.0"/>
        <u/>
      </rPr>
      <t>01-WORK IN PROGRESS/BIM/MODELS/DELEGATED DESIGN R22/MEP/OBSOLET</t>
    </r>
  </si>
  <si>
    <r>
      <rPr>
        <rFont val="Calibri"/>
        <b/>
        <color rgb="FF1155CC"/>
        <sz val="11.0"/>
        <u/>
      </rPr>
      <t>CPQ11-TCOM-INFR-SITE-R22.nwc</t>
    </r>
  </si>
  <si>
    <t>162 MB</t>
  </si>
  <si>
    <r>
      <rPr>
        <rFont val="Calibri"/>
        <b/>
        <color rgb="FF1155CC"/>
        <sz val="11.0"/>
        <u/>
      </rPr>
      <t>01-WORK IN PROGRESS/BIM/MODELS/DELEGATED DESIGN R22/MEP/OBSOLET</t>
    </r>
  </si>
  <si>
    <r>
      <rPr>
        <rFont val="Calibri"/>
        <b/>
        <color rgb="FF1155CC"/>
        <sz val="11.0"/>
        <u/>
      </rPr>
      <t>CPQ11-TCOM-INFR-SITE-R22.rvt</t>
    </r>
  </si>
  <si>
    <t>295.1 MB</t>
  </si>
  <si>
    <r>
      <rPr>
        <rFont val="Calibri"/>
        <b/>
        <color rgb="FF1155CC"/>
        <sz val="11.0"/>
        <u/>
      </rPr>
      <t>01-WORK IN PROGRESS/BIM/MODELS/DELEGATED DESIGN R22/MEP/OBSOLET</t>
    </r>
  </si>
  <si>
    <r>
      <rPr>
        <rFont val="Calibri"/>
        <b/>
        <color rgb="FF1155CC"/>
        <sz val="11.0"/>
        <u/>
      </rPr>
      <t>CPQ11-TCOM-R22.nwc</t>
    </r>
  </si>
  <si>
    <t>249.3 MB</t>
  </si>
  <si>
    <r>
      <rPr>
        <rFont val="Calibri"/>
        <b/>
        <color rgb="FF1155CC"/>
        <sz val="11.0"/>
        <u/>
      </rPr>
      <t>01-WORK IN PROGRESS/BIM/MODELS/DELEGATED DESIGN R22/MEP/OBSOLET</t>
    </r>
  </si>
  <si>
    <r>
      <rPr>
        <rFont val="Calibri"/>
        <b/>
        <color rgb="FF1155CC"/>
        <sz val="11.0"/>
        <u/>
      </rPr>
      <t>CPQ11-TCOM-R22.rvt</t>
    </r>
  </si>
  <si>
    <t>309.4 MB</t>
  </si>
  <si>
    <r>
      <rPr>
        <rFont val="Calibri"/>
        <b/>
        <color rgb="FF1155CC"/>
        <sz val="11.0"/>
        <u/>
      </rPr>
      <t>01-WORK IN PROGRESS/BIM/MODELS/DELEGATED DESIGN R22/MEP</t>
    </r>
  </si>
  <si>
    <r>
      <rPr>
        <rFont val="Calibri"/>
        <b/>
        <color rgb="FF1155CC"/>
        <sz val="11.0"/>
        <u/>
      </rPr>
      <t>CPQ11-BASM-DEVS-DATA-R22.rvt</t>
    </r>
  </si>
  <si>
    <t>51.5 MB</t>
  </si>
  <si>
    <r>
      <rPr>
        <rFont val="Calibri"/>
        <b/>
        <color rgb="FF1155CC"/>
        <sz val="11.0"/>
        <u/>
      </rPr>
      <t>01-WORK IN PROGRESS/BIM/MODELS/DELEGATED DESIGN R22/MEP</t>
    </r>
  </si>
  <si>
    <r>
      <rPr>
        <rFont val="Calibri"/>
        <b/>
        <color rgb="FF1155CC"/>
        <sz val="11.0"/>
        <u/>
      </rPr>
      <t>CPQ11-BASM-DEVS-PUMP-R22.rvt</t>
    </r>
  </si>
  <si>
    <t>37.9 MB</t>
  </si>
  <si>
    <r>
      <rPr>
        <rFont val="Calibri"/>
        <b/>
        <color rgb="FF1155CC"/>
        <sz val="11.0"/>
        <u/>
      </rPr>
      <t>01-WORK IN PROGRESS/BIM/MODELS/DELEGATED DESIGN R22/MEP</t>
    </r>
  </si>
  <si>
    <r>
      <rPr>
        <rFont val="Calibri"/>
        <b/>
        <color rgb="FF1155CC"/>
        <sz val="11.0"/>
        <u/>
      </rPr>
      <t>CPQ11-BASM-INFR-DATA-R22.rvt</t>
    </r>
  </si>
  <si>
    <t>52.4 MB</t>
  </si>
  <si>
    <r>
      <rPr>
        <rFont val="Calibri"/>
        <b/>
        <color rgb="FF1155CC"/>
        <sz val="11.0"/>
        <u/>
      </rPr>
      <t>01-WORK IN PROGRESS/BIM/MODELS/DELEGATED DESIGN R22/MEP</t>
    </r>
  </si>
  <si>
    <r>
      <rPr>
        <rFont val="Calibri"/>
        <b/>
        <color rgb="FF1155CC"/>
        <sz val="11.0"/>
        <u/>
      </rPr>
      <t>CPQ11-BASM-INFR-PUMP-R22.rvt</t>
    </r>
  </si>
  <si>
    <t>32.4 MB</t>
  </si>
  <si>
    <t>Apr 24, 2026 11:20 AM</t>
  </si>
  <si>
    <r>
      <rPr>
        <rFont val="Calibri"/>
        <b/>
        <color rgb="FF1155CC"/>
        <sz val="11.0"/>
        <u/>
      </rPr>
      <t>01-WORK IN PROGRESS/BIM/MODELS/DELEGATED DESIGN R22/MEP</t>
    </r>
  </si>
  <si>
    <r>
      <rPr>
        <rFont val="Calibri"/>
        <b/>
        <color rgb="FF1155CC"/>
        <sz val="11.0"/>
        <u/>
      </rPr>
      <t>CPQ11-DALI-DEVS-DATA-R22.rvt</t>
    </r>
  </si>
  <si>
    <t>206.5 MB</t>
  </si>
  <si>
    <t>Apr 15, 2026 6:03 PM</t>
  </si>
  <si>
    <r>
      <rPr>
        <rFont val="Calibri"/>
        <b/>
        <color rgb="FF1155CC"/>
        <sz val="11.0"/>
        <u/>
      </rPr>
      <t>01-WORK IN PROGRESS/BIM/MODELS/DELEGATED DESIGN R22/MEP</t>
    </r>
  </si>
  <si>
    <r>
      <rPr>
        <rFont val="Calibri"/>
        <b/>
        <color rgb="FF1155CC"/>
        <sz val="11.0"/>
        <u/>
      </rPr>
      <t>CPQ11-DASM-DEVS-DATA-R22.rvt</t>
    </r>
  </si>
  <si>
    <t>328.1 MB</t>
  </si>
  <si>
    <t>Apr 16, 2026 10:45 AM</t>
  </si>
  <si>
    <r>
      <rPr>
        <rFont val="Calibri"/>
        <b/>
        <color rgb="FF1155CC"/>
        <sz val="11.0"/>
        <u/>
      </rPr>
      <t>01-WORK IN PROGRESS/BIM/MODELS/DELEGATED DESIGN R22/MEP</t>
    </r>
  </si>
  <si>
    <r>
      <rPr>
        <rFont val="Calibri"/>
        <b/>
        <color rgb="FF1155CC"/>
        <sz val="11.0"/>
        <u/>
      </rPr>
      <t>CPQ11-ELEC-ELEC-DATA-R22.rvt</t>
    </r>
  </si>
  <si>
    <t>V52</t>
  </si>
  <si>
    <t>282.7 MB</t>
  </si>
  <si>
    <t>Apr 30, 2026 11:36 PM</t>
  </si>
  <si>
    <r>
      <rPr>
        <rFont val="Calibri"/>
        <b/>
        <color rgb="FF1155CC"/>
        <sz val="11.0"/>
        <u/>
      </rPr>
      <t>01-WORK IN PROGRESS/BIM/MODELS/DELEGATED DESIGN R22/MEP</t>
    </r>
  </si>
  <si>
    <r>
      <rPr>
        <rFont val="Calibri"/>
        <b/>
        <color rgb="FF1155CC"/>
        <sz val="11.0"/>
        <u/>
      </rPr>
      <t>CPQ11-ELEC-ELEC-SITE-R22.rvt</t>
    </r>
  </si>
  <si>
    <t>1 unresolved issue</t>
  </si>
  <si>
    <t>46.7 MB</t>
  </si>
  <si>
    <r>
      <rPr>
        <rFont val="Calibri"/>
        <b/>
        <color rgb="FF1155CC"/>
        <sz val="11.0"/>
        <u/>
      </rPr>
      <t>01-WORK IN PROGRESS/BIM/MODELS/DELEGATED DESIGN R22/MEP</t>
    </r>
  </si>
  <si>
    <r>
      <rPr>
        <rFont val="Calibri"/>
        <b/>
        <color rgb="FF1155CC"/>
        <sz val="11.0"/>
        <u/>
      </rPr>
      <t>CPQ11-ELEC-SPDA-DATA-R22.rvt</t>
    </r>
  </si>
  <si>
    <t>98.2 MB</t>
  </si>
  <si>
    <t>May 12, 2026 9:41 AM</t>
  </si>
  <si>
    <r>
      <rPr>
        <rFont val="Calibri"/>
        <b/>
        <color rgb="FF1155CC"/>
        <sz val="11.0"/>
        <u/>
      </rPr>
      <t>01-WORK IN PROGRESS/BIM/MODELS/DELEGATED DESIGN R22/MEP</t>
    </r>
  </si>
  <si>
    <r>
      <rPr>
        <rFont val="Calibri"/>
        <b/>
        <color rgb="FF1155CC"/>
        <sz val="11.0"/>
        <u/>
      </rPr>
      <t>CPQ11-ELEC-SPDA-SITE-R22.rvt</t>
    </r>
  </si>
  <si>
    <t>69.3 MB</t>
  </si>
  <si>
    <r>
      <rPr>
        <rFont val="Calibri"/>
        <b/>
        <color rgb="FF1155CC"/>
        <sz val="11.0"/>
        <u/>
      </rPr>
      <t>01-WORK IN PROGRESS/BIM/MODELS/DELEGATED DESIGN R22/MEP</t>
    </r>
  </si>
  <si>
    <r>
      <rPr>
        <rFont val="Calibri"/>
        <b/>
        <color rgb="FF1155CC"/>
        <sz val="11.0"/>
        <u/>
      </rPr>
      <t>CPQ11-EPMS-DEVS-DATA-R22.rvt</t>
    </r>
  </si>
  <si>
    <t>23.2 MB</t>
  </si>
  <si>
    <t>Apr 27, 2026 10:43 PM</t>
  </si>
  <si>
    <r>
      <rPr>
        <rFont val="Calibri"/>
        <b/>
        <color rgb="FF1155CC"/>
        <sz val="11.0"/>
        <u/>
      </rPr>
      <t>01-WORK IN PROGRESS/BIM/MODELS/DELEGATED DESIGN R22/MEP</t>
    </r>
  </si>
  <si>
    <r>
      <rPr>
        <rFont val="Calibri"/>
        <b/>
        <color rgb="FF1155CC"/>
        <sz val="11.0"/>
        <u/>
      </rPr>
      <t>CPQ11-EPMS-DEVS-SITE-R22.rvt</t>
    </r>
  </si>
  <si>
    <t>14.8 MB</t>
  </si>
  <si>
    <t>Feb 3, 2026 4:36 PM</t>
  </si>
  <si>
    <r>
      <rPr>
        <rFont val="Calibri"/>
        <b/>
        <color rgb="FF1155CC"/>
        <sz val="11.0"/>
        <u/>
      </rPr>
      <t>01-WORK IN PROGRESS/BIM/MODELS/DELEGATED DESIGN R22/MEP</t>
    </r>
  </si>
  <si>
    <r>
      <rPr>
        <rFont val="Calibri"/>
        <b/>
        <color rgb="FF1155CC"/>
        <sz val="11.0"/>
        <u/>
      </rPr>
      <t>CPQ11-FALM-FALM-DATA-R22.rvt</t>
    </r>
  </si>
  <si>
    <t>52.3 MB</t>
  </si>
  <si>
    <t>May 15, 2026 5:02 PM</t>
  </si>
  <si>
    <r>
      <rPr>
        <rFont val="Calibri"/>
        <b/>
        <color rgb="FF1155CC"/>
        <sz val="11.0"/>
        <u/>
      </rPr>
      <t>01-WORK IN PROGRESS/BIM/MODELS/DELEGATED DESIGN R22/MEP</t>
    </r>
  </si>
  <si>
    <r>
      <rPr>
        <rFont val="Calibri"/>
        <b/>
        <color rgb="FF1155CC"/>
        <sz val="11.0"/>
        <u/>
      </rPr>
      <t>CPQ11-FALM-FALM-SITE-R22.rvt</t>
    </r>
  </si>
  <si>
    <t>May 8, 2026 8:46 AM</t>
  </si>
  <si>
    <r>
      <rPr>
        <rFont val="Calibri"/>
        <b/>
        <color rgb="FF1155CC"/>
        <sz val="11.0"/>
        <u/>
      </rPr>
      <t>01-WORK IN PROGRESS/BIM/MODELS/DELEGATED DESIGN R22/MEP</t>
    </r>
  </si>
  <si>
    <r>
      <rPr>
        <rFont val="Calibri"/>
        <b/>
        <color rgb="FF1155CC"/>
        <sz val="11.0"/>
        <u/>
      </rPr>
      <t>CPQ11-FPRT-FPRT-DATA-R22.rvt</t>
    </r>
  </si>
  <si>
    <t>136.1 MB</t>
  </si>
  <si>
    <t>May 14, 2026 11:16 AM</t>
  </si>
  <si>
    <r>
      <rPr>
        <rFont val="Calibri"/>
        <b/>
        <color rgb="FF1155CC"/>
        <sz val="11.0"/>
        <u/>
      </rPr>
      <t>01-WORK IN PROGRESS/BIM/MODELS/DELEGATED DESIGN R22/MEP</t>
    </r>
  </si>
  <si>
    <r>
      <rPr>
        <rFont val="Calibri"/>
        <b/>
        <color rgb="FF1155CC"/>
        <sz val="11.0"/>
        <u/>
      </rPr>
      <t>CPQ11-FPRT-FPRT-SITE-R22.rvt</t>
    </r>
  </si>
  <si>
    <t>106.9 MB</t>
  </si>
  <si>
    <t>May 14, 2026 10:48 AM</t>
  </si>
  <si>
    <r>
      <rPr>
        <rFont val="Calibri"/>
        <b/>
        <color rgb="FF1155CC"/>
        <sz val="11.0"/>
        <u/>
      </rPr>
      <t>01-WORK IN PROGRESS/BIM/MODELS/DELEGATED DESIGN R22/MEP</t>
    </r>
  </si>
  <si>
    <r>
      <rPr>
        <rFont val="Calibri"/>
        <b/>
        <color rgb="FF1155CC"/>
        <sz val="11.0"/>
        <u/>
      </rPr>
      <t>CPQ11-FPRT-METK-UTLS-R22.rvt</t>
    </r>
  </si>
  <si>
    <r>
      <rPr>
        <rFont val="Calibri"/>
        <b/>
        <color rgb="FF1155CC"/>
        <sz val="11.0"/>
        <u/>
      </rPr>
      <t>01-WORK IN PROGRESS/BIM/MODELS/DELEGATED DESIGN R22/MEP</t>
    </r>
  </si>
  <si>
    <r>
      <rPr>
        <rFont val="Calibri"/>
        <b/>
        <color rgb="FF1155CC"/>
        <sz val="11.0"/>
        <u/>
      </rPr>
      <t>CPQ11-PLMB-DIES-SITE-R22.rvt</t>
    </r>
  </si>
  <si>
    <t>13.2 MB</t>
  </si>
  <si>
    <r>
      <rPr>
        <rFont val="Calibri"/>
        <b/>
        <color rgb="FF1155CC"/>
        <sz val="11.0"/>
        <u/>
      </rPr>
      <t>01-WORK IN PROGRESS/BIM/MODELS/DELEGATED DESIGN R22/MEP</t>
    </r>
  </si>
  <si>
    <r>
      <rPr>
        <rFont val="Calibri"/>
        <b/>
        <color rgb="FF1155CC"/>
        <sz val="11.0"/>
        <u/>
      </rPr>
      <t>CPQ11-PLMB-PLMB-DATA-R22.rvt</t>
    </r>
  </si>
  <si>
    <r>
      <rPr>
        <rFont val="Calibri"/>
        <b/>
        <color rgb="FF1155CC"/>
        <sz val="11.0"/>
        <u/>
      </rPr>
      <t>01-WORK IN PROGRESS/BIM/MODELS/DELEGATED DESIGN R22/MEP</t>
    </r>
  </si>
  <si>
    <r>
      <rPr>
        <rFont val="Calibri"/>
        <b/>
        <color rgb="FF1155CC"/>
        <sz val="11.0"/>
        <u/>
      </rPr>
      <t>CPQ11-PLMB-PLMB-SITE-R22.rvt</t>
    </r>
  </si>
  <si>
    <t>61.4 MB</t>
  </si>
  <si>
    <t>Apr 8, 2026 11:01 AM</t>
  </si>
  <si>
    <r>
      <rPr>
        <rFont val="Calibri"/>
        <b/>
        <color rgb="FF1155CC"/>
        <sz val="11.0"/>
        <u/>
      </rPr>
      <t>01-WORK IN PROGRESS/BIM/MODELS/DELEGATED DESIGN R22/MEP</t>
    </r>
  </si>
  <si>
    <r>
      <rPr>
        <rFont val="Calibri"/>
        <b/>
        <color rgb="FF1155CC"/>
        <sz val="11.0"/>
        <u/>
      </rPr>
      <t>CPQ11-ROIP-DEVS-DATA-R22.rvt</t>
    </r>
  </si>
  <si>
    <t>692.6 MB</t>
  </si>
  <si>
    <t>May 8, 2026 3:16 PM</t>
  </si>
  <si>
    <r>
      <rPr>
        <rFont val="Calibri"/>
        <b/>
        <color rgb="FF1155CC"/>
        <sz val="11.0"/>
        <u/>
      </rPr>
      <t>01-WORK IN PROGRESS/BIM/MODELS/DELEGATED DESIGN R22/MEP</t>
    </r>
  </si>
  <si>
    <r>
      <rPr>
        <rFont val="Calibri"/>
        <b/>
        <color rgb="FF1155CC"/>
        <sz val="11.0"/>
        <u/>
      </rPr>
      <t>CPQ11-ROIP-DEVS-GUAR-R22.rvt</t>
    </r>
  </si>
  <si>
    <t>38 MB</t>
  </si>
  <si>
    <r>
      <rPr>
        <rFont val="Calibri"/>
        <b/>
        <color rgb="FF1155CC"/>
        <sz val="11.0"/>
        <u/>
      </rPr>
      <t>01-WORK IN PROGRESS/BIM/MODELS/DELEGATED DESIGN R22/MEP</t>
    </r>
  </si>
  <si>
    <r>
      <rPr>
        <rFont val="Calibri"/>
        <b/>
        <color rgb="FF1155CC"/>
        <sz val="11.0"/>
        <u/>
      </rPr>
      <t>CPQ11-SCTY-DEVS-DATA-R22.rvt</t>
    </r>
  </si>
  <si>
    <t>208.4 MB</t>
  </si>
  <si>
    <t>May 6, 2026 9:11 AM</t>
  </si>
  <si>
    <r>
      <rPr>
        <rFont val="Calibri"/>
        <b/>
        <color rgb="FF1155CC"/>
        <sz val="11.0"/>
        <u/>
      </rPr>
      <t>01-WORK IN PROGRESS/BIM/MODELS/DELEGATED DESIGN R22/MEP</t>
    </r>
  </si>
  <si>
    <r>
      <rPr>
        <rFont val="Calibri"/>
        <b/>
        <color rgb="FF1155CC"/>
        <sz val="11.0"/>
        <u/>
      </rPr>
      <t>CPQ11-SCTY-DEVS-SITE-R22.rvt</t>
    </r>
  </si>
  <si>
    <t>222.7 MB</t>
  </si>
  <si>
    <t>Apr 10, 2026 4:38 PM</t>
  </si>
  <si>
    <r>
      <rPr>
        <rFont val="Calibri"/>
        <b/>
        <color rgb="FF1155CC"/>
        <sz val="11.0"/>
        <u/>
      </rPr>
      <t>01-WORK IN PROGRESS/BIM/MODELS/DELEGATED DESIGN R22/MEP</t>
    </r>
  </si>
  <si>
    <r>
      <rPr>
        <rFont val="Calibri"/>
        <b/>
        <color rgb="FF1155CC"/>
        <sz val="11.0"/>
        <u/>
      </rPr>
      <t>CPQ11-SCTY-GATE-SITE-R24.ifc</t>
    </r>
  </si>
  <si>
    <t>May 7, 2026 5:22 PM</t>
  </si>
  <si>
    <r>
      <rPr>
        <rFont val="Calibri"/>
        <b/>
        <color rgb="FF1155CC"/>
        <sz val="11.0"/>
        <u/>
      </rPr>
      <t>01-WORK IN PROGRESS/BIM/MODELS/DELEGATED DESIGN R22/MEP</t>
    </r>
  </si>
  <si>
    <r>
      <rPr>
        <rFont val="Calibri"/>
        <b/>
        <color rgb="FF1155CC"/>
        <sz val="11.0"/>
        <u/>
      </rPr>
      <t>CPQ11-SCTY-GATE-SITE-R24.rvt</t>
    </r>
  </si>
  <si>
    <t>37.3 MB</t>
  </si>
  <si>
    <r>
      <rPr>
        <rFont val="Calibri"/>
        <b/>
        <color rgb="FF1155CC"/>
        <sz val="11.0"/>
        <u/>
      </rPr>
      <t>01-WORK IN PROGRESS/BIM/MODELS/DELEGATED DESIGN R22/MEP</t>
    </r>
  </si>
  <si>
    <r>
      <rPr>
        <rFont val="Calibri"/>
        <b/>
        <color rgb="FF1155CC"/>
        <sz val="11.0"/>
        <u/>
      </rPr>
      <t>CPQ11-SCTY-INFR-DATA-R22.rvt</t>
    </r>
  </si>
  <si>
    <t>43.3 MB</t>
  </si>
  <si>
    <r>
      <rPr>
        <rFont val="Calibri"/>
        <b/>
        <color rgb="FF1155CC"/>
        <sz val="11.0"/>
        <u/>
      </rPr>
      <t>01-WORK IN PROGRESS/BIM/MODELS/DELEGATED DESIGN R22/MEP</t>
    </r>
  </si>
  <si>
    <r>
      <rPr>
        <rFont val="Calibri"/>
        <b/>
        <color rgb="FF1155CC"/>
        <sz val="11.0"/>
        <u/>
      </rPr>
      <t>CPQ11-SCTY-INFR-SITE-R22.rvt</t>
    </r>
  </si>
  <si>
    <t>25.4 MB</t>
  </si>
  <si>
    <r>
      <rPr>
        <rFont val="Calibri"/>
        <b/>
        <color rgb="FF1155CC"/>
        <sz val="11.0"/>
        <u/>
      </rPr>
      <t>01-WORK IN PROGRESS/BIM/MODELS/DELEGATED DESIGN R22/MEP</t>
    </r>
  </si>
  <si>
    <r>
      <rPr>
        <rFont val="Calibri"/>
        <b/>
        <color rgb="FF1155CC"/>
        <sz val="11.0"/>
        <u/>
      </rPr>
      <t>CPQ11-SYST-INFR-DATA-R22.rvt</t>
    </r>
  </si>
  <si>
    <t>Apr 10, 2026 4:26 PM</t>
  </si>
  <si>
    <r>
      <rPr>
        <rFont val="Calibri"/>
        <b/>
        <color rgb="FF1155CC"/>
        <sz val="11.0"/>
        <u/>
      </rPr>
      <t>01-WORK IN PROGRESS/BIM/MODELS/DELEGATED DESIGN R22/MEP</t>
    </r>
  </si>
  <si>
    <r>
      <rPr>
        <rFont val="Calibri"/>
        <b/>
        <color rgb="FF1155CC"/>
        <sz val="11.0"/>
        <u/>
      </rPr>
      <t>CPQ11-SYST-INFR-SITE-R22.rvt</t>
    </r>
  </si>
  <si>
    <t>42.9 MB</t>
  </si>
  <si>
    <t>May 12, 2026 9:54 AM</t>
  </si>
  <si>
    <r>
      <rPr>
        <rFont val="Calibri"/>
        <b/>
        <color rgb="FF1155CC"/>
        <sz val="11.0"/>
        <u/>
      </rPr>
      <t>01-WORK IN PROGRESS/BIM/MODELS/DELEGATED DESIGN R22/MEP</t>
    </r>
  </si>
  <si>
    <r>
      <rPr>
        <rFont val="Calibri"/>
        <b/>
        <color rgb="FF1155CC"/>
        <sz val="11.0"/>
        <u/>
      </rPr>
      <t>CPQ11-TCOM-DEVS-DATA-R22.rvt</t>
    </r>
  </si>
  <si>
    <t>98.9 MB</t>
  </si>
  <si>
    <t>Apr 30, 2026 3:43 PM</t>
  </si>
  <si>
    <r>
      <rPr>
        <rFont val="Calibri"/>
        <b/>
        <color rgb="FF1155CC"/>
        <sz val="11.0"/>
        <u/>
      </rPr>
      <t>01-WORK IN PROGRESS/BIM/MODELS/DELEGATED DESIGN R22/MEP</t>
    </r>
  </si>
  <si>
    <r>
      <rPr>
        <rFont val="Calibri"/>
        <b/>
        <color rgb="FF1155CC"/>
        <sz val="11.0"/>
        <u/>
      </rPr>
      <t>CPQ11-TCOM-DEVS-SITE-R22.rvt</t>
    </r>
  </si>
  <si>
    <t>38.5 MB</t>
  </si>
  <si>
    <t>Apr 29, 2026 4:52 PM</t>
  </si>
  <si>
    <r>
      <rPr>
        <rFont val="Calibri"/>
        <b/>
        <color rgb="FF1155CC"/>
        <sz val="11.0"/>
        <u/>
      </rPr>
      <t>01-WORK IN PROGRESS/BIM/MODELS/DELEGATED DESIGN R22/STEEL STRUCTURE/IFC</t>
    </r>
  </si>
  <si>
    <r>
      <rPr>
        <rFont val="Calibri"/>
        <b/>
        <color rgb="FF1155CC"/>
        <sz val="11.0"/>
        <u/>
      </rPr>
      <t>837-RACIONAL-PROJETO_GALILEU.zip</t>
    </r>
  </si>
  <si>
    <r>
      <rPr>
        <rFont val="Calibri"/>
        <b/>
        <color rgb="FF1155CC"/>
        <sz val="11.0"/>
        <u/>
      </rPr>
      <t>01-WORK IN PROGRESS/BIM/MODELS/DELEGATED DESIGN R22/STEEL STRUCTURE/IFC</t>
    </r>
  </si>
  <si>
    <r>
      <rPr>
        <rFont val="Calibri"/>
        <b/>
        <color rgb="FF1155CC"/>
        <sz val="11.0"/>
        <u/>
      </rPr>
      <t>CPQ11-STRC-STEE-ADMN-2X3.ifc</t>
    </r>
  </si>
  <si>
    <r>
      <rPr>
        <rFont val="Calibri"/>
        <b/>
        <color rgb="FF1155CC"/>
        <sz val="11.0"/>
        <u/>
      </rPr>
      <t>01-WORK IN PROGRESS/BIM/MODELS/DELEGATED DESIGN R22/STEEL STRUCTURE/IFC</t>
    </r>
  </si>
  <si>
    <r>
      <rPr>
        <rFont val="Calibri"/>
        <b/>
        <color rgb="FF1155CC"/>
        <sz val="11.0"/>
        <u/>
      </rPr>
      <t>CPQ11-STRC-STEE-COL1-2X3.ifc</t>
    </r>
  </si>
  <si>
    <r>
      <rPr>
        <rFont val="Calibri"/>
        <b/>
        <color rgb="FF1155CC"/>
        <sz val="11.0"/>
        <u/>
      </rPr>
      <t>01-WORK IN PROGRESS/BIM/MODELS/DELEGATED DESIGN R22/STEEL STRUCTURE/IFC</t>
    </r>
  </si>
  <si>
    <r>
      <rPr>
        <rFont val="Calibri"/>
        <b/>
        <color rgb="FF1155CC"/>
        <sz val="11.0"/>
        <u/>
      </rPr>
      <t>CPQ11-STRC-STEE-COL2-2X3.ifc</t>
    </r>
  </si>
  <si>
    <r>
      <rPr>
        <rFont val="Calibri"/>
        <b/>
        <color rgb="FF1155CC"/>
        <sz val="11.0"/>
        <u/>
      </rPr>
      <t>01-WORK IN PROGRESS/BIM/MODELS/DELEGATED DESIGN R22/STEEL STRUCTURE/IFC</t>
    </r>
  </si>
  <si>
    <r>
      <rPr>
        <rFont val="Calibri"/>
        <b/>
        <color rgb="FF1155CC"/>
        <sz val="11.0"/>
        <u/>
      </rPr>
      <t>CPQ11-STRC-STEE-COL3-2X3.ifc</t>
    </r>
  </si>
  <si>
    <r>
      <rPr>
        <rFont val="Calibri"/>
        <b/>
        <color rgb="FF1155CC"/>
        <sz val="11.0"/>
        <u/>
      </rPr>
      <t>01-WORK IN PROGRESS/BIM/MODELS/DELEGATED DESIGN R22/STEEL STRUCTURE/IFC</t>
    </r>
  </si>
  <si>
    <r>
      <rPr>
        <rFont val="Calibri"/>
        <b/>
        <color rgb="FF1155CC"/>
        <sz val="11.0"/>
        <u/>
      </rPr>
      <t>CPQ11-STRC-STEE-COL4-2X3.ifc</t>
    </r>
  </si>
  <si>
    <t>Dec 5, 2025 5:25 PM</t>
  </si>
  <si>
    <r>
      <rPr>
        <rFont val="Calibri"/>
        <b/>
        <color rgb="FF1155CC"/>
        <sz val="11.0"/>
        <u/>
      </rPr>
      <t>01-WORK IN PROGRESS/BIM/MODELS/DELEGATED DESIGN R22/STEEL STRUCTURE/IFC</t>
    </r>
  </si>
  <si>
    <r>
      <rPr>
        <rFont val="Calibri"/>
        <b/>
        <color rgb="FF1155CC"/>
        <sz val="11.0"/>
        <u/>
      </rPr>
      <t>CPQ11-STRC-STEE-COL5-2X3.ifc</t>
    </r>
  </si>
  <si>
    <r>
      <rPr>
        <rFont val="Calibri"/>
        <b/>
        <color rgb="FF1155CC"/>
        <sz val="11.0"/>
        <u/>
      </rPr>
      <t>01-WORK IN PROGRESS/BIM/MODELS/DELEGATED DESIGN R22/STEEL STRUCTURE/IFC</t>
    </r>
  </si>
  <si>
    <r>
      <rPr>
        <rFont val="Calibri"/>
        <b/>
        <color rgb="FF1155CC"/>
        <sz val="11.0"/>
        <u/>
      </rPr>
      <t>CPQ11-STRC-STEE-GUAR-2X3.ifc</t>
    </r>
  </si>
  <si>
    <r>
      <rPr>
        <rFont val="Calibri"/>
        <b/>
        <color rgb="FF1155CC"/>
        <sz val="11.0"/>
        <u/>
      </rPr>
      <t>01-WORK IN PROGRESS/BIM/MODELS/DELEGATED DESIGN R22/STEEL STRUCTURE/IFC</t>
    </r>
  </si>
  <si>
    <r>
      <rPr>
        <rFont val="Calibri"/>
        <b/>
        <color rgb="FF1155CC"/>
        <sz val="11.0"/>
        <u/>
      </rPr>
      <t>CPQ11-STRC-STEE-STIR-2X3.ifc</t>
    </r>
  </si>
  <si>
    <t>Oct 31, 2025 2:29 PM</t>
  </si>
  <si>
    <r>
      <rPr>
        <rFont val="Calibri"/>
        <b/>
        <color rgb="FF1155CC"/>
        <sz val="11.0"/>
        <u/>
      </rPr>
      <t>01-WORK IN PROGRESS/BIM/MODELS/DELEGATED DESIGN R22/STEEL STRUCTURE/IFC</t>
    </r>
  </si>
  <si>
    <r>
      <rPr>
        <rFont val="Calibri"/>
        <b/>
        <color rgb="FF1155CC"/>
        <sz val="11.0"/>
        <u/>
      </rPr>
      <t>CPQ11-STRC-STEE-UTLS-2X3.ifc</t>
    </r>
  </si>
  <si>
    <t>Feb 11, 2026 11:20 AM</t>
  </si>
  <si>
    <r>
      <rPr>
        <rFont val="Calibri"/>
        <b/>
        <color rgb="FF1155CC"/>
        <sz val="11.0"/>
        <u/>
      </rPr>
      <t>01-WORK IN PROGRESS/BIM/MODELS/DELEGATED DESIGN R22/STEEL STRUCTURE/IFC</t>
    </r>
  </si>
  <si>
    <r>
      <rPr>
        <rFont val="Calibri"/>
        <b/>
        <color rgb="FF1155CC"/>
        <sz val="11.0"/>
        <u/>
      </rPr>
      <t>CPQ11-STRC-STEE-UTLS-2X3.ifc.log</t>
    </r>
  </si>
  <si>
    <t>1.3 KB</t>
  </si>
  <si>
    <t>Feb 12, 2026 2:44 PM</t>
  </si>
  <si>
    <r>
      <rPr>
        <rFont val="Calibri"/>
        <b/>
        <color rgb="FF1155CC"/>
        <sz val="11.0"/>
        <u/>
      </rPr>
      <t>01-WORK IN PROGRESS/BIM/MODELS/DELEGATED DESIGN R22/STEEL STRUCTURE/IFC</t>
    </r>
  </si>
  <si>
    <r>
      <rPr>
        <rFont val="Calibri"/>
        <b/>
        <color rgb="FF1155CC"/>
        <sz val="11.0"/>
        <u/>
      </rPr>
      <t>CPQ11-STRC-STEE-UTLS-2X3.ifc.RVT</t>
    </r>
  </si>
  <si>
    <t>98.5 MB</t>
  </si>
  <si>
    <t>Feb 12, 2026 2:52 PM</t>
  </si>
  <si>
    <r>
      <rPr>
        <rFont val="Calibri"/>
        <b/>
        <color rgb="FF1155CC"/>
        <sz val="11.0"/>
        <u/>
      </rPr>
      <t>01-WORK IN PROGRESS/BIM/MODELS/DELEGATED DESIGN R22/STEEL STRUCTURE/IFC</t>
    </r>
  </si>
  <si>
    <r>
      <rPr>
        <rFont val="Calibri"/>
        <b/>
        <color rgb="FF1155CC"/>
        <sz val="11.0"/>
        <u/>
      </rPr>
      <t>CPQ11-STRC-STEE-UTLS-2X3.ifc.sharedparameters.txt</t>
    </r>
  </si>
  <si>
    <t>10.4 KB</t>
  </si>
  <si>
    <t>Feb 12, 2026 2:46 PM</t>
  </si>
  <si>
    <r>
      <rPr>
        <rFont val="Calibri"/>
        <b/>
        <color rgb="FF1155CC"/>
        <sz val="11.0"/>
        <u/>
      </rPr>
      <t>01-WORK IN PROGRESS/BIM/MODELS/DELEGATED DESIGN R22/STEEL STRUCTURE/OBSOLET</t>
    </r>
  </si>
  <si>
    <r>
      <rPr>
        <rFont val="Calibri"/>
        <b/>
        <color rgb="FF1155CC"/>
        <sz val="11.0"/>
        <u/>
      </rPr>
      <t>CPQ11-STRC-STEE-ADMN-2X3.ifc</t>
    </r>
  </si>
  <si>
    <t>33.2 MB</t>
  </si>
  <si>
    <t>Feb 19, 2025 2:46 PM</t>
  </si>
  <si>
    <r>
      <rPr>
        <rFont val="Calibri"/>
        <b/>
        <color rgb="FF1155CC"/>
        <sz val="11.0"/>
        <u/>
      </rPr>
      <t>01-WORK IN PROGRESS/BIM/MODELS/DELEGATED DESIGN R22/STEEL STRUCTURE/OBSOLET</t>
    </r>
  </si>
  <si>
    <r>
      <rPr>
        <rFont val="Calibri"/>
        <b/>
        <color rgb="FF1155CC"/>
        <sz val="11.0"/>
        <u/>
      </rPr>
      <t>CPQ11-STRC-STEE-COL1-2X3.ifc</t>
    </r>
  </si>
  <si>
    <t>64.7 MB</t>
  </si>
  <si>
    <r>
      <rPr>
        <rFont val="Calibri"/>
        <b/>
        <color rgb="FF1155CC"/>
        <sz val="11.0"/>
        <u/>
      </rPr>
      <t>01-WORK IN PROGRESS/BIM/MODELS/DELEGATED DESIGN R22/STEEL STRUCTURE/OBSOLET</t>
    </r>
  </si>
  <si>
    <r>
      <rPr>
        <rFont val="Calibri"/>
        <b/>
        <color rgb="FF1155CC"/>
        <sz val="11.0"/>
        <u/>
      </rPr>
      <t>CPQ11-STRC-STEE-COL2-2X3.ifc</t>
    </r>
  </si>
  <si>
    <t>76.7 MB</t>
  </si>
  <si>
    <r>
      <rPr>
        <rFont val="Calibri"/>
        <b/>
        <color rgb="FF1155CC"/>
        <sz val="11.0"/>
        <u/>
      </rPr>
      <t>01-WORK IN PROGRESS/BIM/MODELS/DELEGATED DESIGN R22/STEEL STRUCTURE/OBSOLET</t>
    </r>
  </si>
  <si>
    <r>
      <rPr>
        <rFont val="Calibri"/>
        <b/>
        <color rgb="FF1155CC"/>
        <sz val="11.0"/>
        <u/>
      </rPr>
      <t>CPQ11-STRC-STEE-COL3-2X3.ifc</t>
    </r>
  </si>
  <si>
    <r>
      <rPr>
        <rFont val="Calibri"/>
        <b/>
        <color rgb="FF1155CC"/>
        <sz val="11.0"/>
        <u/>
      </rPr>
      <t>01-WORK IN PROGRESS/BIM/MODELS/DELEGATED DESIGN R22/STEEL STRUCTURE/OBSOLET</t>
    </r>
  </si>
  <si>
    <r>
      <rPr>
        <rFont val="Calibri"/>
        <b/>
        <color rgb="FF1155CC"/>
        <sz val="11.0"/>
        <u/>
      </rPr>
      <t>CPQ11-STRC-STEE-COL4-2X3.ifc</t>
    </r>
  </si>
  <si>
    <t>66.6 MB</t>
  </si>
  <si>
    <r>
      <rPr>
        <rFont val="Calibri"/>
        <b/>
        <color rgb="FF1155CC"/>
        <sz val="11.0"/>
        <u/>
      </rPr>
      <t>01-WORK IN PROGRESS/BIM/MODELS/DELEGATED DESIGN R22/STEEL STRUCTURE/OBSOLET</t>
    </r>
  </si>
  <si>
    <r>
      <rPr>
        <rFont val="Calibri"/>
        <b/>
        <color rgb="FF1155CC"/>
        <sz val="11.0"/>
        <u/>
      </rPr>
      <t>CPQ11-STRC-STEE-COL5-2X3.ifc</t>
    </r>
  </si>
  <si>
    <t>80.3 MB</t>
  </si>
  <si>
    <r>
      <rPr>
        <rFont val="Calibri"/>
        <b/>
        <color rgb="FF1155CC"/>
        <sz val="11.0"/>
        <u/>
      </rPr>
      <t>01-WORK IN PROGRESS/BIM/MODELS/DELEGATED DESIGN R22/STEEL STRUCTURE/OBSOLET</t>
    </r>
  </si>
  <si>
    <r>
      <rPr>
        <rFont val="Calibri"/>
        <b/>
        <color rgb="FF1155CC"/>
        <sz val="11.0"/>
        <u/>
      </rPr>
      <t>CPQ11-STRC-STEE-ESCA-2X3.ifc</t>
    </r>
  </si>
  <si>
    <t>11.4 MB</t>
  </si>
  <si>
    <r>
      <rPr>
        <rFont val="Calibri"/>
        <b/>
        <color rgb="FF1155CC"/>
        <sz val="11.0"/>
        <u/>
      </rPr>
      <t>01-WORK IN PROGRESS/BIM/MODELS/DELEGATED DESIGN R22/STEEL STRUCTURE/OBSOLET</t>
    </r>
  </si>
  <si>
    <r>
      <rPr>
        <rFont val="Calibri"/>
        <b/>
        <color rgb="FF1155CC"/>
        <sz val="11.0"/>
        <u/>
      </rPr>
      <t>CPQ11-STRC-STEE-GUAR-2X3.00.ifc</t>
    </r>
  </si>
  <si>
    <t>3.4 MB</t>
  </si>
  <si>
    <t>May 8, 2025 12:11 PM</t>
  </si>
  <si>
    <r>
      <rPr>
        <rFont val="Calibri"/>
        <b/>
        <color rgb="FF1155CC"/>
        <sz val="11.0"/>
        <u/>
      </rPr>
      <t>01-WORK IN PROGRESS/BIM/MODELS/DELEGATED DESIGN R22/STEEL STRUCTURE/OBSOLET</t>
    </r>
  </si>
  <si>
    <r>
      <rPr>
        <rFont val="Calibri"/>
        <b/>
        <color rgb="FF1155CC"/>
        <sz val="11.0"/>
        <u/>
      </rPr>
      <t>CPQ11-STRC-STEE-GUAR-2X3.ifc</t>
    </r>
  </si>
  <si>
    <r>
      <rPr>
        <rFont val="Calibri"/>
        <b/>
        <color rgb="FF1155CC"/>
        <sz val="11.0"/>
        <u/>
      </rPr>
      <t>01-WORK IN PROGRESS/BIM/MODELS/DELEGATED DESIGN R22/STEEL STRUCTURE/OBSOLET</t>
    </r>
  </si>
  <si>
    <r>
      <rPr>
        <rFont val="Calibri"/>
        <b/>
        <color rgb="FF1155CC"/>
        <sz val="11.0"/>
        <u/>
      </rPr>
      <t>CPQ11-STRC-STEE-UTIL-2X3.ifc</t>
    </r>
  </si>
  <si>
    <r>
      <rPr>
        <rFont val="Calibri"/>
        <b/>
        <color rgb="FF1155CC"/>
        <sz val="11.0"/>
        <u/>
      </rPr>
      <t>01-WORK IN PROGRESS/BIM/MODELS/DELEGATED DESIGN R22/STEEL STRUCTURE/OBSOLET</t>
    </r>
  </si>
  <si>
    <r>
      <rPr>
        <rFont val="Calibri"/>
        <b/>
        <color rgb="FF1155CC"/>
        <sz val="11.0"/>
        <u/>
      </rPr>
      <t>CPQ11-STRC-STEE-UTLS-2X3.ifc</t>
    </r>
  </si>
  <si>
    <r>
      <rPr>
        <rFont val="Calibri"/>
        <b/>
        <color rgb="FF1155CC"/>
        <sz val="11.0"/>
        <u/>
      </rPr>
      <t>01-WORK IN PROGRESS/BIM/MODELS/DELEGATED DESIGN R22/STEEL STRUCTURE/OBSOLET</t>
    </r>
  </si>
  <si>
    <r>
      <rPr>
        <rFont val="Calibri"/>
        <b/>
        <color rgb="FF1155CC"/>
        <sz val="11.0"/>
        <u/>
      </rPr>
      <t>CPQ11-STRC-STEEL-ADMN-IFC.ifc</t>
    </r>
  </si>
  <si>
    <t>46.1 MB</t>
  </si>
  <si>
    <r>
      <rPr>
        <rFont val="Calibri"/>
        <b/>
        <color rgb="FF1155CC"/>
        <sz val="11.0"/>
        <u/>
      </rPr>
      <t>01-WORK IN PROGRESS/BIM/MODELS/DELEGATED DESIGN R22/STEEL STRUCTURE/OBSOLET</t>
    </r>
  </si>
  <si>
    <r>
      <rPr>
        <rFont val="Calibri"/>
        <b/>
        <color rgb="FF1155CC"/>
        <sz val="11.0"/>
        <u/>
      </rPr>
      <t>CPQ11-STRC-STEEL-ANEX-IFC.ifc</t>
    </r>
  </si>
  <si>
    <t>Dec 18, 2024 2:18 PM</t>
  </si>
  <si>
    <r>
      <rPr>
        <rFont val="Calibri"/>
        <b/>
        <color rgb="FF1155CC"/>
        <sz val="11.0"/>
        <u/>
      </rPr>
      <t>01-WORK IN PROGRESS/BIM/MODELS/DELEGATED DESIGN R22/STEEL STRUCTURE/OBSOLET</t>
    </r>
  </si>
  <si>
    <r>
      <rPr>
        <rFont val="Calibri"/>
        <b/>
        <color rgb="FF1155CC"/>
        <sz val="11.0"/>
        <u/>
      </rPr>
      <t>CPQ11-STRC-STEEL-ANEXO-03-12-2024.ifc</t>
    </r>
  </si>
  <si>
    <r>
      <rPr>
        <rFont val="Calibri"/>
        <b/>
        <color rgb="FF1155CC"/>
        <sz val="11.0"/>
        <u/>
      </rPr>
      <t>01-WORK IN PROGRESS/BIM/MODELS/DELEGATED DESIGN R22/STEEL STRUCTURE/OBSOLET</t>
    </r>
  </si>
  <si>
    <r>
      <rPr>
        <rFont val="Calibri"/>
        <b/>
        <color rgb="FF1155CC"/>
        <sz val="11.0"/>
        <u/>
      </rPr>
      <t>CPQ11-STRC-STEEL-COL1.ifc</t>
    </r>
  </si>
  <si>
    <t>48.9 MB</t>
  </si>
  <si>
    <r>
      <rPr>
        <rFont val="Calibri"/>
        <b/>
        <color rgb="FF1155CC"/>
        <sz val="11.0"/>
        <u/>
      </rPr>
      <t>01-WORK IN PROGRESS/BIM/MODELS/DELEGATED DESIGN R22/STEEL STRUCTURE/OBSOLET</t>
    </r>
  </si>
  <si>
    <r>
      <rPr>
        <rFont val="Calibri"/>
        <b/>
        <color rgb="FF1155CC"/>
        <sz val="11.0"/>
        <u/>
      </rPr>
      <t>CPQ11-STRC-STEEL-COL2-IFC.ifc</t>
    </r>
  </si>
  <si>
    <t>40.2 MB</t>
  </si>
  <si>
    <r>
      <rPr>
        <rFont val="Calibri"/>
        <b/>
        <color rgb="FF1155CC"/>
        <sz val="11.0"/>
        <u/>
      </rPr>
      <t>01-WORK IN PROGRESS/BIM/MODELS/DELEGATED DESIGN R22/STEEL STRUCTURE/OBSOLET</t>
    </r>
  </si>
  <si>
    <r>
      <rPr>
        <rFont val="Calibri"/>
        <b/>
        <color rgb="FF1155CC"/>
        <sz val="11.0"/>
        <u/>
      </rPr>
      <t>CPQ11-STRC-STEEL-COL3-IFC.ifc</t>
    </r>
  </si>
  <si>
    <r>
      <rPr>
        <rFont val="Calibri"/>
        <b/>
        <color rgb="FF1155CC"/>
        <sz val="11.0"/>
        <u/>
      </rPr>
      <t>01-WORK IN PROGRESS/BIM/MODELS/DELEGATED DESIGN R22/STEEL STRUCTURE/OBSOLET</t>
    </r>
  </si>
  <si>
    <r>
      <rPr>
        <rFont val="Calibri"/>
        <b/>
        <color rgb="FF1155CC"/>
        <sz val="11.0"/>
        <u/>
      </rPr>
      <t>CPQ11-STRC-STEEL-COL4-IFC.ifc</t>
    </r>
  </si>
  <si>
    <t>32.8 MB</t>
  </si>
  <si>
    <r>
      <rPr>
        <rFont val="Calibri"/>
        <b/>
        <color rgb="FF1155CC"/>
        <sz val="11.0"/>
        <u/>
      </rPr>
      <t>01-WORK IN PROGRESS/BIM/MODELS/DELEGATED DESIGN R22/STEEL STRUCTURE/OBSOLET</t>
    </r>
  </si>
  <si>
    <r>
      <rPr>
        <rFont val="Calibri"/>
        <b/>
        <color rgb="FF1155CC"/>
        <sz val="11.0"/>
        <u/>
      </rPr>
      <t>CPQ11-STRC-STEEL-COL5-IFC.ifc</t>
    </r>
  </si>
  <si>
    <t>41.4 MB</t>
  </si>
  <si>
    <r>
      <rPr>
        <rFont val="Calibri"/>
        <b/>
        <color rgb="FF1155CC"/>
        <sz val="11.0"/>
        <u/>
      </rPr>
      <t>01-WORK IN PROGRESS/BIM/MODELS/DELEGATED DESIGN R22/STEEL STRUCTURE/OBSOLET</t>
    </r>
  </si>
  <si>
    <r>
      <rPr>
        <rFont val="Calibri"/>
        <b/>
        <color rgb="FF1155CC"/>
        <sz val="11.0"/>
        <u/>
      </rPr>
      <t>CPQ11-STRC-STEEL-GNRL-IFC.ifc</t>
    </r>
  </si>
  <si>
    <t>170.7 MB</t>
  </si>
  <si>
    <r>
      <rPr>
        <rFont val="Calibri"/>
        <b/>
        <color rgb="FF1155CC"/>
        <sz val="11.0"/>
        <u/>
      </rPr>
      <t>01-WORK IN PROGRESS/BIM/MODELS/DELEGATED DESIGN R22/STEEL STRUCTURE/OBSOLET</t>
    </r>
  </si>
  <si>
    <r>
      <rPr>
        <rFont val="Calibri"/>
        <b/>
        <color rgb="FF1155CC"/>
        <sz val="11.0"/>
        <u/>
      </rPr>
      <t>CPQ11-STRC-STEEL-PROJETO-GALILEU-COMPLETO-14-11-2024.ifc</t>
    </r>
  </si>
  <si>
    <t>270.5 MB</t>
  </si>
  <si>
    <r>
      <rPr>
        <rFont val="Calibri"/>
        <b/>
        <color rgb="FF1155CC"/>
        <sz val="11.0"/>
        <u/>
      </rPr>
      <t>01-WORK IN PROGRESS/BIM/MODELS/DELEGATED DESIGN R22/STEEL STRUCTURE/OBSOLET</t>
    </r>
  </si>
  <si>
    <r>
      <rPr>
        <rFont val="Calibri"/>
        <b/>
        <color rgb="FF1155CC"/>
        <sz val="11.0"/>
        <u/>
      </rPr>
      <t>CPQ11-STRC-STEEL-PROJETO-GALILEU-COMPLETO.ifc</t>
    </r>
  </si>
  <si>
    <t>271.2 MB</t>
  </si>
  <si>
    <r>
      <rPr>
        <rFont val="Calibri"/>
        <b/>
        <color rgb="FF1155CC"/>
        <sz val="11.0"/>
        <u/>
      </rPr>
      <t>01-WORK IN PROGRESS/BIM/MODELS/DELEGATED DESIGN R22/STEEL STRUCTURE/OBSOLET</t>
    </r>
  </si>
  <si>
    <r>
      <rPr>
        <rFont val="Calibri"/>
        <b/>
        <color rgb="FF1155CC"/>
        <sz val="11.0"/>
        <u/>
      </rPr>
      <t>PLAT.GERADORES.ifc</t>
    </r>
  </si>
  <si>
    <r>
      <rPr>
        <rFont val="Calibri"/>
        <b/>
        <color rgb="FF1155CC"/>
        <sz val="11.0"/>
        <u/>
      </rPr>
      <t>01-WORK IN PROGRESS/BIM/MODELS/DELEGATED DESIGN R22/STEEL STRUCTURE/OBSOLET</t>
    </r>
  </si>
  <si>
    <r>
      <rPr>
        <rFont val="Calibri"/>
        <b/>
        <color rgb="FF1155CC"/>
        <sz val="11.0"/>
        <u/>
      </rPr>
      <t>TORRE DE ESCADA 29-07-2024.ifc</t>
    </r>
  </si>
  <si>
    <r>
      <rPr>
        <rFont val="Calibri"/>
        <b/>
        <color rgb="FF1155CC"/>
        <sz val="11.0"/>
        <u/>
      </rPr>
      <t>01-WORK IN PROGRESS/BIM/MODELS/DELEGATED DESIGN R22/STEEL STRUCTURE</t>
    </r>
  </si>
  <si>
    <r>
      <rPr>
        <rFont val="Calibri"/>
        <b/>
        <color rgb="FF1155CC"/>
        <sz val="11.0"/>
        <u/>
      </rPr>
      <t>CPQ11-STRC-STEE-ADMN-R22.RVT</t>
    </r>
  </si>
  <si>
    <t>211.8 MB</t>
  </si>
  <si>
    <r>
      <rPr>
        <rFont val="Calibri"/>
        <b/>
        <color rgb="FF1155CC"/>
        <sz val="11.0"/>
        <u/>
      </rPr>
      <t>01-WORK IN PROGRESS/BIM/MODELS/DELEGATED DESIGN R22/STEEL STRUCTURE</t>
    </r>
  </si>
  <si>
    <r>
      <rPr>
        <rFont val="Calibri"/>
        <b/>
        <color rgb="FF1155CC"/>
        <sz val="11.0"/>
        <u/>
      </rPr>
      <t>CPQ11-STRC-STEE-COL1-R22.RVT</t>
    </r>
  </si>
  <si>
    <t>642 MB</t>
  </si>
  <si>
    <r>
      <rPr>
        <rFont val="Calibri"/>
        <b/>
        <color rgb="FF1155CC"/>
        <sz val="11.0"/>
        <u/>
      </rPr>
      <t>01-WORK IN PROGRESS/BIM/MODELS/DELEGATED DESIGN R22/STEEL STRUCTURE</t>
    </r>
  </si>
  <si>
    <r>
      <rPr>
        <rFont val="Calibri"/>
        <b/>
        <color rgb="FF1155CC"/>
        <sz val="11.0"/>
        <u/>
      </rPr>
      <t>CPQ11-STRC-STEE-COL2-R22.RVT</t>
    </r>
  </si>
  <si>
    <t>717.7 MB</t>
  </si>
  <si>
    <r>
      <rPr>
        <rFont val="Calibri"/>
        <b/>
        <color rgb="FF1155CC"/>
        <sz val="11.0"/>
        <u/>
      </rPr>
      <t>01-WORK IN PROGRESS/BIM/MODELS/DELEGATED DESIGN R22/STEEL STRUCTURE</t>
    </r>
  </si>
  <si>
    <r>
      <rPr>
        <rFont val="Calibri"/>
        <b/>
        <color rgb="FF1155CC"/>
        <sz val="11.0"/>
        <u/>
      </rPr>
      <t>CPQ11-STRC-STEE-COL3-R22.RVT</t>
    </r>
  </si>
  <si>
    <t>719.2 MB</t>
  </si>
  <si>
    <r>
      <rPr>
        <rFont val="Calibri"/>
        <b/>
        <color rgb="FF1155CC"/>
        <sz val="11.0"/>
        <u/>
      </rPr>
      <t>01-WORK IN PROGRESS/BIM/MODELS/DELEGATED DESIGN R22/STEEL STRUCTURE</t>
    </r>
  </si>
  <si>
    <r>
      <rPr>
        <rFont val="Calibri"/>
        <b/>
        <color rgb="FF1155CC"/>
        <sz val="11.0"/>
        <u/>
      </rPr>
      <t>CPQ11-STRC-STEE-COL4-R22.RVT</t>
    </r>
  </si>
  <si>
    <t>656.1 MB</t>
  </si>
  <si>
    <t>Dec 17, 2025 5:21 PM</t>
  </si>
  <si>
    <r>
      <rPr>
        <rFont val="Calibri"/>
        <b/>
        <color rgb="FF1155CC"/>
        <sz val="11.0"/>
        <u/>
      </rPr>
      <t>01-WORK IN PROGRESS/BIM/MODELS/DELEGATED DESIGN R22/STEEL STRUCTURE</t>
    </r>
  </si>
  <si>
    <r>
      <rPr>
        <rFont val="Calibri"/>
        <b/>
        <color rgb="FF1155CC"/>
        <sz val="11.0"/>
        <u/>
      </rPr>
      <t>CPQ11-STRC-STEE-COL5-R22.RVT</t>
    </r>
  </si>
  <si>
    <t>734.7 MB</t>
  </si>
  <si>
    <r>
      <rPr>
        <rFont val="Calibri"/>
        <b/>
        <color rgb="FF1155CC"/>
        <sz val="11.0"/>
        <u/>
      </rPr>
      <t>01-WORK IN PROGRESS/BIM/MODELS/DELEGATED DESIGN R22/STEEL STRUCTURE</t>
    </r>
  </si>
  <si>
    <r>
      <rPr>
        <rFont val="Calibri"/>
        <b/>
        <color rgb="FF1155CC"/>
        <sz val="11.0"/>
        <u/>
      </rPr>
      <t>CPQ11-STRC-STEE-GUAR-R22.RVT</t>
    </r>
  </si>
  <si>
    <t>24.3 MB</t>
  </si>
  <si>
    <r>
      <rPr>
        <rFont val="Calibri"/>
        <b/>
        <color rgb="FF1155CC"/>
        <sz val="11.0"/>
        <u/>
      </rPr>
      <t>01-WORK IN PROGRESS/BIM/MODELS/DELEGATED DESIGN R22/STEEL STRUCTURE</t>
    </r>
  </si>
  <si>
    <r>
      <rPr>
        <rFont val="Calibri"/>
        <b/>
        <color rgb="FF1155CC"/>
        <sz val="11.0"/>
        <u/>
      </rPr>
      <t>CPQ11-STRC-STEE-STIR-R22.RVT</t>
    </r>
  </si>
  <si>
    <t>102.2 MB</t>
  </si>
  <si>
    <r>
      <rPr>
        <rFont val="Calibri"/>
        <b/>
        <color rgb="FF1155CC"/>
        <sz val="11.0"/>
        <u/>
      </rPr>
      <t>01-WORK IN PROGRESS/BIM/MODELS/DELEGATED DESIGN R22/STEEL STRUCTURE</t>
    </r>
  </si>
  <si>
    <r>
      <rPr>
        <rFont val="Calibri"/>
        <b/>
        <color rgb="FF1155CC"/>
        <sz val="11.0"/>
        <u/>
      </rPr>
      <t>CPQ11-STRC-STEE-UTLS-R22.RVT</t>
    </r>
  </si>
  <si>
    <t>99.9 MB</t>
  </si>
  <si>
    <t>Feb 13, 2026 10:27 AM</t>
  </si>
  <si>
    <r>
      <rPr>
        <rFont val="Calibri"/>
        <b/>
        <color rgb="FF1155CC"/>
        <sz val="11.0"/>
        <u/>
      </rPr>
      <t>01-WORK IN PROGRESS/BIM/MODELS/DELEGATED DESIGN R22/STRC/NWC</t>
    </r>
  </si>
  <si>
    <r>
      <rPr>
        <rFont val="Calibri"/>
        <b/>
        <color rgb="FF1155CC"/>
        <sz val="11.0"/>
        <u/>
      </rPr>
      <t>CPQ11-STRC-CONC-DATA-R22.nwc</t>
    </r>
  </si>
  <si>
    <t>472.5 KB</t>
  </si>
  <si>
    <t>Apr 22, 2026 11:13 AM</t>
  </si>
  <si>
    <r>
      <rPr>
        <rFont val="Calibri"/>
        <b/>
        <color rgb="FF1155CC"/>
        <sz val="11.0"/>
        <u/>
      </rPr>
      <t>01-WORK IN PROGRESS/BIM/MODELS/DELEGATED DESIGN R22/STRC/NWC</t>
    </r>
  </si>
  <si>
    <r>
      <rPr>
        <rFont val="Calibri"/>
        <b/>
        <color rgb="FF1155CC"/>
        <sz val="11.0"/>
        <u/>
      </rPr>
      <t>CPQ11-STRC-CONC-SITE-R22.nwc</t>
    </r>
  </si>
  <si>
    <t>586.2 KB</t>
  </si>
  <si>
    <t>May 12, 2026 10:53 AM</t>
  </si>
  <si>
    <r>
      <rPr>
        <rFont val="Calibri"/>
        <b/>
        <color rgb="FF1155CC"/>
        <sz val="11.0"/>
        <u/>
      </rPr>
      <t>01-WORK IN PROGRESS/BIM/MODELS/DELEGATED DESIGN R22/STRC/NWC</t>
    </r>
  </si>
  <si>
    <r>
      <rPr>
        <rFont val="Calibri"/>
        <b/>
        <color rgb="FF1155CC"/>
        <sz val="11.0"/>
        <u/>
      </rPr>
      <t>CPQ11-STRC-DPFN-DATA-R22.nwc</t>
    </r>
  </si>
  <si>
    <t>265.4 KB</t>
  </si>
  <si>
    <t>Apr 28, 2026 11:32 AM</t>
  </si>
  <si>
    <r>
      <rPr>
        <rFont val="Calibri"/>
        <b/>
        <color rgb="FF1155CC"/>
        <sz val="11.0"/>
        <u/>
      </rPr>
      <t>01-WORK IN PROGRESS/BIM/MODELS/DELEGATED DESIGN R22/STRC/NWC</t>
    </r>
  </si>
  <si>
    <r>
      <rPr>
        <rFont val="Calibri"/>
        <b/>
        <color rgb="FF1155CC"/>
        <sz val="11.0"/>
        <u/>
      </rPr>
      <t>CPQ11-STRC-DPFN-SITE-R22.nwc</t>
    </r>
  </si>
  <si>
    <r>
      <rPr>
        <rFont val="Calibri"/>
        <b/>
        <color rgb="FF1155CC"/>
        <sz val="11.0"/>
        <u/>
      </rPr>
      <t>01-WORK IN PROGRESS/BIM/MODELS/DELEGATED DESIGN R22/STRC/NWC</t>
    </r>
  </si>
  <si>
    <r>
      <rPr>
        <rFont val="Calibri"/>
        <b/>
        <color rgb="FF1155CC"/>
        <sz val="11.0"/>
        <u/>
      </rPr>
      <t>CPQ11-STRC-FLOO-DATA-R22.nwc</t>
    </r>
  </si>
  <si>
    <t>2.8 GB</t>
  </si>
  <si>
    <t>May 5, 2026 5:24 PM</t>
  </si>
  <si>
    <r>
      <rPr>
        <rFont val="Calibri"/>
        <b/>
        <color rgb="FF1155CC"/>
        <sz val="11.0"/>
        <u/>
      </rPr>
      <t>01-WORK IN PROGRESS/BIM/MODELS/DELEGATED DESIGN R22/STRC/NWC</t>
    </r>
  </si>
  <si>
    <r>
      <rPr>
        <rFont val="Calibri"/>
        <b/>
        <color rgb="FF1155CC"/>
        <sz val="11.0"/>
        <u/>
      </rPr>
      <t>CPQ11-STRC-FLOO-SITE-R22.nwc</t>
    </r>
  </si>
  <si>
    <t>53.7 MB</t>
  </si>
  <si>
    <t>May 5, 2026 2:44 PM</t>
  </si>
  <si>
    <r>
      <rPr>
        <rFont val="Calibri"/>
        <b/>
        <color rgb="FF1155CC"/>
        <sz val="11.0"/>
        <u/>
      </rPr>
      <t>01-WORK IN PROGRESS/BIM/MODELS/DELEGATED DESIGN R22/STRC</t>
    </r>
  </si>
  <si>
    <r>
      <rPr>
        <rFont val="Calibri"/>
        <b/>
        <color rgb="FF1155CC"/>
        <sz val="11.0"/>
        <u/>
      </rPr>
      <t>CPQ11-STRC-CONC-DATA-R22.rvt</t>
    </r>
  </si>
  <si>
    <t>16.6 MB</t>
  </si>
  <si>
    <t>Apr 22, 2026 11:16 AM</t>
  </si>
  <si>
    <r>
      <rPr>
        <rFont val="Calibri"/>
        <b/>
        <color rgb="FF1155CC"/>
        <sz val="11.0"/>
        <u/>
      </rPr>
      <t>01-WORK IN PROGRESS/BIM/MODELS/DELEGATED DESIGN R22/STRC</t>
    </r>
  </si>
  <si>
    <r>
      <rPr>
        <rFont val="Calibri"/>
        <b/>
        <color rgb="FF1155CC"/>
        <sz val="11.0"/>
        <u/>
      </rPr>
      <t>CPQ11-STRC-CONC-SITE-R22.rvt</t>
    </r>
  </si>
  <si>
    <t>May 12, 2026 10:55 AM</t>
  </si>
  <si>
    <r>
      <rPr>
        <rFont val="Calibri"/>
        <b/>
        <color rgb="FF1155CC"/>
        <sz val="11.0"/>
        <u/>
      </rPr>
      <t>01-WORK IN PROGRESS/BIM/MODELS/DELEGATED DESIGN R22/STRC</t>
    </r>
  </si>
  <si>
    <r>
      <rPr>
        <rFont val="Calibri"/>
        <b/>
        <color rgb="FF1155CC"/>
        <sz val="11.0"/>
        <u/>
      </rPr>
      <t>CPQ11-STRC-DPFN-DATA-R22.rvt</t>
    </r>
  </si>
  <si>
    <t>Apr 28, 2026 11:33 AM</t>
  </si>
  <si>
    <r>
      <rPr>
        <rFont val="Calibri"/>
        <b/>
        <color rgb="FF1155CC"/>
        <sz val="11.0"/>
        <u/>
      </rPr>
      <t>01-WORK IN PROGRESS/BIM/MODELS/DELEGATED DESIGN R22/STRC</t>
    </r>
  </si>
  <si>
    <r>
      <rPr>
        <rFont val="Calibri"/>
        <b/>
        <color rgb="FF1155CC"/>
        <sz val="11.0"/>
        <u/>
      </rPr>
      <t>CPQ11-STRC-DPFN-SITE-R22.rvt</t>
    </r>
  </si>
  <si>
    <t>13.7 MB</t>
  </si>
  <si>
    <r>
      <rPr>
        <rFont val="Calibri"/>
        <b/>
        <color rgb="FF1155CC"/>
        <sz val="11.0"/>
        <u/>
      </rPr>
      <t>01-WORK IN PROGRESS/BIM/MODELS/DELEGATED DESIGN R22/STRC</t>
    </r>
  </si>
  <si>
    <r>
      <rPr>
        <rFont val="Calibri"/>
        <b/>
        <color rgb="FF1155CC"/>
        <sz val="11.0"/>
        <u/>
      </rPr>
      <t>CPQ11-STRC-FLOO-DATA-R22.rvt</t>
    </r>
  </si>
  <si>
    <t>130.4 MB</t>
  </si>
  <si>
    <t>May 5, 2026 5:51 PM</t>
  </si>
  <si>
    <r>
      <rPr>
        <rFont val="Calibri"/>
        <b/>
        <color rgb="FF1155CC"/>
        <sz val="11.0"/>
        <u/>
      </rPr>
      <t>01-WORK IN PROGRESS/BIM/MODELS/DELEGATED DESIGN R22/STRC</t>
    </r>
  </si>
  <si>
    <r>
      <rPr>
        <rFont val="Calibri"/>
        <b/>
        <color rgb="FF1155CC"/>
        <sz val="11.0"/>
        <u/>
      </rPr>
      <t>CPQ11-STRC-FLOO-SITE-R22.rvt</t>
    </r>
  </si>
  <si>
    <t>16.8 MB</t>
  </si>
  <si>
    <t>SPECIFIC AUDIT CONTROL | LOD 300</t>
  </si>
  <si>
    <t>META DO DIA 20/11</t>
  </si>
  <si>
    <t>CONTROLE INTERNO (OCULTAR)</t>
  </si>
  <si>
    <t>ANNEXES</t>
  </si>
  <si>
    <t xml:space="preserve">ACC VERSION </t>
  </si>
  <si>
    <t>ACC FILE DATE</t>
  </si>
  <si>
    <t>RESPONSÁVEL DA ANÁLISE</t>
  </si>
  <si>
    <t>DATA</t>
  </si>
  <si>
    <t>CICI</t>
  </si>
  <si>
    <t>LETÍCIA</t>
  </si>
  <si>
    <t>GUAR</t>
  </si>
  <si>
    <t>C345</t>
  </si>
  <si>
    <t>C12A</t>
  </si>
  <si>
    <t>AIRTON</t>
  </si>
  <si>
    <t>CPQ11-ARCH-CEIL-GUAR-R22.rvt</t>
  </si>
  <si>
    <t>GUILHERME</t>
  </si>
  <si>
    <t>PUMP</t>
  </si>
  <si>
    <t>FERNANDES</t>
  </si>
  <si>
    <t>CPQ11-STRC-DPF1-SITE-R22.rvt</t>
  </si>
  <si>
    <t>GEOFIX</t>
  </si>
  <si>
    <t>CPQ11-STRC-DPF1-DATA-R22.rvt</t>
  </si>
  <si>
    <t>CPQ11-STRC-DPF2-SITE-R22.rvt</t>
  </si>
  <si>
    <t>TECNOGEO</t>
  </si>
  <si>
    <t>CPQ11-STRC-DPF2-DATA-R22.rvt</t>
  </si>
  <si>
    <t>COL1</t>
  </si>
  <si>
    <t>COL2</t>
  </si>
  <si>
    <t>COL3</t>
  </si>
  <si>
    <t>COL4</t>
  </si>
  <si>
    <t>COL5</t>
  </si>
  <si>
    <t>STIR</t>
  </si>
  <si>
    <t>RETORNO DOS FORNECEDORES</t>
  </si>
  <si>
    <t>DISCIPLIN/A</t>
  </si>
  <si>
    <t>SUBDISCIPLIN/A</t>
  </si>
  <si>
    <t>LOCAL</t>
  </si>
  <si>
    <t>STATUS</t>
  </si>
  <si>
    <t>OBSERVAÇÕES</t>
  </si>
  <si>
    <t>ENTREGA</t>
  </si>
  <si>
    <t>RESP.</t>
  </si>
  <si>
    <t>TXT</t>
  </si>
  <si>
    <t>BASM</t>
  </si>
  <si>
    <t>DEVS</t>
  </si>
  <si>
    <t>XXXX</t>
  </si>
  <si>
    <t>- COMENTÁRIOS COERENTES
- INDICARAM PARÂMETROS QUE JÁ CONTÉM AS INFOS SOLICITADAS
- ROOM N/AME E ROOM NUMBER, SOLICITARAM UMA RELAÇÃO DE DADOS BASE PARA PREENCHIMENTO (SEMELHANTE AO 4D)
- Parâmetro "Condition Status" (Status of the element, predomiN/Ately used in renovation or retrofitting projects), questioN/Aram se a resposta deve ser "NEW" já que todos os elementos são novos</t>
  </si>
  <si>
    <t>CLARISSA</t>
  </si>
  <si>
    <t>EPMS</t>
  </si>
  <si>
    <t>TCOM</t>
  </si>
  <si>
    <t>ARCH</t>
  </si>
  <si>
    <t>FACD</t>
  </si>
  <si>
    <t>BLPR</t>
  </si>
  <si>
    <t>CHAI</t>
  </si>
  <si>
    <t>HM90</t>
  </si>
  <si>
    <t>HMET</t>
  </si>
  <si>
    <t>WMES</t>
  </si>
  <si>
    <t>ROOF</t>
  </si>
  <si>
    <t>CIVL</t>
  </si>
  <si>
    <t>ERTH</t>
  </si>
  <si>
    <t>PLMB</t>
  </si>
  <si>
    <t>NPWT</t>
  </si>
  <si>
    <t>- ENVIAMOS UMA CATEGORIA SEM INFORMAÇÃO
- PLUMBING FIXTURE: INDICARAM A MAIOR PARTE COMO "NÃO APLICÁVEL"</t>
  </si>
  <si>
    <t>- INDICARAM PARÂMETROS QUE JÁ CONTÉM AS INFOS SOLICITADAS</t>
  </si>
  <si>
    <t>MECH</t>
  </si>
  <si>
    <t>INDICARAM A MAIORIA DE FLOOR COMO N/A</t>
  </si>
  <si>
    <t>DALI</t>
  </si>
  <si>
    <t>INDICARAM QUE ALGUNS PARÂMETROS NÃO SE APLICAM</t>
  </si>
  <si>
    <t>SCTY</t>
  </si>
  <si>
    <t>NÃO QUESTIONOU AS SOLICITAÇÕES</t>
  </si>
  <si>
    <t>DIES</t>
  </si>
  <si>
    <t>NÃO RESPONDERAM N/ADA</t>
  </si>
  <si>
    <t>FALM</t>
  </si>
  <si>
    <t>NENHUM COMENTÁRIO DO FORNECEDOR</t>
  </si>
  <si>
    <t>FPRT</t>
  </si>
  <si>
    <t>OK</t>
  </si>
  <si>
    <t>METK</t>
  </si>
  <si>
    <t>PART</t>
  </si>
  <si>
    <t>LOCK</t>
  </si>
  <si>
    <t>SHLV</t>
  </si>
  <si>
    <t>DEPOIS DO PRAZO</t>
  </si>
  <si>
    <t>INFR</t>
  </si>
  <si>
    <t>DASM</t>
  </si>
  <si>
    <t>ELEC</t>
  </si>
  <si>
    <t>ROIP</t>
  </si>
  <si>
    <t>STEE</t>
  </si>
  <si>
    <t>STRC</t>
  </si>
  <si>
    <t>CONC</t>
  </si>
  <si>
    <t>DPFN</t>
  </si>
  <si>
    <t>SYST</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</si>
</sst>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0000"/>
    <numFmt numFmtId="166" formatCode="dd/mm/yyyy"/>
    <numFmt numFmtId="167" formatCode="dd&quot;/&quot;mm&quot;/&quot;yyyy"/>
    <numFmt numFmtId="168" formatCode="mm&quot;/&quot;d"/>
    <numFmt numFmtId="169" formatCode="mmm d, yyyy hh:mm"/>
  </numFmts>
  <fonts count="25">
    <font>
      <sz val="10.0"/>
      <color rgb="FF000000"/>
      <name val="Arial"/>
      <scheme val="minor"/>
    </font>
    <font>
      <b/>
      <sz val="24.0"/>
      <color theme="1"/>
      <name val="Arial"/>
    </font>
    <font/>
    <font>
      <sz val="20.0"/>
      <color theme="1"/>
      <name val="Arial"/>
    </font>
    <font>
      <color theme="1"/>
      <name val="Arial"/>
      <scheme val="minor"/>
    </font>
    <font>
      <sz val="14.0"/>
      <color theme="1"/>
      <name val="Arial"/>
    </font>
    <font>
      <b/>
      <sz val="10.0"/>
      <color theme="1"/>
      <name val="Arial"/>
    </font>
    <font>
      <b/>
      <sz val="9.0"/>
      <color theme="1"/>
      <name val="Arial"/>
    </font>
    <font>
      <b/>
      <color theme="1"/>
      <name val="Arial"/>
    </font>
    <font>
      <sz val="10.0"/>
      <color theme="1"/>
      <name val="Arial"/>
    </font>
    <font>
      <sz val="10.0"/>
      <color rgb="FF000000"/>
      <name val="Arial"/>
    </font>
    <font>
      <color theme="1"/>
      <name val="Arial"/>
    </font>
    <font>
      <color rgb="FF000000"/>
      <name val="Arial"/>
    </font>
    <font>
      <b/>
      <sz val="30.0"/>
      <color theme="1"/>
      <name val="Arial"/>
    </font>
    <font>
      <sz val="11.0"/>
      <color theme="1"/>
      <name val="Arial"/>
    </font>
    <font>
      <b/>
      <sz val="12.0"/>
      <color theme="1"/>
      <name val="Arial"/>
    </font>
    <font>
      <b/>
      <u/>
      <sz val="11.0"/>
      <color rgb="FF0000FF"/>
      <name val="Calibri"/>
    </font>
    <font>
      <sz val="12.0"/>
      <color theme="1"/>
      <name val="Arial"/>
    </font>
    <font>
      <b/>
      <sz val="11.0"/>
      <color theme="1"/>
      <name val="Calibri"/>
    </font>
    <font>
      <sz val="24.0"/>
      <color theme="1"/>
      <name val="Arial"/>
    </font>
    <font>
      <sz val="21.0"/>
      <color theme="1"/>
      <name val="Arial"/>
    </font>
    <font>
      <sz val="19.0"/>
      <color theme="1"/>
      <name val="Arial"/>
    </font>
    <font>
      <sz val="11.0"/>
      <color rgb="FF000000"/>
      <name val="Arial"/>
    </font>
    <font>
      <b/>
      <sz val="12.0"/>
      <color theme="1"/>
      <name val="Arial"/>
      <scheme val="minor"/>
    </font>
    <font>
      <b/>
      <color theme="1"/>
      <name val="Arial"/>
      <scheme val="minor"/>
    </font>
  </fonts>
  <fills count="30">
    <fill>
      <patternFill patternType="none"/>
    </fill>
    <fill>
      <patternFill patternType="lightGray"/>
    </fill>
    <fill>
      <patternFill patternType="solid">
        <fgColor rgb="FFB7B7B7"/>
        <bgColor rgb="FFB7B7B7"/>
      </patternFill>
    </fill>
    <fill>
      <patternFill patternType="solid">
        <fgColor rgb="FFEFEFEF"/>
        <bgColor rgb="FFEFEFEF"/>
      </patternFill>
    </fill>
    <fill>
      <patternFill patternType="solid">
        <fgColor rgb="FFCCCCCC"/>
        <bgColor rgb="FFCCCCCC"/>
      </patternFill>
    </fill>
    <fill>
      <patternFill patternType="solid">
        <fgColor rgb="FFF3F3F3"/>
        <bgColor rgb="FFF3F3F3"/>
      </patternFill>
    </fill>
    <fill>
      <patternFill patternType="solid">
        <fgColor rgb="FF434343"/>
        <bgColor rgb="FF434343"/>
      </patternFill>
    </fill>
    <fill>
      <patternFill patternType="solid">
        <fgColor rgb="FF666666"/>
        <bgColor rgb="FF666666"/>
      </patternFill>
    </fill>
    <fill>
      <patternFill patternType="solid">
        <fgColor rgb="FF999999"/>
        <bgColor rgb="FF999999"/>
      </patternFill>
    </fill>
    <fill>
      <patternFill patternType="solid">
        <fgColor rgb="FFD9D9D9"/>
        <bgColor rgb="FFD9D9D9"/>
      </patternFill>
    </fill>
    <fill>
      <patternFill patternType="solid">
        <fgColor rgb="FFFFFFFF"/>
        <bgColor rgb="FFFFFFFF"/>
      </patternFill>
    </fill>
    <fill>
      <patternFill patternType="solid">
        <fgColor rgb="FFEA9999"/>
        <bgColor rgb="FFEA9999"/>
      </patternFill>
    </fill>
    <fill>
      <patternFill patternType="solid">
        <fgColor rgb="FFDFE3AB"/>
        <bgColor rgb="FFDFE3AB"/>
      </patternFill>
    </fill>
    <fill>
      <patternFill patternType="solid">
        <fgColor rgb="FFA6C9EC"/>
        <bgColor rgb="FFA6C9EC"/>
      </patternFill>
    </fill>
    <fill>
      <patternFill patternType="solid">
        <fgColor rgb="FFDAE9F8"/>
        <bgColor rgb="FFDAE9F8"/>
      </patternFill>
    </fill>
    <fill>
      <patternFill patternType="solid">
        <fgColor rgb="FFE49EDD"/>
        <bgColor rgb="FFE49EDD"/>
      </patternFill>
    </fill>
    <fill>
      <patternFill patternType="solid">
        <fgColor rgb="FFFDCFF8"/>
        <bgColor rgb="FFFDCFF8"/>
      </patternFill>
    </fill>
    <fill>
      <patternFill patternType="solid">
        <fgColor rgb="FFFF9999"/>
        <bgColor rgb="FFFF9999"/>
      </patternFill>
    </fill>
    <fill>
      <patternFill patternType="solid">
        <fgColor rgb="FFFFCCCC"/>
        <bgColor rgb="FFFFCCCC"/>
      </patternFill>
    </fill>
    <fill>
      <patternFill patternType="solid">
        <fgColor rgb="FFC0E6F5"/>
        <bgColor rgb="FFC0E6F5"/>
      </patternFill>
    </fill>
    <fill>
      <patternFill patternType="solid">
        <fgColor rgb="FFA6CABA"/>
        <bgColor rgb="FFA6CABA"/>
      </patternFill>
    </fill>
    <fill>
      <patternFill patternType="solid">
        <fgColor rgb="FFDAF2D0"/>
        <bgColor rgb="FFDAF2D0"/>
      </patternFill>
    </fill>
    <fill>
      <patternFill patternType="solid">
        <fgColor rgb="FFA6A6A6"/>
        <bgColor rgb="FFA6A6A6"/>
      </patternFill>
    </fill>
    <fill>
      <patternFill patternType="solid">
        <fgColor rgb="FFFFE599"/>
        <bgColor rgb="FFFFE599"/>
      </patternFill>
    </fill>
    <fill>
      <patternFill patternType="solid">
        <fgColor rgb="FFD5A6BD"/>
        <bgColor rgb="FFD5A6BD"/>
      </patternFill>
    </fill>
    <fill>
      <patternFill patternType="solid">
        <fgColor rgb="FFD9EAD3"/>
        <bgColor rgb="FFD9EAD3"/>
      </patternFill>
    </fill>
    <fill>
      <patternFill patternType="solid">
        <fgColor rgb="FFEEEEEE"/>
        <bgColor rgb="FFEEEEEE"/>
      </patternFill>
    </fill>
    <fill>
      <patternFill patternType="solid">
        <fgColor rgb="FFEAD1DC"/>
        <bgColor rgb="FFEAD1DC"/>
      </patternFill>
    </fill>
    <fill>
      <patternFill patternType="solid">
        <fgColor rgb="FFB6D7A8"/>
        <bgColor rgb="FFB6D7A8"/>
      </patternFill>
    </fill>
    <fill>
      <patternFill patternType="solid">
        <fgColor rgb="FFFF0000"/>
        <bgColor rgb="FFFF0000"/>
      </patternFill>
    </fill>
  </fills>
  <borders count="186">
    <border/>
    <border>
      <left style="thick">
        <color rgb="FF434343"/>
      </left>
      <top style="thick">
        <color rgb="FF434343"/>
      </top>
    </border>
    <border>
      <top style="thick">
        <color rgb="FF434343"/>
      </top>
    </border>
    <border>
      <right style="thin">
        <color rgb="FFFFFFFF"/>
      </right>
      <top style="thick">
        <color rgb="FF434343"/>
      </top>
    </border>
    <border>
      <left style="thin">
        <color rgb="FFFFFFFF"/>
      </left>
      <right style="thick">
        <color rgb="FF434343"/>
      </right>
      <top style="thick">
        <color rgb="FF434343"/>
      </top>
    </border>
    <border>
      <left style="medium">
        <color rgb="FF000000"/>
      </left>
      <top style="medium">
        <color rgb="FF000000"/>
      </top>
    </border>
    <border>
      <top style="medium">
        <color rgb="FF000000"/>
      </top>
    </border>
    <border>
      <left style="thin">
        <color rgb="FF000000"/>
      </left>
      <right style="thin">
        <color rgb="FF000000"/>
      </right>
      <top style="medium">
        <color rgb="FF000000"/>
      </top>
    </border>
    <border>
      <right style="medium">
        <color rgb="FF000000"/>
      </right>
      <top style="medium">
        <color rgb="FF000000"/>
      </top>
    </border>
    <border>
      <left style="thick">
        <color rgb="FF666666"/>
      </left>
      <bottom style="thin">
        <color rgb="FFD9D9D9"/>
      </bottom>
    </border>
    <border>
      <left style="thick">
        <color rgb="FF434343"/>
      </left>
      <right style="thin">
        <color rgb="FF000000"/>
      </right>
      <top style="thick">
        <color rgb="FF434343"/>
      </top>
      <bottom style="thick">
        <color rgb="FF434343"/>
      </bottom>
    </border>
    <border>
      <left style="thin">
        <color rgb="FF000000"/>
      </left>
      <right style="thin">
        <color rgb="FF000000"/>
      </right>
      <top style="thick">
        <color rgb="FF434343"/>
      </top>
      <bottom style="thick">
        <color rgb="FF434343"/>
      </bottom>
    </border>
    <border>
      <left style="thin">
        <color rgb="FF000000"/>
      </left>
      <top style="thick">
        <color rgb="FF434343"/>
      </top>
      <bottom style="thick">
        <color rgb="FF434343"/>
      </bottom>
    </border>
    <border>
      <left style="thin">
        <color rgb="FF000000"/>
      </left>
      <right style="thin">
        <color rgb="FF000000"/>
      </right>
      <top style="thick">
        <color rgb="FF000000"/>
      </top>
      <bottom style="thick">
        <color rgb="FF000000"/>
      </bottom>
    </border>
    <border>
      <top style="thick">
        <color rgb="FF434343"/>
      </top>
      <bottom style="thick">
        <color rgb="FF434343"/>
      </bottom>
    </border>
    <border>
      <right style="thin">
        <color rgb="FF000000"/>
      </right>
      <top style="thick">
        <color rgb="FF434343"/>
      </top>
      <bottom style="thick">
        <color rgb="FF434343"/>
      </bottom>
    </border>
    <border>
      <left style="thin">
        <color rgb="FF000000"/>
      </left>
      <right style="medium">
        <color rgb="FF000000"/>
      </right>
      <top style="thick">
        <color rgb="FF434343"/>
      </top>
      <bottom style="thick">
        <color rgb="FF434343"/>
      </bottom>
    </border>
    <border>
      <left style="medium">
        <color rgb="FF000000"/>
      </left>
      <right style="thin">
        <color rgb="FF000000"/>
      </right>
      <top style="thick">
        <color rgb="FF434343"/>
      </top>
      <bottom style="thick">
        <color rgb="FF434343"/>
      </bottom>
    </border>
    <border>
      <right style="thick">
        <color rgb="FF000000"/>
      </right>
      <top style="thick">
        <color rgb="FF434343"/>
      </top>
      <bottom style="thick">
        <color rgb="FF434343"/>
      </bottom>
    </border>
    <border>
      <left style="medium">
        <color rgb="FF000000"/>
      </left>
      <right style="thick">
        <color rgb="FF434343"/>
      </right>
      <top style="thick">
        <color rgb="FF434343"/>
      </top>
      <bottom style="thick">
        <color rgb="FF434343"/>
      </bottom>
    </border>
    <border>
      <right style="thick">
        <color rgb="FF434343"/>
      </right>
      <top style="thick">
        <color rgb="FF434343"/>
      </top>
      <bottom style="thick">
        <color rgb="FF434343"/>
      </bottom>
    </border>
    <border>
      <left style="thick">
        <color rgb="FF666666"/>
      </left>
      <top style="thin">
        <color rgb="FFD9D9D9"/>
      </top>
      <bottom style="thin">
        <color rgb="FFD9D9D9"/>
      </bottom>
    </border>
    <border>
      <left style="thick">
        <color rgb="FF434343"/>
      </left>
      <top style="thick">
        <color rgb="FF434343"/>
      </top>
      <bottom style="thin">
        <color rgb="FFD9D9D9"/>
      </bottom>
    </border>
    <border>
      <top style="thick">
        <color rgb="FF434343"/>
      </top>
      <bottom style="thin">
        <color rgb="FFD9D9D9"/>
      </bottom>
    </border>
    <border>
      <right style="thin">
        <color rgb="FF434343"/>
      </right>
      <top style="thick">
        <color rgb="FF434343"/>
      </top>
      <bottom style="thin">
        <color rgb="FFD9D9D9"/>
      </bottom>
    </border>
    <border>
      <bottom style="thin">
        <color rgb="FFD9D9D9"/>
      </bottom>
    </border>
    <border>
      <right style="thin">
        <color rgb="FF434343"/>
      </right>
      <top style="thick">
        <color rgb="FF434343"/>
      </top>
    </border>
    <border>
      <right style="medium">
        <color rgb="FF434343"/>
      </right>
      <top style="thick">
        <color rgb="FF434343"/>
      </top>
    </border>
    <border>
      <right style="thick">
        <color rgb="FF000000"/>
      </right>
      <top style="thick">
        <color rgb="FF434343"/>
      </top>
    </border>
    <border>
      <left style="thick">
        <color rgb="FF434343"/>
      </left>
      <right style="thin">
        <color rgb="FFD9D9D9"/>
      </right>
      <bottom style="thin">
        <color rgb="FFD9D9D9"/>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thin">
        <color rgb="FF434343"/>
      </right>
      <bottom style="thin">
        <color rgb="FFD9D9D9"/>
      </bottom>
    </border>
    <border>
      <left style="thin">
        <color rgb="FFD9D9D9"/>
      </left>
      <bottom style="thin">
        <color rgb="FFD9D9D9"/>
      </bottom>
    </border>
    <border>
      <left style="thin">
        <color rgb="FF000000"/>
      </left>
      <right style="thin">
        <color rgb="FFD9D9D9"/>
      </right>
      <bottom style="thin">
        <color rgb="FFD9D9D9"/>
      </bottom>
    </border>
    <border>
      <bottom style="thin">
        <color rgb="FFCCCCCC"/>
      </bottom>
    </border>
    <border>
      <left style="thin">
        <color rgb="FFB7B7B7"/>
      </left>
      <bottom style="thin">
        <color rgb="FFB7B7B7"/>
      </bottom>
    </border>
    <border>
      <left style="thin">
        <color rgb="FF000000"/>
      </left>
      <right style="thin">
        <color rgb="FF000000"/>
      </right>
      <bottom style="thin">
        <color rgb="FFCCCCCC"/>
      </bottom>
    </border>
    <border>
      <left style="thin">
        <color rgb="FF000000"/>
      </left>
      <right style="thin">
        <color rgb="FF434343"/>
      </right>
      <bottom style="thin">
        <color rgb="FFCCCCCC"/>
      </bottom>
    </border>
    <border>
      <right style="thin">
        <color rgb="FF434343"/>
      </right>
      <bottom style="thin">
        <color rgb="FFCCCCCC"/>
      </bottom>
    </border>
    <border>
      <left style="thin">
        <color rgb="FF434343"/>
      </left>
      <right style="thin">
        <color rgb="FF434343"/>
      </right>
      <top style="thin">
        <color rgb="FFCCCCCC"/>
      </top>
      <bottom style="thin">
        <color rgb="FFCCCCCC"/>
      </bottom>
    </border>
    <border>
      <top style="thin">
        <color rgb="FFCCCCCC"/>
      </top>
      <bottom style="thin">
        <color rgb="FFCCCCCC"/>
      </bottom>
    </border>
    <border>
      <left style="thin">
        <color rgb="FF000000"/>
      </left>
      <right style="thin">
        <color rgb="FF000000"/>
      </right>
      <top style="thin">
        <color rgb="FFCCCCCC"/>
      </top>
      <bottom style="thin">
        <color rgb="FFCCCCCC"/>
      </bottom>
    </border>
    <border>
      <left style="thin">
        <color rgb="FF000000"/>
      </left>
      <top style="thin">
        <color rgb="FFCCCCCC"/>
      </top>
      <bottom style="thin">
        <color rgb="FFCCCCCC"/>
      </bottom>
    </border>
    <border>
      <right style="thick">
        <color rgb="FF434343"/>
      </right>
    </border>
    <border>
      <right style="thin">
        <color rgb="FF000000"/>
      </right>
      <bottom style="thin">
        <color rgb="FFCCCCCC"/>
      </bottom>
    </border>
    <border>
      <left style="thin">
        <color rgb="FF434343"/>
      </left>
      <top style="thin">
        <color rgb="FFCCCCCC"/>
      </top>
      <bottom style="thin">
        <color rgb="FFCCCCCC"/>
      </bottom>
    </border>
    <border>
      <right style="thin">
        <color rgb="FF434343"/>
      </right>
      <top style="thin">
        <color rgb="FFCCCCCC"/>
      </top>
      <bottom style="thin">
        <color rgb="FFCCCCCC"/>
      </bottom>
    </border>
    <border>
      <left style="thin">
        <color rgb="FF000000"/>
      </left>
      <bottom style="thin">
        <color rgb="FFCCCCCC"/>
      </bottom>
    </border>
    <border>
      <left style="thick">
        <color rgb="FF434343"/>
      </left>
      <right style="thin">
        <color rgb="FF000000"/>
      </right>
      <top style="thin">
        <color rgb="FFCCCCCC"/>
      </top>
      <bottom style="thin">
        <color rgb="FFCCCCCC"/>
      </bottom>
    </border>
    <border>
      <left style="thin">
        <color rgb="FF000000"/>
      </left>
      <right style="thin">
        <color rgb="FF000000"/>
      </right>
      <top style="thin">
        <color rgb="FFD9D9D9"/>
      </top>
      <bottom style="thin">
        <color rgb="FFD9D9D9"/>
      </bottom>
    </border>
    <border>
      <right style="thick">
        <color rgb="FF000000"/>
      </right>
    </border>
    <border>
      <left style="thin">
        <color rgb="FF434343"/>
      </left>
      <bottom style="thin">
        <color rgb="FFCCCCCC"/>
      </bottom>
    </border>
    <border>
      <left style="thick">
        <color rgb="FF434343"/>
      </left>
      <right style="thin">
        <color rgb="FFD9D9D9"/>
      </right>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434343"/>
      </right>
      <top style="thin">
        <color rgb="FFD9D9D9"/>
      </top>
      <bottom style="thin">
        <color rgb="FFD9D9D9"/>
      </bottom>
    </border>
    <border>
      <top style="thin">
        <color rgb="FFD9D9D9"/>
      </top>
      <bottom style="thin">
        <color rgb="FFD9D9D9"/>
      </bottom>
    </border>
    <border>
      <left style="thin">
        <color rgb="FFB7B7B7"/>
      </left>
      <top style="thin">
        <color rgb="FFB7B7B7"/>
      </top>
      <bottom style="thin">
        <color rgb="FFB7B7B7"/>
      </bottom>
    </border>
    <border>
      <right style="thin">
        <color rgb="FF434343"/>
      </right>
      <top style="thin">
        <color rgb="FFD9D9D9"/>
      </top>
      <bottom style="thin">
        <color rgb="FFD9D9D9"/>
      </bottom>
    </border>
    <border>
      <left style="thin">
        <color rgb="FF000000"/>
      </left>
      <right style="thin">
        <color rgb="FF000000"/>
      </right>
      <bottom style="thin">
        <color rgb="FFD9D9D9"/>
      </bottom>
    </border>
    <border>
      <left style="thick">
        <color rgb="FF434343"/>
      </left>
      <top style="thin">
        <color rgb="FFD9D9D9"/>
      </top>
      <bottom style="thin">
        <color rgb="FFD9D9D9"/>
      </bottom>
    </border>
    <border>
      <left style="thin">
        <color rgb="FFD9D9D9"/>
      </left>
      <top style="thin">
        <color rgb="FFD9D9D9"/>
      </top>
      <bottom style="thin">
        <color rgb="FFD9D9D9"/>
      </bottom>
    </border>
    <border>
      <left style="thin">
        <color rgb="FF000000"/>
      </left>
      <top style="thin">
        <color rgb="FFD9D9D9"/>
      </top>
      <bottom style="thin">
        <color rgb="FFD9D9D9"/>
      </bottom>
    </border>
    <border>
      <left style="thin">
        <color rgb="FF000000"/>
      </left>
      <right style="thin">
        <color rgb="FF000000"/>
      </right>
    </border>
    <border>
      <left style="thin">
        <color rgb="FF000000"/>
      </left>
    </border>
    <border>
      <left style="thin">
        <color rgb="FF000000"/>
      </left>
      <right style="thin">
        <color rgb="FF434343"/>
      </right>
      <top style="thin">
        <color rgb="FFD9D9D9"/>
      </top>
      <bottom style="thin">
        <color rgb="FFD9D9D9"/>
      </bottom>
    </border>
    <border>
      <right style="thick">
        <color rgb="FF434343"/>
      </right>
      <top style="thin">
        <color rgb="FFD9D9D9"/>
      </top>
      <bottom style="thin">
        <color rgb="FFD9D9D9"/>
      </bottom>
    </border>
    <border>
      <left style="thick">
        <color rgb="FF434343"/>
      </left>
    </border>
    <border>
      <right style="thick">
        <color rgb="FF000000"/>
      </right>
      <top style="thin">
        <color rgb="FFD9D9D9"/>
      </top>
      <bottom style="thin">
        <color rgb="FFD9D9D9"/>
      </bottom>
    </border>
    <border>
      <left style="thin">
        <color rgb="FF000000"/>
      </left>
      <bottom style="thin">
        <color rgb="FFD9D9D9"/>
      </bottom>
    </border>
    <border>
      <left style="thick">
        <color rgb="FF434343"/>
      </left>
      <right style="thin">
        <color rgb="FFD9D9D9"/>
      </right>
      <top style="thin">
        <color rgb="FFD9D9D9"/>
      </top>
      <bottom style="thick">
        <color rgb="FF000000"/>
      </bottom>
    </border>
    <border>
      <right style="thin">
        <color rgb="FFD9D9D9"/>
      </right>
      <bottom style="thick">
        <color rgb="FF000000"/>
      </bottom>
    </border>
    <border>
      <right style="thin">
        <color rgb="FFD9D9D9"/>
      </right>
      <top style="thin">
        <color rgb="FFD9D9D9"/>
      </top>
      <bottom style="thick">
        <color rgb="FF000000"/>
      </bottom>
    </border>
    <border>
      <left style="thin">
        <color rgb="FFD9D9D9"/>
      </left>
      <right style="thin">
        <color rgb="FFD9D9D9"/>
      </right>
      <top style="thin">
        <color rgb="FFD9D9D9"/>
      </top>
      <bottom style="thick">
        <color rgb="FF000000"/>
      </bottom>
    </border>
    <border>
      <left style="thin">
        <color rgb="FFD9D9D9"/>
      </left>
      <right style="thin">
        <color rgb="FF434343"/>
      </right>
      <top style="thin">
        <color rgb="FFD9D9D9"/>
      </top>
      <bottom style="thick">
        <color rgb="FF000000"/>
      </bottom>
    </border>
    <border>
      <top style="thin">
        <color rgb="FFD9D9D9"/>
      </top>
      <bottom style="thick">
        <color rgb="FF000000"/>
      </bottom>
    </border>
    <border>
      <bottom style="thick">
        <color rgb="FF000000"/>
      </bottom>
    </border>
    <border>
      <left style="thin">
        <color rgb="FFD9D9D9"/>
      </left>
      <bottom style="thick">
        <color rgb="FF000000"/>
      </bottom>
    </border>
    <border>
      <left style="thin">
        <color rgb="FF000000"/>
      </left>
      <right style="thin">
        <color rgb="FFD9D9D9"/>
      </right>
      <bottom style="thick">
        <color rgb="FF000000"/>
      </bottom>
    </border>
    <border>
      <left style="thin">
        <color rgb="FFD9D9D9"/>
      </left>
      <right style="thin">
        <color rgb="FF434343"/>
      </right>
      <bottom style="thick">
        <color rgb="FF000000"/>
      </bottom>
    </border>
    <border>
      <left style="thin">
        <color rgb="FFB7B7B7"/>
      </left>
      <top style="thin">
        <color rgb="FFB7B7B7"/>
      </top>
      <bottom style="thick">
        <color rgb="FF000000"/>
      </bottom>
    </border>
    <border>
      <top style="thin">
        <color rgb="FFCCCCCC"/>
      </top>
      <bottom style="thick">
        <color rgb="FF000000"/>
      </bottom>
    </border>
    <border>
      <left style="thin">
        <color rgb="FF000000"/>
      </left>
      <right style="thin">
        <color rgb="FF000000"/>
      </right>
      <top style="thin">
        <color rgb="FFCCCCCC"/>
      </top>
      <bottom style="thick">
        <color rgb="FF000000"/>
      </bottom>
    </border>
    <border>
      <left style="thin">
        <color rgb="FF000000"/>
      </left>
      <right style="thin">
        <color rgb="FF000000"/>
      </right>
      <bottom style="thick">
        <color rgb="FF000000"/>
      </bottom>
    </border>
    <border>
      <left style="thin">
        <color rgb="FF000000"/>
      </left>
      <right style="thin">
        <color rgb="FF434343"/>
      </right>
      <bottom style="thick">
        <color rgb="FF000000"/>
      </bottom>
    </border>
    <border>
      <right style="thin">
        <color rgb="FF434343"/>
      </right>
      <bottom style="thick">
        <color rgb="FF000000"/>
      </bottom>
    </border>
    <border>
      <left style="thin">
        <color rgb="FF434343"/>
      </left>
      <right style="thin">
        <color rgb="FF434343"/>
      </right>
      <top style="thin">
        <color rgb="FFCCCCCC"/>
      </top>
      <bottom style="thick">
        <color rgb="FF000000"/>
      </bottom>
    </border>
    <border>
      <left style="thin">
        <color rgb="FF000000"/>
      </left>
      <top style="thin">
        <color rgb="FFCCCCCC"/>
      </top>
      <bottom style="thick">
        <color rgb="FF000000"/>
      </bottom>
    </border>
    <border>
      <right style="thick">
        <color rgb="FF434343"/>
      </right>
      <bottom style="thick">
        <color rgb="FF000000"/>
      </bottom>
    </border>
    <border>
      <right style="thin">
        <color rgb="FF000000"/>
      </right>
      <bottom style="thick">
        <color rgb="FF000000"/>
      </bottom>
    </border>
    <border>
      <left style="thin">
        <color rgb="FF434343"/>
      </left>
      <top style="thin">
        <color rgb="FFCCCCCC"/>
      </top>
      <bottom style="thick">
        <color rgb="FF000000"/>
      </bottom>
    </border>
    <border>
      <right style="thin">
        <color rgb="FF434343"/>
      </right>
      <top style="thin">
        <color rgb="FFCCCCCC"/>
      </top>
      <bottom style="thick">
        <color rgb="FF000000"/>
      </bottom>
    </border>
    <border>
      <left style="thin">
        <color rgb="FF000000"/>
      </left>
      <bottom style="thick">
        <color rgb="FF000000"/>
      </bottom>
    </border>
    <border>
      <left style="thick">
        <color rgb="FF434343"/>
      </left>
      <right style="thin">
        <color rgb="FF000000"/>
      </right>
      <top style="thin">
        <color rgb="FFCCCCCC"/>
      </top>
      <bottom style="thick">
        <color rgb="FF000000"/>
      </bottom>
    </border>
    <border>
      <left style="thin">
        <color rgb="FF000000"/>
      </left>
      <right style="thin">
        <color rgb="FF000000"/>
      </right>
      <top style="thin">
        <color rgb="FFD9D9D9"/>
      </top>
      <bottom style="thick">
        <color rgb="FF000000"/>
      </bottom>
    </border>
    <border>
      <right style="thick">
        <color rgb="FF000000"/>
      </right>
      <bottom style="thick">
        <color rgb="FF000000"/>
      </bottom>
    </border>
    <border>
      <left style="thin">
        <color rgb="FF434343"/>
      </left>
      <bottom style="thick">
        <color rgb="FF000000"/>
      </bottom>
    </border>
    <border>
      <left style="thick">
        <color rgb="FF434343"/>
      </left>
      <top style="thick">
        <color rgb="FF434343"/>
      </top>
      <bottom style="thick">
        <color rgb="FF434343"/>
      </bottom>
    </border>
    <border>
      <right style="thin">
        <color rgb="FFB7B7B7"/>
      </right>
      <top style="thick">
        <color rgb="FF434343"/>
      </top>
      <bottom style="thick">
        <color rgb="FF434343"/>
      </bottom>
    </border>
    <border>
      <right style="thin">
        <color rgb="FFB7B7B7"/>
      </right>
    </border>
    <border>
      <left style="thick">
        <color rgb="FF434343"/>
      </left>
      <right style="thin">
        <color rgb="FFD9D9D9"/>
      </right>
      <bottom style="thin">
        <color rgb="FF000000"/>
      </bottom>
    </border>
    <border>
      <bottom style="thin">
        <color rgb="FF000000"/>
      </bottom>
    </border>
    <border>
      <right style="thin">
        <color rgb="FFB7B7B7"/>
      </right>
      <bottom style="thin">
        <color rgb="FF000000"/>
      </bottom>
    </border>
    <border>
      <right style="thick">
        <color rgb="FF434343"/>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
      <left style="thick">
        <color rgb="FF434343"/>
      </left>
      <bottom style="thin">
        <color rgb="FFD9D9D9"/>
      </bottom>
    </border>
    <border>
      <right style="thin">
        <color rgb="FF000000"/>
      </right>
      <bottom style="thin">
        <color rgb="FFD9D9D9"/>
      </bottom>
    </border>
    <border>
      <left style="thin">
        <color rgb="FFD9D9D9"/>
      </left>
      <right style="thin">
        <color rgb="FF000000"/>
      </right>
      <bottom style="thin">
        <color rgb="FFD9D9D9"/>
      </bottom>
    </border>
    <border>
      <left style="thin">
        <color rgb="FF000000"/>
      </left>
      <right style="thin">
        <color rgb="FFD9D9D9"/>
      </right>
      <top style="thin">
        <color rgb="FFD9D9D9"/>
      </top>
      <bottom style="thin">
        <color rgb="FFD9D9D9"/>
      </bottom>
    </border>
    <border>
      <left style="thin">
        <color rgb="FFCCCCCC"/>
      </left>
      <right style="thin">
        <color rgb="FF000000"/>
      </right>
      <top style="thin">
        <color rgb="FFCCCCCC"/>
      </top>
      <bottom style="thin">
        <color rgb="FFCCCCCC"/>
      </bottom>
    </border>
    <border>
      <left style="thin">
        <color rgb="FFD9D9D9"/>
      </left>
      <right style="thin">
        <color rgb="FF000000"/>
      </right>
      <top style="thin">
        <color rgb="FFD9D9D9"/>
      </top>
      <bottom style="thin">
        <color rgb="FFD9D9D9"/>
      </bottom>
    </border>
    <border>
      <left style="thin">
        <color rgb="FFCCCCCC"/>
      </left>
      <right style="thin">
        <color rgb="FFCCCCCC"/>
      </right>
      <top style="thin">
        <color rgb="FFCCCCCC"/>
      </top>
      <bottom style="thin">
        <color rgb="FFCCCCCC"/>
      </bottom>
    </border>
    <border>
      <right style="thin">
        <color rgb="FF000000"/>
      </right>
      <top style="thin">
        <color rgb="FFD9D9D9"/>
      </top>
      <bottom style="thin">
        <color rgb="FFD9D9D9"/>
      </bottom>
    </border>
    <border>
      <left style="thin">
        <color rgb="FF000000"/>
      </left>
      <right style="thin">
        <color rgb="FFCCCCCC"/>
      </right>
      <top style="thin">
        <color rgb="FFCCCCCC"/>
      </top>
      <bottom style="thin">
        <color rgb="FFCCCCCC"/>
      </bottom>
    </border>
    <border>
      <left style="thin">
        <color rgb="FF000000"/>
      </left>
      <right style="thin">
        <color rgb="FFD9D9D9"/>
      </right>
    </border>
    <border>
      <left style="thin">
        <color rgb="FFCCCCCC"/>
      </left>
      <right style="thin">
        <color rgb="FFCCCCCC"/>
      </right>
      <top style="thin">
        <color rgb="FFCCCCCC"/>
      </top>
    </border>
    <border>
      <left style="thin">
        <color rgb="FFB7B7B7"/>
      </left>
      <right style="thin">
        <color rgb="FFB7B7B7"/>
      </right>
      <top style="thin">
        <color rgb="FFB7B7B7"/>
      </top>
      <bottom style="thin">
        <color rgb="FFB7B7B7"/>
      </bottom>
    </border>
    <border>
      <left style="thin">
        <color rgb="FFCCCCCC"/>
      </left>
      <top style="thin">
        <color rgb="FFCCCCCC"/>
      </top>
      <bottom style="thin">
        <color rgb="FFCCCCCC"/>
      </bottom>
    </border>
    <border>
      <left style="thin">
        <color rgb="FF000000"/>
      </left>
      <right style="thin">
        <color rgb="FF000000"/>
      </right>
      <top style="thin">
        <color rgb="FF000000"/>
      </top>
    </border>
    <border>
      <left style="thin">
        <color rgb="FF000000"/>
      </left>
      <right style="thin">
        <color rgb="FFB7B7B7"/>
      </right>
      <top style="thin">
        <color rgb="FFB7B7B7"/>
      </top>
      <bottom style="thin">
        <color rgb="FFB7B7B7"/>
      </bottom>
    </border>
    <border>
      <right style="thin">
        <color rgb="FFCCCCCC"/>
      </right>
      <top style="thin">
        <color rgb="FFCCCCCC"/>
      </top>
      <bottom style="thin">
        <color rgb="FFCCCCCC"/>
      </bottom>
    </border>
    <border>
      <right style="thin">
        <color rgb="FFCCCCCC"/>
      </right>
      <top style="thin">
        <color rgb="FFCCCCCC"/>
      </top>
    </border>
    <border>
      <right style="thin">
        <color rgb="FFB7B7B7"/>
      </right>
      <top style="thin">
        <color rgb="FFB7B7B7"/>
      </top>
      <bottom style="thin">
        <color rgb="FFB7B7B7"/>
      </bottom>
    </border>
    <border>
      <right style="thin">
        <color rgb="FFCCCCCC"/>
      </right>
      <bottom style="thin">
        <color rgb="FFCCCCCC"/>
      </bottom>
    </border>
    <border>
      <left style="thin">
        <color rgb="FFD9D9D9"/>
      </left>
      <right style="thin">
        <color rgb="FF000000"/>
      </right>
      <top style="thin">
        <color rgb="FFD9D9D9"/>
      </top>
    </border>
    <border>
      <right style="thin">
        <color rgb="FF000000"/>
      </right>
      <top style="thin">
        <color rgb="FFD9D9D9"/>
      </top>
    </border>
    <border>
      <top style="thin">
        <color rgb="FFD9D9D9"/>
      </top>
    </border>
    <border>
      <left style="thin">
        <color rgb="FF000000"/>
      </left>
      <right style="thin">
        <color rgb="FFD9D9D9"/>
      </right>
      <top style="thin">
        <color rgb="FFD9D9D9"/>
      </top>
      <bottom style="thin">
        <color rgb="FF000000"/>
      </bottom>
    </border>
    <border>
      <right style="thin">
        <color rgb="FFD9D9D9"/>
      </right>
      <top style="thin">
        <color rgb="FFD9D9D9"/>
      </top>
      <bottom style="thin">
        <color rgb="FF000000"/>
      </bottom>
    </border>
    <border>
      <left style="thin">
        <color rgb="FFD9D9D9"/>
      </left>
      <right style="thin">
        <color rgb="FFD9D9D9"/>
      </right>
      <top style="thin">
        <color rgb="FFD9D9D9"/>
      </top>
      <bottom style="thin">
        <color rgb="FF000000"/>
      </bottom>
    </border>
    <border>
      <left style="thin">
        <color rgb="FFD9D9D9"/>
      </left>
      <top style="thin">
        <color rgb="FFD9D9D9"/>
      </top>
      <bottom style="thick">
        <color rgb="FF434343"/>
      </bottom>
    </border>
    <border>
      <left style="thick">
        <color rgb="FF434343"/>
      </left>
      <right style="thin">
        <color rgb="FFD9D9D9"/>
      </right>
      <top style="thin">
        <color rgb="FFD9D9D9"/>
      </top>
      <bottom style="thick">
        <color rgb="FF434343"/>
      </bottom>
    </border>
    <border>
      <right style="thin">
        <color rgb="FFD9D9D9"/>
      </right>
      <top style="thin">
        <color rgb="FFD9D9D9"/>
      </top>
    </border>
    <border>
      <left style="thin">
        <color rgb="FFD9D9D9"/>
      </left>
      <right style="thin">
        <color rgb="FFD9D9D9"/>
      </right>
      <top style="thin">
        <color rgb="FFD9D9D9"/>
      </top>
      <bottom style="thick">
        <color rgb="FF434343"/>
      </bottom>
    </border>
    <border>
      <left style="thin">
        <color rgb="FFBBBBBB"/>
      </left>
      <right style="thin">
        <color rgb="FFBBBBBB"/>
      </right>
      <top style="thin">
        <color rgb="FFBBBBBB"/>
      </top>
      <bottom style="thin">
        <color rgb="FFBBBBBB"/>
      </bottom>
    </border>
    <border>
      <right style="thick">
        <color rgb="FF434343"/>
      </right>
      <top style="thick">
        <color rgb="FF434343"/>
      </top>
    </border>
    <border>
      <left style="thin">
        <color rgb="FF000000"/>
      </left>
      <top style="thin">
        <color rgb="FF000000"/>
      </top>
      <bottom style="thin">
        <color rgb="FF000000"/>
      </bottom>
    </border>
    <border>
      <left style="thick">
        <color rgb="FF434343"/>
      </left>
      <top style="thick">
        <color rgb="FFCCCCCC"/>
      </top>
    </border>
    <border>
      <top style="thick">
        <color rgb="FFCCCCCC"/>
      </top>
    </border>
    <border>
      <left style="thin">
        <color rgb="FF000000"/>
      </left>
      <top style="thick">
        <color rgb="FFCCCCCC"/>
      </top>
    </border>
    <border>
      <right style="thin">
        <color rgb="FF000000"/>
      </right>
      <top style="thick">
        <color rgb="FFCCCCCC"/>
      </top>
    </border>
    <border>
      <left style="thin">
        <color rgb="FF434343"/>
      </left>
      <top style="thick">
        <color rgb="FFCCCCCC"/>
      </top>
    </border>
    <border>
      <right style="thick">
        <color rgb="FF434343"/>
      </right>
      <top style="thick">
        <color rgb="FFCCCCCC"/>
      </top>
    </border>
    <border>
      <left style="thick">
        <color rgb="FF434343"/>
      </left>
      <right style="thin">
        <color rgb="FFD9D9D9"/>
      </right>
      <top style="thick">
        <color rgb="FF434343"/>
      </top>
    </border>
    <border>
      <right style="thin">
        <color rgb="FFD9D9D9"/>
      </right>
      <top style="thick">
        <color rgb="FF434343"/>
      </top>
    </border>
    <border>
      <left style="thin">
        <color rgb="FFD9D9D9"/>
      </left>
      <right style="thin">
        <color rgb="FFD9D9D9"/>
      </right>
      <top style="thick">
        <color rgb="FF434343"/>
      </top>
    </border>
    <border>
      <left style="thin">
        <color rgb="FFD9D9D9"/>
      </left>
      <top style="thick">
        <color rgb="FF434343"/>
      </top>
    </border>
    <border>
      <left style="thin">
        <color rgb="FFD9D9D9"/>
      </left>
      <right style="thin">
        <color rgb="FF000000"/>
      </right>
      <top style="thick">
        <color rgb="FF434343"/>
      </top>
    </border>
    <border>
      <left style="thin">
        <color rgb="FF000000"/>
      </left>
      <right style="thin">
        <color rgb="FF000000"/>
      </right>
      <top style="thick">
        <color rgb="FF434343"/>
      </top>
    </border>
    <border>
      <left style="thin">
        <color rgb="FFCCCCCC"/>
      </left>
      <right style="thin">
        <color rgb="FFCCCCCC"/>
      </right>
      <top style="thick">
        <color rgb="FF434343"/>
      </top>
    </border>
    <border>
      <left style="thin">
        <color rgb="FFD9D9D9"/>
      </left>
      <right style="thin">
        <color rgb="FF434343"/>
      </right>
      <top style="thick">
        <color rgb="FF434343"/>
      </top>
    </border>
    <border>
      <right style="thin">
        <color rgb="FF000000"/>
      </right>
      <top style="thick">
        <color rgb="FF434343"/>
      </top>
    </border>
    <border>
      <left style="thick">
        <color rgb="FF434343"/>
      </left>
      <right style="thick">
        <color rgb="FF434343"/>
      </right>
      <top style="thick">
        <color rgb="FF434343"/>
      </top>
      <bottom style="thick">
        <color rgb="FF434343"/>
      </bottom>
    </border>
    <border>
      <left style="thick">
        <color rgb="FF434343"/>
      </left>
      <bottom style="thin">
        <color rgb="FFCCCCCC"/>
      </bottom>
    </border>
    <border>
      <left style="thin">
        <color rgb="FF434343"/>
      </left>
      <right style="thin">
        <color rgb="FF434343"/>
      </right>
      <bottom style="thin">
        <color rgb="FFCCCCCC"/>
      </bottom>
    </border>
    <border>
      <left style="thin">
        <color rgb="FF434343"/>
      </left>
      <right style="thin">
        <color rgb="FF000000"/>
      </right>
      <bottom style="thin">
        <color rgb="FFCCCCCC"/>
      </bottom>
    </border>
    <border>
      <right style="thick">
        <color rgb="FF434343"/>
      </right>
      <bottom style="thin">
        <color rgb="FFCCCCCC"/>
      </bottom>
    </border>
    <border>
      <right style="thick">
        <color rgb="FF434343"/>
      </right>
      <top style="thin">
        <color rgb="FFCCCCCC"/>
      </top>
      <bottom style="thin">
        <color rgb="FFCCCCCC"/>
      </bottom>
    </border>
    <border>
      <left style="thin">
        <color rgb="FF434343"/>
      </left>
      <top style="thin">
        <color rgb="FFD9D9D9"/>
      </top>
      <bottom style="thin">
        <color rgb="FFD9D9D9"/>
      </bottom>
    </border>
    <border>
      <left style="thin">
        <color rgb="FF434343"/>
      </left>
    </border>
    <border>
      <right style="thin">
        <color rgb="FF434343"/>
      </right>
    </border>
    <border>
      <left style="thin">
        <color rgb="FF434343"/>
      </left>
      <right style="thin">
        <color rgb="FF434343"/>
      </right>
      <top style="thin">
        <color rgb="FFD9D9D9"/>
      </top>
      <bottom style="thin">
        <color rgb="FFD9D9D9"/>
      </bottom>
    </border>
    <border>
      <left style="thin">
        <color rgb="FF434343"/>
      </left>
      <right style="thin">
        <color rgb="FF434343"/>
      </right>
    </border>
    <border>
      <left style="thin">
        <color rgb="FF434343"/>
      </left>
      <top style="thin">
        <color rgb="FFD9D9D9"/>
      </top>
    </border>
    <border>
      <left style="thin">
        <color rgb="FF434343"/>
      </left>
      <top style="thin">
        <color rgb="FFEFEFEF"/>
      </top>
      <bottom style="thin">
        <color rgb="FFEFEFEF"/>
      </bottom>
    </border>
    <border>
      <left style="thin">
        <color rgb="FFD9D9D9"/>
      </left>
      <right style="thin">
        <color rgb="FFCCCCCC"/>
      </right>
      <top style="thin">
        <color rgb="FFD9D9D9"/>
      </top>
      <bottom style="thin">
        <color rgb="FFD9D9D9"/>
      </bottom>
    </border>
    <border>
      <left style="thick">
        <color rgb="FF434343"/>
      </left>
      <right style="thin">
        <color rgb="FFD9D9D9"/>
      </right>
      <bottom style="thick">
        <color rgb="FF434343"/>
      </bottom>
    </border>
    <border>
      <right style="thin">
        <color rgb="FFD9D9D9"/>
      </right>
      <top style="thin">
        <color rgb="FFD9D9D9"/>
      </top>
      <bottom style="thick">
        <color rgb="FF434343"/>
      </bottom>
    </border>
    <border>
      <left style="thin">
        <color rgb="FF000000"/>
      </left>
      <right style="thin">
        <color rgb="FFD9D9D9"/>
      </right>
      <top style="thin">
        <color rgb="FFD9D9D9"/>
      </top>
      <bottom style="thick">
        <color rgb="FF434343"/>
      </bottom>
    </border>
    <border>
      <left style="thin">
        <color rgb="FFD9D9D9"/>
      </left>
      <right style="thin">
        <color rgb="FF000000"/>
      </right>
      <bottom style="thick">
        <color rgb="FF434343"/>
      </bottom>
    </border>
    <border>
      <top style="thin">
        <color rgb="FFD9D9D9"/>
      </top>
      <bottom style="thick">
        <color rgb="FF434343"/>
      </bottom>
    </border>
    <border>
      <left style="thick">
        <color rgb="FF434343"/>
      </left>
      <bottom style="thick">
        <color rgb="FF434343"/>
      </bottom>
    </border>
    <border>
      <left style="thin">
        <color rgb="FF434343"/>
      </left>
      <top style="thin">
        <color rgb="FFCCCCCC"/>
      </top>
      <bottom style="thick">
        <color rgb="FF434343"/>
      </bottom>
    </border>
    <border>
      <left style="thin">
        <color rgb="FF434343"/>
      </left>
      <bottom style="thick">
        <color rgb="FF434343"/>
      </bottom>
    </border>
    <border>
      <left style="thin">
        <color rgb="FF434343"/>
      </left>
      <right style="thin">
        <color rgb="FF434343"/>
      </right>
      <bottom style="thick">
        <color rgb="FF434343"/>
      </bottom>
    </border>
    <border>
      <right style="thin">
        <color rgb="FF434343"/>
      </right>
      <bottom style="thick">
        <color rgb="FF434343"/>
      </bottom>
    </border>
    <border>
      <bottom style="thick">
        <color rgb="FF434343"/>
      </bottom>
    </border>
    <border>
      <left style="thin">
        <color rgb="FF434343"/>
      </left>
      <right style="thin">
        <color rgb="FF434343"/>
      </right>
      <top style="thin">
        <color rgb="FFCCCCCC"/>
      </top>
      <bottom style="thick">
        <color rgb="FF434343"/>
      </bottom>
    </border>
    <border>
      <left style="thin">
        <color rgb="FF434343"/>
      </left>
      <right style="thin">
        <color rgb="FF000000"/>
      </right>
      <bottom style="thick">
        <color rgb="FF434343"/>
      </bottom>
    </border>
    <border>
      <right style="thin">
        <color rgb="FF434343"/>
      </right>
      <top style="thin">
        <color rgb="FFCCCCCC"/>
      </top>
      <bottom style="thick">
        <color rgb="FF434343"/>
      </bottom>
    </border>
    <border>
      <right style="thick">
        <color rgb="FF434343"/>
      </right>
      <bottom style="thick">
        <color rgb="FF434343"/>
      </bottom>
    </border>
  </borders>
  <cellStyleXfs count="1">
    <xf borderId="0" fillId="0" fontId="0" numFmtId="0" applyAlignment="1" applyFont="1"/>
  </cellStyleXfs>
  <cellXfs count="1303">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0" fontId="1" numFmtId="0" xfId="0" applyAlignment="1" applyBorder="1" applyFont="1">
      <alignment horizontal="center" readingOrder="0" shrinkToFit="0" vertical="center" wrapText="1"/>
    </xf>
    <xf borderId="2"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readingOrder="0" shrinkToFit="0" vertical="center" wrapText="1"/>
    </xf>
    <xf borderId="0" fillId="0" fontId="4" numFmtId="0" xfId="0" applyFont="1"/>
    <xf borderId="5" fillId="3" fontId="5" numFmtId="0" xfId="0" applyAlignment="1" applyBorder="1" applyFill="1" applyFont="1">
      <alignment horizontal="center" readingOrder="0" shrinkToFit="0" vertical="center" wrapText="1"/>
    </xf>
    <xf borderId="6" fillId="3" fontId="5" numFmtId="0" xfId="0" applyAlignment="1" applyBorder="1" applyFont="1">
      <alignment horizontal="center" readingOrder="0" shrinkToFit="0" vertical="center" wrapText="1"/>
    </xf>
    <xf borderId="6" fillId="3"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6" fillId="0" fontId="2" numFmtId="0" xfId="0" applyBorder="1" applyFont="1"/>
    <xf borderId="8" fillId="0" fontId="2" numFmtId="0" xfId="0" applyBorder="1" applyFont="1"/>
    <xf borderId="9" fillId="2" fontId="6" numFmtId="0" xfId="0" applyAlignment="1" applyBorder="1" applyFont="1">
      <alignment horizontal="center" readingOrder="0" shrinkToFit="0" vertical="center" wrapText="1"/>
    </xf>
    <xf borderId="10" fillId="4" fontId="6" numFmtId="0" xfId="0" applyAlignment="1" applyBorder="1" applyFill="1" applyFont="1">
      <alignment horizontal="center" readingOrder="0" shrinkToFit="0" vertical="center" wrapText="1"/>
    </xf>
    <xf borderId="10" fillId="5" fontId="6" numFmtId="0" xfId="0" applyAlignment="1" applyBorder="1" applyFill="1" applyFont="1">
      <alignment horizontal="center" readingOrder="0" shrinkToFit="0" vertical="center" wrapText="1"/>
    </xf>
    <xf borderId="11" fillId="4" fontId="6" numFmtId="0" xfId="0" applyAlignment="1" applyBorder="1" applyFont="1">
      <alignment horizontal="center" readingOrder="0" shrinkToFit="0" vertical="center" wrapText="1"/>
    </xf>
    <xf borderId="11" fillId="0" fontId="6" numFmtId="0" xfId="0" applyAlignment="1" applyBorder="1" applyFont="1">
      <alignment horizontal="center" readingOrder="0" shrinkToFit="0" vertical="center" wrapText="1"/>
    </xf>
    <xf borderId="11" fillId="5" fontId="6" numFmtId="0" xfId="0" applyAlignment="1" applyBorder="1" applyFont="1">
      <alignment horizontal="center" readingOrder="0" shrinkToFit="0" vertical="center" wrapText="1"/>
    </xf>
    <xf borderId="12" fillId="4" fontId="7" numFmtId="0" xfId="0" applyAlignment="1" applyBorder="1" applyFont="1">
      <alignment horizontal="center" readingOrder="0" shrinkToFit="0" vertical="center" wrapText="1"/>
    </xf>
    <xf borderId="11" fillId="4" fontId="7" numFmtId="0" xfId="0" applyAlignment="1" applyBorder="1" applyFont="1">
      <alignment horizontal="center" readingOrder="0" shrinkToFit="0" vertical="center" wrapText="1"/>
    </xf>
    <xf borderId="13" fillId="4" fontId="8" numFmtId="0" xfId="0" applyAlignment="1" applyBorder="1" applyFont="1">
      <alignment horizontal="center" readingOrder="0" shrinkToFit="0" wrapText="1"/>
    </xf>
    <xf borderId="14" fillId="4" fontId="6" numFmtId="0" xfId="0" applyAlignment="1" applyBorder="1" applyFont="1">
      <alignment horizontal="center" readingOrder="0" shrinkToFit="0" vertical="center" wrapText="1"/>
    </xf>
    <xf borderId="15" fillId="4" fontId="6" numFmtId="0" xfId="0" applyAlignment="1" applyBorder="1" applyFont="1">
      <alignment horizontal="center" readingOrder="0" shrinkToFit="0" vertical="center" wrapText="1"/>
    </xf>
    <xf borderId="16" fillId="4" fontId="6" numFmtId="0" xfId="0" applyAlignment="1" applyBorder="1" applyFont="1">
      <alignment horizontal="center" readingOrder="0" shrinkToFit="0" vertical="center" wrapText="1"/>
    </xf>
    <xf borderId="15" fillId="6" fontId="9" numFmtId="0" xfId="0" applyAlignment="1" applyBorder="1" applyFill="1" applyFont="1">
      <alignment horizontal="center" readingOrder="0" shrinkToFit="0" vertical="center" wrapText="1"/>
    </xf>
    <xf borderId="12" fillId="7" fontId="6" numFmtId="0" xfId="0" applyAlignment="1" applyBorder="1" applyFill="1" applyFont="1">
      <alignment horizontal="center" readingOrder="0" shrinkToFit="0" vertical="center" wrapText="1"/>
    </xf>
    <xf borderId="11" fillId="8" fontId="9" numFmtId="0" xfId="0" applyAlignment="1" applyBorder="1" applyFill="1" applyFont="1">
      <alignment horizontal="center" readingOrder="0" shrinkToFit="0" vertical="center" wrapText="1"/>
    </xf>
    <xf borderId="11" fillId="2" fontId="9" numFmtId="0" xfId="0" applyAlignment="1" applyBorder="1" applyFont="1">
      <alignment horizontal="center" readingOrder="0" shrinkToFit="0" vertical="center" wrapText="1"/>
    </xf>
    <xf borderId="11" fillId="4" fontId="9" numFmtId="0" xfId="0" applyAlignment="1" applyBorder="1" applyFont="1">
      <alignment horizontal="center" readingOrder="0" shrinkToFit="0" vertical="center" wrapText="1"/>
    </xf>
    <xf borderId="11" fillId="9" fontId="9" numFmtId="0" xfId="0" applyAlignment="1" applyBorder="1" applyFill="1" applyFont="1">
      <alignment horizontal="center" readingOrder="0" shrinkToFit="0" vertical="center" wrapText="1"/>
    </xf>
    <xf borderId="11" fillId="3" fontId="9" numFmtId="0" xfId="0" applyAlignment="1" applyBorder="1" applyFont="1">
      <alignment horizontal="center" readingOrder="0" shrinkToFit="0" vertical="center" wrapText="1"/>
    </xf>
    <xf borderId="14" fillId="10" fontId="9" numFmtId="0" xfId="0" applyAlignment="1" applyBorder="1" applyFill="1" applyFont="1">
      <alignment horizontal="center" readingOrder="0" shrinkToFit="0" vertical="center" wrapText="1"/>
    </xf>
    <xf borderId="14" fillId="11" fontId="4" numFmtId="0" xfId="0" applyAlignment="1" applyBorder="1" applyFill="1" applyFont="1">
      <alignment horizontal="center" vertical="center"/>
    </xf>
    <xf borderId="15" fillId="6" fontId="6" numFmtId="0" xfId="0" applyAlignment="1" applyBorder="1" applyFont="1">
      <alignment horizontal="center" readingOrder="0" shrinkToFit="0" vertical="center" wrapText="1"/>
    </xf>
    <xf borderId="14" fillId="5" fontId="9" numFmtId="0" xfId="0" applyAlignment="1" applyBorder="1" applyFont="1">
      <alignment horizontal="center" readingOrder="0" shrinkToFit="0" vertical="center" wrapText="1"/>
    </xf>
    <xf borderId="17" fillId="6" fontId="6" numFmtId="0" xfId="0" applyAlignment="1" applyBorder="1" applyFont="1">
      <alignment horizontal="center" readingOrder="0" shrinkToFit="0" vertical="center" wrapText="1"/>
    </xf>
    <xf borderId="17" fillId="7" fontId="6" numFmtId="0" xfId="0" applyAlignment="1" applyBorder="1" applyFont="1">
      <alignment horizontal="center" readingOrder="0" shrinkToFit="0" vertical="center" wrapText="1"/>
    </xf>
    <xf borderId="15" fillId="8" fontId="9" numFmtId="0" xfId="0" applyAlignment="1" applyBorder="1" applyFont="1">
      <alignment horizontal="center" readingOrder="0" shrinkToFit="0" vertical="center" wrapText="1"/>
    </xf>
    <xf borderId="15" fillId="2" fontId="9" numFmtId="0" xfId="0" applyAlignment="1" applyBorder="1" applyFont="1">
      <alignment horizontal="center" readingOrder="0" shrinkToFit="0" vertical="center" wrapText="1"/>
    </xf>
    <xf borderId="14" fillId="4" fontId="9" numFmtId="0" xfId="0" applyAlignment="1" applyBorder="1" applyFont="1">
      <alignment horizontal="center" readingOrder="0" shrinkToFit="0" vertical="center" wrapText="1"/>
    </xf>
    <xf borderId="14" fillId="9" fontId="9" numFmtId="0" xfId="0" applyAlignment="1" applyBorder="1" applyFont="1">
      <alignment horizontal="center" readingOrder="0" shrinkToFit="0" vertical="center" wrapText="1"/>
    </xf>
    <xf borderId="14" fillId="3" fontId="9" numFmtId="0" xfId="0" applyAlignment="1" applyBorder="1" applyFont="1">
      <alignment horizontal="center" readingOrder="0" shrinkToFit="0" vertical="center" wrapText="1"/>
    </xf>
    <xf borderId="18" fillId="11" fontId="4" numFmtId="0" xfId="0" applyAlignment="1" applyBorder="1" applyFont="1">
      <alignment horizontal="center" vertical="center"/>
    </xf>
    <xf borderId="11" fillId="7" fontId="6" numFmtId="0" xfId="0" applyAlignment="1" applyBorder="1" applyFont="1">
      <alignment horizontal="center" readingOrder="0" shrinkToFit="0" vertical="center" wrapText="1"/>
    </xf>
    <xf borderId="19" fillId="6" fontId="6" numFmtId="0" xfId="0" applyAlignment="1" applyBorder="1" applyFont="1">
      <alignment horizontal="center" readingOrder="0" shrinkToFit="0" vertical="center" wrapText="1"/>
    </xf>
    <xf borderId="19" fillId="7" fontId="6" numFmtId="0" xfId="0" applyAlignment="1" applyBorder="1" applyFont="1">
      <alignment horizontal="center" readingOrder="0" shrinkToFit="0" vertical="center" wrapText="1"/>
    </xf>
    <xf borderId="19" fillId="8" fontId="6" numFmtId="0" xfId="0" applyAlignment="1" applyBorder="1" applyFont="1">
      <alignment horizontal="center" readingOrder="0" shrinkToFit="0" vertical="center" wrapText="1"/>
    </xf>
    <xf borderId="19" fillId="2" fontId="6" numFmtId="0" xfId="0" applyAlignment="1" applyBorder="1" applyFont="1">
      <alignment horizontal="center" readingOrder="0" shrinkToFit="0" vertical="center" wrapText="1"/>
    </xf>
    <xf borderId="14" fillId="9" fontId="6" numFmtId="0" xfId="0" applyAlignment="1" applyBorder="1" applyFont="1">
      <alignment horizontal="center" readingOrder="0" shrinkToFit="0" vertical="center" wrapText="1"/>
    </xf>
    <xf borderId="14" fillId="3" fontId="6" numFmtId="0" xfId="0" applyAlignment="1" applyBorder="1" applyFont="1">
      <alignment horizontal="center" readingOrder="0" shrinkToFit="0" vertical="center" wrapText="1"/>
    </xf>
    <xf borderId="20" fillId="11" fontId="4" numFmtId="0" xfId="0" applyAlignment="1" applyBorder="1" applyFont="1">
      <alignment horizontal="center" vertical="center"/>
    </xf>
    <xf borderId="21" fillId="0" fontId="9" numFmtId="0" xfId="0" applyAlignment="1" applyBorder="1" applyFont="1">
      <alignment horizontal="left" readingOrder="0" shrinkToFit="0" vertical="center" wrapText="1"/>
    </xf>
    <xf borderId="22" fillId="12" fontId="10" numFmtId="0" xfId="0" applyAlignment="1" applyBorder="1" applyFill="1" applyFont="1">
      <alignment horizontal="left" readingOrder="0" shrinkToFit="0" vertical="center" wrapText="0"/>
    </xf>
    <xf borderId="23" fillId="12" fontId="10" numFmtId="0" xfId="0" applyAlignment="1" applyBorder="1" applyFont="1">
      <alignment horizontal="left" readingOrder="0" shrinkToFit="0" vertical="center" wrapText="0"/>
    </xf>
    <xf borderId="23" fillId="12" fontId="10" numFmtId="0" xfId="0" applyAlignment="1" applyBorder="1" applyFont="1">
      <alignment horizontal="center" readingOrder="0" shrinkToFit="0" vertical="center" wrapText="1"/>
    </xf>
    <xf borderId="24" fillId="12" fontId="10" numFmtId="0" xfId="0" applyAlignment="1" applyBorder="1" applyFont="1">
      <alignment horizontal="center" readingOrder="0" shrinkToFit="0" vertical="center" wrapText="1"/>
    </xf>
    <xf borderId="25" fillId="12" fontId="10" numFmtId="0" xfId="0" applyAlignment="1" applyBorder="1" applyFont="1">
      <alignment horizontal="center" readingOrder="0" shrinkToFit="0" vertical="center" wrapText="1"/>
    </xf>
    <xf borderId="26" fillId="12" fontId="9" numFmtId="0" xfId="0" applyAlignment="1" applyBorder="1" applyFont="1">
      <alignment vertical="center"/>
    </xf>
    <xf borderId="27" fillId="12" fontId="9" numFmtId="0" xfId="0" applyAlignment="1" applyBorder="1" applyFont="1">
      <alignment vertical="center"/>
    </xf>
    <xf borderId="2" fillId="12" fontId="9" numFmtId="0" xfId="0" applyAlignment="1" applyBorder="1" applyFont="1">
      <alignment vertical="center"/>
    </xf>
    <xf borderId="28" fillId="12" fontId="9" numFmtId="0" xfId="0" applyAlignment="1" applyBorder="1" applyFont="1">
      <alignment vertical="center"/>
    </xf>
    <xf borderId="29" fillId="0" fontId="10" numFmtId="0" xfId="0" applyAlignment="1" applyBorder="1" applyFont="1">
      <alignment horizontal="center" readingOrder="0" shrinkToFit="0" vertical="center" wrapText="0"/>
    </xf>
    <xf borderId="30" fillId="0" fontId="10" numFmtId="0" xfId="0" applyAlignment="1" applyBorder="1" applyFont="1">
      <alignment horizontal="center" vertical="center"/>
    </xf>
    <xf borderId="31" fillId="0" fontId="10" numFmtId="0" xfId="0" applyAlignment="1" applyBorder="1" applyFont="1">
      <alignment horizontal="center" vertical="center"/>
    </xf>
    <xf borderId="32" fillId="0" fontId="10" numFmtId="0" xfId="0" applyAlignment="1" applyBorder="1" applyFont="1">
      <alignment horizontal="center" vertical="center"/>
    </xf>
    <xf borderId="25" fillId="0" fontId="10" numFmtId="0" xfId="0" applyAlignment="1" applyBorder="1" applyFont="1">
      <alignment horizontal="center" vertical="center"/>
    </xf>
    <xf borderId="25" fillId="0" fontId="10" numFmtId="0" xfId="0" applyAlignment="1" applyBorder="1" applyFont="1">
      <alignment horizontal="center" readingOrder="0" shrinkToFit="0" vertical="center" wrapText="1"/>
    </xf>
    <xf borderId="33" fillId="0" fontId="10" numFmtId="0" xfId="0" applyAlignment="1" applyBorder="1" applyFont="1">
      <alignment horizontal="center" readingOrder="0" shrinkToFit="0" vertical="center" wrapText="1"/>
    </xf>
    <xf borderId="34" fillId="0" fontId="10" numFmtId="0" xfId="0" applyAlignment="1" applyBorder="1" applyFont="1">
      <alignment horizontal="center" readingOrder="0" shrinkToFit="0" vertical="center" wrapText="1"/>
    </xf>
    <xf borderId="32" fillId="0" fontId="10" numFmtId="164" xfId="0" applyAlignment="1" applyBorder="1" applyFont="1" applyNumberFormat="1">
      <alignment horizontal="center" shrinkToFit="0" vertical="center" wrapText="1"/>
    </xf>
    <xf borderId="35" fillId="0" fontId="9" numFmtId="9" xfId="0" applyAlignment="1" applyBorder="1" applyFont="1" applyNumberFormat="1">
      <alignment horizontal="center" readingOrder="0" shrinkToFit="0" vertical="center" wrapText="1"/>
    </xf>
    <xf borderId="36" fillId="0" fontId="10" numFmtId="164" xfId="0" applyAlignment="1" applyBorder="1" applyFont="1" applyNumberFormat="1">
      <alignment horizontal="center" shrinkToFit="0" vertical="center" wrapText="1"/>
    </xf>
    <xf borderId="31" fillId="0" fontId="10" numFmtId="164" xfId="0" applyAlignment="1" applyBorder="1" applyFont="1" applyNumberFormat="1">
      <alignment horizontal="center" shrinkToFit="0" vertical="center" wrapText="1"/>
    </xf>
    <xf borderId="35" fillId="0" fontId="10" numFmtId="164" xfId="0" applyAlignment="1" applyBorder="1" applyFont="1" applyNumberFormat="1">
      <alignment horizontal="center" shrinkToFit="0" vertical="center" wrapText="1"/>
    </xf>
    <xf borderId="37" fillId="0" fontId="10" numFmtId="164" xfId="0" applyAlignment="1" applyBorder="1" applyFont="1" applyNumberFormat="1">
      <alignment horizontal="center" shrinkToFit="0" vertical="center" wrapText="1"/>
    </xf>
    <xf borderId="38" fillId="0" fontId="9" numFmtId="9" xfId="0" applyAlignment="1" applyBorder="1" applyFont="1" applyNumberFormat="1">
      <alignment horizontal="center" readingOrder="0" shrinkToFit="0" vertical="center" wrapText="1"/>
    </xf>
    <xf borderId="25" fillId="0" fontId="10" numFmtId="164" xfId="0" applyAlignment="1" applyBorder="1" applyFont="1" applyNumberFormat="1">
      <alignment horizontal="center" shrinkToFit="0" vertical="center" wrapText="1"/>
    </xf>
    <xf borderId="39" fillId="10" fontId="9" numFmtId="9" xfId="0" applyAlignment="1" applyBorder="1" applyFont="1" applyNumberFormat="1">
      <alignment horizontal="center" readingOrder="0" shrinkToFit="0" vertical="center" wrapText="1"/>
    </xf>
    <xf borderId="35" fillId="10" fontId="9" numFmtId="9" xfId="0" applyAlignment="1" applyBorder="1" applyFont="1" applyNumberFormat="1">
      <alignment horizontal="center" readingOrder="0" shrinkToFit="0" vertical="center" wrapText="1"/>
    </xf>
    <xf borderId="37" fillId="10" fontId="9" numFmtId="9" xfId="0" applyAlignment="1" applyBorder="1" applyFont="1" applyNumberFormat="1">
      <alignment horizontal="center" readingOrder="0" shrinkToFit="0" vertical="center" wrapText="1"/>
    </xf>
    <xf borderId="40" fillId="10" fontId="9" numFmtId="9" xfId="0" applyAlignment="1" applyBorder="1" applyFont="1" applyNumberFormat="1">
      <alignment horizontal="center" readingOrder="0" shrinkToFit="0" vertical="center" wrapText="1"/>
    </xf>
    <xf borderId="41" fillId="10" fontId="9" numFmtId="9" xfId="0" applyAlignment="1" applyBorder="1" applyFont="1" applyNumberFormat="1">
      <alignment horizontal="center" readingOrder="0" shrinkToFit="0" vertical="center" wrapText="1"/>
    </xf>
    <xf borderId="42" fillId="10" fontId="9" numFmtId="9" xfId="0" applyAlignment="1" applyBorder="1" applyFont="1" applyNumberFormat="1">
      <alignment horizontal="center" readingOrder="0" shrinkToFit="0" vertical="center" wrapText="1"/>
    </xf>
    <xf borderId="43" fillId="10" fontId="9" numFmtId="9" xfId="0" applyAlignment="1" applyBorder="1" applyFont="1" applyNumberFormat="1">
      <alignment horizontal="center" readingOrder="0" shrinkToFit="0" vertical="center" wrapText="1"/>
    </xf>
    <xf borderId="44" fillId="11" fontId="4" numFmtId="9" xfId="0" applyAlignment="1" applyBorder="1" applyFont="1" applyNumberFormat="1">
      <alignment horizontal="center" vertical="center"/>
    </xf>
    <xf borderId="45" fillId="10" fontId="9" numFmtId="9" xfId="0" applyAlignment="1" applyBorder="1" applyFont="1" applyNumberFormat="1">
      <alignment horizontal="center" readingOrder="0" shrinkToFit="0" vertical="center" wrapText="1"/>
    </xf>
    <xf borderId="46" fillId="10" fontId="9" numFmtId="9" xfId="0" applyAlignment="1" applyBorder="1" applyFont="1" applyNumberFormat="1">
      <alignment horizontal="center" readingOrder="0" shrinkToFit="0" vertical="center" wrapText="1"/>
    </xf>
    <xf borderId="47" fillId="10" fontId="9" numFmtId="9" xfId="0" applyAlignment="1" applyBorder="1" applyFont="1" applyNumberFormat="1">
      <alignment horizontal="center" readingOrder="0" shrinkToFit="0" vertical="center" wrapText="1"/>
    </xf>
    <xf borderId="48" fillId="10" fontId="9" numFmtId="9" xfId="0" applyAlignment="1" applyBorder="1" applyFont="1" applyNumberFormat="1">
      <alignment horizontal="center" readingOrder="0" shrinkToFit="0" vertical="center" wrapText="1"/>
    </xf>
    <xf borderId="0" fillId="11" fontId="4" numFmtId="9" xfId="0" applyAlignment="1" applyFont="1" applyNumberFormat="1">
      <alignment horizontal="center" vertical="center"/>
    </xf>
    <xf borderId="49" fillId="10" fontId="9" numFmtId="9" xfId="0" applyAlignment="1" applyBorder="1" applyFont="1" applyNumberFormat="1">
      <alignment horizontal="center" readingOrder="0" shrinkToFit="0" vertical="center" wrapText="1"/>
    </xf>
    <xf borderId="25" fillId="10" fontId="9" numFmtId="9" xfId="0" applyAlignment="1" applyBorder="1" applyFont="1" applyNumberFormat="1">
      <alignment horizontal="center" readingOrder="0" shrinkToFit="0" vertical="center" wrapText="1"/>
    </xf>
    <xf borderId="50" fillId="10" fontId="9" numFmtId="9" xfId="0" applyAlignment="1" applyBorder="1" applyFont="1" applyNumberFormat="1">
      <alignment horizontal="center" readingOrder="0" shrinkToFit="0" vertical="center" wrapText="1"/>
    </xf>
    <xf borderId="39" fillId="10" fontId="11" numFmtId="9" xfId="0" applyAlignment="1" applyBorder="1" applyFont="1" applyNumberFormat="1">
      <alignment horizontal="center" shrinkToFit="0" wrapText="1"/>
    </xf>
    <xf borderId="51" fillId="11" fontId="4" numFmtId="9" xfId="0" applyAlignment="1" applyBorder="1" applyFont="1" applyNumberFormat="1">
      <alignment horizontal="center" vertical="center"/>
    </xf>
    <xf borderId="38" fillId="10" fontId="9" numFmtId="9" xfId="0" applyAlignment="1" applyBorder="1" applyFont="1" applyNumberFormat="1">
      <alignment horizontal="center" readingOrder="0" shrinkToFit="0" vertical="center" wrapText="1"/>
    </xf>
    <xf borderId="52" fillId="10" fontId="9" numFmtId="9" xfId="0" applyAlignment="1" applyBorder="1" applyFont="1" applyNumberFormat="1">
      <alignment horizontal="center" readingOrder="0" shrinkToFit="0" vertical="center" wrapText="1"/>
    </xf>
    <xf borderId="0" fillId="0" fontId="4" numFmtId="9" xfId="0" applyFont="1" applyNumberFormat="1"/>
    <xf borderId="53" fillId="0" fontId="10" numFmtId="0" xfId="0" applyAlignment="1" applyBorder="1" applyFont="1">
      <alignment horizontal="center" readingOrder="0" shrinkToFit="0" vertical="center" wrapText="0"/>
    </xf>
    <xf borderId="54" fillId="0" fontId="10" numFmtId="0" xfId="0" applyAlignment="1" applyBorder="1" applyFont="1">
      <alignment horizontal="center" vertical="center"/>
    </xf>
    <xf borderId="55" fillId="0" fontId="10" numFmtId="0" xfId="0" applyAlignment="1" applyBorder="1" applyFont="1">
      <alignment horizontal="center" vertical="center"/>
    </xf>
    <xf borderId="56" fillId="0" fontId="10" numFmtId="0" xfId="0" applyAlignment="1" applyBorder="1" applyFont="1">
      <alignment horizontal="center" vertical="center"/>
    </xf>
    <xf borderId="57" fillId="0" fontId="10" numFmtId="0" xfId="0" applyAlignment="1" applyBorder="1" applyFont="1">
      <alignment horizontal="center" vertical="center"/>
    </xf>
    <xf borderId="58" fillId="0" fontId="10" numFmtId="164" xfId="0" applyAlignment="1" applyBorder="1" applyFont="1" applyNumberFormat="1">
      <alignment horizontal="center" shrinkToFit="0" vertical="center" wrapText="1"/>
    </xf>
    <xf borderId="55" fillId="0" fontId="10" numFmtId="164" xfId="0" applyAlignment="1" applyBorder="1" applyFont="1" applyNumberFormat="1">
      <alignment horizontal="center" shrinkToFit="0" vertical="center" wrapText="1"/>
    </xf>
    <xf borderId="41" fillId="0" fontId="10" numFmtId="164" xfId="0" applyAlignment="1" applyBorder="1" applyFont="1" applyNumberFormat="1">
      <alignment horizontal="center" shrinkToFit="0" vertical="center" wrapText="1"/>
    </xf>
    <xf borderId="42" fillId="0" fontId="10" numFmtId="164" xfId="0" applyAlignment="1" applyBorder="1" applyFont="1" applyNumberFormat="1">
      <alignment horizontal="center" shrinkToFit="0" vertical="center" wrapText="1"/>
    </xf>
    <xf borderId="57" fillId="10" fontId="9" numFmtId="9" xfId="0" applyAlignment="1" applyBorder="1" applyFont="1" applyNumberFormat="1">
      <alignment horizontal="center" readingOrder="0" shrinkToFit="0" vertical="center" wrapText="1"/>
    </xf>
    <xf borderId="53" fillId="10" fontId="10" numFmtId="0" xfId="0" applyAlignment="1" applyBorder="1" applyFont="1">
      <alignment horizontal="center" readingOrder="0" shrinkToFit="0" vertical="center" wrapText="0"/>
    </xf>
    <xf borderId="54" fillId="0" fontId="10" numFmtId="0" xfId="0" applyAlignment="1" applyBorder="1" applyFont="1">
      <alignment horizontal="center" readingOrder="0" vertical="center"/>
    </xf>
    <xf borderId="59" fillId="0" fontId="10" numFmtId="0" xfId="0" applyAlignment="1" applyBorder="1" applyFont="1">
      <alignment horizontal="center" readingOrder="0" vertical="center"/>
    </xf>
    <xf borderId="60" fillId="0" fontId="10" numFmtId="0" xfId="0" applyAlignment="1" applyBorder="1" applyFont="1">
      <alignment horizontal="center" readingOrder="0" shrinkToFit="0" vertical="center" wrapText="1"/>
    </xf>
    <xf borderId="56" fillId="0" fontId="10" numFmtId="0" xfId="0" applyAlignment="1" applyBorder="1" applyFont="1">
      <alignment horizontal="center" readingOrder="0" vertical="center"/>
    </xf>
    <xf borderId="55" fillId="0" fontId="10" numFmtId="165" xfId="0" applyAlignment="1" applyBorder="1" applyFont="1" applyNumberFormat="1">
      <alignment horizontal="center" vertical="center"/>
    </xf>
    <xf borderId="57" fillId="0" fontId="10" numFmtId="165" xfId="0" applyAlignment="1" applyBorder="1" applyFont="1" applyNumberFormat="1">
      <alignment horizontal="center" vertical="center"/>
    </xf>
    <xf borderId="48" fillId="0" fontId="10" numFmtId="164" xfId="0" applyAlignment="1" applyBorder="1" applyFont="1" applyNumberFormat="1">
      <alignment horizontal="center" shrinkToFit="0" vertical="center" wrapText="1"/>
    </xf>
    <xf borderId="55" fillId="0" fontId="10" numFmtId="0" xfId="0" applyAlignment="1" applyBorder="1" applyFont="1">
      <alignment horizontal="center" readingOrder="0" vertical="center"/>
    </xf>
    <xf borderId="56" fillId="0" fontId="10" numFmtId="165" xfId="0" applyAlignment="1" applyBorder="1" applyFont="1" applyNumberFormat="1">
      <alignment horizontal="center" vertical="center"/>
    </xf>
    <xf borderId="0" fillId="0" fontId="4" numFmtId="0" xfId="0" applyAlignment="1" applyFont="1">
      <alignment readingOrder="0"/>
    </xf>
    <xf borderId="56" fillId="0" fontId="10" numFmtId="165" xfId="0" applyAlignment="1" applyBorder="1" applyFont="1" applyNumberFormat="1">
      <alignment horizontal="center" readingOrder="0" vertical="center"/>
    </xf>
    <xf borderId="61" fillId="0" fontId="10" numFmtId="0" xfId="0" applyAlignment="1" applyBorder="1" applyFont="1">
      <alignment horizontal="center" readingOrder="0" shrinkToFit="0" vertical="center" wrapText="0"/>
    </xf>
    <xf borderId="57" fillId="0" fontId="10" numFmtId="0" xfId="0" applyAlignment="1" applyBorder="1" applyFont="1">
      <alignment horizontal="center" readingOrder="0" vertical="center"/>
    </xf>
    <xf borderId="61" fillId="13" fontId="10" numFmtId="0" xfId="0" applyAlignment="1" applyBorder="1" applyFill="1" applyFont="1">
      <alignment horizontal="left" readingOrder="0" shrinkToFit="0" vertical="center" wrapText="0"/>
    </xf>
    <xf borderId="57" fillId="13" fontId="10" numFmtId="0" xfId="0" applyAlignment="1" applyBorder="1" applyFont="1">
      <alignment horizontal="left" readingOrder="0" shrinkToFit="0" vertical="center" wrapText="0"/>
    </xf>
    <xf borderId="57" fillId="13" fontId="10" numFmtId="0" xfId="0" applyAlignment="1" applyBorder="1" applyFont="1">
      <alignment horizontal="center" readingOrder="0" shrinkToFit="0" vertical="center" wrapText="1"/>
    </xf>
    <xf borderId="59" fillId="13" fontId="10" numFmtId="0" xfId="0" applyAlignment="1" applyBorder="1" applyFont="1">
      <alignment horizontal="center" readingOrder="0" shrinkToFit="0" vertical="center" wrapText="1"/>
    </xf>
    <xf borderId="62" fillId="13" fontId="10" numFmtId="0" xfId="0" applyAlignment="1" applyBorder="1" applyFont="1">
      <alignment horizontal="center" readingOrder="0" shrinkToFit="0" vertical="center" wrapText="1"/>
    </xf>
    <xf borderId="63" fillId="13" fontId="10" numFmtId="0" xfId="0" applyAlignment="1" applyBorder="1" applyFont="1">
      <alignment horizontal="center" readingOrder="0" shrinkToFit="0" vertical="center" wrapText="1"/>
    </xf>
    <xf borderId="56" fillId="13" fontId="10" numFmtId="0" xfId="0" applyAlignment="1" applyBorder="1" applyFont="1">
      <alignment horizontal="center" readingOrder="0" shrinkToFit="0" vertical="center" wrapText="1"/>
    </xf>
    <xf borderId="58" fillId="13" fontId="10" numFmtId="0" xfId="0" applyAlignment="1" applyBorder="1" applyFont="1">
      <alignment horizontal="center" readingOrder="0" shrinkToFit="0" vertical="center" wrapText="1"/>
    </xf>
    <xf borderId="55" fillId="13" fontId="10" numFmtId="0" xfId="0" applyAlignment="1" applyBorder="1" applyFont="1">
      <alignment horizontal="center" readingOrder="0" shrinkToFit="0" vertical="center" wrapText="1"/>
    </xf>
    <xf borderId="41" fillId="13" fontId="10" numFmtId="0" xfId="0" applyAlignment="1" applyBorder="1" applyFont="1">
      <alignment horizontal="center" readingOrder="0" shrinkToFit="0" vertical="center" wrapText="1"/>
    </xf>
    <xf borderId="42" fillId="13" fontId="10" numFmtId="0" xfId="0" applyAlignment="1" applyBorder="1" applyFont="1">
      <alignment horizontal="center" readingOrder="0" shrinkToFit="0" vertical="center" wrapText="1"/>
    </xf>
    <xf borderId="0" fillId="13" fontId="10" numFmtId="0" xfId="0" applyAlignment="1" applyFont="1">
      <alignment horizontal="center" readingOrder="0" shrinkToFit="0" vertical="center" wrapText="1"/>
    </xf>
    <xf borderId="64" fillId="13" fontId="10" numFmtId="0" xfId="0" applyAlignment="1" applyBorder="1" applyFont="1">
      <alignment horizontal="center" readingOrder="0" shrinkToFit="0" vertical="center" wrapText="1"/>
    </xf>
    <xf borderId="65" fillId="13" fontId="10" numFmtId="0" xfId="0" applyAlignment="1" applyBorder="1" applyFont="1">
      <alignment horizontal="center" readingOrder="0" shrinkToFit="0" vertical="center" wrapText="1"/>
    </xf>
    <xf borderId="66" fillId="13" fontId="10" numFmtId="0" xfId="0" applyAlignment="1" applyBorder="1" applyFont="1">
      <alignment horizontal="center" readingOrder="0" shrinkToFit="0" vertical="center" wrapText="1"/>
    </xf>
    <xf borderId="67" fillId="13" fontId="10" numFmtId="0" xfId="0" applyAlignment="1" applyBorder="1" applyFont="1">
      <alignment horizontal="center" readingOrder="0" shrinkToFit="0" vertical="center" wrapText="1"/>
    </xf>
    <xf borderId="68" fillId="13" fontId="10" numFmtId="0" xfId="0" applyAlignment="1" applyBorder="1" applyFont="1">
      <alignment horizontal="center" readingOrder="0" shrinkToFit="0" vertical="center" wrapText="1"/>
    </xf>
    <xf borderId="50" fillId="13" fontId="10" numFmtId="0" xfId="0" applyAlignment="1" applyBorder="1" applyFont="1">
      <alignment horizontal="center" readingOrder="0" shrinkToFit="0" vertical="center" wrapText="1"/>
    </xf>
    <xf borderId="44" fillId="13" fontId="10" numFmtId="0" xfId="0" applyAlignment="1" applyBorder="1" applyFont="1">
      <alignment horizontal="center" readingOrder="0" shrinkToFit="0" vertical="center" wrapText="1"/>
    </xf>
    <xf borderId="51" fillId="13" fontId="10" numFmtId="0" xfId="0" applyAlignment="1" applyBorder="1" applyFont="1">
      <alignment horizontal="center" readingOrder="0" shrinkToFit="0" vertical="center" wrapText="1"/>
    </xf>
    <xf borderId="69" fillId="13" fontId="10" numFmtId="0" xfId="0" applyAlignment="1" applyBorder="1" applyFont="1">
      <alignment horizontal="center" readingOrder="0" shrinkToFit="0" vertical="center" wrapText="1"/>
    </xf>
    <xf borderId="53" fillId="9" fontId="10" numFmtId="0" xfId="0" applyAlignment="1" applyBorder="1" applyFont="1">
      <alignment horizontal="center" readingOrder="0" shrinkToFit="0" vertical="center" wrapText="0"/>
    </xf>
    <xf borderId="61" fillId="14" fontId="10" numFmtId="0" xfId="0" applyAlignment="1" applyBorder="1" applyFill="1" applyFont="1">
      <alignment horizontal="left" readingOrder="0" shrinkToFit="0" vertical="center" wrapText="0"/>
    </xf>
    <xf borderId="57" fillId="14" fontId="10" numFmtId="0" xfId="0" applyAlignment="1" applyBorder="1" applyFont="1">
      <alignment horizontal="left" readingOrder="0" shrinkToFit="0" vertical="center" wrapText="0"/>
    </xf>
    <xf borderId="57" fillId="14" fontId="10" numFmtId="0" xfId="0" applyAlignment="1" applyBorder="1" applyFont="1">
      <alignment horizontal="center" readingOrder="0" shrinkToFit="0" vertical="center" wrapText="1"/>
    </xf>
    <xf borderId="59" fillId="14" fontId="10" numFmtId="0" xfId="0" applyAlignment="1" applyBorder="1" applyFont="1">
      <alignment horizontal="center" readingOrder="0" shrinkToFit="0" vertical="center" wrapText="1"/>
    </xf>
    <xf borderId="62" fillId="14" fontId="10" numFmtId="0" xfId="0" applyAlignment="1" applyBorder="1" applyFont="1">
      <alignment horizontal="center" readingOrder="0" shrinkToFit="0" vertical="center" wrapText="1"/>
    </xf>
    <xf borderId="63" fillId="14" fontId="10" numFmtId="0" xfId="0" applyAlignment="1" applyBorder="1" applyFont="1">
      <alignment horizontal="center" readingOrder="0" shrinkToFit="0" vertical="center" wrapText="1"/>
    </xf>
    <xf borderId="58" fillId="14" fontId="10" numFmtId="0" xfId="0" applyAlignment="1" applyBorder="1" applyFont="1">
      <alignment horizontal="center" readingOrder="0" shrinkToFit="0" vertical="center" wrapText="1"/>
    </xf>
    <xf borderId="55" fillId="14" fontId="10" numFmtId="0" xfId="0" applyAlignment="1" applyBorder="1" applyFont="1">
      <alignment horizontal="center" readingOrder="0" shrinkToFit="0" vertical="center" wrapText="1"/>
    </xf>
    <xf borderId="41" fillId="14" fontId="10" numFmtId="0" xfId="0" applyAlignment="1" applyBorder="1" applyFont="1">
      <alignment horizontal="center" readingOrder="0" shrinkToFit="0" vertical="center" wrapText="1"/>
    </xf>
    <xf borderId="42" fillId="14" fontId="10" numFmtId="0" xfId="0" applyAlignment="1" applyBorder="1" applyFont="1">
      <alignment horizontal="center" readingOrder="0" shrinkToFit="0" vertical="center" wrapText="1"/>
    </xf>
    <xf borderId="0" fillId="14" fontId="10" numFmtId="0" xfId="0" applyAlignment="1" applyFont="1">
      <alignment horizontal="center" readingOrder="0" shrinkToFit="0" vertical="center" wrapText="1"/>
    </xf>
    <xf borderId="64" fillId="14" fontId="10" numFmtId="0" xfId="0" applyAlignment="1" applyBorder="1" applyFont="1">
      <alignment horizontal="center" readingOrder="0" shrinkToFit="0" vertical="center" wrapText="1"/>
    </xf>
    <xf borderId="65" fillId="14" fontId="10" numFmtId="0" xfId="0" applyAlignment="1" applyBorder="1" applyFont="1">
      <alignment horizontal="center" readingOrder="0" shrinkToFit="0" vertical="center" wrapText="1"/>
    </xf>
    <xf borderId="66" fillId="14" fontId="10" numFmtId="0" xfId="0" applyAlignment="1" applyBorder="1" applyFont="1">
      <alignment horizontal="center" readingOrder="0" shrinkToFit="0" vertical="center" wrapText="1"/>
    </xf>
    <xf borderId="67" fillId="14" fontId="10" numFmtId="0" xfId="0" applyAlignment="1" applyBorder="1" applyFont="1">
      <alignment horizontal="center" readingOrder="0" shrinkToFit="0" vertical="center" wrapText="1"/>
    </xf>
    <xf borderId="68" fillId="14" fontId="10" numFmtId="0" xfId="0" applyAlignment="1" applyBorder="1" applyFont="1">
      <alignment horizontal="center" readingOrder="0" shrinkToFit="0" vertical="center" wrapText="1"/>
    </xf>
    <xf borderId="50" fillId="14" fontId="10" numFmtId="0" xfId="0" applyAlignment="1" applyBorder="1" applyFont="1">
      <alignment horizontal="center" readingOrder="0" shrinkToFit="0" vertical="center" wrapText="1"/>
    </xf>
    <xf borderId="44" fillId="14" fontId="10" numFmtId="0" xfId="0" applyAlignment="1" applyBorder="1" applyFont="1">
      <alignment horizontal="center" readingOrder="0" shrinkToFit="0" vertical="center" wrapText="1"/>
    </xf>
    <xf borderId="51" fillId="14" fontId="10" numFmtId="0" xfId="0" applyAlignment="1" applyBorder="1" applyFont="1">
      <alignment horizontal="center" readingOrder="0" shrinkToFit="0" vertical="center" wrapText="1"/>
    </xf>
    <xf borderId="69" fillId="14" fontId="10" numFmtId="0" xfId="0" applyAlignment="1" applyBorder="1" applyFont="1">
      <alignment horizontal="center" readingOrder="0" shrinkToFit="0" vertical="center" wrapText="1"/>
    </xf>
    <xf borderId="56" fillId="14" fontId="10" numFmtId="0" xfId="0" applyAlignment="1" applyBorder="1" applyFont="1">
      <alignment horizontal="center" readingOrder="0" shrinkToFit="0" vertical="center" wrapText="1"/>
    </xf>
    <xf borderId="57" fillId="13" fontId="10" numFmtId="0" xfId="0" applyAlignment="1" applyBorder="1" applyFont="1">
      <alignment horizontal="center" readingOrder="0" vertical="center"/>
    </xf>
    <xf borderId="59" fillId="13" fontId="10" numFmtId="0" xfId="0" applyAlignment="1" applyBorder="1" applyFont="1">
      <alignment horizontal="center" readingOrder="0" vertical="center"/>
    </xf>
    <xf borderId="62" fillId="13" fontId="10" numFmtId="0" xfId="0" applyAlignment="1" applyBorder="1" applyFont="1">
      <alignment horizontal="center" readingOrder="0" vertical="center"/>
    </xf>
    <xf borderId="63" fillId="13" fontId="10" numFmtId="0" xfId="0" applyAlignment="1" applyBorder="1" applyFont="1">
      <alignment horizontal="center" readingOrder="0" vertical="center"/>
    </xf>
    <xf borderId="56" fillId="13" fontId="10" numFmtId="0" xfId="0" applyAlignment="1" applyBorder="1" applyFont="1">
      <alignment horizontal="center" readingOrder="0" vertical="center"/>
    </xf>
    <xf borderId="58" fillId="13" fontId="10" numFmtId="0" xfId="0" applyAlignment="1" applyBorder="1" applyFont="1">
      <alignment horizontal="center" readingOrder="0" vertical="center"/>
    </xf>
    <xf borderId="55" fillId="13" fontId="10" numFmtId="0" xfId="0" applyAlignment="1" applyBorder="1" applyFont="1">
      <alignment horizontal="center" readingOrder="0" vertical="center"/>
    </xf>
    <xf borderId="41" fillId="13" fontId="10" numFmtId="0" xfId="0" applyAlignment="1" applyBorder="1" applyFont="1">
      <alignment horizontal="center" readingOrder="0" vertical="center"/>
    </xf>
    <xf borderId="42" fillId="13" fontId="10" numFmtId="0" xfId="0" applyAlignment="1" applyBorder="1" applyFont="1">
      <alignment horizontal="center" readingOrder="0" vertical="center"/>
    </xf>
    <xf borderId="0" fillId="13" fontId="10" numFmtId="0" xfId="0" applyAlignment="1" applyFont="1">
      <alignment horizontal="center" readingOrder="0" vertical="center"/>
    </xf>
    <xf borderId="64" fillId="13" fontId="10" numFmtId="0" xfId="0" applyAlignment="1" applyBorder="1" applyFont="1">
      <alignment horizontal="center" readingOrder="0" vertical="center"/>
    </xf>
    <xf borderId="65" fillId="13" fontId="10" numFmtId="0" xfId="0" applyAlignment="1" applyBorder="1" applyFont="1">
      <alignment horizontal="center" readingOrder="0" vertical="center"/>
    </xf>
    <xf borderId="66" fillId="13" fontId="10" numFmtId="0" xfId="0" applyAlignment="1" applyBorder="1" applyFont="1">
      <alignment horizontal="center" readingOrder="0" vertical="center"/>
    </xf>
    <xf borderId="67" fillId="13" fontId="10" numFmtId="0" xfId="0" applyAlignment="1" applyBorder="1" applyFont="1">
      <alignment horizontal="center" readingOrder="0" vertical="center"/>
    </xf>
    <xf borderId="68" fillId="13" fontId="10" numFmtId="0" xfId="0" applyAlignment="1" applyBorder="1" applyFont="1">
      <alignment horizontal="center" readingOrder="0" vertical="center"/>
    </xf>
    <xf borderId="50" fillId="13" fontId="10" numFmtId="0" xfId="0" applyAlignment="1" applyBorder="1" applyFont="1">
      <alignment horizontal="center" readingOrder="0" vertical="center"/>
    </xf>
    <xf borderId="44" fillId="13" fontId="10" numFmtId="0" xfId="0" applyAlignment="1" applyBorder="1" applyFont="1">
      <alignment horizontal="center" readingOrder="0" vertical="center"/>
    </xf>
    <xf borderId="51" fillId="13" fontId="10" numFmtId="0" xfId="0" applyAlignment="1" applyBorder="1" applyFont="1">
      <alignment horizontal="center" readingOrder="0" vertical="center"/>
    </xf>
    <xf borderId="69" fillId="13" fontId="10" numFmtId="0" xfId="0" applyAlignment="1" applyBorder="1" applyFont="1">
      <alignment horizontal="center" readingOrder="0" vertical="center"/>
    </xf>
    <xf borderId="25" fillId="0" fontId="10" numFmtId="0" xfId="0" applyAlignment="1" applyBorder="1" applyFont="1">
      <alignment horizontal="center" readingOrder="0" vertical="center"/>
    </xf>
    <xf borderId="70" fillId="0" fontId="10" numFmtId="0" xfId="0" applyAlignment="1" applyBorder="1" applyFont="1">
      <alignment horizontal="center" readingOrder="0" shrinkToFit="0" vertical="center" wrapText="1"/>
    </xf>
    <xf borderId="61" fillId="15" fontId="10" numFmtId="0" xfId="0" applyAlignment="1" applyBorder="1" applyFill="1" applyFont="1">
      <alignment horizontal="left" readingOrder="0" shrinkToFit="0" vertical="center" wrapText="0"/>
    </xf>
    <xf borderId="57" fillId="15" fontId="10" numFmtId="0" xfId="0" applyAlignment="1" applyBorder="1" applyFont="1">
      <alignment horizontal="left" readingOrder="0" shrinkToFit="0" vertical="center" wrapText="0"/>
    </xf>
    <xf borderId="57" fillId="15" fontId="10" numFmtId="0" xfId="0" applyAlignment="1" applyBorder="1" applyFont="1">
      <alignment horizontal="center" readingOrder="0" shrinkToFit="0" vertical="center" wrapText="1"/>
    </xf>
    <xf borderId="59" fillId="15" fontId="10" numFmtId="0" xfId="0" applyAlignment="1" applyBorder="1" applyFont="1">
      <alignment horizontal="center" readingOrder="0" shrinkToFit="0" vertical="center" wrapText="1"/>
    </xf>
    <xf borderId="62" fillId="15" fontId="10" numFmtId="0" xfId="0" applyAlignment="1" applyBorder="1" applyFont="1">
      <alignment horizontal="center" readingOrder="0" shrinkToFit="0" vertical="center" wrapText="1"/>
    </xf>
    <xf borderId="63" fillId="15" fontId="10" numFmtId="0" xfId="0" applyAlignment="1" applyBorder="1" applyFont="1">
      <alignment horizontal="center" readingOrder="0" shrinkToFit="0" vertical="center" wrapText="1"/>
    </xf>
    <xf borderId="56" fillId="15" fontId="10" numFmtId="0" xfId="0" applyAlignment="1" applyBorder="1" applyFont="1">
      <alignment horizontal="center" readingOrder="0" shrinkToFit="0" vertical="center" wrapText="1"/>
    </xf>
    <xf borderId="58" fillId="15" fontId="10" numFmtId="0" xfId="0" applyAlignment="1" applyBorder="1" applyFont="1">
      <alignment horizontal="center" readingOrder="0" shrinkToFit="0" vertical="center" wrapText="1"/>
    </xf>
    <xf borderId="55" fillId="15" fontId="10" numFmtId="0" xfId="0" applyAlignment="1" applyBorder="1" applyFont="1">
      <alignment horizontal="center" readingOrder="0" shrinkToFit="0" vertical="center" wrapText="1"/>
    </xf>
    <xf borderId="41" fillId="15" fontId="10" numFmtId="0" xfId="0" applyAlignment="1" applyBorder="1" applyFont="1">
      <alignment horizontal="center" readingOrder="0" shrinkToFit="0" vertical="center" wrapText="1"/>
    </xf>
    <xf borderId="42" fillId="15" fontId="10" numFmtId="0" xfId="0" applyAlignment="1" applyBorder="1" applyFont="1">
      <alignment horizontal="center" readingOrder="0" shrinkToFit="0" vertical="center" wrapText="1"/>
    </xf>
    <xf borderId="0" fillId="15" fontId="10" numFmtId="0" xfId="0" applyAlignment="1" applyFont="1">
      <alignment horizontal="center" readingOrder="0" shrinkToFit="0" vertical="center" wrapText="1"/>
    </xf>
    <xf borderId="64" fillId="15" fontId="10" numFmtId="0" xfId="0" applyAlignment="1" applyBorder="1" applyFont="1">
      <alignment horizontal="center" readingOrder="0" shrinkToFit="0" vertical="center" wrapText="1"/>
    </xf>
    <xf borderId="65" fillId="15" fontId="10" numFmtId="0" xfId="0" applyAlignment="1" applyBorder="1" applyFont="1">
      <alignment horizontal="center" readingOrder="0" shrinkToFit="0" vertical="center" wrapText="1"/>
    </xf>
    <xf borderId="66" fillId="15" fontId="10" numFmtId="0" xfId="0" applyAlignment="1" applyBorder="1" applyFont="1">
      <alignment horizontal="center" readingOrder="0" shrinkToFit="0" vertical="center" wrapText="1"/>
    </xf>
    <xf borderId="67" fillId="15" fontId="10" numFmtId="0" xfId="0" applyAlignment="1" applyBorder="1" applyFont="1">
      <alignment horizontal="center" readingOrder="0" shrinkToFit="0" vertical="center" wrapText="1"/>
    </xf>
    <xf borderId="68" fillId="15" fontId="10" numFmtId="0" xfId="0" applyAlignment="1" applyBorder="1" applyFont="1">
      <alignment horizontal="center" readingOrder="0" shrinkToFit="0" vertical="center" wrapText="1"/>
    </xf>
    <xf borderId="50" fillId="15" fontId="10" numFmtId="0" xfId="0" applyAlignment="1" applyBorder="1" applyFont="1">
      <alignment horizontal="center" readingOrder="0" shrinkToFit="0" vertical="center" wrapText="1"/>
    </xf>
    <xf borderId="44" fillId="15" fontId="10" numFmtId="0" xfId="0" applyAlignment="1" applyBorder="1" applyFont="1">
      <alignment horizontal="center" readingOrder="0" shrinkToFit="0" vertical="center" wrapText="1"/>
    </xf>
    <xf borderId="51" fillId="15" fontId="10" numFmtId="0" xfId="0" applyAlignment="1" applyBorder="1" applyFont="1">
      <alignment horizontal="center" readingOrder="0" shrinkToFit="0" vertical="center" wrapText="1"/>
    </xf>
    <xf borderId="69" fillId="15" fontId="10" numFmtId="0" xfId="0" applyAlignment="1" applyBorder="1" applyFont="1">
      <alignment horizontal="center" readingOrder="0" shrinkToFit="0" vertical="center" wrapText="1"/>
    </xf>
    <xf borderId="61" fillId="16" fontId="10" numFmtId="0" xfId="0" applyAlignment="1" applyBorder="1" applyFill="1" applyFont="1">
      <alignment horizontal="left" readingOrder="0" shrinkToFit="0" vertical="center" wrapText="0"/>
    </xf>
    <xf borderId="57" fillId="16" fontId="10" numFmtId="0" xfId="0" applyAlignment="1" applyBorder="1" applyFont="1">
      <alignment horizontal="left" readingOrder="0" shrinkToFit="0" vertical="center" wrapText="0"/>
    </xf>
    <xf borderId="57" fillId="16" fontId="10" numFmtId="0" xfId="0" applyAlignment="1" applyBorder="1" applyFont="1">
      <alignment horizontal="center" readingOrder="0" shrinkToFit="0" vertical="center" wrapText="1"/>
    </xf>
    <xf borderId="59" fillId="16" fontId="10" numFmtId="0" xfId="0" applyAlignment="1" applyBorder="1" applyFont="1">
      <alignment horizontal="center" readingOrder="0" shrinkToFit="0" vertical="center" wrapText="1"/>
    </xf>
    <xf borderId="62" fillId="16" fontId="10" numFmtId="0" xfId="0" applyAlignment="1" applyBorder="1" applyFont="1">
      <alignment horizontal="center" readingOrder="0" shrinkToFit="0" vertical="center" wrapText="1"/>
    </xf>
    <xf borderId="63" fillId="16" fontId="10" numFmtId="0" xfId="0" applyAlignment="1" applyBorder="1" applyFont="1">
      <alignment horizontal="center" readingOrder="0" shrinkToFit="0" vertical="center" wrapText="1"/>
    </xf>
    <xf borderId="58" fillId="16" fontId="10" numFmtId="0" xfId="0" applyAlignment="1" applyBorder="1" applyFont="1">
      <alignment horizontal="center" readingOrder="0" shrinkToFit="0" vertical="center" wrapText="1"/>
    </xf>
    <xf borderId="55" fillId="16" fontId="10" numFmtId="0" xfId="0" applyAlignment="1" applyBorder="1" applyFont="1">
      <alignment horizontal="center" readingOrder="0" shrinkToFit="0" vertical="center" wrapText="1"/>
    </xf>
    <xf borderId="41" fillId="16" fontId="10" numFmtId="0" xfId="0" applyAlignment="1" applyBorder="1" applyFont="1">
      <alignment horizontal="center" readingOrder="0" shrinkToFit="0" vertical="center" wrapText="1"/>
    </xf>
    <xf borderId="42" fillId="16" fontId="10" numFmtId="0" xfId="0" applyAlignment="1" applyBorder="1" applyFont="1">
      <alignment horizontal="center" readingOrder="0" shrinkToFit="0" vertical="center" wrapText="1"/>
    </xf>
    <xf borderId="0" fillId="16" fontId="10" numFmtId="0" xfId="0" applyAlignment="1" applyFont="1">
      <alignment horizontal="center" readingOrder="0" shrinkToFit="0" vertical="center" wrapText="1"/>
    </xf>
    <xf borderId="64" fillId="16" fontId="10" numFmtId="0" xfId="0" applyAlignment="1" applyBorder="1" applyFont="1">
      <alignment horizontal="center" readingOrder="0" shrinkToFit="0" vertical="center" wrapText="1"/>
    </xf>
    <xf borderId="65" fillId="16" fontId="10" numFmtId="0" xfId="0" applyAlignment="1" applyBorder="1" applyFont="1">
      <alignment horizontal="center" readingOrder="0" shrinkToFit="0" vertical="center" wrapText="1"/>
    </xf>
    <xf borderId="66" fillId="16" fontId="10" numFmtId="0" xfId="0" applyAlignment="1" applyBorder="1" applyFont="1">
      <alignment horizontal="center" readingOrder="0" shrinkToFit="0" vertical="center" wrapText="1"/>
    </xf>
    <xf borderId="67" fillId="16" fontId="10" numFmtId="0" xfId="0" applyAlignment="1" applyBorder="1" applyFont="1">
      <alignment horizontal="center" readingOrder="0" shrinkToFit="0" vertical="center" wrapText="1"/>
    </xf>
    <xf borderId="68" fillId="16" fontId="10" numFmtId="0" xfId="0" applyAlignment="1" applyBorder="1" applyFont="1">
      <alignment horizontal="center" readingOrder="0" shrinkToFit="0" vertical="center" wrapText="1"/>
    </xf>
    <xf borderId="50" fillId="16" fontId="10" numFmtId="0" xfId="0" applyAlignment="1" applyBorder="1" applyFont="1">
      <alignment horizontal="center" readingOrder="0" shrinkToFit="0" vertical="center" wrapText="1"/>
    </xf>
    <xf borderId="44" fillId="16" fontId="10" numFmtId="0" xfId="0" applyAlignment="1" applyBorder="1" applyFont="1">
      <alignment horizontal="center" readingOrder="0" shrinkToFit="0" vertical="center" wrapText="1"/>
    </xf>
    <xf borderId="51" fillId="16" fontId="10" numFmtId="0" xfId="0" applyAlignment="1" applyBorder="1" applyFont="1">
      <alignment horizontal="center" readingOrder="0" shrinkToFit="0" vertical="center" wrapText="1"/>
    </xf>
    <xf borderId="69" fillId="16" fontId="10" numFmtId="0" xfId="0" applyAlignment="1" applyBorder="1" applyFont="1">
      <alignment horizontal="center" readingOrder="0" shrinkToFit="0" vertical="center" wrapText="1"/>
    </xf>
    <xf borderId="59" fillId="0" fontId="10" numFmtId="0" xfId="0" applyAlignment="1" applyBorder="1" applyFont="1">
      <alignment horizontal="center" vertical="center"/>
    </xf>
    <xf borderId="61" fillId="17" fontId="10" numFmtId="0" xfId="0" applyAlignment="1" applyBorder="1" applyFill="1" applyFont="1">
      <alignment horizontal="left" readingOrder="0" shrinkToFit="0" vertical="center" wrapText="0"/>
    </xf>
    <xf borderId="57" fillId="17" fontId="10" numFmtId="0" xfId="0" applyAlignment="1" applyBorder="1" applyFont="1">
      <alignment horizontal="left" readingOrder="0" shrinkToFit="0" vertical="center" wrapText="0"/>
    </xf>
    <xf borderId="57" fillId="17" fontId="10" numFmtId="0" xfId="0" applyAlignment="1" applyBorder="1" applyFont="1">
      <alignment horizontal="center" readingOrder="0" shrinkToFit="0" vertical="center" wrapText="1"/>
    </xf>
    <xf borderId="59" fillId="17" fontId="10" numFmtId="0" xfId="0" applyAlignment="1" applyBorder="1" applyFont="1">
      <alignment horizontal="center" readingOrder="0" shrinkToFit="0" vertical="center" wrapText="1"/>
    </xf>
    <xf borderId="62" fillId="17" fontId="10" numFmtId="0" xfId="0" applyAlignment="1" applyBorder="1" applyFont="1">
      <alignment horizontal="center" readingOrder="0" shrinkToFit="0" vertical="center" wrapText="1"/>
    </xf>
    <xf borderId="63" fillId="17" fontId="10" numFmtId="0" xfId="0" applyAlignment="1" applyBorder="1" applyFont="1">
      <alignment horizontal="center" readingOrder="0" shrinkToFit="0" vertical="center" wrapText="1"/>
    </xf>
    <xf borderId="58" fillId="17" fontId="10" numFmtId="0" xfId="0" applyAlignment="1" applyBorder="1" applyFont="1">
      <alignment horizontal="center" readingOrder="0" shrinkToFit="0" vertical="center" wrapText="1"/>
    </xf>
    <xf borderId="55" fillId="17" fontId="10" numFmtId="0" xfId="0" applyAlignment="1" applyBorder="1" applyFont="1">
      <alignment horizontal="center" readingOrder="0" shrinkToFit="0" vertical="center" wrapText="1"/>
    </xf>
    <xf borderId="41" fillId="17" fontId="10" numFmtId="0" xfId="0" applyAlignment="1" applyBorder="1" applyFont="1">
      <alignment horizontal="center" readingOrder="0" shrinkToFit="0" vertical="center" wrapText="1"/>
    </xf>
    <xf borderId="42" fillId="17" fontId="10" numFmtId="0" xfId="0" applyAlignment="1" applyBorder="1" applyFont="1">
      <alignment horizontal="center" readingOrder="0" shrinkToFit="0" vertical="center" wrapText="1"/>
    </xf>
    <xf borderId="0" fillId="17" fontId="10" numFmtId="0" xfId="0" applyAlignment="1" applyFont="1">
      <alignment horizontal="center" readingOrder="0" shrinkToFit="0" vertical="center" wrapText="1"/>
    </xf>
    <xf borderId="64" fillId="17" fontId="10" numFmtId="0" xfId="0" applyAlignment="1" applyBorder="1" applyFont="1">
      <alignment horizontal="center" readingOrder="0" shrinkToFit="0" vertical="center" wrapText="1"/>
    </xf>
    <xf borderId="65" fillId="17" fontId="10" numFmtId="0" xfId="0" applyAlignment="1" applyBorder="1" applyFont="1">
      <alignment horizontal="center" readingOrder="0" shrinkToFit="0" vertical="center" wrapText="1"/>
    </xf>
    <xf borderId="66" fillId="17" fontId="10" numFmtId="0" xfId="0" applyAlignment="1" applyBorder="1" applyFont="1">
      <alignment horizontal="center" readingOrder="0" shrinkToFit="0" vertical="center" wrapText="1"/>
    </xf>
    <xf borderId="67" fillId="17" fontId="10" numFmtId="0" xfId="0" applyAlignment="1" applyBorder="1" applyFont="1">
      <alignment horizontal="center" readingOrder="0" shrinkToFit="0" vertical="center" wrapText="1"/>
    </xf>
    <xf borderId="68" fillId="17" fontId="10" numFmtId="0" xfId="0" applyAlignment="1" applyBorder="1" applyFont="1">
      <alignment horizontal="center" readingOrder="0" shrinkToFit="0" vertical="center" wrapText="1"/>
    </xf>
    <xf borderId="50" fillId="17" fontId="10" numFmtId="0" xfId="0" applyAlignment="1" applyBorder="1" applyFont="1">
      <alignment horizontal="center" readingOrder="0" shrinkToFit="0" vertical="center" wrapText="1"/>
    </xf>
    <xf borderId="44" fillId="17" fontId="10" numFmtId="0" xfId="0" applyAlignment="1" applyBorder="1" applyFont="1">
      <alignment horizontal="center" readingOrder="0" shrinkToFit="0" vertical="center" wrapText="1"/>
    </xf>
    <xf borderId="51" fillId="17" fontId="10" numFmtId="0" xfId="0" applyAlignment="1" applyBorder="1" applyFont="1">
      <alignment horizontal="center" readingOrder="0" shrinkToFit="0" vertical="center" wrapText="1"/>
    </xf>
    <xf borderId="69" fillId="17" fontId="10" numFmtId="0" xfId="0" applyAlignment="1" applyBorder="1" applyFont="1">
      <alignment horizontal="center" readingOrder="0" shrinkToFit="0" vertical="center" wrapText="1"/>
    </xf>
    <xf borderId="42" fillId="11" fontId="4" numFmtId="9" xfId="0" applyAlignment="1" applyBorder="1" applyFont="1" applyNumberFormat="1">
      <alignment horizontal="center" vertical="center"/>
    </xf>
    <xf borderId="61" fillId="18" fontId="10" numFmtId="0" xfId="0" applyAlignment="1" applyBorder="1" applyFill="1" applyFont="1">
      <alignment horizontal="left" readingOrder="0" shrinkToFit="0" vertical="center" wrapText="0"/>
    </xf>
    <xf borderId="57" fillId="18" fontId="10" numFmtId="0" xfId="0" applyAlignment="1" applyBorder="1" applyFont="1">
      <alignment horizontal="left" readingOrder="0" shrinkToFit="0" vertical="center" wrapText="0"/>
    </xf>
    <xf borderId="57" fillId="18" fontId="10" numFmtId="0" xfId="0" applyAlignment="1" applyBorder="1" applyFont="1">
      <alignment horizontal="center" readingOrder="0" shrinkToFit="0" vertical="center" wrapText="1"/>
    </xf>
    <xf borderId="59" fillId="18" fontId="10" numFmtId="0" xfId="0" applyAlignment="1" applyBorder="1" applyFont="1">
      <alignment horizontal="center" readingOrder="0" shrinkToFit="0" vertical="center" wrapText="1"/>
    </xf>
    <xf borderId="62" fillId="18" fontId="10" numFmtId="0" xfId="0" applyAlignment="1" applyBorder="1" applyFont="1">
      <alignment horizontal="center" readingOrder="0" shrinkToFit="0" vertical="center" wrapText="1"/>
    </xf>
    <xf borderId="63" fillId="18" fontId="10" numFmtId="0" xfId="0" applyAlignment="1" applyBorder="1" applyFont="1">
      <alignment horizontal="center" readingOrder="0" shrinkToFit="0" vertical="center" wrapText="1"/>
    </xf>
    <xf borderId="58" fillId="18" fontId="10" numFmtId="0" xfId="0" applyAlignment="1" applyBorder="1" applyFont="1">
      <alignment horizontal="center" readingOrder="0" shrinkToFit="0" vertical="center" wrapText="1"/>
    </xf>
    <xf borderId="55" fillId="18" fontId="10" numFmtId="0" xfId="0" applyAlignment="1" applyBorder="1" applyFont="1">
      <alignment horizontal="center" readingOrder="0" shrinkToFit="0" vertical="center" wrapText="1"/>
    </xf>
    <xf borderId="41" fillId="18" fontId="10" numFmtId="0" xfId="0" applyAlignment="1" applyBorder="1" applyFont="1">
      <alignment horizontal="center" readingOrder="0" shrinkToFit="0" vertical="center" wrapText="1"/>
    </xf>
    <xf borderId="42" fillId="18" fontId="10" numFmtId="0" xfId="0" applyAlignment="1" applyBorder="1" applyFont="1">
      <alignment horizontal="center" readingOrder="0" shrinkToFit="0" vertical="center" wrapText="1"/>
    </xf>
    <xf borderId="0" fillId="18" fontId="10" numFmtId="0" xfId="0" applyAlignment="1" applyFont="1">
      <alignment horizontal="center" readingOrder="0" shrinkToFit="0" vertical="center" wrapText="1"/>
    </xf>
    <xf borderId="64" fillId="18" fontId="10" numFmtId="0" xfId="0" applyAlignment="1" applyBorder="1" applyFont="1">
      <alignment horizontal="center" readingOrder="0" shrinkToFit="0" vertical="center" wrapText="1"/>
    </xf>
    <xf borderId="65" fillId="18" fontId="10" numFmtId="0" xfId="0" applyAlignment="1" applyBorder="1" applyFont="1">
      <alignment horizontal="center" readingOrder="0" shrinkToFit="0" vertical="center" wrapText="1"/>
    </xf>
    <xf borderId="66" fillId="18" fontId="10" numFmtId="0" xfId="0" applyAlignment="1" applyBorder="1" applyFont="1">
      <alignment horizontal="center" readingOrder="0" shrinkToFit="0" vertical="center" wrapText="1"/>
    </xf>
    <xf borderId="67" fillId="18" fontId="10" numFmtId="0" xfId="0" applyAlignment="1" applyBorder="1" applyFont="1">
      <alignment horizontal="center" readingOrder="0" shrinkToFit="0" vertical="center" wrapText="1"/>
    </xf>
    <xf borderId="68" fillId="18" fontId="10" numFmtId="0" xfId="0" applyAlignment="1" applyBorder="1" applyFont="1">
      <alignment horizontal="center" readingOrder="0" shrinkToFit="0" vertical="center" wrapText="1"/>
    </xf>
    <xf borderId="50" fillId="18" fontId="10" numFmtId="0" xfId="0" applyAlignment="1" applyBorder="1" applyFont="1">
      <alignment horizontal="center" readingOrder="0" shrinkToFit="0" vertical="center" wrapText="1"/>
    </xf>
    <xf borderId="44" fillId="18" fontId="10" numFmtId="0" xfId="0" applyAlignment="1" applyBorder="1" applyFont="1">
      <alignment horizontal="center" readingOrder="0" shrinkToFit="0" vertical="center" wrapText="1"/>
    </xf>
    <xf borderId="51" fillId="18" fontId="10" numFmtId="0" xfId="0" applyAlignment="1" applyBorder="1" applyFont="1">
      <alignment horizontal="center" readingOrder="0" shrinkToFit="0" vertical="center" wrapText="1"/>
    </xf>
    <xf borderId="69" fillId="18" fontId="10" numFmtId="0" xfId="0" applyAlignment="1" applyBorder="1" applyFont="1">
      <alignment horizontal="center" readingOrder="0" shrinkToFit="0" vertical="center" wrapText="1"/>
    </xf>
    <xf borderId="61" fillId="19" fontId="10" numFmtId="0" xfId="0" applyAlignment="1" applyBorder="1" applyFill="1" applyFont="1">
      <alignment horizontal="left" readingOrder="0" shrinkToFit="0" vertical="center" wrapText="0"/>
    </xf>
    <xf borderId="57" fillId="19" fontId="10" numFmtId="0" xfId="0" applyAlignment="1" applyBorder="1" applyFont="1">
      <alignment horizontal="left" readingOrder="0" shrinkToFit="0" vertical="center" wrapText="0"/>
    </xf>
    <xf borderId="57" fillId="19" fontId="10" numFmtId="0" xfId="0" applyAlignment="1" applyBorder="1" applyFont="1">
      <alignment horizontal="center" readingOrder="0" shrinkToFit="0" vertical="center" wrapText="1"/>
    </xf>
    <xf borderId="59" fillId="19" fontId="10" numFmtId="0" xfId="0" applyAlignment="1" applyBorder="1" applyFont="1">
      <alignment horizontal="center" readingOrder="0" shrinkToFit="0" vertical="center" wrapText="1"/>
    </xf>
    <xf borderId="62" fillId="19" fontId="10" numFmtId="0" xfId="0" applyAlignment="1" applyBorder="1" applyFont="1">
      <alignment horizontal="center" readingOrder="0" shrinkToFit="0" vertical="center" wrapText="1"/>
    </xf>
    <xf borderId="63" fillId="19" fontId="10" numFmtId="0" xfId="0" applyAlignment="1" applyBorder="1" applyFont="1">
      <alignment horizontal="center" readingOrder="0" shrinkToFit="0" vertical="center" wrapText="1"/>
    </xf>
    <xf borderId="58" fillId="19" fontId="10" numFmtId="0" xfId="0" applyAlignment="1" applyBorder="1" applyFont="1">
      <alignment horizontal="center" readingOrder="0" shrinkToFit="0" vertical="center" wrapText="1"/>
    </xf>
    <xf borderId="55" fillId="19" fontId="10" numFmtId="0" xfId="0" applyAlignment="1" applyBorder="1" applyFont="1">
      <alignment horizontal="center" readingOrder="0" shrinkToFit="0" vertical="center" wrapText="1"/>
    </xf>
    <xf borderId="41" fillId="19" fontId="10" numFmtId="0" xfId="0" applyAlignment="1" applyBorder="1" applyFont="1">
      <alignment horizontal="center" readingOrder="0" shrinkToFit="0" vertical="center" wrapText="1"/>
    </xf>
    <xf borderId="42" fillId="19" fontId="10" numFmtId="0" xfId="0" applyAlignment="1" applyBorder="1" applyFont="1">
      <alignment horizontal="center" readingOrder="0" shrinkToFit="0" vertical="center" wrapText="1"/>
    </xf>
    <xf borderId="0" fillId="19" fontId="10" numFmtId="0" xfId="0" applyAlignment="1" applyFont="1">
      <alignment horizontal="center" readingOrder="0" shrinkToFit="0" vertical="center" wrapText="1"/>
    </xf>
    <xf borderId="64" fillId="19" fontId="10" numFmtId="0" xfId="0" applyAlignment="1" applyBorder="1" applyFont="1">
      <alignment horizontal="center" readingOrder="0" shrinkToFit="0" vertical="center" wrapText="1"/>
    </xf>
    <xf borderId="65" fillId="19" fontId="10" numFmtId="0" xfId="0" applyAlignment="1" applyBorder="1" applyFont="1">
      <alignment horizontal="center" readingOrder="0" shrinkToFit="0" vertical="center" wrapText="1"/>
    </xf>
    <xf borderId="66" fillId="19" fontId="10" numFmtId="0" xfId="0" applyAlignment="1" applyBorder="1" applyFont="1">
      <alignment horizontal="center" readingOrder="0" shrinkToFit="0" vertical="center" wrapText="1"/>
    </xf>
    <xf borderId="67" fillId="19" fontId="10" numFmtId="0" xfId="0" applyAlignment="1" applyBorder="1" applyFont="1">
      <alignment horizontal="center" readingOrder="0" shrinkToFit="0" vertical="center" wrapText="1"/>
    </xf>
    <xf borderId="68" fillId="19" fontId="10" numFmtId="0" xfId="0" applyAlignment="1" applyBorder="1" applyFont="1">
      <alignment horizontal="center" readingOrder="0" shrinkToFit="0" vertical="center" wrapText="1"/>
    </xf>
    <xf borderId="50" fillId="19" fontId="10" numFmtId="0" xfId="0" applyAlignment="1" applyBorder="1" applyFont="1">
      <alignment horizontal="center" readingOrder="0" shrinkToFit="0" vertical="center" wrapText="1"/>
    </xf>
    <xf borderId="44" fillId="19" fontId="10" numFmtId="0" xfId="0" applyAlignment="1" applyBorder="1" applyFont="1">
      <alignment horizontal="center" readingOrder="0" shrinkToFit="0" vertical="center" wrapText="1"/>
    </xf>
    <xf borderId="51" fillId="19" fontId="10" numFmtId="0" xfId="0" applyAlignment="1" applyBorder="1" applyFont="1">
      <alignment horizontal="center" readingOrder="0" shrinkToFit="0" vertical="center" wrapText="1"/>
    </xf>
    <xf borderId="69" fillId="19" fontId="10" numFmtId="0" xfId="0" applyAlignment="1" applyBorder="1" applyFont="1">
      <alignment horizontal="center" readingOrder="0" shrinkToFit="0" vertical="center" wrapText="1"/>
    </xf>
    <xf borderId="61" fillId="20" fontId="10" numFmtId="0" xfId="0" applyAlignment="1" applyBorder="1" applyFill="1" applyFont="1">
      <alignment horizontal="left" readingOrder="0" shrinkToFit="0" vertical="center" wrapText="0"/>
    </xf>
    <xf borderId="57" fillId="20" fontId="10" numFmtId="0" xfId="0" applyAlignment="1" applyBorder="1" applyFont="1">
      <alignment horizontal="left" readingOrder="0" shrinkToFit="0" vertical="center" wrapText="0"/>
    </xf>
    <xf borderId="57" fillId="20" fontId="10" numFmtId="0" xfId="0" applyAlignment="1" applyBorder="1" applyFont="1">
      <alignment horizontal="center" readingOrder="0" shrinkToFit="0" vertical="center" wrapText="1"/>
    </xf>
    <xf borderId="59" fillId="20" fontId="10" numFmtId="0" xfId="0" applyAlignment="1" applyBorder="1" applyFont="1">
      <alignment horizontal="center" readingOrder="0" shrinkToFit="0" vertical="center" wrapText="1"/>
    </xf>
    <xf borderId="62" fillId="20" fontId="10" numFmtId="0" xfId="0" applyAlignment="1" applyBorder="1" applyFont="1">
      <alignment horizontal="center" readingOrder="0" shrinkToFit="0" vertical="center" wrapText="1"/>
    </xf>
    <xf borderId="63" fillId="20" fontId="10" numFmtId="0" xfId="0" applyAlignment="1" applyBorder="1" applyFont="1">
      <alignment horizontal="center" readingOrder="0" shrinkToFit="0" vertical="center" wrapText="1"/>
    </xf>
    <xf borderId="56" fillId="20" fontId="10" numFmtId="0" xfId="0" applyAlignment="1" applyBorder="1" applyFont="1">
      <alignment horizontal="center" readingOrder="0" shrinkToFit="0" vertical="center" wrapText="1"/>
    </xf>
    <xf borderId="58" fillId="20" fontId="10" numFmtId="0" xfId="0" applyAlignment="1" applyBorder="1" applyFont="1">
      <alignment horizontal="center" readingOrder="0" shrinkToFit="0" vertical="center" wrapText="1"/>
    </xf>
    <xf borderId="55" fillId="20" fontId="10" numFmtId="0" xfId="0" applyAlignment="1" applyBorder="1" applyFont="1">
      <alignment horizontal="center" readingOrder="0" shrinkToFit="0" vertical="center" wrapText="1"/>
    </xf>
    <xf borderId="41" fillId="20" fontId="10" numFmtId="0" xfId="0" applyAlignment="1" applyBorder="1" applyFont="1">
      <alignment horizontal="center" readingOrder="0" shrinkToFit="0" vertical="center" wrapText="1"/>
    </xf>
    <xf borderId="42" fillId="20" fontId="10" numFmtId="0" xfId="0" applyAlignment="1" applyBorder="1" applyFont="1">
      <alignment horizontal="center" readingOrder="0" shrinkToFit="0" vertical="center" wrapText="1"/>
    </xf>
    <xf borderId="0" fillId="20" fontId="10" numFmtId="0" xfId="0" applyAlignment="1" applyFont="1">
      <alignment horizontal="center" readingOrder="0" shrinkToFit="0" vertical="center" wrapText="1"/>
    </xf>
    <xf borderId="64" fillId="20" fontId="10" numFmtId="0" xfId="0" applyAlignment="1" applyBorder="1" applyFont="1">
      <alignment horizontal="center" readingOrder="0" shrinkToFit="0" vertical="center" wrapText="1"/>
    </xf>
    <xf borderId="65" fillId="20" fontId="10" numFmtId="0" xfId="0" applyAlignment="1" applyBorder="1" applyFont="1">
      <alignment horizontal="center" readingOrder="0" shrinkToFit="0" vertical="center" wrapText="1"/>
    </xf>
    <xf borderId="66" fillId="20" fontId="10" numFmtId="0" xfId="0" applyAlignment="1" applyBorder="1" applyFont="1">
      <alignment horizontal="center" readingOrder="0" shrinkToFit="0" vertical="center" wrapText="1"/>
    </xf>
    <xf borderId="67" fillId="20" fontId="10" numFmtId="0" xfId="0" applyAlignment="1" applyBorder="1" applyFont="1">
      <alignment horizontal="center" readingOrder="0" shrinkToFit="0" vertical="center" wrapText="1"/>
    </xf>
    <xf borderId="68" fillId="20" fontId="10" numFmtId="0" xfId="0" applyAlignment="1" applyBorder="1" applyFont="1">
      <alignment horizontal="center" readingOrder="0" shrinkToFit="0" vertical="center" wrapText="1"/>
    </xf>
    <xf borderId="50" fillId="20" fontId="10" numFmtId="0" xfId="0" applyAlignment="1" applyBorder="1" applyFont="1">
      <alignment horizontal="center" readingOrder="0" shrinkToFit="0" vertical="center" wrapText="1"/>
    </xf>
    <xf borderId="44" fillId="20" fontId="10" numFmtId="0" xfId="0" applyAlignment="1" applyBorder="1" applyFont="1">
      <alignment horizontal="center" readingOrder="0" shrinkToFit="0" vertical="center" wrapText="1"/>
    </xf>
    <xf borderId="51" fillId="20" fontId="10" numFmtId="0" xfId="0" applyAlignment="1" applyBorder="1" applyFont="1">
      <alignment horizontal="center" readingOrder="0" shrinkToFit="0" vertical="center" wrapText="1"/>
    </xf>
    <xf borderId="69" fillId="20" fontId="10" numFmtId="0" xfId="0" applyAlignment="1" applyBorder="1" applyFont="1">
      <alignment horizontal="center" readingOrder="0" shrinkToFit="0" vertical="center" wrapText="1"/>
    </xf>
    <xf borderId="61" fillId="21" fontId="10" numFmtId="0" xfId="0" applyAlignment="1" applyBorder="1" applyFill="1" applyFont="1">
      <alignment horizontal="left" readingOrder="0" shrinkToFit="0" vertical="center" wrapText="0"/>
    </xf>
    <xf borderId="57" fillId="21" fontId="10" numFmtId="0" xfId="0" applyAlignment="1" applyBorder="1" applyFont="1">
      <alignment horizontal="left" readingOrder="0" shrinkToFit="0" vertical="center" wrapText="0"/>
    </xf>
    <xf borderId="57" fillId="21" fontId="10" numFmtId="0" xfId="0" applyAlignment="1" applyBorder="1" applyFont="1">
      <alignment horizontal="center" readingOrder="0" shrinkToFit="0" vertical="center" wrapText="1"/>
    </xf>
    <xf borderId="59" fillId="21" fontId="10" numFmtId="0" xfId="0" applyAlignment="1" applyBorder="1" applyFont="1">
      <alignment horizontal="center" readingOrder="0" shrinkToFit="0" vertical="center" wrapText="1"/>
    </xf>
    <xf borderId="62" fillId="21" fontId="10" numFmtId="0" xfId="0" applyAlignment="1" applyBorder="1" applyFont="1">
      <alignment horizontal="center" readingOrder="0" shrinkToFit="0" vertical="center" wrapText="1"/>
    </xf>
    <xf borderId="63" fillId="21" fontId="10" numFmtId="0" xfId="0" applyAlignment="1" applyBorder="1" applyFont="1">
      <alignment horizontal="center" readingOrder="0" shrinkToFit="0" vertical="center" wrapText="1"/>
    </xf>
    <xf borderId="56" fillId="21" fontId="10" numFmtId="0" xfId="0" applyAlignment="1" applyBorder="1" applyFont="1">
      <alignment horizontal="center" readingOrder="0" shrinkToFit="0" vertical="center" wrapText="1"/>
    </xf>
    <xf borderId="58" fillId="21" fontId="10" numFmtId="0" xfId="0" applyAlignment="1" applyBorder="1" applyFont="1">
      <alignment horizontal="center" readingOrder="0" shrinkToFit="0" vertical="center" wrapText="1"/>
    </xf>
    <xf borderId="55" fillId="21" fontId="10" numFmtId="0" xfId="0" applyAlignment="1" applyBorder="1" applyFont="1">
      <alignment horizontal="center" readingOrder="0" shrinkToFit="0" vertical="center" wrapText="1"/>
    </xf>
    <xf borderId="41" fillId="21" fontId="10" numFmtId="0" xfId="0" applyAlignment="1" applyBorder="1" applyFont="1">
      <alignment horizontal="center" readingOrder="0" shrinkToFit="0" vertical="center" wrapText="1"/>
    </xf>
    <xf borderId="42" fillId="21" fontId="10" numFmtId="0" xfId="0" applyAlignment="1" applyBorder="1" applyFont="1">
      <alignment horizontal="center" readingOrder="0" shrinkToFit="0" vertical="center" wrapText="1"/>
    </xf>
    <xf borderId="0" fillId="21" fontId="10" numFmtId="0" xfId="0" applyAlignment="1" applyFont="1">
      <alignment horizontal="center" readingOrder="0" shrinkToFit="0" vertical="center" wrapText="1"/>
    </xf>
    <xf borderId="64" fillId="21" fontId="10" numFmtId="0" xfId="0" applyAlignment="1" applyBorder="1" applyFont="1">
      <alignment horizontal="center" readingOrder="0" shrinkToFit="0" vertical="center" wrapText="1"/>
    </xf>
    <xf borderId="65" fillId="21" fontId="10" numFmtId="0" xfId="0" applyAlignment="1" applyBorder="1" applyFont="1">
      <alignment horizontal="center" readingOrder="0" shrinkToFit="0" vertical="center" wrapText="1"/>
    </xf>
    <xf borderId="66" fillId="21" fontId="10" numFmtId="0" xfId="0" applyAlignment="1" applyBorder="1" applyFont="1">
      <alignment horizontal="center" readingOrder="0" shrinkToFit="0" vertical="center" wrapText="1"/>
    </xf>
    <xf borderId="67" fillId="21" fontId="10" numFmtId="0" xfId="0" applyAlignment="1" applyBorder="1" applyFont="1">
      <alignment horizontal="center" readingOrder="0" shrinkToFit="0" vertical="center" wrapText="1"/>
    </xf>
    <xf borderId="68" fillId="21" fontId="10" numFmtId="0" xfId="0" applyAlignment="1" applyBorder="1" applyFont="1">
      <alignment horizontal="center" readingOrder="0" shrinkToFit="0" vertical="center" wrapText="1"/>
    </xf>
    <xf borderId="50" fillId="21" fontId="10" numFmtId="0" xfId="0" applyAlignment="1" applyBorder="1" applyFont="1">
      <alignment horizontal="center" readingOrder="0" shrinkToFit="0" vertical="center" wrapText="1"/>
    </xf>
    <xf borderId="44" fillId="21" fontId="10" numFmtId="0" xfId="0" applyAlignment="1" applyBorder="1" applyFont="1">
      <alignment horizontal="center" readingOrder="0" shrinkToFit="0" vertical="center" wrapText="1"/>
    </xf>
    <xf borderId="51" fillId="21" fontId="10" numFmtId="0" xfId="0" applyAlignment="1" applyBorder="1" applyFont="1">
      <alignment horizontal="center" readingOrder="0" shrinkToFit="0" vertical="center" wrapText="1"/>
    </xf>
    <xf borderId="69" fillId="21" fontId="10" numFmtId="0" xfId="0" applyAlignment="1" applyBorder="1" applyFont="1">
      <alignment horizontal="center" readingOrder="0" shrinkToFit="0" vertical="center" wrapText="1"/>
    </xf>
    <xf borderId="61" fillId="9" fontId="10" numFmtId="0" xfId="0" applyAlignment="1" applyBorder="1" applyFont="1">
      <alignment horizontal="left" readingOrder="0" shrinkToFit="0" vertical="center" wrapText="0"/>
    </xf>
    <xf borderId="57" fillId="9" fontId="10" numFmtId="0" xfId="0" applyAlignment="1" applyBorder="1" applyFont="1">
      <alignment horizontal="left" readingOrder="0" shrinkToFit="0" vertical="center" wrapText="0"/>
    </xf>
    <xf borderId="57" fillId="9" fontId="10" numFmtId="0" xfId="0" applyAlignment="1" applyBorder="1" applyFont="1">
      <alignment horizontal="center" readingOrder="0" shrinkToFit="0" vertical="center" wrapText="1"/>
    </xf>
    <xf borderId="59" fillId="9" fontId="10" numFmtId="0" xfId="0" applyAlignment="1" applyBorder="1" applyFont="1">
      <alignment horizontal="center" readingOrder="0" shrinkToFit="0" vertical="center" wrapText="1"/>
    </xf>
    <xf borderId="62" fillId="9" fontId="10" numFmtId="0" xfId="0" applyAlignment="1" applyBorder="1" applyFont="1">
      <alignment horizontal="center" readingOrder="0" shrinkToFit="0" vertical="center" wrapText="1"/>
    </xf>
    <xf borderId="63" fillId="9" fontId="10" numFmtId="0" xfId="0" applyAlignment="1" applyBorder="1" applyFont="1">
      <alignment horizontal="center" readingOrder="0" shrinkToFit="0" vertical="center" wrapText="1"/>
    </xf>
    <xf borderId="58" fillId="9" fontId="10" numFmtId="0" xfId="0" applyAlignment="1" applyBorder="1" applyFont="1">
      <alignment horizontal="center" readingOrder="0" shrinkToFit="0" vertical="center" wrapText="1"/>
    </xf>
    <xf borderId="55" fillId="9" fontId="10" numFmtId="0" xfId="0" applyAlignment="1" applyBorder="1" applyFont="1">
      <alignment horizontal="center" readingOrder="0" shrinkToFit="0" vertical="center" wrapText="1"/>
    </xf>
    <xf borderId="41" fillId="9" fontId="10" numFmtId="0" xfId="0" applyAlignment="1" applyBorder="1" applyFont="1">
      <alignment horizontal="center" readingOrder="0" shrinkToFit="0" vertical="center" wrapText="1"/>
    </xf>
    <xf borderId="42" fillId="9" fontId="10" numFmtId="0" xfId="0" applyAlignment="1" applyBorder="1" applyFont="1">
      <alignment horizontal="center" readingOrder="0" shrinkToFit="0" vertical="center" wrapText="1"/>
    </xf>
    <xf borderId="0" fillId="9" fontId="10" numFmtId="0" xfId="0" applyAlignment="1" applyFont="1">
      <alignment horizontal="center" readingOrder="0" shrinkToFit="0" vertical="center" wrapText="1"/>
    </xf>
    <xf borderId="64" fillId="9" fontId="10" numFmtId="0" xfId="0" applyAlignment="1" applyBorder="1" applyFont="1">
      <alignment horizontal="center" readingOrder="0" shrinkToFit="0" vertical="center" wrapText="1"/>
    </xf>
    <xf borderId="65" fillId="9" fontId="10" numFmtId="0" xfId="0" applyAlignment="1" applyBorder="1" applyFont="1">
      <alignment horizontal="center" readingOrder="0" shrinkToFit="0" vertical="center" wrapText="1"/>
    </xf>
    <xf borderId="66" fillId="9" fontId="10" numFmtId="0" xfId="0" applyAlignment="1" applyBorder="1" applyFont="1">
      <alignment horizontal="center" readingOrder="0" shrinkToFit="0" vertical="center" wrapText="1"/>
    </xf>
    <xf borderId="67" fillId="9" fontId="10" numFmtId="0" xfId="0" applyAlignment="1" applyBorder="1" applyFont="1">
      <alignment horizontal="center" readingOrder="0" shrinkToFit="0" vertical="center" wrapText="1"/>
    </xf>
    <xf borderId="68" fillId="9" fontId="10" numFmtId="0" xfId="0" applyAlignment="1" applyBorder="1" applyFont="1">
      <alignment horizontal="center" readingOrder="0" shrinkToFit="0" vertical="center" wrapText="1"/>
    </xf>
    <xf borderId="50" fillId="9" fontId="10" numFmtId="0" xfId="0" applyAlignment="1" applyBorder="1" applyFont="1">
      <alignment horizontal="center" readingOrder="0" shrinkToFit="0" vertical="center" wrapText="1"/>
    </xf>
    <xf borderId="44" fillId="9" fontId="10" numFmtId="0" xfId="0" applyAlignment="1" applyBorder="1" applyFont="1">
      <alignment horizontal="center" readingOrder="0" shrinkToFit="0" vertical="center" wrapText="1"/>
    </xf>
    <xf borderId="51" fillId="9" fontId="10" numFmtId="0" xfId="0" applyAlignment="1" applyBorder="1" applyFont="1">
      <alignment horizontal="center" readingOrder="0" shrinkToFit="0" vertical="center" wrapText="1"/>
    </xf>
    <xf borderId="69" fillId="9" fontId="10" numFmtId="0" xfId="0" applyAlignment="1" applyBorder="1" applyFont="1">
      <alignment horizontal="center" readingOrder="0" shrinkToFit="0" vertical="center" wrapText="1"/>
    </xf>
    <xf borderId="50" fillId="10" fontId="9" numFmtId="0" xfId="0" applyAlignment="1" applyBorder="1" applyFont="1">
      <alignment horizontal="center" readingOrder="0" shrinkToFit="0" vertical="center" wrapText="1"/>
    </xf>
    <xf borderId="61" fillId="22" fontId="10" numFmtId="0" xfId="0" applyAlignment="1" applyBorder="1" applyFill="1" applyFont="1">
      <alignment horizontal="left" readingOrder="0" shrinkToFit="0" vertical="center" wrapText="0"/>
    </xf>
    <xf borderId="57" fillId="22" fontId="10" numFmtId="0" xfId="0" applyAlignment="1" applyBorder="1" applyFont="1">
      <alignment horizontal="left" readingOrder="0" shrinkToFit="0" vertical="center" wrapText="0"/>
    </xf>
    <xf borderId="57" fillId="22" fontId="10" numFmtId="0" xfId="0" applyAlignment="1" applyBorder="1" applyFont="1">
      <alignment horizontal="center" readingOrder="0" shrinkToFit="0" vertical="center" wrapText="1"/>
    </xf>
    <xf borderId="59" fillId="22" fontId="10" numFmtId="0" xfId="0" applyAlignment="1" applyBorder="1" applyFont="1">
      <alignment horizontal="center" readingOrder="0" shrinkToFit="0" vertical="center" wrapText="1"/>
    </xf>
    <xf borderId="62" fillId="22" fontId="10" numFmtId="0" xfId="0" applyAlignment="1" applyBorder="1" applyFont="1">
      <alignment horizontal="center" readingOrder="0" shrinkToFit="0" vertical="center" wrapText="1"/>
    </xf>
    <xf borderId="63" fillId="22" fontId="10" numFmtId="0" xfId="0" applyAlignment="1" applyBorder="1" applyFont="1">
      <alignment horizontal="center" readingOrder="0" shrinkToFit="0" vertical="center" wrapText="1"/>
    </xf>
    <xf borderId="58" fillId="22" fontId="10" numFmtId="0" xfId="0" applyAlignment="1" applyBorder="1" applyFont="1">
      <alignment horizontal="center" readingOrder="0" shrinkToFit="0" vertical="center" wrapText="1"/>
    </xf>
    <xf borderId="55" fillId="22" fontId="10" numFmtId="0" xfId="0" applyAlignment="1" applyBorder="1" applyFont="1">
      <alignment horizontal="center" readingOrder="0" shrinkToFit="0" vertical="center" wrapText="1"/>
    </xf>
    <xf borderId="41" fillId="22" fontId="10" numFmtId="0" xfId="0" applyAlignment="1" applyBorder="1" applyFont="1">
      <alignment horizontal="center" readingOrder="0" shrinkToFit="0" vertical="center" wrapText="1"/>
    </xf>
    <xf borderId="42" fillId="22" fontId="10" numFmtId="0" xfId="0" applyAlignment="1" applyBorder="1" applyFont="1">
      <alignment horizontal="center" readingOrder="0" shrinkToFit="0" vertical="center" wrapText="1"/>
    </xf>
    <xf borderId="0" fillId="22" fontId="10" numFmtId="0" xfId="0" applyAlignment="1" applyFont="1">
      <alignment horizontal="center" readingOrder="0" shrinkToFit="0" vertical="center" wrapText="1"/>
    </xf>
    <xf borderId="64" fillId="22" fontId="10" numFmtId="0" xfId="0" applyAlignment="1" applyBorder="1" applyFont="1">
      <alignment horizontal="center" readingOrder="0" shrinkToFit="0" vertical="center" wrapText="1"/>
    </xf>
    <xf borderId="65" fillId="22" fontId="10" numFmtId="0" xfId="0" applyAlignment="1" applyBorder="1" applyFont="1">
      <alignment horizontal="center" readingOrder="0" shrinkToFit="0" vertical="center" wrapText="1"/>
    </xf>
    <xf borderId="66" fillId="22" fontId="10" numFmtId="0" xfId="0" applyAlignment="1" applyBorder="1" applyFont="1">
      <alignment horizontal="center" readingOrder="0" shrinkToFit="0" vertical="center" wrapText="1"/>
    </xf>
    <xf borderId="67" fillId="22" fontId="10" numFmtId="0" xfId="0" applyAlignment="1" applyBorder="1" applyFont="1">
      <alignment horizontal="center" readingOrder="0" shrinkToFit="0" vertical="center" wrapText="1"/>
    </xf>
    <xf borderId="68" fillId="22" fontId="10" numFmtId="0" xfId="0" applyAlignment="1" applyBorder="1" applyFont="1">
      <alignment horizontal="center" readingOrder="0" shrinkToFit="0" vertical="center" wrapText="1"/>
    </xf>
    <xf borderId="50" fillId="22" fontId="10" numFmtId="0" xfId="0" applyAlignment="1" applyBorder="1" applyFont="1">
      <alignment horizontal="center" readingOrder="0" shrinkToFit="0" vertical="center" wrapText="1"/>
    </xf>
    <xf borderId="44" fillId="22" fontId="10" numFmtId="0" xfId="0" applyAlignment="1" applyBorder="1" applyFont="1">
      <alignment horizontal="center" readingOrder="0" shrinkToFit="0" vertical="center" wrapText="1"/>
    </xf>
    <xf borderId="51" fillId="22" fontId="10" numFmtId="0" xfId="0" applyAlignment="1" applyBorder="1" applyFont="1">
      <alignment horizontal="center" readingOrder="0" shrinkToFit="0" vertical="center" wrapText="1"/>
    </xf>
    <xf borderId="69" fillId="22" fontId="10" numFmtId="0" xfId="0" applyAlignment="1" applyBorder="1" applyFont="1">
      <alignment horizontal="center" readingOrder="0" shrinkToFit="0" vertical="center" wrapText="1"/>
    </xf>
    <xf borderId="54" fillId="0" fontId="12" numFmtId="0" xfId="0" applyAlignment="1" applyBorder="1" applyFont="1">
      <alignment horizontal="center" readingOrder="0" shrinkToFit="0" wrapText="0"/>
    </xf>
    <xf borderId="30" fillId="0" fontId="12" numFmtId="0" xfId="0" applyAlignment="1" applyBorder="1" applyFont="1">
      <alignment horizontal="center" readingOrder="0" shrinkToFit="0" wrapText="0"/>
    </xf>
    <xf borderId="71" fillId="0" fontId="10" numFmtId="0" xfId="0" applyAlignment="1" applyBorder="1" applyFont="1">
      <alignment horizontal="center" readingOrder="0" shrinkToFit="0" vertical="center" wrapText="0"/>
    </xf>
    <xf borderId="72" fillId="0" fontId="10" numFmtId="0" xfId="0" applyAlignment="1" applyBorder="1" applyFont="1">
      <alignment horizontal="center" vertical="center"/>
    </xf>
    <xf borderId="73" fillId="0" fontId="10" numFmtId="0" xfId="0" applyAlignment="1" applyBorder="1" applyFont="1">
      <alignment horizontal="center" readingOrder="0" vertical="center"/>
    </xf>
    <xf borderId="74" fillId="0" fontId="10" numFmtId="0" xfId="0" applyAlignment="1" applyBorder="1" applyFont="1">
      <alignment horizontal="center" vertical="center"/>
    </xf>
    <xf borderId="75" fillId="0" fontId="10" numFmtId="0" xfId="0" applyAlignment="1" applyBorder="1" applyFont="1">
      <alignment horizontal="center" vertical="center"/>
    </xf>
    <xf borderId="76" fillId="0" fontId="10" numFmtId="0" xfId="0" applyAlignment="1" applyBorder="1" applyFont="1">
      <alignment horizontal="center" vertical="center"/>
    </xf>
    <xf borderId="77" fillId="0" fontId="10" numFmtId="0" xfId="0" applyAlignment="1" applyBorder="1" applyFont="1">
      <alignment horizontal="center" readingOrder="0" shrinkToFit="0" vertical="center" wrapText="1"/>
    </xf>
    <xf borderId="78" fillId="0" fontId="10" numFmtId="0" xfId="0" applyAlignment="1" applyBorder="1" applyFont="1">
      <alignment horizontal="center" readingOrder="0" shrinkToFit="0" vertical="center" wrapText="1"/>
    </xf>
    <xf borderId="79" fillId="0" fontId="10" numFmtId="0" xfId="0" applyAlignment="1" applyBorder="1" applyFont="1">
      <alignment horizontal="center" readingOrder="0" shrinkToFit="0" vertical="center" wrapText="1"/>
    </xf>
    <xf borderId="80" fillId="0" fontId="10" numFmtId="164" xfId="0" applyAlignment="1" applyBorder="1" applyFont="1" applyNumberFormat="1">
      <alignment horizontal="center" shrinkToFit="0" vertical="center" wrapText="1"/>
    </xf>
    <xf borderId="77" fillId="0" fontId="9" numFmtId="9" xfId="0" applyAlignment="1" applyBorder="1" applyFont="1" applyNumberFormat="1">
      <alignment horizontal="center" readingOrder="0" shrinkToFit="0" vertical="center" wrapText="1"/>
    </xf>
    <xf borderId="81" fillId="0" fontId="10" numFmtId="164" xfId="0" applyAlignment="1" applyBorder="1" applyFont="1" applyNumberFormat="1">
      <alignment horizontal="center" shrinkToFit="0" vertical="center" wrapText="1"/>
    </xf>
    <xf borderId="74" fillId="0" fontId="10" numFmtId="164" xfId="0" applyAlignment="1" applyBorder="1" applyFont="1" applyNumberFormat="1">
      <alignment horizontal="center" shrinkToFit="0" vertical="center" wrapText="1"/>
    </xf>
    <xf borderId="82" fillId="0" fontId="10" numFmtId="164" xfId="0" applyAlignment="1" applyBorder="1" applyFont="1" applyNumberFormat="1">
      <alignment horizontal="center" shrinkToFit="0" vertical="center" wrapText="1"/>
    </xf>
    <xf borderId="83" fillId="0" fontId="10" numFmtId="164" xfId="0" applyAlignment="1" applyBorder="1" applyFont="1" applyNumberFormat="1">
      <alignment horizontal="center" shrinkToFit="0" vertical="center" wrapText="1"/>
    </xf>
    <xf borderId="77" fillId="0" fontId="10" numFmtId="164" xfId="0" applyAlignment="1" applyBorder="1" applyFont="1" applyNumberFormat="1">
      <alignment horizontal="center" shrinkToFit="0" vertical="center" wrapText="1"/>
    </xf>
    <xf borderId="84" fillId="0" fontId="10" numFmtId="164" xfId="0" applyAlignment="1" applyBorder="1" applyFont="1" applyNumberFormat="1">
      <alignment horizontal="center" shrinkToFit="0" vertical="center" wrapText="1"/>
    </xf>
    <xf borderId="85" fillId="0" fontId="9" numFmtId="9" xfId="0" applyAlignment="1" applyBorder="1" applyFont="1" applyNumberFormat="1">
      <alignment horizontal="center" readingOrder="0" shrinkToFit="0" vertical="center" wrapText="1"/>
    </xf>
    <xf borderId="86" fillId="10" fontId="9" numFmtId="9" xfId="0" applyAlignment="1" applyBorder="1" applyFont="1" applyNumberFormat="1">
      <alignment horizontal="center" readingOrder="0" shrinkToFit="0" vertical="center" wrapText="1"/>
    </xf>
    <xf borderId="77" fillId="10" fontId="9" numFmtId="9" xfId="0" applyAlignment="1" applyBorder="1" applyFont="1" applyNumberFormat="1">
      <alignment horizontal="center" readingOrder="0" shrinkToFit="0" vertical="center" wrapText="1"/>
    </xf>
    <xf borderId="84" fillId="10" fontId="9" numFmtId="9" xfId="0" applyAlignment="1" applyBorder="1" applyFont="1" applyNumberFormat="1">
      <alignment horizontal="center" readingOrder="0" shrinkToFit="0" vertical="center" wrapText="1"/>
    </xf>
    <xf borderId="87" fillId="10" fontId="9" numFmtId="9" xfId="0" applyAlignment="1" applyBorder="1" applyFont="1" applyNumberFormat="1">
      <alignment horizontal="center" readingOrder="0" shrinkToFit="0" vertical="center" wrapText="1"/>
    </xf>
    <xf borderId="82" fillId="10" fontId="9" numFmtId="9" xfId="0" applyAlignment="1" applyBorder="1" applyFont="1" applyNumberFormat="1">
      <alignment horizontal="center" readingOrder="0" shrinkToFit="0" vertical="center" wrapText="1"/>
    </xf>
    <xf borderId="83" fillId="10" fontId="9" numFmtId="9" xfId="0" applyAlignment="1" applyBorder="1" applyFont="1" applyNumberFormat="1">
      <alignment horizontal="center" readingOrder="0" shrinkToFit="0" vertical="center" wrapText="1"/>
    </xf>
    <xf borderId="88" fillId="10" fontId="9" numFmtId="9" xfId="0" applyAlignment="1" applyBorder="1" applyFont="1" applyNumberFormat="1">
      <alignment horizontal="center" readingOrder="0" shrinkToFit="0" vertical="center" wrapText="1"/>
    </xf>
    <xf borderId="89" fillId="11" fontId="4" numFmtId="9" xfId="0" applyAlignment="1" applyBorder="1" applyFont="1" applyNumberFormat="1">
      <alignment horizontal="center" vertical="center"/>
    </xf>
    <xf borderId="90" fillId="10" fontId="9" numFmtId="9" xfId="0" applyAlignment="1" applyBorder="1" applyFont="1" applyNumberFormat="1">
      <alignment horizontal="center" readingOrder="0" shrinkToFit="0" vertical="center" wrapText="1"/>
    </xf>
    <xf borderId="91" fillId="10" fontId="9" numFmtId="9" xfId="0" applyAlignment="1" applyBorder="1" applyFont="1" applyNumberFormat="1">
      <alignment horizontal="center" readingOrder="0" shrinkToFit="0" vertical="center" wrapText="1"/>
    </xf>
    <xf borderId="92" fillId="10" fontId="9" numFmtId="9" xfId="0" applyAlignment="1" applyBorder="1" applyFont="1" applyNumberFormat="1">
      <alignment horizontal="center" readingOrder="0" shrinkToFit="0" vertical="center" wrapText="1"/>
    </xf>
    <xf borderId="93" fillId="10" fontId="9" numFmtId="9" xfId="0" applyAlignment="1" applyBorder="1" applyFont="1" applyNumberFormat="1">
      <alignment horizontal="center" readingOrder="0" shrinkToFit="0" vertical="center" wrapText="1"/>
    </xf>
    <xf borderId="77" fillId="11" fontId="4" numFmtId="9" xfId="0" applyAlignment="1" applyBorder="1" applyFont="1" applyNumberFormat="1">
      <alignment horizontal="center" vertical="center"/>
    </xf>
    <xf borderId="94" fillId="10" fontId="9" numFmtId="9" xfId="0" applyAlignment="1" applyBorder="1" applyFont="1" applyNumberFormat="1">
      <alignment horizontal="center" readingOrder="0" shrinkToFit="0" vertical="center" wrapText="1"/>
    </xf>
    <xf borderId="76" fillId="10" fontId="9" numFmtId="9" xfId="0" applyAlignment="1" applyBorder="1" applyFont="1" applyNumberFormat="1">
      <alignment horizontal="center" readingOrder="0" shrinkToFit="0" vertical="center" wrapText="1"/>
    </xf>
    <xf borderId="95" fillId="10" fontId="9" numFmtId="9" xfId="0" applyAlignment="1" applyBorder="1" applyFont="1" applyNumberFormat="1">
      <alignment horizontal="center" readingOrder="0" shrinkToFit="0" vertical="center" wrapText="1"/>
    </xf>
    <xf borderId="96" fillId="11" fontId="4" numFmtId="9" xfId="0" applyAlignment="1" applyBorder="1" applyFont="1" applyNumberFormat="1">
      <alignment horizontal="center" vertical="center"/>
    </xf>
    <xf borderId="85" fillId="10" fontId="9" numFmtId="9" xfId="0" applyAlignment="1" applyBorder="1" applyFont="1" applyNumberFormat="1">
      <alignment horizontal="center" readingOrder="0" shrinkToFit="0" vertical="center" wrapText="1"/>
    </xf>
    <xf borderId="97" fillId="10" fontId="9" numFmtId="9" xfId="0" applyAlignment="1" applyBorder="1" applyFont="1" applyNumberFormat="1">
      <alignment horizontal="center" readingOrder="0" shrinkToFit="0" vertical="center" wrapText="1"/>
    </xf>
    <xf borderId="0" fillId="4" fontId="6" numFmtId="0" xfId="0" applyAlignment="1" applyFont="1">
      <alignment horizontal="center" readingOrder="0" shrinkToFit="0" vertical="center" wrapText="1"/>
    </xf>
    <xf borderId="98" fillId="4" fontId="6" numFmtId="0" xfId="0" applyAlignment="1" applyBorder="1" applyFont="1">
      <alignment horizontal="center" readingOrder="0" shrinkToFit="0" vertical="center" wrapText="1"/>
    </xf>
    <xf borderId="14" fillId="18" fontId="6" numFmtId="0" xfId="0" applyAlignment="1" applyBorder="1" applyFont="1">
      <alignment horizontal="center" readingOrder="0" shrinkToFit="0" vertical="center" wrapText="1"/>
    </xf>
    <xf borderId="14" fillId="23" fontId="6" numFmtId="0" xfId="0" applyAlignment="1" applyBorder="1" applyFill="1" applyFont="1">
      <alignment horizontal="center" readingOrder="0" shrinkToFit="0" vertical="center" wrapText="1"/>
    </xf>
    <xf borderId="14" fillId="24" fontId="6" numFmtId="0" xfId="0" applyAlignment="1" applyBorder="1" applyFill="1" applyFont="1">
      <alignment horizontal="center" readingOrder="0" shrinkToFit="0" vertical="center" wrapText="1"/>
    </xf>
    <xf borderId="99" fillId="4" fontId="6" numFmtId="0" xfId="0" applyAlignment="1" applyBorder="1" applyFont="1">
      <alignment horizontal="center" readingOrder="0" shrinkToFit="0" vertical="center" wrapText="1"/>
    </xf>
    <xf borderId="14" fillId="19" fontId="8" numFmtId="0" xfId="0" applyAlignment="1" applyBorder="1" applyFont="1">
      <alignment horizontal="center" shrinkToFit="0" vertical="center" wrapText="1"/>
    </xf>
    <xf borderId="20" fillId="4" fontId="6" numFmtId="0" xfId="0" applyAlignment="1" applyBorder="1" applyFont="1">
      <alignment horizontal="center" readingOrder="0" shrinkToFit="0" vertical="center" wrapText="1"/>
    </xf>
    <xf borderId="21" fillId="0" fontId="11" numFmtId="0" xfId="0" applyAlignment="1" applyBorder="1" applyFont="1">
      <alignment shrinkToFit="0" wrapText="1"/>
    </xf>
    <xf borderId="68" fillId="12" fontId="10" numFmtId="0" xfId="0" applyAlignment="1" applyBorder="1" applyFont="1">
      <alignment horizontal="left" readingOrder="0" shrinkToFit="0" vertical="center" wrapText="0"/>
    </xf>
    <xf borderId="0" fillId="12" fontId="10" numFmtId="0" xfId="0" applyAlignment="1" applyFont="1">
      <alignment horizontal="left" readingOrder="0" shrinkToFit="0" vertical="center" wrapText="0"/>
    </xf>
    <xf borderId="0" fillId="12" fontId="4" numFmtId="0" xfId="0" applyFont="1"/>
    <xf borderId="44" fillId="12" fontId="4" numFmtId="0" xfId="0" applyBorder="1" applyFont="1"/>
    <xf borderId="68" fillId="0" fontId="10" numFmtId="0" xfId="0" applyAlignment="1" applyBorder="1" applyFont="1">
      <alignment horizontal="center" readingOrder="0" shrinkToFit="0" vertical="center" wrapText="0"/>
    </xf>
    <xf borderId="0" fillId="18" fontId="10" numFmtId="9" xfId="0" applyAlignment="1" applyFont="1" applyNumberFormat="1">
      <alignment horizontal="center" readingOrder="0" shrinkToFit="0" vertical="center" wrapText="0"/>
    </xf>
    <xf borderId="0" fillId="0" fontId="4" numFmtId="9" xfId="0" applyAlignment="1" applyFont="1" applyNumberFormat="1">
      <alignment horizontal="center" vertical="center"/>
    </xf>
    <xf borderId="0" fillId="0" fontId="4" numFmtId="9" xfId="0" applyAlignment="1" applyFont="1" applyNumberFormat="1">
      <alignment horizontal="center"/>
    </xf>
    <xf borderId="0" fillId="23" fontId="9" numFmtId="164" xfId="0" applyAlignment="1" applyFont="1" applyNumberFormat="1">
      <alignment horizontal="center"/>
    </xf>
    <xf borderId="0" fillId="24" fontId="4" numFmtId="164" xfId="0" applyAlignment="1" applyFont="1" applyNumberFormat="1">
      <alignment horizontal="center"/>
    </xf>
    <xf borderId="100" fillId="0" fontId="4" numFmtId="9" xfId="0" applyAlignment="1" applyBorder="1" applyFont="1" applyNumberFormat="1">
      <alignment horizontal="center"/>
    </xf>
    <xf borderId="0" fillId="19" fontId="4" numFmtId="9" xfId="0" applyAlignment="1" applyFont="1" applyNumberFormat="1">
      <alignment horizontal="center"/>
    </xf>
    <xf borderId="44" fillId="0" fontId="4" numFmtId="9" xfId="0" applyAlignment="1" applyBorder="1" applyFont="1" applyNumberFormat="1">
      <alignment horizontal="center"/>
    </xf>
    <xf borderId="0" fillId="24" fontId="4" numFmtId="0" xfId="0" applyAlignment="1" applyFont="1">
      <alignment horizontal="center"/>
    </xf>
    <xf borderId="21" fillId="0" fontId="11" numFmtId="0" xfId="0" applyAlignment="1" applyBorder="1" applyFont="1">
      <alignment readingOrder="0" shrinkToFit="0" wrapText="1"/>
    </xf>
    <xf borderId="0" fillId="13" fontId="10" numFmtId="0" xfId="0" applyAlignment="1" applyFont="1">
      <alignment horizontal="left" readingOrder="0" shrinkToFit="0" vertical="center" wrapText="0"/>
    </xf>
    <xf borderId="0" fillId="13" fontId="4" numFmtId="0" xfId="0" applyFont="1"/>
    <xf borderId="44" fillId="13" fontId="4" numFmtId="0" xfId="0" applyBorder="1" applyFont="1"/>
    <xf borderId="0" fillId="14" fontId="10" numFmtId="0" xfId="0" applyAlignment="1" applyFont="1">
      <alignment horizontal="left" readingOrder="0" shrinkToFit="0" vertical="center" wrapText="0"/>
    </xf>
    <xf borderId="0" fillId="14" fontId="4" numFmtId="0" xfId="0" applyFont="1"/>
    <xf borderId="100" fillId="14" fontId="4" numFmtId="0" xfId="0" applyBorder="1" applyFont="1"/>
    <xf borderId="44" fillId="14" fontId="4" numFmtId="0" xfId="0" applyBorder="1" applyFont="1"/>
    <xf borderId="100" fillId="13" fontId="4" numFmtId="0" xfId="0" applyBorder="1" applyFont="1"/>
    <xf borderId="0" fillId="15" fontId="10" numFmtId="0" xfId="0" applyAlignment="1" applyFont="1">
      <alignment horizontal="left" readingOrder="0" shrinkToFit="0" vertical="center" wrapText="0"/>
    </xf>
    <xf borderId="0" fillId="15" fontId="4" numFmtId="0" xfId="0" applyFont="1"/>
    <xf borderId="100" fillId="15" fontId="4" numFmtId="0" xfId="0" applyBorder="1" applyFont="1"/>
    <xf borderId="44" fillId="15" fontId="4" numFmtId="0" xfId="0" applyBorder="1" applyFont="1"/>
    <xf borderId="0" fillId="16" fontId="10" numFmtId="0" xfId="0" applyAlignment="1" applyFont="1">
      <alignment horizontal="left" readingOrder="0" shrinkToFit="0" vertical="center" wrapText="0"/>
    </xf>
    <xf borderId="0" fillId="16" fontId="4" numFmtId="0" xfId="0" applyFont="1"/>
    <xf borderId="100" fillId="16" fontId="4" numFmtId="0" xfId="0" applyBorder="1" applyFont="1"/>
    <xf borderId="44" fillId="16" fontId="4" numFmtId="0" xfId="0" applyBorder="1" applyFont="1"/>
    <xf borderId="0" fillId="17" fontId="10" numFmtId="0" xfId="0" applyAlignment="1" applyFont="1">
      <alignment horizontal="left" readingOrder="0" shrinkToFit="0" vertical="center" wrapText="0"/>
    </xf>
    <xf borderId="0" fillId="17" fontId="4" numFmtId="0" xfId="0" applyFont="1"/>
    <xf borderId="100" fillId="17" fontId="4" numFmtId="0" xfId="0" applyBorder="1" applyFont="1"/>
    <xf borderId="44" fillId="17" fontId="4" numFmtId="0" xfId="0" applyBorder="1" applyFont="1"/>
    <xf borderId="0" fillId="18" fontId="10" numFmtId="0" xfId="0" applyAlignment="1" applyFont="1">
      <alignment horizontal="left" readingOrder="0" shrinkToFit="0" vertical="center" wrapText="0"/>
    </xf>
    <xf borderId="0" fillId="18" fontId="4" numFmtId="0" xfId="0" applyFont="1"/>
    <xf borderId="100" fillId="18" fontId="4" numFmtId="0" xfId="0" applyBorder="1" applyFont="1"/>
    <xf borderId="44" fillId="18" fontId="4" numFmtId="0" xfId="0" applyBorder="1" applyFont="1"/>
    <xf borderId="0" fillId="19" fontId="10" numFmtId="0" xfId="0" applyAlignment="1" applyFont="1">
      <alignment horizontal="left" readingOrder="0" shrinkToFit="0" vertical="center" wrapText="0"/>
    </xf>
    <xf borderId="0" fillId="19" fontId="4" numFmtId="0" xfId="0" applyFont="1"/>
    <xf borderId="100" fillId="19" fontId="4" numFmtId="0" xfId="0" applyBorder="1" applyFont="1"/>
    <xf borderId="44" fillId="19" fontId="4" numFmtId="0" xfId="0" applyBorder="1" applyFont="1"/>
    <xf borderId="0" fillId="20" fontId="10" numFmtId="0" xfId="0" applyAlignment="1" applyFont="1">
      <alignment horizontal="left" readingOrder="0" shrinkToFit="0" vertical="center" wrapText="0"/>
    </xf>
    <xf borderId="0" fillId="20" fontId="4" numFmtId="0" xfId="0" applyFont="1"/>
    <xf borderId="100" fillId="20" fontId="4" numFmtId="0" xfId="0" applyBorder="1" applyFont="1"/>
    <xf borderId="44" fillId="20" fontId="4" numFmtId="0" xfId="0" applyBorder="1" applyFont="1"/>
    <xf borderId="0" fillId="21" fontId="10" numFmtId="0" xfId="0" applyAlignment="1" applyFont="1">
      <alignment horizontal="left" readingOrder="0" shrinkToFit="0" vertical="center" wrapText="0"/>
    </xf>
    <xf borderId="0" fillId="21" fontId="4" numFmtId="0" xfId="0" applyFont="1"/>
    <xf borderId="100" fillId="21" fontId="4" numFmtId="0" xfId="0" applyBorder="1" applyFont="1"/>
    <xf borderId="44" fillId="21" fontId="4" numFmtId="0" xfId="0" applyBorder="1" applyFont="1"/>
    <xf borderId="0" fillId="9" fontId="10" numFmtId="0" xfId="0" applyAlignment="1" applyFont="1">
      <alignment horizontal="left" readingOrder="0" shrinkToFit="0" vertical="center" wrapText="0"/>
    </xf>
    <xf borderId="0" fillId="9" fontId="4" numFmtId="0" xfId="0" applyFont="1"/>
    <xf borderId="100" fillId="9" fontId="4" numFmtId="0" xfId="0" applyBorder="1" applyFont="1"/>
    <xf borderId="44" fillId="9" fontId="4" numFmtId="0" xfId="0" applyBorder="1" applyFont="1"/>
    <xf borderId="0" fillId="22" fontId="10" numFmtId="0" xfId="0" applyAlignment="1" applyFont="1">
      <alignment horizontal="left" readingOrder="0" shrinkToFit="0" vertical="center" wrapText="0"/>
    </xf>
    <xf borderId="0" fillId="22" fontId="4" numFmtId="0" xfId="0" applyFont="1"/>
    <xf borderId="100" fillId="22" fontId="4" numFmtId="0" xfId="0" applyBorder="1" applyFont="1"/>
    <xf borderId="44" fillId="22" fontId="4" numFmtId="0" xfId="0" applyBorder="1" applyFont="1"/>
    <xf borderId="101" fillId="0" fontId="10" numFmtId="0" xfId="0" applyAlignment="1" applyBorder="1" applyFont="1">
      <alignment horizontal="center" readingOrder="0" shrinkToFit="0" vertical="center" wrapText="0"/>
    </xf>
    <xf borderId="102" fillId="18" fontId="10" numFmtId="9" xfId="0" applyAlignment="1" applyBorder="1" applyFont="1" applyNumberFormat="1">
      <alignment horizontal="center" readingOrder="0" shrinkToFit="0" vertical="center" wrapText="0"/>
    </xf>
    <xf borderId="102" fillId="0" fontId="4" numFmtId="9" xfId="0" applyAlignment="1" applyBorder="1" applyFont="1" applyNumberFormat="1">
      <alignment horizontal="center" vertical="center"/>
    </xf>
    <xf borderId="102" fillId="0" fontId="4" numFmtId="9" xfId="0" applyAlignment="1" applyBorder="1" applyFont="1" applyNumberFormat="1">
      <alignment horizontal="center"/>
    </xf>
    <xf borderId="102" fillId="23" fontId="9" numFmtId="164" xfId="0" applyAlignment="1" applyBorder="1" applyFont="1" applyNumberFormat="1">
      <alignment horizontal="center"/>
    </xf>
    <xf borderId="102" fillId="24" fontId="4" numFmtId="164" xfId="0" applyAlignment="1" applyBorder="1" applyFont="1" applyNumberFormat="1">
      <alignment horizontal="center"/>
    </xf>
    <xf borderId="102" fillId="0" fontId="4" numFmtId="0" xfId="0" applyBorder="1" applyFont="1"/>
    <xf borderId="103" fillId="0" fontId="4" numFmtId="9" xfId="0" applyAlignment="1" applyBorder="1" applyFont="1" applyNumberFormat="1">
      <alignment horizontal="center"/>
    </xf>
    <xf borderId="102" fillId="19" fontId="4" numFmtId="9" xfId="0" applyAlignment="1" applyBorder="1" applyFont="1" applyNumberFormat="1">
      <alignment horizontal="center"/>
    </xf>
    <xf borderId="104" fillId="0" fontId="4" numFmtId="9" xfId="0" applyAlignment="1" applyBorder="1" applyFont="1" applyNumberFormat="1">
      <alignment horizontal="center"/>
    </xf>
    <xf borderId="105" fillId="0" fontId="1" numFmtId="0" xfId="0" applyAlignment="1" applyBorder="1" applyFont="1">
      <alignment horizontal="center" readingOrder="0" shrinkToFit="0" vertical="center" wrapText="1"/>
    </xf>
    <xf borderId="106" fillId="0" fontId="1" numFmtId="0" xfId="0" applyAlignment="1" applyBorder="1" applyFont="1">
      <alignment horizontal="center" readingOrder="0" shrinkToFit="0" vertical="center" wrapText="1"/>
    </xf>
    <xf borderId="106" fillId="0" fontId="13" numFmtId="0" xfId="0" applyAlignment="1" applyBorder="1" applyFont="1">
      <alignment horizontal="center" readingOrder="0" shrinkToFit="0" vertical="center" wrapText="1"/>
    </xf>
    <xf borderId="106" fillId="0" fontId="2" numFmtId="0" xfId="0" applyBorder="1" applyFont="1"/>
    <xf borderId="106" fillId="0" fontId="3" numFmtId="0" xfId="0" applyAlignment="1" applyBorder="1" applyFont="1">
      <alignment horizontal="center" readingOrder="0" shrinkToFit="0" vertical="center" wrapText="1"/>
    </xf>
    <xf borderId="107" fillId="0" fontId="3"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107" fillId="0" fontId="2" numFmtId="0" xfId="0" applyBorder="1" applyFont="1"/>
    <xf borderId="65" fillId="0" fontId="3" numFmtId="0" xfId="0" applyAlignment="1" applyBorder="1" applyFont="1">
      <alignment horizontal="center" readingOrder="0" shrinkToFit="0" vertical="center" wrapText="1"/>
    </xf>
    <xf borderId="108" fillId="0" fontId="3" numFmtId="0" xfId="0" applyAlignment="1" applyBorder="1" applyFont="1">
      <alignment horizontal="center" readingOrder="0" shrinkToFit="0" vertical="center" wrapText="1"/>
    </xf>
    <xf borderId="109" fillId="4" fontId="6" numFmtId="0" xfId="0" applyAlignment="1" applyBorder="1" applyFont="1">
      <alignment horizontal="center" readingOrder="0" shrinkToFit="0" vertical="center" wrapText="1"/>
    </xf>
    <xf borderId="109" fillId="5" fontId="6" numFmtId="0" xfId="0" applyAlignment="1" applyBorder="1" applyFont="1">
      <alignment horizontal="center" readingOrder="0" shrinkToFit="0" vertical="center" wrapText="1"/>
    </xf>
    <xf borderId="109" fillId="0" fontId="6" numFmtId="0" xfId="0" applyAlignment="1" applyBorder="1" applyFont="1">
      <alignment horizontal="center" readingOrder="0" shrinkToFit="0" vertical="center" wrapText="1"/>
    </xf>
    <xf borderId="0" fillId="2" fontId="8" numFmtId="0" xfId="0" applyAlignment="1" applyFont="1">
      <alignment horizontal="center" shrinkToFit="0" wrapText="1"/>
    </xf>
    <xf borderId="109" fillId="10" fontId="6" numFmtId="0" xfId="0" applyAlignment="1" applyBorder="1" applyFont="1">
      <alignment horizontal="center" readingOrder="0" shrinkToFit="0" vertical="center" wrapText="1"/>
    </xf>
    <xf borderId="109" fillId="8" fontId="9" numFmtId="0" xfId="0" applyAlignment="1" applyBorder="1" applyFont="1">
      <alignment horizontal="center" readingOrder="0" shrinkToFit="0" vertical="center" wrapText="1"/>
    </xf>
    <xf borderId="109" fillId="8" fontId="6" numFmtId="0" xfId="0" applyAlignment="1" applyBorder="1" applyFont="1">
      <alignment horizontal="center" readingOrder="0" shrinkToFit="0" vertical="center" wrapText="1"/>
    </xf>
    <xf borderId="110" fillId="12" fontId="10" numFmtId="0" xfId="0" applyAlignment="1" applyBorder="1" applyFont="1">
      <alignment horizontal="left" readingOrder="0" shrinkToFit="0" vertical="center" wrapText="0"/>
    </xf>
    <xf borderId="0" fillId="12" fontId="10" numFmtId="0" xfId="0" applyAlignment="1" applyFont="1">
      <alignment horizontal="center" readingOrder="0" shrinkToFit="0" vertical="center" wrapText="1"/>
    </xf>
    <xf borderId="34" fillId="12" fontId="10" numFmtId="0" xfId="0" applyAlignment="1" applyBorder="1" applyFont="1">
      <alignment horizontal="center" readingOrder="0" shrinkToFit="0" vertical="center" wrapText="1"/>
    </xf>
    <xf borderId="111" fillId="12" fontId="10" numFmtId="0" xfId="0" applyAlignment="1" applyBorder="1" applyFont="1">
      <alignment horizontal="center" readingOrder="0" shrinkToFit="0" vertical="center" wrapText="1"/>
    </xf>
    <xf borderId="105" fillId="12" fontId="9" numFmtId="0" xfId="0" applyBorder="1" applyFont="1"/>
    <xf borderId="106" fillId="12" fontId="9" numFmtId="0" xfId="0" applyBorder="1" applyFont="1"/>
    <xf borderId="107" fillId="12" fontId="9" numFmtId="0" xfId="0" applyBorder="1" applyFont="1"/>
    <xf borderId="0" fillId="12" fontId="9" numFmtId="0" xfId="0" applyFont="1"/>
    <xf borderId="30" fillId="0" fontId="10" numFmtId="0" xfId="0" applyAlignment="1" applyBorder="1" applyFont="1">
      <alignment horizontal="center" readingOrder="0" vertical="center"/>
    </xf>
    <xf borderId="62" fillId="0" fontId="10" numFmtId="0" xfId="0" applyAlignment="1" applyBorder="1" applyFont="1">
      <alignment horizontal="center" vertical="center"/>
    </xf>
    <xf borderId="33" fillId="0" fontId="10" numFmtId="164" xfId="0" applyAlignment="1" applyBorder="1" applyFont="1" applyNumberFormat="1">
      <alignment horizontal="center" shrinkToFit="0" wrapText="1"/>
    </xf>
    <xf borderId="34" fillId="0" fontId="11" numFmtId="0" xfId="0" applyAlignment="1" applyBorder="1" applyFont="1">
      <alignment horizontal="center" readingOrder="0" shrinkToFit="0" wrapText="1"/>
    </xf>
    <xf borderId="112" fillId="0" fontId="10" numFmtId="164" xfId="0" applyAlignment="1" applyBorder="1" applyFont="1" applyNumberFormat="1">
      <alignment horizontal="center" readingOrder="0" shrinkToFit="0" vertical="center" wrapText="1"/>
    </xf>
    <xf borderId="113" fillId="0" fontId="11" numFmtId="164" xfId="0" applyAlignment="1" applyBorder="1" applyFont="1" applyNumberFormat="1">
      <alignment horizontal="center" shrinkToFit="0" wrapText="1"/>
    </xf>
    <xf borderId="113" fillId="0" fontId="9" numFmtId="0" xfId="0" applyAlignment="1" applyBorder="1" applyFont="1">
      <alignment horizontal="center" readingOrder="0" shrinkToFit="0" vertical="center" wrapText="1"/>
    </xf>
    <xf borderId="113" fillId="0" fontId="9" numFmtId="0" xfId="0" applyAlignment="1" applyBorder="1" applyFont="1">
      <alignment horizontal="center" readingOrder="0" shrinkToFit="0" wrapText="1"/>
    </xf>
    <xf borderId="55" fillId="0" fontId="9" numFmtId="0" xfId="0" applyAlignment="1" applyBorder="1" applyFont="1">
      <alignment horizontal="center" shrinkToFit="0" wrapText="1"/>
    </xf>
    <xf borderId="114" fillId="0" fontId="9" numFmtId="0" xfId="0" applyAlignment="1" applyBorder="1" applyFont="1">
      <alignment horizontal="center" readingOrder="0" shrinkToFit="0" wrapText="1"/>
    </xf>
    <xf borderId="55" fillId="0" fontId="9" numFmtId="0" xfId="0" applyAlignment="1" applyBorder="1" applyFont="1">
      <alignment horizontal="center" readingOrder="0" shrinkToFit="0" wrapText="1"/>
    </xf>
    <xf borderId="44" fillId="0" fontId="4" numFmtId="9" xfId="0" applyAlignment="1" applyBorder="1" applyFont="1" applyNumberFormat="1">
      <alignment horizontal="center" readingOrder="0"/>
    </xf>
    <xf borderId="0" fillId="0" fontId="9" numFmtId="0" xfId="0" applyAlignment="1" applyFont="1">
      <alignment horizontal="center" readingOrder="0" shrinkToFit="0" wrapText="1"/>
    </xf>
    <xf borderId="113" fillId="0" fontId="4" numFmtId="9" xfId="0" applyAlignment="1" applyBorder="1" applyFont="1" applyNumberFormat="1">
      <alignment horizontal="center" readingOrder="0"/>
    </xf>
    <xf borderId="113" fillId="0" fontId="11" numFmtId="0" xfId="0" applyAlignment="1" applyBorder="1" applyFont="1">
      <alignment horizontal="center" readingOrder="0" shrinkToFit="0" vertical="bottom" wrapText="1"/>
    </xf>
    <xf borderId="0" fillId="0" fontId="11" numFmtId="0" xfId="0" applyAlignment="1" applyFont="1">
      <alignment horizontal="center" readingOrder="0" shrinkToFit="0" vertical="bottom" wrapText="1"/>
    </xf>
    <xf borderId="0" fillId="0" fontId="4" numFmtId="9" xfId="0" applyAlignment="1" applyFont="1" applyNumberFormat="1">
      <alignment horizontal="center" readingOrder="0"/>
    </xf>
    <xf borderId="0" fillId="0" fontId="10" numFmtId="0" xfId="0" applyAlignment="1" applyFont="1">
      <alignment horizontal="center" readingOrder="0" shrinkToFit="0" vertical="center" wrapText="0"/>
    </xf>
    <xf borderId="62" fillId="0" fontId="10" numFmtId="0" xfId="0" applyAlignment="1" applyBorder="1" applyFont="1">
      <alignment horizontal="center" readingOrder="0" vertical="center"/>
    </xf>
    <xf borderId="62" fillId="0" fontId="10" numFmtId="165" xfId="0" applyAlignment="1" applyBorder="1" applyFont="1" applyNumberFormat="1">
      <alignment horizontal="center" vertical="center"/>
    </xf>
    <xf borderId="34" fillId="0" fontId="9" numFmtId="0" xfId="0" applyAlignment="1" applyBorder="1" applyFont="1">
      <alignment horizontal="center" readingOrder="0" shrinkToFit="0" wrapText="1"/>
    </xf>
    <xf borderId="0" fillId="0" fontId="9" numFmtId="166" xfId="0" applyAlignment="1" applyFont="1" applyNumberFormat="1">
      <alignment horizontal="center" readingOrder="0" shrinkToFit="0" wrapText="1"/>
    </xf>
    <xf borderId="113" fillId="0" fontId="11" numFmtId="0" xfId="0" applyAlignment="1" applyBorder="1" applyFont="1">
      <alignment horizontal="center" readingOrder="0" shrinkToFit="0" wrapText="1"/>
    </xf>
    <xf borderId="44" fillId="0" fontId="9" numFmtId="0" xfId="0" applyAlignment="1" applyBorder="1" applyFont="1">
      <alignment horizontal="center" readingOrder="0" shrinkToFit="0" wrapText="1"/>
    </xf>
    <xf borderId="0" fillId="0" fontId="9" numFmtId="0" xfId="0" applyAlignment="1" applyFont="1">
      <alignment horizontal="center" shrinkToFit="0" wrapText="1"/>
    </xf>
    <xf borderId="55" fillId="0" fontId="11" numFmtId="9" xfId="0" applyAlignment="1" applyBorder="1" applyFont="1" applyNumberFormat="1">
      <alignment horizontal="center" shrinkToFit="0" vertical="bottom" wrapText="1"/>
    </xf>
    <xf borderId="115" fillId="0" fontId="9" numFmtId="9" xfId="0" applyAlignment="1" applyBorder="1" applyFont="1" applyNumberFormat="1">
      <alignment horizontal="center" readingOrder="0" shrinkToFit="0" wrapText="1"/>
    </xf>
    <xf borderId="115" fillId="0" fontId="9" numFmtId="0" xfId="0" applyAlignment="1" applyBorder="1" applyFont="1">
      <alignment horizontal="center" readingOrder="0" shrinkToFit="0" wrapText="1"/>
    </xf>
    <xf borderId="55" fillId="0" fontId="11" numFmtId="0" xfId="0" applyAlignment="1" applyBorder="1" applyFont="1">
      <alignment horizontal="center" readingOrder="0" shrinkToFit="0" vertical="bottom" wrapText="1"/>
    </xf>
    <xf borderId="0" fillId="0" fontId="10" numFmtId="0" xfId="0" applyAlignment="1" applyFont="1">
      <alignment horizontal="center" readingOrder="0" shrinkToFit="0" vertical="center" wrapText="1"/>
    </xf>
    <xf borderId="113" fillId="0" fontId="9" numFmtId="9" xfId="0" applyAlignment="1" applyBorder="1" applyFont="1" applyNumberFormat="1">
      <alignment horizontal="center" readingOrder="0" shrinkToFit="0" wrapText="1"/>
    </xf>
    <xf borderId="44" fillId="0" fontId="9" numFmtId="9" xfId="0" applyAlignment="1" applyBorder="1" applyFont="1" applyNumberFormat="1">
      <alignment horizontal="center" readingOrder="0" shrinkToFit="0" wrapText="1"/>
    </xf>
    <xf borderId="0" fillId="0" fontId="9" numFmtId="9" xfId="0" applyAlignment="1" applyFont="1" applyNumberFormat="1">
      <alignment horizontal="center" readingOrder="0" shrinkToFit="0" wrapText="1"/>
    </xf>
    <xf borderId="112" fillId="0" fontId="10" numFmtId="0" xfId="0" applyAlignment="1" applyBorder="1" applyFont="1">
      <alignment horizontal="center" readingOrder="0" shrinkToFit="0" vertical="center" wrapText="1"/>
    </xf>
    <xf borderId="116" fillId="0" fontId="9" numFmtId="0" xfId="0" applyAlignment="1" applyBorder="1" applyFont="1">
      <alignment horizontal="center" readingOrder="0" shrinkToFit="0" wrapText="1"/>
    </xf>
    <xf borderId="114" fillId="0" fontId="9" numFmtId="9" xfId="0" applyAlignment="1" applyBorder="1" applyFont="1" applyNumberFormat="1">
      <alignment horizontal="center" readingOrder="0" shrinkToFit="0" wrapText="1"/>
    </xf>
    <xf borderId="54" fillId="0" fontId="10" numFmtId="0" xfId="0" applyAlignment="1" applyBorder="1" applyFont="1">
      <alignment horizontal="center" readingOrder="0" shrinkToFit="0" vertical="center" wrapText="1"/>
    </xf>
    <xf borderId="55" fillId="0" fontId="9" numFmtId="0" xfId="0" applyAlignment="1" applyBorder="1" applyFont="1">
      <alignment horizontal="center" shrinkToFit="0" vertical="center" wrapText="1"/>
    </xf>
    <xf borderId="44" fillId="0" fontId="9" numFmtId="0" xfId="0" applyAlignment="1" applyBorder="1" applyFont="1">
      <alignment horizontal="center" readingOrder="0" shrinkToFit="0" vertical="center" wrapText="1"/>
    </xf>
    <xf borderId="114"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1"/>
    </xf>
    <xf borderId="112" fillId="0" fontId="11" numFmtId="0" xfId="0" applyAlignment="1" applyBorder="1" applyFont="1">
      <alignment horizontal="center" readingOrder="0" shrinkToFit="0" wrapText="1"/>
    </xf>
    <xf borderId="116" fillId="0" fontId="9" numFmtId="0" xfId="0" applyAlignment="1" applyBorder="1" applyFont="1">
      <alignment horizontal="center" shrinkToFit="0" wrapText="1"/>
    </xf>
    <xf borderId="33" fillId="0" fontId="11" numFmtId="0" xfId="0" applyAlignment="1" applyBorder="1" applyFont="1">
      <alignment horizontal="center" readingOrder="0" shrinkToFit="0" wrapText="1"/>
    </xf>
    <xf borderId="115" fillId="0" fontId="9" numFmtId="0" xfId="0" applyAlignment="1" applyBorder="1" applyFont="1">
      <alignment horizontal="center" readingOrder="0" shrinkToFit="0" vertical="center" wrapText="1"/>
    </xf>
    <xf borderId="39" fillId="0" fontId="9" numFmtId="0" xfId="0" applyAlignment="1" applyBorder="1" applyFont="1">
      <alignment horizontal="center" readingOrder="0" shrinkToFit="0" vertical="center" wrapText="1"/>
    </xf>
    <xf borderId="34" fillId="0" fontId="9" numFmtId="0" xfId="0" applyAlignment="1" applyBorder="1" applyFont="1">
      <alignment horizontal="center" shrinkToFit="0" wrapText="1"/>
    </xf>
    <xf borderId="62" fillId="0" fontId="10" numFmtId="165" xfId="0" applyAlignment="1" applyBorder="1" applyFont="1" applyNumberFormat="1">
      <alignment horizontal="center" readingOrder="0" vertical="center"/>
    </xf>
    <xf borderId="34" fillId="0" fontId="11" numFmtId="164" xfId="0" applyAlignment="1" applyBorder="1" applyFont="1" applyNumberFormat="1">
      <alignment horizontal="center" shrinkToFit="0" wrapText="1"/>
    </xf>
    <xf borderId="113" fillId="0" fontId="9" numFmtId="9" xfId="0" applyAlignment="1" applyBorder="1" applyFont="1" applyNumberFormat="1">
      <alignment horizontal="center" readingOrder="0" shrinkToFit="0" vertical="center" wrapText="1"/>
    </xf>
    <xf borderId="53" fillId="0" fontId="4" numFmtId="0" xfId="0" applyBorder="1" applyFont="1"/>
    <xf borderId="34" fillId="0" fontId="10" numFmtId="164" xfId="0" applyAlignment="1" applyBorder="1" applyFont="1" applyNumberFormat="1">
      <alignment horizontal="center" readingOrder="0" shrinkToFit="0" vertical="center" wrapText="1"/>
    </xf>
    <xf borderId="0" fillId="0" fontId="9" numFmtId="9" xfId="0" applyAlignment="1" applyFont="1" applyNumberFormat="1">
      <alignment horizontal="center" readingOrder="0" shrinkToFit="0" vertical="center" wrapText="1"/>
    </xf>
    <xf borderId="112" fillId="0" fontId="10" numFmtId="164" xfId="0" applyAlignment="1" applyBorder="1" applyFont="1" applyNumberFormat="1">
      <alignment horizontal="center" shrinkToFit="0" vertical="center" wrapText="1"/>
    </xf>
    <xf borderId="39" fillId="0" fontId="9" numFmtId="0" xfId="0" applyAlignment="1" applyBorder="1" applyFont="1">
      <alignment horizontal="center" readingOrder="0" shrinkToFit="0" wrapText="1"/>
    </xf>
    <xf borderId="39" fillId="0" fontId="4" numFmtId="9" xfId="0" applyAlignment="1" applyBorder="1" applyFont="1" applyNumberFormat="1">
      <alignment horizontal="center" readingOrder="0"/>
    </xf>
    <xf borderId="113" fillId="13" fontId="10" numFmtId="0" xfId="0" applyAlignment="1" applyBorder="1" applyFont="1">
      <alignment horizontal="center" readingOrder="0" shrinkToFit="0" vertical="center" wrapText="1"/>
    </xf>
    <xf borderId="115" fillId="13" fontId="10" numFmtId="0" xfId="0" applyAlignment="1" applyBorder="1" applyFont="1">
      <alignment horizontal="center" readingOrder="0" shrinkToFit="0" vertical="center" wrapText="1"/>
    </xf>
    <xf borderId="117" fillId="13" fontId="10" numFmtId="0" xfId="0" applyAlignment="1" applyBorder="1" applyFont="1">
      <alignment horizontal="center" readingOrder="0" shrinkToFit="0" vertical="center" wrapText="1"/>
    </xf>
    <xf borderId="118" fillId="13" fontId="9" numFmtId="167" xfId="0" applyBorder="1" applyFont="1" applyNumberFormat="1"/>
    <xf borderId="116" fillId="13" fontId="9" numFmtId="167" xfId="0" applyBorder="1" applyFont="1" applyNumberFormat="1"/>
    <xf borderId="114" fillId="13" fontId="9" numFmtId="9" xfId="0" applyBorder="1" applyFont="1" applyNumberFormat="1"/>
    <xf borderId="0" fillId="13" fontId="9" numFmtId="9" xfId="0" applyFont="1" applyNumberFormat="1"/>
    <xf borderId="113" fillId="14" fontId="10" numFmtId="0" xfId="0" applyAlignment="1" applyBorder="1" applyFont="1">
      <alignment horizontal="center" readingOrder="0" shrinkToFit="0" vertical="center" wrapText="1"/>
    </xf>
    <xf borderId="115" fillId="14" fontId="10" numFmtId="0" xfId="0" applyAlignment="1" applyBorder="1" applyFont="1">
      <alignment horizontal="center" readingOrder="0" shrinkToFit="0" vertical="center" wrapText="1"/>
    </xf>
    <xf borderId="117" fillId="14" fontId="10" numFmtId="0" xfId="0" applyAlignment="1" applyBorder="1" applyFont="1">
      <alignment horizontal="center" readingOrder="0" shrinkToFit="0" vertical="center" wrapText="1"/>
    </xf>
    <xf borderId="118" fillId="14" fontId="9" numFmtId="167" xfId="0" applyBorder="1" applyFont="1" applyNumberFormat="1"/>
    <xf borderId="116" fillId="14" fontId="9" numFmtId="167" xfId="0" applyBorder="1" applyFont="1" applyNumberFormat="1"/>
    <xf borderId="114" fillId="14" fontId="9" numFmtId="9" xfId="0" applyBorder="1" applyFont="1" applyNumberFormat="1"/>
    <xf borderId="0" fillId="14" fontId="9" numFmtId="9" xfId="0" applyFont="1" applyNumberFormat="1"/>
    <xf borderId="112" fillId="0" fontId="11" numFmtId="166" xfId="0" applyAlignment="1" applyBorder="1" applyFont="1" applyNumberFormat="1">
      <alignment horizontal="center" readingOrder="0" shrinkToFit="0" wrapText="1"/>
    </xf>
    <xf borderId="54" fillId="0" fontId="9" numFmtId="0" xfId="0" applyAlignment="1" applyBorder="1" applyFont="1">
      <alignment horizontal="center" readingOrder="0" shrinkToFit="0" vertical="center" wrapText="1"/>
    </xf>
    <xf borderId="112" fillId="0" fontId="10" numFmtId="164" xfId="0" applyAlignment="1" applyBorder="1" applyFont="1" applyNumberFormat="1">
      <alignment horizontal="center" readingOrder="0" shrinkToFit="0" wrapText="1"/>
    </xf>
    <xf borderId="0" fillId="14" fontId="9" numFmtId="0" xfId="0" applyAlignment="1" applyFont="1">
      <alignment readingOrder="0"/>
    </xf>
    <xf borderId="113" fillId="13" fontId="10" numFmtId="0" xfId="0" applyAlignment="1" applyBorder="1" applyFont="1">
      <alignment horizontal="center" readingOrder="0" vertical="center"/>
    </xf>
    <xf borderId="115" fillId="13" fontId="10" numFmtId="0" xfId="0" applyAlignment="1" applyBorder="1" applyFont="1">
      <alignment horizontal="center" readingOrder="0" vertical="center"/>
    </xf>
    <xf borderId="117" fillId="13" fontId="10" numFmtId="0" xfId="0" applyAlignment="1" applyBorder="1" applyFont="1">
      <alignment horizontal="center" readingOrder="0" vertical="center"/>
    </xf>
    <xf borderId="55" fillId="0" fontId="11" numFmtId="0" xfId="0" applyAlignment="1" applyBorder="1" applyFont="1">
      <alignment horizontal="center" readingOrder="0" shrinkToFit="0" wrapText="1"/>
    </xf>
    <xf borderId="118" fillId="14" fontId="9" numFmtId="0" xfId="0" applyBorder="1" applyFont="1"/>
    <xf borderId="116" fillId="14" fontId="9" numFmtId="0" xfId="0" applyBorder="1" applyFont="1"/>
    <xf borderId="112" fillId="0" fontId="10" numFmtId="166" xfId="0" applyAlignment="1" applyBorder="1" applyFont="1" applyNumberFormat="1">
      <alignment horizontal="center" readingOrder="0" shrinkToFit="0" vertical="center" wrapText="1"/>
    </xf>
    <xf borderId="113" fillId="15" fontId="10" numFmtId="0" xfId="0" applyAlignment="1" applyBorder="1" applyFont="1">
      <alignment horizontal="center" readingOrder="0" shrinkToFit="0" vertical="center" wrapText="1"/>
    </xf>
    <xf borderId="115" fillId="15" fontId="10" numFmtId="0" xfId="0" applyAlignment="1" applyBorder="1" applyFont="1">
      <alignment horizontal="center" readingOrder="0" shrinkToFit="0" vertical="center" wrapText="1"/>
    </xf>
    <xf borderId="117" fillId="15" fontId="10" numFmtId="0" xfId="0" applyAlignment="1" applyBorder="1" applyFont="1">
      <alignment horizontal="center" readingOrder="0" shrinkToFit="0" vertical="center" wrapText="1"/>
    </xf>
    <xf borderId="118" fillId="15" fontId="9" numFmtId="167" xfId="0" applyBorder="1" applyFont="1" applyNumberFormat="1"/>
    <xf borderId="116" fillId="15" fontId="9" numFmtId="167" xfId="0" applyBorder="1" applyFont="1" applyNumberFormat="1"/>
    <xf borderId="114" fillId="15" fontId="9" numFmtId="9" xfId="0" applyBorder="1" applyFont="1" applyNumberFormat="1"/>
    <xf borderId="0" fillId="15" fontId="9" numFmtId="9" xfId="0" applyFont="1" applyNumberFormat="1"/>
    <xf borderId="113" fillId="16" fontId="10" numFmtId="0" xfId="0" applyAlignment="1" applyBorder="1" applyFont="1">
      <alignment horizontal="center" readingOrder="0" shrinkToFit="0" vertical="center" wrapText="1"/>
    </xf>
    <xf borderId="115" fillId="16" fontId="10" numFmtId="0" xfId="0" applyAlignment="1" applyBorder="1" applyFont="1">
      <alignment horizontal="center" readingOrder="0" shrinkToFit="0" vertical="center" wrapText="1"/>
    </xf>
    <xf borderId="117" fillId="16" fontId="10" numFmtId="0" xfId="0" applyAlignment="1" applyBorder="1" applyFont="1">
      <alignment horizontal="center" readingOrder="0" shrinkToFit="0" vertical="center" wrapText="1"/>
    </xf>
    <xf borderId="118" fillId="16" fontId="9" numFmtId="167" xfId="0" applyBorder="1" applyFont="1" applyNumberFormat="1"/>
    <xf borderId="116" fillId="16" fontId="9" numFmtId="167" xfId="0" applyBorder="1" applyFont="1" applyNumberFormat="1"/>
    <xf borderId="114" fillId="16" fontId="9" numFmtId="9" xfId="0" applyBorder="1" applyFont="1" applyNumberFormat="1"/>
    <xf borderId="0" fillId="16" fontId="9" numFmtId="9" xfId="0" applyFont="1" applyNumberFormat="1"/>
    <xf borderId="113" fillId="17" fontId="10" numFmtId="0" xfId="0" applyAlignment="1" applyBorder="1" applyFont="1">
      <alignment horizontal="center" readingOrder="0" shrinkToFit="0" vertical="center" wrapText="1"/>
    </xf>
    <xf borderId="115" fillId="17" fontId="10" numFmtId="0" xfId="0" applyAlignment="1" applyBorder="1" applyFont="1">
      <alignment horizontal="center" readingOrder="0" shrinkToFit="0" vertical="center" wrapText="1"/>
    </xf>
    <xf borderId="117" fillId="17" fontId="10" numFmtId="0" xfId="0" applyAlignment="1" applyBorder="1" applyFont="1">
      <alignment horizontal="center" readingOrder="0" shrinkToFit="0" vertical="center" wrapText="1"/>
    </xf>
    <xf borderId="118" fillId="17" fontId="9" numFmtId="0" xfId="0" applyBorder="1" applyFont="1"/>
    <xf borderId="116" fillId="17" fontId="9" numFmtId="0" xfId="0" applyBorder="1" applyFont="1"/>
    <xf borderId="114" fillId="17" fontId="9" numFmtId="9" xfId="0" applyBorder="1" applyFont="1" applyNumberFormat="1"/>
    <xf borderId="0" fillId="17" fontId="9" numFmtId="9" xfId="0" applyFont="1" applyNumberFormat="1"/>
    <xf borderId="113" fillId="18" fontId="10" numFmtId="0" xfId="0" applyAlignment="1" applyBorder="1" applyFont="1">
      <alignment horizontal="center" readingOrder="0" shrinkToFit="0" vertical="center" wrapText="1"/>
    </xf>
    <xf borderId="115" fillId="18" fontId="10" numFmtId="0" xfId="0" applyAlignment="1" applyBorder="1" applyFont="1">
      <alignment horizontal="center" readingOrder="0" shrinkToFit="0" vertical="center" wrapText="1"/>
    </xf>
    <xf borderId="117" fillId="18" fontId="10" numFmtId="0" xfId="0" applyAlignment="1" applyBorder="1" applyFont="1">
      <alignment horizontal="center" readingOrder="0" shrinkToFit="0" vertical="center" wrapText="1"/>
    </xf>
    <xf borderId="118" fillId="18" fontId="9" numFmtId="167" xfId="0" applyBorder="1" applyFont="1" applyNumberFormat="1"/>
    <xf borderId="116" fillId="18" fontId="9" numFmtId="167" xfId="0" applyBorder="1" applyFont="1" applyNumberFormat="1"/>
    <xf borderId="114" fillId="18" fontId="9" numFmtId="9" xfId="0" applyBorder="1" applyFont="1" applyNumberFormat="1"/>
    <xf borderId="0" fillId="18" fontId="9" numFmtId="9" xfId="0" applyFont="1" applyNumberFormat="1"/>
    <xf borderId="113" fillId="19" fontId="10" numFmtId="0" xfId="0" applyAlignment="1" applyBorder="1" applyFont="1">
      <alignment horizontal="center" readingOrder="0" shrinkToFit="0" vertical="center" wrapText="1"/>
    </xf>
    <xf borderId="115" fillId="19" fontId="10" numFmtId="0" xfId="0" applyAlignment="1" applyBorder="1" applyFont="1">
      <alignment horizontal="center" readingOrder="0" shrinkToFit="0" vertical="center" wrapText="1"/>
    </xf>
    <xf borderId="117" fillId="19" fontId="10" numFmtId="0" xfId="0" applyAlignment="1" applyBorder="1" applyFont="1">
      <alignment horizontal="center" readingOrder="0" shrinkToFit="0" vertical="center" wrapText="1"/>
    </xf>
    <xf borderId="118" fillId="19" fontId="9" numFmtId="167" xfId="0" applyBorder="1" applyFont="1" applyNumberFormat="1"/>
    <xf borderId="116" fillId="19" fontId="9" numFmtId="167" xfId="0" applyBorder="1" applyFont="1" applyNumberFormat="1"/>
    <xf borderId="114" fillId="19" fontId="9" numFmtId="9" xfId="0" applyBorder="1" applyFont="1" applyNumberFormat="1"/>
    <xf borderId="0" fillId="19" fontId="9" numFmtId="9" xfId="0" applyFont="1" applyNumberFormat="1"/>
    <xf borderId="39" fillId="0" fontId="9" numFmtId="9" xfId="0" applyAlignment="1" applyBorder="1" applyFont="1" applyNumberFormat="1">
      <alignment horizontal="center" readingOrder="0" shrinkToFit="0" vertical="center" wrapText="1"/>
    </xf>
    <xf borderId="113" fillId="20" fontId="10" numFmtId="0" xfId="0" applyAlignment="1" applyBorder="1" applyFont="1">
      <alignment horizontal="center" readingOrder="0" shrinkToFit="0" vertical="center" wrapText="1"/>
    </xf>
    <xf borderId="115" fillId="20" fontId="10" numFmtId="0" xfId="0" applyAlignment="1" applyBorder="1" applyFont="1">
      <alignment horizontal="center" readingOrder="0" shrinkToFit="0" vertical="center" wrapText="1"/>
    </xf>
    <xf borderId="117" fillId="20" fontId="10" numFmtId="0" xfId="0" applyAlignment="1" applyBorder="1" applyFont="1">
      <alignment horizontal="center" readingOrder="0" shrinkToFit="0" vertical="center" wrapText="1"/>
    </xf>
    <xf borderId="118" fillId="20" fontId="9" numFmtId="167" xfId="0" applyBorder="1" applyFont="1" applyNumberFormat="1"/>
    <xf borderId="116" fillId="20" fontId="9" numFmtId="167" xfId="0" applyBorder="1" applyFont="1" applyNumberFormat="1"/>
    <xf borderId="114" fillId="20" fontId="9" numFmtId="9" xfId="0" applyBorder="1" applyFont="1" applyNumberFormat="1"/>
    <xf borderId="0" fillId="20" fontId="9" numFmtId="9" xfId="0" applyFont="1" applyNumberFormat="1"/>
    <xf borderId="113" fillId="22" fontId="10" numFmtId="0" xfId="0" applyAlignment="1" applyBorder="1" applyFont="1">
      <alignment horizontal="center" readingOrder="0" shrinkToFit="0" vertical="center" wrapText="1"/>
    </xf>
    <xf borderId="115" fillId="22" fontId="10" numFmtId="0" xfId="0" applyAlignment="1" applyBorder="1" applyFont="1">
      <alignment horizontal="center" readingOrder="0" shrinkToFit="0" vertical="center" wrapText="1"/>
    </xf>
    <xf borderId="117" fillId="22" fontId="10" numFmtId="0" xfId="0" applyAlignment="1" applyBorder="1" applyFont="1">
      <alignment horizontal="center" readingOrder="0" shrinkToFit="0" vertical="center" wrapText="1"/>
    </xf>
    <xf borderId="118" fillId="22" fontId="9" numFmtId="167" xfId="0" applyBorder="1" applyFont="1" applyNumberFormat="1"/>
    <xf borderId="116" fillId="22" fontId="9" numFmtId="167" xfId="0" applyBorder="1" applyFont="1" applyNumberFormat="1"/>
    <xf borderId="114" fillId="22" fontId="9" numFmtId="9" xfId="0" applyBorder="1" applyFont="1" applyNumberFormat="1"/>
    <xf borderId="0" fillId="22" fontId="9" numFmtId="9" xfId="0" applyFont="1" applyNumberFormat="1"/>
    <xf borderId="115" fillId="0" fontId="4" numFmtId="9" xfId="0" applyAlignment="1" applyBorder="1" applyFont="1" applyNumberFormat="1">
      <alignment horizontal="center" readingOrder="0"/>
    </xf>
    <xf borderId="0" fillId="0" fontId="11" numFmtId="0" xfId="0" applyAlignment="1" applyFont="1">
      <alignment horizontal="center" readingOrder="0" shrinkToFit="0" wrapText="1"/>
    </xf>
    <xf borderId="0" fillId="0" fontId="10" numFmtId="164" xfId="0" applyAlignment="1" applyFont="1" applyNumberFormat="1">
      <alignment horizontal="center" readingOrder="0" shrinkToFit="0" vertical="center" wrapText="1"/>
    </xf>
    <xf borderId="33" fillId="0" fontId="10" numFmtId="0" xfId="0" applyAlignment="1" applyBorder="1" applyFont="1">
      <alignment horizontal="center" vertical="center"/>
    </xf>
    <xf borderId="114" fillId="0" fontId="9" numFmtId="9" xfId="0" applyAlignment="1" applyBorder="1" applyFont="1" applyNumberFormat="1">
      <alignment horizontal="center" readingOrder="0" shrinkToFit="0" vertical="center" wrapText="1"/>
    </xf>
    <xf borderId="114" fillId="0" fontId="4" numFmtId="9" xfId="0" applyAlignment="1" applyBorder="1" applyFont="1" applyNumberFormat="1">
      <alignment horizontal="center" readingOrder="0"/>
    </xf>
    <xf borderId="0" fillId="0" fontId="9" numFmtId="0" xfId="0" applyAlignment="1" applyFont="1">
      <alignment horizontal="center" vertical="center"/>
    </xf>
    <xf borderId="0" fillId="0" fontId="9" numFmtId="168" xfId="0" applyAlignment="1" applyFont="1" applyNumberFormat="1">
      <alignment horizontal="center" readingOrder="0" shrinkToFit="0" vertical="center" wrapText="1"/>
    </xf>
    <xf borderId="0" fillId="2" fontId="8" numFmtId="0" xfId="0" applyAlignment="1" applyFont="1">
      <alignment horizontal="center" readingOrder="0" shrinkToFit="0" wrapText="1"/>
    </xf>
    <xf borderId="25" fillId="12" fontId="10" numFmtId="0" xfId="0" applyAlignment="1" applyBorder="1" applyFont="1">
      <alignment horizontal="left" readingOrder="0" shrinkToFit="0" vertical="center" wrapText="0"/>
    </xf>
    <xf borderId="70" fillId="12" fontId="10" numFmtId="0" xfId="0" applyAlignment="1" applyBorder="1" applyFont="1">
      <alignment horizontal="center" readingOrder="0" shrinkToFit="0" vertical="center" wrapText="1"/>
    </xf>
    <xf borderId="119" fillId="12" fontId="10" numFmtId="0" xfId="0" applyAlignment="1" applyBorder="1" applyFont="1">
      <alignment horizontal="center" readingOrder="0" shrinkToFit="0" vertical="center" wrapText="1"/>
    </xf>
    <xf borderId="64" fillId="12" fontId="10" numFmtId="0" xfId="0" applyAlignment="1" applyBorder="1" applyFont="1">
      <alignment horizontal="center" readingOrder="0" shrinkToFit="0" vertical="center" wrapText="1"/>
    </xf>
    <xf borderId="116" fillId="12" fontId="9" numFmtId="0" xfId="0" applyBorder="1" applyFont="1"/>
    <xf borderId="116" fillId="0" fontId="11" numFmtId="0" xfId="0" applyAlignment="1" applyBorder="1" applyFont="1">
      <alignment horizontal="center" readingOrder="0" shrinkToFit="0" wrapText="1"/>
    </xf>
    <xf borderId="116" fillId="0" fontId="10" numFmtId="164" xfId="0" applyAlignment="1" applyBorder="1" applyFont="1" applyNumberFormat="1">
      <alignment horizontal="center" readingOrder="0" shrinkToFit="0" vertical="center" wrapText="1"/>
    </xf>
    <xf borderId="116" fillId="0" fontId="9" numFmtId="0" xfId="0" applyAlignment="1" applyBorder="1" applyFont="1">
      <alignment horizontal="center" readingOrder="0" shrinkToFit="0" vertical="center" wrapText="1"/>
    </xf>
    <xf borderId="116" fillId="0" fontId="4" numFmtId="9" xfId="0" applyAlignment="1" applyBorder="1" applyFont="1" applyNumberFormat="1">
      <alignment horizontal="center" readingOrder="0"/>
    </xf>
    <xf borderId="120" fillId="0" fontId="9" numFmtId="0" xfId="0" applyAlignment="1" applyBorder="1" applyFont="1">
      <alignment horizontal="center" readingOrder="0" shrinkToFit="0" wrapText="1"/>
    </xf>
    <xf borderId="121" fillId="25" fontId="11" numFmtId="9" xfId="0" applyAlignment="1" applyBorder="1" applyFill="1" applyFont="1" applyNumberFormat="1">
      <alignment horizontal="center" shrinkToFit="0" wrapText="1"/>
    </xf>
    <xf borderId="116" fillId="0" fontId="9" numFmtId="9" xfId="0" applyAlignment="1" applyBorder="1" applyFont="1" applyNumberFormat="1">
      <alignment horizontal="center" readingOrder="0" shrinkToFit="0" wrapText="1"/>
    </xf>
    <xf borderId="116" fillId="0" fontId="10" numFmtId="164" xfId="0" applyAlignment="1" applyBorder="1" applyFont="1" applyNumberFormat="1">
      <alignment horizontal="center" shrinkToFit="0" vertical="center" wrapText="1"/>
    </xf>
    <xf borderId="116" fillId="0" fontId="10" numFmtId="0" xfId="0" applyAlignment="1" applyBorder="1" applyFont="1">
      <alignment horizontal="center" readingOrder="0" shrinkToFit="0" vertical="center" wrapText="1"/>
    </xf>
    <xf borderId="116" fillId="0" fontId="11" numFmtId="164" xfId="0" applyAlignment="1" applyBorder="1" applyFont="1" applyNumberFormat="1">
      <alignment horizontal="center" shrinkToFit="0" wrapText="1"/>
    </xf>
    <xf borderId="116" fillId="0" fontId="9" numFmtId="9" xfId="0" applyAlignment="1" applyBorder="1" applyFont="1" applyNumberFormat="1">
      <alignment horizontal="center" readingOrder="0" shrinkToFit="0" vertical="center" wrapText="1"/>
    </xf>
    <xf borderId="122" fillId="0" fontId="9" numFmtId="0" xfId="0" applyAlignment="1" applyBorder="1" applyFont="1">
      <alignment horizontal="center" readingOrder="0" shrinkToFit="0" wrapText="1"/>
    </xf>
    <xf borderId="121" fillId="0" fontId="9" numFmtId="0" xfId="0" applyAlignment="1" applyBorder="1" applyFont="1">
      <alignment horizontal="center" readingOrder="0" shrinkToFit="0" wrapText="1"/>
    </xf>
    <xf borderId="121" fillId="0" fontId="11" numFmtId="0" xfId="0" applyAlignment="1" applyBorder="1" applyFont="1">
      <alignment horizontal="center" readingOrder="0" shrinkToFit="0" vertical="bottom" wrapText="1"/>
    </xf>
    <xf borderId="121" fillId="0" fontId="11" numFmtId="9" xfId="0" applyAlignment="1" applyBorder="1" applyFont="1" applyNumberFormat="1">
      <alignment horizontal="center" shrinkToFit="0" vertical="bottom" wrapText="1"/>
    </xf>
    <xf borderId="121" fillId="0" fontId="9" numFmtId="9" xfId="0" applyAlignment="1" applyBorder="1" applyFont="1" applyNumberFormat="1">
      <alignment horizontal="center" readingOrder="0" shrinkToFit="0" wrapText="1"/>
    </xf>
    <xf borderId="121" fillId="0" fontId="11" numFmtId="0" xfId="0" applyAlignment="1" applyBorder="1" applyFont="1">
      <alignment horizontal="center" readingOrder="0" shrinkToFit="0" wrapText="1"/>
    </xf>
    <xf borderId="121" fillId="0" fontId="9" numFmtId="9" xfId="0" applyAlignment="1" applyBorder="1" applyFont="1" applyNumberFormat="1">
      <alignment horizontal="center" readingOrder="0" shrinkToFit="0" vertical="center" wrapText="1"/>
    </xf>
    <xf borderId="116" fillId="13" fontId="10" numFmtId="0" xfId="0" applyAlignment="1" applyBorder="1" applyFont="1">
      <alignment horizontal="center" readingOrder="0" shrinkToFit="0" vertical="center" wrapText="1"/>
    </xf>
    <xf borderId="116" fillId="13" fontId="9" numFmtId="9" xfId="0" applyBorder="1" applyFont="1" applyNumberFormat="1"/>
    <xf borderId="122" fillId="13" fontId="9" numFmtId="9" xfId="0" applyBorder="1" applyFont="1" applyNumberFormat="1"/>
    <xf borderId="121" fillId="13" fontId="9" numFmtId="9" xfId="0" applyBorder="1" applyFont="1" applyNumberFormat="1"/>
    <xf borderId="121" fillId="0" fontId="4" numFmtId="9" xfId="0" applyAlignment="1" applyBorder="1" applyFont="1" applyNumberFormat="1">
      <alignment horizontal="center" readingOrder="0"/>
    </xf>
    <xf borderId="116" fillId="14" fontId="10" numFmtId="0" xfId="0" applyAlignment="1" applyBorder="1" applyFont="1">
      <alignment horizontal="center" readingOrder="0" shrinkToFit="0" vertical="center" wrapText="1"/>
    </xf>
    <xf borderId="116" fillId="14" fontId="9" numFmtId="9" xfId="0" applyBorder="1" applyFont="1" applyNumberFormat="1"/>
    <xf borderId="122" fillId="14" fontId="9" numFmtId="9" xfId="0" applyBorder="1" applyFont="1" applyNumberFormat="1"/>
    <xf borderId="121" fillId="14" fontId="9" numFmtId="9" xfId="0" applyBorder="1" applyFont="1" applyNumberFormat="1"/>
    <xf borderId="122" fillId="0" fontId="9" numFmtId="9" xfId="0" applyAlignment="1" applyBorder="1" applyFont="1" applyNumberFormat="1">
      <alignment horizontal="center" readingOrder="0" shrinkToFit="0" vertical="center" wrapText="1"/>
    </xf>
    <xf borderId="116" fillId="13" fontId="10" numFmtId="0" xfId="0" applyAlignment="1" applyBorder="1" applyFont="1">
      <alignment horizontal="center" readingOrder="0" vertical="center"/>
    </xf>
    <xf borderId="116" fillId="0" fontId="11" numFmtId="0" xfId="0" applyAlignment="1" applyBorder="1" applyFont="1">
      <alignment horizontal="center" readingOrder="0" shrinkToFit="0" vertical="bottom" wrapText="1"/>
    </xf>
    <xf borderId="122" fillId="0" fontId="4" numFmtId="9" xfId="0" applyAlignment="1" applyBorder="1" applyFont="1" applyNumberFormat="1">
      <alignment horizontal="center" readingOrder="0"/>
    </xf>
    <xf borderId="116" fillId="15" fontId="10" numFmtId="0" xfId="0" applyAlignment="1" applyBorder="1" applyFont="1">
      <alignment horizontal="center" readingOrder="0" shrinkToFit="0" vertical="center" wrapText="1"/>
    </xf>
    <xf borderId="116" fillId="15" fontId="9" numFmtId="9" xfId="0" applyBorder="1" applyFont="1" applyNumberFormat="1"/>
    <xf borderId="122" fillId="15" fontId="9" numFmtId="9" xfId="0" applyBorder="1" applyFont="1" applyNumberFormat="1"/>
    <xf borderId="121" fillId="15" fontId="9" numFmtId="9" xfId="0" applyBorder="1" applyFont="1" applyNumberFormat="1"/>
    <xf borderId="116" fillId="16" fontId="10" numFmtId="0" xfId="0" applyAlignment="1" applyBorder="1" applyFont="1">
      <alignment horizontal="center" readingOrder="0" shrinkToFit="0" vertical="center" wrapText="1"/>
    </xf>
    <xf borderId="116" fillId="16" fontId="9" numFmtId="9" xfId="0" applyBorder="1" applyFont="1" applyNumberFormat="1"/>
    <xf borderId="122" fillId="16" fontId="9" numFmtId="9" xfId="0" applyBorder="1" applyFont="1" applyNumberFormat="1"/>
    <xf borderId="121" fillId="16" fontId="9" numFmtId="9" xfId="0" applyBorder="1" applyFont="1" applyNumberFormat="1"/>
    <xf borderId="116" fillId="17" fontId="10" numFmtId="0" xfId="0" applyAlignment="1" applyBorder="1" applyFont="1">
      <alignment horizontal="center" readingOrder="0" shrinkToFit="0" vertical="center" wrapText="1"/>
    </xf>
    <xf borderId="116" fillId="17" fontId="9" numFmtId="9" xfId="0" applyBorder="1" applyFont="1" applyNumberFormat="1"/>
    <xf borderId="122" fillId="17" fontId="9" numFmtId="9" xfId="0" applyBorder="1" applyFont="1" applyNumberFormat="1"/>
    <xf borderId="121" fillId="17" fontId="9" numFmtId="9" xfId="0" applyBorder="1" applyFont="1" applyNumberFormat="1"/>
    <xf borderId="116" fillId="18" fontId="10" numFmtId="0" xfId="0" applyAlignment="1" applyBorder="1" applyFont="1">
      <alignment horizontal="center" readingOrder="0" shrinkToFit="0" vertical="center" wrapText="1"/>
    </xf>
    <xf borderId="116" fillId="18" fontId="9" numFmtId="9" xfId="0" applyBorder="1" applyFont="1" applyNumberFormat="1"/>
    <xf borderId="122" fillId="18" fontId="9" numFmtId="9" xfId="0" applyBorder="1" applyFont="1" applyNumberFormat="1"/>
    <xf borderId="121" fillId="18" fontId="9" numFmtId="9" xfId="0" applyBorder="1" applyFont="1" applyNumberFormat="1"/>
    <xf borderId="116" fillId="0" fontId="4" numFmtId="164" xfId="0" applyAlignment="1" applyBorder="1" applyFont="1" applyNumberFormat="1">
      <alignment horizontal="center" readingOrder="0"/>
    </xf>
    <xf borderId="116" fillId="19" fontId="10" numFmtId="0" xfId="0" applyAlignment="1" applyBorder="1" applyFont="1">
      <alignment horizontal="center" readingOrder="0" shrinkToFit="0" vertical="center" wrapText="1"/>
    </xf>
    <xf borderId="116" fillId="19" fontId="9" numFmtId="9" xfId="0" applyBorder="1" applyFont="1" applyNumberFormat="1"/>
    <xf borderId="122" fillId="19" fontId="9" numFmtId="9" xfId="0" applyBorder="1" applyFont="1" applyNumberFormat="1"/>
    <xf borderId="121" fillId="19" fontId="9" numFmtId="9" xfId="0" applyBorder="1" applyFont="1" applyNumberFormat="1"/>
    <xf borderId="116" fillId="20" fontId="10" numFmtId="0" xfId="0" applyAlignment="1" applyBorder="1" applyFont="1">
      <alignment horizontal="center" readingOrder="0" shrinkToFit="0" vertical="center" wrapText="1"/>
    </xf>
    <xf borderId="116" fillId="20" fontId="9" numFmtId="9" xfId="0" applyBorder="1" applyFont="1" applyNumberFormat="1"/>
    <xf borderId="122" fillId="20" fontId="9" numFmtId="9" xfId="0" applyBorder="1" applyFont="1" applyNumberFormat="1"/>
    <xf borderId="121" fillId="20" fontId="9" numFmtId="9" xfId="0" applyBorder="1" applyFont="1" applyNumberFormat="1"/>
    <xf borderId="116" fillId="22" fontId="10" numFmtId="0" xfId="0" applyAlignment="1" applyBorder="1" applyFont="1">
      <alignment horizontal="center" readingOrder="0" shrinkToFit="0" vertical="center" wrapText="1"/>
    </xf>
    <xf borderId="116" fillId="22" fontId="9" numFmtId="9" xfId="0" applyBorder="1" applyFont="1" applyNumberFormat="1"/>
    <xf borderId="122" fillId="22" fontId="9" numFmtId="9" xfId="0" applyBorder="1" applyFont="1" applyNumberFormat="1"/>
    <xf borderId="121" fillId="22" fontId="9" numFmtId="9" xfId="0" applyBorder="1" applyFont="1" applyNumberFormat="1"/>
    <xf borderId="115" fillId="0" fontId="9" numFmtId="9" xfId="0" applyAlignment="1" applyBorder="1" applyFont="1" applyNumberFormat="1">
      <alignment horizontal="center" readingOrder="0" shrinkToFit="0" vertical="center" wrapText="1"/>
    </xf>
    <xf borderId="121" fillId="0" fontId="10" numFmtId="164" xfId="0" applyAlignment="1" applyBorder="1" applyFont="1" applyNumberFormat="1">
      <alignment horizontal="center" shrinkToFit="0" vertical="center" wrapText="1"/>
    </xf>
    <xf borderId="33" fillId="0" fontId="10" numFmtId="165" xfId="0" applyAlignment="1" applyBorder="1" applyFont="1" applyNumberFormat="1">
      <alignment horizontal="center" vertical="center"/>
    </xf>
    <xf borderId="109" fillId="8" fontId="8" numFmtId="0" xfId="0" applyAlignment="1" applyBorder="1" applyFont="1">
      <alignment horizontal="center" readingOrder="0" shrinkToFit="0" vertical="center" wrapText="1"/>
    </xf>
    <xf borderId="60" fillId="12" fontId="10" numFmtId="0" xfId="0" applyAlignment="1" applyBorder="1" applyFont="1">
      <alignment horizontal="center" readingOrder="0" shrinkToFit="0" vertical="center" wrapText="1"/>
    </xf>
    <xf borderId="107" fillId="12" fontId="9" numFmtId="9" xfId="0" applyBorder="1" applyFont="1" applyNumberFormat="1"/>
    <xf borderId="105" fillId="12" fontId="11" numFmtId="9" xfId="0" applyAlignment="1" applyBorder="1" applyFont="1" applyNumberFormat="1">
      <alignment vertical="bottom"/>
    </xf>
    <xf borderId="106" fillId="12" fontId="11" numFmtId="9" xfId="0" applyAlignment="1" applyBorder="1" applyFont="1" applyNumberFormat="1">
      <alignment vertical="bottom"/>
    </xf>
    <xf borderId="107" fillId="12" fontId="11" numFmtId="9" xfId="0" applyAlignment="1" applyBorder="1" applyFont="1" applyNumberFormat="1">
      <alignment vertical="bottom"/>
    </xf>
    <xf borderId="113" fillId="12" fontId="11" numFmtId="9" xfId="0" applyAlignment="1" applyBorder="1" applyFont="1" applyNumberFormat="1">
      <alignment vertical="bottom"/>
    </xf>
    <xf borderId="55" fillId="12" fontId="11" numFmtId="9" xfId="0" applyAlignment="1" applyBorder="1" applyFont="1" applyNumberFormat="1">
      <alignment vertical="bottom"/>
    </xf>
    <xf borderId="44" fillId="12" fontId="11" numFmtId="9" xfId="0" applyAlignment="1" applyBorder="1" applyFont="1" applyNumberFormat="1">
      <alignment vertical="bottom"/>
    </xf>
    <xf borderId="0" fillId="12" fontId="11" numFmtId="9" xfId="0" applyAlignment="1" applyFont="1" applyNumberFormat="1">
      <alignment vertical="bottom"/>
    </xf>
    <xf borderId="113" fillId="0" fontId="11" numFmtId="9" xfId="0" applyAlignment="1" applyBorder="1" applyFont="1" applyNumberFormat="1">
      <alignment horizontal="center" shrinkToFit="0" vertical="bottom" wrapText="1"/>
    </xf>
    <xf borderId="116" fillId="0" fontId="11" numFmtId="9" xfId="0" applyAlignment="1" applyBorder="1" applyFont="1" applyNumberFormat="1">
      <alignment horizontal="center" shrinkToFit="0" vertical="bottom" wrapText="1"/>
    </xf>
    <xf borderId="44" fillId="0" fontId="11" numFmtId="9" xfId="0" applyAlignment="1" applyBorder="1" applyFont="1" applyNumberFormat="1">
      <alignment horizontal="center" shrinkToFit="0" vertical="bottom" wrapText="1"/>
    </xf>
    <xf borderId="0" fillId="0" fontId="11" numFmtId="9" xfId="0" applyAlignment="1" applyFont="1" applyNumberFormat="1">
      <alignment horizontal="center" shrinkToFit="0" vertical="bottom" wrapText="1"/>
    </xf>
    <xf borderId="114" fillId="0" fontId="11" numFmtId="9" xfId="0" applyAlignment="1" applyBorder="1" applyFont="1" applyNumberFormat="1">
      <alignment horizontal="center" shrinkToFit="0" vertical="bottom" wrapText="1"/>
    </xf>
    <xf borderId="115" fillId="0" fontId="11" numFmtId="9" xfId="0" applyAlignment="1" applyBorder="1" applyFont="1" applyNumberFormat="1">
      <alignment horizontal="center" shrinkToFit="0" vertical="bottom" wrapText="1"/>
    </xf>
    <xf borderId="114" fillId="0" fontId="11" numFmtId="0" xfId="0" applyAlignment="1" applyBorder="1" applyFont="1">
      <alignment horizontal="center" readingOrder="0" shrinkToFit="0" vertical="bottom" wrapText="1"/>
    </xf>
    <xf borderId="115" fillId="0" fontId="11" numFmtId="0" xfId="0" applyAlignment="1" applyBorder="1" applyFont="1">
      <alignment horizontal="center" readingOrder="0" shrinkToFit="0" vertical="bottom" wrapText="1"/>
    </xf>
    <xf borderId="34" fillId="0" fontId="11" numFmtId="9" xfId="0" applyAlignment="1" applyBorder="1" applyFont="1" applyNumberFormat="1">
      <alignment horizontal="center" shrinkToFit="0" vertical="bottom" wrapText="1"/>
    </xf>
    <xf borderId="39" fillId="0" fontId="11" numFmtId="0" xfId="0" applyAlignment="1" applyBorder="1" applyFont="1">
      <alignment horizontal="center" readingOrder="0" shrinkToFit="0" vertical="bottom" wrapText="1"/>
    </xf>
    <xf borderId="44" fillId="0" fontId="11" numFmtId="0" xfId="0" applyAlignment="1" applyBorder="1" applyFont="1">
      <alignment horizontal="center" readingOrder="0" shrinkToFit="0" vertical="bottom" wrapText="1"/>
    </xf>
    <xf borderId="115" fillId="0" fontId="10" numFmtId="0" xfId="0" applyAlignment="1" applyBorder="1" applyFont="1">
      <alignment horizontal="center" readingOrder="0" shrinkToFit="0" vertical="center" wrapText="1"/>
    </xf>
    <xf borderId="34" fillId="0" fontId="9" numFmtId="166" xfId="0" applyAlignment="1" applyBorder="1" applyFont="1" applyNumberFormat="1">
      <alignment horizontal="center" readingOrder="0" shrinkToFit="0" wrapText="1"/>
    </xf>
    <xf borderId="118" fillId="13" fontId="11" numFmtId="167" xfId="0" applyAlignment="1" applyBorder="1" applyFont="1" applyNumberFormat="1">
      <alignment vertical="bottom"/>
    </xf>
    <xf borderId="116" fillId="13" fontId="11" numFmtId="167" xfId="0" applyAlignment="1" applyBorder="1" applyFont="1" applyNumberFormat="1">
      <alignment vertical="bottom"/>
    </xf>
    <xf borderId="114" fillId="13" fontId="11" numFmtId="9" xfId="0" applyAlignment="1" applyBorder="1" applyFont="1" applyNumberFormat="1">
      <alignment vertical="bottom"/>
    </xf>
    <xf borderId="0" fillId="13" fontId="11" numFmtId="9" xfId="0" applyAlignment="1" applyFont="1" applyNumberFormat="1">
      <alignment vertical="bottom"/>
    </xf>
    <xf borderId="113" fillId="13" fontId="11" numFmtId="9" xfId="0" applyAlignment="1" applyBorder="1" applyFont="1" applyNumberFormat="1">
      <alignment vertical="bottom"/>
    </xf>
    <xf borderId="55" fillId="13" fontId="11" numFmtId="9" xfId="0" applyAlignment="1" applyBorder="1" applyFont="1" applyNumberFormat="1">
      <alignment vertical="bottom"/>
    </xf>
    <xf borderId="114" fillId="0" fontId="11" numFmtId="9" xfId="0" applyAlignment="1" applyBorder="1" applyFont="1" applyNumberFormat="1">
      <alignment horizontal="center" readingOrder="0" shrinkToFit="0" vertical="bottom" wrapText="1"/>
    </xf>
    <xf borderId="118" fillId="14" fontId="11" numFmtId="167" xfId="0" applyAlignment="1" applyBorder="1" applyFont="1" applyNumberFormat="1">
      <alignment vertical="bottom"/>
    </xf>
    <xf borderId="116" fillId="14" fontId="11" numFmtId="167" xfId="0" applyAlignment="1" applyBorder="1" applyFont="1" applyNumberFormat="1">
      <alignment vertical="bottom"/>
    </xf>
    <xf borderId="114" fillId="14" fontId="11" numFmtId="9" xfId="0" applyAlignment="1" applyBorder="1" applyFont="1" applyNumberFormat="1">
      <alignment vertical="bottom"/>
    </xf>
    <xf borderId="0" fillId="14" fontId="11" numFmtId="9" xfId="0" applyAlignment="1" applyFont="1" applyNumberFormat="1">
      <alignment vertical="bottom"/>
    </xf>
    <xf borderId="113" fillId="14" fontId="11" numFmtId="9" xfId="0" applyAlignment="1" applyBorder="1" applyFont="1" applyNumberFormat="1">
      <alignment vertical="bottom"/>
    </xf>
    <xf borderId="57" fillId="14" fontId="11" numFmtId="9" xfId="0" applyAlignment="1" applyBorder="1" applyFont="1" applyNumberFormat="1">
      <alignment vertical="bottom"/>
    </xf>
    <xf borderId="116" fillId="0" fontId="11" numFmtId="9" xfId="0" applyAlignment="1" applyBorder="1" applyFont="1" applyNumberFormat="1">
      <alignment horizontal="center" readingOrder="0" shrinkToFit="0" vertical="bottom" wrapText="1"/>
    </xf>
    <xf borderId="55" fillId="14" fontId="11" numFmtId="9" xfId="0" applyAlignment="1" applyBorder="1" applyFont="1" applyNumberFormat="1">
      <alignment vertical="bottom"/>
    </xf>
    <xf borderId="118" fillId="14" fontId="11" numFmtId="9" xfId="0" applyAlignment="1" applyBorder="1" applyFont="1" applyNumberFormat="1">
      <alignment vertical="bottom"/>
    </xf>
    <xf borderId="116" fillId="14" fontId="11" numFmtId="9" xfId="0" applyAlignment="1" applyBorder="1" applyFont="1" applyNumberFormat="1">
      <alignment vertical="bottom"/>
    </xf>
    <xf borderId="118" fillId="15" fontId="11" numFmtId="167" xfId="0" applyAlignment="1" applyBorder="1" applyFont="1" applyNumberFormat="1">
      <alignment vertical="bottom"/>
    </xf>
    <xf borderId="116" fillId="15" fontId="11" numFmtId="167" xfId="0" applyAlignment="1" applyBorder="1" applyFont="1" applyNumberFormat="1">
      <alignment vertical="bottom"/>
    </xf>
    <xf borderId="114" fillId="15" fontId="11" numFmtId="9" xfId="0" applyAlignment="1" applyBorder="1" applyFont="1" applyNumberFormat="1">
      <alignment vertical="bottom"/>
    </xf>
    <xf borderId="0" fillId="15" fontId="11" numFmtId="9" xfId="0" applyAlignment="1" applyFont="1" applyNumberFormat="1">
      <alignment vertical="bottom"/>
    </xf>
    <xf borderId="113" fillId="0" fontId="11" numFmtId="9" xfId="0" applyAlignment="1" applyBorder="1" applyFont="1" applyNumberFormat="1">
      <alignment horizontal="center" readingOrder="0" shrinkToFit="0" vertical="bottom" wrapText="1"/>
    </xf>
    <xf borderId="38" fillId="0" fontId="11" numFmtId="0" xfId="0" applyAlignment="1" applyBorder="1" applyFont="1">
      <alignment horizontal="center" readingOrder="0" shrinkToFit="0" vertical="bottom" wrapText="1"/>
    </xf>
    <xf borderId="118" fillId="16" fontId="11" numFmtId="167" xfId="0" applyAlignment="1" applyBorder="1" applyFont="1" applyNumberFormat="1">
      <alignment vertical="bottom"/>
    </xf>
    <xf borderId="116" fillId="16" fontId="11" numFmtId="167" xfId="0" applyAlignment="1" applyBorder="1" applyFont="1" applyNumberFormat="1">
      <alignment vertical="bottom"/>
    </xf>
    <xf borderId="114" fillId="16" fontId="11" numFmtId="9" xfId="0" applyAlignment="1" applyBorder="1" applyFont="1" applyNumberFormat="1">
      <alignment vertical="bottom"/>
    </xf>
    <xf borderId="0" fillId="16" fontId="11" numFmtId="9" xfId="0" applyAlignment="1" applyFont="1" applyNumberFormat="1">
      <alignment vertical="bottom"/>
    </xf>
    <xf borderId="118" fillId="17" fontId="11" numFmtId="9" xfId="0" applyAlignment="1" applyBorder="1" applyFont="1" applyNumberFormat="1">
      <alignment vertical="bottom"/>
    </xf>
    <xf borderId="116" fillId="17" fontId="11" numFmtId="9" xfId="0" applyAlignment="1" applyBorder="1" applyFont="1" applyNumberFormat="1">
      <alignment vertical="bottom"/>
    </xf>
    <xf borderId="114" fillId="17" fontId="11" numFmtId="9" xfId="0" applyAlignment="1" applyBorder="1" applyFont="1" applyNumberFormat="1">
      <alignment vertical="bottom"/>
    </xf>
    <xf borderId="0" fillId="17" fontId="11" numFmtId="9" xfId="0" applyAlignment="1" applyFont="1" applyNumberFormat="1">
      <alignment vertical="bottom"/>
    </xf>
    <xf borderId="118" fillId="18" fontId="11" numFmtId="167" xfId="0" applyAlignment="1" applyBorder="1" applyFont="1" applyNumberFormat="1">
      <alignment vertical="bottom"/>
    </xf>
    <xf borderId="116" fillId="18" fontId="11" numFmtId="167" xfId="0" applyAlignment="1" applyBorder="1" applyFont="1" applyNumberFormat="1">
      <alignment vertical="bottom"/>
    </xf>
    <xf borderId="114" fillId="18" fontId="11" numFmtId="9" xfId="0" applyAlignment="1" applyBorder="1" applyFont="1" applyNumberFormat="1">
      <alignment vertical="bottom"/>
    </xf>
    <xf borderId="0" fillId="18" fontId="11" numFmtId="9" xfId="0" applyAlignment="1" applyFont="1" applyNumberFormat="1">
      <alignment vertical="bottom"/>
    </xf>
    <xf borderId="118" fillId="19" fontId="11" numFmtId="167" xfId="0" applyAlignment="1" applyBorder="1" applyFont="1" applyNumberFormat="1">
      <alignment vertical="bottom"/>
    </xf>
    <xf borderId="116" fillId="19" fontId="11" numFmtId="167" xfId="0" applyAlignment="1" applyBorder="1" applyFont="1" applyNumberFormat="1">
      <alignment vertical="bottom"/>
    </xf>
    <xf borderId="114" fillId="19" fontId="11" numFmtId="9" xfId="0" applyAlignment="1" applyBorder="1" applyFont="1" applyNumberFormat="1">
      <alignment vertical="bottom"/>
    </xf>
    <xf borderId="0" fillId="19" fontId="11" numFmtId="9" xfId="0" applyAlignment="1" applyFont="1" applyNumberFormat="1">
      <alignment vertical="bottom"/>
    </xf>
    <xf borderId="113" fillId="19" fontId="11" numFmtId="9" xfId="0" applyAlignment="1" applyBorder="1" applyFont="1" applyNumberFormat="1">
      <alignment vertical="bottom"/>
    </xf>
    <xf borderId="55" fillId="19" fontId="11" numFmtId="9" xfId="0" applyAlignment="1" applyBorder="1" applyFont="1" applyNumberFormat="1">
      <alignment vertical="bottom"/>
    </xf>
    <xf borderId="34" fillId="0" fontId="11" numFmtId="0" xfId="0" applyAlignment="1" applyBorder="1" applyFont="1">
      <alignment horizontal="center" shrinkToFit="0" wrapText="1"/>
    </xf>
    <xf borderId="118" fillId="20" fontId="11" numFmtId="167" xfId="0" applyAlignment="1" applyBorder="1" applyFont="1" applyNumberFormat="1">
      <alignment vertical="bottom"/>
    </xf>
    <xf borderId="116" fillId="20" fontId="11" numFmtId="167" xfId="0" applyAlignment="1" applyBorder="1" applyFont="1" applyNumberFormat="1">
      <alignment vertical="bottom"/>
    </xf>
    <xf borderId="114" fillId="20" fontId="11" numFmtId="9" xfId="0" applyAlignment="1" applyBorder="1" applyFont="1" applyNumberFormat="1">
      <alignment vertical="bottom"/>
    </xf>
    <xf borderId="0" fillId="20" fontId="11" numFmtId="9" xfId="0" applyAlignment="1" applyFont="1" applyNumberFormat="1">
      <alignment vertical="bottom"/>
    </xf>
    <xf borderId="118" fillId="22" fontId="11" numFmtId="167" xfId="0" applyAlignment="1" applyBorder="1" applyFont="1" applyNumberFormat="1">
      <alignment vertical="bottom"/>
    </xf>
    <xf borderId="116" fillId="22" fontId="11" numFmtId="167" xfId="0" applyAlignment="1" applyBorder="1" applyFont="1" applyNumberFormat="1">
      <alignment vertical="bottom"/>
    </xf>
    <xf borderId="114" fillId="22" fontId="11" numFmtId="9" xfId="0" applyAlignment="1" applyBorder="1" applyFont="1" applyNumberFormat="1">
      <alignment vertical="bottom"/>
    </xf>
    <xf borderId="0" fillId="22" fontId="11" numFmtId="9" xfId="0" applyAlignment="1" applyFont="1" applyNumberFormat="1">
      <alignment vertical="bottom"/>
    </xf>
    <xf borderId="34" fillId="0" fontId="10" numFmtId="164" xfId="0" applyAlignment="1" applyBorder="1" applyFont="1" applyNumberFormat="1">
      <alignment horizontal="center" shrinkToFit="0" vertical="center" wrapText="1"/>
    </xf>
    <xf borderId="55" fillId="0" fontId="9" numFmtId="0" xfId="0" applyAlignment="1" applyBorder="1" applyFont="1">
      <alignment horizontal="center" readingOrder="0" shrinkToFit="0" vertical="center" wrapText="1"/>
    </xf>
    <xf borderId="0" fillId="0" fontId="9" numFmtId="0" xfId="0" applyAlignment="1" applyFont="1">
      <alignment horizontal="center" readingOrder="0" shrinkToFit="0" vertical="center" wrapText="0"/>
    </xf>
    <xf borderId="0" fillId="0" fontId="11" numFmtId="9" xfId="0" applyFont="1" applyNumberFormat="1"/>
    <xf borderId="0" fillId="0" fontId="1" numFmtId="0" xfId="0" applyAlignment="1" applyFont="1">
      <alignment horizontal="center" readingOrder="0" shrinkToFit="0" vertical="center" wrapText="1"/>
    </xf>
    <xf borderId="123" fillId="8" fontId="9" numFmtId="0" xfId="0" applyAlignment="1" applyBorder="1" applyFont="1">
      <alignment horizontal="center" readingOrder="0" shrinkToFit="0" vertical="center" wrapText="1"/>
    </xf>
    <xf borderId="123" fillId="8" fontId="6" numFmtId="0" xfId="0" applyAlignment="1" applyBorder="1" applyFont="1">
      <alignment horizontal="center" readingOrder="0" shrinkToFit="0" vertical="center" wrapText="1"/>
    </xf>
    <xf borderId="124" fillId="12" fontId="9" numFmtId="0" xfId="0" applyBorder="1" applyFont="1"/>
    <xf borderId="113" fillId="12" fontId="9" numFmtId="0" xfId="0" applyBorder="1" applyFont="1"/>
    <xf borderId="0" fillId="12" fontId="9" numFmtId="9" xfId="0" applyFont="1" applyNumberFormat="1"/>
    <xf borderId="115" fillId="0" fontId="10" numFmtId="166" xfId="0" applyAlignment="1" applyBorder="1" applyFont="1" applyNumberFormat="1">
      <alignment horizontal="center" readingOrder="0" shrinkToFit="0" vertical="center" wrapText="1"/>
    </xf>
    <xf borderId="63" fillId="0" fontId="9" numFmtId="0" xfId="0" applyAlignment="1" applyBorder="1" applyFont="1">
      <alignment horizontal="center" readingOrder="0" shrinkToFit="0" vertical="center" wrapText="1"/>
    </xf>
    <xf borderId="124" fillId="0" fontId="9" numFmtId="0" xfId="0" applyAlignment="1" applyBorder="1" applyFont="1">
      <alignment horizontal="center" readingOrder="0" shrinkToFit="0" wrapText="1"/>
    </xf>
    <xf borderId="125" fillId="0" fontId="9" numFmtId="0" xfId="0" applyAlignment="1" applyBorder="1" applyFont="1">
      <alignment horizontal="center" shrinkToFit="0" wrapText="1"/>
    </xf>
    <xf borderId="125" fillId="0" fontId="9" numFmtId="0" xfId="0" applyAlignment="1" applyBorder="1" applyFont="1">
      <alignment horizontal="center" readingOrder="0" shrinkToFit="0" wrapText="1"/>
    </xf>
    <xf borderId="34" fillId="0" fontId="11" numFmtId="0" xfId="0" applyAlignment="1" applyBorder="1" applyFont="1">
      <alignment horizontal="center" readingOrder="0" shrinkToFit="0" vertical="bottom" wrapText="1"/>
    </xf>
    <xf borderId="112" fillId="0" fontId="11" numFmtId="164" xfId="0" applyAlignment="1" applyBorder="1" applyFont="1" applyNumberFormat="1">
      <alignment horizontal="center" readingOrder="0" shrinkToFit="0" wrapText="1"/>
    </xf>
    <xf borderId="57" fillId="0" fontId="9" numFmtId="0" xfId="0" applyAlignment="1" applyBorder="1" applyFont="1">
      <alignment horizontal="center" readingOrder="0" shrinkToFit="0" vertical="center" wrapText="1"/>
    </xf>
    <xf borderId="124" fillId="0" fontId="9" numFmtId="9" xfId="0" applyAlignment="1" applyBorder="1" applyFont="1" applyNumberFormat="1">
      <alignment horizontal="center" readingOrder="0" shrinkToFit="0" wrapText="1"/>
    </xf>
    <xf borderId="113" fillId="0" fontId="11" numFmtId="0" xfId="0" applyAlignment="1" applyBorder="1" applyFont="1">
      <alignment horizontal="center" shrinkToFit="0" vertical="bottom" wrapText="1"/>
    </xf>
    <xf borderId="115" fillId="0" fontId="11" numFmtId="0" xfId="0" applyAlignment="1" applyBorder="1" applyFont="1">
      <alignment horizontal="center" shrinkToFit="0" wrapText="1"/>
    </xf>
    <xf borderId="34" fillId="0" fontId="11" numFmtId="0" xfId="0" applyAlignment="1" applyBorder="1" applyFont="1">
      <alignment horizontal="center" shrinkToFit="0" vertical="bottom" wrapText="1"/>
    </xf>
    <xf borderId="33" fillId="0" fontId="11" numFmtId="164" xfId="0" applyAlignment="1" applyBorder="1" applyFont="1" applyNumberFormat="1">
      <alignment horizontal="center" shrinkToFit="0" wrapText="1"/>
    </xf>
    <xf borderId="115" fillId="0" fontId="11" numFmtId="0" xfId="0" applyAlignment="1" applyBorder="1" applyFont="1">
      <alignment horizontal="center" readingOrder="0" shrinkToFit="0" wrapText="1"/>
    </xf>
    <xf borderId="113" fillId="0" fontId="10" numFmtId="0" xfId="0" applyAlignment="1" applyBorder="1" applyFont="1">
      <alignment horizontal="center" readingOrder="0" shrinkToFit="0" vertical="center" wrapText="1"/>
    </xf>
    <xf borderId="115" fillId="0" fontId="10" numFmtId="164" xfId="0" applyAlignment="1" applyBorder="1" applyFont="1" applyNumberFormat="1">
      <alignment horizontal="center" shrinkToFit="0" wrapText="1"/>
    </xf>
    <xf borderId="126" fillId="0" fontId="9" numFmtId="0" xfId="0" applyAlignment="1" applyBorder="1" applyFont="1">
      <alignment horizontal="center" shrinkToFit="0" wrapText="1"/>
    </xf>
    <xf borderId="54" fillId="0" fontId="10" numFmtId="165" xfId="0" applyAlignment="1" applyBorder="1" applyFont="1" applyNumberFormat="1">
      <alignment horizontal="center" vertical="center"/>
    </xf>
    <xf borderId="54" fillId="0" fontId="10" numFmtId="165" xfId="0" applyAlignment="1" applyBorder="1" applyFont="1" applyNumberFormat="1">
      <alignment horizontal="center" readingOrder="0" vertical="center"/>
    </xf>
    <xf borderId="115" fillId="0" fontId="11" numFmtId="164" xfId="0" applyAlignment="1" applyBorder="1" applyFont="1" applyNumberFormat="1">
      <alignment horizontal="center" readingOrder="0" shrinkToFit="0" wrapText="1"/>
    </xf>
    <xf borderId="127" fillId="0" fontId="9" numFmtId="0" xfId="0" applyAlignment="1" applyBorder="1" applyFont="1">
      <alignment horizontal="center" shrinkToFit="0" wrapText="1"/>
    </xf>
    <xf borderId="54" fillId="0" fontId="9" numFmtId="9" xfId="0" applyAlignment="1" applyBorder="1" applyFont="1" applyNumberFormat="1">
      <alignment horizontal="center" readingOrder="0" shrinkToFit="0" wrapText="1"/>
    </xf>
    <xf borderId="127" fillId="0" fontId="9" numFmtId="0" xfId="0" applyAlignment="1" applyBorder="1" applyFont="1">
      <alignment horizontal="center" readingOrder="0" shrinkToFit="0" wrapText="1"/>
    </xf>
    <xf borderId="54" fillId="0" fontId="9" numFmtId="0" xfId="0" applyAlignment="1" applyBorder="1" applyFont="1">
      <alignment horizontal="center" readingOrder="0" shrinkToFit="0" wrapText="1"/>
    </xf>
    <xf borderId="124" fillId="13" fontId="9" numFmtId="167" xfId="0" applyBorder="1" applyFont="1" applyNumberFormat="1"/>
    <xf borderId="128" fillId="13" fontId="9" numFmtId="167" xfId="0" applyBorder="1" applyFont="1" applyNumberFormat="1"/>
    <xf borderId="113" fillId="13" fontId="9" numFmtId="167" xfId="0" applyBorder="1" applyFont="1" applyNumberFormat="1"/>
    <xf borderId="124" fillId="14" fontId="9" numFmtId="167" xfId="0" applyBorder="1" applyFont="1" applyNumberFormat="1"/>
    <xf borderId="125" fillId="14" fontId="9" numFmtId="167" xfId="0" applyBorder="1" applyFont="1" applyNumberFormat="1"/>
    <xf borderId="115" fillId="0" fontId="9" numFmtId="166" xfId="0" applyAlignment="1" applyBorder="1" applyFont="1" applyNumberFormat="1">
      <alignment horizontal="center" readingOrder="0" shrinkToFit="0" wrapText="1"/>
    </xf>
    <xf borderId="113" fillId="0" fontId="9" numFmtId="0" xfId="0" applyAlignment="1" applyBorder="1" applyFont="1">
      <alignment horizontal="center" shrinkToFit="0" wrapText="1"/>
    </xf>
    <xf borderId="114" fillId="0" fontId="9" numFmtId="0" xfId="0" applyAlignment="1" applyBorder="1" applyFont="1">
      <alignment horizontal="center" shrinkToFit="0" wrapText="1"/>
    </xf>
    <xf borderId="125" fillId="0" fontId="11" numFmtId="9" xfId="0" applyAlignment="1" applyBorder="1" applyFont="1" applyNumberFormat="1">
      <alignment horizontal="center" shrinkToFit="0" vertical="bottom" wrapText="1"/>
    </xf>
    <xf borderId="125" fillId="0" fontId="11" numFmtId="0" xfId="0" applyAlignment="1" applyBorder="1" applyFont="1">
      <alignment horizontal="center" readingOrder="0" shrinkToFit="0" vertical="bottom" wrapText="1"/>
    </xf>
    <xf borderId="113" fillId="14" fontId="9" numFmtId="167" xfId="0" applyBorder="1" applyFont="1" applyNumberFormat="1"/>
    <xf borderId="115" fillId="0" fontId="10" numFmtId="164" xfId="0" applyAlignment="1" applyBorder="1" applyFont="1" applyNumberFormat="1">
      <alignment horizontal="center" readingOrder="0" shrinkToFit="0" wrapText="1"/>
    </xf>
    <xf borderId="65" fillId="0" fontId="9" numFmtId="0" xfId="0" applyAlignment="1" applyBorder="1" applyFont="1">
      <alignment horizontal="center" readingOrder="0" shrinkToFit="0" wrapText="1"/>
    </xf>
    <xf borderId="115" fillId="0" fontId="11" numFmtId="166" xfId="0" applyAlignment="1" applyBorder="1" applyFont="1" applyNumberFormat="1">
      <alignment horizontal="center" readingOrder="0" shrinkToFit="0" wrapText="1"/>
    </xf>
    <xf borderId="33" fillId="0" fontId="11" numFmtId="164" xfId="0" applyAlignment="1" applyBorder="1" applyFont="1" applyNumberFormat="1">
      <alignment horizontal="center" readingOrder="0" shrinkToFit="0" wrapText="1"/>
    </xf>
    <xf borderId="115" fillId="0" fontId="10" numFmtId="164" xfId="0" applyAlignment="1" applyBorder="1" applyFont="1" applyNumberFormat="1">
      <alignment horizontal="center" readingOrder="0" shrinkToFit="0" vertical="center" wrapText="1"/>
    </xf>
    <xf borderId="55" fillId="0" fontId="11" numFmtId="164" xfId="0" applyAlignment="1" applyBorder="1" applyFont="1" applyNumberFormat="1">
      <alignment horizontal="center" readingOrder="0" shrinkToFit="0" wrapText="1"/>
    </xf>
    <xf borderId="55" fillId="0" fontId="9" numFmtId="9" xfId="0" applyAlignment="1" applyBorder="1" applyFont="1" applyNumberFormat="1">
      <alignment horizontal="center" readingOrder="0" shrinkToFit="0" wrapText="1"/>
    </xf>
    <xf borderId="112" fillId="0" fontId="11" numFmtId="164" xfId="0" applyAlignment="1" applyBorder="1" applyFont="1" applyNumberFormat="1">
      <alignment horizontal="center" shrinkToFit="0" wrapText="1"/>
    </xf>
    <xf borderId="120" fillId="0" fontId="9" numFmtId="0" xfId="0" applyAlignment="1" applyBorder="1" applyFont="1">
      <alignment horizontal="center" shrinkToFit="0" wrapText="1"/>
    </xf>
    <xf borderId="115" fillId="0" fontId="11" numFmtId="164" xfId="0" applyAlignment="1" applyBorder="1" applyFont="1" applyNumberFormat="1">
      <alignment horizontal="center" shrinkToFit="0" wrapText="1"/>
    </xf>
    <xf borderId="120" fillId="0" fontId="11" numFmtId="0" xfId="0" applyAlignment="1" applyBorder="1" applyFont="1">
      <alignment horizontal="center" readingOrder="0" shrinkToFit="0" vertical="bottom" wrapText="1"/>
    </xf>
    <xf borderId="114" fillId="25" fontId="11" numFmtId="9" xfId="0" applyAlignment="1" applyBorder="1" applyFont="1" applyNumberFormat="1">
      <alignment horizontal="center" shrinkToFit="0" vertical="bottom" wrapText="1"/>
    </xf>
    <xf borderId="113" fillId="25" fontId="11" numFmtId="9" xfId="0" applyAlignment="1" applyBorder="1" applyFont="1" applyNumberFormat="1">
      <alignment horizontal="center" shrinkToFit="0" vertical="bottom" wrapText="1"/>
    </xf>
    <xf borderId="70" fillId="12" fontId="10" numFmtId="0" xfId="0" applyAlignment="1" applyBorder="1" applyFont="1">
      <alignment horizontal="left" readingOrder="0" shrinkToFit="0" vertical="center" wrapText="0"/>
    </xf>
    <xf borderId="113" fillId="12" fontId="9" numFmtId="9" xfId="0" applyBorder="1" applyFont="1" applyNumberFormat="1"/>
    <xf borderId="113" fillId="0" fontId="10" numFmtId="0" xfId="0" applyAlignment="1" applyBorder="1" applyFont="1">
      <alignment horizontal="center" readingOrder="0" shrinkToFit="0" vertical="center" wrapText="0"/>
    </xf>
    <xf borderId="57" fillId="0" fontId="10" numFmtId="0" xfId="0" applyAlignment="1" applyBorder="1" applyFont="1">
      <alignment horizontal="center" readingOrder="0" shrinkToFit="0" vertical="center" wrapText="1"/>
    </xf>
    <xf borderId="50" fillId="0" fontId="9" numFmtId="9" xfId="0" applyAlignment="1" applyBorder="1" applyFont="1" applyNumberFormat="1">
      <alignment horizontal="center" readingOrder="0" shrinkToFit="0" wrapText="1"/>
    </xf>
    <xf borderId="113" fillId="9" fontId="10" numFmtId="0" xfId="0" applyAlignment="1" applyBorder="1" applyFont="1">
      <alignment horizontal="center" readingOrder="0" shrinkToFit="0" vertical="center" wrapText="0"/>
    </xf>
    <xf borderId="63" fillId="0" fontId="9" numFmtId="0" xfId="0" applyAlignment="1" applyBorder="1" applyFont="1">
      <alignment horizontal="center" readingOrder="0" shrinkToFit="0" wrapText="1"/>
    </xf>
    <xf borderId="129" fillId="0" fontId="10" numFmtId="0" xfId="0" applyAlignment="1" applyBorder="1" applyFont="1">
      <alignment horizontal="center" readingOrder="0" shrinkToFit="0" vertical="center" wrapText="1"/>
    </xf>
    <xf borderId="54" fillId="0" fontId="10" numFmtId="0" xfId="0" applyAlignment="1" applyBorder="1" applyFont="1">
      <alignment horizontal="center" readingOrder="0" shrinkToFit="0" vertical="center" wrapText="0"/>
    </xf>
    <xf borderId="54" fillId="0" fontId="10" numFmtId="164" xfId="0" applyAlignment="1" applyBorder="1" applyFont="1" applyNumberFormat="1">
      <alignment horizontal="center" readingOrder="0" shrinkToFit="0" wrapText="1"/>
    </xf>
    <xf borderId="54" fillId="0" fontId="11" numFmtId="0" xfId="0" applyAlignment="1" applyBorder="1" applyFont="1">
      <alignment horizontal="center" readingOrder="0" shrinkToFit="0" wrapText="1"/>
    </xf>
    <xf borderId="54" fillId="0" fontId="10" numFmtId="164" xfId="0" applyAlignment="1" applyBorder="1" applyFont="1" applyNumberFormat="1">
      <alignment horizontal="center" readingOrder="0" shrinkToFit="0" vertical="center" wrapText="1"/>
    </xf>
    <xf borderId="113" fillId="13" fontId="10" numFmtId="0" xfId="0" applyAlignment="1" applyBorder="1" applyFont="1">
      <alignment horizontal="left" readingOrder="0" shrinkToFit="0" vertical="center" wrapText="0"/>
    </xf>
    <xf borderId="54" fillId="13" fontId="10" numFmtId="0" xfId="0" applyAlignment="1" applyBorder="1" applyFont="1">
      <alignment horizontal="left" readingOrder="0" shrinkToFit="0" vertical="center" wrapText="0"/>
    </xf>
    <xf borderId="54" fillId="13" fontId="10" numFmtId="0" xfId="0" applyAlignment="1" applyBorder="1" applyFont="1">
      <alignment horizontal="center" readingOrder="0" shrinkToFit="0" vertical="center" wrapText="1"/>
    </xf>
    <xf borderId="54" fillId="13" fontId="9" numFmtId="167" xfId="0" applyBorder="1" applyFont="1" applyNumberFormat="1"/>
    <xf borderId="55" fillId="13" fontId="9" numFmtId="167" xfId="0" applyBorder="1" applyFont="1" applyNumberFormat="1"/>
    <xf borderId="113" fillId="13" fontId="9" numFmtId="9" xfId="0" applyBorder="1" applyFont="1" applyNumberFormat="1"/>
    <xf borderId="55" fillId="13" fontId="9" numFmtId="9" xfId="0" applyBorder="1" applyFont="1" applyNumberFormat="1"/>
    <xf borderId="63" fillId="14" fontId="10" numFmtId="0" xfId="0" applyAlignment="1" applyBorder="1" applyFont="1">
      <alignment horizontal="left" readingOrder="0" shrinkToFit="0" vertical="center" wrapText="0"/>
    </xf>
    <xf borderId="113" fillId="0" fontId="11" numFmtId="0" xfId="0" applyAlignment="1" applyBorder="1" applyFont="1">
      <alignment horizontal="center" readingOrder="0"/>
    </xf>
    <xf borderId="113" fillId="0" fontId="11" numFmtId="0" xfId="0" applyAlignment="1" applyBorder="1" applyFont="1">
      <alignment horizontal="center"/>
    </xf>
    <xf borderId="54" fillId="0" fontId="11" numFmtId="0" xfId="0" applyAlignment="1" applyBorder="1" applyFont="1">
      <alignment horizontal="center"/>
    </xf>
    <xf borderId="55" fillId="0" fontId="11" numFmtId="165" xfId="0" applyAlignment="1" applyBorder="1" applyFont="1" applyNumberFormat="1">
      <alignment horizontal="center"/>
    </xf>
    <xf borderId="62" fillId="0" fontId="11" numFmtId="165" xfId="0" applyAlignment="1" applyBorder="1" applyFont="1" applyNumberFormat="1">
      <alignment horizontal="center"/>
    </xf>
    <xf borderId="113" fillId="3" fontId="11" numFmtId="0" xfId="0" applyAlignment="1" applyBorder="1" applyFont="1">
      <alignment horizontal="center" shrinkToFit="0" vertical="bottom" wrapText="1"/>
    </xf>
    <xf borderId="129" fillId="0" fontId="11" numFmtId="166" xfId="0" applyAlignment="1" applyBorder="1" applyFont="1" applyNumberFormat="1">
      <alignment horizontal="center" shrinkToFit="0" vertical="bottom" wrapText="1"/>
    </xf>
    <xf borderId="62" fillId="0" fontId="9" numFmtId="0" xfId="0" applyAlignment="1" applyBorder="1" applyFont="1">
      <alignment horizontal="center" shrinkToFit="0" wrapText="1"/>
    </xf>
    <xf borderId="50" fillId="0" fontId="9" numFmtId="0" xfId="0" applyAlignment="1" applyBorder="1" applyFont="1">
      <alignment horizontal="center" readingOrder="0" shrinkToFit="0" wrapText="1"/>
    </xf>
    <xf borderId="62" fillId="0" fontId="9" numFmtId="0" xfId="0" applyAlignment="1" applyBorder="1" applyFont="1">
      <alignment horizontal="center" readingOrder="0" shrinkToFit="0" wrapText="1"/>
    </xf>
    <xf borderId="113" fillId="14" fontId="9" numFmtId="9" xfId="0" applyBorder="1" applyFont="1" applyNumberFormat="1"/>
    <xf borderId="60" fillId="0" fontId="9" numFmtId="0" xfId="0" applyAlignment="1" applyBorder="1" applyFont="1">
      <alignment horizontal="center" readingOrder="0" shrinkToFit="0" wrapText="1"/>
    </xf>
    <xf borderId="70" fillId="0" fontId="9" numFmtId="166" xfId="0" applyAlignment="1" applyBorder="1" applyFont="1" applyNumberFormat="1">
      <alignment horizontal="center" readingOrder="0" shrinkToFit="0" wrapText="1"/>
    </xf>
    <xf borderId="129" fillId="0" fontId="10" numFmtId="166" xfId="0" applyAlignment="1" applyBorder="1" applyFont="1" applyNumberFormat="1">
      <alignment horizontal="center" readingOrder="0" shrinkToFit="0" vertical="center" wrapText="1"/>
    </xf>
    <xf borderId="63" fillId="13" fontId="10" numFmtId="0" xfId="0" applyAlignment="1" applyBorder="1" applyFont="1">
      <alignment horizontal="left" readingOrder="0" shrinkToFit="0" vertical="center" wrapText="0"/>
    </xf>
    <xf borderId="129" fillId="0" fontId="10" numFmtId="164" xfId="0" applyAlignment="1" applyBorder="1" applyFont="1" applyNumberFormat="1">
      <alignment horizontal="center" readingOrder="0" shrinkToFit="0" vertical="center" wrapText="1"/>
    </xf>
    <xf borderId="129" fillId="0" fontId="10" numFmtId="164" xfId="0" applyAlignment="1" applyBorder="1" applyFont="1" applyNumberFormat="1">
      <alignment horizontal="center" shrinkToFit="0" vertical="center" wrapText="1"/>
    </xf>
    <xf borderId="54" fillId="14" fontId="10" numFmtId="0" xfId="0" applyAlignment="1" applyBorder="1" applyFont="1">
      <alignment horizontal="center" readingOrder="0" shrinkToFit="0" vertical="center" wrapText="1"/>
    </xf>
    <xf borderId="130" fillId="14" fontId="10" numFmtId="0" xfId="0" applyAlignment="1" applyBorder="1" applyFont="1">
      <alignment horizontal="center" readingOrder="0" shrinkToFit="0" vertical="center" wrapText="1"/>
    </xf>
    <xf borderId="131" fillId="14" fontId="10" numFmtId="0" xfId="0" applyAlignment="1" applyBorder="1" applyFont="1">
      <alignment horizontal="center" readingOrder="0" shrinkToFit="0" vertical="center" wrapText="1"/>
    </xf>
    <xf borderId="54" fillId="14" fontId="9" numFmtId="167" xfId="0" applyBorder="1" applyFont="1" applyNumberFormat="1"/>
    <xf borderId="65" fillId="14" fontId="9" numFmtId="167" xfId="0" applyBorder="1" applyFont="1" applyNumberFormat="1"/>
    <xf borderId="0" fillId="14" fontId="9" numFmtId="167" xfId="0" applyFont="1" applyNumberFormat="1"/>
    <xf borderId="63" fillId="9" fontId="10" numFmtId="0" xfId="0" applyAlignment="1" applyBorder="1" applyFont="1">
      <alignment horizontal="center" readingOrder="0" shrinkToFit="0" vertical="center" wrapText="0"/>
    </xf>
    <xf borderId="63" fillId="0" fontId="10" numFmtId="0" xfId="0" applyAlignment="1" applyBorder="1" applyFont="1">
      <alignment horizontal="center" readingOrder="0" shrinkToFit="0" vertical="center" wrapText="1"/>
    </xf>
    <xf borderId="117" fillId="0" fontId="10" numFmtId="164" xfId="0" applyAlignment="1" applyBorder="1" applyFont="1" applyNumberFormat="1">
      <alignment horizontal="center" shrinkToFit="0" vertical="center" wrapText="1"/>
    </xf>
    <xf borderId="118" fillId="0" fontId="9" numFmtId="0" xfId="0" applyAlignment="1" applyBorder="1" applyFont="1">
      <alignment horizontal="center" readingOrder="0" shrinkToFit="0" wrapText="1"/>
    </xf>
    <xf borderId="63" fillId="15" fontId="10" numFmtId="0" xfId="0" applyAlignment="1" applyBorder="1" applyFont="1">
      <alignment horizontal="left" readingOrder="0" shrinkToFit="0" vertical="center" wrapText="0"/>
    </xf>
    <xf borderId="54" fillId="15" fontId="9" numFmtId="167" xfId="0" applyBorder="1" applyFont="1" applyNumberFormat="1"/>
    <xf borderId="113" fillId="15" fontId="9" numFmtId="9" xfId="0" applyBorder="1" applyFont="1" applyNumberFormat="1"/>
    <xf borderId="117" fillId="0" fontId="10" numFmtId="166" xfId="0" applyAlignment="1" applyBorder="1" applyFont="1" applyNumberFormat="1">
      <alignment horizontal="center" readingOrder="0" shrinkToFit="0" vertical="center" wrapText="1"/>
    </xf>
    <xf borderId="118" fillId="0" fontId="9" numFmtId="0" xfId="0" applyAlignment="1" applyBorder="1" applyFont="1">
      <alignment horizontal="center" readingOrder="0" shrinkToFit="0" vertical="center" wrapText="1"/>
    </xf>
    <xf borderId="113" fillId="16" fontId="10" numFmtId="0" xfId="0" applyAlignment="1" applyBorder="1" applyFont="1">
      <alignment horizontal="left" readingOrder="0" shrinkToFit="0" vertical="center" wrapText="0"/>
    </xf>
    <xf borderId="54" fillId="16" fontId="10" numFmtId="0" xfId="0" applyAlignment="1" applyBorder="1" applyFont="1">
      <alignment horizontal="left" readingOrder="0" shrinkToFit="0" vertical="center" wrapText="0"/>
    </xf>
    <xf borderId="54" fillId="16" fontId="10" numFmtId="0" xfId="0" applyAlignment="1" applyBorder="1" applyFont="1">
      <alignment horizontal="center" readingOrder="0" shrinkToFit="0" vertical="center" wrapText="1"/>
    </xf>
    <xf borderId="129" fillId="16" fontId="10" numFmtId="0" xfId="0" applyAlignment="1" applyBorder="1" applyFont="1">
      <alignment horizontal="center" readingOrder="0" shrinkToFit="0" vertical="center" wrapText="1"/>
    </xf>
    <xf borderId="131" fillId="16" fontId="10" numFmtId="0" xfId="0" applyAlignment="1" applyBorder="1" applyFont="1">
      <alignment horizontal="center" readingOrder="0" shrinkToFit="0" vertical="center" wrapText="1"/>
    </xf>
    <xf borderId="54" fillId="16" fontId="9" numFmtId="167" xfId="0" applyBorder="1" applyFont="1" applyNumberFormat="1"/>
    <xf borderId="113" fillId="16" fontId="9" numFmtId="167" xfId="0" applyBorder="1" applyFont="1" applyNumberFormat="1"/>
    <xf borderId="113" fillId="16" fontId="9" numFmtId="9" xfId="0" applyBorder="1" applyFont="1" applyNumberFormat="1"/>
    <xf borderId="55" fillId="16" fontId="9" numFmtId="167" xfId="0" applyBorder="1" applyFont="1" applyNumberFormat="1"/>
    <xf borderId="55" fillId="16" fontId="9" numFmtId="9" xfId="0" applyBorder="1" applyFont="1" applyNumberFormat="1"/>
    <xf borderId="117" fillId="0" fontId="10" numFmtId="164" xfId="0" applyAlignment="1" applyBorder="1" applyFont="1" applyNumberFormat="1">
      <alignment horizontal="center" shrinkToFit="0" wrapText="1"/>
    </xf>
    <xf borderId="117" fillId="0" fontId="10" numFmtId="164" xfId="0" applyAlignment="1" applyBorder="1" applyFont="1" applyNumberFormat="1">
      <alignment horizontal="center" readingOrder="0" shrinkToFit="0" vertical="center" wrapText="1"/>
    </xf>
    <xf borderId="63" fillId="0" fontId="9" numFmtId="9" xfId="0" applyAlignment="1" applyBorder="1" applyFont="1" applyNumberFormat="1">
      <alignment horizontal="center" readingOrder="0" shrinkToFit="0" wrapText="1"/>
    </xf>
    <xf borderId="113" fillId="17" fontId="10" numFmtId="0" xfId="0" applyAlignment="1" applyBorder="1" applyFont="1">
      <alignment horizontal="left" readingOrder="0" shrinkToFit="0" vertical="center" wrapText="0"/>
    </xf>
    <xf borderId="54" fillId="17" fontId="10" numFmtId="0" xfId="0" applyAlignment="1" applyBorder="1" applyFont="1">
      <alignment horizontal="left" readingOrder="0" shrinkToFit="0" vertical="center" wrapText="0"/>
    </xf>
    <xf borderId="54" fillId="17" fontId="10" numFmtId="0" xfId="0" applyAlignment="1" applyBorder="1" applyFont="1">
      <alignment horizontal="center" readingOrder="0" shrinkToFit="0" vertical="center" wrapText="1"/>
    </xf>
    <xf borderId="54" fillId="17" fontId="9" numFmtId="0" xfId="0" applyBorder="1" applyFont="1"/>
    <xf borderId="113" fillId="17" fontId="9" numFmtId="0" xfId="0" applyBorder="1" applyFont="1"/>
    <xf borderId="55" fillId="17" fontId="9" numFmtId="0" xfId="0" applyBorder="1" applyFont="1"/>
    <xf borderId="115" fillId="17" fontId="9" numFmtId="9" xfId="0" applyBorder="1" applyFont="1" applyNumberFormat="1"/>
    <xf borderId="113" fillId="17" fontId="9" numFmtId="9" xfId="0" applyBorder="1" applyFont="1" applyNumberFormat="1"/>
    <xf borderId="55" fillId="17" fontId="9" numFmtId="9" xfId="0" applyBorder="1" applyFont="1" applyNumberFormat="1"/>
    <xf borderId="113" fillId="18" fontId="10" numFmtId="0" xfId="0" applyAlignment="1" applyBorder="1" applyFont="1">
      <alignment horizontal="left" readingOrder="0" shrinkToFit="0" vertical="center" wrapText="0"/>
    </xf>
    <xf borderId="54" fillId="18" fontId="10" numFmtId="0" xfId="0" applyAlignment="1" applyBorder="1" applyFont="1">
      <alignment horizontal="left" readingOrder="0" shrinkToFit="0" vertical="center" wrapText="0"/>
    </xf>
    <xf borderId="54" fillId="18" fontId="10" numFmtId="0" xfId="0" applyAlignment="1" applyBorder="1" applyFont="1">
      <alignment horizontal="center" readingOrder="0" shrinkToFit="0" vertical="center" wrapText="1"/>
    </xf>
    <xf borderId="54" fillId="18" fontId="9" numFmtId="167" xfId="0" applyBorder="1" applyFont="1" applyNumberFormat="1"/>
    <xf borderId="113" fillId="18" fontId="9" numFmtId="167" xfId="0" applyBorder="1" applyFont="1" applyNumberFormat="1"/>
    <xf borderId="55" fillId="18" fontId="9" numFmtId="167" xfId="0" applyBorder="1" applyFont="1" applyNumberFormat="1"/>
    <xf borderId="113" fillId="18" fontId="9" numFmtId="9" xfId="0" applyBorder="1" applyFont="1" applyNumberFormat="1"/>
    <xf borderId="55" fillId="18" fontId="9" numFmtId="9" xfId="0" applyBorder="1" applyFont="1" applyNumberFormat="1"/>
    <xf borderId="63" fillId="18" fontId="9" numFmtId="9" xfId="0" applyBorder="1" applyFont="1" applyNumberFormat="1"/>
    <xf borderId="113" fillId="0" fontId="9" numFmtId="9" xfId="0" applyAlignment="1" applyBorder="1" applyFont="1" applyNumberFormat="1">
      <alignment horizontal="center" shrinkToFit="0" wrapText="1"/>
    </xf>
    <xf borderId="63" fillId="19" fontId="10" numFmtId="0" xfId="0" applyAlignment="1" applyBorder="1" applyFont="1">
      <alignment horizontal="left" readingOrder="0" shrinkToFit="0" vertical="center" wrapText="0"/>
    </xf>
    <xf borderId="63" fillId="19" fontId="9" numFmtId="9" xfId="0" applyBorder="1" applyFont="1" applyNumberFormat="1"/>
    <xf borderId="113" fillId="19" fontId="9" numFmtId="9" xfId="0" applyBorder="1" applyFont="1" applyNumberFormat="1"/>
    <xf borderId="55" fillId="0" fontId="10" numFmtId="0" xfId="0" applyAlignment="1" applyBorder="1" applyFont="1">
      <alignment horizontal="center" readingOrder="0" shrinkToFit="0" vertical="center" wrapText="1"/>
    </xf>
    <xf borderId="115" fillId="0" fontId="10" numFmtId="164" xfId="0" applyAlignment="1" applyBorder="1" applyFont="1" applyNumberFormat="1">
      <alignment horizontal="center" shrinkToFit="0" vertical="center" wrapText="1"/>
    </xf>
    <xf borderId="63" fillId="20" fontId="10" numFmtId="0" xfId="0" applyAlignment="1" applyBorder="1" applyFont="1">
      <alignment horizontal="left" readingOrder="0" shrinkToFit="0" vertical="center" wrapText="0"/>
    </xf>
    <xf borderId="63" fillId="21" fontId="10" numFmtId="0" xfId="0" applyAlignment="1" applyBorder="1" applyFont="1">
      <alignment horizontal="left" readingOrder="0" shrinkToFit="0" vertical="center" wrapText="0"/>
    </xf>
    <xf borderId="115" fillId="21" fontId="10" numFmtId="0" xfId="0" applyAlignment="1" applyBorder="1" applyFont="1">
      <alignment horizontal="center" readingOrder="0" shrinkToFit="0" vertical="center" wrapText="1"/>
    </xf>
    <xf borderId="117" fillId="21" fontId="10" numFmtId="0" xfId="0" applyAlignment="1" applyBorder="1" applyFont="1">
      <alignment horizontal="center" readingOrder="0" shrinkToFit="0" vertical="center" wrapText="1"/>
    </xf>
    <xf borderId="118" fillId="21" fontId="9" numFmtId="167" xfId="0" applyBorder="1" applyFont="1" applyNumberFormat="1"/>
    <xf borderId="116" fillId="21" fontId="9" numFmtId="167" xfId="0" applyBorder="1" applyFont="1" applyNumberFormat="1"/>
    <xf borderId="114" fillId="21" fontId="9" numFmtId="9" xfId="0" applyBorder="1" applyFont="1" applyNumberFormat="1"/>
    <xf borderId="0" fillId="21" fontId="9" numFmtId="9" xfId="0" applyFont="1" applyNumberFormat="1"/>
    <xf borderId="63" fillId="9" fontId="10" numFmtId="0" xfId="0" applyAlignment="1" applyBorder="1" applyFont="1">
      <alignment horizontal="left" readingOrder="0" shrinkToFit="0" vertical="center" wrapText="0"/>
    </xf>
    <xf borderId="117" fillId="9" fontId="10" numFmtId="0" xfId="0" applyAlignment="1" applyBorder="1" applyFont="1">
      <alignment horizontal="center" readingOrder="0" shrinkToFit="0" vertical="center" wrapText="1"/>
    </xf>
    <xf borderId="118" fillId="9" fontId="9" numFmtId="167" xfId="0" applyBorder="1" applyFont="1" applyNumberFormat="1"/>
    <xf borderId="116" fillId="9" fontId="9" numFmtId="167" xfId="0" applyBorder="1" applyFont="1" applyNumberFormat="1"/>
    <xf borderId="114" fillId="9" fontId="9" numFmtId="9" xfId="0" applyBorder="1" applyFont="1" applyNumberFormat="1"/>
    <xf borderId="0" fillId="9" fontId="9" numFmtId="9" xfId="0" applyFont="1" applyNumberFormat="1"/>
    <xf borderId="113" fillId="9" fontId="9" numFmtId="9" xfId="0" applyBorder="1" applyFont="1" applyNumberFormat="1"/>
    <xf borderId="54" fillId="0" fontId="10" numFmtId="164" xfId="0" applyAlignment="1" applyBorder="1" applyFont="1" applyNumberFormat="1">
      <alignment horizontal="center" shrinkToFit="0" vertical="center" wrapText="1"/>
    </xf>
    <xf borderId="63" fillId="22" fontId="10" numFmtId="0" xfId="0" applyAlignment="1" applyBorder="1" applyFont="1">
      <alignment horizontal="left" readingOrder="0" shrinkToFit="0" vertical="center" wrapText="0"/>
    </xf>
    <xf borderId="113" fillId="22" fontId="9" numFmtId="9" xfId="0" applyBorder="1" applyFont="1" applyNumberFormat="1"/>
    <xf borderId="55" fillId="0" fontId="9" numFmtId="0" xfId="0" applyAlignment="1" applyBorder="1" applyFont="1">
      <alignment horizontal="center" shrinkToFit="0" vertical="bottom" wrapText="1"/>
    </xf>
    <xf borderId="0" fillId="0" fontId="10" numFmtId="164" xfId="0" applyAlignment="1" applyFont="1" applyNumberFormat="1">
      <alignment horizontal="center" shrinkToFit="0" vertical="center" wrapText="1"/>
    </xf>
    <xf borderId="132" fillId="0" fontId="10" numFmtId="0" xfId="0" applyAlignment="1" applyBorder="1" applyFont="1">
      <alignment horizontal="center" readingOrder="0" shrinkToFit="0" vertical="center" wrapText="0"/>
    </xf>
    <xf borderId="133" fillId="0" fontId="10" numFmtId="0" xfId="0" applyAlignment="1" applyBorder="1" applyFont="1">
      <alignment horizontal="center" vertical="center"/>
    </xf>
    <xf borderId="134" fillId="0" fontId="10" numFmtId="0" xfId="0" applyAlignment="1" applyBorder="1" applyFont="1">
      <alignment horizontal="center" vertical="center"/>
    </xf>
    <xf borderId="135" fillId="0" fontId="10" numFmtId="0" xfId="0" applyAlignment="1" applyBorder="1" applyFont="1">
      <alignment horizontal="center" vertical="center"/>
    </xf>
    <xf borderId="113" fillId="12" fontId="10" numFmtId="0" xfId="0" applyAlignment="1" applyBorder="1" applyFont="1">
      <alignment horizontal="center" readingOrder="0" shrinkToFit="0" vertical="center" wrapText="1"/>
    </xf>
    <xf borderId="53" fillId="14" fontId="10" numFmtId="0" xfId="0" applyAlignment="1" applyBorder="1" applyFont="1">
      <alignment horizontal="left" readingOrder="0" shrinkToFit="0" vertical="center" wrapText="0"/>
    </xf>
    <xf borderId="54" fillId="14" fontId="10" numFmtId="0" xfId="0" applyAlignment="1" applyBorder="1" applyFont="1">
      <alignment horizontal="left" readingOrder="0" shrinkToFit="0" vertical="center" wrapText="0"/>
    </xf>
    <xf borderId="34" fillId="14" fontId="10" numFmtId="0" xfId="0" applyAlignment="1" applyBorder="1" applyFont="1">
      <alignment horizontal="center" readingOrder="0" shrinkToFit="0" vertical="center" wrapText="1"/>
    </xf>
    <xf borderId="113" fillId="14" fontId="9" numFmtId="0" xfId="0" applyBorder="1" applyFont="1"/>
    <xf borderId="55" fillId="14" fontId="9" numFmtId="0" xfId="0" applyBorder="1" applyFont="1"/>
    <xf borderId="55" fillId="14" fontId="9" numFmtId="9" xfId="0" applyBorder="1" applyFont="1" applyNumberFormat="1"/>
    <xf borderId="63" fillId="14" fontId="9" numFmtId="9" xfId="0" applyBorder="1" applyFont="1" applyNumberFormat="1"/>
    <xf borderId="53" fillId="13" fontId="10" numFmtId="0" xfId="0" applyAlignment="1" applyBorder="1" applyFont="1">
      <alignment horizontal="left" readingOrder="0" shrinkToFit="0" vertical="center" wrapText="0"/>
    </xf>
    <xf borderId="54" fillId="13" fontId="10" numFmtId="0" xfId="0" applyAlignment="1" applyBorder="1" applyFont="1">
      <alignment horizontal="center" readingOrder="0" vertical="center"/>
    </xf>
    <xf borderId="115" fillId="13" fontId="9" numFmtId="9" xfId="0" applyBorder="1" applyFont="1" applyNumberFormat="1"/>
    <xf borderId="63" fillId="13" fontId="9" numFmtId="9" xfId="0" applyBorder="1" applyFont="1" applyNumberFormat="1"/>
    <xf borderId="54" fillId="13" fontId="9" numFmtId="9" xfId="0" applyBorder="1" applyFont="1" applyNumberFormat="1"/>
    <xf borderId="53" fillId="9" fontId="10" numFmtId="0" xfId="0" applyAlignment="1" applyBorder="1" applyFont="1">
      <alignment horizontal="left" readingOrder="0" shrinkToFit="0" vertical="center" wrapText="0"/>
    </xf>
    <xf borderId="54" fillId="9" fontId="10" numFmtId="0" xfId="0" applyAlignment="1" applyBorder="1" applyFont="1">
      <alignment horizontal="left" readingOrder="0" shrinkToFit="0" vertical="center" wrapText="0"/>
    </xf>
    <xf borderId="54" fillId="9" fontId="10" numFmtId="0" xfId="0" applyAlignment="1" applyBorder="1" applyFont="1">
      <alignment horizontal="center" readingOrder="0" shrinkToFit="0" vertical="center" wrapText="1"/>
    </xf>
    <xf borderId="113" fillId="9" fontId="10" numFmtId="0" xfId="0" applyAlignment="1" applyBorder="1" applyFont="1">
      <alignment horizontal="center" readingOrder="0" shrinkToFit="0" vertical="center" wrapText="1"/>
    </xf>
    <xf borderId="115" fillId="9" fontId="10" numFmtId="0" xfId="0" applyAlignment="1" applyBorder="1" applyFont="1">
      <alignment horizontal="center" readingOrder="0" shrinkToFit="0" vertical="center" wrapText="1"/>
    </xf>
    <xf borderId="113" fillId="9" fontId="9" numFmtId="167" xfId="0" applyBorder="1" applyFont="1" applyNumberFormat="1"/>
    <xf borderId="55" fillId="9" fontId="9" numFmtId="167" xfId="0" applyBorder="1" applyFont="1" applyNumberFormat="1"/>
    <xf borderId="115" fillId="9" fontId="9" numFmtId="9" xfId="0" applyBorder="1" applyFont="1" applyNumberFormat="1"/>
    <xf borderId="55" fillId="9" fontId="9" numFmtId="9" xfId="0" applyBorder="1" applyFont="1" applyNumberFormat="1"/>
    <xf borderId="63" fillId="9" fontId="9" numFmtId="9" xfId="0" applyBorder="1" applyFont="1" applyNumberFormat="1"/>
    <xf borderId="116" fillId="9" fontId="9" numFmtId="9" xfId="0" applyBorder="1" applyFont="1" applyNumberFormat="1"/>
    <xf borderId="54" fillId="9" fontId="9" numFmtId="9" xfId="0" applyBorder="1" applyFont="1" applyNumberFormat="1"/>
    <xf borderId="54" fillId="3" fontId="11" numFmtId="0" xfId="0" applyAlignment="1" applyBorder="1" applyFont="1">
      <alignment horizontal="center" shrinkToFit="0" vertical="bottom" wrapText="1"/>
    </xf>
    <xf borderId="115" fillId="0" fontId="11" numFmtId="164" xfId="0" applyAlignment="1" applyBorder="1" applyFont="1" applyNumberFormat="1">
      <alignment horizontal="center" shrinkToFit="0" vertical="bottom" wrapText="1"/>
    </xf>
    <xf borderId="62" fillId="0" fontId="10" numFmtId="0" xfId="0" applyAlignment="1" applyBorder="1" applyFont="1">
      <alignment horizontal="center" readingOrder="0" shrinkToFit="0" vertical="center" wrapText="1"/>
    </xf>
    <xf borderId="116" fillId="0" fontId="9" numFmtId="0" xfId="0" applyAlignment="1" applyBorder="1" applyFont="1">
      <alignment horizontal="center" shrinkToFit="0" vertical="bottom" wrapText="1"/>
    </xf>
    <xf borderId="54" fillId="0" fontId="11" numFmtId="0" xfId="0" applyAlignment="1" applyBorder="1" applyFont="1">
      <alignment horizontal="center" readingOrder="0" shrinkToFit="0" vertical="bottom" wrapText="1"/>
    </xf>
    <xf borderId="63" fillId="0" fontId="11" numFmtId="0" xfId="0" applyAlignment="1" applyBorder="1" applyFont="1">
      <alignment horizontal="center" readingOrder="0" shrinkToFit="0" vertical="bottom" wrapText="1"/>
    </xf>
    <xf borderId="108" fillId="0" fontId="9" numFmtId="0" xfId="0" applyAlignment="1" applyBorder="1" applyFont="1">
      <alignment horizontal="center" readingOrder="0" shrinkToFit="0" wrapText="1"/>
    </xf>
    <xf borderId="117" fillId="0" fontId="10" numFmtId="0" xfId="0" applyAlignment="1" applyBorder="1" applyFont="1">
      <alignment horizontal="center" readingOrder="0" shrinkToFit="0" vertical="center" wrapText="1"/>
    </xf>
    <xf borderId="57" fillId="0" fontId="9" numFmtId="0" xfId="0" applyAlignment="1" applyBorder="1" applyFont="1">
      <alignment horizontal="center" readingOrder="0" shrinkToFit="0" wrapText="1"/>
    </xf>
    <xf borderId="117" fillId="0" fontId="10" numFmtId="164" xfId="0" applyAlignment="1" applyBorder="1" applyFont="1" applyNumberFormat="1">
      <alignment horizontal="center" readingOrder="0" shrinkToFit="0" wrapText="1"/>
    </xf>
    <xf borderId="116" fillId="0" fontId="4" numFmtId="0" xfId="0" applyAlignment="1" applyBorder="1" applyFont="1">
      <alignment horizontal="center" readingOrder="0"/>
    </xf>
    <xf borderId="61" fillId="9" fontId="10" numFmtId="0" xfId="0" applyAlignment="1" applyBorder="1" applyFont="1">
      <alignment horizontal="center" readingOrder="0" shrinkToFit="0" vertical="center" wrapText="0"/>
    </xf>
    <xf borderId="118" fillId="0" fontId="9" numFmtId="9" xfId="0" applyAlignment="1" applyBorder="1" applyFont="1" applyNumberFormat="1">
      <alignment horizontal="center" shrinkToFit="0" wrapText="1"/>
    </xf>
    <xf borderId="118" fillId="0" fontId="9" numFmtId="9" xfId="0" applyAlignment="1" applyBorder="1" applyFont="1" applyNumberFormat="1">
      <alignment horizontal="center" readingOrder="0" shrinkToFit="0" wrapText="1"/>
    </xf>
    <xf borderId="113" fillId="0" fontId="4" numFmtId="0" xfId="0" applyBorder="1" applyFont="1"/>
    <xf borderId="113" fillId="0" fontId="10" numFmtId="164" xfId="0" applyAlignment="1" applyBorder="1" applyFont="1" applyNumberFormat="1">
      <alignment horizontal="center" shrinkToFit="0" vertical="center" wrapText="1"/>
    </xf>
    <xf borderId="55" fillId="0" fontId="9" numFmtId="0" xfId="0" applyAlignment="1" applyBorder="1" applyFont="1">
      <alignment horizontal="center" readingOrder="0" shrinkToFit="0" vertical="bottom" wrapText="1"/>
    </xf>
    <xf borderId="0" fillId="0" fontId="9" numFmtId="0" xfId="0" applyAlignment="1" applyFont="1">
      <alignment horizontal="center" readingOrder="0" shrinkToFit="0" vertical="bottom" wrapText="1"/>
    </xf>
    <xf borderId="118" fillId="0" fontId="14" numFmtId="0" xfId="0" applyAlignment="1" applyBorder="1" applyFont="1">
      <alignment horizontal="center" readingOrder="0" shrinkToFit="0" wrapText="1"/>
    </xf>
    <xf borderId="114" fillId="0" fontId="9" numFmtId="9" xfId="0" applyAlignment="1" applyBorder="1" applyFont="1" applyNumberFormat="1">
      <alignment horizontal="center" readingOrder="0" shrinkToFit="0" vertical="bottom" wrapText="1"/>
    </xf>
    <xf borderId="116" fillId="0" fontId="9" numFmtId="0" xfId="0" applyAlignment="1" applyBorder="1" applyFont="1">
      <alignment horizontal="center" readingOrder="0" shrinkToFit="0" vertical="bottom" wrapText="1"/>
    </xf>
    <xf borderId="114" fillId="0" fontId="9" numFmtId="0" xfId="0" applyAlignment="1" applyBorder="1" applyFont="1">
      <alignment horizontal="center" readingOrder="0" shrinkToFit="0" vertical="bottom" wrapText="1"/>
    </xf>
    <xf borderId="53" fillId="15" fontId="10" numFmtId="0" xfId="0" applyAlignment="1" applyBorder="1" applyFont="1">
      <alignment horizontal="left" readingOrder="0" shrinkToFit="0" vertical="center" wrapText="0"/>
    </xf>
    <xf borderId="54" fillId="15" fontId="10" numFmtId="0" xfId="0" applyAlignment="1" applyBorder="1" applyFont="1">
      <alignment horizontal="left" readingOrder="0" shrinkToFit="0" vertical="center" wrapText="0"/>
    </xf>
    <xf borderId="54" fillId="15" fontId="10" numFmtId="0" xfId="0" applyAlignment="1" applyBorder="1" applyFont="1">
      <alignment horizontal="center" readingOrder="0" shrinkToFit="0" vertical="center" wrapText="1"/>
    </xf>
    <xf borderId="129" fillId="15" fontId="10" numFmtId="0" xfId="0" applyAlignment="1" applyBorder="1" applyFont="1">
      <alignment horizontal="center" readingOrder="0" shrinkToFit="0" vertical="center" wrapText="1"/>
    </xf>
    <xf borderId="131" fillId="15" fontId="10" numFmtId="0" xfId="0" applyAlignment="1" applyBorder="1" applyFont="1">
      <alignment horizontal="center" readingOrder="0" shrinkToFit="0" vertical="center" wrapText="1"/>
    </xf>
    <xf borderId="113" fillId="15" fontId="9" numFmtId="167" xfId="0" applyBorder="1" applyFont="1" applyNumberFormat="1"/>
    <xf borderId="55" fillId="15" fontId="9" numFmtId="167" xfId="0" applyBorder="1" applyFont="1" applyNumberFormat="1"/>
    <xf borderId="55" fillId="15" fontId="9" numFmtId="9" xfId="0" applyBorder="1" applyFont="1" applyNumberFormat="1"/>
    <xf borderId="55" fillId="14" fontId="9" numFmtId="167" xfId="0" applyBorder="1" applyFont="1" applyNumberFormat="1"/>
    <xf borderId="115" fillId="14" fontId="9" numFmtId="9" xfId="0" applyBorder="1" applyFont="1" applyNumberFormat="1"/>
    <xf borderId="53" fillId="17" fontId="10" numFmtId="0" xfId="0" applyAlignment="1" applyBorder="1" applyFont="1">
      <alignment horizontal="left" readingOrder="0" shrinkToFit="0" vertical="center" wrapText="0"/>
    </xf>
    <xf borderId="53" fillId="18" fontId="10" numFmtId="0" xfId="0" applyAlignment="1" applyBorder="1" applyFont="1">
      <alignment horizontal="left" readingOrder="0" shrinkToFit="0" vertical="center" wrapText="0"/>
    </xf>
    <xf borderId="115" fillId="18" fontId="9" numFmtId="9" xfId="0" applyBorder="1" applyFont="1" applyNumberFormat="1"/>
    <xf borderId="53" fillId="21" fontId="10" numFmtId="0" xfId="0" applyAlignment="1" applyBorder="1" applyFont="1">
      <alignment horizontal="left" readingOrder="0" shrinkToFit="0" vertical="center" wrapText="0"/>
    </xf>
    <xf borderId="54" fillId="21" fontId="10" numFmtId="0" xfId="0" applyAlignment="1" applyBorder="1" applyFont="1">
      <alignment horizontal="left" readingOrder="0" shrinkToFit="0" vertical="center" wrapText="0"/>
    </xf>
    <xf borderId="54" fillId="21" fontId="10" numFmtId="0" xfId="0" applyAlignment="1" applyBorder="1" applyFont="1">
      <alignment horizontal="center" readingOrder="0" shrinkToFit="0" vertical="center" wrapText="1"/>
    </xf>
    <xf borderId="113" fillId="21" fontId="10" numFmtId="0" xfId="0" applyAlignment="1" applyBorder="1" applyFont="1">
      <alignment horizontal="center" readingOrder="0" shrinkToFit="0" vertical="center" wrapText="1"/>
    </xf>
    <xf borderId="113" fillId="21" fontId="9" numFmtId="167" xfId="0" applyBorder="1" applyFont="1" applyNumberFormat="1"/>
    <xf borderId="113" fillId="21" fontId="9" numFmtId="9" xfId="0" applyBorder="1" applyFont="1" applyNumberFormat="1"/>
    <xf borderId="55" fillId="21" fontId="9" numFmtId="9" xfId="0" applyBorder="1" applyFont="1" applyNumberFormat="1"/>
    <xf borderId="115" fillId="21" fontId="9" numFmtId="9" xfId="0" applyBorder="1" applyFont="1" applyNumberFormat="1"/>
    <xf borderId="53" fillId="19" fontId="10" numFmtId="0" xfId="0" applyAlignment="1" applyBorder="1" applyFont="1">
      <alignment horizontal="left" readingOrder="0" shrinkToFit="0" vertical="center" wrapText="0"/>
    </xf>
    <xf borderId="54" fillId="19" fontId="10" numFmtId="0" xfId="0" applyAlignment="1" applyBorder="1" applyFont="1">
      <alignment horizontal="left" readingOrder="0" shrinkToFit="0" vertical="center" wrapText="0"/>
    </xf>
    <xf borderId="54" fillId="19" fontId="10" numFmtId="0" xfId="0" applyAlignment="1" applyBorder="1" applyFont="1">
      <alignment horizontal="center" readingOrder="0" shrinkToFit="0" vertical="center" wrapText="1"/>
    </xf>
    <xf borderId="113" fillId="19" fontId="9" numFmtId="167" xfId="0" applyBorder="1" applyFont="1" applyNumberFormat="1"/>
    <xf borderId="55" fillId="19" fontId="9" numFmtId="167" xfId="0" applyBorder="1" applyFont="1" applyNumberFormat="1"/>
    <xf borderId="55" fillId="19" fontId="9" numFmtId="9" xfId="0" applyBorder="1" applyFont="1" applyNumberFormat="1"/>
    <xf borderId="53" fillId="16" fontId="10" numFmtId="0" xfId="0" applyAlignment="1" applyBorder="1" applyFont="1">
      <alignment horizontal="left" readingOrder="0" shrinkToFit="0" vertical="center" wrapText="0"/>
    </xf>
    <xf borderId="53" fillId="22" fontId="10" numFmtId="0" xfId="0" applyAlignment="1" applyBorder="1" applyFont="1">
      <alignment horizontal="left" readingOrder="0" shrinkToFit="0" vertical="center" wrapText="0"/>
    </xf>
    <xf borderId="54" fillId="22" fontId="10" numFmtId="0" xfId="0" applyAlignment="1" applyBorder="1" applyFont="1">
      <alignment horizontal="left" readingOrder="0" shrinkToFit="0" vertical="center" wrapText="0"/>
    </xf>
    <xf borderId="54" fillId="22" fontId="10" numFmtId="0" xfId="0" applyAlignment="1" applyBorder="1" applyFont="1">
      <alignment horizontal="center" readingOrder="0" shrinkToFit="0" vertical="center" wrapText="1"/>
    </xf>
    <xf borderId="113" fillId="22" fontId="9" numFmtId="167" xfId="0" applyBorder="1" applyFont="1" applyNumberFormat="1"/>
    <xf borderId="136" fillId="14" fontId="10" numFmtId="0" xfId="0" applyAlignment="1" applyBorder="1" applyFont="1">
      <alignment horizontal="left" readingOrder="0" shrinkToFit="0" vertical="center" wrapText="0"/>
    </xf>
    <xf borderId="137" fillId="14" fontId="10" numFmtId="0" xfId="0" applyAlignment="1" applyBorder="1" applyFont="1">
      <alignment horizontal="left" readingOrder="0" shrinkToFit="0" vertical="center" wrapText="0"/>
    </xf>
    <xf borderId="138" fillId="14" fontId="10" numFmtId="0" xfId="0" applyAlignment="1" applyBorder="1" applyFont="1">
      <alignment horizontal="center" readingOrder="0" shrinkToFit="0" vertical="center" wrapText="1"/>
    </xf>
    <xf borderId="135" fillId="14" fontId="10" numFmtId="0" xfId="0" applyAlignment="1" applyBorder="1" applyFont="1">
      <alignment horizontal="center" readingOrder="0" shrinkToFit="0" vertical="center" wrapText="1"/>
    </xf>
    <xf borderId="129" fillId="14" fontId="10" numFmtId="0" xfId="0" applyAlignment="1" applyBorder="1" applyFont="1">
      <alignment horizontal="center" readingOrder="0" shrinkToFit="0" vertical="center" wrapText="1"/>
    </xf>
    <xf borderId="139" fillId="26" fontId="15" numFmtId="0" xfId="0" applyAlignment="1" applyBorder="1" applyFill="1" applyFont="1">
      <alignment horizontal="left" readingOrder="0" shrinkToFit="0" wrapText="0"/>
    </xf>
    <xf borderId="139" fillId="23" fontId="15" numFmtId="0" xfId="0" applyAlignment="1" applyBorder="1" applyFont="1">
      <alignment horizontal="left" readingOrder="0" shrinkToFit="0" wrapText="0"/>
    </xf>
    <xf borderId="139" fillId="0" fontId="16" numFmtId="0" xfId="0" applyAlignment="1" applyBorder="1" applyFont="1">
      <alignment horizontal="left" readingOrder="0" shrinkToFit="0" vertical="top" wrapText="0"/>
    </xf>
    <xf borderId="139" fillId="0" fontId="17" numFmtId="0" xfId="0" applyAlignment="1" applyBorder="1" applyFont="1">
      <alignment horizontal="left" readingOrder="0" shrinkToFit="0" vertical="top" wrapText="0"/>
    </xf>
    <xf borderId="139" fillId="0" fontId="17" numFmtId="0" xfId="0" applyAlignment="1" applyBorder="1" applyFont="1">
      <alignment horizontal="left" shrinkToFit="0" vertical="top" wrapText="0"/>
    </xf>
    <xf borderId="139" fillId="0" fontId="17" numFmtId="169" xfId="0" applyAlignment="1" applyBorder="1" applyFont="1" applyNumberFormat="1">
      <alignment horizontal="left" readingOrder="0" shrinkToFit="0" vertical="top" wrapText="0"/>
    </xf>
    <xf borderId="139" fillId="0" fontId="17" numFmtId="0" xfId="0" applyAlignment="1" applyBorder="1" applyFont="1">
      <alignment horizontal="left" shrinkToFit="0" vertical="top" wrapText="0"/>
    </xf>
    <xf borderId="139" fillId="0" fontId="18" numFmtId="0" xfId="0" applyAlignment="1" applyBorder="1" applyFont="1">
      <alignment horizontal="left" readingOrder="0" shrinkToFit="0" vertical="top" wrapText="0"/>
    </xf>
    <xf borderId="2" fillId="0" fontId="1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140" fillId="0" fontId="2" numFmtId="0" xfId="0" applyBorder="1" applyFont="1"/>
    <xf borderId="141" fillId="3" fontId="1" numFmtId="0" xfId="0" applyAlignment="1" applyBorder="1" applyFont="1">
      <alignment horizontal="center" readingOrder="0" shrinkToFit="0" vertical="center" wrapText="1"/>
    </xf>
    <xf borderId="142" fillId="3" fontId="19" numFmtId="0" xfId="0" applyAlignment="1" applyBorder="1" applyFont="1">
      <alignment horizontal="center" readingOrder="0" shrinkToFit="0" vertical="center" wrapText="1"/>
    </xf>
    <xf borderId="143" fillId="3" fontId="19" numFmtId="0" xfId="0" applyAlignment="1" applyBorder="1" applyFont="1">
      <alignment horizontal="center" readingOrder="0" shrinkToFit="0" vertical="center" wrapText="1"/>
    </xf>
    <xf borderId="143" fillId="3" fontId="19" numFmtId="0" xfId="0" applyAlignment="1" applyBorder="1" applyFont="1">
      <alignment horizontal="left" readingOrder="0" shrinkToFit="0" vertical="center" wrapText="1"/>
    </xf>
    <xf borderId="144" fillId="0" fontId="20" numFmtId="0" xfId="0" applyAlignment="1" applyBorder="1" applyFont="1">
      <alignment horizontal="center" readingOrder="0" shrinkToFit="0" vertical="center" wrapText="1"/>
    </xf>
    <xf borderId="143" fillId="3" fontId="3" numFmtId="0" xfId="0" applyAlignment="1" applyBorder="1" applyFont="1">
      <alignment horizontal="center" readingOrder="0" shrinkToFit="0" vertical="center" wrapText="1"/>
    </xf>
    <xf borderId="143" fillId="0" fontId="2" numFmtId="0" xfId="0" applyBorder="1" applyFont="1"/>
    <xf borderId="145" fillId="0" fontId="2" numFmtId="0" xfId="0" applyBorder="1" applyFont="1"/>
    <xf borderId="143" fillId="3" fontId="21" numFmtId="0" xfId="0" applyAlignment="1" applyBorder="1" applyFont="1">
      <alignment horizontal="center" readingOrder="0" shrinkToFit="0" vertical="center" wrapText="1"/>
    </xf>
    <xf borderId="146" fillId="3" fontId="3" numFmtId="0" xfId="0" applyAlignment="1" applyBorder="1" applyFont="1">
      <alignment horizontal="center" readingOrder="0" shrinkToFit="0" vertical="center" wrapText="1"/>
    </xf>
    <xf borderId="147" fillId="0" fontId="2" numFmtId="0" xfId="0" applyBorder="1" applyFont="1"/>
    <xf borderId="148" fillId="4" fontId="6" numFmtId="0" xfId="0" applyAlignment="1" applyBorder="1" applyFont="1">
      <alignment horizontal="center" readingOrder="0" shrinkToFit="0" vertical="center" wrapText="1"/>
    </xf>
    <xf borderId="149" fillId="4" fontId="6" numFmtId="0" xfId="0" applyAlignment="1" applyBorder="1" applyFont="1">
      <alignment horizontal="center" readingOrder="0" shrinkToFit="0" vertical="center" wrapText="1"/>
    </xf>
    <xf borderId="150" fillId="4" fontId="6" numFmtId="0" xfId="0" applyAlignment="1" applyBorder="1" applyFont="1">
      <alignment horizontal="center" readingOrder="0" shrinkToFit="0" vertical="center" wrapText="1"/>
    </xf>
    <xf borderId="2" fillId="4" fontId="6" numFmtId="0" xfId="0" applyAlignment="1" applyBorder="1" applyFont="1">
      <alignment horizontal="center" readingOrder="0" shrinkToFit="0" vertical="center" wrapText="1"/>
    </xf>
    <xf borderId="151" fillId="0" fontId="6" numFmtId="0" xfId="0" applyAlignment="1" applyBorder="1" applyFont="1">
      <alignment horizontal="center" readingOrder="0" shrinkToFit="0" vertical="center" wrapText="1"/>
    </xf>
    <xf borderId="2" fillId="0" fontId="6" numFmtId="0" xfId="0" applyAlignment="1" applyBorder="1" applyFont="1">
      <alignment horizontal="center" readingOrder="0" shrinkToFit="0" vertical="center" wrapText="1"/>
    </xf>
    <xf borderId="152" fillId="4" fontId="6" numFmtId="0" xfId="0" applyAlignment="1" applyBorder="1" applyFont="1">
      <alignment horizontal="center" readingOrder="0" shrinkToFit="0" vertical="center" wrapText="1"/>
    </xf>
    <xf borderId="151" fillId="4" fontId="6" numFmtId="0" xfId="0" applyAlignment="1" applyBorder="1" applyFont="1">
      <alignment horizontal="center" readingOrder="0" shrinkToFit="0" vertical="center" wrapText="1"/>
    </xf>
    <xf borderId="153" fillId="10" fontId="6" numFmtId="0" xfId="0" applyAlignment="1" applyBorder="1" applyFont="1">
      <alignment horizontal="center" readingOrder="0" shrinkToFit="0" vertical="center" wrapText="1"/>
    </xf>
    <xf borderId="151" fillId="6" fontId="9" numFmtId="0" xfId="0" applyAlignment="1" applyBorder="1" applyFont="1">
      <alignment horizontal="center" readingOrder="0" shrinkToFit="0" vertical="center" wrapText="1"/>
    </xf>
    <xf borderId="151" fillId="7" fontId="9" numFmtId="0" xfId="0" applyAlignment="1" applyBorder="1" applyFont="1">
      <alignment horizontal="center" readingOrder="0" shrinkToFit="0" vertical="center" wrapText="1"/>
    </xf>
    <xf borderId="151" fillId="8" fontId="9" numFmtId="0" xfId="0" applyAlignment="1" applyBorder="1" applyFont="1">
      <alignment horizontal="center" readingOrder="0" shrinkToFit="0" vertical="center" wrapText="1"/>
    </xf>
    <xf borderId="151" fillId="2" fontId="9" numFmtId="0" xfId="0" applyAlignment="1" applyBorder="1" applyFont="1">
      <alignment horizontal="center" readingOrder="0" shrinkToFit="0" vertical="center" wrapText="1"/>
    </xf>
    <xf borderId="151" fillId="4" fontId="9" numFmtId="0" xfId="0" applyAlignment="1" applyBorder="1" applyFont="1">
      <alignment horizontal="center" readingOrder="0" shrinkToFit="0" vertical="center" wrapText="1"/>
    </xf>
    <xf borderId="151" fillId="9" fontId="9" numFmtId="0" xfId="0" applyAlignment="1" applyBorder="1" applyFont="1">
      <alignment horizontal="center" readingOrder="0" shrinkToFit="0" vertical="center" wrapText="1"/>
    </xf>
    <xf borderId="151" fillId="3" fontId="9" numFmtId="0" xfId="0" applyAlignment="1" applyBorder="1" applyFont="1">
      <alignment horizontal="center" readingOrder="0" shrinkToFit="0" vertical="center" wrapText="1"/>
    </xf>
    <xf borderId="151" fillId="5" fontId="9" numFmtId="0" xfId="0" applyAlignment="1" applyBorder="1" applyFont="1">
      <alignment horizontal="center" readingOrder="0" shrinkToFit="0" vertical="center" wrapText="1"/>
    </xf>
    <xf borderId="151" fillId="10" fontId="9" numFmtId="0" xfId="0" applyAlignment="1" applyBorder="1" applyFont="1">
      <alignment horizontal="center" readingOrder="0" shrinkToFit="0" vertical="center" wrapText="1"/>
    </xf>
    <xf borderId="154" fillId="11" fontId="4" numFmtId="0" xfId="0" applyAlignment="1" applyBorder="1" applyFont="1">
      <alignment horizontal="center" vertical="center"/>
    </xf>
    <xf borderId="2" fillId="6" fontId="9" numFmtId="0" xfId="0" applyAlignment="1" applyBorder="1" applyFont="1">
      <alignment horizontal="center" readingOrder="0" shrinkToFit="0" vertical="center" wrapText="1"/>
    </xf>
    <xf borderId="152" fillId="8" fontId="9" numFmtId="0" xfId="0" applyAlignment="1" applyBorder="1" applyFont="1">
      <alignment horizontal="center" readingOrder="0" shrinkToFit="0" vertical="center" wrapText="1"/>
    </xf>
    <xf borderId="152" fillId="2" fontId="9" numFmtId="0" xfId="0" applyAlignment="1" applyBorder="1" applyFont="1">
      <alignment horizontal="center" readingOrder="0" shrinkToFit="0" vertical="center" wrapText="1"/>
    </xf>
    <xf borderId="152" fillId="4" fontId="9" numFmtId="0" xfId="0" applyAlignment="1" applyBorder="1" applyFont="1">
      <alignment horizontal="center" readingOrder="0" shrinkToFit="0" vertical="center" wrapText="1"/>
    </xf>
    <xf borderId="152" fillId="9" fontId="9" numFmtId="0" xfId="0" applyAlignment="1" applyBorder="1" applyFont="1">
      <alignment horizontal="center" readingOrder="0" shrinkToFit="0" vertical="center" wrapText="1"/>
    </xf>
    <xf borderId="152" fillId="3" fontId="9" numFmtId="0" xfId="0" applyAlignment="1" applyBorder="1" applyFont="1">
      <alignment horizontal="center" readingOrder="0" shrinkToFit="0" vertical="center" wrapText="1"/>
    </xf>
    <xf borderId="152" fillId="5" fontId="9" numFmtId="0" xfId="0" applyAlignment="1" applyBorder="1" applyFont="1">
      <alignment horizontal="center" readingOrder="0" shrinkToFit="0" vertical="center" wrapText="1"/>
    </xf>
    <xf borderId="2" fillId="11" fontId="4" numFmtId="0" xfId="0" applyAlignment="1" applyBorder="1" applyFont="1">
      <alignment horizontal="center" vertical="center"/>
    </xf>
    <xf borderId="2" fillId="2" fontId="9" numFmtId="0" xfId="0" applyAlignment="1" applyBorder="1" applyFont="1">
      <alignment horizontal="center" readingOrder="0" shrinkToFit="0" vertical="center" wrapText="1"/>
    </xf>
    <xf borderId="2" fillId="4" fontId="9" numFmtId="0" xfId="0" applyAlignment="1" applyBorder="1" applyFont="1">
      <alignment horizontal="center" readingOrder="0" shrinkToFit="0" vertical="center" wrapText="1"/>
    </xf>
    <xf borderId="2" fillId="9" fontId="9" numFmtId="0" xfId="0" applyAlignment="1" applyBorder="1" applyFont="1">
      <alignment horizontal="center" readingOrder="0" shrinkToFit="0" vertical="center" wrapText="1"/>
    </xf>
    <xf borderId="2" fillId="3" fontId="9" numFmtId="0" xfId="0" applyAlignment="1" applyBorder="1" applyFont="1">
      <alignment horizontal="center" readingOrder="0" shrinkToFit="0" vertical="center" wrapText="1"/>
    </xf>
    <xf borderId="155" fillId="7" fontId="9" numFmtId="0" xfId="0" applyAlignment="1" applyBorder="1" applyFont="1">
      <alignment horizontal="center" readingOrder="0" shrinkToFit="0" vertical="center" wrapText="1"/>
    </xf>
    <xf borderId="156" fillId="8" fontId="9" numFmtId="0" xfId="0" applyAlignment="1" applyBorder="1" applyFont="1">
      <alignment horizontal="center" readingOrder="0" shrinkToFit="0" vertical="center" wrapText="1"/>
    </xf>
    <xf borderId="140" fillId="2" fontId="6" numFmtId="0" xfId="0" applyAlignment="1" applyBorder="1" applyFont="1">
      <alignment horizontal="center" readingOrder="0" shrinkToFit="0" vertical="center" wrapText="1"/>
    </xf>
    <xf borderId="140" fillId="4" fontId="6" numFmtId="0" xfId="0" applyAlignment="1" applyBorder="1" applyFont="1">
      <alignment horizontal="center" readingOrder="0" shrinkToFit="0" vertical="center" wrapText="1"/>
    </xf>
    <xf borderId="140" fillId="9" fontId="6" numFmtId="0" xfId="0" applyAlignment="1" applyBorder="1" applyFont="1">
      <alignment horizontal="center" readingOrder="0" shrinkToFit="0" vertical="center" wrapText="1"/>
    </xf>
    <xf borderId="140"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1"/>
    </xf>
    <xf borderId="157" fillId="5" fontId="6" numFmtId="0" xfId="0" applyAlignment="1" applyBorder="1" applyFont="1">
      <alignment horizontal="center" readingOrder="0" shrinkToFit="0" vertical="center" wrapText="1"/>
    </xf>
    <xf borderId="140" fillId="11" fontId="4" numFmtId="0" xfId="0" applyAlignment="1" applyBorder="1" applyFont="1">
      <alignment horizontal="center" vertical="center"/>
    </xf>
    <xf borderId="1" fillId="12" fontId="10" numFmtId="0" xfId="0" applyAlignment="1" applyBorder="1" applyFont="1">
      <alignment horizontal="left" readingOrder="0" shrinkToFit="0" vertical="center" wrapText="0"/>
    </xf>
    <xf borderId="2" fillId="12" fontId="10" numFmtId="0" xfId="0" applyAlignment="1" applyBorder="1" applyFont="1">
      <alignment horizontal="center" readingOrder="0" shrinkToFit="0" vertical="center" wrapText="1"/>
    </xf>
    <xf borderId="140" fillId="12" fontId="10" numFmtId="0" xfId="0" applyAlignment="1" applyBorder="1" applyFont="1">
      <alignment horizontal="center" readingOrder="0" shrinkToFit="0" vertical="center" wrapText="1"/>
    </xf>
    <xf borderId="68" fillId="9" fontId="10" numFmtId="0" xfId="0" applyAlignment="1" applyBorder="1" applyFont="1">
      <alignment horizontal="center" readingOrder="0" shrinkToFit="0" vertical="center" wrapText="0"/>
    </xf>
    <xf borderId="30" fillId="0" fontId="10" numFmtId="0" xfId="0" applyAlignment="1" applyBorder="1" applyFont="1">
      <alignment horizontal="center" readingOrder="0" shrinkToFit="0" vertical="center" wrapText="0"/>
    </xf>
    <xf borderId="112" fillId="0" fontId="10" numFmtId="164" xfId="0" applyAlignment="1" applyBorder="1" applyFont="1" applyNumberFormat="1">
      <alignment horizontal="center" shrinkToFit="0" wrapText="1"/>
    </xf>
    <xf borderId="30" fillId="0" fontId="10" numFmtId="0" xfId="0" applyAlignment="1" applyBorder="1" applyFont="1">
      <alignment horizontal="center" readingOrder="0" shrinkToFit="0" vertical="center" wrapText="1"/>
    </xf>
    <xf borderId="158" fillId="0" fontId="9" numFmtId="10" xfId="0" applyAlignment="1" applyBorder="1" applyFont="1" applyNumberFormat="1">
      <alignment horizontal="center" readingOrder="0" shrinkToFit="0" vertical="center" wrapText="1"/>
    </xf>
    <xf borderId="52" fillId="0" fontId="10" numFmtId="9" xfId="0" applyAlignment="1" applyBorder="1" applyFont="1" applyNumberFormat="1">
      <alignment horizontal="center" readingOrder="0" shrinkToFit="0" vertical="center" wrapText="1"/>
    </xf>
    <xf borderId="52" fillId="0" fontId="10" numFmtId="10" xfId="0" applyAlignment="1" applyBorder="1" applyFont="1" applyNumberFormat="1">
      <alignment horizontal="center" readingOrder="0" shrinkToFit="0" vertical="center" wrapText="1"/>
    </xf>
    <xf borderId="159" fillId="0" fontId="10" numFmtId="9" xfId="0" applyAlignment="1" applyBorder="1" applyFont="1" applyNumberFormat="1">
      <alignment horizontal="center" readingOrder="0" shrinkToFit="0" vertical="center" wrapText="1"/>
    </xf>
    <xf borderId="39" fillId="11" fontId="4" numFmtId="9" xfId="0" applyAlignment="1" applyBorder="1" applyFont="1" applyNumberFormat="1">
      <alignment horizontal="center" vertical="center"/>
    </xf>
    <xf borderId="160" fillId="0" fontId="10" numFmtId="9" xfId="0" applyAlignment="1" applyBorder="1" applyFont="1" applyNumberFormat="1">
      <alignment horizontal="center" readingOrder="0" shrinkToFit="0" vertical="center" wrapText="1"/>
    </xf>
    <xf borderId="39" fillId="0" fontId="10" numFmtId="9" xfId="0" applyAlignment="1" applyBorder="1" applyFont="1" applyNumberFormat="1">
      <alignment horizontal="center" readingOrder="0" shrinkToFit="0" vertical="center" wrapText="1"/>
    </xf>
    <xf borderId="161" fillId="11" fontId="4" numFmtId="9" xfId="0" applyAlignment="1" applyBorder="1" applyFont="1" applyNumberFormat="1">
      <alignment horizontal="center" vertical="center"/>
    </xf>
    <xf borderId="0" fillId="0" fontId="10" numFmtId="0" xfId="0" applyAlignment="1" applyFont="1">
      <alignment horizontal="center" readingOrder="0" vertical="center"/>
    </xf>
    <xf borderId="55" fillId="0" fontId="10" numFmtId="0" xfId="0" applyAlignment="1" applyBorder="1" applyFont="1">
      <alignment horizontal="center" readingOrder="0" shrinkToFit="0" vertical="center" wrapText="0"/>
    </xf>
    <xf borderId="63" fillId="27" fontId="10" numFmtId="0" xfId="0" applyAlignment="1" applyBorder="1" applyFill="1" applyFont="1">
      <alignment horizontal="center" readingOrder="0" shrinkToFit="0" vertical="center" wrapText="1"/>
    </xf>
    <xf borderId="158" fillId="0" fontId="9" numFmtId="9" xfId="0" applyAlignment="1" applyBorder="1" applyFont="1" applyNumberFormat="1">
      <alignment horizontal="center" readingOrder="0" shrinkToFit="0" vertical="center" wrapText="1"/>
    </xf>
    <xf borderId="46" fillId="0" fontId="10" numFmtId="9" xfId="0" applyAlignment="1" applyBorder="1" applyFont="1" applyNumberFormat="1">
      <alignment horizontal="center" readingOrder="0" shrinkToFit="0" vertical="center" wrapText="1"/>
    </xf>
    <xf borderId="40" fillId="0" fontId="10" numFmtId="9" xfId="0" applyAlignment="1" applyBorder="1" applyFont="1" applyNumberFormat="1">
      <alignment horizontal="center" readingOrder="0" shrinkToFit="0" vertical="center" wrapText="1"/>
    </xf>
    <xf borderId="47" fillId="0" fontId="10" numFmtId="9" xfId="0" applyAlignment="1" applyBorder="1" applyFont="1" applyNumberFormat="1">
      <alignment horizontal="center" readingOrder="0" shrinkToFit="0" vertical="center" wrapText="1"/>
    </xf>
    <xf borderId="47" fillId="11" fontId="4" numFmtId="9" xfId="0" applyAlignment="1" applyBorder="1" applyFont="1" applyNumberFormat="1">
      <alignment horizontal="center" vertical="center"/>
    </xf>
    <xf borderId="162" fillId="11" fontId="4" numFmtId="9" xfId="0" applyAlignment="1" applyBorder="1" applyFont="1" applyNumberFormat="1">
      <alignment horizontal="center" vertical="center"/>
    </xf>
    <xf borderId="0" fillId="0" fontId="10" numFmtId="9" xfId="0" applyAlignment="1" applyFont="1" applyNumberFormat="1">
      <alignment horizontal="center" readingOrder="0" shrinkToFit="0" vertical="center" wrapText="1"/>
    </xf>
    <xf borderId="63" fillId="0" fontId="22" numFmtId="0" xfId="0" applyAlignment="1" applyBorder="1" applyFont="1">
      <alignment horizontal="center" readingOrder="0" shrinkToFit="0" vertical="center" wrapText="1"/>
    </xf>
    <xf borderId="61" fillId="13" fontId="10" numFmtId="167" xfId="0" applyAlignment="1" applyBorder="1" applyFont="1" applyNumberFormat="1">
      <alignment horizontal="center" readingOrder="0" shrinkToFit="0" vertical="center" wrapText="1"/>
    </xf>
    <xf borderId="163" fillId="13" fontId="10" numFmtId="167" xfId="0" applyAlignment="1" applyBorder="1" applyFont="1" applyNumberFormat="1">
      <alignment horizontal="center" readingOrder="0" shrinkToFit="0" vertical="center" wrapText="1"/>
    </xf>
    <xf borderId="46" fillId="13" fontId="10" numFmtId="167" xfId="0" applyAlignment="1" applyBorder="1" applyFont="1" applyNumberFormat="1">
      <alignment horizontal="center" readingOrder="0" shrinkToFit="0" vertical="center" wrapText="1"/>
    </xf>
    <xf borderId="164" fillId="13" fontId="10" numFmtId="167" xfId="0" applyAlignment="1" applyBorder="1" applyFont="1" applyNumberFormat="1">
      <alignment horizontal="center" readingOrder="0" shrinkToFit="0" vertical="center" wrapText="1"/>
    </xf>
    <xf borderId="165" fillId="13" fontId="10" numFmtId="167" xfId="0" applyAlignment="1" applyBorder="1" applyFont="1" applyNumberFormat="1">
      <alignment horizontal="center" readingOrder="0" shrinkToFit="0" vertical="center" wrapText="1"/>
    </xf>
    <xf borderId="57" fillId="13" fontId="10" numFmtId="167" xfId="0" applyAlignment="1" applyBorder="1" applyFont="1" applyNumberFormat="1">
      <alignment horizontal="center" readingOrder="0" shrinkToFit="0" vertical="center" wrapText="1"/>
    </xf>
    <xf borderId="166" fillId="13" fontId="10" numFmtId="167" xfId="0" applyAlignment="1" applyBorder="1" applyFont="1" applyNumberFormat="1">
      <alignment horizontal="center" readingOrder="0" shrinkToFit="0" vertical="center" wrapText="1"/>
    </xf>
    <xf borderId="40" fillId="13" fontId="10" numFmtId="167" xfId="0" applyAlignment="1" applyBorder="1" applyFont="1" applyNumberFormat="1">
      <alignment horizontal="center" readingOrder="0" shrinkToFit="0" vertical="center" wrapText="1"/>
    </xf>
    <xf borderId="167" fillId="13" fontId="10" numFmtId="167" xfId="0" applyAlignment="1" applyBorder="1" applyFont="1" applyNumberFormat="1">
      <alignment horizontal="center" readingOrder="0" shrinkToFit="0" vertical="center" wrapText="1"/>
    </xf>
    <xf borderId="0" fillId="0" fontId="10" numFmtId="167" xfId="0" applyAlignment="1" applyFont="1" applyNumberFormat="1">
      <alignment horizontal="center" readingOrder="0" shrinkToFit="0" vertical="center" wrapText="1"/>
    </xf>
    <xf borderId="61" fillId="14" fontId="10" numFmtId="167" xfId="0" applyAlignment="1" applyBorder="1" applyFont="1" applyNumberFormat="1">
      <alignment horizontal="center" readingOrder="0" shrinkToFit="0" vertical="center" wrapText="1"/>
    </xf>
    <xf borderId="163" fillId="14" fontId="10" numFmtId="167" xfId="0" applyAlignment="1" applyBorder="1" applyFont="1" applyNumberFormat="1">
      <alignment horizontal="center" readingOrder="0" shrinkToFit="0" vertical="center" wrapText="1"/>
    </xf>
    <xf borderId="168" fillId="14" fontId="10" numFmtId="167" xfId="0" applyAlignment="1" applyBorder="1" applyFont="1" applyNumberFormat="1">
      <alignment horizontal="center" readingOrder="0" shrinkToFit="0" vertical="center" wrapText="1"/>
    </xf>
    <xf borderId="46" fillId="14" fontId="10" numFmtId="167" xfId="0" applyAlignment="1" applyBorder="1" applyFont="1" applyNumberFormat="1">
      <alignment horizontal="center" readingOrder="0" shrinkToFit="0" vertical="center" wrapText="1"/>
    </xf>
    <xf borderId="164" fillId="14" fontId="10" numFmtId="167" xfId="0" applyAlignment="1" applyBorder="1" applyFont="1" applyNumberFormat="1">
      <alignment horizontal="center" readingOrder="0" shrinkToFit="0" vertical="center" wrapText="1"/>
    </xf>
    <xf borderId="165" fillId="14" fontId="10" numFmtId="167" xfId="0" applyAlignment="1" applyBorder="1" applyFont="1" applyNumberFormat="1">
      <alignment horizontal="center" readingOrder="0" shrinkToFit="0" vertical="center" wrapText="1"/>
    </xf>
    <xf borderId="57" fillId="14" fontId="10" numFmtId="167" xfId="0" applyAlignment="1" applyBorder="1" applyFont="1" applyNumberFormat="1">
      <alignment horizontal="center" readingOrder="0" shrinkToFit="0" vertical="center" wrapText="1"/>
    </xf>
    <xf borderId="166" fillId="14" fontId="10" numFmtId="167" xfId="0" applyAlignment="1" applyBorder="1" applyFont="1" applyNumberFormat="1">
      <alignment horizontal="center" readingOrder="0" shrinkToFit="0" vertical="center" wrapText="1"/>
    </xf>
    <xf borderId="40" fillId="14" fontId="10" numFmtId="167" xfId="0" applyAlignment="1" applyBorder="1" applyFont="1" applyNumberFormat="1">
      <alignment horizontal="center" readingOrder="0" shrinkToFit="0" vertical="center" wrapText="1"/>
    </xf>
    <xf borderId="167" fillId="14" fontId="10" numFmtId="167" xfId="0" applyAlignment="1" applyBorder="1" applyFont="1" applyNumberFormat="1">
      <alignment horizontal="center" readingOrder="0" shrinkToFit="0" vertical="center" wrapText="1"/>
    </xf>
    <xf borderId="0" fillId="0" fontId="10" numFmtId="167" xfId="0" applyAlignment="1" applyFont="1" applyNumberFormat="1">
      <alignment horizontal="center" vertical="center"/>
    </xf>
    <xf borderId="169" fillId="14" fontId="10" numFmtId="167" xfId="0" applyAlignment="1" applyBorder="1" applyFont="1" applyNumberFormat="1">
      <alignment horizontal="center" readingOrder="0" shrinkToFit="0" vertical="center" wrapText="1"/>
    </xf>
    <xf borderId="61" fillId="13" fontId="10" numFmtId="167" xfId="0" applyAlignment="1" applyBorder="1" applyFont="1" applyNumberFormat="1">
      <alignment horizontal="center" readingOrder="0" vertical="center"/>
    </xf>
    <xf borderId="163" fillId="13" fontId="10" numFmtId="167" xfId="0" applyAlignment="1" applyBorder="1" applyFont="1" applyNumberFormat="1">
      <alignment horizontal="center" readingOrder="0" vertical="center"/>
    </xf>
    <xf borderId="46" fillId="13" fontId="10" numFmtId="167" xfId="0" applyAlignment="1" applyBorder="1" applyFont="1" applyNumberFormat="1">
      <alignment horizontal="center" readingOrder="0" vertical="center"/>
    </xf>
    <xf borderId="164" fillId="13" fontId="10" numFmtId="167" xfId="0" applyAlignment="1" applyBorder="1" applyFont="1" applyNumberFormat="1">
      <alignment horizontal="center" readingOrder="0" vertical="center"/>
    </xf>
    <xf borderId="165" fillId="13" fontId="10" numFmtId="167" xfId="0" applyAlignment="1" applyBorder="1" applyFont="1" applyNumberFormat="1">
      <alignment horizontal="center" readingOrder="0" vertical="center"/>
    </xf>
    <xf borderId="57" fillId="13" fontId="10" numFmtId="167" xfId="0" applyAlignment="1" applyBorder="1" applyFont="1" applyNumberFormat="1">
      <alignment horizontal="center" readingOrder="0" vertical="center"/>
    </xf>
    <xf borderId="166" fillId="13" fontId="10" numFmtId="167" xfId="0" applyAlignment="1" applyBorder="1" applyFont="1" applyNumberFormat="1">
      <alignment horizontal="center" readingOrder="0" vertical="center"/>
    </xf>
    <xf borderId="40" fillId="13" fontId="10" numFmtId="167" xfId="0" applyAlignment="1" applyBorder="1" applyFont="1" applyNumberFormat="1">
      <alignment horizontal="center" readingOrder="0" vertical="center"/>
    </xf>
    <xf borderId="167" fillId="13" fontId="10" numFmtId="167" xfId="0" applyAlignment="1" applyBorder="1" applyFont="1" applyNumberFormat="1">
      <alignment horizontal="center" readingOrder="0" vertical="center"/>
    </xf>
    <xf borderId="61" fillId="14" fontId="10" numFmtId="0" xfId="0" applyAlignment="1" applyBorder="1" applyFont="1">
      <alignment horizontal="center" readingOrder="0" shrinkToFit="0" vertical="center" wrapText="1"/>
    </xf>
    <xf borderId="163" fillId="14" fontId="10" numFmtId="0" xfId="0" applyAlignment="1" applyBorder="1" applyFont="1">
      <alignment horizontal="center" readingOrder="0" shrinkToFit="0" vertical="center" wrapText="1"/>
    </xf>
    <xf borderId="46" fillId="14" fontId="10" numFmtId="0" xfId="0" applyAlignment="1" applyBorder="1" applyFont="1">
      <alignment horizontal="center" readingOrder="0" shrinkToFit="0" vertical="center" wrapText="1"/>
    </xf>
    <xf borderId="164" fillId="14" fontId="10" numFmtId="0" xfId="0" applyAlignment="1" applyBorder="1" applyFont="1">
      <alignment horizontal="center" readingOrder="0" shrinkToFit="0" vertical="center" wrapText="1"/>
    </xf>
    <xf borderId="165" fillId="14" fontId="10" numFmtId="0" xfId="0" applyAlignment="1" applyBorder="1" applyFont="1">
      <alignment horizontal="center" readingOrder="0" shrinkToFit="0" vertical="center" wrapText="1"/>
    </xf>
    <xf borderId="166" fillId="14" fontId="10" numFmtId="0" xfId="0" applyAlignment="1" applyBorder="1" applyFont="1">
      <alignment horizontal="center" readingOrder="0" shrinkToFit="0" vertical="center" wrapText="1"/>
    </xf>
    <xf borderId="40" fillId="14" fontId="10" numFmtId="0" xfId="0" applyAlignment="1" applyBorder="1" applyFont="1">
      <alignment horizontal="center" readingOrder="0" shrinkToFit="0" vertical="center" wrapText="1"/>
    </xf>
    <xf borderId="167" fillId="14" fontId="10" numFmtId="0" xfId="0" applyAlignment="1" applyBorder="1" applyFont="1">
      <alignment horizontal="center" readingOrder="0" shrinkToFit="0" vertical="center" wrapText="1"/>
    </xf>
    <xf borderId="61" fillId="15" fontId="10" numFmtId="167" xfId="0" applyAlignment="1" applyBorder="1" applyFont="1" applyNumberFormat="1">
      <alignment horizontal="center" readingOrder="0" shrinkToFit="0" vertical="center" wrapText="1"/>
    </xf>
    <xf borderId="163" fillId="15" fontId="10" numFmtId="167" xfId="0" applyAlignment="1" applyBorder="1" applyFont="1" applyNumberFormat="1">
      <alignment horizontal="center" readingOrder="0" shrinkToFit="0" vertical="center" wrapText="1"/>
    </xf>
    <xf borderId="46" fillId="15" fontId="10" numFmtId="167" xfId="0" applyAlignment="1" applyBorder="1" applyFont="1" applyNumberFormat="1">
      <alignment horizontal="center" readingOrder="0" shrinkToFit="0" vertical="center" wrapText="1"/>
    </xf>
    <xf borderId="164" fillId="15" fontId="10" numFmtId="167" xfId="0" applyAlignment="1" applyBorder="1" applyFont="1" applyNumberFormat="1">
      <alignment horizontal="center" readingOrder="0" shrinkToFit="0" vertical="center" wrapText="1"/>
    </xf>
    <xf borderId="165" fillId="15" fontId="10" numFmtId="167" xfId="0" applyAlignment="1" applyBorder="1" applyFont="1" applyNumberFormat="1">
      <alignment horizontal="center" readingOrder="0" shrinkToFit="0" vertical="center" wrapText="1"/>
    </xf>
    <xf borderId="57" fillId="15" fontId="10" numFmtId="167" xfId="0" applyAlignment="1" applyBorder="1" applyFont="1" applyNumberFormat="1">
      <alignment horizontal="center" readingOrder="0" shrinkToFit="0" vertical="center" wrapText="1"/>
    </xf>
    <xf borderId="166" fillId="15" fontId="10" numFmtId="167" xfId="0" applyAlignment="1" applyBorder="1" applyFont="1" applyNumberFormat="1">
      <alignment horizontal="center" readingOrder="0" shrinkToFit="0" vertical="center" wrapText="1"/>
    </xf>
    <xf borderId="40" fillId="15" fontId="10" numFmtId="167" xfId="0" applyAlignment="1" applyBorder="1" applyFont="1" applyNumberFormat="1">
      <alignment horizontal="center" readingOrder="0" shrinkToFit="0" vertical="center" wrapText="1"/>
    </xf>
    <xf borderId="167" fillId="15" fontId="10" numFmtId="167" xfId="0" applyAlignment="1" applyBorder="1" applyFont="1" applyNumberFormat="1">
      <alignment horizontal="center" readingOrder="0" shrinkToFit="0" vertical="center" wrapText="1"/>
    </xf>
    <xf borderId="61" fillId="16" fontId="10" numFmtId="167" xfId="0" applyAlignment="1" applyBorder="1" applyFont="1" applyNumberFormat="1">
      <alignment horizontal="center" readingOrder="0" shrinkToFit="0" vertical="center" wrapText="1"/>
    </xf>
    <xf borderId="163" fillId="16" fontId="10" numFmtId="167" xfId="0" applyAlignment="1" applyBorder="1" applyFont="1" applyNumberFormat="1">
      <alignment horizontal="center" readingOrder="0" shrinkToFit="0" vertical="center" wrapText="1"/>
    </xf>
    <xf borderId="46" fillId="16" fontId="10" numFmtId="167" xfId="0" applyAlignment="1" applyBorder="1" applyFont="1" applyNumberFormat="1">
      <alignment horizontal="center" readingOrder="0" shrinkToFit="0" vertical="center" wrapText="1"/>
    </xf>
    <xf borderId="164" fillId="16" fontId="10" numFmtId="167" xfId="0" applyAlignment="1" applyBorder="1" applyFont="1" applyNumberFormat="1">
      <alignment horizontal="center" readingOrder="0" shrinkToFit="0" vertical="center" wrapText="1"/>
    </xf>
    <xf borderId="165" fillId="16" fontId="10" numFmtId="167" xfId="0" applyAlignment="1" applyBorder="1" applyFont="1" applyNumberFormat="1">
      <alignment horizontal="center" readingOrder="0" shrinkToFit="0" vertical="center" wrapText="1"/>
    </xf>
    <xf borderId="57" fillId="16" fontId="10" numFmtId="167" xfId="0" applyAlignment="1" applyBorder="1" applyFont="1" applyNumberFormat="1">
      <alignment horizontal="center" readingOrder="0" shrinkToFit="0" vertical="center" wrapText="1"/>
    </xf>
    <xf borderId="166" fillId="16" fontId="10" numFmtId="167" xfId="0" applyAlignment="1" applyBorder="1" applyFont="1" applyNumberFormat="1">
      <alignment horizontal="center" readingOrder="0" shrinkToFit="0" vertical="center" wrapText="1"/>
    </xf>
    <xf borderId="40" fillId="16" fontId="10" numFmtId="167" xfId="0" applyAlignment="1" applyBorder="1" applyFont="1" applyNumberFormat="1">
      <alignment horizontal="center" readingOrder="0" shrinkToFit="0" vertical="center" wrapText="1"/>
    </xf>
    <xf borderId="167" fillId="16" fontId="10" numFmtId="167" xfId="0" applyAlignment="1" applyBorder="1" applyFont="1" applyNumberFormat="1">
      <alignment horizontal="center" readingOrder="0" shrinkToFit="0" vertical="center" wrapText="1"/>
    </xf>
    <xf borderId="61" fillId="17" fontId="10" numFmtId="0" xfId="0" applyAlignment="1" applyBorder="1" applyFont="1">
      <alignment horizontal="center" readingOrder="0" shrinkToFit="0" vertical="center" wrapText="1"/>
    </xf>
    <xf borderId="163" fillId="17" fontId="10" numFmtId="0" xfId="0" applyAlignment="1" applyBorder="1" applyFont="1">
      <alignment horizontal="center" readingOrder="0" shrinkToFit="0" vertical="center" wrapText="1"/>
    </xf>
    <xf borderId="46" fillId="17" fontId="10" numFmtId="0" xfId="0" applyAlignment="1" applyBorder="1" applyFont="1">
      <alignment horizontal="center" readingOrder="0" shrinkToFit="0" vertical="center" wrapText="1"/>
    </xf>
    <xf borderId="164" fillId="17" fontId="10" numFmtId="0" xfId="0" applyAlignment="1" applyBorder="1" applyFont="1">
      <alignment horizontal="center" readingOrder="0" shrinkToFit="0" vertical="center" wrapText="1"/>
    </xf>
    <xf borderId="165" fillId="17" fontId="10" numFmtId="0" xfId="0" applyAlignment="1" applyBorder="1" applyFont="1">
      <alignment horizontal="center" readingOrder="0" shrinkToFit="0" vertical="center" wrapText="1"/>
    </xf>
    <xf borderId="166" fillId="17" fontId="10" numFmtId="0" xfId="0" applyAlignment="1" applyBorder="1" applyFont="1">
      <alignment horizontal="center" readingOrder="0" shrinkToFit="0" vertical="center" wrapText="1"/>
    </xf>
    <xf borderId="40" fillId="17" fontId="10" numFmtId="0" xfId="0" applyAlignment="1" applyBorder="1" applyFont="1">
      <alignment horizontal="center" readingOrder="0" shrinkToFit="0" vertical="center" wrapText="1"/>
    </xf>
    <xf borderId="167" fillId="17" fontId="10" numFmtId="0" xfId="0" applyAlignment="1" applyBorder="1" applyFont="1">
      <alignment horizontal="center" readingOrder="0" shrinkToFit="0" vertical="center" wrapText="1"/>
    </xf>
    <xf borderId="61" fillId="18" fontId="10" numFmtId="167" xfId="0" applyAlignment="1" applyBorder="1" applyFont="1" applyNumberFormat="1">
      <alignment horizontal="center" readingOrder="0" shrinkToFit="0" vertical="center" wrapText="1"/>
    </xf>
    <xf borderId="163" fillId="18" fontId="10" numFmtId="167" xfId="0" applyAlignment="1" applyBorder="1" applyFont="1" applyNumberFormat="1">
      <alignment horizontal="center" readingOrder="0" shrinkToFit="0" vertical="center" wrapText="1"/>
    </xf>
    <xf borderId="46" fillId="18" fontId="10" numFmtId="167" xfId="0" applyAlignment="1" applyBorder="1" applyFont="1" applyNumberFormat="1">
      <alignment horizontal="center" readingOrder="0" shrinkToFit="0" vertical="center" wrapText="1"/>
    </xf>
    <xf borderId="164" fillId="18" fontId="10" numFmtId="167" xfId="0" applyAlignment="1" applyBorder="1" applyFont="1" applyNumberFormat="1">
      <alignment horizontal="center" readingOrder="0" shrinkToFit="0" vertical="center" wrapText="1"/>
    </xf>
    <xf borderId="165" fillId="18" fontId="10" numFmtId="167" xfId="0" applyAlignment="1" applyBorder="1" applyFont="1" applyNumberFormat="1">
      <alignment horizontal="center" readingOrder="0" shrinkToFit="0" vertical="center" wrapText="1"/>
    </xf>
    <xf borderId="57" fillId="18" fontId="10" numFmtId="167" xfId="0" applyAlignment="1" applyBorder="1" applyFont="1" applyNumberFormat="1">
      <alignment horizontal="center" readingOrder="0" shrinkToFit="0" vertical="center" wrapText="1"/>
    </xf>
    <xf borderId="166" fillId="18" fontId="10" numFmtId="167" xfId="0" applyAlignment="1" applyBorder="1" applyFont="1" applyNumberFormat="1">
      <alignment horizontal="center" readingOrder="0" shrinkToFit="0" vertical="center" wrapText="1"/>
    </xf>
    <xf borderId="40" fillId="18" fontId="10" numFmtId="167" xfId="0" applyAlignment="1" applyBorder="1" applyFont="1" applyNumberFormat="1">
      <alignment horizontal="center" readingOrder="0" shrinkToFit="0" vertical="center" wrapText="1"/>
    </xf>
    <xf borderId="167" fillId="18" fontId="10" numFmtId="167" xfId="0" applyAlignment="1" applyBorder="1" applyFont="1" applyNumberFormat="1">
      <alignment horizontal="center" readingOrder="0" shrinkToFit="0" vertical="center" wrapText="1"/>
    </xf>
    <xf borderId="61" fillId="19" fontId="10" numFmtId="167" xfId="0" applyAlignment="1" applyBorder="1" applyFont="1" applyNumberFormat="1">
      <alignment horizontal="center" readingOrder="0" shrinkToFit="0" vertical="center" wrapText="1"/>
    </xf>
    <xf borderId="163" fillId="19" fontId="10" numFmtId="167" xfId="0" applyAlignment="1" applyBorder="1" applyFont="1" applyNumberFormat="1">
      <alignment horizontal="center" readingOrder="0" shrinkToFit="0" vertical="center" wrapText="1"/>
    </xf>
    <xf borderId="46" fillId="19" fontId="10" numFmtId="167" xfId="0" applyAlignment="1" applyBorder="1" applyFont="1" applyNumberFormat="1">
      <alignment horizontal="center" readingOrder="0" shrinkToFit="0" vertical="center" wrapText="1"/>
    </xf>
    <xf borderId="164" fillId="19" fontId="10" numFmtId="167" xfId="0" applyAlignment="1" applyBorder="1" applyFont="1" applyNumberFormat="1">
      <alignment horizontal="center" readingOrder="0" shrinkToFit="0" vertical="center" wrapText="1"/>
    </xf>
    <xf borderId="165" fillId="19" fontId="10" numFmtId="167" xfId="0" applyAlignment="1" applyBorder="1" applyFont="1" applyNumberFormat="1">
      <alignment horizontal="center" readingOrder="0" shrinkToFit="0" vertical="center" wrapText="1"/>
    </xf>
    <xf borderId="57" fillId="19" fontId="10" numFmtId="167" xfId="0" applyAlignment="1" applyBorder="1" applyFont="1" applyNumberFormat="1">
      <alignment horizontal="center" readingOrder="0" shrinkToFit="0" vertical="center" wrapText="1"/>
    </xf>
    <xf borderId="166" fillId="19" fontId="10" numFmtId="167" xfId="0" applyAlignment="1" applyBorder="1" applyFont="1" applyNumberFormat="1">
      <alignment horizontal="center" readingOrder="0" shrinkToFit="0" vertical="center" wrapText="1"/>
    </xf>
    <xf borderId="40" fillId="19" fontId="10" numFmtId="167" xfId="0" applyAlignment="1" applyBorder="1" applyFont="1" applyNumberFormat="1">
      <alignment horizontal="center" readingOrder="0" shrinkToFit="0" vertical="center" wrapText="1"/>
    </xf>
    <xf borderId="167" fillId="19" fontId="10" numFmtId="167" xfId="0" applyAlignment="1" applyBorder="1" applyFont="1" applyNumberFormat="1">
      <alignment horizontal="center" readingOrder="0" shrinkToFit="0" vertical="center" wrapText="1"/>
    </xf>
    <xf borderId="61" fillId="20" fontId="10" numFmtId="167" xfId="0" applyAlignment="1" applyBorder="1" applyFont="1" applyNumberFormat="1">
      <alignment horizontal="center" readingOrder="0" shrinkToFit="0" vertical="center" wrapText="1"/>
    </xf>
    <xf borderId="163" fillId="20" fontId="10" numFmtId="167" xfId="0" applyAlignment="1" applyBorder="1" applyFont="1" applyNumberFormat="1">
      <alignment horizontal="center" readingOrder="0" shrinkToFit="0" vertical="center" wrapText="1"/>
    </xf>
    <xf borderId="46" fillId="20" fontId="10" numFmtId="167" xfId="0" applyAlignment="1" applyBorder="1" applyFont="1" applyNumberFormat="1">
      <alignment horizontal="center" readingOrder="0" shrinkToFit="0" vertical="center" wrapText="1"/>
    </xf>
    <xf borderId="164" fillId="20" fontId="10" numFmtId="167" xfId="0" applyAlignment="1" applyBorder="1" applyFont="1" applyNumberFormat="1">
      <alignment horizontal="center" readingOrder="0" shrinkToFit="0" vertical="center" wrapText="1"/>
    </xf>
    <xf borderId="165" fillId="20" fontId="10" numFmtId="167" xfId="0" applyAlignment="1" applyBorder="1" applyFont="1" applyNumberFormat="1">
      <alignment horizontal="center" readingOrder="0" shrinkToFit="0" vertical="center" wrapText="1"/>
    </xf>
    <xf borderId="57" fillId="20" fontId="10" numFmtId="167" xfId="0" applyAlignment="1" applyBorder="1" applyFont="1" applyNumberFormat="1">
      <alignment horizontal="center" readingOrder="0" shrinkToFit="0" vertical="center" wrapText="1"/>
    </xf>
    <xf borderId="166" fillId="20" fontId="10" numFmtId="167" xfId="0" applyAlignment="1" applyBorder="1" applyFont="1" applyNumberFormat="1">
      <alignment horizontal="center" readingOrder="0" shrinkToFit="0" vertical="center" wrapText="1"/>
    </xf>
    <xf borderId="40" fillId="20" fontId="10" numFmtId="167" xfId="0" applyAlignment="1" applyBorder="1" applyFont="1" applyNumberFormat="1">
      <alignment horizontal="center" readingOrder="0" shrinkToFit="0" vertical="center" wrapText="1"/>
    </xf>
    <xf borderId="167" fillId="20" fontId="10" numFmtId="167" xfId="0" applyAlignment="1" applyBorder="1" applyFont="1" applyNumberFormat="1">
      <alignment horizontal="center" readingOrder="0" shrinkToFit="0" vertical="center" wrapText="1"/>
    </xf>
    <xf borderId="61" fillId="21" fontId="10" numFmtId="167" xfId="0" applyAlignment="1" applyBorder="1" applyFont="1" applyNumberFormat="1">
      <alignment horizontal="center" readingOrder="0" shrinkToFit="0" vertical="center" wrapText="1"/>
    </xf>
    <xf borderId="163" fillId="21" fontId="10" numFmtId="167" xfId="0" applyAlignment="1" applyBorder="1" applyFont="1" applyNumberFormat="1">
      <alignment horizontal="center" readingOrder="0" shrinkToFit="0" vertical="center" wrapText="1"/>
    </xf>
    <xf borderId="46" fillId="21" fontId="10" numFmtId="167" xfId="0" applyAlignment="1" applyBorder="1" applyFont="1" applyNumberFormat="1">
      <alignment horizontal="center" readingOrder="0" shrinkToFit="0" vertical="center" wrapText="1"/>
    </xf>
    <xf borderId="164" fillId="21" fontId="10" numFmtId="167" xfId="0" applyAlignment="1" applyBorder="1" applyFont="1" applyNumberFormat="1">
      <alignment horizontal="center" readingOrder="0" shrinkToFit="0" vertical="center" wrapText="1"/>
    </xf>
    <xf borderId="165" fillId="21" fontId="10" numFmtId="167" xfId="0" applyAlignment="1" applyBorder="1" applyFont="1" applyNumberFormat="1">
      <alignment horizontal="center" readingOrder="0" shrinkToFit="0" vertical="center" wrapText="1"/>
    </xf>
    <xf borderId="57" fillId="21" fontId="10" numFmtId="167" xfId="0" applyAlignment="1" applyBorder="1" applyFont="1" applyNumberFormat="1">
      <alignment horizontal="center" readingOrder="0" shrinkToFit="0" vertical="center" wrapText="1"/>
    </xf>
    <xf borderId="166" fillId="21" fontId="10" numFmtId="167" xfId="0" applyAlignment="1" applyBorder="1" applyFont="1" applyNumberFormat="1">
      <alignment horizontal="center" readingOrder="0" shrinkToFit="0" vertical="center" wrapText="1"/>
    </xf>
    <xf borderId="40" fillId="21" fontId="10" numFmtId="167" xfId="0" applyAlignment="1" applyBorder="1" applyFont="1" applyNumberFormat="1">
      <alignment horizontal="center" readingOrder="0" shrinkToFit="0" vertical="center" wrapText="1"/>
    </xf>
    <xf borderId="167" fillId="21" fontId="10" numFmtId="167" xfId="0" applyAlignment="1" applyBorder="1" applyFont="1" applyNumberFormat="1">
      <alignment horizontal="center" readingOrder="0" shrinkToFit="0" vertical="center" wrapText="1"/>
    </xf>
    <xf borderId="164" fillId="21" fontId="10" numFmtId="167" xfId="0" applyAlignment="1" applyBorder="1" applyFont="1" applyNumberFormat="1">
      <alignment horizontal="center" readingOrder="0" shrinkToFit="0" vertical="center" wrapText="1"/>
    </xf>
    <xf borderId="165" fillId="21" fontId="10" numFmtId="167" xfId="0" applyAlignment="1" applyBorder="1" applyFont="1" applyNumberFormat="1">
      <alignment horizontal="center" readingOrder="0" shrinkToFit="0" vertical="center" wrapText="1"/>
    </xf>
    <xf borderId="61" fillId="9" fontId="10" numFmtId="167" xfId="0" applyAlignment="1" applyBorder="1" applyFont="1" applyNumberFormat="1">
      <alignment horizontal="center" readingOrder="0" shrinkToFit="0" vertical="center" wrapText="1"/>
    </xf>
    <xf borderId="163" fillId="9" fontId="10" numFmtId="167" xfId="0" applyAlignment="1" applyBorder="1" applyFont="1" applyNumberFormat="1">
      <alignment horizontal="center" readingOrder="0" shrinkToFit="0" vertical="center" wrapText="1"/>
    </xf>
    <xf borderId="46" fillId="9" fontId="10" numFmtId="167" xfId="0" applyAlignment="1" applyBorder="1" applyFont="1" applyNumberFormat="1">
      <alignment horizontal="center" readingOrder="0" shrinkToFit="0" vertical="center" wrapText="1"/>
    </xf>
    <xf borderId="59" fillId="9" fontId="10" numFmtId="167" xfId="0" applyAlignment="1" applyBorder="1" applyFont="1" applyNumberFormat="1">
      <alignment horizontal="center" readingOrder="0" shrinkToFit="0" vertical="center" wrapText="1"/>
    </xf>
    <xf borderId="47" fillId="9" fontId="10" numFmtId="167" xfId="0" applyAlignment="1" applyBorder="1" applyFont="1" applyNumberFormat="1">
      <alignment horizontal="center" readingOrder="0" shrinkToFit="0" vertical="center" wrapText="1"/>
    </xf>
    <xf borderId="57" fillId="9" fontId="10" numFmtId="167" xfId="0" applyAlignment="1" applyBorder="1" applyFont="1" applyNumberFormat="1">
      <alignment horizontal="center" readingOrder="0" shrinkToFit="0" vertical="center" wrapText="1"/>
    </xf>
    <xf borderId="166" fillId="9" fontId="10" numFmtId="167" xfId="0" applyAlignment="1" applyBorder="1" applyFont="1" applyNumberFormat="1">
      <alignment horizontal="center" readingOrder="0" shrinkToFit="0" vertical="center" wrapText="1"/>
    </xf>
    <xf borderId="40" fillId="9" fontId="10" numFmtId="167" xfId="0" applyAlignment="1" applyBorder="1" applyFont="1" applyNumberFormat="1">
      <alignment horizontal="center" readingOrder="0" shrinkToFit="0" vertical="center" wrapText="1"/>
    </xf>
    <xf borderId="167" fillId="9" fontId="10" numFmtId="167" xfId="0" applyAlignment="1" applyBorder="1" applyFont="1" applyNumberFormat="1">
      <alignment horizontal="center" readingOrder="0" shrinkToFit="0" vertical="center" wrapText="1"/>
    </xf>
    <xf borderId="164" fillId="9" fontId="10" numFmtId="167" xfId="0" applyAlignment="1" applyBorder="1" applyFont="1" applyNumberFormat="1">
      <alignment horizontal="center" readingOrder="0" shrinkToFit="0" vertical="center" wrapText="1"/>
    </xf>
    <xf borderId="165" fillId="9" fontId="10" numFmtId="167" xfId="0" applyAlignment="1" applyBorder="1" applyFont="1" applyNumberFormat="1">
      <alignment horizontal="center" readingOrder="0" shrinkToFit="0" vertical="center" wrapText="1"/>
    </xf>
    <xf borderId="163" fillId="0" fontId="10" numFmtId="9" xfId="0" applyAlignment="1" applyBorder="1" applyFont="1" applyNumberFormat="1">
      <alignment horizontal="center" readingOrder="0" shrinkToFit="0" vertical="center" wrapText="1"/>
    </xf>
    <xf borderId="167" fillId="0" fontId="10" numFmtId="9" xfId="0" applyAlignment="1" applyBorder="1" applyFont="1" applyNumberFormat="1">
      <alignment horizontal="center" readingOrder="0" shrinkToFit="0" vertical="center" wrapText="1"/>
    </xf>
    <xf borderId="0" fillId="0" fontId="22" numFmtId="9" xfId="0" applyAlignment="1" applyFont="1" applyNumberFormat="1">
      <alignment horizontal="center" readingOrder="0" shrinkToFit="0" vertical="center" wrapText="1"/>
    </xf>
    <xf borderId="61" fillId="22" fontId="10" numFmtId="167" xfId="0" applyAlignment="1" applyBorder="1" applyFont="1" applyNumberFormat="1">
      <alignment horizontal="center" readingOrder="0" shrinkToFit="0" vertical="center" wrapText="1"/>
    </xf>
    <xf borderId="163" fillId="22" fontId="10" numFmtId="167" xfId="0" applyAlignment="1" applyBorder="1" applyFont="1" applyNumberFormat="1">
      <alignment horizontal="center" readingOrder="0" shrinkToFit="0" vertical="center" wrapText="1"/>
    </xf>
    <xf borderId="46" fillId="22" fontId="10" numFmtId="167" xfId="0" applyAlignment="1" applyBorder="1" applyFont="1" applyNumberFormat="1">
      <alignment horizontal="center" readingOrder="0" shrinkToFit="0" vertical="center" wrapText="1"/>
    </xf>
    <xf borderId="164" fillId="22" fontId="10" numFmtId="167" xfId="0" applyAlignment="1" applyBorder="1" applyFont="1" applyNumberFormat="1">
      <alignment horizontal="center" readingOrder="0" shrinkToFit="0" vertical="center" wrapText="1"/>
    </xf>
    <xf borderId="165" fillId="22" fontId="10" numFmtId="167" xfId="0" applyAlignment="1" applyBorder="1" applyFont="1" applyNumberFormat="1">
      <alignment horizontal="center" readingOrder="0" shrinkToFit="0" vertical="center" wrapText="1"/>
    </xf>
    <xf borderId="57" fillId="22" fontId="10" numFmtId="167" xfId="0" applyAlignment="1" applyBorder="1" applyFont="1" applyNumberFormat="1">
      <alignment horizontal="center" readingOrder="0" shrinkToFit="0" vertical="center" wrapText="1"/>
    </xf>
    <xf borderId="166" fillId="22" fontId="10" numFmtId="167" xfId="0" applyAlignment="1" applyBorder="1" applyFont="1" applyNumberFormat="1">
      <alignment horizontal="center" readingOrder="0" shrinkToFit="0" vertical="center" wrapText="1"/>
    </xf>
    <xf borderId="40" fillId="22" fontId="10" numFmtId="167" xfId="0" applyAlignment="1" applyBorder="1" applyFont="1" applyNumberFormat="1">
      <alignment horizontal="center" readingOrder="0" shrinkToFit="0" vertical="center" wrapText="1"/>
    </xf>
    <xf borderId="167" fillId="22" fontId="10" numFmtId="167" xfId="0" applyAlignment="1" applyBorder="1" applyFont="1" applyNumberFormat="1">
      <alignment horizontal="center" readingOrder="0" shrinkToFit="0" vertical="center" wrapText="1"/>
    </xf>
    <xf borderId="164" fillId="22" fontId="10" numFmtId="167" xfId="0" applyAlignment="1" applyBorder="1" applyFont="1" applyNumberFormat="1">
      <alignment horizontal="center" readingOrder="0" shrinkToFit="0" vertical="center" wrapText="1"/>
    </xf>
    <xf borderId="165" fillId="22" fontId="10" numFmtId="167" xfId="0" applyAlignment="1" applyBorder="1" applyFont="1" applyNumberFormat="1">
      <alignment horizontal="center" readingOrder="0" shrinkToFit="0" vertical="center" wrapText="1"/>
    </xf>
    <xf borderId="170" fillId="0" fontId="10" numFmtId="0" xfId="0" applyAlignment="1" applyBorder="1" applyFont="1">
      <alignment horizontal="center" readingOrder="0" shrinkToFit="0" vertical="center" wrapText="0"/>
    </xf>
    <xf borderId="137" fillId="0" fontId="10" numFmtId="0" xfId="0" applyAlignment="1" applyBorder="1" applyFont="1">
      <alignment horizontal="center" vertical="center"/>
    </xf>
    <xf borderId="171" fillId="0" fontId="10" numFmtId="0" xfId="0" applyAlignment="1" applyBorder="1" applyFont="1">
      <alignment horizontal="center" readingOrder="0" shrinkToFit="0" vertical="center" wrapText="0"/>
    </xf>
    <xf borderId="138" fillId="0" fontId="10" numFmtId="0" xfId="0" applyAlignment="1" applyBorder="1" applyFont="1">
      <alignment horizontal="center" readingOrder="0" shrinkToFit="0" vertical="center" wrapText="0"/>
    </xf>
    <xf borderId="172" fillId="0" fontId="10" numFmtId="0" xfId="0" applyAlignment="1" applyBorder="1" applyFont="1">
      <alignment horizontal="center" vertical="center"/>
    </xf>
    <xf borderId="138" fillId="0" fontId="10" numFmtId="0" xfId="0" applyAlignment="1" applyBorder="1" applyFont="1">
      <alignment horizontal="center" vertical="center"/>
    </xf>
    <xf borderId="173" fillId="0" fontId="10" numFmtId="0" xfId="0" applyAlignment="1" applyBorder="1" applyFont="1">
      <alignment horizontal="center" readingOrder="0" shrinkToFit="0" vertical="center" wrapText="1"/>
    </xf>
    <xf borderId="174" fillId="0" fontId="10" numFmtId="164" xfId="0" applyAlignment="1" applyBorder="1" applyFont="1" applyNumberFormat="1">
      <alignment horizontal="center" shrinkToFit="0" wrapText="1"/>
    </xf>
    <xf borderId="172" fillId="0" fontId="10" numFmtId="0" xfId="0" applyAlignment="1" applyBorder="1" applyFont="1">
      <alignment horizontal="center" readingOrder="0" shrinkToFit="0" vertical="center" wrapText="1"/>
    </xf>
    <xf borderId="175" fillId="0" fontId="10" numFmtId="0" xfId="0" applyAlignment="1" applyBorder="1" applyFont="1">
      <alignment horizontal="center" readingOrder="0" shrinkToFit="0" vertical="center" wrapText="1"/>
    </xf>
    <xf borderId="176" fillId="0" fontId="9" numFmtId="9" xfId="0" applyAlignment="1" applyBorder="1" applyFont="1" applyNumberFormat="1">
      <alignment horizontal="center" readingOrder="0" shrinkToFit="0" vertical="center" wrapText="1"/>
    </xf>
    <xf borderId="177" fillId="0" fontId="10" numFmtId="9" xfId="0" applyAlignment="1" applyBorder="1" applyFont="1" applyNumberFormat="1">
      <alignment horizontal="center" readingOrder="0" shrinkToFit="0" vertical="center" wrapText="1"/>
    </xf>
    <xf borderId="178" fillId="0" fontId="10" numFmtId="9" xfId="0" applyAlignment="1" applyBorder="1" applyFont="1" applyNumberFormat="1">
      <alignment horizontal="center" readingOrder="0" shrinkToFit="0" vertical="center" wrapText="1"/>
    </xf>
    <xf borderId="179" fillId="0" fontId="10" numFmtId="9" xfId="0" applyAlignment="1" applyBorder="1" applyFont="1" applyNumberFormat="1">
      <alignment horizontal="center" readingOrder="0" shrinkToFit="0" vertical="center" wrapText="1"/>
    </xf>
    <xf borderId="180" fillId="11" fontId="4" numFmtId="9" xfId="0" applyAlignment="1" applyBorder="1" applyFont="1" applyNumberFormat="1">
      <alignment horizontal="center" vertical="center"/>
    </xf>
    <xf borderId="181" fillId="0" fontId="9" numFmtId="9" xfId="0" applyAlignment="1" applyBorder="1" applyFont="1" applyNumberFormat="1">
      <alignment horizontal="center" readingOrder="0" shrinkToFit="0" vertical="center" wrapText="1"/>
    </xf>
    <xf borderId="182" fillId="0" fontId="10" numFmtId="9" xfId="0" applyAlignment="1" applyBorder="1" applyFont="1" applyNumberFormat="1">
      <alignment horizontal="center" readingOrder="0" shrinkToFit="0" vertical="center" wrapText="1"/>
    </xf>
    <xf borderId="183" fillId="0" fontId="10" numFmtId="9" xfId="0" applyAlignment="1" applyBorder="1" applyFont="1" applyNumberFormat="1">
      <alignment horizontal="center" readingOrder="0" shrinkToFit="0" vertical="center" wrapText="1"/>
    </xf>
    <xf borderId="184" fillId="0" fontId="10" numFmtId="9" xfId="0" applyAlignment="1" applyBorder="1" applyFont="1" applyNumberFormat="1">
      <alignment horizontal="center" readingOrder="0" shrinkToFit="0" vertical="center" wrapText="1"/>
    </xf>
    <xf borderId="180" fillId="0" fontId="10" numFmtId="9" xfId="0" applyAlignment="1" applyBorder="1" applyFont="1" applyNumberFormat="1">
      <alignment horizontal="center" readingOrder="0" shrinkToFit="0" vertical="center" wrapText="1"/>
    </xf>
    <xf borderId="185" fillId="11" fontId="4" numFmtId="9" xfId="0" applyAlignment="1" applyBorder="1" applyFont="1" applyNumberFormat="1">
      <alignment horizontal="center" vertical="center"/>
    </xf>
    <xf borderId="0" fillId="0" fontId="9" numFmtId="0" xfId="0" applyAlignment="1" applyFont="1">
      <alignment horizontal="left" readingOrder="0" shrinkToFit="0" vertical="center" wrapText="1"/>
    </xf>
    <xf borderId="0" fillId="0" fontId="10" numFmtId="0" xfId="0" applyAlignment="1" applyFont="1">
      <alignment horizontal="center" vertical="center"/>
    </xf>
    <xf borderId="0" fillId="0" fontId="10" numFmtId="164" xfId="0" applyAlignment="1" applyFont="1" applyNumberFormat="1">
      <alignment horizontal="center" shrinkToFit="0" wrapText="1"/>
    </xf>
    <xf borderId="0" fillId="0" fontId="10" numFmtId="166" xfId="0" applyAlignment="1" applyFont="1" applyNumberFormat="1">
      <alignment horizontal="center" readingOrder="0" shrinkToFit="0" vertical="center" wrapText="1"/>
    </xf>
    <xf borderId="0" fillId="0" fontId="11" numFmtId="0" xfId="0" applyAlignment="1" applyFont="1">
      <alignment horizontal="center" vertical="center"/>
    </xf>
    <xf borderId="0" fillId="0" fontId="23" numFmtId="0" xfId="0" applyAlignment="1" applyFont="1">
      <alignment readingOrder="0"/>
    </xf>
    <xf borderId="109" fillId="25" fontId="24" numFmtId="0" xfId="0" applyAlignment="1" applyBorder="1" applyFont="1">
      <alignment readingOrder="0"/>
    </xf>
    <xf borderId="109" fillId="0" fontId="4" numFmtId="0" xfId="0" applyAlignment="1" applyBorder="1" applyFont="1">
      <alignment readingOrder="0" vertical="center"/>
    </xf>
    <xf borderId="109" fillId="28" fontId="4" numFmtId="0" xfId="0" applyAlignment="1" applyBorder="1" applyFill="1" applyFont="1">
      <alignment readingOrder="0" vertical="center"/>
    </xf>
    <xf borderId="109" fillId="0" fontId="4" numFmtId="0" xfId="0" applyAlignment="1" applyBorder="1" applyFont="1">
      <alignment readingOrder="0" shrinkToFit="0" wrapText="1"/>
    </xf>
    <xf borderId="109" fillId="0" fontId="4" numFmtId="0" xfId="0" applyAlignment="1" applyBorder="1" applyFont="1">
      <alignment readingOrder="0"/>
    </xf>
    <xf borderId="109" fillId="0" fontId="4" numFmtId="0" xfId="0" applyBorder="1" applyFont="1"/>
    <xf borderId="109" fillId="29" fontId="4" numFmtId="0" xfId="0" applyAlignment="1" applyBorder="1" applyFill="1" applyFont="1">
      <alignment readingOrder="0"/>
    </xf>
    <xf borderId="109" fillId="23" fontId="4" numFmtId="0" xfId="0" applyAlignment="1" applyBorder="1" applyFont="1">
      <alignment readingOrder="0"/>
    </xf>
  </cellXfs>
  <cellStyles count="1">
    <cellStyle xfId="0" name="Normal" builtinId="0"/>
  </cellStyles>
  <dxfs count="25">
    <dxf>
      <font/>
      <fill>
        <patternFill patternType="solid">
          <fgColor rgb="FFA6C9EC"/>
          <bgColor rgb="FFA6C9EC"/>
        </patternFill>
      </fill>
      <border/>
    </dxf>
    <dxf>
      <font>
        <color rgb="FF000000"/>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CCCCC"/>
          <bgColor rgb="FFCCCCCC"/>
        </patternFill>
      </fill>
      <border/>
    </dxf>
    <dxf>
      <font/>
      <fill>
        <patternFill patternType="solid">
          <fgColor rgb="FFEFEFEF"/>
          <bgColor rgb="FFEFEFEF"/>
        </patternFill>
      </fill>
      <border/>
    </dxf>
    <dxf>
      <font/>
      <fill>
        <patternFill patternType="solid">
          <fgColor rgb="FFB4A7D6"/>
          <bgColor rgb="FFB4A7D6"/>
        </patternFill>
      </fill>
      <border/>
    </dxf>
    <dxf>
      <font/>
      <fill>
        <patternFill patternType="solid">
          <fgColor rgb="FFFFE599"/>
          <bgColor rgb="FFFFE599"/>
        </patternFill>
      </fill>
      <border/>
    </dxf>
    <dxf>
      <font>
        <color rgb="FF000000"/>
      </font>
      <fill>
        <patternFill patternType="solid">
          <fgColor rgb="FFEFEFEF"/>
          <bgColor rgb="FFEFEFEF"/>
        </patternFill>
      </fill>
      <border/>
    </dxf>
    <dxf>
      <font/>
      <fill>
        <patternFill patternType="solid">
          <fgColor rgb="FFF9CB9C"/>
          <bgColor rgb="FFF9CB9C"/>
        </patternFill>
      </fill>
      <border/>
    </dxf>
    <dxf>
      <font/>
      <fill>
        <patternFill patternType="solid">
          <fgColor rgb="FFA6A6A6"/>
          <bgColor rgb="FFA6A6A6"/>
        </patternFill>
      </fill>
      <border/>
    </dxf>
    <dxf>
      <font/>
      <fill>
        <patternFill patternType="solid">
          <fgColor rgb="FFB7B7B7"/>
          <bgColor rgb="FFB7B7B7"/>
        </patternFill>
      </fill>
      <border/>
    </dxf>
    <dxf>
      <font/>
      <fill>
        <patternFill patternType="solid">
          <fgColor rgb="FFD9D2E9"/>
          <bgColor rgb="FFD9D2E9"/>
        </patternFill>
      </fill>
      <border/>
    </dxf>
    <dxf>
      <font/>
      <fill>
        <patternFill patternType="none"/>
      </fill>
      <border/>
    </dxf>
    <dxf>
      <font/>
      <fill>
        <patternFill patternType="solid">
          <fgColor rgb="FFD5A6BD"/>
          <bgColor rgb="FFD5A6BD"/>
        </patternFill>
      </fill>
      <border/>
    </dxf>
    <dxf>
      <font/>
      <fill>
        <patternFill patternType="solid">
          <fgColor rgb="FFD9EAD3"/>
          <bgColor rgb="FFD9EAD3"/>
        </patternFill>
      </fill>
      <border/>
    </dxf>
    <dxf>
      <font/>
      <fill>
        <patternFill patternType="solid">
          <fgColor rgb="FFA4C2F4"/>
          <bgColor rgb="FFA4C2F4"/>
        </patternFill>
      </fill>
      <border/>
    </dxf>
    <dxf>
      <font/>
      <fill>
        <patternFill patternType="solid">
          <fgColor rgb="FFEEEEEE"/>
          <bgColor rgb="FFEEEEEE"/>
        </patternFill>
      </fill>
      <border/>
    </dxf>
    <dxf>
      <font/>
      <fill>
        <patternFill patternType="solid">
          <fgColor rgb="FFCFE2F3"/>
          <bgColor rgb="FFCFE2F3"/>
        </patternFill>
      </fill>
      <border/>
    </dxf>
    <dxf>
      <font/>
      <fill>
        <patternFill patternType="solid">
          <fgColor rgb="FFFCE5CD"/>
          <bgColor rgb="FFFCE5CD"/>
        </patternFill>
      </fill>
      <border/>
    </dxf>
    <dxf>
      <font/>
      <fill>
        <patternFill patternType="solid">
          <fgColor rgb="FFEAD1DC"/>
          <bgColor rgb="FFEAD1DC"/>
        </patternFill>
      </fill>
      <border/>
    </dxf>
    <dxf>
      <font/>
      <fill>
        <patternFill patternType="solid">
          <fgColor rgb="FFDFE3AB"/>
          <bgColor rgb="FFDFE3AB"/>
        </patternFill>
      </fill>
      <border/>
    </dxf>
    <dxf>
      <font/>
      <fill>
        <patternFill patternType="solid">
          <fgColor rgb="FFB7E1CD"/>
          <bgColor rgb="FFB7E1CD"/>
        </patternFill>
      </fill>
      <border/>
    </dxf>
    <dxf>
      <font/>
      <fill>
        <patternFill patternType="none"/>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9" Type="http://schemas.openxmlformats.org/officeDocument/2006/relationships/image" Target="../media/image1.jpg"/><Relationship Id="rId5" Type="http://schemas.openxmlformats.org/officeDocument/2006/relationships/image" Target="../media/Chart5.png"/><Relationship Id="rId6" Type="http://schemas.openxmlformats.org/officeDocument/2006/relationships/image" Target="../media/Chart6.png"/><Relationship Id="rId7" Type="http://schemas.openxmlformats.org/officeDocument/2006/relationships/image" Target="../media/Chart7.png"/><Relationship Id="rId8"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Chart8.png"/><Relationship Id="rId2" Type="http://schemas.openxmlformats.org/officeDocument/2006/relationships/image" Target="../media/Chart9.png"/><Relationship Id="rId3" Type="http://schemas.openxmlformats.org/officeDocument/2006/relationships/image" Target="../media/image2.png"/><Relationship Id="rId4" Type="http://schemas.openxmlformats.org/officeDocument/2006/relationships/image" Target="../media/image1.jp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213</xdr:col>
      <xdr:colOff>152400</xdr:colOff>
      <xdr:row>3</xdr:row>
      <xdr:rowOff>104775</xdr:rowOff>
    </xdr:from>
    <xdr:ext cx="3848100" cy="2047875"/>
    <xdr:pic>
      <xdr:nvPicPr>
        <xdr:cNvPr id="996904850" name="Chart1"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213</xdr:col>
      <xdr:colOff>152400</xdr:colOff>
      <xdr:row>33</xdr:row>
      <xdr:rowOff>76200</xdr:rowOff>
    </xdr:from>
    <xdr:ext cx="3848100" cy="2047875"/>
    <xdr:pic>
      <xdr:nvPicPr>
        <xdr:cNvPr id="1806048926" name="Chart2"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213</xdr:col>
      <xdr:colOff>219075</xdr:colOff>
      <xdr:row>76</xdr:row>
      <xdr:rowOff>152400</xdr:rowOff>
    </xdr:from>
    <xdr:ext cx="3743325" cy="1724025"/>
    <xdr:pic>
      <xdr:nvPicPr>
        <xdr:cNvPr id="1543804742" name="Chart3" title="Gráfico">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213</xdr:col>
      <xdr:colOff>228600</xdr:colOff>
      <xdr:row>106</xdr:row>
      <xdr:rowOff>66675</xdr:rowOff>
    </xdr:from>
    <xdr:ext cx="3743325" cy="1838325"/>
    <xdr:pic>
      <xdr:nvPicPr>
        <xdr:cNvPr id="1910315312" name="Chart4" title="Gráfico">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213</xdr:col>
      <xdr:colOff>152400</xdr:colOff>
      <xdr:row>18</xdr:row>
      <xdr:rowOff>133350</xdr:rowOff>
    </xdr:from>
    <xdr:ext cx="3848100" cy="2047875"/>
    <xdr:pic>
      <xdr:nvPicPr>
        <xdr:cNvPr id="707814668" name="Chart5" title="Gráfico">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213</xdr:col>
      <xdr:colOff>180975</xdr:colOff>
      <xdr:row>45</xdr:row>
      <xdr:rowOff>85725</xdr:rowOff>
    </xdr:from>
    <xdr:ext cx="3819525" cy="2124075"/>
    <xdr:pic>
      <xdr:nvPicPr>
        <xdr:cNvPr id="284618707" name="Chart6"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213</xdr:col>
      <xdr:colOff>95250</xdr:colOff>
      <xdr:row>42</xdr:row>
      <xdr:rowOff>57150</xdr:rowOff>
    </xdr:from>
    <xdr:ext cx="3790950" cy="1724025"/>
    <xdr:pic>
      <xdr:nvPicPr>
        <xdr:cNvPr id="1662049993" name="Chart7" title="Gráfico">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0</xdr:row>
      <xdr:rowOff>0</xdr:rowOff>
    </xdr:from>
    <xdr:ext cx="1800225" cy="838200"/>
    <xdr:pic>
      <xdr:nvPicPr>
        <xdr:cNvPr id="0" name="image2.png"/>
        <xdr:cNvPicPr preferRelativeResize="0"/>
      </xdr:nvPicPr>
      <xdr:blipFill>
        <a:blip cstate="print" r:embed="rId8"/>
        <a:stretch>
          <a:fillRect/>
        </a:stretch>
      </xdr:blipFill>
      <xdr:spPr>
        <a:prstGeom prst="rect">
          <a:avLst/>
        </a:prstGeom>
        <a:noFill/>
      </xdr:spPr>
    </xdr:pic>
    <xdr:clientData fLocksWithSheet="0"/>
  </xdr:oneCellAnchor>
  <xdr:oneCellAnchor>
    <xdr:from>
      <xdr:col>212</xdr:col>
      <xdr:colOff>0</xdr:colOff>
      <xdr:row>0</xdr:row>
      <xdr:rowOff>0</xdr:rowOff>
    </xdr:from>
    <xdr:ext cx="838200" cy="838200"/>
    <xdr:pic>
      <xdr:nvPicPr>
        <xdr:cNvPr id="0" name="image1.jp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33525" cy="7143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26</xdr:col>
      <xdr:colOff>0</xdr:colOff>
      <xdr:row>0</xdr:row>
      <xdr:rowOff>0</xdr:rowOff>
    </xdr:from>
    <xdr:ext cx="714375" cy="714375"/>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476375" cy="685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0</xdr:row>
      <xdr:rowOff>0</xdr:rowOff>
    </xdr:from>
    <xdr:ext cx="685800" cy="6858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38</xdr:col>
      <xdr:colOff>0</xdr:colOff>
      <xdr:row>0</xdr:row>
      <xdr:rowOff>0</xdr:rowOff>
    </xdr:from>
    <xdr:ext cx="685800" cy="6858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9065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32</xdr:col>
      <xdr:colOff>0</xdr:colOff>
      <xdr:row>0</xdr:row>
      <xdr:rowOff>0</xdr:rowOff>
    </xdr:from>
    <xdr:ext cx="647700" cy="6477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35</xdr:col>
      <xdr:colOff>0</xdr:colOff>
      <xdr:row>0</xdr:row>
      <xdr:rowOff>0</xdr:rowOff>
    </xdr:from>
    <xdr:ext cx="647700" cy="6477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9065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90650" cy="6477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428750" cy="6667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0</xdr:colOff>
      <xdr:row>0</xdr:row>
      <xdr:rowOff>0</xdr:rowOff>
    </xdr:from>
    <xdr:ext cx="666750" cy="66675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933450</xdr:colOff>
      <xdr:row>68</xdr:row>
      <xdr:rowOff>590550</xdr:rowOff>
    </xdr:from>
    <xdr:ext cx="3743325" cy="2047875"/>
    <xdr:pic>
      <xdr:nvPicPr>
        <xdr:cNvPr id="1282686036" name="Chart8" title="Gráfico">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514350</xdr:colOff>
      <xdr:row>68</xdr:row>
      <xdr:rowOff>590550</xdr:rowOff>
    </xdr:from>
    <xdr:ext cx="3743325" cy="2047875"/>
    <xdr:pic>
      <xdr:nvPicPr>
        <xdr:cNvPr id="1724571678" name="Chart9" title="Gráfico">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0</xdr:row>
      <xdr:rowOff>0</xdr:rowOff>
    </xdr:from>
    <xdr:ext cx="1428750" cy="66675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38</xdr:col>
      <xdr:colOff>0</xdr:colOff>
      <xdr:row>0</xdr:row>
      <xdr:rowOff>0</xdr:rowOff>
    </xdr:from>
    <xdr:ext cx="666750" cy="666750"/>
    <xdr:pic>
      <xdr:nvPicPr>
        <xdr:cNvPr id="0" name="image1.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038475" cy="14097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53</xdr:col>
      <xdr:colOff>0</xdr:colOff>
      <xdr:row>0</xdr:row>
      <xdr:rowOff>0</xdr:rowOff>
    </xdr:from>
    <xdr:ext cx="1409700" cy="140970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acc.autodesk.com/docs/files/projects/1e597176-a716-43f8-be36-fdbb47ecdee5?folderUrn=urn:adsk.wipprod:fs.folder:co.wiFGaDltR6KuAtlKIhTMqw&amp;entityId=urn:adsk.wipprod:dm.lineage:XtpfYcfvQ2q9pUwtdubPMg&amp;viewModel=detail&amp;moduleId=folders" TargetMode="External"/><Relationship Id="rId190" Type="http://schemas.openxmlformats.org/officeDocument/2006/relationships/hyperlink" Target="https://acc.autodesk.com/docs/files/projects/1e597176-a716-43f8-be36-fdbb47ecdee5?folderUrn=urn:adsk.wipprod:fs.folder:co.UqJ5SedOSpaQm3mvbRIw_Q&amp;entityId=urn:adsk.wipprod:dm.lineage:O63UVX4eT3ycozNTanYLWQ&amp;viewModel=detail&amp;moduleId=folders" TargetMode="External"/><Relationship Id="rId42" Type="http://schemas.openxmlformats.org/officeDocument/2006/relationships/hyperlink" Target="https://acc.autodesk.com/docs/files/projects/1e597176-a716-43f8-be36-fdbb47ecdee5?folderUrn=urn:adsk.wipprod:fs.folder:co.wiFGaDltR6KuAtlKIhTMqw&amp;entityId=urn:adsk.wipprod:dm.lineage:tAylGYeMT7aosaM4Jxza6g&amp;viewModel=detail&amp;moduleId=folders" TargetMode="External"/><Relationship Id="rId41" Type="http://schemas.openxmlformats.org/officeDocument/2006/relationships/hyperlink" Target="https://acc.autodesk.com/docs/files/projects/1e597176-a716-43f8-be36-fdbb47ecdee5?folderUrn=urn:adsk.wipprod:fs.folder:co.wiFGaDltR6KuAtlKIhTMqw" TargetMode="External"/><Relationship Id="rId44" Type="http://schemas.openxmlformats.org/officeDocument/2006/relationships/hyperlink" Target="https://acc.autodesk.com/docs/files/projects/1e597176-a716-43f8-be36-fdbb47ecdee5?folderUrn=urn:adsk.wipprod:fs.folder:co.wiFGaDltR6KuAtlKIhTMqw&amp;entityId=urn:adsk.wipprod:dm.lineage:0t1L6b_yRpS-t4r6kKq4pg&amp;viewModel=detail&amp;moduleId=folders" TargetMode="External"/><Relationship Id="rId194" Type="http://schemas.openxmlformats.org/officeDocument/2006/relationships/hyperlink" Target="https://acc.autodesk.com/docs/files/projects/1e597176-a716-43f8-be36-fdbb47ecdee5?folderUrn=urn:adsk.wipprod:fs.folder:co.UqJ5SedOSpaQm3mvbRIw_Q&amp;entityId=urn:adsk.wipprod:dm.lineage:dPnKI-J2Q5CFmk0xz8n62A&amp;viewModel=detail&amp;moduleId=folders" TargetMode="External"/><Relationship Id="rId43" Type="http://schemas.openxmlformats.org/officeDocument/2006/relationships/hyperlink" Target="https://acc.autodesk.com/docs/files/projects/1e597176-a716-43f8-be36-fdbb47ecdee5?folderUrn=urn:adsk.wipprod:fs.folder:co.wiFGaDltR6KuAtlKIhTMqw" TargetMode="External"/><Relationship Id="rId193" Type="http://schemas.openxmlformats.org/officeDocument/2006/relationships/hyperlink" Target="https://acc.autodesk.com/docs/files/projects/1e597176-a716-43f8-be36-fdbb47ecdee5?folderUrn=urn:adsk.wipprod:fs.folder:co.UqJ5SedOSpaQm3mvbRIw_Q" TargetMode="External"/><Relationship Id="rId46" Type="http://schemas.openxmlformats.org/officeDocument/2006/relationships/hyperlink" Target="https://acc.autodesk.com/docs/files/projects/1e597176-a716-43f8-be36-fdbb47ecdee5?folderUrn=urn:adsk.wipprod:fs.folder:co.wiFGaDltR6KuAtlKIhTMqw&amp;entityId=urn:adsk.wipprod:dm.lineage:RFNNWWtSQ1-5mtLSpSjjdQ&amp;viewModel=detail&amp;moduleId=folders" TargetMode="External"/><Relationship Id="rId192" Type="http://schemas.openxmlformats.org/officeDocument/2006/relationships/hyperlink" Target="https://acc.autodesk.com/docs/files/projects/1e597176-a716-43f8-be36-fdbb47ecdee5?folderUrn=urn:adsk.wipprod:fs.folder:co.UqJ5SedOSpaQm3mvbRIw_Q&amp;entityId=urn:adsk.wipprod:dm.lineage:PpImKsL1SIK5Gj3SLgXgiQ&amp;viewModel=detail&amp;moduleId=folders" TargetMode="External"/><Relationship Id="rId45" Type="http://schemas.openxmlformats.org/officeDocument/2006/relationships/hyperlink" Target="https://acc.autodesk.com/docs/files/projects/1e597176-a716-43f8-be36-fdbb47ecdee5?folderUrn=urn:adsk.wipprod:fs.folder:co.wiFGaDltR6KuAtlKIhTMqw" TargetMode="External"/><Relationship Id="rId191" Type="http://schemas.openxmlformats.org/officeDocument/2006/relationships/hyperlink" Target="https://acc.autodesk.com/docs/files/projects/1e597176-a716-43f8-be36-fdbb47ecdee5?folderUrn=urn:adsk.wipprod:fs.folder:co.UqJ5SedOSpaQm3mvbRIw_Q" TargetMode="External"/><Relationship Id="rId48" Type="http://schemas.openxmlformats.org/officeDocument/2006/relationships/hyperlink" Target="https://acc.autodesk.com/docs/files/projects/1e597176-a716-43f8-be36-fdbb47ecdee5?folderUrn=urn:adsk.wipprod:fs.folder:co.wiFGaDltR6KuAtlKIhTMqw&amp;entityId=urn:adsk.wipprod:dm.lineage:opkC-KuuSFyCL7D_TZN7WQ&amp;viewModel=detail&amp;moduleId=folders" TargetMode="External"/><Relationship Id="rId187" Type="http://schemas.openxmlformats.org/officeDocument/2006/relationships/hyperlink" Target="https://acc.autodesk.com/docs/files/projects/1e597176-a716-43f8-be36-fdbb47ecdee5?folderUrn=urn:adsk.wipprod:fs.folder:co.UqJ5SedOSpaQm3mvbRIw_Q" TargetMode="External"/><Relationship Id="rId47" Type="http://schemas.openxmlformats.org/officeDocument/2006/relationships/hyperlink" Target="https://acc.autodesk.com/docs/files/projects/1e597176-a716-43f8-be36-fdbb47ecdee5?folderUrn=urn:adsk.wipprod:fs.folder:co.wiFGaDltR6KuAtlKIhTMqw" TargetMode="External"/><Relationship Id="rId186" Type="http://schemas.openxmlformats.org/officeDocument/2006/relationships/hyperlink" Target="https://acc.autodesk.com/docs/files/projects/1e597176-a716-43f8-be36-fdbb47ecdee5?folderUrn=urn:adsk.wipprod:fs.folder:co.UqJ5SedOSpaQm3mvbRIw_Q&amp;entityId=urn:adsk.wipprod:dm.lineage:VzsaoQGNTq6LW-cmAm6jnw&amp;viewModel=detail&amp;moduleId=folders" TargetMode="External"/><Relationship Id="rId185" Type="http://schemas.openxmlformats.org/officeDocument/2006/relationships/hyperlink" Target="https://acc.autodesk.com/docs/files/projects/1e597176-a716-43f8-be36-fdbb47ecdee5?folderUrn=urn:adsk.wipprod:fs.folder:co.UqJ5SedOSpaQm3mvbRIw_Q" TargetMode="External"/><Relationship Id="rId49" Type="http://schemas.openxmlformats.org/officeDocument/2006/relationships/hyperlink" Target="https://acc.autodesk.com/docs/files/projects/1e597176-a716-43f8-be36-fdbb47ecdee5?folderUrn=urn:adsk.wipprod:fs.folder:co.wiFGaDltR6KuAtlKIhTMqw" TargetMode="External"/><Relationship Id="rId184" Type="http://schemas.openxmlformats.org/officeDocument/2006/relationships/hyperlink" Target="https://acc.autodesk.com/docs/files/projects/1e597176-a716-43f8-be36-fdbb47ecdee5?folderUrn=urn:adsk.wipprod:fs.folder:co.UqJ5SedOSpaQm3mvbRIw_Q&amp;entityId=urn:adsk.wipprod:dm.lineage:MRCETzIqRE-Ybl-PN8xhjA&amp;viewModel=detail&amp;moduleId=folders" TargetMode="External"/><Relationship Id="rId189" Type="http://schemas.openxmlformats.org/officeDocument/2006/relationships/hyperlink" Target="https://acc.autodesk.com/docs/files/projects/1e597176-a716-43f8-be36-fdbb47ecdee5?folderUrn=urn:adsk.wipprod:fs.folder:co.UqJ5SedOSpaQm3mvbRIw_Q" TargetMode="External"/><Relationship Id="rId188" Type="http://schemas.openxmlformats.org/officeDocument/2006/relationships/hyperlink" Target="https://acc.autodesk.com/docs/files/projects/1e597176-a716-43f8-be36-fdbb47ecdee5?folderUrn=urn:adsk.wipprod:fs.folder:co.UqJ5SedOSpaQm3mvbRIw_Q&amp;entityId=urn:adsk.wipprod:dm.lineage:5FQbudrNRnqb6ANt1bGhFA&amp;viewModel=detail&amp;moduleId=folders" TargetMode="External"/><Relationship Id="rId31" Type="http://schemas.openxmlformats.org/officeDocument/2006/relationships/hyperlink" Target="https://acc.autodesk.com/docs/files/projects/1e597176-a716-43f8-be36-fdbb47ecdee5?folderUrn=urn:adsk.wipprod:fs.folder:co.x-LIQUseT7GKIeVcLN2hJw" TargetMode="External"/><Relationship Id="rId30" Type="http://schemas.openxmlformats.org/officeDocument/2006/relationships/hyperlink" Target="https://acc.autodesk.com/docs/files/projects/1e597176-a716-43f8-be36-fdbb47ecdee5?folderUrn=urn:adsk.wipprod:fs.folder:co.x-LIQUseT7GKIeVcLN2hJw&amp;entityId=urn:adsk.wipprod:dm.lineage:jUnRq2qhTWqCnvjq9JdVHQ&amp;viewModel=detail&amp;moduleId=folders" TargetMode="External"/><Relationship Id="rId33" Type="http://schemas.openxmlformats.org/officeDocument/2006/relationships/hyperlink" Target="https://acc.autodesk.com/docs/files/projects/1e597176-a716-43f8-be36-fdbb47ecdee5?folderUrn=urn:adsk.wipprod:fs.folder:co.x-LIQUseT7GKIeVcLN2hJw" TargetMode="External"/><Relationship Id="rId183" Type="http://schemas.openxmlformats.org/officeDocument/2006/relationships/hyperlink" Target="https://acc.autodesk.com/docs/files/projects/1e597176-a716-43f8-be36-fdbb47ecdee5?folderUrn=urn:adsk.wipprod:fs.folder:co.UqJ5SedOSpaQm3mvbRIw_Q" TargetMode="External"/><Relationship Id="rId32" Type="http://schemas.openxmlformats.org/officeDocument/2006/relationships/hyperlink" Target="https://acc.autodesk.com/docs/files/projects/1e597176-a716-43f8-be36-fdbb47ecdee5?folderUrn=urn:adsk.wipprod:fs.folder:co.x-LIQUseT7GKIeVcLN2hJw&amp;entityId=urn:adsk.wipprod:dm.lineage:VmLJUMXaTjuczONKZomNpA&amp;viewModel=detail&amp;moduleId=folders" TargetMode="External"/><Relationship Id="rId182" Type="http://schemas.openxmlformats.org/officeDocument/2006/relationships/hyperlink" Target="https://acc.autodesk.com/docs/files/projects/1e597176-a716-43f8-be36-fdbb47ecdee5?folderUrn=urn:adsk.wipprod:fs.folder:co.UqJ5SedOSpaQm3mvbRIw_Q&amp;entityId=urn:adsk.wipprod:dm.lineage:JBG-_sc0SEq0MOblCCvhdA&amp;viewModel=detail&amp;moduleId=folders" TargetMode="External"/><Relationship Id="rId35" Type="http://schemas.openxmlformats.org/officeDocument/2006/relationships/hyperlink" Target="https://acc.autodesk.com/docs/files/projects/1e597176-a716-43f8-be36-fdbb47ecdee5?folderUrn=urn:adsk.wipprod:fs.folder:co.x-LIQUseT7GKIeVcLN2hJw" TargetMode="External"/><Relationship Id="rId181" Type="http://schemas.openxmlformats.org/officeDocument/2006/relationships/hyperlink" Target="https://acc.autodesk.com/docs/files/projects/1e597176-a716-43f8-be36-fdbb47ecdee5?folderUrn=urn:adsk.wipprod:fs.folder:co.UqJ5SedOSpaQm3mvbRIw_Q" TargetMode="External"/><Relationship Id="rId34" Type="http://schemas.openxmlformats.org/officeDocument/2006/relationships/hyperlink" Target="https://acc.autodesk.com/docs/files/projects/1e597176-a716-43f8-be36-fdbb47ecdee5?folderUrn=urn:adsk.wipprod:fs.folder:co.x-LIQUseT7GKIeVcLN2hJw&amp;entityId=urn:adsk.wipprod:dm.lineage:LahxRejeQPGGFU96FPO9FQ&amp;viewModel=detail&amp;moduleId=folders" TargetMode="External"/><Relationship Id="rId180" Type="http://schemas.openxmlformats.org/officeDocument/2006/relationships/hyperlink" Target="https://acc.autodesk.com/docs/files/projects/1e597176-a716-43f8-be36-fdbb47ecdee5?folderUrn=urn:adsk.wipprod:fs.folder:co.UqJ5SedOSpaQm3mvbRIw_Q&amp;entityId=urn:adsk.wipprod:dm.lineage:vxkPhCUNRsGlNsAsKQs0JA&amp;viewModel=detail&amp;moduleId=folders" TargetMode="External"/><Relationship Id="rId37" Type="http://schemas.openxmlformats.org/officeDocument/2006/relationships/hyperlink" Target="https://acc.autodesk.com/docs/files/projects/1e597176-a716-43f8-be36-fdbb47ecdee5?folderUrn=urn:adsk.wipprod:fs.folder:co.x-LIQUseT7GKIeVcLN2hJw" TargetMode="External"/><Relationship Id="rId176" Type="http://schemas.openxmlformats.org/officeDocument/2006/relationships/hyperlink" Target="https://acc.autodesk.com/docs/files/projects/1e597176-a716-43f8-be36-fdbb47ecdee5?folderUrn=urn:adsk.wipprod:fs.folder:co.UqJ5SedOSpaQm3mvbRIw_Q&amp;entityId=urn:adsk.wipprod:dm.lineage:ThTmsyS-Q-yM5OONxA-LLg&amp;viewModel=detail&amp;moduleId=folders" TargetMode="External"/><Relationship Id="rId36" Type="http://schemas.openxmlformats.org/officeDocument/2006/relationships/hyperlink" Target="https://acc.autodesk.com/docs/files/projects/1e597176-a716-43f8-be36-fdbb47ecdee5?folderUrn=urn:adsk.wipprod:fs.folder:co.x-LIQUseT7GKIeVcLN2hJw&amp;entityId=urn:adsk.wipprod:dm.lineage:w80VieTjS7WsPbcPH8Riqw&amp;viewModel=detail&amp;moduleId=folders" TargetMode="External"/><Relationship Id="rId175" Type="http://schemas.openxmlformats.org/officeDocument/2006/relationships/hyperlink" Target="https://acc.autodesk.com/docs/files/projects/1e597176-a716-43f8-be36-fdbb47ecdee5?folderUrn=urn:adsk.wipprod:fs.folder:co.UqJ5SedOSpaQm3mvbRIw_Q" TargetMode="External"/><Relationship Id="rId39" Type="http://schemas.openxmlformats.org/officeDocument/2006/relationships/hyperlink" Target="https://acc.autodesk.com/docs/files/projects/1e597176-a716-43f8-be36-fdbb47ecdee5?folderUrn=urn:adsk.wipprod:fs.folder:co.wiFGaDltR6KuAtlKIhTMqw" TargetMode="External"/><Relationship Id="rId174" Type="http://schemas.openxmlformats.org/officeDocument/2006/relationships/hyperlink" Target="https://acc.autodesk.com/docs/files/projects/1e597176-a716-43f8-be36-fdbb47ecdee5?folderUrn=urn:adsk.wipprod:fs.folder:co.UqJ5SedOSpaQm3mvbRIw_Q&amp;entityId=urn:adsk.wipprod:dm.lineage:Gj9Twt3ORp2vP7LSO3iqCw&amp;viewModel=detail&amp;moduleId=folders" TargetMode="External"/><Relationship Id="rId38" Type="http://schemas.openxmlformats.org/officeDocument/2006/relationships/hyperlink" Target="https://acc.autodesk.com/docs/files/projects/1e597176-a716-43f8-be36-fdbb47ecdee5?folderUrn=urn:adsk.wipprod:fs.folder:co.x-LIQUseT7GKIeVcLN2hJw&amp;entityId=urn:adsk.wipprod:dm.lineage:VglsQj7rTNKYvkvvXPeiIg&amp;viewModel=detail&amp;moduleId=folders" TargetMode="External"/><Relationship Id="rId173" Type="http://schemas.openxmlformats.org/officeDocument/2006/relationships/hyperlink" Target="https://acc.autodesk.com/docs/files/projects/1e597176-a716-43f8-be36-fdbb47ecdee5?folderUrn=urn:adsk.wipprod:fs.folder:co.UqJ5SedOSpaQm3mvbRIw_Q" TargetMode="External"/><Relationship Id="rId179" Type="http://schemas.openxmlformats.org/officeDocument/2006/relationships/hyperlink" Target="https://acc.autodesk.com/docs/files/projects/1e597176-a716-43f8-be36-fdbb47ecdee5?folderUrn=urn:adsk.wipprod:fs.folder:co.UqJ5SedOSpaQm3mvbRIw_Q" TargetMode="External"/><Relationship Id="rId178" Type="http://schemas.openxmlformats.org/officeDocument/2006/relationships/hyperlink" Target="https://acc.autodesk.com/docs/files/projects/1e597176-a716-43f8-be36-fdbb47ecdee5?folderUrn=urn:adsk.wipprod:fs.folder:co.UqJ5SedOSpaQm3mvbRIw_Q&amp;entityId=urn:adsk.wipprod:dm.lineage:-NYQ2g8ETf270SZucrdOwQ&amp;viewModel=detail&amp;moduleId=folders" TargetMode="External"/><Relationship Id="rId177" Type="http://schemas.openxmlformats.org/officeDocument/2006/relationships/hyperlink" Target="https://acc.autodesk.com/docs/files/projects/1e597176-a716-43f8-be36-fdbb47ecdee5?folderUrn=urn:adsk.wipprod:fs.folder:co.UqJ5SedOSpaQm3mvbRIw_Q" TargetMode="External"/><Relationship Id="rId20" Type="http://schemas.openxmlformats.org/officeDocument/2006/relationships/hyperlink" Target="https://acc.autodesk.com/docs/files/projects/1e597176-a716-43f8-be36-fdbb47ecdee5?folderUrn=urn:adsk.wipprod:fs.folder:co.x-LIQUseT7GKIeVcLN2hJw&amp;entityId=urn:adsk.wipprod:dm.lineage:H-slY2BjQJu3XQM2QOyh2w&amp;viewModel=detail&amp;moduleId=folders" TargetMode="External"/><Relationship Id="rId22" Type="http://schemas.openxmlformats.org/officeDocument/2006/relationships/hyperlink" Target="https://acc.autodesk.com/docs/files/projects/1e597176-a716-43f8-be36-fdbb47ecdee5?folderUrn=urn:adsk.wipprod:fs.folder:co.x-LIQUseT7GKIeVcLN2hJw&amp;entityId=urn:adsk.wipprod:dm.lineage:a5OopMI2RiCMbQc4KHjWvw&amp;viewModel=detail&amp;moduleId=folders" TargetMode="External"/><Relationship Id="rId21" Type="http://schemas.openxmlformats.org/officeDocument/2006/relationships/hyperlink" Target="https://acc.autodesk.com/docs/files/projects/1e597176-a716-43f8-be36-fdbb47ecdee5?folderUrn=urn:adsk.wipprod:fs.folder:co.x-LIQUseT7GKIeVcLN2hJw" TargetMode="External"/><Relationship Id="rId24" Type="http://schemas.openxmlformats.org/officeDocument/2006/relationships/hyperlink" Target="https://acc.autodesk.com/docs/files/projects/1e597176-a716-43f8-be36-fdbb47ecdee5?folderUrn=urn:adsk.wipprod:fs.folder:co.x-LIQUseT7GKIeVcLN2hJw&amp;entityId=urn:adsk.wipprod:dm.lineage:W13X_Q7hT0KZX9KEoK-XuA&amp;viewModel=detail&amp;moduleId=folders" TargetMode="External"/><Relationship Id="rId23" Type="http://schemas.openxmlformats.org/officeDocument/2006/relationships/hyperlink" Target="https://acc.autodesk.com/docs/files/projects/1e597176-a716-43f8-be36-fdbb47ecdee5?folderUrn=urn:adsk.wipprod:fs.folder:co.x-LIQUseT7GKIeVcLN2hJw" TargetMode="External"/><Relationship Id="rId26" Type="http://schemas.openxmlformats.org/officeDocument/2006/relationships/hyperlink" Target="https://acc.autodesk.com/docs/files/projects/1e597176-a716-43f8-be36-fdbb47ecdee5?folderUrn=urn:adsk.wipprod:fs.folder:co.x-LIQUseT7GKIeVcLN2hJw&amp;entityId=urn:adsk.wipprod:dm.lineage:7HtFpoLUSka7iY0KCStDEA&amp;viewModel=detail&amp;moduleId=folders" TargetMode="External"/><Relationship Id="rId25" Type="http://schemas.openxmlformats.org/officeDocument/2006/relationships/hyperlink" Target="https://acc.autodesk.com/docs/files/projects/1e597176-a716-43f8-be36-fdbb47ecdee5?folderUrn=urn:adsk.wipprod:fs.folder:co.x-LIQUseT7GKIeVcLN2hJw" TargetMode="External"/><Relationship Id="rId28" Type="http://schemas.openxmlformats.org/officeDocument/2006/relationships/hyperlink" Target="https://acc.autodesk.com/docs/files/projects/1e597176-a716-43f8-be36-fdbb47ecdee5?folderUrn=urn:adsk.wipprod:fs.folder:co.x-LIQUseT7GKIeVcLN2hJw&amp;entityId=urn:adsk.wipprod:dm.lineage:HSPnZkDsRDeDpQP83r1-gA&amp;viewModel=detail&amp;moduleId=folders" TargetMode="External"/><Relationship Id="rId27" Type="http://schemas.openxmlformats.org/officeDocument/2006/relationships/hyperlink" Target="https://acc.autodesk.com/docs/files/projects/1e597176-a716-43f8-be36-fdbb47ecdee5?folderUrn=urn:adsk.wipprod:fs.folder:co.x-LIQUseT7GKIeVcLN2hJw" TargetMode="External"/><Relationship Id="rId29" Type="http://schemas.openxmlformats.org/officeDocument/2006/relationships/hyperlink" Target="https://acc.autodesk.com/docs/files/projects/1e597176-a716-43f8-be36-fdbb47ecdee5?folderUrn=urn:adsk.wipprod:fs.folder:co.x-LIQUseT7GKIeVcLN2hJw" TargetMode="External"/><Relationship Id="rId11" Type="http://schemas.openxmlformats.org/officeDocument/2006/relationships/hyperlink" Target="https://acc.autodesk.com/docs/files/projects/1e597176-a716-43f8-be36-fdbb47ecdee5?folderUrn=urn:adsk.wipprod:fs.folder:co.x-LIQUseT7GKIeVcLN2hJw" TargetMode="External"/><Relationship Id="rId10" Type="http://schemas.openxmlformats.org/officeDocument/2006/relationships/hyperlink" Target="https://acc.autodesk.com/docs/files/projects/1e597176-a716-43f8-be36-fdbb47ecdee5?folderUrn=urn:adsk.wipprod:fs.folder:co.x-LIQUseT7GKIeVcLN2hJw&amp;entityId=urn:adsk.wipprod:dm.lineage:Mz8ZtHQNQKuvfz3Nztr6Iw&amp;viewModel=detail&amp;moduleId=folders" TargetMode="External"/><Relationship Id="rId13" Type="http://schemas.openxmlformats.org/officeDocument/2006/relationships/hyperlink" Target="https://acc.autodesk.com/docs/files/projects/1e597176-a716-43f8-be36-fdbb47ecdee5?folderUrn=urn:adsk.wipprod:fs.folder:co.x-LIQUseT7GKIeVcLN2hJw" TargetMode="External"/><Relationship Id="rId12" Type="http://schemas.openxmlformats.org/officeDocument/2006/relationships/hyperlink" Target="https://acc.autodesk.com/docs/files/projects/1e597176-a716-43f8-be36-fdbb47ecdee5?folderUrn=urn:adsk.wipprod:fs.folder:co.x-LIQUseT7GKIeVcLN2hJw&amp;entityId=urn:adsk.wipprod:dm.lineage:oFTjdiAqT16XhSU0YRjgUA&amp;viewModel=detail&amp;moduleId=folders" TargetMode="External"/><Relationship Id="rId15" Type="http://schemas.openxmlformats.org/officeDocument/2006/relationships/hyperlink" Target="https://acc.autodesk.com/docs/files/projects/1e597176-a716-43f8-be36-fdbb47ecdee5?folderUrn=urn:adsk.wipprod:fs.folder:co.x-LIQUseT7GKIeVcLN2hJw" TargetMode="External"/><Relationship Id="rId198" Type="http://schemas.openxmlformats.org/officeDocument/2006/relationships/hyperlink" Target="https://acc.autodesk.com/docs/files/projects/1e597176-a716-43f8-be36-fdbb47ecdee5?folderUrn=urn:adsk.wipprod:fs.folder:co.UqJ5SedOSpaQm3mvbRIw_Q&amp;entityId=urn:adsk.wipprod:dm.lineage:RTpKFtCKS_S1HCO3aUz7zw&amp;viewModel=detail&amp;moduleId=folders" TargetMode="External"/><Relationship Id="rId14" Type="http://schemas.openxmlformats.org/officeDocument/2006/relationships/hyperlink" Target="https://acc.autodesk.com/docs/files/projects/1e597176-a716-43f8-be36-fdbb47ecdee5?folderUrn=urn:adsk.wipprod:fs.folder:co.x-LIQUseT7GKIeVcLN2hJw&amp;entityId=urn:adsk.wipprod:dm.lineage:3GP61XhUS4as-WZixBoOhw&amp;viewModel=detail&amp;moduleId=folders" TargetMode="External"/><Relationship Id="rId197" Type="http://schemas.openxmlformats.org/officeDocument/2006/relationships/hyperlink" Target="https://acc.autodesk.com/docs/files/projects/1e597176-a716-43f8-be36-fdbb47ecdee5?folderUrn=urn:adsk.wipprod:fs.folder:co.UqJ5SedOSpaQm3mvbRIw_Q" TargetMode="External"/><Relationship Id="rId17" Type="http://schemas.openxmlformats.org/officeDocument/2006/relationships/hyperlink" Target="https://acc.autodesk.com/docs/files/projects/1e597176-a716-43f8-be36-fdbb47ecdee5?folderUrn=urn:adsk.wipprod:fs.folder:co.x-LIQUseT7GKIeVcLN2hJw" TargetMode="External"/><Relationship Id="rId196" Type="http://schemas.openxmlformats.org/officeDocument/2006/relationships/hyperlink" Target="https://acc.autodesk.com/docs/files/projects/1e597176-a716-43f8-be36-fdbb47ecdee5?folderUrn=urn:adsk.wipprod:fs.folder:co.UqJ5SedOSpaQm3mvbRIw_Q&amp;entityId=urn:adsk.wipprod:dm.lineage:nZ6wz4CgQnSygRo-pebi_Q&amp;viewModel=detail&amp;moduleId=folders" TargetMode="External"/><Relationship Id="rId16" Type="http://schemas.openxmlformats.org/officeDocument/2006/relationships/hyperlink" Target="https://acc.autodesk.com/docs/files/projects/1e597176-a716-43f8-be36-fdbb47ecdee5?folderUrn=urn:adsk.wipprod:fs.folder:co.x-LIQUseT7GKIeVcLN2hJw&amp;entityId=urn:adsk.wipprod:dm.lineage:bTTdRgv4T4OHoOutEMXsxw&amp;viewModel=detail&amp;moduleId=folders" TargetMode="External"/><Relationship Id="rId195" Type="http://schemas.openxmlformats.org/officeDocument/2006/relationships/hyperlink" Target="https://acc.autodesk.com/docs/files/projects/1e597176-a716-43f8-be36-fdbb47ecdee5?folderUrn=urn:adsk.wipprod:fs.folder:co.UqJ5SedOSpaQm3mvbRIw_Q" TargetMode="External"/><Relationship Id="rId19" Type="http://schemas.openxmlformats.org/officeDocument/2006/relationships/hyperlink" Target="https://acc.autodesk.com/docs/files/projects/1e597176-a716-43f8-be36-fdbb47ecdee5?folderUrn=urn:adsk.wipprod:fs.folder:co.x-LIQUseT7GKIeVcLN2hJw" TargetMode="External"/><Relationship Id="rId18" Type="http://schemas.openxmlformats.org/officeDocument/2006/relationships/hyperlink" Target="https://acc.autodesk.com/docs/files/projects/1e597176-a716-43f8-be36-fdbb47ecdee5?folderUrn=urn:adsk.wipprod:fs.folder:co.x-LIQUseT7GKIeVcLN2hJw&amp;entityId=urn:adsk.wipprod:dm.lineage:pf8sz-vcRMmI8MBRqPajzg&amp;viewModel=detail&amp;moduleId=folders" TargetMode="External"/><Relationship Id="rId199" Type="http://schemas.openxmlformats.org/officeDocument/2006/relationships/hyperlink" Target="https://acc.autodesk.com/docs/files/projects/1e597176-a716-43f8-be36-fdbb47ecdee5?folderUrn=urn:adsk.wipprod:fs.folder:co.UqJ5SedOSpaQm3mvbRIw_Q" TargetMode="External"/><Relationship Id="rId84" Type="http://schemas.openxmlformats.org/officeDocument/2006/relationships/hyperlink" Target="https://acc.autodesk.com/docs/files/projects/1e597176-a716-43f8-be36-fdbb47ecdee5?folderUrn=urn:adsk.wipprod:fs.folder:co.oWsagAilStq0wo4hThaDsw&amp;entityId=urn:adsk.wipprod:dm.lineage:UMK5wVIlQHGKfwUmZ5PXwQ&amp;viewModel=detail&amp;moduleId=folders" TargetMode="External"/><Relationship Id="rId83" Type="http://schemas.openxmlformats.org/officeDocument/2006/relationships/hyperlink" Target="https://acc.autodesk.com/docs/files/projects/1e597176-a716-43f8-be36-fdbb47ecdee5?folderUrn=urn:adsk.wipprod:fs.folder:co.oWsagAilStq0wo4hThaDsw" TargetMode="External"/><Relationship Id="rId86" Type="http://schemas.openxmlformats.org/officeDocument/2006/relationships/hyperlink" Target="https://acc.autodesk.com/docs/files/projects/1e597176-a716-43f8-be36-fdbb47ecdee5?folderUrn=urn:adsk.wipprod:fs.folder:co.0X3VkD07TZKRc7zUk_8boQ&amp;entityId=urn:adsk.wipprod:dm.lineage:iaNqHzakTPm7D-4sRqBqyg&amp;viewModel=detail&amp;moduleId=folders" TargetMode="External"/><Relationship Id="rId85" Type="http://schemas.openxmlformats.org/officeDocument/2006/relationships/hyperlink" Target="https://acc.autodesk.com/docs/files/projects/1e597176-a716-43f8-be36-fdbb47ecdee5?folderUrn=urn:adsk.wipprod:fs.folder:co.0X3VkD07TZKRc7zUk_8boQ" TargetMode="External"/><Relationship Id="rId88" Type="http://schemas.openxmlformats.org/officeDocument/2006/relationships/hyperlink" Target="https://acc.autodesk.com/docs/files/projects/1e597176-a716-43f8-be36-fdbb47ecdee5?folderUrn=urn:adsk.wipprod:fs.folder:co.0X3VkD07TZKRc7zUk_8boQ&amp;entityId=urn:adsk.wipprod:dm.lineage:nT2sd-T3S2-fLUypI6FCSQ&amp;viewModel=detail&amp;moduleId=folders" TargetMode="External"/><Relationship Id="rId150" Type="http://schemas.openxmlformats.org/officeDocument/2006/relationships/hyperlink" Target="https://acc.autodesk.com/docs/files/projects/1e597176-a716-43f8-be36-fdbb47ecdee5?folderUrn=urn:adsk.wipprod:fs.folder:co.LtnBId7JTK-uXdmmDlFFgA&amp;entityId=urn:adsk.wipprod:dm.lineage:qAynN9NkQ5i4q9rD2AeJRw&amp;viewModel=detail&amp;moduleId=folders" TargetMode="External"/><Relationship Id="rId271" Type="http://schemas.openxmlformats.org/officeDocument/2006/relationships/hyperlink" Target="https://acc.autodesk.com/docs/files/projects/1e597176-a716-43f8-be36-fdbb47ecdee5?folderUrn=urn:adsk.wipprod:fs.folder:co.QLkOGekBQd-Z3DKL7vJ7rA" TargetMode="External"/><Relationship Id="rId87" Type="http://schemas.openxmlformats.org/officeDocument/2006/relationships/hyperlink" Target="https://acc.autodesk.com/docs/files/projects/1e597176-a716-43f8-be36-fdbb47ecdee5?folderUrn=urn:adsk.wipprod:fs.folder:co.0X3VkD07TZKRc7zUk_8boQ" TargetMode="External"/><Relationship Id="rId270" Type="http://schemas.openxmlformats.org/officeDocument/2006/relationships/hyperlink" Target="https://acc.autodesk.com/docs/files/projects/1e597176-a716-43f8-be36-fdbb47ecdee5?folderUrn=urn:adsk.wipprod:fs.folder:co.QLkOGekBQd-Z3DKL7vJ7rA&amp;entityId=urn:adsk.wipprod:dm.lineage:yX8yZMRYQqSCSxu2IkvFDA&amp;viewModel=detail&amp;moduleId=folders" TargetMode="External"/><Relationship Id="rId89" Type="http://schemas.openxmlformats.org/officeDocument/2006/relationships/hyperlink" Target="https://acc.autodesk.com/docs/files/projects/1e597176-a716-43f8-be36-fdbb47ecdee5?folderUrn=urn:adsk.wipprod:fs.folder:co.0X3VkD07TZKRc7zUk_8boQ" TargetMode="External"/><Relationship Id="rId80" Type="http://schemas.openxmlformats.org/officeDocument/2006/relationships/hyperlink" Target="https://acc.autodesk.com/docs/files/projects/1e597176-a716-43f8-be36-fdbb47ecdee5?folderUrn=urn:adsk.wipprod:fs.folder:co.oWsagAilStq0wo4hThaDsw&amp;entityId=urn:adsk.wipprod:dm.lineage:bzLd2_x-QlKAkTU33Wcd8Q&amp;viewModel=detail&amp;moduleId=folders" TargetMode="External"/><Relationship Id="rId82" Type="http://schemas.openxmlformats.org/officeDocument/2006/relationships/hyperlink" Target="https://acc.autodesk.com/docs/files/projects/1e597176-a716-43f8-be36-fdbb47ecdee5?folderUrn=urn:adsk.wipprod:fs.folder:co.oWsagAilStq0wo4hThaDsw&amp;entityId=urn:adsk.wipprod:dm.lineage:9z8Gs1k3S0incbnGJh1ccw&amp;viewModel=detail&amp;moduleId=folders" TargetMode="External"/><Relationship Id="rId81" Type="http://schemas.openxmlformats.org/officeDocument/2006/relationships/hyperlink" Target="https://acc.autodesk.com/docs/files/projects/1e597176-a716-43f8-be36-fdbb47ecdee5?folderUrn=urn:adsk.wipprod:fs.folder:co.oWsagAilStq0wo4hThaDsw" TargetMode="External"/><Relationship Id="rId1" Type="http://schemas.openxmlformats.org/officeDocument/2006/relationships/hyperlink" Target="https://acc.autodesk.com/docs/files/projects/1e597176-a716-43f8-be36-fdbb47ecdee5?folderUrn=urn:adsk.wipprod:fs.folder:co.x-LIQUseT7GKIeVcLN2hJw" TargetMode="External"/><Relationship Id="rId2" Type="http://schemas.openxmlformats.org/officeDocument/2006/relationships/hyperlink" Target="https://acc.autodesk.com/docs/files/projects/1e597176-a716-43f8-be36-fdbb47ecdee5?folderUrn=urn:adsk.wipprod:fs.folder:co.x-LIQUseT7GKIeVcLN2hJw&amp;entityId=urn:adsk.wipprod:dm.lineage:dEKrkxYgQtKLK51l7JV6Vw&amp;viewModel=detail&amp;moduleId=folders" TargetMode="External"/><Relationship Id="rId3" Type="http://schemas.openxmlformats.org/officeDocument/2006/relationships/hyperlink" Target="https://acc.autodesk.com/docs/files/projects/1e597176-a716-43f8-be36-fdbb47ecdee5?folderUrn=urn:adsk.wipprod:fs.folder:co.x-LIQUseT7GKIeVcLN2hJw" TargetMode="External"/><Relationship Id="rId149" Type="http://schemas.openxmlformats.org/officeDocument/2006/relationships/hyperlink" Target="https://acc.autodesk.com/docs/files/projects/1e597176-a716-43f8-be36-fdbb47ecdee5?folderUrn=urn:adsk.wipprod:fs.folder:co.LtnBId7JTK-uXdmmDlFFgA" TargetMode="External"/><Relationship Id="rId4" Type="http://schemas.openxmlformats.org/officeDocument/2006/relationships/hyperlink" Target="https://acc.autodesk.com/docs/files/projects/1e597176-a716-43f8-be36-fdbb47ecdee5?folderUrn=urn:adsk.wipprod:fs.folder:co.x-LIQUseT7GKIeVcLN2hJw&amp;entityId=urn:adsk.wipprod:dm.lineage:U89GSpqlTi2oObYYmVnJgA&amp;viewModel=detail&amp;moduleId=folders" TargetMode="External"/><Relationship Id="rId148" Type="http://schemas.openxmlformats.org/officeDocument/2006/relationships/hyperlink" Target="https://acc.autodesk.com/docs/files/projects/1e597176-a716-43f8-be36-fdbb47ecdee5?folderUrn=urn:adsk.wipprod:fs.folder:co.LtnBId7JTK-uXdmmDlFFgA&amp;entityId=urn:adsk.wipprod:dm.lineage:SpyrSBWgSgi5eDnYCnbouQ&amp;viewModel=detail&amp;moduleId=folders" TargetMode="External"/><Relationship Id="rId269" Type="http://schemas.openxmlformats.org/officeDocument/2006/relationships/hyperlink" Target="https://acc.autodesk.com/docs/files/projects/1e597176-a716-43f8-be36-fdbb47ecdee5?folderUrn=urn:adsk.wipprod:fs.folder:co.QLkOGekBQd-Z3DKL7vJ7rA" TargetMode="External"/><Relationship Id="rId9" Type="http://schemas.openxmlformats.org/officeDocument/2006/relationships/hyperlink" Target="https://acc.autodesk.com/docs/files/projects/1e597176-a716-43f8-be36-fdbb47ecdee5?folderUrn=urn:adsk.wipprod:fs.folder:co.x-LIQUseT7GKIeVcLN2hJw" TargetMode="External"/><Relationship Id="rId143" Type="http://schemas.openxmlformats.org/officeDocument/2006/relationships/hyperlink" Target="https://acc.autodesk.com/docs/files/projects/1e597176-a716-43f8-be36-fdbb47ecdee5?folderUrn=urn:adsk.wipprod:fs.folder:co.LtnBId7JTK-uXdmmDlFFgA" TargetMode="External"/><Relationship Id="rId264" Type="http://schemas.openxmlformats.org/officeDocument/2006/relationships/hyperlink" Target="https://acc.autodesk.com/docs/files/projects/1e597176-a716-43f8-be36-fdbb47ecdee5?folderUrn=urn:adsk.wipprod:fs.folder:co.buNCOFH5SiOErzY0MBySjg&amp;entityId=urn:adsk.wipprod:dm.lineage:XIwyGTShTzSCcKEuWaOVyw&amp;viewModel=detail&amp;moduleId=folders" TargetMode="External"/><Relationship Id="rId142" Type="http://schemas.openxmlformats.org/officeDocument/2006/relationships/hyperlink" Target="https://acc.autodesk.com/docs/files/projects/1e597176-a716-43f8-be36-fdbb47ecdee5?folderUrn=urn:adsk.wipprod:fs.folder:co.LtnBId7JTK-uXdmmDlFFgA&amp;entityId=urn:adsk.wipprod:dm.lineage:6hMvYcHBSfeDtPlwG7VJJQ&amp;viewModel=detail&amp;moduleId=folders" TargetMode="External"/><Relationship Id="rId263" Type="http://schemas.openxmlformats.org/officeDocument/2006/relationships/hyperlink" Target="https://acc.autodesk.com/docs/files/projects/1e597176-a716-43f8-be36-fdbb47ecdee5?folderUrn=urn:adsk.wipprod:fs.folder:co.buNCOFH5SiOErzY0MBySjg" TargetMode="External"/><Relationship Id="rId141" Type="http://schemas.openxmlformats.org/officeDocument/2006/relationships/hyperlink" Target="https://acc.autodesk.com/docs/files/projects/1e597176-a716-43f8-be36-fdbb47ecdee5?folderUrn=urn:adsk.wipprod:fs.folder:co.LtnBId7JTK-uXdmmDlFFgA" TargetMode="External"/><Relationship Id="rId262" Type="http://schemas.openxmlformats.org/officeDocument/2006/relationships/hyperlink" Target="https://acc.autodesk.com/docs/files/projects/1e597176-a716-43f8-be36-fdbb47ecdee5?folderUrn=urn:adsk.wipprod:fs.folder:co.buNCOFH5SiOErzY0MBySjg&amp;entityId=urn:adsk.wipprod:dm.lineage:KrIxkdQcS4mm2SlQPCRVcw&amp;viewModel=detail&amp;moduleId=folders" TargetMode="External"/><Relationship Id="rId140" Type="http://schemas.openxmlformats.org/officeDocument/2006/relationships/hyperlink" Target="https://acc.autodesk.com/docs/files/projects/1e597176-a716-43f8-be36-fdbb47ecdee5?folderUrn=urn:adsk.wipprod:fs.folder:co.LtnBId7JTK-uXdmmDlFFgA&amp;entityId=urn:adsk.wipprod:dm.lineage:r6l5NOfBTtiaZMhRQQ2Jdg&amp;viewModel=detail&amp;moduleId=folders" TargetMode="External"/><Relationship Id="rId261" Type="http://schemas.openxmlformats.org/officeDocument/2006/relationships/hyperlink" Target="https://acc.autodesk.com/docs/files/projects/1e597176-a716-43f8-be36-fdbb47ecdee5?folderUrn=urn:adsk.wipprod:fs.folder:co.buNCOFH5SiOErzY0MBySjg" TargetMode="External"/><Relationship Id="rId5" Type="http://schemas.openxmlformats.org/officeDocument/2006/relationships/hyperlink" Target="https://acc.autodesk.com/docs/files/projects/1e597176-a716-43f8-be36-fdbb47ecdee5?folderUrn=urn:adsk.wipprod:fs.folder:co.x-LIQUseT7GKIeVcLN2hJw" TargetMode="External"/><Relationship Id="rId147" Type="http://schemas.openxmlformats.org/officeDocument/2006/relationships/hyperlink" Target="https://acc.autodesk.com/docs/files/projects/1e597176-a716-43f8-be36-fdbb47ecdee5?folderUrn=urn:adsk.wipprod:fs.folder:co.LtnBId7JTK-uXdmmDlFFgA" TargetMode="External"/><Relationship Id="rId268" Type="http://schemas.openxmlformats.org/officeDocument/2006/relationships/hyperlink" Target="https://acc.autodesk.com/docs/files/projects/1e597176-a716-43f8-be36-fdbb47ecdee5?folderUrn=urn:adsk.wipprod:fs.folder:co.QLkOGekBQd-Z3DKL7vJ7rA&amp;entityId=urn:adsk.wipprod:dm.lineage:YxIT6sVbQku57Di0y1vj6w&amp;viewModel=detail&amp;moduleId=folders" TargetMode="External"/><Relationship Id="rId6" Type="http://schemas.openxmlformats.org/officeDocument/2006/relationships/hyperlink" Target="https://acc.autodesk.com/docs/files/projects/1e597176-a716-43f8-be36-fdbb47ecdee5?folderUrn=urn:adsk.wipprod:fs.folder:co.x-LIQUseT7GKIeVcLN2hJw&amp;entityId=urn:adsk.wipprod:dm.lineage:D19iU1rySQ-8My6g0r4GUQ&amp;viewModel=detail&amp;moduleId=folders" TargetMode="External"/><Relationship Id="rId146" Type="http://schemas.openxmlformats.org/officeDocument/2006/relationships/hyperlink" Target="https://acc.autodesk.com/docs/files/projects/1e597176-a716-43f8-be36-fdbb47ecdee5?folderUrn=urn:adsk.wipprod:fs.folder:co.LtnBId7JTK-uXdmmDlFFgA&amp;entityId=urn:adsk.wipprod:dm.lineage:JkeZ29PKRoaQyFJ_y2tcyQ&amp;viewModel=detail&amp;moduleId=folders" TargetMode="External"/><Relationship Id="rId267" Type="http://schemas.openxmlformats.org/officeDocument/2006/relationships/hyperlink" Target="https://acc.autodesk.com/docs/files/projects/1e597176-a716-43f8-be36-fdbb47ecdee5?folderUrn=urn:adsk.wipprod:fs.folder:co.QLkOGekBQd-Z3DKL7vJ7rA" TargetMode="External"/><Relationship Id="rId7" Type="http://schemas.openxmlformats.org/officeDocument/2006/relationships/hyperlink" Target="https://acc.autodesk.com/docs/files/projects/1e597176-a716-43f8-be36-fdbb47ecdee5?folderUrn=urn:adsk.wipprod:fs.folder:co.x-LIQUseT7GKIeVcLN2hJw" TargetMode="External"/><Relationship Id="rId145" Type="http://schemas.openxmlformats.org/officeDocument/2006/relationships/hyperlink" Target="https://acc.autodesk.com/docs/files/projects/1e597176-a716-43f8-be36-fdbb47ecdee5?folderUrn=urn:adsk.wipprod:fs.folder:co.LtnBId7JTK-uXdmmDlFFgA" TargetMode="External"/><Relationship Id="rId266" Type="http://schemas.openxmlformats.org/officeDocument/2006/relationships/hyperlink" Target="https://acc.autodesk.com/docs/files/projects/1e597176-a716-43f8-be36-fdbb47ecdee5?folderUrn=urn:adsk.wipprod:fs.folder:co.buNCOFH5SiOErzY0MBySjg&amp;entityId=urn:adsk.wipprod:dm.lineage:CugNBAlHQXG50sdeqQXBcQ&amp;viewModel=detail&amp;moduleId=folders" TargetMode="External"/><Relationship Id="rId8" Type="http://schemas.openxmlformats.org/officeDocument/2006/relationships/hyperlink" Target="https://acc.autodesk.com/docs/files/projects/1e597176-a716-43f8-be36-fdbb47ecdee5?folderUrn=urn:adsk.wipprod:fs.folder:co.x-LIQUseT7GKIeVcLN2hJw&amp;entityId=urn:adsk.wipprod:dm.lineage:6MHn-qyLQbOCP9j1vAvLAg&amp;viewModel=detail&amp;moduleId=folders" TargetMode="External"/><Relationship Id="rId144" Type="http://schemas.openxmlformats.org/officeDocument/2006/relationships/hyperlink" Target="https://acc.autodesk.com/docs/files/projects/1e597176-a716-43f8-be36-fdbb47ecdee5?folderUrn=urn:adsk.wipprod:fs.folder:co.LtnBId7JTK-uXdmmDlFFgA&amp;entityId=urn:adsk.wipprod:dm.lineage:QoWUzB7DTLSWW9KOtwHRKA&amp;viewModel=detail&amp;moduleId=folders" TargetMode="External"/><Relationship Id="rId265" Type="http://schemas.openxmlformats.org/officeDocument/2006/relationships/hyperlink" Target="https://acc.autodesk.com/docs/files/projects/1e597176-a716-43f8-be36-fdbb47ecdee5?folderUrn=urn:adsk.wipprod:fs.folder:co.buNCOFH5SiOErzY0MBySjg" TargetMode="External"/><Relationship Id="rId73" Type="http://schemas.openxmlformats.org/officeDocument/2006/relationships/hyperlink" Target="https://acc.autodesk.com/docs/files/projects/1e597176-a716-43f8-be36-fdbb47ecdee5?folderUrn=urn:adsk.wipprod:fs.folder:co.mbcFb3jpSt2paO6NfxsIwg" TargetMode="External"/><Relationship Id="rId72" Type="http://schemas.openxmlformats.org/officeDocument/2006/relationships/hyperlink" Target="https://acc.autodesk.com/docs/files/projects/1e597176-a716-43f8-be36-fdbb47ecdee5?folderUrn=urn:adsk.wipprod:fs.folder:co.mbcFb3jpSt2paO6NfxsIwg&amp;entityId=urn:adsk.wipprod:dm.lineage:7_LoN08YSGenp6huLt-p6Q&amp;viewModel=detail&amp;moduleId=folders" TargetMode="External"/><Relationship Id="rId75" Type="http://schemas.openxmlformats.org/officeDocument/2006/relationships/hyperlink" Target="https://acc.autodesk.com/docs/files/projects/1e597176-a716-43f8-be36-fdbb47ecdee5?folderUrn=urn:adsk.wipprod:fs.folder:co.mbcFb3jpSt2paO6NfxsIwg" TargetMode="External"/><Relationship Id="rId74" Type="http://schemas.openxmlformats.org/officeDocument/2006/relationships/hyperlink" Target="https://acc.autodesk.com/docs/files/projects/1e597176-a716-43f8-be36-fdbb47ecdee5?folderUrn=urn:adsk.wipprod:fs.folder:co.mbcFb3jpSt2paO6NfxsIwg&amp;entityId=urn:adsk.wipprod:dm.lineage:z8RNRZlLQl2cV0vYhIlUUg&amp;viewModel=detail&amp;moduleId=folders" TargetMode="External"/><Relationship Id="rId77" Type="http://schemas.openxmlformats.org/officeDocument/2006/relationships/hyperlink" Target="https://acc.autodesk.com/docs/files/projects/1e597176-a716-43f8-be36-fdbb47ecdee5?folderUrn=urn:adsk.wipprod:fs.folder:co.oWsagAilStq0wo4hThaDsw" TargetMode="External"/><Relationship Id="rId260" Type="http://schemas.openxmlformats.org/officeDocument/2006/relationships/hyperlink" Target="https://acc.autodesk.com/docs/files/projects/1e597176-a716-43f8-be36-fdbb47ecdee5?folderUrn=urn:adsk.wipprod:fs.folder:co.buNCOFH5SiOErzY0MBySjg&amp;entityId=urn:adsk.wipprod:dm.lineage:vuSMdqxBQOS7zDSDZXfnmA&amp;viewModel=detail&amp;moduleId=folders" TargetMode="External"/><Relationship Id="rId76" Type="http://schemas.openxmlformats.org/officeDocument/2006/relationships/hyperlink" Target="https://acc.autodesk.com/docs/files/projects/1e597176-a716-43f8-be36-fdbb47ecdee5?folderUrn=urn:adsk.wipprod:fs.folder:co.mbcFb3jpSt2paO6NfxsIwg&amp;entityId=urn:adsk.wipprod:dm.lineage:J94wfGeFSjiggVdlBi1AtQ&amp;viewModel=detail&amp;moduleId=folders" TargetMode="External"/><Relationship Id="rId79" Type="http://schemas.openxmlformats.org/officeDocument/2006/relationships/hyperlink" Target="https://acc.autodesk.com/docs/files/projects/1e597176-a716-43f8-be36-fdbb47ecdee5?folderUrn=urn:adsk.wipprod:fs.folder:co.oWsagAilStq0wo4hThaDsw" TargetMode="External"/><Relationship Id="rId78" Type="http://schemas.openxmlformats.org/officeDocument/2006/relationships/hyperlink" Target="https://acc.autodesk.com/docs/files/projects/1e597176-a716-43f8-be36-fdbb47ecdee5?folderUrn=urn:adsk.wipprod:fs.folder:co.oWsagAilStq0wo4hThaDsw&amp;entityId=urn:adsk.wipprod:dm.lineage:U66oo3fhQBeaH-q0oazuww&amp;viewModel=detail&amp;moduleId=folders" TargetMode="External"/><Relationship Id="rId71" Type="http://schemas.openxmlformats.org/officeDocument/2006/relationships/hyperlink" Target="https://acc.autodesk.com/docs/files/projects/1e597176-a716-43f8-be36-fdbb47ecdee5?folderUrn=urn:adsk.wipprod:fs.folder:co.mbcFb3jpSt2paO6NfxsIwg" TargetMode="External"/><Relationship Id="rId70" Type="http://schemas.openxmlformats.org/officeDocument/2006/relationships/hyperlink" Target="https://acc.autodesk.com/docs/files/projects/1e597176-a716-43f8-be36-fdbb47ecdee5?folderUrn=urn:adsk.wipprod:fs.folder:co.mbcFb3jpSt2paO6NfxsIwg&amp;entityId=urn:adsk.wipprod:dm.lineage:5_Ls1sLNT5u9wFO6ImhGIg&amp;viewModel=detail&amp;moduleId=folders" TargetMode="External"/><Relationship Id="rId139" Type="http://schemas.openxmlformats.org/officeDocument/2006/relationships/hyperlink" Target="https://acc.autodesk.com/docs/files/projects/1e597176-a716-43f8-be36-fdbb47ecdee5?folderUrn=urn:adsk.wipprod:fs.folder:co.LtnBId7JTK-uXdmmDlFFgA" TargetMode="External"/><Relationship Id="rId138" Type="http://schemas.openxmlformats.org/officeDocument/2006/relationships/hyperlink" Target="https://acc.autodesk.com/docs/files/projects/1e597176-a716-43f8-be36-fdbb47ecdee5?folderUrn=urn:adsk.wipprod:fs.folder:co.LtnBId7JTK-uXdmmDlFFgA&amp;entityId=urn:adsk.wipprod:dm.lineage:9afx8OW4SRKpeKhAiICnqQ&amp;viewModel=detail&amp;moduleId=folders" TargetMode="External"/><Relationship Id="rId259" Type="http://schemas.openxmlformats.org/officeDocument/2006/relationships/hyperlink" Target="https://acc.autodesk.com/docs/files/projects/1e597176-a716-43f8-be36-fdbb47ecdee5?folderUrn=urn:adsk.wipprod:fs.folder:co.buNCOFH5SiOErzY0MBySjg" TargetMode="External"/><Relationship Id="rId137" Type="http://schemas.openxmlformats.org/officeDocument/2006/relationships/hyperlink" Target="https://acc.autodesk.com/docs/files/projects/1e597176-a716-43f8-be36-fdbb47ecdee5?folderUrn=urn:adsk.wipprod:fs.folder:co.LtnBId7JTK-uXdmmDlFFgA" TargetMode="External"/><Relationship Id="rId258" Type="http://schemas.openxmlformats.org/officeDocument/2006/relationships/hyperlink" Target="https://acc.autodesk.com/docs/files/projects/1e597176-a716-43f8-be36-fdbb47ecdee5?folderUrn=urn:adsk.wipprod:fs.folder:co.buNCOFH5SiOErzY0MBySjg&amp;entityId=urn:adsk.wipprod:dm.lineage:gf-goe6vRvyjgcg6jv5FOw&amp;viewModel=detail&amp;moduleId=folders" TargetMode="External"/><Relationship Id="rId132" Type="http://schemas.openxmlformats.org/officeDocument/2006/relationships/hyperlink" Target="https://acc.autodesk.com/docs/files/projects/1e597176-a716-43f8-be36-fdbb47ecdee5?folderUrn=urn:adsk.wipprod:fs.folder:co.LtnBId7JTK-uXdmmDlFFgA&amp;entityId=urn:adsk.wipprod:dm.lineage:_KPytN09T8OQyGQQFz-UvA&amp;viewModel=detail&amp;moduleId=folders" TargetMode="External"/><Relationship Id="rId253" Type="http://schemas.openxmlformats.org/officeDocument/2006/relationships/hyperlink" Target="https://acc.autodesk.com/docs/files/projects/1e597176-a716-43f8-be36-fdbb47ecdee5?folderUrn=urn:adsk.wipprod:fs.folder:co.buNCOFH5SiOErzY0MBySjg" TargetMode="External"/><Relationship Id="rId131" Type="http://schemas.openxmlformats.org/officeDocument/2006/relationships/hyperlink" Target="https://acc.autodesk.com/docs/files/projects/1e597176-a716-43f8-be36-fdbb47ecdee5?folderUrn=urn:adsk.wipprod:fs.folder:co.LtnBId7JTK-uXdmmDlFFgA" TargetMode="External"/><Relationship Id="rId252" Type="http://schemas.openxmlformats.org/officeDocument/2006/relationships/hyperlink" Target="https://acc.autodesk.com/docs/files/projects/1e597176-a716-43f8-be36-fdbb47ecdee5?folderUrn=urn:adsk.wipprod:fs.folder:co.buNCOFH5SiOErzY0MBySjg&amp;entityId=urn:adsk.wipprod:dm.lineage:BwmEKuVDSjquD4-Dg7kRvA&amp;viewModel=detail&amp;moduleId=folders" TargetMode="External"/><Relationship Id="rId130" Type="http://schemas.openxmlformats.org/officeDocument/2006/relationships/hyperlink" Target="https://acc.autodesk.com/docs/files/projects/1e597176-a716-43f8-be36-fdbb47ecdee5?folderUrn=urn:adsk.wipprod:fs.folder:co.LtnBId7JTK-uXdmmDlFFgA&amp;entityId=urn:adsk.wipprod:dm.lineage:wXIwpKLWSNOUyq-jjldNkQ&amp;viewModel=detail&amp;moduleId=folders" TargetMode="External"/><Relationship Id="rId251" Type="http://schemas.openxmlformats.org/officeDocument/2006/relationships/hyperlink" Target="https://acc.autodesk.com/docs/files/projects/1e597176-a716-43f8-be36-fdbb47ecdee5?folderUrn=urn:adsk.wipprod:fs.folder:co.buNCOFH5SiOErzY0MBySjg" TargetMode="External"/><Relationship Id="rId250" Type="http://schemas.openxmlformats.org/officeDocument/2006/relationships/hyperlink" Target="https://acc.autodesk.com/docs/files/projects/1e597176-a716-43f8-be36-fdbb47ecdee5?folderUrn=urn:adsk.wipprod:fs.folder:co.buNCOFH5SiOErzY0MBySjg&amp;entityId=urn:adsk.wipprod:dm.lineage:0YjuJhinRBme3c77uKsGQg&amp;viewModel=detail&amp;moduleId=folders" TargetMode="External"/><Relationship Id="rId136" Type="http://schemas.openxmlformats.org/officeDocument/2006/relationships/hyperlink" Target="https://acc.autodesk.com/docs/files/projects/1e597176-a716-43f8-be36-fdbb47ecdee5?folderUrn=urn:adsk.wipprod:fs.folder:co.LtnBId7JTK-uXdmmDlFFgA&amp;entityId=urn:adsk.wipprod:dm.lineage:U8cBJ2O-T42xywq17eou2Q&amp;viewModel=detail&amp;moduleId=folders" TargetMode="External"/><Relationship Id="rId257" Type="http://schemas.openxmlformats.org/officeDocument/2006/relationships/hyperlink" Target="https://acc.autodesk.com/docs/files/projects/1e597176-a716-43f8-be36-fdbb47ecdee5?folderUrn=urn:adsk.wipprod:fs.folder:co.buNCOFH5SiOErzY0MBySjg" TargetMode="External"/><Relationship Id="rId135" Type="http://schemas.openxmlformats.org/officeDocument/2006/relationships/hyperlink" Target="https://acc.autodesk.com/docs/files/projects/1e597176-a716-43f8-be36-fdbb47ecdee5?folderUrn=urn:adsk.wipprod:fs.folder:co.LtnBId7JTK-uXdmmDlFFgA" TargetMode="External"/><Relationship Id="rId256" Type="http://schemas.openxmlformats.org/officeDocument/2006/relationships/hyperlink" Target="https://acc.autodesk.com/docs/files/projects/1e597176-a716-43f8-be36-fdbb47ecdee5?folderUrn=urn:adsk.wipprod:fs.folder:co.buNCOFH5SiOErzY0MBySjg&amp;entityId=urn:adsk.wipprod:dm.lineage:UqvpoGjITnKnSa-oNO8-JQ&amp;viewModel=detail&amp;moduleId=folders" TargetMode="External"/><Relationship Id="rId134" Type="http://schemas.openxmlformats.org/officeDocument/2006/relationships/hyperlink" Target="https://acc.autodesk.com/docs/files/projects/1e597176-a716-43f8-be36-fdbb47ecdee5?folderUrn=urn:adsk.wipprod:fs.folder:co.LtnBId7JTK-uXdmmDlFFgA&amp;entityId=urn:adsk.wipprod:dm.lineage:KLGRnD8UTZ2kWT73b7Rw5w&amp;viewModel=detail&amp;moduleId=folders" TargetMode="External"/><Relationship Id="rId255" Type="http://schemas.openxmlformats.org/officeDocument/2006/relationships/hyperlink" Target="https://acc.autodesk.com/docs/files/projects/1e597176-a716-43f8-be36-fdbb47ecdee5?folderUrn=urn:adsk.wipprod:fs.folder:co.buNCOFH5SiOErzY0MBySjg" TargetMode="External"/><Relationship Id="rId133" Type="http://schemas.openxmlformats.org/officeDocument/2006/relationships/hyperlink" Target="https://acc.autodesk.com/docs/files/projects/1e597176-a716-43f8-be36-fdbb47ecdee5?folderUrn=urn:adsk.wipprod:fs.folder:co.LtnBId7JTK-uXdmmDlFFgA" TargetMode="External"/><Relationship Id="rId254" Type="http://schemas.openxmlformats.org/officeDocument/2006/relationships/hyperlink" Target="https://acc.autodesk.com/docs/files/projects/1e597176-a716-43f8-be36-fdbb47ecdee5?folderUrn=urn:adsk.wipprod:fs.folder:co.buNCOFH5SiOErzY0MBySjg&amp;entityId=urn:adsk.wipprod:dm.lineage:ZZMC0ItXQmGutBjMhMrjuQ&amp;viewModel=detail&amp;moduleId=folders" TargetMode="External"/><Relationship Id="rId62" Type="http://schemas.openxmlformats.org/officeDocument/2006/relationships/hyperlink" Target="https://acc.autodesk.com/docs/files/projects/1e597176-a716-43f8-be36-fdbb47ecdee5?folderUrn=urn:adsk.wipprod:fs.folder:co.wiFGaDltR6KuAtlKIhTMqw&amp;entityId=urn:adsk.wipprod:dm.lineage:991UlEFKQgqsVhQ6RoNbkQ&amp;viewModel=detail&amp;moduleId=folders" TargetMode="External"/><Relationship Id="rId61" Type="http://schemas.openxmlformats.org/officeDocument/2006/relationships/hyperlink" Target="https://acc.autodesk.com/docs/files/projects/1e597176-a716-43f8-be36-fdbb47ecdee5?folderUrn=urn:adsk.wipprod:fs.folder:co.wiFGaDltR6KuAtlKIhTMqw" TargetMode="External"/><Relationship Id="rId64" Type="http://schemas.openxmlformats.org/officeDocument/2006/relationships/hyperlink" Target="https://acc.autodesk.com/docs/files/projects/1e597176-a716-43f8-be36-fdbb47ecdee5?folderUrn=urn:adsk.wipprod:fs.folder:co.wiFGaDltR6KuAtlKIhTMqw&amp;entityId=urn:adsk.wipprod:dm.lineage:CZSqILePREmAOxS89x6AYw&amp;viewModel=detail&amp;moduleId=folders" TargetMode="External"/><Relationship Id="rId63" Type="http://schemas.openxmlformats.org/officeDocument/2006/relationships/hyperlink" Target="https://acc.autodesk.com/docs/files/projects/1e597176-a716-43f8-be36-fdbb47ecdee5?folderUrn=urn:adsk.wipprod:fs.folder:co.wiFGaDltR6KuAtlKIhTMqw" TargetMode="External"/><Relationship Id="rId66" Type="http://schemas.openxmlformats.org/officeDocument/2006/relationships/hyperlink" Target="https://acc.autodesk.com/docs/files/projects/1e597176-a716-43f8-be36-fdbb47ecdee5?folderUrn=urn:adsk.wipprod:fs.folder:co.wiFGaDltR6KuAtlKIhTMqw&amp;entityId=urn:adsk.wipprod:dm.lineage:q_A7T2_ESXmn4fV2MINq9w&amp;viewModel=detail&amp;moduleId=folders" TargetMode="External"/><Relationship Id="rId172" Type="http://schemas.openxmlformats.org/officeDocument/2006/relationships/hyperlink" Target="https://acc.autodesk.com/docs/files/projects/1e597176-a716-43f8-be36-fdbb47ecdee5?folderUrn=urn:adsk.wipprod:fs.folder:co.UqJ5SedOSpaQm3mvbRIw_Q&amp;entityId=urn:adsk.wipprod:dm.lineage:6PEi1SYyRpablm-1xVVHZQ&amp;viewModel=detail&amp;moduleId=folders" TargetMode="External"/><Relationship Id="rId65" Type="http://schemas.openxmlformats.org/officeDocument/2006/relationships/hyperlink" Target="https://acc.autodesk.com/docs/files/projects/1e597176-a716-43f8-be36-fdbb47ecdee5?folderUrn=urn:adsk.wipprod:fs.folder:co.wiFGaDltR6KuAtlKIhTMqw" TargetMode="External"/><Relationship Id="rId171" Type="http://schemas.openxmlformats.org/officeDocument/2006/relationships/hyperlink" Target="https://acc.autodesk.com/docs/files/projects/1e597176-a716-43f8-be36-fdbb47ecdee5?folderUrn=urn:adsk.wipprod:fs.folder:co.UqJ5SedOSpaQm3mvbRIw_Q" TargetMode="External"/><Relationship Id="rId68" Type="http://schemas.openxmlformats.org/officeDocument/2006/relationships/hyperlink" Target="https://acc.autodesk.com/docs/files/projects/1e597176-a716-43f8-be36-fdbb47ecdee5?folderUrn=urn:adsk.wipprod:fs.folder:co.wiFGaDltR6KuAtlKIhTMqw&amp;entityId=urn:adsk.wipprod:dm.lineage:TGIKKK-5Sr6Ub8J9bsvMEw&amp;viewModel=detail&amp;moduleId=folders" TargetMode="External"/><Relationship Id="rId170" Type="http://schemas.openxmlformats.org/officeDocument/2006/relationships/hyperlink" Target="https://acc.autodesk.com/docs/files/projects/1e597176-a716-43f8-be36-fdbb47ecdee5?folderUrn=urn:adsk.wipprod:fs.folder:co.UqJ5SedOSpaQm3mvbRIw_Q&amp;entityId=urn:adsk.wipprod:dm.lineage:Rj8k2qCDTyeygXs1wEEJig&amp;viewModel=detail&amp;moduleId=folders" TargetMode="External"/><Relationship Id="rId291" Type="http://schemas.openxmlformats.org/officeDocument/2006/relationships/drawing" Target="../drawings/drawing10.xml"/><Relationship Id="rId67" Type="http://schemas.openxmlformats.org/officeDocument/2006/relationships/hyperlink" Target="https://acc.autodesk.com/docs/files/projects/1e597176-a716-43f8-be36-fdbb47ecdee5?folderUrn=urn:adsk.wipprod:fs.folder:co.wiFGaDltR6KuAtlKIhTMqw" TargetMode="External"/><Relationship Id="rId290" Type="http://schemas.openxmlformats.org/officeDocument/2006/relationships/hyperlink" Target="https://acc.autodesk.com/docs/files/projects/1e597176-a716-43f8-be36-fdbb47ecdee5?folderUrn=urn:adsk.wipprod:fs.folder:co.SJ1pF7iTTXCszwGtIaqqzA&amp;entityId=urn:adsk.wipprod:dm.lineage:sPNkeeUgR-2oZK3VfZAyVg&amp;viewModel=detail&amp;moduleId=folders" TargetMode="External"/><Relationship Id="rId60" Type="http://schemas.openxmlformats.org/officeDocument/2006/relationships/hyperlink" Target="https://acc.autodesk.com/docs/files/projects/1e597176-a716-43f8-be36-fdbb47ecdee5?folderUrn=urn:adsk.wipprod:fs.folder:co.wiFGaDltR6KuAtlKIhTMqw&amp;entityId=urn:adsk.wipprod:dm.lineage:UspG8TLXQVyImfIAnMrJtQ&amp;viewModel=detail&amp;moduleId=folders" TargetMode="External"/><Relationship Id="rId165" Type="http://schemas.openxmlformats.org/officeDocument/2006/relationships/hyperlink" Target="https://acc.autodesk.com/docs/files/projects/1e597176-a716-43f8-be36-fdbb47ecdee5?folderUrn=urn:adsk.wipprod:fs.folder:co.LtnBId7JTK-uXdmmDlFFgA" TargetMode="External"/><Relationship Id="rId286" Type="http://schemas.openxmlformats.org/officeDocument/2006/relationships/hyperlink" Target="https://acc.autodesk.com/docs/files/projects/1e597176-a716-43f8-be36-fdbb47ecdee5?folderUrn=urn:adsk.wipprod:fs.folder:co.SJ1pF7iTTXCszwGtIaqqzA&amp;entityId=urn:adsk.wipprod:dm.lineage:sWHtp09gQSOX7YEB6SDTow&amp;viewModel=detail&amp;moduleId=folders" TargetMode="External"/><Relationship Id="rId69" Type="http://schemas.openxmlformats.org/officeDocument/2006/relationships/hyperlink" Target="https://acc.autodesk.com/docs/files/projects/1e597176-a716-43f8-be36-fdbb47ecdee5?folderUrn=urn:adsk.wipprod:fs.folder:co.mbcFb3jpSt2paO6NfxsIwg" TargetMode="External"/><Relationship Id="rId164" Type="http://schemas.openxmlformats.org/officeDocument/2006/relationships/hyperlink" Target="https://acc.autodesk.com/docs/files/projects/1e597176-a716-43f8-be36-fdbb47ecdee5?folderUrn=urn:adsk.wipprod:fs.folder:co.LtnBId7JTK-uXdmmDlFFgA&amp;entityId=urn:adsk.wipprod:dm.lineage:_exI8Ud6S7i3TFEEhxYVTw&amp;viewModel=detail&amp;moduleId=folders" TargetMode="External"/><Relationship Id="rId285" Type="http://schemas.openxmlformats.org/officeDocument/2006/relationships/hyperlink" Target="https://acc.autodesk.com/docs/files/projects/1e597176-a716-43f8-be36-fdbb47ecdee5?folderUrn=urn:adsk.wipprod:fs.folder:co.SJ1pF7iTTXCszwGtIaqqzA" TargetMode="External"/><Relationship Id="rId163" Type="http://schemas.openxmlformats.org/officeDocument/2006/relationships/hyperlink" Target="https://acc.autodesk.com/docs/files/projects/1e597176-a716-43f8-be36-fdbb47ecdee5?folderUrn=urn:adsk.wipprod:fs.folder:co.LtnBId7JTK-uXdmmDlFFgA" TargetMode="External"/><Relationship Id="rId284" Type="http://schemas.openxmlformats.org/officeDocument/2006/relationships/hyperlink" Target="https://acc.autodesk.com/docs/files/projects/1e597176-a716-43f8-be36-fdbb47ecdee5?folderUrn=urn:adsk.wipprod:fs.folder:co.SJ1pF7iTTXCszwGtIaqqzA&amp;entityId=urn:adsk.wipprod:dm.lineage:cXryBjXFRHK2WTPRzQRe_Q&amp;viewModel=detail&amp;moduleId=folders" TargetMode="External"/><Relationship Id="rId162" Type="http://schemas.openxmlformats.org/officeDocument/2006/relationships/hyperlink" Target="https://acc.autodesk.com/docs/files/projects/1e597176-a716-43f8-be36-fdbb47ecdee5?folderUrn=urn:adsk.wipprod:fs.folder:co.LtnBId7JTK-uXdmmDlFFgA&amp;entityId=urn:adsk.wipprod:dm.lineage:_QGNC3vHT6yGKge_2tvKVA&amp;viewModel=detail&amp;moduleId=folders" TargetMode="External"/><Relationship Id="rId283" Type="http://schemas.openxmlformats.org/officeDocument/2006/relationships/hyperlink" Target="https://acc.autodesk.com/docs/files/projects/1e597176-a716-43f8-be36-fdbb47ecdee5?folderUrn=urn:adsk.wipprod:fs.folder:co.SJ1pF7iTTXCszwGtIaqqzA" TargetMode="External"/><Relationship Id="rId169" Type="http://schemas.openxmlformats.org/officeDocument/2006/relationships/hyperlink" Target="https://acc.autodesk.com/docs/files/projects/1e597176-a716-43f8-be36-fdbb47ecdee5?folderUrn=urn:adsk.wipprod:fs.folder:co.UqJ5SedOSpaQm3mvbRIw_Q" TargetMode="External"/><Relationship Id="rId168" Type="http://schemas.openxmlformats.org/officeDocument/2006/relationships/hyperlink" Target="https://acc.autodesk.com/docs/files/projects/1e597176-a716-43f8-be36-fdbb47ecdee5?folderUrn=urn:adsk.wipprod:fs.folder:co.LtnBId7JTK-uXdmmDlFFgA&amp;entityId=urn:adsk.wipprod:dm.lineage:TQOj4SmeRuu26j5-IknJTw&amp;viewModel=detail&amp;moduleId=folders" TargetMode="External"/><Relationship Id="rId289" Type="http://schemas.openxmlformats.org/officeDocument/2006/relationships/hyperlink" Target="https://acc.autodesk.com/docs/files/projects/1e597176-a716-43f8-be36-fdbb47ecdee5?folderUrn=urn:adsk.wipprod:fs.folder:co.SJ1pF7iTTXCszwGtIaqqzA" TargetMode="External"/><Relationship Id="rId167" Type="http://schemas.openxmlformats.org/officeDocument/2006/relationships/hyperlink" Target="https://acc.autodesk.com/docs/files/projects/1e597176-a716-43f8-be36-fdbb47ecdee5?folderUrn=urn:adsk.wipprod:fs.folder:co.LtnBId7JTK-uXdmmDlFFgA" TargetMode="External"/><Relationship Id="rId288" Type="http://schemas.openxmlformats.org/officeDocument/2006/relationships/hyperlink" Target="https://acc.autodesk.com/docs/files/projects/1e597176-a716-43f8-be36-fdbb47ecdee5?folderUrn=urn:adsk.wipprod:fs.folder:co.SJ1pF7iTTXCszwGtIaqqzA&amp;entityId=urn:adsk.wipprod:dm.lineage:hLhp9avAQ4mdlS3ZKY2a9w&amp;viewModel=detail&amp;moduleId=folders" TargetMode="External"/><Relationship Id="rId166" Type="http://schemas.openxmlformats.org/officeDocument/2006/relationships/hyperlink" Target="https://acc.autodesk.com/docs/files/projects/1e597176-a716-43f8-be36-fdbb47ecdee5?folderUrn=urn:adsk.wipprod:fs.folder:co.LtnBId7JTK-uXdmmDlFFgA&amp;entityId=urn:adsk.wipprod:dm.lineage:YwKTj3ZtRnmh89c3O8kzLw&amp;viewModel=detail&amp;moduleId=folders" TargetMode="External"/><Relationship Id="rId287" Type="http://schemas.openxmlformats.org/officeDocument/2006/relationships/hyperlink" Target="https://acc.autodesk.com/docs/files/projects/1e597176-a716-43f8-be36-fdbb47ecdee5?folderUrn=urn:adsk.wipprod:fs.folder:co.SJ1pF7iTTXCszwGtIaqqzA" TargetMode="External"/><Relationship Id="rId51" Type="http://schemas.openxmlformats.org/officeDocument/2006/relationships/hyperlink" Target="https://acc.autodesk.com/docs/files/projects/1e597176-a716-43f8-be36-fdbb47ecdee5?folderUrn=urn:adsk.wipprod:fs.folder:co.wiFGaDltR6KuAtlKIhTMqw" TargetMode="External"/><Relationship Id="rId50" Type="http://schemas.openxmlformats.org/officeDocument/2006/relationships/hyperlink" Target="https://acc.autodesk.com/docs/files/projects/1e597176-a716-43f8-be36-fdbb47ecdee5?folderUrn=urn:adsk.wipprod:fs.folder:co.wiFGaDltR6KuAtlKIhTMqw&amp;entityId=urn:adsk.wipprod:dm.lineage:rzS9WeBDSdaDZAA-sNi6lg&amp;viewModel=detail&amp;moduleId=folders" TargetMode="External"/><Relationship Id="rId53" Type="http://schemas.openxmlformats.org/officeDocument/2006/relationships/hyperlink" Target="https://acc.autodesk.com/docs/files/projects/1e597176-a716-43f8-be36-fdbb47ecdee5?folderUrn=urn:adsk.wipprod:fs.folder:co.wiFGaDltR6KuAtlKIhTMqw" TargetMode="External"/><Relationship Id="rId52" Type="http://schemas.openxmlformats.org/officeDocument/2006/relationships/hyperlink" Target="https://acc.autodesk.com/docs/files/projects/1e597176-a716-43f8-be36-fdbb47ecdee5?folderUrn=urn:adsk.wipprod:fs.folder:co.wiFGaDltR6KuAtlKIhTMqw&amp;entityId=urn:adsk.wipprod:dm.lineage:sPQpEwVRRbS4OZ2PcOiO1g&amp;viewModel=detail&amp;moduleId=folders" TargetMode="External"/><Relationship Id="rId55" Type="http://schemas.openxmlformats.org/officeDocument/2006/relationships/hyperlink" Target="https://acc.autodesk.com/docs/files/projects/1e597176-a716-43f8-be36-fdbb47ecdee5?folderUrn=urn:adsk.wipprod:fs.folder:co.wiFGaDltR6KuAtlKIhTMqw" TargetMode="External"/><Relationship Id="rId161" Type="http://schemas.openxmlformats.org/officeDocument/2006/relationships/hyperlink" Target="https://acc.autodesk.com/docs/files/projects/1e597176-a716-43f8-be36-fdbb47ecdee5?folderUrn=urn:adsk.wipprod:fs.folder:co.LtnBId7JTK-uXdmmDlFFgA" TargetMode="External"/><Relationship Id="rId282" Type="http://schemas.openxmlformats.org/officeDocument/2006/relationships/hyperlink" Target="https://acc.autodesk.com/docs/files/projects/1e597176-a716-43f8-be36-fdbb47ecdee5?folderUrn=urn:adsk.wipprod:fs.folder:co.SJ1pF7iTTXCszwGtIaqqzA&amp;entityId=urn:adsk.wipprod:dm.lineage:hU7tttJjSxOgyWFiBLw3aA&amp;viewModel=detail&amp;moduleId=folders" TargetMode="External"/><Relationship Id="rId54" Type="http://schemas.openxmlformats.org/officeDocument/2006/relationships/hyperlink" Target="https://acc.autodesk.com/docs/files/projects/1e597176-a716-43f8-be36-fdbb47ecdee5?folderUrn=urn:adsk.wipprod:fs.folder:co.wiFGaDltR6KuAtlKIhTMqw&amp;entityId=urn:adsk.wipprod:dm.lineage:b_a70xNcShK7XbvABTJSiQ&amp;viewModel=detail&amp;moduleId=folders" TargetMode="External"/><Relationship Id="rId160" Type="http://schemas.openxmlformats.org/officeDocument/2006/relationships/hyperlink" Target="https://acc.autodesk.com/docs/files/projects/1e597176-a716-43f8-be36-fdbb47ecdee5?folderUrn=urn:adsk.wipprod:fs.folder:co.LtnBId7JTK-uXdmmDlFFgA&amp;entityId=urn:adsk.wipprod:dm.lineage:xtWy0cgaT6ydXqrspBPRLQ&amp;viewModel=detail&amp;moduleId=folders" TargetMode="External"/><Relationship Id="rId281" Type="http://schemas.openxmlformats.org/officeDocument/2006/relationships/hyperlink" Target="https://acc.autodesk.com/docs/files/projects/1e597176-a716-43f8-be36-fdbb47ecdee5?folderUrn=urn:adsk.wipprod:fs.folder:co.SJ1pF7iTTXCszwGtIaqqzA" TargetMode="External"/><Relationship Id="rId57" Type="http://schemas.openxmlformats.org/officeDocument/2006/relationships/hyperlink" Target="https://acc.autodesk.com/docs/files/projects/1e597176-a716-43f8-be36-fdbb47ecdee5?folderUrn=urn:adsk.wipprod:fs.folder:co.wiFGaDltR6KuAtlKIhTMqw" TargetMode="External"/><Relationship Id="rId280" Type="http://schemas.openxmlformats.org/officeDocument/2006/relationships/hyperlink" Target="https://acc.autodesk.com/docs/files/projects/1e597176-a716-43f8-be36-fdbb47ecdee5?folderUrn=urn:adsk.wipprod:fs.folder:co.SJ1pF7iTTXCszwGtIaqqzA&amp;entityId=urn:adsk.wipprod:dm.lineage:ZmEj3_HvSYWEGNwPB7s_rw&amp;viewModel=detail&amp;moduleId=folders" TargetMode="External"/><Relationship Id="rId56" Type="http://schemas.openxmlformats.org/officeDocument/2006/relationships/hyperlink" Target="https://acc.autodesk.com/docs/files/projects/1e597176-a716-43f8-be36-fdbb47ecdee5?folderUrn=urn:adsk.wipprod:fs.folder:co.wiFGaDltR6KuAtlKIhTMqw&amp;entityId=urn:adsk.wipprod:dm.lineage:l7cQd4QoQg-HHzGJGV3tLw&amp;viewModel=detail&amp;moduleId=folders" TargetMode="External"/><Relationship Id="rId159" Type="http://schemas.openxmlformats.org/officeDocument/2006/relationships/hyperlink" Target="https://acc.autodesk.com/docs/files/projects/1e597176-a716-43f8-be36-fdbb47ecdee5?folderUrn=urn:adsk.wipprod:fs.folder:co.LtnBId7JTK-uXdmmDlFFgA" TargetMode="External"/><Relationship Id="rId59" Type="http://schemas.openxmlformats.org/officeDocument/2006/relationships/hyperlink" Target="https://acc.autodesk.com/docs/files/projects/1e597176-a716-43f8-be36-fdbb47ecdee5?folderUrn=urn:adsk.wipprod:fs.folder:co.wiFGaDltR6KuAtlKIhTMqw" TargetMode="External"/><Relationship Id="rId154" Type="http://schemas.openxmlformats.org/officeDocument/2006/relationships/hyperlink" Target="https://acc.autodesk.com/docs/files/projects/1e597176-a716-43f8-be36-fdbb47ecdee5?folderUrn=urn:adsk.wipprod:fs.folder:co.LtnBId7JTK-uXdmmDlFFgA&amp;entityId=urn:adsk.wipprod:dm.lineage:2hsM-SkSQhCdCNrS_8vGwA&amp;viewModel=detail&amp;moduleId=folders" TargetMode="External"/><Relationship Id="rId275" Type="http://schemas.openxmlformats.org/officeDocument/2006/relationships/hyperlink" Target="https://acc.autodesk.com/docs/files/projects/1e597176-a716-43f8-be36-fdbb47ecdee5?folderUrn=urn:adsk.wipprod:fs.folder:co.QLkOGekBQd-Z3DKL7vJ7rA" TargetMode="External"/><Relationship Id="rId58" Type="http://schemas.openxmlformats.org/officeDocument/2006/relationships/hyperlink" Target="https://acc.autodesk.com/docs/files/projects/1e597176-a716-43f8-be36-fdbb47ecdee5?folderUrn=urn:adsk.wipprod:fs.folder:co.wiFGaDltR6KuAtlKIhTMqw&amp;entityId=urn:adsk.wipprod:dm.lineage:J48SvwMsSjS9MRHv8s4WDw&amp;viewModel=detail&amp;moduleId=folders" TargetMode="External"/><Relationship Id="rId153" Type="http://schemas.openxmlformats.org/officeDocument/2006/relationships/hyperlink" Target="https://acc.autodesk.com/docs/files/projects/1e597176-a716-43f8-be36-fdbb47ecdee5?folderUrn=urn:adsk.wipprod:fs.folder:co.LtnBId7JTK-uXdmmDlFFgA" TargetMode="External"/><Relationship Id="rId274" Type="http://schemas.openxmlformats.org/officeDocument/2006/relationships/hyperlink" Target="https://acc.autodesk.com/docs/files/projects/1e597176-a716-43f8-be36-fdbb47ecdee5?folderUrn=urn:adsk.wipprod:fs.folder:co.QLkOGekBQd-Z3DKL7vJ7rA&amp;entityId=urn:adsk.wipprod:dm.lineage:y0thA9DOTH-iJrJN3RAczw&amp;viewModel=detail&amp;moduleId=folders" TargetMode="External"/><Relationship Id="rId152" Type="http://schemas.openxmlformats.org/officeDocument/2006/relationships/hyperlink" Target="https://acc.autodesk.com/docs/files/projects/1e597176-a716-43f8-be36-fdbb47ecdee5?folderUrn=urn:adsk.wipprod:fs.folder:co.LtnBId7JTK-uXdmmDlFFgA&amp;entityId=urn:adsk.wipprod:dm.lineage:a2enjRYWRPmfFSSt4qDuwQ&amp;viewModel=detail&amp;moduleId=folders" TargetMode="External"/><Relationship Id="rId273" Type="http://schemas.openxmlformats.org/officeDocument/2006/relationships/hyperlink" Target="https://acc.autodesk.com/docs/files/projects/1e597176-a716-43f8-be36-fdbb47ecdee5?folderUrn=urn:adsk.wipprod:fs.folder:co.QLkOGekBQd-Z3DKL7vJ7rA" TargetMode="External"/><Relationship Id="rId151" Type="http://schemas.openxmlformats.org/officeDocument/2006/relationships/hyperlink" Target="https://acc.autodesk.com/docs/files/projects/1e597176-a716-43f8-be36-fdbb47ecdee5?folderUrn=urn:adsk.wipprod:fs.folder:co.LtnBId7JTK-uXdmmDlFFgA" TargetMode="External"/><Relationship Id="rId272" Type="http://schemas.openxmlformats.org/officeDocument/2006/relationships/hyperlink" Target="https://acc.autodesk.com/docs/files/projects/1e597176-a716-43f8-be36-fdbb47ecdee5?folderUrn=urn:adsk.wipprod:fs.folder:co.QLkOGekBQd-Z3DKL7vJ7rA&amp;entityId=urn:adsk.wipprod:dm.lineage:O9EwDomXSpGci7iq8A-xmQ&amp;viewModel=detail&amp;moduleId=folders" TargetMode="External"/><Relationship Id="rId158" Type="http://schemas.openxmlformats.org/officeDocument/2006/relationships/hyperlink" Target="https://acc.autodesk.com/docs/files/projects/1e597176-a716-43f8-be36-fdbb47ecdee5?folderUrn=urn:adsk.wipprod:fs.folder:co.LtnBId7JTK-uXdmmDlFFgA&amp;entityId=urn:adsk.wipprod:dm.lineage:wSVQT3-wR8e-tS0OfVrXNQ&amp;viewModel=detail&amp;moduleId=folders" TargetMode="External"/><Relationship Id="rId279" Type="http://schemas.openxmlformats.org/officeDocument/2006/relationships/hyperlink" Target="https://acc.autodesk.com/docs/files/projects/1e597176-a716-43f8-be36-fdbb47ecdee5?folderUrn=urn:adsk.wipprod:fs.folder:co.SJ1pF7iTTXCszwGtIaqqzA" TargetMode="External"/><Relationship Id="rId157" Type="http://schemas.openxmlformats.org/officeDocument/2006/relationships/hyperlink" Target="https://acc.autodesk.com/docs/files/projects/1e597176-a716-43f8-be36-fdbb47ecdee5?folderUrn=urn:adsk.wipprod:fs.folder:co.LtnBId7JTK-uXdmmDlFFgA" TargetMode="External"/><Relationship Id="rId278" Type="http://schemas.openxmlformats.org/officeDocument/2006/relationships/hyperlink" Target="https://acc.autodesk.com/docs/files/projects/1e597176-a716-43f8-be36-fdbb47ecdee5?folderUrn=urn:adsk.wipprod:fs.folder:co.QLkOGekBQd-Z3DKL7vJ7rA&amp;entityId=urn:adsk.wipprod:dm.lineage:m7x4IrtcSqGwf2uhji1fYA&amp;viewModel=detail&amp;moduleId=folders" TargetMode="External"/><Relationship Id="rId156" Type="http://schemas.openxmlformats.org/officeDocument/2006/relationships/hyperlink" Target="https://acc.autodesk.com/docs/files/projects/1e597176-a716-43f8-be36-fdbb47ecdee5?folderUrn=urn:adsk.wipprod:fs.folder:co.LtnBId7JTK-uXdmmDlFFgA&amp;entityId=urn:adsk.wipprod:dm.lineage:9cdazHpeRlWU75qcAh8E1Q&amp;viewModel=detail&amp;moduleId=folders" TargetMode="External"/><Relationship Id="rId277" Type="http://schemas.openxmlformats.org/officeDocument/2006/relationships/hyperlink" Target="https://acc.autodesk.com/docs/files/projects/1e597176-a716-43f8-be36-fdbb47ecdee5?folderUrn=urn:adsk.wipprod:fs.folder:co.QLkOGekBQd-Z3DKL7vJ7rA" TargetMode="External"/><Relationship Id="rId155" Type="http://schemas.openxmlformats.org/officeDocument/2006/relationships/hyperlink" Target="https://acc.autodesk.com/docs/files/projects/1e597176-a716-43f8-be36-fdbb47ecdee5?folderUrn=urn:adsk.wipprod:fs.folder:co.LtnBId7JTK-uXdmmDlFFgA" TargetMode="External"/><Relationship Id="rId276" Type="http://schemas.openxmlformats.org/officeDocument/2006/relationships/hyperlink" Target="https://acc.autodesk.com/docs/files/projects/1e597176-a716-43f8-be36-fdbb47ecdee5?folderUrn=urn:adsk.wipprod:fs.folder:co.QLkOGekBQd-Z3DKL7vJ7rA&amp;entityId=urn:adsk.wipprod:dm.lineage:0laE8UlET8CRb7HZyS2wfA&amp;viewModel=detail&amp;moduleId=folders" TargetMode="External"/><Relationship Id="rId107" Type="http://schemas.openxmlformats.org/officeDocument/2006/relationships/hyperlink" Target="https://acc.autodesk.com/docs/files/projects/1e597176-a716-43f8-be36-fdbb47ecdee5?folderUrn=urn:adsk.wipprod:fs.folder:co.LtnBId7JTK-uXdmmDlFFgA" TargetMode="External"/><Relationship Id="rId228" Type="http://schemas.openxmlformats.org/officeDocument/2006/relationships/hyperlink" Target="https://acc.autodesk.com/docs/files/projects/1e597176-a716-43f8-be36-fdbb47ecdee5?folderUrn=urn:adsk.wipprod:fs.folder:co.UqJ5SedOSpaQm3mvbRIw_Q&amp;entityId=urn:adsk.wipprod:dm.lineage:-SnLWHplR5eH2EBv74xBBw&amp;viewModel=detail&amp;moduleId=folders" TargetMode="External"/><Relationship Id="rId106" Type="http://schemas.openxmlformats.org/officeDocument/2006/relationships/hyperlink" Target="https://acc.autodesk.com/docs/files/projects/1e597176-a716-43f8-be36-fdbb47ecdee5?folderUrn=urn:adsk.wipprod:fs.folder:co.LtnBId7JTK-uXdmmDlFFgA&amp;entityId=urn:adsk.wipprod:dm.lineage:ilDDsRKIRuScYSLudPi9og&amp;viewModel=detail&amp;moduleId=folders" TargetMode="External"/><Relationship Id="rId227" Type="http://schemas.openxmlformats.org/officeDocument/2006/relationships/hyperlink" Target="https://acc.autodesk.com/docs/files/projects/1e597176-a716-43f8-be36-fdbb47ecdee5?folderUrn=urn:adsk.wipprod:fs.folder:co.UqJ5SedOSpaQm3mvbRIw_Q" TargetMode="External"/><Relationship Id="rId105" Type="http://schemas.openxmlformats.org/officeDocument/2006/relationships/hyperlink" Target="https://acc.autodesk.com/docs/files/projects/1e597176-a716-43f8-be36-fdbb47ecdee5?folderUrn=urn:adsk.wipprod:fs.folder:co.LtnBId7JTK-uXdmmDlFFgA" TargetMode="External"/><Relationship Id="rId226" Type="http://schemas.openxmlformats.org/officeDocument/2006/relationships/hyperlink" Target="https://acc.autodesk.com/docs/files/projects/1e597176-a716-43f8-be36-fdbb47ecdee5?folderUrn=urn:adsk.wipprod:fs.folder:co.UqJ5SedOSpaQm3mvbRIw_Q&amp;entityId=urn:adsk.wipprod:dm.lineage:dDhtCyjRS76iTatQ2jFVgA&amp;viewModel=detail&amp;moduleId=folders" TargetMode="External"/><Relationship Id="rId104" Type="http://schemas.openxmlformats.org/officeDocument/2006/relationships/hyperlink" Target="https://acc.autodesk.com/docs/files/projects/1e597176-a716-43f8-be36-fdbb47ecdee5?folderUrn=urn:adsk.wipprod:fs.folder:co.-UKdTAW-SqygJE_069OSDA&amp;entityId=urn:adsk.wipprod:dm.lineage:ip7zsrf1T6ycXXXQ3rExbg&amp;viewModel=detail&amp;moduleId=folders" TargetMode="External"/><Relationship Id="rId225" Type="http://schemas.openxmlformats.org/officeDocument/2006/relationships/hyperlink" Target="https://acc.autodesk.com/docs/files/projects/1e597176-a716-43f8-be36-fdbb47ecdee5?folderUrn=urn:adsk.wipprod:fs.folder:co.UqJ5SedOSpaQm3mvbRIw_Q" TargetMode="External"/><Relationship Id="rId109" Type="http://schemas.openxmlformats.org/officeDocument/2006/relationships/hyperlink" Target="https://acc.autodesk.com/docs/files/projects/1e597176-a716-43f8-be36-fdbb47ecdee5?folderUrn=urn:adsk.wipprod:fs.folder:co.LtnBId7JTK-uXdmmDlFFgA" TargetMode="External"/><Relationship Id="rId108" Type="http://schemas.openxmlformats.org/officeDocument/2006/relationships/hyperlink" Target="https://acc.autodesk.com/docs/files/projects/1e597176-a716-43f8-be36-fdbb47ecdee5?folderUrn=urn:adsk.wipprod:fs.folder:co.LtnBId7JTK-uXdmmDlFFgA&amp;entityId=urn:adsk.wipprod:dm.lineage:xPzTfonQR0-E8bY6mXdqwQ&amp;viewModel=detail&amp;moduleId=folders" TargetMode="External"/><Relationship Id="rId229" Type="http://schemas.openxmlformats.org/officeDocument/2006/relationships/hyperlink" Target="https://acc.autodesk.com/docs/files/projects/1e597176-a716-43f8-be36-fdbb47ecdee5?folderUrn=urn:adsk.wipprod:fs.folder:co.AJlWibkVQ-q2t3pEX67Fow" TargetMode="External"/><Relationship Id="rId220" Type="http://schemas.openxmlformats.org/officeDocument/2006/relationships/hyperlink" Target="https://acc.autodesk.com/docs/files/projects/1e597176-a716-43f8-be36-fdbb47ecdee5?folderUrn=urn:adsk.wipprod:fs.folder:co.UqJ5SedOSpaQm3mvbRIw_Q&amp;entityId=urn:adsk.wipprod:dm.lineage:nWoDi4D0RmeE967MXTo9BQ&amp;viewModel=detail&amp;moduleId=folders" TargetMode="External"/><Relationship Id="rId103" Type="http://schemas.openxmlformats.org/officeDocument/2006/relationships/hyperlink" Target="https://acc.autodesk.com/docs/files/projects/1e597176-a716-43f8-be36-fdbb47ecdee5?folderUrn=urn:adsk.wipprod:fs.folder:co.-UKdTAW-SqygJE_069OSDA" TargetMode="External"/><Relationship Id="rId224" Type="http://schemas.openxmlformats.org/officeDocument/2006/relationships/hyperlink" Target="https://acc.autodesk.com/docs/files/projects/1e597176-a716-43f8-be36-fdbb47ecdee5?folderUrn=urn:adsk.wipprod:fs.folder:co.UqJ5SedOSpaQm3mvbRIw_Q&amp;entityId=urn:adsk.wipprod:dm.lineage:Lrf0uq_HRiWOZmgBTxafVg&amp;viewModel=detail&amp;moduleId=folders" TargetMode="External"/><Relationship Id="rId102" Type="http://schemas.openxmlformats.org/officeDocument/2006/relationships/hyperlink" Target="https://acc.autodesk.com/docs/files/projects/1e597176-a716-43f8-be36-fdbb47ecdee5?folderUrn=urn:adsk.wipprod:fs.folder:co.-UKdTAW-SqygJE_069OSDA&amp;entityId=urn:adsk.wipprod:dm.lineage:aqu1NnxQTEiZxg74feqGHw&amp;viewModel=detail&amp;moduleId=folders" TargetMode="External"/><Relationship Id="rId223" Type="http://schemas.openxmlformats.org/officeDocument/2006/relationships/hyperlink" Target="https://acc.autodesk.com/docs/files/projects/1e597176-a716-43f8-be36-fdbb47ecdee5?folderUrn=urn:adsk.wipprod:fs.folder:co.UqJ5SedOSpaQm3mvbRIw_Q" TargetMode="External"/><Relationship Id="rId101" Type="http://schemas.openxmlformats.org/officeDocument/2006/relationships/hyperlink" Target="https://acc.autodesk.com/docs/files/projects/1e597176-a716-43f8-be36-fdbb47ecdee5?folderUrn=urn:adsk.wipprod:fs.folder:co.-UKdTAW-SqygJE_069OSDA" TargetMode="External"/><Relationship Id="rId222" Type="http://schemas.openxmlformats.org/officeDocument/2006/relationships/hyperlink" Target="https://acc.autodesk.com/docs/files/projects/1e597176-a716-43f8-be36-fdbb47ecdee5?folderUrn=urn:adsk.wipprod:fs.folder:co.UqJ5SedOSpaQm3mvbRIw_Q&amp;entityId=urn:adsk.wipprod:dm.lineage:bg1G7x4cQr2I7Hum7kat7w&amp;viewModel=detail&amp;moduleId=folders" TargetMode="External"/><Relationship Id="rId100" Type="http://schemas.openxmlformats.org/officeDocument/2006/relationships/hyperlink" Target="https://acc.autodesk.com/docs/files/projects/1e597176-a716-43f8-be36-fdbb47ecdee5?folderUrn=urn:adsk.wipprod:fs.folder:co.-UKdTAW-SqygJE_069OSDA&amp;entityId=urn:adsk.wipprod:dm.lineage:-c6kV_AMQGWR5Z9ouFKWBQ&amp;viewModel=detail&amp;moduleId=folders" TargetMode="External"/><Relationship Id="rId221" Type="http://schemas.openxmlformats.org/officeDocument/2006/relationships/hyperlink" Target="https://acc.autodesk.com/docs/files/projects/1e597176-a716-43f8-be36-fdbb47ecdee5?folderUrn=urn:adsk.wipprod:fs.folder:co.UqJ5SedOSpaQm3mvbRIw_Q" TargetMode="External"/><Relationship Id="rId217" Type="http://schemas.openxmlformats.org/officeDocument/2006/relationships/hyperlink" Target="https://acc.autodesk.com/docs/files/projects/1e597176-a716-43f8-be36-fdbb47ecdee5?folderUrn=urn:adsk.wipprod:fs.folder:co.UqJ5SedOSpaQm3mvbRIw_Q" TargetMode="External"/><Relationship Id="rId216" Type="http://schemas.openxmlformats.org/officeDocument/2006/relationships/hyperlink" Target="https://acc.autodesk.com/docs/files/projects/1e597176-a716-43f8-be36-fdbb47ecdee5?folderUrn=urn:adsk.wipprod:fs.folder:co.UqJ5SedOSpaQm3mvbRIw_Q&amp;entityId=urn:adsk.wipprod:dm.lineage:UgD9bH_YRous9mf5REm8Fg&amp;viewModel=detail&amp;moduleId=folders" TargetMode="External"/><Relationship Id="rId215" Type="http://schemas.openxmlformats.org/officeDocument/2006/relationships/hyperlink" Target="https://acc.autodesk.com/docs/files/projects/1e597176-a716-43f8-be36-fdbb47ecdee5?folderUrn=urn:adsk.wipprod:fs.folder:co.UqJ5SedOSpaQm3mvbRIw_Q" TargetMode="External"/><Relationship Id="rId214" Type="http://schemas.openxmlformats.org/officeDocument/2006/relationships/hyperlink" Target="https://acc.autodesk.com/docs/files/projects/1e597176-a716-43f8-be36-fdbb47ecdee5?folderUrn=urn:adsk.wipprod:fs.folder:co.UqJ5SedOSpaQm3mvbRIw_Q&amp;entityId=urn:adsk.wipprod:dm.lineage:QIqydjF7RYSpxJllpjtytg&amp;viewModel=detail&amp;moduleId=folders" TargetMode="External"/><Relationship Id="rId219" Type="http://schemas.openxmlformats.org/officeDocument/2006/relationships/hyperlink" Target="https://acc.autodesk.com/docs/files/projects/1e597176-a716-43f8-be36-fdbb47ecdee5?folderUrn=urn:adsk.wipprod:fs.folder:co.UqJ5SedOSpaQm3mvbRIw_Q" TargetMode="External"/><Relationship Id="rId218" Type="http://schemas.openxmlformats.org/officeDocument/2006/relationships/hyperlink" Target="https://acc.autodesk.com/docs/files/projects/1e597176-a716-43f8-be36-fdbb47ecdee5?folderUrn=urn:adsk.wipprod:fs.folder:co.UqJ5SedOSpaQm3mvbRIw_Q&amp;entityId=urn:adsk.wipprod:dm.lineage:JVgAKMo0Q3C73fgg6AGOgA&amp;viewModel=detail&amp;moduleId=folders" TargetMode="External"/><Relationship Id="rId213" Type="http://schemas.openxmlformats.org/officeDocument/2006/relationships/hyperlink" Target="https://acc.autodesk.com/docs/files/projects/1e597176-a716-43f8-be36-fdbb47ecdee5?folderUrn=urn:adsk.wipprod:fs.folder:co.UqJ5SedOSpaQm3mvbRIw_Q" TargetMode="External"/><Relationship Id="rId212" Type="http://schemas.openxmlformats.org/officeDocument/2006/relationships/hyperlink" Target="https://acc.autodesk.com/docs/files/projects/1e597176-a716-43f8-be36-fdbb47ecdee5?folderUrn=urn:adsk.wipprod:fs.folder:co.UqJ5SedOSpaQm3mvbRIw_Q&amp;entityId=urn:adsk.wipprod:dm.lineage:Y9OubMOfQKKXFEKFcxPhMg&amp;viewModel=detail&amp;moduleId=folders" TargetMode="External"/><Relationship Id="rId211" Type="http://schemas.openxmlformats.org/officeDocument/2006/relationships/hyperlink" Target="https://acc.autodesk.com/docs/files/projects/1e597176-a716-43f8-be36-fdbb47ecdee5?folderUrn=urn:adsk.wipprod:fs.folder:co.UqJ5SedOSpaQm3mvbRIw_Q" TargetMode="External"/><Relationship Id="rId210" Type="http://schemas.openxmlformats.org/officeDocument/2006/relationships/hyperlink" Target="https://acc.autodesk.com/docs/files/projects/1e597176-a716-43f8-be36-fdbb47ecdee5?folderUrn=urn:adsk.wipprod:fs.folder:co.UqJ5SedOSpaQm3mvbRIw_Q&amp;entityId=urn:adsk.wipprod:dm.lineage:ybeAaNxdQe2cccy1zIbitQ&amp;viewModel=detail&amp;moduleId=folders" TargetMode="External"/><Relationship Id="rId129" Type="http://schemas.openxmlformats.org/officeDocument/2006/relationships/hyperlink" Target="https://acc.autodesk.com/docs/files/projects/1e597176-a716-43f8-be36-fdbb47ecdee5?folderUrn=urn:adsk.wipprod:fs.folder:co.LtnBId7JTK-uXdmmDlFFgA" TargetMode="External"/><Relationship Id="rId128" Type="http://schemas.openxmlformats.org/officeDocument/2006/relationships/hyperlink" Target="https://acc.autodesk.com/docs/files/projects/1e597176-a716-43f8-be36-fdbb47ecdee5?folderUrn=urn:adsk.wipprod:fs.folder:co.LtnBId7JTK-uXdmmDlFFgA&amp;entityId=urn:adsk.wipprod:dm.lineage:N1pswpvRTS-miKa-tnYXRg&amp;viewModel=detail&amp;moduleId=folders" TargetMode="External"/><Relationship Id="rId249" Type="http://schemas.openxmlformats.org/officeDocument/2006/relationships/hyperlink" Target="https://acc.autodesk.com/docs/files/projects/1e597176-a716-43f8-be36-fdbb47ecdee5?folderUrn=urn:adsk.wipprod:fs.folder:co.buNCOFH5SiOErzY0MBySjg" TargetMode="External"/><Relationship Id="rId127" Type="http://schemas.openxmlformats.org/officeDocument/2006/relationships/hyperlink" Target="https://acc.autodesk.com/docs/files/projects/1e597176-a716-43f8-be36-fdbb47ecdee5?folderUrn=urn:adsk.wipprod:fs.folder:co.LtnBId7JTK-uXdmmDlFFgA" TargetMode="External"/><Relationship Id="rId248" Type="http://schemas.openxmlformats.org/officeDocument/2006/relationships/hyperlink" Target="https://acc.autodesk.com/docs/files/projects/1e597176-a716-43f8-be36-fdbb47ecdee5?folderUrn=urn:adsk.wipprod:fs.folder:co.buNCOFH5SiOErzY0MBySjg&amp;entityId=urn:adsk.wipprod:dm.lineage:OajqPvbdTwCqmxN3qEkddg&amp;viewModel=detail&amp;moduleId=folders" TargetMode="External"/><Relationship Id="rId126" Type="http://schemas.openxmlformats.org/officeDocument/2006/relationships/hyperlink" Target="https://acc.autodesk.com/docs/files/projects/1e597176-a716-43f8-be36-fdbb47ecdee5?folderUrn=urn:adsk.wipprod:fs.folder:co.LtnBId7JTK-uXdmmDlFFgA&amp;entityId=urn:adsk.wipprod:dm.lineage:WKvnfvEiRQWq9pHbpl7Q3w&amp;viewModel=detail&amp;moduleId=folders" TargetMode="External"/><Relationship Id="rId247" Type="http://schemas.openxmlformats.org/officeDocument/2006/relationships/hyperlink" Target="https://acc.autodesk.com/docs/files/projects/1e597176-a716-43f8-be36-fdbb47ecdee5?folderUrn=urn:adsk.wipprod:fs.folder:co.buNCOFH5SiOErzY0MBySjg" TargetMode="External"/><Relationship Id="rId121" Type="http://schemas.openxmlformats.org/officeDocument/2006/relationships/hyperlink" Target="https://acc.autodesk.com/docs/files/projects/1e597176-a716-43f8-be36-fdbb47ecdee5?folderUrn=urn:adsk.wipprod:fs.folder:co.LtnBId7JTK-uXdmmDlFFgA" TargetMode="External"/><Relationship Id="rId242" Type="http://schemas.openxmlformats.org/officeDocument/2006/relationships/hyperlink" Target="https://acc.autodesk.com/docs/files/projects/1e597176-a716-43f8-be36-fdbb47ecdee5?folderUrn=urn:adsk.wipprod:fs.folder:co.AJlWibkVQ-q2t3pEX67Fow&amp;entityId=urn:adsk.wipprod:dm.lineage:0wVpfjH1SwKNb2vglmtkPw&amp;viewModel=detail&amp;moduleId=folders" TargetMode="External"/><Relationship Id="rId120" Type="http://schemas.openxmlformats.org/officeDocument/2006/relationships/hyperlink" Target="https://acc.autodesk.com/docs/files/projects/1e597176-a716-43f8-be36-fdbb47ecdee5?folderUrn=urn:adsk.wipprod:fs.folder:co.LtnBId7JTK-uXdmmDlFFgA&amp;entityId=urn:adsk.wipprod:dm.lineage:VhzLWU6NS0WxGAGc-Wpk3w&amp;viewModel=detail&amp;moduleId=folders" TargetMode="External"/><Relationship Id="rId241" Type="http://schemas.openxmlformats.org/officeDocument/2006/relationships/hyperlink" Target="https://acc.autodesk.com/docs/files/projects/1e597176-a716-43f8-be36-fdbb47ecdee5?folderUrn=urn:adsk.wipprod:fs.folder:co.AJlWibkVQ-q2t3pEX67Fow" TargetMode="External"/><Relationship Id="rId240" Type="http://schemas.openxmlformats.org/officeDocument/2006/relationships/hyperlink" Target="https://acc.autodesk.com/docs/files/projects/1e597176-a716-43f8-be36-fdbb47ecdee5?folderUrn=urn:adsk.wipprod:fs.folder:co.AJlWibkVQ-q2t3pEX67Fow&amp;entityId=urn:adsk.wipprod:dm.lineage:MsiyB199Ts-Yy2NlSHvqSg&amp;viewModel=detail&amp;moduleId=folders" TargetMode="External"/><Relationship Id="rId125" Type="http://schemas.openxmlformats.org/officeDocument/2006/relationships/hyperlink" Target="https://acc.autodesk.com/docs/files/projects/1e597176-a716-43f8-be36-fdbb47ecdee5?folderUrn=urn:adsk.wipprod:fs.folder:co.LtnBId7JTK-uXdmmDlFFgA" TargetMode="External"/><Relationship Id="rId246" Type="http://schemas.openxmlformats.org/officeDocument/2006/relationships/hyperlink" Target="https://acc.autodesk.com/docs/files/projects/1e597176-a716-43f8-be36-fdbb47ecdee5?folderUrn=urn:adsk.wipprod:fs.folder:co.AJlWibkVQ-q2t3pEX67Fow&amp;entityId=urn:adsk.wipprod:dm.lineage:f-bjrTydQDCVeX9rMSvtnQ&amp;viewModel=detail&amp;moduleId=folders" TargetMode="External"/><Relationship Id="rId124" Type="http://schemas.openxmlformats.org/officeDocument/2006/relationships/hyperlink" Target="https://acc.autodesk.com/docs/files/projects/1e597176-a716-43f8-be36-fdbb47ecdee5?folderUrn=urn:adsk.wipprod:fs.folder:co.LtnBId7JTK-uXdmmDlFFgA&amp;entityId=urn:adsk.wipprod:dm.lineage:0rv_qFXrQtqjdqBX-cqQ4w&amp;viewModel=detail&amp;moduleId=folders" TargetMode="External"/><Relationship Id="rId245" Type="http://schemas.openxmlformats.org/officeDocument/2006/relationships/hyperlink" Target="https://acc.autodesk.com/docs/files/projects/1e597176-a716-43f8-be36-fdbb47ecdee5?folderUrn=urn:adsk.wipprod:fs.folder:co.AJlWibkVQ-q2t3pEX67Fow" TargetMode="External"/><Relationship Id="rId123" Type="http://schemas.openxmlformats.org/officeDocument/2006/relationships/hyperlink" Target="https://acc.autodesk.com/docs/files/projects/1e597176-a716-43f8-be36-fdbb47ecdee5?folderUrn=urn:adsk.wipprod:fs.folder:co.LtnBId7JTK-uXdmmDlFFgA" TargetMode="External"/><Relationship Id="rId244" Type="http://schemas.openxmlformats.org/officeDocument/2006/relationships/hyperlink" Target="https://acc.autodesk.com/docs/files/projects/1e597176-a716-43f8-be36-fdbb47ecdee5?folderUrn=urn:adsk.wipprod:fs.folder:co.AJlWibkVQ-q2t3pEX67Fow&amp;entityId=urn:adsk.wipprod:dm.lineage:2DsJCP0AQlqt9Ckb2N9PDw&amp;viewModel=detail&amp;moduleId=folders" TargetMode="External"/><Relationship Id="rId122" Type="http://schemas.openxmlformats.org/officeDocument/2006/relationships/hyperlink" Target="https://acc.autodesk.com/docs/files/projects/1e597176-a716-43f8-be36-fdbb47ecdee5?folderUrn=urn:adsk.wipprod:fs.folder:co.LtnBId7JTK-uXdmmDlFFgA&amp;entityId=urn:adsk.wipprod:dm.lineage:Vg2THPGSQWSGkm20JLMI5Q&amp;viewModel=detail&amp;moduleId=folders" TargetMode="External"/><Relationship Id="rId243" Type="http://schemas.openxmlformats.org/officeDocument/2006/relationships/hyperlink" Target="https://acc.autodesk.com/docs/files/projects/1e597176-a716-43f8-be36-fdbb47ecdee5?folderUrn=urn:adsk.wipprod:fs.folder:co.AJlWibkVQ-q2t3pEX67Fow" TargetMode="External"/><Relationship Id="rId95" Type="http://schemas.openxmlformats.org/officeDocument/2006/relationships/hyperlink" Target="https://acc.autodesk.com/docs/files/projects/1e597176-a716-43f8-be36-fdbb47ecdee5?folderUrn=urn:adsk.wipprod:fs.folder:co.-UKdTAW-SqygJE_069OSDA" TargetMode="External"/><Relationship Id="rId94" Type="http://schemas.openxmlformats.org/officeDocument/2006/relationships/hyperlink" Target="https://acc.autodesk.com/docs/files/projects/1e597176-a716-43f8-be36-fdbb47ecdee5?folderUrn=urn:adsk.wipprod:fs.folder:co.0X3VkD07TZKRc7zUk_8boQ&amp;entityId=urn:adsk.wipprod:dm.lineage:JDn9PP2-S36CG2uTveY9qQ&amp;viewModel=detail&amp;moduleId=folders" TargetMode="External"/><Relationship Id="rId97" Type="http://schemas.openxmlformats.org/officeDocument/2006/relationships/hyperlink" Target="https://acc.autodesk.com/docs/files/projects/1e597176-a716-43f8-be36-fdbb47ecdee5?folderUrn=urn:adsk.wipprod:fs.folder:co.-UKdTAW-SqygJE_069OSDA" TargetMode="External"/><Relationship Id="rId96" Type="http://schemas.openxmlformats.org/officeDocument/2006/relationships/hyperlink" Target="https://acc.autodesk.com/docs/files/projects/1e597176-a716-43f8-be36-fdbb47ecdee5?folderUrn=urn:adsk.wipprod:fs.folder:co.-UKdTAW-SqygJE_069OSDA&amp;entityId=urn:adsk.wipprod:dm.lineage:N0RwPUT1Q_mldnujcmL9gw&amp;viewModel=detail&amp;moduleId=folders" TargetMode="External"/><Relationship Id="rId99" Type="http://schemas.openxmlformats.org/officeDocument/2006/relationships/hyperlink" Target="https://acc.autodesk.com/docs/files/projects/1e597176-a716-43f8-be36-fdbb47ecdee5?folderUrn=urn:adsk.wipprod:fs.folder:co.-UKdTAW-SqygJE_069OSDA" TargetMode="External"/><Relationship Id="rId98" Type="http://schemas.openxmlformats.org/officeDocument/2006/relationships/hyperlink" Target="https://acc.autodesk.com/docs/files/projects/1e597176-a716-43f8-be36-fdbb47ecdee5?folderUrn=urn:adsk.wipprod:fs.folder:co.-UKdTAW-SqygJE_069OSDA&amp;entityId=urn:adsk.wipprod:dm.lineage:xmAutLzRTUio8ag3_wabYA&amp;viewModel=detail&amp;moduleId=folders" TargetMode="External"/><Relationship Id="rId91" Type="http://schemas.openxmlformats.org/officeDocument/2006/relationships/hyperlink" Target="https://acc.autodesk.com/docs/files/projects/1e597176-a716-43f8-be36-fdbb47ecdee5?folderUrn=urn:adsk.wipprod:fs.folder:co.0X3VkD07TZKRc7zUk_8boQ" TargetMode="External"/><Relationship Id="rId90" Type="http://schemas.openxmlformats.org/officeDocument/2006/relationships/hyperlink" Target="https://acc.autodesk.com/docs/files/projects/1e597176-a716-43f8-be36-fdbb47ecdee5?folderUrn=urn:adsk.wipprod:fs.folder:co.0X3VkD07TZKRc7zUk_8boQ&amp;entityId=urn:adsk.wipprod:dm.lineage:PkhoiFCxTF2_QXfJKly1yQ&amp;viewModel=detail&amp;moduleId=folders" TargetMode="External"/><Relationship Id="rId93" Type="http://schemas.openxmlformats.org/officeDocument/2006/relationships/hyperlink" Target="https://acc.autodesk.com/docs/files/projects/1e597176-a716-43f8-be36-fdbb47ecdee5?folderUrn=urn:adsk.wipprod:fs.folder:co.0X3VkD07TZKRc7zUk_8boQ" TargetMode="External"/><Relationship Id="rId92" Type="http://schemas.openxmlformats.org/officeDocument/2006/relationships/hyperlink" Target="https://acc.autodesk.com/docs/files/projects/1e597176-a716-43f8-be36-fdbb47ecdee5?folderUrn=urn:adsk.wipprod:fs.folder:co.0X3VkD07TZKRc7zUk_8boQ&amp;entityId=urn:adsk.wipprod:dm.lineage:V5fqzWfaSS6pZBRSGXoU6Q&amp;viewModel=detail&amp;moduleId=folders" TargetMode="External"/><Relationship Id="rId118" Type="http://schemas.openxmlformats.org/officeDocument/2006/relationships/hyperlink" Target="https://acc.autodesk.com/docs/files/projects/1e597176-a716-43f8-be36-fdbb47ecdee5?folderUrn=urn:adsk.wipprod:fs.folder:co.LtnBId7JTK-uXdmmDlFFgA&amp;entityId=urn:adsk.wipprod:dm.lineage:WvUDFVEQSLWk3hVlFEnBvw&amp;viewModel=detail&amp;moduleId=folders" TargetMode="External"/><Relationship Id="rId239" Type="http://schemas.openxmlformats.org/officeDocument/2006/relationships/hyperlink" Target="https://acc.autodesk.com/docs/files/projects/1e597176-a716-43f8-be36-fdbb47ecdee5?folderUrn=urn:adsk.wipprod:fs.folder:co.AJlWibkVQ-q2t3pEX67Fow" TargetMode="External"/><Relationship Id="rId117" Type="http://schemas.openxmlformats.org/officeDocument/2006/relationships/hyperlink" Target="https://acc.autodesk.com/docs/files/projects/1e597176-a716-43f8-be36-fdbb47ecdee5?folderUrn=urn:adsk.wipprod:fs.folder:co.LtnBId7JTK-uXdmmDlFFgA" TargetMode="External"/><Relationship Id="rId238" Type="http://schemas.openxmlformats.org/officeDocument/2006/relationships/hyperlink" Target="https://acc.autodesk.com/docs/files/projects/1e597176-a716-43f8-be36-fdbb47ecdee5?folderUrn=urn:adsk.wipprod:fs.folder:co.AJlWibkVQ-q2t3pEX67Fow&amp;entityId=urn:adsk.wipprod:dm.lineage:b38mbl2eQtiXUqNCYKarIg&amp;viewModel=detail&amp;moduleId=folders" TargetMode="External"/><Relationship Id="rId116" Type="http://schemas.openxmlformats.org/officeDocument/2006/relationships/hyperlink" Target="https://acc.autodesk.com/docs/files/projects/1e597176-a716-43f8-be36-fdbb47ecdee5?folderUrn=urn:adsk.wipprod:fs.folder:co.LtnBId7JTK-uXdmmDlFFgA&amp;entityId=urn:adsk.wipprod:dm.lineage:lFul9RGMRz2TcseRlcp5Nw&amp;viewModel=detail&amp;moduleId=folders" TargetMode="External"/><Relationship Id="rId237" Type="http://schemas.openxmlformats.org/officeDocument/2006/relationships/hyperlink" Target="https://acc.autodesk.com/docs/files/projects/1e597176-a716-43f8-be36-fdbb47ecdee5?folderUrn=urn:adsk.wipprod:fs.folder:co.AJlWibkVQ-q2t3pEX67Fow" TargetMode="External"/><Relationship Id="rId115" Type="http://schemas.openxmlformats.org/officeDocument/2006/relationships/hyperlink" Target="https://acc.autodesk.com/docs/files/projects/1e597176-a716-43f8-be36-fdbb47ecdee5?folderUrn=urn:adsk.wipprod:fs.folder:co.LtnBId7JTK-uXdmmDlFFgA" TargetMode="External"/><Relationship Id="rId236" Type="http://schemas.openxmlformats.org/officeDocument/2006/relationships/hyperlink" Target="https://acc.autodesk.com/docs/files/projects/1e597176-a716-43f8-be36-fdbb47ecdee5?folderUrn=urn:adsk.wipprod:fs.folder:co.AJlWibkVQ-q2t3pEX67Fow&amp;entityId=urn:adsk.wipprod:dm.lineage:OGHJ1fYoSKah79CYMcUgfA&amp;viewModel=detail&amp;moduleId=folders" TargetMode="External"/><Relationship Id="rId119" Type="http://schemas.openxmlformats.org/officeDocument/2006/relationships/hyperlink" Target="https://acc.autodesk.com/docs/files/projects/1e597176-a716-43f8-be36-fdbb47ecdee5?folderUrn=urn:adsk.wipprod:fs.folder:co.LtnBId7JTK-uXdmmDlFFgA" TargetMode="External"/><Relationship Id="rId110" Type="http://schemas.openxmlformats.org/officeDocument/2006/relationships/hyperlink" Target="https://acc.autodesk.com/docs/files/projects/1e597176-a716-43f8-be36-fdbb47ecdee5?folderUrn=urn:adsk.wipprod:fs.folder:co.LtnBId7JTK-uXdmmDlFFgA&amp;entityId=urn:adsk.wipprod:dm.lineage:-h9jbMDwTjaMlVrYqYpc-Q&amp;viewModel=detail&amp;moduleId=folders" TargetMode="External"/><Relationship Id="rId231" Type="http://schemas.openxmlformats.org/officeDocument/2006/relationships/hyperlink" Target="https://acc.autodesk.com/docs/files/projects/1e597176-a716-43f8-be36-fdbb47ecdee5?folderUrn=urn:adsk.wipprod:fs.folder:co.AJlWibkVQ-q2t3pEX67Fow" TargetMode="External"/><Relationship Id="rId230" Type="http://schemas.openxmlformats.org/officeDocument/2006/relationships/hyperlink" Target="https://acc.autodesk.com/docs/files/projects/1e597176-a716-43f8-be36-fdbb47ecdee5?folderUrn=urn:adsk.wipprod:fs.folder:co.AJlWibkVQ-q2t3pEX67Fow&amp;entityId=urn:adsk.wipprod:dm.lineage:47Kqg80dToqg5WlV5XSgMw&amp;viewModel=detail&amp;moduleId=folders" TargetMode="External"/><Relationship Id="rId114" Type="http://schemas.openxmlformats.org/officeDocument/2006/relationships/hyperlink" Target="https://acc.autodesk.com/docs/files/projects/1e597176-a716-43f8-be36-fdbb47ecdee5?folderUrn=urn:adsk.wipprod:fs.folder:co.LtnBId7JTK-uXdmmDlFFgA&amp;entityId=urn:adsk.wipprod:dm.lineage:rmG_Gt8nSh67R1-9VvCysw&amp;viewModel=detail&amp;moduleId=folders" TargetMode="External"/><Relationship Id="rId235" Type="http://schemas.openxmlformats.org/officeDocument/2006/relationships/hyperlink" Target="https://acc.autodesk.com/docs/files/projects/1e597176-a716-43f8-be36-fdbb47ecdee5?folderUrn=urn:adsk.wipprod:fs.folder:co.AJlWibkVQ-q2t3pEX67Fow" TargetMode="External"/><Relationship Id="rId113" Type="http://schemas.openxmlformats.org/officeDocument/2006/relationships/hyperlink" Target="https://acc.autodesk.com/docs/files/projects/1e597176-a716-43f8-be36-fdbb47ecdee5?folderUrn=urn:adsk.wipprod:fs.folder:co.LtnBId7JTK-uXdmmDlFFgA" TargetMode="External"/><Relationship Id="rId234" Type="http://schemas.openxmlformats.org/officeDocument/2006/relationships/hyperlink" Target="https://acc.autodesk.com/docs/files/projects/1e597176-a716-43f8-be36-fdbb47ecdee5?folderUrn=urn:adsk.wipprod:fs.folder:co.AJlWibkVQ-q2t3pEX67Fow&amp;entityId=urn:adsk.wipprod:dm.lineage:BDBSfvVzSEatQ1mUxvv30Q&amp;viewModel=detail&amp;moduleId=folders" TargetMode="External"/><Relationship Id="rId112" Type="http://schemas.openxmlformats.org/officeDocument/2006/relationships/hyperlink" Target="https://acc.autodesk.com/docs/files/projects/1e597176-a716-43f8-be36-fdbb47ecdee5?folderUrn=urn:adsk.wipprod:fs.folder:co.LtnBId7JTK-uXdmmDlFFgA&amp;entityId=urn:adsk.wipprod:dm.lineage:AEZDUcP2Q4qwAJYGW5hECg&amp;viewModel=detail&amp;moduleId=folders" TargetMode="External"/><Relationship Id="rId233" Type="http://schemas.openxmlformats.org/officeDocument/2006/relationships/hyperlink" Target="https://acc.autodesk.com/docs/files/projects/1e597176-a716-43f8-be36-fdbb47ecdee5?folderUrn=urn:adsk.wipprod:fs.folder:co.AJlWibkVQ-q2t3pEX67Fow" TargetMode="External"/><Relationship Id="rId111" Type="http://schemas.openxmlformats.org/officeDocument/2006/relationships/hyperlink" Target="https://acc.autodesk.com/docs/files/projects/1e597176-a716-43f8-be36-fdbb47ecdee5?folderUrn=urn:adsk.wipprod:fs.folder:co.LtnBId7JTK-uXdmmDlFFgA" TargetMode="External"/><Relationship Id="rId232" Type="http://schemas.openxmlformats.org/officeDocument/2006/relationships/hyperlink" Target="https://acc.autodesk.com/docs/files/projects/1e597176-a716-43f8-be36-fdbb47ecdee5?folderUrn=urn:adsk.wipprod:fs.folder:co.AJlWibkVQ-q2t3pEX67Fow&amp;entityId=urn:adsk.wipprod:dm.lineage:eQM4tTMWSZiHY7DHhjGYCQ&amp;viewModel=detail&amp;moduleId=folders" TargetMode="External"/><Relationship Id="rId206" Type="http://schemas.openxmlformats.org/officeDocument/2006/relationships/hyperlink" Target="https://acc.autodesk.com/docs/files/projects/1e597176-a716-43f8-be36-fdbb47ecdee5?folderUrn=urn:adsk.wipprod:fs.folder:co.UqJ5SedOSpaQm3mvbRIw_Q&amp;entityId=urn:adsk.wipprod:dm.lineage:G2JiuBzLQrKfYa4jjesgNw&amp;viewModel=detail&amp;moduleId=folders" TargetMode="External"/><Relationship Id="rId205" Type="http://schemas.openxmlformats.org/officeDocument/2006/relationships/hyperlink" Target="https://acc.autodesk.com/docs/files/projects/1e597176-a716-43f8-be36-fdbb47ecdee5?folderUrn=urn:adsk.wipprod:fs.folder:co.UqJ5SedOSpaQm3mvbRIw_Q" TargetMode="External"/><Relationship Id="rId204" Type="http://schemas.openxmlformats.org/officeDocument/2006/relationships/hyperlink" Target="https://acc.autodesk.com/docs/files/projects/1e597176-a716-43f8-be36-fdbb47ecdee5?folderUrn=urn:adsk.wipprod:fs.folder:co.UqJ5SedOSpaQm3mvbRIw_Q&amp;entityId=urn:adsk.wipprod:dm.lineage:awRCLfUcQnmVdIoS-ubrDA&amp;viewModel=detail&amp;moduleId=folders" TargetMode="External"/><Relationship Id="rId203" Type="http://schemas.openxmlformats.org/officeDocument/2006/relationships/hyperlink" Target="https://acc.autodesk.com/docs/files/projects/1e597176-a716-43f8-be36-fdbb47ecdee5?folderUrn=urn:adsk.wipprod:fs.folder:co.UqJ5SedOSpaQm3mvbRIw_Q" TargetMode="External"/><Relationship Id="rId209" Type="http://schemas.openxmlformats.org/officeDocument/2006/relationships/hyperlink" Target="https://acc.autodesk.com/docs/files/projects/1e597176-a716-43f8-be36-fdbb47ecdee5?folderUrn=urn:adsk.wipprod:fs.folder:co.UqJ5SedOSpaQm3mvbRIw_Q" TargetMode="External"/><Relationship Id="rId208" Type="http://schemas.openxmlformats.org/officeDocument/2006/relationships/hyperlink" Target="https://acc.autodesk.com/docs/files/projects/1e597176-a716-43f8-be36-fdbb47ecdee5?folderUrn=urn:adsk.wipprod:fs.folder:co.UqJ5SedOSpaQm3mvbRIw_Q&amp;entityId=urn:adsk.wipprod:dm.lineage:cJHtoae8RCu7tm0QYlRmYA&amp;viewModel=detail&amp;moduleId=folders" TargetMode="External"/><Relationship Id="rId207" Type="http://schemas.openxmlformats.org/officeDocument/2006/relationships/hyperlink" Target="https://acc.autodesk.com/docs/files/projects/1e597176-a716-43f8-be36-fdbb47ecdee5?folderUrn=urn:adsk.wipprod:fs.folder:co.UqJ5SedOSpaQm3mvbRIw_Q" TargetMode="External"/><Relationship Id="rId202" Type="http://schemas.openxmlformats.org/officeDocument/2006/relationships/hyperlink" Target="https://acc.autodesk.com/docs/files/projects/1e597176-a716-43f8-be36-fdbb47ecdee5?folderUrn=urn:adsk.wipprod:fs.folder:co.UqJ5SedOSpaQm3mvbRIw_Q&amp;entityId=urn:adsk.wipprod:dm.lineage:PvIdnEl8RHml0ihKkIHCPA&amp;viewModel=detail&amp;moduleId=folders" TargetMode="External"/><Relationship Id="rId201" Type="http://schemas.openxmlformats.org/officeDocument/2006/relationships/hyperlink" Target="https://acc.autodesk.com/docs/files/projects/1e597176-a716-43f8-be36-fdbb47ecdee5?folderUrn=urn:adsk.wipprod:fs.folder:co.UqJ5SedOSpaQm3mvbRIw_Q" TargetMode="External"/><Relationship Id="rId200" Type="http://schemas.openxmlformats.org/officeDocument/2006/relationships/hyperlink" Target="https://acc.autodesk.com/docs/files/projects/1e597176-a716-43f8-be36-fdbb47ecdee5?folderUrn=urn:adsk.wipprod:fs.folder:co.UqJ5SedOSpaQm3mvbRIw_Q&amp;entityId=urn:adsk.wipprod:dm.lineage:-TRv-skTRHCtao2b8_C-WA&amp;viewModel=detail&amp;moduleId=folders" TargetMode="External"/></Relationships>
</file>

<file path=xl/worksheets/_rels/sheet11.xml.rels><?xml version="1.0" encoding="UTF-8" standalone="yes"?><Relationships xmlns="http://schemas.openxmlformats.org/package/2006/relationships"><Relationship Id="rId190" Type="http://schemas.openxmlformats.org/officeDocument/2006/relationships/hyperlink" Target="https://acc.autodesk.com/docs/files/projects/1e597176-a716-43f8-be36-fdbb47ecdee5?folderUrn=urn:adsk.wipprod:fs.folder:co.BtADxt2wTy-hdvOnJPUroQ&amp;entityId=urn:adsk.wipprod:dm.lineage:2cxHUmInTLW9PXGuAAG5-g&amp;viewModel=detail&amp;moduleId=folders" TargetMode="External"/><Relationship Id="rId194" Type="http://schemas.openxmlformats.org/officeDocument/2006/relationships/hyperlink" Target="https://acc.autodesk.com/docs/files/projects/1e597176-a716-43f8-be36-fdbb47ecdee5?folderUrn=urn:adsk.wipprod:fs.folder:co.BtADxt2wTy-hdvOnJPUroQ&amp;entityId=urn:adsk.wipprod:dm.lineage:rPYrxNa4SAiGd4mvi5xfvw&amp;viewModel=detail&amp;moduleId=folders" TargetMode="External"/><Relationship Id="rId193" Type="http://schemas.openxmlformats.org/officeDocument/2006/relationships/hyperlink" Target="https://acc.autodesk.com/docs/files/projects/1e597176-a716-43f8-be36-fdbb47ecdee5?folderUrn=urn:adsk.wipprod:fs.folder:co.BtADxt2wTy-hdvOnJPUroQ" TargetMode="External"/><Relationship Id="rId192" Type="http://schemas.openxmlformats.org/officeDocument/2006/relationships/hyperlink" Target="https://acc.autodesk.com/docs/files/projects/1e597176-a716-43f8-be36-fdbb47ecdee5?folderUrn=urn:adsk.wipprod:fs.folder:co.BtADxt2wTy-hdvOnJPUroQ&amp;entityId=urn:adsk.wipprod:dm.lineage:mpdTZhuTTbOPYMnoTZRVpw&amp;viewModel=detail&amp;moduleId=folders" TargetMode="External"/><Relationship Id="rId191" Type="http://schemas.openxmlformats.org/officeDocument/2006/relationships/hyperlink" Target="https://acc.autodesk.com/docs/files/projects/1e597176-a716-43f8-be36-fdbb47ecdee5?folderUrn=urn:adsk.wipprod:fs.folder:co.BtADxt2wTy-hdvOnJPUroQ" TargetMode="External"/><Relationship Id="rId187" Type="http://schemas.openxmlformats.org/officeDocument/2006/relationships/hyperlink" Target="https://acc.autodesk.com/docs/files/projects/1e597176-a716-43f8-be36-fdbb47ecdee5?folderUrn=urn:adsk.wipprod:fs.folder:co.BtADxt2wTy-hdvOnJPUroQ" TargetMode="External"/><Relationship Id="rId186" Type="http://schemas.openxmlformats.org/officeDocument/2006/relationships/hyperlink" Target="https://acc.autodesk.com/docs/files/projects/1e597176-a716-43f8-be36-fdbb47ecdee5?folderUrn=urn:adsk.wipprod:fs.folder:co.BtADxt2wTy-hdvOnJPUroQ&amp;entityId=urn:adsk.wipprod:dm.lineage:7vlIwFunRj21g6myrKE1Vw&amp;viewModel=detail&amp;moduleId=folders" TargetMode="External"/><Relationship Id="rId185" Type="http://schemas.openxmlformats.org/officeDocument/2006/relationships/hyperlink" Target="https://acc.autodesk.com/docs/files/projects/1e597176-a716-43f8-be36-fdbb47ecdee5?folderUrn=urn:adsk.wipprod:fs.folder:co.BtADxt2wTy-hdvOnJPUroQ" TargetMode="External"/><Relationship Id="rId184" Type="http://schemas.openxmlformats.org/officeDocument/2006/relationships/hyperlink" Target="https://acc.autodesk.com/docs/files/projects/1e597176-a716-43f8-be36-fdbb47ecdee5?folderUrn=urn:adsk.wipprod:fs.folder:co.BtADxt2wTy-hdvOnJPUroQ&amp;entityId=urn:adsk.wipprod:dm.lineage:_VT_byTgRJeJ4OhG2jYODw&amp;viewModel=detail&amp;moduleId=folders" TargetMode="External"/><Relationship Id="rId189" Type="http://schemas.openxmlformats.org/officeDocument/2006/relationships/hyperlink" Target="https://acc.autodesk.com/docs/files/projects/1e597176-a716-43f8-be36-fdbb47ecdee5?folderUrn=urn:adsk.wipprod:fs.folder:co.BtADxt2wTy-hdvOnJPUroQ" TargetMode="External"/><Relationship Id="rId188" Type="http://schemas.openxmlformats.org/officeDocument/2006/relationships/hyperlink" Target="https://acc.autodesk.com/docs/files/projects/1e597176-a716-43f8-be36-fdbb47ecdee5?folderUrn=urn:adsk.wipprod:fs.folder:co.BtADxt2wTy-hdvOnJPUroQ&amp;entityId=urn:adsk.wipprod:dm.lineage:C2jt9gl1SyONNjPnjr337Q&amp;viewModel=detail&amp;moduleId=folders" TargetMode="External"/><Relationship Id="rId183" Type="http://schemas.openxmlformats.org/officeDocument/2006/relationships/hyperlink" Target="https://acc.autodesk.com/docs/files/projects/1e597176-a716-43f8-be36-fdbb47ecdee5?folderUrn=urn:adsk.wipprod:fs.folder:co.BtADxt2wTy-hdvOnJPUroQ" TargetMode="External"/><Relationship Id="rId182" Type="http://schemas.openxmlformats.org/officeDocument/2006/relationships/hyperlink" Target="https://acc.autodesk.com/docs/files/projects/1e597176-a716-43f8-be36-fdbb47ecdee5?folderUrn=urn:adsk.wipprod:fs.folder:co.BtADxt2wTy-hdvOnJPUroQ&amp;entityId=urn:adsk.wipprod:dm.lineage:mggmpN5iQBKZH570tUmfjQ&amp;viewModel=detail&amp;moduleId=folders" TargetMode="External"/><Relationship Id="rId181" Type="http://schemas.openxmlformats.org/officeDocument/2006/relationships/hyperlink" Target="https://acc.autodesk.com/docs/files/projects/1e597176-a716-43f8-be36-fdbb47ecdee5?folderUrn=urn:adsk.wipprod:fs.folder:co.BtADxt2wTy-hdvOnJPUroQ" TargetMode="External"/><Relationship Id="rId180" Type="http://schemas.openxmlformats.org/officeDocument/2006/relationships/hyperlink" Target="https://acc.autodesk.com/docs/files/projects/1e597176-a716-43f8-be36-fdbb47ecdee5?folderUrn=urn:adsk.wipprod:fs.folder:co.BtADxt2wTy-hdvOnJPUroQ&amp;entityId=urn:adsk.wipprod:dm.lineage:eEx8-ufQRAqrSNWn8Yyt3A&amp;viewModel=detail&amp;moduleId=folders" TargetMode="External"/><Relationship Id="rId176" Type="http://schemas.openxmlformats.org/officeDocument/2006/relationships/hyperlink" Target="https://acc.autodesk.com/docs/files/projects/1e597176-a716-43f8-be36-fdbb47ecdee5?folderUrn=urn:adsk.wipprod:fs.folder:co.BtADxt2wTy-hdvOnJPUroQ&amp;entityId=urn:adsk.wipprod:dm.lineage:ViX9c0i5QWGOF7UypgYLNg&amp;viewModel=detail&amp;moduleId=folders" TargetMode="External"/><Relationship Id="rId297" Type="http://schemas.openxmlformats.org/officeDocument/2006/relationships/hyperlink" Target="https://acc.autodesk.com/docs/files/projects/1e597176-a716-43f8-be36-fdbb47ecdee5?folderUrn=urn:adsk.wipprod:fs.folder:co.FxNM7TmRQoCV0Idg7eQ7qQ" TargetMode="External"/><Relationship Id="rId175" Type="http://schemas.openxmlformats.org/officeDocument/2006/relationships/hyperlink" Target="https://acc.autodesk.com/docs/files/projects/1e597176-a716-43f8-be36-fdbb47ecdee5?folderUrn=urn:adsk.wipprod:fs.folder:co.BtADxt2wTy-hdvOnJPUroQ" TargetMode="External"/><Relationship Id="rId296" Type="http://schemas.openxmlformats.org/officeDocument/2006/relationships/hyperlink" Target="https://acc.autodesk.com/docs/files/projects/1e597176-a716-43f8-be36-fdbb47ecdee5?folderUrn=urn:adsk.wipprod:fs.folder:co.FxNM7TmRQoCV0Idg7eQ7qQ&amp;entityId=urn:adsk.wipprod:dm.lineage:b8_VsSNPQeu6nsvaNKKLHg&amp;viewModel=detail&amp;moduleId=folders" TargetMode="External"/><Relationship Id="rId174" Type="http://schemas.openxmlformats.org/officeDocument/2006/relationships/hyperlink" Target="https://acc.autodesk.com/docs/files/projects/1e597176-a716-43f8-be36-fdbb47ecdee5?folderUrn=urn:adsk.wipprod:fs.folder:co.BtADxt2wTy-hdvOnJPUroQ&amp;entityId=urn:adsk.wipprod:dm.lineage:95gzS8_oTa2hOtvqgqzUgA&amp;viewModel=detail&amp;moduleId=folders" TargetMode="External"/><Relationship Id="rId295" Type="http://schemas.openxmlformats.org/officeDocument/2006/relationships/hyperlink" Target="https://acc.autodesk.com/docs/files/projects/1e597176-a716-43f8-be36-fdbb47ecdee5?folderUrn=urn:adsk.wipprod:fs.folder:co.FxNM7TmRQoCV0Idg7eQ7qQ" TargetMode="External"/><Relationship Id="rId173" Type="http://schemas.openxmlformats.org/officeDocument/2006/relationships/hyperlink" Target="https://acc.autodesk.com/docs/files/projects/1e597176-a716-43f8-be36-fdbb47ecdee5?folderUrn=urn:adsk.wipprod:fs.folder:co.BtADxt2wTy-hdvOnJPUroQ" TargetMode="External"/><Relationship Id="rId294" Type="http://schemas.openxmlformats.org/officeDocument/2006/relationships/hyperlink" Target="https://acc.autodesk.com/docs/files/projects/1e597176-a716-43f8-be36-fdbb47ecdee5?folderUrn=urn:adsk.wipprod:fs.folder:co.FxNM7TmRQoCV0Idg7eQ7qQ&amp;entityId=urn:adsk.wipprod:dm.lineage:N1yEbPAER66MtyUOIJ__XA&amp;viewModel=detail&amp;moduleId=folders" TargetMode="External"/><Relationship Id="rId179" Type="http://schemas.openxmlformats.org/officeDocument/2006/relationships/hyperlink" Target="https://acc.autodesk.com/docs/files/projects/1e597176-a716-43f8-be36-fdbb47ecdee5?folderUrn=urn:adsk.wipprod:fs.folder:co.BtADxt2wTy-hdvOnJPUroQ" TargetMode="External"/><Relationship Id="rId178" Type="http://schemas.openxmlformats.org/officeDocument/2006/relationships/hyperlink" Target="https://acc.autodesk.com/docs/files/projects/1e597176-a716-43f8-be36-fdbb47ecdee5?folderUrn=urn:adsk.wipprod:fs.folder:co.BtADxt2wTy-hdvOnJPUroQ&amp;entityId=urn:adsk.wipprod:dm.lineage:DfctWK9BT467E8Re23_JHw&amp;viewModel=detail&amp;moduleId=folders" TargetMode="External"/><Relationship Id="rId299" Type="http://schemas.openxmlformats.org/officeDocument/2006/relationships/hyperlink" Target="https://acc.autodesk.com/docs/files/projects/1e597176-a716-43f8-be36-fdbb47ecdee5?folderUrn=urn:adsk.wipprod:fs.folder:co.FxNM7TmRQoCV0Idg7eQ7qQ" TargetMode="External"/><Relationship Id="rId177" Type="http://schemas.openxmlformats.org/officeDocument/2006/relationships/hyperlink" Target="https://acc.autodesk.com/docs/files/projects/1e597176-a716-43f8-be36-fdbb47ecdee5?folderUrn=urn:adsk.wipprod:fs.folder:co.BtADxt2wTy-hdvOnJPUroQ" TargetMode="External"/><Relationship Id="rId298" Type="http://schemas.openxmlformats.org/officeDocument/2006/relationships/hyperlink" Target="https://acc.autodesk.com/docs/files/projects/1e597176-a716-43f8-be36-fdbb47ecdee5?folderUrn=urn:adsk.wipprod:fs.folder:co.FxNM7TmRQoCV0Idg7eQ7qQ&amp;entityId=urn:adsk.wipprod:dm.lineage:QONEU33US3mnbQsRUakqRA&amp;viewModel=detail&amp;moduleId=folders" TargetMode="External"/><Relationship Id="rId198" Type="http://schemas.openxmlformats.org/officeDocument/2006/relationships/hyperlink" Target="https://acc.autodesk.com/docs/files/projects/1e597176-a716-43f8-be36-fdbb47ecdee5?folderUrn=urn:adsk.wipprod:fs.folder:co.BtADxt2wTy-hdvOnJPUroQ&amp;entityId=urn:adsk.wipprod:dm.lineage:PWEummsDQ6yjvm1MtLnqLw&amp;viewModel=detail&amp;moduleId=folders" TargetMode="External"/><Relationship Id="rId197" Type="http://schemas.openxmlformats.org/officeDocument/2006/relationships/hyperlink" Target="https://acc.autodesk.com/docs/files/projects/1e597176-a716-43f8-be36-fdbb47ecdee5?folderUrn=urn:adsk.wipprod:fs.folder:co.BtADxt2wTy-hdvOnJPUroQ" TargetMode="External"/><Relationship Id="rId196" Type="http://schemas.openxmlformats.org/officeDocument/2006/relationships/hyperlink" Target="https://acc.autodesk.com/docs/files/projects/1e597176-a716-43f8-be36-fdbb47ecdee5?folderUrn=urn:adsk.wipprod:fs.folder:co.BtADxt2wTy-hdvOnJPUroQ&amp;entityId=urn:adsk.wipprod:dm.lineage:2GDClDTdQLOL9lj41Kq3ag&amp;viewModel=detail&amp;moduleId=folders" TargetMode="External"/><Relationship Id="rId195" Type="http://schemas.openxmlformats.org/officeDocument/2006/relationships/hyperlink" Target="https://acc.autodesk.com/docs/files/projects/1e597176-a716-43f8-be36-fdbb47ecdee5?folderUrn=urn:adsk.wipprod:fs.folder:co.BtADxt2wTy-hdvOnJPUroQ" TargetMode="External"/><Relationship Id="rId199" Type="http://schemas.openxmlformats.org/officeDocument/2006/relationships/hyperlink" Target="https://acc.autodesk.com/docs/files/projects/1e597176-a716-43f8-be36-fdbb47ecdee5?folderUrn=urn:adsk.wipprod:fs.folder:co.BtADxt2wTy-hdvOnJPUroQ" TargetMode="External"/><Relationship Id="rId150" Type="http://schemas.openxmlformats.org/officeDocument/2006/relationships/hyperlink" Target="https://acc.autodesk.com/docs/files/projects/1e597176-a716-43f8-be36-fdbb47ecdee5?folderUrn=urn:adsk.wipprod:fs.folder:co.7NiVimFoQNGaJytOMwaTgQ&amp;entityId=urn:adsk.wipprod:dm.lineage:-dnvR1-0R9OeB48kOyCUxA&amp;viewModel=detail&amp;moduleId=folders" TargetMode="External"/><Relationship Id="rId271" Type="http://schemas.openxmlformats.org/officeDocument/2006/relationships/hyperlink" Target="https://acc.autodesk.com/docs/files/projects/1e597176-a716-43f8-be36-fdbb47ecdee5?folderUrn=urn:adsk.wipprod:fs.folder:co.FxNM7TmRQoCV0Idg7eQ7qQ" TargetMode="External"/><Relationship Id="rId392" Type="http://schemas.openxmlformats.org/officeDocument/2006/relationships/hyperlink" Target="https://acc.autodesk.com/docs/files/projects/1e597176-a716-43f8-be36-fdbb47ecdee5?folderUrn=urn:adsk.wipprod:fs.folder:co.412vmwRUS5WvAkIPx4HNUw&amp;entityId=urn:adsk.wipprod:dm.lineage:p8S4iBOBQNyyKoUTn3XYzQ&amp;viewModel=detail&amp;moduleId=folders" TargetMode="External"/><Relationship Id="rId270" Type="http://schemas.openxmlformats.org/officeDocument/2006/relationships/hyperlink" Target="https://acc.autodesk.com/docs/files/projects/1e597176-a716-43f8-be36-fdbb47ecdee5?folderUrn=urn:adsk.wipprod:fs.folder:co.FxNM7TmRQoCV0Idg7eQ7qQ&amp;entityId=urn:adsk.wipprod:dm.lineage:NEmJEWLPTkaQeQeEql0N8A&amp;viewModel=detail&amp;moduleId=folders" TargetMode="External"/><Relationship Id="rId391" Type="http://schemas.openxmlformats.org/officeDocument/2006/relationships/hyperlink" Target="https://acc.autodesk.com/docs/files/projects/1e597176-a716-43f8-be36-fdbb47ecdee5?folderUrn=urn:adsk.wipprod:fs.folder:co.412vmwRUS5WvAkIPx4HNUw" TargetMode="External"/><Relationship Id="rId390" Type="http://schemas.openxmlformats.org/officeDocument/2006/relationships/hyperlink" Target="https://acc.autodesk.com/docs/files/projects/1e597176-a716-43f8-be36-fdbb47ecdee5?folderUrn=urn:adsk.wipprod:fs.folder:co.412vmwRUS5WvAkIPx4HNUw&amp;entityId=urn:adsk.wipprod:dm.lineage:V0PTdbbrTaics-U47tkjSg&amp;viewModel=detail&amp;moduleId=folders" TargetMode="External"/><Relationship Id="rId1" Type="http://schemas.openxmlformats.org/officeDocument/2006/relationships/hyperlink" Target="https://acc.autodesk.com/docs/files/projects/1e597176-a716-43f8-be36-fdbb47ecdee5?folderUrn=urn:adsk.wipprod:fs.folder:co.Qy7tJjVUQXqthtbCwFzLqw" TargetMode="External"/><Relationship Id="rId2" Type="http://schemas.openxmlformats.org/officeDocument/2006/relationships/hyperlink" Target="https://acc.autodesk.com/docs/files/projects/1e597176-a716-43f8-be36-fdbb47ecdee5?folderUrn=urn:adsk.wipprod:fs.folder:co.Qy7tJjVUQXqthtbCwFzLqw&amp;entityId=urn:adsk.wipprod:dm.lineage:oEvuU9FUSeiPoWHQ2hYAvQ&amp;viewModel=detail&amp;moduleId=folders" TargetMode="External"/><Relationship Id="rId3" Type="http://schemas.openxmlformats.org/officeDocument/2006/relationships/hyperlink" Target="https://acc.autodesk.com/docs/files/projects/1e597176-a716-43f8-be36-fdbb47ecdee5?folderUrn=urn:adsk.wipprod:fs.folder:co.Qy7tJjVUQXqthtbCwFzLqw" TargetMode="External"/><Relationship Id="rId149" Type="http://schemas.openxmlformats.org/officeDocument/2006/relationships/hyperlink" Target="https://acc.autodesk.com/docs/files/projects/1e597176-a716-43f8-be36-fdbb47ecdee5?folderUrn=urn:adsk.wipprod:fs.folder:co.7NiVimFoQNGaJytOMwaTgQ" TargetMode="External"/><Relationship Id="rId4" Type="http://schemas.openxmlformats.org/officeDocument/2006/relationships/hyperlink" Target="https://acc.autodesk.com/docs/files/projects/1e597176-a716-43f8-be36-fdbb47ecdee5?folderUrn=urn:adsk.wipprod:fs.folder:co.Qy7tJjVUQXqthtbCwFzLqw&amp;entityId=urn:adsk.wipprod:dm.lineage:zWX24uusSemo4Ph2Wwf4mQ&amp;viewModel=detail&amp;moduleId=folders" TargetMode="External"/><Relationship Id="rId148" Type="http://schemas.openxmlformats.org/officeDocument/2006/relationships/hyperlink" Target="https://acc.autodesk.com/docs/files/projects/1e597176-a716-43f8-be36-fdbb47ecdee5?folderUrn=urn:adsk.wipprod:fs.folder:co.7NiVimFoQNGaJytOMwaTgQ&amp;entityId=urn:adsk.wipprod:dm.lineage:fCq5eSWWQf2OqaZsXLrWIw&amp;viewModel=detail&amp;moduleId=folders" TargetMode="External"/><Relationship Id="rId269" Type="http://schemas.openxmlformats.org/officeDocument/2006/relationships/hyperlink" Target="https://acc.autodesk.com/docs/files/projects/1e597176-a716-43f8-be36-fdbb47ecdee5?folderUrn=urn:adsk.wipprod:fs.folder:co.FxNM7TmRQoCV0Idg7eQ7qQ" TargetMode="External"/><Relationship Id="rId9" Type="http://schemas.openxmlformats.org/officeDocument/2006/relationships/hyperlink" Target="https://acc.autodesk.com/docs/files/projects/1e597176-a716-43f8-be36-fdbb47ecdee5?folderUrn=urn:adsk.wipprod:fs.folder:co.Qy7tJjVUQXqthtbCwFzLqw" TargetMode="External"/><Relationship Id="rId143" Type="http://schemas.openxmlformats.org/officeDocument/2006/relationships/hyperlink" Target="https://acc.autodesk.com/docs/files/projects/1e597176-a716-43f8-be36-fdbb47ecdee5?folderUrn=urn:adsk.wipprod:fs.folder:co.ZUedFvpiSlenX0IHVAo8cA" TargetMode="External"/><Relationship Id="rId264" Type="http://schemas.openxmlformats.org/officeDocument/2006/relationships/hyperlink" Target="https://acc.autodesk.com/docs/files/projects/1e597176-a716-43f8-be36-fdbb47ecdee5?folderUrn=urn:adsk.wipprod:fs.folder:co.gneW-1t2SpuUo6Nf7Rj1vQ&amp;entityId=urn:adsk.wipprod:dm.lineage:uOgXBoe5TvGbh-22zEnypQ&amp;viewModel=detail&amp;moduleId=folders" TargetMode="External"/><Relationship Id="rId385" Type="http://schemas.openxmlformats.org/officeDocument/2006/relationships/hyperlink" Target="https://acc.autodesk.com/docs/files/projects/1e597176-a716-43f8-be36-fdbb47ecdee5?folderUrn=urn:adsk.wipprod:fs.folder:co.412vmwRUS5WvAkIPx4HNUw" TargetMode="External"/><Relationship Id="rId142" Type="http://schemas.openxmlformats.org/officeDocument/2006/relationships/hyperlink" Target="https://acc.autodesk.com/docs/files/projects/1e597176-a716-43f8-be36-fdbb47ecdee5?folderUrn=urn:adsk.wipprod:fs.folder:co.ZUedFvpiSlenX0IHVAo8cA&amp;entityId=urn:adsk.wipprod:dm.lineage:O6wqcZczQTKFWMlQ3DqwWQ&amp;viewModel=detail&amp;moduleId=folders" TargetMode="External"/><Relationship Id="rId263" Type="http://schemas.openxmlformats.org/officeDocument/2006/relationships/hyperlink" Target="https://acc.autodesk.com/docs/files/projects/1e597176-a716-43f8-be36-fdbb47ecdee5?folderUrn=urn:adsk.wipprod:fs.folder:co.gneW-1t2SpuUo6Nf7Rj1vQ" TargetMode="External"/><Relationship Id="rId384" Type="http://schemas.openxmlformats.org/officeDocument/2006/relationships/hyperlink" Target="https://acc.autodesk.com/docs/files/projects/1e597176-a716-43f8-be36-fdbb47ecdee5?folderUrn=urn:adsk.wipprod:fs.folder:co.412vmwRUS5WvAkIPx4HNUw&amp;entityId=urn:adsk.wipprod:dm.lineage:KVGithKSTwOgSYAgnbTyeQ&amp;viewModel=detail&amp;moduleId=folders" TargetMode="External"/><Relationship Id="rId141" Type="http://schemas.openxmlformats.org/officeDocument/2006/relationships/hyperlink" Target="https://acc.autodesk.com/docs/files/projects/1e597176-a716-43f8-be36-fdbb47ecdee5?folderUrn=urn:adsk.wipprod:fs.folder:co.ZUedFvpiSlenX0IHVAo8cA" TargetMode="External"/><Relationship Id="rId262" Type="http://schemas.openxmlformats.org/officeDocument/2006/relationships/hyperlink" Target="https://acc.autodesk.com/docs/files/projects/1e597176-a716-43f8-be36-fdbb47ecdee5?folderUrn=urn:adsk.wipprod:fs.folder:co.gneW-1t2SpuUo6Nf7Rj1vQ&amp;entityId=urn:adsk.wipprod:dm.lineage:JgS6lPPvQ8Cv3Lvw7_x7eA&amp;viewModel=detail&amp;moduleId=folders" TargetMode="External"/><Relationship Id="rId383" Type="http://schemas.openxmlformats.org/officeDocument/2006/relationships/hyperlink" Target="https://acc.autodesk.com/docs/files/projects/1e597176-a716-43f8-be36-fdbb47ecdee5?folderUrn=urn:adsk.wipprod:fs.folder:co.412vmwRUS5WvAkIPx4HNUw" TargetMode="External"/><Relationship Id="rId140" Type="http://schemas.openxmlformats.org/officeDocument/2006/relationships/hyperlink" Target="https://acc.autodesk.com/docs/files/projects/1e597176-a716-43f8-be36-fdbb47ecdee5?folderUrn=urn:adsk.wipprod:fs.folder:co.ZUedFvpiSlenX0IHVAo8cA&amp;entityId=urn:adsk.wipprod:dm.lineage:6PAByJp9QRivhubyTH8z3g&amp;viewModel=detail&amp;moduleId=folders" TargetMode="External"/><Relationship Id="rId261" Type="http://schemas.openxmlformats.org/officeDocument/2006/relationships/hyperlink" Target="https://acc.autodesk.com/docs/files/projects/1e597176-a716-43f8-be36-fdbb47ecdee5?folderUrn=urn:adsk.wipprod:fs.folder:co.gneW-1t2SpuUo6Nf7Rj1vQ" TargetMode="External"/><Relationship Id="rId382" Type="http://schemas.openxmlformats.org/officeDocument/2006/relationships/hyperlink" Target="https://acc.autodesk.com/docs/files/projects/1e597176-a716-43f8-be36-fdbb47ecdee5?folderUrn=urn:adsk.wipprod:fs.folder:co.412vmwRUS5WvAkIPx4HNUw&amp;entityId=urn:adsk.wipprod:dm.lineage:-UIX7spZQ5G7EACyoTPdTA&amp;viewModel=detail&amp;moduleId=folders" TargetMode="External"/><Relationship Id="rId5" Type="http://schemas.openxmlformats.org/officeDocument/2006/relationships/hyperlink" Target="https://acc.autodesk.com/docs/files/projects/1e597176-a716-43f8-be36-fdbb47ecdee5?folderUrn=urn:adsk.wipprod:fs.folder:co.Qy7tJjVUQXqthtbCwFzLqw" TargetMode="External"/><Relationship Id="rId147" Type="http://schemas.openxmlformats.org/officeDocument/2006/relationships/hyperlink" Target="https://acc.autodesk.com/docs/files/projects/1e597176-a716-43f8-be36-fdbb47ecdee5?folderUrn=urn:adsk.wipprod:fs.folder:co.7NiVimFoQNGaJytOMwaTgQ" TargetMode="External"/><Relationship Id="rId268" Type="http://schemas.openxmlformats.org/officeDocument/2006/relationships/hyperlink" Target="https://acc.autodesk.com/docs/files/projects/1e597176-a716-43f8-be36-fdbb47ecdee5?folderUrn=urn:adsk.wipprod:fs.folder:co.FxNM7TmRQoCV0Idg7eQ7qQ&amp;entityId=urn:adsk.wipprod:dm.lineage:uE6CejTKTQGqPHWhhLgSgg&amp;viewModel=detail&amp;moduleId=folders" TargetMode="External"/><Relationship Id="rId389" Type="http://schemas.openxmlformats.org/officeDocument/2006/relationships/hyperlink" Target="https://acc.autodesk.com/docs/files/projects/1e597176-a716-43f8-be36-fdbb47ecdee5?folderUrn=urn:adsk.wipprod:fs.folder:co.412vmwRUS5WvAkIPx4HNUw" TargetMode="External"/><Relationship Id="rId6" Type="http://schemas.openxmlformats.org/officeDocument/2006/relationships/hyperlink" Target="https://acc.autodesk.com/docs/files/projects/1e597176-a716-43f8-be36-fdbb47ecdee5?folderUrn=urn:adsk.wipprod:fs.folder:co.Qy7tJjVUQXqthtbCwFzLqw&amp;entityId=urn:adsk.wipprod:dm.lineage:cNn3njrJSHiDhNp5wrayPw&amp;viewModel=detail&amp;moduleId=folders" TargetMode="External"/><Relationship Id="rId146" Type="http://schemas.openxmlformats.org/officeDocument/2006/relationships/hyperlink" Target="https://acc.autodesk.com/docs/files/projects/1e597176-a716-43f8-be36-fdbb47ecdee5?folderUrn=urn:adsk.wipprod:fs.folder:co.ZUedFvpiSlenX0IHVAo8cA&amp;entityId=urn:adsk.wipprod:dm.lineage:4k6zm8xlTtSRH5nTxq1YlQ&amp;viewModel=detail&amp;moduleId=folders" TargetMode="External"/><Relationship Id="rId267" Type="http://schemas.openxmlformats.org/officeDocument/2006/relationships/hyperlink" Target="https://acc.autodesk.com/docs/files/projects/1e597176-a716-43f8-be36-fdbb47ecdee5?folderUrn=urn:adsk.wipprod:fs.folder:co.FxNM7TmRQoCV0Idg7eQ7qQ" TargetMode="External"/><Relationship Id="rId388" Type="http://schemas.openxmlformats.org/officeDocument/2006/relationships/hyperlink" Target="https://acc.autodesk.com/docs/files/projects/1e597176-a716-43f8-be36-fdbb47ecdee5?folderUrn=urn:adsk.wipprod:fs.folder:co.412vmwRUS5WvAkIPx4HNUw&amp;entityId=urn:adsk.wipprod:dm.lineage:yzpkuKe8TQ6yxUts6TPCFQ&amp;viewModel=detail&amp;moduleId=folders" TargetMode="External"/><Relationship Id="rId7" Type="http://schemas.openxmlformats.org/officeDocument/2006/relationships/hyperlink" Target="https://acc.autodesk.com/docs/files/projects/1e597176-a716-43f8-be36-fdbb47ecdee5?folderUrn=urn:adsk.wipprod:fs.folder:co.Qy7tJjVUQXqthtbCwFzLqw" TargetMode="External"/><Relationship Id="rId145" Type="http://schemas.openxmlformats.org/officeDocument/2006/relationships/hyperlink" Target="https://acc.autodesk.com/docs/files/projects/1e597176-a716-43f8-be36-fdbb47ecdee5?folderUrn=urn:adsk.wipprod:fs.folder:co.ZUedFvpiSlenX0IHVAo8cA" TargetMode="External"/><Relationship Id="rId266" Type="http://schemas.openxmlformats.org/officeDocument/2006/relationships/hyperlink" Target="https://acc.autodesk.com/docs/files/projects/1e597176-a716-43f8-be36-fdbb47ecdee5?folderUrn=urn:adsk.wipprod:fs.folder:co.gneW-1t2SpuUo6Nf7Rj1vQ&amp;entityId=urn:adsk.wipprod:dm.lineage:95u00VkWQ7yNpRxzLdR9Mw&amp;viewModel=detail&amp;moduleId=folders" TargetMode="External"/><Relationship Id="rId387" Type="http://schemas.openxmlformats.org/officeDocument/2006/relationships/hyperlink" Target="https://acc.autodesk.com/docs/files/projects/1e597176-a716-43f8-be36-fdbb47ecdee5?folderUrn=urn:adsk.wipprod:fs.folder:co.412vmwRUS5WvAkIPx4HNUw" TargetMode="External"/><Relationship Id="rId8" Type="http://schemas.openxmlformats.org/officeDocument/2006/relationships/hyperlink" Target="https://acc.autodesk.com/docs/files/projects/1e597176-a716-43f8-be36-fdbb47ecdee5?folderUrn=urn:adsk.wipprod:fs.folder:co.Qy7tJjVUQXqthtbCwFzLqw&amp;entityId=urn:adsk.wipprod:dm.lineage:GZ9mvFPKTgmDZNZffxo7PQ&amp;viewModel=detail&amp;moduleId=folders" TargetMode="External"/><Relationship Id="rId144" Type="http://schemas.openxmlformats.org/officeDocument/2006/relationships/hyperlink" Target="https://acc.autodesk.com/docs/files/projects/1e597176-a716-43f8-be36-fdbb47ecdee5?folderUrn=urn:adsk.wipprod:fs.folder:co.ZUedFvpiSlenX0IHVAo8cA&amp;entityId=urn:adsk.wipprod:dm.lineage:yRFQeVhARFWC-weg0VqD-w&amp;viewModel=detail&amp;moduleId=folders" TargetMode="External"/><Relationship Id="rId265" Type="http://schemas.openxmlformats.org/officeDocument/2006/relationships/hyperlink" Target="https://acc.autodesk.com/docs/files/projects/1e597176-a716-43f8-be36-fdbb47ecdee5?folderUrn=urn:adsk.wipprod:fs.folder:co.gneW-1t2SpuUo6Nf7Rj1vQ" TargetMode="External"/><Relationship Id="rId386" Type="http://schemas.openxmlformats.org/officeDocument/2006/relationships/hyperlink" Target="https://acc.autodesk.com/docs/files/projects/1e597176-a716-43f8-be36-fdbb47ecdee5?folderUrn=urn:adsk.wipprod:fs.folder:co.412vmwRUS5WvAkIPx4HNUw&amp;entityId=urn:adsk.wipprod:dm.lineage:5OIe3gUdSNykgWnB0D0-Fw&amp;viewModel=detail&amp;moduleId=folders" TargetMode="External"/><Relationship Id="rId260" Type="http://schemas.openxmlformats.org/officeDocument/2006/relationships/hyperlink" Target="https://acc.autodesk.com/docs/files/projects/1e597176-a716-43f8-be36-fdbb47ecdee5?folderUrn=urn:adsk.wipprod:fs.folder:co.gneW-1t2SpuUo6Nf7Rj1vQ&amp;entityId=urn:adsk.wipprod:dm.lineage:dcczKl1hQGOV_b8vb8-Tmw&amp;viewModel=detail&amp;moduleId=folders" TargetMode="External"/><Relationship Id="rId381" Type="http://schemas.openxmlformats.org/officeDocument/2006/relationships/hyperlink" Target="https://acc.autodesk.com/docs/files/projects/1e597176-a716-43f8-be36-fdbb47ecdee5?folderUrn=urn:adsk.wipprod:fs.folder:co.412vmwRUS5WvAkIPx4HNUw" TargetMode="External"/><Relationship Id="rId380" Type="http://schemas.openxmlformats.org/officeDocument/2006/relationships/hyperlink" Target="https://acc.autodesk.com/docs/files/projects/1e597176-a716-43f8-be36-fdbb47ecdee5?folderUrn=urn:adsk.wipprod:fs.folder:co.412vmwRUS5WvAkIPx4HNUw&amp;entityId=urn:adsk.wipprod:dm.lineage:ZM7w2uGpRAqcvFi9ySKKGQ&amp;viewModel=detail&amp;moduleId=folders" TargetMode="External"/><Relationship Id="rId139" Type="http://schemas.openxmlformats.org/officeDocument/2006/relationships/hyperlink" Target="https://acc.autodesk.com/docs/files/projects/1e597176-a716-43f8-be36-fdbb47ecdee5?folderUrn=urn:adsk.wipprod:fs.folder:co.ZUedFvpiSlenX0IHVAo8cA" TargetMode="External"/><Relationship Id="rId138" Type="http://schemas.openxmlformats.org/officeDocument/2006/relationships/hyperlink" Target="https://acc.autodesk.com/docs/files/projects/1e597176-a716-43f8-be36-fdbb47ecdee5?folderUrn=urn:adsk.wipprod:fs.folder:co.ZUedFvpiSlenX0IHVAo8cA&amp;entityId=urn:adsk.wipprod:dm.lineage:VzG2eerWSdShdaBZSx0hbw&amp;viewModel=detail&amp;moduleId=folders" TargetMode="External"/><Relationship Id="rId259" Type="http://schemas.openxmlformats.org/officeDocument/2006/relationships/hyperlink" Target="https://acc.autodesk.com/docs/files/projects/1e597176-a716-43f8-be36-fdbb47ecdee5?folderUrn=urn:adsk.wipprod:fs.folder:co.gneW-1t2SpuUo6Nf7Rj1vQ" TargetMode="External"/><Relationship Id="rId137" Type="http://schemas.openxmlformats.org/officeDocument/2006/relationships/hyperlink" Target="https://acc.autodesk.com/docs/files/projects/1e597176-a716-43f8-be36-fdbb47ecdee5?folderUrn=urn:adsk.wipprod:fs.folder:co.ZUedFvpiSlenX0IHVAo8cA" TargetMode="External"/><Relationship Id="rId258" Type="http://schemas.openxmlformats.org/officeDocument/2006/relationships/hyperlink" Target="https://acc.autodesk.com/docs/files/projects/1e597176-a716-43f8-be36-fdbb47ecdee5?folderUrn=urn:adsk.wipprod:fs.folder:co.gneW-1t2SpuUo6Nf7Rj1vQ&amp;entityId=urn:adsk.wipprod:dm.lineage:eAymed0tQfWASsKMGXKxLw&amp;viewModel=detail&amp;moduleId=folders" TargetMode="External"/><Relationship Id="rId379" Type="http://schemas.openxmlformats.org/officeDocument/2006/relationships/hyperlink" Target="https://acc.autodesk.com/docs/files/projects/1e597176-a716-43f8-be36-fdbb47ecdee5?folderUrn=urn:adsk.wipprod:fs.folder:co.412vmwRUS5WvAkIPx4HNUw" TargetMode="External"/><Relationship Id="rId132" Type="http://schemas.openxmlformats.org/officeDocument/2006/relationships/hyperlink" Target="https://acc.autodesk.com/docs/files/projects/1e597176-a716-43f8-be36-fdbb47ecdee5?folderUrn=urn:adsk.wipprod:fs.folder:co.ZUedFvpiSlenX0IHVAo8cA&amp;entityId=urn:adsk.wipprod:dm.lineage:R4VF9GwxSnyi1UDgiqourQ&amp;viewModel=detail&amp;moduleId=folders" TargetMode="External"/><Relationship Id="rId253" Type="http://schemas.openxmlformats.org/officeDocument/2006/relationships/hyperlink" Target="https://acc.autodesk.com/docs/files/projects/1e597176-a716-43f8-be36-fdbb47ecdee5?folderUrn=urn:adsk.wipprod:fs.folder:co.gneW-1t2SpuUo6Nf7Rj1vQ" TargetMode="External"/><Relationship Id="rId374" Type="http://schemas.openxmlformats.org/officeDocument/2006/relationships/hyperlink" Target="https://acc.autodesk.com/docs/files/projects/1e597176-a716-43f8-be36-fdbb47ecdee5?folderUrn=urn:adsk.wipprod:fs.folder:co.412vmwRUS5WvAkIPx4HNUw&amp;entityId=urn:adsk.wipprod:dm.lineage:ay-jjBgOS0KJ5pMaGRv-eQ&amp;viewModel=detail&amp;moduleId=folders" TargetMode="External"/><Relationship Id="rId131" Type="http://schemas.openxmlformats.org/officeDocument/2006/relationships/hyperlink" Target="https://acc.autodesk.com/docs/files/projects/1e597176-a716-43f8-be36-fdbb47ecdee5?folderUrn=urn:adsk.wipprod:fs.folder:co.ZUedFvpiSlenX0IHVAo8cA" TargetMode="External"/><Relationship Id="rId252" Type="http://schemas.openxmlformats.org/officeDocument/2006/relationships/hyperlink" Target="https://acc.autodesk.com/docs/files/projects/1e597176-a716-43f8-be36-fdbb47ecdee5?folderUrn=urn:adsk.wipprod:fs.folder:co.gneW-1t2SpuUo6Nf7Rj1vQ&amp;entityId=urn:adsk.wipprod:dm.lineage:XaCbWEgAT5q6ZJ0kdappFw&amp;viewModel=detail&amp;moduleId=folders" TargetMode="External"/><Relationship Id="rId373" Type="http://schemas.openxmlformats.org/officeDocument/2006/relationships/hyperlink" Target="https://acc.autodesk.com/docs/files/projects/1e597176-a716-43f8-be36-fdbb47ecdee5?folderUrn=urn:adsk.wipprod:fs.folder:co.412vmwRUS5WvAkIPx4HNUw" TargetMode="External"/><Relationship Id="rId130" Type="http://schemas.openxmlformats.org/officeDocument/2006/relationships/hyperlink" Target="https://acc.autodesk.com/docs/files/projects/1e597176-a716-43f8-be36-fdbb47ecdee5?folderUrn=urn:adsk.wipprod:fs.folder:co.ZUedFvpiSlenX0IHVAo8cA&amp;entityId=urn:adsk.wipprod:dm.lineage:CV6GEsRrQf-4u4TLFQD0Ag&amp;viewModel=detail&amp;moduleId=folders" TargetMode="External"/><Relationship Id="rId251" Type="http://schemas.openxmlformats.org/officeDocument/2006/relationships/hyperlink" Target="https://acc.autodesk.com/docs/files/projects/1e597176-a716-43f8-be36-fdbb47ecdee5?folderUrn=urn:adsk.wipprod:fs.folder:co.gneW-1t2SpuUo6Nf7Rj1vQ" TargetMode="External"/><Relationship Id="rId372" Type="http://schemas.openxmlformats.org/officeDocument/2006/relationships/hyperlink" Target="https://acc.autodesk.com/docs/files/projects/1e597176-a716-43f8-be36-fdbb47ecdee5?folderUrn=urn:adsk.wipprod:fs.folder:co.412vmwRUS5WvAkIPx4HNUw&amp;entityId=urn:adsk.wipprod:dm.lineage:t5ler3dLS-iqUvtw-cuHvg&amp;viewModel=detail&amp;moduleId=folders" TargetMode="External"/><Relationship Id="rId250" Type="http://schemas.openxmlformats.org/officeDocument/2006/relationships/hyperlink" Target="https://acc.autodesk.com/docs/files/projects/1e597176-a716-43f8-be36-fdbb47ecdee5?folderUrn=urn:adsk.wipprod:fs.folder:co.gneW-1t2SpuUo6Nf7Rj1vQ&amp;entityId=urn:adsk.wipprod:dm.lineage:CxrrIKXIT-KrqcDNkQ46Dg&amp;viewModel=detail&amp;moduleId=folders" TargetMode="External"/><Relationship Id="rId371" Type="http://schemas.openxmlformats.org/officeDocument/2006/relationships/hyperlink" Target="https://acc.autodesk.com/docs/files/projects/1e597176-a716-43f8-be36-fdbb47ecdee5?folderUrn=urn:adsk.wipprod:fs.folder:co.412vmwRUS5WvAkIPx4HNUw" TargetMode="External"/><Relationship Id="rId136" Type="http://schemas.openxmlformats.org/officeDocument/2006/relationships/hyperlink" Target="https://acc.autodesk.com/docs/files/projects/1e597176-a716-43f8-be36-fdbb47ecdee5?folderUrn=urn:adsk.wipprod:fs.folder:co.ZUedFvpiSlenX0IHVAo8cA&amp;entityId=urn:adsk.wipprod:dm.lineage:KHHHqXblQ6mODCela4Ke4g&amp;viewModel=detail&amp;moduleId=folders" TargetMode="External"/><Relationship Id="rId257" Type="http://schemas.openxmlformats.org/officeDocument/2006/relationships/hyperlink" Target="https://acc.autodesk.com/docs/files/projects/1e597176-a716-43f8-be36-fdbb47ecdee5?folderUrn=urn:adsk.wipprod:fs.folder:co.gneW-1t2SpuUo6Nf7Rj1vQ" TargetMode="External"/><Relationship Id="rId378" Type="http://schemas.openxmlformats.org/officeDocument/2006/relationships/hyperlink" Target="https://acc.autodesk.com/docs/files/projects/1e597176-a716-43f8-be36-fdbb47ecdee5?folderUrn=urn:adsk.wipprod:fs.folder:co.412vmwRUS5WvAkIPx4HNUw&amp;entityId=urn:adsk.wipprod:dm.lineage:2wG8QHiJSpy2eX6Kt61LZw&amp;viewModel=detail&amp;moduleId=folders" TargetMode="External"/><Relationship Id="rId135" Type="http://schemas.openxmlformats.org/officeDocument/2006/relationships/hyperlink" Target="https://acc.autodesk.com/docs/files/projects/1e597176-a716-43f8-be36-fdbb47ecdee5?folderUrn=urn:adsk.wipprod:fs.folder:co.ZUedFvpiSlenX0IHVAo8cA" TargetMode="External"/><Relationship Id="rId256" Type="http://schemas.openxmlformats.org/officeDocument/2006/relationships/hyperlink" Target="https://acc.autodesk.com/docs/files/projects/1e597176-a716-43f8-be36-fdbb47ecdee5?folderUrn=urn:adsk.wipprod:fs.folder:co.gneW-1t2SpuUo6Nf7Rj1vQ&amp;entityId=urn:adsk.wipprod:dm.lineage:POcrEgTgT06ZxRpfRtXECA&amp;viewModel=detail&amp;moduleId=folders" TargetMode="External"/><Relationship Id="rId377" Type="http://schemas.openxmlformats.org/officeDocument/2006/relationships/hyperlink" Target="https://acc.autodesk.com/docs/files/projects/1e597176-a716-43f8-be36-fdbb47ecdee5?folderUrn=urn:adsk.wipprod:fs.folder:co.412vmwRUS5WvAkIPx4HNUw" TargetMode="External"/><Relationship Id="rId134" Type="http://schemas.openxmlformats.org/officeDocument/2006/relationships/hyperlink" Target="https://acc.autodesk.com/docs/files/projects/1e597176-a716-43f8-be36-fdbb47ecdee5?folderUrn=urn:adsk.wipprod:fs.folder:co.ZUedFvpiSlenX0IHVAo8cA&amp;entityId=urn:adsk.wipprod:dm.lineage:0oIML3-vTN2RbO9g3rVtzQ&amp;viewModel=detail&amp;moduleId=folders" TargetMode="External"/><Relationship Id="rId255" Type="http://schemas.openxmlformats.org/officeDocument/2006/relationships/hyperlink" Target="https://acc.autodesk.com/docs/files/projects/1e597176-a716-43f8-be36-fdbb47ecdee5?folderUrn=urn:adsk.wipprod:fs.folder:co.gneW-1t2SpuUo6Nf7Rj1vQ" TargetMode="External"/><Relationship Id="rId376" Type="http://schemas.openxmlformats.org/officeDocument/2006/relationships/hyperlink" Target="https://acc.autodesk.com/docs/files/projects/1e597176-a716-43f8-be36-fdbb47ecdee5?folderUrn=urn:adsk.wipprod:fs.folder:co.412vmwRUS5WvAkIPx4HNUw&amp;entityId=urn:adsk.wipprod:dm.lineage:DfTrENUXT62Mc-Nz-Quuqg&amp;viewModel=detail&amp;moduleId=folders" TargetMode="External"/><Relationship Id="rId133" Type="http://schemas.openxmlformats.org/officeDocument/2006/relationships/hyperlink" Target="https://acc.autodesk.com/docs/files/projects/1e597176-a716-43f8-be36-fdbb47ecdee5?folderUrn=urn:adsk.wipprod:fs.folder:co.ZUedFvpiSlenX0IHVAo8cA" TargetMode="External"/><Relationship Id="rId254" Type="http://schemas.openxmlformats.org/officeDocument/2006/relationships/hyperlink" Target="https://acc.autodesk.com/docs/files/projects/1e597176-a716-43f8-be36-fdbb47ecdee5?folderUrn=urn:adsk.wipprod:fs.folder:co.gneW-1t2SpuUo6Nf7Rj1vQ&amp;entityId=urn:adsk.wipprod:dm.lineage:M1EXhnvjTgSW_wk0hFWvSg&amp;viewModel=detail&amp;moduleId=folders" TargetMode="External"/><Relationship Id="rId375" Type="http://schemas.openxmlformats.org/officeDocument/2006/relationships/hyperlink" Target="https://acc.autodesk.com/docs/files/projects/1e597176-a716-43f8-be36-fdbb47ecdee5?folderUrn=urn:adsk.wipprod:fs.folder:co.412vmwRUS5WvAkIPx4HNUw" TargetMode="External"/><Relationship Id="rId172" Type="http://schemas.openxmlformats.org/officeDocument/2006/relationships/hyperlink" Target="https://acc.autodesk.com/docs/files/projects/1e597176-a716-43f8-be36-fdbb47ecdee5?folderUrn=urn:adsk.wipprod:fs.folder:co.BtADxt2wTy-hdvOnJPUroQ&amp;entityId=urn:adsk.wipprod:dm.lineage:QbBiL8qcQvmErAM42bxXPg&amp;viewModel=detail&amp;moduleId=folders" TargetMode="External"/><Relationship Id="rId293" Type="http://schemas.openxmlformats.org/officeDocument/2006/relationships/hyperlink" Target="https://acc.autodesk.com/docs/files/projects/1e597176-a716-43f8-be36-fdbb47ecdee5?folderUrn=urn:adsk.wipprod:fs.folder:co.FxNM7TmRQoCV0Idg7eQ7qQ" TargetMode="External"/><Relationship Id="rId171" Type="http://schemas.openxmlformats.org/officeDocument/2006/relationships/hyperlink" Target="https://acc.autodesk.com/docs/files/projects/1e597176-a716-43f8-be36-fdbb47ecdee5?folderUrn=urn:adsk.wipprod:fs.folder:co.BtADxt2wTy-hdvOnJPUroQ" TargetMode="External"/><Relationship Id="rId292" Type="http://schemas.openxmlformats.org/officeDocument/2006/relationships/hyperlink" Target="https://acc.autodesk.com/docs/files/projects/1e597176-a716-43f8-be36-fdbb47ecdee5?folderUrn=urn:adsk.wipprod:fs.folder:co.FxNM7TmRQoCV0Idg7eQ7qQ&amp;entityId=urn:adsk.wipprod:dm.lineage:2RU-d2ofSbSsYOVeMPYgog&amp;viewModel=detail&amp;moduleId=folders" TargetMode="External"/><Relationship Id="rId170" Type="http://schemas.openxmlformats.org/officeDocument/2006/relationships/hyperlink" Target="https://acc.autodesk.com/docs/files/projects/1e597176-a716-43f8-be36-fdbb47ecdee5?folderUrn=urn:adsk.wipprod:fs.folder:co.BtADxt2wTy-hdvOnJPUroQ&amp;entityId=urn:adsk.wipprod:dm.lineage:w6c2_4SIRSq_M5Vrstc20g&amp;viewModel=detail&amp;moduleId=folders" TargetMode="External"/><Relationship Id="rId291" Type="http://schemas.openxmlformats.org/officeDocument/2006/relationships/hyperlink" Target="https://acc.autodesk.com/docs/files/projects/1e597176-a716-43f8-be36-fdbb47ecdee5?folderUrn=urn:adsk.wipprod:fs.folder:co.FxNM7TmRQoCV0Idg7eQ7qQ" TargetMode="External"/><Relationship Id="rId290" Type="http://schemas.openxmlformats.org/officeDocument/2006/relationships/hyperlink" Target="https://acc.autodesk.com/docs/files/projects/1e597176-a716-43f8-be36-fdbb47ecdee5?folderUrn=urn:adsk.wipprod:fs.folder:co.FxNM7TmRQoCV0Idg7eQ7qQ&amp;entityId=urn:adsk.wipprod:dm.lineage:83pZOulhQVG-NDRlTJIkdw&amp;viewModel=detail&amp;moduleId=folders" TargetMode="External"/><Relationship Id="rId165" Type="http://schemas.openxmlformats.org/officeDocument/2006/relationships/hyperlink" Target="https://acc.autodesk.com/docs/files/projects/1e597176-a716-43f8-be36-fdbb47ecdee5?folderUrn=urn:adsk.wipprod:fs.folder:co.BtADxt2wTy-hdvOnJPUroQ" TargetMode="External"/><Relationship Id="rId286" Type="http://schemas.openxmlformats.org/officeDocument/2006/relationships/hyperlink" Target="https://acc.autodesk.com/docs/files/projects/1e597176-a716-43f8-be36-fdbb47ecdee5?folderUrn=urn:adsk.wipprod:fs.folder:co.FxNM7TmRQoCV0Idg7eQ7qQ&amp;entityId=urn:adsk.wipprod:dm.lineage:74gD6nSkRaSj3HjIFRuotw&amp;viewModel=detail&amp;moduleId=folders" TargetMode="External"/><Relationship Id="rId164" Type="http://schemas.openxmlformats.org/officeDocument/2006/relationships/hyperlink" Target="https://acc.autodesk.com/docs/files/projects/1e597176-a716-43f8-be36-fdbb47ecdee5?folderUrn=urn:adsk.wipprod:fs.folder:co.BtADxt2wTy-hdvOnJPUroQ&amp;entityId=urn:adsk.wipprod:dm.lineage:Y3G1NVauTLuFl2a85Z9cXQ&amp;viewModel=detail&amp;moduleId=folders" TargetMode="External"/><Relationship Id="rId285" Type="http://schemas.openxmlformats.org/officeDocument/2006/relationships/hyperlink" Target="https://acc.autodesk.com/docs/files/projects/1e597176-a716-43f8-be36-fdbb47ecdee5?folderUrn=urn:adsk.wipprod:fs.folder:co.FxNM7TmRQoCV0Idg7eQ7qQ" TargetMode="External"/><Relationship Id="rId163" Type="http://schemas.openxmlformats.org/officeDocument/2006/relationships/hyperlink" Target="https://acc.autodesk.com/docs/files/projects/1e597176-a716-43f8-be36-fdbb47ecdee5?folderUrn=urn:adsk.wipprod:fs.folder:co.BtADxt2wTy-hdvOnJPUroQ" TargetMode="External"/><Relationship Id="rId284" Type="http://schemas.openxmlformats.org/officeDocument/2006/relationships/hyperlink" Target="https://acc.autodesk.com/docs/files/projects/1e597176-a716-43f8-be36-fdbb47ecdee5?folderUrn=urn:adsk.wipprod:fs.folder:co.FxNM7TmRQoCV0Idg7eQ7qQ&amp;entityId=urn:adsk.wipprod:dm.lineage:e7m6tP3SSySkToLL1Fl41w&amp;viewModel=detail&amp;moduleId=folders" TargetMode="External"/><Relationship Id="rId162" Type="http://schemas.openxmlformats.org/officeDocument/2006/relationships/hyperlink" Target="https://acc.autodesk.com/docs/files/projects/1e597176-a716-43f8-be36-fdbb47ecdee5?folderUrn=urn:adsk.wipprod:fs.folder:co.BtADxt2wTy-hdvOnJPUroQ&amp;entityId=urn:adsk.wipprod:dm.lineage:sDpF5Y90ROKZhI8R7fVb4g&amp;viewModel=detail&amp;moduleId=folders" TargetMode="External"/><Relationship Id="rId283" Type="http://schemas.openxmlformats.org/officeDocument/2006/relationships/hyperlink" Target="https://acc.autodesk.com/docs/files/projects/1e597176-a716-43f8-be36-fdbb47ecdee5?folderUrn=urn:adsk.wipprod:fs.folder:co.FxNM7TmRQoCV0Idg7eQ7qQ" TargetMode="External"/><Relationship Id="rId169" Type="http://schemas.openxmlformats.org/officeDocument/2006/relationships/hyperlink" Target="https://acc.autodesk.com/docs/files/projects/1e597176-a716-43f8-be36-fdbb47ecdee5?folderUrn=urn:adsk.wipprod:fs.folder:co.BtADxt2wTy-hdvOnJPUroQ" TargetMode="External"/><Relationship Id="rId168" Type="http://schemas.openxmlformats.org/officeDocument/2006/relationships/hyperlink" Target="https://acc.autodesk.com/docs/files/projects/1e597176-a716-43f8-be36-fdbb47ecdee5?folderUrn=urn:adsk.wipprod:fs.folder:co.BtADxt2wTy-hdvOnJPUroQ&amp;entityId=urn:adsk.wipprod:dm.lineage:MTWI2DqgR7OjetkiAHV4gQ&amp;viewModel=detail&amp;moduleId=folders" TargetMode="External"/><Relationship Id="rId289" Type="http://schemas.openxmlformats.org/officeDocument/2006/relationships/hyperlink" Target="https://acc.autodesk.com/docs/files/projects/1e597176-a716-43f8-be36-fdbb47ecdee5?folderUrn=urn:adsk.wipprod:fs.folder:co.FxNM7TmRQoCV0Idg7eQ7qQ" TargetMode="External"/><Relationship Id="rId167" Type="http://schemas.openxmlformats.org/officeDocument/2006/relationships/hyperlink" Target="https://acc.autodesk.com/docs/files/projects/1e597176-a716-43f8-be36-fdbb47ecdee5?folderUrn=urn:adsk.wipprod:fs.folder:co.BtADxt2wTy-hdvOnJPUroQ" TargetMode="External"/><Relationship Id="rId288" Type="http://schemas.openxmlformats.org/officeDocument/2006/relationships/hyperlink" Target="https://acc.autodesk.com/docs/files/projects/1e597176-a716-43f8-be36-fdbb47ecdee5?folderUrn=urn:adsk.wipprod:fs.folder:co.FxNM7TmRQoCV0Idg7eQ7qQ&amp;entityId=urn:adsk.wipprod:dm.lineage:69pDim4aRvWD9dBFRJkp3w&amp;viewModel=detail&amp;moduleId=folders" TargetMode="External"/><Relationship Id="rId166" Type="http://schemas.openxmlformats.org/officeDocument/2006/relationships/hyperlink" Target="https://acc.autodesk.com/docs/files/projects/1e597176-a716-43f8-be36-fdbb47ecdee5?folderUrn=urn:adsk.wipprod:fs.folder:co.BtADxt2wTy-hdvOnJPUroQ&amp;entityId=urn:adsk.wipprod:dm.lineage:pPQB1oJbRWKMN92jiNjOLw&amp;viewModel=detail&amp;moduleId=folders" TargetMode="External"/><Relationship Id="rId287" Type="http://schemas.openxmlformats.org/officeDocument/2006/relationships/hyperlink" Target="https://acc.autodesk.com/docs/files/projects/1e597176-a716-43f8-be36-fdbb47ecdee5?folderUrn=urn:adsk.wipprod:fs.folder:co.FxNM7TmRQoCV0Idg7eQ7qQ" TargetMode="External"/><Relationship Id="rId161" Type="http://schemas.openxmlformats.org/officeDocument/2006/relationships/hyperlink" Target="https://acc.autodesk.com/docs/files/projects/1e597176-a716-43f8-be36-fdbb47ecdee5?folderUrn=urn:adsk.wipprod:fs.folder:co.BtADxt2wTy-hdvOnJPUroQ" TargetMode="External"/><Relationship Id="rId282" Type="http://schemas.openxmlformats.org/officeDocument/2006/relationships/hyperlink" Target="https://acc.autodesk.com/docs/files/projects/1e597176-a716-43f8-be36-fdbb47ecdee5?folderUrn=urn:adsk.wipprod:fs.folder:co.FxNM7TmRQoCV0Idg7eQ7qQ&amp;entityId=urn:adsk.wipprod:dm.lineage:gMZANgCnQPOwhcvtMPi6Kg&amp;viewModel=detail&amp;moduleId=folders" TargetMode="External"/><Relationship Id="rId160" Type="http://schemas.openxmlformats.org/officeDocument/2006/relationships/hyperlink" Target="https://acc.autodesk.com/docs/files/projects/1e597176-a716-43f8-be36-fdbb47ecdee5?folderUrn=urn:adsk.wipprod:fs.folder:co.BtADxt2wTy-hdvOnJPUroQ&amp;entityId=urn:adsk.wipprod:dm.lineage:cBnipkdbQ-SPBGCsEGUkig&amp;viewModel=detail&amp;moduleId=folders" TargetMode="External"/><Relationship Id="rId281" Type="http://schemas.openxmlformats.org/officeDocument/2006/relationships/hyperlink" Target="https://acc.autodesk.com/docs/files/projects/1e597176-a716-43f8-be36-fdbb47ecdee5?folderUrn=urn:adsk.wipprod:fs.folder:co.FxNM7TmRQoCV0Idg7eQ7qQ" TargetMode="External"/><Relationship Id="rId280" Type="http://schemas.openxmlformats.org/officeDocument/2006/relationships/hyperlink" Target="https://acc.autodesk.com/docs/files/projects/1e597176-a716-43f8-be36-fdbb47ecdee5?folderUrn=urn:adsk.wipprod:fs.folder:co.FxNM7TmRQoCV0Idg7eQ7qQ&amp;entityId=urn:adsk.wipprod:dm.lineage:S0DJKeRJRtSIFJTlQ9vnog&amp;viewModel=detail&amp;moduleId=folders" TargetMode="External"/><Relationship Id="rId159" Type="http://schemas.openxmlformats.org/officeDocument/2006/relationships/hyperlink" Target="https://acc.autodesk.com/docs/files/projects/1e597176-a716-43f8-be36-fdbb47ecdee5?folderUrn=urn:adsk.wipprod:fs.folder:co.BtADxt2wTy-hdvOnJPUroQ" TargetMode="External"/><Relationship Id="rId154" Type="http://schemas.openxmlformats.org/officeDocument/2006/relationships/hyperlink" Target="https://acc.autodesk.com/docs/files/projects/1e597176-a716-43f8-be36-fdbb47ecdee5?folderUrn=urn:adsk.wipprod:fs.folder:co.7NiVimFoQNGaJytOMwaTgQ&amp;entityId=urn:adsk.wipprod:dm.lineage:3Nx_UoVfR9SapbNMF7e6Cg&amp;viewModel=detail&amp;moduleId=folders" TargetMode="External"/><Relationship Id="rId275" Type="http://schemas.openxmlformats.org/officeDocument/2006/relationships/hyperlink" Target="https://acc.autodesk.com/docs/files/projects/1e597176-a716-43f8-be36-fdbb47ecdee5?folderUrn=urn:adsk.wipprod:fs.folder:co.FxNM7TmRQoCV0Idg7eQ7qQ" TargetMode="External"/><Relationship Id="rId396" Type="http://schemas.openxmlformats.org/officeDocument/2006/relationships/hyperlink" Target="https://acc.autodesk.com/docs/files/projects/1e597176-a716-43f8-be36-fdbb47ecdee5?folderUrn=urn:adsk.wipprod:fs.folder:co.412vmwRUS5WvAkIPx4HNUw&amp;entityId=urn:adsk.wipprod:dm.lineage:0AyB66q4SDWGrECE63Ne3Q&amp;viewModel=detail&amp;moduleId=folders" TargetMode="External"/><Relationship Id="rId153" Type="http://schemas.openxmlformats.org/officeDocument/2006/relationships/hyperlink" Target="https://acc.autodesk.com/docs/files/projects/1e597176-a716-43f8-be36-fdbb47ecdee5?folderUrn=urn:adsk.wipprod:fs.folder:co.7NiVimFoQNGaJytOMwaTgQ" TargetMode="External"/><Relationship Id="rId274" Type="http://schemas.openxmlformats.org/officeDocument/2006/relationships/hyperlink" Target="https://acc.autodesk.com/docs/files/projects/1e597176-a716-43f8-be36-fdbb47ecdee5?folderUrn=urn:adsk.wipprod:fs.folder:co.FxNM7TmRQoCV0Idg7eQ7qQ&amp;entityId=urn:adsk.wipprod:dm.lineage:SfCujn22TduduntALZyfLg&amp;viewModel=detail&amp;moduleId=folders" TargetMode="External"/><Relationship Id="rId395" Type="http://schemas.openxmlformats.org/officeDocument/2006/relationships/hyperlink" Target="https://acc.autodesk.com/docs/files/projects/1e597176-a716-43f8-be36-fdbb47ecdee5?folderUrn=urn:adsk.wipprod:fs.folder:co.412vmwRUS5WvAkIPx4HNUw" TargetMode="External"/><Relationship Id="rId152" Type="http://schemas.openxmlformats.org/officeDocument/2006/relationships/hyperlink" Target="https://acc.autodesk.com/docs/files/projects/1e597176-a716-43f8-be36-fdbb47ecdee5?folderUrn=urn:adsk.wipprod:fs.folder:co.7NiVimFoQNGaJytOMwaTgQ&amp;entityId=urn:adsk.wipprod:dm.lineage:Pq6sqIKXRhON0PxREvhadw&amp;viewModel=detail&amp;moduleId=folders" TargetMode="External"/><Relationship Id="rId273" Type="http://schemas.openxmlformats.org/officeDocument/2006/relationships/hyperlink" Target="https://acc.autodesk.com/docs/files/projects/1e597176-a716-43f8-be36-fdbb47ecdee5?folderUrn=urn:adsk.wipprod:fs.folder:co.FxNM7TmRQoCV0Idg7eQ7qQ" TargetMode="External"/><Relationship Id="rId394" Type="http://schemas.openxmlformats.org/officeDocument/2006/relationships/hyperlink" Target="https://acc.autodesk.com/docs/files/projects/1e597176-a716-43f8-be36-fdbb47ecdee5?folderUrn=urn:adsk.wipprod:fs.folder:co.412vmwRUS5WvAkIPx4HNUw&amp;entityId=urn:adsk.wipprod:dm.lineage:RDbtiHQ5QZag0YYZ3LZwUA&amp;viewModel=detail&amp;moduleId=folders" TargetMode="External"/><Relationship Id="rId151" Type="http://schemas.openxmlformats.org/officeDocument/2006/relationships/hyperlink" Target="https://acc.autodesk.com/docs/files/projects/1e597176-a716-43f8-be36-fdbb47ecdee5?folderUrn=urn:adsk.wipprod:fs.folder:co.7NiVimFoQNGaJytOMwaTgQ" TargetMode="External"/><Relationship Id="rId272" Type="http://schemas.openxmlformats.org/officeDocument/2006/relationships/hyperlink" Target="https://acc.autodesk.com/docs/files/projects/1e597176-a716-43f8-be36-fdbb47ecdee5?folderUrn=urn:adsk.wipprod:fs.folder:co.FxNM7TmRQoCV0Idg7eQ7qQ&amp;entityId=urn:adsk.wipprod:dm.lineage:5ZPXg947TZSo71_SblyOAA&amp;viewModel=detail&amp;moduleId=folders" TargetMode="External"/><Relationship Id="rId393" Type="http://schemas.openxmlformats.org/officeDocument/2006/relationships/hyperlink" Target="https://acc.autodesk.com/docs/files/projects/1e597176-a716-43f8-be36-fdbb47ecdee5?folderUrn=urn:adsk.wipprod:fs.folder:co.412vmwRUS5WvAkIPx4HNUw" TargetMode="External"/><Relationship Id="rId158" Type="http://schemas.openxmlformats.org/officeDocument/2006/relationships/hyperlink" Target="https://acc.autodesk.com/docs/files/projects/1e597176-a716-43f8-be36-fdbb47ecdee5?folderUrn=urn:adsk.wipprod:fs.folder:co.BtADxt2wTy-hdvOnJPUroQ&amp;entityId=urn:adsk.wipprod:dm.lineage:HNB5bqrdRYSuwKqy9aIA1w&amp;viewModel=detail&amp;moduleId=folders" TargetMode="External"/><Relationship Id="rId279" Type="http://schemas.openxmlformats.org/officeDocument/2006/relationships/hyperlink" Target="https://acc.autodesk.com/docs/files/projects/1e597176-a716-43f8-be36-fdbb47ecdee5?folderUrn=urn:adsk.wipprod:fs.folder:co.FxNM7TmRQoCV0Idg7eQ7qQ" TargetMode="External"/><Relationship Id="rId157" Type="http://schemas.openxmlformats.org/officeDocument/2006/relationships/hyperlink" Target="https://acc.autodesk.com/docs/files/projects/1e597176-a716-43f8-be36-fdbb47ecdee5?folderUrn=urn:adsk.wipprod:fs.folder:co.BtADxt2wTy-hdvOnJPUroQ" TargetMode="External"/><Relationship Id="rId278" Type="http://schemas.openxmlformats.org/officeDocument/2006/relationships/hyperlink" Target="https://acc.autodesk.com/docs/files/projects/1e597176-a716-43f8-be36-fdbb47ecdee5?folderUrn=urn:adsk.wipprod:fs.folder:co.FxNM7TmRQoCV0Idg7eQ7qQ&amp;entityId=urn:adsk.wipprod:dm.lineage:Wdp5BUrxTM2QOm1nWv8tYA&amp;viewModel=detail&amp;moduleId=folders" TargetMode="External"/><Relationship Id="rId399" Type="http://schemas.openxmlformats.org/officeDocument/2006/relationships/hyperlink" Target="https://acc.autodesk.com/docs/files/projects/1e597176-a716-43f8-be36-fdbb47ecdee5?folderUrn=urn:adsk.wipprod:fs.folder:co.412vmwRUS5WvAkIPx4HNUw" TargetMode="External"/><Relationship Id="rId156" Type="http://schemas.openxmlformats.org/officeDocument/2006/relationships/hyperlink" Target="https://acc.autodesk.com/docs/files/projects/1e597176-a716-43f8-be36-fdbb47ecdee5?folderUrn=urn:adsk.wipprod:fs.folder:co.7NiVimFoQNGaJytOMwaTgQ&amp;entityId=urn:adsk.wipprod:dm.lineage:hf4VdC6KQnOok0vAF7unlQ&amp;viewModel=detail&amp;moduleId=folders" TargetMode="External"/><Relationship Id="rId277" Type="http://schemas.openxmlformats.org/officeDocument/2006/relationships/hyperlink" Target="https://acc.autodesk.com/docs/files/projects/1e597176-a716-43f8-be36-fdbb47ecdee5?folderUrn=urn:adsk.wipprod:fs.folder:co.FxNM7TmRQoCV0Idg7eQ7qQ" TargetMode="External"/><Relationship Id="rId398" Type="http://schemas.openxmlformats.org/officeDocument/2006/relationships/hyperlink" Target="https://acc.autodesk.com/docs/files/projects/1e597176-a716-43f8-be36-fdbb47ecdee5?folderUrn=urn:adsk.wipprod:fs.folder:co.412vmwRUS5WvAkIPx4HNUw&amp;entityId=urn:adsk.wipprod:dm.lineage:nhPH0XoaQYuIb1rGrQpcDQ&amp;viewModel=detail&amp;moduleId=folders" TargetMode="External"/><Relationship Id="rId155" Type="http://schemas.openxmlformats.org/officeDocument/2006/relationships/hyperlink" Target="https://acc.autodesk.com/docs/files/projects/1e597176-a716-43f8-be36-fdbb47ecdee5?folderUrn=urn:adsk.wipprod:fs.folder:co.7NiVimFoQNGaJytOMwaTgQ" TargetMode="External"/><Relationship Id="rId276" Type="http://schemas.openxmlformats.org/officeDocument/2006/relationships/hyperlink" Target="https://acc.autodesk.com/docs/files/projects/1e597176-a716-43f8-be36-fdbb47ecdee5?folderUrn=urn:adsk.wipprod:fs.folder:co.FxNM7TmRQoCV0Idg7eQ7qQ&amp;entityId=urn:adsk.wipprod:dm.lineage:IN_ms85uSG6qJ5kCNUXMdA&amp;viewModel=detail&amp;moduleId=folders" TargetMode="External"/><Relationship Id="rId397" Type="http://schemas.openxmlformats.org/officeDocument/2006/relationships/hyperlink" Target="https://acc.autodesk.com/docs/files/projects/1e597176-a716-43f8-be36-fdbb47ecdee5?folderUrn=urn:adsk.wipprod:fs.folder:co.412vmwRUS5WvAkIPx4HNUw" TargetMode="External"/><Relationship Id="rId40" Type="http://schemas.openxmlformats.org/officeDocument/2006/relationships/hyperlink" Target="https://acc.autodesk.com/docs/files/projects/1e597176-a716-43f8-be36-fdbb47ecdee5?folderUrn=urn:adsk.wipprod:fs.folder:co.Qy7tJjVUQXqthtbCwFzLqw&amp;entityId=urn:adsk.wipprod:dm.lineage:LLWH9J1uTWeJzOnD8BP3SA&amp;viewModel=detail&amp;moduleId=folders" TargetMode="External"/><Relationship Id="rId42" Type="http://schemas.openxmlformats.org/officeDocument/2006/relationships/hyperlink" Target="https://acc.autodesk.com/docs/files/projects/1e597176-a716-43f8-be36-fdbb47ecdee5?folderUrn=urn:adsk.wipprod:fs.folder:co.wJHjelD6T-iDsdI_TUgOIw&amp;entityId=urn:adsk.wipprod:dm.lineage:gfqiG4PERj6ge9S6qgMqQQ&amp;viewModel=detail&amp;moduleId=folders" TargetMode="External"/><Relationship Id="rId41" Type="http://schemas.openxmlformats.org/officeDocument/2006/relationships/hyperlink" Target="https://acc.autodesk.com/docs/files/projects/1e597176-a716-43f8-be36-fdbb47ecdee5?folderUrn=urn:adsk.wipprod:fs.folder:co.wJHjelD6T-iDsdI_TUgOIw" TargetMode="External"/><Relationship Id="rId44" Type="http://schemas.openxmlformats.org/officeDocument/2006/relationships/hyperlink" Target="https://acc.autodesk.com/docs/files/projects/1e597176-a716-43f8-be36-fdbb47ecdee5?folderUrn=urn:adsk.wipprod:fs.folder:co.wJHjelD6T-iDsdI_TUgOIw&amp;entityId=urn:adsk.wipprod:dm.lineage:6Vl20pFRQLuU5ZqdzCzCEA&amp;viewModel=detail&amp;moduleId=folders" TargetMode="External"/><Relationship Id="rId43" Type="http://schemas.openxmlformats.org/officeDocument/2006/relationships/hyperlink" Target="https://acc.autodesk.com/docs/files/projects/1e597176-a716-43f8-be36-fdbb47ecdee5?folderUrn=urn:adsk.wipprod:fs.folder:co.wJHjelD6T-iDsdI_TUgOIw" TargetMode="External"/><Relationship Id="rId46" Type="http://schemas.openxmlformats.org/officeDocument/2006/relationships/hyperlink" Target="https://acc.autodesk.com/docs/files/projects/1e597176-a716-43f8-be36-fdbb47ecdee5?folderUrn=urn:adsk.wipprod:fs.folder:co.wJHjelD6T-iDsdI_TUgOIw&amp;entityId=urn:adsk.wipprod:dm.lineage:KxHBFUekQNWqp_zlBWSyAw&amp;viewModel=detail&amp;moduleId=folders" TargetMode="External"/><Relationship Id="rId45" Type="http://schemas.openxmlformats.org/officeDocument/2006/relationships/hyperlink" Target="https://acc.autodesk.com/docs/files/projects/1e597176-a716-43f8-be36-fdbb47ecdee5?folderUrn=urn:adsk.wipprod:fs.folder:co.wJHjelD6T-iDsdI_TUgOIw" TargetMode="External"/><Relationship Id="rId48" Type="http://schemas.openxmlformats.org/officeDocument/2006/relationships/hyperlink" Target="https://acc.autodesk.com/docs/files/projects/1e597176-a716-43f8-be36-fdbb47ecdee5?folderUrn=urn:adsk.wipprod:fs.folder:co.wJHjelD6T-iDsdI_TUgOIw&amp;entityId=urn:adsk.wipprod:dm.lineage:vApp2jyITsy0l7l0wqngXA&amp;viewModel=detail&amp;moduleId=folders" TargetMode="External"/><Relationship Id="rId47" Type="http://schemas.openxmlformats.org/officeDocument/2006/relationships/hyperlink" Target="https://acc.autodesk.com/docs/files/projects/1e597176-a716-43f8-be36-fdbb47ecdee5?folderUrn=urn:adsk.wipprod:fs.folder:co.wJHjelD6T-iDsdI_TUgOIw" TargetMode="External"/><Relationship Id="rId49" Type="http://schemas.openxmlformats.org/officeDocument/2006/relationships/hyperlink" Target="https://acc.autodesk.com/docs/files/projects/1e597176-a716-43f8-be36-fdbb47ecdee5?folderUrn=urn:adsk.wipprod:fs.folder:co.wJHjelD6T-iDsdI_TUgOIw" TargetMode="External"/><Relationship Id="rId31" Type="http://schemas.openxmlformats.org/officeDocument/2006/relationships/hyperlink" Target="https://acc.autodesk.com/docs/files/projects/1e597176-a716-43f8-be36-fdbb47ecdee5?folderUrn=urn:adsk.wipprod:fs.folder:co.Qy7tJjVUQXqthtbCwFzLqw" TargetMode="External"/><Relationship Id="rId30" Type="http://schemas.openxmlformats.org/officeDocument/2006/relationships/hyperlink" Target="https://acc.autodesk.com/docs/files/projects/1e597176-a716-43f8-be36-fdbb47ecdee5?folderUrn=urn:adsk.wipprod:fs.folder:co.Qy7tJjVUQXqthtbCwFzLqw&amp;entityId=urn:adsk.wipprod:dm.lineage:e4zSKvv8RtKKKBefGXQkZw&amp;viewModel=detail&amp;moduleId=folders" TargetMode="External"/><Relationship Id="rId33" Type="http://schemas.openxmlformats.org/officeDocument/2006/relationships/hyperlink" Target="https://acc.autodesk.com/docs/files/projects/1e597176-a716-43f8-be36-fdbb47ecdee5?folderUrn=urn:adsk.wipprod:fs.folder:co.Qy7tJjVUQXqthtbCwFzLqw" TargetMode="External"/><Relationship Id="rId32" Type="http://schemas.openxmlformats.org/officeDocument/2006/relationships/hyperlink" Target="https://acc.autodesk.com/docs/files/projects/1e597176-a716-43f8-be36-fdbb47ecdee5?folderUrn=urn:adsk.wipprod:fs.folder:co.Qy7tJjVUQXqthtbCwFzLqw&amp;entityId=urn:adsk.wipprod:dm.lineage:KGEmJdPbRDKtVgqiCxUI1A&amp;viewModel=detail&amp;moduleId=folders" TargetMode="External"/><Relationship Id="rId35" Type="http://schemas.openxmlformats.org/officeDocument/2006/relationships/hyperlink" Target="https://acc.autodesk.com/docs/files/projects/1e597176-a716-43f8-be36-fdbb47ecdee5?folderUrn=urn:adsk.wipprod:fs.folder:co.Qy7tJjVUQXqthtbCwFzLqw" TargetMode="External"/><Relationship Id="rId34" Type="http://schemas.openxmlformats.org/officeDocument/2006/relationships/hyperlink" Target="https://acc.autodesk.com/docs/files/projects/1e597176-a716-43f8-be36-fdbb47ecdee5?folderUrn=urn:adsk.wipprod:fs.folder:co.Qy7tJjVUQXqthtbCwFzLqw&amp;entityId=urn:adsk.wipprod:dm.lineage:zXg0d-ATTfaQ-QtvuBQACw&amp;viewModel=detail&amp;moduleId=folders" TargetMode="External"/><Relationship Id="rId37" Type="http://schemas.openxmlformats.org/officeDocument/2006/relationships/hyperlink" Target="https://acc.autodesk.com/docs/files/projects/1e597176-a716-43f8-be36-fdbb47ecdee5?folderUrn=urn:adsk.wipprod:fs.folder:co.Qy7tJjVUQXqthtbCwFzLqw" TargetMode="External"/><Relationship Id="rId36" Type="http://schemas.openxmlformats.org/officeDocument/2006/relationships/hyperlink" Target="https://acc.autodesk.com/docs/files/projects/1e597176-a716-43f8-be36-fdbb47ecdee5?folderUrn=urn:adsk.wipprod:fs.folder:co.Qy7tJjVUQXqthtbCwFzLqw&amp;entityId=urn:adsk.wipprod:dm.lineage:ZDY7G0Z3SGaVgeOdyWOiLw&amp;viewModel=detail&amp;moduleId=folders" TargetMode="External"/><Relationship Id="rId39" Type="http://schemas.openxmlformats.org/officeDocument/2006/relationships/hyperlink" Target="https://acc.autodesk.com/docs/files/projects/1e597176-a716-43f8-be36-fdbb47ecdee5?folderUrn=urn:adsk.wipprod:fs.folder:co.Qy7tJjVUQXqthtbCwFzLqw" TargetMode="External"/><Relationship Id="rId38" Type="http://schemas.openxmlformats.org/officeDocument/2006/relationships/hyperlink" Target="https://acc.autodesk.com/docs/files/projects/1e597176-a716-43f8-be36-fdbb47ecdee5?folderUrn=urn:adsk.wipprod:fs.folder:co.Qy7tJjVUQXqthtbCwFzLqw&amp;entityId=urn:adsk.wipprod:dm.lineage:h1hHrO5pQ-i2qXd8FIEMlw&amp;viewModel=detail&amp;moduleId=folders" TargetMode="External"/><Relationship Id="rId20" Type="http://schemas.openxmlformats.org/officeDocument/2006/relationships/hyperlink" Target="https://acc.autodesk.com/docs/files/projects/1e597176-a716-43f8-be36-fdbb47ecdee5?folderUrn=urn:adsk.wipprod:fs.folder:co.Qy7tJjVUQXqthtbCwFzLqw&amp;entityId=urn:adsk.wipprod:dm.lineage:4W8Cf3JrRwqHUazhIlTTAg&amp;viewModel=detail&amp;moduleId=folders" TargetMode="External"/><Relationship Id="rId22" Type="http://schemas.openxmlformats.org/officeDocument/2006/relationships/hyperlink" Target="https://acc.autodesk.com/docs/files/projects/1e597176-a716-43f8-be36-fdbb47ecdee5?folderUrn=urn:adsk.wipprod:fs.folder:co.Qy7tJjVUQXqthtbCwFzLqw&amp;entityId=urn:adsk.wipprod:dm.lineage:7mKVI18ERaGW_4kHprFDlw&amp;viewModel=detail&amp;moduleId=folders" TargetMode="External"/><Relationship Id="rId21" Type="http://schemas.openxmlformats.org/officeDocument/2006/relationships/hyperlink" Target="https://acc.autodesk.com/docs/files/projects/1e597176-a716-43f8-be36-fdbb47ecdee5?folderUrn=urn:adsk.wipprod:fs.folder:co.Qy7tJjVUQXqthtbCwFzLqw" TargetMode="External"/><Relationship Id="rId24" Type="http://schemas.openxmlformats.org/officeDocument/2006/relationships/hyperlink" Target="https://acc.autodesk.com/docs/files/projects/1e597176-a716-43f8-be36-fdbb47ecdee5?folderUrn=urn:adsk.wipprod:fs.folder:co.Qy7tJjVUQXqthtbCwFzLqw&amp;entityId=urn:adsk.wipprod:dm.lineage:cQS_xft6TIiy7qhkJ36zuw&amp;viewModel=detail&amp;moduleId=folders" TargetMode="External"/><Relationship Id="rId23" Type="http://schemas.openxmlformats.org/officeDocument/2006/relationships/hyperlink" Target="https://acc.autodesk.com/docs/files/projects/1e597176-a716-43f8-be36-fdbb47ecdee5?folderUrn=urn:adsk.wipprod:fs.folder:co.Qy7tJjVUQXqthtbCwFzLqw" TargetMode="External"/><Relationship Id="rId409" Type="http://schemas.openxmlformats.org/officeDocument/2006/relationships/hyperlink" Target="https://acc.autodesk.com/docs/files/projects/1e597176-a716-43f8-be36-fdbb47ecdee5?folderUrn=urn:adsk.wipprod:fs.folder:co.3hoTHM-8TmiCBb87zdnAhg" TargetMode="External"/><Relationship Id="rId404" Type="http://schemas.openxmlformats.org/officeDocument/2006/relationships/hyperlink" Target="https://acc.autodesk.com/docs/files/projects/1e597176-a716-43f8-be36-fdbb47ecdee5?folderUrn=urn:adsk.wipprod:fs.folder:co.412vmwRUS5WvAkIPx4HNUw&amp;entityId=urn:adsk.wipprod:dm.lineage:76-92tORTVybOn2Sua3BqQ&amp;viewModel=detail&amp;moduleId=folders" TargetMode="External"/><Relationship Id="rId403" Type="http://schemas.openxmlformats.org/officeDocument/2006/relationships/hyperlink" Target="https://acc.autodesk.com/docs/files/projects/1e597176-a716-43f8-be36-fdbb47ecdee5?folderUrn=urn:adsk.wipprod:fs.folder:co.412vmwRUS5WvAkIPx4HNUw" TargetMode="External"/><Relationship Id="rId402" Type="http://schemas.openxmlformats.org/officeDocument/2006/relationships/hyperlink" Target="https://acc.autodesk.com/docs/files/projects/1e597176-a716-43f8-be36-fdbb47ecdee5?folderUrn=urn:adsk.wipprod:fs.folder:co.412vmwRUS5WvAkIPx4HNUw&amp;entityId=urn:adsk.wipprod:dm.lineage:pH5u8lOmQtGzRH4EuzUzTw&amp;viewModel=detail&amp;moduleId=folders" TargetMode="External"/><Relationship Id="rId401" Type="http://schemas.openxmlformats.org/officeDocument/2006/relationships/hyperlink" Target="https://acc.autodesk.com/docs/files/projects/1e597176-a716-43f8-be36-fdbb47ecdee5?folderUrn=urn:adsk.wipprod:fs.folder:co.412vmwRUS5WvAkIPx4HNUw" TargetMode="External"/><Relationship Id="rId408" Type="http://schemas.openxmlformats.org/officeDocument/2006/relationships/hyperlink" Target="https://acc.autodesk.com/docs/files/projects/1e597176-a716-43f8-be36-fdbb47ecdee5?folderUrn=urn:adsk.wipprod:fs.folder:co.3hoTHM-8TmiCBb87zdnAhg&amp;entityId=urn:adsk.wipprod:dm.lineage:8xcq0-OxToSvmjLUqDWm9w&amp;viewModel=detail&amp;moduleId=folders" TargetMode="External"/><Relationship Id="rId407" Type="http://schemas.openxmlformats.org/officeDocument/2006/relationships/hyperlink" Target="https://acc.autodesk.com/docs/files/projects/1e597176-a716-43f8-be36-fdbb47ecdee5?folderUrn=urn:adsk.wipprod:fs.folder:co.3hoTHM-8TmiCBb87zdnAhg" TargetMode="External"/><Relationship Id="rId406" Type="http://schemas.openxmlformats.org/officeDocument/2006/relationships/hyperlink" Target="https://acc.autodesk.com/docs/files/projects/1e597176-a716-43f8-be36-fdbb47ecdee5?folderUrn=urn:adsk.wipprod:fs.folder:co.3hoTHM-8TmiCBb87zdnAhg&amp;entityId=urn:adsk.wipprod:dm.lineage:UWstoNgdRrme2VBgnfGLtA&amp;viewModel=detail&amp;moduleId=folders" TargetMode="External"/><Relationship Id="rId405" Type="http://schemas.openxmlformats.org/officeDocument/2006/relationships/hyperlink" Target="https://acc.autodesk.com/docs/files/projects/1e597176-a716-43f8-be36-fdbb47ecdee5?folderUrn=urn:adsk.wipprod:fs.folder:co.3hoTHM-8TmiCBb87zdnAhg" TargetMode="External"/><Relationship Id="rId26" Type="http://schemas.openxmlformats.org/officeDocument/2006/relationships/hyperlink" Target="https://acc.autodesk.com/docs/files/projects/1e597176-a716-43f8-be36-fdbb47ecdee5?folderUrn=urn:adsk.wipprod:fs.folder:co.Qy7tJjVUQXqthtbCwFzLqw&amp;entityId=urn:adsk.wipprod:dm.lineage:2XLeVGSsTuSwGfAXs56How&amp;viewModel=detail&amp;moduleId=folders" TargetMode="External"/><Relationship Id="rId25" Type="http://schemas.openxmlformats.org/officeDocument/2006/relationships/hyperlink" Target="https://acc.autodesk.com/docs/files/projects/1e597176-a716-43f8-be36-fdbb47ecdee5?folderUrn=urn:adsk.wipprod:fs.folder:co.Qy7tJjVUQXqthtbCwFzLqw" TargetMode="External"/><Relationship Id="rId28" Type="http://schemas.openxmlformats.org/officeDocument/2006/relationships/hyperlink" Target="https://acc.autodesk.com/docs/files/projects/1e597176-a716-43f8-be36-fdbb47ecdee5?folderUrn=urn:adsk.wipprod:fs.folder:co.Qy7tJjVUQXqthtbCwFzLqw&amp;entityId=urn:adsk.wipprod:dm.lineage:uFczsVAySCGnFh2zF-bipw&amp;viewModel=detail&amp;moduleId=folders" TargetMode="External"/><Relationship Id="rId27" Type="http://schemas.openxmlformats.org/officeDocument/2006/relationships/hyperlink" Target="https://acc.autodesk.com/docs/files/projects/1e597176-a716-43f8-be36-fdbb47ecdee5?folderUrn=urn:adsk.wipprod:fs.folder:co.Qy7tJjVUQXqthtbCwFzLqw" TargetMode="External"/><Relationship Id="rId400" Type="http://schemas.openxmlformats.org/officeDocument/2006/relationships/hyperlink" Target="https://acc.autodesk.com/docs/files/projects/1e597176-a716-43f8-be36-fdbb47ecdee5?folderUrn=urn:adsk.wipprod:fs.folder:co.412vmwRUS5WvAkIPx4HNUw&amp;entityId=urn:adsk.wipprod:dm.lineage:a0V6Y0e3TkSoGHRLKa6Iww&amp;viewModel=detail&amp;moduleId=folders" TargetMode="External"/><Relationship Id="rId29" Type="http://schemas.openxmlformats.org/officeDocument/2006/relationships/hyperlink" Target="https://acc.autodesk.com/docs/files/projects/1e597176-a716-43f8-be36-fdbb47ecdee5?folderUrn=urn:adsk.wipprod:fs.folder:co.Qy7tJjVUQXqthtbCwFzLqw" TargetMode="External"/><Relationship Id="rId11" Type="http://schemas.openxmlformats.org/officeDocument/2006/relationships/hyperlink" Target="https://acc.autodesk.com/docs/files/projects/1e597176-a716-43f8-be36-fdbb47ecdee5?folderUrn=urn:adsk.wipprod:fs.folder:co.Qy7tJjVUQXqthtbCwFzLqw" TargetMode="External"/><Relationship Id="rId10" Type="http://schemas.openxmlformats.org/officeDocument/2006/relationships/hyperlink" Target="https://acc.autodesk.com/docs/files/projects/1e597176-a716-43f8-be36-fdbb47ecdee5?folderUrn=urn:adsk.wipprod:fs.folder:co.Qy7tJjVUQXqthtbCwFzLqw&amp;entityId=urn:adsk.wipprod:dm.lineage:qxjfV1fnT7K3UP-EyMdt3A&amp;viewModel=detail&amp;moduleId=folders" TargetMode="External"/><Relationship Id="rId13" Type="http://schemas.openxmlformats.org/officeDocument/2006/relationships/hyperlink" Target="https://acc.autodesk.com/docs/files/projects/1e597176-a716-43f8-be36-fdbb47ecdee5?folderUrn=urn:adsk.wipprod:fs.folder:co.Qy7tJjVUQXqthtbCwFzLqw" TargetMode="External"/><Relationship Id="rId12" Type="http://schemas.openxmlformats.org/officeDocument/2006/relationships/hyperlink" Target="https://acc.autodesk.com/docs/files/projects/1e597176-a716-43f8-be36-fdbb47ecdee5?folderUrn=urn:adsk.wipprod:fs.folder:co.Qy7tJjVUQXqthtbCwFzLqw&amp;entityId=urn:adsk.wipprod:dm.lineage:99ZNe-xtTfKX5MnUO9Kbnw&amp;viewModel=detail&amp;moduleId=folders" TargetMode="External"/><Relationship Id="rId15" Type="http://schemas.openxmlformats.org/officeDocument/2006/relationships/hyperlink" Target="https://acc.autodesk.com/docs/files/projects/1e597176-a716-43f8-be36-fdbb47ecdee5?folderUrn=urn:adsk.wipprod:fs.folder:co.Qy7tJjVUQXqthtbCwFzLqw" TargetMode="External"/><Relationship Id="rId14" Type="http://schemas.openxmlformats.org/officeDocument/2006/relationships/hyperlink" Target="https://acc.autodesk.com/docs/files/projects/1e597176-a716-43f8-be36-fdbb47ecdee5?folderUrn=urn:adsk.wipprod:fs.folder:co.Qy7tJjVUQXqthtbCwFzLqw&amp;entityId=urn:adsk.wipprod:dm.lineage:A60j88ZmRLOnsrVJuAvUzw&amp;viewModel=detail&amp;moduleId=folders" TargetMode="External"/><Relationship Id="rId17" Type="http://schemas.openxmlformats.org/officeDocument/2006/relationships/hyperlink" Target="https://acc.autodesk.com/docs/files/projects/1e597176-a716-43f8-be36-fdbb47ecdee5?folderUrn=urn:adsk.wipprod:fs.folder:co.Qy7tJjVUQXqthtbCwFzLqw" TargetMode="External"/><Relationship Id="rId16" Type="http://schemas.openxmlformats.org/officeDocument/2006/relationships/hyperlink" Target="https://acc.autodesk.com/docs/files/projects/1e597176-a716-43f8-be36-fdbb47ecdee5?folderUrn=urn:adsk.wipprod:fs.folder:co.Qy7tJjVUQXqthtbCwFzLqw&amp;entityId=urn:adsk.wipprod:dm.lineage:GjubL2bNRGuIYf0RZSQcHw&amp;viewModel=detail&amp;moduleId=folders" TargetMode="External"/><Relationship Id="rId19" Type="http://schemas.openxmlformats.org/officeDocument/2006/relationships/hyperlink" Target="https://acc.autodesk.com/docs/files/projects/1e597176-a716-43f8-be36-fdbb47ecdee5?folderUrn=urn:adsk.wipprod:fs.folder:co.Qy7tJjVUQXqthtbCwFzLqw" TargetMode="External"/><Relationship Id="rId18" Type="http://schemas.openxmlformats.org/officeDocument/2006/relationships/hyperlink" Target="https://acc.autodesk.com/docs/files/projects/1e597176-a716-43f8-be36-fdbb47ecdee5?folderUrn=urn:adsk.wipprod:fs.folder:co.Qy7tJjVUQXqthtbCwFzLqw&amp;entityId=urn:adsk.wipprod:dm.lineage:-o0Itu5rSFGCeBsXAcACPw&amp;viewModel=detail&amp;moduleId=folders" TargetMode="External"/><Relationship Id="rId84" Type="http://schemas.openxmlformats.org/officeDocument/2006/relationships/hyperlink" Target="https://acc.autodesk.com/docs/files/projects/1e597176-a716-43f8-be36-fdbb47ecdee5?folderUrn=urn:adsk.wipprod:fs.folder:co.Itzia5npTcCaCtKM9vy6zg&amp;entityId=urn:adsk.wipprod:dm.lineage:cxEh2Vy3TNOMoRo47B8NFw&amp;viewModel=detail&amp;moduleId=folders" TargetMode="External"/><Relationship Id="rId83" Type="http://schemas.openxmlformats.org/officeDocument/2006/relationships/hyperlink" Target="https://acc.autodesk.com/docs/files/projects/1e597176-a716-43f8-be36-fdbb47ecdee5?folderUrn=urn:adsk.wipprod:fs.folder:co.Itzia5npTcCaCtKM9vy6zg" TargetMode="External"/><Relationship Id="rId86" Type="http://schemas.openxmlformats.org/officeDocument/2006/relationships/hyperlink" Target="https://acc.autodesk.com/docs/files/projects/1e597176-a716-43f8-be36-fdbb47ecdee5?folderUrn=urn:adsk.wipprod:fs.folder:co.Itzia5npTcCaCtKM9vy6zg&amp;entityId=urn:adsk.wipprod:dm.lineage:ZEpgXAOkTAuUcXt4fFai_w&amp;viewModel=detail&amp;moduleId=folders" TargetMode="External"/><Relationship Id="rId85" Type="http://schemas.openxmlformats.org/officeDocument/2006/relationships/hyperlink" Target="https://acc.autodesk.com/docs/files/projects/1e597176-a716-43f8-be36-fdbb47ecdee5?folderUrn=urn:adsk.wipprod:fs.folder:co.Itzia5npTcCaCtKM9vy6zg" TargetMode="External"/><Relationship Id="rId88" Type="http://schemas.openxmlformats.org/officeDocument/2006/relationships/hyperlink" Target="https://acc.autodesk.com/docs/files/projects/1e597176-a716-43f8-be36-fdbb47ecdee5?folderUrn=urn:adsk.wipprod:fs.folder:co.Itzia5npTcCaCtKM9vy6zg&amp;entityId=urn:adsk.wipprod:dm.lineage:_qVZX_VWRNScfvGG1u2bhw&amp;viewModel=detail&amp;moduleId=folders" TargetMode="External"/><Relationship Id="rId87" Type="http://schemas.openxmlformats.org/officeDocument/2006/relationships/hyperlink" Target="https://acc.autodesk.com/docs/files/projects/1e597176-a716-43f8-be36-fdbb47ecdee5?folderUrn=urn:adsk.wipprod:fs.folder:co.Itzia5npTcCaCtKM9vy6zg" TargetMode="External"/><Relationship Id="rId89" Type="http://schemas.openxmlformats.org/officeDocument/2006/relationships/hyperlink" Target="https://acc.autodesk.com/docs/files/projects/1e597176-a716-43f8-be36-fdbb47ecdee5?folderUrn=urn:adsk.wipprod:fs.folder:co.Itzia5npTcCaCtKM9vy6zg" TargetMode="External"/><Relationship Id="rId80" Type="http://schemas.openxmlformats.org/officeDocument/2006/relationships/hyperlink" Target="https://acc.autodesk.com/docs/files/projects/1e597176-a716-43f8-be36-fdbb47ecdee5?folderUrn=urn:adsk.wipprod:fs.folder:co.Itzia5npTcCaCtKM9vy6zg&amp;entityId=urn:adsk.wipprod:dm.lineage:9weVgxQaQHmMCCfIaPJe7w&amp;viewModel=detail&amp;moduleId=folders" TargetMode="External"/><Relationship Id="rId82" Type="http://schemas.openxmlformats.org/officeDocument/2006/relationships/hyperlink" Target="https://acc.autodesk.com/docs/files/projects/1e597176-a716-43f8-be36-fdbb47ecdee5?folderUrn=urn:adsk.wipprod:fs.folder:co.Itzia5npTcCaCtKM9vy6zg&amp;entityId=urn:adsk.wipprod:dm.lineage:_K4INpQuQjSEm8WO2_r6CA&amp;viewModel=detail&amp;moduleId=folders" TargetMode="External"/><Relationship Id="rId81" Type="http://schemas.openxmlformats.org/officeDocument/2006/relationships/hyperlink" Target="https://acc.autodesk.com/docs/files/projects/1e597176-a716-43f8-be36-fdbb47ecdee5?folderUrn=urn:adsk.wipprod:fs.folder:co.Itzia5npTcCaCtKM9vy6zg" TargetMode="External"/><Relationship Id="rId73" Type="http://schemas.openxmlformats.org/officeDocument/2006/relationships/hyperlink" Target="https://acc.autodesk.com/docs/files/projects/1e597176-a716-43f8-be36-fdbb47ecdee5?folderUrn=urn:adsk.wipprod:fs.folder:co.Itzia5npTcCaCtKM9vy6zg" TargetMode="External"/><Relationship Id="rId72" Type="http://schemas.openxmlformats.org/officeDocument/2006/relationships/hyperlink" Target="https://acc.autodesk.com/docs/files/projects/1e597176-a716-43f8-be36-fdbb47ecdee5?folderUrn=urn:adsk.wipprod:fs.folder:co.Itzia5npTcCaCtKM9vy6zg&amp;entityId=urn:adsk.wipprod:dm.lineage:hU7xGnddQvWNMK0VXSwiPQ&amp;viewModel=detail&amp;moduleId=folders" TargetMode="External"/><Relationship Id="rId75" Type="http://schemas.openxmlformats.org/officeDocument/2006/relationships/hyperlink" Target="https://acc.autodesk.com/docs/files/projects/1e597176-a716-43f8-be36-fdbb47ecdee5?folderUrn=urn:adsk.wipprod:fs.folder:co.Itzia5npTcCaCtKM9vy6zg" TargetMode="External"/><Relationship Id="rId74" Type="http://schemas.openxmlformats.org/officeDocument/2006/relationships/hyperlink" Target="https://acc.autodesk.com/docs/files/projects/1e597176-a716-43f8-be36-fdbb47ecdee5?folderUrn=urn:adsk.wipprod:fs.folder:co.Itzia5npTcCaCtKM9vy6zg&amp;entityId=urn:adsk.wipprod:dm.lineage:BR0EksulRDm-J9CZGQRsRg&amp;viewModel=detail&amp;moduleId=folders" TargetMode="External"/><Relationship Id="rId77" Type="http://schemas.openxmlformats.org/officeDocument/2006/relationships/hyperlink" Target="https://acc.autodesk.com/docs/files/projects/1e597176-a716-43f8-be36-fdbb47ecdee5?folderUrn=urn:adsk.wipprod:fs.folder:co.Itzia5npTcCaCtKM9vy6zg" TargetMode="External"/><Relationship Id="rId76" Type="http://schemas.openxmlformats.org/officeDocument/2006/relationships/hyperlink" Target="https://acc.autodesk.com/docs/files/projects/1e597176-a716-43f8-be36-fdbb47ecdee5?folderUrn=urn:adsk.wipprod:fs.folder:co.Itzia5npTcCaCtKM9vy6zg&amp;entityId=urn:adsk.wipprod:dm.lineage:rJq-PQ5TRXOL6cDaHVyf9g&amp;viewModel=detail&amp;moduleId=folders" TargetMode="External"/><Relationship Id="rId79" Type="http://schemas.openxmlformats.org/officeDocument/2006/relationships/hyperlink" Target="https://acc.autodesk.com/docs/files/projects/1e597176-a716-43f8-be36-fdbb47ecdee5?folderUrn=urn:adsk.wipprod:fs.folder:co.Itzia5npTcCaCtKM9vy6zg" TargetMode="External"/><Relationship Id="rId78" Type="http://schemas.openxmlformats.org/officeDocument/2006/relationships/hyperlink" Target="https://acc.autodesk.com/docs/files/projects/1e597176-a716-43f8-be36-fdbb47ecdee5?folderUrn=urn:adsk.wipprod:fs.folder:co.Itzia5npTcCaCtKM9vy6zg&amp;entityId=urn:adsk.wipprod:dm.lineage:WanSXtdCQlaI8g-UzVJcTg&amp;viewModel=detail&amp;moduleId=folders" TargetMode="External"/><Relationship Id="rId71" Type="http://schemas.openxmlformats.org/officeDocument/2006/relationships/hyperlink" Target="https://acc.autodesk.com/docs/files/projects/1e597176-a716-43f8-be36-fdbb47ecdee5?folderUrn=urn:adsk.wipprod:fs.folder:co.Itzia5npTcCaCtKM9vy6zg" TargetMode="External"/><Relationship Id="rId70" Type="http://schemas.openxmlformats.org/officeDocument/2006/relationships/hyperlink" Target="https://acc.autodesk.com/docs/files/projects/1e597176-a716-43f8-be36-fdbb47ecdee5?folderUrn=urn:adsk.wipprod:fs.folder:co.Itzia5npTcCaCtKM9vy6zg&amp;entityId=urn:adsk.wipprod:dm.lineage:RGrj_jt6QTOGqDQ-pyKt2g&amp;viewModel=detail&amp;moduleId=folders" TargetMode="External"/><Relationship Id="rId62" Type="http://schemas.openxmlformats.org/officeDocument/2006/relationships/hyperlink" Target="https://acc.autodesk.com/docs/files/projects/1e597176-a716-43f8-be36-fdbb47ecdee5?folderUrn=urn:adsk.wipprod:fs.folder:co.Itzia5npTcCaCtKM9vy6zg&amp;entityId=urn:adsk.wipprod:dm.lineage:03_PmTnoTCuM0YYCZgDCmA&amp;viewModel=detail&amp;moduleId=folders" TargetMode="External"/><Relationship Id="rId61" Type="http://schemas.openxmlformats.org/officeDocument/2006/relationships/hyperlink" Target="https://acc.autodesk.com/docs/files/projects/1e597176-a716-43f8-be36-fdbb47ecdee5?folderUrn=urn:adsk.wipprod:fs.folder:co.Itzia5npTcCaCtKM9vy6zg" TargetMode="External"/><Relationship Id="rId64" Type="http://schemas.openxmlformats.org/officeDocument/2006/relationships/hyperlink" Target="https://acc.autodesk.com/docs/files/projects/1e597176-a716-43f8-be36-fdbb47ecdee5?folderUrn=urn:adsk.wipprod:fs.folder:co.Itzia5npTcCaCtKM9vy6zg&amp;entityId=urn:adsk.wipprod:dm.lineage:KslZNVZHSEWpQ5NYj-BHzw&amp;viewModel=detail&amp;moduleId=folders" TargetMode="External"/><Relationship Id="rId63" Type="http://schemas.openxmlformats.org/officeDocument/2006/relationships/hyperlink" Target="https://acc.autodesk.com/docs/files/projects/1e597176-a716-43f8-be36-fdbb47ecdee5?folderUrn=urn:adsk.wipprod:fs.folder:co.Itzia5npTcCaCtKM9vy6zg" TargetMode="External"/><Relationship Id="rId66" Type="http://schemas.openxmlformats.org/officeDocument/2006/relationships/hyperlink" Target="https://acc.autodesk.com/docs/files/projects/1e597176-a716-43f8-be36-fdbb47ecdee5?folderUrn=urn:adsk.wipprod:fs.folder:co.Itzia5npTcCaCtKM9vy6zg&amp;entityId=urn:adsk.wipprod:dm.lineage:Riqn7pFHTcGF5xD0WMCbEA&amp;viewModel=detail&amp;moduleId=folders" TargetMode="External"/><Relationship Id="rId65" Type="http://schemas.openxmlformats.org/officeDocument/2006/relationships/hyperlink" Target="https://acc.autodesk.com/docs/files/projects/1e597176-a716-43f8-be36-fdbb47ecdee5?folderUrn=urn:adsk.wipprod:fs.folder:co.Itzia5npTcCaCtKM9vy6zg" TargetMode="External"/><Relationship Id="rId68" Type="http://schemas.openxmlformats.org/officeDocument/2006/relationships/hyperlink" Target="https://acc.autodesk.com/docs/files/projects/1e597176-a716-43f8-be36-fdbb47ecdee5?folderUrn=urn:adsk.wipprod:fs.folder:co.Itzia5npTcCaCtKM9vy6zg&amp;entityId=urn:adsk.wipprod:dm.lineage:5QWAfd5ETpKc-YrSDiqbsA&amp;viewModel=detail&amp;moduleId=folders" TargetMode="External"/><Relationship Id="rId67" Type="http://schemas.openxmlformats.org/officeDocument/2006/relationships/hyperlink" Target="https://acc.autodesk.com/docs/files/projects/1e597176-a716-43f8-be36-fdbb47ecdee5?folderUrn=urn:adsk.wipprod:fs.folder:co.Itzia5npTcCaCtKM9vy6zg" TargetMode="External"/><Relationship Id="rId60" Type="http://schemas.openxmlformats.org/officeDocument/2006/relationships/hyperlink" Target="https://acc.autodesk.com/docs/files/projects/1e597176-a716-43f8-be36-fdbb47ecdee5?folderUrn=urn:adsk.wipprod:fs.folder:co.Itzia5npTcCaCtKM9vy6zg&amp;entityId=urn:adsk.wipprod:dm.lineage:wKvIUVprTv2Rg1fTsTajxw&amp;viewModel=detail&amp;moduleId=folders" TargetMode="External"/><Relationship Id="rId69" Type="http://schemas.openxmlformats.org/officeDocument/2006/relationships/hyperlink" Target="https://acc.autodesk.com/docs/files/projects/1e597176-a716-43f8-be36-fdbb47ecdee5?folderUrn=urn:adsk.wipprod:fs.folder:co.Itzia5npTcCaCtKM9vy6zg" TargetMode="External"/><Relationship Id="rId51" Type="http://schemas.openxmlformats.org/officeDocument/2006/relationships/hyperlink" Target="https://acc.autodesk.com/docs/files/projects/1e597176-a716-43f8-be36-fdbb47ecdee5?folderUrn=urn:adsk.wipprod:fs.folder:co.wJHjelD6T-iDsdI_TUgOIw" TargetMode="External"/><Relationship Id="rId50" Type="http://schemas.openxmlformats.org/officeDocument/2006/relationships/hyperlink" Target="https://acc.autodesk.com/docs/files/projects/1e597176-a716-43f8-be36-fdbb47ecdee5?folderUrn=urn:adsk.wipprod:fs.folder:co.wJHjelD6T-iDsdI_TUgOIw&amp;entityId=urn:adsk.wipprod:dm.lineage:clVkLtSqQGSo-5LvEzqZaA&amp;viewModel=detail&amp;moduleId=folders" TargetMode="External"/><Relationship Id="rId53" Type="http://schemas.openxmlformats.org/officeDocument/2006/relationships/hyperlink" Target="https://acc.autodesk.com/docs/files/projects/1e597176-a716-43f8-be36-fdbb47ecdee5?folderUrn=urn:adsk.wipprod:fs.folder:co.wJHjelD6T-iDsdI_TUgOIw" TargetMode="External"/><Relationship Id="rId52" Type="http://schemas.openxmlformats.org/officeDocument/2006/relationships/hyperlink" Target="https://acc.autodesk.com/docs/files/projects/1e597176-a716-43f8-be36-fdbb47ecdee5?folderUrn=urn:adsk.wipprod:fs.folder:co.wJHjelD6T-iDsdI_TUgOIw&amp;entityId=urn:adsk.wipprod:dm.lineage:59TyTcuiTNO_khn0aiWbMw&amp;viewModel=detail&amp;moduleId=folders" TargetMode="External"/><Relationship Id="rId55" Type="http://schemas.openxmlformats.org/officeDocument/2006/relationships/hyperlink" Target="https://acc.autodesk.com/docs/files/projects/1e597176-a716-43f8-be36-fdbb47ecdee5?folderUrn=urn:adsk.wipprod:fs.folder:co.wJHjelD6T-iDsdI_TUgOIw" TargetMode="External"/><Relationship Id="rId54" Type="http://schemas.openxmlformats.org/officeDocument/2006/relationships/hyperlink" Target="https://acc.autodesk.com/docs/files/projects/1e597176-a716-43f8-be36-fdbb47ecdee5?folderUrn=urn:adsk.wipprod:fs.folder:co.wJHjelD6T-iDsdI_TUgOIw&amp;entityId=urn:adsk.wipprod:dm.lineage:GJoCKGiJRDObkSpQVIv48A&amp;viewModel=detail&amp;moduleId=folders" TargetMode="External"/><Relationship Id="rId57" Type="http://schemas.openxmlformats.org/officeDocument/2006/relationships/hyperlink" Target="https://acc.autodesk.com/docs/files/projects/1e597176-a716-43f8-be36-fdbb47ecdee5?folderUrn=urn:adsk.wipprod:fs.folder:co.wJHjelD6T-iDsdI_TUgOIw" TargetMode="External"/><Relationship Id="rId56" Type="http://schemas.openxmlformats.org/officeDocument/2006/relationships/hyperlink" Target="https://acc.autodesk.com/docs/files/projects/1e597176-a716-43f8-be36-fdbb47ecdee5?folderUrn=urn:adsk.wipprod:fs.folder:co.wJHjelD6T-iDsdI_TUgOIw&amp;entityId=urn:adsk.wipprod:dm.lineage:vQRM5_43S9iNYF9U3nUgZQ&amp;viewModel=detail&amp;moduleId=folders" TargetMode="External"/><Relationship Id="rId59" Type="http://schemas.openxmlformats.org/officeDocument/2006/relationships/hyperlink" Target="https://acc.autodesk.com/docs/files/projects/1e597176-a716-43f8-be36-fdbb47ecdee5?folderUrn=urn:adsk.wipprod:fs.folder:co.Itzia5npTcCaCtKM9vy6zg" TargetMode="External"/><Relationship Id="rId58" Type="http://schemas.openxmlformats.org/officeDocument/2006/relationships/hyperlink" Target="https://acc.autodesk.com/docs/files/projects/1e597176-a716-43f8-be36-fdbb47ecdee5?folderUrn=urn:adsk.wipprod:fs.folder:co.wJHjelD6T-iDsdI_TUgOIw&amp;entityId=urn:adsk.wipprod:dm.lineage:_9GyfK2oQaCB9yu_ITzxxA&amp;viewModel=detail&amp;moduleId=folders" TargetMode="External"/><Relationship Id="rId107" Type="http://schemas.openxmlformats.org/officeDocument/2006/relationships/hyperlink" Target="https://acc.autodesk.com/docs/files/projects/1e597176-a716-43f8-be36-fdbb47ecdee5?folderUrn=urn:adsk.wipprod:fs.folder:co.M8BwkpPFTwm0h2gRoHD-sQ" TargetMode="External"/><Relationship Id="rId228" Type="http://schemas.openxmlformats.org/officeDocument/2006/relationships/hyperlink" Target="https://acc.autodesk.com/docs/files/projects/1e597176-a716-43f8-be36-fdbb47ecdee5?folderUrn=urn:adsk.wipprod:fs.folder:co.gneW-1t2SpuUo6Nf7Rj1vQ&amp;entityId=urn:adsk.wipprod:dm.lineage:RFQ6CwuGSGW7jgyAV5zLeA&amp;viewModel=detail&amp;moduleId=folders" TargetMode="External"/><Relationship Id="rId349" Type="http://schemas.openxmlformats.org/officeDocument/2006/relationships/hyperlink" Target="https://acc.autodesk.com/docs/files/projects/1e597176-a716-43f8-be36-fdbb47ecdee5?folderUrn=urn:adsk.wipprod:fs.folder:co.bz21ao8BRRyrw6m_EIgMPw" TargetMode="External"/><Relationship Id="rId106" Type="http://schemas.openxmlformats.org/officeDocument/2006/relationships/hyperlink" Target="https://acc.autodesk.com/docs/files/projects/1e597176-a716-43f8-be36-fdbb47ecdee5?folderUrn=urn:adsk.wipprod:fs.folder:co.QsHNp-BFTfm5i1BggS3Kgw&amp;entityId=urn:adsk.wipprod:dm.lineage:FkrO_dJwSiWVC8ZN5YUS1A&amp;viewModel=detail&amp;moduleId=folders" TargetMode="External"/><Relationship Id="rId227" Type="http://schemas.openxmlformats.org/officeDocument/2006/relationships/hyperlink" Target="https://acc.autodesk.com/docs/files/projects/1e597176-a716-43f8-be36-fdbb47ecdee5?folderUrn=urn:adsk.wipprod:fs.folder:co.gneW-1t2SpuUo6Nf7Rj1vQ" TargetMode="External"/><Relationship Id="rId348" Type="http://schemas.openxmlformats.org/officeDocument/2006/relationships/hyperlink" Target="https://acc.autodesk.com/docs/files/projects/1e597176-a716-43f8-be36-fdbb47ecdee5?folderUrn=urn:adsk.wipprod:fs.folder:co.bz21ao8BRRyrw6m_EIgMPw&amp;entityId=urn:adsk.wipprod:dm.lineage:jFYwGpaKTHyD8F_rE56EYg&amp;viewModel=detail&amp;moduleId=folders" TargetMode="External"/><Relationship Id="rId105" Type="http://schemas.openxmlformats.org/officeDocument/2006/relationships/hyperlink" Target="https://acc.autodesk.com/docs/files/projects/1e597176-a716-43f8-be36-fdbb47ecdee5?folderUrn=urn:adsk.wipprod:fs.folder:co.QsHNp-BFTfm5i1BggS3Kgw" TargetMode="External"/><Relationship Id="rId226" Type="http://schemas.openxmlformats.org/officeDocument/2006/relationships/hyperlink" Target="https://acc.autodesk.com/docs/files/projects/1e597176-a716-43f8-be36-fdbb47ecdee5?folderUrn=urn:adsk.wipprod:fs.folder:co.gneW-1t2SpuUo6Nf7Rj1vQ&amp;entityId=urn:adsk.wipprod:dm.lineage:8WbC_kKZSImTHAmJYsuKdQ&amp;viewModel=detail&amp;moduleId=folders" TargetMode="External"/><Relationship Id="rId347" Type="http://schemas.openxmlformats.org/officeDocument/2006/relationships/hyperlink" Target="https://acc.autodesk.com/docs/files/projects/1e597176-a716-43f8-be36-fdbb47ecdee5?folderUrn=urn:adsk.wipprod:fs.folder:co.bz21ao8BRRyrw6m_EIgMPw" TargetMode="External"/><Relationship Id="rId104" Type="http://schemas.openxmlformats.org/officeDocument/2006/relationships/hyperlink" Target="https://acc.autodesk.com/docs/files/projects/1e597176-a716-43f8-be36-fdbb47ecdee5?folderUrn=urn:adsk.wipprod:fs.folder:co.QsHNp-BFTfm5i1BggS3Kgw&amp;entityId=urn:adsk.wipprod:dm.lineage:wEBWQlO8Q0KKklbV9V0uGg&amp;viewModel=detail&amp;moduleId=folders" TargetMode="External"/><Relationship Id="rId225" Type="http://schemas.openxmlformats.org/officeDocument/2006/relationships/hyperlink" Target="https://acc.autodesk.com/docs/files/projects/1e597176-a716-43f8-be36-fdbb47ecdee5?folderUrn=urn:adsk.wipprod:fs.folder:co.gneW-1t2SpuUo6Nf7Rj1vQ" TargetMode="External"/><Relationship Id="rId346" Type="http://schemas.openxmlformats.org/officeDocument/2006/relationships/hyperlink" Target="https://acc.autodesk.com/docs/files/projects/1e597176-a716-43f8-be36-fdbb47ecdee5?folderUrn=urn:adsk.wipprod:fs.folder:co.bz21ao8BRRyrw6m_EIgMPw&amp;entityId=urn:adsk.wipprod:dm.lineage:CGF7kt-kS6yaQWm8vSnOwg&amp;viewModel=detail&amp;moduleId=folders" TargetMode="External"/><Relationship Id="rId109" Type="http://schemas.openxmlformats.org/officeDocument/2006/relationships/hyperlink" Target="https://acc.autodesk.com/docs/files/projects/1e597176-a716-43f8-be36-fdbb47ecdee5?folderUrn=urn:adsk.wipprod:fs.folder:co.M8BwkpPFTwm0h2gRoHD-sQ" TargetMode="External"/><Relationship Id="rId108" Type="http://schemas.openxmlformats.org/officeDocument/2006/relationships/hyperlink" Target="https://acc.autodesk.com/docs/files/projects/1e597176-a716-43f8-be36-fdbb47ecdee5?folderUrn=urn:adsk.wipprod:fs.folder:co.M8BwkpPFTwm0h2gRoHD-sQ&amp;entityId=urn:adsk.wipprod:dm.lineage:gq4Ukki5SHKzwklsna6NXA&amp;viewModel=detail&amp;moduleId=folders" TargetMode="External"/><Relationship Id="rId229" Type="http://schemas.openxmlformats.org/officeDocument/2006/relationships/hyperlink" Target="https://acc.autodesk.com/docs/files/projects/1e597176-a716-43f8-be36-fdbb47ecdee5?folderUrn=urn:adsk.wipprod:fs.folder:co.gneW-1t2SpuUo6Nf7Rj1vQ" TargetMode="External"/><Relationship Id="rId220" Type="http://schemas.openxmlformats.org/officeDocument/2006/relationships/hyperlink" Target="https://acc.autodesk.com/docs/files/projects/1e597176-a716-43f8-be36-fdbb47ecdee5?folderUrn=urn:adsk.wipprod:fs.folder:co.gneW-1t2SpuUo6Nf7Rj1vQ&amp;entityId=urn:adsk.wipprod:dm.lineage:UkgaDgJDRA2ROu-cPwyXuA&amp;viewModel=detail&amp;moduleId=folders" TargetMode="External"/><Relationship Id="rId341" Type="http://schemas.openxmlformats.org/officeDocument/2006/relationships/hyperlink" Target="https://acc.autodesk.com/docs/files/projects/1e597176-a716-43f8-be36-fdbb47ecdee5?folderUrn=urn:adsk.wipprod:fs.folder:co.bz21ao8BRRyrw6m_EIgMPw" TargetMode="External"/><Relationship Id="rId340" Type="http://schemas.openxmlformats.org/officeDocument/2006/relationships/hyperlink" Target="https://acc.autodesk.com/docs/files/projects/1e597176-a716-43f8-be36-fdbb47ecdee5?folderUrn=urn:adsk.wipprod:fs.folder:co.bz21ao8BRRyrw6m_EIgMPw&amp;entityId=urn:adsk.wipprod:dm.lineage:gNLQbgUpRIGMTIkVRYPdbw&amp;viewModel=detail&amp;moduleId=folders" TargetMode="External"/><Relationship Id="rId103" Type="http://schemas.openxmlformats.org/officeDocument/2006/relationships/hyperlink" Target="https://acc.autodesk.com/docs/files/projects/1e597176-a716-43f8-be36-fdbb47ecdee5?folderUrn=urn:adsk.wipprod:fs.folder:co.QsHNp-BFTfm5i1BggS3Kgw" TargetMode="External"/><Relationship Id="rId224" Type="http://schemas.openxmlformats.org/officeDocument/2006/relationships/hyperlink" Target="https://acc.autodesk.com/docs/files/projects/1e597176-a716-43f8-be36-fdbb47ecdee5?folderUrn=urn:adsk.wipprod:fs.folder:co.gneW-1t2SpuUo6Nf7Rj1vQ&amp;entityId=urn:adsk.wipprod:dm.lineage:V-CY0Qv9Sv6z7x3zxwdFjw&amp;viewModel=detail&amp;moduleId=folders" TargetMode="External"/><Relationship Id="rId345" Type="http://schemas.openxmlformats.org/officeDocument/2006/relationships/hyperlink" Target="https://acc.autodesk.com/docs/files/projects/1e597176-a716-43f8-be36-fdbb47ecdee5?folderUrn=urn:adsk.wipprod:fs.folder:co.bz21ao8BRRyrw6m_EIgMPw" TargetMode="External"/><Relationship Id="rId102" Type="http://schemas.openxmlformats.org/officeDocument/2006/relationships/hyperlink" Target="https://acc.autodesk.com/docs/files/projects/1e597176-a716-43f8-be36-fdbb47ecdee5?folderUrn=urn:adsk.wipprod:fs.folder:co.QsHNp-BFTfm5i1BggS3Kgw&amp;entityId=urn:adsk.wipprod:dm.lineage:bOlRFScMRwC_Pp_XhYkdRQ&amp;viewModel=detail&amp;moduleId=folders" TargetMode="External"/><Relationship Id="rId223" Type="http://schemas.openxmlformats.org/officeDocument/2006/relationships/hyperlink" Target="https://acc.autodesk.com/docs/files/projects/1e597176-a716-43f8-be36-fdbb47ecdee5?folderUrn=urn:adsk.wipprod:fs.folder:co.gneW-1t2SpuUo6Nf7Rj1vQ" TargetMode="External"/><Relationship Id="rId344" Type="http://schemas.openxmlformats.org/officeDocument/2006/relationships/hyperlink" Target="https://acc.autodesk.com/docs/files/projects/1e597176-a716-43f8-be36-fdbb47ecdee5?folderUrn=urn:adsk.wipprod:fs.folder:co.bz21ao8BRRyrw6m_EIgMPw&amp;entityId=urn:adsk.wipprod:dm.lineage:ZpDEQeHiTlW3YBZhAnti7A&amp;viewModel=detail&amp;moduleId=folders" TargetMode="External"/><Relationship Id="rId101" Type="http://schemas.openxmlformats.org/officeDocument/2006/relationships/hyperlink" Target="https://acc.autodesk.com/docs/files/projects/1e597176-a716-43f8-be36-fdbb47ecdee5?folderUrn=urn:adsk.wipprod:fs.folder:co.QsHNp-BFTfm5i1BggS3Kgw" TargetMode="External"/><Relationship Id="rId222" Type="http://schemas.openxmlformats.org/officeDocument/2006/relationships/hyperlink" Target="https://acc.autodesk.com/docs/files/projects/1e597176-a716-43f8-be36-fdbb47ecdee5?folderUrn=urn:adsk.wipprod:fs.folder:co.gneW-1t2SpuUo6Nf7Rj1vQ&amp;entityId=urn:adsk.wipprod:dm.lineage:xNpREAEBQPOi6omBOMubew&amp;viewModel=detail&amp;moduleId=folders" TargetMode="External"/><Relationship Id="rId343" Type="http://schemas.openxmlformats.org/officeDocument/2006/relationships/hyperlink" Target="https://acc.autodesk.com/docs/files/projects/1e597176-a716-43f8-be36-fdbb47ecdee5?folderUrn=urn:adsk.wipprod:fs.folder:co.bz21ao8BRRyrw6m_EIgMPw" TargetMode="External"/><Relationship Id="rId100" Type="http://schemas.openxmlformats.org/officeDocument/2006/relationships/hyperlink" Target="https://acc.autodesk.com/docs/files/projects/1e597176-a716-43f8-be36-fdbb47ecdee5?folderUrn=urn:adsk.wipprod:fs.folder:co.QsHNp-BFTfm5i1BggS3Kgw&amp;entityId=urn:adsk.wipprod:dm.lineage:vpo0rGV7TwqHoDbrMGQdew&amp;viewModel=detail&amp;moduleId=folders" TargetMode="External"/><Relationship Id="rId221" Type="http://schemas.openxmlformats.org/officeDocument/2006/relationships/hyperlink" Target="https://acc.autodesk.com/docs/files/projects/1e597176-a716-43f8-be36-fdbb47ecdee5?folderUrn=urn:adsk.wipprod:fs.folder:co.gneW-1t2SpuUo6Nf7Rj1vQ" TargetMode="External"/><Relationship Id="rId342" Type="http://schemas.openxmlformats.org/officeDocument/2006/relationships/hyperlink" Target="https://acc.autodesk.com/docs/files/projects/1e597176-a716-43f8-be36-fdbb47ecdee5?folderUrn=urn:adsk.wipprod:fs.folder:co.bz21ao8BRRyrw6m_EIgMPw&amp;entityId=urn:adsk.wipprod:dm.lineage:pOdaaGY_RfWRX0i39ramsw&amp;viewModel=detail&amp;moduleId=folders" TargetMode="External"/><Relationship Id="rId217" Type="http://schemas.openxmlformats.org/officeDocument/2006/relationships/hyperlink" Target="https://acc.autodesk.com/docs/files/projects/1e597176-a716-43f8-be36-fdbb47ecdee5?folderUrn=urn:adsk.wipprod:fs.folder:co.BtADxt2wTy-hdvOnJPUroQ" TargetMode="External"/><Relationship Id="rId338" Type="http://schemas.openxmlformats.org/officeDocument/2006/relationships/hyperlink" Target="https://acc.autodesk.com/docs/files/projects/1e597176-a716-43f8-be36-fdbb47ecdee5?folderUrn=urn:adsk.wipprod:fs.folder:co.bz21ao8BRRyrw6m_EIgMPw&amp;entityId=urn:adsk.wipprod:dm.lineage:v9ohU20WRt-2UZwXWJEyuQ&amp;viewModel=detail&amp;moduleId=folders" TargetMode="External"/><Relationship Id="rId216" Type="http://schemas.openxmlformats.org/officeDocument/2006/relationships/hyperlink" Target="https://acc.autodesk.com/docs/files/projects/1e597176-a716-43f8-be36-fdbb47ecdee5?folderUrn=urn:adsk.wipprod:fs.folder:co.BtADxt2wTy-hdvOnJPUroQ&amp;entityId=urn:adsk.wipprod:dm.lineage:Yw5J0or-TquM1WuKxHD4Ug&amp;viewModel=detail&amp;moduleId=folders" TargetMode="External"/><Relationship Id="rId337" Type="http://schemas.openxmlformats.org/officeDocument/2006/relationships/hyperlink" Target="https://acc.autodesk.com/docs/files/projects/1e597176-a716-43f8-be36-fdbb47ecdee5?folderUrn=urn:adsk.wipprod:fs.folder:co.bz21ao8BRRyrw6m_EIgMPw" TargetMode="External"/><Relationship Id="rId215" Type="http://schemas.openxmlformats.org/officeDocument/2006/relationships/hyperlink" Target="https://acc.autodesk.com/docs/files/projects/1e597176-a716-43f8-be36-fdbb47ecdee5?folderUrn=urn:adsk.wipprod:fs.folder:co.BtADxt2wTy-hdvOnJPUroQ" TargetMode="External"/><Relationship Id="rId336" Type="http://schemas.openxmlformats.org/officeDocument/2006/relationships/hyperlink" Target="https://acc.autodesk.com/docs/files/projects/1e597176-a716-43f8-be36-fdbb47ecdee5?folderUrn=urn:adsk.wipprod:fs.folder:co.bz21ao8BRRyrw6m_EIgMPw&amp;entityId=urn:adsk.wipprod:dm.lineage:Xw2ob5fnRMOaePbZmLDKMg&amp;viewModel=detail&amp;moduleId=folders" TargetMode="External"/><Relationship Id="rId214" Type="http://schemas.openxmlformats.org/officeDocument/2006/relationships/hyperlink" Target="https://acc.autodesk.com/docs/files/projects/1e597176-a716-43f8-be36-fdbb47ecdee5?folderUrn=urn:adsk.wipprod:fs.folder:co.BtADxt2wTy-hdvOnJPUroQ&amp;entityId=urn:adsk.wipprod:dm.lineage:B-53FD36Rf6VIBdeVUL-xw&amp;viewModel=detail&amp;moduleId=folders" TargetMode="External"/><Relationship Id="rId335" Type="http://schemas.openxmlformats.org/officeDocument/2006/relationships/hyperlink" Target="https://acc.autodesk.com/docs/files/projects/1e597176-a716-43f8-be36-fdbb47ecdee5?folderUrn=urn:adsk.wipprod:fs.folder:co.bz21ao8BRRyrw6m_EIgMPw" TargetMode="External"/><Relationship Id="rId219" Type="http://schemas.openxmlformats.org/officeDocument/2006/relationships/hyperlink" Target="https://acc.autodesk.com/docs/files/projects/1e597176-a716-43f8-be36-fdbb47ecdee5?folderUrn=urn:adsk.wipprod:fs.folder:co.gneW-1t2SpuUo6Nf7Rj1vQ" TargetMode="External"/><Relationship Id="rId218" Type="http://schemas.openxmlformats.org/officeDocument/2006/relationships/hyperlink" Target="https://acc.autodesk.com/docs/files/projects/1e597176-a716-43f8-be36-fdbb47ecdee5?folderUrn=urn:adsk.wipprod:fs.folder:co.BtADxt2wTy-hdvOnJPUroQ&amp;entityId=urn:adsk.wipprod:dm.lineage:qPtzX1BpROyBwZy59HI7vQ&amp;viewModel=detail&amp;moduleId=folders" TargetMode="External"/><Relationship Id="rId339" Type="http://schemas.openxmlformats.org/officeDocument/2006/relationships/hyperlink" Target="https://acc.autodesk.com/docs/files/projects/1e597176-a716-43f8-be36-fdbb47ecdee5?folderUrn=urn:adsk.wipprod:fs.folder:co.bz21ao8BRRyrw6m_EIgMPw" TargetMode="External"/><Relationship Id="rId330" Type="http://schemas.openxmlformats.org/officeDocument/2006/relationships/hyperlink" Target="https://acc.autodesk.com/docs/files/projects/1e597176-a716-43f8-be36-fdbb47ecdee5?folderUrn=urn:adsk.wipprod:fs.folder:co.FxNM7TmRQoCV0Idg7eQ7qQ&amp;entityId=urn:adsk.wipprod:dm.lineage:m1HYjkfETfSrYMF90HR5sQ&amp;viewModel=detail&amp;moduleId=folders" TargetMode="External"/><Relationship Id="rId213" Type="http://schemas.openxmlformats.org/officeDocument/2006/relationships/hyperlink" Target="https://acc.autodesk.com/docs/files/projects/1e597176-a716-43f8-be36-fdbb47ecdee5?folderUrn=urn:adsk.wipprod:fs.folder:co.BtADxt2wTy-hdvOnJPUroQ" TargetMode="External"/><Relationship Id="rId334" Type="http://schemas.openxmlformats.org/officeDocument/2006/relationships/hyperlink" Target="https://acc.autodesk.com/docs/files/projects/1e597176-a716-43f8-be36-fdbb47ecdee5?folderUrn=urn:adsk.wipprod:fs.folder:co.bz21ao8BRRyrw6m_EIgMPw&amp;entityId=urn:adsk.wipprod:dm.lineage:sHQyG4fDTZu13Pv21V-C_g&amp;viewModel=detail&amp;moduleId=folders" TargetMode="External"/><Relationship Id="rId212" Type="http://schemas.openxmlformats.org/officeDocument/2006/relationships/hyperlink" Target="https://acc.autodesk.com/docs/files/projects/1e597176-a716-43f8-be36-fdbb47ecdee5?folderUrn=urn:adsk.wipprod:fs.folder:co.BtADxt2wTy-hdvOnJPUroQ&amp;entityId=urn:adsk.wipprod:dm.lineage:hwlMc86vS6WT6pSUDpmKHg&amp;viewModel=detail&amp;moduleId=folders" TargetMode="External"/><Relationship Id="rId333" Type="http://schemas.openxmlformats.org/officeDocument/2006/relationships/hyperlink" Target="https://acc.autodesk.com/docs/files/projects/1e597176-a716-43f8-be36-fdbb47ecdee5?folderUrn=urn:adsk.wipprod:fs.folder:co.bz21ao8BRRyrw6m_EIgMPw" TargetMode="External"/><Relationship Id="rId211" Type="http://schemas.openxmlformats.org/officeDocument/2006/relationships/hyperlink" Target="https://acc.autodesk.com/docs/files/projects/1e597176-a716-43f8-be36-fdbb47ecdee5?folderUrn=urn:adsk.wipprod:fs.folder:co.BtADxt2wTy-hdvOnJPUroQ" TargetMode="External"/><Relationship Id="rId332" Type="http://schemas.openxmlformats.org/officeDocument/2006/relationships/hyperlink" Target="https://acc.autodesk.com/docs/files/projects/1e597176-a716-43f8-be36-fdbb47ecdee5?folderUrn=urn:adsk.wipprod:fs.folder:co.bz21ao8BRRyrw6m_EIgMPw&amp;entityId=urn:adsk.wipprod:dm.lineage:XaGsXTFcRwCim6rASUy8Dw&amp;viewModel=detail&amp;moduleId=folders" TargetMode="External"/><Relationship Id="rId210" Type="http://schemas.openxmlformats.org/officeDocument/2006/relationships/hyperlink" Target="https://acc.autodesk.com/docs/files/projects/1e597176-a716-43f8-be36-fdbb47ecdee5?folderUrn=urn:adsk.wipprod:fs.folder:co.BtADxt2wTy-hdvOnJPUroQ&amp;entityId=urn:adsk.wipprod:dm.lineage:X4K88Uq9THmxHV__oyWbUw&amp;viewModel=detail&amp;moduleId=folders" TargetMode="External"/><Relationship Id="rId331" Type="http://schemas.openxmlformats.org/officeDocument/2006/relationships/hyperlink" Target="https://acc.autodesk.com/docs/files/projects/1e597176-a716-43f8-be36-fdbb47ecdee5?folderUrn=urn:adsk.wipprod:fs.folder:co.bz21ao8BRRyrw6m_EIgMPw" TargetMode="External"/><Relationship Id="rId370" Type="http://schemas.openxmlformats.org/officeDocument/2006/relationships/hyperlink" Target="https://acc.autodesk.com/docs/files/projects/1e597176-a716-43f8-be36-fdbb47ecdee5?folderUrn=urn:adsk.wipprod:fs.folder:co.412vmwRUS5WvAkIPx4HNUw&amp;entityId=urn:adsk.wipprod:dm.lineage:lmfeflz9TyaSc0asKsvJbQ&amp;viewModel=detail&amp;moduleId=folders" TargetMode="External"/><Relationship Id="rId129" Type="http://schemas.openxmlformats.org/officeDocument/2006/relationships/hyperlink" Target="https://acc.autodesk.com/docs/files/projects/1e597176-a716-43f8-be36-fdbb47ecdee5?folderUrn=urn:adsk.wipprod:fs.folder:co.ZUedFvpiSlenX0IHVAo8cA" TargetMode="External"/><Relationship Id="rId128" Type="http://schemas.openxmlformats.org/officeDocument/2006/relationships/hyperlink" Target="https://acc.autodesk.com/docs/files/projects/1e597176-a716-43f8-be36-fdbb47ecdee5?folderUrn=urn:adsk.wipprod:fs.folder:co.ZUedFvpiSlenX0IHVAo8cA&amp;entityId=urn:adsk.wipprod:dm.lineage:1YD9NM1aT4C_HatW7rD20Q&amp;viewModel=detail&amp;moduleId=folders" TargetMode="External"/><Relationship Id="rId249" Type="http://schemas.openxmlformats.org/officeDocument/2006/relationships/hyperlink" Target="https://acc.autodesk.com/docs/files/projects/1e597176-a716-43f8-be36-fdbb47ecdee5?folderUrn=urn:adsk.wipprod:fs.folder:co.gneW-1t2SpuUo6Nf7Rj1vQ" TargetMode="External"/><Relationship Id="rId127" Type="http://schemas.openxmlformats.org/officeDocument/2006/relationships/hyperlink" Target="https://acc.autodesk.com/docs/files/projects/1e597176-a716-43f8-be36-fdbb47ecdee5?folderUrn=urn:adsk.wipprod:fs.folder:co.ZUedFvpiSlenX0IHVAo8cA" TargetMode="External"/><Relationship Id="rId248" Type="http://schemas.openxmlformats.org/officeDocument/2006/relationships/hyperlink" Target="https://acc.autodesk.com/docs/files/projects/1e597176-a716-43f8-be36-fdbb47ecdee5?folderUrn=urn:adsk.wipprod:fs.folder:co.gneW-1t2SpuUo6Nf7Rj1vQ&amp;entityId=urn:adsk.wipprod:dm.lineage:p1L2QcnqRgGTgMkh2RO4Cw&amp;viewModel=detail&amp;moduleId=folders" TargetMode="External"/><Relationship Id="rId369" Type="http://schemas.openxmlformats.org/officeDocument/2006/relationships/hyperlink" Target="https://acc.autodesk.com/docs/files/projects/1e597176-a716-43f8-be36-fdbb47ecdee5?folderUrn=urn:adsk.wipprod:fs.folder:co.412vmwRUS5WvAkIPx4HNUw" TargetMode="External"/><Relationship Id="rId126" Type="http://schemas.openxmlformats.org/officeDocument/2006/relationships/hyperlink" Target="https://acc.autodesk.com/docs/files/projects/1e597176-a716-43f8-be36-fdbb47ecdee5?folderUrn=urn:adsk.wipprod:fs.folder:co.ZUedFvpiSlenX0IHVAo8cA&amp;entityId=urn:adsk.wipprod:dm.lineage:h6FWJdF0RLWRk4jfM8G2IQ&amp;viewModel=detail&amp;moduleId=folders" TargetMode="External"/><Relationship Id="rId247" Type="http://schemas.openxmlformats.org/officeDocument/2006/relationships/hyperlink" Target="https://acc.autodesk.com/docs/files/projects/1e597176-a716-43f8-be36-fdbb47ecdee5?folderUrn=urn:adsk.wipprod:fs.folder:co.gneW-1t2SpuUo6Nf7Rj1vQ" TargetMode="External"/><Relationship Id="rId368" Type="http://schemas.openxmlformats.org/officeDocument/2006/relationships/hyperlink" Target="https://acc.autodesk.com/docs/files/projects/1e597176-a716-43f8-be36-fdbb47ecdee5?folderUrn=urn:adsk.wipprod:fs.folder:co.412vmwRUS5WvAkIPx4HNUw&amp;entityId=urn:adsk.wipprod:dm.lineage:4OSe8S5YTOeFKzzOBYKRzg&amp;viewModel=detail&amp;moduleId=folders" TargetMode="External"/><Relationship Id="rId121" Type="http://schemas.openxmlformats.org/officeDocument/2006/relationships/hyperlink" Target="https://acc.autodesk.com/docs/files/projects/1e597176-a716-43f8-be36-fdbb47ecdee5?folderUrn=urn:adsk.wipprod:fs.folder:co.P6KU4gmUR526k4wTa-dzMQ" TargetMode="External"/><Relationship Id="rId242" Type="http://schemas.openxmlformats.org/officeDocument/2006/relationships/hyperlink" Target="https://acc.autodesk.com/docs/files/projects/1e597176-a716-43f8-be36-fdbb47ecdee5?folderUrn=urn:adsk.wipprod:fs.folder:co.gneW-1t2SpuUo6Nf7Rj1vQ&amp;entityId=urn:adsk.wipprod:dm.lineage:J3s39Eb2S8KUV2C50i6Ktg&amp;viewModel=detail&amp;moduleId=folders" TargetMode="External"/><Relationship Id="rId363" Type="http://schemas.openxmlformats.org/officeDocument/2006/relationships/hyperlink" Target="https://acc.autodesk.com/docs/files/projects/1e597176-a716-43f8-be36-fdbb47ecdee5?folderUrn=urn:adsk.wipprod:fs.folder:co.412vmwRUS5WvAkIPx4HNUw" TargetMode="External"/><Relationship Id="rId120" Type="http://schemas.openxmlformats.org/officeDocument/2006/relationships/hyperlink" Target="https://acc.autodesk.com/docs/files/projects/1e597176-a716-43f8-be36-fdbb47ecdee5?folderUrn=urn:adsk.wipprod:fs.folder:co.P6KU4gmUR526k4wTa-dzMQ&amp;entityId=urn:adsk.wipprod:dm.lineage:BXjY90CLQe2-247m9-9LwA&amp;viewModel=detail&amp;moduleId=folders" TargetMode="External"/><Relationship Id="rId241" Type="http://schemas.openxmlformats.org/officeDocument/2006/relationships/hyperlink" Target="https://acc.autodesk.com/docs/files/projects/1e597176-a716-43f8-be36-fdbb47ecdee5?folderUrn=urn:adsk.wipprod:fs.folder:co.gneW-1t2SpuUo6Nf7Rj1vQ" TargetMode="External"/><Relationship Id="rId362" Type="http://schemas.openxmlformats.org/officeDocument/2006/relationships/hyperlink" Target="https://acc.autodesk.com/docs/files/projects/1e597176-a716-43f8-be36-fdbb47ecdee5?folderUrn=urn:adsk.wipprod:fs.folder:co.412vmwRUS5WvAkIPx4HNUw&amp;entityId=urn:adsk.wipprod:dm.lineage:ROw1dUdUSb6CDhTB3IWUbg&amp;viewModel=detail&amp;moduleId=folders" TargetMode="External"/><Relationship Id="rId240" Type="http://schemas.openxmlformats.org/officeDocument/2006/relationships/hyperlink" Target="https://acc.autodesk.com/docs/files/projects/1e597176-a716-43f8-be36-fdbb47ecdee5?folderUrn=urn:adsk.wipprod:fs.folder:co.gneW-1t2SpuUo6Nf7Rj1vQ&amp;entityId=urn:adsk.wipprod:dm.lineage:mpMBjFEzQKWaUhATHl4IPQ&amp;viewModel=detail&amp;moduleId=folders" TargetMode="External"/><Relationship Id="rId361" Type="http://schemas.openxmlformats.org/officeDocument/2006/relationships/hyperlink" Target="https://acc.autodesk.com/docs/files/projects/1e597176-a716-43f8-be36-fdbb47ecdee5?folderUrn=urn:adsk.wipprod:fs.folder:co.412vmwRUS5WvAkIPx4HNUw" TargetMode="External"/><Relationship Id="rId360" Type="http://schemas.openxmlformats.org/officeDocument/2006/relationships/hyperlink" Target="https://acc.autodesk.com/docs/files/projects/1e597176-a716-43f8-be36-fdbb47ecdee5?folderUrn=urn:adsk.wipprod:fs.folder:co.412vmwRUS5WvAkIPx4HNUw&amp;entityId=urn:adsk.wipprod:dm.lineage:YfjfC5sHRY6xLjBEtfTEnQ&amp;viewModel=detail&amp;moduleId=folders" TargetMode="External"/><Relationship Id="rId125" Type="http://schemas.openxmlformats.org/officeDocument/2006/relationships/hyperlink" Target="https://acc.autodesk.com/docs/files/projects/1e597176-a716-43f8-be36-fdbb47ecdee5?folderUrn=urn:adsk.wipprod:fs.folder:co.ZUedFvpiSlenX0IHVAo8cA" TargetMode="External"/><Relationship Id="rId246" Type="http://schemas.openxmlformats.org/officeDocument/2006/relationships/hyperlink" Target="https://acc.autodesk.com/docs/files/projects/1e597176-a716-43f8-be36-fdbb47ecdee5?folderUrn=urn:adsk.wipprod:fs.folder:co.gneW-1t2SpuUo6Nf7Rj1vQ&amp;entityId=urn:adsk.wipprod:dm.lineage:DOGxse0pQYm0ztr8IANLog&amp;viewModel=detail&amp;moduleId=folders" TargetMode="External"/><Relationship Id="rId367" Type="http://schemas.openxmlformats.org/officeDocument/2006/relationships/hyperlink" Target="https://acc.autodesk.com/docs/files/projects/1e597176-a716-43f8-be36-fdbb47ecdee5?folderUrn=urn:adsk.wipprod:fs.folder:co.412vmwRUS5WvAkIPx4HNUw" TargetMode="External"/><Relationship Id="rId124" Type="http://schemas.openxmlformats.org/officeDocument/2006/relationships/hyperlink" Target="https://acc.autodesk.com/docs/files/projects/1e597176-a716-43f8-be36-fdbb47ecdee5?folderUrn=urn:adsk.wipprod:fs.folder:co.P6KU4gmUR526k4wTa-dzMQ&amp;entityId=urn:adsk.wipprod:dm.lineage:Vx0uQ0CITJuVLsgqVdGAPA&amp;viewModel=detail&amp;moduleId=folders" TargetMode="External"/><Relationship Id="rId245" Type="http://schemas.openxmlformats.org/officeDocument/2006/relationships/hyperlink" Target="https://acc.autodesk.com/docs/files/projects/1e597176-a716-43f8-be36-fdbb47ecdee5?folderUrn=urn:adsk.wipprod:fs.folder:co.gneW-1t2SpuUo6Nf7Rj1vQ" TargetMode="External"/><Relationship Id="rId366" Type="http://schemas.openxmlformats.org/officeDocument/2006/relationships/hyperlink" Target="https://acc.autodesk.com/docs/files/projects/1e597176-a716-43f8-be36-fdbb47ecdee5?folderUrn=urn:adsk.wipprod:fs.folder:co.412vmwRUS5WvAkIPx4HNUw&amp;entityId=urn:adsk.wipprod:dm.lineage:Tz9dctAmSWSQjmDRDR3fzA&amp;viewModel=detail&amp;moduleId=folders" TargetMode="External"/><Relationship Id="rId123" Type="http://schemas.openxmlformats.org/officeDocument/2006/relationships/hyperlink" Target="https://acc.autodesk.com/docs/files/projects/1e597176-a716-43f8-be36-fdbb47ecdee5?folderUrn=urn:adsk.wipprod:fs.folder:co.P6KU4gmUR526k4wTa-dzMQ" TargetMode="External"/><Relationship Id="rId244" Type="http://schemas.openxmlformats.org/officeDocument/2006/relationships/hyperlink" Target="https://acc.autodesk.com/docs/files/projects/1e597176-a716-43f8-be36-fdbb47ecdee5?folderUrn=urn:adsk.wipprod:fs.folder:co.gneW-1t2SpuUo6Nf7Rj1vQ&amp;entityId=urn:adsk.wipprod:dm.lineage:hOi-9RscRWiDu5YvBT823Q&amp;viewModel=detail&amp;moduleId=folders" TargetMode="External"/><Relationship Id="rId365" Type="http://schemas.openxmlformats.org/officeDocument/2006/relationships/hyperlink" Target="https://acc.autodesk.com/docs/files/projects/1e597176-a716-43f8-be36-fdbb47ecdee5?folderUrn=urn:adsk.wipprod:fs.folder:co.412vmwRUS5WvAkIPx4HNUw" TargetMode="External"/><Relationship Id="rId122" Type="http://schemas.openxmlformats.org/officeDocument/2006/relationships/hyperlink" Target="https://acc.autodesk.com/docs/files/projects/1e597176-a716-43f8-be36-fdbb47ecdee5?folderUrn=urn:adsk.wipprod:fs.folder:co.P6KU4gmUR526k4wTa-dzMQ&amp;entityId=urn:adsk.wipprod:dm.lineage:VpucPsUIQAS83fr-tU9BBA&amp;viewModel=detail&amp;moduleId=folders" TargetMode="External"/><Relationship Id="rId243" Type="http://schemas.openxmlformats.org/officeDocument/2006/relationships/hyperlink" Target="https://acc.autodesk.com/docs/files/projects/1e597176-a716-43f8-be36-fdbb47ecdee5?folderUrn=urn:adsk.wipprod:fs.folder:co.gneW-1t2SpuUo6Nf7Rj1vQ" TargetMode="External"/><Relationship Id="rId364" Type="http://schemas.openxmlformats.org/officeDocument/2006/relationships/hyperlink" Target="https://acc.autodesk.com/docs/files/projects/1e597176-a716-43f8-be36-fdbb47ecdee5?folderUrn=urn:adsk.wipprod:fs.folder:co.412vmwRUS5WvAkIPx4HNUw&amp;entityId=urn:adsk.wipprod:dm.lineage:YMlbHfAQSxy07T8UsQTL9A&amp;viewModel=detail&amp;moduleId=folders" TargetMode="External"/><Relationship Id="rId95" Type="http://schemas.openxmlformats.org/officeDocument/2006/relationships/hyperlink" Target="https://acc.autodesk.com/docs/files/projects/1e597176-a716-43f8-be36-fdbb47ecdee5?folderUrn=urn:adsk.wipprod:fs.folder:co.Itzia5npTcCaCtKM9vy6zg" TargetMode="External"/><Relationship Id="rId94" Type="http://schemas.openxmlformats.org/officeDocument/2006/relationships/hyperlink" Target="https://acc.autodesk.com/docs/files/projects/1e597176-a716-43f8-be36-fdbb47ecdee5?folderUrn=urn:adsk.wipprod:fs.folder:co.Itzia5npTcCaCtKM9vy6zg&amp;entityId=urn:adsk.wipprod:dm.lineage:vk393uX7RAqoDuqLm9-e3w&amp;viewModel=detail&amp;moduleId=folders" TargetMode="External"/><Relationship Id="rId97" Type="http://schemas.openxmlformats.org/officeDocument/2006/relationships/hyperlink" Target="https://acc.autodesk.com/docs/files/projects/1e597176-a716-43f8-be36-fdbb47ecdee5?folderUrn=urn:adsk.wipprod:fs.folder:co.Itzia5npTcCaCtKM9vy6zg" TargetMode="External"/><Relationship Id="rId96" Type="http://schemas.openxmlformats.org/officeDocument/2006/relationships/hyperlink" Target="https://acc.autodesk.com/docs/files/projects/1e597176-a716-43f8-be36-fdbb47ecdee5?folderUrn=urn:adsk.wipprod:fs.folder:co.Itzia5npTcCaCtKM9vy6zg&amp;entityId=urn:adsk.wipprod:dm.lineage:e0ojgxQES7-wkPCd6qc1Mg&amp;viewModel=detail&amp;moduleId=folders" TargetMode="External"/><Relationship Id="rId99" Type="http://schemas.openxmlformats.org/officeDocument/2006/relationships/hyperlink" Target="https://acc.autodesk.com/docs/files/projects/1e597176-a716-43f8-be36-fdbb47ecdee5?folderUrn=urn:adsk.wipprod:fs.folder:co.QsHNp-BFTfm5i1BggS3Kgw" TargetMode="External"/><Relationship Id="rId98" Type="http://schemas.openxmlformats.org/officeDocument/2006/relationships/hyperlink" Target="https://acc.autodesk.com/docs/files/projects/1e597176-a716-43f8-be36-fdbb47ecdee5?folderUrn=urn:adsk.wipprod:fs.folder:co.Itzia5npTcCaCtKM9vy6zg&amp;entityId=urn:adsk.wipprod:dm.lineage:bUWaUEK7R6q6G2RcIJI1GQ&amp;viewModel=detail&amp;moduleId=folders" TargetMode="External"/><Relationship Id="rId91" Type="http://schemas.openxmlformats.org/officeDocument/2006/relationships/hyperlink" Target="https://acc.autodesk.com/docs/files/projects/1e597176-a716-43f8-be36-fdbb47ecdee5?folderUrn=urn:adsk.wipprod:fs.folder:co.Itzia5npTcCaCtKM9vy6zg" TargetMode="External"/><Relationship Id="rId90" Type="http://schemas.openxmlformats.org/officeDocument/2006/relationships/hyperlink" Target="https://acc.autodesk.com/docs/files/projects/1e597176-a716-43f8-be36-fdbb47ecdee5?folderUrn=urn:adsk.wipprod:fs.folder:co.Itzia5npTcCaCtKM9vy6zg&amp;entityId=urn:adsk.wipprod:dm.lineage:F9nqGxToR9GE6_M2ieDrYw&amp;viewModel=detail&amp;moduleId=folders" TargetMode="External"/><Relationship Id="rId93" Type="http://schemas.openxmlformats.org/officeDocument/2006/relationships/hyperlink" Target="https://acc.autodesk.com/docs/files/projects/1e597176-a716-43f8-be36-fdbb47ecdee5?folderUrn=urn:adsk.wipprod:fs.folder:co.Itzia5npTcCaCtKM9vy6zg" TargetMode="External"/><Relationship Id="rId92" Type="http://schemas.openxmlformats.org/officeDocument/2006/relationships/hyperlink" Target="https://acc.autodesk.com/docs/files/projects/1e597176-a716-43f8-be36-fdbb47ecdee5?folderUrn=urn:adsk.wipprod:fs.folder:co.Itzia5npTcCaCtKM9vy6zg&amp;entityId=urn:adsk.wipprod:dm.lineage:dk1ZfQ5TSwC-8_NtKmxKqQ&amp;viewModel=detail&amp;moduleId=folders" TargetMode="External"/><Relationship Id="rId118" Type="http://schemas.openxmlformats.org/officeDocument/2006/relationships/hyperlink" Target="https://acc.autodesk.com/docs/files/projects/1e597176-a716-43f8-be36-fdbb47ecdee5?folderUrn=urn:adsk.wipprod:fs.folder:co.P6KU4gmUR526k4wTa-dzMQ&amp;entityId=urn:adsk.wipprod:dm.lineage:VAd67o_WQLqlAMS4UCumHQ&amp;viewModel=detail&amp;moduleId=folders" TargetMode="External"/><Relationship Id="rId239" Type="http://schemas.openxmlformats.org/officeDocument/2006/relationships/hyperlink" Target="https://acc.autodesk.com/docs/files/projects/1e597176-a716-43f8-be36-fdbb47ecdee5?folderUrn=urn:adsk.wipprod:fs.folder:co.gneW-1t2SpuUo6Nf7Rj1vQ" TargetMode="External"/><Relationship Id="rId117" Type="http://schemas.openxmlformats.org/officeDocument/2006/relationships/hyperlink" Target="https://acc.autodesk.com/docs/files/projects/1e597176-a716-43f8-be36-fdbb47ecdee5?folderUrn=urn:adsk.wipprod:fs.folder:co.P6KU4gmUR526k4wTa-dzMQ" TargetMode="External"/><Relationship Id="rId238" Type="http://schemas.openxmlformats.org/officeDocument/2006/relationships/hyperlink" Target="https://acc.autodesk.com/docs/files/projects/1e597176-a716-43f8-be36-fdbb47ecdee5?folderUrn=urn:adsk.wipprod:fs.folder:co.gneW-1t2SpuUo6Nf7Rj1vQ&amp;entityId=urn:adsk.wipprod:dm.lineage:3F-NPRwOQ3-t_-d9TWfrFQ&amp;viewModel=detail&amp;moduleId=folders" TargetMode="External"/><Relationship Id="rId359" Type="http://schemas.openxmlformats.org/officeDocument/2006/relationships/hyperlink" Target="https://acc.autodesk.com/docs/files/projects/1e597176-a716-43f8-be36-fdbb47ecdee5?folderUrn=urn:adsk.wipprod:fs.folder:co.412vmwRUS5WvAkIPx4HNUw" TargetMode="External"/><Relationship Id="rId116" Type="http://schemas.openxmlformats.org/officeDocument/2006/relationships/hyperlink" Target="https://acc.autodesk.com/docs/files/projects/1e597176-a716-43f8-be36-fdbb47ecdee5?folderUrn=urn:adsk.wipprod:fs.folder:co.P6KU4gmUR526k4wTa-dzMQ&amp;entityId=urn:adsk.wipprod:dm.lineage:EzRughBuRLyVlyfGYsN2RA&amp;viewModel=detail&amp;moduleId=folders" TargetMode="External"/><Relationship Id="rId237" Type="http://schemas.openxmlformats.org/officeDocument/2006/relationships/hyperlink" Target="https://acc.autodesk.com/docs/files/projects/1e597176-a716-43f8-be36-fdbb47ecdee5?folderUrn=urn:adsk.wipprod:fs.folder:co.gneW-1t2SpuUo6Nf7Rj1vQ" TargetMode="External"/><Relationship Id="rId358" Type="http://schemas.openxmlformats.org/officeDocument/2006/relationships/hyperlink" Target="https://acc.autodesk.com/docs/files/projects/1e597176-a716-43f8-be36-fdbb47ecdee5?folderUrn=urn:adsk.wipprod:fs.folder:co.412vmwRUS5WvAkIPx4HNUw&amp;entityId=urn:adsk.wipprod:dm.lineage:-L851NZ7QQK1Len5enymtg&amp;viewModel=detail&amp;moduleId=folders" TargetMode="External"/><Relationship Id="rId115" Type="http://schemas.openxmlformats.org/officeDocument/2006/relationships/hyperlink" Target="https://acc.autodesk.com/docs/files/projects/1e597176-a716-43f8-be36-fdbb47ecdee5?folderUrn=urn:adsk.wipprod:fs.folder:co.P6KU4gmUR526k4wTa-dzMQ" TargetMode="External"/><Relationship Id="rId236" Type="http://schemas.openxmlformats.org/officeDocument/2006/relationships/hyperlink" Target="https://acc.autodesk.com/docs/files/projects/1e597176-a716-43f8-be36-fdbb47ecdee5?folderUrn=urn:adsk.wipprod:fs.folder:co.gneW-1t2SpuUo6Nf7Rj1vQ&amp;entityId=urn:adsk.wipprod:dm.lineage:tddyO0YVTje8U3ZF0yUdGw&amp;viewModel=detail&amp;moduleId=folders" TargetMode="External"/><Relationship Id="rId357" Type="http://schemas.openxmlformats.org/officeDocument/2006/relationships/hyperlink" Target="https://acc.autodesk.com/docs/files/projects/1e597176-a716-43f8-be36-fdbb47ecdee5?folderUrn=urn:adsk.wipprod:fs.folder:co.412vmwRUS5WvAkIPx4HNUw" TargetMode="External"/><Relationship Id="rId119" Type="http://schemas.openxmlformats.org/officeDocument/2006/relationships/hyperlink" Target="https://acc.autodesk.com/docs/files/projects/1e597176-a716-43f8-be36-fdbb47ecdee5?folderUrn=urn:adsk.wipprod:fs.folder:co.P6KU4gmUR526k4wTa-dzMQ" TargetMode="External"/><Relationship Id="rId110" Type="http://schemas.openxmlformats.org/officeDocument/2006/relationships/hyperlink" Target="https://acc.autodesk.com/docs/files/projects/1e597176-a716-43f8-be36-fdbb47ecdee5?folderUrn=urn:adsk.wipprod:fs.folder:co.M8BwkpPFTwm0h2gRoHD-sQ&amp;entityId=urn:adsk.wipprod:dm.lineage:QxSznMmGRniPM-6boQRqag&amp;viewModel=detail&amp;moduleId=folders" TargetMode="External"/><Relationship Id="rId231" Type="http://schemas.openxmlformats.org/officeDocument/2006/relationships/hyperlink" Target="https://acc.autodesk.com/docs/files/projects/1e597176-a716-43f8-be36-fdbb47ecdee5?folderUrn=urn:adsk.wipprod:fs.folder:co.gneW-1t2SpuUo6Nf7Rj1vQ" TargetMode="External"/><Relationship Id="rId352" Type="http://schemas.openxmlformats.org/officeDocument/2006/relationships/hyperlink" Target="https://acc.autodesk.com/docs/files/projects/1e597176-a716-43f8-be36-fdbb47ecdee5?folderUrn=urn:adsk.wipprod:fs.folder:co.bz21ao8BRRyrw6m_EIgMPw&amp;entityId=urn:adsk.wipprod:dm.lineage:yfuRfzH7RiGxq3dSiEvUpg&amp;viewModel=detail&amp;moduleId=folders" TargetMode="External"/><Relationship Id="rId230" Type="http://schemas.openxmlformats.org/officeDocument/2006/relationships/hyperlink" Target="https://acc.autodesk.com/docs/files/projects/1e597176-a716-43f8-be36-fdbb47ecdee5?folderUrn=urn:adsk.wipprod:fs.folder:co.gneW-1t2SpuUo6Nf7Rj1vQ&amp;entityId=urn:adsk.wipprod:dm.lineage:hazvYksCRxSWQVAIwoMjyg&amp;viewModel=detail&amp;moduleId=folders" TargetMode="External"/><Relationship Id="rId351" Type="http://schemas.openxmlformats.org/officeDocument/2006/relationships/hyperlink" Target="https://acc.autodesk.com/docs/files/projects/1e597176-a716-43f8-be36-fdbb47ecdee5?folderUrn=urn:adsk.wipprod:fs.folder:co.bz21ao8BRRyrw6m_EIgMPw" TargetMode="External"/><Relationship Id="rId350" Type="http://schemas.openxmlformats.org/officeDocument/2006/relationships/hyperlink" Target="https://acc.autodesk.com/docs/files/projects/1e597176-a716-43f8-be36-fdbb47ecdee5?folderUrn=urn:adsk.wipprod:fs.folder:co.bz21ao8BRRyrw6m_EIgMPw&amp;entityId=urn:adsk.wipprod:dm.lineage:ji7u3d3BRja0VcrX_JeMqA&amp;viewModel=detail&amp;moduleId=folders" TargetMode="External"/><Relationship Id="rId114" Type="http://schemas.openxmlformats.org/officeDocument/2006/relationships/hyperlink" Target="https://acc.autodesk.com/docs/files/projects/1e597176-a716-43f8-be36-fdbb47ecdee5?folderUrn=urn:adsk.wipprod:fs.folder:co.M8BwkpPFTwm0h2gRoHD-sQ&amp;entityId=urn:adsk.wipprod:dm.lineage:ahG9QMT7Ts-DHBHhfGX_hQ&amp;viewModel=detail&amp;moduleId=folders" TargetMode="External"/><Relationship Id="rId235" Type="http://schemas.openxmlformats.org/officeDocument/2006/relationships/hyperlink" Target="https://acc.autodesk.com/docs/files/projects/1e597176-a716-43f8-be36-fdbb47ecdee5?folderUrn=urn:adsk.wipprod:fs.folder:co.gneW-1t2SpuUo6Nf7Rj1vQ" TargetMode="External"/><Relationship Id="rId356" Type="http://schemas.openxmlformats.org/officeDocument/2006/relationships/hyperlink" Target="https://acc.autodesk.com/docs/files/projects/1e597176-a716-43f8-be36-fdbb47ecdee5?folderUrn=urn:adsk.wipprod:fs.folder:co.bz21ao8BRRyrw6m_EIgMPw&amp;entityId=urn:adsk.wipprod:dm.lineage:dl0bSi3ORjK97yho4q0cvg&amp;viewModel=detail&amp;moduleId=folders" TargetMode="External"/><Relationship Id="rId113" Type="http://schemas.openxmlformats.org/officeDocument/2006/relationships/hyperlink" Target="https://acc.autodesk.com/docs/files/projects/1e597176-a716-43f8-be36-fdbb47ecdee5?folderUrn=urn:adsk.wipprod:fs.folder:co.M8BwkpPFTwm0h2gRoHD-sQ" TargetMode="External"/><Relationship Id="rId234" Type="http://schemas.openxmlformats.org/officeDocument/2006/relationships/hyperlink" Target="https://acc.autodesk.com/docs/files/projects/1e597176-a716-43f8-be36-fdbb47ecdee5?folderUrn=urn:adsk.wipprod:fs.folder:co.gneW-1t2SpuUo6Nf7Rj1vQ&amp;entityId=urn:adsk.wipprod:dm.lineage:oyzj_WN6QgC69Tpef8ZJ_g&amp;viewModel=detail&amp;moduleId=folders" TargetMode="External"/><Relationship Id="rId355" Type="http://schemas.openxmlformats.org/officeDocument/2006/relationships/hyperlink" Target="https://acc.autodesk.com/docs/files/projects/1e597176-a716-43f8-be36-fdbb47ecdee5?folderUrn=urn:adsk.wipprod:fs.folder:co.bz21ao8BRRyrw6m_EIgMPw" TargetMode="External"/><Relationship Id="rId112" Type="http://schemas.openxmlformats.org/officeDocument/2006/relationships/hyperlink" Target="https://acc.autodesk.com/docs/files/projects/1e597176-a716-43f8-be36-fdbb47ecdee5?folderUrn=urn:adsk.wipprod:fs.folder:co.M8BwkpPFTwm0h2gRoHD-sQ&amp;entityId=urn:adsk.wipprod:dm.lineage:amLhyfY0SjuQXlfOt_eryg&amp;viewModel=detail&amp;moduleId=folders" TargetMode="External"/><Relationship Id="rId233" Type="http://schemas.openxmlformats.org/officeDocument/2006/relationships/hyperlink" Target="https://acc.autodesk.com/docs/files/projects/1e597176-a716-43f8-be36-fdbb47ecdee5?folderUrn=urn:adsk.wipprod:fs.folder:co.gneW-1t2SpuUo6Nf7Rj1vQ" TargetMode="External"/><Relationship Id="rId354" Type="http://schemas.openxmlformats.org/officeDocument/2006/relationships/hyperlink" Target="https://acc.autodesk.com/docs/files/projects/1e597176-a716-43f8-be36-fdbb47ecdee5?folderUrn=urn:adsk.wipprod:fs.folder:co.bz21ao8BRRyrw6m_EIgMPw&amp;entityId=urn:adsk.wipprod:dm.lineage:yueTjGQnT9mrr5aW-8hwJA&amp;viewModel=detail&amp;moduleId=folders" TargetMode="External"/><Relationship Id="rId111" Type="http://schemas.openxmlformats.org/officeDocument/2006/relationships/hyperlink" Target="https://acc.autodesk.com/docs/files/projects/1e597176-a716-43f8-be36-fdbb47ecdee5?folderUrn=urn:adsk.wipprod:fs.folder:co.M8BwkpPFTwm0h2gRoHD-sQ" TargetMode="External"/><Relationship Id="rId232" Type="http://schemas.openxmlformats.org/officeDocument/2006/relationships/hyperlink" Target="https://acc.autodesk.com/docs/files/projects/1e597176-a716-43f8-be36-fdbb47ecdee5?folderUrn=urn:adsk.wipprod:fs.folder:co.gneW-1t2SpuUo6Nf7Rj1vQ&amp;entityId=urn:adsk.wipprod:dm.lineage:lFeq4-trQmuB5DP1GimbCQ&amp;viewModel=detail&amp;moduleId=folders" TargetMode="External"/><Relationship Id="rId353" Type="http://schemas.openxmlformats.org/officeDocument/2006/relationships/hyperlink" Target="https://acc.autodesk.com/docs/files/projects/1e597176-a716-43f8-be36-fdbb47ecdee5?folderUrn=urn:adsk.wipprod:fs.folder:co.bz21ao8BRRyrw6m_EIgMPw" TargetMode="External"/><Relationship Id="rId305" Type="http://schemas.openxmlformats.org/officeDocument/2006/relationships/hyperlink" Target="https://acc.autodesk.com/docs/files/projects/1e597176-a716-43f8-be36-fdbb47ecdee5?folderUrn=urn:adsk.wipprod:fs.folder:co.FxNM7TmRQoCV0Idg7eQ7qQ" TargetMode="External"/><Relationship Id="rId426" Type="http://schemas.openxmlformats.org/officeDocument/2006/relationships/hyperlink" Target="https://acc.autodesk.com/docs/files/projects/1e597176-a716-43f8-be36-fdbb47ecdee5?folderUrn=urn:adsk.wipprod:fs.folder:co.n7NyBqMQSDeL5nGLUmdk7A&amp;entityId=urn:adsk.wipprod:dm.lineage:62ES28VNRm2fBDVMyW7ztw&amp;viewModel=detail&amp;moduleId=folders" TargetMode="External"/><Relationship Id="rId304" Type="http://schemas.openxmlformats.org/officeDocument/2006/relationships/hyperlink" Target="https://acc.autodesk.com/docs/files/projects/1e597176-a716-43f8-be36-fdbb47ecdee5?folderUrn=urn:adsk.wipprod:fs.folder:co.FxNM7TmRQoCV0Idg7eQ7qQ&amp;entityId=urn:adsk.wipprod:dm.lineage:jwjmY-i1RBCC5RiIJ1qNDA&amp;viewModel=detail&amp;moduleId=folders" TargetMode="External"/><Relationship Id="rId425" Type="http://schemas.openxmlformats.org/officeDocument/2006/relationships/hyperlink" Target="https://acc.autodesk.com/docs/files/projects/1e597176-a716-43f8-be36-fdbb47ecdee5?folderUrn=urn:adsk.wipprod:fs.folder:co.n7NyBqMQSDeL5nGLUmdk7A" TargetMode="External"/><Relationship Id="rId303" Type="http://schemas.openxmlformats.org/officeDocument/2006/relationships/hyperlink" Target="https://acc.autodesk.com/docs/files/projects/1e597176-a716-43f8-be36-fdbb47ecdee5?folderUrn=urn:adsk.wipprod:fs.folder:co.FxNM7TmRQoCV0Idg7eQ7qQ" TargetMode="External"/><Relationship Id="rId424" Type="http://schemas.openxmlformats.org/officeDocument/2006/relationships/hyperlink" Target="https://acc.autodesk.com/docs/files/projects/1e597176-a716-43f8-be36-fdbb47ecdee5?folderUrn=urn:adsk.wipprod:fs.folder:co.n7NyBqMQSDeL5nGLUmdk7A&amp;entityId=urn:adsk.wipprod:dm.lineage:y5N5UplJStCxdM4Nq7WLzg&amp;viewModel=detail&amp;moduleId=folders" TargetMode="External"/><Relationship Id="rId302" Type="http://schemas.openxmlformats.org/officeDocument/2006/relationships/hyperlink" Target="https://acc.autodesk.com/docs/files/projects/1e597176-a716-43f8-be36-fdbb47ecdee5?folderUrn=urn:adsk.wipprod:fs.folder:co.FxNM7TmRQoCV0Idg7eQ7qQ&amp;entityId=urn:adsk.wipprod:dm.lineage:cR17Y7COT2GVseB1mFPvrw&amp;viewModel=detail&amp;moduleId=folders" TargetMode="External"/><Relationship Id="rId423" Type="http://schemas.openxmlformats.org/officeDocument/2006/relationships/hyperlink" Target="https://acc.autodesk.com/docs/files/projects/1e597176-a716-43f8-be36-fdbb47ecdee5?folderUrn=urn:adsk.wipprod:fs.folder:co.n7NyBqMQSDeL5nGLUmdk7A" TargetMode="External"/><Relationship Id="rId309" Type="http://schemas.openxmlformats.org/officeDocument/2006/relationships/hyperlink" Target="https://acc.autodesk.com/docs/files/projects/1e597176-a716-43f8-be36-fdbb47ecdee5?folderUrn=urn:adsk.wipprod:fs.folder:co.FxNM7TmRQoCV0Idg7eQ7qQ" TargetMode="External"/><Relationship Id="rId308" Type="http://schemas.openxmlformats.org/officeDocument/2006/relationships/hyperlink" Target="https://acc.autodesk.com/docs/files/projects/1e597176-a716-43f8-be36-fdbb47ecdee5?folderUrn=urn:adsk.wipprod:fs.folder:co.FxNM7TmRQoCV0Idg7eQ7qQ&amp;entityId=urn:adsk.wipprod:dm.lineage:EcLp_VKzQou1x97toKnLnw&amp;viewModel=detail&amp;moduleId=folders" TargetMode="External"/><Relationship Id="rId429" Type="http://schemas.openxmlformats.org/officeDocument/2006/relationships/hyperlink" Target="https://acc.autodesk.com/docs/files/projects/1e597176-a716-43f8-be36-fdbb47ecdee5?folderUrn=urn:adsk.wipprod:fs.folder:co.n7NyBqMQSDeL5nGLUmdk7A" TargetMode="External"/><Relationship Id="rId307" Type="http://schemas.openxmlformats.org/officeDocument/2006/relationships/hyperlink" Target="https://acc.autodesk.com/docs/files/projects/1e597176-a716-43f8-be36-fdbb47ecdee5?folderUrn=urn:adsk.wipprod:fs.folder:co.FxNM7TmRQoCV0Idg7eQ7qQ" TargetMode="External"/><Relationship Id="rId428" Type="http://schemas.openxmlformats.org/officeDocument/2006/relationships/hyperlink" Target="https://acc.autodesk.com/docs/files/projects/1e597176-a716-43f8-be36-fdbb47ecdee5?folderUrn=urn:adsk.wipprod:fs.folder:co.n7NyBqMQSDeL5nGLUmdk7A&amp;entityId=urn:adsk.wipprod:dm.lineage:JZsxrLdMQHq7fhaPEXTkuA&amp;viewModel=detail&amp;moduleId=folders" TargetMode="External"/><Relationship Id="rId306" Type="http://schemas.openxmlformats.org/officeDocument/2006/relationships/hyperlink" Target="https://acc.autodesk.com/docs/files/projects/1e597176-a716-43f8-be36-fdbb47ecdee5?folderUrn=urn:adsk.wipprod:fs.folder:co.FxNM7TmRQoCV0Idg7eQ7qQ&amp;entityId=urn:adsk.wipprod:dm.lineage:R7AU8hcsSfKp1anG8lhHrg&amp;viewModel=detail&amp;moduleId=folders" TargetMode="External"/><Relationship Id="rId427" Type="http://schemas.openxmlformats.org/officeDocument/2006/relationships/hyperlink" Target="https://acc.autodesk.com/docs/files/projects/1e597176-a716-43f8-be36-fdbb47ecdee5?folderUrn=urn:adsk.wipprod:fs.folder:co.n7NyBqMQSDeL5nGLUmdk7A" TargetMode="External"/><Relationship Id="rId301" Type="http://schemas.openxmlformats.org/officeDocument/2006/relationships/hyperlink" Target="https://acc.autodesk.com/docs/files/projects/1e597176-a716-43f8-be36-fdbb47ecdee5?folderUrn=urn:adsk.wipprod:fs.folder:co.FxNM7TmRQoCV0Idg7eQ7qQ" TargetMode="External"/><Relationship Id="rId422" Type="http://schemas.openxmlformats.org/officeDocument/2006/relationships/hyperlink" Target="https://acc.autodesk.com/docs/files/projects/1e597176-a716-43f8-be36-fdbb47ecdee5?folderUrn=urn:adsk.wipprod:fs.folder:co.3hoTHM-8TmiCBb87zdnAhg&amp;entityId=urn:adsk.wipprod:dm.lineage:aEupkExLTim4BpeWtPmWYg&amp;viewModel=detail&amp;moduleId=folders" TargetMode="External"/><Relationship Id="rId300" Type="http://schemas.openxmlformats.org/officeDocument/2006/relationships/hyperlink" Target="https://acc.autodesk.com/docs/files/projects/1e597176-a716-43f8-be36-fdbb47ecdee5?folderUrn=urn:adsk.wipprod:fs.folder:co.FxNM7TmRQoCV0Idg7eQ7qQ&amp;entityId=urn:adsk.wipprod:dm.lineage:qgcs4WYZRw6R2ha2YSOBWw&amp;viewModel=detail&amp;moduleId=folders" TargetMode="External"/><Relationship Id="rId421" Type="http://schemas.openxmlformats.org/officeDocument/2006/relationships/hyperlink" Target="https://acc.autodesk.com/docs/files/projects/1e597176-a716-43f8-be36-fdbb47ecdee5?folderUrn=urn:adsk.wipprod:fs.folder:co.3hoTHM-8TmiCBb87zdnAhg" TargetMode="External"/><Relationship Id="rId420" Type="http://schemas.openxmlformats.org/officeDocument/2006/relationships/hyperlink" Target="https://acc.autodesk.com/docs/files/projects/1e597176-a716-43f8-be36-fdbb47ecdee5?folderUrn=urn:adsk.wipprod:fs.folder:co.3hoTHM-8TmiCBb87zdnAhg&amp;entityId=urn:adsk.wipprod:dm.lineage:ZRWBwPZjR_WwUP8fZGOFbQ&amp;viewModel=detail&amp;moduleId=folders" TargetMode="External"/><Relationship Id="rId415" Type="http://schemas.openxmlformats.org/officeDocument/2006/relationships/hyperlink" Target="https://acc.autodesk.com/docs/files/projects/1e597176-a716-43f8-be36-fdbb47ecdee5?folderUrn=urn:adsk.wipprod:fs.folder:co.3hoTHM-8TmiCBb87zdnAhg" TargetMode="External"/><Relationship Id="rId414" Type="http://schemas.openxmlformats.org/officeDocument/2006/relationships/hyperlink" Target="https://acc.autodesk.com/docs/files/projects/1e597176-a716-43f8-be36-fdbb47ecdee5?folderUrn=urn:adsk.wipprod:fs.folder:co.3hoTHM-8TmiCBb87zdnAhg&amp;entityId=urn:adsk.wipprod:dm.lineage:dA4uOpxKRCKNIgyfYS2_lw&amp;viewModel=detail&amp;moduleId=folders" TargetMode="External"/><Relationship Id="rId413" Type="http://schemas.openxmlformats.org/officeDocument/2006/relationships/hyperlink" Target="https://acc.autodesk.com/docs/files/projects/1e597176-a716-43f8-be36-fdbb47ecdee5?folderUrn=urn:adsk.wipprod:fs.folder:co.3hoTHM-8TmiCBb87zdnAhg" TargetMode="External"/><Relationship Id="rId412" Type="http://schemas.openxmlformats.org/officeDocument/2006/relationships/hyperlink" Target="https://acc.autodesk.com/docs/files/projects/1e597176-a716-43f8-be36-fdbb47ecdee5?folderUrn=urn:adsk.wipprod:fs.folder:co.3hoTHM-8TmiCBb87zdnAhg&amp;entityId=urn:adsk.wipprod:dm.lineage:GfZb0xX4RleY8ZW-gekDwg&amp;viewModel=detail&amp;moduleId=folders" TargetMode="External"/><Relationship Id="rId419" Type="http://schemas.openxmlformats.org/officeDocument/2006/relationships/hyperlink" Target="https://acc.autodesk.com/docs/files/projects/1e597176-a716-43f8-be36-fdbb47ecdee5?folderUrn=urn:adsk.wipprod:fs.folder:co.3hoTHM-8TmiCBb87zdnAhg" TargetMode="External"/><Relationship Id="rId418" Type="http://schemas.openxmlformats.org/officeDocument/2006/relationships/hyperlink" Target="https://acc.autodesk.com/docs/files/projects/1e597176-a716-43f8-be36-fdbb47ecdee5?folderUrn=urn:adsk.wipprod:fs.folder:co.3hoTHM-8TmiCBb87zdnAhg&amp;entityId=urn:adsk.wipprod:dm.lineage:Byjj3RpeRuOdpGmTxIZ2yw&amp;viewModel=detail&amp;moduleId=folders" TargetMode="External"/><Relationship Id="rId417" Type="http://schemas.openxmlformats.org/officeDocument/2006/relationships/hyperlink" Target="https://acc.autodesk.com/docs/files/projects/1e597176-a716-43f8-be36-fdbb47ecdee5?folderUrn=urn:adsk.wipprod:fs.folder:co.3hoTHM-8TmiCBb87zdnAhg" TargetMode="External"/><Relationship Id="rId416" Type="http://schemas.openxmlformats.org/officeDocument/2006/relationships/hyperlink" Target="https://acc.autodesk.com/docs/files/projects/1e597176-a716-43f8-be36-fdbb47ecdee5?folderUrn=urn:adsk.wipprod:fs.folder:co.3hoTHM-8TmiCBb87zdnAhg&amp;entityId=urn:adsk.wipprod:dm.lineage:eiaoQCiKTBKHiqeb5QAUvA&amp;viewModel=detail&amp;moduleId=folders" TargetMode="External"/><Relationship Id="rId411" Type="http://schemas.openxmlformats.org/officeDocument/2006/relationships/hyperlink" Target="https://acc.autodesk.com/docs/files/projects/1e597176-a716-43f8-be36-fdbb47ecdee5?folderUrn=urn:adsk.wipprod:fs.folder:co.3hoTHM-8TmiCBb87zdnAhg" TargetMode="External"/><Relationship Id="rId410" Type="http://schemas.openxmlformats.org/officeDocument/2006/relationships/hyperlink" Target="https://acc.autodesk.com/docs/files/projects/1e597176-a716-43f8-be36-fdbb47ecdee5?folderUrn=urn:adsk.wipprod:fs.folder:co.3hoTHM-8TmiCBb87zdnAhg&amp;entityId=urn:adsk.wipprod:dm.lineage:ZyBaJ8tXQl-2rR-B30Qghw&amp;viewModel=detail&amp;moduleId=folders" TargetMode="External"/><Relationship Id="rId206" Type="http://schemas.openxmlformats.org/officeDocument/2006/relationships/hyperlink" Target="https://acc.autodesk.com/docs/files/projects/1e597176-a716-43f8-be36-fdbb47ecdee5?folderUrn=urn:adsk.wipprod:fs.folder:co.BtADxt2wTy-hdvOnJPUroQ&amp;entityId=urn:adsk.wipprod:dm.lineage:OZlzLFNOR6ye_3MjSGCOsg&amp;viewModel=detail&amp;moduleId=folders" TargetMode="External"/><Relationship Id="rId327" Type="http://schemas.openxmlformats.org/officeDocument/2006/relationships/hyperlink" Target="https://acc.autodesk.com/docs/files/projects/1e597176-a716-43f8-be36-fdbb47ecdee5?folderUrn=urn:adsk.wipprod:fs.folder:co.FxNM7TmRQoCV0Idg7eQ7qQ" TargetMode="External"/><Relationship Id="rId205" Type="http://schemas.openxmlformats.org/officeDocument/2006/relationships/hyperlink" Target="https://acc.autodesk.com/docs/files/projects/1e597176-a716-43f8-be36-fdbb47ecdee5?folderUrn=urn:adsk.wipprod:fs.folder:co.BtADxt2wTy-hdvOnJPUroQ" TargetMode="External"/><Relationship Id="rId326" Type="http://schemas.openxmlformats.org/officeDocument/2006/relationships/hyperlink" Target="https://acc.autodesk.com/docs/files/projects/1e597176-a716-43f8-be36-fdbb47ecdee5?folderUrn=urn:adsk.wipprod:fs.folder:co.FxNM7TmRQoCV0Idg7eQ7qQ&amp;entityId=urn:adsk.wipprod:dm.lineage:FtRmeWF7T_yjEuCmisFTSg&amp;viewModel=detail&amp;moduleId=folders" TargetMode="External"/><Relationship Id="rId447" Type="http://schemas.openxmlformats.org/officeDocument/2006/relationships/drawing" Target="../drawings/drawing11.xml"/><Relationship Id="rId204" Type="http://schemas.openxmlformats.org/officeDocument/2006/relationships/hyperlink" Target="https://acc.autodesk.com/docs/files/projects/1e597176-a716-43f8-be36-fdbb47ecdee5?folderUrn=urn:adsk.wipprod:fs.folder:co.BtADxt2wTy-hdvOnJPUroQ&amp;entityId=urn:adsk.wipprod:dm.lineage:Xe0ge1RZQvKnaT0990RiVQ&amp;viewModel=detail&amp;moduleId=folders" TargetMode="External"/><Relationship Id="rId325" Type="http://schemas.openxmlformats.org/officeDocument/2006/relationships/hyperlink" Target="https://acc.autodesk.com/docs/files/projects/1e597176-a716-43f8-be36-fdbb47ecdee5?folderUrn=urn:adsk.wipprod:fs.folder:co.FxNM7TmRQoCV0Idg7eQ7qQ" TargetMode="External"/><Relationship Id="rId446" Type="http://schemas.openxmlformats.org/officeDocument/2006/relationships/hyperlink" Target="https://acc.autodesk.com/docs/files/projects/1e597176-a716-43f8-be36-fdbb47ecdee5?folderUrn=urn:adsk.wipprod:fs.folder:co._e4NGP3nTAqnnsE7qGOKUQ&amp;entityId=urn:adsk.wipprod:dm.lineage:PK0Ew6xdSkqHsSGyjHhM3w&amp;viewModel=detail&amp;moduleId=folders" TargetMode="External"/><Relationship Id="rId203" Type="http://schemas.openxmlformats.org/officeDocument/2006/relationships/hyperlink" Target="https://acc.autodesk.com/docs/files/projects/1e597176-a716-43f8-be36-fdbb47ecdee5?folderUrn=urn:adsk.wipprod:fs.folder:co.BtADxt2wTy-hdvOnJPUroQ" TargetMode="External"/><Relationship Id="rId324" Type="http://schemas.openxmlformats.org/officeDocument/2006/relationships/hyperlink" Target="https://acc.autodesk.com/docs/files/projects/1e597176-a716-43f8-be36-fdbb47ecdee5?folderUrn=urn:adsk.wipprod:fs.folder:co.FxNM7TmRQoCV0Idg7eQ7qQ&amp;entityId=urn:adsk.wipprod:dm.lineage:np-T00LySf6w0tL-QYGj6A&amp;viewModel=detail&amp;moduleId=folders" TargetMode="External"/><Relationship Id="rId445" Type="http://schemas.openxmlformats.org/officeDocument/2006/relationships/hyperlink" Target="https://acc.autodesk.com/docs/files/projects/1e597176-a716-43f8-be36-fdbb47ecdee5?folderUrn=urn:adsk.wipprod:fs.folder:co._e4NGP3nTAqnnsE7qGOKUQ" TargetMode="External"/><Relationship Id="rId209" Type="http://schemas.openxmlformats.org/officeDocument/2006/relationships/hyperlink" Target="https://acc.autodesk.com/docs/files/projects/1e597176-a716-43f8-be36-fdbb47ecdee5?folderUrn=urn:adsk.wipprod:fs.folder:co.BtADxt2wTy-hdvOnJPUroQ" TargetMode="External"/><Relationship Id="rId208" Type="http://schemas.openxmlformats.org/officeDocument/2006/relationships/hyperlink" Target="https://acc.autodesk.com/docs/files/projects/1e597176-a716-43f8-be36-fdbb47ecdee5?folderUrn=urn:adsk.wipprod:fs.folder:co.BtADxt2wTy-hdvOnJPUroQ&amp;entityId=urn:adsk.wipprod:dm.lineage:pnP-GTOnS0y6lIdr6Hm1ug&amp;viewModel=detail&amp;moduleId=folders" TargetMode="External"/><Relationship Id="rId329" Type="http://schemas.openxmlformats.org/officeDocument/2006/relationships/hyperlink" Target="https://acc.autodesk.com/docs/files/projects/1e597176-a716-43f8-be36-fdbb47ecdee5?folderUrn=urn:adsk.wipprod:fs.folder:co.FxNM7TmRQoCV0Idg7eQ7qQ" TargetMode="External"/><Relationship Id="rId207" Type="http://schemas.openxmlformats.org/officeDocument/2006/relationships/hyperlink" Target="https://acc.autodesk.com/docs/files/projects/1e597176-a716-43f8-be36-fdbb47ecdee5?folderUrn=urn:adsk.wipprod:fs.folder:co.BtADxt2wTy-hdvOnJPUroQ" TargetMode="External"/><Relationship Id="rId328" Type="http://schemas.openxmlformats.org/officeDocument/2006/relationships/hyperlink" Target="https://acc.autodesk.com/docs/files/projects/1e597176-a716-43f8-be36-fdbb47ecdee5?folderUrn=urn:adsk.wipprod:fs.folder:co.FxNM7TmRQoCV0Idg7eQ7qQ&amp;entityId=urn:adsk.wipprod:dm.lineage:LwzcFHQnSTWa4hLDItv9Lg&amp;viewModel=detail&amp;moduleId=folders" TargetMode="External"/><Relationship Id="rId440" Type="http://schemas.openxmlformats.org/officeDocument/2006/relationships/hyperlink" Target="https://acc.autodesk.com/docs/files/projects/1e597176-a716-43f8-be36-fdbb47ecdee5?folderUrn=urn:adsk.wipprod:fs.folder:co._e4NGP3nTAqnnsE7qGOKUQ&amp;entityId=urn:adsk.wipprod:dm.lineage:vujasY1fQDyCtj9k5sTTXA&amp;viewModel=detail&amp;moduleId=folders" TargetMode="External"/><Relationship Id="rId202" Type="http://schemas.openxmlformats.org/officeDocument/2006/relationships/hyperlink" Target="https://acc.autodesk.com/docs/files/projects/1e597176-a716-43f8-be36-fdbb47ecdee5?folderUrn=urn:adsk.wipprod:fs.folder:co.BtADxt2wTy-hdvOnJPUroQ&amp;entityId=urn:adsk.wipprod:dm.lineage:a29XPfgtTUOc0-Ter74jZw&amp;viewModel=detail&amp;moduleId=folders" TargetMode="External"/><Relationship Id="rId323" Type="http://schemas.openxmlformats.org/officeDocument/2006/relationships/hyperlink" Target="https://acc.autodesk.com/docs/files/projects/1e597176-a716-43f8-be36-fdbb47ecdee5?folderUrn=urn:adsk.wipprod:fs.folder:co.FxNM7TmRQoCV0Idg7eQ7qQ" TargetMode="External"/><Relationship Id="rId444" Type="http://schemas.openxmlformats.org/officeDocument/2006/relationships/hyperlink" Target="https://acc.autodesk.com/docs/files/projects/1e597176-a716-43f8-be36-fdbb47ecdee5?folderUrn=urn:adsk.wipprod:fs.folder:co._e4NGP3nTAqnnsE7qGOKUQ&amp;entityId=urn:adsk.wipprod:dm.lineage:cY4U20RdTUySvbg2DO46Sg&amp;viewModel=detail&amp;moduleId=folders" TargetMode="External"/><Relationship Id="rId201" Type="http://schemas.openxmlformats.org/officeDocument/2006/relationships/hyperlink" Target="https://acc.autodesk.com/docs/files/projects/1e597176-a716-43f8-be36-fdbb47ecdee5?folderUrn=urn:adsk.wipprod:fs.folder:co.BtADxt2wTy-hdvOnJPUroQ" TargetMode="External"/><Relationship Id="rId322" Type="http://schemas.openxmlformats.org/officeDocument/2006/relationships/hyperlink" Target="https://acc.autodesk.com/docs/files/projects/1e597176-a716-43f8-be36-fdbb47ecdee5?folderUrn=urn:adsk.wipprod:fs.folder:co.FxNM7TmRQoCV0Idg7eQ7qQ&amp;entityId=urn:adsk.wipprod:dm.lineage:ozVaFPd6R3a_eO3u_1_5kw&amp;viewModel=detail&amp;moduleId=folders" TargetMode="External"/><Relationship Id="rId443" Type="http://schemas.openxmlformats.org/officeDocument/2006/relationships/hyperlink" Target="https://acc.autodesk.com/docs/files/projects/1e597176-a716-43f8-be36-fdbb47ecdee5?folderUrn=urn:adsk.wipprod:fs.folder:co._e4NGP3nTAqnnsE7qGOKUQ" TargetMode="External"/><Relationship Id="rId200" Type="http://schemas.openxmlformats.org/officeDocument/2006/relationships/hyperlink" Target="https://acc.autodesk.com/docs/files/projects/1e597176-a716-43f8-be36-fdbb47ecdee5?folderUrn=urn:adsk.wipprod:fs.folder:co.BtADxt2wTy-hdvOnJPUroQ&amp;entityId=urn:adsk.wipprod:dm.lineage:-bWe5omaTsGBXy0h2a2LlA&amp;viewModel=detail&amp;moduleId=folders" TargetMode="External"/><Relationship Id="rId321" Type="http://schemas.openxmlformats.org/officeDocument/2006/relationships/hyperlink" Target="https://acc.autodesk.com/docs/files/projects/1e597176-a716-43f8-be36-fdbb47ecdee5?folderUrn=urn:adsk.wipprod:fs.folder:co.FxNM7TmRQoCV0Idg7eQ7qQ" TargetMode="External"/><Relationship Id="rId442" Type="http://schemas.openxmlformats.org/officeDocument/2006/relationships/hyperlink" Target="https://acc.autodesk.com/docs/files/projects/1e597176-a716-43f8-be36-fdbb47ecdee5?folderUrn=urn:adsk.wipprod:fs.folder:co._e4NGP3nTAqnnsE7qGOKUQ&amp;entityId=urn:adsk.wipprod:dm.lineage:vnUbmdpUQHKHrgaqHqwUxA&amp;viewModel=detail&amp;moduleId=folders" TargetMode="External"/><Relationship Id="rId320" Type="http://schemas.openxmlformats.org/officeDocument/2006/relationships/hyperlink" Target="https://acc.autodesk.com/docs/files/projects/1e597176-a716-43f8-be36-fdbb47ecdee5?folderUrn=urn:adsk.wipprod:fs.folder:co.FxNM7TmRQoCV0Idg7eQ7qQ&amp;entityId=urn:adsk.wipprod:dm.lineage:MV5cfC1rS4ilX1d7M4cB0w&amp;viewModel=detail&amp;moduleId=folders" TargetMode="External"/><Relationship Id="rId441" Type="http://schemas.openxmlformats.org/officeDocument/2006/relationships/hyperlink" Target="https://acc.autodesk.com/docs/files/projects/1e597176-a716-43f8-be36-fdbb47ecdee5?folderUrn=urn:adsk.wipprod:fs.folder:co._e4NGP3nTAqnnsE7qGOKUQ" TargetMode="External"/><Relationship Id="rId316" Type="http://schemas.openxmlformats.org/officeDocument/2006/relationships/hyperlink" Target="https://acc.autodesk.com/docs/files/projects/1e597176-a716-43f8-be36-fdbb47ecdee5?folderUrn=urn:adsk.wipprod:fs.folder:co.FxNM7TmRQoCV0Idg7eQ7qQ&amp;entityId=urn:adsk.wipprod:dm.lineage:egSR_lstROWZ-Z0iWMO0_g&amp;viewModel=detail&amp;moduleId=folders" TargetMode="External"/><Relationship Id="rId437" Type="http://schemas.openxmlformats.org/officeDocument/2006/relationships/hyperlink" Target="https://acc.autodesk.com/docs/files/projects/1e597176-a716-43f8-be36-fdbb47ecdee5?folderUrn=urn:adsk.wipprod:fs.folder:co._e4NGP3nTAqnnsE7qGOKUQ" TargetMode="External"/><Relationship Id="rId315" Type="http://schemas.openxmlformats.org/officeDocument/2006/relationships/hyperlink" Target="https://acc.autodesk.com/docs/files/projects/1e597176-a716-43f8-be36-fdbb47ecdee5?folderUrn=urn:adsk.wipprod:fs.folder:co.FxNM7TmRQoCV0Idg7eQ7qQ" TargetMode="External"/><Relationship Id="rId436" Type="http://schemas.openxmlformats.org/officeDocument/2006/relationships/hyperlink" Target="https://acc.autodesk.com/docs/files/projects/1e597176-a716-43f8-be36-fdbb47ecdee5?folderUrn=urn:adsk.wipprod:fs.folder:co._e4NGP3nTAqnnsE7qGOKUQ&amp;entityId=urn:adsk.wipprod:dm.lineage:yyZaUWS3Q6CyMNjaaulFKQ&amp;viewModel=detail&amp;moduleId=folders" TargetMode="External"/><Relationship Id="rId314" Type="http://schemas.openxmlformats.org/officeDocument/2006/relationships/hyperlink" Target="https://acc.autodesk.com/docs/files/projects/1e597176-a716-43f8-be36-fdbb47ecdee5?folderUrn=urn:adsk.wipprod:fs.folder:co.FxNM7TmRQoCV0Idg7eQ7qQ&amp;entityId=urn:adsk.wipprod:dm.lineage:ZTKgopOmTFOEjJoU_rfoiw&amp;viewModel=detail&amp;moduleId=folders" TargetMode="External"/><Relationship Id="rId435" Type="http://schemas.openxmlformats.org/officeDocument/2006/relationships/hyperlink" Target="https://acc.autodesk.com/docs/files/projects/1e597176-a716-43f8-be36-fdbb47ecdee5?folderUrn=urn:adsk.wipprod:fs.folder:co._e4NGP3nTAqnnsE7qGOKUQ" TargetMode="External"/><Relationship Id="rId313" Type="http://schemas.openxmlformats.org/officeDocument/2006/relationships/hyperlink" Target="https://acc.autodesk.com/docs/files/projects/1e597176-a716-43f8-be36-fdbb47ecdee5?folderUrn=urn:adsk.wipprod:fs.folder:co.FxNM7TmRQoCV0Idg7eQ7qQ" TargetMode="External"/><Relationship Id="rId434" Type="http://schemas.openxmlformats.org/officeDocument/2006/relationships/hyperlink" Target="https://acc.autodesk.com/docs/files/projects/1e597176-a716-43f8-be36-fdbb47ecdee5?folderUrn=urn:adsk.wipprod:fs.folder:co.n7NyBqMQSDeL5nGLUmdk7A&amp;entityId=urn:adsk.wipprod:dm.lineage:T95pgcedT7-lNBmv6h7ZDw&amp;viewModel=detail&amp;moduleId=folders" TargetMode="External"/><Relationship Id="rId319" Type="http://schemas.openxmlformats.org/officeDocument/2006/relationships/hyperlink" Target="https://acc.autodesk.com/docs/files/projects/1e597176-a716-43f8-be36-fdbb47ecdee5?folderUrn=urn:adsk.wipprod:fs.folder:co.FxNM7TmRQoCV0Idg7eQ7qQ" TargetMode="External"/><Relationship Id="rId318" Type="http://schemas.openxmlformats.org/officeDocument/2006/relationships/hyperlink" Target="https://acc.autodesk.com/docs/files/projects/1e597176-a716-43f8-be36-fdbb47ecdee5?folderUrn=urn:adsk.wipprod:fs.folder:co.FxNM7TmRQoCV0Idg7eQ7qQ&amp;entityId=urn:adsk.wipprod:dm.lineage:ZOAjE6gLRJmbUfw6WhzXTw&amp;viewModel=detail&amp;moduleId=folders" TargetMode="External"/><Relationship Id="rId439" Type="http://schemas.openxmlformats.org/officeDocument/2006/relationships/hyperlink" Target="https://acc.autodesk.com/docs/files/projects/1e597176-a716-43f8-be36-fdbb47ecdee5?folderUrn=urn:adsk.wipprod:fs.folder:co._e4NGP3nTAqnnsE7qGOKUQ" TargetMode="External"/><Relationship Id="rId317" Type="http://schemas.openxmlformats.org/officeDocument/2006/relationships/hyperlink" Target="https://acc.autodesk.com/docs/files/projects/1e597176-a716-43f8-be36-fdbb47ecdee5?folderUrn=urn:adsk.wipprod:fs.folder:co.FxNM7TmRQoCV0Idg7eQ7qQ" TargetMode="External"/><Relationship Id="rId438" Type="http://schemas.openxmlformats.org/officeDocument/2006/relationships/hyperlink" Target="https://acc.autodesk.com/docs/files/projects/1e597176-a716-43f8-be36-fdbb47ecdee5?folderUrn=urn:adsk.wipprod:fs.folder:co._e4NGP3nTAqnnsE7qGOKUQ&amp;entityId=urn:adsk.wipprod:dm.lineage:lAPKa1pDQaaiT1WLLQjp6A&amp;viewModel=detail&amp;moduleId=folders" TargetMode="External"/><Relationship Id="rId312" Type="http://schemas.openxmlformats.org/officeDocument/2006/relationships/hyperlink" Target="https://acc.autodesk.com/docs/files/projects/1e597176-a716-43f8-be36-fdbb47ecdee5?folderUrn=urn:adsk.wipprod:fs.folder:co.FxNM7TmRQoCV0Idg7eQ7qQ&amp;entityId=urn:adsk.wipprod:dm.lineage:4l9t_DQQRZ6z6hxYsg0IGg&amp;viewModel=detail&amp;moduleId=folders" TargetMode="External"/><Relationship Id="rId433" Type="http://schemas.openxmlformats.org/officeDocument/2006/relationships/hyperlink" Target="https://acc.autodesk.com/docs/files/projects/1e597176-a716-43f8-be36-fdbb47ecdee5?folderUrn=urn:adsk.wipprod:fs.folder:co.n7NyBqMQSDeL5nGLUmdk7A" TargetMode="External"/><Relationship Id="rId311" Type="http://schemas.openxmlformats.org/officeDocument/2006/relationships/hyperlink" Target="https://acc.autodesk.com/docs/files/projects/1e597176-a716-43f8-be36-fdbb47ecdee5?folderUrn=urn:adsk.wipprod:fs.folder:co.FxNM7TmRQoCV0Idg7eQ7qQ" TargetMode="External"/><Relationship Id="rId432" Type="http://schemas.openxmlformats.org/officeDocument/2006/relationships/hyperlink" Target="https://acc.autodesk.com/docs/files/projects/1e597176-a716-43f8-be36-fdbb47ecdee5?folderUrn=urn:adsk.wipprod:fs.folder:co.n7NyBqMQSDeL5nGLUmdk7A&amp;entityId=urn:adsk.wipprod:dm.lineage:Mq4gZGxBQrqABpmz9PLyig&amp;viewModel=detail&amp;moduleId=folders" TargetMode="External"/><Relationship Id="rId310" Type="http://schemas.openxmlformats.org/officeDocument/2006/relationships/hyperlink" Target="https://acc.autodesk.com/docs/files/projects/1e597176-a716-43f8-be36-fdbb47ecdee5?folderUrn=urn:adsk.wipprod:fs.folder:co.FxNM7TmRQoCV0Idg7eQ7qQ&amp;entityId=urn:adsk.wipprod:dm.lineage:T5pYvFjGRaedXb1Vw6JoTg&amp;viewModel=detail&amp;moduleId=folders" TargetMode="External"/><Relationship Id="rId431" Type="http://schemas.openxmlformats.org/officeDocument/2006/relationships/hyperlink" Target="https://acc.autodesk.com/docs/files/projects/1e597176-a716-43f8-be36-fdbb47ecdee5?folderUrn=urn:adsk.wipprod:fs.folder:co.n7NyBqMQSDeL5nGLUmdk7A" TargetMode="External"/><Relationship Id="rId430" Type="http://schemas.openxmlformats.org/officeDocument/2006/relationships/hyperlink" Target="https://acc.autodesk.com/docs/files/projects/1e597176-a716-43f8-be36-fdbb47ecdee5?folderUrn=urn:adsk.wipprod:fs.folder:co.n7NyBqMQSDeL5nGLUmdk7A&amp;entityId=urn:adsk.wipprod:dm.lineage:66E-mhkFR4av2u8SnsJCZg&amp;viewModel=detail&amp;moduleId=folders"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outlineLevelRow="1"/>
  <cols>
    <col customWidth="1" hidden="1" min="1" max="1" width="5.88"/>
    <col customWidth="1" min="2" max="2" width="33.25"/>
    <col customWidth="1" hidden="1" min="3" max="3" width="33.25"/>
    <col customWidth="1" min="4" max="4" width="11.38"/>
    <col customWidth="1" min="5" max="5" width="18.13"/>
    <col customWidth="1" hidden="1" min="6" max="6" width="10.75"/>
    <col customWidth="1" min="7" max="7" width="16.88"/>
    <col customWidth="1" hidden="1" min="8" max="8" width="9.38"/>
    <col customWidth="1" min="9" max="11" width="15.88"/>
    <col customWidth="1" min="12" max="12" width="16.75"/>
    <col customWidth="1" hidden="1" min="13" max="13" width="11.75"/>
    <col customWidth="1" hidden="1" min="14" max="21" width="12.38"/>
    <col customWidth="1" min="22" max="24" width="12.38"/>
    <col customWidth="1" min="25" max="25" width="16.13"/>
    <col customWidth="1" min="26" max="213" width="15.75"/>
    <col customWidth="1" min="214" max="214" width="63.63"/>
    <col customWidth="1" min="215" max="219" width="13.75"/>
  </cols>
  <sheetData>
    <row r="1" ht="66.0" customHeight="1">
      <c r="A1" s="1"/>
      <c r="B1" s="2"/>
      <c r="C1" s="3"/>
      <c r="D1" s="3" t="s">
        <v>0</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c r="DT1" s="4"/>
      <c r="DU1" s="4"/>
      <c r="DV1" s="4"/>
      <c r="DW1" s="4"/>
      <c r="DX1" s="4"/>
      <c r="DY1" s="4"/>
      <c r="DZ1" s="4"/>
      <c r="EA1" s="4"/>
      <c r="EB1" s="4"/>
      <c r="EC1" s="4"/>
      <c r="ED1" s="4"/>
      <c r="EE1" s="4"/>
      <c r="EF1" s="4"/>
      <c r="EG1" s="4"/>
      <c r="EH1" s="4"/>
      <c r="EI1" s="4"/>
      <c r="EJ1" s="4"/>
      <c r="EK1" s="4"/>
      <c r="EL1" s="4"/>
      <c r="EM1" s="4"/>
      <c r="EN1" s="4"/>
      <c r="EO1" s="4"/>
      <c r="EP1" s="4"/>
      <c r="EQ1" s="4"/>
      <c r="ER1" s="4"/>
      <c r="ES1" s="4"/>
      <c r="ET1" s="4"/>
      <c r="EU1" s="4"/>
      <c r="EV1" s="4"/>
      <c r="EW1" s="4"/>
      <c r="EX1" s="4"/>
      <c r="EY1" s="4"/>
      <c r="EZ1" s="4"/>
      <c r="FA1" s="4"/>
      <c r="FB1" s="4"/>
      <c r="FC1" s="4"/>
      <c r="FD1" s="4"/>
      <c r="FE1" s="4"/>
      <c r="FF1" s="4"/>
      <c r="FG1" s="4"/>
      <c r="FH1" s="4"/>
      <c r="FI1" s="4"/>
      <c r="FJ1" s="4"/>
      <c r="FK1" s="4"/>
      <c r="FL1" s="4"/>
      <c r="FM1" s="4"/>
      <c r="FN1" s="4"/>
      <c r="FO1" s="4"/>
      <c r="FP1" s="4"/>
      <c r="FQ1" s="4"/>
      <c r="FR1" s="4"/>
      <c r="FS1" s="4"/>
      <c r="FT1" s="4"/>
      <c r="FU1" s="4"/>
      <c r="FV1" s="4"/>
      <c r="FW1" s="4"/>
      <c r="FX1" s="4"/>
      <c r="FY1" s="4"/>
      <c r="FZ1" s="4"/>
      <c r="GA1" s="4"/>
      <c r="GB1" s="4"/>
      <c r="GC1" s="4"/>
      <c r="GD1" s="4"/>
      <c r="GE1" s="4"/>
      <c r="GF1" s="4"/>
      <c r="GG1" s="4"/>
      <c r="GH1" s="4"/>
      <c r="GI1" s="4"/>
      <c r="GJ1" s="4"/>
      <c r="GK1" s="4"/>
      <c r="GL1" s="4"/>
      <c r="GM1" s="4"/>
      <c r="GN1" s="4"/>
      <c r="GO1" s="4"/>
      <c r="GP1" s="4"/>
      <c r="GQ1" s="4"/>
      <c r="GR1" s="4"/>
      <c r="GS1" s="4"/>
      <c r="GT1" s="4"/>
      <c r="GU1" s="4"/>
      <c r="GV1" s="4"/>
      <c r="GW1" s="4"/>
      <c r="GX1" s="5"/>
      <c r="GY1" s="3"/>
      <c r="GZ1" s="3"/>
      <c r="HA1" s="3"/>
      <c r="HB1" s="3"/>
      <c r="HC1" s="3"/>
      <c r="HD1" s="3"/>
      <c r="HE1" s="6"/>
      <c r="HF1" s="7"/>
      <c r="HG1" s="7"/>
      <c r="HH1" s="7"/>
      <c r="HI1" s="7"/>
      <c r="HJ1" s="7"/>
      <c r="HK1" s="7"/>
    </row>
    <row r="2" ht="36.0" customHeight="1">
      <c r="A2" s="1"/>
      <c r="B2" s="8" t="s">
        <v>1</v>
      </c>
      <c r="C2" s="9"/>
      <c r="D2" s="10"/>
      <c r="E2" s="10"/>
      <c r="F2" s="11"/>
      <c r="G2" s="10"/>
      <c r="H2" s="11"/>
      <c r="I2" s="10"/>
      <c r="J2" s="10"/>
      <c r="K2" s="10"/>
      <c r="L2" s="10"/>
      <c r="M2" s="10"/>
      <c r="N2" s="12"/>
      <c r="O2" s="12"/>
      <c r="P2" s="12"/>
      <c r="Q2" s="12"/>
      <c r="R2" s="12"/>
      <c r="S2" s="12"/>
      <c r="T2" s="12"/>
      <c r="U2" s="12"/>
      <c r="V2" s="12"/>
      <c r="W2" s="12"/>
      <c r="X2" s="13"/>
      <c r="Y2" s="9" t="s">
        <v>2</v>
      </c>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3"/>
      <c r="BH2" s="8" t="s">
        <v>3</v>
      </c>
      <c r="BI2" s="12"/>
      <c r="BJ2" s="12"/>
      <c r="BK2" s="12"/>
      <c r="BL2" s="12"/>
      <c r="BM2" s="12"/>
      <c r="BN2" s="12"/>
      <c r="BO2" s="12"/>
      <c r="BP2" s="12"/>
      <c r="BQ2" s="12"/>
      <c r="BR2" s="12"/>
      <c r="BS2" s="12"/>
      <c r="BT2" s="12"/>
      <c r="BU2" s="12"/>
      <c r="BV2" s="12"/>
      <c r="BW2" s="12"/>
      <c r="BX2" s="12"/>
      <c r="BY2" s="12"/>
      <c r="BZ2" s="12"/>
      <c r="CA2" s="12"/>
      <c r="CB2" s="12"/>
      <c r="CC2" s="12"/>
      <c r="CD2" s="12"/>
      <c r="CE2" s="12"/>
      <c r="CF2" s="12"/>
      <c r="CG2" s="12"/>
      <c r="CH2" s="12"/>
      <c r="CI2" s="12"/>
      <c r="CJ2" s="12"/>
      <c r="CK2" s="12"/>
      <c r="CL2" s="12"/>
      <c r="CM2" s="12"/>
      <c r="CN2" s="12"/>
      <c r="CO2" s="12"/>
      <c r="CP2" s="13"/>
      <c r="CQ2" s="9" t="s">
        <v>4</v>
      </c>
      <c r="CR2" s="12"/>
      <c r="CS2" s="12"/>
      <c r="CT2" s="12"/>
      <c r="CU2" s="12"/>
      <c r="CV2" s="12"/>
      <c r="CW2" s="12"/>
      <c r="CX2" s="12"/>
      <c r="CY2" s="12"/>
      <c r="CZ2" s="12"/>
      <c r="DA2" s="12"/>
      <c r="DB2" s="12"/>
      <c r="DC2" s="12"/>
      <c r="DD2" s="12"/>
      <c r="DE2" s="12"/>
      <c r="DF2" s="12"/>
      <c r="DG2" s="12"/>
      <c r="DH2" s="12"/>
      <c r="DI2" s="12"/>
      <c r="DJ2" s="12"/>
      <c r="DK2" s="12"/>
      <c r="DL2" s="12"/>
      <c r="DM2" s="12"/>
      <c r="DN2" s="12"/>
      <c r="DO2" s="12"/>
      <c r="DP2" s="12"/>
      <c r="DQ2" s="12"/>
      <c r="DR2" s="12"/>
      <c r="DS2" s="12"/>
      <c r="DT2" s="12"/>
      <c r="DU2" s="12"/>
      <c r="DV2" s="12"/>
      <c r="DW2" s="12"/>
      <c r="DX2" s="12"/>
      <c r="DY2" s="13"/>
      <c r="DZ2" s="9" t="s">
        <v>5</v>
      </c>
      <c r="EA2" s="12"/>
      <c r="EB2" s="12"/>
      <c r="EC2" s="12"/>
      <c r="ED2" s="12"/>
      <c r="EE2" s="12"/>
      <c r="EF2" s="12"/>
      <c r="EG2" s="12"/>
      <c r="EH2" s="12"/>
      <c r="EI2" s="12"/>
      <c r="EJ2" s="12"/>
      <c r="EK2" s="12"/>
      <c r="EL2" s="12"/>
      <c r="EM2" s="12"/>
      <c r="EN2" s="12"/>
      <c r="EO2" s="12"/>
      <c r="EP2" s="13"/>
      <c r="EQ2" s="9" t="s">
        <v>6</v>
      </c>
      <c r="ER2" s="13"/>
      <c r="ES2" s="8" t="s">
        <v>7</v>
      </c>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3"/>
      <c r="GA2" s="8" t="s">
        <v>8</v>
      </c>
      <c r="GB2" s="12"/>
      <c r="GC2" s="12"/>
      <c r="GD2" s="12"/>
      <c r="GE2" s="12"/>
      <c r="GF2" s="12"/>
      <c r="GG2" s="12"/>
      <c r="GH2" s="12"/>
      <c r="GI2" s="12"/>
      <c r="GJ2" s="12"/>
      <c r="GK2" s="12"/>
      <c r="GL2" s="12"/>
      <c r="GM2" s="12"/>
      <c r="GN2" s="12"/>
      <c r="GO2" s="12"/>
      <c r="GP2" s="12"/>
      <c r="GQ2" s="12"/>
      <c r="GR2" s="12"/>
      <c r="GS2" s="12"/>
      <c r="GT2" s="12"/>
      <c r="GU2" s="12"/>
      <c r="GV2" s="12"/>
      <c r="GW2" s="12"/>
      <c r="GX2" s="12"/>
      <c r="GY2" s="12"/>
      <c r="GZ2" s="12"/>
      <c r="HA2" s="12"/>
      <c r="HB2" s="12"/>
      <c r="HC2" s="12"/>
      <c r="HD2" s="12"/>
      <c r="HE2" s="13"/>
      <c r="HF2" s="7"/>
      <c r="HG2" s="7"/>
      <c r="HH2" s="7"/>
      <c r="HI2" s="7"/>
      <c r="HJ2" s="7"/>
      <c r="HK2" s="7"/>
    </row>
    <row r="3">
      <c r="A3" s="14"/>
      <c r="B3" s="15" t="s">
        <v>9</v>
      </c>
      <c r="C3" s="16" t="s">
        <v>10</v>
      </c>
      <c r="D3" s="17" t="s">
        <v>11</v>
      </c>
      <c r="E3" s="17" t="s">
        <v>12</v>
      </c>
      <c r="F3" s="18" t="s">
        <v>13</v>
      </c>
      <c r="G3" s="17" t="s">
        <v>14</v>
      </c>
      <c r="H3" s="18" t="s">
        <v>13</v>
      </c>
      <c r="I3" s="19" t="s">
        <v>15</v>
      </c>
      <c r="J3" s="19" t="s">
        <v>16</v>
      </c>
      <c r="K3" s="17" t="s">
        <v>17</v>
      </c>
      <c r="L3" s="17" t="s">
        <v>18</v>
      </c>
      <c r="M3" s="20" t="s">
        <v>19</v>
      </c>
      <c r="N3" s="21" t="s">
        <v>20</v>
      </c>
      <c r="O3" s="22" t="s">
        <v>21</v>
      </c>
      <c r="P3" s="23" t="s">
        <v>22</v>
      </c>
      <c r="Q3" s="17" t="s">
        <v>23</v>
      </c>
      <c r="R3" s="22" t="s">
        <v>24</v>
      </c>
      <c r="S3" s="23" t="s">
        <v>25</v>
      </c>
      <c r="T3" s="17" t="s">
        <v>26</v>
      </c>
      <c r="U3" s="22" t="s">
        <v>24</v>
      </c>
      <c r="V3" s="24" t="s">
        <v>27</v>
      </c>
      <c r="W3" s="25" t="s">
        <v>28</v>
      </c>
      <c r="X3" s="22" t="s">
        <v>29</v>
      </c>
      <c r="Y3" s="26" t="s">
        <v>30</v>
      </c>
      <c r="Z3" s="27" t="s">
        <v>31</v>
      </c>
      <c r="AA3" s="28" t="s">
        <v>32</v>
      </c>
      <c r="AB3" s="29" t="s">
        <v>33</v>
      </c>
      <c r="AC3" s="30" t="s">
        <v>34</v>
      </c>
      <c r="AD3" s="31" t="s">
        <v>35</v>
      </c>
      <c r="AE3" s="32" t="s">
        <v>36</v>
      </c>
      <c r="AF3" s="33" t="s">
        <v>37</v>
      </c>
      <c r="AG3" s="33" t="s">
        <v>38</v>
      </c>
      <c r="AH3" s="33" t="s">
        <v>39</v>
      </c>
      <c r="AI3" s="33" t="s">
        <v>40</v>
      </c>
      <c r="AJ3" s="33" t="s">
        <v>41</v>
      </c>
      <c r="AK3" s="33" t="s">
        <v>42</v>
      </c>
      <c r="AL3" s="33" t="s">
        <v>43</v>
      </c>
      <c r="AM3" s="33" t="s">
        <v>44</v>
      </c>
      <c r="AN3" s="33" t="s">
        <v>45</v>
      </c>
      <c r="AO3" s="33" t="s">
        <v>46</v>
      </c>
      <c r="AP3" s="33" t="s">
        <v>47</v>
      </c>
      <c r="AQ3" s="33" t="s">
        <v>48</v>
      </c>
      <c r="AR3" s="33" t="s">
        <v>49</v>
      </c>
      <c r="AS3" s="33" t="s">
        <v>50</v>
      </c>
      <c r="AT3" s="33" t="s">
        <v>51</v>
      </c>
      <c r="AU3" s="33" t="s">
        <v>52</v>
      </c>
      <c r="AV3" s="33" t="s">
        <v>53</v>
      </c>
      <c r="AW3" s="33" t="s">
        <v>54</v>
      </c>
      <c r="AX3" s="33" t="s">
        <v>55</v>
      </c>
      <c r="AY3" s="33" t="s">
        <v>56</v>
      </c>
      <c r="AZ3" s="33" t="s">
        <v>57</v>
      </c>
      <c r="BA3" s="33" t="s">
        <v>58</v>
      </c>
      <c r="BB3" s="33" t="s">
        <v>59</v>
      </c>
      <c r="BC3" s="33" t="s">
        <v>60</v>
      </c>
      <c r="BD3" s="33" t="s">
        <v>61</v>
      </c>
      <c r="BE3" s="33" t="s">
        <v>62</v>
      </c>
      <c r="BF3" s="33" t="s">
        <v>63</v>
      </c>
      <c r="BG3" s="34" t="s">
        <v>64</v>
      </c>
      <c r="BH3" s="35" t="s">
        <v>30</v>
      </c>
      <c r="BI3" s="27" t="s">
        <v>31</v>
      </c>
      <c r="BJ3" s="28" t="s">
        <v>32</v>
      </c>
      <c r="BK3" s="29" t="s">
        <v>33</v>
      </c>
      <c r="BL3" s="30" t="s">
        <v>34</v>
      </c>
      <c r="BM3" s="31" t="s">
        <v>35</v>
      </c>
      <c r="BN3" s="32" t="s">
        <v>36</v>
      </c>
      <c r="BO3" s="36" t="s">
        <v>37</v>
      </c>
      <c r="BP3" s="33" t="s">
        <v>38</v>
      </c>
      <c r="BQ3" s="33" t="s">
        <v>39</v>
      </c>
      <c r="BR3" s="33" t="s">
        <v>40</v>
      </c>
      <c r="BS3" s="33" t="s">
        <v>41</v>
      </c>
      <c r="BT3" s="33" t="s">
        <v>42</v>
      </c>
      <c r="BU3" s="33" t="s">
        <v>43</v>
      </c>
      <c r="BV3" s="33" t="s">
        <v>44</v>
      </c>
      <c r="BW3" s="33" t="s">
        <v>45</v>
      </c>
      <c r="BX3" s="33" t="s">
        <v>46</v>
      </c>
      <c r="BY3" s="33" t="s">
        <v>47</v>
      </c>
      <c r="BZ3" s="33" t="s">
        <v>48</v>
      </c>
      <c r="CA3" s="33" t="s">
        <v>49</v>
      </c>
      <c r="CB3" s="33" t="s">
        <v>50</v>
      </c>
      <c r="CC3" s="33" t="s">
        <v>51</v>
      </c>
      <c r="CD3" s="33" t="s">
        <v>52</v>
      </c>
      <c r="CE3" s="33" t="s">
        <v>53</v>
      </c>
      <c r="CF3" s="33" t="s">
        <v>54</v>
      </c>
      <c r="CG3" s="33" t="s">
        <v>55</v>
      </c>
      <c r="CH3" s="33" t="s">
        <v>56</v>
      </c>
      <c r="CI3" s="33" t="s">
        <v>57</v>
      </c>
      <c r="CJ3" s="33" t="s">
        <v>58</v>
      </c>
      <c r="CK3" s="33" t="s">
        <v>59</v>
      </c>
      <c r="CL3" s="33" t="s">
        <v>60</v>
      </c>
      <c r="CM3" s="33" t="s">
        <v>61</v>
      </c>
      <c r="CN3" s="33" t="s">
        <v>62</v>
      </c>
      <c r="CO3" s="33" t="s">
        <v>63</v>
      </c>
      <c r="CP3" s="34" t="s">
        <v>64</v>
      </c>
      <c r="CQ3" s="37" t="s">
        <v>30</v>
      </c>
      <c r="CR3" s="27" t="s">
        <v>31</v>
      </c>
      <c r="CS3" s="28" t="s">
        <v>32</v>
      </c>
      <c r="CT3" s="29" t="s">
        <v>33</v>
      </c>
      <c r="CU3" s="30" t="s">
        <v>34</v>
      </c>
      <c r="CV3" s="31" t="s">
        <v>35</v>
      </c>
      <c r="CW3" s="32" t="s">
        <v>36</v>
      </c>
      <c r="CX3" s="33" t="s">
        <v>37</v>
      </c>
      <c r="CY3" s="33" t="s">
        <v>38</v>
      </c>
      <c r="CZ3" s="33" t="s">
        <v>39</v>
      </c>
      <c r="DA3" s="33" t="s">
        <v>40</v>
      </c>
      <c r="DB3" s="33" t="s">
        <v>41</v>
      </c>
      <c r="DC3" s="33" t="s">
        <v>42</v>
      </c>
      <c r="DD3" s="33" t="s">
        <v>43</v>
      </c>
      <c r="DE3" s="33" t="s">
        <v>44</v>
      </c>
      <c r="DF3" s="33" t="s">
        <v>45</v>
      </c>
      <c r="DG3" s="33" t="s">
        <v>46</v>
      </c>
      <c r="DH3" s="33" t="s">
        <v>47</v>
      </c>
      <c r="DI3" s="33" t="s">
        <v>48</v>
      </c>
      <c r="DJ3" s="33" t="s">
        <v>49</v>
      </c>
      <c r="DK3" s="33" t="s">
        <v>50</v>
      </c>
      <c r="DL3" s="33" t="s">
        <v>65</v>
      </c>
      <c r="DM3" s="33" t="s">
        <v>52</v>
      </c>
      <c r="DN3" s="33" t="s">
        <v>53</v>
      </c>
      <c r="DO3" s="33" t="s">
        <v>54</v>
      </c>
      <c r="DP3" s="33" t="s">
        <v>55</v>
      </c>
      <c r="DQ3" s="33" t="s">
        <v>56</v>
      </c>
      <c r="DR3" s="33" t="s">
        <v>57</v>
      </c>
      <c r="DS3" s="33" t="s">
        <v>58</v>
      </c>
      <c r="DT3" s="33" t="s">
        <v>59</v>
      </c>
      <c r="DU3" s="33" t="s">
        <v>60</v>
      </c>
      <c r="DV3" s="33" t="s">
        <v>61</v>
      </c>
      <c r="DW3" s="33" t="s">
        <v>62</v>
      </c>
      <c r="DX3" s="33" t="s">
        <v>63</v>
      </c>
      <c r="DY3" s="34" t="s">
        <v>64</v>
      </c>
      <c r="DZ3" s="37" t="s">
        <v>30</v>
      </c>
      <c r="EA3" s="38" t="s">
        <v>31</v>
      </c>
      <c r="EB3" s="39" t="s">
        <v>32</v>
      </c>
      <c r="EC3" s="40" t="s">
        <v>33</v>
      </c>
      <c r="ED3" s="41" t="s">
        <v>34</v>
      </c>
      <c r="EE3" s="42" t="s">
        <v>35</v>
      </c>
      <c r="EF3" s="43" t="s">
        <v>36</v>
      </c>
      <c r="EG3" s="36" t="s">
        <v>37</v>
      </c>
      <c r="EH3" s="33" t="s">
        <v>38</v>
      </c>
      <c r="EI3" s="33" t="s">
        <v>39</v>
      </c>
      <c r="EJ3" s="33" t="s">
        <v>40</v>
      </c>
      <c r="EK3" s="33" t="s">
        <v>41</v>
      </c>
      <c r="EL3" s="33" t="s">
        <v>42</v>
      </c>
      <c r="EM3" s="33" t="s">
        <v>43</v>
      </c>
      <c r="EN3" s="33" t="s">
        <v>44</v>
      </c>
      <c r="EO3" s="33" t="s">
        <v>45</v>
      </c>
      <c r="EP3" s="34" t="s">
        <v>64</v>
      </c>
      <c r="EQ3" s="26" t="s">
        <v>30</v>
      </c>
      <c r="ER3" s="44" t="s">
        <v>64</v>
      </c>
      <c r="ES3" s="35" t="s">
        <v>30</v>
      </c>
      <c r="ET3" s="45" t="s">
        <v>31</v>
      </c>
      <c r="EU3" s="39" t="s">
        <v>32</v>
      </c>
      <c r="EV3" s="29" t="s">
        <v>33</v>
      </c>
      <c r="EW3" s="30" t="s">
        <v>34</v>
      </c>
      <c r="EX3" s="31" t="s">
        <v>35</v>
      </c>
      <c r="EY3" s="32" t="s">
        <v>36</v>
      </c>
      <c r="EZ3" s="33" t="s">
        <v>37</v>
      </c>
      <c r="FA3" s="33" t="s">
        <v>38</v>
      </c>
      <c r="FB3" s="33" t="s">
        <v>39</v>
      </c>
      <c r="FC3" s="33" t="s">
        <v>40</v>
      </c>
      <c r="FD3" s="33" t="s">
        <v>41</v>
      </c>
      <c r="FE3" s="33" t="s">
        <v>42</v>
      </c>
      <c r="FF3" s="33" t="s">
        <v>43</v>
      </c>
      <c r="FG3" s="33" t="s">
        <v>44</v>
      </c>
      <c r="FH3" s="33" t="s">
        <v>45</v>
      </c>
      <c r="FI3" s="33" t="s">
        <v>46</v>
      </c>
      <c r="FJ3" s="33" t="s">
        <v>47</v>
      </c>
      <c r="FK3" s="33" t="s">
        <v>48</v>
      </c>
      <c r="FL3" s="33" t="s">
        <v>49</v>
      </c>
      <c r="FM3" s="33" t="s">
        <v>50</v>
      </c>
      <c r="FN3" s="33" t="s">
        <v>51</v>
      </c>
      <c r="FO3" s="33" t="s">
        <v>52</v>
      </c>
      <c r="FP3" s="33" t="s">
        <v>53</v>
      </c>
      <c r="FQ3" s="33" t="s">
        <v>54</v>
      </c>
      <c r="FR3" s="33" t="s">
        <v>55</v>
      </c>
      <c r="FS3" s="33" t="s">
        <v>56</v>
      </c>
      <c r="FT3" s="33" t="s">
        <v>57</v>
      </c>
      <c r="FU3" s="33" t="s">
        <v>58</v>
      </c>
      <c r="FV3" s="33" t="s">
        <v>59</v>
      </c>
      <c r="FW3" s="33" t="s">
        <v>60</v>
      </c>
      <c r="FX3" s="33" t="s">
        <v>61</v>
      </c>
      <c r="FY3" s="33" t="s">
        <v>62</v>
      </c>
      <c r="FZ3" s="34" t="s">
        <v>64</v>
      </c>
      <c r="GA3" s="46" t="s">
        <v>30</v>
      </c>
      <c r="GB3" s="47" t="s">
        <v>31</v>
      </c>
      <c r="GC3" s="48" t="s">
        <v>32</v>
      </c>
      <c r="GD3" s="49" t="s">
        <v>33</v>
      </c>
      <c r="GE3" s="23" t="s">
        <v>34</v>
      </c>
      <c r="GF3" s="50" t="s">
        <v>35</v>
      </c>
      <c r="GG3" s="50" t="s">
        <v>36</v>
      </c>
      <c r="GH3" s="51" t="s">
        <v>37</v>
      </c>
      <c r="GI3" s="51" t="s">
        <v>38</v>
      </c>
      <c r="GJ3" s="51" t="s">
        <v>39</v>
      </c>
      <c r="GK3" s="51" t="s">
        <v>40</v>
      </c>
      <c r="GL3" s="51" t="s">
        <v>41</v>
      </c>
      <c r="GM3" s="51" t="s">
        <v>42</v>
      </c>
      <c r="GN3" s="51" t="s">
        <v>43</v>
      </c>
      <c r="GO3" s="51" t="s">
        <v>44</v>
      </c>
      <c r="GP3" s="51" t="s">
        <v>45</v>
      </c>
      <c r="GQ3" s="33" t="s">
        <v>46</v>
      </c>
      <c r="GR3" s="33" t="s">
        <v>47</v>
      </c>
      <c r="GS3" s="33" t="s">
        <v>66</v>
      </c>
      <c r="GT3" s="33" t="s">
        <v>67</v>
      </c>
      <c r="GU3" s="33" t="s">
        <v>68</v>
      </c>
      <c r="GV3" s="33" t="s">
        <v>65</v>
      </c>
      <c r="GW3" s="33" t="s">
        <v>69</v>
      </c>
      <c r="GX3" s="33" t="s">
        <v>70</v>
      </c>
      <c r="GY3" s="33" t="s">
        <v>71</v>
      </c>
      <c r="GZ3" s="33" t="s">
        <v>72</v>
      </c>
      <c r="HA3" s="33" t="s">
        <v>73</v>
      </c>
      <c r="HB3" s="33" t="s">
        <v>74</v>
      </c>
      <c r="HC3" s="33" t="s">
        <v>75</v>
      </c>
      <c r="HD3" s="33" t="s">
        <v>76</v>
      </c>
      <c r="HE3" s="52" t="s">
        <v>64</v>
      </c>
      <c r="HF3" s="7"/>
      <c r="HG3" s="7"/>
      <c r="HH3" s="7"/>
      <c r="HI3" s="7"/>
      <c r="HJ3" s="7"/>
      <c r="HK3" s="7"/>
    </row>
    <row r="4" hidden="1">
      <c r="A4" s="53">
        <v>1.0</v>
      </c>
      <c r="B4" s="54" t="s">
        <v>77</v>
      </c>
      <c r="C4" s="55"/>
      <c r="D4" s="56"/>
      <c r="E4" s="56"/>
      <c r="F4" s="56"/>
      <c r="G4" s="57"/>
      <c r="H4" s="56"/>
      <c r="I4" s="56"/>
      <c r="J4" s="56"/>
      <c r="K4" s="56"/>
      <c r="L4" s="56"/>
      <c r="M4" s="56"/>
      <c r="N4" s="56"/>
      <c r="O4" s="58"/>
      <c r="P4" s="56"/>
      <c r="Q4" s="56"/>
      <c r="R4" s="56"/>
      <c r="S4" s="56"/>
      <c r="T4" s="56"/>
      <c r="U4" s="56"/>
      <c r="V4" s="56"/>
      <c r="W4" s="56"/>
      <c r="X4" s="56"/>
      <c r="Y4" s="59"/>
      <c r="Z4" s="59"/>
      <c r="AA4" s="59"/>
      <c r="AB4" s="60"/>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59"/>
      <c r="BI4" s="59"/>
      <c r="BJ4" s="59"/>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59"/>
      <c r="CS4" s="59"/>
      <c r="CT4" s="60"/>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2"/>
      <c r="HF4" s="7"/>
      <c r="HG4" s="7"/>
      <c r="HH4" s="7"/>
      <c r="HI4" s="7"/>
      <c r="HJ4" s="7"/>
      <c r="HK4" s="7"/>
    </row>
    <row r="5" ht="16.5" customHeight="1" outlineLevel="1">
      <c r="A5" s="53">
        <v>2.0</v>
      </c>
      <c r="B5" s="63" t="s">
        <v>78</v>
      </c>
      <c r="C5" s="63" t="s">
        <v>79</v>
      </c>
      <c r="D5" s="64" t="str">
        <f t="shared" ref="D5:D30" si="1">MID(B5,17,4)</f>
        <v>DATA</v>
      </c>
      <c r="E5" s="64" t="s">
        <v>80</v>
      </c>
      <c r="F5" s="65">
        <v>1130.0</v>
      </c>
      <c r="G5" s="66" t="s">
        <v>80</v>
      </c>
      <c r="H5" s="67">
        <v>1130.0</v>
      </c>
      <c r="I5" s="68" t="str">
        <f>IFERROR(VLOOKUP($C2:C108,'R22 RELATÓRIO ACC'!B:F,5,FALSE),"NOT PUBLISHED")</f>
        <v>V29</v>
      </c>
      <c r="J5" s="69" t="str">
        <f>IFERROR(VLOOKUP($C2:C108,'R22 RELATÓRIO ACC'!B:P,15,FALSE),"NOT PUBLISHED")</f>
        <v>13/04/2026</v>
      </c>
      <c r="K5" s="70" t="str">
        <f>IFERROR(VLOOKUP($B2:B108,'RELATÓRIO ACC'!B:F,5,FALSE),"NOT PUBLISHED")</f>
        <v>V3</v>
      </c>
      <c r="L5" s="71" t="str">
        <f>IFERROR(VLOOKUP($B2:B108,'RELATÓRIO ACC'!B:P,15,FALSE),"NOT PUBLISHED")</f>
        <v>03/06/2026</v>
      </c>
      <c r="M5" s="72" t="str">
        <f>IF(OR($D5="UTLS",$D5="GUAR",$D5="STIR",$D5="PUMP",$D5="SITE"),
   VLOOKUP($B5,'LOD 400 - SITE'!B:M,12,FALSE),
   VLOOKUP($B5,'LOD 400 - ADMN'!B:M,12,FALSE)
)</f>
        <v>V3</v>
      </c>
      <c r="N5" s="73">
        <f>IF(OR($D5="UTLS",$D5="GUAR",$D5="STIR",$D5="PUMP",$D5="SITE"),
   VLOOKUP($B5,'LOD 400 - SITE'!B:N,13,FALSE),
   VLOOKUP($B5,'LOD 400 - ADMN'!B:N,13,FALSE)
)</f>
        <v>46176</v>
      </c>
      <c r="O5" s="74" t="str">
        <f>IF(OR($D5="UTLS",$D5="GUAR",$D5="STIR",$D5="PUMP",$D5="SITE"),
   VLOOKUP($B5,'LOD 400 - SITE'!B:O,14,FALSE),
   VLOOKUP($B5,'LOD 400 - ADMN'!B:O,14,FALSE)
)</f>
        <v>R24</v>
      </c>
      <c r="P5" s="75" t="str">
        <f>IF(OR($D5="C345",$D5="C12A",$D5="DATA"),
   VLOOKUP($B5,'LOD 400 - COLO3'!B:M,12,FALSE),"N/A")</f>
        <v>V3</v>
      </c>
      <c r="Q5" s="76">
        <f>IF(OR($D5="C345",$D5="C12A",$D5="DATA"),
   VLOOKUP($B5,'LOD 400 - COLO3'!B:N,13,FALSE),"N/A")</f>
        <v>46176</v>
      </c>
      <c r="R5" s="75" t="str">
        <f>IF(OR($D5="C345",$D5="C12A",$D5="DATA"),
   VLOOKUP($B5,'LOD 400 - COLO3'!B:O,14,FALSE),"N/A")</f>
        <v>R24</v>
      </c>
      <c r="S5" s="76" t="str">
        <f>IF(OR($D5="C345",$D5="C12A",$D5="DATA"),
   VLOOKUP($B5,'LOD 400 - COLO4'!B:N,12,FALSE),"N/A")</f>
        <v>N/A</v>
      </c>
      <c r="T5" s="76" t="str">
        <f>IF(OR($D5="C345",$D5="C12A",$D5="DATA"),
   VLOOKUP($B5,'LOD 400 - COLO4'!B:N,13,FALSE),"N/A")</f>
        <v>N/A</v>
      </c>
      <c r="U5" s="76" t="str">
        <f>IF(OR($D5="C345",$D5="C12A",$D5="DATA"),
   VLOOKUP($B5,'LOD 400 - COLO4'!B:N,13,FALSE),"N/A")</f>
        <v>N/A</v>
      </c>
      <c r="V5" s="77" t="str">
        <f>IF(OR($D5="UTLS",$D5="GUAR",$D5="STIR",$D5="PUMP",$D5="SITE"),
   VLOOKUP($B5,'LOD 400 - UTLS'!B:M,12,FALSE),"N/A")</f>
        <v>N/A</v>
      </c>
      <c r="W5" s="78" t="str">
        <f>IF(OR($D5="UTLS",$D5="GUAR",$D5="STIR",$D5="PUMP",$D5="SITE"),
   VLOOKUP($B5,'LOD 400 - UTLS'!B:N,13,FALSE),"N/A")</f>
        <v>N/A</v>
      </c>
      <c r="X5" s="76" t="str">
        <f>IF(OR($D5="UTLS",$D5="GUAR",$D5="STIR",$D5="PUMP",$D5="SITE"),
   VLOOKUP($B5,'LOD 400 - UTLS'!B:O,14,FALSE),"N/A")</f>
        <v>N/A</v>
      </c>
      <c r="Y5" s="79" t="str">
        <f>IFERROR(VLOOKUP($B5,'LOD 400 - ADMN'!B:S,18,FALSE),"N/A")</f>
        <v>OUTDATED</v>
      </c>
      <c r="Z5" s="79" t="str">
        <f>IFERROR(VLOOKUP($B5,'LOD 400 - ADMN'!B:V,21,FALSE),"N/A")</f>
        <v>OUTDATED</v>
      </c>
      <c r="AA5" s="79">
        <f>IFERROR(VLOOKUP($B5,'LOD 400 - ADMN'!$B:Y,24,FALSE),"N/A")</f>
        <v>0.08</v>
      </c>
      <c r="AB5" s="80" t="str">
        <f>IFERROR(VLOOKUP($B5,'LOD 400 - ADMN'!$B:AB,27,FALSE),"N/A")</f>
        <v>OUTDATED</v>
      </c>
      <c r="AC5" s="81" t="str">
        <f>IFERROR(VLOOKUP($B5,'LOD 400 - ADMN'!$B:AE,30,FALSE),"N/A")</f>
        <v>NEXT ROUND</v>
      </c>
      <c r="AD5" s="81">
        <f>IFERROR(VLOOKUP($B5,'LOD 400 - ADMN'!$B:AH,33,FALSE),"N/A")</f>
        <v>0.56</v>
      </c>
      <c r="AE5" s="80" t="str">
        <f>IFERROR(VLOOKUP($B5,'LOD 400 - ADMN'!$B:AK,36,FALSE),"N/A")</f>
        <v>OUTDATED</v>
      </c>
      <c r="AF5" s="82" t="str">
        <f>IFERROR(VLOOKUP($B5,'LOD 400 - ADMN'!$B:AN,39,FALSE),"N/A")</f>
        <v>NEXT ROUND</v>
      </c>
      <c r="AG5" s="83">
        <f>IFERROR(VLOOKUP($B5,'LOD 400 - ADMN'!$B:AQ,42,FALSE),"N/A")</f>
        <v>0.74</v>
      </c>
      <c r="AH5" s="84" t="str">
        <f>IFERROR(VLOOKUP($B5,'LOD 400 - ADMN'!$B:AT,45,FALSE),"N/A")</f>
        <v>NEXT ROUND</v>
      </c>
      <c r="AI5" s="85" t="str">
        <f>IFERROR(VLOOKUP($B5,'LOD 400 - ADMN'!$B:AW,48,FALSE),"N/A")</f>
        <v>IMPROPER</v>
      </c>
      <c r="AJ5" s="85" t="str">
        <f>IFERROR(VLOOKUP($B5,'LOD 400 - ADMN'!$B:AZ,51,FALSE),"N/A")</f>
        <v>IMPROPER</v>
      </c>
      <c r="AK5" s="84" t="str">
        <f>IFERROR(VLOOKUP($B5,'LOD 400 - ADMN'!$B:BC,54,FALSE),"N/A")</f>
        <v>NEXT ROUND</v>
      </c>
      <c r="AL5" s="84" t="str">
        <f>IFERROR(VLOOKUP($B5,'LOD 400 - ADMN'!$B:BF,57,FALSE),"N/A")</f>
        <v>IMPROPER</v>
      </c>
      <c r="AM5" s="84" t="str">
        <f>IFERROR(VLOOKUP($B5,'LOD 400 - ADMN'!$B:BI,60,FALSE),"N/A")</f>
        <v>OUTDATED</v>
      </c>
      <c r="AN5" s="84" t="str">
        <f>IFERROR(VLOOKUP($B5,'LOD 400 - ADMN'!$B:BL,63,FALSE),"N/A")</f>
        <v>OUTDATED</v>
      </c>
      <c r="AO5" s="84" t="str">
        <f>IFERROR(VLOOKUP($B5,'LOD 400 - ADMN'!$B:BO,66,FALSE),"N/A")</f>
        <v>OUTDATED</v>
      </c>
      <c r="AP5" s="84">
        <f>IFERROR(VLOOKUP($B5,'LOD 400 - ADMN'!$B:BR,69,FALSE),"N/A")</f>
        <v>0.72</v>
      </c>
      <c r="AQ5" s="84" t="str">
        <f>IFERROR(VLOOKUP($B5,'LOD 400 - ADMN'!$B:BU,72,FALSE),"N/A")</f>
        <v>OUTDATED</v>
      </c>
      <c r="AR5" s="84" t="str">
        <f>IFERROR(VLOOKUP($B5,'LOD 400 - ADMN'!$B:BX,75,FALSE),"N/A")</f>
        <v>OUTDATED</v>
      </c>
      <c r="AS5" s="84">
        <f>IFERROR(VLOOKUP($B5,'LOD 400 - ADMN'!$B:CA,78,FALSE),"N/A")</f>
        <v>0.64</v>
      </c>
      <c r="AT5" s="84" t="str">
        <f>IFERROR(VLOOKUP($B5,'LOD 400 - ADMN'!$B:CD,81,FALSE),"N/A")</f>
        <v>OUTDATED</v>
      </c>
      <c r="AU5" s="85" t="str">
        <f>IFERROR(VLOOKUP($B5,'LOD 400 - ADMN'!$B:CG,84,FALSE),"N/A")</f>
        <v>OUTDATED</v>
      </c>
      <c r="AV5" s="84" t="str">
        <f>IFERROR(VLOOKUP($B5,'LOD 400 - ADMN'!$B:CJ,87,FALSE),"N/A")</f>
        <v>OUTDATED</v>
      </c>
      <c r="AW5" s="85" t="str">
        <f>IFERROR(VLOOKUP($B5,'LOD 400 - ADMN'!$B:CM,90,FALSE),"N/A")</f>
        <v>OUTDATED</v>
      </c>
      <c r="AX5" s="84" t="str">
        <f>IFERROR(VLOOKUP($B5,'LOD 400 - ADMN'!$B:CP,93,FALSE),"N/A")</f>
        <v>NEXT ROUND</v>
      </c>
      <c r="AY5" s="84" t="str">
        <f>IFERROR(VLOOKUP($B5,'LOD 400 - ADMN'!$B:CS,96,FALSE),"N/A")</f>
        <v>NEXT ROUND</v>
      </c>
      <c r="AZ5" s="84">
        <f>IFERROR(VLOOKUP($B5,'LOD 400 - ADMN'!$B:CV,99,FALSE),"N/A")</f>
        <v>0.81</v>
      </c>
      <c r="BA5" s="84" t="str">
        <f>IFERROR(VLOOKUP($B5,'LOD 400 - ADMN'!$B:CY,102,FALSE),"N/A")</f>
        <v>OUTDATED</v>
      </c>
      <c r="BB5" s="84" t="str">
        <f>IFERROR(VLOOKUP($B5,'LOD 400 - ADMN'!$B:DB,105,FALSE),"N/A")</f>
        <v>OUTDATED</v>
      </c>
      <c r="BC5" s="84" t="str">
        <f>IFERROR(VLOOKUP($B5,'LOD 400 - ADMN'!$B:DE,108,FALSE),"N/A")</f>
        <v>OUTDATED</v>
      </c>
      <c r="BD5" s="84" t="str">
        <f>IFERROR(VLOOKUP($B5,'LOD 400 - ADMN'!$B:DH,111,FALSE),"N/A")</f>
        <v>OUTDATED</v>
      </c>
      <c r="BE5" s="84" t="str">
        <f>IFERROR(VLOOKUP($B5,'LOD 400 - ADMN'!$B:DK,114,FALSE),"N/A")</f>
        <v>OUTDATED</v>
      </c>
      <c r="BF5" s="84" t="str">
        <f>IFERROR(VLOOKUP($B5,'LOD 400 - ADMN'!$B:DN,117,FALSE),"N/A")</f>
        <v>OUTDATED</v>
      </c>
      <c r="BG5" s="86">
        <f>IFERROR(__xludf.DUMMYFUNCTION("IFERROR(
  MAX(FILTER(Y5:BF5, ISNUMBER(Y5:BF5))),
  BF5
)"),0.81)</f>
        <v>0.81</v>
      </c>
      <c r="BH5" s="79" t="str">
        <f>IFERROR(VLOOKUP($B5,'LOD 400 - COLO1'!B:S,18,FALSE),"N/A")</f>
        <v>OUTDATED</v>
      </c>
      <c r="BI5" s="79" t="str">
        <f>IFERROR(VLOOKUP($B5,'LOD 400 - COLO1'!B:V,21,FALSE),"N/A")</f>
        <v>OUTDATED</v>
      </c>
      <c r="BJ5" s="79">
        <f>IFERROR(VLOOKUP($B5,'LOD 400 - COLO1'!$B:Y,24,FALSE),"N/A")</f>
        <v>0.62</v>
      </c>
      <c r="BK5" s="87" t="str">
        <f>IFERROR(VLOOKUP($B5,'LOD 400 - COLO1'!$B:AB,27,FALSE),"N/A")</f>
        <v>OUTDATED</v>
      </c>
      <c r="BL5" s="80" t="str">
        <f>IFERROR(VLOOKUP($B5,'LOD 400 - COLO1'!$B:AE,30,FALSE),"N/A")</f>
        <v>NEXT ROUND</v>
      </c>
      <c r="BM5" s="81">
        <f>IFERROR(VLOOKUP($B5,'LOD 400 - COLO1'!$B:AH,33,FALSE),"N/A")</f>
        <v>0.81</v>
      </c>
      <c r="BN5" s="87" t="str">
        <f>IFERROR(VLOOKUP($B5,'LOD 400 - COLO1'!$B:AK,36,FALSE),"N/A")</f>
        <v>OUTDATED</v>
      </c>
      <c r="BO5" s="83" t="str">
        <f>IFERROR(VLOOKUP($B5,'LOD 400 - COLO1'!$B:AN,39,FALSE),"N/A")</f>
        <v>NEXT ROUND</v>
      </c>
      <c r="BP5" s="88">
        <f>IFERROR(VLOOKUP($B5,'LOD 400 - COLO1'!$B:AQ,42,FALSE),"N/A")</f>
        <v>0.9</v>
      </c>
      <c r="BQ5" s="84" t="str">
        <f>IFERROR(VLOOKUP($B5,'LOD 400 - COLO1'!$B:AT,45,FALSE),"N/A")</f>
        <v>NEXT ROUND</v>
      </c>
      <c r="BR5" s="85" t="str">
        <f>IFERROR(VLOOKUP($B5,'LOD 400 - COLO1'!$B:AW,48,FALSE),"N/A")</f>
        <v>IMPROPER</v>
      </c>
      <c r="BS5" s="84" t="str">
        <f>IFERROR(VLOOKUP($B5,'LOD 400 - COLO1'!$B:AZ,51,FALSE),"N/A")</f>
        <v>IMPROPER</v>
      </c>
      <c r="BT5" s="84" t="str">
        <f>IFERROR(VLOOKUP($B5,'LOD 400 - COLO1'!$B:BC,54,FALSE),"N/A")</f>
        <v>NEXT ROUND</v>
      </c>
      <c r="BU5" s="84" t="str">
        <f>IFERROR(VLOOKUP($B5,'LOD 400 - COLO1'!$B:BF,57,FALSE),"N/A")</f>
        <v>IMPROPER</v>
      </c>
      <c r="BV5" s="84" t="str">
        <f>IFERROR(VLOOKUP($B5,'LOD 400 - COLO1'!$B:BI,60,FALSE),"N/A")</f>
        <v>OUTDATED</v>
      </c>
      <c r="BW5" s="84" t="str">
        <f>IFERROR(VLOOKUP($B5,'LOD 400 - COLO1'!$B:BL,63,FALSE),"N/A")</f>
        <v>OUTDATED</v>
      </c>
      <c r="BX5" s="84" t="str">
        <f>IFERROR(VLOOKUP($B5,'LOD 400 - COLO1'!$B:BO,66,FALSE),"N/A")</f>
        <v>OUTDATED</v>
      </c>
      <c r="BY5" s="84">
        <f>IFERROR(VLOOKUP($B5,'LOD 400 - COLO1'!$B:BR,69,FALSE),"N/A")</f>
        <v>0.87</v>
      </c>
      <c r="BZ5" s="84" t="str">
        <f>IFERROR(VLOOKUP($B5,'LOD 400 - COLO1'!$B:BU,72,FALSE),"N/A")</f>
        <v>OUTDATED</v>
      </c>
      <c r="CA5" s="84" t="str">
        <f>IFERROR(VLOOKUP($B5,'LOD 400 - COLO1'!$B:BX,75,FALSE),"N/A")</f>
        <v>OUTDATED</v>
      </c>
      <c r="CB5" s="84">
        <f>IFERROR(VLOOKUP($B5,'LOD 400 - COLO1'!$B:CA,78,FALSE),"N/A")</f>
        <v>0.77</v>
      </c>
      <c r="CC5" s="84" t="str">
        <f>IFERROR(VLOOKUP($B5,'LOD 400 - COLO1'!$B:CD,81,FALSE),"N/A")</f>
        <v>OUTDATED</v>
      </c>
      <c r="CD5" s="85" t="str">
        <f>IFERROR(VLOOKUP($B5,'LOD 400 - COLO1'!$B:CG,84,FALSE),"N/A")</f>
        <v>OUTDATED</v>
      </c>
      <c r="CE5" s="84" t="str">
        <f>IFERROR(VLOOKUP($B5,'LOD 400 - COLO1'!$B:CJ,87,FALSE),"N/A")</f>
        <v>OUTDATED</v>
      </c>
      <c r="CF5" s="85" t="str">
        <f>IFERROR(VLOOKUP($B5,'LOD 400 - COLO1'!$B:CM,90,FALSE),"N/A")</f>
        <v>OUTDATED</v>
      </c>
      <c r="CG5" s="84" t="str">
        <f>IFERROR(VLOOKUP($B5,'LOD 400 - COLO1'!$B:CP,93,FALSE),"N/A")</f>
        <v>NEXT ROUND</v>
      </c>
      <c r="CH5" s="84" t="str">
        <f>IFERROR(VLOOKUP($B5,'LOD 400 - COLO1'!$B:CS,96,FALSE),"N/A")</f>
        <v>NEXT ROUND</v>
      </c>
      <c r="CI5" s="84">
        <f>IFERROR(VLOOKUP($B5,'LOD 400 - COLO1'!$B:CV,99,FALSE),"N/A")</f>
        <v>1</v>
      </c>
      <c r="CJ5" s="84">
        <f>IFERROR(VLOOKUP($B5,'LOD 400 - COLO1'!$B:CY,102,FALSE),"N/A")</f>
        <v>1</v>
      </c>
      <c r="CK5" s="84">
        <f>IFERROR(VLOOKUP($B5,'LOD 400 - COLO1'!$B:DB,105,FALSE),"N/A")</f>
        <v>1</v>
      </c>
      <c r="CL5" s="84">
        <f>IFERROR(VLOOKUP($B5,'LOD 400 - COLO1'!$B:DE,108,FALSE),"N/A")</f>
        <v>1</v>
      </c>
      <c r="CM5" s="84">
        <f>IFERROR(VLOOKUP($B5,'LOD 400 - COLO1'!$B:DH,111,FALSE),"N/A")</f>
        <v>1</v>
      </c>
      <c r="CN5" s="84">
        <f>IFERROR(VLOOKUP($B5,'LOD 400 - COLO1'!$B:DK,114,FALSE),"N/A")</f>
        <v>1</v>
      </c>
      <c r="CO5" s="84">
        <f>IFERROR(VLOOKUP($B5,'LOD 400 - COLO1'!$B:DN,117,FALSE),"N/A")</f>
        <v>1</v>
      </c>
      <c r="CP5" s="86">
        <f>IFERROR(__xludf.DUMMYFUNCTION("IFERROR(
  MAX(FILTER(BH5:CO5, ISNUMBER(BH5:CO5))),
  CO5
)"),1.0)</f>
        <v>1</v>
      </c>
      <c r="CQ5" s="89" t="str">
        <f>IFERROR(VLOOKUP($B5,'LOD 400 - COLO2'!B:S,18,FALSE),"N/A")</f>
        <v>OUTDATED</v>
      </c>
      <c r="CR5" s="79" t="str">
        <f>IFERROR(VLOOKUP($B5,'LOD 400 - COLO2'!B:V,21,FALSE),"N/A")</f>
        <v>OUTDATED</v>
      </c>
      <c r="CS5" s="79">
        <f>IFERROR(VLOOKUP($B5,'LOD 400 - COLO2'!$B:Y,24,FALSE),"N/A")</f>
        <v>0.43</v>
      </c>
      <c r="CT5" s="80" t="str">
        <f>IFERROR(VLOOKUP($B5,'LOD 400 - COLO2'!$B:DQ,27,FALSE),"N/A")</f>
        <v>OUTDATED</v>
      </c>
      <c r="CU5" s="90" t="str">
        <f>IFERROR(VLOOKUP($B5,'LOD 400 - COLO2'!$B:AE,30,FALSE),"N/A")</f>
        <v>NEXT ROUND</v>
      </c>
      <c r="CV5" s="81">
        <f>IFERROR(VLOOKUP($B5,'LOD 400 - COLO2'!$B:AH,33,FALSE),"N/A")</f>
        <v>0.69</v>
      </c>
      <c r="CW5" s="90" t="str">
        <f>IFERROR(VLOOKUP($B5,'LOD 400 - COLO2'!$B:AK,36,FALSE),"N/A")</f>
        <v>OUTDATED</v>
      </c>
      <c r="CX5" s="85" t="str">
        <f>IFERROR(VLOOKUP($B5,'LOD 400 - COLO2'!$B:AN,39,FALSE),"N/A")</f>
        <v>NEXT ROUND</v>
      </c>
      <c r="CY5" s="88">
        <f>IFERROR(VLOOKUP($B5,'LOD 400 - COLO2'!$B:AQ,42,FALSE),"N/A")</f>
        <v>0.86</v>
      </c>
      <c r="CZ5" s="84" t="str">
        <f>IFERROR(VLOOKUP($B5,'LOD 400 - COLO2'!$B:AT,45,FALSE),"N/A")</f>
        <v>NEXT ROUND</v>
      </c>
      <c r="DA5" s="85" t="str">
        <f>IFERROR(VLOOKUP($B5,'LOD 400 - COLO2'!$B:AW,48,FALSE),"N/A")</f>
        <v>IMPROPER</v>
      </c>
      <c r="DB5" s="84" t="str">
        <f>IFERROR(VLOOKUP($B5,'LOD 400 - COLO2'!$B:AZ,51,FALSE),"N/A")</f>
        <v>IMPROPER</v>
      </c>
      <c r="DC5" s="84" t="str">
        <f>IFERROR(VLOOKUP($B5,'LOD 400 - COLO2'!$B:BC,54,FALSE),"N/A")</f>
        <v>NEXT ROUND</v>
      </c>
      <c r="DD5" s="84" t="str">
        <f>IFERROR(VLOOKUP($B5,'LOD 400 - COLO2'!$B:BF,57,FALSE),"N/A")</f>
        <v>IMPROPER</v>
      </c>
      <c r="DE5" s="84" t="str">
        <f>IFERROR(VLOOKUP($B5,'LOD 400 - COLO2'!$B:BI,60,FALSE),"N/A")</f>
        <v>OUTDATED</v>
      </c>
      <c r="DF5" s="84" t="str">
        <f>IFERROR(VLOOKUP($B5,'LOD 400 - COLO2'!$B:BL,63,FALSE),"N/A")</f>
        <v>OUTDATED</v>
      </c>
      <c r="DG5" s="84" t="str">
        <f>IFERROR(VLOOKUP($B5,'LOD 400 - COLO2'!$B:BO,66,FALSE),"N/A")</f>
        <v>OUTDATED</v>
      </c>
      <c r="DH5" s="84" t="str">
        <f>IFERROR(VLOOKUP($B5,'LOD 400 - COLO2'!$B:BR,69,FALSE),"N/A")</f>
        <v>NEXT ROUND</v>
      </c>
      <c r="DI5" s="84">
        <f>IFERROR(VLOOKUP($B5,'LOD 400 - COLO2'!$B:BU,72,FALSE),"N/A")</f>
        <v>0.81</v>
      </c>
      <c r="DJ5" s="84" t="str">
        <f>IFERROR(VLOOKUP($B5,'LOD 400 - COLO2'!$B:BX,75,FALSE),"N/A")</f>
        <v>OUTDATED</v>
      </c>
      <c r="DK5" s="84">
        <f>IFERROR(VLOOKUP($B5,'LOD 400 - COLO2'!$B:CA,78,FALSE),"N/A")</f>
        <v>0.74</v>
      </c>
      <c r="DL5" s="84" t="str">
        <f>IFERROR(VLOOKUP($B5,'LOD 400 - COLO2'!$B:CD,81,FALSE),"N/A")</f>
        <v>OUTDATED</v>
      </c>
      <c r="DM5" s="85" t="str">
        <f>IFERROR(VLOOKUP($B5,'LOD 400 - COLO2'!$B:CG,84,FALSE),"N/A")</f>
        <v>OUTDATED</v>
      </c>
      <c r="DN5" s="84" t="str">
        <f>IFERROR(VLOOKUP($B5,'LOD 400 - COLO2'!$B:CJ,87,FALSE),"N/A")</f>
        <v>OUTDATED</v>
      </c>
      <c r="DO5" s="85" t="str">
        <f>IFERROR(VLOOKUP($B5,'LOD 400 - COLO2'!$B:CM,90,FALSE),"N/A")</f>
        <v>OUTDATED</v>
      </c>
      <c r="DP5" s="84" t="str">
        <f>IFERROR(VLOOKUP($B5,'LOD 400 - COLO2'!$B:CP,93,FALSE),"N/A")</f>
        <v>NEXT ROUND</v>
      </c>
      <c r="DQ5" s="84" t="str">
        <f>IFERROR(VLOOKUP($B5,'LOD 400 - COLO2'!$B:CS,96,FALSE),"N/A")</f>
        <v>NEXT ROUND</v>
      </c>
      <c r="DR5" s="84" t="str">
        <f>IFERROR(VLOOKUP($B5,'LOD 400 - COLO2'!$B:CV,99,FALSE),"N/A")</f>
        <v>NEXT ROUND</v>
      </c>
      <c r="DS5" s="84">
        <f>IFERROR(VLOOKUP($B5,'LOD 400 - COLO2'!$B:CY,102,FALSE),"N/A")</f>
        <v>1</v>
      </c>
      <c r="DT5" s="84">
        <f>IFERROR(VLOOKUP($B5,'LOD 400 - COLO2'!$B:DB,105,FALSE),"N/A")</f>
        <v>1</v>
      </c>
      <c r="DU5" s="84">
        <f>IFERROR(VLOOKUP($B5,'LOD 400 - COLO2'!$B:DE,108,FALSE),"N/A")</f>
        <v>1</v>
      </c>
      <c r="DV5" s="84">
        <f>IFERROR(VLOOKUP($B5,'LOD 400 - COLO2'!$B:DH,111,FALSE),"N/A")</f>
        <v>1</v>
      </c>
      <c r="DW5" s="84">
        <f>IFERROR(VLOOKUP($B5,'LOD 400 - COLO2'!$B:DK,114,FALSE),"N/A")</f>
        <v>1</v>
      </c>
      <c r="DX5" s="84">
        <f>IFERROR(VLOOKUP($B5,'LOD 400 - COLO2'!$B:DN,117,FALSE),"N/A")</f>
        <v>1</v>
      </c>
      <c r="DY5" s="91">
        <f>IFERROR(__xludf.DUMMYFUNCTION("IFERROR(
  MAX(FILTER(CQ5:DW5, ISNUMBER(CQ5:DW5))),
  DW5
)"),1.0)</f>
        <v>1</v>
      </c>
      <c r="DZ5" s="92">
        <f>IFERROR(VLOOKUP($B5,'LOD 400 - COLO3'!B:S,18,FALSE),"N/A")</f>
        <v>0</v>
      </c>
      <c r="EA5" s="84">
        <f>IFERROR(VLOOKUP($B5,'LOD 400 - COLO3'!B:V,21,FALSE),"N/A")</f>
        <v>0.74</v>
      </c>
      <c r="EB5" s="84">
        <f>IFERROR(VLOOKUP($B5,'LOD 400 - COLO3'!B:Y,24,FALSE),"N/A")</f>
        <v>0.79</v>
      </c>
      <c r="EC5" s="84" t="str">
        <f>IFERROR(VLOOKUP($B5,'LOD 400 - COLO3'!B:AB,27,FALSE),"N/A")</f>
        <v>OUTDATED</v>
      </c>
      <c r="ED5" s="85" t="str">
        <f>IFERROR(VLOOKUP($B5,'LOD 400 - COLO3'!B:AE,30,FALSE),"N/A")</f>
        <v>OUTDATED</v>
      </c>
      <c r="EE5" s="84" t="str">
        <f>IFERROR(VLOOKUP($B5,'LOD 400 - COLO3'!B:AH,33,FALSE),"N/A")</f>
        <v>OUTDATED</v>
      </c>
      <c r="EF5" s="84" t="str">
        <f>IFERROR(VLOOKUP($B5,'LOD 400 - COLO3'!B:AK,36,FALSE),"N/A")</f>
        <v>OUTDATED</v>
      </c>
      <c r="EG5" s="93" t="str">
        <f>IFERROR(VLOOKUP($B5,'LOD 400 - COLO3'!B:AN,39,FALSE),"N/A")</f>
        <v>NEXT ROUND</v>
      </c>
      <c r="EH5" s="94" t="str">
        <f>IFERROR(VLOOKUP($B5,'LOD 400 - COLO3'!B:AQ,42,FALSE),"N/A")</f>
        <v>NEXT ROUND</v>
      </c>
      <c r="EI5" s="94" t="str">
        <f>IFERROR(VLOOKUP($B5,'LOD 400 - COLO3'!B:AT,45,FALSE),"N/A")</f>
        <v>NEXT ROUND</v>
      </c>
      <c r="EJ5" s="94">
        <f>IFERROR(VLOOKUP($B5,'LOD 400 - COLO3'!B:AW,48,FALSE),"N/A")</f>
        <v>1</v>
      </c>
      <c r="EK5" s="94">
        <f>IFERROR(VLOOKUP($B5,'LOD 400 - COLO3'!B:AZ,51,FALSE),"N/A")</f>
        <v>1</v>
      </c>
      <c r="EL5" s="94">
        <f>IFERROR(VLOOKUP($B5,'LOD 400 - COLO3'!B:BC,54,FALSE),"N/A")</f>
        <v>1</v>
      </c>
      <c r="EM5" s="94">
        <f>IFERROR(VLOOKUP($B5,'LOD 400 - COLO3'!B:BF,57,FALSE),"N/A")</f>
        <v>1</v>
      </c>
      <c r="EN5" s="94">
        <f>IFERROR(VLOOKUP($B5,'LOD 400 - COLO3'!B:BI,60,FALSE),"N/A")</f>
        <v>1</v>
      </c>
      <c r="EO5" s="94">
        <f>IFERROR(VLOOKUP($B5,'LOD 400 - COLO3'!B:BL,63,FALSE),"N/A")</f>
        <v>1</v>
      </c>
      <c r="EP5" s="86">
        <f>IFERROR(__xludf.DUMMYFUNCTION("IFERROR(
  MAX(FILTER(DZ5:EO5, ISNUMBER(DZ5:EO5))),
  EO5
)"),1.0)</f>
        <v>1</v>
      </c>
      <c r="EQ5" s="95">
        <f>IFERROR(VLOOKUP($B5,'LOD 400 - COLO4'!B:S,18,FALSE),"N/A")</f>
        <v>0</v>
      </c>
      <c r="ER5" s="96">
        <f>IFERROR(__xludf.DUMMYFUNCTION("IFERROR(
  MAX(FILTER(EQ5, ISNUMBER(EQ5))),
  EQ5
)"),0.0)</f>
        <v>0</v>
      </c>
      <c r="ES5" s="79" t="str">
        <f>IFERROR(VLOOKUP($B5,'LOD 400 - SITE'!B:S,18,FALSE),"N/A")</f>
        <v>N/A</v>
      </c>
      <c r="ET5" s="80" t="str">
        <f>IFERROR(VLOOKUP($B5,'LOD 400 - SITE'!B:V,21,FALSE),"N/A")</f>
        <v>N/A</v>
      </c>
      <c r="EU5" s="97" t="str">
        <f>IFERROR(VLOOKUP($B5,'LOD 400 - SITE'!$B:Y,24,FALSE),"N/A")</f>
        <v>N/A</v>
      </c>
      <c r="EV5" s="80" t="str">
        <f>IFERROR(VLOOKUP($B5,'LOD 400 - SITE'!$B:AB,27,FALSE),"N/A")</f>
        <v>N/A</v>
      </c>
      <c r="EW5" s="81" t="str">
        <f>IFERROR(VLOOKUP($B5,'LOD 400 - SITE'!$B:AE,30,FALSE),"N/A")</f>
        <v>N/A</v>
      </c>
      <c r="EX5" s="87" t="str">
        <f>IFERROR(VLOOKUP($B5,'LOD 400 - SITE'!$B:AH,33,FALSE),"N/A")</f>
        <v>N/A</v>
      </c>
      <c r="EY5" s="87" t="str">
        <f>IFERROR(VLOOKUP($B5,'LOD 400 - SITE'!$B:AK,36,FALSE),"N/A")</f>
        <v>N/A</v>
      </c>
      <c r="EZ5" s="80" t="str">
        <f>IFERROR(VLOOKUP($B5,'LOD 400 - SITE'!$B:AN,39,FALSE),"N/A")</f>
        <v>N/A</v>
      </c>
      <c r="FA5" s="82" t="str">
        <f>IFERROR(VLOOKUP($B5,'LOD 400 - SITE'!$B:AQ,42,FALSE),"N/A")</f>
        <v>N/A</v>
      </c>
      <c r="FB5" s="88" t="str">
        <f>IFERROR(VLOOKUP($B5,'LOD 400 - SITE'!$B:AT,45,FALSE),"N/A")</f>
        <v>N/A</v>
      </c>
      <c r="FC5" s="84" t="str">
        <f>IFERROR(VLOOKUP($B5,'LOD 400 - SITE'!$B:AW,48,FALSE),"N/A")</f>
        <v>N/A</v>
      </c>
      <c r="FD5" s="84" t="str">
        <f>IFERROR(VLOOKUP($B5,'LOD 400 - SITE'!$B:AZ,51,FALSE),"N/A")</f>
        <v>N/A</v>
      </c>
      <c r="FE5" s="84" t="str">
        <f>IFERROR(VLOOKUP($B5,'LOD 400 - SITE'!$B:BC,54,FALSE),"N/A")</f>
        <v>N/A</v>
      </c>
      <c r="FF5" s="84" t="str">
        <f>IFERROR(VLOOKUP($B5,'LOD 400 - SITE'!$B:BF,57,FALSE),"N/A")</f>
        <v>N/A</v>
      </c>
      <c r="FG5" s="84" t="str">
        <f>IFERROR(VLOOKUP($B5,'LOD 400 - SITE'!$B:BI,60,FALSE),"N/A")</f>
        <v>N/A</v>
      </c>
      <c r="FH5" s="84" t="str">
        <f>IFERROR(VLOOKUP($B5,'LOD 400 - SITE'!$B:BL,63,FALSE),"N/A")</f>
        <v>N/A</v>
      </c>
      <c r="FI5" s="84" t="str">
        <f>IFERROR(VLOOKUP($B5,'LOD 400 - SITE'!$B:BO,66,FALSE),"N/A")</f>
        <v>N/A</v>
      </c>
      <c r="FJ5" s="84" t="str">
        <f>IFERROR(VLOOKUP($B5,'LOD 400 - SITE'!$B:BR,69,FALSE),"N/A")</f>
        <v>N/A</v>
      </c>
      <c r="FK5" s="84" t="str">
        <f>IFERROR(VLOOKUP($B5,'LOD 400 - SITE'!$B:BU,72,FALSE),"N/A")</f>
        <v>N/A</v>
      </c>
      <c r="FL5" s="84" t="str">
        <f>IFERROR(VLOOKUP($B5,'LOD 400 - SITE'!$B:BX,75,FALSE),"N/A")</f>
        <v>N/A</v>
      </c>
      <c r="FM5" s="84" t="str">
        <f>IFERROR(VLOOKUP($B5,'LOD 400 - SITE'!$B:CA,78,FALSE),"N/A")</f>
        <v>N/A</v>
      </c>
      <c r="FN5" s="85" t="str">
        <f>IFERROR(VLOOKUP($B5,'LOD 400 - SITE'!$B:CD,81,FALSE),"N/A")</f>
        <v>N/A</v>
      </c>
      <c r="FO5" s="84" t="str">
        <f>IFERROR(VLOOKUP($B5,'LOD 400 - SITE'!$B:CG,84,FALSE),"N/A")</f>
        <v>N/A</v>
      </c>
      <c r="FP5" s="85" t="str">
        <f>IFERROR(VLOOKUP($B5,'LOD 400 - SITE'!$B:CJ,87,FALSE),"N/A")</f>
        <v>N/A</v>
      </c>
      <c r="FQ5" s="84" t="str">
        <f>IFERROR(VLOOKUP($B5,'LOD 400 - SITE'!$B:CM,90,FALSE),"N/A")</f>
        <v>N/A</v>
      </c>
      <c r="FR5" s="84" t="str">
        <f>IFERROR(VLOOKUP($B5,'LOD 400 - SITE'!$B:CP,93,FALSE),"N/A")</f>
        <v>N/A</v>
      </c>
      <c r="FS5" s="84" t="str">
        <f>IFERROR(VLOOKUP($B5,'LOD 400 - SITE'!$B:CS,96,FALSE),"N/A")</f>
        <v>N/A</v>
      </c>
      <c r="FT5" s="84" t="str">
        <f>IFERROR(VLOOKUP($B5,'LOD 400 - SITE'!$B:CV,99,FALSE),"N/A")</f>
        <v>N/A</v>
      </c>
      <c r="FU5" s="84" t="str">
        <f>IFERROR(VLOOKUP($B5,'LOD 400 - SITE'!$B:CY,102,FALSE),"N/A")</f>
        <v>N/A</v>
      </c>
      <c r="FV5" s="84" t="str">
        <f>IFERROR(VLOOKUP($B5,'LOD 400 - SITE'!$B:DB,105,FALSE),"N/A")</f>
        <v>N/A</v>
      </c>
      <c r="FW5" s="84" t="str">
        <f>IFERROR(VLOOKUP($B5,'LOD 400 - SITE'!$B:DE,108,FALSE),"N/A")</f>
        <v>N/A</v>
      </c>
      <c r="FX5" s="84" t="str">
        <f>IFERROR(VLOOKUP($B5,'LOD 400 - SITE'!$B:DH,111,FALSE),"N/A")</f>
        <v>N/A</v>
      </c>
      <c r="FY5" s="84" t="str">
        <f>IFERROR(VLOOKUP($B5,'LOD 400 - SITE'!$B:DK,114,FALSE),"N/A")</f>
        <v>N/A</v>
      </c>
      <c r="FZ5" s="96" t="str">
        <f>IFERROR(__xludf.DUMMYFUNCTION("IFERROR(
  MAX(FILTER(ES5:FY5, ISNUMBER(ES5:FY5))),
  FY5
)"),"N/A")</f>
        <v>N/A</v>
      </c>
      <c r="GA5" s="80" t="str">
        <f>IFERROR(VLOOKUP($B5,'LOD 400 - UTLS'!B:S,18,FALSE),"N/A")</f>
        <v>N/A</v>
      </c>
      <c r="GB5" s="98" t="str">
        <f>IFERROR(VLOOKUP($B5,'LOD 400 - UTLS'!B:V,21,FALSE),"N/A")</f>
        <v>N/A</v>
      </c>
      <c r="GC5" s="81" t="str">
        <f>IFERROR(VLOOKUP($B5,'LOD 400 - UTLS'!B:Y,24,FALSE),"N/A")</f>
        <v>N/A</v>
      </c>
      <c r="GD5" s="87" t="str">
        <f>IFERROR(VLOOKUP($B5,'LOD 400 - UTLS'!$B:AB,27,FALSE),"N/A")</f>
        <v>N/A</v>
      </c>
      <c r="GE5" s="80" t="str">
        <f>IFERROR(VLOOKUP($B5,'LOD 400 - UTLS'!$B:AE,30,FALSE),"N/A")</f>
        <v>N/A</v>
      </c>
      <c r="GF5" s="82" t="str">
        <f>IFERROR(VLOOKUP($B5,'LOD 400 - UTLS'!$B:AH,33,FALSE),"N/A")</f>
        <v>N/A</v>
      </c>
      <c r="GG5" s="88" t="str">
        <f>IFERROR(VLOOKUP($B5,'LOD 400 - UTLS'!$B:AK,36,FALSE),"N/A")</f>
        <v>N/A</v>
      </c>
      <c r="GH5" s="84" t="str">
        <f>IFERROR(VLOOKUP($B5,'LOD 400 - UTLS'!$B:AN,39,FALSE),"N/A")</f>
        <v>N/A</v>
      </c>
      <c r="GI5" s="84" t="str">
        <f>IFERROR(VLOOKUP($B5,'LOD 400 - UTLS'!$B:AQ,42,FALSE),"N/A")</f>
        <v>N/A</v>
      </c>
      <c r="GJ5" s="84" t="str">
        <f>IFERROR(VLOOKUP($B5,'LOD 400 - UTLS'!$B:AT,45,FALSE),"N/A")</f>
        <v>N/A</v>
      </c>
      <c r="GK5" s="84" t="str">
        <f>IFERROR(VLOOKUP($B5,'LOD 400 - UTLS'!$B:AW,48,FALSE),"N/A")</f>
        <v>N/A</v>
      </c>
      <c r="GL5" s="84" t="str">
        <f>IFERROR(VLOOKUP($B5,'LOD 400 - UTLS'!$B:AZ,51,FALSE),"N/A")</f>
        <v>N/A</v>
      </c>
      <c r="GM5" s="84" t="str">
        <f>IFERROR(VLOOKUP($B5,'LOD 400 - UTLS'!$B:BC,54,FALSE),"N/A")</f>
        <v>N/A</v>
      </c>
      <c r="GN5" s="84" t="str">
        <f>IFERROR(VLOOKUP($B5,'LOD 400 - UTLS'!$B:BF,57,FALSE),"N/A")</f>
        <v>N/A</v>
      </c>
      <c r="GO5" s="84" t="str">
        <f>IFERROR(VLOOKUP($B5,'LOD 400 - UTLS'!$B:BI,60,FALSE),"N/A")</f>
        <v>N/A</v>
      </c>
      <c r="GP5" s="84" t="str">
        <f>IFERROR(VLOOKUP($B5,'LOD 400 - UTLS'!$B:BL,63,FALSE),"N/A")</f>
        <v>N/A</v>
      </c>
      <c r="GQ5" s="84" t="str">
        <f>IFERROR(VLOOKUP($B5,'LOD 400 - UTLS'!$B:BO,66,FALSE),"N/A")</f>
        <v>N/A</v>
      </c>
      <c r="GR5" s="84" t="str">
        <f>IFERROR(VLOOKUP($B5,'LOD 400 - UTLS'!$B:BR,69,FALSE),"N/A")</f>
        <v>N/A</v>
      </c>
      <c r="GS5" s="85" t="str">
        <f>IFERROR(VLOOKUP($B5,'LOD 400 - UTLS'!$B:BU,72,FALSE),"N/A")</f>
        <v>N/A</v>
      </c>
      <c r="GT5" s="84" t="str">
        <f>IFERROR(VLOOKUP($B5,'LOD 400 - UTLS'!$B:BX,75,FALSE),"N/A")</f>
        <v>N/A</v>
      </c>
      <c r="GU5" s="85" t="str">
        <f>IFERROR(VLOOKUP($B5,'LOD 400 - UTLS'!$B:CA,78,FALSE),"N/A")</f>
        <v>N/A</v>
      </c>
      <c r="GV5" s="84" t="str">
        <f>IFERROR(VLOOKUP($B5,'LOD 400 - UTLS'!$B:CD,81,FALSE),"N/A")</f>
        <v>N/A</v>
      </c>
      <c r="GW5" s="84" t="str">
        <f>IFERROR(VLOOKUP($B5,'LOD 400 - UTLS'!$B:CG,84,FALSE),"N/A")</f>
        <v>N/A</v>
      </c>
      <c r="GX5" s="84" t="str">
        <f>IFERROR(VLOOKUP($B5,'LOD 400 - UTLS'!$B:CJ,87,FALSE),"N/A")</f>
        <v>N/A</v>
      </c>
      <c r="GY5" s="84" t="str">
        <f>IFERROR(VLOOKUP($B5,'LOD 400 - UTLS'!$B:CM,90,FALSE),"N/A")</f>
        <v>N/A</v>
      </c>
      <c r="GZ5" s="84" t="str">
        <f>IFERROR(VLOOKUP($B5,'LOD 400 - UTLS'!$B:CP,93,FALSE),"N/A")</f>
        <v>N/A</v>
      </c>
      <c r="HA5" s="84" t="str">
        <f>IFERROR(VLOOKUP($B5,'LOD 400 - UTLS'!$B:CS,96,FALSE),"N/A")</f>
        <v>N/A</v>
      </c>
      <c r="HB5" s="84" t="str">
        <f>IFERROR(VLOOKUP($B5,'LOD 400 - UTLS'!$B:CV,99,FALSE),"N/A")</f>
        <v>N/A</v>
      </c>
      <c r="HC5" s="84" t="str">
        <f>IFERROR(VLOOKUP($B5,'LOD 400 - UTLS'!$B:CY,102,FALSE),"N/A")</f>
        <v>N/A</v>
      </c>
      <c r="HD5" s="84" t="str">
        <f>IFERROR(VLOOKUP($B5,'LOD 400 - UTLS'!$B:DB,105,FALSE),"N/A")</f>
        <v>N/A</v>
      </c>
      <c r="HE5" s="96" t="str">
        <f>IFERROR(__xludf.DUMMYFUNCTION("IFERROR(
  MAX(FILTER(GA5:HD5, ISNUMBER(GA5:HD5))),
  HD5
)"),"N/A")</f>
        <v>N/A</v>
      </c>
      <c r="HF5" s="99"/>
      <c r="HG5" s="99"/>
      <c r="HH5" s="99"/>
      <c r="HI5" s="99"/>
      <c r="HJ5" s="99"/>
      <c r="HK5" s="99"/>
    </row>
    <row r="6" outlineLevel="1">
      <c r="A6" s="53">
        <v>3.0</v>
      </c>
      <c r="B6" s="100" t="s">
        <v>81</v>
      </c>
      <c r="C6" s="100" t="s">
        <v>82</v>
      </c>
      <c r="D6" s="64" t="str">
        <f t="shared" si="1"/>
        <v>SITE</v>
      </c>
      <c r="E6" s="101" t="s">
        <v>80</v>
      </c>
      <c r="F6" s="102">
        <v>1130.0</v>
      </c>
      <c r="G6" s="103" t="s">
        <v>80</v>
      </c>
      <c r="H6" s="104">
        <v>1130.0</v>
      </c>
      <c r="I6" s="68" t="str">
        <f>IFERROR(VLOOKUP($C3:C108,'R22 RELATÓRIO ACC'!B:F,5,FALSE),"NOT PUBLISHED")</f>
        <v>V28</v>
      </c>
      <c r="J6" s="69" t="str">
        <f>IFERROR(VLOOKUP($C3:C108,'R22 RELATÓRIO ACC'!B:P,15,FALSE),"NOT PUBLISHED")</f>
        <v>17/04/2026</v>
      </c>
      <c r="K6" s="70" t="str">
        <f>IFERROR(VLOOKUP($B3:B108,'RELATÓRIO ACC'!B:F,5,FALSE),"NOT PUBLISHED")</f>
        <v>V4</v>
      </c>
      <c r="L6" s="71" t="str">
        <f>IFERROR(VLOOKUP($B3:B108,'RELATÓRIO ACC'!B:P,15,FALSE),"NOT PUBLISHED")</f>
        <v>15/07/2026</v>
      </c>
      <c r="M6" s="72" t="str">
        <f>IF(OR($D6="UTLS",$D6="GUAR",$D6="STIR",$D6="PUMP",$D6="SITE"),
   VLOOKUP($B6,'LOD 400 - SITE'!B:M,12,FALSE),
   VLOOKUP($B6,'LOD 400 - ADMN'!B:M,12,FALSE)
)</f>
        <v>V4</v>
      </c>
      <c r="N6" s="105">
        <f>IF(OR($D6="UTLS",$D6="GUAR",$D6="STIR",$D6="PUMP",$D6="SITE"),
   VLOOKUP($B6,'LOD 400 - SITE'!B:N,13,FALSE),
   VLOOKUP($B6,'LOD 400 - ADMN'!B:N,13,FALSE)
)</f>
        <v>46218</v>
      </c>
      <c r="O6" s="106" t="str">
        <f>IF(OR($D6="UTLS",$D6="GUAR",$D6="STIR",$D6="PUMP",$D6="SITE"),
   VLOOKUP($B6,'LOD 400 - SITE'!B:O,14,FALSE),
   VLOOKUP($B6,'LOD 400 - ADMN'!B:O,14,FALSE)
)</f>
        <v>R24</v>
      </c>
      <c r="P6" s="107" t="str">
        <f>IF(OR($D6="C345",$D6="C12A",$D6="DATA"),
   VLOOKUP($B6,'LOD 400 - COLO3'!B:M,12,FALSE),"N/A")</f>
        <v>N/A</v>
      </c>
      <c r="Q6" s="108" t="str">
        <f>IF(OR($D6="C345",$D6="C12A",$D6="DATA"),
   VLOOKUP($B6,'LOD 400 - COLO3'!B:N,13,FALSE),"N/A")</f>
        <v>N/A</v>
      </c>
      <c r="R6" s="75" t="str">
        <f>IF(OR($D6="C345",$D6="C12A",$D6="DATA"),
   VLOOKUP($B6,'LOD 400 - COLO3'!B:O,14,FALSE),"N/A")</f>
        <v>N/A</v>
      </c>
      <c r="S6" s="76" t="str">
        <f>IF(OR($D6="C345",$D6="C12A",$D6="DATA"),
   VLOOKUP($B6,'LOD 400 - COLO4'!B:N,12,FALSE),"N/A")</f>
        <v>N/A</v>
      </c>
      <c r="T6" s="76" t="str">
        <f>IF(OR($D6="C345",$D6="C12A",$D6="DATA"),
   VLOOKUP($B6,'LOD 400 - COLO4'!B:N,13,FALSE),"N/A")</f>
        <v>N/A</v>
      </c>
      <c r="U6" s="76" t="str">
        <f>IF(OR($D6="C345",$D6="C12A",$D6="DATA"),
   VLOOKUP($B6,'LOD 400 - COLO4'!B:N,13,FALSE),"N/A")</f>
        <v>N/A</v>
      </c>
      <c r="V6" s="77" t="str">
        <f>IF(OR($D6="UTLS",$D6="GUAR",$D6="STIR",$D6="PUMP",$D6="SITE"),
   VLOOKUP($B6,'LOD 400 - UTLS'!B:M,12,FALSE),"N/A")</f>
        <v>V3</v>
      </c>
      <c r="W6" s="78">
        <f>IF(OR($D6="UTLS",$D6="GUAR",$D6="STIR",$D6="PUMP",$D6="SITE"),
   VLOOKUP($B6,'LOD 400 - UTLS'!B:N,13,FALSE),"N/A")</f>
        <v>46176</v>
      </c>
      <c r="X6" s="108" t="str">
        <f>IF(OR($D6="UTLS",$D6="GUAR",$D6="STIR",$D6="PUMP",$D6="SITE"),
   VLOOKUP($B6,'LOD 400 - UTLS'!B:O,14,FALSE),"N/A")</f>
        <v>R24</v>
      </c>
      <c r="Y6" s="79" t="str">
        <f>IFERROR(VLOOKUP($B6,'LOD 400 - ADMN'!B:S,18,FALSE),"N/A")</f>
        <v>N/A</v>
      </c>
      <c r="Z6" s="79" t="str">
        <f>IFERROR(VLOOKUP($B6,'LOD 400 - ADMN'!B:V,21,FALSE),"N/A")</f>
        <v>N/A</v>
      </c>
      <c r="AA6" s="79" t="str">
        <f>IFERROR(VLOOKUP($B6,'LOD 400 - ADMN'!$B:Y,24,FALSE),"N/A")</f>
        <v>N/A</v>
      </c>
      <c r="AB6" s="80" t="str">
        <f>IFERROR(VLOOKUP($B6,'LOD 400 - ADMN'!$B:AB,27,FALSE),"N/A")</f>
        <v>N/A</v>
      </c>
      <c r="AC6" s="81" t="str">
        <f>IFERROR(VLOOKUP($B6,'LOD 400 - ADMN'!$B:AE,30,FALSE),"N/A")</f>
        <v>N/A</v>
      </c>
      <c r="AD6" s="81" t="str">
        <f>IFERROR(VLOOKUP($B6,'LOD 400 - ADMN'!$B:AH,33,FALSE),"N/A")</f>
        <v>N/A</v>
      </c>
      <c r="AE6" s="80" t="str">
        <f>IFERROR(VLOOKUP($B6,'LOD 400 - ADMN'!$B:AK,36,FALSE),"N/A")</f>
        <v>N/A</v>
      </c>
      <c r="AF6" s="82" t="str">
        <f>IFERROR(VLOOKUP($B6,'LOD 400 - ADMN'!$B:AN,39,FALSE),"N/A")</f>
        <v>N/A</v>
      </c>
      <c r="AG6" s="83" t="str">
        <f>IFERROR(VLOOKUP($B6,'LOD 400 - ADMN'!$B:AQ,42,FALSE),"N/A")</f>
        <v>N/A</v>
      </c>
      <c r="AH6" s="84" t="str">
        <f>IFERROR(VLOOKUP($B6,'LOD 400 - ADMN'!$B:AT,45,FALSE),"N/A")</f>
        <v>N/A</v>
      </c>
      <c r="AI6" s="85" t="str">
        <f>IFERROR(VLOOKUP($B6,'LOD 400 - ADMN'!$B:AW,48,FALSE),"N/A")</f>
        <v>N/A</v>
      </c>
      <c r="AJ6" s="85" t="str">
        <f>IFERROR(VLOOKUP($B6,'LOD 400 - ADMN'!$B:AZ,51,FALSE),"N/A")</f>
        <v>N/A</v>
      </c>
      <c r="AK6" s="84" t="str">
        <f>IFERROR(VLOOKUP($B6,'LOD 400 - ADMN'!$B:BC,54,FALSE),"N/A")</f>
        <v>N/A</v>
      </c>
      <c r="AL6" s="84" t="str">
        <f>IFERROR(VLOOKUP($B6,'LOD 400 - ADMN'!$B:BF,57,FALSE),"N/A")</f>
        <v>N/A</v>
      </c>
      <c r="AM6" s="84" t="str">
        <f>IFERROR(VLOOKUP($B6,'LOD 400 - ADMN'!$B:BI,60,FALSE),"N/A")</f>
        <v>N/A</v>
      </c>
      <c r="AN6" s="84" t="str">
        <f>IFERROR(VLOOKUP($B6,'LOD 400 - ADMN'!$B:BL,63,FALSE),"N/A")</f>
        <v>N/A</v>
      </c>
      <c r="AO6" s="84" t="str">
        <f>IFERROR(VLOOKUP($B6,'LOD 400 - ADMN'!$B:BO,66,FALSE),"N/A")</f>
        <v>N/A</v>
      </c>
      <c r="AP6" s="84" t="str">
        <f>IFERROR(VLOOKUP($B6,'LOD 400 - ADMN'!$B:BR,69,FALSE),"N/A")</f>
        <v>N/A</v>
      </c>
      <c r="AQ6" s="84" t="str">
        <f>IFERROR(VLOOKUP($B6,'LOD 400 - ADMN'!$B:BU,72,FALSE),"N/A")</f>
        <v>N/A</v>
      </c>
      <c r="AR6" s="84" t="str">
        <f>IFERROR(VLOOKUP($B6,'LOD 400 - ADMN'!$B:BX,75,FALSE),"N/A")</f>
        <v>N/A</v>
      </c>
      <c r="AS6" s="84" t="str">
        <f>IFERROR(VLOOKUP($B6,'LOD 400 - ADMN'!$B:CA,78,FALSE),"N/A")</f>
        <v>N/A</v>
      </c>
      <c r="AT6" s="84" t="str">
        <f>IFERROR(VLOOKUP($B6,'LOD 400 - ADMN'!$B:CD,81,FALSE),"N/A")</f>
        <v>N/A</v>
      </c>
      <c r="AU6" s="85" t="str">
        <f>IFERROR(VLOOKUP($B6,'LOD 400 - ADMN'!$B:CG,84,FALSE),"N/A")</f>
        <v>N/A</v>
      </c>
      <c r="AV6" s="84" t="str">
        <f>IFERROR(VLOOKUP($B6,'LOD 400 - ADMN'!$B:CJ,87,FALSE),"N/A")</f>
        <v>N/A</v>
      </c>
      <c r="AW6" s="85" t="str">
        <f>IFERROR(VLOOKUP($B6,'LOD 400 - ADMN'!$B:CM,90,FALSE),"N/A")</f>
        <v>N/A</v>
      </c>
      <c r="AX6" s="84" t="str">
        <f>IFERROR(VLOOKUP($B6,'LOD 400 - ADMN'!$B:CP,93,FALSE),"N/A")</f>
        <v>N/A</v>
      </c>
      <c r="AY6" s="84" t="str">
        <f>IFERROR(VLOOKUP($B6,'LOD 400 - ADMN'!$B:CS,96,FALSE),"N/A")</f>
        <v>N/A</v>
      </c>
      <c r="AZ6" s="84" t="str">
        <f>IFERROR(VLOOKUP($B6,'LOD 400 - ADMN'!$B:CV,99,FALSE),"N/A")</f>
        <v>N/A</v>
      </c>
      <c r="BA6" s="84" t="str">
        <f>IFERROR(VLOOKUP($B6,'LOD 400 - ADMN'!$B:CY,102,FALSE),"N/A")</f>
        <v>N/A</v>
      </c>
      <c r="BB6" s="84" t="str">
        <f>IFERROR(VLOOKUP($B6,'LOD 400 - ADMN'!$B:DB,105,FALSE),"N/A")</f>
        <v>N/A</v>
      </c>
      <c r="BC6" s="84" t="str">
        <f>IFERROR(VLOOKUP($B6,'LOD 400 - ADMN'!$B:DE,108,FALSE),"N/A")</f>
        <v>N/A</v>
      </c>
      <c r="BD6" s="84" t="str">
        <f>IFERROR(VLOOKUP($B6,'LOD 400 - ADMN'!$B:DH,111,FALSE),"N/A")</f>
        <v>N/A</v>
      </c>
      <c r="BE6" s="84" t="str">
        <f>IFERROR(VLOOKUP($B6,'LOD 400 - ADMN'!$B:DK,114,FALSE),"N/A")</f>
        <v>N/A</v>
      </c>
      <c r="BF6" s="84" t="str">
        <f>IFERROR(VLOOKUP($B6,'LOD 400 - ADMN'!$B:DN,117,FALSE),"N/A")</f>
        <v>N/A</v>
      </c>
      <c r="BG6" s="86" t="str">
        <f>IFERROR(__xludf.DUMMYFUNCTION("IFERROR(
  MAX(FILTER(Y6:BF6, ISNUMBER(Y6:BF6))),
  BF6
)"),"N/A")</f>
        <v>N/A</v>
      </c>
      <c r="BH6" s="79" t="str">
        <f>IFERROR(VLOOKUP($B6,'LOD 400 - COLO1'!B:S,18,FALSE),"N/A")</f>
        <v>N/A</v>
      </c>
      <c r="BI6" s="79" t="str">
        <f>IFERROR(VLOOKUP($B6,'LOD 400 - COLO1'!B:V,21,FALSE),"N/A")</f>
        <v>N/A</v>
      </c>
      <c r="BJ6" s="79" t="str">
        <f>IFERROR(VLOOKUP($B6,'LOD 400 - COLO1'!$B:Y,24,FALSE),"N/A")</f>
        <v>N/A</v>
      </c>
      <c r="BK6" s="87" t="str">
        <f>IFERROR(VLOOKUP($B6,'LOD 400 - COLO1'!$B:AB,27,FALSE),"N/A")</f>
        <v>N/A</v>
      </c>
      <c r="BL6" s="80" t="str">
        <f>IFERROR(VLOOKUP($B6,'LOD 400 - COLO1'!$B:AE,30,FALSE),"N/A")</f>
        <v>N/A</v>
      </c>
      <c r="BM6" s="81" t="str">
        <f>IFERROR(VLOOKUP($B6,'LOD 400 - COLO1'!$B:AH,33,FALSE),"N/A")</f>
        <v>N/A</v>
      </c>
      <c r="BN6" s="87" t="str">
        <f>IFERROR(VLOOKUP($B6,'LOD 400 - COLO1'!$B:AK,36,FALSE),"N/A")</f>
        <v>N/A</v>
      </c>
      <c r="BO6" s="83" t="str">
        <f>IFERROR(VLOOKUP($B6,'LOD 400 - COLO1'!$B:AN,39,FALSE),"N/A")</f>
        <v>N/A</v>
      </c>
      <c r="BP6" s="88" t="str">
        <f>IFERROR(VLOOKUP($B6,'LOD 400 - COLO1'!$B:AQ,42,FALSE),"N/A")</f>
        <v>N/A</v>
      </c>
      <c r="BQ6" s="84" t="str">
        <f>IFERROR(VLOOKUP($B6,'LOD 400 - COLO1'!$B:AT,45,FALSE),"N/A")</f>
        <v>N/A</v>
      </c>
      <c r="BR6" s="85" t="str">
        <f>IFERROR(VLOOKUP($B6,'LOD 400 - COLO1'!$B:AW,48,FALSE),"N/A")</f>
        <v>N/A</v>
      </c>
      <c r="BS6" s="84" t="str">
        <f>IFERROR(VLOOKUP($B6,'LOD 400 - COLO1'!$B:AZ,51,FALSE),"N/A")</f>
        <v>N/A</v>
      </c>
      <c r="BT6" s="84" t="str">
        <f>IFERROR(VLOOKUP($B6,'LOD 400 - COLO1'!$B:BC,54,FALSE),"N/A")</f>
        <v>N/A</v>
      </c>
      <c r="BU6" s="84" t="str">
        <f>IFERROR(VLOOKUP($B6,'LOD 400 - COLO1'!$B:BF,57,FALSE),"N/A")</f>
        <v>N/A</v>
      </c>
      <c r="BV6" s="84" t="str">
        <f>IFERROR(VLOOKUP($B6,'LOD 400 - COLO1'!$B:BI,60,FALSE),"N/A")</f>
        <v>N/A</v>
      </c>
      <c r="BW6" s="84" t="str">
        <f>IFERROR(VLOOKUP($B6,'LOD 400 - COLO1'!$B:BL,63,FALSE),"N/A")</f>
        <v>N/A</v>
      </c>
      <c r="BX6" s="84" t="str">
        <f>IFERROR(VLOOKUP($B6,'LOD 400 - COLO1'!$B:BO,66,FALSE),"N/A")</f>
        <v>N/A</v>
      </c>
      <c r="BY6" s="84" t="str">
        <f>IFERROR(VLOOKUP($B6,'LOD 400 - COLO1'!$B:BR,69,FALSE),"N/A")</f>
        <v>N/A</v>
      </c>
      <c r="BZ6" s="84" t="str">
        <f>IFERROR(VLOOKUP($B6,'LOD 400 - COLO1'!$B:BU,72,FALSE),"N/A")</f>
        <v>N/A</v>
      </c>
      <c r="CA6" s="84" t="str">
        <f>IFERROR(VLOOKUP($B6,'LOD 400 - COLO1'!$B:BX,75,FALSE),"N/A")</f>
        <v>N/A</v>
      </c>
      <c r="CB6" s="84" t="str">
        <f>IFERROR(VLOOKUP($B6,'LOD 400 - COLO1'!$B:CA,78,FALSE),"N/A")</f>
        <v>N/A</v>
      </c>
      <c r="CC6" s="84" t="str">
        <f>IFERROR(VLOOKUP($B6,'LOD 400 - COLO1'!$B:CD,81,FALSE),"N/A")</f>
        <v>N/A</v>
      </c>
      <c r="CD6" s="85" t="str">
        <f>IFERROR(VLOOKUP($B6,'LOD 400 - COLO1'!$B:CG,84,FALSE),"N/A")</f>
        <v>N/A</v>
      </c>
      <c r="CE6" s="84" t="str">
        <f>IFERROR(VLOOKUP($B6,'LOD 400 - COLO1'!$B:CJ,87,FALSE),"N/A")</f>
        <v>N/A</v>
      </c>
      <c r="CF6" s="85" t="str">
        <f>IFERROR(VLOOKUP($B6,'LOD 400 - COLO1'!$B:CM,90,FALSE),"N/A")</f>
        <v>N/A</v>
      </c>
      <c r="CG6" s="84" t="str">
        <f>IFERROR(VLOOKUP($B6,'LOD 400 - COLO1'!$B:CP,93,FALSE),"N/A")</f>
        <v>N/A</v>
      </c>
      <c r="CH6" s="84" t="str">
        <f>IFERROR(VLOOKUP($B6,'LOD 400 - COLO1'!$B:CS,96,FALSE),"N/A")</f>
        <v>N/A</v>
      </c>
      <c r="CI6" s="84" t="str">
        <f>IFERROR(VLOOKUP($B6,'LOD 400 - COLO1'!$B:CV,99,FALSE),"N/A")</f>
        <v>N/A</v>
      </c>
      <c r="CJ6" s="84" t="str">
        <f>IFERROR(VLOOKUP($B6,'LOD 400 - COLO1'!$B:CY,102,FALSE),"N/A")</f>
        <v>N/A</v>
      </c>
      <c r="CK6" s="84" t="str">
        <f>IFERROR(VLOOKUP($B6,'LOD 400 - COLO1'!$B:DB,105,FALSE),"N/A")</f>
        <v>N/A</v>
      </c>
      <c r="CL6" s="84" t="str">
        <f>IFERROR(VLOOKUP($B6,'LOD 400 - COLO1'!$B:DE,108,FALSE),"N/A")</f>
        <v>N/A</v>
      </c>
      <c r="CM6" s="84" t="str">
        <f>IFERROR(VLOOKUP($B6,'LOD 400 - COLO1'!$B:DH,111,FALSE),"N/A")</f>
        <v>N/A</v>
      </c>
      <c r="CN6" s="84" t="str">
        <f>IFERROR(VLOOKUP($B6,'LOD 400 - COLO1'!$B:DK,114,FALSE),"N/A")</f>
        <v>N/A</v>
      </c>
      <c r="CO6" s="84" t="str">
        <f>IFERROR(VLOOKUP($B6,'LOD 400 - COLO1'!$B:DN,117,FALSE),"N/A")</f>
        <v>N/A</v>
      </c>
      <c r="CP6" s="86" t="str">
        <f>IFERROR(__xludf.DUMMYFUNCTION("IFERROR(
  MAX(FILTER(BH6:CO6, ISNUMBER(BH6:CO6))),
  CO6
)"),"N/A")</f>
        <v>N/A</v>
      </c>
      <c r="CQ6" s="89" t="str">
        <f>IFERROR(VLOOKUP($B6,'LOD 400 - COLO2'!B:S,18,FALSE),"N/A")</f>
        <v>N/A</v>
      </c>
      <c r="CR6" s="79" t="str">
        <f>IFERROR(VLOOKUP($B6,'LOD 400 - COLO2'!B:V,21,FALSE),"N/A")</f>
        <v>N/A</v>
      </c>
      <c r="CS6" s="79" t="str">
        <f>IFERROR(VLOOKUP($B6,'LOD 400 - COLO2'!$B:Y,24,FALSE),"N/A")</f>
        <v>N/A</v>
      </c>
      <c r="CT6" s="80" t="str">
        <f>IFERROR(VLOOKUP($B6,'LOD 400 - COLO2'!$B:DQ,27,FALSE),"N/A")</f>
        <v>N/A</v>
      </c>
      <c r="CU6" s="90" t="str">
        <f>IFERROR(VLOOKUP($B6,'LOD 400 - COLO2'!$B:AE,30,FALSE),"N/A")</f>
        <v>N/A</v>
      </c>
      <c r="CV6" s="81" t="str">
        <f>IFERROR(VLOOKUP($B6,'LOD 400 - COLO2'!$B:AH,33,FALSE),"N/A")</f>
        <v>N/A</v>
      </c>
      <c r="CW6" s="90" t="str">
        <f>IFERROR(VLOOKUP($B6,'LOD 400 - COLO2'!$B:AK,36,FALSE),"N/A")</f>
        <v>N/A</v>
      </c>
      <c r="CX6" s="85" t="str">
        <f>IFERROR(VLOOKUP($B6,'LOD 400 - COLO2'!$B:AN,39,FALSE),"N/A")</f>
        <v>N/A</v>
      </c>
      <c r="CY6" s="88" t="str">
        <f>IFERROR(VLOOKUP($B6,'LOD 400 - COLO2'!$B:AQ,42,FALSE),"N/A")</f>
        <v>N/A</v>
      </c>
      <c r="CZ6" s="84" t="str">
        <f>IFERROR(VLOOKUP($B6,'LOD 400 - COLO2'!$B:AT,45,FALSE),"N/A")</f>
        <v>N/A</v>
      </c>
      <c r="DA6" s="85" t="str">
        <f>IFERROR(VLOOKUP($B6,'LOD 400 - COLO2'!$B:AW,48,FALSE),"N/A")</f>
        <v>N/A</v>
      </c>
      <c r="DB6" s="84" t="str">
        <f>IFERROR(VLOOKUP($B6,'LOD 400 - COLO2'!$B:AZ,51,FALSE),"N/A")</f>
        <v>N/A</v>
      </c>
      <c r="DC6" s="84" t="str">
        <f>IFERROR(VLOOKUP($B6,'LOD 400 - COLO2'!$B:BC,54,FALSE),"N/A")</f>
        <v>N/A</v>
      </c>
      <c r="DD6" s="84" t="str">
        <f>IFERROR(VLOOKUP($B6,'LOD 400 - COLO2'!$B:BF,57,FALSE),"N/A")</f>
        <v>N/A</v>
      </c>
      <c r="DE6" s="84" t="str">
        <f>IFERROR(VLOOKUP($B6,'LOD 400 - COLO2'!$B:BI,60,FALSE),"N/A")</f>
        <v>N/A</v>
      </c>
      <c r="DF6" s="84" t="str">
        <f>IFERROR(VLOOKUP($B6,'LOD 400 - COLO2'!$B:BL,63,FALSE),"N/A")</f>
        <v>N/A</v>
      </c>
      <c r="DG6" s="84" t="str">
        <f>IFERROR(VLOOKUP($B6,'LOD 400 - COLO2'!$B:BO,66,FALSE),"N/A")</f>
        <v>N/A</v>
      </c>
      <c r="DH6" s="84" t="str">
        <f>IFERROR(VLOOKUP($B6,'LOD 400 - COLO2'!$B:BR,69,FALSE),"N/A")</f>
        <v>N/A</v>
      </c>
      <c r="DI6" s="84" t="str">
        <f>IFERROR(VLOOKUP($B6,'LOD 400 - COLO2'!$B:BU,72,FALSE),"N/A")</f>
        <v>N/A</v>
      </c>
      <c r="DJ6" s="84" t="str">
        <f>IFERROR(VLOOKUP($B6,'LOD 400 - COLO2'!$B:BX,75,FALSE),"N/A")</f>
        <v>N/A</v>
      </c>
      <c r="DK6" s="84" t="str">
        <f>IFERROR(VLOOKUP($B6,'LOD 400 - COLO2'!$B:CA,78,FALSE),"N/A")</f>
        <v>N/A</v>
      </c>
      <c r="DL6" s="84" t="str">
        <f>IFERROR(VLOOKUP($B6,'LOD 400 - COLO2'!$B:CD,81,FALSE),"N/A")</f>
        <v>N/A</v>
      </c>
      <c r="DM6" s="85" t="str">
        <f>IFERROR(VLOOKUP($B6,'LOD 400 - COLO2'!$B:CG,84,FALSE),"N/A")</f>
        <v>N/A</v>
      </c>
      <c r="DN6" s="84" t="str">
        <f>IFERROR(VLOOKUP($B6,'LOD 400 - COLO2'!$B:CJ,87,FALSE),"N/A")</f>
        <v>N/A</v>
      </c>
      <c r="DO6" s="85" t="str">
        <f>IFERROR(VLOOKUP($B6,'LOD 400 - COLO2'!$B:CM,90,FALSE),"N/A")</f>
        <v>N/A</v>
      </c>
      <c r="DP6" s="84" t="str">
        <f>IFERROR(VLOOKUP($B6,'LOD 400 - COLO2'!$B:CP,93,FALSE),"N/A")</f>
        <v>N/A</v>
      </c>
      <c r="DQ6" s="84" t="str">
        <f>IFERROR(VLOOKUP($B6,'LOD 400 - COLO2'!$B:CS,96,FALSE),"N/A")</f>
        <v>N/A</v>
      </c>
      <c r="DR6" s="84" t="str">
        <f>IFERROR(VLOOKUP($B6,'LOD 400 - COLO2'!$B:CV,99,FALSE),"N/A")</f>
        <v>N/A</v>
      </c>
      <c r="DS6" s="84" t="str">
        <f>IFERROR(VLOOKUP($B6,'LOD 400 - COLO2'!$B:CY,102,FALSE),"N/A")</f>
        <v>N/A</v>
      </c>
      <c r="DT6" s="84" t="str">
        <f>IFERROR(VLOOKUP($B6,'LOD 400 - COLO2'!$B:DB,105,FALSE),"N/A")</f>
        <v>N/A</v>
      </c>
      <c r="DU6" s="84" t="str">
        <f>IFERROR(VLOOKUP($B6,'LOD 400 - COLO2'!$B:DE,108,FALSE),"N/A")</f>
        <v>N/A</v>
      </c>
      <c r="DV6" s="84" t="str">
        <f>IFERROR(VLOOKUP($B6,'LOD 400 - COLO2'!$B:DH,111,FALSE),"N/A")</f>
        <v>N/A</v>
      </c>
      <c r="DW6" s="84" t="str">
        <f>IFERROR(VLOOKUP($B6,'LOD 400 - COLO2'!$B:DK,114,FALSE),"N/A")</f>
        <v>N/A</v>
      </c>
      <c r="DX6" s="84" t="str">
        <f>IFERROR(VLOOKUP($B6,'LOD 400 - COLO2'!$B:DN,117,FALSE),"N/A")</f>
        <v>N/A</v>
      </c>
      <c r="DY6" s="91" t="str">
        <f>IFERROR(__xludf.DUMMYFUNCTION("IFERROR(
  MAX(FILTER(CQ6:DW6, ISNUMBER(CQ6:DW6))),
  DW6
)"),"N/A")</f>
        <v>N/A</v>
      </c>
      <c r="DZ6" s="92" t="str">
        <f>IFERROR(VLOOKUP($B6,'LOD 400 - COLO3'!B:S,18,FALSE),"N/A")</f>
        <v>N/A</v>
      </c>
      <c r="EA6" s="84" t="str">
        <f>IFERROR(VLOOKUP($B6,'LOD 400 - COLO3'!B:V,21,FALSE),"N/A")</f>
        <v>N/A</v>
      </c>
      <c r="EB6" s="84" t="str">
        <f>IFERROR(VLOOKUP($B6,'LOD 400 - COLO3'!B:Y,24,FALSE),"N/A")</f>
        <v>N/A</v>
      </c>
      <c r="EC6" s="84" t="str">
        <f>IFERROR(VLOOKUP($B6,'LOD 400 - COLO3'!B:AB,27,FALSE),"N/A")</f>
        <v>N/A</v>
      </c>
      <c r="ED6" s="85" t="str">
        <f>IFERROR(VLOOKUP($B6,'LOD 400 - COLO3'!B:AE,30,FALSE),"N/A")</f>
        <v>N/A</v>
      </c>
      <c r="EE6" s="84" t="str">
        <f>IFERROR(VLOOKUP($B6,'LOD 400 - COLO3'!B:AH,33,FALSE),"N/A")</f>
        <v>N/A</v>
      </c>
      <c r="EF6" s="84" t="str">
        <f>IFERROR(VLOOKUP($B6,'LOD 400 - COLO3'!B:AK,36,FALSE),"N/A")</f>
        <v>N/A</v>
      </c>
      <c r="EG6" s="109" t="str">
        <f>IFERROR(VLOOKUP($B6,'LOD 400 - COLO3'!B:AN,39,FALSE),"N/A")</f>
        <v>N/A</v>
      </c>
      <c r="EH6" s="94" t="str">
        <f>IFERROR(VLOOKUP($B6,'LOD 400 - COLO3'!B:AQ,42,FALSE),"N/A")</f>
        <v>N/A</v>
      </c>
      <c r="EI6" s="94" t="str">
        <f>IFERROR(VLOOKUP($B6,'LOD 400 - COLO3'!B:AT,45,FALSE),"N/A")</f>
        <v>N/A</v>
      </c>
      <c r="EJ6" s="94" t="str">
        <f>IFERROR(VLOOKUP($B6,'LOD 400 - COLO3'!B:AW,48,FALSE),"N/A")</f>
        <v>N/A</v>
      </c>
      <c r="EK6" s="94" t="str">
        <f>IFERROR(VLOOKUP($B6,'LOD 400 - COLO3'!B:AZ,51,FALSE),"N/A")</f>
        <v>N/A</v>
      </c>
      <c r="EL6" s="94" t="str">
        <f>IFERROR(VLOOKUP($B6,'LOD 400 - COLO3'!B:BC,54,FALSE),"N/A")</f>
        <v>N/A</v>
      </c>
      <c r="EM6" s="94" t="str">
        <f>IFERROR(VLOOKUP($B6,'LOD 400 - COLO3'!B:BF,57,FALSE),"N/A")</f>
        <v>N/A</v>
      </c>
      <c r="EN6" s="94" t="str">
        <f>IFERROR(VLOOKUP($B6,'LOD 400 - COLO3'!B:BI,60,FALSE),"N/A")</f>
        <v>N/A</v>
      </c>
      <c r="EO6" s="94" t="str">
        <f>IFERROR(VLOOKUP($B6,'LOD 400 - COLO3'!B:BL,63,FALSE),"N/A")</f>
        <v>N/A</v>
      </c>
      <c r="EP6" s="86" t="str">
        <f>IFERROR(__xludf.DUMMYFUNCTION("IFERROR(
  MAX(FILTER(DZ6:EO6, ISNUMBER(DZ6:EO6))),
  EO6
)"),"N/A")</f>
        <v>N/A</v>
      </c>
      <c r="EQ6" s="95" t="str">
        <f>IFERROR(VLOOKUP($B6,'LOD 400 - COLO4'!B:S,18,FALSE),"N/A")</f>
        <v>N/A</v>
      </c>
      <c r="ER6" s="96" t="str">
        <f>IFERROR(__xludf.DUMMYFUNCTION("IFERROR(
  MAX(FILTER(EQ6, ISNUMBER(EQ6))),
  EQ6
)"),"N/A")</f>
        <v>N/A</v>
      </c>
      <c r="ES6" s="79" t="str">
        <f>IFERROR(VLOOKUP($B6,'LOD 400 - SITE'!B:S,18,FALSE),"N/A")</f>
        <v>OUTDATED</v>
      </c>
      <c r="ET6" s="80" t="str">
        <f>IFERROR(VLOOKUP($B6,'LOD 400 - SITE'!B:V,21,FALSE),"N/A")</f>
        <v>OUTDATED</v>
      </c>
      <c r="EU6" s="97">
        <f>IFERROR(VLOOKUP($B6,'LOD 400 - SITE'!$B:Y,24,FALSE),"N/A")</f>
        <v>0.13</v>
      </c>
      <c r="EV6" s="80" t="str">
        <f>IFERROR(VLOOKUP($B6,'LOD 400 - SITE'!$B:AB,27,FALSE),"N/A")</f>
        <v>IMPROPER</v>
      </c>
      <c r="EW6" s="81" t="str">
        <f>IFERROR(VLOOKUP($B6,'LOD 400 - SITE'!$B:AE,30,FALSE),"N/A")</f>
        <v>NEXT ROUND </v>
      </c>
      <c r="EX6" s="87">
        <f>IFERROR(VLOOKUP($B6,'LOD 400 - SITE'!$B:AH,33,FALSE),"N/A")</f>
        <v>0.31</v>
      </c>
      <c r="EY6" s="87" t="str">
        <f>IFERROR(VLOOKUP($B6,'LOD 400 - SITE'!$B:AK,36,FALSE),"N/A")</f>
        <v>OUTDATED</v>
      </c>
      <c r="EZ6" s="80" t="str">
        <f>IFERROR(VLOOKUP($B6,'LOD 400 - SITE'!$B:AN,39,FALSE),"N/A")</f>
        <v>OUTDATED</v>
      </c>
      <c r="FA6" s="82" t="str">
        <f>IFERROR(VLOOKUP($B6,'LOD 400 - SITE'!$B:AQ,42,FALSE),"N/A")</f>
        <v>NEXT ROUND </v>
      </c>
      <c r="FB6" s="88" t="str">
        <f>IFERROR(VLOOKUP($B6,'LOD 400 - SITE'!$B:AT,45,FALSE),"N/A")</f>
        <v>IMPROPER</v>
      </c>
      <c r="FC6" s="84" t="str">
        <f>IFERROR(VLOOKUP($B6,'LOD 400 - SITE'!$B:AW,48,FALSE),"N/A")</f>
        <v>IMPROPER</v>
      </c>
      <c r="FD6" s="84" t="str">
        <f>IFERROR(VLOOKUP($B6,'LOD 400 - SITE'!$B:AZ,51,FALSE),"N/A")</f>
        <v>NEXT ROUND </v>
      </c>
      <c r="FE6" s="84" t="str">
        <f>IFERROR(VLOOKUP($B6,'LOD 400 - SITE'!$B:BC,54,FALSE),"N/A")</f>
        <v>IMPROPER</v>
      </c>
      <c r="FF6" s="84" t="str">
        <f>IFERROR(VLOOKUP($B6,'LOD 400 - SITE'!$B:BF,57,FALSE),"N/A")</f>
        <v>OUTDATED</v>
      </c>
      <c r="FG6" s="84" t="str">
        <f>IFERROR(VLOOKUP($B6,'LOD 400 - SITE'!$B:BI,60,FALSE),"N/A")</f>
        <v>NEXT ROUND</v>
      </c>
      <c r="FH6" s="84" t="str">
        <f>IFERROR(VLOOKUP($B6,'LOD 400 - SITE'!$B:BL,63,FALSE),"N/A")</f>
        <v>NEXT ROUND</v>
      </c>
      <c r="FI6" s="84" t="str">
        <f>IFERROR(VLOOKUP($B6,'LOD 400 - SITE'!$B:BO,66,FALSE),"N/A")</f>
        <v>NEXT ROUND </v>
      </c>
      <c r="FJ6" s="84" t="str">
        <f>IFERROR(VLOOKUP($B6,'LOD 400 - SITE'!$B:BR,69,FALSE),"N/A")</f>
        <v>NEXT ROUND </v>
      </c>
      <c r="FK6" s="84" t="str">
        <f>IFERROR(VLOOKUP($B6,'LOD 400 - SITE'!$B:BU,72,FALSE),"N/A")</f>
        <v>NEXT ROUND</v>
      </c>
      <c r="FL6" s="84">
        <f>IFERROR(VLOOKUP($B6,'LOD 400 - SITE'!$B:BX,75,FALSE),"N/A")</f>
        <v>0.34</v>
      </c>
      <c r="FM6" s="84">
        <f>IFERROR(VLOOKUP($B6,'LOD 400 - SITE'!$B:CA,78,FALSE),"N/A")</f>
        <v>0.34</v>
      </c>
      <c r="FN6" s="85" t="str">
        <f>IFERROR(VLOOKUP($B6,'LOD 400 - SITE'!$B:CD,81,FALSE),"N/A")</f>
        <v>OUTDATED</v>
      </c>
      <c r="FO6" s="84" t="str">
        <f>IFERROR(VLOOKUP($B6,'LOD 400 - SITE'!$B:CG,84,FALSE),"N/A")</f>
        <v>OUTDATED</v>
      </c>
      <c r="FP6" s="85" t="str">
        <f>IFERROR(VLOOKUP($B6,'LOD 400 - SITE'!$B:CJ,87,FALSE),"N/A")</f>
        <v>OUTDATED</v>
      </c>
      <c r="FQ6" s="84" t="str">
        <f>IFERROR(VLOOKUP($B6,'LOD 400 - SITE'!$B:CM,90,FALSE),"N/A")</f>
        <v>NEXT ROUND</v>
      </c>
      <c r="FR6" s="84" t="str">
        <f>IFERROR(VLOOKUP($B6,'LOD 400 - SITE'!$B:CP,93,FALSE),"N/A")</f>
        <v>NEXT ROUND</v>
      </c>
      <c r="FS6" s="84">
        <f>IFERROR(VLOOKUP($B6,'LOD 400 - SITE'!$B:CS,96,FALSE),"N/A")</f>
        <v>0.98</v>
      </c>
      <c r="FT6" s="84" t="str">
        <f>IFERROR(VLOOKUP($B6,'LOD 400 - SITE'!$B:CV,99,FALSE),"N/A")</f>
        <v>OUTDATED</v>
      </c>
      <c r="FU6" s="84" t="str">
        <f>IFERROR(VLOOKUP($B6,'LOD 400 - SITE'!$B:CY,102,FALSE),"N/A")</f>
        <v>OUTDATED</v>
      </c>
      <c r="FV6" s="84" t="str">
        <f>IFERROR(VLOOKUP($B6,'LOD 400 - SITE'!$B:DB,105,FALSE),"N/A")</f>
        <v>OUTDATED</v>
      </c>
      <c r="FW6" s="84" t="str">
        <f>IFERROR(VLOOKUP($B6,'LOD 400 - SITE'!$B:DE,108,FALSE),"N/A")</f>
        <v>OUTDATED</v>
      </c>
      <c r="FX6" s="84" t="str">
        <f>IFERROR(VLOOKUP($B6,'LOD 400 - SITE'!$B:DH,111,FALSE),"N/A")</f>
        <v>OUTDATED</v>
      </c>
      <c r="FY6" s="84">
        <f>IFERROR(VLOOKUP($B6,'LOD 400 - SITE'!$B:DK,114,FALSE),"N/A")</f>
        <v>1</v>
      </c>
      <c r="FZ6" s="96">
        <f>IFERROR(__xludf.DUMMYFUNCTION("IFERROR(
  MAX(FILTER(ES6:FY6, ISNUMBER(ES6:FY6))),
  FY6
)"),1.0)</f>
        <v>1</v>
      </c>
      <c r="GA6" s="80">
        <f>IFERROR(VLOOKUP($B6,'LOD 400 - UTLS'!B:S,18,FALSE),"N/A")</f>
        <v>0.17</v>
      </c>
      <c r="GB6" s="98" t="str">
        <f>IFERROR(VLOOKUP($B6,'LOD 400 - UTLS'!B:V,21,FALSE),"N/A")</f>
        <v>IMPROPER</v>
      </c>
      <c r="GC6" s="81">
        <f>IFERROR(VLOOKUP($B6,'LOD 400 - UTLS'!B:Y,24,FALSE),"N/A")</f>
        <v>0.4</v>
      </c>
      <c r="GD6" s="87" t="str">
        <f>IFERROR(VLOOKUP($B6,'LOD 400 - UTLS'!$B:AB,27,FALSE),"N/A")</f>
        <v>OUTDATED</v>
      </c>
      <c r="GE6" s="80" t="str">
        <f>IFERROR(VLOOKUP($B6,'LOD 400 - UTLS'!$B:AE,30,FALSE),"N/A")</f>
        <v>OUTDATED</v>
      </c>
      <c r="GF6" s="82" t="str">
        <f>IFERROR(VLOOKUP($B6,'LOD 400 - UTLS'!$B:AH,33,FALSE),"N/A")</f>
        <v>NEXT ROUND</v>
      </c>
      <c r="GG6" s="88" t="str">
        <f>IFERROR(VLOOKUP($B6,'LOD 400 - UTLS'!$B:AK,36,FALSE),"N/A")</f>
        <v>IMPROPER</v>
      </c>
      <c r="GH6" s="84" t="str">
        <f>IFERROR(VLOOKUP($B6,'LOD 400 - UTLS'!$B:AN,39,FALSE),"N/A")</f>
        <v>IMPROPER</v>
      </c>
      <c r="GI6" s="84" t="str">
        <f>IFERROR(VLOOKUP($B6,'LOD 400 - UTLS'!$B:AQ,42,FALSE),"N/A")</f>
        <v>NEXT ROUND</v>
      </c>
      <c r="GJ6" s="84" t="str">
        <f>IFERROR(VLOOKUP($B6,'LOD 400 - UTLS'!$B:AT,45,FALSE),"N/A")</f>
        <v>IMPROPER</v>
      </c>
      <c r="GK6" s="84" t="str">
        <f>IFERROR(VLOOKUP($B6,'LOD 400 - UTLS'!$B:AW,48,FALSE),"N/A")</f>
        <v>OUTDATED</v>
      </c>
      <c r="GL6" s="84" t="str">
        <f>IFERROR(VLOOKUP($B6,'LOD 400 - UTLS'!$B:AZ,51,FALSE),"N/A")</f>
        <v>NEXT ROUND</v>
      </c>
      <c r="GM6" s="84" t="str">
        <f>IFERROR(VLOOKUP($B6,'LOD 400 - UTLS'!$B:BC,54,FALSE),"N/A")</f>
        <v>NEXT ROUND</v>
      </c>
      <c r="GN6" s="84" t="str">
        <f>IFERROR(VLOOKUP($B6,'LOD 400 - UTLS'!$B:BF,57,FALSE),"N/A")</f>
        <v>NEXT ROUND </v>
      </c>
      <c r="GO6" s="84" t="str">
        <f>IFERROR(VLOOKUP($B6,'LOD 400 - UTLS'!$B:BI,60,FALSE),"N/A")</f>
        <v>NEXT ROUND </v>
      </c>
      <c r="GP6" s="84" t="str">
        <f>IFERROR(VLOOKUP($B6,'LOD 400 - UTLS'!$B:BL,63,FALSE),"N/A")</f>
        <v>NEXT ROUND</v>
      </c>
      <c r="GQ6" s="84" t="str">
        <f>IFERROR(VLOOKUP($B6,'LOD 400 - UTLS'!$B:BO,66,FALSE),"N/A")</f>
        <v>NEXT ROUND</v>
      </c>
      <c r="GR6" s="84">
        <f>IFERROR(VLOOKUP($B6,'LOD 400 - UTLS'!$B:BR,69,FALSE),"N/A")</f>
        <v>0.4</v>
      </c>
      <c r="GS6" s="85" t="str">
        <f>IFERROR(VLOOKUP($B6,'LOD 400 - UTLS'!$B:BU,72,FALSE),"N/A")</f>
        <v>OUTDATED</v>
      </c>
      <c r="GT6" s="84" t="str">
        <f>IFERROR(VLOOKUP($B6,'LOD 400 - UTLS'!$B:BX,75,FALSE),"N/A")</f>
        <v>OUTDATED</v>
      </c>
      <c r="GU6" s="85" t="str">
        <f>IFERROR(VLOOKUP($B6,'LOD 400 - UTLS'!$B:CA,78,FALSE),"N/A")</f>
        <v>OUTDATED</v>
      </c>
      <c r="GV6" s="84" t="str">
        <f>IFERROR(VLOOKUP($B6,'LOD 400 - UTLS'!$B:CD,81,FALSE),"N/A")</f>
        <v>NEXT ROUND</v>
      </c>
      <c r="GW6" s="84" t="str">
        <f>IFERROR(VLOOKUP($B6,'LOD 400 - UTLS'!$B:CG,84,FALSE),"N/A")</f>
        <v>NEXT ROUND</v>
      </c>
      <c r="GX6" s="84">
        <f>IFERROR(VLOOKUP($B6,'LOD 400 - UTLS'!$B:CJ,87,FALSE),"N/A")</f>
        <v>0.43</v>
      </c>
      <c r="GY6" s="84">
        <f>IFERROR(VLOOKUP($B6,'LOD 400 - UTLS'!$B:CM,90,FALSE),"N/A")</f>
        <v>1</v>
      </c>
      <c r="GZ6" s="84">
        <f>IFERROR(VLOOKUP($B6,'LOD 400 - UTLS'!$B:CP,93,FALSE),"N/A")</f>
        <v>1</v>
      </c>
      <c r="HA6" s="84">
        <f>IFERROR(VLOOKUP($B6,'LOD 400 - UTLS'!$B:CS,96,FALSE),"N/A")</f>
        <v>1</v>
      </c>
      <c r="HB6" s="84">
        <f>IFERROR(VLOOKUP($B6,'LOD 400 - UTLS'!$B:CV,99,FALSE),"N/A")</f>
        <v>1</v>
      </c>
      <c r="HC6" s="84">
        <f>IFERROR(VLOOKUP($B6,'LOD 400 - UTLS'!$B:CY,102,FALSE),"N/A")</f>
        <v>1</v>
      </c>
      <c r="HD6" s="84">
        <f>IFERROR(VLOOKUP($B6,'LOD 400 - UTLS'!$B:DB,105,FALSE),"N/A")</f>
        <v>1</v>
      </c>
      <c r="HE6" s="96">
        <f>IFERROR(__xludf.DUMMYFUNCTION("IFERROR(
  MAX(FILTER(GA6:HD6, ISNUMBER(GA6:HD6))),
  HD6
)"),1.0)</f>
        <v>1</v>
      </c>
      <c r="HF6" s="99"/>
      <c r="HG6" s="99"/>
      <c r="HH6" s="99"/>
      <c r="HI6" s="99"/>
      <c r="HJ6" s="99"/>
      <c r="HK6" s="99"/>
    </row>
    <row r="7" ht="15.0" customHeight="1" outlineLevel="1">
      <c r="A7" s="53">
        <v>9.0</v>
      </c>
      <c r="B7" s="100" t="s">
        <v>83</v>
      </c>
      <c r="C7" s="100" t="s">
        <v>84</v>
      </c>
      <c r="D7" s="64" t="str">
        <f t="shared" si="1"/>
        <v>SITE</v>
      </c>
      <c r="E7" s="101" t="s">
        <v>85</v>
      </c>
      <c r="F7" s="101" t="s">
        <v>85</v>
      </c>
      <c r="G7" s="103" t="s">
        <v>80</v>
      </c>
      <c r="H7" s="104"/>
      <c r="I7" s="68" t="str">
        <f>IFERROR(VLOOKUP($C4:C108,'R22 RELATÓRIO ACC'!B:F,5,FALSE),"NOT PUBLISHED")</f>
        <v>V12</v>
      </c>
      <c r="J7" s="69" t="str">
        <f>IFERROR(VLOOKUP($C4:C108,'R22 RELATÓRIO ACC'!B:P,15,FALSE),"NOT PUBLISHED")</f>
        <v>05/05/2026</v>
      </c>
      <c r="K7" s="70" t="str">
        <f>IFERROR(VLOOKUP($B7:B108,'RELATÓRIO ACC'!B:F,5,FALSE),"NOT PUBLISHED")</f>
        <v>V5</v>
      </c>
      <c r="L7" s="71" t="str">
        <f>IFERROR(VLOOKUP($B7:B108,'RELATÓRIO ACC'!B:P,15,FALSE),"NOT PUBLISHED")</f>
        <v>22/06/2026</v>
      </c>
      <c r="M7" s="72" t="str">
        <f>IF(OR($D7="UTLS",$D7="GUAR",$D7="STIR",$D7="PUMP",$D7="SITE"),
   VLOOKUP($B7,'LOD 400 - SITE'!B:M,12,FALSE),
   VLOOKUP($B7,'LOD 400 - ADMN'!B:M,12,FALSE)
)</f>
        <v>V4</v>
      </c>
      <c r="N7" s="105">
        <f>IF(OR($D7="UTLS",$D7="GUAR",$D7="STIR",$D7="PUMP",$D7="SITE"),
   VLOOKUP($B7,'LOD 400 - SITE'!B:N,13,FALSE),
   VLOOKUP($B7,'LOD 400 - ADMN'!B:N,13,FALSE)
)</f>
        <v>46185</v>
      </c>
      <c r="O7" s="106" t="str">
        <f>IF(OR($D7="UTLS",$D7="GUAR",$D7="STIR",$D7="PUMP",$D7="SITE"),
   VLOOKUP($B7,'LOD 400 - SITE'!B:O,14,FALSE),
   VLOOKUP($B7,'LOD 400 - ADMN'!B:O,14,FALSE)
)</f>
        <v>R24</v>
      </c>
      <c r="P7" s="107" t="str">
        <f>IF(OR($D7="C345",$D7="C12A",$D7="DATA"),
   VLOOKUP($B7,'LOD 400 - COLO3'!B:M,12,FALSE),"N/A")</f>
        <v>N/A</v>
      </c>
      <c r="Q7" s="108" t="str">
        <f>IF(OR($D7="C345",$D7="C12A",$D7="DATA"),
   VLOOKUP($B7,'LOD 400 - COLO3'!B:N,13,FALSE),"N/A")</f>
        <v>N/A</v>
      </c>
      <c r="R7" s="75" t="str">
        <f>IF(OR($D7="C345",$D7="C12A",$D7="DATA"),
   VLOOKUP($B7,'LOD 400 - COLO3'!B:O,14,FALSE),"N/A")</f>
        <v>N/A</v>
      </c>
      <c r="S7" s="76" t="str">
        <f>IF(OR($D7="C345",$D7="C12A",$D7="DATA"),
   VLOOKUP($B7,'LOD 400 - COLO4'!B:N,12,FALSE),"N/A")</f>
        <v>N/A</v>
      </c>
      <c r="T7" s="76" t="str">
        <f>IF(OR($D7="C345",$D7="C12A",$D7="DATA"),
   VLOOKUP($B7,'LOD 400 - COLO4'!B:N,13,FALSE),"N/A")</f>
        <v>N/A</v>
      </c>
      <c r="U7" s="76" t="str">
        <f>IF(OR($D7="C345",$D7="C12A",$D7="DATA"),
   VLOOKUP($B7,'LOD 400 - COLO4'!B:N,13,FALSE),"N/A")</f>
        <v>N/A</v>
      </c>
      <c r="V7" s="77" t="str">
        <f>IF(OR($D7="UTLS",$D7="GUAR",$D7="STIR",$D7="PUMP",$D7="SITE"),
   VLOOKUP($B7,'LOD 400 - UTLS'!B:M,12,FALSE),"N/A")</f>
        <v>V5</v>
      </c>
      <c r="W7" s="78">
        <f>IF(OR($D7="UTLS",$D7="GUAR",$D7="STIR",$D7="PUMP",$D7="SITE"),
   VLOOKUP($B7,'LOD 400 - UTLS'!B:N,13,FALSE),"N/A")</f>
        <v>46195</v>
      </c>
      <c r="X7" s="108" t="str">
        <f>IF(OR($D7="UTLS",$D7="GUAR",$D7="STIR",$D7="PUMP",$D7="SITE"),
   VLOOKUP($B7,'LOD 400 - UTLS'!B:O,14,FALSE),"N/A")</f>
        <v>R24</v>
      </c>
      <c r="Y7" s="79" t="str">
        <f>IFERROR(VLOOKUP($B7,'LOD 400 - ADMN'!B:S,18,FALSE),"N/A")</f>
        <v>N/A</v>
      </c>
      <c r="Z7" s="79" t="str">
        <f>IFERROR(VLOOKUP($B7,'LOD 400 - ADMN'!B:V,21,FALSE),"N/A")</f>
        <v>N/A</v>
      </c>
      <c r="AA7" s="79" t="str">
        <f>IFERROR(VLOOKUP($B7,'LOD 400 - ADMN'!$B:Y,24,FALSE),"N/A")</f>
        <v>N/A</v>
      </c>
      <c r="AB7" s="80" t="str">
        <f>IFERROR(VLOOKUP($B7,'LOD 400 - ADMN'!$B:AB,27,FALSE),"N/A")</f>
        <v>N/A</v>
      </c>
      <c r="AC7" s="81" t="str">
        <f>IFERROR(VLOOKUP($B7,'LOD 400 - ADMN'!$B:AE,30,FALSE),"N/A")</f>
        <v>N/A</v>
      </c>
      <c r="AD7" s="81" t="str">
        <f>IFERROR(VLOOKUP($B7,'LOD 400 - ADMN'!$B:AH,33,FALSE),"N/A")</f>
        <v>N/A</v>
      </c>
      <c r="AE7" s="80" t="str">
        <f>IFERROR(VLOOKUP($B7,'LOD 400 - ADMN'!$B:AK,36,FALSE),"N/A")</f>
        <v>N/A</v>
      </c>
      <c r="AF7" s="82" t="str">
        <f>IFERROR(VLOOKUP($B7,'LOD 400 - ADMN'!$B:AN,39,FALSE),"N/A")</f>
        <v>N/A</v>
      </c>
      <c r="AG7" s="83" t="str">
        <f>IFERROR(VLOOKUP($B7,'LOD 400 - ADMN'!$B:AQ,42,FALSE),"N/A")</f>
        <v>N/A</v>
      </c>
      <c r="AH7" s="84" t="str">
        <f>IFERROR(VLOOKUP($B7,'LOD 400 - ADMN'!$B:AT,45,FALSE),"N/A")</f>
        <v>N/A</v>
      </c>
      <c r="AI7" s="85" t="str">
        <f>IFERROR(VLOOKUP($B7,'LOD 400 - ADMN'!$B:AW,48,FALSE),"N/A")</f>
        <v>N/A</v>
      </c>
      <c r="AJ7" s="85" t="str">
        <f>IFERROR(VLOOKUP($B7,'LOD 400 - ADMN'!$B:AZ,51,FALSE),"N/A")</f>
        <v>N/A</v>
      </c>
      <c r="AK7" s="84" t="str">
        <f>IFERROR(VLOOKUP($B7,'LOD 400 - ADMN'!$B:BC,54,FALSE),"N/A")</f>
        <v>N/A</v>
      </c>
      <c r="AL7" s="84" t="str">
        <f>IFERROR(VLOOKUP($B7,'LOD 400 - ADMN'!$B:BF,57,FALSE),"N/A")</f>
        <v>N/A</v>
      </c>
      <c r="AM7" s="84" t="str">
        <f>IFERROR(VLOOKUP($B7,'LOD 400 - ADMN'!$B:BI,60,FALSE),"N/A")</f>
        <v>N/A</v>
      </c>
      <c r="AN7" s="84" t="str">
        <f>IFERROR(VLOOKUP($B7,'LOD 400 - ADMN'!$B:BL,63,FALSE),"N/A")</f>
        <v>N/A</v>
      </c>
      <c r="AO7" s="84" t="str">
        <f>IFERROR(VLOOKUP($B7,'LOD 400 - ADMN'!$B:BO,66,FALSE),"N/A")</f>
        <v>N/A</v>
      </c>
      <c r="AP7" s="84" t="str">
        <f>IFERROR(VLOOKUP($B7,'LOD 400 - ADMN'!$B:BR,69,FALSE),"N/A")</f>
        <v>N/A</v>
      </c>
      <c r="AQ7" s="84" t="str">
        <f>IFERROR(VLOOKUP($B7,'LOD 400 - ADMN'!$B:BU,72,FALSE),"N/A")</f>
        <v>N/A</v>
      </c>
      <c r="AR7" s="84" t="str">
        <f>IFERROR(VLOOKUP($B7,'LOD 400 - ADMN'!$B:BX,75,FALSE),"N/A")</f>
        <v>N/A</v>
      </c>
      <c r="AS7" s="84" t="str">
        <f>IFERROR(VLOOKUP($B7,'LOD 400 - ADMN'!$B:CA,78,FALSE),"N/A")</f>
        <v>N/A</v>
      </c>
      <c r="AT7" s="84" t="str">
        <f>IFERROR(VLOOKUP($B7,'LOD 400 - ADMN'!$B:CD,81,FALSE),"N/A")</f>
        <v>N/A</v>
      </c>
      <c r="AU7" s="85" t="str">
        <f>IFERROR(VLOOKUP($B7,'LOD 400 - ADMN'!$B:CG,84,FALSE),"N/A")</f>
        <v>N/A</v>
      </c>
      <c r="AV7" s="84" t="str">
        <f>IFERROR(VLOOKUP($B7,'LOD 400 - ADMN'!$B:CJ,87,FALSE),"N/A")</f>
        <v>N/A</v>
      </c>
      <c r="AW7" s="85" t="str">
        <f>IFERROR(VLOOKUP($B7,'LOD 400 - ADMN'!$B:CM,90,FALSE),"N/A")</f>
        <v>N/A</v>
      </c>
      <c r="AX7" s="84" t="str">
        <f>IFERROR(VLOOKUP($B7,'LOD 400 - ADMN'!$B:CP,93,FALSE),"N/A")</f>
        <v>N/A</v>
      </c>
      <c r="AY7" s="84" t="str">
        <f>IFERROR(VLOOKUP($B7,'LOD 400 - ADMN'!$B:CS,96,FALSE),"N/A")</f>
        <v>N/A</v>
      </c>
      <c r="AZ7" s="84" t="str">
        <f>IFERROR(VLOOKUP($B7,'LOD 400 - ADMN'!$B:CV,99,FALSE),"N/A")</f>
        <v>N/A</v>
      </c>
      <c r="BA7" s="84" t="str">
        <f>IFERROR(VLOOKUP($B7,'LOD 400 - ADMN'!$B:CY,102,FALSE),"N/A")</f>
        <v>N/A</v>
      </c>
      <c r="BB7" s="84" t="str">
        <f>IFERROR(VLOOKUP($B7,'LOD 400 - ADMN'!$B:DB,105,FALSE),"N/A")</f>
        <v>N/A</v>
      </c>
      <c r="BC7" s="84" t="str">
        <f>IFERROR(VLOOKUP($B7,'LOD 400 - ADMN'!$B:DE,108,FALSE),"N/A")</f>
        <v>N/A</v>
      </c>
      <c r="BD7" s="84" t="str">
        <f>IFERROR(VLOOKUP($B7,'LOD 400 - ADMN'!$B:DH,111,FALSE),"N/A")</f>
        <v>N/A</v>
      </c>
      <c r="BE7" s="84" t="str">
        <f>IFERROR(VLOOKUP($B7,'LOD 400 - ADMN'!$B:DK,114,FALSE),"N/A")</f>
        <v>N/A</v>
      </c>
      <c r="BF7" s="84" t="str">
        <f>IFERROR(VLOOKUP($B7,'LOD 400 - ADMN'!$B:DN,117,FALSE),"N/A")</f>
        <v>N/A</v>
      </c>
      <c r="BG7" s="86" t="str">
        <f>IFERROR(__xludf.DUMMYFUNCTION("IFERROR(
  MAX(FILTER(Y7:BF7, ISNUMBER(Y7:BF7))),
  BF7
)"),"N/A")</f>
        <v>N/A</v>
      </c>
      <c r="BH7" s="79" t="str">
        <f>IFERROR(VLOOKUP($B7,'LOD 400 - COLO1'!B:S,18,FALSE),"N/A")</f>
        <v>N/A</v>
      </c>
      <c r="BI7" s="79" t="str">
        <f>IFERROR(VLOOKUP($B7,'LOD 400 - COLO1'!B:V,21,FALSE),"N/A")</f>
        <v>N/A</v>
      </c>
      <c r="BJ7" s="79" t="str">
        <f>IFERROR(VLOOKUP($B7,'LOD 400 - COLO1'!$B:Y,24,FALSE),"N/A")</f>
        <v>N/A</v>
      </c>
      <c r="BK7" s="87" t="str">
        <f>IFERROR(VLOOKUP($B7,'LOD 400 - COLO1'!$B:AB,27,FALSE),"N/A")</f>
        <v>N/A</v>
      </c>
      <c r="BL7" s="80" t="str">
        <f>IFERROR(VLOOKUP($B7,'LOD 400 - COLO1'!$B:AE,30,FALSE),"N/A")</f>
        <v>N/A</v>
      </c>
      <c r="BM7" s="81" t="str">
        <f>IFERROR(VLOOKUP($B7,'LOD 400 - COLO1'!$B:AH,33,FALSE),"N/A")</f>
        <v>N/A</v>
      </c>
      <c r="BN7" s="87" t="str">
        <f>IFERROR(VLOOKUP($B7,'LOD 400 - COLO1'!$B:AK,36,FALSE),"N/A")</f>
        <v>N/A</v>
      </c>
      <c r="BO7" s="83" t="str">
        <f>IFERROR(VLOOKUP($B7,'LOD 400 - COLO1'!$B:AN,39,FALSE),"N/A")</f>
        <v>N/A</v>
      </c>
      <c r="BP7" s="88" t="str">
        <f>IFERROR(VLOOKUP($B7,'LOD 400 - COLO1'!$B:AQ,42,FALSE),"N/A")</f>
        <v>N/A</v>
      </c>
      <c r="BQ7" s="84" t="str">
        <f>IFERROR(VLOOKUP($B7,'LOD 400 - COLO1'!$B:AT,45,FALSE),"N/A")</f>
        <v>N/A</v>
      </c>
      <c r="BR7" s="85" t="str">
        <f>IFERROR(VLOOKUP($B7,'LOD 400 - COLO1'!$B:AW,48,FALSE),"N/A")</f>
        <v>N/A</v>
      </c>
      <c r="BS7" s="84" t="str">
        <f>IFERROR(VLOOKUP($B7,'LOD 400 - COLO1'!$B:AZ,51,FALSE),"N/A")</f>
        <v>N/A</v>
      </c>
      <c r="BT7" s="84" t="str">
        <f>IFERROR(VLOOKUP($B7,'LOD 400 - COLO1'!$B:BC,54,FALSE),"N/A")</f>
        <v>N/A</v>
      </c>
      <c r="BU7" s="84" t="str">
        <f>IFERROR(VLOOKUP($B7,'LOD 400 - COLO1'!$B:BF,57,FALSE),"N/A")</f>
        <v>N/A</v>
      </c>
      <c r="BV7" s="84" t="str">
        <f>IFERROR(VLOOKUP($B7,'LOD 400 - COLO1'!$B:BI,60,FALSE),"N/A")</f>
        <v>N/A</v>
      </c>
      <c r="BW7" s="84" t="str">
        <f>IFERROR(VLOOKUP($B7,'LOD 400 - COLO1'!$B:BL,63,FALSE),"N/A")</f>
        <v>N/A</v>
      </c>
      <c r="BX7" s="84" t="str">
        <f>IFERROR(VLOOKUP($B7,'LOD 400 - COLO1'!$B:BO,66,FALSE),"N/A")</f>
        <v>N/A</v>
      </c>
      <c r="BY7" s="84" t="str">
        <f>IFERROR(VLOOKUP($B7,'LOD 400 - COLO1'!$B:BR,69,FALSE),"N/A")</f>
        <v>N/A</v>
      </c>
      <c r="BZ7" s="84" t="str">
        <f>IFERROR(VLOOKUP($B7,'LOD 400 - COLO1'!$B:BU,72,FALSE),"N/A")</f>
        <v>N/A</v>
      </c>
      <c r="CA7" s="84" t="str">
        <f>IFERROR(VLOOKUP($B7,'LOD 400 - COLO1'!$B:BX,75,FALSE),"N/A")</f>
        <v>N/A</v>
      </c>
      <c r="CB7" s="84" t="str">
        <f>IFERROR(VLOOKUP($B7,'LOD 400 - COLO1'!$B:CA,78,FALSE),"N/A")</f>
        <v>N/A</v>
      </c>
      <c r="CC7" s="84" t="str">
        <f>IFERROR(VLOOKUP($B7,'LOD 400 - COLO1'!$B:CD,81,FALSE),"N/A")</f>
        <v>N/A</v>
      </c>
      <c r="CD7" s="85" t="str">
        <f>IFERROR(VLOOKUP($B7,'LOD 400 - COLO1'!$B:CG,84,FALSE),"N/A")</f>
        <v>N/A</v>
      </c>
      <c r="CE7" s="84" t="str">
        <f>IFERROR(VLOOKUP($B7,'LOD 400 - COLO1'!$B:CJ,87,FALSE),"N/A")</f>
        <v>N/A</v>
      </c>
      <c r="CF7" s="85" t="str">
        <f>IFERROR(VLOOKUP($B7,'LOD 400 - COLO1'!$B:CM,90,FALSE),"N/A")</f>
        <v>N/A</v>
      </c>
      <c r="CG7" s="84" t="str">
        <f>IFERROR(VLOOKUP($B7,'LOD 400 - COLO1'!$B:CP,93,FALSE),"N/A")</f>
        <v>N/A</v>
      </c>
      <c r="CH7" s="84" t="str">
        <f>IFERROR(VLOOKUP($B7,'LOD 400 - COLO1'!$B:CS,96,FALSE),"N/A")</f>
        <v>N/A</v>
      </c>
      <c r="CI7" s="84" t="str">
        <f>IFERROR(VLOOKUP($B7,'LOD 400 - COLO1'!$B:CV,99,FALSE),"N/A")</f>
        <v>N/A</v>
      </c>
      <c r="CJ7" s="84" t="str">
        <f>IFERROR(VLOOKUP($B7,'LOD 400 - COLO1'!$B:CY,102,FALSE),"N/A")</f>
        <v>N/A</v>
      </c>
      <c r="CK7" s="84" t="str">
        <f>IFERROR(VLOOKUP($B7,'LOD 400 - COLO1'!$B:DB,105,FALSE),"N/A")</f>
        <v>N/A</v>
      </c>
      <c r="CL7" s="84" t="str">
        <f>IFERROR(VLOOKUP($B7,'LOD 400 - COLO1'!$B:DE,108,FALSE),"N/A")</f>
        <v>N/A</v>
      </c>
      <c r="CM7" s="84" t="str">
        <f>IFERROR(VLOOKUP($B7,'LOD 400 - COLO1'!$B:DH,111,FALSE),"N/A")</f>
        <v>N/A</v>
      </c>
      <c r="CN7" s="84" t="str">
        <f>IFERROR(VLOOKUP($B7,'LOD 400 - COLO1'!$B:DK,114,FALSE),"N/A")</f>
        <v>N/A</v>
      </c>
      <c r="CO7" s="84" t="str">
        <f>IFERROR(VLOOKUP($B7,'LOD 400 - COLO1'!$B:DN,117,FALSE),"N/A")</f>
        <v>N/A</v>
      </c>
      <c r="CP7" s="86" t="str">
        <f>IFERROR(__xludf.DUMMYFUNCTION("IFERROR(
  MAX(FILTER(BH7:CO7, ISNUMBER(BH7:CO7))),
  CO7
)"),"N/A")</f>
        <v>N/A</v>
      </c>
      <c r="CQ7" s="89" t="str">
        <f>IFERROR(VLOOKUP($B7,'LOD 400 - COLO2'!B:S,18,FALSE),"N/A")</f>
        <v>N/A</v>
      </c>
      <c r="CR7" s="79" t="str">
        <f>IFERROR(VLOOKUP($B7,'LOD 400 - COLO2'!B:V,21,FALSE),"N/A")</f>
        <v>N/A</v>
      </c>
      <c r="CS7" s="79" t="str">
        <f>IFERROR(VLOOKUP($B7,'LOD 400 - COLO2'!$B:Y,24,FALSE),"N/A")</f>
        <v>N/A</v>
      </c>
      <c r="CT7" s="80" t="str">
        <f>IFERROR(VLOOKUP($B7,'LOD 400 - COLO2'!$B:DQ,27,FALSE),"N/A")</f>
        <v>N/A</v>
      </c>
      <c r="CU7" s="90" t="str">
        <f>IFERROR(VLOOKUP($B7,'LOD 400 - COLO2'!$B:AE,30,FALSE),"N/A")</f>
        <v>N/A</v>
      </c>
      <c r="CV7" s="81" t="str">
        <f>IFERROR(VLOOKUP($B7,'LOD 400 - COLO2'!$B:AH,33,FALSE),"N/A")</f>
        <v>N/A</v>
      </c>
      <c r="CW7" s="90" t="str">
        <f>IFERROR(VLOOKUP($B7,'LOD 400 - COLO2'!$B:AK,36,FALSE),"N/A")</f>
        <v>N/A</v>
      </c>
      <c r="CX7" s="85" t="str">
        <f>IFERROR(VLOOKUP($B7,'LOD 400 - COLO2'!$B:AN,39,FALSE),"N/A")</f>
        <v>N/A</v>
      </c>
      <c r="CY7" s="88" t="str">
        <f>IFERROR(VLOOKUP($B7,'LOD 400 - COLO2'!$B:AQ,42,FALSE),"N/A")</f>
        <v>N/A</v>
      </c>
      <c r="CZ7" s="84" t="str">
        <f>IFERROR(VLOOKUP($B7,'LOD 400 - COLO2'!$B:AT,45,FALSE),"N/A")</f>
        <v>N/A</v>
      </c>
      <c r="DA7" s="85" t="str">
        <f>IFERROR(VLOOKUP($B7,'LOD 400 - COLO2'!$B:AW,48,FALSE),"N/A")</f>
        <v>N/A</v>
      </c>
      <c r="DB7" s="84" t="str">
        <f>IFERROR(VLOOKUP($B7,'LOD 400 - COLO2'!$B:AZ,51,FALSE),"N/A")</f>
        <v>N/A</v>
      </c>
      <c r="DC7" s="84" t="str">
        <f>IFERROR(VLOOKUP($B7,'LOD 400 - COLO2'!$B:BC,54,FALSE),"N/A")</f>
        <v>N/A</v>
      </c>
      <c r="DD7" s="84" t="str">
        <f>IFERROR(VLOOKUP($B7,'LOD 400 - COLO2'!$B:BF,57,FALSE),"N/A")</f>
        <v>N/A</v>
      </c>
      <c r="DE7" s="84" t="str">
        <f>IFERROR(VLOOKUP($B7,'LOD 400 - COLO2'!$B:BI,60,FALSE),"N/A")</f>
        <v>N/A</v>
      </c>
      <c r="DF7" s="84" t="str">
        <f>IFERROR(VLOOKUP($B7,'LOD 400 - COLO2'!$B:BL,63,FALSE),"N/A")</f>
        <v>N/A</v>
      </c>
      <c r="DG7" s="84" t="str">
        <f>IFERROR(VLOOKUP($B7,'LOD 400 - COLO2'!$B:BO,66,FALSE),"N/A")</f>
        <v>N/A</v>
      </c>
      <c r="DH7" s="84" t="str">
        <f>IFERROR(VLOOKUP($B7,'LOD 400 - COLO2'!$B:BR,69,FALSE),"N/A")</f>
        <v>N/A</v>
      </c>
      <c r="DI7" s="84" t="str">
        <f>IFERROR(VLOOKUP($B7,'LOD 400 - COLO2'!$B:BU,72,FALSE),"N/A")</f>
        <v>N/A</v>
      </c>
      <c r="DJ7" s="84" t="str">
        <f>IFERROR(VLOOKUP($B7,'LOD 400 - COLO2'!$B:BX,75,FALSE),"N/A")</f>
        <v>N/A</v>
      </c>
      <c r="DK7" s="84" t="str">
        <f>IFERROR(VLOOKUP($B7,'LOD 400 - COLO2'!$B:CA,78,FALSE),"N/A")</f>
        <v>N/A</v>
      </c>
      <c r="DL7" s="84" t="str">
        <f>IFERROR(VLOOKUP($B7,'LOD 400 - COLO2'!$B:CD,81,FALSE),"N/A")</f>
        <v>N/A</v>
      </c>
      <c r="DM7" s="85" t="str">
        <f>IFERROR(VLOOKUP($B7,'LOD 400 - COLO2'!$B:CG,84,FALSE),"N/A")</f>
        <v>N/A</v>
      </c>
      <c r="DN7" s="84" t="str">
        <f>IFERROR(VLOOKUP($B7,'LOD 400 - COLO2'!$B:CJ,87,FALSE),"N/A")</f>
        <v>N/A</v>
      </c>
      <c r="DO7" s="85" t="str">
        <f>IFERROR(VLOOKUP($B7,'LOD 400 - COLO2'!$B:CM,90,FALSE),"N/A")</f>
        <v>N/A</v>
      </c>
      <c r="DP7" s="84" t="str">
        <f>IFERROR(VLOOKUP($B7,'LOD 400 - COLO2'!$B:CP,93,FALSE),"N/A")</f>
        <v>N/A</v>
      </c>
      <c r="DQ7" s="84" t="str">
        <f>IFERROR(VLOOKUP($B7,'LOD 400 - COLO2'!$B:CS,96,FALSE),"N/A")</f>
        <v>N/A</v>
      </c>
      <c r="DR7" s="84" t="str">
        <f>IFERROR(VLOOKUP($B7,'LOD 400 - COLO2'!$B:CV,99,FALSE),"N/A")</f>
        <v>N/A</v>
      </c>
      <c r="DS7" s="84" t="str">
        <f>IFERROR(VLOOKUP($B7,'LOD 400 - COLO2'!$B:CY,102,FALSE),"N/A")</f>
        <v>N/A</v>
      </c>
      <c r="DT7" s="84" t="str">
        <f>IFERROR(VLOOKUP($B7,'LOD 400 - COLO2'!$B:DB,105,FALSE),"N/A")</f>
        <v>N/A</v>
      </c>
      <c r="DU7" s="84" t="str">
        <f>IFERROR(VLOOKUP($B7,'LOD 400 - COLO2'!$B:DE,108,FALSE),"N/A")</f>
        <v>N/A</v>
      </c>
      <c r="DV7" s="84" t="str">
        <f>IFERROR(VLOOKUP($B7,'LOD 400 - COLO2'!$B:DH,111,FALSE),"N/A")</f>
        <v>N/A</v>
      </c>
      <c r="DW7" s="84" t="str">
        <f>IFERROR(VLOOKUP($B7,'LOD 400 - COLO2'!$B:DK,114,FALSE),"N/A")</f>
        <v>N/A</v>
      </c>
      <c r="DX7" s="84" t="str">
        <f>IFERROR(VLOOKUP($B7,'LOD 400 - COLO2'!$B:DN,117,FALSE),"N/A")</f>
        <v>N/A</v>
      </c>
      <c r="DY7" s="91" t="str">
        <f>IFERROR(__xludf.DUMMYFUNCTION("IFERROR(
  MAX(FILTER(CQ7:DW7, ISNUMBER(CQ7:DW7))),
  DW7
)"),"N/A")</f>
        <v>N/A</v>
      </c>
      <c r="DZ7" s="92" t="str">
        <f>IFERROR(VLOOKUP($B7,'LOD 400 - COLO3'!B:S,18,FALSE),"N/A")</f>
        <v>N/A</v>
      </c>
      <c r="EA7" s="84" t="str">
        <f>IFERROR(VLOOKUP($B7,'LOD 400 - COLO3'!B:V,21,FALSE),"N/A")</f>
        <v>N/A</v>
      </c>
      <c r="EB7" s="84" t="str">
        <f>IFERROR(VLOOKUP($B7,'LOD 400 - COLO3'!B:Y,24,FALSE),"N/A")</f>
        <v>N/A</v>
      </c>
      <c r="EC7" s="84" t="str">
        <f>IFERROR(VLOOKUP($B7,'LOD 400 - COLO3'!B:AB,27,FALSE),"N/A")</f>
        <v>N/A</v>
      </c>
      <c r="ED7" s="85" t="str">
        <f>IFERROR(VLOOKUP($B7,'LOD 400 - COLO3'!B:AE,30,FALSE),"N/A")</f>
        <v>N/A</v>
      </c>
      <c r="EE7" s="84" t="str">
        <f>IFERROR(VLOOKUP($B7,'LOD 400 - COLO3'!B:AH,33,FALSE),"N/A")</f>
        <v>N/A</v>
      </c>
      <c r="EF7" s="84" t="str">
        <f>IFERROR(VLOOKUP($B7,'LOD 400 - COLO3'!B:AK,36,FALSE),"N/A")</f>
        <v>N/A</v>
      </c>
      <c r="EG7" s="109" t="str">
        <f>IFERROR(VLOOKUP($B7,'LOD 400 - COLO3'!B:AN,39,FALSE),"N/A")</f>
        <v>N/A</v>
      </c>
      <c r="EH7" s="94" t="str">
        <f>IFERROR(VLOOKUP($B7,'LOD 400 - COLO3'!B:AQ,42,FALSE),"N/A")</f>
        <v>N/A</v>
      </c>
      <c r="EI7" s="94" t="str">
        <f>IFERROR(VLOOKUP($B7,'LOD 400 - COLO3'!B:AT,45,FALSE),"N/A")</f>
        <v>N/A</v>
      </c>
      <c r="EJ7" s="94" t="str">
        <f>IFERROR(VLOOKUP($B7,'LOD 400 - COLO3'!B:AW,48,FALSE),"N/A")</f>
        <v>N/A</v>
      </c>
      <c r="EK7" s="94" t="str">
        <f>IFERROR(VLOOKUP($B7,'LOD 400 - COLO3'!B:AZ,51,FALSE),"N/A")</f>
        <v>N/A</v>
      </c>
      <c r="EL7" s="94" t="str">
        <f>IFERROR(VLOOKUP($B7,'LOD 400 - COLO3'!B:BC,54,FALSE),"N/A")</f>
        <v>N/A</v>
      </c>
      <c r="EM7" s="94" t="str">
        <f>IFERROR(VLOOKUP($B7,'LOD 400 - COLO3'!B:BF,57,FALSE),"N/A")</f>
        <v>N/A</v>
      </c>
      <c r="EN7" s="94" t="str">
        <f>IFERROR(VLOOKUP($B7,'LOD 400 - COLO3'!B:BI,60,FALSE),"N/A")</f>
        <v>N/A</v>
      </c>
      <c r="EO7" s="94" t="str">
        <f>IFERROR(VLOOKUP($B7,'LOD 400 - COLO3'!B:BL,63,FALSE),"N/A")</f>
        <v>N/A</v>
      </c>
      <c r="EP7" s="86" t="str">
        <f>IFERROR(__xludf.DUMMYFUNCTION("IFERROR(
  MAX(FILTER(DZ7:EO7, ISNUMBER(DZ7:EO7))),
  EO7
)"),"N/A")</f>
        <v>N/A</v>
      </c>
      <c r="EQ7" s="95" t="str">
        <f>IFERROR(VLOOKUP($B7,'LOD 400 - COLO4'!B:S,18,FALSE),"N/A")</f>
        <v>N/A</v>
      </c>
      <c r="ER7" s="96" t="str">
        <f>IFERROR(__xludf.DUMMYFUNCTION("IFERROR(
  MAX(FILTER(EQ7, ISNUMBER(EQ7))),
  EQ7
)"),"N/A")</f>
        <v>N/A</v>
      </c>
      <c r="ES7" s="79" t="str">
        <f>IFERROR(VLOOKUP($B7,'LOD 400 - SITE'!B:S,18,FALSE),"N/A")</f>
        <v>NOT PUBLISHED</v>
      </c>
      <c r="ET7" s="80">
        <f>IFERROR(VLOOKUP($B7,'LOD 400 - SITE'!B:V,21,FALSE),"N/A")</f>
        <v>0.05</v>
      </c>
      <c r="EU7" s="97" t="str">
        <f>IFERROR(VLOOKUP($B7,'LOD 400 - SITE'!$B:Y,24,FALSE),"N/A")</f>
        <v>OUTDATED</v>
      </c>
      <c r="EV7" s="80" t="str">
        <f>IFERROR(VLOOKUP($B7,'LOD 400 - SITE'!$B:AB,27,FALSE),"N/A")</f>
        <v>IMPROPER</v>
      </c>
      <c r="EW7" s="81">
        <f>IFERROR(VLOOKUP($B7,'LOD 400 - SITE'!$B:AE,30,FALSE),"N/A")</f>
        <v>0.13</v>
      </c>
      <c r="EX7" s="87">
        <f>IFERROR(VLOOKUP($B7,'LOD 400 - SITE'!$B:AH,33,FALSE),"N/A")</f>
        <v>0.46</v>
      </c>
      <c r="EY7" s="87" t="str">
        <f>IFERROR(VLOOKUP($B7,'LOD 400 - SITE'!$B:AK,36,FALSE),"N/A")</f>
        <v>IMPROPER</v>
      </c>
      <c r="EZ7" s="80" t="str">
        <f>IFERROR(VLOOKUP($B7,'LOD 400 - SITE'!$B:AN,39,FALSE),"N/A")</f>
        <v>OUTDATED</v>
      </c>
      <c r="FA7" s="82" t="str">
        <f>IFERROR(VLOOKUP($B7,'LOD 400 - SITE'!$B:AQ,42,FALSE),"N/A")</f>
        <v>IMPROPER</v>
      </c>
      <c r="FB7" s="88" t="str">
        <f>IFERROR(VLOOKUP($B7,'LOD 400 - SITE'!$B:AT,45,FALSE),"N/A")</f>
        <v>IMPROPER</v>
      </c>
      <c r="FC7" s="84" t="str">
        <f>IFERROR(VLOOKUP($B7,'LOD 400 - SITE'!$B:AW,48,FALSE),"N/A")</f>
        <v>OUTDATED</v>
      </c>
      <c r="FD7" s="84" t="str">
        <f>IFERROR(VLOOKUP($B7,'LOD 400 - SITE'!$B:AZ,51,FALSE),"N/A")</f>
        <v>OUTDATED</v>
      </c>
      <c r="FE7" s="84" t="str">
        <f>IFERROR(VLOOKUP($B7,'LOD 400 - SITE'!$B:BC,54,FALSE),"N/A")</f>
        <v>IMPROPER</v>
      </c>
      <c r="FF7" s="84" t="str">
        <f>IFERROR(VLOOKUP($B7,'LOD 400 - SITE'!$B:BF,57,FALSE),"N/A")</f>
        <v>OUTDATED</v>
      </c>
      <c r="FG7" s="84" t="str">
        <f>IFERROR(VLOOKUP($B7,'LOD 400 - SITE'!$B:BI,60,FALSE),"N/A")</f>
        <v>OUTDATED</v>
      </c>
      <c r="FH7" s="84" t="str">
        <f>IFERROR(VLOOKUP($B7,'LOD 400 - SITE'!$B:BL,63,FALSE),"N/A")</f>
        <v>OUTDATED</v>
      </c>
      <c r="FI7" s="84" t="str">
        <f>IFERROR(VLOOKUP($B7,'LOD 400 - SITE'!$B:BO,66,FALSE),"N/A")</f>
        <v>OUTDATED</v>
      </c>
      <c r="FJ7" s="84">
        <f>IFERROR(VLOOKUP($B7,'LOD 400 - SITE'!$B:BR,69,FALSE),"N/A")</f>
        <v>0.56</v>
      </c>
      <c r="FK7" s="84" t="str">
        <f>IFERROR(VLOOKUP($B7,'LOD 400 - SITE'!$B:BU,72,FALSE),"N/A")</f>
        <v>NEXT ROUND </v>
      </c>
      <c r="FL7" s="84">
        <f>IFERROR(VLOOKUP($B7,'LOD 400 - SITE'!$B:BX,75,FALSE),"N/A")</f>
        <v>0.64</v>
      </c>
      <c r="FM7" s="84">
        <f>IFERROR(VLOOKUP($B7,'LOD 400 - SITE'!$B:CA,78,FALSE),"N/A")</f>
        <v>0.85</v>
      </c>
      <c r="FN7" s="85" t="str">
        <f>IFERROR(VLOOKUP($B7,'LOD 400 - SITE'!$B:CD,81,FALSE),"N/A")</f>
        <v>OUTDATED</v>
      </c>
      <c r="FO7" s="84" t="str">
        <f>IFERROR(VLOOKUP($B7,'LOD 400 - SITE'!$B:CG,84,FALSE),"N/A")</f>
        <v>NEXT ROUND</v>
      </c>
      <c r="FP7" s="85" t="str">
        <f>IFERROR(VLOOKUP($B7,'LOD 400 - SITE'!$B:CJ,87,FALSE),"N/A")</f>
        <v>NEXT ROUND</v>
      </c>
      <c r="FQ7" s="84">
        <f>IFERROR(VLOOKUP($B7,'LOD 400 - SITE'!$B:CM,90,FALSE),"N/A")</f>
        <v>0.69</v>
      </c>
      <c r="FR7" s="84" t="str">
        <f>IFERROR(VLOOKUP($B7,'LOD 400 - SITE'!$B:CP,93,FALSE),"N/A")</f>
        <v>NEXT ROUND</v>
      </c>
      <c r="FS7" s="84">
        <f>IFERROR(VLOOKUP($B7,'LOD 400 - SITE'!$B:CS,96,FALSE),"N/A")</f>
        <v>0.69</v>
      </c>
      <c r="FT7" s="84" t="str">
        <f>IFERROR(VLOOKUP($B7,'LOD 400 - SITE'!$B:CV,99,FALSE),"N/A")</f>
        <v>NEXT ROUND</v>
      </c>
      <c r="FU7" s="84" t="str">
        <f>IFERROR(VLOOKUP($B7,'LOD 400 - SITE'!$B:CY,102,FALSE),"N/A")</f>
        <v>NEXT ROUND</v>
      </c>
      <c r="FV7" s="84">
        <f>IFERROR(VLOOKUP($B7,'LOD 400 - SITE'!$B:DB,105,FALSE),"N/A")</f>
        <v>1</v>
      </c>
      <c r="FW7" s="84">
        <f>IFERROR(VLOOKUP($B7,'LOD 400 - SITE'!$B:DE,108,FALSE),"N/A")</f>
        <v>1</v>
      </c>
      <c r="FX7" s="84">
        <f>IFERROR(VLOOKUP($B7,'LOD 400 - SITE'!$B:DH,111,FALSE),"N/A")</f>
        <v>1</v>
      </c>
      <c r="FY7" s="84">
        <f>IFERROR(VLOOKUP($B7,'LOD 400 - SITE'!$B:DK,114,FALSE),"N/A")</f>
        <v>1</v>
      </c>
      <c r="FZ7" s="96">
        <f>IFERROR(__xludf.DUMMYFUNCTION("IFERROR(
  MAX(FILTER(ES7:FY7, ISNUMBER(ES7:FY7))),
  FY7
)"),1.0)</f>
        <v>1</v>
      </c>
      <c r="GA7" s="80">
        <f>IFERROR(VLOOKUP($B7,'LOD 400 - UTLS'!B:S,18,FALSE),"N/A")</f>
        <v>0.08</v>
      </c>
      <c r="GB7" s="98" t="str">
        <f>IFERROR(VLOOKUP($B7,'LOD 400 - UTLS'!B:V,21,FALSE),"N/A")</f>
        <v>IMPROPER</v>
      </c>
      <c r="GC7" s="81">
        <f>IFERROR(VLOOKUP($B7,'LOD 400 - UTLS'!B:Y,24,FALSE),"N/A")</f>
        <v>0.19</v>
      </c>
      <c r="GD7" s="87" t="str">
        <f>IFERROR(VLOOKUP($B7,'LOD 400 - UTLS'!$B:AB,27,FALSE),"N/A")</f>
        <v>IMPROPER</v>
      </c>
      <c r="GE7" s="80" t="str">
        <f>IFERROR(VLOOKUP($B7,'LOD 400 - UTLS'!$B:AE,30,FALSE),"N/A")</f>
        <v>OUTDATED</v>
      </c>
      <c r="GF7" s="82" t="str">
        <f>IFERROR(VLOOKUP($B7,'LOD 400 - UTLS'!$B:AH,33,FALSE),"N/A")</f>
        <v>IMPROPER</v>
      </c>
      <c r="GG7" s="88" t="str">
        <f>IFERROR(VLOOKUP($B7,'LOD 400 - UTLS'!$B:AK,36,FALSE),"N/A")</f>
        <v>IMPROPER</v>
      </c>
      <c r="GH7" s="84" t="str">
        <f>IFERROR(VLOOKUP($B7,'LOD 400 - UTLS'!$B:AN,39,FALSE),"N/A")</f>
        <v>IMPROPER</v>
      </c>
      <c r="GI7" s="84" t="str">
        <f>IFERROR(VLOOKUP($B7,'LOD 400 - UTLS'!$B:AQ,42,FALSE),"N/A")</f>
        <v>OUTDATED</v>
      </c>
      <c r="GJ7" s="84" t="str">
        <f>IFERROR(VLOOKUP($B7,'LOD 400 - UTLS'!$B:AT,45,FALSE),"N/A")</f>
        <v>IMPROPER</v>
      </c>
      <c r="GK7" s="84" t="str">
        <f>IFERROR(VLOOKUP($B7,'LOD 400 - UTLS'!$B:AW,48,FALSE),"N/A")</f>
        <v>OUTDATED</v>
      </c>
      <c r="GL7" s="84" t="str">
        <f>IFERROR(VLOOKUP($B7,'LOD 400 - UTLS'!$B:AZ,51,FALSE),"N/A")</f>
        <v>OUTDATED</v>
      </c>
      <c r="GM7" s="84" t="str">
        <f>IFERROR(VLOOKUP($B7,'LOD 400 - UTLS'!$B:BC,54,FALSE),"N/A")</f>
        <v>OUTDATED</v>
      </c>
      <c r="GN7" s="84" t="str">
        <f>IFERROR(VLOOKUP($B7,'LOD 400 - UTLS'!$B:BF,57,FALSE),"N/A")</f>
        <v>OUTDATED</v>
      </c>
      <c r="GO7" s="84">
        <f>IFERROR(VLOOKUP($B7,'LOD 400 - UTLS'!$B:BI,60,FALSE),"N/A")</f>
        <v>0.56</v>
      </c>
      <c r="GP7" s="84" t="str">
        <f>IFERROR(VLOOKUP($B7,'LOD 400 - UTLS'!$B:BL,63,FALSE),"N/A")</f>
        <v>NEXT ROUND </v>
      </c>
      <c r="GQ7" s="84">
        <f>IFERROR(VLOOKUP($B7,'LOD 400 - UTLS'!$B:BO,66,FALSE),"N/A")</f>
        <v>0.69</v>
      </c>
      <c r="GR7" s="84">
        <f>IFERROR(VLOOKUP($B7,'LOD 400 - UTLS'!$B:BR,69,FALSE),"N/A")</f>
        <v>0.72</v>
      </c>
      <c r="GS7" s="85" t="str">
        <f>IFERROR(VLOOKUP($B7,'LOD 400 - UTLS'!$B:BU,72,FALSE),"N/A")</f>
        <v>OUTDATED</v>
      </c>
      <c r="GT7" s="84" t="str">
        <f>IFERROR(VLOOKUP($B7,'LOD 400 - UTLS'!$B:BX,75,FALSE),"N/A")</f>
        <v>NEXT ROUND</v>
      </c>
      <c r="GU7" s="85" t="str">
        <f>IFERROR(VLOOKUP($B7,'LOD 400 - UTLS'!$B:CA,78,FALSE),"N/A")</f>
        <v>NEXT ROUND</v>
      </c>
      <c r="GV7" s="84" t="str">
        <f>IFERROR(VLOOKUP($B7,'LOD 400 - UTLS'!$B:CD,81,FALSE),"N/A")</f>
        <v>NEXT ROUND</v>
      </c>
      <c r="GW7" s="84" t="str">
        <f>IFERROR(VLOOKUP($B7,'LOD 400 - UTLS'!$B:CG,84,FALSE),"N/A")</f>
        <v>NEXT ROUND</v>
      </c>
      <c r="GX7" s="84">
        <f>IFERROR(VLOOKUP($B7,'LOD 400 - UTLS'!$B:CJ,87,FALSE),"N/A")</f>
        <v>0.85</v>
      </c>
      <c r="GY7" s="84">
        <f>IFERROR(VLOOKUP($B7,'LOD 400 - UTLS'!$B:CM,90,FALSE),"N/A")</f>
        <v>0.85</v>
      </c>
      <c r="GZ7" s="84" t="str">
        <f>IFERROR(VLOOKUP($B7,'LOD 400 - UTLS'!$B:CP,93,FALSE),"N/A")</f>
        <v>NEXT ROUND</v>
      </c>
      <c r="HA7" s="84" t="str">
        <f>IFERROR(VLOOKUP($B7,'LOD 400 - UTLS'!$B:CS,96,FALSE),"N/A")</f>
        <v>IMPROPER</v>
      </c>
      <c r="HB7" s="84" t="str">
        <f>IFERROR(VLOOKUP($B7,'LOD 400 - UTLS'!$B:CV,99,FALSE),"N/A")</f>
        <v>OUTDATED</v>
      </c>
      <c r="HC7" s="84" t="str">
        <f>IFERROR(VLOOKUP($B7,'LOD 400 - UTLS'!$B:CY,102,FALSE),"N/A")</f>
        <v>OUTDATED</v>
      </c>
      <c r="HD7" s="84" t="str">
        <f>IFERROR(VLOOKUP($B7,'LOD 400 - UTLS'!$B:DB,105,FALSE),"N/A")</f>
        <v>OUTDATED</v>
      </c>
      <c r="HE7" s="96">
        <f>IFERROR(__xludf.DUMMYFUNCTION("IFERROR(
  MAX(FILTER(GA7:HD7, ISNUMBER(GA7:HD7))),
  HD7
)"),0.85)</f>
        <v>0.85</v>
      </c>
      <c r="HF7" s="99"/>
      <c r="HG7" s="99"/>
      <c r="HH7" s="99"/>
      <c r="HI7" s="99"/>
      <c r="HJ7" s="99"/>
      <c r="HK7" s="99"/>
    </row>
    <row r="8" ht="15.0" customHeight="1" outlineLevel="1">
      <c r="A8" s="53">
        <v>10.0</v>
      </c>
      <c r="B8" s="110" t="s">
        <v>86</v>
      </c>
      <c r="C8" s="110" t="s">
        <v>87</v>
      </c>
      <c r="D8" s="64" t="str">
        <f t="shared" si="1"/>
        <v>DATA</v>
      </c>
      <c r="E8" s="111" t="s">
        <v>88</v>
      </c>
      <c r="F8" s="111" t="s">
        <v>88</v>
      </c>
      <c r="G8" s="112" t="s">
        <v>88</v>
      </c>
      <c r="H8" s="104"/>
      <c r="I8" s="68" t="str">
        <f>IFERROR(VLOOKUP($C5:C108,'R22 RELATÓRIO ACC'!B:F,5,FALSE),"NOT PUBLISHED")</f>
        <v>NOT PUBLISHED</v>
      </c>
      <c r="J8" s="69" t="str">
        <f>IFERROR(VLOOKUP($C5:C108,'R22 RELATÓRIO ACC'!B:P,15,FALSE),"NOT PUBLISHED")</f>
        <v>NOT PUBLISHED</v>
      </c>
      <c r="K8" s="70" t="str">
        <f>IFERROR(VLOOKUP($B7:B108,'RELATÓRIO ACC'!B:F,5,FALSE),"NOT PUBLISHED")</f>
        <v>NOT PUBLISHED</v>
      </c>
      <c r="L8" s="71" t="str">
        <f>IFERROR(VLOOKUP($B7:B108,'RELATÓRIO ACC'!B:P,15,FALSE),"NOT PUBLISHED")</f>
        <v>NOT PUBLISHED</v>
      </c>
      <c r="M8" s="72" t="str">
        <f>IF(OR($D8="UTLS",$D8="GUAR",$D8="STIR",$D8="PUMP",$D8="SITE"),
   VLOOKUP($B8,'LOD 400 - SITE'!B:M,12,FALSE),
   VLOOKUP($B8,'LOD 400 - ADMN'!B:M,12,FALSE)
)</f>
        <v>NOT PUBLISHED</v>
      </c>
      <c r="N8" s="105" t="str">
        <f>IF(OR($D8="UTLS",$D8="GUAR",$D8="STIR",$D8="PUMP",$D8="SITE"),
   VLOOKUP($B8,'LOD 400 - SITE'!B:N,13,FALSE),
   VLOOKUP($B8,'LOD 400 - ADMN'!B:N,13,FALSE)
)</f>
        <v>NOT PUBLISHED</v>
      </c>
      <c r="O8" s="106" t="str">
        <f>IF(OR($D8="UTLS",$D8="GUAR",$D8="STIR",$D8="PUMP",$D8="SITE"),
   VLOOKUP($B8,'LOD 400 - SITE'!B:O,14,FALSE),
   VLOOKUP($B8,'LOD 400 - ADMN'!B:O,14,FALSE)
)</f>
        <v>NOT PUBLISHED</v>
      </c>
      <c r="P8" s="107" t="str">
        <f>IF(OR($D8="C345",$D8="C12A",$D8="DATA"),
   VLOOKUP($B8,'LOD 400 - COLO3'!B:M,12,FALSE),"N/A")</f>
        <v>NOT PUBLISHED</v>
      </c>
      <c r="Q8" s="108" t="str">
        <f>IF(OR($D8="C345",$D8="C12A",$D8="DATA"),
   VLOOKUP($B8,'LOD 400 - COLO3'!B:N,13,FALSE),"N/A")</f>
        <v>NOT PUBLISHED</v>
      </c>
      <c r="R8" s="75" t="str">
        <f>IF(OR($D8="C345",$D8="C12A",$D8="DATA"),
   VLOOKUP($B8,'LOD 400 - COLO3'!B:O,14,FALSE),"N/A")</f>
        <v>NOT PUBLISHED</v>
      </c>
      <c r="S8" s="113" t="str">
        <f>IFERROR(VLOOKUP($B7:J108,'RELATÓRIO ACC'!J:N,5,FALSE),"NOT PUBLISHED")</f>
        <v>NOT PUBLISHED</v>
      </c>
      <c r="T8" s="113" t="str">
        <f>IFERROR(VLOOKUP($B7:K108,'RELATÓRIO ACC'!K:O,5,FALSE),"NOT PUBLISHED")</f>
        <v>NOT PUBLISHED</v>
      </c>
      <c r="U8" s="70" t="str">
        <f>IFERROR(VLOOKUP($B7:L108,'RELATÓRIO ACC'!L:P,5,FALSE),"NOT PUBLISHED")</f>
        <v>NOT PUBLISHED</v>
      </c>
      <c r="V8" s="77" t="str">
        <f>IF(OR($D8="UTLS",$D8="GUAR",$D8="STIR",$D8="PUMP",$D8="SITE"),
   VLOOKUP($B8,'LOD 400 - UTLS'!B:M,12,FALSE),"N/A")</f>
        <v>N/A</v>
      </c>
      <c r="W8" s="78" t="str">
        <f>IF(OR($D8="UTLS",$D8="GUAR",$D8="STIR",$D8="PUMP",$D8="SITE"),
   VLOOKUP($B8,'LOD 400 - UTLS'!B:N,13,FALSE),"N/A")</f>
        <v>N/A</v>
      </c>
      <c r="X8" s="108" t="str">
        <f>IF(OR($D8="UTLS",$D8="GUAR",$D8="STIR",$D8="PUMP",$D8="SITE"),
   VLOOKUP($B8,'LOD 400 - UTLS'!B:O,14,FALSE),"N/A")</f>
        <v>N/A</v>
      </c>
      <c r="Y8" s="79" t="str">
        <f>IFERROR(VLOOKUP($B8,'LOD 400 - ADMN'!B:S,18,FALSE),"N/A")</f>
        <v>NOT PUBLISHED</v>
      </c>
      <c r="Z8" s="79" t="str">
        <f>IFERROR(VLOOKUP($B8,'LOD 400 - ADMN'!B:V,21,FALSE),"N/A")</f>
        <v>NOT PUBLISHED</v>
      </c>
      <c r="AA8" s="79" t="str">
        <f>IFERROR(VLOOKUP($B8,'LOD 400 - ADMN'!$B:Y,24,FALSE),"N/A")</f>
        <v>NOT PUBLISHED</v>
      </c>
      <c r="AB8" s="80" t="str">
        <f>IFERROR(VLOOKUP($B8,'LOD 400 - ADMN'!$B:AB,27,FALSE),"N/A")</f>
        <v>NOT PUBLISHED</v>
      </c>
      <c r="AC8" s="81" t="str">
        <f>IFERROR(VLOOKUP($B8,'LOD 400 - ADMN'!$B:AE,30,FALSE),"N/A")</f>
        <v>NOT PUBLISHED</v>
      </c>
      <c r="AD8" s="81" t="str">
        <f>IFERROR(VLOOKUP($B8,'LOD 400 - ADMN'!$B:AH,33,FALSE),"N/A")</f>
        <v>NOT PUBLISHED</v>
      </c>
      <c r="AE8" s="80" t="str">
        <f>IFERROR(VLOOKUP($B8,'LOD 400 - ADMN'!$B:AK,36,FALSE),"N/A")</f>
        <v>NOT PUBLISHED</v>
      </c>
      <c r="AF8" s="82" t="str">
        <f>IFERROR(VLOOKUP($B8,'LOD 400 - ADMN'!$B:AN,39,FALSE),"N/A")</f>
        <v>NOT PUBLISHED</v>
      </c>
      <c r="AG8" s="83" t="str">
        <f>IFERROR(VLOOKUP($B8,'LOD 400 - ADMN'!$B:AQ,42,FALSE),"N/A")</f>
        <v>NOT PUBLISHED</v>
      </c>
      <c r="AH8" s="84" t="str">
        <f>IFERROR(VLOOKUP($B8,'LOD 400 - ADMN'!$B:AT,45,FALSE),"N/A")</f>
        <v>NOT PUBLISHED</v>
      </c>
      <c r="AI8" s="85" t="str">
        <f>IFERROR(VLOOKUP($B8,'LOD 400 - ADMN'!$B:AW,48,FALSE),"N/A")</f>
        <v>NOT PUBLISHED</v>
      </c>
      <c r="AJ8" s="85" t="str">
        <f>IFERROR(VLOOKUP($B8,'LOD 400 - ADMN'!$B:AZ,51,FALSE),"N/A")</f>
        <v>NOT PUBLISHED</v>
      </c>
      <c r="AK8" s="84" t="str">
        <f>IFERROR(VLOOKUP($B8,'LOD 400 - ADMN'!$B:BC,54,FALSE),"N/A")</f>
        <v>NOT PUBLISHED</v>
      </c>
      <c r="AL8" s="84" t="str">
        <f>IFERROR(VLOOKUP($B8,'LOD 400 - ADMN'!$B:BF,57,FALSE),"N/A")</f>
        <v>NOT PUBLISHED</v>
      </c>
      <c r="AM8" s="84" t="str">
        <f>IFERROR(VLOOKUP($B8,'LOD 400 - ADMN'!$B:BI,60,FALSE),"N/A")</f>
        <v>NOT PUBLISHED</v>
      </c>
      <c r="AN8" s="84" t="str">
        <f>IFERROR(VLOOKUP($B8,'LOD 400 - ADMN'!$B:BL,63,FALSE),"N/A")</f>
        <v>NOT PUBLISHED</v>
      </c>
      <c r="AO8" s="84" t="str">
        <f>IFERROR(VLOOKUP($B8,'LOD 400 - ADMN'!$B:BO,66,FALSE),"N/A")</f>
        <v>NOT PUBLISHED</v>
      </c>
      <c r="AP8" s="84" t="str">
        <f>IFERROR(VLOOKUP($B8,'LOD 400 - ADMN'!$B:BR,69,FALSE),"N/A")</f>
        <v>NOT PUBLISHED</v>
      </c>
      <c r="AQ8" s="84" t="str">
        <f>IFERROR(VLOOKUP($B8,'LOD 400 - ADMN'!$B:BU,72,FALSE),"N/A")</f>
        <v>NOT PUBLISHED</v>
      </c>
      <c r="AR8" s="84" t="str">
        <f>IFERROR(VLOOKUP($B8,'LOD 400 - ADMN'!$B:BX,75,FALSE),"N/A")</f>
        <v>NOT PUBLISHED</v>
      </c>
      <c r="AS8" s="84" t="str">
        <f>IFERROR(VLOOKUP($B8,'LOD 400 - ADMN'!$B:CA,78,FALSE),"N/A")</f>
        <v>NOT PUBLISHED</v>
      </c>
      <c r="AT8" s="84" t="str">
        <f>IFERROR(VLOOKUP($B8,'LOD 400 - ADMN'!$B:CD,81,FALSE),"N/A")</f>
        <v>NOT PUBLISHED</v>
      </c>
      <c r="AU8" s="85" t="str">
        <f>IFERROR(VLOOKUP($B8,'LOD 400 - ADMN'!$B:CG,84,FALSE),"N/A")</f>
        <v>NOT PUBLISHED</v>
      </c>
      <c r="AV8" s="84" t="str">
        <f>IFERROR(VLOOKUP($B8,'LOD 400 - ADMN'!$B:CJ,87,FALSE),"N/A")</f>
        <v>NOT PUBLISHED</v>
      </c>
      <c r="AW8" s="85" t="str">
        <f>IFERROR(VLOOKUP($B8,'LOD 400 - ADMN'!$B:CM,90,FALSE),"N/A")</f>
        <v>NOT PUBLISHED</v>
      </c>
      <c r="AX8" s="84" t="str">
        <f>IFERROR(VLOOKUP($B8,'LOD 400 - ADMN'!$B:CP,93,FALSE),"N/A")</f>
        <v>NOT PUBLISHED</v>
      </c>
      <c r="AY8" s="84" t="str">
        <f>IFERROR(VLOOKUP($B8,'LOD 400 - ADMN'!$B:CS,96,FALSE),"N/A")</f>
        <v>NOT PUBLISHED</v>
      </c>
      <c r="AZ8" s="84" t="str">
        <f>IFERROR(VLOOKUP($B8,'LOD 400 - ADMN'!$B:CV,99,FALSE),"N/A")</f>
        <v>NOT PUBLISHED</v>
      </c>
      <c r="BA8" s="84" t="str">
        <f>IFERROR(VLOOKUP($B8,'LOD 400 - ADMN'!$B:CY,102,FALSE),"N/A")</f>
        <v>NOT PUBLISHED</v>
      </c>
      <c r="BB8" s="84" t="str">
        <f>IFERROR(VLOOKUP($B8,'LOD 400 - ADMN'!$B:DB,105,FALSE),"N/A")</f>
        <v>NOT PUBLISHED</v>
      </c>
      <c r="BC8" s="84" t="str">
        <f>IFERROR(VLOOKUP($B8,'LOD 400 - ADMN'!$B:DE,108,FALSE),"N/A")</f>
        <v>NOT PUBLISHED</v>
      </c>
      <c r="BD8" s="84" t="str">
        <f>IFERROR(VLOOKUP($B8,'LOD 400 - ADMN'!$B:DH,111,FALSE),"N/A")</f>
        <v>NOT PUBLISHED</v>
      </c>
      <c r="BE8" s="84" t="str">
        <f>IFERROR(VLOOKUP($B8,'LOD 400 - ADMN'!$B:DK,114,FALSE),"N/A")</f>
        <v>NOT PUBLISHED</v>
      </c>
      <c r="BF8" s="84" t="str">
        <f>IFERROR(VLOOKUP($B8,'LOD 400 - ADMN'!$B:DN,117,FALSE),"N/A")</f>
        <v>NOT PUBLISHED</v>
      </c>
      <c r="BG8" s="86" t="str">
        <f>IFERROR(__xludf.DUMMYFUNCTION("IFERROR(
  MAX(FILTER(Y8:BF8, ISNUMBER(Y8:BF8))),
  BF8
)"),"NOT PUBLISHED")</f>
        <v>NOT PUBLISHED</v>
      </c>
      <c r="BH8" s="79" t="str">
        <f>IFERROR(VLOOKUP($B8,'LOD 400 - COLO1'!B:S,18,FALSE),"N/A")</f>
        <v>NOT PUBLISHED</v>
      </c>
      <c r="BI8" s="79" t="str">
        <f>IFERROR(VLOOKUP($B8,'LOD 400 - COLO1'!B:V,21,FALSE),"N/A")</f>
        <v>NOT PUBLISHED</v>
      </c>
      <c r="BJ8" s="79" t="str">
        <f>IFERROR(VLOOKUP($B8,'LOD 400 - COLO1'!$B:Y,24,FALSE),"N/A")</f>
        <v>NOT PUBLISHED</v>
      </c>
      <c r="BK8" s="87" t="str">
        <f>IFERROR(VLOOKUP($B8,'LOD 400 - COLO1'!$B:AB,27,FALSE),"N/A")</f>
        <v>NOT PUBLISHED</v>
      </c>
      <c r="BL8" s="80" t="str">
        <f>IFERROR(VLOOKUP($B8,'LOD 400 - COLO1'!$B:AE,30,FALSE),"N/A")</f>
        <v>NOT PUBLISHED</v>
      </c>
      <c r="BM8" s="81" t="str">
        <f>IFERROR(VLOOKUP($B8,'LOD 400 - COLO1'!$B:AH,33,FALSE),"N/A")</f>
        <v>NOT PUBLISHED</v>
      </c>
      <c r="BN8" s="87" t="str">
        <f>IFERROR(VLOOKUP($B8,'LOD 400 - COLO1'!$B:AK,36,FALSE),"N/A")</f>
        <v>NOT PUBLISHED</v>
      </c>
      <c r="BO8" s="83" t="str">
        <f>IFERROR(VLOOKUP($B8,'LOD 400 - COLO1'!$B:AN,39,FALSE),"N/A")</f>
        <v>NOT PUBLISHED</v>
      </c>
      <c r="BP8" s="88" t="str">
        <f>IFERROR(VLOOKUP($B8,'LOD 400 - COLO1'!$B:AQ,42,FALSE),"N/A")</f>
        <v>NOT PUBLISHED</v>
      </c>
      <c r="BQ8" s="84" t="str">
        <f>IFERROR(VLOOKUP($B8,'LOD 400 - COLO1'!$B:AT,45,FALSE),"N/A")</f>
        <v>NOT PUBLISHED</v>
      </c>
      <c r="BR8" s="85" t="str">
        <f>IFERROR(VLOOKUP($B8,'LOD 400 - COLO1'!$B:AW,48,FALSE),"N/A")</f>
        <v>NOT PUBLISHED</v>
      </c>
      <c r="BS8" s="84" t="str">
        <f>IFERROR(VLOOKUP($B8,'LOD 400 - COLO1'!$B:AZ,51,FALSE),"N/A")</f>
        <v>NOT PUBLISHED</v>
      </c>
      <c r="BT8" s="84" t="str">
        <f>IFERROR(VLOOKUP($B8,'LOD 400 - COLO1'!$B:BC,54,FALSE),"N/A")</f>
        <v>NOT PUBLISHED</v>
      </c>
      <c r="BU8" s="84" t="str">
        <f>IFERROR(VLOOKUP($B8,'LOD 400 - COLO1'!$B:BF,57,FALSE),"N/A")</f>
        <v>NOT PUBLISHED</v>
      </c>
      <c r="BV8" s="84" t="str">
        <f>IFERROR(VLOOKUP($B8,'LOD 400 - COLO1'!$B:BI,60,FALSE),"N/A")</f>
        <v>NOT PUBLISHED</v>
      </c>
      <c r="BW8" s="84" t="str">
        <f>IFERROR(VLOOKUP($B8,'LOD 400 - COLO1'!$B:BL,63,FALSE),"N/A")</f>
        <v>NOT PUBLISHED</v>
      </c>
      <c r="BX8" s="84" t="str">
        <f>IFERROR(VLOOKUP($B8,'LOD 400 - COLO1'!$B:BO,66,FALSE),"N/A")</f>
        <v>NOT PUBLISHED</v>
      </c>
      <c r="BY8" s="84" t="str">
        <f>IFERROR(VLOOKUP($B8,'LOD 400 - COLO1'!$B:BR,69,FALSE),"N/A")</f>
        <v>NOT PUBLISHED</v>
      </c>
      <c r="BZ8" s="84" t="str">
        <f>IFERROR(VLOOKUP($B8,'LOD 400 - COLO1'!$B:BU,72,FALSE),"N/A")</f>
        <v>NOT PUBLISHED</v>
      </c>
      <c r="CA8" s="84" t="str">
        <f>IFERROR(VLOOKUP($B8,'LOD 400 - COLO1'!$B:BX,75,FALSE),"N/A")</f>
        <v>NOT PUBLISHED</v>
      </c>
      <c r="CB8" s="84" t="str">
        <f>IFERROR(VLOOKUP($B8,'LOD 400 - COLO1'!$B:CA,78,FALSE),"N/A")</f>
        <v>NOT PUBLISHED</v>
      </c>
      <c r="CC8" s="84" t="str">
        <f>IFERROR(VLOOKUP($B8,'LOD 400 - COLO1'!$B:CD,81,FALSE),"N/A")</f>
        <v>NOT PUBLISHED</v>
      </c>
      <c r="CD8" s="85" t="str">
        <f>IFERROR(VLOOKUP($B8,'LOD 400 - COLO1'!$B:CG,84,FALSE),"N/A")</f>
        <v>NOT PUBLISHED</v>
      </c>
      <c r="CE8" s="84" t="str">
        <f>IFERROR(VLOOKUP($B8,'LOD 400 - COLO1'!$B:CJ,87,FALSE),"N/A")</f>
        <v>NOT PUBLISHED</v>
      </c>
      <c r="CF8" s="85" t="str">
        <f>IFERROR(VLOOKUP($B8,'LOD 400 - COLO1'!$B:CM,90,FALSE),"N/A")</f>
        <v>NOT PUBLISHED</v>
      </c>
      <c r="CG8" s="84" t="str">
        <f>IFERROR(VLOOKUP($B8,'LOD 400 - COLO1'!$B:CP,93,FALSE),"N/A")</f>
        <v>NOT PUBLISHED</v>
      </c>
      <c r="CH8" s="84" t="str">
        <f>IFERROR(VLOOKUP($B8,'LOD 400 - COLO1'!$B:CS,96,FALSE),"N/A")</f>
        <v>NOT PUBLISHED</v>
      </c>
      <c r="CI8" s="84" t="str">
        <f>IFERROR(VLOOKUP($B8,'LOD 400 - COLO1'!$B:CV,99,FALSE),"N/A")</f>
        <v>NOT PUBLISHED</v>
      </c>
      <c r="CJ8" s="84" t="str">
        <f>IFERROR(VLOOKUP($B8,'LOD 400 - COLO1'!$B:CY,102,FALSE),"N/A")</f>
        <v>NOT PUBLISHED</v>
      </c>
      <c r="CK8" s="84" t="str">
        <f>IFERROR(VLOOKUP($B8,'LOD 400 - COLO1'!$B:DB,105,FALSE),"N/A")</f>
        <v>NOT PUBLISHED</v>
      </c>
      <c r="CL8" s="84" t="str">
        <f>IFERROR(VLOOKUP($B8,'LOD 400 - COLO1'!$B:DE,108,FALSE),"N/A")</f>
        <v>NOT PUBLISHED</v>
      </c>
      <c r="CM8" s="84" t="str">
        <f>IFERROR(VLOOKUP($B8,'LOD 400 - COLO1'!$B:DH,111,FALSE),"N/A")</f>
        <v>NOT PUBLISHED</v>
      </c>
      <c r="CN8" s="84" t="str">
        <f>IFERROR(VLOOKUP($B8,'LOD 400 - COLO1'!$B:DK,114,FALSE),"N/A")</f>
        <v>NOT PUBLISHED</v>
      </c>
      <c r="CO8" s="84" t="str">
        <f>IFERROR(VLOOKUP($B8,'LOD 400 - COLO1'!$B:DN,117,FALSE),"N/A")</f>
        <v>NOT PUBLISHED</v>
      </c>
      <c r="CP8" s="86" t="str">
        <f>IFERROR(__xludf.DUMMYFUNCTION("IFERROR(
  MAX(FILTER(BH8:CO8, ISNUMBER(BH8:CO8))),
  CO8
)"),"NOT PUBLISHED")</f>
        <v>NOT PUBLISHED</v>
      </c>
      <c r="CQ8" s="89" t="str">
        <f>IFERROR(VLOOKUP($B8,'LOD 400 - COLO2'!B:S,18,FALSE),"N/A")</f>
        <v>NOT PUBLISHED</v>
      </c>
      <c r="CR8" s="79" t="str">
        <f>IFERROR(VLOOKUP($B8,'LOD 400 - COLO2'!B:V,21,FALSE),"N/A")</f>
        <v>NOT PUBLISHED</v>
      </c>
      <c r="CS8" s="79" t="str">
        <f>IFERROR(VLOOKUP($B8,'LOD 400 - COLO2'!$B:Y,24,FALSE),"N/A")</f>
        <v>NOT PUBLISHED</v>
      </c>
      <c r="CT8" s="80" t="str">
        <f>IFERROR(VLOOKUP($B8,'LOD 400 - COLO2'!$B:DQ,27,FALSE),"N/A")</f>
        <v>NOT PUBLISHED</v>
      </c>
      <c r="CU8" s="90" t="str">
        <f>IFERROR(VLOOKUP($B8,'LOD 400 - COLO2'!$B:AE,30,FALSE),"N/A")</f>
        <v>NOT PUBLISHED</v>
      </c>
      <c r="CV8" s="81" t="str">
        <f>IFERROR(VLOOKUP($B8,'LOD 400 - COLO2'!$B:AH,33,FALSE),"N/A")</f>
        <v>NOT PUBLISHED</v>
      </c>
      <c r="CW8" s="90" t="str">
        <f>IFERROR(VLOOKUP($B8,'LOD 400 - COLO2'!$B:AK,36,FALSE),"N/A")</f>
        <v>NOT PUBLISHED</v>
      </c>
      <c r="CX8" s="85" t="str">
        <f>IFERROR(VLOOKUP($B8,'LOD 400 - COLO2'!$B:AN,39,FALSE),"N/A")</f>
        <v>NOT PUBLISHED</v>
      </c>
      <c r="CY8" s="88" t="str">
        <f>IFERROR(VLOOKUP($B8,'LOD 400 - COLO2'!$B:AQ,42,FALSE),"N/A")</f>
        <v>NOT PUBLISHED</v>
      </c>
      <c r="CZ8" s="84" t="str">
        <f>IFERROR(VLOOKUP($B8,'LOD 400 - COLO2'!$B:AT,45,FALSE),"N/A")</f>
        <v>NOT PUBLISHED</v>
      </c>
      <c r="DA8" s="85" t="str">
        <f>IFERROR(VLOOKUP($B8,'LOD 400 - COLO2'!$B:AW,48,FALSE),"N/A")</f>
        <v>NOT PUBLISHED</v>
      </c>
      <c r="DB8" s="84" t="str">
        <f>IFERROR(VLOOKUP($B8,'LOD 400 - COLO2'!$B:AZ,51,FALSE),"N/A")</f>
        <v>NOT PUBLISHED</v>
      </c>
      <c r="DC8" s="84" t="str">
        <f>IFERROR(VLOOKUP($B8,'LOD 400 - COLO2'!$B:BC,54,FALSE),"N/A")</f>
        <v>NOT PUBLISHED</v>
      </c>
      <c r="DD8" s="84" t="str">
        <f>IFERROR(VLOOKUP($B8,'LOD 400 - COLO2'!$B:BF,57,FALSE),"N/A")</f>
        <v>NOT PUBLISHED</v>
      </c>
      <c r="DE8" s="84" t="str">
        <f>IFERROR(VLOOKUP($B8,'LOD 400 - COLO2'!$B:BI,60,FALSE),"N/A")</f>
        <v>NOT PUBLISHED</v>
      </c>
      <c r="DF8" s="84" t="str">
        <f>IFERROR(VLOOKUP($B8,'LOD 400 - COLO2'!$B:BL,63,FALSE),"N/A")</f>
        <v>NOT PUBLISHED</v>
      </c>
      <c r="DG8" s="84" t="str">
        <f>IFERROR(VLOOKUP($B8,'LOD 400 - COLO2'!$B:BO,66,FALSE),"N/A")</f>
        <v>NOT PUBLISHED</v>
      </c>
      <c r="DH8" s="84" t="str">
        <f>IFERROR(VLOOKUP($B8,'LOD 400 - COLO2'!$B:BR,69,FALSE),"N/A")</f>
        <v>NOT PUBLISHED</v>
      </c>
      <c r="DI8" s="84" t="str">
        <f>IFERROR(VLOOKUP($B8,'LOD 400 - COLO2'!$B:BU,72,FALSE),"N/A")</f>
        <v>NOT PUBLISHED</v>
      </c>
      <c r="DJ8" s="84" t="str">
        <f>IFERROR(VLOOKUP($B8,'LOD 400 - COLO2'!$B:BX,75,FALSE),"N/A")</f>
        <v>NOT PUBLISHED</v>
      </c>
      <c r="DK8" s="84" t="str">
        <f>IFERROR(VLOOKUP($B8,'LOD 400 - COLO2'!$B:CA,78,FALSE),"N/A")</f>
        <v>NOT PUBLISHED</v>
      </c>
      <c r="DL8" s="84" t="str">
        <f>IFERROR(VLOOKUP($B8,'LOD 400 - COLO2'!$B:CD,81,FALSE),"N/A")</f>
        <v>NOT PUBLISHED</v>
      </c>
      <c r="DM8" s="85" t="str">
        <f>IFERROR(VLOOKUP($B8,'LOD 400 - COLO2'!$B:CG,84,FALSE),"N/A")</f>
        <v>NOT PUBLISHED</v>
      </c>
      <c r="DN8" s="84" t="str">
        <f>IFERROR(VLOOKUP($B8,'LOD 400 - COLO2'!$B:CJ,87,FALSE),"N/A")</f>
        <v>NOT PUBLISHED</v>
      </c>
      <c r="DO8" s="85" t="str">
        <f>IFERROR(VLOOKUP($B8,'LOD 400 - COLO2'!$B:CM,90,FALSE),"N/A")</f>
        <v>NOT PUBLISHED</v>
      </c>
      <c r="DP8" s="84" t="str">
        <f>IFERROR(VLOOKUP($B8,'LOD 400 - COLO2'!$B:CP,93,FALSE),"N/A")</f>
        <v>NOT PUBLISHED</v>
      </c>
      <c r="DQ8" s="84" t="str">
        <f>IFERROR(VLOOKUP($B8,'LOD 400 - COLO2'!$B:CS,96,FALSE),"N/A")</f>
        <v>NOT PUBLISHED</v>
      </c>
      <c r="DR8" s="84" t="str">
        <f>IFERROR(VLOOKUP($B8,'LOD 400 - COLO2'!$B:CV,99,FALSE),"N/A")</f>
        <v>NOT PUBLISHED</v>
      </c>
      <c r="DS8" s="84" t="str">
        <f>IFERROR(VLOOKUP($B8,'LOD 400 - COLO2'!$B:CY,102,FALSE),"N/A")</f>
        <v>NOT PUBLISHED</v>
      </c>
      <c r="DT8" s="84" t="str">
        <f>IFERROR(VLOOKUP($B8,'LOD 400 - COLO2'!$B:DB,105,FALSE),"N/A")</f>
        <v>NOT PUBLISHED</v>
      </c>
      <c r="DU8" s="84" t="str">
        <f>IFERROR(VLOOKUP($B8,'LOD 400 - COLO2'!$B:DE,108,FALSE),"N/A")</f>
        <v>NOT PUBLISHED</v>
      </c>
      <c r="DV8" s="84" t="str">
        <f>IFERROR(VLOOKUP($B8,'LOD 400 - COLO2'!$B:DH,111,FALSE),"N/A")</f>
        <v>NOT PUBLISHED</v>
      </c>
      <c r="DW8" s="84" t="str">
        <f>IFERROR(VLOOKUP($B8,'LOD 400 - COLO2'!$B:DK,114,FALSE),"N/A")</f>
        <v>NOT PUBLISHED</v>
      </c>
      <c r="DX8" s="84" t="str">
        <f>IFERROR(VLOOKUP($B8,'LOD 400 - COLO2'!$B:DN,117,FALSE),"N/A")</f>
        <v>NOT PUBLISHED</v>
      </c>
      <c r="DY8" s="91" t="str">
        <f>IFERROR(__xludf.DUMMYFUNCTION("IFERROR(
  MAX(FILTER(CQ8:DW8, ISNUMBER(CQ8:DW8))),
  DW8
)"),"NOT PUBLISHED")</f>
        <v>NOT PUBLISHED</v>
      </c>
      <c r="DZ8" s="92" t="str">
        <f>IFERROR(VLOOKUP($B8,'LOD 400 - COLO3'!B:S,18,FALSE),"N/A")</f>
        <v>NOT PUBLISHED</v>
      </c>
      <c r="EA8" s="84" t="str">
        <f>IFERROR(VLOOKUP($B8,'LOD 400 - COLO3'!B:V,21,FALSE),"N/A")</f>
        <v>NOT PUBLISHED</v>
      </c>
      <c r="EB8" s="84" t="str">
        <f>IFERROR(VLOOKUP($B8,'LOD 400 - COLO3'!B:Y,24,FALSE),"N/A")</f>
        <v>NOT PUBLISHED</v>
      </c>
      <c r="EC8" s="84" t="str">
        <f>IFERROR(VLOOKUP($B8,'LOD 400 - COLO3'!B:AB,27,FALSE),"N/A")</f>
        <v>NOT PUBLISHED</v>
      </c>
      <c r="ED8" s="85" t="str">
        <f>IFERROR(VLOOKUP($B8,'LOD 400 - COLO3'!B:AE,30,FALSE),"N/A")</f>
        <v>NOT PUBLISHED</v>
      </c>
      <c r="EE8" s="84" t="str">
        <f>IFERROR(VLOOKUP($B8,'LOD 400 - COLO3'!B:AH,33,FALSE),"N/A")</f>
        <v>NOT PUBLISHED</v>
      </c>
      <c r="EF8" s="84" t="str">
        <f>IFERROR(VLOOKUP($B8,'LOD 400 - COLO3'!B:AK,36,FALSE),"N/A")</f>
        <v>NOT PUBLISHED</v>
      </c>
      <c r="EG8" s="109" t="str">
        <f>IFERROR(VLOOKUP($B8,'LOD 400 - COLO3'!B:AN,39,FALSE),"N/A")</f>
        <v>NOT PUBLISHED</v>
      </c>
      <c r="EH8" s="94" t="str">
        <f>IFERROR(VLOOKUP($B8,'LOD 400 - COLO3'!B:AQ,42,FALSE),"N/A")</f>
        <v>NOT PUBLISHED</v>
      </c>
      <c r="EI8" s="94" t="str">
        <f>IFERROR(VLOOKUP($B8,'LOD 400 - COLO3'!B:AT,45,FALSE),"N/A")</f>
        <v>NOT PUBLISHED</v>
      </c>
      <c r="EJ8" s="94" t="str">
        <f>IFERROR(VLOOKUP($B8,'LOD 400 - COLO3'!B:AW,48,FALSE),"N/A")</f>
        <v>NOT PUBLISHED</v>
      </c>
      <c r="EK8" s="94" t="str">
        <f>IFERROR(VLOOKUP($B8,'LOD 400 - COLO3'!B:AZ,51,FALSE),"N/A")</f>
        <v>NOT PUBLISHED</v>
      </c>
      <c r="EL8" s="94" t="str">
        <f>IFERROR(VLOOKUP($B8,'LOD 400 - COLO3'!B:BC,54,FALSE),"N/A")</f>
        <v>NOT PUBLISHED</v>
      </c>
      <c r="EM8" s="94" t="str">
        <f>IFERROR(VLOOKUP($B8,'LOD 400 - COLO3'!B:BF,57,FALSE),"N/A")</f>
        <v>NOT PUBLISHED</v>
      </c>
      <c r="EN8" s="94" t="str">
        <f>IFERROR(VLOOKUP($B8,'LOD 400 - COLO3'!B:BI,60,FALSE),"N/A")</f>
        <v>NOT PUBLISHED</v>
      </c>
      <c r="EO8" s="94" t="str">
        <f>IFERROR(VLOOKUP($B8,'LOD 400 - COLO3'!B:BL,63,FALSE),"N/A")</f>
        <v>NOT PUBLISHED</v>
      </c>
      <c r="EP8" s="86" t="str">
        <f>IFERROR(__xludf.DUMMYFUNCTION("IFERROR(
  MAX(FILTER(DZ8:EO8, ISNUMBER(DZ8:EO8))),
  EO8
)"),"NOT PUBLISHED")</f>
        <v>NOT PUBLISHED</v>
      </c>
      <c r="EQ8" s="95" t="str">
        <f>IFERROR(VLOOKUP($B8,'LOD 400 - COLO4'!B:S,18,FALSE),"N/A")</f>
        <v>NOT PUBLISHED</v>
      </c>
      <c r="ER8" s="96" t="str">
        <f>IFERROR(__xludf.DUMMYFUNCTION("IFERROR(
  MAX(FILTER(EQ8, ISNUMBER(EQ8))),
  EQ8
)"),"NOT PUBLISHED")</f>
        <v>NOT PUBLISHED</v>
      </c>
      <c r="ES8" s="79" t="str">
        <f>IFERROR(VLOOKUP($B8,'LOD 400 - SITE'!B:S,18,FALSE),"N/A")</f>
        <v>N/A</v>
      </c>
      <c r="ET8" s="80" t="str">
        <f>IFERROR(VLOOKUP($B8,'LOD 400 - SITE'!B:V,21,FALSE),"N/A")</f>
        <v>N/A</v>
      </c>
      <c r="EU8" s="97" t="str">
        <f>IFERROR(VLOOKUP($B8,'LOD 400 - SITE'!$B:Y,24,FALSE),"N/A")</f>
        <v>N/A</v>
      </c>
      <c r="EV8" s="80" t="str">
        <f>IFERROR(VLOOKUP($B8,'LOD 400 - SITE'!$B:AB,27,FALSE),"N/A")</f>
        <v>N/A</v>
      </c>
      <c r="EW8" s="81" t="str">
        <f>IFERROR(VLOOKUP($B8,'LOD 400 - SITE'!$B:AE,30,FALSE),"N/A")</f>
        <v>N/A</v>
      </c>
      <c r="EX8" s="87" t="str">
        <f>IFERROR(VLOOKUP($B8,'LOD 400 - SITE'!$B:AH,33,FALSE),"N/A")</f>
        <v>N/A</v>
      </c>
      <c r="EY8" s="87" t="str">
        <f>IFERROR(VLOOKUP($B8,'LOD 400 - SITE'!$B:AK,36,FALSE),"N/A")</f>
        <v>N/A</v>
      </c>
      <c r="EZ8" s="80" t="str">
        <f>IFERROR(VLOOKUP($B8,'LOD 400 - SITE'!$B:AN,39,FALSE),"N/A")</f>
        <v>N/A</v>
      </c>
      <c r="FA8" s="82" t="str">
        <f>IFERROR(VLOOKUP($B8,'LOD 400 - SITE'!$B:AQ,42,FALSE),"N/A")</f>
        <v>N/A</v>
      </c>
      <c r="FB8" s="88" t="str">
        <f>IFERROR(VLOOKUP($B8,'LOD 400 - SITE'!$B:AT,45,FALSE),"N/A")</f>
        <v>N/A</v>
      </c>
      <c r="FC8" s="84" t="str">
        <f>IFERROR(VLOOKUP($B8,'LOD 400 - SITE'!$B:AW,48,FALSE),"N/A")</f>
        <v>N/A</v>
      </c>
      <c r="FD8" s="84" t="str">
        <f>IFERROR(VLOOKUP($B8,'LOD 400 - SITE'!$B:AZ,51,FALSE),"N/A")</f>
        <v>N/A</v>
      </c>
      <c r="FE8" s="84" t="str">
        <f>IFERROR(VLOOKUP($B8,'LOD 400 - SITE'!$B:BC,54,FALSE),"N/A")</f>
        <v>N/A</v>
      </c>
      <c r="FF8" s="84" t="str">
        <f>IFERROR(VLOOKUP($B8,'LOD 400 - SITE'!$B:BF,57,FALSE),"N/A")</f>
        <v>N/A</v>
      </c>
      <c r="FG8" s="84" t="str">
        <f>IFERROR(VLOOKUP($B8,'LOD 400 - SITE'!$B:BI,60,FALSE),"N/A")</f>
        <v>N/A</v>
      </c>
      <c r="FH8" s="84" t="str">
        <f>IFERROR(VLOOKUP($B8,'LOD 400 - SITE'!$B:BL,63,FALSE),"N/A")</f>
        <v>N/A</v>
      </c>
      <c r="FI8" s="84" t="str">
        <f>IFERROR(VLOOKUP($B8,'LOD 400 - SITE'!$B:BO,66,FALSE),"N/A")</f>
        <v>N/A</v>
      </c>
      <c r="FJ8" s="84" t="str">
        <f>IFERROR(VLOOKUP($B8,'LOD 400 - SITE'!$B:BR,69,FALSE),"N/A")</f>
        <v>N/A</v>
      </c>
      <c r="FK8" s="84" t="str">
        <f>IFERROR(VLOOKUP($B8,'LOD 400 - SITE'!$B:BU,72,FALSE),"N/A")</f>
        <v>N/A</v>
      </c>
      <c r="FL8" s="84" t="str">
        <f>IFERROR(VLOOKUP($B8,'LOD 400 - SITE'!$B:BX,75,FALSE),"N/A")</f>
        <v>N/A</v>
      </c>
      <c r="FM8" s="84" t="str">
        <f>IFERROR(VLOOKUP($B8,'LOD 400 - SITE'!$B:CA,78,FALSE),"N/A")</f>
        <v>N/A</v>
      </c>
      <c r="FN8" s="85" t="str">
        <f>IFERROR(VLOOKUP($B8,'LOD 400 - SITE'!$B:CD,81,FALSE),"N/A")</f>
        <v>N/A</v>
      </c>
      <c r="FO8" s="84" t="str">
        <f>IFERROR(VLOOKUP($B8,'LOD 400 - SITE'!$B:CG,84,FALSE),"N/A")</f>
        <v>N/A</v>
      </c>
      <c r="FP8" s="85" t="str">
        <f>IFERROR(VLOOKUP($B8,'LOD 400 - SITE'!$B:CJ,87,FALSE),"N/A")</f>
        <v>N/A</v>
      </c>
      <c r="FQ8" s="84" t="str">
        <f>IFERROR(VLOOKUP($B8,'LOD 400 - SITE'!$B:CM,90,FALSE),"N/A")</f>
        <v>N/A</v>
      </c>
      <c r="FR8" s="84" t="str">
        <f>IFERROR(VLOOKUP($B8,'LOD 400 - SITE'!$B:CP,93,FALSE),"N/A")</f>
        <v>N/A</v>
      </c>
      <c r="FS8" s="84" t="str">
        <f>IFERROR(VLOOKUP($B8,'LOD 400 - SITE'!$B:CS,96,FALSE),"N/A")</f>
        <v>N/A</v>
      </c>
      <c r="FT8" s="84" t="str">
        <f>IFERROR(VLOOKUP($B8,'LOD 400 - SITE'!$B:CV,99,FALSE),"N/A")</f>
        <v>N/A</v>
      </c>
      <c r="FU8" s="84" t="str">
        <f>IFERROR(VLOOKUP($B8,'LOD 400 - SITE'!$B:CY,102,FALSE),"N/A")</f>
        <v>N/A</v>
      </c>
      <c r="FV8" s="84" t="str">
        <f>IFERROR(VLOOKUP($B8,'LOD 400 - SITE'!$B:DB,105,FALSE),"N/A")</f>
        <v>N/A</v>
      </c>
      <c r="FW8" s="84" t="str">
        <f>IFERROR(VLOOKUP($B8,'LOD 400 - SITE'!$B:DE,108,FALSE),"N/A")</f>
        <v>N/A</v>
      </c>
      <c r="FX8" s="84" t="str">
        <f>IFERROR(VLOOKUP($B8,'LOD 400 - SITE'!$B:DH,111,FALSE),"N/A")</f>
        <v>N/A</v>
      </c>
      <c r="FY8" s="84" t="str">
        <f>IFERROR(VLOOKUP($B8,'LOD 400 - SITE'!$B:DK,114,FALSE),"N/A")</f>
        <v>N/A</v>
      </c>
      <c r="FZ8" s="96" t="str">
        <f>IFERROR(__xludf.DUMMYFUNCTION("IFERROR(
  MAX(FILTER(ES8:FY8, ISNUMBER(ES8:FY8))),
  FY8
)"),"N/A")</f>
        <v>N/A</v>
      </c>
      <c r="GA8" s="80" t="str">
        <f>IFERROR(VLOOKUP($B8,'LOD 400 - UTLS'!B:S,18,FALSE),"N/A")</f>
        <v>N/A</v>
      </c>
      <c r="GB8" s="98" t="str">
        <f>IFERROR(VLOOKUP($B8,'LOD 400 - UTLS'!B:V,21,FALSE),"N/A")</f>
        <v>N/A</v>
      </c>
      <c r="GC8" s="81" t="str">
        <f>IFERROR(VLOOKUP($B8,'LOD 400 - UTLS'!B:Y,24,FALSE),"N/A")</f>
        <v>N/A</v>
      </c>
      <c r="GD8" s="87" t="str">
        <f>IFERROR(VLOOKUP($B8,'LOD 400 - UTLS'!$B:AB,27,FALSE),"N/A")</f>
        <v>N/A</v>
      </c>
      <c r="GE8" s="80" t="str">
        <f>IFERROR(VLOOKUP($B8,'LOD 400 - UTLS'!$B:AE,30,FALSE),"N/A")</f>
        <v>N/A</v>
      </c>
      <c r="GF8" s="82" t="str">
        <f>IFERROR(VLOOKUP($B8,'LOD 400 - UTLS'!$B:AH,33,FALSE),"N/A")</f>
        <v>N/A</v>
      </c>
      <c r="GG8" s="88" t="str">
        <f>IFERROR(VLOOKUP($B8,'LOD 400 - UTLS'!$B:AK,36,FALSE),"N/A")</f>
        <v>N/A</v>
      </c>
      <c r="GH8" s="84" t="str">
        <f>IFERROR(VLOOKUP($B8,'LOD 400 - UTLS'!$B:AN,39,FALSE),"N/A")</f>
        <v>N/A</v>
      </c>
      <c r="GI8" s="84" t="str">
        <f>IFERROR(VLOOKUP($B8,'LOD 400 - UTLS'!$B:AQ,42,FALSE),"N/A")</f>
        <v>N/A</v>
      </c>
      <c r="GJ8" s="84" t="str">
        <f>IFERROR(VLOOKUP($B8,'LOD 400 - UTLS'!$B:AT,45,FALSE),"N/A")</f>
        <v>N/A</v>
      </c>
      <c r="GK8" s="84" t="str">
        <f>IFERROR(VLOOKUP($B8,'LOD 400 - UTLS'!$B:AW,48,FALSE),"N/A")</f>
        <v>N/A</v>
      </c>
      <c r="GL8" s="84" t="str">
        <f>IFERROR(VLOOKUP($B8,'LOD 400 - UTLS'!$B:AZ,51,FALSE),"N/A")</f>
        <v>N/A</v>
      </c>
      <c r="GM8" s="84" t="str">
        <f>IFERROR(VLOOKUP($B8,'LOD 400 - UTLS'!$B:BC,54,FALSE),"N/A")</f>
        <v>N/A</v>
      </c>
      <c r="GN8" s="84" t="str">
        <f>IFERROR(VLOOKUP($B8,'LOD 400 - UTLS'!$B:BF,57,FALSE),"N/A")</f>
        <v>N/A</v>
      </c>
      <c r="GO8" s="84" t="str">
        <f>IFERROR(VLOOKUP($B8,'LOD 400 - UTLS'!$B:BI,60,FALSE),"N/A")</f>
        <v>N/A</v>
      </c>
      <c r="GP8" s="84" t="str">
        <f>IFERROR(VLOOKUP($B8,'LOD 400 - UTLS'!$B:BL,63,FALSE),"N/A")</f>
        <v>N/A</v>
      </c>
      <c r="GQ8" s="84" t="str">
        <f>IFERROR(VLOOKUP($B8,'LOD 400 - UTLS'!$B:BO,66,FALSE),"N/A")</f>
        <v>N/A</v>
      </c>
      <c r="GR8" s="84" t="str">
        <f>IFERROR(VLOOKUP($B8,'LOD 400 - UTLS'!$B:BR,69,FALSE),"N/A")</f>
        <v>N/A</v>
      </c>
      <c r="GS8" s="85" t="str">
        <f>IFERROR(VLOOKUP($B8,'LOD 400 - UTLS'!$B:BU,72,FALSE),"N/A")</f>
        <v>N/A</v>
      </c>
      <c r="GT8" s="84" t="str">
        <f>IFERROR(VLOOKUP($B8,'LOD 400 - UTLS'!$B:BX,75,FALSE),"N/A")</f>
        <v>N/A</v>
      </c>
      <c r="GU8" s="85" t="str">
        <f>IFERROR(VLOOKUP($B8,'LOD 400 - UTLS'!$B:CA,78,FALSE),"N/A")</f>
        <v>N/A</v>
      </c>
      <c r="GV8" s="84" t="str">
        <f>IFERROR(VLOOKUP($B8,'LOD 400 - UTLS'!$B:CD,81,FALSE),"N/A")</f>
        <v>N/A</v>
      </c>
      <c r="GW8" s="84" t="str">
        <f>IFERROR(VLOOKUP($B8,'LOD 400 - UTLS'!$B:CG,84,FALSE),"N/A")</f>
        <v>N/A</v>
      </c>
      <c r="GX8" s="84" t="str">
        <f>IFERROR(VLOOKUP($B8,'LOD 400 - UTLS'!$B:CJ,87,FALSE),"N/A")</f>
        <v>N/A</v>
      </c>
      <c r="GY8" s="84" t="str">
        <f>IFERROR(VLOOKUP($B8,'LOD 400 - UTLS'!$B:CM,90,FALSE),"N/A")</f>
        <v>N/A</v>
      </c>
      <c r="GZ8" s="84" t="str">
        <f>IFERROR(VLOOKUP($B8,'LOD 400 - UTLS'!$B:CP,93,FALSE),"N/A")</f>
        <v>N/A</v>
      </c>
      <c r="HA8" s="84" t="str">
        <f>IFERROR(VLOOKUP($B8,'LOD 400 - UTLS'!$B:CS,96,FALSE),"N/A")</f>
        <v>N/A</v>
      </c>
      <c r="HB8" s="84" t="str">
        <f>IFERROR(VLOOKUP($B8,'LOD 400 - UTLS'!$B:CV,99,FALSE),"N/A")</f>
        <v>N/A</v>
      </c>
      <c r="HC8" s="84" t="str">
        <f>IFERROR(VLOOKUP($B8,'LOD 400 - UTLS'!$B:CY,102,FALSE),"N/A")</f>
        <v>N/A</v>
      </c>
      <c r="HD8" s="84" t="str">
        <f>IFERROR(VLOOKUP($B8,'LOD 400 - UTLS'!$B:DB,105,FALSE),"N/A")</f>
        <v>N/A</v>
      </c>
      <c r="HE8" s="96" t="str">
        <f>IFERROR(__xludf.DUMMYFUNCTION("IFERROR(
  MAX(FILTER(GA8:HD8, ISNUMBER(GA8:HD8))),
  HD8
)"),"N/A")</f>
        <v>N/A</v>
      </c>
      <c r="HF8" s="99"/>
      <c r="HG8" s="99"/>
      <c r="HH8" s="99"/>
      <c r="HI8" s="99"/>
      <c r="HJ8" s="99"/>
      <c r="HK8" s="99"/>
    </row>
    <row r="9" ht="15.0" customHeight="1" outlineLevel="1">
      <c r="A9" s="53">
        <v>11.0</v>
      </c>
      <c r="B9" s="100" t="s">
        <v>89</v>
      </c>
      <c r="C9" s="100" t="s">
        <v>90</v>
      </c>
      <c r="D9" s="64" t="str">
        <f t="shared" si="1"/>
        <v>DATA</v>
      </c>
      <c r="E9" s="111" t="s">
        <v>91</v>
      </c>
      <c r="F9" s="102">
        <v>1104.0</v>
      </c>
      <c r="G9" s="103" t="s">
        <v>92</v>
      </c>
      <c r="H9" s="104">
        <v>1127.0</v>
      </c>
      <c r="I9" s="68" t="str">
        <f>IFERROR(VLOOKUP($C6:C108,'R22 RELATÓRIO ACC'!B:F,5,FALSE),"NOT PUBLISHED")</f>
        <v>V12</v>
      </c>
      <c r="J9" s="69" t="str">
        <f>IFERROR(VLOOKUP($C6:C108,'R22 RELATÓRIO ACC'!B:P,15,FALSE),"NOT PUBLISHED")</f>
        <v>08/04/2026</v>
      </c>
      <c r="K9" s="70" t="str">
        <f>IFERROR(VLOOKUP($B7:B108,'RELATÓRIO ACC'!B:F,5,FALSE),"NOT PUBLISHED")</f>
        <v>V1</v>
      </c>
      <c r="L9" s="71" t="str">
        <f>IFERROR(VLOOKUP($B7:B108,'RELATÓRIO ACC'!B:P,15,FALSE),"NOT PUBLISHED")</f>
        <v>15/05/2026</v>
      </c>
      <c r="M9" s="72" t="str">
        <f>IF(OR($D9="UTLS",$D9="GUAR",$D9="STIR",$D9="PUMP",$D9="SITE"),
   VLOOKUP($B9,'LOD 400 - SITE'!B:M,12,FALSE),
   VLOOKUP($B9,'LOD 400 - ADMN'!B:M,12,FALSE)
)</f>
        <v>V1</v>
      </c>
      <c r="N9" s="105">
        <f>IF(OR($D9="UTLS",$D9="GUAR",$D9="STIR",$D9="PUMP",$D9="SITE"),
   VLOOKUP($B9,'LOD 400 - SITE'!B:N,13,FALSE),
   VLOOKUP($B9,'LOD 400 - ADMN'!B:N,13,FALSE)
)</f>
        <v>46157</v>
      </c>
      <c r="O9" s="106" t="str">
        <f>IF(OR($D9="UTLS",$D9="GUAR",$D9="STIR",$D9="PUMP",$D9="SITE"),
   VLOOKUP($B9,'LOD 400 - SITE'!B:O,14,FALSE),
   VLOOKUP($B9,'LOD 400 - ADMN'!B:O,14,FALSE)
)</f>
        <v>R24</v>
      </c>
      <c r="P9" s="107" t="str">
        <f>IF(OR($D9="C345",$D9="C12A",$D9="DATA"),
   VLOOKUP($B9,'LOD 400 - COLO3'!B:M,12,FALSE),"N/A")</f>
        <v>V1</v>
      </c>
      <c r="Q9" s="108">
        <f>IF(OR($D9="C345",$D9="C12A",$D9="DATA"),
   VLOOKUP($B9,'LOD 400 - COLO3'!B:N,13,FALSE),"N/A")</f>
        <v>46157</v>
      </c>
      <c r="R9" s="75" t="str">
        <f>IF(OR($D9="C345",$D9="C12A",$D9="DATA"),
   VLOOKUP($B9,'LOD 400 - COLO3'!B:O,14,FALSE),"N/A")</f>
        <v>R24</v>
      </c>
      <c r="S9" s="76" t="str">
        <f>IF(OR($D9="C345",$D9="C12A",$D9="DATA"),
   VLOOKUP($B9,'LOD 400 - COLO4'!B:N,12,FALSE),"N/A")</f>
        <v>N/A</v>
      </c>
      <c r="T9" s="76" t="str">
        <f>IF(OR($D9="C345",$D9="C12A",$D9="DATA"),
   VLOOKUP($B9,'LOD 400 - COLO4'!B:N,13,FALSE),"N/A")</f>
        <v>N/A</v>
      </c>
      <c r="U9" s="76" t="str">
        <f>IF(OR($D9="C345",$D9="C12A",$D9="DATA"),
   VLOOKUP($B9,'LOD 400 - COLO4'!B:N,13,FALSE),"N/A")</f>
        <v>N/A</v>
      </c>
      <c r="V9" s="77" t="str">
        <f>IF(OR($D9="UTLS",$D9="GUAR",$D9="STIR",$D9="PUMP",$D9="SITE"),
   VLOOKUP($B9,'LOD 400 - UTLS'!B:M,12,FALSE),"N/A")</f>
        <v>N/A</v>
      </c>
      <c r="W9" s="78" t="str">
        <f>IF(OR($D9="UTLS",$D9="GUAR",$D9="STIR",$D9="PUMP",$D9="SITE"),
   VLOOKUP($B9,'LOD 400 - UTLS'!B:N,13,FALSE),"N/A")</f>
        <v>N/A</v>
      </c>
      <c r="X9" s="108" t="str">
        <f>IF(OR($D9="UTLS",$D9="GUAR",$D9="STIR",$D9="PUMP",$D9="SITE"),
   VLOOKUP($B9,'LOD 400 - UTLS'!B:O,14,FALSE),"N/A")</f>
        <v>N/A</v>
      </c>
      <c r="Y9" s="79" t="str">
        <f>IFERROR(VLOOKUP($B9,'LOD 400 - ADMN'!B:S,18,FALSE),"N/A")</f>
        <v>OUTDATED</v>
      </c>
      <c r="Z9" s="79" t="str">
        <f>IFERROR(VLOOKUP($B9,'LOD 400 - ADMN'!B:V,21,FALSE),"N/A")</f>
        <v>OUTDATED</v>
      </c>
      <c r="AA9" s="79" t="str">
        <f>IFERROR(VLOOKUP($B9,'LOD 400 - ADMN'!$B:Y,24,FALSE),"N/A")</f>
        <v>OUTDATED</v>
      </c>
      <c r="AB9" s="80" t="str">
        <f>IFERROR(VLOOKUP($B9,'LOD 400 - ADMN'!$B:AB,27,FALSE),"N/A")</f>
        <v>OUTDATED</v>
      </c>
      <c r="AC9" s="81" t="str">
        <f>IFERROR(VLOOKUP($B9,'LOD 400 - ADMN'!$B:AE,30,FALSE),"N/A")</f>
        <v>OUTDATED</v>
      </c>
      <c r="AD9" s="81">
        <f>IFERROR(VLOOKUP($B9,'LOD 400 - ADMN'!$B:AH,33,FALSE),"N/A")</f>
        <v>0.86</v>
      </c>
      <c r="AE9" s="80" t="str">
        <f>IFERROR(VLOOKUP($B9,'LOD 400 - ADMN'!$B:AK,36,FALSE),"N/A")</f>
        <v>OUTDATED</v>
      </c>
      <c r="AF9" s="82" t="str">
        <f>IFERROR(VLOOKUP($B9,'LOD 400 - ADMN'!$B:AN,39,FALSE),"N/A")</f>
        <v>NEXT ROUND</v>
      </c>
      <c r="AG9" s="83">
        <f>IFERROR(VLOOKUP($B9,'LOD 400 - ADMN'!$B:AQ,42,FALSE),"N/A")</f>
        <v>0.9</v>
      </c>
      <c r="AH9" s="84" t="str">
        <f>IFERROR(VLOOKUP($B9,'LOD 400 - ADMN'!$B:AT,45,FALSE),"N/A")</f>
        <v>OUTDATED</v>
      </c>
      <c r="AI9" s="85" t="str">
        <f>IFERROR(VLOOKUP($B9,'LOD 400 - ADMN'!$B:AW,48,FALSE),"N/A")</f>
        <v>OUTDATED</v>
      </c>
      <c r="AJ9" s="85" t="str">
        <f>IFERROR(VLOOKUP($B9,'LOD 400 - ADMN'!$B:AZ,51,FALSE),"N/A")</f>
        <v>OUTDATED</v>
      </c>
      <c r="AK9" s="84" t="str">
        <f>IFERROR(VLOOKUP($B9,'LOD 400 - ADMN'!$B:BC,54,FALSE),"N/A")</f>
        <v>OUTDATED</v>
      </c>
      <c r="AL9" s="84" t="str">
        <f>IFERROR(VLOOKUP($B9,'LOD 400 - ADMN'!$B:BF,57,FALSE),"N/A")</f>
        <v>OUTDATED</v>
      </c>
      <c r="AM9" s="84" t="str">
        <f>IFERROR(VLOOKUP($B9,'LOD 400 - ADMN'!$B:BI,60,FALSE),"N/A")</f>
        <v>OUTDATED</v>
      </c>
      <c r="AN9" s="84" t="str">
        <f>IFERROR(VLOOKUP($B9,'LOD 400 - ADMN'!$B:BL,63,FALSE),"N/A")</f>
        <v>OUTDATED</v>
      </c>
      <c r="AO9" s="84" t="str">
        <f>IFERROR(VLOOKUP($B9,'LOD 400 - ADMN'!$B:BO,66,FALSE),"N/A")</f>
        <v>OUTDATED</v>
      </c>
      <c r="AP9" s="84" t="str">
        <f>IFERROR(VLOOKUP($B9,'LOD 400 - ADMN'!$B:BR,69,FALSE),"N/A")</f>
        <v>OUTDATED</v>
      </c>
      <c r="AQ9" s="84" t="str">
        <f>IFERROR(VLOOKUP($B9,'LOD 400 - ADMN'!$B:BU,72,FALSE),"N/A")</f>
        <v>NEXT ROUND</v>
      </c>
      <c r="AR9" s="84" t="str">
        <f>IFERROR(VLOOKUP($B9,'LOD 400 - ADMN'!$B:BX,75,FALSE),"N/A")</f>
        <v>NEXT ROUND</v>
      </c>
      <c r="AS9" s="84" t="str">
        <f>IFERROR(VLOOKUP($B9,'LOD 400 - ADMN'!$B:CA,78,FALSE),"N/A")</f>
        <v>NEXT ROUND</v>
      </c>
      <c r="AT9" s="84" t="str">
        <f>IFERROR(VLOOKUP($B9,'LOD 400 - ADMN'!$B:CD,81,FALSE),"N/A")</f>
        <v>NEXT ROUND</v>
      </c>
      <c r="AU9" s="85" t="str">
        <f>IFERROR(VLOOKUP($B9,'LOD 400 - ADMN'!$B:CG,84,FALSE),"N/A")</f>
        <v>NEXT ROUND</v>
      </c>
      <c r="AV9" s="84" t="str">
        <f>IFERROR(VLOOKUP($B9,'LOD 400 - ADMN'!$B:CJ,87,FALSE),"N/A")</f>
        <v>NEXT ROUND</v>
      </c>
      <c r="AW9" s="85" t="str">
        <f>IFERROR(VLOOKUP($B9,'LOD 400 - ADMN'!$B:CM,90,FALSE),"N/A")</f>
        <v>NEXT ROUND</v>
      </c>
      <c r="AX9" s="84" t="str">
        <f>IFERROR(VLOOKUP($B9,'LOD 400 - ADMN'!$B:CP,93,FALSE),"N/A")</f>
        <v>NEXT ROUND</v>
      </c>
      <c r="AY9" s="84" t="str">
        <f>IFERROR(VLOOKUP($B9,'LOD 400 - ADMN'!$B:CS,96,FALSE),"N/A")</f>
        <v>NEXT ROUND</v>
      </c>
      <c r="AZ9" s="84" t="str">
        <f>IFERROR(VLOOKUP($B9,'LOD 400 - ADMN'!$B:CV,99,FALSE),"N/A")</f>
        <v>NEXT ROUND</v>
      </c>
      <c r="BA9" s="84" t="str">
        <f>IFERROR(VLOOKUP($B9,'LOD 400 - ADMN'!$B:CY,102,FALSE),"N/A")</f>
        <v>NEXT ROUND</v>
      </c>
      <c r="BB9" s="84" t="str">
        <f>IFERROR(VLOOKUP($B9,'LOD 400 - ADMN'!$B:DB,105,FALSE),"N/A")</f>
        <v>NEXT ROUND</v>
      </c>
      <c r="BC9" s="84" t="str">
        <f>IFERROR(VLOOKUP($B9,'LOD 400 - ADMN'!$B:DE,108,FALSE),"N/A")</f>
        <v>NEXT ROUND</v>
      </c>
      <c r="BD9" s="84" t="str">
        <f>IFERROR(VLOOKUP($B9,'LOD 400 - ADMN'!$B:DH,111,FALSE),"N/A")</f>
        <v>NEXT ROUND</v>
      </c>
      <c r="BE9" s="84" t="str">
        <f>IFERROR(VLOOKUP($B9,'LOD 400 - ADMN'!$B:DK,114,FALSE),"N/A")</f>
        <v>NEXT ROUND</v>
      </c>
      <c r="BF9" s="84">
        <f>IFERROR(VLOOKUP($B9,'LOD 400 - ADMN'!$B:DN,117,FALSE),"N/A")</f>
        <v>1</v>
      </c>
      <c r="BG9" s="86">
        <f>IFERROR(__xludf.DUMMYFUNCTION("IFERROR(
  MAX(FILTER(Y9:BF9, ISNUMBER(Y9:BF9))),
  BF9
)"),1.0)</f>
        <v>1</v>
      </c>
      <c r="BH9" s="79" t="str">
        <f>IFERROR(VLOOKUP($B9,'LOD 400 - COLO1'!B:S,18,FALSE),"N/A")</f>
        <v>OUTDATED</v>
      </c>
      <c r="BI9" s="79" t="str">
        <f>IFERROR(VLOOKUP($B9,'LOD 400 - COLO1'!B:V,21,FALSE),"N/A")</f>
        <v>OUTDATED</v>
      </c>
      <c r="BJ9" s="79" t="str">
        <f>IFERROR(VLOOKUP($B9,'LOD 400 - COLO1'!$B:Y,24,FALSE),"N/A")</f>
        <v>OUTDATED</v>
      </c>
      <c r="BK9" s="87" t="str">
        <f>IFERROR(VLOOKUP($B9,'LOD 400 - COLO1'!$B:AB,27,FALSE),"N/A")</f>
        <v>OUTDATED</v>
      </c>
      <c r="BL9" s="80" t="str">
        <f>IFERROR(VLOOKUP($B9,'LOD 400 - COLO1'!$B:AE,30,FALSE),"N/A")</f>
        <v>OUTDATED</v>
      </c>
      <c r="BM9" s="81">
        <f>IFERROR(VLOOKUP($B9,'LOD 400 - COLO1'!$B:AH,33,FALSE),"N/A")</f>
        <v>0.86</v>
      </c>
      <c r="BN9" s="87" t="str">
        <f>IFERROR(VLOOKUP($B9,'LOD 400 - COLO1'!$B:AK,36,FALSE),"N/A")</f>
        <v>OUTDATED</v>
      </c>
      <c r="BO9" s="83" t="str">
        <f>IFERROR(VLOOKUP($B9,'LOD 400 - COLO1'!$B:AN,39,FALSE),"N/A")</f>
        <v>NEXT ROUND</v>
      </c>
      <c r="BP9" s="88">
        <f>IFERROR(VLOOKUP($B9,'LOD 400 - COLO1'!$B:AQ,42,FALSE),"N/A")</f>
        <v>0.9</v>
      </c>
      <c r="BQ9" s="84" t="str">
        <f>IFERROR(VLOOKUP($B9,'LOD 400 - COLO1'!$B:AT,45,FALSE),"N/A")</f>
        <v>OUTDATED</v>
      </c>
      <c r="BR9" s="85" t="str">
        <f>IFERROR(VLOOKUP($B9,'LOD 400 - COLO1'!$B:AW,48,FALSE),"N/A")</f>
        <v>OUTDATED</v>
      </c>
      <c r="BS9" s="84" t="str">
        <f>IFERROR(VLOOKUP($B9,'LOD 400 - COLO1'!$B:AZ,51,FALSE),"N/A")</f>
        <v>OUTDATED</v>
      </c>
      <c r="BT9" s="84" t="str">
        <f>IFERROR(VLOOKUP($B9,'LOD 400 - COLO1'!$B:BC,54,FALSE),"N/A")</f>
        <v>OUTDATED</v>
      </c>
      <c r="BU9" s="84" t="str">
        <f>IFERROR(VLOOKUP($B9,'LOD 400 - COLO1'!$B:BF,57,FALSE),"N/A")</f>
        <v>OUTDATED</v>
      </c>
      <c r="BV9" s="84" t="str">
        <f>IFERROR(VLOOKUP($B9,'LOD 400 - COLO1'!$B:BI,60,FALSE),"N/A")</f>
        <v>OUTDATED</v>
      </c>
      <c r="BW9" s="84" t="str">
        <f>IFERROR(VLOOKUP($B9,'LOD 400 - COLO1'!$B:BL,63,FALSE),"N/A")</f>
        <v>OUTDATED</v>
      </c>
      <c r="BX9" s="84" t="str">
        <f>IFERROR(VLOOKUP($B9,'LOD 400 - COLO1'!$B:BO,66,FALSE),"N/A")</f>
        <v>OUTDATED</v>
      </c>
      <c r="BY9" s="84" t="str">
        <f>IFERROR(VLOOKUP($B9,'LOD 400 - COLO1'!$B:BR,69,FALSE),"N/A")</f>
        <v>OUTDATED</v>
      </c>
      <c r="BZ9" s="84" t="str">
        <f>IFERROR(VLOOKUP($B9,'LOD 400 - COLO1'!$B:BU,72,FALSE),"N/A")</f>
        <v>NEXT ROUND</v>
      </c>
      <c r="CA9" s="84" t="str">
        <f>IFERROR(VLOOKUP($B9,'LOD 400 - COLO1'!$B:BX,75,FALSE),"N/A")</f>
        <v>NEXT ROUND</v>
      </c>
      <c r="CB9" s="84" t="str">
        <f>IFERROR(VLOOKUP($B9,'LOD 400 - COLO1'!$B:CA,78,FALSE),"N/A")</f>
        <v>NEXT ROUND</v>
      </c>
      <c r="CC9" s="84" t="str">
        <f>IFERROR(VLOOKUP($B9,'LOD 400 - COLO1'!$B:CD,81,FALSE),"N/A")</f>
        <v>NEXT ROUND</v>
      </c>
      <c r="CD9" s="85" t="str">
        <f>IFERROR(VLOOKUP($B9,'LOD 400 - COLO1'!$B:CG,84,FALSE),"N/A")</f>
        <v>NEXT ROUND</v>
      </c>
      <c r="CE9" s="84" t="str">
        <f>IFERROR(VLOOKUP($B9,'LOD 400 - COLO1'!$B:CJ,87,FALSE),"N/A")</f>
        <v>NEXT ROUND</v>
      </c>
      <c r="CF9" s="85" t="str">
        <f>IFERROR(VLOOKUP($B9,'LOD 400 - COLO1'!$B:CM,90,FALSE),"N/A")</f>
        <v>NEXT ROUND</v>
      </c>
      <c r="CG9" s="84" t="str">
        <f>IFERROR(VLOOKUP($B9,'LOD 400 - COLO1'!$B:CP,93,FALSE),"N/A")</f>
        <v>NEXT ROUND</v>
      </c>
      <c r="CH9" s="84" t="str">
        <f>IFERROR(VLOOKUP($B9,'LOD 400 - COLO1'!$B:CS,96,FALSE),"N/A")</f>
        <v>NEXT ROUND</v>
      </c>
      <c r="CI9" s="84" t="str">
        <f>IFERROR(VLOOKUP($B9,'LOD 400 - COLO1'!$B:CV,99,FALSE),"N/A")</f>
        <v>NEXT ROUND</v>
      </c>
      <c r="CJ9" s="84" t="str">
        <f>IFERROR(VLOOKUP($B9,'LOD 400 - COLO1'!$B:CY,102,FALSE),"N/A")</f>
        <v>NEXT ROUND</v>
      </c>
      <c r="CK9" s="84" t="str">
        <f>IFERROR(VLOOKUP($B9,'LOD 400 - COLO1'!$B:DB,105,FALSE),"N/A")</f>
        <v>NEXT ROUND</v>
      </c>
      <c r="CL9" s="84" t="str">
        <f>IFERROR(VLOOKUP($B9,'LOD 400 - COLO1'!$B:DE,108,FALSE),"N/A")</f>
        <v>NEXT ROUND</v>
      </c>
      <c r="CM9" s="84" t="str">
        <f>IFERROR(VLOOKUP($B9,'LOD 400 - COLO1'!$B:DH,111,FALSE),"N/A")</f>
        <v>NEXT ROUND</v>
      </c>
      <c r="CN9" s="84" t="str">
        <f>IFERROR(VLOOKUP($B9,'LOD 400 - COLO1'!$B:DK,114,FALSE),"N/A")</f>
        <v>NEXT ROUND</v>
      </c>
      <c r="CO9" s="84">
        <f>IFERROR(VLOOKUP($B9,'LOD 400 - COLO1'!$B:DN,117,FALSE),"N/A")</f>
        <v>1</v>
      </c>
      <c r="CP9" s="86">
        <f>IFERROR(__xludf.DUMMYFUNCTION("IFERROR(
  MAX(FILTER(BH9:CO9, ISNUMBER(BH9:CO9))),
  CO9
)"),1.0)</f>
        <v>1</v>
      </c>
      <c r="CQ9" s="89" t="str">
        <f>IFERROR(VLOOKUP($B9,'LOD 400 - COLO2'!B:S,18,FALSE),"N/A")</f>
        <v>OUTDATED</v>
      </c>
      <c r="CR9" s="79" t="str">
        <f>IFERROR(VLOOKUP($B9,'LOD 400 - COLO2'!B:V,21,FALSE),"N/A")</f>
        <v>OUTDATED</v>
      </c>
      <c r="CS9" s="79" t="str">
        <f>IFERROR(VLOOKUP($B9,'LOD 400 - COLO2'!$B:Y,24,FALSE),"N/A")</f>
        <v>OUTDATED</v>
      </c>
      <c r="CT9" s="80" t="str">
        <f>IFERROR(VLOOKUP($B9,'LOD 400 - COLO2'!$B:DQ,27,FALSE),"N/A")</f>
        <v>OUTDATED</v>
      </c>
      <c r="CU9" s="90" t="str">
        <f>IFERROR(VLOOKUP($B9,'LOD 400 - COLO2'!$B:AE,30,FALSE),"N/A")</f>
        <v>OUTDATED</v>
      </c>
      <c r="CV9" s="81">
        <f>IFERROR(VLOOKUP($B9,'LOD 400 - COLO2'!$B:AH,33,FALSE),"N/A")</f>
        <v>0.86</v>
      </c>
      <c r="CW9" s="90" t="str">
        <f>IFERROR(VLOOKUP($B9,'LOD 400 - COLO2'!$B:AK,36,FALSE),"N/A")</f>
        <v>OUTDATED</v>
      </c>
      <c r="CX9" s="85" t="str">
        <f>IFERROR(VLOOKUP($B9,'LOD 400 - COLO2'!$B:AN,39,FALSE),"N/A")</f>
        <v>NEXT ROUND</v>
      </c>
      <c r="CY9" s="88">
        <f>IFERROR(VLOOKUP($B9,'LOD 400 - COLO2'!$B:AQ,42,FALSE),"N/A")</f>
        <v>0.9</v>
      </c>
      <c r="CZ9" s="84" t="str">
        <f>IFERROR(VLOOKUP($B9,'LOD 400 - COLO2'!$B:AT,45,FALSE),"N/A")</f>
        <v>OUTDATED</v>
      </c>
      <c r="DA9" s="85" t="str">
        <f>IFERROR(VLOOKUP($B9,'LOD 400 - COLO2'!$B:AW,48,FALSE),"N/A")</f>
        <v>OUTDATED</v>
      </c>
      <c r="DB9" s="84" t="str">
        <f>IFERROR(VLOOKUP($B9,'LOD 400 - COLO2'!$B:AZ,51,FALSE),"N/A")</f>
        <v>OUTDATED</v>
      </c>
      <c r="DC9" s="84" t="str">
        <f>IFERROR(VLOOKUP($B9,'LOD 400 - COLO2'!$B:BC,54,FALSE),"N/A")</f>
        <v>OUTDATED</v>
      </c>
      <c r="DD9" s="84" t="str">
        <f>IFERROR(VLOOKUP($B9,'LOD 400 - COLO2'!$B:BF,57,FALSE),"N/A")</f>
        <v>OUTDATED</v>
      </c>
      <c r="DE9" s="84" t="str">
        <f>IFERROR(VLOOKUP($B9,'LOD 400 - COLO2'!$B:BI,60,FALSE),"N/A")</f>
        <v>OUTDATED</v>
      </c>
      <c r="DF9" s="84" t="str">
        <f>IFERROR(VLOOKUP($B9,'LOD 400 - COLO2'!$B:BL,63,FALSE),"N/A")</f>
        <v>OUTDATED</v>
      </c>
      <c r="DG9" s="84" t="str">
        <f>IFERROR(VLOOKUP($B9,'LOD 400 - COLO2'!$B:BO,66,FALSE),"N/A")</f>
        <v>OUTDATED</v>
      </c>
      <c r="DH9" s="84" t="str">
        <f>IFERROR(VLOOKUP($B9,'LOD 400 - COLO2'!$B:BR,69,FALSE),"N/A")</f>
        <v>OUTDATED</v>
      </c>
      <c r="DI9" s="84" t="str">
        <f>IFERROR(VLOOKUP($B9,'LOD 400 - COLO2'!$B:BU,72,FALSE),"N/A")</f>
        <v>NEXT ROUND</v>
      </c>
      <c r="DJ9" s="84">
        <f>IFERROR(VLOOKUP($B9,'LOD 400 - COLO2'!$B:BX,75,FALSE),"N/A")</f>
        <v>0.83</v>
      </c>
      <c r="DK9" s="84" t="str">
        <f>IFERROR(VLOOKUP($B9,'LOD 400 - COLO2'!$B:CA,78,FALSE),"N/A")</f>
        <v>OUTDATED</v>
      </c>
      <c r="DL9" s="84" t="str">
        <f>IFERROR(VLOOKUP($B9,'LOD 400 - COLO2'!$B:CD,81,FALSE),"N/A")</f>
        <v>OUTDATED</v>
      </c>
      <c r="DM9" s="85" t="str">
        <f>IFERROR(VLOOKUP($B9,'LOD 400 - COLO2'!$B:CG,84,FALSE),"N/A")</f>
        <v>OUTDATED</v>
      </c>
      <c r="DN9" s="84" t="str">
        <f>IFERROR(VLOOKUP($B9,'LOD 400 - COLO2'!$B:CJ,87,FALSE),"N/A")</f>
        <v>OUTDATED</v>
      </c>
      <c r="DO9" s="85" t="str">
        <f>IFERROR(VLOOKUP($B9,'LOD 400 - COLO2'!$B:CM,90,FALSE),"N/A")</f>
        <v>OUTDATED</v>
      </c>
      <c r="DP9" s="84" t="str">
        <f>IFERROR(VLOOKUP($B9,'LOD 400 - COLO2'!$B:CP,93,FALSE),"N/A")</f>
        <v>NEXT ROUND</v>
      </c>
      <c r="DQ9" s="84" t="str">
        <f>IFERROR(VLOOKUP($B9,'LOD 400 - COLO2'!$B:CS,96,FALSE),"N/A")</f>
        <v>NEXT ROUND</v>
      </c>
      <c r="DR9" s="84" t="str">
        <f>IFERROR(VLOOKUP($B9,'LOD 400 - COLO2'!$B:CV,99,FALSE),"N/A")</f>
        <v>NEXT ROUND</v>
      </c>
      <c r="DS9" s="84" t="str">
        <f>IFERROR(VLOOKUP($B9,'LOD 400 - COLO2'!$B:CY,102,FALSE),"N/A")</f>
        <v>NEXT ROUND</v>
      </c>
      <c r="DT9" s="84" t="str">
        <f>IFERROR(VLOOKUP($B9,'LOD 400 - COLO2'!$B:DB,105,FALSE),"N/A")</f>
        <v>NEXT ROUND</v>
      </c>
      <c r="DU9" s="84" t="str">
        <f>IFERROR(VLOOKUP($B9,'LOD 400 - COLO2'!$B:DE,108,FALSE),"N/A")</f>
        <v>NEXT ROUND</v>
      </c>
      <c r="DV9" s="84" t="str">
        <f>IFERROR(VLOOKUP($B9,'LOD 400 - COLO2'!$B:DH,111,FALSE),"N/A")</f>
        <v>NEXT ROUND</v>
      </c>
      <c r="DW9" s="84" t="str">
        <f>IFERROR(VLOOKUP($B9,'LOD 400 - COLO2'!$B:DK,114,FALSE),"N/A")</f>
        <v>NEXT ROUND</v>
      </c>
      <c r="DX9" s="84">
        <f>IFERROR(VLOOKUP($B9,'LOD 400 - COLO2'!$B:DN,117,FALSE),"N/A")</f>
        <v>1</v>
      </c>
      <c r="DY9" s="91">
        <f>IFERROR(__xludf.DUMMYFUNCTION("IFERROR(
  MAX(FILTER(CQ9:DW9, ISNUMBER(CQ9:DW9))),
  DW9
)"),0.9)</f>
        <v>0.9</v>
      </c>
      <c r="DZ9" s="92">
        <f>IFERROR(VLOOKUP($B9,'LOD 400 - COLO3'!B:S,18,FALSE),"N/A")</f>
        <v>0</v>
      </c>
      <c r="EA9" s="84">
        <f>IFERROR(VLOOKUP($B9,'LOD 400 - COLO3'!B:V,21,FALSE),"N/A")</f>
        <v>0.83</v>
      </c>
      <c r="EB9" s="84" t="str">
        <f>IFERROR(VLOOKUP($B9,'LOD 400 - COLO3'!B:Y,24,FALSE),"N/A")</f>
        <v>OUTDATED</v>
      </c>
      <c r="EC9" s="84" t="str">
        <f>IFERROR(VLOOKUP($B9,'LOD 400 - COLO3'!B:AB,27,FALSE),"N/A")</f>
        <v>OUTDATED</v>
      </c>
      <c r="ED9" s="85" t="str">
        <f>IFERROR(VLOOKUP($B9,'LOD 400 - COLO3'!B:AE,30,FALSE),"N/A")</f>
        <v>OUTDATED</v>
      </c>
      <c r="EE9" s="84" t="str">
        <f>IFERROR(VLOOKUP($B9,'LOD 400 - COLO3'!B:AH,33,FALSE),"N/A")</f>
        <v>OUTDATED</v>
      </c>
      <c r="EF9" s="84" t="str">
        <f>IFERROR(VLOOKUP($B9,'LOD 400 - COLO3'!B:AK,36,FALSE),"N/A")</f>
        <v>OUTDATED</v>
      </c>
      <c r="EG9" s="109" t="str">
        <f>IFERROR(VLOOKUP($B9,'LOD 400 - COLO3'!B:AN,39,FALSE),"N/A")</f>
        <v>NEXT ROUND</v>
      </c>
      <c r="EH9" s="94" t="str">
        <f>IFERROR(VLOOKUP($B9,'LOD 400 - COLO3'!B:AQ,42,FALSE),"N/A")</f>
        <v>NEXT ROUND</v>
      </c>
      <c r="EI9" s="94" t="str">
        <f>IFERROR(VLOOKUP($B9,'LOD 400 - COLO3'!B:AT,45,FALSE),"N/A")</f>
        <v>NEXT ROUND</v>
      </c>
      <c r="EJ9" s="94" t="str">
        <f>IFERROR(VLOOKUP($B9,'LOD 400 - COLO3'!B:AW,48,FALSE),"N/A")</f>
        <v>NEXT ROUND</v>
      </c>
      <c r="EK9" s="94" t="str">
        <f>IFERROR(VLOOKUP($B9,'LOD 400 - COLO3'!B:AZ,51,FALSE),"N/A")</f>
        <v>NEXT ROUND</v>
      </c>
      <c r="EL9" s="94" t="str">
        <f>IFERROR(VLOOKUP($B9,'LOD 400 - COLO3'!B:BC,54,FALSE),"N/A")</f>
        <v>NEXT ROUND</v>
      </c>
      <c r="EM9" s="94" t="str">
        <f>IFERROR(VLOOKUP($B9,'LOD 400 - COLO3'!B:BF,57,FALSE),"N/A")</f>
        <v>NEXT ROUND</v>
      </c>
      <c r="EN9" s="94" t="str">
        <f>IFERROR(VLOOKUP($B9,'LOD 400 - COLO3'!B:BI,60,FALSE),"N/A")</f>
        <v>NEXT ROUND</v>
      </c>
      <c r="EO9" s="94">
        <f>IFERROR(VLOOKUP($B9,'LOD 400 - COLO3'!B:BL,63,FALSE),"N/A")</f>
        <v>1</v>
      </c>
      <c r="EP9" s="86">
        <f>IFERROR(__xludf.DUMMYFUNCTION("IFERROR(
  MAX(FILTER(DZ9:EO9, ISNUMBER(DZ9:EO9))),
  EO9
)"),1.0)</f>
        <v>1</v>
      </c>
      <c r="EQ9" s="95">
        <f>IFERROR(VLOOKUP($B9,'LOD 400 - COLO4'!B:S,18,FALSE),"N/A")</f>
        <v>0</v>
      </c>
      <c r="ER9" s="96">
        <f>IFERROR(__xludf.DUMMYFUNCTION("IFERROR(
  MAX(FILTER(EQ9, ISNUMBER(EQ9))),
  EQ9
)"),0.0)</f>
        <v>0</v>
      </c>
      <c r="ES9" s="79" t="str">
        <f>IFERROR(VLOOKUP($B9,'LOD 400 - SITE'!B:S,18,FALSE),"N/A")</f>
        <v>N/A</v>
      </c>
      <c r="ET9" s="80" t="str">
        <f>IFERROR(VLOOKUP($B9,'LOD 400 - SITE'!B:V,21,FALSE),"N/A")</f>
        <v>N/A</v>
      </c>
      <c r="EU9" s="97" t="str">
        <f>IFERROR(VLOOKUP($B9,'LOD 400 - SITE'!$B:Y,24,FALSE),"N/A")</f>
        <v>N/A</v>
      </c>
      <c r="EV9" s="80" t="str">
        <f>IFERROR(VLOOKUP($B9,'LOD 400 - SITE'!$B:AB,27,FALSE),"N/A")</f>
        <v>N/A</v>
      </c>
      <c r="EW9" s="81" t="str">
        <f>IFERROR(VLOOKUP($B9,'LOD 400 - SITE'!$B:AE,30,FALSE),"N/A")</f>
        <v>N/A</v>
      </c>
      <c r="EX9" s="87" t="str">
        <f>IFERROR(VLOOKUP($B9,'LOD 400 - SITE'!$B:AH,33,FALSE),"N/A")</f>
        <v>N/A</v>
      </c>
      <c r="EY9" s="87" t="str">
        <f>IFERROR(VLOOKUP($B9,'LOD 400 - SITE'!$B:AK,36,FALSE),"N/A")</f>
        <v>N/A</v>
      </c>
      <c r="EZ9" s="80" t="str">
        <f>IFERROR(VLOOKUP($B9,'LOD 400 - SITE'!$B:AN,39,FALSE),"N/A")</f>
        <v>N/A</v>
      </c>
      <c r="FA9" s="82" t="str">
        <f>IFERROR(VLOOKUP($B9,'LOD 400 - SITE'!$B:AQ,42,FALSE),"N/A")</f>
        <v>N/A</v>
      </c>
      <c r="FB9" s="88" t="str">
        <f>IFERROR(VLOOKUP($B9,'LOD 400 - SITE'!$B:AT,45,FALSE),"N/A")</f>
        <v>N/A</v>
      </c>
      <c r="FC9" s="84" t="str">
        <f>IFERROR(VLOOKUP($B9,'LOD 400 - SITE'!$B:AW,48,FALSE),"N/A")</f>
        <v>N/A</v>
      </c>
      <c r="FD9" s="84" t="str">
        <f>IFERROR(VLOOKUP($B9,'LOD 400 - SITE'!$B:AZ,51,FALSE),"N/A")</f>
        <v>N/A</v>
      </c>
      <c r="FE9" s="84" t="str">
        <f>IFERROR(VLOOKUP($B9,'LOD 400 - SITE'!$B:BC,54,FALSE),"N/A")</f>
        <v>N/A</v>
      </c>
      <c r="FF9" s="84" t="str">
        <f>IFERROR(VLOOKUP($B9,'LOD 400 - SITE'!$B:BF,57,FALSE),"N/A")</f>
        <v>N/A</v>
      </c>
      <c r="FG9" s="84" t="str">
        <f>IFERROR(VLOOKUP($B9,'LOD 400 - SITE'!$B:BI,60,FALSE),"N/A")</f>
        <v>N/A</v>
      </c>
      <c r="FH9" s="84" t="str">
        <f>IFERROR(VLOOKUP($B9,'LOD 400 - SITE'!$B:BL,63,FALSE),"N/A")</f>
        <v>N/A</v>
      </c>
      <c r="FI9" s="84" t="str">
        <f>IFERROR(VLOOKUP($B9,'LOD 400 - SITE'!$B:BO,66,FALSE),"N/A")</f>
        <v>N/A</v>
      </c>
      <c r="FJ9" s="84" t="str">
        <f>IFERROR(VLOOKUP($B9,'LOD 400 - SITE'!$B:BR,69,FALSE),"N/A")</f>
        <v>N/A</v>
      </c>
      <c r="FK9" s="84" t="str">
        <f>IFERROR(VLOOKUP($B9,'LOD 400 - SITE'!$B:BU,72,FALSE),"N/A")</f>
        <v>N/A</v>
      </c>
      <c r="FL9" s="84" t="str">
        <f>IFERROR(VLOOKUP($B9,'LOD 400 - SITE'!$B:BX,75,FALSE),"N/A")</f>
        <v>N/A</v>
      </c>
      <c r="FM9" s="84" t="str">
        <f>IFERROR(VLOOKUP($B9,'LOD 400 - SITE'!$B:CA,78,FALSE),"N/A")</f>
        <v>N/A</v>
      </c>
      <c r="FN9" s="85" t="str">
        <f>IFERROR(VLOOKUP($B9,'LOD 400 - SITE'!$B:CD,81,FALSE),"N/A")</f>
        <v>N/A</v>
      </c>
      <c r="FO9" s="84" t="str">
        <f>IFERROR(VLOOKUP($B9,'LOD 400 - SITE'!$B:CG,84,FALSE),"N/A")</f>
        <v>N/A</v>
      </c>
      <c r="FP9" s="85" t="str">
        <f>IFERROR(VLOOKUP($B9,'LOD 400 - SITE'!$B:CJ,87,FALSE),"N/A")</f>
        <v>N/A</v>
      </c>
      <c r="FQ9" s="84" t="str">
        <f>IFERROR(VLOOKUP($B9,'LOD 400 - SITE'!$B:CM,90,FALSE),"N/A")</f>
        <v>N/A</v>
      </c>
      <c r="FR9" s="84" t="str">
        <f>IFERROR(VLOOKUP($B9,'LOD 400 - SITE'!$B:CP,93,FALSE),"N/A")</f>
        <v>N/A</v>
      </c>
      <c r="FS9" s="84" t="str">
        <f>IFERROR(VLOOKUP($B9,'LOD 400 - SITE'!$B:CS,96,FALSE),"N/A")</f>
        <v>N/A</v>
      </c>
      <c r="FT9" s="84" t="str">
        <f>IFERROR(VLOOKUP($B9,'LOD 400 - SITE'!$B:CV,99,FALSE),"N/A")</f>
        <v>N/A</v>
      </c>
      <c r="FU9" s="84" t="str">
        <f>IFERROR(VLOOKUP($B9,'LOD 400 - SITE'!$B:CY,102,FALSE),"N/A")</f>
        <v>N/A</v>
      </c>
      <c r="FV9" s="84" t="str">
        <f>IFERROR(VLOOKUP($B9,'LOD 400 - SITE'!$B:DB,105,FALSE),"N/A")</f>
        <v>N/A</v>
      </c>
      <c r="FW9" s="84" t="str">
        <f>IFERROR(VLOOKUP($B9,'LOD 400 - SITE'!$B:DE,108,FALSE),"N/A")</f>
        <v>N/A</v>
      </c>
      <c r="FX9" s="84" t="str">
        <f>IFERROR(VLOOKUP($B9,'LOD 400 - SITE'!$B:DH,111,FALSE),"N/A")</f>
        <v>N/A</v>
      </c>
      <c r="FY9" s="84" t="str">
        <f>IFERROR(VLOOKUP($B9,'LOD 400 - SITE'!$B:DK,114,FALSE),"N/A")</f>
        <v>N/A</v>
      </c>
      <c r="FZ9" s="96" t="str">
        <f>IFERROR(__xludf.DUMMYFUNCTION("IFERROR(
  MAX(FILTER(ES9:FY9, ISNUMBER(ES9:FY9))),
  FY9
)"),"N/A")</f>
        <v>N/A</v>
      </c>
      <c r="GA9" s="80" t="str">
        <f>IFERROR(VLOOKUP($B9,'LOD 400 - UTLS'!B:S,18,FALSE),"N/A")</f>
        <v>N/A</v>
      </c>
      <c r="GB9" s="98" t="str">
        <f>IFERROR(VLOOKUP($B9,'LOD 400 - UTLS'!B:V,21,FALSE),"N/A")</f>
        <v>N/A</v>
      </c>
      <c r="GC9" s="81" t="str">
        <f>IFERROR(VLOOKUP($B9,'LOD 400 - UTLS'!B:Y,24,FALSE),"N/A")</f>
        <v>N/A</v>
      </c>
      <c r="GD9" s="87" t="str">
        <f>IFERROR(VLOOKUP($B9,'LOD 400 - UTLS'!$B:AB,27,FALSE),"N/A")</f>
        <v>N/A</v>
      </c>
      <c r="GE9" s="80" t="str">
        <f>IFERROR(VLOOKUP($B9,'LOD 400 - UTLS'!$B:AE,30,FALSE),"N/A")</f>
        <v>N/A</v>
      </c>
      <c r="GF9" s="82" t="str">
        <f>IFERROR(VLOOKUP($B9,'LOD 400 - UTLS'!$B:AH,33,FALSE),"N/A")</f>
        <v>N/A</v>
      </c>
      <c r="GG9" s="88" t="str">
        <f>IFERROR(VLOOKUP($B9,'LOD 400 - UTLS'!$B:AK,36,FALSE),"N/A")</f>
        <v>N/A</v>
      </c>
      <c r="GH9" s="84" t="str">
        <f>IFERROR(VLOOKUP($B9,'LOD 400 - UTLS'!$B:AN,39,FALSE),"N/A")</f>
        <v>N/A</v>
      </c>
      <c r="GI9" s="84" t="str">
        <f>IFERROR(VLOOKUP($B9,'LOD 400 - UTLS'!$B:AQ,42,FALSE),"N/A")</f>
        <v>N/A</v>
      </c>
      <c r="GJ9" s="84" t="str">
        <f>IFERROR(VLOOKUP($B9,'LOD 400 - UTLS'!$B:AT,45,FALSE),"N/A")</f>
        <v>N/A</v>
      </c>
      <c r="GK9" s="84" t="str">
        <f>IFERROR(VLOOKUP($B9,'LOD 400 - UTLS'!$B:AW,48,FALSE),"N/A")</f>
        <v>N/A</v>
      </c>
      <c r="GL9" s="84" t="str">
        <f>IFERROR(VLOOKUP($B9,'LOD 400 - UTLS'!$B:AZ,51,FALSE),"N/A")</f>
        <v>N/A</v>
      </c>
      <c r="GM9" s="84" t="str">
        <f>IFERROR(VLOOKUP($B9,'LOD 400 - UTLS'!$B:BC,54,FALSE),"N/A")</f>
        <v>N/A</v>
      </c>
      <c r="GN9" s="84" t="str">
        <f>IFERROR(VLOOKUP($B9,'LOD 400 - UTLS'!$B:BF,57,FALSE),"N/A")</f>
        <v>N/A</v>
      </c>
      <c r="GO9" s="84" t="str">
        <f>IFERROR(VLOOKUP($B9,'LOD 400 - UTLS'!$B:BI,60,FALSE),"N/A")</f>
        <v>N/A</v>
      </c>
      <c r="GP9" s="84" t="str">
        <f>IFERROR(VLOOKUP($B9,'LOD 400 - UTLS'!$B:BL,63,FALSE),"N/A")</f>
        <v>N/A</v>
      </c>
      <c r="GQ9" s="84" t="str">
        <f>IFERROR(VLOOKUP($B9,'LOD 400 - UTLS'!$B:BO,66,FALSE),"N/A")</f>
        <v>N/A</v>
      </c>
      <c r="GR9" s="84" t="str">
        <f>IFERROR(VLOOKUP($B9,'LOD 400 - UTLS'!$B:BR,69,FALSE),"N/A")</f>
        <v>N/A</v>
      </c>
      <c r="GS9" s="85" t="str">
        <f>IFERROR(VLOOKUP($B9,'LOD 400 - UTLS'!$B:BU,72,FALSE),"N/A")</f>
        <v>N/A</v>
      </c>
      <c r="GT9" s="84" t="str">
        <f>IFERROR(VLOOKUP($B9,'LOD 400 - UTLS'!$B:BX,75,FALSE),"N/A")</f>
        <v>N/A</v>
      </c>
      <c r="GU9" s="85" t="str">
        <f>IFERROR(VLOOKUP($B9,'LOD 400 - UTLS'!$B:CA,78,FALSE),"N/A")</f>
        <v>N/A</v>
      </c>
      <c r="GV9" s="84" t="str">
        <f>IFERROR(VLOOKUP($B9,'LOD 400 - UTLS'!$B:CD,81,FALSE),"N/A")</f>
        <v>N/A</v>
      </c>
      <c r="GW9" s="84" t="str">
        <f>IFERROR(VLOOKUP($B9,'LOD 400 - UTLS'!$B:CG,84,FALSE),"N/A")</f>
        <v>N/A</v>
      </c>
      <c r="GX9" s="84" t="str">
        <f>IFERROR(VLOOKUP($B9,'LOD 400 - UTLS'!$B:CJ,87,FALSE),"N/A")</f>
        <v>N/A</v>
      </c>
      <c r="GY9" s="84" t="str">
        <f>IFERROR(VLOOKUP($B9,'LOD 400 - UTLS'!$B:CM,90,FALSE),"N/A")</f>
        <v>N/A</v>
      </c>
      <c r="GZ9" s="84" t="str">
        <f>IFERROR(VLOOKUP($B9,'LOD 400 - UTLS'!$B:CP,93,FALSE),"N/A")</f>
        <v>N/A</v>
      </c>
      <c r="HA9" s="84" t="str">
        <f>IFERROR(VLOOKUP($B9,'LOD 400 - UTLS'!$B:CS,96,FALSE),"N/A")</f>
        <v>N/A</v>
      </c>
      <c r="HB9" s="84" t="str">
        <f>IFERROR(VLOOKUP($B9,'LOD 400 - UTLS'!$B:CV,99,FALSE),"N/A")</f>
        <v>N/A</v>
      </c>
      <c r="HC9" s="84" t="str">
        <f>IFERROR(VLOOKUP($B9,'LOD 400 - UTLS'!$B:CY,102,FALSE),"N/A")</f>
        <v>N/A</v>
      </c>
      <c r="HD9" s="84" t="str">
        <f>IFERROR(VLOOKUP($B9,'LOD 400 - UTLS'!$B:DB,105,FALSE),"N/A")</f>
        <v>N/A</v>
      </c>
      <c r="HE9" s="96" t="str">
        <f>IFERROR(__xludf.DUMMYFUNCTION("IFERROR(
  MAX(FILTER(GA9:HD9, ISNUMBER(GA9:HD9))),
  HD9
)"),"N/A")</f>
        <v>N/A</v>
      </c>
      <c r="HF9" s="99"/>
      <c r="HG9" s="99"/>
      <c r="HH9" s="99"/>
      <c r="HI9" s="99"/>
      <c r="HJ9" s="99"/>
      <c r="HK9" s="99"/>
    </row>
    <row r="10" ht="16.5" customHeight="1" outlineLevel="1">
      <c r="A10" s="53">
        <v>12.0</v>
      </c>
      <c r="B10" s="100" t="s">
        <v>93</v>
      </c>
      <c r="C10" s="100" t="s">
        <v>94</v>
      </c>
      <c r="D10" s="64" t="str">
        <f t="shared" si="1"/>
        <v>SITE</v>
      </c>
      <c r="E10" s="111" t="s">
        <v>91</v>
      </c>
      <c r="F10" s="102">
        <v>1104.0</v>
      </c>
      <c r="G10" s="103" t="s">
        <v>92</v>
      </c>
      <c r="H10" s="104">
        <v>1127.0</v>
      </c>
      <c r="I10" s="68" t="str">
        <f>IFERROR(VLOOKUP($C7:C108,'R22 RELATÓRIO ACC'!B:F,5,FALSE),"NOT PUBLISHED")</f>
        <v>V9</v>
      </c>
      <c r="J10" s="69" t="str">
        <f>IFERROR(VLOOKUP($C7:C108,'R22 RELATÓRIO ACC'!B:P,15,FALSE),"NOT PUBLISHED")</f>
        <v>10/04/2026</v>
      </c>
      <c r="K10" s="70" t="str">
        <f>IFERROR(VLOOKUP($B7:B108,'RELATÓRIO ACC'!B:F,5,FALSE),"NOT PUBLISHED")</f>
        <v>V1</v>
      </c>
      <c r="L10" s="71" t="str">
        <f>IFERROR(VLOOKUP($B7:B108,'RELATÓRIO ACC'!B:P,15,FALSE),"NOT PUBLISHED")</f>
        <v>15/05/2026</v>
      </c>
      <c r="M10" s="72" t="str">
        <f>IF(OR($D10="UTLS",$D10="GUAR",$D10="STIR",$D10="PUMP",$D10="SITE"),
   VLOOKUP($B10,'LOD 400 - SITE'!B:M,12,FALSE),
   VLOOKUP($B10,'LOD 400 - ADMN'!B:M,12,FALSE)
)</f>
        <v>V1</v>
      </c>
      <c r="N10" s="105">
        <f>IF(OR($D10="UTLS",$D10="GUAR",$D10="STIR",$D10="PUMP",$D10="SITE"),
   VLOOKUP($B10,'LOD 400 - SITE'!B:N,13,FALSE),
   VLOOKUP($B10,'LOD 400 - ADMN'!B:N,13,FALSE)
)</f>
        <v>46157</v>
      </c>
      <c r="O10" s="106" t="str">
        <f>IF(OR($D10="UTLS",$D10="GUAR",$D10="STIR",$D10="PUMP",$D10="SITE"),
   VLOOKUP($B10,'LOD 400 - SITE'!B:O,14,FALSE),
   VLOOKUP($B10,'LOD 400 - ADMN'!B:O,14,FALSE)
)</f>
        <v>R24</v>
      </c>
      <c r="P10" s="107" t="str">
        <f>IF(OR($D10="C345",$D10="C12A",$D10="DATA"),
   VLOOKUP($B10,'LOD 400 - COLO3'!B:M,12,FALSE),"N/A")</f>
        <v>N/A</v>
      </c>
      <c r="Q10" s="108" t="str">
        <f>IF(OR($D10="C345",$D10="C12A",$D10="DATA"),
   VLOOKUP($B10,'LOD 400 - COLO3'!B:N,13,FALSE),"N/A")</f>
        <v>N/A</v>
      </c>
      <c r="R10" s="75" t="str">
        <f>IF(OR($D10="C345",$D10="C12A",$D10="DATA"),
   VLOOKUP($B10,'LOD 400 - COLO3'!B:O,14,FALSE),"N/A")</f>
        <v>N/A</v>
      </c>
      <c r="S10" s="76" t="str">
        <f>IF(OR($D10="C345",$D10="C12A",$D10="DATA"),
   VLOOKUP($B10,'LOD 400 - COLO4'!B:N,12,FALSE),"N/A")</f>
        <v>N/A</v>
      </c>
      <c r="T10" s="76" t="str">
        <f>IF(OR($D10="C345",$D10="C12A",$D10="DATA"),
   VLOOKUP($B10,'LOD 400 - COLO4'!B:N,13,FALSE),"N/A")</f>
        <v>N/A</v>
      </c>
      <c r="U10" s="76" t="str">
        <f>IF(OR($D10="C345",$D10="C12A",$D10="DATA"),
   VLOOKUP($B10,'LOD 400 - COLO4'!B:N,13,FALSE),"N/A")</f>
        <v>N/A</v>
      </c>
      <c r="V10" s="77" t="str">
        <f>IF(OR($D10="UTLS",$D10="GUAR",$D10="STIR",$D10="PUMP",$D10="SITE"),
   VLOOKUP($B10,'LOD 400 - UTLS'!B:M,12,FALSE),"N/A")</f>
        <v>V1</v>
      </c>
      <c r="W10" s="78">
        <f>IF(OR($D10="UTLS",$D10="GUAR",$D10="STIR",$D10="PUMP",$D10="SITE"),
   VLOOKUP($B10,'LOD 400 - UTLS'!B:N,13,FALSE),"N/A")</f>
        <v>46157</v>
      </c>
      <c r="X10" s="108" t="str">
        <f>IF(OR($D10="UTLS",$D10="GUAR",$D10="STIR",$D10="PUMP",$D10="SITE"),
   VLOOKUP($B10,'LOD 400 - UTLS'!B:O,14,FALSE),"N/A")</f>
        <v>R24</v>
      </c>
      <c r="Y10" s="79" t="str">
        <f>IFERROR(VLOOKUP($B10,'LOD 400 - ADMN'!B:S,18,FALSE),"N/A")</f>
        <v>N/A</v>
      </c>
      <c r="Z10" s="79" t="str">
        <f>IFERROR(VLOOKUP($B10,'LOD 400 - ADMN'!B:V,21,FALSE),"N/A")</f>
        <v>N/A</v>
      </c>
      <c r="AA10" s="79" t="str">
        <f>IFERROR(VLOOKUP($B10,'LOD 400 - ADMN'!$B:Y,24,FALSE),"N/A")</f>
        <v>N/A</v>
      </c>
      <c r="AB10" s="80" t="str">
        <f>IFERROR(VLOOKUP($B10,'LOD 400 - ADMN'!$B:AB,27,FALSE),"N/A")</f>
        <v>N/A</v>
      </c>
      <c r="AC10" s="81" t="str">
        <f>IFERROR(VLOOKUP($B10,'LOD 400 - ADMN'!$B:AE,30,FALSE),"N/A")</f>
        <v>N/A</v>
      </c>
      <c r="AD10" s="81" t="str">
        <f>IFERROR(VLOOKUP($B10,'LOD 400 - ADMN'!$B:AH,33,FALSE),"N/A")</f>
        <v>N/A</v>
      </c>
      <c r="AE10" s="80" t="str">
        <f>IFERROR(VLOOKUP($B10,'LOD 400 - ADMN'!$B:AK,36,FALSE),"N/A")</f>
        <v>N/A</v>
      </c>
      <c r="AF10" s="82" t="str">
        <f>IFERROR(VLOOKUP($B10,'LOD 400 - ADMN'!$B:AN,39,FALSE),"N/A")</f>
        <v>N/A</v>
      </c>
      <c r="AG10" s="83" t="str">
        <f>IFERROR(VLOOKUP($B10,'LOD 400 - ADMN'!$B:AQ,42,FALSE),"N/A")</f>
        <v>N/A</v>
      </c>
      <c r="AH10" s="84" t="str">
        <f>IFERROR(VLOOKUP($B10,'LOD 400 - ADMN'!$B:AT,45,FALSE),"N/A")</f>
        <v>N/A</v>
      </c>
      <c r="AI10" s="85" t="str">
        <f>IFERROR(VLOOKUP($B10,'LOD 400 - ADMN'!$B:AW,48,FALSE),"N/A")</f>
        <v>N/A</v>
      </c>
      <c r="AJ10" s="85" t="str">
        <f>IFERROR(VLOOKUP($B10,'LOD 400 - ADMN'!$B:AZ,51,FALSE),"N/A")</f>
        <v>N/A</v>
      </c>
      <c r="AK10" s="84" t="str">
        <f>IFERROR(VLOOKUP($B10,'LOD 400 - ADMN'!$B:BC,54,FALSE),"N/A")</f>
        <v>N/A</v>
      </c>
      <c r="AL10" s="84" t="str">
        <f>IFERROR(VLOOKUP($B10,'LOD 400 - ADMN'!$B:BF,57,FALSE),"N/A")</f>
        <v>N/A</v>
      </c>
      <c r="AM10" s="84" t="str">
        <f>IFERROR(VLOOKUP($B10,'LOD 400 - ADMN'!$B:BI,60,FALSE),"N/A")</f>
        <v>N/A</v>
      </c>
      <c r="AN10" s="84" t="str">
        <f>IFERROR(VLOOKUP($B10,'LOD 400 - ADMN'!$B:BL,63,FALSE),"N/A")</f>
        <v>N/A</v>
      </c>
      <c r="AO10" s="84" t="str">
        <f>IFERROR(VLOOKUP($B10,'LOD 400 - ADMN'!$B:BO,66,FALSE),"N/A")</f>
        <v>N/A</v>
      </c>
      <c r="AP10" s="84" t="str">
        <f>IFERROR(VLOOKUP($B10,'LOD 400 - ADMN'!$B:BR,69,FALSE),"N/A")</f>
        <v>N/A</v>
      </c>
      <c r="AQ10" s="84" t="str">
        <f>IFERROR(VLOOKUP($B10,'LOD 400 - ADMN'!$B:BU,72,FALSE),"N/A")</f>
        <v>N/A</v>
      </c>
      <c r="AR10" s="84" t="str">
        <f>IFERROR(VLOOKUP($B10,'LOD 400 - ADMN'!$B:BX,75,FALSE),"N/A")</f>
        <v>N/A</v>
      </c>
      <c r="AS10" s="84" t="str">
        <f>IFERROR(VLOOKUP($B10,'LOD 400 - ADMN'!$B:CA,78,FALSE),"N/A")</f>
        <v>N/A</v>
      </c>
      <c r="AT10" s="84" t="str">
        <f>IFERROR(VLOOKUP($B10,'LOD 400 - ADMN'!$B:CD,81,FALSE),"N/A")</f>
        <v>N/A</v>
      </c>
      <c r="AU10" s="85" t="str">
        <f>IFERROR(VLOOKUP($B10,'LOD 400 - ADMN'!$B:CG,84,FALSE),"N/A")</f>
        <v>N/A</v>
      </c>
      <c r="AV10" s="84" t="str">
        <f>IFERROR(VLOOKUP($B10,'LOD 400 - ADMN'!$B:CJ,87,FALSE),"N/A")</f>
        <v>N/A</v>
      </c>
      <c r="AW10" s="85" t="str">
        <f>IFERROR(VLOOKUP($B10,'LOD 400 - ADMN'!$B:CM,90,FALSE),"N/A")</f>
        <v>N/A</v>
      </c>
      <c r="AX10" s="84" t="str">
        <f>IFERROR(VLOOKUP($B10,'LOD 400 - ADMN'!$B:CP,93,FALSE),"N/A")</f>
        <v>N/A</v>
      </c>
      <c r="AY10" s="84" t="str">
        <f>IFERROR(VLOOKUP($B10,'LOD 400 - ADMN'!$B:CS,96,FALSE),"N/A")</f>
        <v>N/A</v>
      </c>
      <c r="AZ10" s="84" t="str">
        <f>IFERROR(VLOOKUP($B10,'LOD 400 - ADMN'!$B:CV,99,FALSE),"N/A")</f>
        <v>N/A</v>
      </c>
      <c r="BA10" s="84" t="str">
        <f>IFERROR(VLOOKUP($B10,'LOD 400 - ADMN'!$B:CY,102,FALSE),"N/A")</f>
        <v>N/A</v>
      </c>
      <c r="BB10" s="84" t="str">
        <f>IFERROR(VLOOKUP($B10,'LOD 400 - ADMN'!$B:DB,105,FALSE),"N/A")</f>
        <v>N/A</v>
      </c>
      <c r="BC10" s="84" t="str">
        <f>IFERROR(VLOOKUP($B10,'LOD 400 - ADMN'!$B:DE,108,FALSE),"N/A")</f>
        <v>N/A</v>
      </c>
      <c r="BD10" s="84" t="str">
        <f>IFERROR(VLOOKUP($B10,'LOD 400 - ADMN'!$B:DH,111,FALSE),"N/A")</f>
        <v>N/A</v>
      </c>
      <c r="BE10" s="84" t="str">
        <f>IFERROR(VLOOKUP($B10,'LOD 400 - ADMN'!$B:DK,114,FALSE),"N/A")</f>
        <v>N/A</v>
      </c>
      <c r="BF10" s="84" t="str">
        <f>IFERROR(VLOOKUP($B10,'LOD 400 - ADMN'!$B:DN,117,FALSE),"N/A")</f>
        <v>N/A</v>
      </c>
      <c r="BG10" s="86" t="str">
        <f>IFERROR(__xludf.DUMMYFUNCTION("IFERROR(
  MAX(FILTER(Y10:BF10, ISNUMBER(Y10:BF10))),
  BF10
)"),"N/A")</f>
        <v>N/A</v>
      </c>
      <c r="BH10" s="79" t="str">
        <f>IFERROR(VLOOKUP($B10,'LOD 400 - COLO1'!B:S,18,FALSE),"N/A")</f>
        <v>N/A</v>
      </c>
      <c r="BI10" s="79" t="str">
        <f>IFERROR(VLOOKUP($B10,'LOD 400 - COLO1'!B:V,21,FALSE),"N/A")</f>
        <v>N/A</v>
      </c>
      <c r="BJ10" s="79" t="str">
        <f>IFERROR(VLOOKUP($B10,'LOD 400 - COLO1'!$B:Y,24,FALSE),"N/A")</f>
        <v>N/A</v>
      </c>
      <c r="BK10" s="87" t="str">
        <f>IFERROR(VLOOKUP($B10,'LOD 400 - COLO1'!$B:AB,27,FALSE),"N/A")</f>
        <v>N/A</v>
      </c>
      <c r="BL10" s="80" t="str">
        <f>IFERROR(VLOOKUP($B10,'LOD 400 - COLO1'!$B:AE,30,FALSE),"N/A")</f>
        <v>N/A</v>
      </c>
      <c r="BM10" s="81" t="str">
        <f>IFERROR(VLOOKUP($B10,'LOD 400 - COLO1'!$B:AH,33,FALSE),"N/A")</f>
        <v>N/A</v>
      </c>
      <c r="BN10" s="87" t="str">
        <f>IFERROR(VLOOKUP($B10,'LOD 400 - COLO1'!$B:AK,36,FALSE),"N/A")</f>
        <v>N/A</v>
      </c>
      <c r="BO10" s="83" t="str">
        <f>IFERROR(VLOOKUP($B10,'LOD 400 - COLO1'!$B:AN,39,FALSE),"N/A")</f>
        <v>N/A</v>
      </c>
      <c r="BP10" s="88" t="str">
        <f>IFERROR(VLOOKUP($B10,'LOD 400 - COLO1'!$B:AQ,42,FALSE),"N/A")</f>
        <v>N/A</v>
      </c>
      <c r="BQ10" s="84" t="str">
        <f>IFERROR(VLOOKUP($B10,'LOD 400 - COLO1'!$B:AT,45,FALSE),"N/A")</f>
        <v>N/A</v>
      </c>
      <c r="BR10" s="85" t="str">
        <f>IFERROR(VLOOKUP($B10,'LOD 400 - COLO1'!$B:AW,48,FALSE),"N/A")</f>
        <v>N/A</v>
      </c>
      <c r="BS10" s="84" t="str">
        <f>IFERROR(VLOOKUP($B10,'LOD 400 - COLO1'!$B:AZ,51,FALSE),"N/A")</f>
        <v>N/A</v>
      </c>
      <c r="BT10" s="84" t="str">
        <f>IFERROR(VLOOKUP($B10,'LOD 400 - COLO1'!$B:BC,54,FALSE),"N/A")</f>
        <v>N/A</v>
      </c>
      <c r="BU10" s="84" t="str">
        <f>IFERROR(VLOOKUP($B10,'LOD 400 - COLO1'!$B:BF,57,FALSE),"N/A")</f>
        <v>N/A</v>
      </c>
      <c r="BV10" s="84" t="str">
        <f>IFERROR(VLOOKUP($B10,'LOD 400 - COLO1'!$B:BI,60,FALSE),"N/A")</f>
        <v>N/A</v>
      </c>
      <c r="BW10" s="84" t="str">
        <f>IFERROR(VLOOKUP($B10,'LOD 400 - COLO1'!$B:BL,63,FALSE),"N/A")</f>
        <v>N/A</v>
      </c>
      <c r="BX10" s="84" t="str">
        <f>IFERROR(VLOOKUP($B10,'LOD 400 - COLO1'!$B:BO,66,FALSE),"N/A")</f>
        <v>N/A</v>
      </c>
      <c r="BY10" s="84" t="str">
        <f>IFERROR(VLOOKUP($B10,'LOD 400 - COLO1'!$B:BR,69,FALSE),"N/A")</f>
        <v>N/A</v>
      </c>
      <c r="BZ10" s="84" t="str">
        <f>IFERROR(VLOOKUP($B10,'LOD 400 - COLO1'!$B:BU,72,FALSE),"N/A")</f>
        <v>N/A</v>
      </c>
      <c r="CA10" s="84" t="str">
        <f>IFERROR(VLOOKUP($B10,'LOD 400 - COLO1'!$B:BX,75,FALSE),"N/A")</f>
        <v>N/A</v>
      </c>
      <c r="CB10" s="84" t="str">
        <f>IFERROR(VLOOKUP($B10,'LOD 400 - COLO1'!$B:CA,78,FALSE),"N/A")</f>
        <v>N/A</v>
      </c>
      <c r="CC10" s="84" t="str">
        <f>IFERROR(VLOOKUP($B10,'LOD 400 - COLO1'!$B:CD,81,FALSE),"N/A")</f>
        <v>N/A</v>
      </c>
      <c r="CD10" s="85" t="str">
        <f>IFERROR(VLOOKUP($B10,'LOD 400 - COLO1'!$B:CG,84,FALSE),"N/A")</f>
        <v>N/A</v>
      </c>
      <c r="CE10" s="84" t="str">
        <f>IFERROR(VLOOKUP($B10,'LOD 400 - COLO1'!$B:CJ,87,FALSE),"N/A")</f>
        <v>N/A</v>
      </c>
      <c r="CF10" s="85" t="str">
        <f>IFERROR(VLOOKUP($B10,'LOD 400 - COLO1'!$B:CM,90,FALSE),"N/A")</f>
        <v>N/A</v>
      </c>
      <c r="CG10" s="84" t="str">
        <f>IFERROR(VLOOKUP($B10,'LOD 400 - COLO1'!$B:CP,93,FALSE),"N/A")</f>
        <v>N/A</v>
      </c>
      <c r="CH10" s="84" t="str">
        <f>IFERROR(VLOOKUP($B10,'LOD 400 - COLO1'!$B:CS,96,FALSE),"N/A")</f>
        <v>N/A</v>
      </c>
      <c r="CI10" s="84" t="str">
        <f>IFERROR(VLOOKUP($B10,'LOD 400 - COLO1'!$B:CV,99,FALSE),"N/A")</f>
        <v>N/A</v>
      </c>
      <c r="CJ10" s="84" t="str">
        <f>IFERROR(VLOOKUP($B10,'LOD 400 - COLO1'!$B:CY,102,FALSE),"N/A")</f>
        <v>N/A</v>
      </c>
      <c r="CK10" s="84" t="str">
        <f>IFERROR(VLOOKUP($B10,'LOD 400 - COLO1'!$B:DB,105,FALSE),"N/A")</f>
        <v>N/A</v>
      </c>
      <c r="CL10" s="84" t="str">
        <f>IFERROR(VLOOKUP($B10,'LOD 400 - COLO1'!$B:DE,108,FALSE),"N/A")</f>
        <v>N/A</v>
      </c>
      <c r="CM10" s="84" t="str">
        <f>IFERROR(VLOOKUP($B10,'LOD 400 - COLO1'!$B:DH,111,FALSE),"N/A")</f>
        <v>N/A</v>
      </c>
      <c r="CN10" s="84" t="str">
        <f>IFERROR(VLOOKUP($B10,'LOD 400 - COLO1'!$B:DK,114,FALSE),"N/A")</f>
        <v>N/A</v>
      </c>
      <c r="CO10" s="84" t="str">
        <f>IFERROR(VLOOKUP($B10,'LOD 400 - COLO1'!$B:DN,117,FALSE),"N/A")</f>
        <v>N/A</v>
      </c>
      <c r="CP10" s="86" t="str">
        <f>IFERROR(__xludf.DUMMYFUNCTION("IFERROR(
  MAX(FILTER(BH10:CO10, ISNUMBER(BH10:CO10))),
  CO10
)"),"N/A")</f>
        <v>N/A</v>
      </c>
      <c r="CQ10" s="89" t="str">
        <f>IFERROR(VLOOKUP($B10,'LOD 400 - COLO2'!B:S,18,FALSE),"N/A")</f>
        <v>N/A</v>
      </c>
      <c r="CR10" s="79" t="str">
        <f>IFERROR(VLOOKUP($B10,'LOD 400 - COLO2'!B:V,21,FALSE),"N/A")</f>
        <v>N/A</v>
      </c>
      <c r="CS10" s="79" t="str">
        <f>IFERROR(VLOOKUP($B10,'LOD 400 - COLO2'!$B:Y,24,FALSE),"N/A")</f>
        <v>N/A</v>
      </c>
      <c r="CT10" s="80" t="str">
        <f>IFERROR(VLOOKUP($B10,'LOD 400 - COLO2'!$B:DQ,27,FALSE),"N/A")</f>
        <v>N/A</v>
      </c>
      <c r="CU10" s="90" t="str">
        <f>IFERROR(VLOOKUP($B10,'LOD 400 - COLO2'!$B:AE,30,FALSE),"N/A")</f>
        <v>N/A</v>
      </c>
      <c r="CV10" s="81" t="str">
        <f>IFERROR(VLOOKUP($B10,'LOD 400 - COLO2'!$B:AH,33,FALSE),"N/A")</f>
        <v>N/A</v>
      </c>
      <c r="CW10" s="90" t="str">
        <f>IFERROR(VLOOKUP($B10,'LOD 400 - COLO2'!$B:AK,36,FALSE),"N/A")</f>
        <v>N/A</v>
      </c>
      <c r="CX10" s="85" t="str">
        <f>IFERROR(VLOOKUP($B10,'LOD 400 - COLO2'!$B:AN,39,FALSE),"N/A")</f>
        <v>N/A</v>
      </c>
      <c r="CY10" s="88" t="str">
        <f>IFERROR(VLOOKUP($B10,'LOD 400 - COLO2'!$B:AQ,42,FALSE),"N/A")</f>
        <v>N/A</v>
      </c>
      <c r="CZ10" s="84" t="str">
        <f>IFERROR(VLOOKUP($B10,'LOD 400 - COLO2'!$B:AT,45,FALSE),"N/A")</f>
        <v>N/A</v>
      </c>
      <c r="DA10" s="85" t="str">
        <f>IFERROR(VLOOKUP($B10,'LOD 400 - COLO2'!$B:AW,48,FALSE),"N/A")</f>
        <v>N/A</v>
      </c>
      <c r="DB10" s="84" t="str">
        <f>IFERROR(VLOOKUP($B10,'LOD 400 - COLO2'!$B:AZ,51,FALSE),"N/A")</f>
        <v>N/A</v>
      </c>
      <c r="DC10" s="84" t="str">
        <f>IFERROR(VLOOKUP($B10,'LOD 400 - COLO2'!$B:BC,54,FALSE),"N/A")</f>
        <v>N/A</v>
      </c>
      <c r="DD10" s="84" t="str">
        <f>IFERROR(VLOOKUP($B10,'LOD 400 - COLO2'!$B:BF,57,FALSE),"N/A")</f>
        <v>N/A</v>
      </c>
      <c r="DE10" s="84" t="str">
        <f>IFERROR(VLOOKUP($B10,'LOD 400 - COLO2'!$B:BI,60,FALSE),"N/A")</f>
        <v>N/A</v>
      </c>
      <c r="DF10" s="84" t="str">
        <f>IFERROR(VLOOKUP($B10,'LOD 400 - COLO2'!$B:BL,63,FALSE),"N/A")</f>
        <v>N/A</v>
      </c>
      <c r="DG10" s="84" t="str">
        <f>IFERROR(VLOOKUP($B10,'LOD 400 - COLO2'!$B:BO,66,FALSE),"N/A")</f>
        <v>N/A</v>
      </c>
      <c r="DH10" s="84" t="str">
        <f>IFERROR(VLOOKUP($B10,'LOD 400 - COLO2'!$B:BR,69,FALSE),"N/A")</f>
        <v>N/A</v>
      </c>
      <c r="DI10" s="84" t="str">
        <f>IFERROR(VLOOKUP($B10,'LOD 400 - COLO2'!$B:BU,72,FALSE),"N/A")</f>
        <v>N/A</v>
      </c>
      <c r="DJ10" s="84" t="str">
        <f>IFERROR(VLOOKUP($B10,'LOD 400 - COLO2'!$B:BX,75,FALSE),"N/A")</f>
        <v>N/A</v>
      </c>
      <c r="DK10" s="84" t="str">
        <f>IFERROR(VLOOKUP($B10,'LOD 400 - COLO2'!$B:CA,78,FALSE),"N/A")</f>
        <v>N/A</v>
      </c>
      <c r="DL10" s="84" t="str">
        <f>IFERROR(VLOOKUP($B10,'LOD 400 - COLO2'!$B:CD,81,FALSE),"N/A")</f>
        <v>N/A</v>
      </c>
      <c r="DM10" s="85" t="str">
        <f>IFERROR(VLOOKUP($B10,'LOD 400 - COLO2'!$B:CG,84,FALSE),"N/A")</f>
        <v>N/A</v>
      </c>
      <c r="DN10" s="84" t="str">
        <f>IFERROR(VLOOKUP($B10,'LOD 400 - COLO2'!$B:CJ,87,FALSE),"N/A")</f>
        <v>N/A</v>
      </c>
      <c r="DO10" s="85" t="str">
        <f>IFERROR(VLOOKUP($B10,'LOD 400 - COLO2'!$B:CM,90,FALSE),"N/A")</f>
        <v>N/A</v>
      </c>
      <c r="DP10" s="84" t="str">
        <f>IFERROR(VLOOKUP($B10,'LOD 400 - COLO2'!$B:CP,93,FALSE),"N/A")</f>
        <v>N/A</v>
      </c>
      <c r="DQ10" s="84" t="str">
        <f>IFERROR(VLOOKUP($B10,'LOD 400 - COLO2'!$B:CS,96,FALSE),"N/A")</f>
        <v>N/A</v>
      </c>
      <c r="DR10" s="84" t="str">
        <f>IFERROR(VLOOKUP($B10,'LOD 400 - COLO2'!$B:CV,99,FALSE),"N/A")</f>
        <v>N/A</v>
      </c>
      <c r="DS10" s="84" t="str">
        <f>IFERROR(VLOOKUP($B10,'LOD 400 - COLO2'!$B:CY,102,FALSE),"N/A")</f>
        <v>N/A</v>
      </c>
      <c r="DT10" s="84" t="str">
        <f>IFERROR(VLOOKUP($B10,'LOD 400 - COLO2'!$B:DB,105,FALSE),"N/A")</f>
        <v>N/A</v>
      </c>
      <c r="DU10" s="84" t="str">
        <f>IFERROR(VLOOKUP($B10,'LOD 400 - COLO2'!$B:DE,108,FALSE),"N/A")</f>
        <v>N/A</v>
      </c>
      <c r="DV10" s="84" t="str">
        <f>IFERROR(VLOOKUP($B10,'LOD 400 - COLO2'!$B:DH,111,FALSE),"N/A")</f>
        <v>N/A</v>
      </c>
      <c r="DW10" s="84" t="str">
        <f>IFERROR(VLOOKUP($B10,'LOD 400 - COLO2'!$B:DK,114,FALSE),"N/A")</f>
        <v>N/A</v>
      </c>
      <c r="DX10" s="84" t="str">
        <f>IFERROR(VLOOKUP($B10,'LOD 400 - COLO2'!$B:DN,117,FALSE),"N/A")</f>
        <v>N/A</v>
      </c>
      <c r="DY10" s="91" t="str">
        <f>IFERROR(__xludf.DUMMYFUNCTION("IFERROR(
  MAX(FILTER(CQ10:DW10, ISNUMBER(CQ10:DW10))),
  DW10
)"),"N/A")</f>
        <v>N/A</v>
      </c>
      <c r="DZ10" s="92" t="str">
        <f>IFERROR(VLOOKUP($B10,'LOD 400 - COLO3'!B:S,18,FALSE),"N/A")</f>
        <v>N/A</v>
      </c>
      <c r="EA10" s="84" t="str">
        <f>IFERROR(VLOOKUP($B10,'LOD 400 - COLO3'!B:V,21,FALSE),"N/A")</f>
        <v>N/A</v>
      </c>
      <c r="EB10" s="84" t="str">
        <f>IFERROR(VLOOKUP($B10,'LOD 400 - COLO3'!B:Y,24,FALSE),"N/A")</f>
        <v>N/A</v>
      </c>
      <c r="EC10" s="84" t="str">
        <f>IFERROR(VLOOKUP($B10,'LOD 400 - COLO3'!B:AB,27,FALSE),"N/A")</f>
        <v>N/A</v>
      </c>
      <c r="ED10" s="85" t="str">
        <f>IFERROR(VLOOKUP($B10,'LOD 400 - COLO3'!B:AE,30,FALSE),"N/A")</f>
        <v>N/A</v>
      </c>
      <c r="EE10" s="84" t="str">
        <f>IFERROR(VLOOKUP($B10,'LOD 400 - COLO3'!B:AH,33,FALSE),"N/A")</f>
        <v>N/A</v>
      </c>
      <c r="EF10" s="84" t="str">
        <f>IFERROR(VLOOKUP($B10,'LOD 400 - COLO3'!B:AK,36,FALSE),"N/A")</f>
        <v>N/A</v>
      </c>
      <c r="EG10" s="109" t="str">
        <f>IFERROR(VLOOKUP($B10,'LOD 400 - COLO3'!B:AN,39,FALSE),"N/A")</f>
        <v>N/A</v>
      </c>
      <c r="EH10" s="94" t="str">
        <f>IFERROR(VLOOKUP($B10,'LOD 400 - COLO3'!B:AQ,42,FALSE),"N/A")</f>
        <v>N/A</v>
      </c>
      <c r="EI10" s="94" t="str">
        <f>IFERROR(VLOOKUP($B10,'LOD 400 - COLO3'!B:AT,45,FALSE),"N/A")</f>
        <v>N/A</v>
      </c>
      <c r="EJ10" s="94" t="str">
        <f>IFERROR(VLOOKUP($B10,'LOD 400 - COLO3'!B:AW,48,FALSE),"N/A")</f>
        <v>N/A</v>
      </c>
      <c r="EK10" s="94" t="str">
        <f>IFERROR(VLOOKUP($B10,'LOD 400 - COLO3'!B:AZ,51,FALSE),"N/A")</f>
        <v>N/A</v>
      </c>
      <c r="EL10" s="94" t="str">
        <f>IFERROR(VLOOKUP($B10,'LOD 400 - COLO3'!B:BC,54,FALSE),"N/A")</f>
        <v>N/A</v>
      </c>
      <c r="EM10" s="94" t="str">
        <f>IFERROR(VLOOKUP($B10,'LOD 400 - COLO3'!B:BF,57,FALSE),"N/A")</f>
        <v>N/A</v>
      </c>
      <c r="EN10" s="94" t="str">
        <f>IFERROR(VLOOKUP($B10,'LOD 400 - COLO3'!B:BI,60,FALSE),"N/A")</f>
        <v>N/A</v>
      </c>
      <c r="EO10" s="94" t="str">
        <f>IFERROR(VLOOKUP($B10,'LOD 400 - COLO3'!B:BL,63,FALSE),"N/A")</f>
        <v>N/A</v>
      </c>
      <c r="EP10" s="86" t="str">
        <f>IFERROR(__xludf.DUMMYFUNCTION("IFERROR(
  MAX(FILTER(DZ10:EO10, ISNUMBER(DZ10:EO10))),
  EO10
)"),"N/A")</f>
        <v>N/A</v>
      </c>
      <c r="EQ10" s="95" t="str">
        <f>IFERROR(VLOOKUP($B10,'LOD 400 - COLO4'!B:S,18,FALSE),"N/A")</f>
        <v>N/A</v>
      </c>
      <c r="ER10" s="96" t="str">
        <f>IFERROR(__xludf.DUMMYFUNCTION("IFERROR(
  MAX(FILTER(EQ10, ISNUMBER(EQ10))),
  EQ10
)"),"N/A")</f>
        <v>N/A</v>
      </c>
      <c r="ES10" s="79" t="str">
        <f>IFERROR(VLOOKUP($B10,'LOD 400 - SITE'!B:S,18,FALSE),"N/A")</f>
        <v>OUTDATED</v>
      </c>
      <c r="ET10" s="80" t="str">
        <f>IFERROR(VLOOKUP($B10,'LOD 400 - SITE'!B:V,21,FALSE),"N/A")</f>
        <v>OUTDATED</v>
      </c>
      <c r="EU10" s="97" t="str">
        <f>IFERROR(VLOOKUP($B10,'LOD 400 - SITE'!$B:Y,24,FALSE),"N/A")</f>
        <v>OUTDATED</v>
      </c>
      <c r="EV10" s="80" t="str">
        <f>IFERROR(VLOOKUP($B10,'LOD 400 - SITE'!$B:AB,27,FALSE),"N/A")</f>
        <v>OUTDATED</v>
      </c>
      <c r="EW10" s="81" t="str">
        <f>IFERROR(VLOOKUP($B10,'LOD 400 - SITE'!$B:AE,30,FALSE),"N/A")</f>
        <v>OUTDATED</v>
      </c>
      <c r="EX10" s="87">
        <f>IFERROR(VLOOKUP($B10,'LOD 400 - SITE'!$B:AH,33,FALSE),"N/A")</f>
        <v>0.86</v>
      </c>
      <c r="EY10" s="87" t="str">
        <f>IFERROR(VLOOKUP($B10,'LOD 400 - SITE'!$B:AK,36,FALSE),"N/A")</f>
        <v>OUTDATED</v>
      </c>
      <c r="EZ10" s="80" t="str">
        <f>IFERROR(VLOOKUP($B10,'LOD 400 - SITE'!$B:AN,39,FALSE),"N/A")</f>
        <v>NEXT ROUND </v>
      </c>
      <c r="FA10" s="82">
        <f>IFERROR(VLOOKUP($B10,'LOD 400 - SITE'!$B:AQ,42,FALSE),"N/A")</f>
        <v>0.9</v>
      </c>
      <c r="FB10" s="88">
        <f>IFERROR(VLOOKUP($B10,'LOD 400 - SITE'!$B:AT,45,FALSE),"N/A")</f>
        <v>0.9</v>
      </c>
      <c r="FC10" s="84">
        <f>IFERROR(VLOOKUP($B10,'LOD 400 - SITE'!$B:AW,48,FALSE),"N/A")</f>
        <v>0.9</v>
      </c>
      <c r="FD10" s="84" t="str">
        <f>IFERROR(VLOOKUP($B10,'LOD 400 - SITE'!$B:AZ,51,FALSE),"N/A")</f>
        <v>OUTDATED</v>
      </c>
      <c r="FE10" s="84" t="str">
        <f>IFERROR(VLOOKUP($B10,'LOD 400 - SITE'!$B:BC,54,FALSE),"N/A")</f>
        <v>OUTDATED</v>
      </c>
      <c r="FF10" s="84" t="str">
        <f>IFERROR(VLOOKUP($B10,'LOD 400 - SITE'!$B:BF,57,FALSE),"N/A")</f>
        <v>OUTDATED</v>
      </c>
      <c r="FG10" s="84" t="str">
        <f>IFERROR(VLOOKUP($B10,'LOD 400 - SITE'!$B:BI,60,FALSE),"N/A")</f>
        <v>OUTDATED</v>
      </c>
      <c r="FH10" s="84" t="str">
        <f>IFERROR(VLOOKUP($B10,'LOD 400 - SITE'!$B:BL,63,FALSE),"N/A")</f>
        <v>NEXT ROUND</v>
      </c>
      <c r="FI10" s="84" t="str">
        <f>IFERROR(VLOOKUP($B10,'LOD 400 - SITE'!$B:BO,66,FALSE),"N/A")</f>
        <v>NEXT ROUND</v>
      </c>
      <c r="FJ10" s="84" t="str">
        <f>IFERROR(VLOOKUP($B10,'LOD 400 - SITE'!$B:BR,69,FALSE),"N/A")</f>
        <v>NEXT ROUND </v>
      </c>
      <c r="FK10" s="84" t="str">
        <f>IFERROR(VLOOKUP($B10,'LOD 400 - SITE'!$B:BU,72,FALSE),"N/A")</f>
        <v>NEXT ROUND</v>
      </c>
      <c r="FL10" s="84" t="str">
        <f>IFERROR(VLOOKUP($B10,'LOD 400 - SITE'!$B:BX,75,FALSE),"N/A")</f>
        <v>NEXT ROUND</v>
      </c>
      <c r="FM10" s="84" t="str">
        <f>IFERROR(VLOOKUP($B10,'LOD 400 - SITE'!$B:CA,78,FALSE),"N/A")</f>
        <v>NEXT ROUND</v>
      </c>
      <c r="FN10" s="85" t="str">
        <f>IFERROR(VLOOKUP($B10,'LOD 400 - SITE'!$B:CD,81,FALSE),"N/A")</f>
        <v>NEXT ROUND</v>
      </c>
      <c r="FO10" s="84" t="str">
        <f>IFERROR(VLOOKUP($B10,'LOD 400 - SITE'!$B:CG,84,FALSE),"N/A")</f>
        <v>NEXT ROUND</v>
      </c>
      <c r="FP10" s="85" t="str">
        <f>IFERROR(VLOOKUP($B10,'LOD 400 - SITE'!$B:CJ,87,FALSE),"N/A")</f>
        <v>NEXT ROUND</v>
      </c>
      <c r="FQ10" s="84" t="str">
        <f>IFERROR(VLOOKUP($B10,'LOD 400 - SITE'!$B:CM,90,FALSE),"N/A")</f>
        <v>NEXT ROUND </v>
      </c>
      <c r="FR10" s="84" t="str">
        <f>IFERROR(VLOOKUP($B10,'LOD 400 - SITE'!$B:CP,93,FALSE),"N/A")</f>
        <v>NEXT ROUND</v>
      </c>
      <c r="FS10" s="84" t="str">
        <f>IFERROR(VLOOKUP($B10,'LOD 400 - SITE'!$B:CS,96,FALSE),"N/A")</f>
        <v>NEXT ROUND</v>
      </c>
      <c r="FT10" s="84" t="str">
        <f>IFERROR(VLOOKUP($B10,'LOD 400 - SITE'!$B:CV,99,FALSE),"N/A")</f>
        <v>NEXT ROUND</v>
      </c>
      <c r="FU10" s="84" t="str">
        <f>IFERROR(VLOOKUP($B10,'LOD 400 - SITE'!$B:CY,102,FALSE),"N/A")</f>
        <v>NEXT ROUND</v>
      </c>
      <c r="FV10" s="84" t="str">
        <f>IFERROR(VLOOKUP($B10,'LOD 400 - SITE'!$B:DB,105,FALSE),"N/A")</f>
        <v>NEXT ROUND</v>
      </c>
      <c r="FW10" s="84" t="str">
        <f>IFERROR(VLOOKUP($B10,'LOD 400 - SITE'!$B:DE,108,FALSE),"N/A")</f>
        <v>NEXT ROUND</v>
      </c>
      <c r="FX10" s="84" t="str">
        <f>IFERROR(VLOOKUP($B10,'LOD 400 - SITE'!$B:DH,111,FALSE),"N/A")</f>
        <v>NEXT ROUND</v>
      </c>
      <c r="FY10" s="84">
        <f>IFERROR(VLOOKUP($B10,'LOD 400 - SITE'!$B:DK,114,FALSE),"N/A")</f>
        <v>1</v>
      </c>
      <c r="FZ10" s="96">
        <f>IFERROR(__xludf.DUMMYFUNCTION("IFERROR(
  MAX(FILTER(ES10:FY10, ISNUMBER(ES10:FY10))),
  FY10
)"),1.0)</f>
        <v>1</v>
      </c>
      <c r="GA10" s="80" t="str">
        <f>IFERROR(VLOOKUP($B10,'LOD 400 - UTLS'!B:S,18,FALSE),"N/A")</f>
        <v>OUTDATED</v>
      </c>
      <c r="GB10" s="98">
        <f>IFERROR(VLOOKUP($B10,'LOD 400 - UTLS'!B:V,21,FALSE),"N/A")</f>
        <v>0.86</v>
      </c>
      <c r="GC10" s="81" t="str">
        <f>IFERROR(VLOOKUP($B10,'LOD 400 - UTLS'!B:Y,24,FALSE),"N/A")</f>
        <v>IMPROPER</v>
      </c>
      <c r="GD10" s="87" t="str">
        <f>IFERROR(VLOOKUP($B10,'LOD 400 - UTLS'!$B:AB,27,FALSE),"N/A")</f>
        <v>OUTDATED</v>
      </c>
      <c r="GE10" s="80" t="str">
        <f>IFERROR(VLOOKUP($B10,'LOD 400 - UTLS'!$B:AE,30,FALSE),"N/A")</f>
        <v>NEXT ROUND</v>
      </c>
      <c r="GF10" s="82">
        <f>IFERROR(VLOOKUP($B10,'LOD 400 - UTLS'!$B:AH,33,FALSE),"N/A")</f>
        <v>0.9</v>
      </c>
      <c r="GG10" s="88" t="str">
        <f>IFERROR(VLOOKUP($B10,'LOD 400 - UTLS'!$B:AK,36,FALSE),"N/A")</f>
        <v>OUTDATED</v>
      </c>
      <c r="GH10" s="84" t="str">
        <f>IFERROR(VLOOKUP($B10,'LOD 400 - UTLS'!$B:AN,39,FALSE),"N/A")</f>
        <v>OUTDATED</v>
      </c>
      <c r="GI10" s="84" t="str">
        <f>IFERROR(VLOOKUP($B10,'LOD 400 - UTLS'!$B:AQ,42,FALSE),"N/A")</f>
        <v>OUTDATED</v>
      </c>
      <c r="GJ10" s="84" t="str">
        <f>IFERROR(VLOOKUP($B10,'LOD 400 - UTLS'!$B:AT,45,FALSE),"N/A")</f>
        <v>OUTDATED</v>
      </c>
      <c r="GK10" s="84" t="str">
        <f>IFERROR(VLOOKUP($B10,'LOD 400 - UTLS'!$B:AW,48,FALSE),"N/A")</f>
        <v>OUTDATED</v>
      </c>
      <c r="GL10" s="84" t="str">
        <f>IFERROR(VLOOKUP($B10,'LOD 400 - UTLS'!$B:AZ,51,FALSE),"N/A")</f>
        <v>OUTDATED</v>
      </c>
      <c r="GM10" s="84" t="str">
        <f>IFERROR(VLOOKUP($B10,'LOD 400 - UTLS'!$B:BC,54,FALSE),"N/A")</f>
        <v>NEXT ROUND</v>
      </c>
      <c r="GN10" s="84" t="str">
        <f>IFERROR(VLOOKUP($B10,'LOD 400 - UTLS'!$B:BF,57,FALSE),"N/A")</f>
        <v>NEXT ROUND </v>
      </c>
      <c r="GO10" s="84" t="str">
        <f>IFERROR(VLOOKUP($B10,'LOD 400 - UTLS'!$B:BI,60,FALSE),"N/A")</f>
        <v>NEXT ROUND </v>
      </c>
      <c r="GP10" s="84" t="str">
        <f>IFERROR(VLOOKUP($B10,'LOD 400 - UTLS'!$B:BL,63,FALSE),"N/A")</f>
        <v>NEXT ROUND</v>
      </c>
      <c r="GQ10" s="84" t="str">
        <f>IFERROR(VLOOKUP($B10,'LOD 400 - UTLS'!$B:BO,66,FALSE),"N/A")</f>
        <v>NEXT ROUND</v>
      </c>
      <c r="GR10" s="84" t="str">
        <f>IFERROR(VLOOKUP($B10,'LOD 400 - UTLS'!$B:BR,69,FALSE),"N/A")</f>
        <v>NEXT ROUND</v>
      </c>
      <c r="GS10" s="85" t="str">
        <f>IFERROR(VLOOKUP($B10,'LOD 400 - UTLS'!$B:BU,72,FALSE),"N/A")</f>
        <v>NEXT ROUND</v>
      </c>
      <c r="GT10" s="84" t="str">
        <f>IFERROR(VLOOKUP($B10,'LOD 400 - UTLS'!$B:BX,75,FALSE),"N/A")</f>
        <v>NEXT ROUND</v>
      </c>
      <c r="GU10" s="85" t="str">
        <f>IFERROR(VLOOKUP($B10,'LOD 400 - UTLS'!$B:CA,78,FALSE),"N/A")</f>
        <v>NEXT ROUND</v>
      </c>
      <c r="GV10" s="84" t="str">
        <f>IFERROR(VLOOKUP($B10,'LOD 400 - UTLS'!$B:CD,81,FALSE),"N/A")</f>
        <v>NEXT ROUND</v>
      </c>
      <c r="GW10" s="84" t="str">
        <f>IFERROR(VLOOKUP($B10,'LOD 400 - UTLS'!$B:CG,84,FALSE),"N/A")</f>
        <v>NEXT ROUND</v>
      </c>
      <c r="GX10" s="84" t="str">
        <f>IFERROR(VLOOKUP($B10,'LOD 400 - UTLS'!$B:CJ,87,FALSE),"N/A")</f>
        <v>NEXT ROUND</v>
      </c>
      <c r="GY10" s="84" t="str">
        <f>IFERROR(VLOOKUP($B10,'LOD 400 - UTLS'!$B:CM,90,FALSE),"N/A")</f>
        <v>NEXT ROUND</v>
      </c>
      <c r="GZ10" s="84" t="str">
        <f>IFERROR(VLOOKUP($B10,'LOD 400 - UTLS'!$B:CP,93,FALSE),"N/A")</f>
        <v>NEXT ROUND</v>
      </c>
      <c r="HA10" s="84" t="str">
        <f>IFERROR(VLOOKUP($B10,'LOD 400 - UTLS'!$B:CS,96,FALSE),"N/A")</f>
        <v>NEXT ROUND</v>
      </c>
      <c r="HB10" s="84" t="str">
        <f>IFERROR(VLOOKUP($B10,'LOD 400 - UTLS'!$B:CV,99,FALSE),"N/A")</f>
        <v>NEXT ROUND</v>
      </c>
      <c r="HC10" s="84" t="str">
        <f>IFERROR(VLOOKUP($B10,'LOD 400 - UTLS'!$B:CY,102,FALSE),"N/A")</f>
        <v>NEXT ROUND</v>
      </c>
      <c r="HD10" s="84">
        <f>IFERROR(VLOOKUP($B10,'LOD 400 - UTLS'!$B:DB,105,FALSE),"N/A")</f>
        <v>1</v>
      </c>
      <c r="HE10" s="96">
        <f>IFERROR(__xludf.DUMMYFUNCTION("IFERROR(
  MAX(FILTER(GA10:HD10, ISNUMBER(GA10:HD10))),
  HD10
)"),1.0)</f>
        <v>1</v>
      </c>
      <c r="HF10" s="99"/>
      <c r="HG10" s="99"/>
      <c r="HH10" s="99"/>
      <c r="HI10" s="99"/>
      <c r="HJ10" s="99"/>
      <c r="HK10" s="99"/>
    </row>
    <row r="11" ht="15.0" customHeight="1" outlineLevel="1">
      <c r="A11" s="53">
        <v>13.0</v>
      </c>
      <c r="B11" s="100" t="s">
        <v>95</v>
      </c>
      <c r="C11" s="100" t="s">
        <v>96</v>
      </c>
      <c r="D11" s="64" t="str">
        <f t="shared" si="1"/>
        <v>DATA</v>
      </c>
      <c r="E11" s="101" t="s">
        <v>97</v>
      </c>
      <c r="F11" s="102">
        <v>1105.0</v>
      </c>
      <c r="G11" s="114" t="s">
        <v>92</v>
      </c>
      <c r="H11" s="104">
        <v>1105.0</v>
      </c>
      <c r="I11" s="68" t="str">
        <f>IFERROR(VLOOKUP($C8:C108,'R22 RELATÓRIO ACC'!B:F,5,FALSE),"NOT PUBLISHED")</f>
        <v>V9</v>
      </c>
      <c r="J11" s="69" t="str">
        <f>IFERROR(VLOOKUP($C8:C108,'R22 RELATÓRIO ACC'!B:P,15,FALSE),"NOT PUBLISHED")</f>
        <v>27/03/2026</v>
      </c>
      <c r="K11" s="70" t="str">
        <f>IFERROR(VLOOKUP($B8:B108,'RELATÓRIO ACC'!B:F,5,FALSE),"NOT PUBLISHED")</f>
        <v>V2</v>
      </c>
      <c r="L11" s="71" t="str">
        <f>IFERROR(VLOOKUP($B8:B108,'RELATÓRIO ACC'!B:P,15,FALSE),"NOT PUBLISHED")</f>
        <v>26/06/2026</v>
      </c>
      <c r="M11" s="72" t="str">
        <f>IF(OR($D11="UTLS",$D11="GUAR",$D11="STIR",$D11="PUMP",$D11="SITE"),
   VLOOKUP($B11,'LOD 400 - SITE'!B:M,12,FALSE),
   VLOOKUP($B11,'LOD 400 - ADMN'!B:M,12,FALSE)
)</f>
        <v>V9</v>
      </c>
      <c r="N11" s="105" t="str">
        <f>IF(OR($D11="UTLS",$D11="GUAR",$D11="STIR",$D11="PUMP",$D11="SITE"),
   VLOOKUP($B11,'LOD 400 - SITE'!B:N,13,FALSE),
   VLOOKUP($B11,'LOD 400 - ADMN'!B:N,13,FALSE)
)</f>
        <v>27/03/2026</v>
      </c>
      <c r="O11" s="106" t="str">
        <f>IF(OR($D11="UTLS",$D11="GUAR",$D11="STIR",$D11="PUMP",$D11="SITE"),
   VLOOKUP($B11,'LOD 400 - SITE'!B:O,14,FALSE),
   VLOOKUP($B11,'LOD 400 - ADMN'!B:O,14,FALSE)
)</f>
        <v>R22</v>
      </c>
      <c r="P11" s="107" t="str">
        <f>IF(OR($D11="C345",$D11="C12A",$D11="DATA"),
   VLOOKUP($B11,'LOD 400 - COLO3'!B:M,12,FALSE),"N/A")</f>
        <v>V9</v>
      </c>
      <c r="Q11" s="108">
        <f>IF(OR($D11="C345",$D11="C12A",$D11="DATA"),
   VLOOKUP($B11,'LOD 400 - COLO3'!B:N,13,FALSE),"N/A")</f>
        <v>46108</v>
      </c>
      <c r="R11" s="75" t="str">
        <f>IF(OR($D11="C345",$D11="C12A",$D11="DATA"),
   VLOOKUP($B11,'LOD 400 - COLO3'!B:O,14,FALSE),"N/A")</f>
        <v>R22</v>
      </c>
      <c r="S11" s="76" t="str">
        <f>IF(OR($D11="C345",$D11="C12A",$D11="DATA"),
   VLOOKUP($B11,'LOD 400 - COLO4'!B:N,12,FALSE),"N/A")</f>
        <v>N/A</v>
      </c>
      <c r="T11" s="76" t="str">
        <f>IF(OR($D11="C345",$D11="C12A",$D11="DATA"),
   VLOOKUP($B11,'LOD 400 - COLO4'!B:N,13,FALSE),"N/A")</f>
        <v>N/A</v>
      </c>
      <c r="U11" s="76" t="str">
        <f>IF(OR($D11="C345",$D11="C12A",$D11="DATA"),
   VLOOKUP($B11,'LOD 400 - COLO4'!B:N,13,FALSE),"N/A")</f>
        <v>N/A</v>
      </c>
      <c r="V11" s="77" t="str">
        <f>IF(OR($D11="UTLS",$D11="GUAR",$D11="STIR",$D11="PUMP",$D11="SITE"),
   VLOOKUP($B11,'LOD 400 - UTLS'!B:M,12,FALSE),"N/A")</f>
        <v>N/A</v>
      </c>
      <c r="W11" s="78" t="str">
        <f>IF(OR($D11="UTLS",$D11="GUAR",$D11="STIR",$D11="PUMP",$D11="SITE"),
   VLOOKUP($B11,'LOD 400 - UTLS'!B:N,13,FALSE),"N/A")</f>
        <v>N/A</v>
      </c>
      <c r="X11" s="108" t="str">
        <f>IF(OR($D11="UTLS",$D11="GUAR",$D11="STIR",$D11="PUMP",$D11="SITE"),
   VLOOKUP($B11,'LOD 400 - UTLS'!B:O,14,FALSE),"N/A")</f>
        <v>N/A</v>
      </c>
      <c r="Y11" s="79" t="str">
        <f>IFERROR(VLOOKUP($B11,'LOD 400 - ADMN'!B:S,18,FALSE),"N/A")</f>
        <v>OUTDATED</v>
      </c>
      <c r="Z11" s="79" t="str">
        <f>IFERROR(VLOOKUP($B11,'LOD 400 - ADMN'!B:V,21,FALSE),"N/A")</f>
        <v>OUTDATED</v>
      </c>
      <c r="AA11" s="79" t="str">
        <f>IFERROR(VLOOKUP($B11,'LOD 400 - ADMN'!$B:Y,24,FALSE),"N/A")</f>
        <v>OUTDATED</v>
      </c>
      <c r="AB11" s="80" t="str">
        <f>IFERROR(VLOOKUP($B11,'LOD 400 - ADMN'!$B:AB,27,FALSE),"N/A")</f>
        <v>OUTDATED</v>
      </c>
      <c r="AC11" s="81" t="str">
        <f>IFERROR(VLOOKUP($B11,'LOD 400 - ADMN'!$B:AE,30,FALSE),"N/A")</f>
        <v>OUTDATED</v>
      </c>
      <c r="AD11" s="81">
        <f>IFERROR(VLOOKUP($B11,'LOD 400 - ADMN'!$B:AH,33,FALSE),"N/A")</f>
        <v>0.95</v>
      </c>
      <c r="AE11" s="80" t="str">
        <f>IFERROR(VLOOKUP($B11,'LOD 400 - ADMN'!$B:AK,36,FALSE),"N/A")</f>
        <v>OUTDATED</v>
      </c>
      <c r="AF11" s="82" t="str">
        <f>IFERROR(VLOOKUP($B11,'LOD 400 - ADMN'!$B:AN,39,FALSE),"N/A")</f>
        <v>NEXT ROUND</v>
      </c>
      <c r="AG11" s="83">
        <f>IFERROR(VLOOKUP($B11,'LOD 400 - ADMN'!$B:AQ,42,FALSE),"N/A")</f>
        <v>0.95</v>
      </c>
      <c r="AH11" s="84" t="str">
        <f>IFERROR(VLOOKUP($B11,'LOD 400 - ADMN'!$B:AT,45,FALSE),"N/A")</f>
        <v>OUTDATED</v>
      </c>
      <c r="AI11" s="85" t="str">
        <f>IFERROR(VLOOKUP($B11,'LOD 400 - ADMN'!$B:AW,48,FALSE),"N/A")</f>
        <v>OUTDATED</v>
      </c>
      <c r="AJ11" s="85" t="str">
        <f>IFERROR(VLOOKUP($B11,'LOD 400 - ADMN'!$B:AZ,51,FALSE),"N/A")</f>
        <v>OUTDATED</v>
      </c>
      <c r="AK11" s="84" t="str">
        <f>IFERROR(VLOOKUP($B11,'LOD 400 - ADMN'!$B:BC,54,FALSE),"N/A")</f>
        <v>NEXT ROUND</v>
      </c>
      <c r="AL11" s="84" t="str">
        <f>IFERROR(VLOOKUP($B11,'LOD 400 - ADMN'!$B:BF,57,FALSE),"N/A")</f>
        <v>IMPROPER</v>
      </c>
      <c r="AM11" s="84" t="str">
        <f>IFERROR(VLOOKUP($B11,'LOD 400 - ADMN'!$B:BI,60,FALSE),"N/A")</f>
        <v>OUTDATED</v>
      </c>
      <c r="AN11" s="84" t="str">
        <f>IFERROR(VLOOKUP($B11,'LOD 400 - ADMN'!$B:BL,63,FALSE),"N/A")</f>
        <v>OUTDATED</v>
      </c>
      <c r="AO11" s="84" t="str">
        <f>IFERROR(VLOOKUP($B11,'LOD 400 - ADMN'!$B:BO,66,FALSE),"N/A")</f>
        <v>OUTDATED</v>
      </c>
      <c r="AP11" s="84" t="str">
        <f>IFERROR(VLOOKUP($B11,'LOD 400 - ADMN'!$B:BR,69,FALSE),"N/A")</f>
        <v>OUTDATED</v>
      </c>
      <c r="AQ11" s="84" t="str">
        <f>IFERROR(VLOOKUP($B11,'LOD 400 - ADMN'!$B:BU,72,FALSE),"N/A")</f>
        <v>NEXT ROUND</v>
      </c>
      <c r="AR11" s="84">
        <f>IFERROR(VLOOKUP($B11,'LOD 400 - ADMN'!$B:BX,75,FALSE),"N/A")</f>
        <v>1</v>
      </c>
      <c r="AS11" s="84">
        <f>IFERROR(VLOOKUP($B11,'LOD 400 - ADMN'!$B:CA,78,FALSE),"N/A")</f>
        <v>1</v>
      </c>
      <c r="AT11" s="84">
        <f>IFERROR(VLOOKUP($B11,'LOD 400 - ADMN'!$B:CD,81,FALSE),"N/A")</f>
        <v>1</v>
      </c>
      <c r="AU11" s="85">
        <f>IFERROR(VLOOKUP($B11,'LOD 400 - ADMN'!$B:CG,84,FALSE),"N/A")</f>
        <v>1</v>
      </c>
      <c r="AV11" s="84">
        <f>IFERROR(VLOOKUP($B11,'LOD 400 - ADMN'!$B:CJ,87,FALSE),"N/A")</f>
        <v>1</v>
      </c>
      <c r="AW11" s="85">
        <f>IFERROR(VLOOKUP($B11,'LOD 400 - ADMN'!$B:CM,90,FALSE),"N/A")</f>
        <v>1</v>
      </c>
      <c r="AX11" s="84">
        <f>IFERROR(VLOOKUP($B11,'LOD 400 - ADMN'!$B:CP,93,FALSE),"N/A")</f>
        <v>1</v>
      </c>
      <c r="AY11" s="84">
        <f>IFERROR(VLOOKUP($B11,'LOD 400 - ADMN'!$B:CS,96,FALSE),"N/A")</f>
        <v>1</v>
      </c>
      <c r="AZ11" s="84">
        <f>IFERROR(VLOOKUP($B11,'LOD 400 - ADMN'!$B:CV,99,FALSE),"N/A")</f>
        <v>1</v>
      </c>
      <c r="BA11" s="84">
        <f>IFERROR(VLOOKUP($B11,'LOD 400 - ADMN'!$B:CY,102,FALSE),"N/A")</f>
        <v>1</v>
      </c>
      <c r="BB11" s="84">
        <f>IFERROR(VLOOKUP($B11,'LOD 400 - ADMN'!$B:DB,105,FALSE),"N/A")</f>
        <v>1</v>
      </c>
      <c r="BC11" s="84">
        <f>IFERROR(VLOOKUP($B11,'LOD 400 - ADMN'!$B:DE,108,FALSE),"N/A")</f>
        <v>1</v>
      </c>
      <c r="BD11" s="84">
        <f>IFERROR(VLOOKUP($B11,'LOD 400 - ADMN'!$B:DH,111,FALSE),"N/A")</f>
        <v>1</v>
      </c>
      <c r="BE11" s="84">
        <f>IFERROR(VLOOKUP($B11,'LOD 400 - ADMN'!$B:DK,114,FALSE),"N/A")</f>
        <v>1</v>
      </c>
      <c r="BF11" s="84">
        <f>IFERROR(VLOOKUP($B11,'LOD 400 - ADMN'!$B:DN,117,FALSE),"N/A")</f>
        <v>1</v>
      </c>
      <c r="BG11" s="86">
        <f>IFERROR(__xludf.DUMMYFUNCTION("IFERROR(
  MAX(FILTER(Y11:BF11, ISNUMBER(Y11:BF11))),
  BF11
)"),1.0)</f>
        <v>1</v>
      </c>
      <c r="BH11" s="79" t="str">
        <f>IFERROR(VLOOKUP($B11,'LOD 400 - COLO1'!B:S,18,FALSE),"N/A")</f>
        <v>OUTDATED</v>
      </c>
      <c r="BI11" s="79" t="str">
        <f>IFERROR(VLOOKUP($B11,'LOD 400 - COLO1'!B:V,21,FALSE),"N/A")</f>
        <v>OUTDATED</v>
      </c>
      <c r="BJ11" s="79" t="str">
        <f>IFERROR(VLOOKUP($B11,'LOD 400 - COLO1'!$B:Y,24,FALSE),"N/A")</f>
        <v>OUTDATED</v>
      </c>
      <c r="BK11" s="87" t="str">
        <f>IFERROR(VLOOKUP($B11,'LOD 400 - COLO1'!$B:AB,27,FALSE),"N/A")</f>
        <v>OUTDATED</v>
      </c>
      <c r="BL11" s="80" t="str">
        <f>IFERROR(VLOOKUP($B11,'LOD 400 - COLO1'!$B:AE,30,FALSE),"N/A")</f>
        <v>OUTDATED</v>
      </c>
      <c r="BM11" s="81">
        <f>IFERROR(VLOOKUP($B11,'LOD 400 - COLO1'!$B:AH,33,FALSE),"N/A")</f>
        <v>0.95</v>
      </c>
      <c r="BN11" s="87" t="str">
        <f>IFERROR(VLOOKUP($B11,'LOD 400 - COLO1'!$B:AK,36,FALSE),"N/A")</f>
        <v>OUTDATED</v>
      </c>
      <c r="BO11" s="83" t="str">
        <f>IFERROR(VLOOKUP($B11,'LOD 400 - COLO1'!$B:AN,39,FALSE),"N/A")</f>
        <v>NEXT ROUND</v>
      </c>
      <c r="BP11" s="88">
        <f>IFERROR(VLOOKUP($B11,'LOD 400 - COLO1'!$B:AQ,42,FALSE),"N/A")</f>
        <v>0.95</v>
      </c>
      <c r="BQ11" s="84" t="str">
        <f>IFERROR(VLOOKUP($B11,'LOD 400 - COLO1'!$B:AT,45,FALSE),"N/A")</f>
        <v>OUTDATED</v>
      </c>
      <c r="BR11" s="85" t="str">
        <f>IFERROR(VLOOKUP($B11,'LOD 400 - COLO1'!$B:AW,48,FALSE),"N/A")</f>
        <v>OUTDATED</v>
      </c>
      <c r="BS11" s="84" t="str">
        <f>IFERROR(VLOOKUP($B11,'LOD 400 - COLO1'!$B:AZ,51,FALSE),"N/A")</f>
        <v>OUTDATED</v>
      </c>
      <c r="BT11" s="84" t="str">
        <f>IFERROR(VLOOKUP($B11,'LOD 400 - COLO1'!$B:BC,54,FALSE),"N/A")</f>
        <v>NEXT ROUND</v>
      </c>
      <c r="BU11" s="84" t="str">
        <f>IFERROR(VLOOKUP($B11,'LOD 400 - COLO1'!$B:BF,57,FALSE),"N/A")</f>
        <v>IMPROPER</v>
      </c>
      <c r="BV11" s="84" t="str">
        <f>IFERROR(VLOOKUP($B11,'LOD 400 - COLO1'!$B:BI,60,FALSE),"N/A")</f>
        <v>OUTDATED</v>
      </c>
      <c r="BW11" s="84" t="str">
        <f>IFERROR(VLOOKUP($B11,'LOD 400 - COLO1'!$B:BL,63,FALSE),"N/A")</f>
        <v>OUTDATED</v>
      </c>
      <c r="BX11" s="84" t="str">
        <f>IFERROR(VLOOKUP($B11,'LOD 400 - COLO1'!$B:BO,66,FALSE),"N/A")</f>
        <v>OUTDATED</v>
      </c>
      <c r="BY11" s="84" t="str">
        <f>IFERROR(VLOOKUP($B11,'LOD 400 - COLO1'!$B:BR,69,FALSE),"N/A")</f>
        <v>OUTDATED</v>
      </c>
      <c r="BZ11" s="84" t="str">
        <f>IFERROR(VLOOKUP($B11,'LOD 400 - COLO1'!$B:BU,72,FALSE),"N/A")</f>
        <v>NEXT ROUND</v>
      </c>
      <c r="CA11" s="84">
        <f>IFERROR(VLOOKUP($B11,'LOD 400 - COLO1'!$B:BX,75,FALSE),"N/A")</f>
        <v>1</v>
      </c>
      <c r="CB11" s="84">
        <f>IFERROR(VLOOKUP($B11,'LOD 400 - COLO1'!$B:CA,78,FALSE),"N/A")</f>
        <v>1</v>
      </c>
      <c r="CC11" s="84">
        <f>IFERROR(VLOOKUP($B11,'LOD 400 - COLO1'!$B:CD,81,FALSE),"N/A")</f>
        <v>1</v>
      </c>
      <c r="CD11" s="85">
        <f>IFERROR(VLOOKUP($B11,'LOD 400 - COLO1'!$B:CG,84,FALSE),"N/A")</f>
        <v>1</v>
      </c>
      <c r="CE11" s="84">
        <f>IFERROR(VLOOKUP($B11,'LOD 400 - COLO1'!$B:CJ,87,FALSE),"N/A")</f>
        <v>1</v>
      </c>
      <c r="CF11" s="85">
        <f>IFERROR(VLOOKUP($B11,'LOD 400 - COLO1'!$B:CM,90,FALSE),"N/A")</f>
        <v>1</v>
      </c>
      <c r="CG11" s="84">
        <f>IFERROR(VLOOKUP($B11,'LOD 400 - COLO1'!$B:CP,93,FALSE),"N/A")</f>
        <v>1</v>
      </c>
      <c r="CH11" s="84">
        <f>IFERROR(VLOOKUP($B11,'LOD 400 - COLO1'!$B:CS,96,FALSE),"N/A")</f>
        <v>1</v>
      </c>
      <c r="CI11" s="84">
        <f>IFERROR(VLOOKUP($B11,'LOD 400 - COLO1'!$B:CV,99,FALSE),"N/A")</f>
        <v>1</v>
      </c>
      <c r="CJ11" s="84">
        <f>IFERROR(VLOOKUP($B11,'LOD 400 - COLO1'!$B:CY,102,FALSE),"N/A")</f>
        <v>1</v>
      </c>
      <c r="CK11" s="84">
        <f>IFERROR(VLOOKUP($B11,'LOD 400 - COLO1'!$B:DB,105,FALSE),"N/A")</f>
        <v>1</v>
      </c>
      <c r="CL11" s="84">
        <f>IFERROR(VLOOKUP($B11,'LOD 400 - COLO1'!$B:DE,108,FALSE),"N/A")</f>
        <v>1</v>
      </c>
      <c r="CM11" s="84">
        <f>IFERROR(VLOOKUP($B11,'LOD 400 - COLO1'!$B:DH,111,FALSE),"N/A")</f>
        <v>1</v>
      </c>
      <c r="CN11" s="84">
        <f>IFERROR(VLOOKUP($B11,'LOD 400 - COLO1'!$B:DK,114,FALSE),"N/A")</f>
        <v>1</v>
      </c>
      <c r="CO11" s="84">
        <f>IFERROR(VLOOKUP($B11,'LOD 400 - COLO1'!$B:DN,117,FALSE),"N/A")</f>
        <v>1</v>
      </c>
      <c r="CP11" s="86">
        <f>IFERROR(__xludf.DUMMYFUNCTION("IFERROR(
  MAX(FILTER(BH11:CO11, ISNUMBER(BH11:CO11))),
  CO11
)"),1.0)</f>
        <v>1</v>
      </c>
      <c r="CQ11" s="89" t="str">
        <f>IFERROR(VLOOKUP($B11,'LOD 400 - COLO2'!B:S,18,FALSE),"N/A")</f>
        <v>OUTDATED</v>
      </c>
      <c r="CR11" s="79" t="str">
        <f>IFERROR(VLOOKUP($B11,'LOD 400 - COLO2'!B:V,21,FALSE),"N/A")</f>
        <v>OUTDATED</v>
      </c>
      <c r="CS11" s="79" t="str">
        <f>IFERROR(VLOOKUP($B11,'LOD 400 - COLO2'!$B:Y,24,FALSE),"N/A")</f>
        <v>OUTDATED</v>
      </c>
      <c r="CT11" s="80" t="str">
        <f>IFERROR(VLOOKUP($B11,'LOD 400 - COLO2'!$B:DQ,27,FALSE),"N/A")</f>
        <v>OUTDATED</v>
      </c>
      <c r="CU11" s="90" t="str">
        <f>IFERROR(VLOOKUP($B11,'LOD 400 - COLO2'!$B:AE,30,FALSE),"N/A")</f>
        <v>OUTDATED</v>
      </c>
      <c r="CV11" s="81">
        <f>IFERROR(VLOOKUP($B11,'LOD 400 - COLO2'!$B:AH,33,FALSE),"N/A")</f>
        <v>0.95</v>
      </c>
      <c r="CW11" s="90" t="str">
        <f>IFERROR(VLOOKUP($B11,'LOD 400 - COLO2'!$B:AK,36,FALSE),"N/A")</f>
        <v>OUTDATED</v>
      </c>
      <c r="CX11" s="85" t="str">
        <f>IFERROR(VLOOKUP($B11,'LOD 400 - COLO2'!$B:AN,39,FALSE),"N/A")</f>
        <v>NEXT ROUND</v>
      </c>
      <c r="CY11" s="88">
        <f>IFERROR(VLOOKUP($B11,'LOD 400 - COLO2'!$B:AQ,42,FALSE),"N/A")</f>
        <v>0.95</v>
      </c>
      <c r="CZ11" s="84" t="str">
        <f>IFERROR(VLOOKUP($B11,'LOD 400 - COLO2'!$B:AT,45,FALSE),"N/A")</f>
        <v>OUTDATED</v>
      </c>
      <c r="DA11" s="85" t="str">
        <f>IFERROR(VLOOKUP($B11,'LOD 400 - COLO2'!$B:AW,48,FALSE),"N/A")</f>
        <v>OUTDATED</v>
      </c>
      <c r="DB11" s="84" t="str">
        <f>IFERROR(VLOOKUP($B11,'LOD 400 - COLO2'!$B:AZ,51,FALSE),"N/A")</f>
        <v>OUTDATED</v>
      </c>
      <c r="DC11" s="84" t="str">
        <f>IFERROR(VLOOKUP($B11,'LOD 400 - COLO2'!$B:BC,54,FALSE),"N/A")</f>
        <v>NEXT ROUND</v>
      </c>
      <c r="DD11" s="84" t="str">
        <f>IFERROR(VLOOKUP($B11,'LOD 400 - COLO2'!$B:BF,57,FALSE),"N/A")</f>
        <v>IMPROPER</v>
      </c>
      <c r="DE11" s="84" t="str">
        <f>IFERROR(VLOOKUP($B11,'LOD 400 - COLO2'!$B:BI,60,FALSE),"N/A")</f>
        <v>OUTDATED</v>
      </c>
      <c r="DF11" s="84" t="str">
        <f>IFERROR(VLOOKUP($B11,'LOD 400 - COLO2'!$B:BL,63,FALSE),"N/A")</f>
        <v>OUTDATED</v>
      </c>
      <c r="DG11" s="84" t="str">
        <f>IFERROR(VLOOKUP($B11,'LOD 400 - COLO2'!$B:BO,66,FALSE),"N/A")</f>
        <v>OUTDATED</v>
      </c>
      <c r="DH11" s="84" t="str">
        <f>IFERROR(VLOOKUP($B11,'LOD 400 - COLO2'!$B:BR,69,FALSE),"N/A")</f>
        <v>OUTDATED</v>
      </c>
      <c r="DI11" s="84" t="str">
        <f>IFERROR(VLOOKUP($B11,'LOD 400 - COLO2'!$B:BU,72,FALSE),"N/A")</f>
        <v>NEXT ROUND</v>
      </c>
      <c r="DJ11" s="84">
        <f>IFERROR(VLOOKUP($B11,'LOD 400 - COLO2'!$B:BX,75,FALSE),"N/A")</f>
        <v>1</v>
      </c>
      <c r="DK11" s="84">
        <f>IFERROR(VLOOKUP($B11,'LOD 400 - COLO2'!$B:CA,78,FALSE),"N/A")</f>
        <v>1</v>
      </c>
      <c r="DL11" s="84">
        <f>IFERROR(VLOOKUP($B11,'LOD 400 - COLO2'!$B:CD,81,FALSE),"N/A")</f>
        <v>1</v>
      </c>
      <c r="DM11" s="85">
        <f>IFERROR(VLOOKUP($B11,'LOD 400 - COLO2'!$B:CG,84,FALSE),"N/A")</f>
        <v>1</v>
      </c>
      <c r="DN11" s="84">
        <f>IFERROR(VLOOKUP($B11,'LOD 400 - COLO2'!$B:CJ,87,FALSE),"N/A")</f>
        <v>1</v>
      </c>
      <c r="DO11" s="85">
        <f>IFERROR(VLOOKUP($B11,'LOD 400 - COLO2'!$B:CM,90,FALSE),"N/A")</f>
        <v>1</v>
      </c>
      <c r="DP11" s="84">
        <f>IFERROR(VLOOKUP($B11,'LOD 400 - COLO2'!$B:CP,93,FALSE),"N/A")</f>
        <v>1</v>
      </c>
      <c r="DQ11" s="84">
        <f>IFERROR(VLOOKUP($B11,'LOD 400 - COLO2'!$B:CS,96,FALSE),"N/A")</f>
        <v>1</v>
      </c>
      <c r="DR11" s="84">
        <f>IFERROR(VLOOKUP($B11,'LOD 400 - COLO2'!$B:CV,99,FALSE),"N/A")</f>
        <v>1</v>
      </c>
      <c r="DS11" s="84">
        <f>IFERROR(VLOOKUP($B11,'LOD 400 - COLO2'!$B:CY,102,FALSE),"N/A")</f>
        <v>1</v>
      </c>
      <c r="DT11" s="84">
        <f>IFERROR(VLOOKUP($B11,'LOD 400 - COLO2'!$B:DB,105,FALSE),"N/A")</f>
        <v>1</v>
      </c>
      <c r="DU11" s="84">
        <f>IFERROR(VLOOKUP($B11,'LOD 400 - COLO2'!$B:DE,108,FALSE),"N/A")</f>
        <v>1</v>
      </c>
      <c r="DV11" s="84">
        <f>IFERROR(VLOOKUP($B11,'LOD 400 - COLO2'!$B:DH,111,FALSE),"N/A")</f>
        <v>1</v>
      </c>
      <c r="DW11" s="84">
        <f>IFERROR(VLOOKUP($B11,'LOD 400 - COLO2'!$B:DK,114,FALSE),"N/A")</f>
        <v>1</v>
      </c>
      <c r="DX11" s="84">
        <f>IFERROR(VLOOKUP($B11,'LOD 400 - COLO2'!$B:DN,117,FALSE),"N/A")</f>
        <v>1</v>
      </c>
      <c r="DY11" s="91">
        <f>IFERROR(__xludf.DUMMYFUNCTION("IFERROR(
  MAX(FILTER(CQ11:DW11, ISNUMBER(CQ11:DW11))),
  DW11
)"),1.0)</f>
        <v>1</v>
      </c>
      <c r="DZ11" s="92">
        <f>IFERROR(VLOOKUP($B11,'LOD 400 - COLO3'!B:S,18,FALSE),"N/A")</f>
        <v>0</v>
      </c>
      <c r="EA11" s="84">
        <f>IFERROR(VLOOKUP($B11,'LOD 400 - COLO3'!B:V,21,FALSE),"N/A")</f>
        <v>1</v>
      </c>
      <c r="EB11" s="84">
        <f>IFERROR(VLOOKUP($B11,'LOD 400 - COLO3'!B:Y,24,FALSE),"N/A")</f>
        <v>1</v>
      </c>
      <c r="EC11" s="84">
        <f>IFERROR(VLOOKUP($B11,'LOD 400 - COLO3'!B:AB,27,FALSE),"N/A")</f>
        <v>1</v>
      </c>
      <c r="ED11" s="85">
        <f>IFERROR(VLOOKUP($B11,'LOD 400 - COLO3'!B:AE,30,FALSE),"N/A")</f>
        <v>1</v>
      </c>
      <c r="EE11" s="84">
        <f>IFERROR(VLOOKUP($B11,'LOD 400 - COLO3'!B:AH,33,FALSE),"N/A")</f>
        <v>1</v>
      </c>
      <c r="EF11" s="84">
        <f>IFERROR(VLOOKUP($B11,'LOD 400 - COLO3'!B:AK,36,FALSE),"N/A")</f>
        <v>1</v>
      </c>
      <c r="EG11" s="109">
        <f>IFERROR(VLOOKUP($B11,'LOD 400 - COLO3'!B:AN,39,FALSE),"N/A")</f>
        <v>1</v>
      </c>
      <c r="EH11" s="94">
        <f>IFERROR(VLOOKUP($B11,'LOD 400 - COLO3'!B:AQ,42,FALSE),"N/A")</f>
        <v>1</v>
      </c>
      <c r="EI11" s="94">
        <f>IFERROR(VLOOKUP($B11,'LOD 400 - COLO3'!B:AT,45,FALSE),"N/A")</f>
        <v>1</v>
      </c>
      <c r="EJ11" s="94">
        <f>IFERROR(VLOOKUP($B11,'LOD 400 - COLO3'!B:AW,48,FALSE),"N/A")</f>
        <v>1</v>
      </c>
      <c r="EK11" s="94">
        <f>IFERROR(VLOOKUP($B11,'LOD 400 - COLO3'!B:AZ,51,FALSE),"N/A")</f>
        <v>1</v>
      </c>
      <c r="EL11" s="94">
        <f>IFERROR(VLOOKUP($B11,'LOD 400 - COLO3'!B:BC,54,FALSE),"N/A")</f>
        <v>1</v>
      </c>
      <c r="EM11" s="94">
        <f>IFERROR(VLOOKUP($B11,'LOD 400 - COLO3'!B:BF,57,FALSE),"N/A")</f>
        <v>1</v>
      </c>
      <c r="EN11" s="94">
        <f>IFERROR(VLOOKUP($B11,'LOD 400 - COLO3'!B:BI,60,FALSE),"N/A")</f>
        <v>1</v>
      </c>
      <c r="EO11" s="94">
        <f>IFERROR(VLOOKUP($B11,'LOD 400 - COLO3'!B:BL,63,FALSE),"N/A")</f>
        <v>1</v>
      </c>
      <c r="EP11" s="86">
        <f>IFERROR(__xludf.DUMMYFUNCTION("IFERROR(
  MAX(FILTER(DZ11:EO11, ISNUMBER(DZ11:EO11))),
  EO11
)"),1.0)</f>
        <v>1</v>
      </c>
      <c r="EQ11" s="95">
        <f>IFERROR(VLOOKUP($B11,'LOD 400 - COLO4'!B:S,18,FALSE),"N/A")</f>
        <v>0</v>
      </c>
      <c r="ER11" s="96">
        <f>IFERROR(__xludf.DUMMYFUNCTION("IFERROR(
  MAX(FILTER(EQ11, ISNUMBER(EQ11))),
  EQ11
)"),0.0)</f>
        <v>0</v>
      </c>
      <c r="ES11" s="79" t="str">
        <f>IFERROR(VLOOKUP($B11,'LOD 400 - SITE'!B:S,18,FALSE),"N/A")</f>
        <v>N/A</v>
      </c>
      <c r="ET11" s="80" t="str">
        <f>IFERROR(VLOOKUP($B11,'LOD 400 - SITE'!B:V,21,FALSE),"N/A")</f>
        <v>N/A</v>
      </c>
      <c r="EU11" s="97" t="str">
        <f>IFERROR(VLOOKUP($B11,'LOD 400 - SITE'!$B:Y,24,FALSE),"N/A")</f>
        <v>N/A</v>
      </c>
      <c r="EV11" s="80" t="str">
        <f>IFERROR(VLOOKUP($B11,'LOD 400 - SITE'!$B:AB,27,FALSE),"N/A")</f>
        <v>N/A</v>
      </c>
      <c r="EW11" s="81" t="str">
        <f>IFERROR(VLOOKUP($B11,'LOD 400 - SITE'!$B:AE,30,FALSE),"N/A")</f>
        <v>N/A</v>
      </c>
      <c r="EX11" s="87" t="str">
        <f>IFERROR(VLOOKUP($B11,'LOD 400 - SITE'!$B:AH,33,FALSE),"N/A")</f>
        <v>N/A</v>
      </c>
      <c r="EY11" s="87" t="str">
        <f>IFERROR(VLOOKUP($B11,'LOD 400 - SITE'!$B:AK,36,FALSE),"N/A")</f>
        <v>N/A</v>
      </c>
      <c r="EZ11" s="80" t="str">
        <f>IFERROR(VLOOKUP($B11,'LOD 400 - SITE'!$B:AN,39,FALSE),"N/A")</f>
        <v>N/A</v>
      </c>
      <c r="FA11" s="82" t="str">
        <f>IFERROR(VLOOKUP($B11,'LOD 400 - SITE'!$B:AQ,42,FALSE),"N/A")</f>
        <v>N/A</v>
      </c>
      <c r="FB11" s="88" t="str">
        <f>IFERROR(VLOOKUP($B11,'LOD 400 - SITE'!$B:AT,45,FALSE),"N/A")</f>
        <v>N/A</v>
      </c>
      <c r="FC11" s="84" t="str">
        <f>IFERROR(VLOOKUP($B11,'LOD 400 - SITE'!$B:AW,48,FALSE),"N/A")</f>
        <v>N/A</v>
      </c>
      <c r="FD11" s="84" t="str">
        <f>IFERROR(VLOOKUP($B11,'LOD 400 - SITE'!$B:AZ,51,FALSE),"N/A")</f>
        <v>N/A</v>
      </c>
      <c r="FE11" s="84" t="str">
        <f>IFERROR(VLOOKUP($B11,'LOD 400 - SITE'!$B:BC,54,FALSE),"N/A")</f>
        <v>N/A</v>
      </c>
      <c r="FF11" s="84" t="str">
        <f>IFERROR(VLOOKUP($B11,'LOD 400 - SITE'!$B:BF,57,FALSE),"N/A")</f>
        <v>N/A</v>
      </c>
      <c r="FG11" s="84" t="str">
        <f>IFERROR(VLOOKUP($B11,'LOD 400 - SITE'!$B:BI,60,FALSE),"N/A")</f>
        <v>N/A</v>
      </c>
      <c r="FH11" s="84" t="str">
        <f>IFERROR(VLOOKUP($B11,'LOD 400 - SITE'!$B:BL,63,FALSE),"N/A")</f>
        <v>N/A</v>
      </c>
      <c r="FI11" s="84" t="str">
        <f>IFERROR(VLOOKUP($B11,'LOD 400 - SITE'!$B:BO,66,FALSE),"N/A")</f>
        <v>N/A</v>
      </c>
      <c r="FJ11" s="84" t="str">
        <f>IFERROR(VLOOKUP($B11,'LOD 400 - SITE'!$B:BR,69,FALSE),"N/A")</f>
        <v>N/A</v>
      </c>
      <c r="FK11" s="84" t="str">
        <f>IFERROR(VLOOKUP($B11,'LOD 400 - SITE'!$B:BU,72,FALSE),"N/A")</f>
        <v>N/A</v>
      </c>
      <c r="FL11" s="84" t="str">
        <f>IFERROR(VLOOKUP($B11,'LOD 400 - SITE'!$B:BX,75,FALSE),"N/A")</f>
        <v>N/A</v>
      </c>
      <c r="FM11" s="84" t="str">
        <f>IFERROR(VLOOKUP($B11,'LOD 400 - SITE'!$B:CA,78,FALSE),"N/A")</f>
        <v>N/A</v>
      </c>
      <c r="FN11" s="85" t="str">
        <f>IFERROR(VLOOKUP($B11,'LOD 400 - SITE'!$B:CD,81,FALSE),"N/A")</f>
        <v>N/A</v>
      </c>
      <c r="FO11" s="84" t="str">
        <f>IFERROR(VLOOKUP($B11,'LOD 400 - SITE'!$B:CG,84,FALSE),"N/A")</f>
        <v>N/A</v>
      </c>
      <c r="FP11" s="85" t="str">
        <f>IFERROR(VLOOKUP($B11,'LOD 400 - SITE'!$B:CJ,87,FALSE),"N/A")</f>
        <v>N/A</v>
      </c>
      <c r="FQ11" s="84" t="str">
        <f>IFERROR(VLOOKUP($B11,'LOD 400 - SITE'!$B:CM,90,FALSE),"N/A")</f>
        <v>N/A</v>
      </c>
      <c r="FR11" s="84" t="str">
        <f>IFERROR(VLOOKUP($B11,'LOD 400 - SITE'!$B:CP,93,FALSE),"N/A")</f>
        <v>N/A</v>
      </c>
      <c r="FS11" s="84" t="str">
        <f>IFERROR(VLOOKUP($B11,'LOD 400 - SITE'!$B:CS,96,FALSE),"N/A")</f>
        <v>N/A</v>
      </c>
      <c r="FT11" s="84" t="str">
        <f>IFERROR(VLOOKUP($B11,'LOD 400 - SITE'!$B:CV,99,FALSE),"N/A")</f>
        <v>N/A</v>
      </c>
      <c r="FU11" s="84" t="str">
        <f>IFERROR(VLOOKUP($B11,'LOD 400 - SITE'!$B:CY,102,FALSE),"N/A")</f>
        <v>N/A</v>
      </c>
      <c r="FV11" s="84" t="str">
        <f>IFERROR(VLOOKUP($B11,'LOD 400 - SITE'!$B:DB,105,FALSE),"N/A")</f>
        <v>N/A</v>
      </c>
      <c r="FW11" s="84" t="str">
        <f>IFERROR(VLOOKUP($B11,'LOD 400 - SITE'!$B:DE,108,FALSE),"N/A")</f>
        <v>N/A</v>
      </c>
      <c r="FX11" s="84" t="str">
        <f>IFERROR(VLOOKUP($B11,'LOD 400 - SITE'!$B:DH,111,FALSE),"N/A")</f>
        <v>N/A</v>
      </c>
      <c r="FY11" s="84" t="str">
        <f>IFERROR(VLOOKUP($B11,'LOD 400 - SITE'!$B:DK,114,FALSE),"N/A")</f>
        <v>N/A</v>
      </c>
      <c r="FZ11" s="96" t="str">
        <f>IFERROR(__xludf.DUMMYFUNCTION("IFERROR(
  MAX(FILTER(ES11:FY11, ISNUMBER(ES11:FY11))),
  FY11
)"),"N/A")</f>
        <v>N/A</v>
      </c>
      <c r="GA11" s="80" t="str">
        <f>IFERROR(VLOOKUP($B11,'LOD 400 - UTLS'!B:S,18,FALSE),"N/A")</f>
        <v>N/A</v>
      </c>
      <c r="GB11" s="98" t="str">
        <f>IFERROR(VLOOKUP($B11,'LOD 400 - UTLS'!B:V,21,FALSE),"N/A")</f>
        <v>N/A</v>
      </c>
      <c r="GC11" s="81" t="str">
        <f>IFERROR(VLOOKUP($B11,'LOD 400 - UTLS'!B:Y,24,FALSE),"N/A")</f>
        <v>N/A</v>
      </c>
      <c r="GD11" s="87" t="str">
        <f>IFERROR(VLOOKUP($B11,'LOD 400 - UTLS'!$B:AB,27,FALSE),"N/A")</f>
        <v>N/A</v>
      </c>
      <c r="GE11" s="80" t="str">
        <f>IFERROR(VLOOKUP($B11,'LOD 400 - UTLS'!$B:AE,30,FALSE),"N/A")</f>
        <v>N/A</v>
      </c>
      <c r="GF11" s="82" t="str">
        <f>IFERROR(VLOOKUP($B11,'LOD 400 - UTLS'!$B:AH,33,FALSE),"N/A")</f>
        <v>N/A</v>
      </c>
      <c r="GG11" s="88" t="str">
        <f>IFERROR(VLOOKUP($B11,'LOD 400 - UTLS'!$B:AK,36,FALSE),"N/A")</f>
        <v>N/A</v>
      </c>
      <c r="GH11" s="84" t="str">
        <f>IFERROR(VLOOKUP($B11,'LOD 400 - UTLS'!$B:AN,39,FALSE),"N/A")</f>
        <v>N/A</v>
      </c>
      <c r="GI11" s="84" t="str">
        <f>IFERROR(VLOOKUP($B11,'LOD 400 - UTLS'!$B:AQ,42,FALSE),"N/A")</f>
        <v>N/A</v>
      </c>
      <c r="GJ11" s="84" t="str">
        <f>IFERROR(VLOOKUP($B11,'LOD 400 - UTLS'!$B:AT,45,FALSE),"N/A")</f>
        <v>N/A</v>
      </c>
      <c r="GK11" s="84" t="str">
        <f>IFERROR(VLOOKUP($B11,'LOD 400 - UTLS'!$B:AW,48,FALSE),"N/A")</f>
        <v>N/A</v>
      </c>
      <c r="GL11" s="84" t="str">
        <f>IFERROR(VLOOKUP($B11,'LOD 400 - UTLS'!$B:AZ,51,FALSE),"N/A")</f>
        <v>N/A</v>
      </c>
      <c r="GM11" s="84" t="str">
        <f>IFERROR(VLOOKUP($B11,'LOD 400 - UTLS'!$B:BC,54,FALSE),"N/A")</f>
        <v>N/A</v>
      </c>
      <c r="GN11" s="84" t="str">
        <f>IFERROR(VLOOKUP($B11,'LOD 400 - UTLS'!$B:BF,57,FALSE),"N/A")</f>
        <v>N/A</v>
      </c>
      <c r="GO11" s="84" t="str">
        <f>IFERROR(VLOOKUP($B11,'LOD 400 - UTLS'!$B:BI,60,FALSE),"N/A")</f>
        <v>N/A</v>
      </c>
      <c r="GP11" s="84" t="str">
        <f>IFERROR(VLOOKUP($B11,'LOD 400 - UTLS'!$B:BL,63,FALSE),"N/A")</f>
        <v>N/A</v>
      </c>
      <c r="GQ11" s="84" t="str">
        <f>IFERROR(VLOOKUP($B11,'LOD 400 - UTLS'!$B:BO,66,FALSE),"N/A")</f>
        <v>N/A</v>
      </c>
      <c r="GR11" s="84" t="str">
        <f>IFERROR(VLOOKUP($B11,'LOD 400 - UTLS'!$B:BR,69,FALSE),"N/A")</f>
        <v>N/A</v>
      </c>
      <c r="GS11" s="85" t="str">
        <f>IFERROR(VLOOKUP($B11,'LOD 400 - UTLS'!$B:BU,72,FALSE),"N/A")</f>
        <v>N/A</v>
      </c>
      <c r="GT11" s="84" t="str">
        <f>IFERROR(VLOOKUP($B11,'LOD 400 - UTLS'!$B:BX,75,FALSE),"N/A")</f>
        <v>N/A</v>
      </c>
      <c r="GU11" s="85" t="str">
        <f>IFERROR(VLOOKUP($B11,'LOD 400 - UTLS'!$B:CA,78,FALSE),"N/A")</f>
        <v>N/A</v>
      </c>
      <c r="GV11" s="84" t="str">
        <f>IFERROR(VLOOKUP($B11,'LOD 400 - UTLS'!$B:CD,81,FALSE),"N/A")</f>
        <v>N/A</v>
      </c>
      <c r="GW11" s="84" t="str">
        <f>IFERROR(VLOOKUP($B11,'LOD 400 - UTLS'!$B:CG,84,FALSE),"N/A")</f>
        <v>N/A</v>
      </c>
      <c r="GX11" s="84" t="str">
        <f>IFERROR(VLOOKUP($B11,'LOD 400 - UTLS'!$B:CJ,87,FALSE),"N/A")</f>
        <v>N/A</v>
      </c>
      <c r="GY11" s="84" t="str">
        <f>IFERROR(VLOOKUP($B11,'LOD 400 - UTLS'!$B:CM,90,FALSE),"N/A")</f>
        <v>N/A</v>
      </c>
      <c r="GZ11" s="84" t="str">
        <f>IFERROR(VLOOKUP($B11,'LOD 400 - UTLS'!$B:CP,93,FALSE),"N/A")</f>
        <v>N/A</v>
      </c>
      <c r="HA11" s="84" t="str">
        <f>IFERROR(VLOOKUP($B11,'LOD 400 - UTLS'!$B:CS,96,FALSE),"N/A")</f>
        <v>N/A</v>
      </c>
      <c r="HB11" s="84" t="str">
        <f>IFERROR(VLOOKUP($B11,'LOD 400 - UTLS'!$B:CV,99,FALSE),"N/A")</f>
        <v>N/A</v>
      </c>
      <c r="HC11" s="84" t="str">
        <f>IFERROR(VLOOKUP($B11,'LOD 400 - UTLS'!$B:CY,102,FALSE),"N/A")</f>
        <v>N/A</v>
      </c>
      <c r="HD11" s="84" t="str">
        <f>IFERROR(VLOOKUP($B11,'LOD 400 - UTLS'!$B:DB,105,FALSE),"N/A")</f>
        <v>N/A</v>
      </c>
      <c r="HE11" s="96" t="str">
        <f>IFERROR(__xludf.DUMMYFUNCTION("IFERROR(
  MAX(FILTER(GA11:HD11, ISNUMBER(GA11:HD11))),
  HD11
)"),"N/A")</f>
        <v>N/A</v>
      </c>
      <c r="HF11" s="99"/>
      <c r="HG11" s="99"/>
      <c r="HH11" s="99"/>
      <c r="HI11" s="99"/>
      <c r="HJ11" s="99"/>
      <c r="HK11" s="99"/>
    </row>
    <row r="12" ht="15.0" customHeight="1" outlineLevel="1">
      <c r="A12" s="53">
        <v>14.0</v>
      </c>
      <c r="B12" s="100" t="s">
        <v>98</v>
      </c>
      <c r="C12" s="100" t="s">
        <v>99</v>
      </c>
      <c r="D12" s="64" t="str">
        <f t="shared" si="1"/>
        <v>DATA</v>
      </c>
      <c r="E12" s="111" t="s">
        <v>91</v>
      </c>
      <c r="F12" s="102">
        <v>1104.0</v>
      </c>
      <c r="G12" s="103" t="s">
        <v>92</v>
      </c>
      <c r="H12" s="104">
        <v>1127.0</v>
      </c>
      <c r="I12" s="68" t="str">
        <f>IFERROR(VLOOKUP($C9:C108,'R22 RELATÓRIO ACC'!B:F,5,FALSE),"NOT PUBLISHED")</f>
        <v>V13</v>
      </c>
      <c r="J12" s="69" t="str">
        <f>IFERROR(VLOOKUP($C9:C108,'R22 RELATÓRIO ACC'!B:P,15,FALSE),"NOT PUBLISHED")</f>
        <v>02/03/2026</v>
      </c>
      <c r="K12" s="70" t="str">
        <f>IFERROR(VLOOKUP($B9:B108,'RELATÓRIO ACC'!B:F,5,FALSE),"NOT PUBLISHED")</f>
        <v>V3</v>
      </c>
      <c r="L12" s="71" t="str">
        <f>IFERROR(VLOOKUP($B9:B108,'RELATÓRIO ACC'!B:P,15,FALSE),"NOT PUBLISHED")</f>
        <v>24/06/2026</v>
      </c>
      <c r="M12" s="72" t="str">
        <f>IF(OR($D12="UTLS",$D12="GUAR",$D12="STIR",$D12="PUMP",$D12="SITE"),
   VLOOKUP($B12,'LOD 400 - SITE'!B:M,12,FALSE),
   VLOOKUP($B12,'LOD 400 - ADMN'!B:M,12,FALSE)
)</f>
        <v>V2</v>
      </c>
      <c r="N12" s="105">
        <f>IF(OR($D12="UTLS",$D12="GUAR",$D12="STIR",$D12="PUMP",$D12="SITE"),
   VLOOKUP($B12,'LOD 400 - SITE'!B:N,13,FALSE),
   VLOOKUP($B12,'LOD 400 - ADMN'!B:N,13,FALSE)
)</f>
        <v>46171</v>
      </c>
      <c r="O12" s="106" t="str">
        <f>IF(OR($D12="UTLS",$D12="GUAR",$D12="STIR",$D12="PUMP",$D12="SITE"),
   VLOOKUP($B12,'LOD 400 - SITE'!B:O,14,FALSE),
   VLOOKUP($B12,'LOD 400 - ADMN'!B:O,14,FALSE)
)</f>
        <v>R24</v>
      </c>
      <c r="P12" s="107" t="str">
        <f>IF(OR($D12="C345",$D12="C12A",$D12="DATA"),
   VLOOKUP($B12,'LOD 400 - COLO3'!B:M,12,FALSE),"N/A")</f>
        <v>V2</v>
      </c>
      <c r="Q12" s="108">
        <f>IF(OR($D12="C345",$D12="C12A",$D12="DATA"),
   VLOOKUP($B12,'LOD 400 - COLO3'!B:N,13,FALSE),"N/A")</f>
        <v>46171</v>
      </c>
      <c r="R12" s="75" t="str">
        <f>IF(OR($D12="C345",$D12="C12A",$D12="DATA"),
   VLOOKUP($B12,'LOD 400 - COLO3'!B:O,14,FALSE),"N/A")</f>
        <v>R24</v>
      </c>
      <c r="S12" s="76" t="str">
        <f>IF(OR($D12="C345",$D12="C12A",$D12="DATA"),
   VLOOKUP($B12,'LOD 400 - COLO4'!B:N,12,FALSE),"N/A")</f>
        <v>N/A</v>
      </c>
      <c r="T12" s="76" t="str">
        <f>IF(OR($D12="C345",$D12="C12A",$D12="DATA"),
   VLOOKUP($B12,'LOD 400 - COLO4'!B:N,13,FALSE),"N/A")</f>
        <v>N/A</v>
      </c>
      <c r="U12" s="76" t="str">
        <f>IF(OR($D12="C345",$D12="C12A",$D12="DATA"),
   VLOOKUP($B12,'LOD 400 - COLO4'!B:N,13,FALSE),"N/A")</f>
        <v>N/A</v>
      </c>
      <c r="V12" s="77" t="str">
        <f>IF(OR($D12="UTLS",$D12="GUAR",$D12="STIR",$D12="PUMP",$D12="SITE"),
   VLOOKUP($B12,'LOD 400 - UTLS'!B:M,12,FALSE),"N/A")</f>
        <v>N/A</v>
      </c>
      <c r="W12" s="78" t="str">
        <f>IF(OR($D12="UTLS",$D12="GUAR",$D12="STIR",$D12="PUMP",$D12="SITE"),
   VLOOKUP($B12,'LOD 400 - UTLS'!B:N,13,FALSE),"N/A")</f>
        <v>N/A</v>
      </c>
      <c r="X12" s="108" t="str">
        <f>IF(OR($D12="UTLS",$D12="GUAR",$D12="STIR",$D12="PUMP",$D12="SITE"),
   VLOOKUP($B12,'LOD 400 - UTLS'!B:O,14,FALSE),"N/A")</f>
        <v>N/A</v>
      </c>
      <c r="Y12" s="79" t="str">
        <f>IFERROR(VLOOKUP($B12,'LOD 400 - ADMN'!B:S,18,FALSE),"N/A")</f>
        <v>OUTDATED</v>
      </c>
      <c r="Z12" s="79" t="str">
        <f>IFERROR(VLOOKUP($B12,'LOD 400 - ADMN'!B:V,21,FALSE),"N/A")</f>
        <v>OUTDATED</v>
      </c>
      <c r="AA12" s="79" t="str">
        <f>IFERROR(VLOOKUP($B12,'LOD 400 - ADMN'!$B:Y,24,FALSE),"N/A")</f>
        <v>OUTDATED</v>
      </c>
      <c r="AB12" s="80" t="str">
        <f>IFERROR(VLOOKUP($B12,'LOD 400 - ADMN'!$B:AB,27,FALSE),"N/A")</f>
        <v>OUTDATED</v>
      </c>
      <c r="AC12" s="81" t="str">
        <f>IFERROR(VLOOKUP($B12,'LOD 400 - ADMN'!$B:AE,30,FALSE),"N/A")</f>
        <v>OUTDATED</v>
      </c>
      <c r="AD12" s="81">
        <f>IFERROR(VLOOKUP($B12,'LOD 400 - ADMN'!$B:AH,33,FALSE),"N/A")</f>
        <v>0.52</v>
      </c>
      <c r="AE12" s="80" t="str">
        <f>IFERROR(VLOOKUP($B12,'LOD 400 - ADMN'!$B:AK,36,FALSE),"N/A")</f>
        <v>OUTDATED</v>
      </c>
      <c r="AF12" s="82" t="str">
        <f>IFERROR(VLOOKUP($B12,'LOD 400 - ADMN'!$B:AN,39,FALSE),"N/A")</f>
        <v>NEXT ROUND</v>
      </c>
      <c r="AG12" s="83">
        <f>IFERROR(VLOOKUP($B12,'LOD 400 - ADMN'!$B:AQ,42,FALSE),"N/A")</f>
        <v>0.86</v>
      </c>
      <c r="AH12" s="84" t="str">
        <f>IFERROR(VLOOKUP($B12,'LOD 400 - ADMN'!$B:AT,45,FALSE),"N/A")</f>
        <v>OUTDATED</v>
      </c>
      <c r="AI12" s="85" t="str">
        <f>IFERROR(VLOOKUP($B12,'LOD 400 - ADMN'!$B:AW,48,FALSE),"N/A")</f>
        <v>OUTDATED</v>
      </c>
      <c r="AJ12" s="85" t="str">
        <f>IFERROR(VLOOKUP($B12,'LOD 400 - ADMN'!$B:AZ,51,FALSE),"N/A")</f>
        <v>OUTDATED</v>
      </c>
      <c r="AK12" s="84" t="str">
        <f>IFERROR(VLOOKUP($B12,'LOD 400 - ADMN'!$B:BC,54,FALSE),"N/A")</f>
        <v>OUTDATED</v>
      </c>
      <c r="AL12" s="84" t="str">
        <f>IFERROR(VLOOKUP($B12,'LOD 400 - ADMN'!$B:BF,57,FALSE),"N/A")</f>
        <v>OUTDATED</v>
      </c>
      <c r="AM12" s="84" t="str">
        <f>IFERROR(VLOOKUP($B12,'LOD 400 - ADMN'!$B:BI,60,FALSE),"N/A")</f>
        <v>OUTDATED</v>
      </c>
      <c r="AN12" s="84" t="str">
        <f>IFERROR(VLOOKUP($B12,'LOD 400 - ADMN'!$B:BL,63,FALSE),"N/A")</f>
        <v>OUTDATED</v>
      </c>
      <c r="AO12" s="84" t="str">
        <f>IFERROR(VLOOKUP($B12,'LOD 400 - ADMN'!$B:BO,66,FALSE),"N/A")</f>
        <v>OUTDATED</v>
      </c>
      <c r="AP12" s="84" t="str">
        <f>IFERROR(VLOOKUP($B12,'LOD 400 - ADMN'!$B:BR,69,FALSE),"N/A")</f>
        <v>OUTDATED</v>
      </c>
      <c r="AQ12" s="84" t="str">
        <f>IFERROR(VLOOKUP($B12,'LOD 400 - ADMN'!$B:BU,72,FALSE),"N/A")</f>
        <v>OUTDATED</v>
      </c>
      <c r="AR12" s="84" t="str">
        <f>IFERROR(VLOOKUP($B12,'LOD 400 - ADMN'!$B:BX,75,FALSE),"N/A")</f>
        <v>OUTDATED</v>
      </c>
      <c r="AS12" s="84">
        <f>IFERROR(VLOOKUP($B12,'LOD 400 - ADMN'!$B:CA,78,FALSE),"N/A")</f>
        <v>0.89</v>
      </c>
      <c r="AT12" s="84" t="str">
        <f>IFERROR(VLOOKUP($B12,'LOD 400 - ADMN'!$B:CD,81,FALSE),"N/A")</f>
        <v>OUTDATED</v>
      </c>
      <c r="AU12" s="85" t="str">
        <f>IFERROR(VLOOKUP($B12,'LOD 400 - ADMN'!$B:CG,84,FALSE),"N/A")</f>
        <v>OUTDATED</v>
      </c>
      <c r="AV12" s="84" t="str">
        <f>IFERROR(VLOOKUP($B12,'LOD 400 - ADMN'!$B:CJ,87,FALSE),"N/A")</f>
        <v>OUTDATED</v>
      </c>
      <c r="AW12" s="85" t="str">
        <f>IFERROR(VLOOKUP($B12,'LOD 400 - ADMN'!$B:CM,90,FALSE),"N/A")</f>
        <v>OUTDATED</v>
      </c>
      <c r="AX12" s="84" t="str">
        <f>IFERROR(VLOOKUP($B12,'LOD 400 - ADMN'!$B:CP,93,FALSE),"N/A")</f>
        <v>NEXT ROUND</v>
      </c>
      <c r="AY12" s="84">
        <f>IFERROR(VLOOKUP($B12,'LOD 400 - ADMN'!$B:CS,96,FALSE),"N/A")</f>
        <v>1</v>
      </c>
      <c r="AZ12" s="84">
        <f>IFERROR(VLOOKUP($B12,'LOD 400 - ADMN'!$B:CV,99,FALSE),"N/A")</f>
        <v>1</v>
      </c>
      <c r="BA12" s="84">
        <f>IFERROR(VLOOKUP($B12,'LOD 400 - ADMN'!$B:CY,102,FALSE),"N/A")</f>
        <v>1</v>
      </c>
      <c r="BB12" s="84">
        <f>IFERROR(VLOOKUP($B12,'LOD 400 - ADMN'!$B:DB,105,FALSE),"N/A")</f>
        <v>1</v>
      </c>
      <c r="BC12" s="84">
        <f>IFERROR(VLOOKUP($B12,'LOD 400 - ADMN'!$B:DE,108,FALSE),"N/A")</f>
        <v>1</v>
      </c>
      <c r="BD12" s="84">
        <f>IFERROR(VLOOKUP($B12,'LOD 400 - ADMN'!$B:DH,111,FALSE),"N/A")</f>
        <v>1</v>
      </c>
      <c r="BE12" s="84">
        <f>IFERROR(VLOOKUP($B12,'LOD 400 - ADMN'!$B:DK,114,FALSE),"N/A")</f>
        <v>1</v>
      </c>
      <c r="BF12" s="84">
        <f>IFERROR(VLOOKUP($B12,'LOD 400 - ADMN'!$B:DN,117,FALSE),"N/A")</f>
        <v>1</v>
      </c>
      <c r="BG12" s="86">
        <f>IFERROR(__xludf.DUMMYFUNCTION("IFERROR(
  MAX(FILTER(Y12:BF12, ISNUMBER(Y12:BF12))),
  BF12
)"),1.0)</f>
        <v>1</v>
      </c>
      <c r="BH12" s="79" t="str">
        <f>IFERROR(VLOOKUP($B12,'LOD 400 - COLO1'!B:S,18,FALSE),"N/A")</f>
        <v>OUTDATED</v>
      </c>
      <c r="BI12" s="79" t="str">
        <f>IFERROR(VLOOKUP($B12,'LOD 400 - COLO1'!B:V,21,FALSE),"N/A")</f>
        <v>OUTDATED</v>
      </c>
      <c r="BJ12" s="79" t="str">
        <f>IFERROR(VLOOKUP($B12,'LOD 400 - COLO1'!$B:Y,24,FALSE),"N/A")</f>
        <v>OUTDATED</v>
      </c>
      <c r="BK12" s="87" t="str">
        <f>IFERROR(VLOOKUP($B12,'LOD 400 - COLO1'!$B:AB,27,FALSE),"N/A")</f>
        <v>OUTDATED</v>
      </c>
      <c r="BL12" s="80" t="str">
        <f>IFERROR(VLOOKUP($B12,'LOD 400 - COLO1'!$B:AE,30,FALSE),"N/A")</f>
        <v>OUTDATED</v>
      </c>
      <c r="BM12" s="81">
        <f>IFERROR(VLOOKUP($B12,'LOD 400 - COLO1'!$B:AH,33,FALSE),"N/A")</f>
        <v>0.52</v>
      </c>
      <c r="BN12" s="87" t="str">
        <f>IFERROR(VLOOKUP($B12,'LOD 400 - COLO1'!$B:AK,36,FALSE),"N/A")</f>
        <v>OUTDATED</v>
      </c>
      <c r="BO12" s="83" t="str">
        <f>IFERROR(VLOOKUP($B12,'LOD 400 - COLO1'!$B:AN,39,FALSE),"N/A")</f>
        <v>NEXT ROUND</v>
      </c>
      <c r="BP12" s="88">
        <f>IFERROR(VLOOKUP($B12,'LOD 400 - COLO1'!$B:AQ,42,FALSE),"N/A")</f>
        <v>0.86</v>
      </c>
      <c r="BQ12" s="84" t="str">
        <f>IFERROR(VLOOKUP($B12,'LOD 400 - COLO1'!$B:AT,45,FALSE),"N/A")</f>
        <v>OUTDATED</v>
      </c>
      <c r="BR12" s="85" t="str">
        <f>IFERROR(VLOOKUP($B12,'LOD 400 - COLO1'!$B:AW,48,FALSE),"N/A")</f>
        <v>OUTDATED</v>
      </c>
      <c r="BS12" s="84" t="str">
        <f>IFERROR(VLOOKUP($B12,'LOD 400 - COLO1'!$B:AZ,51,FALSE),"N/A")</f>
        <v>OUTDATED</v>
      </c>
      <c r="BT12" s="84" t="str">
        <f>IFERROR(VLOOKUP($B12,'LOD 400 - COLO1'!$B:BC,54,FALSE),"N/A")</f>
        <v>OUTDATED</v>
      </c>
      <c r="BU12" s="84" t="str">
        <f>IFERROR(VLOOKUP($B12,'LOD 400 - COLO1'!$B:BF,57,FALSE),"N/A")</f>
        <v>OUTDATED</v>
      </c>
      <c r="BV12" s="84" t="str">
        <f>IFERROR(VLOOKUP($B12,'LOD 400 - COLO1'!$B:BI,60,FALSE),"N/A")</f>
        <v>OUTDATED</v>
      </c>
      <c r="BW12" s="84" t="str">
        <f>IFERROR(VLOOKUP($B12,'LOD 400 - COLO1'!$B:BL,63,FALSE),"N/A")</f>
        <v>OUTDATED</v>
      </c>
      <c r="BX12" s="84" t="str">
        <f>IFERROR(VLOOKUP($B12,'LOD 400 - COLO1'!$B:BO,66,FALSE),"N/A")</f>
        <v>OUTDATED</v>
      </c>
      <c r="BY12" s="84" t="str">
        <f>IFERROR(VLOOKUP($B12,'LOD 400 - COLO1'!$B:BR,69,FALSE),"N/A")</f>
        <v>OUTDATED</v>
      </c>
      <c r="BZ12" s="84" t="str">
        <f>IFERROR(VLOOKUP($B12,'LOD 400 - COLO1'!$B:BU,72,FALSE),"N/A")</f>
        <v>OUTDATED</v>
      </c>
      <c r="CA12" s="84" t="str">
        <f>IFERROR(VLOOKUP($B12,'LOD 400 - COLO1'!$B:BX,75,FALSE),"N/A")</f>
        <v>OUTDATED</v>
      </c>
      <c r="CB12" s="84">
        <f>IFERROR(VLOOKUP($B12,'LOD 400 - COLO1'!$B:CA,78,FALSE),"N/A")</f>
        <v>0.89</v>
      </c>
      <c r="CC12" s="84" t="str">
        <f>IFERROR(VLOOKUP($B12,'LOD 400 - COLO1'!$B:CD,81,FALSE),"N/A")</f>
        <v>OUTDATED</v>
      </c>
      <c r="CD12" s="85" t="str">
        <f>IFERROR(VLOOKUP($B12,'LOD 400 - COLO1'!$B:CG,84,FALSE),"N/A")</f>
        <v>OUTDATED</v>
      </c>
      <c r="CE12" s="84" t="str">
        <f>IFERROR(VLOOKUP($B12,'LOD 400 - COLO1'!$B:CJ,87,FALSE),"N/A")</f>
        <v>OUTDATED</v>
      </c>
      <c r="CF12" s="85" t="str">
        <f>IFERROR(VLOOKUP($B12,'LOD 400 - COLO1'!$B:CM,90,FALSE),"N/A")</f>
        <v>OUTDATED</v>
      </c>
      <c r="CG12" s="84" t="str">
        <f>IFERROR(VLOOKUP($B12,'LOD 400 - COLO1'!$B:CP,93,FALSE),"N/A")</f>
        <v>NEXT ROUND</v>
      </c>
      <c r="CH12" s="84">
        <f>IFERROR(VLOOKUP($B12,'LOD 400 - COLO1'!$B:CS,96,FALSE),"N/A")</f>
        <v>1</v>
      </c>
      <c r="CI12" s="84">
        <f>IFERROR(VLOOKUP($B12,'LOD 400 - COLO1'!$B:CV,99,FALSE),"N/A")</f>
        <v>1</v>
      </c>
      <c r="CJ12" s="84">
        <f>IFERROR(VLOOKUP($B12,'LOD 400 - COLO1'!$B:CY,102,FALSE),"N/A")</f>
        <v>1</v>
      </c>
      <c r="CK12" s="84">
        <f>IFERROR(VLOOKUP($B12,'LOD 400 - COLO1'!$B:DB,105,FALSE),"N/A")</f>
        <v>1</v>
      </c>
      <c r="CL12" s="84">
        <f>IFERROR(VLOOKUP($B12,'LOD 400 - COLO1'!$B:DE,108,FALSE),"N/A")</f>
        <v>1</v>
      </c>
      <c r="CM12" s="84">
        <f>IFERROR(VLOOKUP($B12,'LOD 400 - COLO1'!$B:DH,111,FALSE),"N/A")</f>
        <v>1</v>
      </c>
      <c r="CN12" s="84">
        <f>IFERROR(VLOOKUP($B12,'LOD 400 - COLO1'!$B:DK,114,FALSE),"N/A")</f>
        <v>1</v>
      </c>
      <c r="CO12" s="84">
        <f>IFERROR(VLOOKUP($B12,'LOD 400 - COLO1'!$B:DN,117,FALSE),"N/A")</f>
        <v>1</v>
      </c>
      <c r="CP12" s="86">
        <f>IFERROR(__xludf.DUMMYFUNCTION("IFERROR(
  MAX(FILTER(BH12:CO12, ISNUMBER(BH12:CO12))),
  CO12
)"),1.0)</f>
        <v>1</v>
      </c>
      <c r="CQ12" s="89" t="str">
        <f>IFERROR(VLOOKUP($B12,'LOD 400 - COLO2'!B:S,18,FALSE),"N/A")</f>
        <v>OUTDATED</v>
      </c>
      <c r="CR12" s="79" t="str">
        <f>IFERROR(VLOOKUP($B12,'LOD 400 - COLO2'!B:V,21,FALSE),"N/A")</f>
        <v>OUTDATED</v>
      </c>
      <c r="CS12" s="79" t="str">
        <f>IFERROR(VLOOKUP($B12,'LOD 400 - COLO2'!$B:Y,24,FALSE),"N/A")</f>
        <v>OUTDATED</v>
      </c>
      <c r="CT12" s="80" t="str">
        <f>IFERROR(VLOOKUP($B12,'LOD 400 - COLO2'!$B:DQ,27,FALSE),"N/A")</f>
        <v>OUTDATED</v>
      </c>
      <c r="CU12" s="90" t="str">
        <f>IFERROR(VLOOKUP($B12,'LOD 400 - COLO2'!$B:AE,30,FALSE),"N/A")</f>
        <v>OUTDATED</v>
      </c>
      <c r="CV12" s="81">
        <f>IFERROR(VLOOKUP($B12,'LOD 400 - COLO2'!$B:AH,33,FALSE),"N/A")</f>
        <v>0.52</v>
      </c>
      <c r="CW12" s="90" t="str">
        <f>IFERROR(VLOOKUP($B12,'LOD 400 - COLO2'!$B:AK,36,FALSE),"N/A")</f>
        <v>OUTDATED</v>
      </c>
      <c r="CX12" s="85" t="str">
        <f>IFERROR(VLOOKUP($B12,'LOD 400 - COLO2'!$B:AN,39,FALSE),"N/A")</f>
        <v>NEXT ROUND</v>
      </c>
      <c r="CY12" s="88">
        <f>IFERROR(VLOOKUP($B12,'LOD 400 - COLO2'!$B:AQ,42,FALSE),"N/A")</f>
        <v>0.86</v>
      </c>
      <c r="CZ12" s="84" t="str">
        <f>IFERROR(VLOOKUP($B12,'LOD 400 - COLO2'!$B:AT,45,FALSE),"N/A")</f>
        <v>OUTDATED</v>
      </c>
      <c r="DA12" s="85" t="str">
        <f>IFERROR(VLOOKUP($B12,'LOD 400 - COLO2'!$B:AW,48,FALSE),"N/A")</f>
        <v>OUTDATED</v>
      </c>
      <c r="DB12" s="84" t="str">
        <f>IFERROR(VLOOKUP($B12,'LOD 400 - COLO2'!$B:AZ,51,FALSE),"N/A")</f>
        <v>OUTDATED</v>
      </c>
      <c r="DC12" s="84" t="str">
        <f>IFERROR(VLOOKUP($B12,'LOD 400 - COLO2'!$B:BC,54,FALSE),"N/A")</f>
        <v>OUTDATED</v>
      </c>
      <c r="DD12" s="84" t="str">
        <f>IFERROR(VLOOKUP($B12,'LOD 400 - COLO2'!$B:BF,57,FALSE),"N/A")</f>
        <v>OUTDATED</v>
      </c>
      <c r="DE12" s="84" t="str">
        <f>IFERROR(VLOOKUP($B12,'LOD 400 - COLO2'!$B:BI,60,FALSE),"N/A")</f>
        <v>OUTDATED</v>
      </c>
      <c r="DF12" s="84" t="str">
        <f>IFERROR(VLOOKUP($B12,'LOD 400 - COLO2'!$B:BL,63,FALSE),"N/A")</f>
        <v>OUTDATED</v>
      </c>
      <c r="DG12" s="84" t="str">
        <f>IFERROR(VLOOKUP($B12,'LOD 400 - COLO2'!$B:BO,66,FALSE),"N/A")</f>
        <v>OUTDATED</v>
      </c>
      <c r="DH12" s="84" t="str">
        <f>IFERROR(VLOOKUP($B12,'LOD 400 - COLO2'!$B:BR,69,FALSE),"N/A")</f>
        <v>OUTDATED</v>
      </c>
      <c r="DI12" s="84" t="str">
        <f>IFERROR(VLOOKUP($B12,'LOD 400 - COLO2'!$B:BU,72,FALSE),"N/A")</f>
        <v>OUTDATED</v>
      </c>
      <c r="DJ12" s="84" t="str">
        <f>IFERROR(VLOOKUP($B12,'LOD 400 - COLO2'!$B:BX,75,FALSE),"N/A")</f>
        <v>OUTDATED</v>
      </c>
      <c r="DK12" s="84">
        <f>IFERROR(VLOOKUP($B12,'LOD 400 - COLO2'!$B:CA,78,FALSE),"N/A")</f>
        <v>0.89</v>
      </c>
      <c r="DL12" s="84" t="str">
        <f>IFERROR(VLOOKUP($B12,'LOD 400 - COLO2'!$B:CD,81,FALSE),"N/A")</f>
        <v>OUTDATED</v>
      </c>
      <c r="DM12" s="85" t="str">
        <f>IFERROR(VLOOKUP($B12,'LOD 400 - COLO2'!$B:CG,84,FALSE),"N/A")</f>
        <v>OUTDATED</v>
      </c>
      <c r="DN12" s="84" t="str">
        <f>IFERROR(VLOOKUP($B12,'LOD 400 - COLO2'!$B:CJ,87,FALSE),"N/A")</f>
        <v>OUTDATED</v>
      </c>
      <c r="DO12" s="85" t="str">
        <f>IFERROR(VLOOKUP($B12,'LOD 400 - COLO2'!$B:CM,90,FALSE),"N/A")</f>
        <v>OUTDATED</v>
      </c>
      <c r="DP12" s="84" t="str">
        <f>IFERROR(VLOOKUP($B12,'LOD 400 - COLO2'!$B:CP,93,FALSE),"N/A")</f>
        <v>NEXT ROUND</v>
      </c>
      <c r="DQ12" s="84">
        <f>IFERROR(VLOOKUP($B12,'LOD 400 - COLO2'!$B:CS,96,FALSE),"N/A")</f>
        <v>1</v>
      </c>
      <c r="DR12" s="84">
        <f>IFERROR(VLOOKUP($B12,'LOD 400 - COLO2'!$B:CV,99,FALSE),"N/A")</f>
        <v>1</v>
      </c>
      <c r="DS12" s="84">
        <f>IFERROR(VLOOKUP($B12,'LOD 400 - COLO2'!$B:CY,102,FALSE),"N/A")</f>
        <v>1</v>
      </c>
      <c r="DT12" s="84">
        <f>IFERROR(VLOOKUP($B12,'LOD 400 - COLO2'!$B:DB,105,FALSE),"N/A")</f>
        <v>1</v>
      </c>
      <c r="DU12" s="84">
        <f>IFERROR(VLOOKUP($B12,'LOD 400 - COLO2'!$B:DE,108,FALSE),"N/A")</f>
        <v>1</v>
      </c>
      <c r="DV12" s="84">
        <f>IFERROR(VLOOKUP($B12,'LOD 400 - COLO2'!$B:DH,111,FALSE),"N/A")</f>
        <v>1</v>
      </c>
      <c r="DW12" s="84">
        <f>IFERROR(VLOOKUP($B12,'LOD 400 - COLO2'!$B:DK,114,FALSE),"N/A")</f>
        <v>1</v>
      </c>
      <c r="DX12" s="84">
        <f>IFERROR(VLOOKUP($B12,'LOD 400 - COLO2'!$B:DN,117,FALSE),"N/A")</f>
        <v>1</v>
      </c>
      <c r="DY12" s="91">
        <f>IFERROR(__xludf.DUMMYFUNCTION("IFERROR(
  MAX(FILTER(CQ12:DW12, ISNUMBER(CQ12:DW12))),
  DW12
)"),1.0)</f>
        <v>1</v>
      </c>
      <c r="DZ12" s="92">
        <f>IFERROR(VLOOKUP($B12,'LOD 400 - COLO3'!B:S,18,FALSE),"N/A")</f>
        <v>0</v>
      </c>
      <c r="EA12" s="84">
        <f>IFERROR(VLOOKUP($B12,'LOD 400 - COLO3'!B:V,21,FALSE),"N/A")</f>
        <v>0</v>
      </c>
      <c r="EB12" s="84">
        <f>IFERROR(VLOOKUP($B12,'LOD 400 - COLO3'!B:Y,24,FALSE),"N/A")</f>
        <v>0</v>
      </c>
      <c r="EC12" s="84">
        <f>IFERROR(VLOOKUP($B12,'LOD 400 - COLO3'!B:AB,27,FALSE),"N/A")</f>
        <v>0.89</v>
      </c>
      <c r="ED12" s="85" t="str">
        <f>IFERROR(VLOOKUP($B12,'LOD 400 - COLO3'!B:AE,30,FALSE),"N/A")</f>
        <v>OUTDATED</v>
      </c>
      <c r="EE12" s="84" t="str">
        <f>IFERROR(VLOOKUP($B12,'LOD 400 - COLO3'!B:AH,33,FALSE),"N/A")</f>
        <v>OUTDATED</v>
      </c>
      <c r="EF12" s="84" t="str">
        <f>IFERROR(VLOOKUP($B12,'LOD 400 - COLO3'!B:AK,36,FALSE),"N/A")</f>
        <v>OUTDATED</v>
      </c>
      <c r="EG12" s="109" t="str">
        <f>IFERROR(VLOOKUP($B12,'LOD 400 - COLO3'!B:AN,39,FALSE),"N/A")</f>
        <v>NEXT ROUND</v>
      </c>
      <c r="EH12" s="94">
        <f>IFERROR(VLOOKUP($B12,'LOD 400 - COLO3'!B:AQ,42,FALSE),"N/A")</f>
        <v>1</v>
      </c>
      <c r="EI12" s="94">
        <f>IFERROR(VLOOKUP($B12,'LOD 400 - COLO3'!B:AT,45,FALSE),"N/A")</f>
        <v>1</v>
      </c>
      <c r="EJ12" s="94">
        <f>IFERROR(VLOOKUP($B12,'LOD 400 - COLO3'!B:AW,48,FALSE),"N/A")</f>
        <v>1</v>
      </c>
      <c r="EK12" s="94">
        <f>IFERROR(VLOOKUP($B12,'LOD 400 - COLO3'!B:AZ,51,FALSE),"N/A")</f>
        <v>1</v>
      </c>
      <c r="EL12" s="94">
        <f>IFERROR(VLOOKUP($B12,'LOD 400 - COLO3'!B:BC,54,FALSE),"N/A")</f>
        <v>1</v>
      </c>
      <c r="EM12" s="94">
        <f>IFERROR(VLOOKUP($B12,'LOD 400 - COLO3'!B:BF,57,FALSE),"N/A")</f>
        <v>1</v>
      </c>
      <c r="EN12" s="94">
        <f>IFERROR(VLOOKUP($B12,'LOD 400 - COLO3'!B:BI,60,FALSE),"N/A")</f>
        <v>1</v>
      </c>
      <c r="EO12" s="94">
        <f>IFERROR(VLOOKUP($B12,'LOD 400 - COLO3'!B:BL,63,FALSE),"N/A")</f>
        <v>1</v>
      </c>
      <c r="EP12" s="86">
        <f>IFERROR(__xludf.DUMMYFUNCTION("IFERROR(
  MAX(FILTER(DZ12:EO12, ISNUMBER(DZ12:EO12))),
  EO12
)"),1.0)</f>
        <v>1</v>
      </c>
      <c r="EQ12" s="95">
        <f>IFERROR(VLOOKUP($B12,'LOD 400 - COLO4'!B:S,18,FALSE),"N/A")</f>
        <v>0</v>
      </c>
      <c r="ER12" s="96">
        <f>IFERROR(__xludf.DUMMYFUNCTION("IFERROR(
  MAX(FILTER(EQ12, ISNUMBER(EQ12))),
  EQ12
)"),0.0)</f>
        <v>0</v>
      </c>
      <c r="ES12" s="79" t="str">
        <f>IFERROR(VLOOKUP($B12,'LOD 400 - SITE'!B:S,18,FALSE),"N/A")</f>
        <v>N/A</v>
      </c>
      <c r="ET12" s="80" t="str">
        <f>IFERROR(VLOOKUP($B12,'LOD 400 - SITE'!B:V,21,FALSE),"N/A")</f>
        <v>N/A</v>
      </c>
      <c r="EU12" s="97" t="str">
        <f>IFERROR(VLOOKUP($B12,'LOD 400 - SITE'!$B:Y,24,FALSE),"N/A")</f>
        <v>N/A</v>
      </c>
      <c r="EV12" s="80" t="str">
        <f>IFERROR(VLOOKUP($B12,'LOD 400 - SITE'!$B:AB,27,FALSE),"N/A")</f>
        <v>N/A</v>
      </c>
      <c r="EW12" s="81" t="str">
        <f>IFERROR(VLOOKUP($B12,'LOD 400 - SITE'!$B:AE,30,FALSE),"N/A")</f>
        <v>N/A</v>
      </c>
      <c r="EX12" s="87" t="str">
        <f>IFERROR(VLOOKUP($B12,'LOD 400 - SITE'!$B:AH,33,FALSE),"N/A")</f>
        <v>N/A</v>
      </c>
      <c r="EY12" s="87" t="str">
        <f>IFERROR(VLOOKUP($B12,'LOD 400 - SITE'!$B:AK,36,FALSE),"N/A")</f>
        <v>N/A</v>
      </c>
      <c r="EZ12" s="80" t="str">
        <f>IFERROR(VLOOKUP($B12,'LOD 400 - SITE'!$B:AN,39,FALSE),"N/A")</f>
        <v>N/A</v>
      </c>
      <c r="FA12" s="82" t="str">
        <f>IFERROR(VLOOKUP($B12,'LOD 400 - SITE'!$B:AQ,42,FALSE),"N/A")</f>
        <v>N/A</v>
      </c>
      <c r="FB12" s="88" t="str">
        <f>IFERROR(VLOOKUP($B12,'LOD 400 - SITE'!$B:AT,45,FALSE),"N/A")</f>
        <v>N/A</v>
      </c>
      <c r="FC12" s="84" t="str">
        <f>IFERROR(VLOOKUP($B12,'LOD 400 - SITE'!$B:AW,48,FALSE),"N/A")</f>
        <v>N/A</v>
      </c>
      <c r="FD12" s="84" t="str">
        <f>IFERROR(VLOOKUP($B12,'LOD 400 - SITE'!$B:AZ,51,FALSE),"N/A")</f>
        <v>N/A</v>
      </c>
      <c r="FE12" s="84" t="str">
        <f>IFERROR(VLOOKUP($B12,'LOD 400 - SITE'!$B:BC,54,FALSE),"N/A")</f>
        <v>N/A</v>
      </c>
      <c r="FF12" s="84" t="str">
        <f>IFERROR(VLOOKUP($B12,'LOD 400 - SITE'!$B:BF,57,FALSE),"N/A")</f>
        <v>N/A</v>
      </c>
      <c r="FG12" s="84" t="str">
        <f>IFERROR(VLOOKUP($B12,'LOD 400 - SITE'!$B:BI,60,FALSE),"N/A")</f>
        <v>N/A</v>
      </c>
      <c r="FH12" s="84" t="str">
        <f>IFERROR(VLOOKUP($B12,'LOD 400 - SITE'!$B:BL,63,FALSE),"N/A")</f>
        <v>N/A</v>
      </c>
      <c r="FI12" s="84" t="str">
        <f>IFERROR(VLOOKUP($B12,'LOD 400 - SITE'!$B:BO,66,FALSE),"N/A")</f>
        <v>N/A</v>
      </c>
      <c r="FJ12" s="84" t="str">
        <f>IFERROR(VLOOKUP($B12,'LOD 400 - SITE'!$B:BR,69,FALSE),"N/A")</f>
        <v>N/A</v>
      </c>
      <c r="FK12" s="84" t="str">
        <f>IFERROR(VLOOKUP($B12,'LOD 400 - SITE'!$B:BU,72,FALSE),"N/A")</f>
        <v>N/A</v>
      </c>
      <c r="FL12" s="84" t="str">
        <f>IFERROR(VLOOKUP($B12,'LOD 400 - SITE'!$B:BX,75,FALSE),"N/A")</f>
        <v>N/A</v>
      </c>
      <c r="FM12" s="84" t="str">
        <f>IFERROR(VLOOKUP($B12,'LOD 400 - SITE'!$B:CA,78,FALSE),"N/A")</f>
        <v>N/A</v>
      </c>
      <c r="FN12" s="85" t="str">
        <f>IFERROR(VLOOKUP($B12,'LOD 400 - SITE'!$B:CD,81,FALSE),"N/A")</f>
        <v>N/A</v>
      </c>
      <c r="FO12" s="84" t="str">
        <f>IFERROR(VLOOKUP($B12,'LOD 400 - SITE'!$B:CG,84,FALSE),"N/A")</f>
        <v>N/A</v>
      </c>
      <c r="FP12" s="85" t="str">
        <f>IFERROR(VLOOKUP($B12,'LOD 400 - SITE'!$B:CJ,87,FALSE),"N/A")</f>
        <v>N/A</v>
      </c>
      <c r="FQ12" s="84" t="str">
        <f>IFERROR(VLOOKUP($B12,'LOD 400 - SITE'!$B:CM,90,FALSE),"N/A")</f>
        <v>N/A</v>
      </c>
      <c r="FR12" s="84" t="str">
        <f>IFERROR(VLOOKUP($B12,'LOD 400 - SITE'!$B:CP,93,FALSE),"N/A")</f>
        <v>N/A</v>
      </c>
      <c r="FS12" s="84" t="str">
        <f>IFERROR(VLOOKUP($B12,'LOD 400 - SITE'!$B:CS,96,FALSE),"N/A")</f>
        <v>N/A</v>
      </c>
      <c r="FT12" s="84" t="str">
        <f>IFERROR(VLOOKUP($B12,'LOD 400 - SITE'!$B:CV,99,FALSE),"N/A")</f>
        <v>N/A</v>
      </c>
      <c r="FU12" s="84" t="str">
        <f>IFERROR(VLOOKUP($B12,'LOD 400 - SITE'!$B:CY,102,FALSE),"N/A")</f>
        <v>N/A</v>
      </c>
      <c r="FV12" s="84" t="str">
        <f>IFERROR(VLOOKUP($B12,'LOD 400 - SITE'!$B:DB,105,FALSE),"N/A")</f>
        <v>N/A</v>
      </c>
      <c r="FW12" s="84" t="str">
        <f>IFERROR(VLOOKUP($B12,'LOD 400 - SITE'!$B:DE,108,FALSE),"N/A")</f>
        <v>N/A</v>
      </c>
      <c r="FX12" s="84" t="str">
        <f>IFERROR(VLOOKUP($B12,'LOD 400 - SITE'!$B:DH,111,FALSE),"N/A")</f>
        <v>N/A</v>
      </c>
      <c r="FY12" s="84" t="str">
        <f>IFERROR(VLOOKUP($B12,'LOD 400 - SITE'!$B:DK,114,FALSE),"N/A")</f>
        <v>N/A</v>
      </c>
      <c r="FZ12" s="96" t="str">
        <f>IFERROR(__xludf.DUMMYFUNCTION("IFERROR(
  MAX(FILTER(ES12:FY12, ISNUMBER(ES12:FY12))),
  FY12
)"),"N/A")</f>
        <v>N/A</v>
      </c>
      <c r="GA12" s="80" t="str">
        <f>IFERROR(VLOOKUP($B12,'LOD 400 - UTLS'!B:S,18,FALSE),"N/A")</f>
        <v>N/A</v>
      </c>
      <c r="GB12" s="98" t="str">
        <f>IFERROR(VLOOKUP($B12,'LOD 400 - UTLS'!B:V,21,FALSE),"N/A")</f>
        <v>N/A</v>
      </c>
      <c r="GC12" s="81" t="str">
        <f>IFERROR(VLOOKUP($B12,'LOD 400 - UTLS'!B:Y,24,FALSE),"N/A")</f>
        <v>N/A</v>
      </c>
      <c r="GD12" s="87" t="str">
        <f>IFERROR(VLOOKUP($B12,'LOD 400 - UTLS'!$B:AB,27,FALSE),"N/A")</f>
        <v>N/A</v>
      </c>
      <c r="GE12" s="80" t="str">
        <f>IFERROR(VLOOKUP($B12,'LOD 400 - UTLS'!$B:AE,30,FALSE),"N/A")</f>
        <v>N/A</v>
      </c>
      <c r="GF12" s="82" t="str">
        <f>IFERROR(VLOOKUP($B12,'LOD 400 - UTLS'!$B:AH,33,FALSE),"N/A")</f>
        <v>N/A</v>
      </c>
      <c r="GG12" s="88" t="str">
        <f>IFERROR(VLOOKUP($B12,'LOD 400 - UTLS'!$B:AK,36,FALSE),"N/A")</f>
        <v>N/A</v>
      </c>
      <c r="GH12" s="84" t="str">
        <f>IFERROR(VLOOKUP($B12,'LOD 400 - UTLS'!$B:AN,39,FALSE),"N/A")</f>
        <v>N/A</v>
      </c>
      <c r="GI12" s="84" t="str">
        <f>IFERROR(VLOOKUP($B12,'LOD 400 - UTLS'!$B:AQ,42,FALSE),"N/A")</f>
        <v>N/A</v>
      </c>
      <c r="GJ12" s="84" t="str">
        <f>IFERROR(VLOOKUP($B12,'LOD 400 - UTLS'!$B:AT,45,FALSE),"N/A")</f>
        <v>N/A</v>
      </c>
      <c r="GK12" s="84" t="str">
        <f>IFERROR(VLOOKUP($B12,'LOD 400 - UTLS'!$B:AW,48,FALSE),"N/A")</f>
        <v>N/A</v>
      </c>
      <c r="GL12" s="84" t="str">
        <f>IFERROR(VLOOKUP($B12,'LOD 400 - UTLS'!$B:AZ,51,FALSE),"N/A")</f>
        <v>N/A</v>
      </c>
      <c r="GM12" s="84" t="str">
        <f>IFERROR(VLOOKUP($B12,'LOD 400 - UTLS'!$B:BC,54,FALSE),"N/A")</f>
        <v>N/A</v>
      </c>
      <c r="GN12" s="84" t="str">
        <f>IFERROR(VLOOKUP($B12,'LOD 400 - UTLS'!$B:BF,57,FALSE),"N/A")</f>
        <v>N/A</v>
      </c>
      <c r="GO12" s="84" t="str">
        <f>IFERROR(VLOOKUP($B12,'LOD 400 - UTLS'!$B:BI,60,FALSE),"N/A")</f>
        <v>N/A</v>
      </c>
      <c r="GP12" s="84" t="str">
        <f>IFERROR(VLOOKUP($B12,'LOD 400 - UTLS'!$B:BL,63,FALSE),"N/A")</f>
        <v>N/A</v>
      </c>
      <c r="GQ12" s="84" t="str">
        <f>IFERROR(VLOOKUP($B12,'LOD 400 - UTLS'!$B:BO,66,FALSE),"N/A")</f>
        <v>N/A</v>
      </c>
      <c r="GR12" s="84" t="str">
        <f>IFERROR(VLOOKUP($B12,'LOD 400 - UTLS'!$B:BR,69,FALSE),"N/A")</f>
        <v>N/A</v>
      </c>
      <c r="GS12" s="85" t="str">
        <f>IFERROR(VLOOKUP($B12,'LOD 400 - UTLS'!$B:BU,72,FALSE),"N/A")</f>
        <v>N/A</v>
      </c>
      <c r="GT12" s="84" t="str">
        <f>IFERROR(VLOOKUP($B12,'LOD 400 - UTLS'!$B:BX,75,FALSE),"N/A")</f>
        <v>N/A</v>
      </c>
      <c r="GU12" s="85" t="str">
        <f>IFERROR(VLOOKUP($B12,'LOD 400 - UTLS'!$B:CA,78,FALSE),"N/A")</f>
        <v>N/A</v>
      </c>
      <c r="GV12" s="84" t="str">
        <f>IFERROR(VLOOKUP($B12,'LOD 400 - UTLS'!$B:CD,81,FALSE),"N/A")</f>
        <v>N/A</v>
      </c>
      <c r="GW12" s="84" t="str">
        <f>IFERROR(VLOOKUP($B12,'LOD 400 - UTLS'!$B:CG,84,FALSE),"N/A")</f>
        <v>N/A</v>
      </c>
      <c r="GX12" s="84" t="str">
        <f>IFERROR(VLOOKUP($B12,'LOD 400 - UTLS'!$B:CJ,87,FALSE),"N/A")</f>
        <v>N/A</v>
      </c>
      <c r="GY12" s="84" t="str">
        <f>IFERROR(VLOOKUP($B12,'LOD 400 - UTLS'!$B:CM,90,FALSE),"N/A")</f>
        <v>N/A</v>
      </c>
      <c r="GZ12" s="84" t="str">
        <f>IFERROR(VLOOKUP($B12,'LOD 400 - UTLS'!$B:CP,93,FALSE),"N/A")</f>
        <v>N/A</v>
      </c>
      <c r="HA12" s="84" t="str">
        <f>IFERROR(VLOOKUP($B12,'LOD 400 - UTLS'!$B:CS,96,FALSE),"N/A")</f>
        <v>N/A</v>
      </c>
      <c r="HB12" s="84" t="str">
        <f>IFERROR(VLOOKUP($B12,'LOD 400 - UTLS'!$B:CV,99,FALSE),"N/A")</f>
        <v>N/A</v>
      </c>
      <c r="HC12" s="84" t="str">
        <f>IFERROR(VLOOKUP($B12,'LOD 400 - UTLS'!$B:CY,102,FALSE),"N/A")</f>
        <v>N/A</v>
      </c>
      <c r="HD12" s="84" t="str">
        <f>IFERROR(VLOOKUP($B12,'LOD 400 - UTLS'!$B:DB,105,FALSE),"N/A")</f>
        <v>N/A</v>
      </c>
      <c r="HE12" s="96" t="str">
        <f>IFERROR(__xludf.DUMMYFUNCTION("IFERROR(
  MAX(FILTER(GA12:HD12, ISNUMBER(GA12:HD12))),
  HD12
)"),"N/A")</f>
        <v>N/A</v>
      </c>
      <c r="HF12" s="99"/>
      <c r="HG12" s="99"/>
      <c r="HH12" s="99"/>
      <c r="HI12" s="99"/>
      <c r="HJ12" s="99"/>
      <c r="HK12" s="99"/>
    </row>
    <row r="13" ht="15.0" customHeight="1" outlineLevel="1">
      <c r="A13" s="53">
        <v>15.0</v>
      </c>
      <c r="B13" s="100" t="s">
        <v>100</v>
      </c>
      <c r="C13" s="100" t="s">
        <v>101</v>
      </c>
      <c r="D13" s="64" t="str">
        <f t="shared" si="1"/>
        <v>SITE</v>
      </c>
      <c r="E13" s="111" t="s">
        <v>91</v>
      </c>
      <c r="F13" s="102">
        <v>1104.0</v>
      </c>
      <c r="G13" s="103" t="s">
        <v>92</v>
      </c>
      <c r="H13" s="104">
        <v>1127.0</v>
      </c>
      <c r="I13" s="68" t="str">
        <f>IFERROR(VLOOKUP($C10:C108,'R22 RELATÓRIO ACC'!B:F,5,FALSE),"NOT PUBLISHED")</f>
        <v>V12</v>
      </c>
      <c r="J13" s="69" t="str">
        <f>IFERROR(VLOOKUP($C10:C108,'R22 RELATÓRIO ACC'!B:P,15,FALSE),"NOT PUBLISHED")</f>
        <v>06/04/2026</v>
      </c>
      <c r="K13" s="70" t="str">
        <f>IFERROR(VLOOKUP($B10:B108,'RELATÓRIO ACC'!B:F,5,FALSE),"NOT PUBLISHED")</f>
        <v>V1</v>
      </c>
      <c r="L13" s="71" t="str">
        <f>IFERROR(VLOOKUP($B10:B108,'RELATÓRIO ACC'!B:P,15,FALSE),"NOT PUBLISHED")</f>
        <v>15/05/2026</v>
      </c>
      <c r="M13" s="72" t="str">
        <f>IF(OR($D13="UTLS",$D13="GUAR",$D13="STIR",$D13="PUMP",$D13="SITE"),
   VLOOKUP($B13,'LOD 400 - SITE'!B:M,12,FALSE),
   VLOOKUP($B13,'LOD 400 - ADMN'!B:M,12,FALSE)
)</f>
        <v>V2</v>
      </c>
      <c r="N13" s="105">
        <f>IF(OR($D13="UTLS",$D13="GUAR",$D13="STIR",$D13="PUMP",$D13="SITE"),
   VLOOKUP($B13,'LOD 400 - SITE'!B:N,13,FALSE),
   VLOOKUP($B13,'LOD 400 - ADMN'!B:N,13,FALSE)
)</f>
        <v>46171</v>
      </c>
      <c r="O13" s="106" t="str">
        <f>IF(OR($D13="UTLS",$D13="GUAR",$D13="STIR",$D13="PUMP",$D13="SITE"),
   VLOOKUP($B13,'LOD 400 - SITE'!B:O,14,FALSE),
   VLOOKUP($B13,'LOD 400 - ADMN'!B:O,14,FALSE)
)</f>
        <v>R24</v>
      </c>
      <c r="P13" s="107" t="str">
        <f>IF(OR($D13="C345",$D13="C12A",$D13="DATA"),
   VLOOKUP($B13,'LOD 400 - COLO3'!B:M,12,FALSE),"N/A")</f>
        <v>N/A</v>
      </c>
      <c r="Q13" s="108" t="str">
        <f>IF(OR($D13="C345",$D13="C12A",$D13="DATA"),
   VLOOKUP($B13,'LOD 400 - COLO3'!B:N,13,FALSE),"N/A")</f>
        <v>N/A</v>
      </c>
      <c r="R13" s="75" t="str">
        <f>IF(OR($D13="C345",$D13="C12A",$D13="DATA"),
   VLOOKUP($B13,'LOD 400 - COLO3'!B:O,14,FALSE),"N/A")</f>
        <v>N/A</v>
      </c>
      <c r="S13" s="76" t="str">
        <f>IF(OR($D13="C345",$D13="C12A",$D13="DATA"),
   VLOOKUP($B13,'LOD 400 - COLO4'!B:N,12,FALSE),"N/A")</f>
        <v>N/A</v>
      </c>
      <c r="T13" s="76" t="str">
        <f>IF(OR($D13="C345",$D13="C12A",$D13="DATA"),
   VLOOKUP($B13,'LOD 400 - COLO4'!B:N,13,FALSE),"N/A")</f>
        <v>N/A</v>
      </c>
      <c r="U13" s="76" t="str">
        <f>IF(OR($D13="C345",$D13="C12A",$D13="DATA"),
   VLOOKUP($B13,'LOD 400 - COLO4'!B:N,13,FALSE),"N/A")</f>
        <v>N/A</v>
      </c>
      <c r="V13" s="77" t="str">
        <f>IF(OR($D13="UTLS",$D13="GUAR",$D13="STIR",$D13="PUMP",$D13="SITE"),
   VLOOKUP($B13,'LOD 400 - UTLS'!B:M,12,FALSE),"N/A")</f>
        <v>V2</v>
      </c>
      <c r="W13" s="78">
        <f>IF(OR($D13="UTLS",$D13="GUAR",$D13="STIR",$D13="PUMP",$D13="SITE"),
   VLOOKUP($B13,'LOD 400 - UTLS'!B:N,13,FALSE),"N/A")</f>
        <v>46171</v>
      </c>
      <c r="X13" s="108" t="str">
        <f>IF(OR($D13="UTLS",$D13="GUAR",$D13="STIR",$D13="PUMP",$D13="SITE"),
   VLOOKUP($B13,'LOD 400 - UTLS'!B:O,14,FALSE),"N/A")</f>
        <v>R24</v>
      </c>
      <c r="Y13" s="79" t="str">
        <f>IFERROR(VLOOKUP($B13,'LOD 400 - ADMN'!B:S,18,FALSE),"N/A")</f>
        <v>N/A</v>
      </c>
      <c r="Z13" s="79" t="str">
        <f>IFERROR(VLOOKUP($B13,'LOD 400 - ADMN'!B:V,21,FALSE),"N/A")</f>
        <v>N/A</v>
      </c>
      <c r="AA13" s="79" t="str">
        <f>IFERROR(VLOOKUP($B13,'LOD 400 - ADMN'!$B:Y,24,FALSE),"N/A")</f>
        <v>N/A</v>
      </c>
      <c r="AB13" s="80" t="str">
        <f>IFERROR(VLOOKUP($B13,'LOD 400 - ADMN'!$B:AB,27,FALSE),"N/A")</f>
        <v>N/A</v>
      </c>
      <c r="AC13" s="81" t="str">
        <f>IFERROR(VLOOKUP($B13,'LOD 400 - ADMN'!$B:AE,30,FALSE),"N/A")</f>
        <v>N/A</v>
      </c>
      <c r="AD13" s="81" t="str">
        <f>IFERROR(VLOOKUP($B13,'LOD 400 - ADMN'!$B:AH,33,FALSE),"N/A")</f>
        <v>N/A</v>
      </c>
      <c r="AE13" s="80" t="str">
        <f>IFERROR(VLOOKUP($B13,'LOD 400 - ADMN'!$B:AK,36,FALSE),"N/A")</f>
        <v>N/A</v>
      </c>
      <c r="AF13" s="82" t="str">
        <f>IFERROR(VLOOKUP($B13,'LOD 400 - ADMN'!$B:AN,39,FALSE),"N/A")</f>
        <v>N/A</v>
      </c>
      <c r="AG13" s="83" t="str">
        <f>IFERROR(VLOOKUP($B13,'LOD 400 - ADMN'!$B:AQ,42,FALSE),"N/A")</f>
        <v>N/A</v>
      </c>
      <c r="AH13" s="84" t="str">
        <f>IFERROR(VLOOKUP($B13,'LOD 400 - ADMN'!$B:AT,45,FALSE),"N/A")</f>
        <v>N/A</v>
      </c>
      <c r="AI13" s="85" t="str">
        <f>IFERROR(VLOOKUP($B13,'LOD 400 - ADMN'!$B:AW,48,FALSE),"N/A")</f>
        <v>N/A</v>
      </c>
      <c r="AJ13" s="85" t="str">
        <f>IFERROR(VLOOKUP($B13,'LOD 400 - ADMN'!$B:AZ,51,FALSE),"N/A")</f>
        <v>N/A</v>
      </c>
      <c r="AK13" s="84" t="str">
        <f>IFERROR(VLOOKUP($B13,'LOD 400 - ADMN'!$B:BC,54,FALSE),"N/A")</f>
        <v>N/A</v>
      </c>
      <c r="AL13" s="84" t="str">
        <f>IFERROR(VLOOKUP($B13,'LOD 400 - ADMN'!$B:BF,57,FALSE),"N/A")</f>
        <v>N/A</v>
      </c>
      <c r="AM13" s="84" t="str">
        <f>IFERROR(VLOOKUP($B13,'LOD 400 - ADMN'!$B:BI,60,FALSE),"N/A")</f>
        <v>N/A</v>
      </c>
      <c r="AN13" s="84" t="str">
        <f>IFERROR(VLOOKUP($B13,'LOD 400 - ADMN'!$B:BL,63,FALSE),"N/A")</f>
        <v>N/A</v>
      </c>
      <c r="AO13" s="84" t="str">
        <f>IFERROR(VLOOKUP($B13,'LOD 400 - ADMN'!$B:BO,66,FALSE),"N/A")</f>
        <v>N/A</v>
      </c>
      <c r="AP13" s="84" t="str">
        <f>IFERROR(VLOOKUP($B13,'LOD 400 - ADMN'!$B:BR,69,FALSE),"N/A")</f>
        <v>N/A</v>
      </c>
      <c r="AQ13" s="84" t="str">
        <f>IFERROR(VLOOKUP($B13,'LOD 400 - ADMN'!$B:BU,72,FALSE),"N/A")</f>
        <v>N/A</v>
      </c>
      <c r="AR13" s="84" t="str">
        <f>IFERROR(VLOOKUP($B13,'LOD 400 - ADMN'!$B:BX,75,FALSE),"N/A")</f>
        <v>N/A</v>
      </c>
      <c r="AS13" s="84" t="str">
        <f>IFERROR(VLOOKUP($B13,'LOD 400 - ADMN'!$B:CA,78,FALSE),"N/A")</f>
        <v>N/A</v>
      </c>
      <c r="AT13" s="84" t="str">
        <f>IFERROR(VLOOKUP($B13,'LOD 400 - ADMN'!$B:CD,81,FALSE),"N/A")</f>
        <v>N/A</v>
      </c>
      <c r="AU13" s="85" t="str">
        <f>IFERROR(VLOOKUP($B13,'LOD 400 - ADMN'!$B:CG,84,FALSE),"N/A")</f>
        <v>N/A</v>
      </c>
      <c r="AV13" s="84" t="str">
        <f>IFERROR(VLOOKUP($B13,'LOD 400 - ADMN'!$B:CJ,87,FALSE),"N/A")</f>
        <v>N/A</v>
      </c>
      <c r="AW13" s="85" t="str">
        <f>IFERROR(VLOOKUP($B13,'LOD 400 - ADMN'!$B:CM,90,FALSE),"N/A")</f>
        <v>N/A</v>
      </c>
      <c r="AX13" s="84" t="str">
        <f>IFERROR(VLOOKUP($B13,'LOD 400 - ADMN'!$B:CP,93,FALSE),"N/A")</f>
        <v>N/A</v>
      </c>
      <c r="AY13" s="84" t="str">
        <f>IFERROR(VLOOKUP($B13,'LOD 400 - ADMN'!$B:CS,96,FALSE),"N/A")</f>
        <v>N/A</v>
      </c>
      <c r="AZ13" s="84" t="str">
        <f>IFERROR(VLOOKUP($B13,'LOD 400 - ADMN'!$B:CV,99,FALSE),"N/A")</f>
        <v>N/A</v>
      </c>
      <c r="BA13" s="84" t="str">
        <f>IFERROR(VLOOKUP($B13,'LOD 400 - ADMN'!$B:CY,102,FALSE),"N/A")</f>
        <v>N/A</v>
      </c>
      <c r="BB13" s="84" t="str">
        <f>IFERROR(VLOOKUP($B13,'LOD 400 - ADMN'!$B:DB,105,FALSE),"N/A")</f>
        <v>N/A</v>
      </c>
      <c r="BC13" s="84" t="str">
        <f>IFERROR(VLOOKUP($B13,'LOD 400 - ADMN'!$B:DE,108,FALSE),"N/A")</f>
        <v>N/A</v>
      </c>
      <c r="BD13" s="84" t="str">
        <f>IFERROR(VLOOKUP($B13,'LOD 400 - ADMN'!$B:DH,111,FALSE),"N/A")</f>
        <v>N/A</v>
      </c>
      <c r="BE13" s="84" t="str">
        <f>IFERROR(VLOOKUP($B13,'LOD 400 - ADMN'!$B:DK,114,FALSE),"N/A")</f>
        <v>N/A</v>
      </c>
      <c r="BF13" s="84" t="str">
        <f>IFERROR(VLOOKUP($B13,'LOD 400 - ADMN'!$B:DN,117,FALSE),"N/A")</f>
        <v>N/A</v>
      </c>
      <c r="BG13" s="86" t="str">
        <f>IFERROR(__xludf.DUMMYFUNCTION("IFERROR(
  MAX(FILTER(Y13:BF13, ISNUMBER(Y13:BF13))),
  BF13
)"),"N/A")</f>
        <v>N/A</v>
      </c>
      <c r="BH13" s="79" t="str">
        <f>IFERROR(VLOOKUP($B13,'LOD 400 - COLO1'!B:S,18,FALSE),"N/A")</f>
        <v>N/A</v>
      </c>
      <c r="BI13" s="79" t="str">
        <f>IFERROR(VLOOKUP($B13,'LOD 400 - COLO1'!B:V,21,FALSE),"N/A")</f>
        <v>N/A</v>
      </c>
      <c r="BJ13" s="79" t="str">
        <f>IFERROR(VLOOKUP($B13,'LOD 400 - COLO1'!$B:Y,24,FALSE),"N/A")</f>
        <v>N/A</v>
      </c>
      <c r="BK13" s="87" t="str">
        <f>IFERROR(VLOOKUP($B13,'LOD 400 - COLO1'!$B:AB,27,FALSE),"N/A")</f>
        <v>N/A</v>
      </c>
      <c r="BL13" s="80" t="str">
        <f>IFERROR(VLOOKUP($B13,'LOD 400 - COLO1'!$B:AE,30,FALSE),"N/A")</f>
        <v>N/A</v>
      </c>
      <c r="BM13" s="81" t="str">
        <f>IFERROR(VLOOKUP($B13,'LOD 400 - COLO1'!$B:AH,33,FALSE),"N/A")</f>
        <v>N/A</v>
      </c>
      <c r="BN13" s="87" t="str">
        <f>IFERROR(VLOOKUP($B13,'LOD 400 - COLO1'!$B:AK,36,FALSE),"N/A")</f>
        <v>N/A</v>
      </c>
      <c r="BO13" s="83" t="str">
        <f>IFERROR(VLOOKUP($B13,'LOD 400 - COLO1'!$B:AN,39,FALSE),"N/A")</f>
        <v>N/A</v>
      </c>
      <c r="BP13" s="88" t="str">
        <f>IFERROR(VLOOKUP($B13,'LOD 400 - COLO1'!$B:AQ,42,FALSE),"N/A")</f>
        <v>N/A</v>
      </c>
      <c r="BQ13" s="84" t="str">
        <f>IFERROR(VLOOKUP($B13,'LOD 400 - COLO1'!$B:AT,45,FALSE),"N/A")</f>
        <v>N/A</v>
      </c>
      <c r="BR13" s="85" t="str">
        <f>IFERROR(VLOOKUP($B13,'LOD 400 - COLO1'!$B:AW,48,FALSE),"N/A")</f>
        <v>N/A</v>
      </c>
      <c r="BS13" s="84" t="str">
        <f>IFERROR(VLOOKUP($B13,'LOD 400 - COLO1'!$B:AZ,51,FALSE),"N/A")</f>
        <v>N/A</v>
      </c>
      <c r="BT13" s="84" t="str">
        <f>IFERROR(VLOOKUP($B13,'LOD 400 - COLO1'!$B:BC,54,FALSE),"N/A")</f>
        <v>N/A</v>
      </c>
      <c r="BU13" s="84" t="str">
        <f>IFERROR(VLOOKUP($B13,'LOD 400 - COLO1'!$B:BF,57,FALSE),"N/A")</f>
        <v>N/A</v>
      </c>
      <c r="BV13" s="84" t="str">
        <f>IFERROR(VLOOKUP($B13,'LOD 400 - COLO1'!$B:BI,60,FALSE),"N/A")</f>
        <v>N/A</v>
      </c>
      <c r="BW13" s="84" t="str">
        <f>IFERROR(VLOOKUP($B13,'LOD 400 - COLO1'!$B:BL,63,FALSE),"N/A")</f>
        <v>N/A</v>
      </c>
      <c r="BX13" s="84" t="str">
        <f>IFERROR(VLOOKUP($B13,'LOD 400 - COLO1'!$B:BO,66,FALSE),"N/A")</f>
        <v>N/A</v>
      </c>
      <c r="BY13" s="84" t="str">
        <f>IFERROR(VLOOKUP($B13,'LOD 400 - COLO1'!$B:BR,69,FALSE),"N/A")</f>
        <v>N/A</v>
      </c>
      <c r="BZ13" s="84" t="str">
        <f>IFERROR(VLOOKUP($B13,'LOD 400 - COLO1'!$B:BU,72,FALSE),"N/A")</f>
        <v>N/A</v>
      </c>
      <c r="CA13" s="84" t="str">
        <f>IFERROR(VLOOKUP($B13,'LOD 400 - COLO1'!$B:BX,75,FALSE),"N/A")</f>
        <v>N/A</v>
      </c>
      <c r="CB13" s="84" t="str">
        <f>IFERROR(VLOOKUP($B13,'LOD 400 - COLO1'!$B:CA,78,FALSE),"N/A")</f>
        <v>N/A</v>
      </c>
      <c r="CC13" s="84" t="str">
        <f>IFERROR(VLOOKUP($B13,'LOD 400 - COLO1'!$B:CD,81,FALSE),"N/A")</f>
        <v>N/A</v>
      </c>
      <c r="CD13" s="85" t="str">
        <f>IFERROR(VLOOKUP($B13,'LOD 400 - COLO1'!$B:CG,84,FALSE),"N/A")</f>
        <v>N/A</v>
      </c>
      <c r="CE13" s="84" t="str">
        <f>IFERROR(VLOOKUP($B13,'LOD 400 - COLO1'!$B:CJ,87,FALSE),"N/A")</f>
        <v>N/A</v>
      </c>
      <c r="CF13" s="85" t="str">
        <f>IFERROR(VLOOKUP($B13,'LOD 400 - COLO1'!$B:CM,90,FALSE),"N/A")</f>
        <v>N/A</v>
      </c>
      <c r="CG13" s="84" t="str">
        <f>IFERROR(VLOOKUP($B13,'LOD 400 - COLO1'!$B:CP,93,FALSE),"N/A")</f>
        <v>N/A</v>
      </c>
      <c r="CH13" s="84" t="str">
        <f>IFERROR(VLOOKUP($B13,'LOD 400 - COLO1'!$B:CS,96,FALSE),"N/A")</f>
        <v>N/A</v>
      </c>
      <c r="CI13" s="84" t="str">
        <f>IFERROR(VLOOKUP($B13,'LOD 400 - COLO1'!$B:CV,99,FALSE),"N/A")</f>
        <v>N/A</v>
      </c>
      <c r="CJ13" s="84" t="str">
        <f>IFERROR(VLOOKUP($B13,'LOD 400 - COLO1'!$B:CY,102,FALSE),"N/A")</f>
        <v>N/A</v>
      </c>
      <c r="CK13" s="84" t="str">
        <f>IFERROR(VLOOKUP($B13,'LOD 400 - COLO1'!$B:DB,105,FALSE),"N/A")</f>
        <v>N/A</v>
      </c>
      <c r="CL13" s="84" t="str">
        <f>IFERROR(VLOOKUP($B13,'LOD 400 - COLO1'!$B:DE,108,FALSE),"N/A")</f>
        <v>N/A</v>
      </c>
      <c r="CM13" s="84" t="str">
        <f>IFERROR(VLOOKUP($B13,'LOD 400 - COLO1'!$B:DH,111,FALSE),"N/A")</f>
        <v>N/A</v>
      </c>
      <c r="CN13" s="84" t="str">
        <f>IFERROR(VLOOKUP($B13,'LOD 400 - COLO1'!$B:DK,114,FALSE),"N/A")</f>
        <v>N/A</v>
      </c>
      <c r="CO13" s="84" t="str">
        <f>IFERROR(VLOOKUP($B13,'LOD 400 - COLO1'!$B:DN,117,FALSE),"N/A")</f>
        <v>N/A</v>
      </c>
      <c r="CP13" s="86" t="str">
        <f>IFERROR(__xludf.DUMMYFUNCTION("IFERROR(
  MAX(FILTER(BH13:CO13, ISNUMBER(BH13:CO13))),
  CO13
)"),"N/A")</f>
        <v>N/A</v>
      </c>
      <c r="CQ13" s="89" t="str">
        <f>IFERROR(VLOOKUP($B13,'LOD 400 - COLO2'!B:S,18,FALSE),"N/A")</f>
        <v>N/A</v>
      </c>
      <c r="CR13" s="79" t="str">
        <f>IFERROR(VLOOKUP($B13,'LOD 400 - COLO2'!B:V,21,FALSE),"N/A")</f>
        <v>N/A</v>
      </c>
      <c r="CS13" s="79" t="str">
        <f>IFERROR(VLOOKUP($B13,'LOD 400 - COLO2'!$B:Y,24,FALSE),"N/A")</f>
        <v>N/A</v>
      </c>
      <c r="CT13" s="80" t="str">
        <f>IFERROR(VLOOKUP($B13,'LOD 400 - COLO2'!$B:DQ,27,FALSE),"N/A")</f>
        <v>N/A</v>
      </c>
      <c r="CU13" s="90" t="str">
        <f>IFERROR(VLOOKUP($B13,'LOD 400 - COLO2'!$B:AE,30,FALSE),"N/A")</f>
        <v>N/A</v>
      </c>
      <c r="CV13" s="81" t="str">
        <f>IFERROR(VLOOKUP($B13,'LOD 400 - COLO2'!$B:AH,33,FALSE),"N/A")</f>
        <v>N/A</v>
      </c>
      <c r="CW13" s="90" t="str">
        <f>IFERROR(VLOOKUP($B13,'LOD 400 - COLO2'!$B:AK,36,FALSE),"N/A")</f>
        <v>N/A</v>
      </c>
      <c r="CX13" s="85" t="str">
        <f>IFERROR(VLOOKUP($B13,'LOD 400 - COLO2'!$B:AN,39,FALSE),"N/A")</f>
        <v>N/A</v>
      </c>
      <c r="CY13" s="88" t="str">
        <f>IFERROR(VLOOKUP($B13,'LOD 400 - COLO2'!$B:AQ,42,FALSE),"N/A")</f>
        <v>N/A</v>
      </c>
      <c r="CZ13" s="84" t="str">
        <f>IFERROR(VLOOKUP($B13,'LOD 400 - COLO2'!$B:AT,45,FALSE),"N/A")</f>
        <v>N/A</v>
      </c>
      <c r="DA13" s="85" t="str">
        <f>IFERROR(VLOOKUP($B13,'LOD 400 - COLO2'!$B:AW,48,FALSE),"N/A")</f>
        <v>N/A</v>
      </c>
      <c r="DB13" s="84" t="str">
        <f>IFERROR(VLOOKUP($B13,'LOD 400 - COLO2'!$B:AZ,51,FALSE),"N/A")</f>
        <v>N/A</v>
      </c>
      <c r="DC13" s="84" t="str">
        <f>IFERROR(VLOOKUP($B13,'LOD 400 - COLO2'!$B:BC,54,FALSE),"N/A")</f>
        <v>N/A</v>
      </c>
      <c r="DD13" s="84" t="str">
        <f>IFERROR(VLOOKUP($B13,'LOD 400 - COLO2'!$B:BF,57,FALSE),"N/A")</f>
        <v>N/A</v>
      </c>
      <c r="DE13" s="84" t="str">
        <f>IFERROR(VLOOKUP($B13,'LOD 400 - COLO2'!$B:BI,60,FALSE),"N/A")</f>
        <v>N/A</v>
      </c>
      <c r="DF13" s="84" t="str">
        <f>IFERROR(VLOOKUP($B13,'LOD 400 - COLO2'!$B:BL,63,FALSE),"N/A")</f>
        <v>N/A</v>
      </c>
      <c r="DG13" s="84" t="str">
        <f>IFERROR(VLOOKUP($B13,'LOD 400 - COLO2'!$B:BO,66,FALSE),"N/A")</f>
        <v>N/A</v>
      </c>
      <c r="DH13" s="84" t="str">
        <f>IFERROR(VLOOKUP($B13,'LOD 400 - COLO2'!$B:BR,69,FALSE),"N/A")</f>
        <v>N/A</v>
      </c>
      <c r="DI13" s="84" t="str">
        <f>IFERROR(VLOOKUP($B13,'LOD 400 - COLO2'!$B:BU,72,FALSE),"N/A")</f>
        <v>N/A</v>
      </c>
      <c r="DJ13" s="84" t="str">
        <f>IFERROR(VLOOKUP($B13,'LOD 400 - COLO2'!$B:BX,75,FALSE),"N/A")</f>
        <v>N/A</v>
      </c>
      <c r="DK13" s="84" t="str">
        <f>IFERROR(VLOOKUP($B13,'LOD 400 - COLO2'!$B:CA,78,FALSE),"N/A")</f>
        <v>N/A</v>
      </c>
      <c r="DL13" s="84" t="str">
        <f>IFERROR(VLOOKUP($B13,'LOD 400 - COLO2'!$B:CD,81,FALSE),"N/A")</f>
        <v>N/A</v>
      </c>
      <c r="DM13" s="85" t="str">
        <f>IFERROR(VLOOKUP($B13,'LOD 400 - COLO2'!$B:CG,84,FALSE),"N/A")</f>
        <v>N/A</v>
      </c>
      <c r="DN13" s="84" t="str">
        <f>IFERROR(VLOOKUP($B13,'LOD 400 - COLO2'!$B:CJ,87,FALSE),"N/A")</f>
        <v>N/A</v>
      </c>
      <c r="DO13" s="85" t="str">
        <f>IFERROR(VLOOKUP($B13,'LOD 400 - COLO2'!$B:CM,90,FALSE),"N/A")</f>
        <v>N/A</v>
      </c>
      <c r="DP13" s="84" t="str">
        <f>IFERROR(VLOOKUP($B13,'LOD 400 - COLO2'!$B:CP,93,FALSE),"N/A")</f>
        <v>N/A</v>
      </c>
      <c r="DQ13" s="84" t="str">
        <f>IFERROR(VLOOKUP($B13,'LOD 400 - COLO2'!$B:CS,96,FALSE),"N/A")</f>
        <v>N/A</v>
      </c>
      <c r="DR13" s="84" t="str">
        <f>IFERROR(VLOOKUP($B13,'LOD 400 - COLO2'!$B:CV,99,FALSE),"N/A")</f>
        <v>N/A</v>
      </c>
      <c r="DS13" s="84" t="str">
        <f>IFERROR(VLOOKUP($B13,'LOD 400 - COLO2'!$B:CY,102,FALSE),"N/A")</f>
        <v>N/A</v>
      </c>
      <c r="DT13" s="84" t="str">
        <f>IFERROR(VLOOKUP($B13,'LOD 400 - COLO2'!$B:DB,105,FALSE),"N/A")</f>
        <v>N/A</v>
      </c>
      <c r="DU13" s="84" t="str">
        <f>IFERROR(VLOOKUP($B13,'LOD 400 - COLO2'!$B:DE,108,FALSE),"N/A")</f>
        <v>N/A</v>
      </c>
      <c r="DV13" s="84" t="str">
        <f>IFERROR(VLOOKUP($B13,'LOD 400 - COLO2'!$B:DH,111,FALSE),"N/A")</f>
        <v>N/A</v>
      </c>
      <c r="DW13" s="84" t="str">
        <f>IFERROR(VLOOKUP($B13,'LOD 400 - COLO2'!$B:DK,114,FALSE),"N/A")</f>
        <v>N/A</v>
      </c>
      <c r="DX13" s="84" t="str">
        <f>IFERROR(VLOOKUP($B13,'LOD 400 - COLO2'!$B:DN,117,FALSE),"N/A")</f>
        <v>N/A</v>
      </c>
      <c r="DY13" s="91" t="str">
        <f>IFERROR(__xludf.DUMMYFUNCTION("IFERROR(
  MAX(FILTER(CQ13:DW13, ISNUMBER(CQ13:DW13))),
  DW13
)"),"N/A")</f>
        <v>N/A</v>
      </c>
      <c r="DZ13" s="92" t="str">
        <f>IFERROR(VLOOKUP($B13,'LOD 400 - COLO3'!B:S,18,FALSE),"N/A")</f>
        <v>N/A</v>
      </c>
      <c r="EA13" s="84" t="str">
        <f>IFERROR(VLOOKUP($B13,'LOD 400 - COLO3'!B:V,21,FALSE),"N/A")</f>
        <v>N/A</v>
      </c>
      <c r="EB13" s="84" t="str">
        <f>IFERROR(VLOOKUP($B13,'LOD 400 - COLO3'!B:Y,24,FALSE),"N/A")</f>
        <v>N/A</v>
      </c>
      <c r="EC13" s="84" t="str">
        <f>IFERROR(VLOOKUP($B13,'LOD 400 - COLO3'!B:AB,27,FALSE),"N/A")</f>
        <v>N/A</v>
      </c>
      <c r="ED13" s="85" t="str">
        <f>IFERROR(VLOOKUP($B13,'LOD 400 - COLO3'!B:AE,30,FALSE),"N/A")</f>
        <v>N/A</v>
      </c>
      <c r="EE13" s="84" t="str">
        <f>IFERROR(VLOOKUP($B13,'LOD 400 - COLO3'!B:AH,33,FALSE),"N/A")</f>
        <v>N/A</v>
      </c>
      <c r="EF13" s="84" t="str">
        <f>IFERROR(VLOOKUP($B13,'LOD 400 - COLO3'!B:AK,36,FALSE),"N/A")</f>
        <v>N/A</v>
      </c>
      <c r="EG13" s="109" t="str">
        <f>IFERROR(VLOOKUP($B13,'LOD 400 - COLO3'!B:AN,39,FALSE),"N/A")</f>
        <v>N/A</v>
      </c>
      <c r="EH13" s="94" t="str">
        <f>IFERROR(VLOOKUP($B13,'LOD 400 - COLO3'!B:AQ,42,FALSE),"N/A")</f>
        <v>N/A</v>
      </c>
      <c r="EI13" s="94" t="str">
        <f>IFERROR(VLOOKUP($B13,'LOD 400 - COLO3'!B:AT,45,FALSE),"N/A")</f>
        <v>N/A</v>
      </c>
      <c r="EJ13" s="94" t="str">
        <f>IFERROR(VLOOKUP($B13,'LOD 400 - COLO3'!B:AW,48,FALSE),"N/A")</f>
        <v>N/A</v>
      </c>
      <c r="EK13" s="94" t="str">
        <f>IFERROR(VLOOKUP($B13,'LOD 400 - COLO3'!B:AZ,51,FALSE),"N/A")</f>
        <v>N/A</v>
      </c>
      <c r="EL13" s="94" t="str">
        <f>IFERROR(VLOOKUP($B13,'LOD 400 - COLO3'!B:BC,54,FALSE),"N/A")</f>
        <v>N/A</v>
      </c>
      <c r="EM13" s="94" t="str">
        <f>IFERROR(VLOOKUP($B13,'LOD 400 - COLO3'!B:BF,57,FALSE),"N/A")</f>
        <v>N/A</v>
      </c>
      <c r="EN13" s="94" t="str">
        <f>IFERROR(VLOOKUP($B13,'LOD 400 - COLO3'!B:BI,60,FALSE),"N/A")</f>
        <v>N/A</v>
      </c>
      <c r="EO13" s="94" t="str">
        <f>IFERROR(VLOOKUP($B13,'LOD 400 - COLO3'!B:BL,63,FALSE),"N/A")</f>
        <v>N/A</v>
      </c>
      <c r="EP13" s="86" t="str">
        <f>IFERROR(__xludf.DUMMYFUNCTION("IFERROR(
  MAX(FILTER(DZ13:EO13, ISNUMBER(DZ13:EO13))),
  EO13
)"),"N/A")</f>
        <v>N/A</v>
      </c>
      <c r="EQ13" s="95" t="str">
        <f>IFERROR(VLOOKUP($B13,'LOD 400 - COLO4'!B:S,18,FALSE),"N/A")</f>
        <v>N/A</v>
      </c>
      <c r="ER13" s="96" t="str">
        <f>IFERROR(__xludf.DUMMYFUNCTION("IFERROR(
  MAX(FILTER(EQ13, ISNUMBER(EQ13))),
  EQ13
)"),"N/A")</f>
        <v>N/A</v>
      </c>
      <c r="ES13" s="79" t="str">
        <f>IFERROR(VLOOKUP($B13,'LOD 400 - SITE'!B:S,18,FALSE),"N/A")</f>
        <v>OUTDATED</v>
      </c>
      <c r="ET13" s="80" t="str">
        <f>IFERROR(VLOOKUP($B13,'LOD 400 - SITE'!B:V,21,FALSE),"N/A")</f>
        <v>OUTDATED</v>
      </c>
      <c r="EU13" s="97" t="str">
        <f>IFERROR(VLOOKUP($B13,'LOD 400 - SITE'!$B:Y,24,FALSE),"N/A")</f>
        <v>OUTDATED</v>
      </c>
      <c r="EV13" s="80" t="str">
        <f>IFERROR(VLOOKUP($B13,'LOD 400 - SITE'!$B:AB,27,FALSE),"N/A")</f>
        <v>OUTDATED</v>
      </c>
      <c r="EW13" s="81" t="str">
        <f>IFERROR(VLOOKUP($B13,'LOD 400 - SITE'!$B:AE,30,FALSE),"N/A")</f>
        <v>OUTDATED</v>
      </c>
      <c r="EX13" s="87">
        <f>IFERROR(VLOOKUP($B13,'LOD 400 - SITE'!$B:AH,33,FALSE),"N/A")</f>
        <v>0.11</v>
      </c>
      <c r="EY13" s="87" t="str">
        <f>IFERROR(VLOOKUP($B13,'LOD 400 - SITE'!$B:AK,36,FALSE),"N/A")</f>
        <v>OUTDATED</v>
      </c>
      <c r="EZ13" s="80" t="str">
        <f>IFERROR(VLOOKUP($B13,'LOD 400 - SITE'!$B:AN,39,FALSE),"N/A")</f>
        <v>NEXT ROUND </v>
      </c>
      <c r="FA13" s="82">
        <f>IFERROR(VLOOKUP($B13,'LOD 400 - SITE'!$B:AQ,42,FALSE),"N/A")</f>
        <v>0.43</v>
      </c>
      <c r="FB13" s="88">
        <f>IFERROR(VLOOKUP($B13,'LOD 400 - SITE'!$B:AT,45,FALSE),"N/A")</f>
        <v>0.43</v>
      </c>
      <c r="FC13" s="84">
        <f>IFERROR(VLOOKUP($B13,'LOD 400 - SITE'!$B:AW,48,FALSE),"N/A")</f>
        <v>0.43</v>
      </c>
      <c r="FD13" s="84" t="str">
        <f>IFERROR(VLOOKUP($B13,'LOD 400 - SITE'!$B:AZ,51,FALSE),"N/A")</f>
        <v>OUTDATED</v>
      </c>
      <c r="FE13" s="84" t="str">
        <f>IFERROR(VLOOKUP($B13,'LOD 400 - SITE'!$B:BC,54,FALSE),"N/A")</f>
        <v>OUTDATED</v>
      </c>
      <c r="FF13" s="84" t="str">
        <f>IFERROR(VLOOKUP($B13,'LOD 400 - SITE'!$B:BF,57,FALSE),"N/A")</f>
        <v>OUTDATED</v>
      </c>
      <c r="FG13" s="84" t="str">
        <f>IFERROR(VLOOKUP($B13,'LOD 400 - SITE'!$B:BI,60,FALSE),"N/A")</f>
        <v>OUTDATED</v>
      </c>
      <c r="FH13" s="84" t="str">
        <f>IFERROR(VLOOKUP($B13,'LOD 400 - SITE'!$B:BL,63,FALSE),"N/A")</f>
        <v>OUTDATED</v>
      </c>
      <c r="FI13" s="84" t="str">
        <f>IFERROR(VLOOKUP($B13,'LOD 400 - SITE'!$B:BO,66,FALSE),"N/A")</f>
        <v>OUTDATED</v>
      </c>
      <c r="FJ13" s="84" t="str">
        <f>IFERROR(VLOOKUP($B13,'LOD 400 - SITE'!$B:BR,69,FALSE),"N/A")</f>
        <v>NEXT ROUND </v>
      </c>
      <c r="FK13" s="84" t="str">
        <f>IFERROR(VLOOKUP($B13,'LOD 400 - SITE'!$B:BU,72,FALSE),"N/A")</f>
        <v>NEXT ROUND</v>
      </c>
      <c r="FL13" s="84" t="str">
        <f>IFERROR(VLOOKUP($B13,'LOD 400 - SITE'!$B:BX,75,FALSE),"N/A")</f>
        <v>NEXT ROUND</v>
      </c>
      <c r="FM13" s="84" t="str">
        <f>IFERROR(VLOOKUP($B13,'LOD 400 - SITE'!$B:CA,78,FALSE),"N/A")</f>
        <v>NEXT ROUND</v>
      </c>
      <c r="FN13" s="85" t="str">
        <f>IFERROR(VLOOKUP($B13,'LOD 400 - SITE'!$B:CD,81,FALSE),"N/A")</f>
        <v>NEXT ROUND</v>
      </c>
      <c r="FO13" s="84" t="str">
        <f>IFERROR(VLOOKUP($B13,'LOD 400 - SITE'!$B:CG,84,FALSE),"N/A")</f>
        <v>NEXT ROUND</v>
      </c>
      <c r="FP13" s="85" t="str">
        <f>IFERROR(VLOOKUP($B13,'LOD 400 - SITE'!$B:CJ,87,FALSE),"N/A")</f>
        <v>NEXT ROUND</v>
      </c>
      <c r="FQ13" s="84" t="str">
        <f>IFERROR(VLOOKUP($B13,'LOD 400 - SITE'!$B:CM,90,FALSE),"N/A")</f>
        <v>NEXT ROUND </v>
      </c>
      <c r="FR13" s="84">
        <f>IFERROR(VLOOKUP($B13,'LOD 400 - SITE'!$B:CP,93,FALSE),"N/A")</f>
        <v>1</v>
      </c>
      <c r="FS13" s="84">
        <f>IFERROR(VLOOKUP($B13,'LOD 400 - SITE'!$B:CS,96,FALSE),"N/A")</f>
        <v>1</v>
      </c>
      <c r="FT13" s="84">
        <f>IFERROR(VLOOKUP($B13,'LOD 400 - SITE'!$B:CV,99,FALSE),"N/A")</f>
        <v>1</v>
      </c>
      <c r="FU13" s="84">
        <f>IFERROR(VLOOKUP($B13,'LOD 400 - SITE'!$B:CY,102,FALSE),"N/A")</f>
        <v>1</v>
      </c>
      <c r="FV13" s="84">
        <f>IFERROR(VLOOKUP($B13,'LOD 400 - SITE'!$B:DB,105,FALSE),"N/A")</f>
        <v>1</v>
      </c>
      <c r="FW13" s="84">
        <f>IFERROR(VLOOKUP($B13,'LOD 400 - SITE'!$B:DE,108,FALSE),"N/A")</f>
        <v>1</v>
      </c>
      <c r="FX13" s="84">
        <f>IFERROR(VLOOKUP($B13,'LOD 400 - SITE'!$B:DH,111,FALSE),"N/A")</f>
        <v>1</v>
      </c>
      <c r="FY13" s="84">
        <f>IFERROR(VLOOKUP($B13,'LOD 400 - SITE'!$B:DK,114,FALSE),"N/A")</f>
        <v>1</v>
      </c>
      <c r="FZ13" s="96">
        <f>IFERROR(__xludf.DUMMYFUNCTION("IFERROR(
  MAX(FILTER(ES13:FY13, ISNUMBER(ES13:FY13))),
  FY13
)"),1.0)</f>
        <v>1</v>
      </c>
      <c r="GA13" s="80" t="str">
        <f>IFERROR(VLOOKUP($B13,'LOD 400 - UTLS'!B:S,18,FALSE),"N/A")</f>
        <v>OUTDATED</v>
      </c>
      <c r="GB13" s="98">
        <f>IFERROR(VLOOKUP($B13,'LOD 400 - UTLS'!B:V,21,FALSE),"N/A")</f>
        <v>0.11</v>
      </c>
      <c r="GC13" s="81" t="str">
        <f>IFERROR(VLOOKUP($B13,'LOD 400 - UTLS'!B:Y,24,FALSE),"N/A")</f>
        <v>IMPROPER</v>
      </c>
      <c r="GD13" s="87" t="str">
        <f>IFERROR(VLOOKUP($B13,'LOD 400 - UTLS'!$B:AB,27,FALSE),"N/A")</f>
        <v>OUTDATED</v>
      </c>
      <c r="GE13" s="80" t="str">
        <f>IFERROR(VLOOKUP($B13,'LOD 400 - UTLS'!$B:AE,30,FALSE),"N/A")</f>
        <v>NEXT ROUND</v>
      </c>
      <c r="GF13" s="82">
        <f>IFERROR(VLOOKUP($B13,'LOD 400 - UTLS'!$B:AH,33,FALSE),"N/A")</f>
        <v>0.43</v>
      </c>
      <c r="GG13" s="88" t="str">
        <f>IFERROR(VLOOKUP($B13,'LOD 400 - UTLS'!$B:AK,36,FALSE),"N/A")</f>
        <v>OUTDATED</v>
      </c>
      <c r="GH13" s="84" t="str">
        <f>IFERROR(VLOOKUP($B13,'LOD 400 - UTLS'!$B:AN,39,FALSE),"N/A")</f>
        <v>OUTDATED</v>
      </c>
      <c r="GI13" s="84" t="str">
        <f>IFERROR(VLOOKUP($B13,'LOD 400 - UTLS'!$B:AQ,42,FALSE),"N/A")</f>
        <v>OUTDATED</v>
      </c>
      <c r="GJ13" s="84" t="str">
        <f>IFERROR(VLOOKUP($B13,'LOD 400 - UTLS'!$B:AT,45,FALSE),"N/A")</f>
        <v>OUTDATED</v>
      </c>
      <c r="GK13" s="84" t="str">
        <f>IFERROR(VLOOKUP($B13,'LOD 400 - UTLS'!$B:AW,48,FALSE),"N/A")</f>
        <v>OUTDATED</v>
      </c>
      <c r="GL13" s="84" t="str">
        <f>IFERROR(VLOOKUP($B13,'LOD 400 - UTLS'!$B:AZ,51,FALSE),"N/A")</f>
        <v>OUTDATED</v>
      </c>
      <c r="GM13" s="84" t="str">
        <f>IFERROR(VLOOKUP($B13,'LOD 400 - UTLS'!$B:BC,54,FALSE),"N/A")</f>
        <v>OUTDATED</v>
      </c>
      <c r="GN13" s="84" t="str">
        <f>IFERROR(VLOOKUP($B13,'LOD 400 - UTLS'!$B:BF,57,FALSE),"N/A")</f>
        <v>OUTDATED</v>
      </c>
      <c r="GO13" s="84" t="str">
        <f>IFERROR(VLOOKUP($B13,'LOD 400 - UTLS'!$B:BI,60,FALSE),"N/A")</f>
        <v>NEXT ROUND </v>
      </c>
      <c r="GP13" s="84" t="str">
        <f>IFERROR(VLOOKUP($B13,'LOD 400 - UTLS'!$B:BL,63,FALSE),"N/A")</f>
        <v>NEXT ROUND</v>
      </c>
      <c r="GQ13" s="84" t="str">
        <f>IFERROR(VLOOKUP($B13,'LOD 400 - UTLS'!$B:BO,66,FALSE),"N/A")</f>
        <v>NEXT ROUND</v>
      </c>
      <c r="GR13" s="84" t="str">
        <f>IFERROR(VLOOKUP($B13,'LOD 400 - UTLS'!$B:BR,69,FALSE),"N/A")</f>
        <v>NEXT ROUND</v>
      </c>
      <c r="GS13" s="85" t="str">
        <f>IFERROR(VLOOKUP($B13,'LOD 400 - UTLS'!$B:BU,72,FALSE),"N/A")</f>
        <v>NEXT ROUND</v>
      </c>
      <c r="GT13" s="84" t="str">
        <f>IFERROR(VLOOKUP($B13,'LOD 400 - UTLS'!$B:BX,75,FALSE),"N/A")</f>
        <v>NEXT ROUND</v>
      </c>
      <c r="GU13" s="85" t="str">
        <f>IFERROR(VLOOKUP($B13,'LOD 400 - UTLS'!$B:CA,78,FALSE),"N/A")</f>
        <v>NEXT ROUND</v>
      </c>
      <c r="GV13" s="84" t="str">
        <f>IFERROR(VLOOKUP($B13,'LOD 400 - UTLS'!$B:CD,81,FALSE),"N/A")</f>
        <v>NEXT ROUND</v>
      </c>
      <c r="GW13" s="84">
        <f>IFERROR(VLOOKUP($B13,'LOD 400 - UTLS'!$B:CG,84,FALSE),"N/A")</f>
        <v>1</v>
      </c>
      <c r="GX13" s="84">
        <f>IFERROR(VLOOKUP($B13,'LOD 400 - UTLS'!$B:CJ,87,FALSE),"N/A")</f>
        <v>1</v>
      </c>
      <c r="GY13" s="84">
        <f>IFERROR(VLOOKUP($B13,'LOD 400 - UTLS'!$B:CM,90,FALSE),"N/A")</f>
        <v>1</v>
      </c>
      <c r="GZ13" s="84">
        <f>IFERROR(VLOOKUP($B13,'LOD 400 - UTLS'!$B:CP,93,FALSE),"N/A")</f>
        <v>1</v>
      </c>
      <c r="HA13" s="84">
        <f>IFERROR(VLOOKUP($B13,'LOD 400 - UTLS'!$B:CS,96,FALSE),"N/A")</f>
        <v>1</v>
      </c>
      <c r="HB13" s="84">
        <f>IFERROR(VLOOKUP($B13,'LOD 400 - UTLS'!$B:CV,99,FALSE),"N/A")</f>
        <v>1</v>
      </c>
      <c r="HC13" s="84">
        <f>IFERROR(VLOOKUP($B13,'LOD 400 - UTLS'!$B:CY,102,FALSE),"N/A")</f>
        <v>1</v>
      </c>
      <c r="HD13" s="84">
        <f>IFERROR(VLOOKUP($B13,'LOD 400 - UTLS'!$B:DB,105,FALSE),"N/A")</f>
        <v>1</v>
      </c>
      <c r="HE13" s="96">
        <f>IFERROR(__xludf.DUMMYFUNCTION("IFERROR(
  MAX(FILTER(GA13:HD13, ISNUMBER(GA13:HD13))),
  HD13
)"),1.0)</f>
        <v>1</v>
      </c>
      <c r="HF13" s="99"/>
      <c r="HG13" s="99"/>
      <c r="HH13" s="99"/>
      <c r="HI13" s="99"/>
      <c r="HJ13" s="99"/>
      <c r="HK13" s="99"/>
    </row>
    <row r="14" ht="15.0" customHeight="1" outlineLevel="1">
      <c r="A14" s="53">
        <v>16.0</v>
      </c>
      <c r="B14" s="110" t="s">
        <v>102</v>
      </c>
      <c r="C14" s="110" t="s">
        <v>103</v>
      </c>
      <c r="D14" s="64" t="str">
        <f t="shared" si="1"/>
        <v>DATA</v>
      </c>
      <c r="E14" s="111" t="s">
        <v>104</v>
      </c>
      <c r="F14" s="115">
        <v>1106.0</v>
      </c>
      <c r="G14" s="103" t="s">
        <v>105</v>
      </c>
      <c r="H14" s="116">
        <v>0.0</v>
      </c>
      <c r="I14" s="68" t="str">
        <f>IFERROR(VLOOKUP($C11:C108,'R22 RELATÓRIO ACC'!B:F,5,FALSE),"NOT PUBLISHED")</f>
        <v>NOT PUBLISHED</v>
      </c>
      <c r="J14" s="69" t="str">
        <f>IFERROR(VLOOKUP($C11:C108,'R22 RELATÓRIO ACC'!B:P,15,FALSE),"NOT PUBLISHED")</f>
        <v>NOT PUBLISHED</v>
      </c>
      <c r="K14" s="70" t="str">
        <f>IFERROR(VLOOKUP($B11:B108,'RELATÓRIO ACC'!B:F,5,FALSE),"NOT PUBLISHED")</f>
        <v>NOT PUBLISHED</v>
      </c>
      <c r="L14" s="71" t="str">
        <f>IFERROR(VLOOKUP($B11:B108,'RELATÓRIO ACC'!B:P,15,FALSE),"NOT PUBLISHED")</f>
        <v>NOT PUBLISHED</v>
      </c>
      <c r="M14" s="72" t="str">
        <f>IF(OR($D14="UTLS",$D14="GUAR",$D14="STIR",$D14="PUMP",$D14="SITE"),
   VLOOKUP($B14,'LOD 400 - SITE'!B:M,12,FALSE),
   VLOOKUP($B14,'LOD 400 - ADMN'!B:M,12,FALSE)
)</f>
        <v>NOT PUBLISHED</v>
      </c>
      <c r="N14" s="105" t="str">
        <f>IF(OR($D14="UTLS",$D14="GUAR",$D14="STIR",$D14="PUMP",$D14="SITE"),
   VLOOKUP($B14,'LOD 400 - SITE'!B:N,13,FALSE),
   VLOOKUP($B14,'LOD 400 - ADMN'!B:N,13,FALSE)
)</f>
        <v>NOT PUBLISHED</v>
      </c>
      <c r="O14" s="106" t="str">
        <f>IF(OR($D14="UTLS",$D14="GUAR",$D14="STIR",$D14="PUMP",$D14="SITE"),
   VLOOKUP($B14,'LOD 400 - SITE'!B:O,14,FALSE),
   VLOOKUP($B14,'LOD 400 - ADMN'!B:O,14,FALSE)
)</f>
        <v>NOT PUBLISHED</v>
      </c>
      <c r="P14" s="107" t="str">
        <f>IF(OR($D14="C345",$D14="C12A",$D14="DATA"),
   VLOOKUP($B14,'LOD 400 - COLO3'!B:M,12,FALSE),"N/A")</f>
        <v>NOT PUBLISHED</v>
      </c>
      <c r="Q14" s="108" t="str">
        <f>IF(OR($D14="C345",$D14="C12A",$D14="DATA"),
   VLOOKUP($B14,'LOD 400 - COLO3'!B:N,13,FALSE),"N/A")</f>
        <v>NOT PUBLISHED</v>
      </c>
      <c r="R14" s="75" t="str">
        <f>IF(OR($D14="C345",$D14="C12A",$D14="DATA"),
   VLOOKUP($B14,'LOD 400 - COLO3'!B:O,14,FALSE),"N/A")</f>
        <v>NOT PUBLISHED</v>
      </c>
      <c r="S14" s="113" t="str">
        <f>IFERROR(VLOOKUP($B13:J108,'RELATÓRIO ACC'!J:N,5,FALSE),"NOT PUBLISHED")</f>
        <v>NOT PUBLISHED</v>
      </c>
      <c r="T14" s="113" t="str">
        <f>IFERROR(VLOOKUP($B13:K108,'RELATÓRIO ACC'!K:O,5,FALSE),"NOT PUBLISHED")</f>
        <v>NOT PUBLISHED</v>
      </c>
      <c r="U14" s="70" t="str">
        <f>IFERROR(VLOOKUP($B13:L108,'RELATÓRIO ACC'!L:P,5,FALSE),"NOT PUBLISHED")</f>
        <v>NOT PUBLISHED</v>
      </c>
      <c r="V14" s="77" t="str">
        <f>IF(OR($D14="UTLS",$D14="GUAR",$D14="STIR",$D14="PUMP",$D14="SITE"),
   VLOOKUP($B14,'LOD 400 - UTLS'!B:M,12,FALSE),"N/A")</f>
        <v>N/A</v>
      </c>
      <c r="W14" s="78" t="str">
        <f>IF(OR($D14="UTLS",$D14="GUAR",$D14="STIR",$D14="PUMP",$D14="SITE"),
   VLOOKUP($B14,'LOD 400 - UTLS'!B:N,13,FALSE),"N/A")</f>
        <v>N/A</v>
      </c>
      <c r="X14" s="108" t="str">
        <f>IF(OR($D14="UTLS",$D14="GUAR",$D14="STIR",$D14="PUMP",$D14="SITE"),
   VLOOKUP($B14,'LOD 400 - UTLS'!B:O,14,FALSE),"N/A")</f>
        <v>N/A</v>
      </c>
      <c r="Y14" s="79" t="str">
        <f>IFERROR(VLOOKUP($B14,'LOD 400 - ADMN'!B:S,18,FALSE),"N/A")</f>
        <v>NOT PUBLISHED</v>
      </c>
      <c r="Z14" s="79" t="str">
        <f>IFERROR(VLOOKUP($B14,'LOD 400 - ADMN'!B:V,21,FALSE),"N/A")</f>
        <v>NOT PUBLISHED</v>
      </c>
      <c r="AA14" s="79" t="str">
        <f>IFERROR(VLOOKUP($B14,'LOD 400 - ADMN'!$B:Y,24,FALSE),"N/A")</f>
        <v>NOT PUBLISHED</v>
      </c>
      <c r="AB14" s="80" t="str">
        <f>IFERROR(VLOOKUP($B14,'LOD 400 - ADMN'!$B:AB,27,FALSE),"N/A")</f>
        <v>NOT PUBLISHED</v>
      </c>
      <c r="AC14" s="81" t="str">
        <f>IFERROR(VLOOKUP($B14,'LOD 400 - ADMN'!$B:AE,30,FALSE),"N/A")</f>
        <v>NOT PUBLISHED</v>
      </c>
      <c r="AD14" s="81" t="str">
        <f>IFERROR(VLOOKUP($B14,'LOD 400 - ADMN'!$B:AH,33,FALSE),"N/A")</f>
        <v>NOT PUBLISHED</v>
      </c>
      <c r="AE14" s="80" t="str">
        <f>IFERROR(VLOOKUP($B14,'LOD 400 - ADMN'!$B:AK,36,FALSE),"N/A")</f>
        <v>NOT PUBLISHED</v>
      </c>
      <c r="AF14" s="82" t="str">
        <f>IFERROR(VLOOKUP($B14,'LOD 400 - ADMN'!$B:AN,39,FALSE),"N/A")</f>
        <v>NOT PUBLISHED</v>
      </c>
      <c r="AG14" s="83" t="str">
        <f>IFERROR(VLOOKUP($B14,'LOD 400 - ADMN'!$B:AQ,42,FALSE),"N/A")</f>
        <v>NOT PUBLISHED</v>
      </c>
      <c r="AH14" s="84" t="str">
        <f>IFERROR(VLOOKUP($B14,'LOD 400 - ADMN'!$B:AT,45,FALSE),"N/A")</f>
        <v>NOT PUBLISHED</v>
      </c>
      <c r="AI14" s="85" t="str">
        <f>IFERROR(VLOOKUP($B14,'LOD 400 - ADMN'!$B:AW,48,FALSE),"N/A")</f>
        <v>NOT PUBLISHED</v>
      </c>
      <c r="AJ14" s="85" t="str">
        <f>IFERROR(VLOOKUP($B14,'LOD 400 - ADMN'!$B:AZ,51,FALSE),"N/A")</f>
        <v>NOT PUBLISHED</v>
      </c>
      <c r="AK14" s="84" t="str">
        <f>IFERROR(VLOOKUP($B14,'LOD 400 - ADMN'!$B:BC,54,FALSE),"N/A")</f>
        <v>NOT PUBLISHED</v>
      </c>
      <c r="AL14" s="84" t="str">
        <f>IFERROR(VLOOKUP($B14,'LOD 400 - ADMN'!$B:BF,57,FALSE),"N/A")</f>
        <v>NOT PUBLISHED</v>
      </c>
      <c r="AM14" s="84" t="str">
        <f>IFERROR(VLOOKUP($B14,'LOD 400 - ADMN'!$B:BI,60,FALSE),"N/A")</f>
        <v>NOT PUBLISHED</v>
      </c>
      <c r="AN14" s="84" t="str">
        <f>IFERROR(VLOOKUP($B14,'LOD 400 - ADMN'!$B:BL,63,FALSE),"N/A")</f>
        <v>NOT PUBLISHED</v>
      </c>
      <c r="AO14" s="84" t="str">
        <f>IFERROR(VLOOKUP($B14,'LOD 400 - ADMN'!$B:BO,66,FALSE),"N/A")</f>
        <v>NOT PUBLISHED</v>
      </c>
      <c r="AP14" s="84" t="str">
        <f>IFERROR(VLOOKUP($B14,'LOD 400 - ADMN'!$B:BR,69,FALSE),"N/A")</f>
        <v>NOT PUBLISHED</v>
      </c>
      <c r="AQ14" s="84" t="str">
        <f>IFERROR(VLOOKUP($B14,'LOD 400 - ADMN'!$B:BU,72,FALSE),"N/A")</f>
        <v>NOT PUBLISHED</v>
      </c>
      <c r="AR14" s="84" t="str">
        <f>IFERROR(VLOOKUP($B14,'LOD 400 - ADMN'!$B:BX,75,FALSE),"N/A")</f>
        <v>NOT PUBLISHED</v>
      </c>
      <c r="AS14" s="84" t="str">
        <f>IFERROR(VLOOKUP($B14,'LOD 400 - ADMN'!$B:CA,78,FALSE),"N/A")</f>
        <v>NOT PUBLISHED</v>
      </c>
      <c r="AT14" s="84" t="str">
        <f>IFERROR(VLOOKUP($B14,'LOD 400 - ADMN'!$B:CD,81,FALSE),"N/A")</f>
        <v>NOT PUBLISHED</v>
      </c>
      <c r="AU14" s="85" t="str">
        <f>IFERROR(VLOOKUP($B14,'LOD 400 - ADMN'!$B:CG,84,FALSE),"N/A")</f>
        <v>NOT PUBLISHED</v>
      </c>
      <c r="AV14" s="84" t="str">
        <f>IFERROR(VLOOKUP($B14,'LOD 400 - ADMN'!$B:CJ,87,FALSE),"N/A")</f>
        <v>NOT PUBLISHED</v>
      </c>
      <c r="AW14" s="85" t="str">
        <f>IFERROR(VLOOKUP($B14,'LOD 400 - ADMN'!$B:CM,90,FALSE),"N/A")</f>
        <v>NOT PUBLISHED</v>
      </c>
      <c r="AX14" s="84" t="str">
        <f>IFERROR(VLOOKUP($B14,'LOD 400 - ADMN'!$B:CP,93,FALSE),"N/A")</f>
        <v>NOT PUBLISHED</v>
      </c>
      <c r="AY14" s="84" t="str">
        <f>IFERROR(VLOOKUP($B14,'LOD 400 - ADMN'!$B:CS,96,FALSE),"N/A")</f>
        <v>NOT PUBLISHED</v>
      </c>
      <c r="AZ14" s="84" t="str">
        <f>IFERROR(VLOOKUP($B14,'LOD 400 - ADMN'!$B:CV,99,FALSE),"N/A")</f>
        <v>NOT PUBLISHED</v>
      </c>
      <c r="BA14" s="84" t="str">
        <f>IFERROR(VLOOKUP($B14,'LOD 400 - ADMN'!$B:CY,102,FALSE),"N/A")</f>
        <v>NOT PUBLISHED</v>
      </c>
      <c r="BB14" s="84" t="str">
        <f>IFERROR(VLOOKUP($B14,'LOD 400 - ADMN'!$B:DB,105,FALSE),"N/A")</f>
        <v>NOT PUBLISHED</v>
      </c>
      <c r="BC14" s="84" t="str">
        <f>IFERROR(VLOOKUP($B14,'LOD 400 - ADMN'!$B:DE,108,FALSE),"N/A")</f>
        <v>NOT PUBLISHED</v>
      </c>
      <c r="BD14" s="84" t="str">
        <f>IFERROR(VLOOKUP($B14,'LOD 400 - ADMN'!$B:DH,111,FALSE),"N/A")</f>
        <v>NOT PUBLISHED</v>
      </c>
      <c r="BE14" s="84" t="str">
        <f>IFERROR(VLOOKUP($B14,'LOD 400 - ADMN'!$B:DK,114,FALSE),"N/A")</f>
        <v>NOT PUBLISHED</v>
      </c>
      <c r="BF14" s="84" t="str">
        <f>IFERROR(VLOOKUP($B14,'LOD 400 - ADMN'!$B:DN,117,FALSE),"N/A")</f>
        <v>NOT PUBLISHED</v>
      </c>
      <c r="BG14" s="86" t="str">
        <f>IFERROR(__xludf.DUMMYFUNCTION("IFERROR(
  MAX(FILTER(Y14:BF14, ISNUMBER(Y14:BF14))),
  BF14
)"),"NOT PUBLISHED")</f>
        <v>NOT PUBLISHED</v>
      </c>
      <c r="BH14" s="79" t="str">
        <f>IFERROR(VLOOKUP($B14,'LOD 400 - COLO1'!B:S,18,FALSE),"N/A")</f>
        <v>NOT PUBLISHED</v>
      </c>
      <c r="BI14" s="79" t="str">
        <f>IFERROR(VLOOKUP($B14,'LOD 400 - COLO1'!B:V,21,FALSE),"N/A")</f>
        <v>NOT PUBLISHED</v>
      </c>
      <c r="BJ14" s="79" t="str">
        <f>IFERROR(VLOOKUP($B14,'LOD 400 - COLO1'!$B:Y,24,FALSE),"N/A")</f>
        <v>NOT PUBLISHED</v>
      </c>
      <c r="BK14" s="87" t="str">
        <f>IFERROR(VLOOKUP($B14,'LOD 400 - COLO1'!$B:AB,27,FALSE),"N/A")</f>
        <v>NOT PUBLISHED</v>
      </c>
      <c r="BL14" s="80" t="str">
        <f>IFERROR(VLOOKUP($B14,'LOD 400 - COLO1'!$B:AE,30,FALSE),"N/A")</f>
        <v>NOT PUBLISHED</v>
      </c>
      <c r="BM14" s="81" t="str">
        <f>IFERROR(VLOOKUP($B14,'LOD 400 - COLO1'!$B:AH,33,FALSE),"N/A")</f>
        <v>NOT PUBLISHED</v>
      </c>
      <c r="BN14" s="87" t="str">
        <f>IFERROR(VLOOKUP($B14,'LOD 400 - COLO1'!$B:AK,36,FALSE),"N/A")</f>
        <v>NOT PUBLISHED</v>
      </c>
      <c r="BO14" s="83" t="str">
        <f>IFERROR(VLOOKUP($B14,'LOD 400 - COLO1'!$B:AN,39,FALSE),"N/A")</f>
        <v>NOT PUBLISHED</v>
      </c>
      <c r="BP14" s="88" t="str">
        <f>IFERROR(VLOOKUP($B14,'LOD 400 - COLO1'!$B:AQ,42,FALSE),"N/A")</f>
        <v>NOT PUBLISHED</v>
      </c>
      <c r="BQ14" s="84" t="str">
        <f>IFERROR(VLOOKUP($B14,'LOD 400 - COLO1'!$B:AT,45,FALSE),"N/A")</f>
        <v>NOT PUBLISHED</v>
      </c>
      <c r="BR14" s="85" t="str">
        <f>IFERROR(VLOOKUP($B14,'LOD 400 - COLO1'!$B:AW,48,FALSE),"N/A")</f>
        <v>NOT PUBLISHED</v>
      </c>
      <c r="BS14" s="84" t="str">
        <f>IFERROR(VLOOKUP($B14,'LOD 400 - COLO1'!$B:AZ,51,FALSE),"N/A")</f>
        <v>NOT PUBLISHED</v>
      </c>
      <c r="BT14" s="84" t="str">
        <f>IFERROR(VLOOKUP($B14,'LOD 400 - COLO1'!$B:BC,54,FALSE),"N/A")</f>
        <v>NOT PUBLISHED</v>
      </c>
      <c r="BU14" s="84" t="str">
        <f>IFERROR(VLOOKUP($B14,'LOD 400 - COLO1'!$B:BF,57,FALSE),"N/A")</f>
        <v>NOT PUBLISHED</v>
      </c>
      <c r="BV14" s="84" t="str">
        <f>IFERROR(VLOOKUP($B14,'LOD 400 - COLO1'!$B:BI,60,FALSE),"N/A")</f>
        <v>NOT PUBLISHED</v>
      </c>
      <c r="BW14" s="84" t="str">
        <f>IFERROR(VLOOKUP($B14,'LOD 400 - COLO1'!$B:BL,63,FALSE),"N/A")</f>
        <v>NOT PUBLISHED</v>
      </c>
      <c r="BX14" s="84" t="str">
        <f>IFERROR(VLOOKUP($B14,'LOD 400 - COLO1'!$B:BO,66,FALSE),"N/A")</f>
        <v>NOT PUBLISHED</v>
      </c>
      <c r="BY14" s="84" t="str">
        <f>IFERROR(VLOOKUP($B14,'LOD 400 - COLO1'!$B:BR,69,FALSE),"N/A")</f>
        <v>NOT PUBLISHED</v>
      </c>
      <c r="BZ14" s="84" t="str">
        <f>IFERROR(VLOOKUP($B14,'LOD 400 - COLO1'!$B:BU,72,FALSE),"N/A")</f>
        <v>NOT PUBLISHED</v>
      </c>
      <c r="CA14" s="84" t="str">
        <f>IFERROR(VLOOKUP($B14,'LOD 400 - COLO1'!$B:BX,75,FALSE),"N/A")</f>
        <v>NOT PUBLISHED</v>
      </c>
      <c r="CB14" s="84" t="str">
        <f>IFERROR(VLOOKUP($B14,'LOD 400 - COLO1'!$B:CA,78,FALSE),"N/A")</f>
        <v>NOT PUBLISHED</v>
      </c>
      <c r="CC14" s="84" t="str">
        <f>IFERROR(VLOOKUP($B14,'LOD 400 - COLO1'!$B:CD,81,FALSE),"N/A")</f>
        <v>NOT PUBLISHED</v>
      </c>
      <c r="CD14" s="85" t="str">
        <f>IFERROR(VLOOKUP($B14,'LOD 400 - COLO1'!$B:CG,84,FALSE),"N/A")</f>
        <v>NOT PUBLISHED</v>
      </c>
      <c r="CE14" s="84" t="str">
        <f>IFERROR(VLOOKUP($B14,'LOD 400 - COLO1'!$B:CJ,87,FALSE),"N/A")</f>
        <v>NOT PUBLISHED</v>
      </c>
      <c r="CF14" s="85" t="str">
        <f>IFERROR(VLOOKUP($B14,'LOD 400 - COLO1'!$B:CM,90,FALSE),"N/A")</f>
        <v>NOT PUBLISHED</v>
      </c>
      <c r="CG14" s="84" t="str">
        <f>IFERROR(VLOOKUP($B14,'LOD 400 - COLO1'!$B:CP,93,FALSE),"N/A")</f>
        <v>NOT PUBLISHED</v>
      </c>
      <c r="CH14" s="84" t="str">
        <f>IFERROR(VLOOKUP($B14,'LOD 400 - COLO1'!$B:CS,96,FALSE),"N/A")</f>
        <v>NOT PUBLISHED</v>
      </c>
      <c r="CI14" s="84" t="str">
        <f>IFERROR(VLOOKUP($B14,'LOD 400 - COLO1'!$B:CV,99,FALSE),"N/A")</f>
        <v>NOT PUBLISHED</v>
      </c>
      <c r="CJ14" s="84" t="str">
        <f>IFERROR(VLOOKUP($B14,'LOD 400 - COLO1'!$B:CY,102,FALSE),"N/A")</f>
        <v>NOT PUBLISHED</v>
      </c>
      <c r="CK14" s="84" t="str">
        <f>IFERROR(VLOOKUP($B14,'LOD 400 - COLO1'!$B:DB,105,FALSE),"N/A")</f>
        <v>NOT PUBLISHED</v>
      </c>
      <c r="CL14" s="84" t="str">
        <f>IFERROR(VLOOKUP($B14,'LOD 400 - COLO1'!$B:DE,108,FALSE),"N/A")</f>
        <v>NOT PUBLISHED</v>
      </c>
      <c r="CM14" s="84" t="str">
        <f>IFERROR(VLOOKUP($B14,'LOD 400 - COLO1'!$B:DH,111,FALSE),"N/A")</f>
        <v>NOT PUBLISHED</v>
      </c>
      <c r="CN14" s="84" t="str">
        <f>IFERROR(VLOOKUP($B14,'LOD 400 - COLO1'!$B:DK,114,FALSE),"N/A")</f>
        <v>NOT PUBLISHED</v>
      </c>
      <c r="CO14" s="84" t="str">
        <f>IFERROR(VLOOKUP($B14,'LOD 400 - COLO1'!$B:DN,117,FALSE),"N/A")</f>
        <v>NOT PUBLISHED</v>
      </c>
      <c r="CP14" s="86" t="str">
        <f>IFERROR(__xludf.DUMMYFUNCTION("IFERROR(
  MAX(FILTER(BH14:CO14, ISNUMBER(BH14:CO14))),
  CO14
)"),"NOT PUBLISHED")</f>
        <v>NOT PUBLISHED</v>
      </c>
      <c r="CQ14" s="89" t="str">
        <f>IFERROR(VLOOKUP($B14,'LOD 400 - COLO2'!B:S,18,FALSE),"N/A")</f>
        <v>NOT PUBLISHED</v>
      </c>
      <c r="CR14" s="79" t="str">
        <f>IFERROR(VLOOKUP($B14,'LOD 400 - COLO2'!B:V,21,FALSE),"N/A")</f>
        <v>NOT PUBLISHED</v>
      </c>
      <c r="CS14" s="79" t="str">
        <f>IFERROR(VLOOKUP($B14,'LOD 400 - COLO2'!$B:Y,24,FALSE),"N/A")</f>
        <v>NOT PUBLISHED</v>
      </c>
      <c r="CT14" s="80" t="str">
        <f>IFERROR(VLOOKUP($B14,'LOD 400 - COLO2'!$B:DQ,27,FALSE),"N/A")</f>
        <v>NOT PUBLISHED</v>
      </c>
      <c r="CU14" s="90" t="str">
        <f>IFERROR(VLOOKUP($B14,'LOD 400 - COLO2'!$B:AE,30,FALSE),"N/A")</f>
        <v>NOT PUBLISHED</v>
      </c>
      <c r="CV14" s="81" t="str">
        <f>IFERROR(VLOOKUP($B14,'LOD 400 - COLO2'!$B:AH,33,FALSE),"N/A")</f>
        <v>NOT PUBLISHED</v>
      </c>
      <c r="CW14" s="90" t="str">
        <f>IFERROR(VLOOKUP($B14,'LOD 400 - COLO2'!$B:AK,36,FALSE),"N/A")</f>
        <v>NOT PUBLISHED</v>
      </c>
      <c r="CX14" s="85" t="str">
        <f>IFERROR(VLOOKUP($B14,'LOD 400 - COLO2'!$B:AN,39,FALSE),"N/A")</f>
        <v>NOT PUBLISHED</v>
      </c>
      <c r="CY14" s="88" t="str">
        <f>IFERROR(VLOOKUP($B14,'LOD 400 - COLO2'!$B:AQ,42,FALSE),"N/A")</f>
        <v>NOT PUBLISHED</v>
      </c>
      <c r="CZ14" s="84" t="str">
        <f>IFERROR(VLOOKUP($B14,'LOD 400 - COLO2'!$B:AT,45,FALSE),"N/A")</f>
        <v>NOT PUBLISHED</v>
      </c>
      <c r="DA14" s="85" t="str">
        <f>IFERROR(VLOOKUP($B14,'LOD 400 - COLO2'!$B:AW,48,FALSE),"N/A")</f>
        <v>NOT PUBLISHED</v>
      </c>
      <c r="DB14" s="84" t="str">
        <f>IFERROR(VLOOKUP($B14,'LOD 400 - COLO2'!$B:AZ,51,FALSE),"N/A")</f>
        <v>NOT PUBLISHED</v>
      </c>
      <c r="DC14" s="84" t="str">
        <f>IFERROR(VLOOKUP($B14,'LOD 400 - COLO2'!$B:BC,54,FALSE),"N/A")</f>
        <v>NOT PUBLISHED</v>
      </c>
      <c r="DD14" s="84" t="str">
        <f>IFERROR(VLOOKUP($B14,'LOD 400 - COLO2'!$B:BF,57,FALSE),"N/A")</f>
        <v>NOT PUBLISHED</v>
      </c>
      <c r="DE14" s="84" t="str">
        <f>IFERROR(VLOOKUP($B14,'LOD 400 - COLO2'!$B:BI,60,FALSE),"N/A")</f>
        <v>NOT PUBLISHED</v>
      </c>
      <c r="DF14" s="84" t="str">
        <f>IFERROR(VLOOKUP($B14,'LOD 400 - COLO2'!$B:BL,63,FALSE),"N/A")</f>
        <v>NOT PUBLISHED</v>
      </c>
      <c r="DG14" s="84" t="str">
        <f>IFERROR(VLOOKUP($B14,'LOD 400 - COLO2'!$B:BO,66,FALSE),"N/A")</f>
        <v>NOT PUBLISHED</v>
      </c>
      <c r="DH14" s="84" t="str">
        <f>IFERROR(VLOOKUP($B14,'LOD 400 - COLO2'!$B:BR,69,FALSE),"N/A")</f>
        <v>NOT PUBLISHED</v>
      </c>
      <c r="DI14" s="84" t="str">
        <f>IFERROR(VLOOKUP($B14,'LOD 400 - COLO2'!$B:BU,72,FALSE),"N/A")</f>
        <v>NOT PUBLISHED</v>
      </c>
      <c r="DJ14" s="84" t="str">
        <f>IFERROR(VLOOKUP($B14,'LOD 400 - COLO2'!$B:BX,75,FALSE),"N/A")</f>
        <v>NOT PUBLISHED</v>
      </c>
      <c r="DK14" s="84" t="str">
        <f>IFERROR(VLOOKUP($B14,'LOD 400 - COLO2'!$B:CA,78,FALSE),"N/A")</f>
        <v>NOT PUBLISHED</v>
      </c>
      <c r="DL14" s="84" t="str">
        <f>IFERROR(VLOOKUP($B14,'LOD 400 - COLO2'!$B:CD,81,FALSE),"N/A")</f>
        <v>NOT PUBLISHED</v>
      </c>
      <c r="DM14" s="85" t="str">
        <f>IFERROR(VLOOKUP($B14,'LOD 400 - COLO2'!$B:CG,84,FALSE),"N/A")</f>
        <v>NOT PUBLISHED</v>
      </c>
      <c r="DN14" s="84" t="str">
        <f>IFERROR(VLOOKUP($B14,'LOD 400 - COLO2'!$B:CJ,87,FALSE),"N/A")</f>
        <v>NOT PUBLISHED</v>
      </c>
      <c r="DO14" s="85" t="str">
        <f>IFERROR(VLOOKUP($B14,'LOD 400 - COLO2'!$B:CM,90,FALSE),"N/A")</f>
        <v>NOT PUBLISHED</v>
      </c>
      <c r="DP14" s="84" t="str">
        <f>IFERROR(VLOOKUP($B14,'LOD 400 - COLO2'!$B:CP,93,FALSE),"N/A")</f>
        <v>NOT PUBLISHED</v>
      </c>
      <c r="DQ14" s="84" t="str">
        <f>IFERROR(VLOOKUP($B14,'LOD 400 - COLO2'!$B:CS,96,FALSE),"N/A")</f>
        <v>NOT PUBLISHED</v>
      </c>
      <c r="DR14" s="84" t="str">
        <f>IFERROR(VLOOKUP($B14,'LOD 400 - COLO2'!$B:CV,99,FALSE),"N/A")</f>
        <v>NOT PUBLISHED</v>
      </c>
      <c r="DS14" s="84" t="str">
        <f>IFERROR(VLOOKUP($B14,'LOD 400 - COLO2'!$B:CY,102,FALSE),"N/A")</f>
        <v>NOT PUBLISHED</v>
      </c>
      <c r="DT14" s="84" t="str">
        <f>IFERROR(VLOOKUP($B14,'LOD 400 - COLO2'!$B:DB,105,FALSE),"N/A")</f>
        <v>NOT PUBLISHED</v>
      </c>
      <c r="DU14" s="84" t="str">
        <f>IFERROR(VLOOKUP($B14,'LOD 400 - COLO2'!$B:DE,108,FALSE),"N/A")</f>
        <v>NOT PUBLISHED</v>
      </c>
      <c r="DV14" s="84" t="str">
        <f>IFERROR(VLOOKUP($B14,'LOD 400 - COLO2'!$B:DH,111,FALSE),"N/A")</f>
        <v>NOT PUBLISHED</v>
      </c>
      <c r="DW14" s="84" t="str">
        <f>IFERROR(VLOOKUP($B14,'LOD 400 - COLO2'!$B:DK,114,FALSE),"N/A")</f>
        <v>NOT PUBLISHED</v>
      </c>
      <c r="DX14" s="84" t="str">
        <f>IFERROR(VLOOKUP($B14,'LOD 400 - COLO2'!$B:DN,117,FALSE),"N/A")</f>
        <v>NOT PUBLISHED</v>
      </c>
      <c r="DY14" s="91" t="str">
        <f>IFERROR(__xludf.DUMMYFUNCTION("IFERROR(
  MAX(FILTER(CQ14:DW14, ISNUMBER(CQ14:DW14))),
  DW14
)"),"NOT PUBLISHED")</f>
        <v>NOT PUBLISHED</v>
      </c>
      <c r="DZ14" s="92" t="str">
        <f>IFERROR(VLOOKUP($B14,'LOD 400 - COLO3'!B:S,18,FALSE),"N/A")</f>
        <v>NOT PUBLISHED</v>
      </c>
      <c r="EA14" s="84" t="str">
        <f>IFERROR(VLOOKUP($B14,'LOD 400 - COLO3'!B:V,21,FALSE),"N/A")</f>
        <v>NOT PUBLISHED</v>
      </c>
      <c r="EB14" s="84" t="str">
        <f>IFERROR(VLOOKUP($B14,'LOD 400 - COLO3'!B:Y,24,FALSE),"N/A")</f>
        <v>NOT PUBLISHED</v>
      </c>
      <c r="EC14" s="84" t="str">
        <f>IFERROR(VLOOKUP($B14,'LOD 400 - COLO3'!B:AB,27,FALSE),"N/A")</f>
        <v>NOT PUBLISHED</v>
      </c>
      <c r="ED14" s="85" t="str">
        <f>IFERROR(VLOOKUP($B14,'LOD 400 - COLO3'!B:AE,30,FALSE),"N/A")</f>
        <v>NOT PUBLISHED</v>
      </c>
      <c r="EE14" s="84" t="str">
        <f>IFERROR(VLOOKUP($B14,'LOD 400 - COLO3'!B:AH,33,FALSE),"N/A")</f>
        <v>NOT PUBLISHED</v>
      </c>
      <c r="EF14" s="84" t="str">
        <f>IFERROR(VLOOKUP($B14,'LOD 400 - COLO3'!B:AK,36,FALSE),"N/A")</f>
        <v>NOT PUBLISHED</v>
      </c>
      <c r="EG14" s="109" t="str">
        <f>IFERROR(VLOOKUP($B14,'LOD 400 - COLO3'!B:AN,39,FALSE),"N/A")</f>
        <v>NOT PUBLISHED</v>
      </c>
      <c r="EH14" s="94" t="str">
        <f>IFERROR(VLOOKUP($B14,'LOD 400 - COLO3'!B:AQ,42,FALSE),"N/A")</f>
        <v>NOT PUBLISHED</v>
      </c>
      <c r="EI14" s="94" t="str">
        <f>IFERROR(VLOOKUP($B14,'LOD 400 - COLO3'!B:AT,45,FALSE),"N/A")</f>
        <v>NOT PUBLISHED</v>
      </c>
      <c r="EJ14" s="94" t="str">
        <f>IFERROR(VLOOKUP($B14,'LOD 400 - COLO3'!B:AW,48,FALSE),"N/A")</f>
        <v>NOT PUBLISHED</v>
      </c>
      <c r="EK14" s="94" t="str">
        <f>IFERROR(VLOOKUP($B14,'LOD 400 - COLO3'!B:AZ,51,FALSE),"N/A")</f>
        <v>NOT PUBLISHED</v>
      </c>
      <c r="EL14" s="94" t="str">
        <f>IFERROR(VLOOKUP($B14,'LOD 400 - COLO3'!B:BC,54,FALSE),"N/A")</f>
        <v>NOT PUBLISHED</v>
      </c>
      <c r="EM14" s="94" t="str">
        <f>IFERROR(VLOOKUP($B14,'LOD 400 - COLO3'!B:BF,57,FALSE),"N/A")</f>
        <v>NOT PUBLISHED</v>
      </c>
      <c r="EN14" s="94" t="str">
        <f>IFERROR(VLOOKUP($B14,'LOD 400 - COLO3'!B:BI,60,FALSE),"N/A")</f>
        <v>NOT PUBLISHED</v>
      </c>
      <c r="EO14" s="94" t="str">
        <f>IFERROR(VLOOKUP($B14,'LOD 400 - COLO3'!B:BL,63,FALSE),"N/A")</f>
        <v>NOT PUBLISHED</v>
      </c>
      <c r="EP14" s="86" t="str">
        <f>IFERROR(__xludf.DUMMYFUNCTION("IFERROR(
  MAX(FILTER(DZ14:EO14, ISNUMBER(DZ14:EO14))),
  EO14
)"),"NOT PUBLISHED")</f>
        <v>NOT PUBLISHED</v>
      </c>
      <c r="EQ14" s="95" t="str">
        <f>IFERROR(VLOOKUP($B14,'LOD 400 - COLO4'!B:S,18,FALSE),"N/A")</f>
        <v>NOT PUBLISHED</v>
      </c>
      <c r="ER14" s="96" t="str">
        <f>IFERROR(__xludf.DUMMYFUNCTION("IFERROR(
  MAX(FILTER(EQ14, ISNUMBER(EQ14))),
  EQ14
)"),"NOT PUBLISHED")</f>
        <v>NOT PUBLISHED</v>
      </c>
      <c r="ES14" s="79" t="str">
        <f>IFERROR(VLOOKUP($B14,'LOD 400 - SITE'!B:S,18,FALSE),"N/A")</f>
        <v>N/A</v>
      </c>
      <c r="ET14" s="80" t="str">
        <f>IFERROR(VLOOKUP($B14,'LOD 400 - SITE'!B:V,21,FALSE),"N/A")</f>
        <v>N/A</v>
      </c>
      <c r="EU14" s="97" t="str">
        <f>IFERROR(VLOOKUP($B14,'LOD 400 - SITE'!$B:Y,24,FALSE),"N/A")</f>
        <v>N/A</v>
      </c>
      <c r="EV14" s="80" t="str">
        <f>IFERROR(VLOOKUP($B14,'LOD 400 - SITE'!$B:AB,27,FALSE),"N/A")</f>
        <v>N/A</v>
      </c>
      <c r="EW14" s="81" t="str">
        <f>IFERROR(VLOOKUP($B14,'LOD 400 - SITE'!$B:AE,30,FALSE),"N/A")</f>
        <v>N/A</v>
      </c>
      <c r="EX14" s="87" t="str">
        <f>IFERROR(VLOOKUP($B14,'LOD 400 - SITE'!$B:AH,33,FALSE),"N/A")</f>
        <v>N/A</v>
      </c>
      <c r="EY14" s="87" t="str">
        <f>IFERROR(VLOOKUP($B14,'LOD 400 - SITE'!$B:AK,36,FALSE),"N/A")</f>
        <v>N/A</v>
      </c>
      <c r="EZ14" s="80" t="str">
        <f>IFERROR(VLOOKUP($B14,'LOD 400 - SITE'!$B:AN,39,FALSE),"N/A")</f>
        <v>N/A</v>
      </c>
      <c r="FA14" s="82" t="str">
        <f>IFERROR(VLOOKUP($B14,'LOD 400 - SITE'!$B:AQ,42,FALSE),"N/A")</f>
        <v>N/A</v>
      </c>
      <c r="FB14" s="88" t="str">
        <f>IFERROR(VLOOKUP($B14,'LOD 400 - SITE'!$B:AT,45,FALSE),"N/A")</f>
        <v>N/A</v>
      </c>
      <c r="FC14" s="84" t="str">
        <f>IFERROR(VLOOKUP($B14,'LOD 400 - SITE'!$B:AW,48,FALSE),"N/A")</f>
        <v>N/A</v>
      </c>
      <c r="FD14" s="84" t="str">
        <f>IFERROR(VLOOKUP($B14,'LOD 400 - SITE'!$B:AZ,51,FALSE),"N/A")</f>
        <v>N/A</v>
      </c>
      <c r="FE14" s="84" t="str">
        <f>IFERROR(VLOOKUP($B14,'LOD 400 - SITE'!$B:BC,54,FALSE),"N/A")</f>
        <v>N/A</v>
      </c>
      <c r="FF14" s="84" t="str">
        <f>IFERROR(VLOOKUP($B14,'LOD 400 - SITE'!$B:BF,57,FALSE),"N/A")</f>
        <v>N/A</v>
      </c>
      <c r="FG14" s="84" t="str">
        <f>IFERROR(VLOOKUP($B14,'LOD 400 - SITE'!$B:BI,60,FALSE),"N/A")</f>
        <v>N/A</v>
      </c>
      <c r="FH14" s="84" t="str">
        <f>IFERROR(VLOOKUP($B14,'LOD 400 - SITE'!$B:BL,63,FALSE),"N/A")</f>
        <v>N/A</v>
      </c>
      <c r="FI14" s="84" t="str">
        <f>IFERROR(VLOOKUP($B14,'LOD 400 - SITE'!$B:BO,66,FALSE),"N/A")</f>
        <v>N/A</v>
      </c>
      <c r="FJ14" s="84" t="str">
        <f>IFERROR(VLOOKUP($B14,'LOD 400 - SITE'!$B:BR,69,FALSE),"N/A")</f>
        <v>N/A</v>
      </c>
      <c r="FK14" s="84" t="str">
        <f>IFERROR(VLOOKUP($B14,'LOD 400 - SITE'!$B:BU,72,FALSE),"N/A")</f>
        <v>N/A</v>
      </c>
      <c r="FL14" s="84" t="str">
        <f>IFERROR(VLOOKUP($B14,'LOD 400 - SITE'!$B:BX,75,FALSE),"N/A")</f>
        <v>N/A</v>
      </c>
      <c r="FM14" s="84" t="str">
        <f>IFERROR(VLOOKUP($B14,'LOD 400 - SITE'!$B:CA,78,FALSE),"N/A")</f>
        <v>N/A</v>
      </c>
      <c r="FN14" s="85" t="str">
        <f>IFERROR(VLOOKUP($B14,'LOD 400 - SITE'!$B:CD,81,FALSE),"N/A")</f>
        <v>N/A</v>
      </c>
      <c r="FO14" s="84" t="str">
        <f>IFERROR(VLOOKUP($B14,'LOD 400 - SITE'!$B:CG,84,FALSE),"N/A")</f>
        <v>N/A</v>
      </c>
      <c r="FP14" s="85" t="str">
        <f>IFERROR(VLOOKUP($B14,'LOD 400 - SITE'!$B:CJ,87,FALSE),"N/A")</f>
        <v>N/A</v>
      </c>
      <c r="FQ14" s="84" t="str">
        <f>IFERROR(VLOOKUP($B14,'LOD 400 - SITE'!$B:CM,90,FALSE),"N/A")</f>
        <v>N/A</v>
      </c>
      <c r="FR14" s="84" t="str">
        <f>IFERROR(VLOOKUP($B14,'LOD 400 - SITE'!$B:CP,93,FALSE),"N/A")</f>
        <v>N/A</v>
      </c>
      <c r="FS14" s="84" t="str">
        <f>IFERROR(VLOOKUP($B14,'LOD 400 - SITE'!$B:CS,96,FALSE),"N/A")</f>
        <v>N/A</v>
      </c>
      <c r="FT14" s="84" t="str">
        <f>IFERROR(VLOOKUP($B14,'LOD 400 - SITE'!$B:CV,99,FALSE),"N/A")</f>
        <v>N/A</v>
      </c>
      <c r="FU14" s="84" t="str">
        <f>IFERROR(VLOOKUP($B14,'LOD 400 - SITE'!$B:CY,102,FALSE),"N/A")</f>
        <v>N/A</v>
      </c>
      <c r="FV14" s="84" t="str">
        <f>IFERROR(VLOOKUP($B14,'LOD 400 - SITE'!$B:DB,105,FALSE),"N/A")</f>
        <v>N/A</v>
      </c>
      <c r="FW14" s="84" t="str">
        <f>IFERROR(VLOOKUP($B14,'LOD 400 - SITE'!$B:DE,108,FALSE),"N/A")</f>
        <v>N/A</v>
      </c>
      <c r="FX14" s="84" t="str">
        <f>IFERROR(VLOOKUP($B14,'LOD 400 - SITE'!$B:DH,111,FALSE),"N/A")</f>
        <v>N/A</v>
      </c>
      <c r="FY14" s="84" t="str">
        <f>IFERROR(VLOOKUP($B14,'LOD 400 - SITE'!$B:DK,114,FALSE),"N/A")</f>
        <v>N/A</v>
      </c>
      <c r="FZ14" s="96" t="str">
        <f>IFERROR(__xludf.DUMMYFUNCTION("IFERROR(
  MAX(FILTER(ES14:FY14, ISNUMBER(ES14:FY14))),
  FY14
)"),"N/A")</f>
        <v>N/A</v>
      </c>
      <c r="GA14" s="80" t="str">
        <f>IFERROR(VLOOKUP($B14,'LOD 400 - UTLS'!B:S,18,FALSE),"N/A")</f>
        <v>N/A</v>
      </c>
      <c r="GB14" s="98" t="str">
        <f>IFERROR(VLOOKUP($B14,'LOD 400 - UTLS'!B:V,21,FALSE),"N/A")</f>
        <v>N/A</v>
      </c>
      <c r="GC14" s="81" t="str">
        <f>IFERROR(VLOOKUP($B14,'LOD 400 - UTLS'!B:Y,24,FALSE),"N/A")</f>
        <v>N/A</v>
      </c>
      <c r="GD14" s="87" t="str">
        <f>IFERROR(VLOOKUP($B14,'LOD 400 - UTLS'!$B:AB,27,FALSE),"N/A")</f>
        <v>N/A</v>
      </c>
      <c r="GE14" s="80" t="str">
        <f>IFERROR(VLOOKUP($B14,'LOD 400 - UTLS'!$B:AE,30,FALSE),"N/A")</f>
        <v>N/A</v>
      </c>
      <c r="GF14" s="82" t="str">
        <f>IFERROR(VLOOKUP($B14,'LOD 400 - UTLS'!$B:AH,33,FALSE),"N/A")</f>
        <v>N/A</v>
      </c>
      <c r="GG14" s="88" t="str">
        <f>IFERROR(VLOOKUP($B14,'LOD 400 - UTLS'!$B:AK,36,FALSE),"N/A")</f>
        <v>N/A</v>
      </c>
      <c r="GH14" s="84" t="str">
        <f>IFERROR(VLOOKUP($B14,'LOD 400 - UTLS'!$B:AN,39,FALSE),"N/A")</f>
        <v>N/A</v>
      </c>
      <c r="GI14" s="84" t="str">
        <f>IFERROR(VLOOKUP($B14,'LOD 400 - UTLS'!$B:AQ,42,FALSE),"N/A")</f>
        <v>N/A</v>
      </c>
      <c r="GJ14" s="84" t="str">
        <f>IFERROR(VLOOKUP($B14,'LOD 400 - UTLS'!$B:AT,45,FALSE),"N/A")</f>
        <v>N/A</v>
      </c>
      <c r="GK14" s="84" t="str">
        <f>IFERROR(VLOOKUP($B14,'LOD 400 - UTLS'!$B:AW,48,FALSE),"N/A")</f>
        <v>N/A</v>
      </c>
      <c r="GL14" s="84" t="str">
        <f>IFERROR(VLOOKUP($B14,'LOD 400 - UTLS'!$B:AZ,51,FALSE),"N/A")</f>
        <v>N/A</v>
      </c>
      <c r="GM14" s="84" t="str">
        <f>IFERROR(VLOOKUP($B14,'LOD 400 - UTLS'!$B:BC,54,FALSE),"N/A")</f>
        <v>N/A</v>
      </c>
      <c r="GN14" s="84" t="str">
        <f>IFERROR(VLOOKUP($B14,'LOD 400 - UTLS'!$B:BF,57,FALSE),"N/A")</f>
        <v>N/A</v>
      </c>
      <c r="GO14" s="84" t="str">
        <f>IFERROR(VLOOKUP($B14,'LOD 400 - UTLS'!$B:BI,60,FALSE),"N/A")</f>
        <v>N/A</v>
      </c>
      <c r="GP14" s="84" t="str">
        <f>IFERROR(VLOOKUP($B14,'LOD 400 - UTLS'!$B:BL,63,FALSE),"N/A")</f>
        <v>N/A</v>
      </c>
      <c r="GQ14" s="84" t="str">
        <f>IFERROR(VLOOKUP($B14,'LOD 400 - UTLS'!$B:BO,66,FALSE),"N/A")</f>
        <v>N/A</v>
      </c>
      <c r="GR14" s="84" t="str">
        <f>IFERROR(VLOOKUP($B14,'LOD 400 - UTLS'!$B:BR,69,FALSE),"N/A")</f>
        <v>N/A</v>
      </c>
      <c r="GS14" s="85" t="str">
        <f>IFERROR(VLOOKUP($B14,'LOD 400 - UTLS'!$B:BU,72,FALSE),"N/A")</f>
        <v>N/A</v>
      </c>
      <c r="GT14" s="84" t="str">
        <f>IFERROR(VLOOKUP($B14,'LOD 400 - UTLS'!$B:BX,75,FALSE),"N/A")</f>
        <v>N/A</v>
      </c>
      <c r="GU14" s="85" t="str">
        <f>IFERROR(VLOOKUP($B14,'LOD 400 - UTLS'!$B:CA,78,FALSE),"N/A")</f>
        <v>N/A</v>
      </c>
      <c r="GV14" s="84" t="str">
        <f>IFERROR(VLOOKUP($B14,'LOD 400 - UTLS'!$B:CD,81,FALSE),"N/A")</f>
        <v>N/A</v>
      </c>
      <c r="GW14" s="84" t="str">
        <f>IFERROR(VLOOKUP($B14,'LOD 400 - UTLS'!$B:CG,84,FALSE),"N/A")</f>
        <v>N/A</v>
      </c>
      <c r="GX14" s="84" t="str">
        <f>IFERROR(VLOOKUP($B14,'LOD 400 - UTLS'!$B:CJ,87,FALSE),"N/A")</f>
        <v>N/A</v>
      </c>
      <c r="GY14" s="84" t="str">
        <f>IFERROR(VLOOKUP($B14,'LOD 400 - UTLS'!$B:CM,90,FALSE),"N/A")</f>
        <v>N/A</v>
      </c>
      <c r="GZ14" s="84" t="str">
        <f>IFERROR(VLOOKUP($B14,'LOD 400 - UTLS'!$B:CP,93,FALSE),"N/A")</f>
        <v>N/A</v>
      </c>
      <c r="HA14" s="84" t="str">
        <f>IFERROR(VLOOKUP($B14,'LOD 400 - UTLS'!$B:CS,96,FALSE),"N/A")</f>
        <v>N/A</v>
      </c>
      <c r="HB14" s="84" t="str">
        <f>IFERROR(VLOOKUP($B14,'LOD 400 - UTLS'!$B:CV,99,FALSE),"N/A")</f>
        <v>N/A</v>
      </c>
      <c r="HC14" s="84" t="str">
        <f>IFERROR(VLOOKUP($B14,'LOD 400 - UTLS'!$B:CY,102,FALSE),"N/A")</f>
        <v>N/A</v>
      </c>
      <c r="HD14" s="84" t="str">
        <f>IFERROR(VLOOKUP($B14,'LOD 400 - UTLS'!$B:DB,105,FALSE),"N/A")</f>
        <v>N/A</v>
      </c>
      <c r="HE14" s="96" t="str">
        <f>IFERROR(__xludf.DUMMYFUNCTION("IFERROR(
  MAX(FILTER(GA14:HD14, ISNUMBER(GA14:HD14))),
  HD14
)"),"N/A")</f>
        <v>N/A</v>
      </c>
      <c r="HF14" s="99"/>
      <c r="HG14" s="99"/>
      <c r="HH14" s="99"/>
      <c r="HI14" s="99"/>
      <c r="HJ14" s="99"/>
      <c r="HK14" s="99"/>
    </row>
    <row r="15" ht="15.0" customHeight="1" outlineLevel="1">
      <c r="A15" s="53">
        <v>18.0</v>
      </c>
      <c r="B15" s="110" t="s">
        <v>106</v>
      </c>
      <c r="C15" s="110" t="s">
        <v>107</v>
      </c>
      <c r="D15" s="64" t="str">
        <f t="shared" si="1"/>
        <v>DATA</v>
      </c>
      <c r="E15" s="101" t="s">
        <v>108</v>
      </c>
      <c r="F15" s="115">
        <v>1107.0</v>
      </c>
      <c r="G15" s="114" t="s">
        <v>109</v>
      </c>
      <c r="H15" s="116">
        <v>0.0</v>
      </c>
      <c r="I15" s="68" t="str">
        <f>IFERROR(VLOOKUP($C12:C108,'R22 RELATÓRIO ACC'!B:F,5,FALSE),"NOT PUBLISHED")</f>
        <v>NOT PUBLISHED</v>
      </c>
      <c r="J15" s="69" t="str">
        <f>IFERROR(VLOOKUP($C12:C108,'R22 RELATÓRIO ACC'!B:P,15,FALSE),"NOT PUBLISHED")</f>
        <v>NOT PUBLISHED</v>
      </c>
      <c r="K15" s="70" t="str">
        <f>IFERROR(VLOOKUP($B12:B108,'RELATÓRIO ACC'!B:F,5,FALSE),"NOT PUBLISHED")</f>
        <v>NOT PUBLISHED</v>
      </c>
      <c r="L15" s="71" t="str">
        <f>IFERROR(VLOOKUP($B12:B108,'RELATÓRIO ACC'!B:P,15,FALSE),"NOT PUBLISHED")</f>
        <v>NOT PUBLISHED</v>
      </c>
      <c r="M15" s="72" t="str">
        <f>IF(OR($D15="UTLS",$D15="GUAR",$D15="STIR",$D15="PUMP",$D15="SITE"),
   VLOOKUP($B15,'LOD 400 - SITE'!B:M,12,FALSE),
   VLOOKUP($B15,'LOD 400 - ADMN'!B:M,12,FALSE)
)</f>
        <v>NOT PUBLISHED</v>
      </c>
      <c r="N15" s="105" t="str">
        <f>IF(OR($D15="UTLS",$D15="GUAR",$D15="STIR",$D15="PUMP",$D15="SITE"),
   VLOOKUP($B15,'LOD 400 - SITE'!B:N,13,FALSE),
   VLOOKUP($B15,'LOD 400 - ADMN'!B:N,13,FALSE)
)</f>
        <v>NOT PUBLISHED</v>
      </c>
      <c r="O15" s="106" t="str">
        <f>IF(OR($D15="UTLS",$D15="GUAR",$D15="STIR",$D15="PUMP",$D15="SITE"),
   VLOOKUP($B15,'LOD 400 - SITE'!B:O,14,FALSE),
   VLOOKUP($B15,'LOD 400 - ADMN'!B:O,14,FALSE)
)</f>
        <v>NOT PUBLISHED</v>
      </c>
      <c r="P15" s="107" t="str">
        <f>IF(OR($D15="C345",$D15="C12A",$D15="DATA"),
   VLOOKUP($B15,'LOD 400 - COLO3'!B:M,12,FALSE),"N/A")</f>
        <v>NOT PUBLISHED</v>
      </c>
      <c r="Q15" s="108" t="str">
        <f>IF(OR($D15="C345",$D15="C12A",$D15="DATA"),
   VLOOKUP($B15,'LOD 400 - COLO3'!B:N,13,FALSE),"N/A")</f>
        <v>NOT PUBLISHED</v>
      </c>
      <c r="R15" s="75" t="str">
        <f>IF(OR($D15="C345",$D15="C12A",$D15="DATA"),
   VLOOKUP($B15,'LOD 400 - COLO3'!B:O,14,FALSE),"N/A")</f>
        <v>NOT PUBLISHED</v>
      </c>
      <c r="S15" s="113" t="str">
        <f>IFERROR(VLOOKUP($B14:J108,'RELATÓRIO ACC'!J:N,5,FALSE),"NOT PUBLISHED")</f>
        <v>NOT PUBLISHED</v>
      </c>
      <c r="T15" s="113" t="str">
        <f>IFERROR(VLOOKUP($B14:K108,'RELATÓRIO ACC'!K:O,5,FALSE),"NOT PUBLISHED")</f>
        <v>NOT PUBLISHED</v>
      </c>
      <c r="U15" s="70" t="str">
        <f>IFERROR(VLOOKUP($B14:L108,'RELATÓRIO ACC'!L:P,5,FALSE),"NOT PUBLISHED")</f>
        <v>NOT PUBLISHED</v>
      </c>
      <c r="V15" s="77" t="str">
        <f>IF(OR($D15="UTLS",$D15="GUAR",$D15="STIR",$D15="PUMP",$D15="SITE"),
   VLOOKUP($B15,'LOD 400 - UTLS'!B:M,12,FALSE),"N/A")</f>
        <v>N/A</v>
      </c>
      <c r="W15" s="78" t="str">
        <f>IF(OR($D15="UTLS",$D15="GUAR",$D15="STIR",$D15="PUMP",$D15="SITE"),
   VLOOKUP($B15,'LOD 400 - UTLS'!B:N,13,FALSE),"N/A")</f>
        <v>N/A</v>
      </c>
      <c r="X15" s="108" t="str">
        <f>IF(OR($D15="UTLS",$D15="GUAR",$D15="STIR",$D15="PUMP",$D15="SITE"),
   VLOOKUP($B15,'LOD 400 - UTLS'!B:O,14,FALSE),"N/A")</f>
        <v>N/A</v>
      </c>
      <c r="Y15" s="79" t="str">
        <f>IFERROR(VLOOKUP($B15,'LOD 400 - ADMN'!B:S,18,FALSE),"N/A")</f>
        <v>NOT PUBLISHED</v>
      </c>
      <c r="Z15" s="79" t="str">
        <f>IFERROR(VLOOKUP($B15,'LOD 400 - ADMN'!B:V,21,FALSE),"N/A")</f>
        <v>NOT PUBLISHED</v>
      </c>
      <c r="AA15" s="79" t="str">
        <f>IFERROR(VLOOKUP($B15,'LOD 400 - ADMN'!$B:Y,24,FALSE),"N/A")</f>
        <v>NOT PUBLISHED</v>
      </c>
      <c r="AB15" s="80" t="str">
        <f>IFERROR(VLOOKUP($B15,'LOD 400 - ADMN'!$B:AB,27,FALSE),"N/A")</f>
        <v>NOT PUBLISHED</v>
      </c>
      <c r="AC15" s="81" t="str">
        <f>IFERROR(VLOOKUP($B15,'LOD 400 - ADMN'!$B:AE,30,FALSE),"N/A")</f>
        <v>NOT PUBLISHED</v>
      </c>
      <c r="AD15" s="81" t="str">
        <f>IFERROR(VLOOKUP($B15,'LOD 400 - ADMN'!$B:AH,33,FALSE),"N/A")</f>
        <v>NOT PUBLISHED</v>
      </c>
      <c r="AE15" s="80" t="str">
        <f>IFERROR(VLOOKUP($B15,'LOD 400 - ADMN'!$B:AK,36,FALSE),"N/A")</f>
        <v>NOT PUBLISHED</v>
      </c>
      <c r="AF15" s="82" t="str">
        <f>IFERROR(VLOOKUP($B15,'LOD 400 - ADMN'!$B:AN,39,FALSE),"N/A")</f>
        <v>NOT PUBLISHED</v>
      </c>
      <c r="AG15" s="83" t="str">
        <f>IFERROR(VLOOKUP($B15,'LOD 400 - ADMN'!$B:AQ,42,FALSE),"N/A")</f>
        <v>NOT PUBLISHED</v>
      </c>
      <c r="AH15" s="84" t="str">
        <f>IFERROR(VLOOKUP($B15,'LOD 400 - ADMN'!$B:AT,45,FALSE),"N/A")</f>
        <v>NOT PUBLISHED</v>
      </c>
      <c r="AI15" s="85" t="str">
        <f>IFERROR(VLOOKUP($B15,'LOD 400 - ADMN'!$B:AW,48,FALSE),"N/A")</f>
        <v>NOT PUBLISHED</v>
      </c>
      <c r="AJ15" s="85" t="str">
        <f>IFERROR(VLOOKUP($B15,'LOD 400 - ADMN'!$B:AZ,51,FALSE),"N/A")</f>
        <v>NOT PUBLISHED</v>
      </c>
      <c r="AK15" s="84" t="str">
        <f>IFERROR(VLOOKUP($B15,'LOD 400 - ADMN'!$B:BC,54,FALSE),"N/A")</f>
        <v>NOT PUBLISHED</v>
      </c>
      <c r="AL15" s="84" t="str">
        <f>IFERROR(VLOOKUP($B15,'LOD 400 - ADMN'!$B:BF,57,FALSE),"N/A")</f>
        <v>NOT PUBLISHED</v>
      </c>
      <c r="AM15" s="84" t="str">
        <f>IFERROR(VLOOKUP($B15,'LOD 400 - ADMN'!$B:BI,60,FALSE),"N/A")</f>
        <v>NOT PUBLISHED</v>
      </c>
      <c r="AN15" s="84" t="str">
        <f>IFERROR(VLOOKUP($B15,'LOD 400 - ADMN'!$B:BL,63,FALSE),"N/A")</f>
        <v>NOT PUBLISHED</v>
      </c>
      <c r="AO15" s="84" t="str">
        <f>IFERROR(VLOOKUP($B15,'LOD 400 - ADMN'!$B:BO,66,FALSE),"N/A")</f>
        <v>NOT PUBLISHED</v>
      </c>
      <c r="AP15" s="84" t="str">
        <f>IFERROR(VLOOKUP($B15,'LOD 400 - ADMN'!$B:BR,69,FALSE),"N/A")</f>
        <v>NOT PUBLISHED</v>
      </c>
      <c r="AQ15" s="84" t="str">
        <f>IFERROR(VLOOKUP($B15,'LOD 400 - ADMN'!$B:BU,72,FALSE),"N/A")</f>
        <v>NOT PUBLISHED</v>
      </c>
      <c r="AR15" s="84" t="str">
        <f>IFERROR(VLOOKUP($B15,'LOD 400 - ADMN'!$B:BX,75,FALSE),"N/A")</f>
        <v>NOT PUBLISHED</v>
      </c>
      <c r="AS15" s="84" t="str">
        <f>IFERROR(VLOOKUP($B15,'LOD 400 - ADMN'!$B:CA,78,FALSE),"N/A")</f>
        <v>NOT PUBLISHED</v>
      </c>
      <c r="AT15" s="84" t="str">
        <f>IFERROR(VLOOKUP($B15,'LOD 400 - ADMN'!$B:CD,81,FALSE),"N/A")</f>
        <v>NOT PUBLISHED</v>
      </c>
      <c r="AU15" s="85" t="str">
        <f>IFERROR(VLOOKUP($B15,'LOD 400 - ADMN'!$B:CG,84,FALSE),"N/A")</f>
        <v>NOT PUBLISHED</v>
      </c>
      <c r="AV15" s="84" t="str">
        <f>IFERROR(VLOOKUP($B15,'LOD 400 - ADMN'!$B:CJ,87,FALSE),"N/A")</f>
        <v>NOT PUBLISHED</v>
      </c>
      <c r="AW15" s="85" t="str">
        <f>IFERROR(VLOOKUP($B15,'LOD 400 - ADMN'!$B:CM,90,FALSE),"N/A")</f>
        <v>NOT PUBLISHED</v>
      </c>
      <c r="AX15" s="84" t="str">
        <f>IFERROR(VLOOKUP($B15,'LOD 400 - ADMN'!$B:CP,93,FALSE),"N/A")</f>
        <v>NOT PUBLISHED</v>
      </c>
      <c r="AY15" s="84" t="str">
        <f>IFERROR(VLOOKUP($B15,'LOD 400 - ADMN'!$B:CS,96,FALSE),"N/A")</f>
        <v>NOT PUBLISHED</v>
      </c>
      <c r="AZ15" s="84" t="str">
        <f>IFERROR(VLOOKUP($B15,'LOD 400 - ADMN'!$B:CV,99,FALSE),"N/A")</f>
        <v>NOT PUBLISHED</v>
      </c>
      <c r="BA15" s="84" t="str">
        <f>IFERROR(VLOOKUP($B15,'LOD 400 - ADMN'!$B:CY,102,FALSE),"N/A")</f>
        <v>NOT PUBLISHED</v>
      </c>
      <c r="BB15" s="84" t="str">
        <f>IFERROR(VLOOKUP($B15,'LOD 400 - ADMN'!$B:DB,105,FALSE),"N/A")</f>
        <v>NOT PUBLISHED</v>
      </c>
      <c r="BC15" s="84" t="str">
        <f>IFERROR(VLOOKUP($B15,'LOD 400 - ADMN'!$B:DE,108,FALSE),"N/A")</f>
        <v>NOT PUBLISHED</v>
      </c>
      <c r="BD15" s="84" t="str">
        <f>IFERROR(VLOOKUP($B15,'LOD 400 - ADMN'!$B:DH,111,FALSE),"N/A")</f>
        <v>NOT PUBLISHED</v>
      </c>
      <c r="BE15" s="84" t="str">
        <f>IFERROR(VLOOKUP($B15,'LOD 400 - ADMN'!$B:DK,114,FALSE),"N/A")</f>
        <v>NOT PUBLISHED</v>
      </c>
      <c r="BF15" s="84" t="str">
        <f>IFERROR(VLOOKUP($B15,'LOD 400 - ADMN'!$B:DN,117,FALSE),"N/A")</f>
        <v>NOT PUBLISHED</v>
      </c>
      <c r="BG15" s="86" t="str">
        <f>IFERROR(__xludf.DUMMYFUNCTION("IFERROR(
  MAX(FILTER(Y15:BF15, ISNUMBER(Y15:BF15))),
  BF15
)"),"NOT PUBLISHED")</f>
        <v>NOT PUBLISHED</v>
      </c>
      <c r="BH15" s="79" t="str">
        <f>IFERROR(VLOOKUP($B15,'LOD 400 - COLO1'!B:S,18,FALSE),"N/A")</f>
        <v>NOT PUBLISHED</v>
      </c>
      <c r="BI15" s="79" t="str">
        <f>IFERROR(VLOOKUP($B15,'LOD 400 - COLO1'!B:V,21,FALSE),"N/A")</f>
        <v>NOT PUBLISHED</v>
      </c>
      <c r="BJ15" s="79" t="str">
        <f>IFERROR(VLOOKUP($B15,'LOD 400 - COLO1'!$B:Y,24,FALSE),"N/A")</f>
        <v>NOT PUBLISHED</v>
      </c>
      <c r="BK15" s="87" t="str">
        <f>IFERROR(VLOOKUP($B15,'LOD 400 - COLO1'!$B:AB,27,FALSE),"N/A")</f>
        <v>NOT PUBLISHED</v>
      </c>
      <c r="BL15" s="80" t="str">
        <f>IFERROR(VLOOKUP($B15,'LOD 400 - COLO1'!$B:AE,30,FALSE),"N/A")</f>
        <v>NOT PUBLISHED</v>
      </c>
      <c r="BM15" s="81" t="str">
        <f>IFERROR(VLOOKUP($B15,'LOD 400 - COLO1'!$B:AH,33,FALSE),"N/A")</f>
        <v>NOT PUBLISHED</v>
      </c>
      <c r="BN15" s="87" t="str">
        <f>IFERROR(VLOOKUP($B15,'LOD 400 - COLO1'!$B:AK,36,FALSE),"N/A")</f>
        <v>NOT PUBLISHED</v>
      </c>
      <c r="BO15" s="83" t="str">
        <f>IFERROR(VLOOKUP($B15,'LOD 400 - COLO1'!$B:AN,39,FALSE),"N/A")</f>
        <v>NOT PUBLISHED</v>
      </c>
      <c r="BP15" s="88" t="str">
        <f>IFERROR(VLOOKUP($B15,'LOD 400 - COLO1'!$B:AQ,42,FALSE),"N/A")</f>
        <v>NOT PUBLISHED</v>
      </c>
      <c r="BQ15" s="84" t="str">
        <f>IFERROR(VLOOKUP($B15,'LOD 400 - COLO1'!$B:AT,45,FALSE),"N/A")</f>
        <v>NOT PUBLISHED</v>
      </c>
      <c r="BR15" s="85" t="str">
        <f>IFERROR(VLOOKUP($B15,'LOD 400 - COLO1'!$B:AW,48,FALSE),"N/A")</f>
        <v>NOT PUBLISHED</v>
      </c>
      <c r="BS15" s="84" t="str">
        <f>IFERROR(VLOOKUP($B15,'LOD 400 - COLO1'!$B:AZ,51,FALSE),"N/A")</f>
        <v>NOT PUBLISHED</v>
      </c>
      <c r="BT15" s="84" t="str">
        <f>IFERROR(VLOOKUP($B15,'LOD 400 - COLO1'!$B:BC,54,FALSE),"N/A")</f>
        <v>NOT PUBLISHED</v>
      </c>
      <c r="BU15" s="84" t="str">
        <f>IFERROR(VLOOKUP($B15,'LOD 400 - COLO1'!$B:BF,57,FALSE),"N/A")</f>
        <v>NOT PUBLISHED</v>
      </c>
      <c r="BV15" s="84" t="str">
        <f>IFERROR(VLOOKUP($B15,'LOD 400 - COLO1'!$B:BI,60,FALSE),"N/A")</f>
        <v>NOT PUBLISHED</v>
      </c>
      <c r="BW15" s="84" t="str">
        <f>IFERROR(VLOOKUP($B15,'LOD 400 - COLO1'!$B:BL,63,FALSE),"N/A")</f>
        <v>NOT PUBLISHED</v>
      </c>
      <c r="BX15" s="84" t="str">
        <f>IFERROR(VLOOKUP($B15,'LOD 400 - COLO1'!$B:BO,66,FALSE),"N/A")</f>
        <v>NOT PUBLISHED</v>
      </c>
      <c r="BY15" s="84" t="str">
        <f>IFERROR(VLOOKUP($B15,'LOD 400 - COLO1'!$B:BR,69,FALSE),"N/A")</f>
        <v>NOT PUBLISHED</v>
      </c>
      <c r="BZ15" s="84" t="str">
        <f>IFERROR(VLOOKUP($B15,'LOD 400 - COLO1'!$B:BU,72,FALSE),"N/A")</f>
        <v>NOT PUBLISHED</v>
      </c>
      <c r="CA15" s="84" t="str">
        <f>IFERROR(VLOOKUP($B15,'LOD 400 - COLO1'!$B:BX,75,FALSE),"N/A")</f>
        <v>NOT PUBLISHED</v>
      </c>
      <c r="CB15" s="84" t="str">
        <f>IFERROR(VLOOKUP($B15,'LOD 400 - COLO1'!$B:CA,78,FALSE),"N/A")</f>
        <v>NOT PUBLISHED</v>
      </c>
      <c r="CC15" s="84" t="str">
        <f>IFERROR(VLOOKUP($B15,'LOD 400 - COLO1'!$B:CD,81,FALSE),"N/A")</f>
        <v>NOT PUBLISHED</v>
      </c>
      <c r="CD15" s="85" t="str">
        <f>IFERROR(VLOOKUP($B15,'LOD 400 - COLO1'!$B:CG,84,FALSE),"N/A")</f>
        <v>NOT PUBLISHED</v>
      </c>
      <c r="CE15" s="84" t="str">
        <f>IFERROR(VLOOKUP($B15,'LOD 400 - COLO1'!$B:CJ,87,FALSE),"N/A")</f>
        <v>NOT PUBLISHED</v>
      </c>
      <c r="CF15" s="85" t="str">
        <f>IFERROR(VLOOKUP($B15,'LOD 400 - COLO1'!$B:CM,90,FALSE),"N/A")</f>
        <v>NOT PUBLISHED</v>
      </c>
      <c r="CG15" s="84" t="str">
        <f>IFERROR(VLOOKUP($B15,'LOD 400 - COLO1'!$B:CP,93,FALSE),"N/A")</f>
        <v>NOT PUBLISHED</v>
      </c>
      <c r="CH15" s="84" t="str">
        <f>IFERROR(VLOOKUP($B15,'LOD 400 - COLO1'!$B:CS,96,FALSE),"N/A")</f>
        <v>NOT PUBLISHED</v>
      </c>
      <c r="CI15" s="84" t="str">
        <f>IFERROR(VLOOKUP($B15,'LOD 400 - COLO1'!$B:CV,99,FALSE),"N/A")</f>
        <v>NOT PUBLISHED</v>
      </c>
      <c r="CJ15" s="84" t="str">
        <f>IFERROR(VLOOKUP($B15,'LOD 400 - COLO1'!$B:CY,102,FALSE),"N/A")</f>
        <v>NOT PUBLISHED</v>
      </c>
      <c r="CK15" s="84" t="str">
        <f>IFERROR(VLOOKUP($B15,'LOD 400 - COLO1'!$B:DB,105,FALSE),"N/A")</f>
        <v>NOT PUBLISHED</v>
      </c>
      <c r="CL15" s="84" t="str">
        <f>IFERROR(VLOOKUP($B15,'LOD 400 - COLO1'!$B:DE,108,FALSE),"N/A")</f>
        <v>NOT PUBLISHED</v>
      </c>
      <c r="CM15" s="84" t="str">
        <f>IFERROR(VLOOKUP($B15,'LOD 400 - COLO1'!$B:DH,111,FALSE),"N/A")</f>
        <v>NOT PUBLISHED</v>
      </c>
      <c r="CN15" s="84" t="str">
        <f>IFERROR(VLOOKUP($B15,'LOD 400 - COLO1'!$B:DK,114,FALSE),"N/A")</f>
        <v>NOT PUBLISHED</v>
      </c>
      <c r="CO15" s="84" t="str">
        <f>IFERROR(VLOOKUP($B15,'LOD 400 - COLO1'!$B:DN,117,FALSE),"N/A")</f>
        <v>NOT PUBLISHED</v>
      </c>
      <c r="CP15" s="86" t="str">
        <f>IFERROR(__xludf.DUMMYFUNCTION("IFERROR(
  MAX(FILTER(BH15:CO15, ISNUMBER(BH15:CO15))),
  CO15
)"),"NOT PUBLISHED")</f>
        <v>NOT PUBLISHED</v>
      </c>
      <c r="CQ15" s="89" t="str">
        <f>IFERROR(VLOOKUP($B15,'LOD 400 - COLO2'!B:S,18,FALSE),"N/A")</f>
        <v>NOT PUBLISHED</v>
      </c>
      <c r="CR15" s="79" t="str">
        <f>IFERROR(VLOOKUP($B15,'LOD 400 - COLO2'!B:V,21,FALSE),"N/A")</f>
        <v>NOT PUBLISHED</v>
      </c>
      <c r="CS15" s="79" t="str">
        <f>IFERROR(VLOOKUP($B15,'LOD 400 - COLO2'!$B:Y,24,FALSE),"N/A")</f>
        <v>NOT PUBLISHED</v>
      </c>
      <c r="CT15" s="80" t="str">
        <f>IFERROR(VLOOKUP($B15,'LOD 400 - COLO2'!$B:DQ,27,FALSE),"N/A")</f>
        <v>NOT PUBLISHED</v>
      </c>
      <c r="CU15" s="90" t="str">
        <f>IFERROR(VLOOKUP($B15,'LOD 400 - COLO2'!$B:AE,30,FALSE),"N/A")</f>
        <v>NOT PUBLISHED</v>
      </c>
      <c r="CV15" s="81" t="str">
        <f>IFERROR(VLOOKUP($B15,'LOD 400 - COLO2'!$B:AH,33,FALSE),"N/A")</f>
        <v>NOT PUBLISHED</v>
      </c>
      <c r="CW15" s="90" t="str">
        <f>IFERROR(VLOOKUP($B15,'LOD 400 - COLO2'!$B:AK,36,FALSE),"N/A")</f>
        <v>NOT PUBLISHED</v>
      </c>
      <c r="CX15" s="85" t="str">
        <f>IFERROR(VLOOKUP($B15,'LOD 400 - COLO2'!$B:AN,39,FALSE),"N/A")</f>
        <v>NOT PUBLISHED</v>
      </c>
      <c r="CY15" s="88" t="str">
        <f>IFERROR(VLOOKUP($B15,'LOD 400 - COLO2'!$B:AQ,42,FALSE),"N/A")</f>
        <v>NOT PUBLISHED</v>
      </c>
      <c r="CZ15" s="84" t="str">
        <f>IFERROR(VLOOKUP($B15,'LOD 400 - COLO2'!$B:AT,45,FALSE),"N/A")</f>
        <v>NOT PUBLISHED</v>
      </c>
      <c r="DA15" s="85" t="str">
        <f>IFERROR(VLOOKUP($B15,'LOD 400 - COLO2'!$B:AW,48,FALSE),"N/A")</f>
        <v>NOT PUBLISHED</v>
      </c>
      <c r="DB15" s="84" t="str">
        <f>IFERROR(VLOOKUP($B15,'LOD 400 - COLO2'!$B:AZ,51,FALSE),"N/A")</f>
        <v>NOT PUBLISHED</v>
      </c>
      <c r="DC15" s="84" t="str">
        <f>IFERROR(VLOOKUP($B15,'LOD 400 - COLO2'!$B:BC,54,FALSE),"N/A")</f>
        <v>NOT PUBLISHED</v>
      </c>
      <c r="DD15" s="84" t="str">
        <f>IFERROR(VLOOKUP($B15,'LOD 400 - COLO2'!$B:BF,57,FALSE),"N/A")</f>
        <v>NOT PUBLISHED</v>
      </c>
      <c r="DE15" s="84" t="str">
        <f>IFERROR(VLOOKUP($B15,'LOD 400 - COLO2'!$B:BI,60,FALSE),"N/A")</f>
        <v>NOT PUBLISHED</v>
      </c>
      <c r="DF15" s="84" t="str">
        <f>IFERROR(VLOOKUP($B15,'LOD 400 - COLO2'!$B:BL,63,FALSE),"N/A")</f>
        <v>NOT PUBLISHED</v>
      </c>
      <c r="DG15" s="84" t="str">
        <f>IFERROR(VLOOKUP($B15,'LOD 400 - COLO2'!$B:BO,66,FALSE),"N/A")</f>
        <v>NOT PUBLISHED</v>
      </c>
      <c r="DH15" s="84" t="str">
        <f>IFERROR(VLOOKUP($B15,'LOD 400 - COLO2'!$B:BR,69,FALSE),"N/A")</f>
        <v>NOT PUBLISHED</v>
      </c>
      <c r="DI15" s="84" t="str">
        <f>IFERROR(VLOOKUP($B15,'LOD 400 - COLO2'!$B:BU,72,FALSE),"N/A")</f>
        <v>NOT PUBLISHED</v>
      </c>
      <c r="DJ15" s="84" t="str">
        <f>IFERROR(VLOOKUP($B15,'LOD 400 - COLO2'!$B:BX,75,FALSE),"N/A")</f>
        <v>NOT PUBLISHED</v>
      </c>
      <c r="DK15" s="84" t="str">
        <f>IFERROR(VLOOKUP($B15,'LOD 400 - COLO2'!$B:CA,78,FALSE),"N/A")</f>
        <v>NOT PUBLISHED</v>
      </c>
      <c r="DL15" s="84" t="str">
        <f>IFERROR(VLOOKUP($B15,'LOD 400 - COLO2'!$B:CD,81,FALSE),"N/A")</f>
        <v>NOT PUBLISHED</v>
      </c>
      <c r="DM15" s="85" t="str">
        <f>IFERROR(VLOOKUP($B15,'LOD 400 - COLO2'!$B:CG,84,FALSE),"N/A")</f>
        <v>NOT PUBLISHED</v>
      </c>
      <c r="DN15" s="84" t="str">
        <f>IFERROR(VLOOKUP($B15,'LOD 400 - COLO2'!$B:CJ,87,FALSE),"N/A")</f>
        <v>NOT PUBLISHED</v>
      </c>
      <c r="DO15" s="85" t="str">
        <f>IFERROR(VLOOKUP($B15,'LOD 400 - COLO2'!$B:CM,90,FALSE),"N/A")</f>
        <v>NOT PUBLISHED</v>
      </c>
      <c r="DP15" s="84" t="str">
        <f>IFERROR(VLOOKUP($B15,'LOD 400 - COLO2'!$B:CP,93,FALSE),"N/A")</f>
        <v>NOT PUBLISHED</v>
      </c>
      <c r="DQ15" s="84" t="str">
        <f>IFERROR(VLOOKUP($B15,'LOD 400 - COLO2'!$B:CS,96,FALSE),"N/A")</f>
        <v>NOT PUBLISHED</v>
      </c>
      <c r="DR15" s="84" t="str">
        <f>IFERROR(VLOOKUP($B15,'LOD 400 - COLO2'!$B:CV,99,FALSE),"N/A")</f>
        <v>NOT PUBLISHED</v>
      </c>
      <c r="DS15" s="84" t="str">
        <f>IFERROR(VLOOKUP($B15,'LOD 400 - COLO2'!$B:CY,102,FALSE),"N/A")</f>
        <v>NOT PUBLISHED</v>
      </c>
      <c r="DT15" s="84" t="str">
        <f>IFERROR(VLOOKUP($B15,'LOD 400 - COLO2'!$B:DB,105,FALSE),"N/A")</f>
        <v>NOT PUBLISHED</v>
      </c>
      <c r="DU15" s="84" t="str">
        <f>IFERROR(VLOOKUP($B15,'LOD 400 - COLO2'!$B:DE,108,FALSE),"N/A")</f>
        <v>NOT PUBLISHED</v>
      </c>
      <c r="DV15" s="84" t="str">
        <f>IFERROR(VLOOKUP($B15,'LOD 400 - COLO2'!$B:DH,111,FALSE),"N/A")</f>
        <v>NOT PUBLISHED</v>
      </c>
      <c r="DW15" s="84" t="str">
        <f>IFERROR(VLOOKUP($B15,'LOD 400 - COLO2'!$B:DK,114,FALSE),"N/A")</f>
        <v>NOT PUBLISHED</v>
      </c>
      <c r="DX15" s="84" t="str">
        <f>IFERROR(VLOOKUP($B15,'LOD 400 - COLO2'!$B:DN,117,FALSE),"N/A")</f>
        <v>NOT PUBLISHED</v>
      </c>
      <c r="DY15" s="91" t="str">
        <f>IFERROR(__xludf.DUMMYFUNCTION("IFERROR(
  MAX(FILTER(CQ15:DW15, ISNUMBER(CQ15:DW15))),
  DW15
)"),"NOT PUBLISHED")</f>
        <v>NOT PUBLISHED</v>
      </c>
      <c r="DZ15" s="92" t="str">
        <f>IFERROR(VLOOKUP($B15,'LOD 400 - COLO3'!B:S,18,FALSE),"N/A")</f>
        <v>NOT PUBLISHED</v>
      </c>
      <c r="EA15" s="84" t="str">
        <f>IFERROR(VLOOKUP($B15,'LOD 400 - COLO3'!B:V,21,FALSE),"N/A")</f>
        <v>NOT PUBLISHED</v>
      </c>
      <c r="EB15" s="84" t="str">
        <f>IFERROR(VLOOKUP($B15,'LOD 400 - COLO3'!B:Y,24,FALSE),"N/A")</f>
        <v>NOT PUBLISHED</v>
      </c>
      <c r="EC15" s="84" t="str">
        <f>IFERROR(VLOOKUP($B15,'LOD 400 - COLO3'!B:AB,27,FALSE),"N/A")</f>
        <v>NOT PUBLISHED</v>
      </c>
      <c r="ED15" s="85" t="str">
        <f>IFERROR(VLOOKUP($B15,'LOD 400 - COLO3'!B:AE,30,FALSE),"N/A")</f>
        <v>NOT PUBLISHED</v>
      </c>
      <c r="EE15" s="84" t="str">
        <f>IFERROR(VLOOKUP($B15,'LOD 400 - COLO3'!B:AH,33,FALSE),"N/A")</f>
        <v>NOT PUBLISHED</v>
      </c>
      <c r="EF15" s="84" t="str">
        <f>IFERROR(VLOOKUP($B15,'LOD 400 - COLO3'!B:AK,36,FALSE),"N/A")</f>
        <v>NOT PUBLISHED</v>
      </c>
      <c r="EG15" s="109" t="str">
        <f>IFERROR(VLOOKUP($B15,'LOD 400 - COLO3'!B:AN,39,FALSE),"N/A")</f>
        <v>NOT PUBLISHED</v>
      </c>
      <c r="EH15" s="94" t="str">
        <f>IFERROR(VLOOKUP($B15,'LOD 400 - COLO3'!B:AQ,42,FALSE),"N/A")</f>
        <v>NOT PUBLISHED</v>
      </c>
      <c r="EI15" s="94" t="str">
        <f>IFERROR(VLOOKUP($B15,'LOD 400 - COLO3'!B:AT,45,FALSE),"N/A")</f>
        <v>NOT PUBLISHED</v>
      </c>
      <c r="EJ15" s="94" t="str">
        <f>IFERROR(VLOOKUP($B15,'LOD 400 - COLO3'!B:AW,48,FALSE),"N/A")</f>
        <v>NOT PUBLISHED</v>
      </c>
      <c r="EK15" s="94" t="str">
        <f>IFERROR(VLOOKUP($B15,'LOD 400 - COLO3'!B:AZ,51,FALSE),"N/A")</f>
        <v>NOT PUBLISHED</v>
      </c>
      <c r="EL15" s="94" t="str">
        <f>IFERROR(VLOOKUP($B15,'LOD 400 - COLO3'!B:BC,54,FALSE),"N/A")</f>
        <v>NOT PUBLISHED</v>
      </c>
      <c r="EM15" s="94" t="str">
        <f>IFERROR(VLOOKUP($B15,'LOD 400 - COLO3'!B:BF,57,FALSE),"N/A")</f>
        <v>NOT PUBLISHED</v>
      </c>
      <c r="EN15" s="94" t="str">
        <f>IFERROR(VLOOKUP($B15,'LOD 400 - COLO3'!B:BI,60,FALSE),"N/A")</f>
        <v>NOT PUBLISHED</v>
      </c>
      <c r="EO15" s="94" t="str">
        <f>IFERROR(VLOOKUP($B15,'LOD 400 - COLO3'!B:BL,63,FALSE),"N/A")</f>
        <v>NOT PUBLISHED</v>
      </c>
      <c r="EP15" s="86" t="str">
        <f>IFERROR(__xludf.DUMMYFUNCTION("IFERROR(
  MAX(FILTER(DZ15:EO15, ISNUMBER(DZ15:EO15))),
  EO15
)"),"NOT PUBLISHED")</f>
        <v>NOT PUBLISHED</v>
      </c>
      <c r="EQ15" s="95" t="str">
        <f>IFERROR(VLOOKUP($B15,'LOD 400 - COLO4'!B:S,18,FALSE),"N/A")</f>
        <v>NOT PUBLISHED</v>
      </c>
      <c r="ER15" s="96" t="str">
        <f>IFERROR(__xludf.DUMMYFUNCTION("IFERROR(
  MAX(FILTER(EQ15, ISNUMBER(EQ15))),
  EQ15
)"),"NOT PUBLISHED")</f>
        <v>NOT PUBLISHED</v>
      </c>
      <c r="ES15" s="79" t="str">
        <f>IFERROR(VLOOKUP($B15,'LOD 400 - SITE'!B:S,18,FALSE),"N/A")</f>
        <v>N/A</v>
      </c>
      <c r="ET15" s="80" t="str">
        <f>IFERROR(VLOOKUP($B15,'LOD 400 - SITE'!B:V,21,FALSE),"N/A")</f>
        <v>N/A</v>
      </c>
      <c r="EU15" s="97" t="str">
        <f>IFERROR(VLOOKUP($B15,'LOD 400 - SITE'!$B:Y,24,FALSE),"N/A")</f>
        <v>N/A</v>
      </c>
      <c r="EV15" s="80" t="str">
        <f>IFERROR(VLOOKUP($B15,'LOD 400 - SITE'!$B:AB,27,FALSE),"N/A")</f>
        <v>N/A</v>
      </c>
      <c r="EW15" s="81" t="str">
        <f>IFERROR(VLOOKUP($B15,'LOD 400 - SITE'!$B:AE,30,FALSE),"N/A")</f>
        <v>N/A</v>
      </c>
      <c r="EX15" s="87" t="str">
        <f>IFERROR(VLOOKUP($B15,'LOD 400 - SITE'!$B:AH,33,FALSE),"N/A")</f>
        <v>N/A</v>
      </c>
      <c r="EY15" s="87" t="str">
        <f>IFERROR(VLOOKUP($B15,'LOD 400 - SITE'!$B:AK,36,FALSE),"N/A")</f>
        <v>N/A</v>
      </c>
      <c r="EZ15" s="80" t="str">
        <f>IFERROR(VLOOKUP($B15,'LOD 400 - SITE'!$B:AN,39,FALSE),"N/A")</f>
        <v>N/A</v>
      </c>
      <c r="FA15" s="82" t="str">
        <f>IFERROR(VLOOKUP($B15,'LOD 400 - SITE'!$B:AQ,42,FALSE),"N/A")</f>
        <v>N/A</v>
      </c>
      <c r="FB15" s="88" t="str">
        <f>IFERROR(VLOOKUP($B15,'LOD 400 - SITE'!$B:AT,45,FALSE),"N/A")</f>
        <v>N/A</v>
      </c>
      <c r="FC15" s="84" t="str">
        <f>IFERROR(VLOOKUP($B15,'LOD 400 - SITE'!$B:AW,48,FALSE),"N/A")</f>
        <v>N/A</v>
      </c>
      <c r="FD15" s="84" t="str">
        <f>IFERROR(VLOOKUP($B15,'LOD 400 - SITE'!$B:AZ,51,FALSE),"N/A")</f>
        <v>N/A</v>
      </c>
      <c r="FE15" s="84" t="str">
        <f>IFERROR(VLOOKUP($B15,'LOD 400 - SITE'!$B:BC,54,FALSE),"N/A")</f>
        <v>N/A</v>
      </c>
      <c r="FF15" s="84" t="str">
        <f>IFERROR(VLOOKUP($B15,'LOD 400 - SITE'!$B:BF,57,FALSE),"N/A")</f>
        <v>N/A</v>
      </c>
      <c r="FG15" s="84" t="str">
        <f>IFERROR(VLOOKUP($B15,'LOD 400 - SITE'!$B:BI,60,FALSE),"N/A")</f>
        <v>N/A</v>
      </c>
      <c r="FH15" s="84" t="str">
        <f>IFERROR(VLOOKUP($B15,'LOD 400 - SITE'!$B:BL,63,FALSE),"N/A")</f>
        <v>N/A</v>
      </c>
      <c r="FI15" s="84" t="str">
        <f>IFERROR(VLOOKUP($B15,'LOD 400 - SITE'!$B:BO,66,FALSE),"N/A")</f>
        <v>N/A</v>
      </c>
      <c r="FJ15" s="84" t="str">
        <f>IFERROR(VLOOKUP($B15,'LOD 400 - SITE'!$B:BR,69,FALSE),"N/A")</f>
        <v>N/A</v>
      </c>
      <c r="FK15" s="84" t="str">
        <f>IFERROR(VLOOKUP($B15,'LOD 400 - SITE'!$B:BU,72,FALSE),"N/A")</f>
        <v>N/A</v>
      </c>
      <c r="FL15" s="84" t="str">
        <f>IFERROR(VLOOKUP($B15,'LOD 400 - SITE'!$B:BX,75,FALSE),"N/A")</f>
        <v>N/A</v>
      </c>
      <c r="FM15" s="84" t="str">
        <f>IFERROR(VLOOKUP($B15,'LOD 400 - SITE'!$B:CA,78,FALSE),"N/A")</f>
        <v>N/A</v>
      </c>
      <c r="FN15" s="85" t="str">
        <f>IFERROR(VLOOKUP($B15,'LOD 400 - SITE'!$B:CD,81,FALSE),"N/A")</f>
        <v>N/A</v>
      </c>
      <c r="FO15" s="84" t="str">
        <f>IFERROR(VLOOKUP($B15,'LOD 400 - SITE'!$B:CG,84,FALSE),"N/A")</f>
        <v>N/A</v>
      </c>
      <c r="FP15" s="85" t="str">
        <f>IFERROR(VLOOKUP($B15,'LOD 400 - SITE'!$B:CJ,87,FALSE),"N/A")</f>
        <v>N/A</v>
      </c>
      <c r="FQ15" s="84" t="str">
        <f>IFERROR(VLOOKUP($B15,'LOD 400 - SITE'!$B:CM,90,FALSE),"N/A")</f>
        <v>N/A</v>
      </c>
      <c r="FR15" s="84" t="str">
        <f>IFERROR(VLOOKUP($B15,'LOD 400 - SITE'!$B:CP,93,FALSE),"N/A")</f>
        <v>N/A</v>
      </c>
      <c r="FS15" s="84" t="str">
        <f>IFERROR(VLOOKUP($B15,'LOD 400 - SITE'!$B:CS,96,FALSE),"N/A")</f>
        <v>N/A</v>
      </c>
      <c r="FT15" s="84" t="str">
        <f>IFERROR(VLOOKUP($B15,'LOD 400 - SITE'!$B:CV,99,FALSE),"N/A")</f>
        <v>N/A</v>
      </c>
      <c r="FU15" s="84" t="str">
        <f>IFERROR(VLOOKUP($B15,'LOD 400 - SITE'!$B:CY,102,FALSE),"N/A")</f>
        <v>N/A</v>
      </c>
      <c r="FV15" s="84" t="str">
        <f>IFERROR(VLOOKUP($B15,'LOD 400 - SITE'!$B:DB,105,FALSE),"N/A")</f>
        <v>N/A</v>
      </c>
      <c r="FW15" s="84" t="str">
        <f>IFERROR(VLOOKUP($B15,'LOD 400 - SITE'!$B:DE,108,FALSE),"N/A")</f>
        <v>N/A</v>
      </c>
      <c r="FX15" s="84" t="str">
        <f>IFERROR(VLOOKUP($B15,'LOD 400 - SITE'!$B:DH,111,FALSE),"N/A")</f>
        <v>N/A</v>
      </c>
      <c r="FY15" s="84" t="str">
        <f>IFERROR(VLOOKUP($B15,'LOD 400 - SITE'!$B:DK,114,FALSE),"N/A")</f>
        <v>N/A</v>
      </c>
      <c r="FZ15" s="96" t="str">
        <f>IFERROR(__xludf.DUMMYFUNCTION("IFERROR(
  MAX(FILTER(ES15:FY15, ISNUMBER(ES15:FY15))),
  FY15
)"),"N/A")</f>
        <v>N/A</v>
      </c>
      <c r="GA15" s="80" t="str">
        <f>IFERROR(VLOOKUP($B15,'LOD 400 - UTLS'!B:S,18,FALSE),"N/A")</f>
        <v>N/A</v>
      </c>
      <c r="GB15" s="98" t="str">
        <f>IFERROR(VLOOKUP($B15,'LOD 400 - UTLS'!B:V,21,FALSE),"N/A")</f>
        <v>N/A</v>
      </c>
      <c r="GC15" s="81" t="str">
        <f>IFERROR(VLOOKUP($B15,'LOD 400 - UTLS'!B:Y,24,FALSE),"N/A")</f>
        <v>N/A</v>
      </c>
      <c r="GD15" s="87" t="str">
        <f>IFERROR(VLOOKUP($B15,'LOD 400 - UTLS'!$B:AB,27,FALSE),"N/A")</f>
        <v>N/A</v>
      </c>
      <c r="GE15" s="80" t="str">
        <f>IFERROR(VLOOKUP($B15,'LOD 400 - UTLS'!$B:AE,30,FALSE),"N/A")</f>
        <v>N/A</v>
      </c>
      <c r="GF15" s="82" t="str">
        <f>IFERROR(VLOOKUP($B15,'LOD 400 - UTLS'!$B:AH,33,FALSE),"N/A")</f>
        <v>N/A</v>
      </c>
      <c r="GG15" s="88" t="str">
        <f>IFERROR(VLOOKUP($B15,'LOD 400 - UTLS'!$B:AK,36,FALSE),"N/A")</f>
        <v>N/A</v>
      </c>
      <c r="GH15" s="84" t="str">
        <f>IFERROR(VLOOKUP($B15,'LOD 400 - UTLS'!$B:AN,39,FALSE),"N/A")</f>
        <v>N/A</v>
      </c>
      <c r="GI15" s="84" t="str">
        <f>IFERROR(VLOOKUP($B15,'LOD 400 - UTLS'!$B:AQ,42,FALSE),"N/A")</f>
        <v>N/A</v>
      </c>
      <c r="GJ15" s="84" t="str">
        <f>IFERROR(VLOOKUP($B15,'LOD 400 - UTLS'!$B:AT,45,FALSE),"N/A")</f>
        <v>N/A</v>
      </c>
      <c r="GK15" s="84" t="str">
        <f>IFERROR(VLOOKUP($B15,'LOD 400 - UTLS'!$B:AW,48,FALSE),"N/A")</f>
        <v>N/A</v>
      </c>
      <c r="GL15" s="84" t="str">
        <f>IFERROR(VLOOKUP($B15,'LOD 400 - UTLS'!$B:AZ,51,FALSE),"N/A")</f>
        <v>N/A</v>
      </c>
      <c r="GM15" s="84" t="str">
        <f>IFERROR(VLOOKUP($B15,'LOD 400 - UTLS'!$B:BC,54,FALSE),"N/A")</f>
        <v>N/A</v>
      </c>
      <c r="GN15" s="84" t="str">
        <f>IFERROR(VLOOKUP($B15,'LOD 400 - UTLS'!$B:BF,57,FALSE),"N/A")</f>
        <v>N/A</v>
      </c>
      <c r="GO15" s="84" t="str">
        <f>IFERROR(VLOOKUP($B15,'LOD 400 - UTLS'!$B:BI,60,FALSE),"N/A")</f>
        <v>N/A</v>
      </c>
      <c r="GP15" s="84" t="str">
        <f>IFERROR(VLOOKUP($B15,'LOD 400 - UTLS'!$B:BL,63,FALSE),"N/A")</f>
        <v>N/A</v>
      </c>
      <c r="GQ15" s="84" t="str">
        <f>IFERROR(VLOOKUP($B15,'LOD 400 - UTLS'!$B:BO,66,FALSE),"N/A")</f>
        <v>N/A</v>
      </c>
      <c r="GR15" s="84" t="str">
        <f>IFERROR(VLOOKUP($B15,'LOD 400 - UTLS'!$B:BR,69,FALSE),"N/A")</f>
        <v>N/A</v>
      </c>
      <c r="GS15" s="85" t="str">
        <f>IFERROR(VLOOKUP($B15,'LOD 400 - UTLS'!$B:BU,72,FALSE),"N/A")</f>
        <v>N/A</v>
      </c>
      <c r="GT15" s="84" t="str">
        <f>IFERROR(VLOOKUP($B15,'LOD 400 - UTLS'!$B:BX,75,FALSE),"N/A")</f>
        <v>N/A</v>
      </c>
      <c r="GU15" s="85" t="str">
        <f>IFERROR(VLOOKUP($B15,'LOD 400 - UTLS'!$B:CA,78,FALSE),"N/A")</f>
        <v>N/A</v>
      </c>
      <c r="GV15" s="84" t="str">
        <f>IFERROR(VLOOKUP($B15,'LOD 400 - UTLS'!$B:CD,81,FALSE),"N/A")</f>
        <v>N/A</v>
      </c>
      <c r="GW15" s="84" t="str">
        <f>IFERROR(VLOOKUP($B15,'LOD 400 - UTLS'!$B:CG,84,FALSE),"N/A")</f>
        <v>N/A</v>
      </c>
      <c r="GX15" s="84" t="str">
        <f>IFERROR(VLOOKUP($B15,'LOD 400 - UTLS'!$B:CJ,87,FALSE),"N/A")</f>
        <v>N/A</v>
      </c>
      <c r="GY15" s="84" t="str">
        <f>IFERROR(VLOOKUP($B15,'LOD 400 - UTLS'!$B:CM,90,FALSE),"N/A")</f>
        <v>N/A</v>
      </c>
      <c r="GZ15" s="84" t="str">
        <f>IFERROR(VLOOKUP($B15,'LOD 400 - UTLS'!$B:CP,93,FALSE),"N/A")</f>
        <v>N/A</v>
      </c>
      <c r="HA15" s="84" t="str">
        <f>IFERROR(VLOOKUP($B15,'LOD 400 - UTLS'!$B:CS,96,FALSE),"N/A")</f>
        <v>N/A</v>
      </c>
      <c r="HB15" s="84" t="str">
        <f>IFERROR(VLOOKUP($B15,'LOD 400 - UTLS'!$B:CV,99,FALSE),"N/A")</f>
        <v>N/A</v>
      </c>
      <c r="HC15" s="84" t="str">
        <f>IFERROR(VLOOKUP($B15,'LOD 400 - UTLS'!$B:CY,102,FALSE),"N/A")</f>
        <v>N/A</v>
      </c>
      <c r="HD15" s="84" t="str">
        <f>IFERROR(VLOOKUP($B15,'LOD 400 - UTLS'!$B:DB,105,FALSE),"N/A")</f>
        <v>N/A</v>
      </c>
      <c r="HE15" s="96" t="str">
        <f>IFERROR(__xludf.DUMMYFUNCTION("IFERROR(
  MAX(FILTER(GA15:HD15, ISNUMBER(GA15:HD15))),
  HD15
)"),"N/A")</f>
        <v>N/A</v>
      </c>
      <c r="HF15" s="99"/>
      <c r="HG15" s="99"/>
      <c r="HH15" s="99"/>
      <c r="HI15" s="99"/>
      <c r="HJ15" s="99"/>
      <c r="HK15" s="99"/>
    </row>
    <row r="16" ht="15.0" customHeight="1" outlineLevel="1">
      <c r="A16" s="53">
        <v>19.0</v>
      </c>
      <c r="B16" s="110" t="s">
        <v>110</v>
      </c>
      <c r="C16" s="110" t="s">
        <v>111</v>
      </c>
      <c r="D16" s="64" t="str">
        <f t="shared" si="1"/>
        <v>SITE</v>
      </c>
      <c r="E16" s="101" t="s">
        <v>108</v>
      </c>
      <c r="F16" s="115">
        <v>1107.0</v>
      </c>
      <c r="G16" s="114" t="s">
        <v>109</v>
      </c>
      <c r="H16" s="116">
        <v>0.0</v>
      </c>
      <c r="I16" s="68" t="str">
        <f>IFERROR(VLOOKUP($C13:C108,'R22 RELATÓRIO ACC'!B:F,5,FALSE),"NOT PUBLISHED")</f>
        <v>NOT PUBLISHED</v>
      </c>
      <c r="J16" s="69" t="str">
        <f>IFERROR(VLOOKUP($C13:C108,'R22 RELATÓRIO ACC'!B:P,15,FALSE),"NOT PUBLISHED")</f>
        <v>NOT PUBLISHED</v>
      </c>
      <c r="K16" s="70" t="str">
        <f>IFERROR(VLOOKUP($B13:B108,'RELATÓRIO ACC'!B:F,5,FALSE),"NOT PUBLISHED")</f>
        <v>NOT PUBLISHED</v>
      </c>
      <c r="L16" s="71" t="str">
        <f>IFERROR(VLOOKUP($B13:B108,'RELATÓRIO ACC'!B:P,15,FALSE),"NOT PUBLISHED")</f>
        <v>NOT PUBLISHED</v>
      </c>
      <c r="M16" s="72" t="str">
        <f>IF(OR($D16="UTLS",$D16="GUAR",$D16="STIR",$D16="PUMP",$D16="SITE"),
   VLOOKUP($B16,'LOD 400 - SITE'!B:M,12,FALSE),
   VLOOKUP($B16,'LOD 400 - ADMN'!B:M,12,FALSE)
)</f>
        <v>NOT PUBLISHED</v>
      </c>
      <c r="N16" s="105" t="str">
        <f>IF(OR($D16="UTLS",$D16="GUAR",$D16="STIR",$D16="PUMP",$D16="SITE"),
   VLOOKUP($B16,'LOD 400 - SITE'!B:N,13,FALSE),
   VLOOKUP($B16,'LOD 400 - ADMN'!B:N,13,FALSE)
)</f>
        <v>NOT PUBLISHED</v>
      </c>
      <c r="O16" s="106" t="str">
        <f>IF(OR($D16="UTLS",$D16="GUAR",$D16="STIR",$D16="PUMP",$D16="SITE"),
   VLOOKUP($B16,'LOD 400 - SITE'!B:O,14,FALSE),
   VLOOKUP($B16,'LOD 400 - ADMN'!B:O,14,FALSE)
)</f>
        <v>NOT PUBLISHED</v>
      </c>
      <c r="P16" s="107" t="str">
        <f>IF(OR($D16="C345",$D16="C12A",$D16="DATA"),
   VLOOKUP($B16,'LOD 400 - COLO3'!B:M,12,FALSE),"N/A")</f>
        <v>N/A</v>
      </c>
      <c r="Q16" s="108" t="str">
        <f>IF(OR($D16="C345",$D16="C12A",$D16="DATA"),
   VLOOKUP($B16,'LOD 400 - COLO3'!B:N,13,FALSE),"N/A")</f>
        <v>N/A</v>
      </c>
      <c r="R16" s="75" t="str">
        <f>IF(OR($D16="C345",$D16="C12A",$D16="DATA"),
   VLOOKUP($B16,'LOD 400 - COLO3'!B:O,14,FALSE),"N/A")</f>
        <v>N/A</v>
      </c>
      <c r="S16" s="76" t="str">
        <f>IF(OR($D16="C345",$D16="C12A",$D16="DATA"),
   VLOOKUP($B16,'LOD 400 - COLO4'!B:N,12,FALSE),"N/A")</f>
        <v>N/A</v>
      </c>
      <c r="T16" s="76" t="str">
        <f>IF(OR($D16="C345",$D16="C12A",$D16="DATA"),
   VLOOKUP($B16,'LOD 400 - COLO4'!C:O,12,FALSE),"N/A")</f>
        <v>N/A</v>
      </c>
      <c r="U16" s="117" t="str">
        <f>IF(OR($D16="C345",$D16="C12A",$D16="DATA"),
   VLOOKUP($B16,'LOD 400 - COLO4'!D:P,12,FALSE),"N/A")</f>
        <v>N/A</v>
      </c>
      <c r="V16" s="77" t="str">
        <f>IF(OR($D16="UTLS",$D16="GUAR",$D16="STIR",$D16="PUMP",$D16="SITE"),
   VLOOKUP($B16,'LOD 400 - UTLS'!B:M,12,FALSE),"N/A")</f>
        <v>NOT PUBLISHED</v>
      </c>
      <c r="W16" s="78" t="str">
        <f>IF(OR($D16="UTLS",$D16="GUAR",$D16="STIR",$D16="PUMP",$D16="SITE"),
   VLOOKUP($B16,'LOD 400 - UTLS'!B:N,13,FALSE),"N/A")</f>
        <v>NOT PUBLISHED</v>
      </c>
      <c r="X16" s="108" t="str">
        <f>IF(OR($D16="UTLS",$D16="GUAR",$D16="STIR",$D16="PUMP",$D16="SITE"),
   VLOOKUP($B16,'LOD 400 - UTLS'!B:O,14,FALSE),"N/A")</f>
        <v>NOT PUBLISHED</v>
      </c>
      <c r="Y16" s="79" t="str">
        <f>IFERROR(VLOOKUP($B16,'LOD 400 - ADMN'!B:S,18,FALSE),"N/A")</f>
        <v>N/A</v>
      </c>
      <c r="Z16" s="79" t="str">
        <f>IFERROR(VLOOKUP($B16,'LOD 400 - ADMN'!B:V,21,FALSE),"N/A")</f>
        <v>N/A</v>
      </c>
      <c r="AA16" s="79" t="str">
        <f>IFERROR(VLOOKUP($B16,'LOD 400 - ADMN'!$B:Y,24,FALSE),"N/A")</f>
        <v>N/A</v>
      </c>
      <c r="AB16" s="80" t="str">
        <f>IFERROR(VLOOKUP($B16,'LOD 400 - ADMN'!$B:AB,27,FALSE),"N/A")</f>
        <v>N/A</v>
      </c>
      <c r="AC16" s="81" t="str">
        <f>IFERROR(VLOOKUP($B16,'LOD 400 - ADMN'!$B:AE,30,FALSE),"N/A")</f>
        <v>N/A</v>
      </c>
      <c r="AD16" s="81" t="str">
        <f>IFERROR(VLOOKUP($B16,'LOD 400 - ADMN'!$B:AH,33,FALSE),"N/A")</f>
        <v>N/A</v>
      </c>
      <c r="AE16" s="80" t="str">
        <f>IFERROR(VLOOKUP($B16,'LOD 400 - ADMN'!$B:AK,36,FALSE),"N/A")</f>
        <v>N/A</v>
      </c>
      <c r="AF16" s="82" t="str">
        <f>IFERROR(VLOOKUP($B16,'LOD 400 - ADMN'!$B:AN,39,FALSE),"N/A")</f>
        <v>N/A</v>
      </c>
      <c r="AG16" s="83" t="str">
        <f>IFERROR(VLOOKUP($B16,'LOD 400 - ADMN'!$B:AQ,42,FALSE),"N/A")</f>
        <v>N/A</v>
      </c>
      <c r="AH16" s="84" t="str">
        <f>IFERROR(VLOOKUP($B16,'LOD 400 - ADMN'!$B:AT,45,FALSE),"N/A")</f>
        <v>N/A</v>
      </c>
      <c r="AI16" s="85" t="str">
        <f>IFERROR(VLOOKUP($B16,'LOD 400 - ADMN'!$B:AW,48,FALSE),"N/A")</f>
        <v>N/A</v>
      </c>
      <c r="AJ16" s="85" t="str">
        <f>IFERROR(VLOOKUP($B16,'LOD 400 - ADMN'!$B:AZ,51,FALSE),"N/A")</f>
        <v>N/A</v>
      </c>
      <c r="AK16" s="84" t="str">
        <f>IFERROR(VLOOKUP($B16,'LOD 400 - ADMN'!$B:BC,54,FALSE),"N/A")</f>
        <v>N/A</v>
      </c>
      <c r="AL16" s="84" t="str">
        <f>IFERROR(VLOOKUP($B16,'LOD 400 - ADMN'!$B:BF,57,FALSE),"N/A")</f>
        <v>N/A</v>
      </c>
      <c r="AM16" s="84" t="str">
        <f>IFERROR(VLOOKUP($B16,'LOD 400 - ADMN'!$B:BI,60,FALSE),"N/A")</f>
        <v>N/A</v>
      </c>
      <c r="AN16" s="84" t="str">
        <f>IFERROR(VLOOKUP($B16,'LOD 400 - ADMN'!$B:BL,63,FALSE),"N/A")</f>
        <v>N/A</v>
      </c>
      <c r="AO16" s="84" t="str">
        <f>IFERROR(VLOOKUP($B16,'LOD 400 - ADMN'!$B:BO,66,FALSE),"N/A")</f>
        <v>N/A</v>
      </c>
      <c r="AP16" s="84" t="str">
        <f>IFERROR(VLOOKUP($B16,'LOD 400 - ADMN'!$B:BR,69,FALSE),"N/A")</f>
        <v>N/A</v>
      </c>
      <c r="AQ16" s="84" t="str">
        <f>IFERROR(VLOOKUP($B16,'LOD 400 - ADMN'!$B:BU,72,FALSE),"N/A")</f>
        <v>N/A</v>
      </c>
      <c r="AR16" s="84" t="str">
        <f>IFERROR(VLOOKUP($B16,'LOD 400 - ADMN'!$B:BX,75,FALSE),"N/A")</f>
        <v>N/A</v>
      </c>
      <c r="AS16" s="84" t="str">
        <f>IFERROR(VLOOKUP($B16,'LOD 400 - ADMN'!$B:CA,78,FALSE),"N/A")</f>
        <v>N/A</v>
      </c>
      <c r="AT16" s="84" t="str">
        <f>IFERROR(VLOOKUP($B16,'LOD 400 - ADMN'!$B:CD,81,FALSE),"N/A")</f>
        <v>N/A</v>
      </c>
      <c r="AU16" s="85" t="str">
        <f>IFERROR(VLOOKUP($B16,'LOD 400 - ADMN'!$B:CG,84,FALSE),"N/A")</f>
        <v>N/A</v>
      </c>
      <c r="AV16" s="84" t="str">
        <f>IFERROR(VLOOKUP($B16,'LOD 400 - ADMN'!$B:CJ,87,FALSE),"N/A")</f>
        <v>N/A</v>
      </c>
      <c r="AW16" s="85" t="str">
        <f>IFERROR(VLOOKUP($B16,'LOD 400 - ADMN'!$B:CM,90,FALSE),"N/A")</f>
        <v>N/A</v>
      </c>
      <c r="AX16" s="84" t="str">
        <f>IFERROR(VLOOKUP($B16,'LOD 400 - ADMN'!$B:CP,93,FALSE),"N/A")</f>
        <v>N/A</v>
      </c>
      <c r="AY16" s="84" t="str">
        <f>IFERROR(VLOOKUP($B16,'LOD 400 - ADMN'!$B:CS,96,FALSE),"N/A")</f>
        <v>N/A</v>
      </c>
      <c r="AZ16" s="84" t="str">
        <f>IFERROR(VLOOKUP($B16,'LOD 400 - ADMN'!$B:CV,99,FALSE),"N/A")</f>
        <v>N/A</v>
      </c>
      <c r="BA16" s="84" t="str">
        <f>IFERROR(VLOOKUP($B16,'LOD 400 - ADMN'!$B:CY,102,FALSE),"N/A")</f>
        <v>N/A</v>
      </c>
      <c r="BB16" s="84" t="str">
        <f>IFERROR(VLOOKUP($B16,'LOD 400 - ADMN'!$B:DB,105,FALSE),"N/A")</f>
        <v>N/A</v>
      </c>
      <c r="BC16" s="84" t="str">
        <f>IFERROR(VLOOKUP($B16,'LOD 400 - ADMN'!$B:DE,108,FALSE),"N/A")</f>
        <v>N/A</v>
      </c>
      <c r="BD16" s="84" t="str">
        <f>IFERROR(VLOOKUP($B16,'LOD 400 - ADMN'!$B:DH,111,FALSE),"N/A")</f>
        <v>N/A</v>
      </c>
      <c r="BE16" s="84" t="str">
        <f>IFERROR(VLOOKUP($B16,'LOD 400 - ADMN'!$B:DK,114,FALSE),"N/A")</f>
        <v>N/A</v>
      </c>
      <c r="BF16" s="84" t="str">
        <f>IFERROR(VLOOKUP($B16,'LOD 400 - ADMN'!$B:DN,117,FALSE),"N/A")</f>
        <v>N/A</v>
      </c>
      <c r="BG16" s="86" t="str">
        <f>IFERROR(__xludf.DUMMYFUNCTION("IFERROR(
  MAX(FILTER(Y16:BF16, ISNUMBER(Y16:BF16))),
  BF16
)"),"N/A")</f>
        <v>N/A</v>
      </c>
      <c r="BH16" s="79" t="str">
        <f>IFERROR(VLOOKUP($B16,'LOD 400 - COLO1'!B:S,18,FALSE),"N/A")</f>
        <v>N/A</v>
      </c>
      <c r="BI16" s="79" t="str">
        <f>IFERROR(VLOOKUP($B16,'LOD 400 - COLO1'!B:V,21,FALSE),"N/A")</f>
        <v>N/A</v>
      </c>
      <c r="BJ16" s="79" t="str">
        <f>IFERROR(VLOOKUP($B16,'LOD 400 - COLO1'!$B:Y,24,FALSE),"N/A")</f>
        <v>N/A</v>
      </c>
      <c r="BK16" s="87" t="str">
        <f>IFERROR(VLOOKUP($B16,'LOD 400 - COLO1'!$B:AB,27,FALSE),"N/A")</f>
        <v>N/A</v>
      </c>
      <c r="BL16" s="80" t="str">
        <f>IFERROR(VLOOKUP($B16,'LOD 400 - COLO1'!$B:AE,30,FALSE),"N/A")</f>
        <v>N/A</v>
      </c>
      <c r="BM16" s="81" t="str">
        <f>IFERROR(VLOOKUP($B16,'LOD 400 - COLO1'!$B:AH,33,FALSE),"N/A")</f>
        <v>N/A</v>
      </c>
      <c r="BN16" s="87" t="str">
        <f>IFERROR(VLOOKUP($B16,'LOD 400 - COLO1'!$B:AK,36,FALSE),"N/A")</f>
        <v>N/A</v>
      </c>
      <c r="BO16" s="83" t="str">
        <f>IFERROR(VLOOKUP($B16,'LOD 400 - COLO1'!$B:AN,39,FALSE),"N/A")</f>
        <v>N/A</v>
      </c>
      <c r="BP16" s="88" t="str">
        <f>IFERROR(VLOOKUP($B16,'LOD 400 - COLO1'!$B:AQ,42,FALSE),"N/A")</f>
        <v>N/A</v>
      </c>
      <c r="BQ16" s="84" t="str">
        <f>IFERROR(VLOOKUP($B16,'LOD 400 - COLO1'!$B:AT,45,FALSE),"N/A")</f>
        <v>N/A</v>
      </c>
      <c r="BR16" s="85" t="str">
        <f>IFERROR(VLOOKUP($B16,'LOD 400 - COLO1'!$B:AW,48,FALSE),"N/A")</f>
        <v>N/A</v>
      </c>
      <c r="BS16" s="84" t="str">
        <f>IFERROR(VLOOKUP($B16,'LOD 400 - COLO1'!$B:AZ,51,FALSE),"N/A")</f>
        <v>N/A</v>
      </c>
      <c r="BT16" s="84" t="str">
        <f>IFERROR(VLOOKUP($B16,'LOD 400 - COLO1'!$B:BC,54,FALSE),"N/A")</f>
        <v>N/A</v>
      </c>
      <c r="BU16" s="84" t="str">
        <f>IFERROR(VLOOKUP($B16,'LOD 400 - COLO1'!$B:BF,57,FALSE),"N/A")</f>
        <v>N/A</v>
      </c>
      <c r="BV16" s="84" t="str">
        <f>IFERROR(VLOOKUP($B16,'LOD 400 - COLO1'!$B:BI,60,FALSE),"N/A")</f>
        <v>N/A</v>
      </c>
      <c r="BW16" s="84" t="str">
        <f>IFERROR(VLOOKUP($B16,'LOD 400 - COLO1'!$B:BL,63,FALSE),"N/A")</f>
        <v>N/A</v>
      </c>
      <c r="BX16" s="84" t="str">
        <f>IFERROR(VLOOKUP($B16,'LOD 400 - COLO1'!$B:BO,66,FALSE),"N/A")</f>
        <v>N/A</v>
      </c>
      <c r="BY16" s="84" t="str">
        <f>IFERROR(VLOOKUP($B16,'LOD 400 - COLO1'!$B:BR,69,FALSE),"N/A")</f>
        <v>N/A</v>
      </c>
      <c r="BZ16" s="84" t="str">
        <f>IFERROR(VLOOKUP($B16,'LOD 400 - COLO1'!$B:BU,72,FALSE),"N/A")</f>
        <v>N/A</v>
      </c>
      <c r="CA16" s="84" t="str">
        <f>IFERROR(VLOOKUP($B16,'LOD 400 - COLO1'!$B:BX,75,FALSE),"N/A")</f>
        <v>N/A</v>
      </c>
      <c r="CB16" s="84" t="str">
        <f>IFERROR(VLOOKUP($B16,'LOD 400 - COLO1'!$B:CA,78,FALSE),"N/A")</f>
        <v>N/A</v>
      </c>
      <c r="CC16" s="84" t="str">
        <f>IFERROR(VLOOKUP($B16,'LOD 400 - COLO1'!$B:CD,81,FALSE),"N/A")</f>
        <v>N/A</v>
      </c>
      <c r="CD16" s="85" t="str">
        <f>IFERROR(VLOOKUP($B16,'LOD 400 - COLO1'!$B:CG,84,FALSE),"N/A")</f>
        <v>N/A</v>
      </c>
      <c r="CE16" s="84" t="str">
        <f>IFERROR(VLOOKUP($B16,'LOD 400 - COLO1'!$B:CJ,87,FALSE),"N/A")</f>
        <v>N/A</v>
      </c>
      <c r="CF16" s="85" t="str">
        <f>IFERROR(VLOOKUP($B16,'LOD 400 - COLO1'!$B:CM,90,FALSE),"N/A")</f>
        <v>N/A</v>
      </c>
      <c r="CG16" s="84" t="str">
        <f>IFERROR(VLOOKUP($B16,'LOD 400 - COLO1'!$B:CP,93,FALSE),"N/A")</f>
        <v>N/A</v>
      </c>
      <c r="CH16" s="84" t="str">
        <f>IFERROR(VLOOKUP($B16,'LOD 400 - COLO1'!$B:CS,96,FALSE),"N/A")</f>
        <v>N/A</v>
      </c>
      <c r="CI16" s="84" t="str">
        <f>IFERROR(VLOOKUP($B16,'LOD 400 - COLO1'!$B:CV,99,FALSE),"N/A")</f>
        <v>N/A</v>
      </c>
      <c r="CJ16" s="84" t="str">
        <f>IFERROR(VLOOKUP($B16,'LOD 400 - COLO1'!$B:CY,102,FALSE),"N/A")</f>
        <v>N/A</v>
      </c>
      <c r="CK16" s="84" t="str">
        <f>IFERROR(VLOOKUP($B16,'LOD 400 - COLO1'!$B:DB,105,FALSE),"N/A")</f>
        <v>N/A</v>
      </c>
      <c r="CL16" s="84" t="str">
        <f>IFERROR(VLOOKUP($B16,'LOD 400 - COLO1'!$B:DE,108,FALSE),"N/A")</f>
        <v>N/A</v>
      </c>
      <c r="CM16" s="84" t="str">
        <f>IFERROR(VLOOKUP($B16,'LOD 400 - COLO1'!$B:DH,111,FALSE),"N/A")</f>
        <v>N/A</v>
      </c>
      <c r="CN16" s="84" t="str">
        <f>IFERROR(VLOOKUP($B16,'LOD 400 - COLO1'!$B:DK,114,FALSE),"N/A")</f>
        <v>N/A</v>
      </c>
      <c r="CO16" s="84" t="str">
        <f>IFERROR(VLOOKUP($B16,'LOD 400 - COLO1'!$B:DN,117,FALSE),"N/A")</f>
        <v>N/A</v>
      </c>
      <c r="CP16" s="86" t="str">
        <f>IFERROR(__xludf.DUMMYFUNCTION("IFERROR(
  MAX(FILTER(BH16:CO16, ISNUMBER(BH16:CO16))),
  CO16
)"),"N/A")</f>
        <v>N/A</v>
      </c>
      <c r="CQ16" s="89" t="str">
        <f>IFERROR(VLOOKUP($B16,'LOD 400 - COLO2'!B:S,18,FALSE),"N/A")</f>
        <v>N/A</v>
      </c>
      <c r="CR16" s="79" t="str">
        <f>IFERROR(VLOOKUP($B16,'LOD 400 - COLO2'!B:V,21,FALSE),"N/A")</f>
        <v>N/A</v>
      </c>
      <c r="CS16" s="79" t="str">
        <f>IFERROR(VLOOKUP($B16,'LOD 400 - COLO2'!$B:Y,24,FALSE),"N/A")</f>
        <v>N/A</v>
      </c>
      <c r="CT16" s="80" t="str">
        <f>IFERROR(VLOOKUP($B16,'LOD 400 - COLO2'!$B:DQ,27,FALSE),"N/A")</f>
        <v>N/A</v>
      </c>
      <c r="CU16" s="90" t="str">
        <f>IFERROR(VLOOKUP($B16,'LOD 400 - COLO2'!$B:AE,30,FALSE),"N/A")</f>
        <v>N/A</v>
      </c>
      <c r="CV16" s="81" t="str">
        <f>IFERROR(VLOOKUP($B16,'LOD 400 - COLO2'!$B:AH,33,FALSE),"N/A")</f>
        <v>N/A</v>
      </c>
      <c r="CW16" s="90" t="str">
        <f>IFERROR(VLOOKUP($B16,'LOD 400 - COLO2'!$B:AK,36,FALSE),"N/A")</f>
        <v>N/A</v>
      </c>
      <c r="CX16" s="85" t="str">
        <f>IFERROR(VLOOKUP($B16,'LOD 400 - COLO2'!$B:AN,39,FALSE),"N/A")</f>
        <v>N/A</v>
      </c>
      <c r="CY16" s="88" t="str">
        <f>IFERROR(VLOOKUP($B16,'LOD 400 - COLO2'!$B:AQ,42,FALSE),"N/A")</f>
        <v>N/A</v>
      </c>
      <c r="CZ16" s="84" t="str">
        <f>IFERROR(VLOOKUP($B16,'LOD 400 - COLO2'!$B:AT,45,FALSE),"N/A")</f>
        <v>N/A</v>
      </c>
      <c r="DA16" s="85" t="str">
        <f>IFERROR(VLOOKUP($B16,'LOD 400 - COLO2'!$B:AW,48,FALSE),"N/A")</f>
        <v>N/A</v>
      </c>
      <c r="DB16" s="84" t="str">
        <f>IFERROR(VLOOKUP($B16,'LOD 400 - COLO2'!$B:AZ,51,FALSE),"N/A")</f>
        <v>N/A</v>
      </c>
      <c r="DC16" s="84" t="str">
        <f>IFERROR(VLOOKUP($B16,'LOD 400 - COLO2'!$B:BC,54,FALSE),"N/A")</f>
        <v>N/A</v>
      </c>
      <c r="DD16" s="84" t="str">
        <f>IFERROR(VLOOKUP($B16,'LOD 400 - COLO2'!$B:BF,57,FALSE),"N/A")</f>
        <v>N/A</v>
      </c>
      <c r="DE16" s="84" t="str">
        <f>IFERROR(VLOOKUP($B16,'LOD 400 - COLO2'!$B:BI,60,FALSE),"N/A")</f>
        <v>N/A</v>
      </c>
      <c r="DF16" s="84" t="str">
        <f>IFERROR(VLOOKUP($B16,'LOD 400 - COLO2'!$B:BL,63,FALSE),"N/A")</f>
        <v>N/A</v>
      </c>
      <c r="DG16" s="84" t="str">
        <f>IFERROR(VLOOKUP($B16,'LOD 400 - COLO2'!$B:BO,66,FALSE),"N/A")</f>
        <v>N/A</v>
      </c>
      <c r="DH16" s="84" t="str">
        <f>IFERROR(VLOOKUP($B16,'LOD 400 - COLO2'!$B:BR,69,FALSE),"N/A")</f>
        <v>N/A</v>
      </c>
      <c r="DI16" s="84" t="str">
        <f>IFERROR(VLOOKUP($B16,'LOD 400 - COLO2'!$B:BU,72,FALSE),"N/A")</f>
        <v>N/A</v>
      </c>
      <c r="DJ16" s="84" t="str">
        <f>IFERROR(VLOOKUP($B16,'LOD 400 - COLO2'!$B:BX,75,FALSE),"N/A")</f>
        <v>N/A</v>
      </c>
      <c r="DK16" s="84" t="str">
        <f>IFERROR(VLOOKUP($B16,'LOD 400 - COLO2'!$B:CA,78,FALSE),"N/A")</f>
        <v>N/A</v>
      </c>
      <c r="DL16" s="84" t="str">
        <f>IFERROR(VLOOKUP($B16,'LOD 400 - COLO2'!$B:CD,81,FALSE),"N/A")</f>
        <v>N/A</v>
      </c>
      <c r="DM16" s="85" t="str">
        <f>IFERROR(VLOOKUP($B16,'LOD 400 - COLO2'!$B:CG,84,FALSE),"N/A")</f>
        <v>N/A</v>
      </c>
      <c r="DN16" s="84" t="str">
        <f>IFERROR(VLOOKUP($B16,'LOD 400 - COLO2'!$B:CJ,87,FALSE),"N/A")</f>
        <v>N/A</v>
      </c>
      <c r="DO16" s="85" t="str">
        <f>IFERROR(VLOOKUP($B16,'LOD 400 - COLO2'!$B:CM,90,FALSE),"N/A")</f>
        <v>N/A</v>
      </c>
      <c r="DP16" s="84" t="str">
        <f>IFERROR(VLOOKUP($B16,'LOD 400 - COLO2'!$B:CP,93,FALSE),"N/A")</f>
        <v>N/A</v>
      </c>
      <c r="DQ16" s="84" t="str">
        <f>IFERROR(VLOOKUP($B16,'LOD 400 - COLO2'!$B:CS,96,FALSE),"N/A")</f>
        <v>N/A</v>
      </c>
      <c r="DR16" s="84" t="str">
        <f>IFERROR(VLOOKUP($B16,'LOD 400 - COLO2'!$B:CV,99,FALSE),"N/A")</f>
        <v>N/A</v>
      </c>
      <c r="DS16" s="84" t="str">
        <f>IFERROR(VLOOKUP($B16,'LOD 400 - COLO2'!$B:CY,102,FALSE),"N/A")</f>
        <v>N/A</v>
      </c>
      <c r="DT16" s="84" t="str">
        <f>IFERROR(VLOOKUP($B16,'LOD 400 - COLO2'!$B:DB,105,FALSE),"N/A")</f>
        <v>N/A</v>
      </c>
      <c r="DU16" s="84" t="str">
        <f>IFERROR(VLOOKUP($B16,'LOD 400 - COLO2'!$B:DE,108,FALSE),"N/A")</f>
        <v>N/A</v>
      </c>
      <c r="DV16" s="84" t="str">
        <f>IFERROR(VLOOKUP($B16,'LOD 400 - COLO2'!$B:DH,111,FALSE),"N/A")</f>
        <v>N/A</v>
      </c>
      <c r="DW16" s="84" t="str">
        <f>IFERROR(VLOOKUP($B16,'LOD 400 - COLO2'!$B:DK,114,FALSE),"N/A")</f>
        <v>N/A</v>
      </c>
      <c r="DX16" s="84" t="str">
        <f>IFERROR(VLOOKUP($B16,'LOD 400 - COLO2'!$B:DN,117,FALSE),"N/A")</f>
        <v>N/A</v>
      </c>
      <c r="DY16" s="91" t="str">
        <f>IFERROR(__xludf.DUMMYFUNCTION("IFERROR(
  MAX(FILTER(CQ16:DW16, ISNUMBER(CQ16:DW16))),
  DW16
)"),"N/A")</f>
        <v>N/A</v>
      </c>
      <c r="DZ16" s="92" t="str">
        <f>IFERROR(VLOOKUP($B16,'LOD 400 - COLO3'!B:S,18,FALSE),"N/A")</f>
        <v>N/A</v>
      </c>
      <c r="EA16" s="84" t="str">
        <f>IFERROR(VLOOKUP($B16,'LOD 400 - COLO3'!B:V,21,FALSE),"N/A")</f>
        <v>N/A</v>
      </c>
      <c r="EB16" s="84" t="str">
        <f>IFERROR(VLOOKUP($B16,'LOD 400 - COLO3'!B:Y,24,FALSE),"N/A")</f>
        <v>N/A</v>
      </c>
      <c r="EC16" s="84" t="str">
        <f>IFERROR(VLOOKUP($B16,'LOD 400 - COLO3'!B:AB,27,FALSE),"N/A")</f>
        <v>N/A</v>
      </c>
      <c r="ED16" s="85" t="str">
        <f>IFERROR(VLOOKUP($B16,'LOD 400 - COLO3'!B:AE,30,FALSE),"N/A")</f>
        <v>N/A</v>
      </c>
      <c r="EE16" s="84" t="str">
        <f>IFERROR(VLOOKUP($B16,'LOD 400 - COLO3'!B:AH,33,FALSE),"N/A")</f>
        <v>N/A</v>
      </c>
      <c r="EF16" s="84" t="str">
        <f>IFERROR(VLOOKUP($B16,'LOD 400 - COLO3'!B:AK,36,FALSE),"N/A")</f>
        <v>N/A</v>
      </c>
      <c r="EG16" s="109" t="str">
        <f>IFERROR(VLOOKUP($B16,'LOD 400 - COLO3'!B:AN,39,FALSE),"N/A")</f>
        <v>N/A</v>
      </c>
      <c r="EH16" s="94" t="str">
        <f>IFERROR(VLOOKUP($B16,'LOD 400 - COLO3'!B:AQ,42,FALSE),"N/A")</f>
        <v>N/A</v>
      </c>
      <c r="EI16" s="94" t="str">
        <f>IFERROR(VLOOKUP($B16,'LOD 400 - COLO3'!B:AT,45,FALSE),"N/A")</f>
        <v>N/A</v>
      </c>
      <c r="EJ16" s="94" t="str">
        <f>IFERROR(VLOOKUP($B16,'LOD 400 - COLO3'!B:AW,48,FALSE),"N/A")</f>
        <v>N/A</v>
      </c>
      <c r="EK16" s="94" t="str">
        <f>IFERROR(VLOOKUP($B16,'LOD 400 - COLO3'!B:AZ,51,FALSE),"N/A")</f>
        <v>N/A</v>
      </c>
      <c r="EL16" s="94" t="str">
        <f>IFERROR(VLOOKUP($B16,'LOD 400 - COLO3'!B:BC,54,FALSE),"N/A")</f>
        <v>N/A</v>
      </c>
      <c r="EM16" s="94" t="str">
        <f>IFERROR(VLOOKUP($B16,'LOD 400 - COLO3'!B:BF,57,FALSE),"N/A")</f>
        <v>N/A</v>
      </c>
      <c r="EN16" s="94" t="str">
        <f>IFERROR(VLOOKUP($B16,'LOD 400 - COLO3'!B:BI,60,FALSE),"N/A")</f>
        <v>N/A</v>
      </c>
      <c r="EO16" s="94" t="str">
        <f>IFERROR(VLOOKUP($B16,'LOD 400 - COLO3'!B:BL,63,FALSE),"N/A")</f>
        <v>N/A</v>
      </c>
      <c r="EP16" s="86" t="str">
        <f>IFERROR(__xludf.DUMMYFUNCTION("IFERROR(
  MAX(FILTER(DZ16:EO16, ISNUMBER(DZ16:EO16))),
  EO16
)"),"N/A")</f>
        <v>N/A</v>
      </c>
      <c r="EQ16" s="95" t="str">
        <f>IFERROR(VLOOKUP($B16,'LOD 400 - COLO4'!B:S,18,FALSE),"N/A")</f>
        <v>N/A</v>
      </c>
      <c r="ER16" s="96" t="str">
        <f>IFERROR(__xludf.DUMMYFUNCTION("IFERROR(
  MAX(FILTER(EQ16, ISNUMBER(EQ16))),
  EQ16
)"),"N/A")</f>
        <v>N/A</v>
      </c>
      <c r="ES16" s="79" t="str">
        <f>IFERROR(VLOOKUP($B16,'LOD 400 - SITE'!B:S,18,FALSE),"N/A")</f>
        <v>NOT PUBLISHED</v>
      </c>
      <c r="ET16" s="80" t="str">
        <f>IFERROR(VLOOKUP($B16,'LOD 400 - SITE'!B:V,21,FALSE),"N/A")</f>
        <v>NOT PUBLISHED</v>
      </c>
      <c r="EU16" s="97" t="str">
        <f>IFERROR(VLOOKUP($B16,'LOD 400 - SITE'!$B:Y,24,FALSE),"N/A")</f>
        <v>NOT PUBLISHED</v>
      </c>
      <c r="EV16" s="80" t="str">
        <f>IFERROR(VLOOKUP($B16,'LOD 400 - SITE'!$B:AB,27,FALSE),"N/A")</f>
        <v>NOT PUBLISHED</v>
      </c>
      <c r="EW16" s="81" t="str">
        <f>IFERROR(VLOOKUP($B16,'LOD 400 - SITE'!$B:AE,30,FALSE),"N/A")</f>
        <v>NOT PUBLISHED</v>
      </c>
      <c r="EX16" s="87" t="str">
        <f>IFERROR(VLOOKUP($B16,'LOD 400 - SITE'!$B:AH,33,FALSE),"N/A")</f>
        <v>NOT PUBLISHED</v>
      </c>
      <c r="EY16" s="87" t="str">
        <f>IFERROR(VLOOKUP($B16,'LOD 400 - SITE'!$B:AK,36,FALSE),"N/A")</f>
        <v>NOT PUBLISHED</v>
      </c>
      <c r="EZ16" s="80" t="str">
        <f>IFERROR(VLOOKUP($B16,'LOD 400 - SITE'!$B:AN,39,FALSE),"N/A")</f>
        <v>NOT PUBLISHED</v>
      </c>
      <c r="FA16" s="82" t="str">
        <f>IFERROR(VLOOKUP($B16,'LOD 400 - SITE'!$B:AQ,42,FALSE),"N/A")</f>
        <v>NOT PUBLISHED</v>
      </c>
      <c r="FB16" s="88" t="str">
        <f>IFERROR(VLOOKUP($B16,'LOD 400 - SITE'!$B:AT,45,FALSE),"N/A")</f>
        <v>NOT PUBLISHED</v>
      </c>
      <c r="FC16" s="84" t="str">
        <f>IFERROR(VLOOKUP($B16,'LOD 400 - SITE'!$B:AW,48,FALSE),"N/A")</f>
        <v>NOT PUBLISHED</v>
      </c>
      <c r="FD16" s="84" t="str">
        <f>IFERROR(VLOOKUP($B16,'LOD 400 - SITE'!$B:AZ,51,FALSE),"N/A")</f>
        <v>NOT PUBLISHED</v>
      </c>
      <c r="FE16" s="84" t="str">
        <f>IFERROR(VLOOKUP($B16,'LOD 400 - SITE'!$B:BC,54,FALSE),"N/A")</f>
        <v>NOT PUBLISHED</v>
      </c>
      <c r="FF16" s="84" t="str">
        <f>IFERROR(VLOOKUP($B16,'LOD 400 - SITE'!$B:BF,57,FALSE),"N/A")</f>
        <v>NOT PUBLISHED</v>
      </c>
      <c r="FG16" s="84" t="str">
        <f>IFERROR(VLOOKUP($B16,'LOD 400 - SITE'!$B:BI,60,FALSE),"N/A")</f>
        <v>NOT PUBLISHED</v>
      </c>
      <c r="FH16" s="84" t="str">
        <f>IFERROR(VLOOKUP($B16,'LOD 400 - SITE'!$B:BL,63,FALSE),"N/A")</f>
        <v>NOT PUBLISHED</v>
      </c>
      <c r="FI16" s="84" t="str">
        <f>IFERROR(VLOOKUP($B16,'LOD 400 - SITE'!$B:BO,66,FALSE),"N/A")</f>
        <v>NOT PUBLISHED</v>
      </c>
      <c r="FJ16" s="84" t="str">
        <f>IFERROR(VLOOKUP($B16,'LOD 400 - SITE'!$B:BR,69,FALSE),"N/A")</f>
        <v>NOT PUBLISHED</v>
      </c>
      <c r="FK16" s="84" t="str">
        <f>IFERROR(VLOOKUP($B16,'LOD 400 - SITE'!$B:BU,72,FALSE),"N/A")</f>
        <v>NOT PUBLISHED</v>
      </c>
      <c r="FL16" s="84" t="str">
        <f>IFERROR(VLOOKUP($B16,'LOD 400 - SITE'!$B:BX,75,FALSE),"N/A")</f>
        <v>NOT PUBLISHED</v>
      </c>
      <c r="FM16" s="84" t="str">
        <f>IFERROR(VLOOKUP($B16,'LOD 400 - SITE'!$B:CA,78,FALSE),"N/A")</f>
        <v>NOT PUBLISHED</v>
      </c>
      <c r="FN16" s="85" t="str">
        <f>IFERROR(VLOOKUP($B16,'LOD 400 - SITE'!$B:CD,81,FALSE),"N/A")</f>
        <v>NOT PUBLISHED</v>
      </c>
      <c r="FO16" s="84" t="str">
        <f>IFERROR(VLOOKUP($B16,'LOD 400 - SITE'!$B:CG,84,FALSE),"N/A")</f>
        <v>NOT PUBLISHED</v>
      </c>
      <c r="FP16" s="85" t="str">
        <f>IFERROR(VLOOKUP($B16,'LOD 400 - SITE'!$B:CJ,87,FALSE),"N/A")</f>
        <v>NOT PUBLISHED</v>
      </c>
      <c r="FQ16" s="84" t="str">
        <f>IFERROR(VLOOKUP($B16,'LOD 400 - SITE'!$B:CM,90,FALSE),"N/A")</f>
        <v>NOT PUBLISHED</v>
      </c>
      <c r="FR16" s="84" t="str">
        <f>IFERROR(VLOOKUP($B16,'LOD 400 - SITE'!$B:CP,93,FALSE),"N/A")</f>
        <v>NOT PUBLISHED</v>
      </c>
      <c r="FS16" s="84" t="str">
        <f>IFERROR(VLOOKUP($B16,'LOD 400 - SITE'!$B:CS,96,FALSE),"N/A")</f>
        <v>NOT PUBLISHED</v>
      </c>
      <c r="FT16" s="84" t="str">
        <f>IFERROR(VLOOKUP($B16,'LOD 400 - SITE'!$B:CV,99,FALSE),"N/A")</f>
        <v>NOT PUBLISHED</v>
      </c>
      <c r="FU16" s="84" t="str">
        <f>IFERROR(VLOOKUP($B16,'LOD 400 - SITE'!$B:CY,102,FALSE),"N/A")</f>
        <v>NOT PUBLISHED</v>
      </c>
      <c r="FV16" s="84" t="str">
        <f>IFERROR(VLOOKUP($B16,'LOD 400 - SITE'!$B:DB,105,FALSE),"N/A")</f>
        <v>NOT PUBLISHED</v>
      </c>
      <c r="FW16" s="84" t="str">
        <f>IFERROR(VLOOKUP($B16,'LOD 400 - SITE'!$B:DE,108,FALSE),"N/A")</f>
        <v>NOT PUBLISHED</v>
      </c>
      <c r="FX16" s="84" t="str">
        <f>IFERROR(VLOOKUP($B16,'LOD 400 - SITE'!$B:DH,111,FALSE),"N/A")</f>
        <v>NOT PUBLISHED</v>
      </c>
      <c r="FY16" s="84" t="str">
        <f>IFERROR(VLOOKUP($B16,'LOD 400 - SITE'!$B:DK,114,FALSE),"N/A")</f>
        <v>NOT PUBLISHED</v>
      </c>
      <c r="FZ16" s="96" t="str">
        <f>IFERROR(__xludf.DUMMYFUNCTION("IFERROR(
  MAX(FILTER(ES16:FY16, ISNUMBER(ES16:FY16))),
  FY16
)"),"NOT PUBLISHED")</f>
        <v>NOT PUBLISHED</v>
      </c>
      <c r="GA16" s="80" t="str">
        <f>IFERROR(VLOOKUP($B16,'LOD 400 - UTLS'!B:S,18,FALSE),"N/A")</f>
        <v>NOT PUBLISHED</v>
      </c>
      <c r="GB16" s="98" t="str">
        <f>IFERROR(VLOOKUP($B16,'LOD 400 - UTLS'!B:V,21,FALSE),"N/A")</f>
        <v>NOT PUBLISHED</v>
      </c>
      <c r="GC16" s="81" t="str">
        <f>IFERROR(VLOOKUP($B16,'LOD 400 - UTLS'!B:Y,24,FALSE),"N/A")</f>
        <v>NOT PUBLISHED</v>
      </c>
      <c r="GD16" s="87" t="str">
        <f>IFERROR(VLOOKUP($B16,'LOD 400 - UTLS'!$B:AB,27,FALSE),"N/A")</f>
        <v>NOT PUBLISHED</v>
      </c>
      <c r="GE16" s="80" t="str">
        <f>IFERROR(VLOOKUP($B16,'LOD 400 - UTLS'!$B:AE,30,FALSE),"N/A")</f>
        <v>NOT PUBLISHED</v>
      </c>
      <c r="GF16" s="82" t="str">
        <f>IFERROR(VLOOKUP($B16,'LOD 400 - UTLS'!$B:AH,33,FALSE),"N/A")</f>
        <v>NOT PUBLISHED</v>
      </c>
      <c r="GG16" s="88" t="str">
        <f>IFERROR(VLOOKUP($B16,'LOD 400 - UTLS'!$B:AK,36,FALSE),"N/A")</f>
        <v>NOT PUBLISHED</v>
      </c>
      <c r="GH16" s="84" t="str">
        <f>IFERROR(VLOOKUP($B16,'LOD 400 - UTLS'!$B:AN,39,FALSE),"N/A")</f>
        <v>NOT PUBLISHED</v>
      </c>
      <c r="GI16" s="84" t="str">
        <f>IFERROR(VLOOKUP($B16,'LOD 400 - UTLS'!$B:AQ,42,FALSE),"N/A")</f>
        <v>NOT PUBLISHED</v>
      </c>
      <c r="GJ16" s="84" t="str">
        <f>IFERROR(VLOOKUP($B16,'LOD 400 - UTLS'!$B:AT,45,FALSE),"N/A")</f>
        <v>NOT PUBLISHED</v>
      </c>
      <c r="GK16" s="84" t="str">
        <f>IFERROR(VLOOKUP($B16,'LOD 400 - UTLS'!$B:AW,48,FALSE),"N/A")</f>
        <v>NOT PUBLISHED</v>
      </c>
      <c r="GL16" s="84" t="str">
        <f>IFERROR(VLOOKUP($B16,'LOD 400 - UTLS'!$B:AZ,51,FALSE),"N/A")</f>
        <v>NOT PUBLISHED</v>
      </c>
      <c r="GM16" s="84" t="str">
        <f>IFERROR(VLOOKUP($B16,'LOD 400 - UTLS'!$B:BC,54,FALSE),"N/A")</f>
        <v>NOT PUBLISHED</v>
      </c>
      <c r="GN16" s="84" t="str">
        <f>IFERROR(VLOOKUP($B16,'LOD 400 - UTLS'!$B:BF,57,FALSE),"N/A")</f>
        <v>NOT PUBLISHED</v>
      </c>
      <c r="GO16" s="84" t="str">
        <f>IFERROR(VLOOKUP($B16,'LOD 400 - UTLS'!$B:BI,60,FALSE),"N/A")</f>
        <v>NOT PUBLISHED</v>
      </c>
      <c r="GP16" s="84" t="str">
        <f>IFERROR(VLOOKUP($B16,'LOD 400 - UTLS'!$B:BL,63,FALSE),"N/A")</f>
        <v>NOT PUBLISHED</v>
      </c>
      <c r="GQ16" s="84" t="str">
        <f>IFERROR(VLOOKUP($B16,'LOD 400 - UTLS'!$B:BO,66,FALSE),"N/A")</f>
        <v>NOT PUBLISHED</v>
      </c>
      <c r="GR16" s="84" t="str">
        <f>IFERROR(VLOOKUP($B16,'LOD 400 - UTLS'!$B:BR,69,FALSE),"N/A")</f>
        <v>NOT PUBLISHED</v>
      </c>
      <c r="GS16" s="85" t="str">
        <f>IFERROR(VLOOKUP($B16,'LOD 400 - UTLS'!$B:BU,72,FALSE),"N/A")</f>
        <v>NOT PUBLISHED</v>
      </c>
      <c r="GT16" s="84" t="str">
        <f>IFERROR(VLOOKUP($B16,'LOD 400 - UTLS'!$B:BX,75,FALSE),"N/A")</f>
        <v>NOT PUBLISHED</v>
      </c>
      <c r="GU16" s="85" t="str">
        <f>IFERROR(VLOOKUP($B16,'LOD 400 - UTLS'!$B:CA,78,FALSE),"N/A")</f>
        <v>NOT PUBLISHED</v>
      </c>
      <c r="GV16" s="84" t="str">
        <f>IFERROR(VLOOKUP($B16,'LOD 400 - UTLS'!$B:CD,81,FALSE),"N/A")</f>
        <v>NOT PUBLISHED</v>
      </c>
      <c r="GW16" s="84" t="str">
        <f>IFERROR(VLOOKUP($B16,'LOD 400 - UTLS'!$B:CG,84,FALSE),"N/A")</f>
        <v>NOT PUBLISHED</v>
      </c>
      <c r="GX16" s="84" t="str">
        <f>IFERROR(VLOOKUP($B16,'LOD 400 - UTLS'!$B:CJ,87,FALSE),"N/A")</f>
        <v>NOT PUBLISHED</v>
      </c>
      <c r="GY16" s="84" t="str">
        <f>IFERROR(VLOOKUP($B16,'LOD 400 - UTLS'!$B:CM,90,FALSE),"N/A")</f>
        <v>NOT PUBLISHED</v>
      </c>
      <c r="GZ16" s="84" t="str">
        <f>IFERROR(VLOOKUP($B16,'LOD 400 - UTLS'!$B:CP,93,FALSE),"N/A")</f>
        <v>NOT PUBLISHED</v>
      </c>
      <c r="HA16" s="84" t="str">
        <f>IFERROR(VLOOKUP($B16,'LOD 400 - UTLS'!$B:CS,96,FALSE),"N/A")</f>
        <v>NOT PUBLISHED</v>
      </c>
      <c r="HB16" s="84" t="str">
        <f>IFERROR(VLOOKUP($B16,'LOD 400 - UTLS'!$B:CV,99,FALSE),"N/A")</f>
        <v>NOT PUBLISHED</v>
      </c>
      <c r="HC16" s="84" t="str">
        <f>IFERROR(VLOOKUP($B16,'LOD 400 - UTLS'!$B:CY,102,FALSE),"N/A")</f>
        <v>NOT PUBLISHED</v>
      </c>
      <c r="HD16" s="84" t="str">
        <f>IFERROR(VLOOKUP($B16,'LOD 400 - UTLS'!$B:DB,105,FALSE),"N/A")</f>
        <v>NOT PUBLISHED</v>
      </c>
      <c r="HE16" s="96" t="str">
        <f>IFERROR(__xludf.DUMMYFUNCTION("IFERROR(
  MAX(FILTER(GA16:HD16, ISNUMBER(GA16:HD16))),
  HD16
)"),"NOT PUBLISHED")</f>
        <v>NOT PUBLISHED</v>
      </c>
      <c r="HF16" s="99"/>
      <c r="HG16" s="99"/>
      <c r="HH16" s="99"/>
      <c r="HI16" s="99"/>
      <c r="HJ16" s="99"/>
      <c r="HK16" s="99"/>
    </row>
    <row r="17" ht="15.0" customHeight="1" outlineLevel="1">
      <c r="A17" s="53">
        <v>20.0</v>
      </c>
      <c r="B17" s="110" t="s">
        <v>112</v>
      </c>
      <c r="C17" s="110" t="s">
        <v>113</v>
      </c>
      <c r="D17" s="64" t="str">
        <f t="shared" si="1"/>
        <v>DATA</v>
      </c>
      <c r="E17" s="101" t="s">
        <v>114</v>
      </c>
      <c r="F17" s="102">
        <v>1108.0</v>
      </c>
      <c r="G17" s="114" t="s">
        <v>92</v>
      </c>
      <c r="H17" s="104">
        <v>1108.0</v>
      </c>
      <c r="I17" s="68" t="str">
        <f>IFERROR(VLOOKUP($C14:C108,'R22 RELATÓRIO ACC'!B:F,5,FALSE),"NOT PUBLISHED")</f>
        <v>V4</v>
      </c>
      <c r="J17" s="69" t="str">
        <f>IFERROR(VLOOKUP($C14:C108,'R22 RELATÓRIO ACC'!B:P,15,FALSE),"NOT PUBLISHED")</f>
        <v>10/04/2026</v>
      </c>
      <c r="K17" s="70" t="str">
        <f>IFERROR(VLOOKUP($B15:B108,'RELATÓRIO ACC'!B:F,5,FALSE),"NOT PUBLISHED")</f>
        <v>V2</v>
      </c>
      <c r="L17" s="71" t="str">
        <f>IFERROR(VLOOKUP($B15:B108,'RELATÓRIO ACC'!B:P,15,FALSE),"NOT PUBLISHED")</f>
        <v>04/06/2026</v>
      </c>
      <c r="M17" s="72" t="str">
        <f>IF(OR($D17="UTLS",$D17="GUAR",$D17="STIR",$D17="PUMP",$D17="SITE"),
   VLOOKUP($B17,'LOD 400 - SITE'!B:M,12,FALSE),
   VLOOKUP($B17,'LOD 400 - ADMN'!B:M,12,FALSE)
)</f>
        <v>V2</v>
      </c>
      <c r="N17" s="105">
        <f>IF(OR($D17="UTLS",$D17="GUAR",$D17="STIR",$D17="PUMP",$D17="SITE"),
   VLOOKUP($B17,'LOD 400 - SITE'!B:N,13,FALSE),
   VLOOKUP($B17,'LOD 400 - ADMN'!B:N,13,FALSE)
)</f>
        <v>46177</v>
      </c>
      <c r="O17" s="106" t="str">
        <f>IF(OR($D17="UTLS",$D17="GUAR",$D17="STIR",$D17="PUMP",$D17="SITE"),
   VLOOKUP($B17,'LOD 400 - SITE'!B:O,14,FALSE),
   VLOOKUP($B17,'LOD 400 - ADMN'!B:O,14,FALSE)
)</f>
        <v>R24</v>
      </c>
      <c r="P17" s="107" t="str">
        <f>IF(OR($D17="C345",$D17="C12A",$D17="DATA"),
   VLOOKUP($B17,'LOD 400 - COLO3'!B:M,12,FALSE),"N/A")</f>
        <v>N/A</v>
      </c>
      <c r="Q17" s="108" t="str">
        <f>IF(OR($D17="C345",$D17="C12A",$D17="DATA"),
   VLOOKUP($B17,'LOD 400 - COLO3'!B:N,13,FALSE),"N/A")</f>
        <v>N/A</v>
      </c>
      <c r="R17" s="75" t="str">
        <f>IF(OR($D17="C345",$D17="C12A",$D17="DATA"),
   VLOOKUP($B17,'LOD 400 - COLO3'!B:O,14,FALSE),"N/A")</f>
        <v>N/A</v>
      </c>
      <c r="S17" s="76" t="str">
        <f>IF(OR($D17="C345",$D17="C12A",$D17="DATA"),
   VLOOKUP($B17,'LOD 400 - COLO4'!B:N,12,FALSE),"N/A")</f>
        <v>N/A</v>
      </c>
      <c r="T17" s="76" t="str">
        <f>IF(OR($D17="C345",$D17="C12A",$D17="DATA"),
   VLOOKUP($B17,'LOD 400 - COLO4'!B:N,13,FALSE),"N/A")</f>
        <v>N/A</v>
      </c>
      <c r="U17" s="76" t="str">
        <f>IF(OR($D17="C345",$D17="C12A",$D17="DATA"),
   VLOOKUP($B17,'LOD 400 - COLO4'!B:N,13,FALSE),"N/A")</f>
        <v>N/A</v>
      </c>
      <c r="V17" s="77" t="str">
        <f>IF(OR($D17="UTLS",$D17="GUAR",$D17="STIR",$D17="PUMP",$D17="SITE"),
   VLOOKUP($B17,'LOD 400 - UTLS'!B:M,12,FALSE),"N/A")</f>
        <v>N/A</v>
      </c>
      <c r="W17" s="78" t="str">
        <f>IF(OR($D17="UTLS",$D17="GUAR",$D17="STIR",$D17="PUMP",$D17="SITE"),
   VLOOKUP($B17,'LOD 400 - UTLS'!B:N,13,FALSE),"N/A")</f>
        <v>N/A</v>
      </c>
      <c r="X17" s="108" t="str">
        <f>IF(OR($D17="UTLS",$D17="GUAR",$D17="STIR",$D17="PUMP",$D17="SITE"),
   VLOOKUP($B17,'LOD 400 - UTLS'!B:O,14,FALSE),"N/A")</f>
        <v>N/A</v>
      </c>
      <c r="Y17" s="79" t="str">
        <f>IFERROR(VLOOKUP($B17,'LOD 400 - ADMN'!B:S,18,FALSE),"N/A")</f>
        <v>NOT PUBLISHED</v>
      </c>
      <c r="Z17" s="79" t="str">
        <f>IFERROR(VLOOKUP($B17,'LOD 400 - ADMN'!B:V,21,FALSE),"N/A")</f>
        <v>NOT PUBLISHED</v>
      </c>
      <c r="AA17" s="79" t="str">
        <f>IFERROR(VLOOKUP($B17,'LOD 400 - ADMN'!$B:Y,24,FALSE),"N/A")</f>
        <v>NOT PUBLISHED</v>
      </c>
      <c r="AB17" s="80" t="str">
        <f>IFERROR(VLOOKUP($B17,'LOD 400 - ADMN'!$B:AB,27,FALSE),"N/A")</f>
        <v>NOT PUBLISHED</v>
      </c>
      <c r="AC17" s="81" t="str">
        <f>IFERROR(VLOOKUP($B17,'LOD 400 - ADMN'!$B:AE,30,FALSE),"N/A")</f>
        <v>NOT PUBLISHED</v>
      </c>
      <c r="AD17" s="81" t="str">
        <f>IFERROR(VLOOKUP($B17,'LOD 400 - ADMN'!$B:AH,33,FALSE),"N/A")</f>
        <v>NOT PUBLISHED</v>
      </c>
      <c r="AE17" s="80" t="str">
        <f>IFERROR(VLOOKUP($B17,'LOD 400 - ADMN'!$B:AK,36,FALSE),"N/A")</f>
        <v>NOT PUBLISHED</v>
      </c>
      <c r="AF17" s="82" t="str">
        <f>IFERROR(VLOOKUP($B17,'LOD 400 - ADMN'!$B:AN,39,FALSE),"N/A")</f>
        <v>NOT PUBLISHED</v>
      </c>
      <c r="AG17" s="83" t="str">
        <f>IFERROR(VLOOKUP($B17,'LOD 400 - ADMN'!$B:AQ,42,FALSE),"N/A")</f>
        <v>NOT PUBLISHED</v>
      </c>
      <c r="AH17" s="84" t="str">
        <f>IFERROR(VLOOKUP($B17,'LOD 400 - ADMN'!$B:AT,45,FALSE),"N/A")</f>
        <v>NOT PUBLISHED</v>
      </c>
      <c r="AI17" s="85" t="str">
        <f>IFERROR(VLOOKUP($B17,'LOD 400 - ADMN'!$B:AW,48,FALSE),"N/A")</f>
        <v>NOT PUBLISHED</v>
      </c>
      <c r="AJ17" s="85" t="str">
        <f>IFERROR(VLOOKUP($B17,'LOD 400 - ADMN'!$B:AZ,51,FALSE),"N/A")</f>
        <v>NOT PUBLISHED</v>
      </c>
      <c r="AK17" s="84" t="str">
        <f>IFERROR(VLOOKUP($B17,'LOD 400 - ADMN'!$B:BC,54,FALSE),"N/A")</f>
        <v>NOT PUBLISHED</v>
      </c>
      <c r="AL17" s="84" t="str">
        <f>IFERROR(VLOOKUP($B17,'LOD 400 - ADMN'!$B:BF,57,FALSE),"N/A")</f>
        <v>NOT PUBLISHED</v>
      </c>
      <c r="AM17" s="84" t="str">
        <f>IFERROR(VLOOKUP($B17,'LOD 400 - ADMN'!$B:BI,60,FALSE),"N/A")</f>
        <v>NOT PUBLISHED</v>
      </c>
      <c r="AN17" s="84" t="str">
        <f>IFERROR(VLOOKUP($B17,'LOD 400 - ADMN'!$B:BL,63,FALSE),"N/A")</f>
        <v>NEXT ROUND</v>
      </c>
      <c r="AO17" s="84" t="str">
        <f>IFERROR(VLOOKUP($B17,'LOD 400 - ADMN'!$B:BO,66,FALSE),"N/A")</f>
        <v>NEXT ROUND</v>
      </c>
      <c r="AP17" s="84">
        <f>IFERROR(VLOOKUP($B17,'LOD 400 - ADMN'!$B:BR,69,FALSE),"N/A")</f>
        <v>0</v>
      </c>
      <c r="AQ17" s="84" t="str">
        <f>IFERROR(VLOOKUP($B17,'LOD 400 - ADMN'!$B:BU,72,FALSE),"N/A")</f>
        <v>NEXT ROUND</v>
      </c>
      <c r="AR17" s="84">
        <f>IFERROR(VLOOKUP($B17,'LOD 400 - ADMN'!$B:BX,75,FALSE),"N/A")</f>
        <v>0.8</v>
      </c>
      <c r="AS17" s="84" t="str">
        <f>IFERROR(VLOOKUP($B17,'LOD 400 - ADMN'!$B:CA,78,FALSE),"N/A")</f>
        <v>NEXT ROUND</v>
      </c>
      <c r="AT17" s="84" t="str">
        <f>IFERROR(VLOOKUP($B17,'LOD 400 - ADMN'!$B:CD,81,FALSE),"N/A")</f>
        <v>NEXT ROUND</v>
      </c>
      <c r="AU17" s="85" t="str">
        <f>IFERROR(VLOOKUP($B17,'LOD 400 - ADMN'!$B:CG,84,FALSE),"N/A")</f>
        <v>NEXT ROUND</v>
      </c>
      <c r="AV17" s="84" t="str">
        <f>IFERROR(VLOOKUP($B17,'LOD 400 - ADMN'!$B:CJ,87,FALSE),"N/A")</f>
        <v>NEXT ROUND</v>
      </c>
      <c r="AW17" s="85" t="str">
        <f>IFERROR(VLOOKUP($B17,'LOD 400 - ADMN'!$B:CM,90,FALSE),"N/A")</f>
        <v>NEXT ROUND</v>
      </c>
      <c r="AX17" s="84" t="str">
        <f>IFERROR(VLOOKUP($B17,'LOD 400 - ADMN'!$B:CP,93,FALSE),"N/A")</f>
        <v>NEXT ROUND</v>
      </c>
      <c r="AY17" s="84" t="str">
        <f>IFERROR(VLOOKUP($B17,'LOD 400 - ADMN'!$B:CS,96,FALSE),"N/A")</f>
        <v>NEXT ROUND</v>
      </c>
      <c r="AZ17" s="84">
        <f>IFERROR(VLOOKUP($B17,'LOD 400 - ADMN'!$B:CV,99,FALSE),"N/A")</f>
        <v>1</v>
      </c>
      <c r="BA17" s="84">
        <f>IFERROR(VLOOKUP($B17,'LOD 400 - ADMN'!$B:CY,102,FALSE),"N/A")</f>
        <v>1</v>
      </c>
      <c r="BB17" s="84">
        <f>IFERROR(VLOOKUP($B17,'LOD 400 - ADMN'!$B:DB,105,FALSE),"N/A")</f>
        <v>1</v>
      </c>
      <c r="BC17" s="84">
        <f>IFERROR(VLOOKUP($B17,'LOD 400 - ADMN'!$B:DE,108,FALSE),"N/A")</f>
        <v>1</v>
      </c>
      <c r="BD17" s="84">
        <f>IFERROR(VLOOKUP($B17,'LOD 400 - ADMN'!$B:DH,111,FALSE),"N/A")</f>
        <v>1</v>
      </c>
      <c r="BE17" s="84">
        <f>IFERROR(VLOOKUP($B17,'LOD 400 - ADMN'!$B:DK,114,FALSE),"N/A")</f>
        <v>1</v>
      </c>
      <c r="BF17" s="84">
        <f>IFERROR(VLOOKUP($B17,'LOD 400 - ADMN'!$B:DN,117,FALSE),"N/A")</f>
        <v>1</v>
      </c>
      <c r="BG17" s="86">
        <f>IFERROR(__xludf.DUMMYFUNCTION("IFERROR(
  MAX(FILTER(Y17:BF17, ISNUMBER(Y17:BF17))),
  BF17
)"),1.0)</f>
        <v>1</v>
      </c>
      <c r="BH17" s="79" t="str">
        <f>IFERROR(VLOOKUP($B17,'LOD 400 - COLO1'!B:S,18,FALSE),"N/A")</f>
        <v>N/A</v>
      </c>
      <c r="BI17" s="79" t="str">
        <f>IFERROR(VLOOKUP($B17,'LOD 400 - COLO1'!B:V,21,FALSE),"N/A")</f>
        <v>N/A</v>
      </c>
      <c r="BJ17" s="79" t="str">
        <f>IFERROR(VLOOKUP($B17,'LOD 400 - COLO1'!$B:Y,24,FALSE),"N/A")</f>
        <v>N/A</v>
      </c>
      <c r="BK17" s="87" t="str">
        <f>IFERROR(VLOOKUP($B17,'LOD 400 - COLO1'!$B:AB,27,FALSE),"N/A")</f>
        <v>N/A</v>
      </c>
      <c r="BL17" s="80" t="str">
        <f>IFERROR(VLOOKUP($B17,'LOD 400 - COLO1'!$B:AE,30,FALSE),"N/A")</f>
        <v>N/A</v>
      </c>
      <c r="BM17" s="81" t="str">
        <f>IFERROR(VLOOKUP($B17,'LOD 400 - COLO1'!$B:AH,33,FALSE),"N/A")</f>
        <v>N/A</v>
      </c>
      <c r="BN17" s="87" t="str">
        <f>IFERROR(VLOOKUP($B17,'LOD 400 - COLO1'!$B:AK,36,FALSE),"N/A")</f>
        <v>N/A</v>
      </c>
      <c r="BO17" s="83" t="str">
        <f>IFERROR(VLOOKUP($B17,'LOD 400 - COLO1'!$B:AN,39,FALSE),"N/A")</f>
        <v>N/A</v>
      </c>
      <c r="BP17" s="88" t="str">
        <f>IFERROR(VLOOKUP($B17,'LOD 400 - COLO1'!$B:AQ,42,FALSE),"N/A")</f>
        <v>N/A</v>
      </c>
      <c r="BQ17" s="84" t="str">
        <f>IFERROR(VLOOKUP($B17,'LOD 400 - COLO1'!$B:AT,45,FALSE),"N/A")</f>
        <v>N/A</v>
      </c>
      <c r="BR17" s="85" t="str">
        <f>IFERROR(VLOOKUP($B17,'LOD 400 - COLO1'!$B:AW,48,FALSE),"N/A")</f>
        <v>N/A</v>
      </c>
      <c r="BS17" s="84" t="str">
        <f>IFERROR(VLOOKUP($B17,'LOD 400 - COLO1'!$B:AZ,51,FALSE),"N/A")</f>
        <v>N/A</v>
      </c>
      <c r="BT17" s="84" t="str">
        <f>IFERROR(VLOOKUP($B17,'LOD 400 - COLO1'!$B:BC,54,FALSE),"N/A")</f>
        <v>N/A</v>
      </c>
      <c r="BU17" s="84" t="str">
        <f>IFERROR(VLOOKUP($B17,'LOD 400 - COLO1'!$B:BF,57,FALSE),"N/A")</f>
        <v>N/A</v>
      </c>
      <c r="BV17" s="84" t="str">
        <f>IFERROR(VLOOKUP($B17,'LOD 400 - COLO1'!$B:BI,60,FALSE),"N/A")</f>
        <v>N/A</v>
      </c>
      <c r="BW17" s="84" t="str">
        <f>IFERROR(VLOOKUP($B17,'LOD 400 - COLO1'!$B:BL,63,FALSE),"N/A")</f>
        <v>N/A</v>
      </c>
      <c r="BX17" s="84" t="str">
        <f>IFERROR(VLOOKUP($B17,'LOD 400 - COLO1'!$B:BO,66,FALSE),"N/A")</f>
        <v>N/A</v>
      </c>
      <c r="BY17" s="84" t="str">
        <f>IFERROR(VLOOKUP($B17,'LOD 400 - COLO1'!$B:BR,69,FALSE),"N/A")</f>
        <v>N/A</v>
      </c>
      <c r="BZ17" s="84" t="str">
        <f>IFERROR(VLOOKUP($B17,'LOD 400 - COLO1'!$B:BU,72,FALSE),"N/A")</f>
        <v>N/A</v>
      </c>
      <c r="CA17" s="84" t="str">
        <f>IFERROR(VLOOKUP($B17,'LOD 400 - COLO1'!$B:BX,75,FALSE),"N/A")</f>
        <v>N/A</v>
      </c>
      <c r="CB17" s="84" t="str">
        <f>IFERROR(VLOOKUP($B17,'LOD 400 - COLO1'!$B:CA,78,FALSE),"N/A")</f>
        <v>N/A</v>
      </c>
      <c r="CC17" s="84" t="str">
        <f>IFERROR(VLOOKUP($B17,'LOD 400 - COLO1'!$B:CD,81,FALSE),"N/A")</f>
        <v>N/A</v>
      </c>
      <c r="CD17" s="85" t="str">
        <f>IFERROR(VLOOKUP($B17,'LOD 400 - COLO1'!$B:CG,84,FALSE),"N/A")</f>
        <v>N/A</v>
      </c>
      <c r="CE17" s="84" t="str">
        <f>IFERROR(VLOOKUP($B17,'LOD 400 - COLO1'!$B:CJ,87,FALSE),"N/A")</f>
        <v>N/A</v>
      </c>
      <c r="CF17" s="85" t="str">
        <f>IFERROR(VLOOKUP($B17,'LOD 400 - COLO1'!$B:CM,90,FALSE),"N/A")</f>
        <v>N/A</v>
      </c>
      <c r="CG17" s="84" t="str">
        <f>IFERROR(VLOOKUP($B17,'LOD 400 - COLO1'!$B:CP,93,FALSE),"N/A")</f>
        <v>N/A</v>
      </c>
      <c r="CH17" s="84" t="str">
        <f>IFERROR(VLOOKUP($B17,'LOD 400 - COLO1'!$B:CS,96,FALSE),"N/A")</f>
        <v>N/A</v>
      </c>
      <c r="CI17" s="84" t="str">
        <f>IFERROR(VLOOKUP($B17,'LOD 400 - COLO1'!$B:CV,99,FALSE),"N/A")</f>
        <v>N/A</v>
      </c>
      <c r="CJ17" s="84" t="str">
        <f>IFERROR(VLOOKUP($B17,'LOD 400 - COLO1'!$B:CY,102,FALSE),"N/A")</f>
        <v>N/A</v>
      </c>
      <c r="CK17" s="84" t="str">
        <f>IFERROR(VLOOKUP($B17,'LOD 400 - COLO1'!$B:DB,105,FALSE),"N/A")</f>
        <v>N/A</v>
      </c>
      <c r="CL17" s="84" t="str">
        <f>IFERROR(VLOOKUP($B17,'LOD 400 - COLO1'!$B:DE,108,FALSE),"N/A")</f>
        <v>N/A</v>
      </c>
      <c r="CM17" s="84" t="str">
        <f>IFERROR(VLOOKUP($B17,'LOD 400 - COLO1'!$B:DH,111,FALSE),"N/A")</f>
        <v>N/A</v>
      </c>
      <c r="CN17" s="84" t="str">
        <f>IFERROR(VLOOKUP($B17,'LOD 400 - COLO1'!$B:DK,114,FALSE),"N/A")</f>
        <v>N/A</v>
      </c>
      <c r="CO17" s="84" t="str">
        <f>IFERROR(VLOOKUP($B17,'LOD 400 - COLO1'!$B:DN,117,FALSE),"N/A")</f>
        <v>N/A</v>
      </c>
      <c r="CP17" s="86" t="str">
        <f>IFERROR(__xludf.DUMMYFUNCTION("IFERROR(
  MAX(FILTER(BH17:CO17, ISNUMBER(BH17:CO17))),
  CO17
)"),"N/A")</f>
        <v>N/A</v>
      </c>
      <c r="CQ17" s="89" t="str">
        <f>IFERROR(VLOOKUP($B17,'LOD 400 - COLO2'!B:S,18,FALSE),"N/A")</f>
        <v>N/A</v>
      </c>
      <c r="CR17" s="79" t="str">
        <f>IFERROR(VLOOKUP($B17,'LOD 400 - COLO2'!B:V,21,FALSE),"N/A")</f>
        <v>N/A</v>
      </c>
      <c r="CS17" s="79" t="str">
        <f>IFERROR(VLOOKUP($B17,'LOD 400 - COLO2'!$B:Y,24,FALSE),"N/A")</f>
        <v>N/A</v>
      </c>
      <c r="CT17" s="80" t="str">
        <f>IFERROR(VLOOKUP($B17,'LOD 400 - COLO2'!$B:DQ,27,FALSE),"N/A")</f>
        <v>N/A</v>
      </c>
      <c r="CU17" s="90" t="str">
        <f>IFERROR(VLOOKUP($B17,'LOD 400 - COLO2'!$B:AE,30,FALSE),"N/A")</f>
        <v>N/A</v>
      </c>
      <c r="CV17" s="81" t="str">
        <f>IFERROR(VLOOKUP($B17,'LOD 400 - COLO2'!$B:AH,33,FALSE),"N/A")</f>
        <v>N/A</v>
      </c>
      <c r="CW17" s="90" t="str">
        <f>IFERROR(VLOOKUP($B17,'LOD 400 - COLO2'!$B:AK,36,FALSE),"N/A")</f>
        <v>N/A</v>
      </c>
      <c r="CX17" s="85" t="str">
        <f>IFERROR(VLOOKUP($B17,'LOD 400 - COLO2'!$B:AN,39,FALSE),"N/A")</f>
        <v>N/A</v>
      </c>
      <c r="CY17" s="88" t="str">
        <f>IFERROR(VLOOKUP($B17,'LOD 400 - COLO2'!$B:AQ,42,FALSE),"N/A")</f>
        <v>N/A</v>
      </c>
      <c r="CZ17" s="84" t="str">
        <f>IFERROR(VLOOKUP($B17,'LOD 400 - COLO2'!$B:AT,45,FALSE),"N/A")</f>
        <v>N/A</v>
      </c>
      <c r="DA17" s="85" t="str">
        <f>IFERROR(VLOOKUP($B17,'LOD 400 - COLO2'!$B:AW,48,FALSE),"N/A")</f>
        <v>N/A</v>
      </c>
      <c r="DB17" s="84" t="str">
        <f>IFERROR(VLOOKUP($B17,'LOD 400 - COLO2'!$B:AZ,51,FALSE),"N/A")</f>
        <v>N/A</v>
      </c>
      <c r="DC17" s="84" t="str">
        <f>IFERROR(VLOOKUP($B17,'LOD 400 - COLO2'!$B:BC,54,FALSE),"N/A")</f>
        <v>N/A</v>
      </c>
      <c r="DD17" s="84" t="str">
        <f>IFERROR(VLOOKUP($B17,'LOD 400 - COLO2'!$B:BF,57,FALSE),"N/A")</f>
        <v>N/A</v>
      </c>
      <c r="DE17" s="84" t="str">
        <f>IFERROR(VLOOKUP($B17,'LOD 400 - COLO2'!$B:BI,60,FALSE),"N/A")</f>
        <v>N/A</v>
      </c>
      <c r="DF17" s="84" t="str">
        <f>IFERROR(VLOOKUP($B17,'LOD 400 - COLO2'!$B:BL,63,FALSE),"N/A")</f>
        <v>N/A</v>
      </c>
      <c r="DG17" s="84" t="str">
        <f>IFERROR(VLOOKUP($B17,'LOD 400 - COLO2'!$B:BO,66,FALSE),"N/A")</f>
        <v>N/A</v>
      </c>
      <c r="DH17" s="84" t="str">
        <f>IFERROR(VLOOKUP($B17,'LOD 400 - COLO2'!$B:BR,69,FALSE),"N/A")</f>
        <v>N/A</v>
      </c>
      <c r="DI17" s="84" t="str">
        <f>IFERROR(VLOOKUP($B17,'LOD 400 - COLO2'!$B:BU,72,FALSE),"N/A")</f>
        <v>N/A</v>
      </c>
      <c r="DJ17" s="84" t="str">
        <f>IFERROR(VLOOKUP($B17,'LOD 400 - COLO2'!$B:BX,75,FALSE),"N/A")</f>
        <v>N/A</v>
      </c>
      <c r="DK17" s="84" t="str">
        <f>IFERROR(VLOOKUP($B17,'LOD 400 - COLO2'!$B:CA,78,FALSE),"N/A")</f>
        <v>N/A</v>
      </c>
      <c r="DL17" s="84" t="str">
        <f>IFERROR(VLOOKUP($B17,'LOD 400 - COLO2'!$B:CD,81,FALSE),"N/A")</f>
        <v>N/A</v>
      </c>
      <c r="DM17" s="85" t="str">
        <f>IFERROR(VLOOKUP($B17,'LOD 400 - COLO2'!$B:CG,84,FALSE),"N/A")</f>
        <v>N/A</v>
      </c>
      <c r="DN17" s="84" t="str">
        <f>IFERROR(VLOOKUP($B17,'LOD 400 - COLO2'!$B:CJ,87,FALSE),"N/A")</f>
        <v>N/A</v>
      </c>
      <c r="DO17" s="85" t="str">
        <f>IFERROR(VLOOKUP($B17,'LOD 400 - COLO2'!$B:CM,90,FALSE),"N/A")</f>
        <v>N/A</v>
      </c>
      <c r="DP17" s="84" t="str">
        <f>IFERROR(VLOOKUP($B17,'LOD 400 - COLO2'!$B:CP,93,FALSE),"N/A")</f>
        <v>N/A</v>
      </c>
      <c r="DQ17" s="84" t="str">
        <f>IFERROR(VLOOKUP($B17,'LOD 400 - COLO2'!$B:CS,96,FALSE),"N/A")</f>
        <v>N/A</v>
      </c>
      <c r="DR17" s="84" t="str">
        <f>IFERROR(VLOOKUP($B17,'LOD 400 - COLO2'!$B:CV,99,FALSE),"N/A")</f>
        <v>N/A</v>
      </c>
      <c r="DS17" s="84" t="str">
        <f>IFERROR(VLOOKUP($B17,'LOD 400 - COLO2'!$B:CY,102,FALSE),"N/A")</f>
        <v>N/A</v>
      </c>
      <c r="DT17" s="84" t="str">
        <f>IFERROR(VLOOKUP($B17,'LOD 400 - COLO2'!$B:DB,105,FALSE),"N/A")</f>
        <v>N/A</v>
      </c>
      <c r="DU17" s="84" t="str">
        <f>IFERROR(VLOOKUP($B17,'LOD 400 - COLO2'!$B:DE,108,FALSE),"N/A")</f>
        <v>N/A</v>
      </c>
      <c r="DV17" s="84" t="str">
        <f>IFERROR(VLOOKUP($B17,'LOD 400 - COLO2'!$B:DH,111,FALSE),"N/A")</f>
        <v>N/A</v>
      </c>
      <c r="DW17" s="84" t="str">
        <f>IFERROR(VLOOKUP($B17,'LOD 400 - COLO2'!$B:DK,114,FALSE),"N/A")</f>
        <v>N/A</v>
      </c>
      <c r="DX17" s="84" t="str">
        <f>IFERROR(VLOOKUP($B17,'LOD 400 - COLO2'!$B:DN,117,FALSE),"N/A")</f>
        <v>N/A</v>
      </c>
      <c r="DY17" s="91" t="str">
        <f>IFERROR(__xludf.DUMMYFUNCTION("IFERROR(
  MAX(FILTER(CQ17:DW17, ISNUMBER(CQ17:DW17))),
  DW17
)"),"N/A")</f>
        <v>N/A</v>
      </c>
      <c r="DZ17" s="92" t="str">
        <f>IFERROR(VLOOKUP($B17,'LOD 400 - COLO3'!B:S,18,FALSE),"N/A")</f>
        <v>N/A</v>
      </c>
      <c r="EA17" s="84" t="str">
        <f>IFERROR(VLOOKUP($B17,'LOD 400 - COLO3'!B:V,21,FALSE),"N/A")</f>
        <v>N/A</v>
      </c>
      <c r="EB17" s="84" t="str">
        <f>IFERROR(VLOOKUP($B17,'LOD 400 - COLO3'!B:Y,24,FALSE),"N/A")</f>
        <v>N/A</v>
      </c>
      <c r="EC17" s="84" t="str">
        <f>IFERROR(VLOOKUP($B17,'LOD 400 - COLO3'!B:AB,27,FALSE),"N/A")</f>
        <v>N/A</v>
      </c>
      <c r="ED17" s="85" t="str">
        <f>IFERROR(VLOOKUP($B17,'LOD 400 - COLO3'!B:AE,30,FALSE),"N/A")</f>
        <v>N/A</v>
      </c>
      <c r="EE17" s="84" t="str">
        <f>IFERROR(VLOOKUP($B17,'LOD 400 - COLO3'!B:AH,33,FALSE),"N/A")</f>
        <v>N/A</v>
      </c>
      <c r="EF17" s="84" t="str">
        <f>IFERROR(VLOOKUP($B17,'LOD 400 - COLO3'!B:AK,36,FALSE),"N/A")</f>
        <v>N/A</v>
      </c>
      <c r="EG17" s="109" t="str">
        <f>IFERROR(VLOOKUP($B17,'LOD 400 - COLO3'!B:AN,39,FALSE),"N/A")</f>
        <v>N/A</v>
      </c>
      <c r="EH17" s="94" t="str">
        <f>IFERROR(VLOOKUP($B17,'LOD 400 - COLO3'!B:AQ,42,FALSE),"N/A")</f>
        <v>N/A</v>
      </c>
      <c r="EI17" s="94" t="str">
        <f>IFERROR(VLOOKUP($B17,'LOD 400 - COLO3'!B:AT,45,FALSE),"N/A")</f>
        <v>N/A</v>
      </c>
      <c r="EJ17" s="94" t="str">
        <f>IFERROR(VLOOKUP($B17,'LOD 400 - COLO3'!B:AW,48,FALSE),"N/A")</f>
        <v>N/A</v>
      </c>
      <c r="EK17" s="94" t="str">
        <f>IFERROR(VLOOKUP($B17,'LOD 400 - COLO3'!B:AZ,51,FALSE),"N/A")</f>
        <v>N/A</v>
      </c>
      <c r="EL17" s="94" t="str">
        <f>IFERROR(VLOOKUP($B17,'LOD 400 - COLO3'!B:BC,54,FALSE),"N/A")</f>
        <v>N/A</v>
      </c>
      <c r="EM17" s="94" t="str">
        <f>IFERROR(VLOOKUP($B17,'LOD 400 - COLO3'!B:BF,57,FALSE),"N/A")</f>
        <v>N/A</v>
      </c>
      <c r="EN17" s="94" t="str">
        <f>IFERROR(VLOOKUP($B17,'LOD 400 - COLO3'!B:BI,60,FALSE),"N/A")</f>
        <v>N/A</v>
      </c>
      <c r="EO17" s="94" t="str">
        <f>IFERROR(VLOOKUP($B17,'LOD 400 - COLO3'!B:BL,63,FALSE),"N/A")</f>
        <v>N/A</v>
      </c>
      <c r="EP17" s="86" t="str">
        <f>IFERROR(__xludf.DUMMYFUNCTION("IFERROR(
  MAX(FILTER(DZ17:EO17, ISNUMBER(DZ17:EO17))),
  EO17
)"),"N/A")</f>
        <v>N/A</v>
      </c>
      <c r="EQ17" s="95">
        <f>IFERROR(VLOOKUP($B17,'LOD 400 - COLO4'!B:S,18,FALSE),"N/A")</f>
        <v>0</v>
      </c>
      <c r="ER17" s="96">
        <f>IFERROR(__xludf.DUMMYFUNCTION("IFERROR(
  MAX(FILTER(EQ17, ISNUMBER(EQ17))),
  EQ17
)"),0.0)</f>
        <v>0</v>
      </c>
      <c r="ES17" s="79" t="str">
        <f>IFERROR(VLOOKUP($B17,'LOD 400 - SITE'!B:S,18,FALSE),"N/A")</f>
        <v>N/A</v>
      </c>
      <c r="ET17" s="80" t="str">
        <f>IFERROR(VLOOKUP($B17,'LOD 400 - SITE'!B:V,21,FALSE),"N/A")</f>
        <v>N/A</v>
      </c>
      <c r="EU17" s="97" t="str">
        <f>IFERROR(VLOOKUP($B17,'LOD 400 - SITE'!$B:Y,24,FALSE),"N/A")</f>
        <v>N/A</v>
      </c>
      <c r="EV17" s="80" t="str">
        <f>IFERROR(VLOOKUP($B17,'LOD 400 - SITE'!$B:AB,27,FALSE),"N/A")</f>
        <v>N/A</v>
      </c>
      <c r="EW17" s="81" t="str">
        <f>IFERROR(VLOOKUP($B17,'LOD 400 - SITE'!$B:AE,30,FALSE),"N/A")</f>
        <v>N/A</v>
      </c>
      <c r="EX17" s="87" t="str">
        <f>IFERROR(VLOOKUP($B17,'LOD 400 - SITE'!$B:AH,33,FALSE),"N/A")</f>
        <v>N/A</v>
      </c>
      <c r="EY17" s="87" t="str">
        <f>IFERROR(VLOOKUP($B17,'LOD 400 - SITE'!$B:AK,36,FALSE),"N/A")</f>
        <v>N/A</v>
      </c>
      <c r="EZ17" s="80" t="str">
        <f>IFERROR(VLOOKUP($B17,'LOD 400 - SITE'!$B:AN,39,FALSE),"N/A")</f>
        <v>N/A</v>
      </c>
      <c r="FA17" s="82" t="str">
        <f>IFERROR(VLOOKUP($B17,'LOD 400 - SITE'!$B:AQ,42,FALSE),"N/A")</f>
        <v>N/A</v>
      </c>
      <c r="FB17" s="88" t="str">
        <f>IFERROR(VLOOKUP($B17,'LOD 400 - SITE'!$B:AT,45,FALSE),"N/A")</f>
        <v>N/A</v>
      </c>
      <c r="FC17" s="84" t="str">
        <f>IFERROR(VLOOKUP($B17,'LOD 400 - SITE'!$B:AW,48,FALSE),"N/A")</f>
        <v>N/A</v>
      </c>
      <c r="FD17" s="84" t="str">
        <f>IFERROR(VLOOKUP($B17,'LOD 400 - SITE'!$B:AZ,51,FALSE),"N/A")</f>
        <v>N/A</v>
      </c>
      <c r="FE17" s="84" t="str">
        <f>IFERROR(VLOOKUP($B17,'LOD 400 - SITE'!$B:BC,54,FALSE),"N/A")</f>
        <v>N/A</v>
      </c>
      <c r="FF17" s="84" t="str">
        <f>IFERROR(VLOOKUP($B17,'LOD 400 - SITE'!$B:BF,57,FALSE),"N/A")</f>
        <v>N/A</v>
      </c>
      <c r="FG17" s="84" t="str">
        <f>IFERROR(VLOOKUP($B17,'LOD 400 - SITE'!$B:BI,60,FALSE),"N/A")</f>
        <v>N/A</v>
      </c>
      <c r="FH17" s="84" t="str">
        <f>IFERROR(VLOOKUP($B17,'LOD 400 - SITE'!$B:BL,63,FALSE),"N/A")</f>
        <v>N/A</v>
      </c>
      <c r="FI17" s="84" t="str">
        <f>IFERROR(VLOOKUP($B17,'LOD 400 - SITE'!$B:BO,66,FALSE),"N/A")</f>
        <v>N/A</v>
      </c>
      <c r="FJ17" s="84" t="str">
        <f>IFERROR(VLOOKUP($B17,'LOD 400 - SITE'!$B:BR,69,FALSE),"N/A")</f>
        <v>N/A</v>
      </c>
      <c r="FK17" s="84" t="str">
        <f>IFERROR(VLOOKUP($B17,'LOD 400 - SITE'!$B:BU,72,FALSE),"N/A")</f>
        <v>N/A</v>
      </c>
      <c r="FL17" s="84" t="str">
        <f>IFERROR(VLOOKUP($B17,'LOD 400 - SITE'!$B:BX,75,FALSE),"N/A")</f>
        <v>N/A</v>
      </c>
      <c r="FM17" s="84" t="str">
        <f>IFERROR(VLOOKUP($B17,'LOD 400 - SITE'!$B:CA,78,FALSE),"N/A")</f>
        <v>N/A</v>
      </c>
      <c r="FN17" s="85" t="str">
        <f>IFERROR(VLOOKUP($B17,'LOD 400 - SITE'!$B:CD,81,FALSE),"N/A")</f>
        <v>N/A</v>
      </c>
      <c r="FO17" s="84" t="str">
        <f>IFERROR(VLOOKUP($B17,'LOD 400 - SITE'!$B:CG,84,FALSE),"N/A")</f>
        <v>N/A</v>
      </c>
      <c r="FP17" s="85" t="str">
        <f>IFERROR(VLOOKUP($B17,'LOD 400 - SITE'!$B:CJ,87,FALSE),"N/A")</f>
        <v>N/A</v>
      </c>
      <c r="FQ17" s="84" t="str">
        <f>IFERROR(VLOOKUP($B17,'LOD 400 - SITE'!$B:CM,90,FALSE),"N/A")</f>
        <v>N/A</v>
      </c>
      <c r="FR17" s="84" t="str">
        <f>IFERROR(VLOOKUP($B17,'LOD 400 - SITE'!$B:CP,93,FALSE),"N/A")</f>
        <v>N/A</v>
      </c>
      <c r="FS17" s="84" t="str">
        <f>IFERROR(VLOOKUP($B17,'LOD 400 - SITE'!$B:CS,96,FALSE),"N/A")</f>
        <v>N/A</v>
      </c>
      <c r="FT17" s="84" t="str">
        <f>IFERROR(VLOOKUP($B17,'LOD 400 - SITE'!$B:CV,99,FALSE),"N/A")</f>
        <v>N/A</v>
      </c>
      <c r="FU17" s="84" t="str">
        <f>IFERROR(VLOOKUP($B17,'LOD 400 - SITE'!$B:CY,102,FALSE),"N/A")</f>
        <v>N/A</v>
      </c>
      <c r="FV17" s="84" t="str">
        <f>IFERROR(VLOOKUP($B17,'LOD 400 - SITE'!$B:DB,105,FALSE),"N/A")</f>
        <v>N/A</v>
      </c>
      <c r="FW17" s="84" t="str">
        <f>IFERROR(VLOOKUP($B17,'LOD 400 - SITE'!$B:DE,108,FALSE),"N/A")</f>
        <v>N/A</v>
      </c>
      <c r="FX17" s="84" t="str">
        <f>IFERROR(VLOOKUP($B17,'LOD 400 - SITE'!$B:DH,111,FALSE),"N/A")</f>
        <v>N/A</v>
      </c>
      <c r="FY17" s="84" t="str">
        <f>IFERROR(VLOOKUP($B17,'LOD 400 - SITE'!$B:DK,114,FALSE),"N/A")</f>
        <v>N/A</v>
      </c>
      <c r="FZ17" s="96" t="str">
        <f>IFERROR(__xludf.DUMMYFUNCTION("IFERROR(
  MAX(FILTER(ES17:FY17, ISNUMBER(ES17:FY17))),
  FY17
)"),"N/A")</f>
        <v>N/A</v>
      </c>
      <c r="GA17" s="80" t="str">
        <f>IFERROR(VLOOKUP($B17,'LOD 400 - UTLS'!B:S,18,FALSE),"N/A")</f>
        <v>N/A</v>
      </c>
      <c r="GB17" s="98" t="str">
        <f>IFERROR(VLOOKUP($B17,'LOD 400 - UTLS'!B:V,21,FALSE),"N/A")</f>
        <v>N/A</v>
      </c>
      <c r="GC17" s="81" t="str">
        <f>IFERROR(VLOOKUP($B17,'LOD 400 - UTLS'!B:Y,24,FALSE),"N/A")</f>
        <v>N/A</v>
      </c>
      <c r="GD17" s="87" t="str">
        <f>IFERROR(VLOOKUP($B17,'LOD 400 - UTLS'!$B:AB,27,FALSE),"N/A")</f>
        <v>N/A</v>
      </c>
      <c r="GE17" s="80" t="str">
        <f>IFERROR(VLOOKUP($B17,'LOD 400 - UTLS'!$B:AE,30,FALSE),"N/A")</f>
        <v>N/A</v>
      </c>
      <c r="GF17" s="82" t="str">
        <f>IFERROR(VLOOKUP($B17,'LOD 400 - UTLS'!$B:AH,33,FALSE),"N/A")</f>
        <v>N/A</v>
      </c>
      <c r="GG17" s="88" t="str">
        <f>IFERROR(VLOOKUP($B17,'LOD 400 - UTLS'!$B:AK,36,FALSE),"N/A")</f>
        <v>N/A</v>
      </c>
      <c r="GH17" s="84" t="str">
        <f>IFERROR(VLOOKUP($B17,'LOD 400 - UTLS'!$B:AN,39,FALSE),"N/A")</f>
        <v>N/A</v>
      </c>
      <c r="GI17" s="84" t="str">
        <f>IFERROR(VLOOKUP($B17,'LOD 400 - UTLS'!$B:AQ,42,FALSE),"N/A")</f>
        <v>N/A</v>
      </c>
      <c r="GJ17" s="84" t="str">
        <f>IFERROR(VLOOKUP($B17,'LOD 400 - UTLS'!$B:AT,45,FALSE),"N/A")</f>
        <v>N/A</v>
      </c>
      <c r="GK17" s="84" t="str">
        <f>IFERROR(VLOOKUP($B17,'LOD 400 - UTLS'!$B:AW,48,FALSE),"N/A")</f>
        <v>N/A</v>
      </c>
      <c r="GL17" s="84" t="str">
        <f>IFERROR(VLOOKUP($B17,'LOD 400 - UTLS'!$B:AZ,51,FALSE),"N/A")</f>
        <v>N/A</v>
      </c>
      <c r="GM17" s="84" t="str">
        <f>IFERROR(VLOOKUP($B17,'LOD 400 - UTLS'!$B:BC,54,FALSE),"N/A")</f>
        <v>N/A</v>
      </c>
      <c r="GN17" s="84" t="str">
        <f>IFERROR(VLOOKUP($B17,'LOD 400 - UTLS'!$B:BF,57,FALSE),"N/A")</f>
        <v>N/A</v>
      </c>
      <c r="GO17" s="84" t="str">
        <f>IFERROR(VLOOKUP($B17,'LOD 400 - UTLS'!$B:BI,60,FALSE),"N/A")</f>
        <v>N/A</v>
      </c>
      <c r="GP17" s="84" t="str">
        <f>IFERROR(VLOOKUP($B17,'LOD 400 - UTLS'!$B:BL,63,FALSE),"N/A")</f>
        <v>N/A</v>
      </c>
      <c r="GQ17" s="84" t="str">
        <f>IFERROR(VLOOKUP($B17,'LOD 400 - UTLS'!$B:BO,66,FALSE),"N/A")</f>
        <v>N/A</v>
      </c>
      <c r="GR17" s="84" t="str">
        <f>IFERROR(VLOOKUP($B17,'LOD 400 - UTLS'!$B:BR,69,FALSE),"N/A")</f>
        <v>N/A</v>
      </c>
      <c r="GS17" s="85" t="str">
        <f>IFERROR(VLOOKUP($B17,'LOD 400 - UTLS'!$B:BU,72,FALSE),"N/A")</f>
        <v>N/A</v>
      </c>
      <c r="GT17" s="84" t="str">
        <f>IFERROR(VLOOKUP($B17,'LOD 400 - UTLS'!$B:BX,75,FALSE),"N/A")</f>
        <v>N/A</v>
      </c>
      <c r="GU17" s="85" t="str">
        <f>IFERROR(VLOOKUP($B17,'LOD 400 - UTLS'!$B:CA,78,FALSE),"N/A")</f>
        <v>N/A</v>
      </c>
      <c r="GV17" s="84" t="str">
        <f>IFERROR(VLOOKUP($B17,'LOD 400 - UTLS'!$B:CD,81,FALSE),"N/A")</f>
        <v>N/A</v>
      </c>
      <c r="GW17" s="84" t="str">
        <f>IFERROR(VLOOKUP($B17,'LOD 400 - UTLS'!$B:CG,84,FALSE),"N/A")</f>
        <v>N/A</v>
      </c>
      <c r="GX17" s="84" t="str">
        <f>IFERROR(VLOOKUP($B17,'LOD 400 - UTLS'!$B:CJ,87,FALSE),"N/A")</f>
        <v>N/A</v>
      </c>
      <c r="GY17" s="84" t="str">
        <f>IFERROR(VLOOKUP($B17,'LOD 400 - UTLS'!$B:CM,90,FALSE),"N/A")</f>
        <v>N/A</v>
      </c>
      <c r="GZ17" s="84" t="str">
        <f>IFERROR(VLOOKUP($B17,'LOD 400 - UTLS'!$B:CP,93,FALSE),"N/A")</f>
        <v>N/A</v>
      </c>
      <c r="HA17" s="84" t="str">
        <f>IFERROR(VLOOKUP($B17,'LOD 400 - UTLS'!$B:CS,96,FALSE),"N/A")</f>
        <v>N/A</v>
      </c>
      <c r="HB17" s="84" t="str">
        <f>IFERROR(VLOOKUP($B17,'LOD 400 - UTLS'!$B:CV,99,FALSE),"N/A")</f>
        <v>N/A</v>
      </c>
      <c r="HC17" s="84" t="str">
        <f>IFERROR(VLOOKUP($B17,'LOD 400 - UTLS'!$B:CY,102,FALSE),"N/A")</f>
        <v>N/A</v>
      </c>
      <c r="HD17" s="84" t="str">
        <f>IFERROR(VLOOKUP($B17,'LOD 400 - UTLS'!$B:DB,105,FALSE),"N/A")</f>
        <v>N/A</v>
      </c>
      <c r="HE17" s="96" t="str">
        <f>IFERROR(__xludf.DUMMYFUNCTION("IFERROR(
  MAX(FILTER(GA17:HD17, ISNUMBER(GA17:HD17))),
  HD17
)"),"N/A")</f>
        <v>N/A</v>
      </c>
      <c r="HF17" s="99"/>
      <c r="HG17" s="99"/>
      <c r="HH17" s="99"/>
      <c r="HI17" s="99"/>
      <c r="HJ17" s="99"/>
      <c r="HK17" s="99"/>
    </row>
    <row r="18" ht="15.0" customHeight="1" outlineLevel="1">
      <c r="A18" s="53">
        <v>21.0</v>
      </c>
      <c r="B18" s="100" t="s">
        <v>115</v>
      </c>
      <c r="C18" s="100" t="s">
        <v>116</v>
      </c>
      <c r="D18" s="64" t="str">
        <f t="shared" si="1"/>
        <v>GUAR</v>
      </c>
      <c r="E18" s="101" t="s">
        <v>117</v>
      </c>
      <c r="F18" s="102">
        <v>1109.0</v>
      </c>
      <c r="G18" s="103" t="s">
        <v>117</v>
      </c>
      <c r="H18" s="104">
        <v>1109.0</v>
      </c>
      <c r="I18" s="68" t="str">
        <f>IFERROR(VLOOKUP($C15:C108,'R22 RELATÓRIO ACC'!B:F,5,FALSE),"NOT PUBLISHED")</f>
        <v>V9</v>
      </c>
      <c r="J18" s="69" t="str">
        <f>IFERROR(VLOOKUP($C15:C108,'R22 RELATÓRIO ACC'!B:P,15,FALSE),"NOT PUBLISHED")</f>
        <v>04/12/2025</v>
      </c>
      <c r="K18" s="70" t="str">
        <f>IFERROR(VLOOKUP($B15:B108,'RELATÓRIO ACC'!B:F,5,FALSE),"NOT PUBLISHED")</f>
        <v>V1</v>
      </c>
      <c r="L18" s="71" t="str">
        <f>IFERROR(VLOOKUP($B15:B108,'RELATÓRIO ACC'!B:P,15,FALSE),"NOT PUBLISHED")</f>
        <v>20/05/2026</v>
      </c>
      <c r="M18" s="72" t="str">
        <f>IF(OR($D18="UTLS",$D18="GUAR",$D18="STIR",$D18="PUMP",$D18="SITE"),
   VLOOKUP($B18,'LOD 400 - SITE'!B:M,12,FALSE),
   VLOOKUP($B18,'LOD 400 - ADMN'!B:M,12,FALSE)
)</f>
        <v>V1</v>
      </c>
      <c r="N18" s="105">
        <f>IF(OR($D18="UTLS",$D18="GUAR",$D18="STIR",$D18="PUMP",$D18="SITE"),
   VLOOKUP($B18,'LOD 400 - SITE'!B:N,13,FALSE),
   VLOOKUP($B18,'LOD 400 - ADMN'!B:N,13,FALSE)
)</f>
        <v>46162</v>
      </c>
      <c r="O18" s="106" t="str">
        <f>IF(OR($D18="UTLS",$D18="GUAR",$D18="STIR",$D18="PUMP",$D18="SITE"),
   VLOOKUP($B18,'LOD 400 - SITE'!B:O,14,FALSE),
   VLOOKUP($B18,'LOD 400 - ADMN'!B:O,14,FALSE)
)</f>
        <v>R24</v>
      </c>
      <c r="P18" s="107" t="str">
        <f>IF(OR($D18="C345",$D18="C12A",$D18="DATA"),
   VLOOKUP($B18,'LOD 400 - COLO3'!B:M,12,FALSE),"N/A")</f>
        <v>N/A</v>
      </c>
      <c r="Q18" s="108" t="str">
        <f>IF(OR($D18="C345",$D18="C12A",$D18="DATA"),
   VLOOKUP($B18,'LOD 400 - COLO3'!B:N,13,FALSE),"N/A")</f>
        <v>N/A</v>
      </c>
      <c r="R18" s="75" t="str">
        <f>IF(OR($D18="C345",$D18="C12A",$D18="DATA"),
   VLOOKUP($B18,'LOD 400 - COLO3'!B:O,14,FALSE),"N/A")</f>
        <v>N/A</v>
      </c>
      <c r="S18" s="76" t="str">
        <f>IF(OR($D18="C345",$D18="C12A",$D18="DATA"),
   VLOOKUP($B18,'LOD 400 - COLO4'!B:N,12,FALSE),"N/A")</f>
        <v>N/A</v>
      </c>
      <c r="T18" s="76" t="str">
        <f>IF(OR($D18="C345",$D18="C12A",$D18="DATA"),
   VLOOKUP($B18,'LOD 400 - COLO4'!B:N,13,FALSE),"N/A")</f>
        <v>N/A</v>
      </c>
      <c r="U18" s="76" t="str">
        <f>IF(OR($D18="C345",$D18="C12A",$D18="DATA"),
   VLOOKUP($B18,'LOD 400 - COLO4'!B:N,13,FALSE),"N/A")</f>
        <v>N/A</v>
      </c>
      <c r="V18" s="77" t="str">
        <f>IF(OR($D18="UTLS",$D18="GUAR",$D18="STIR",$D18="PUMP",$D18="SITE"),
   VLOOKUP($B18,'LOD 400 - UTLS'!B:M,12,FALSE),"N/A")</f>
        <v>N/A</v>
      </c>
      <c r="W18" s="78" t="str">
        <f>IF(OR($D18="UTLS",$D18="GUAR",$D18="STIR",$D18="PUMP",$D18="SITE"),
   VLOOKUP($B18,'LOD 400 - UTLS'!B:N,13,FALSE),"N/A")</f>
        <v>N/A</v>
      </c>
      <c r="X18" s="108" t="str">
        <f>IF(OR($D18="UTLS",$D18="GUAR",$D18="STIR",$D18="PUMP",$D18="SITE"),
   VLOOKUP($B18,'LOD 400 - UTLS'!B:O,14,FALSE),"N/A")</f>
        <v>N/A</v>
      </c>
      <c r="Y18" s="79" t="str">
        <f>IFERROR(VLOOKUP($B18,'LOD 400 - ADMN'!B:S,18,FALSE),"N/A")</f>
        <v>N/A</v>
      </c>
      <c r="Z18" s="79" t="str">
        <f>IFERROR(VLOOKUP($B18,'LOD 400 - ADMN'!B:V,21,FALSE),"N/A")</f>
        <v>N/A</v>
      </c>
      <c r="AA18" s="79" t="str">
        <f>IFERROR(VLOOKUP($B18,'LOD 400 - ADMN'!$B:Y,24,FALSE),"N/A")</f>
        <v>N/A</v>
      </c>
      <c r="AB18" s="80" t="str">
        <f>IFERROR(VLOOKUP($B18,'LOD 400 - ADMN'!$B:AB,27,FALSE),"N/A")</f>
        <v>N/A</v>
      </c>
      <c r="AC18" s="81" t="str">
        <f>IFERROR(VLOOKUP($B18,'LOD 400 - ADMN'!$B:AE,30,FALSE),"N/A")</f>
        <v>N/A</v>
      </c>
      <c r="AD18" s="81" t="str">
        <f>IFERROR(VLOOKUP($B18,'LOD 400 - ADMN'!$B:AH,33,FALSE),"N/A")</f>
        <v>N/A</v>
      </c>
      <c r="AE18" s="80" t="str">
        <f>IFERROR(VLOOKUP($B18,'LOD 400 - ADMN'!$B:AK,36,FALSE),"N/A")</f>
        <v>N/A</v>
      </c>
      <c r="AF18" s="82" t="str">
        <f>IFERROR(VLOOKUP($B18,'LOD 400 - ADMN'!$B:AN,39,FALSE),"N/A")</f>
        <v>N/A</v>
      </c>
      <c r="AG18" s="83" t="str">
        <f>IFERROR(VLOOKUP($B18,'LOD 400 - ADMN'!$B:AQ,42,FALSE),"N/A")</f>
        <v>N/A</v>
      </c>
      <c r="AH18" s="84" t="str">
        <f>IFERROR(VLOOKUP($B18,'LOD 400 - ADMN'!$B:AT,45,FALSE),"N/A")</f>
        <v>N/A</v>
      </c>
      <c r="AI18" s="85" t="str">
        <f>IFERROR(VLOOKUP($B18,'LOD 400 - ADMN'!$B:AW,48,FALSE),"N/A")</f>
        <v>N/A</v>
      </c>
      <c r="AJ18" s="85" t="str">
        <f>IFERROR(VLOOKUP($B18,'LOD 400 - ADMN'!$B:AZ,51,FALSE),"N/A")</f>
        <v>N/A</v>
      </c>
      <c r="AK18" s="84" t="str">
        <f>IFERROR(VLOOKUP($B18,'LOD 400 - ADMN'!$B:BC,54,FALSE),"N/A")</f>
        <v>N/A</v>
      </c>
      <c r="AL18" s="84" t="str">
        <f>IFERROR(VLOOKUP($B18,'LOD 400 - ADMN'!$B:BF,57,FALSE),"N/A")</f>
        <v>N/A</v>
      </c>
      <c r="AM18" s="84" t="str">
        <f>IFERROR(VLOOKUP($B18,'LOD 400 - ADMN'!$B:BI,60,FALSE),"N/A")</f>
        <v>N/A</v>
      </c>
      <c r="AN18" s="84" t="str">
        <f>IFERROR(VLOOKUP($B18,'LOD 400 - ADMN'!$B:BL,63,FALSE),"N/A")</f>
        <v>N/A</v>
      </c>
      <c r="AO18" s="84" t="str">
        <f>IFERROR(VLOOKUP($B18,'LOD 400 - ADMN'!$B:BO,66,FALSE),"N/A")</f>
        <v>N/A</v>
      </c>
      <c r="AP18" s="84" t="str">
        <f>IFERROR(VLOOKUP($B18,'LOD 400 - ADMN'!$B:BR,69,FALSE),"N/A")</f>
        <v>N/A</v>
      </c>
      <c r="AQ18" s="84" t="str">
        <f>IFERROR(VLOOKUP($B18,'LOD 400 - ADMN'!$B:BU,72,FALSE),"N/A")</f>
        <v>N/A</v>
      </c>
      <c r="AR18" s="84" t="str">
        <f>IFERROR(VLOOKUP($B18,'LOD 400 - ADMN'!$B:BX,75,FALSE),"N/A")</f>
        <v>N/A</v>
      </c>
      <c r="AS18" s="84" t="str">
        <f>IFERROR(VLOOKUP($B18,'LOD 400 - ADMN'!$B:CA,78,FALSE),"N/A")</f>
        <v>N/A</v>
      </c>
      <c r="AT18" s="84" t="str">
        <f>IFERROR(VLOOKUP($B18,'LOD 400 - ADMN'!$B:CD,81,FALSE),"N/A")</f>
        <v>N/A</v>
      </c>
      <c r="AU18" s="85" t="str">
        <f>IFERROR(VLOOKUP($B18,'LOD 400 - ADMN'!$B:CG,84,FALSE),"N/A")</f>
        <v>N/A</v>
      </c>
      <c r="AV18" s="84" t="str">
        <f>IFERROR(VLOOKUP($B18,'LOD 400 - ADMN'!$B:CJ,87,FALSE),"N/A")</f>
        <v>N/A</v>
      </c>
      <c r="AW18" s="85" t="str">
        <f>IFERROR(VLOOKUP($B18,'LOD 400 - ADMN'!$B:CM,90,FALSE),"N/A")</f>
        <v>N/A</v>
      </c>
      <c r="AX18" s="84" t="str">
        <f>IFERROR(VLOOKUP($B18,'LOD 400 - ADMN'!$B:CP,93,FALSE),"N/A")</f>
        <v>N/A</v>
      </c>
      <c r="AY18" s="84" t="str">
        <f>IFERROR(VLOOKUP($B18,'LOD 400 - ADMN'!$B:CS,96,FALSE),"N/A")</f>
        <v>N/A</v>
      </c>
      <c r="AZ18" s="84" t="str">
        <f>IFERROR(VLOOKUP($B18,'LOD 400 - ADMN'!$B:CV,99,FALSE),"N/A")</f>
        <v>N/A</v>
      </c>
      <c r="BA18" s="84" t="str">
        <f>IFERROR(VLOOKUP($B18,'LOD 400 - ADMN'!$B:CY,102,FALSE),"N/A")</f>
        <v>N/A</v>
      </c>
      <c r="BB18" s="84" t="str">
        <f>IFERROR(VLOOKUP($B18,'LOD 400 - ADMN'!$B:DB,105,FALSE),"N/A")</f>
        <v>N/A</v>
      </c>
      <c r="BC18" s="84" t="str">
        <f>IFERROR(VLOOKUP($B18,'LOD 400 - ADMN'!$B:DE,108,FALSE),"N/A")</f>
        <v>N/A</v>
      </c>
      <c r="BD18" s="84" t="str">
        <f>IFERROR(VLOOKUP($B18,'LOD 400 - ADMN'!$B:DH,111,FALSE),"N/A")</f>
        <v>N/A</v>
      </c>
      <c r="BE18" s="84" t="str">
        <f>IFERROR(VLOOKUP($B18,'LOD 400 - ADMN'!$B:DK,114,FALSE),"N/A")</f>
        <v>N/A</v>
      </c>
      <c r="BF18" s="84" t="str">
        <f>IFERROR(VLOOKUP($B18,'LOD 400 - ADMN'!$B:DN,117,FALSE),"N/A")</f>
        <v>N/A</v>
      </c>
      <c r="BG18" s="86" t="str">
        <f>IFERROR(__xludf.DUMMYFUNCTION("IFERROR(
  MAX(FILTER(Y18:BF18, ISNUMBER(Y18:BF18))),
  BF18
)"),"N/A")</f>
        <v>N/A</v>
      </c>
      <c r="BH18" s="79" t="str">
        <f>IFERROR(VLOOKUP($B18,'LOD 400 - COLO1'!B:S,18,FALSE),"N/A")</f>
        <v>N/A</v>
      </c>
      <c r="BI18" s="79" t="str">
        <f>IFERROR(VLOOKUP($B18,'LOD 400 - COLO1'!B:V,21,FALSE),"N/A")</f>
        <v>N/A</v>
      </c>
      <c r="BJ18" s="79" t="str">
        <f>IFERROR(VLOOKUP($B18,'LOD 400 - COLO1'!$B:Y,24,FALSE),"N/A")</f>
        <v>N/A</v>
      </c>
      <c r="BK18" s="87" t="str">
        <f>IFERROR(VLOOKUP($B18,'LOD 400 - COLO1'!$B:AB,27,FALSE),"N/A")</f>
        <v>N/A</v>
      </c>
      <c r="BL18" s="80" t="str">
        <f>IFERROR(VLOOKUP($B18,'LOD 400 - COLO1'!$B:AE,30,FALSE),"N/A")</f>
        <v>N/A</v>
      </c>
      <c r="BM18" s="81" t="str">
        <f>IFERROR(VLOOKUP($B18,'LOD 400 - COLO1'!$B:AH,33,FALSE),"N/A")</f>
        <v>N/A</v>
      </c>
      <c r="BN18" s="87" t="str">
        <f>IFERROR(VLOOKUP($B18,'LOD 400 - COLO1'!$B:AK,36,FALSE),"N/A")</f>
        <v>N/A</v>
      </c>
      <c r="BO18" s="83" t="str">
        <f>IFERROR(VLOOKUP($B18,'LOD 400 - COLO1'!$B:AN,39,FALSE),"N/A")</f>
        <v>N/A</v>
      </c>
      <c r="BP18" s="88" t="str">
        <f>IFERROR(VLOOKUP($B18,'LOD 400 - COLO1'!$B:AQ,42,FALSE),"N/A")</f>
        <v>N/A</v>
      </c>
      <c r="BQ18" s="84" t="str">
        <f>IFERROR(VLOOKUP($B18,'LOD 400 - COLO1'!$B:AT,45,FALSE),"N/A")</f>
        <v>N/A</v>
      </c>
      <c r="BR18" s="85" t="str">
        <f>IFERROR(VLOOKUP($B18,'LOD 400 - COLO1'!$B:AW,48,FALSE),"N/A")</f>
        <v>N/A</v>
      </c>
      <c r="BS18" s="84" t="str">
        <f>IFERROR(VLOOKUP($B18,'LOD 400 - COLO1'!$B:AZ,51,FALSE),"N/A")</f>
        <v>N/A</v>
      </c>
      <c r="BT18" s="84" t="str">
        <f>IFERROR(VLOOKUP($B18,'LOD 400 - COLO1'!$B:BC,54,FALSE),"N/A")</f>
        <v>N/A</v>
      </c>
      <c r="BU18" s="84" t="str">
        <f>IFERROR(VLOOKUP($B18,'LOD 400 - COLO1'!$B:BF,57,FALSE),"N/A")</f>
        <v>N/A</v>
      </c>
      <c r="BV18" s="84" t="str">
        <f>IFERROR(VLOOKUP($B18,'LOD 400 - COLO1'!$B:BI,60,FALSE),"N/A")</f>
        <v>N/A</v>
      </c>
      <c r="BW18" s="84" t="str">
        <f>IFERROR(VLOOKUP($B18,'LOD 400 - COLO1'!$B:BL,63,FALSE),"N/A")</f>
        <v>N/A</v>
      </c>
      <c r="BX18" s="84" t="str">
        <f>IFERROR(VLOOKUP($B18,'LOD 400 - COLO1'!$B:BO,66,FALSE),"N/A")</f>
        <v>N/A</v>
      </c>
      <c r="BY18" s="84" t="str">
        <f>IFERROR(VLOOKUP($B18,'LOD 400 - COLO1'!$B:BR,69,FALSE),"N/A")</f>
        <v>N/A</v>
      </c>
      <c r="BZ18" s="84" t="str">
        <f>IFERROR(VLOOKUP($B18,'LOD 400 - COLO1'!$B:BU,72,FALSE),"N/A")</f>
        <v>N/A</v>
      </c>
      <c r="CA18" s="84" t="str">
        <f>IFERROR(VLOOKUP($B18,'LOD 400 - COLO1'!$B:BX,75,FALSE),"N/A")</f>
        <v>N/A</v>
      </c>
      <c r="CB18" s="84" t="str">
        <f>IFERROR(VLOOKUP($B18,'LOD 400 - COLO1'!$B:CA,78,FALSE),"N/A")</f>
        <v>N/A</v>
      </c>
      <c r="CC18" s="84" t="str">
        <f>IFERROR(VLOOKUP($B18,'LOD 400 - COLO1'!$B:CD,81,FALSE),"N/A")</f>
        <v>N/A</v>
      </c>
      <c r="CD18" s="85" t="str">
        <f>IFERROR(VLOOKUP($B18,'LOD 400 - COLO1'!$B:CG,84,FALSE),"N/A")</f>
        <v>N/A</v>
      </c>
      <c r="CE18" s="84" t="str">
        <f>IFERROR(VLOOKUP($B18,'LOD 400 - COLO1'!$B:CJ,87,FALSE),"N/A")</f>
        <v>N/A</v>
      </c>
      <c r="CF18" s="85" t="str">
        <f>IFERROR(VLOOKUP($B18,'LOD 400 - COLO1'!$B:CM,90,FALSE),"N/A")</f>
        <v>N/A</v>
      </c>
      <c r="CG18" s="84" t="str">
        <f>IFERROR(VLOOKUP($B18,'LOD 400 - COLO1'!$B:CP,93,FALSE),"N/A")</f>
        <v>N/A</v>
      </c>
      <c r="CH18" s="84" t="str">
        <f>IFERROR(VLOOKUP($B18,'LOD 400 - COLO1'!$B:CS,96,FALSE),"N/A")</f>
        <v>N/A</v>
      </c>
      <c r="CI18" s="84" t="str">
        <f>IFERROR(VLOOKUP($B18,'LOD 400 - COLO1'!$B:CV,99,FALSE),"N/A")</f>
        <v>N/A</v>
      </c>
      <c r="CJ18" s="84" t="str">
        <f>IFERROR(VLOOKUP($B18,'LOD 400 - COLO1'!$B:CY,102,FALSE),"N/A")</f>
        <v>N/A</v>
      </c>
      <c r="CK18" s="84" t="str">
        <f>IFERROR(VLOOKUP($B18,'LOD 400 - COLO1'!$B:DB,105,FALSE),"N/A")</f>
        <v>N/A</v>
      </c>
      <c r="CL18" s="84" t="str">
        <f>IFERROR(VLOOKUP($B18,'LOD 400 - COLO1'!$B:DE,108,FALSE),"N/A")</f>
        <v>N/A</v>
      </c>
      <c r="CM18" s="84" t="str">
        <f>IFERROR(VLOOKUP($B18,'LOD 400 - COLO1'!$B:DH,111,FALSE),"N/A")</f>
        <v>N/A</v>
      </c>
      <c r="CN18" s="84" t="str">
        <f>IFERROR(VLOOKUP($B18,'LOD 400 - COLO1'!$B:DK,114,FALSE),"N/A")</f>
        <v>N/A</v>
      </c>
      <c r="CO18" s="84" t="str">
        <f>IFERROR(VLOOKUP($B18,'LOD 400 - COLO1'!$B:DN,117,FALSE),"N/A")</f>
        <v>N/A</v>
      </c>
      <c r="CP18" s="86" t="str">
        <f>IFERROR(__xludf.DUMMYFUNCTION("IFERROR(
  MAX(FILTER(BH18:CO18, ISNUMBER(BH18:CO18))),
  CO18
)"),"N/A")</f>
        <v>N/A</v>
      </c>
      <c r="CQ18" s="89" t="str">
        <f>IFERROR(VLOOKUP($B18,'LOD 400 - COLO2'!B:S,18,FALSE),"N/A")</f>
        <v>N/A</v>
      </c>
      <c r="CR18" s="79" t="str">
        <f>IFERROR(VLOOKUP($B18,'LOD 400 - COLO2'!B:V,21,FALSE),"N/A")</f>
        <v>N/A</v>
      </c>
      <c r="CS18" s="79" t="str">
        <f>IFERROR(VLOOKUP($B18,'LOD 400 - COLO2'!$B:Y,24,FALSE),"N/A")</f>
        <v>N/A</v>
      </c>
      <c r="CT18" s="80" t="str">
        <f>IFERROR(VLOOKUP($B18,'LOD 400 - COLO2'!$B:DQ,27,FALSE),"N/A")</f>
        <v>N/A</v>
      </c>
      <c r="CU18" s="90" t="str">
        <f>IFERROR(VLOOKUP($B18,'LOD 400 - COLO2'!$B:AE,30,FALSE),"N/A")</f>
        <v>N/A</v>
      </c>
      <c r="CV18" s="81" t="str">
        <f>IFERROR(VLOOKUP($B18,'LOD 400 - COLO2'!$B:AH,33,FALSE),"N/A")</f>
        <v>N/A</v>
      </c>
      <c r="CW18" s="90" t="str">
        <f>IFERROR(VLOOKUP($B18,'LOD 400 - COLO2'!$B:AK,36,FALSE),"N/A")</f>
        <v>N/A</v>
      </c>
      <c r="CX18" s="85" t="str">
        <f>IFERROR(VLOOKUP($B18,'LOD 400 - COLO2'!$B:AN,39,FALSE),"N/A")</f>
        <v>N/A</v>
      </c>
      <c r="CY18" s="88" t="str">
        <f>IFERROR(VLOOKUP($B18,'LOD 400 - COLO2'!$B:AQ,42,FALSE),"N/A")</f>
        <v>N/A</v>
      </c>
      <c r="CZ18" s="84" t="str">
        <f>IFERROR(VLOOKUP($B18,'LOD 400 - COLO2'!$B:AT,45,FALSE),"N/A")</f>
        <v>N/A</v>
      </c>
      <c r="DA18" s="85" t="str">
        <f>IFERROR(VLOOKUP($B18,'LOD 400 - COLO2'!$B:AW,48,FALSE),"N/A")</f>
        <v>N/A</v>
      </c>
      <c r="DB18" s="84" t="str">
        <f>IFERROR(VLOOKUP($B18,'LOD 400 - COLO2'!$B:AZ,51,FALSE),"N/A")</f>
        <v>N/A</v>
      </c>
      <c r="DC18" s="84" t="str">
        <f>IFERROR(VLOOKUP($B18,'LOD 400 - COLO2'!$B:BC,54,FALSE),"N/A")</f>
        <v>N/A</v>
      </c>
      <c r="DD18" s="84" t="str">
        <f>IFERROR(VLOOKUP($B18,'LOD 400 - COLO2'!$B:BF,57,FALSE),"N/A")</f>
        <v>N/A</v>
      </c>
      <c r="DE18" s="84" t="str">
        <f>IFERROR(VLOOKUP($B18,'LOD 400 - COLO2'!$B:BI,60,FALSE),"N/A")</f>
        <v>N/A</v>
      </c>
      <c r="DF18" s="84" t="str">
        <f>IFERROR(VLOOKUP($B18,'LOD 400 - COLO2'!$B:BL,63,FALSE),"N/A")</f>
        <v>N/A</v>
      </c>
      <c r="DG18" s="84" t="str">
        <f>IFERROR(VLOOKUP($B18,'LOD 400 - COLO2'!$B:BO,66,FALSE),"N/A")</f>
        <v>N/A</v>
      </c>
      <c r="DH18" s="84" t="str">
        <f>IFERROR(VLOOKUP($B18,'LOD 400 - COLO2'!$B:BR,69,FALSE),"N/A")</f>
        <v>N/A</v>
      </c>
      <c r="DI18" s="84" t="str">
        <f>IFERROR(VLOOKUP($B18,'LOD 400 - COLO2'!$B:BU,72,FALSE),"N/A")</f>
        <v>N/A</v>
      </c>
      <c r="DJ18" s="84" t="str">
        <f>IFERROR(VLOOKUP($B18,'LOD 400 - COLO2'!$B:BX,75,FALSE),"N/A")</f>
        <v>N/A</v>
      </c>
      <c r="DK18" s="84" t="str">
        <f>IFERROR(VLOOKUP($B18,'LOD 400 - COLO2'!$B:CA,78,FALSE),"N/A")</f>
        <v>N/A</v>
      </c>
      <c r="DL18" s="84" t="str">
        <f>IFERROR(VLOOKUP($B18,'LOD 400 - COLO2'!$B:CD,81,FALSE),"N/A")</f>
        <v>N/A</v>
      </c>
      <c r="DM18" s="85" t="str">
        <f>IFERROR(VLOOKUP($B18,'LOD 400 - COLO2'!$B:CG,84,FALSE),"N/A")</f>
        <v>N/A</v>
      </c>
      <c r="DN18" s="84" t="str">
        <f>IFERROR(VLOOKUP($B18,'LOD 400 - COLO2'!$B:CJ,87,FALSE),"N/A")</f>
        <v>N/A</v>
      </c>
      <c r="DO18" s="85" t="str">
        <f>IFERROR(VLOOKUP($B18,'LOD 400 - COLO2'!$B:CM,90,FALSE),"N/A")</f>
        <v>N/A</v>
      </c>
      <c r="DP18" s="84" t="str">
        <f>IFERROR(VLOOKUP($B18,'LOD 400 - COLO2'!$B:CP,93,FALSE),"N/A")</f>
        <v>N/A</v>
      </c>
      <c r="DQ18" s="84" t="str">
        <f>IFERROR(VLOOKUP($B18,'LOD 400 - COLO2'!$B:CS,96,FALSE),"N/A")</f>
        <v>N/A</v>
      </c>
      <c r="DR18" s="84" t="str">
        <f>IFERROR(VLOOKUP($B18,'LOD 400 - COLO2'!$B:CV,99,FALSE),"N/A")</f>
        <v>N/A</v>
      </c>
      <c r="DS18" s="84" t="str">
        <f>IFERROR(VLOOKUP($B18,'LOD 400 - COLO2'!$B:CY,102,FALSE),"N/A")</f>
        <v>N/A</v>
      </c>
      <c r="DT18" s="84" t="str">
        <f>IFERROR(VLOOKUP($B18,'LOD 400 - COLO2'!$B:DB,105,FALSE),"N/A")</f>
        <v>N/A</v>
      </c>
      <c r="DU18" s="84" t="str">
        <f>IFERROR(VLOOKUP($B18,'LOD 400 - COLO2'!$B:DE,108,FALSE),"N/A")</f>
        <v>N/A</v>
      </c>
      <c r="DV18" s="84" t="str">
        <f>IFERROR(VLOOKUP($B18,'LOD 400 - COLO2'!$B:DH,111,FALSE),"N/A")</f>
        <v>N/A</v>
      </c>
      <c r="DW18" s="84" t="str">
        <f>IFERROR(VLOOKUP($B18,'LOD 400 - COLO2'!$B:DK,114,FALSE),"N/A")</f>
        <v>N/A</v>
      </c>
      <c r="DX18" s="84" t="str">
        <f>IFERROR(VLOOKUP($B18,'LOD 400 - COLO2'!$B:DN,117,FALSE),"N/A")</f>
        <v>N/A</v>
      </c>
      <c r="DY18" s="91" t="str">
        <f>IFERROR(__xludf.DUMMYFUNCTION("IFERROR(
  MAX(FILTER(CQ18:DW18, ISNUMBER(CQ18:DW18))),
  DW18
)"),"N/A")</f>
        <v>N/A</v>
      </c>
      <c r="DZ18" s="92" t="str">
        <f>IFERROR(VLOOKUP($B18,'LOD 400 - COLO3'!B:S,18,FALSE),"N/A")</f>
        <v>N/A</v>
      </c>
      <c r="EA18" s="84" t="str">
        <f>IFERROR(VLOOKUP($B18,'LOD 400 - COLO3'!B:V,21,FALSE),"N/A")</f>
        <v>N/A</v>
      </c>
      <c r="EB18" s="84" t="str">
        <f>IFERROR(VLOOKUP($B18,'LOD 400 - COLO3'!B:Y,24,FALSE),"N/A")</f>
        <v>N/A</v>
      </c>
      <c r="EC18" s="84" t="str">
        <f>IFERROR(VLOOKUP($B18,'LOD 400 - COLO3'!B:AB,27,FALSE),"N/A")</f>
        <v>N/A</v>
      </c>
      <c r="ED18" s="85" t="str">
        <f>IFERROR(VLOOKUP($B18,'LOD 400 - COLO3'!B:AE,30,FALSE),"N/A")</f>
        <v>N/A</v>
      </c>
      <c r="EE18" s="84" t="str">
        <f>IFERROR(VLOOKUP($B18,'LOD 400 - COLO3'!B:AH,33,FALSE),"N/A")</f>
        <v>N/A</v>
      </c>
      <c r="EF18" s="84" t="str">
        <f>IFERROR(VLOOKUP($B18,'LOD 400 - COLO3'!B:AK,36,FALSE),"N/A")</f>
        <v>N/A</v>
      </c>
      <c r="EG18" s="109" t="str">
        <f>IFERROR(VLOOKUP($B18,'LOD 400 - COLO3'!B:AN,39,FALSE),"N/A")</f>
        <v>N/A</v>
      </c>
      <c r="EH18" s="94" t="str">
        <f>IFERROR(VLOOKUP($B18,'LOD 400 - COLO3'!B:AQ,42,FALSE),"N/A")</f>
        <v>N/A</v>
      </c>
      <c r="EI18" s="94" t="str">
        <f>IFERROR(VLOOKUP($B18,'LOD 400 - COLO3'!B:AT,45,FALSE),"N/A")</f>
        <v>N/A</v>
      </c>
      <c r="EJ18" s="94" t="str">
        <f>IFERROR(VLOOKUP($B18,'LOD 400 - COLO3'!B:AW,48,FALSE),"N/A")</f>
        <v>N/A</v>
      </c>
      <c r="EK18" s="94" t="str">
        <f>IFERROR(VLOOKUP($B18,'LOD 400 - COLO3'!B:AZ,51,FALSE),"N/A")</f>
        <v>N/A</v>
      </c>
      <c r="EL18" s="94" t="str">
        <f>IFERROR(VLOOKUP($B18,'LOD 400 - COLO3'!B:BC,54,FALSE),"N/A")</f>
        <v>N/A</v>
      </c>
      <c r="EM18" s="94" t="str">
        <f>IFERROR(VLOOKUP($B18,'LOD 400 - COLO3'!B:BF,57,FALSE),"N/A")</f>
        <v>N/A</v>
      </c>
      <c r="EN18" s="94" t="str">
        <f>IFERROR(VLOOKUP($B18,'LOD 400 - COLO3'!B:BI,60,FALSE),"N/A")</f>
        <v>N/A</v>
      </c>
      <c r="EO18" s="94" t="str">
        <f>IFERROR(VLOOKUP($B18,'LOD 400 - COLO3'!B:BL,63,FALSE),"N/A")</f>
        <v>N/A</v>
      </c>
      <c r="EP18" s="86" t="str">
        <f>IFERROR(__xludf.DUMMYFUNCTION("IFERROR(
  MAX(FILTER(DZ18:EO18, ISNUMBER(DZ18:EO18))),
  EO18
)"),"N/A")</f>
        <v>N/A</v>
      </c>
      <c r="EQ18" s="95" t="str">
        <f>IFERROR(VLOOKUP($B18,'LOD 400 - COLO4'!B:S,18,FALSE),"N/A")</f>
        <v>N/A</v>
      </c>
      <c r="ER18" s="96" t="str">
        <f>IFERROR(__xludf.DUMMYFUNCTION("IFERROR(
  MAX(FILTER(EQ18, ISNUMBER(EQ18))),
  EQ18
)"),"N/A")</f>
        <v>N/A</v>
      </c>
      <c r="ES18" s="79" t="str">
        <f>IFERROR(VLOOKUP($B18,'LOD 400 - SITE'!B:S,18,FALSE),"N/A")</f>
        <v>OUTDATED</v>
      </c>
      <c r="ET18" s="80" t="str">
        <f>IFERROR(VLOOKUP($B18,'LOD 400 - SITE'!B:V,21,FALSE),"N/A")</f>
        <v>OUTDATED</v>
      </c>
      <c r="EU18" s="97" t="str">
        <f>IFERROR(VLOOKUP($B18,'LOD 400 - SITE'!$B:Y,24,FALSE),"N/A")</f>
        <v>OUTDATED</v>
      </c>
      <c r="EV18" s="80" t="str">
        <f>IFERROR(VLOOKUP($B18,'LOD 400 - SITE'!$B:AB,27,FALSE),"N/A")</f>
        <v>OUTDATED</v>
      </c>
      <c r="EW18" s="81" t="str">
        <f>IFERROR(VLOOKUP($B18,'LOD 400 - SITE'!$B:AE,30,FALSE),"N/A")</f>
        <v>OUTDATED</v>
      </c>
      <c r="EX18" s="87" t="str">
        <f>IFERROR(VLOOKUP($B18,'LOD 400 - SITE'!$B:AH,33,FALSE),"N/A")</f>
        <v>OUTDATED</v>
      </c>
      <c r="EY18" s="87" t="str">
        <f>IFERROR(VLOOKUP($B18,'LOD 400 - SITE'!$B:AK,36,FALSE),"N/A")</f>
        <v>OUTDATED</v>
      </c>
      <c r="EZ18" s="80" t="str">
        <f>IFERROR(VLOOKUP($B18,'LOD 400 - SITE'!$B:AN,39,FALSE),"N/A")</f>
        <v>IMPROPER</v>
      </c>
      <c r="FA18" s="82">
        <f>IFERROR(VLOOKUP($B18,'LOD 400 - SITE'!$B:AQ,42,FALSE),"N/A")</f>
        <v>0.07</v>
      </c>
      <c r="FB18" s="88" t="str">
        <f>IFERROR(VLOOKUP($B18,'LOD 400 - SITE'!$B:AT,45,FALSE),"N/A")</f>
        <v>OUTDATED</v>
      </c>
      <c r="FC18" s="84" t="str">
        <f>IFERROR(VLOOKUP($B18,'LOD 400 - SITE'!$B:AW,48,FALSE),"N/A")</f>
        <v>OUTDATED</v>
      </c>
      <c r="FD18" s="84" t="str">
        <f>IFERROR(VLOOKUP($B18,'LOD 400 - SITE'!$B:AZ,51,FALSE),"N/A")</f>
        <v>OUTDATED</v>
      </c>
      <c r="FE18" s="84" t="str">
        <f>IFERROR(VLOOKUP($B18,'LOD 400 - SITE'!$B:BC,54,FALSE),"N/A")</f>
        <v>OUTDATED</v>
      </c>
      <c r="FF18" s="84" t="str">
        <f>IFERROR(VLOOKUP($B18,'LOD 400 - SITE'!$B:BF,57,FALSE),"N/A")</f>
        <v>OUTDATED</v>
      </c>
      <c r="FG18" s="84" t="str">
        <f>IFERROR(VLOOKUP($B18,'LOD 400 - SITE'!$B:BI,60,FALSE),"N/A")</f>
        <v>OUTDATED</v>
      </c>
      <c r="FH18" s="84" t="str">
        <f>IFERROR(VLOOKUP($B18,'LOD 400 - SITE'!$B:BL,63,FALSE),"N/A")</f>
        <v>OUTDATED</v>
      </c>
      <c r="FI18" s="84" t="str">
        <f>IFERROR(VLOOKUP($B18,'LOD 400 - SITE'!$B:BO,66,FALSE),"N/A")</f>
        <v>OUTDATED</v>
      </c>
      <c r="FJ18" s="84" t="str">
        <f>IFERROR(VLOOKUP($B18,'LOD 400 - SITE'!$B:BR,69,FALSE),"N/A")</f>
        <v>OUTDATED</v>
      </c>
      <c r="FK18" s="84" t="str">
        <f>IFERROR(VLOOKUP($B18,'LOD 400 - SITE'!$B:BU,72,FALSE),"N/A")</f>
        <v>OUTDATED</v>
      </c>
      <c r="FL18" s="84" t="str">
        <f>IFERROR(VLOOKUP($B18,'LOD 400 - SITE'!$B:BX,75,FALSE),"N/A")</f>
        <v>OUTDATED</v>
      </c>
      <c r="FM18" s="84" t="str">
        <f>IFERROR(VLOOKUP($B18,'LOD 400 - SITE'!$B:CA,78,FALSE),"N/A")</f>
        <v>OUTDATED</v>
      </c>
      <c r="FN18" s="85" t="str">
        <f>IFERROR(VLOOKUP($B18,'LOD 400 - SITE'!$B:CD,81,FALSE),"N/A")</f>
        <v>OUTDATED</v>
      </c>
      <c r="FO18" s="84" t="str">
        <f>IFERROR(VLOOKUP($B18,'LOD 400 - SITE'!$B:CG,84,FALSE),"N/A")</f>
        <v>OUTDATED</v>
      </c>
      <c r="FP18" s="85" t="str">
        <f>IFERROR(VLOOKUP($B18,'LOD 400 - SITE'!$B:CJ,87,FALSE),"N/A")</f>
        <v>OUTDATED</v>
      </c>
      <c r="FQ18" s="84" t="str">
        <f>IFERROR(VLOOKUP($B18,'LOD 400 - SITE'!$B:CM,90,FALSE),"N/A")</f>
        <v>NEXT ROUND </v>
      </c>
      <c r="FR18" s="84" t="str">
        <f>IFERROR(VLOOKUP($B18,'LOD 400 - SITE'!$B:CP,93,FALSE),"N/A")</f>
        <v>IMPROPER</v>
      </c>
      <c r="FS18" s="84" t="str">
        <f>IFERROR(VLOOKUP($B18,'LOD 400 - SITE'!$B:CS,96,FALSE),"N/A")</f>
        <v>OUTDATED</v>
      </c>
      <c r="FT18" s="84" t="str">
        <f>IFERROR(VLOOKUP($B18,'LOD 400 - SITE'!$B:CV,99,FALSE),"N/A")</f>
        <v>OUTDATED</v>
      </c>
      <c r="FU18" s="84" t="str">
        <f>IFERROR(VLOOKUP($B18,'LOD 400 - SITE'!$B:CY,102,FALSE),"N/A")</f>
        <v>OUTDATED</v>
      </c>
      <c r="FV18" s="84" t="str">
        <f>IFERROR(VLOOKUP($B18,'LOD 400 - SITE'!$B:DB,105,FALSE),"N/A")</f>
        <v>OUTDATED</v>
      </c>
      <c r="FW18" s="84" t="str">
        <f>IFERROR(VLOOKUP($B18,'LOD 400 - SITE'!$B:DE,108,FALSE),"N/A")</f>
        <v>OUTDATED</v>
      </c>
      <c r="FX18" s="84" t="str">
        <f>IFERROR(VLOOKUP($B18,'LOD 400 - SITE'!$B:DH,111,FALSE),"N/A")</f>
        <v>OUTDATED</v>
      </c>
      <c r="FY18" s="84" t="str">
        <f>IFERROR(VLOOKUP($B18,'LOD 400 - SITE'!$B:DK,114,FALSE),"N/A")</f>
        <v>OUTDATED</v>
      </c>
      <c r="FZ18" s="96">
        <f>IFERROR(__xludf.DUMMYFUNCTION("IFERROR(
  MAX(FILTER(ES18:FY18, ISNUMBER(ES18:FY18))),
  FY18
)"),0.07)</f>
        <v>0.07</v>
      </c>
      <c r="GA18" s="80" t="str">
        <f>IFERROR(VLOOKUP($B18,'LOD 400 - UTLS'!B:S,18,FALSE),"N/A")</f>
        <v>N/A</v>
      </c>
      <c r="GB18" s="98" t="str">
        <f>IFERROR(VLOOKUP($B18,'LOD 400 - UTLS'!B:V,21,FALSE),"N/A")</f>
        <v>N/A</v>
      </c>
      <c r="GC18" s="81" t="str">
        <f>IFERROR(VLOOKUP($B18,'LOD 400 - UTLS'!B:Y,24,FALSE),"N/A")</f>
        <v>N/A</v>
      </c>
      <c r="GD18" s="87" t="str">
        <f>IFERROR(VLOOKUP($B18,'LOD 400 - UTLS'!$B:AB,27,FALSE),"N/A")</f>
        <v>N/A</v>
      </c>
      <c r="GE18" s="80" t="str">
        <f>IFERROR(VLOOKUP($B18,'LOD 400 - UTLS'!$B:AE,30,FALSE),"N/A")</f>
        <v>N/A</v>
      </c>
      <c r="GF18" s="82" t="str">
        <f>IFERROR(VLOOKUP($B18,'LOD 400 - UTLS'!$B:AH,33,FALSE),"N/A")</f>
        <v>N/A</v>
      </c>
      <c r="GG18" s="88" t="str">
        <f>IFERROR(VLOOKUP($B18,'LOD 400 - UTLS'!$B:AK,36,FALSE),"N/A")</f>
        <v>N/A</v>
      </c>
      <c r="GH18" s="84" t="str">
        <f>IFERROR(VLOOKUP($B18,'LOD 400 - UTLS'!$B:AN,39,FALSE),"N/A")</f>
        <v>N/A</v>
      </c>
      <c r="GI18" s="84" t="str">
        <f>IFERROR(VLOOKUP($B18,'LOD 400 - UTLS'!$B:AQ,42,FALSE),"N/A")</f>
        <v>N/A</v>
      </c>
      <c r="GJ18" s="84" t="str">
        <f>IFERROR(VLOOKUP($B18,'LOD 400 - UTLS'!$B:AT,45,FALSE),"N/A")</f>
        <v>N/A</v>
      </c>
      <c r="GK18" s="84" t="str">
        <f>IFERROR(VLOOKUP($B18,'LOD 400 - UTLS'!$B:AW,48,FALSE),"N/A")</f>
        <v>N/A</v>
      </c>
      <c r="GL18" s="84" t="str">
        <f>IFERROR(VLOOKUP($B18,'LOD 400 - UTLS'!$B:AZ,51,FALSE),"N/A")</f>
        <v>N/A</v>
      </c>
      <c r="GM18" s="84" t="str">
        <f>IFERROR(VLOOKUP($B18,'LOD 400 - UTLS'!$B:BC,54,FALSE),"N/A")</f>
        <v>N/A</v>
      </c>
      <c r="GN18" s="84" t="str">
        <f>IFERROR(VLOOKUP($B18,'LOD 400 - UTLS'!$B:BF,57,FALSE),"N/A")</f>
        <v>N/A</v>
      </c>
      <c r="GO18" s="84" t="str">
        <f>IFERROR(VLOOKUP($B18,'LOD 400 - UTLS'!$B:BI,60,FALSE),"N/A")</f>
        <v>N/A</v>
      </c>
      <c r="GP18" s="84" t="str">
        <f>IFERROR(VLOOKUP($B18,'LOD 400 - UTLS'!$B:BL,63,FALSE),"N/A")</f>
        <v>N/A</v>
      </c>
      <c r="GQ18" s="84" t="str">
        <f>IFERROR(VLOOKUP($B18,'LOD 400 - UTLS'!$B:BO,66,FALSE),"N/A")</f>
        <v>N/A</v>
      </c>
      <c r="GR18" s="84" t="str">
        <f>IFERROR(VLOOKUP($B18,'LOD 400 - UTLS'!$B:BR,69,FALSE),"N/A")</f>
        <v>N/A</v>
      </c>
      <c r="GS18" s="85" t="str">
        <f>IFERROR(VLOOKUP($B18,'LOD 400 - UTLS'!$B:BU,72,FALSE),"N/A")</f>
        <v>N/A</v>
      </c>
      <c r="GT18" s="84" t="str">
        <f>IFERROR(VLOOKUP($B18,'LOD 400 - UTLS'!$B:BX,75,FALSE),"N/A")</f>
        <v>N/A</v>
      </c>
      <c r="GU18" s="85" t="str">
        <f>IFERROR(VLOOKUP($B18,'LOD 400 - UTLS'!$B:CA,78,FALSE),"N/A")</f>
        <v>N/A</v>
      </c>
      <c r="GV18" s="84" t="str">
        <f>IFERROR(VLOOKUP($B18,'LOD 400 - UTLS'!$B:CD,81,FALSE),"N/A")</f>
        <v>N/A</v>
      </c>
      <c r="GW18" s="84" t="str">
        <f>IFERROR(VLOOKUP($B18,'LOD 400 - UTLS'!$B:CG,84,FALSE),"N/A")</f>
        <v>N/A</v>
      </c>
      <c r="GX18" s="84" t="str">
        <f>IFERROR(VLOOKUP($B18,'LOD 400 - UTLS'!$B:CJ,87,FALSE),"N/A")</f>
        <v>N/A</v>
      </c>
      <c r="GY18" s="84" t="str">
        <f>IFERROR(VLOOKUP($B18,'LOD 400 - UTLS'!$B:CM,90,FALSE),"N/A")</f>
        <v>N/A</v>
      </c>
      <c r="GZ18" s="84" t="str">
        <f>IFERROR(VLOOKUP($B18,'LOD 400 - UTLS'!$B:CP,93,FALSE),"N/A")</f>
        <v>N/A</v>
      </c>
      <c r="HA18" s="84" t="str">
        <f>IFERROR(VLOOKUP($B18,'LOD 400 - UTLS'!$B:CS,96,FALSE),"N/A")</f>
        <v>N/A</v>
      </c>
      <c r="HB18" s="84" t="str">
        <f>IFERROR(VLOOKUP($B18,'LOD 400 - UTLS'!$B:CV,99,FALSE),"N/A")</f>
        <v>N/A</v>
      </c>
      <c r="HC18" s="84" t="str">
        <f>IFERROR(VLOOKUP($B18,'LOD 400 - UTLS'!$B:CY,102,FALSE),"N/A")</f>
        <v>N/A</v>
      </c>
      <c r="HD18" s="84" t="str">
        <f>IFERROR(VLOOKUP($B18,'LOD 400 - UTLS'!$B:DB,105,FALSE),"N/A")</f>
        <v>N/A</v>
      </c>
      <c r="HE18" s="96" t="str">
        <f>IFERROR(__xludf.DUMMYFUNCTION("IFERROR(
  MAX(FILTER(GA18:HD18, ISNUMBER(GA18:HD18))),
  HD18
)"),"N/A")</f>
        <v>N/A</v>
      </c>
      <c r="HF18" s="99"/>
      <c r="HG18" s="99"/>
      <c r="HH18" s="99"/>
      <c r="HI18" s="99"/>
      <c r="HJ18" s="99"/>
      <c r="HK18" s="99"/>
    </row>
    <row r="19" ht="15.0" customHeight="1" outlineLevel="1">
      <c r="A19" s="53">
        <v>22.0</v>
      </c>
      <c r="B19" s="100" t="s">
        <v>118</v>
      </c>
      <c r="C19" s="100" t="s">
        <v>119</v>
      </c>
      <c r="D19" s="64" t="str">
        <f t="shared" si="1"/>
        <v>DATA</v>
      </c>
      <c r="E19" s="101" t="s">
        <v>120</v>
      </c>
      <c r="F19" s="102">
        <v>1110.0</v>
      </c>
      <c r="G19" s="103" t="s">
        <v>121</v>
      </c>
      <c r="H19" s="104">
        <v>1128.0</v>
      </c>
      <c r="I19" s="68" t="str">
        <f>IFERROR(VLOOKUP($C16:C108,'R22 RELATÓRIO ACC'!B:F,5,FALSE),"NOT PUBLISHED")</f>
        <v>V25</v>
      </c>
      <c r="J19" s="69" t="str">
        <f>IFERROR(VLOOKUP($C16:C108,'R22 RELATÓRIO ACC'!B:P,15,FALSE),"NOT PUBLISHED")</f>
        <v>06/05/2026</v>
      </c>
      <c r="K19" s="70" t="str">
        <f>IFERROR(VLOOKUP($B16:B108,'RELATÓRIO ACC'!B:F,5,FALSE),"NOT PUBLISHED")</f>
        <v>V3</v>
      </c>
      <c r="L19" s="71" t="str">
        <f>IFERROR(VLOOKUP($B16:B108,'RELATÓRIO ACC'!B:P,15,FALSE),"NOT PUBLISHED")</f>
        <v>07/07/2026</v>
      </c>
      <c r="M19" s="72" t="str">
        <f>IF(OR($D19="UTLS",$D19="GUAR",$D19="STIR",$D19="PUMP",$D19="SITE"),
   VLOOKUP($B19,'LOD 400 - SITE'!B:M,12,FALSE),
   VLOOKUP($B19,'LOD 400 - ADMN'!B:M,12,FALSE)
)</f>
        <v>V22</v>
      </c>
      <c r="N19" s="105">
        <f>IF(OR($D19="UTLS",$D19="GUAR",$D19="STIR",$D19="PUMP",$D19="SITE"),
   VLOOKUP($B19,'LOD 400 - SITE'!B:N,13,FALSE),
   VLOOKUP($B19,'LOD 400 - ADMN'!B:N,13,FALSE)
)</f>
        <v>46100</v>
      </c>
      <c r="O19" s="106" t="str">
        <f>IF(OR($D19="UTLS",$D19="GUAR",$D19="STIR",$D19="PUMP",$D19="SITE"),
   VLOOKUP($B19,'LOD 400 - SITE'!B:O,14,FALSE),
   VLOOKUP($B19,'LOD 400 - ADMN'!B:O,14,FALSE)
)</f>
        <v>R22</v>
      </c>
      <c r="P19" s="107" t="str">
        <f>IF(OR($D19="C345",$D19="C12A",$D19="DATA"),
   VLOOKUP($B19,'LOD 400 - COLO3'!B:M,12,FALSE),"N/A")</f>
        <v>V23</v>
      </c>
      <c r="Q19" s="108">
        <f>IF(OR($D19="C345",$D19="C12A",$D19="DATA"),
   VLOOKUP($B19,'LOD 400 - COLO3'!B:N,13,FALSE),"N/A")</f>
        <v>46108</v>
      </c>
      <c r="R19" s="75" t="str">
        <f>IF(OR($D19="C345",$D19="C12A",$D19="DATA"),
   VLOOKUP($B19,'LOD 400 - COLO3'!B:O,14,FALSE),"N/A")</f>
        <v>R22</v>
      </c>
      <c r="S19" s="76" t="str">
        <f>IF(OR($D19="C345",$D19="C12A",$D19="DATA"),
   VLOOKUP($B19,'LOD 400 - COLO4'!B:N,12,FALSE),"N/A")</f>
        <v>N/A</v>
      </c>
      <c r="T19" s="76" t="str">
        <f>IF(OR($D19="C345",$D19="C12A",$D19="DATA"),
   VLOOKUP($B19,'LOD 400 - COLO4'!B:N,13,FALSE),"N/A")</f>
        <v>N/A</v>
      </c>
      <c r="U19" s="76" t="str">
        <f>IF(OR($D19="C345",$D19="C12A",$D19="DATA"),
   VLOOKUP($B19,'LOD 400 - COLO4'!B:N,13,FALSE),"N/A")</f>
        <v>N/A</v>
      </c>
      <c r="V19" s="77" t="str">
        <f>IF(OR($D19="UTLS",$D19="GUAR",$D19="STIR",$D19="PUMP",$D19="SITE"),
   VLOOKUP($B19,'LOD 400 - UTLS'!B:M,12,FALSE),"N/A")</f>
        <v>N/A</v>
      </c>
      <c r="W19" s="78" t="str">
        <f>IF(OR($D19="UTLS",$D19="GUAR",$D19="STIR",$D19="PUMP",$D19="SITE"),
   VLOOKUP($B19,'LOD 400 - UTLS'!B:N,13,FALSE),"N/A")</f>
        <v>N/A</v>
      </c>
      <c r="X19" s="108" t="str">
        <f>IF(OR($D19="UTLS",$D19="GUAR",$D19="STIR",$D19="PUMP",$D19="SITE"),
   VLOOKUP($B19,'LOD 400 - UTLS'!B:O,14,FALSE),"N/A")</f>
        <v>N/A</v>
      </c>
      <c r="Y19" s="79" t="str">
        <f>IFERROR(VLOOKUP($B19,'LOD 400 - ADMN'!B:S,18,FALSE),"N/A")</f>
        <v>OUTDATED</v>
      </c>
      <c r="Z19" s="79" t="str">
        <f>IFERROR(VLOOKUP($B19,'LOD 400 - ADMN'!B:V,21,FALSE),"N/A")</f>
        <v>OUTDATED</v>
      </c>
      <c r="AA19" s="79" t="str">
        <f>IFERROR(VLOOKUP($B19,'LOD 400 - ADMN'!$B:Y,24,FALSE),"N/A")</f>
        <v>OUTDATED</v>
      </c>
      <c r="AB19" s="80">
        <f>IFERROR(VLOOKUP($B19,'LOD 400 - ADMN'!$B:AB,27,FALSE),"N/A")</f>
        <v>0.5</v>
      </c>
      <c r="AC19" s="81" t="str">
        <f>IFERROR(VLOOKUP($B19,'LOD 400 - ADMN'!$B:AE,30,FALSE),"N/A")</f>
        <v>NEXT ROUND</v>
      </c>
      <c r="AD19" s="81">
        <f>IFERROR(VLOOKUP($B19,'LOD 400 - ADMN'!$B:AH,33,FALSE),"N/A")</f>
        <v>0.83</v>
      </c>
      <c r="AE19" s="80" t="str">
        <f>IFERROR(VLOOKUP($B19,'LOD 400 - ADMN'!$B:AK,36,FALSE),"N/A")</f>
        <v>OUTDATED</v>
      </c>
      <c r="AF19" s="82" t="str">
        <f>IFERROR(VLOOKUP($B19,'LOD 400 - ADMN'!$B:AN,39,FALSE),"N/A")</f>
        <v>NEXT ROUND</v>
      </c>
      <c r="AG19" s="83" t="str">
        <f>IFERROR(VLOOKUP($B19,'LOD 400 - ADMN'!$B:AQ,42,FALSE),"N/A")</f>
        <v>IMPROPER</v>
      </c>
      <c r="AH19" s="84">
        <f>IFERROR(VLOOKUP($B19,'LOD 400 - ADMN'!$B:AT,45,FALSE),"N/A")</f>
        <v>0.88</v>
      </c>
      <c r="AI19" s="85" t="str">
        <f>IFERROR(VLOOKUP($B19,'LOD 400 - ADMN'!$B:AW,48,FALSE),"N/A")</f>
        <v>IMPROPER</v>
      </c>
      <c r="AJ19" s="85" t="str">
        <f>IFERROR(VLOOKUP($B19,'LOD 400 - ADMN'!$B:AZ,51,FALSE),"N/A")</f>
        <v>IMPROPER</v>
      </c>
      <c r="AK19" s="84" t="str">
        <f>IFERROR(VLOOKUP($B19,'LOD 400 - ADMN'!$B:BC,54,FALSE),"N/A")</f>
        <v>IMPROPER</v>
      </c>
      <c r="AL19" s="84" t="str">
        <f>IFERROR(VLOOKUP($B19,'LOD 400 - ADMN'!$B:BF,57,FALSE),"N/A")</f>
        <v>OUTDATED</v>
      </c>
      <c r="AM19" s="84" t="str">
        <f>IFERROR(VLOOKUP($B19,'LOD 400 - ADMN'!$B:BI,60,FALSE),"N/A")</f>
        <v>OUTDATED</v>
      </c>
      <c r="AN19" s="84">
        <f>IFERROR(VLOOKUP($B19,'LOD 400 - ADMN'!$B:BL,63,FALSE),"N/A")</f>
        <v>0.88</v>
      </c>
      <c r="AO19" s="84" t="str">
        <f>IFERROR(VLOOKUP($B19,'LOD 400 - ADMN'!$B:BO,66,FALSE),"N/A")</f>
        <v>NEXT ROUND</v>
      </c>
      <c r="AP19" s="84">
        <f>IFERROR(VLOOKUP($B19,'LOD 400 - ADMN'!$B:BR,69,FALSE),"N/A")</f>
        <v>1</v>
      </c>
      <c r="AQ19" s="84">
        <f>IFERROR(VLOOKUP($B19,'LOD 400 - ADMN'!$B:BU,72,FALSE),"N/A")</f>
        <v>1</v>
      </c>
      <c r="AR19" s="84">
        <f>IFERROR(VLOOKUP($B19,'LOD 400 - ADMN'!$B:BX,75,FALSE),"N/A")</f>
        <v>1</v>
      </c>
      <c r="AS19" s="84">
        <f>IFERROR(VLOOKUP($B19,'LOD 400 - ADMN'!$B:CA,78,FALSE),"N/A")</f>
        <v>1</v>
      </c>
      <c r="AT19" s="84">
        <f>IFERROR(VLOOKUP($B19,'LOD 400 - ADMN'!$B:CD,81,FALSE),"N/A")</f>
        <v>1</v>
      </c>
      <c r="AU19" s="85">
        <f>IFERROR(VLOOKUP($B19,'LOD 400 - ADMN'!$B:CG,84,FALSE),"N/A")</f>
        <v>1</v>
      </c>
      <c r="AV19" s="84">
        <f>IFERROR(VLOOKUP($B19,'LOD 400 - ADMN'!$B:CJ,87,FALSE),"N/A")</f>
        <v>1</v>
      </c>
      <c r="AW19" s="85">
        <f>IFERROR(VLOOKUP($B19,'LOD 400 - ADMN'!$B:CM,90,FALSE),"N/A")</f>
        <v>1</v>
      </c>
      <c r="AX19" s="84">
        <f>IFERROR(VLOOKUP($B19,'LOD 400 - ADMN'!$B:CP,93,FALSE),"N/A")</f>
        <v>1</v>
      </c>
      <c r="AY19" s="84">
        <f>IFERROR(VLOOKUP($B19,'LOD 400 - ADMN'!$B:CS,96,FALSE),"N/A")</f>
        <v>1</v>
      </c>
      <c r="AZ19" s="84">
        <f>IFERROR(VLOOKUP($B19,'LOD 400 - ADMN'!$B:CV,99,FALSE),"N/A")</f>
        <v>1</v>
      </c>
      <c r="BA19" s="84">
        <f>IFERROR(VLOOKUP($B19,'LOD 400 - ADMN'!$B:CY,102,FALSE),"N/A")</f>
        <v>1</v>
      </c>
      <c r="BB19" s="84">
        <f>IFERROR(VLOOKUP($B19,'LOD 400 - ADMN'!$B:DB,105,FALSE),"N/A")</f>
        <v>1</v>
      </c>
      <c r="BC19" s="84">
        <f>IFERROR(VLOOKUP($B19,'LOD 400 - ADMN'!$B:DE,108,FALSE),"N/A")</f>
        <v>1</v>
      </c>
      <c r="BD19" s="84">
        <f>IFERROR(VLOOKUP($B19,'LOD 400 - ADMN'!$B:DH,111,FALSE),"N/A")</f>
        <v>1</v>
      </c>
      <c r="BE19" s="84">
        <f>IFERROR(VLOOKUP($B19,'LOD 400 - ADMN'!$B:DK,114,FALSE),"N/A")</f>
        <v>1</v>
      </c>
      <c r="BF19" s="84">
        <f>IFERROR(VLOOKUP($B19,'LOD 400 - ADMN'!$B:DN,117,FALSE),"N/A")</f>
        <v>1</v>
      </c>
      <c r="BG19" s="86">
        <f>IFERROR(__xludf.DUMMYFUNCTION("IFERROR(
  MAX(FILTER(Y19:BF19, ISNUMBER(Y19:BF19))),
  BF19
)"),1.0)</f>
        <v>1</v>
      </c>
      <c r="BH19" s="79" t="str">
        <f>IFERROR(VLOOKUP($B19,'LOD 400 - COLO1'!B:S,18,FALSE),"N/A")</f>
        <v>OUTDATED</v>
      </c>
      <c r="BI19" s="79" t="str">
        <f>IFERROR(VLOOKUP($B19,'LOD 400 - COLO1'!B:V,21,FALSE),"N/A")</f>
        <v>OUTDATED</v>
      </c>
      <c r="BJ19" s="79" t="str">
        <f>IFERROR(VLOOKUP($B19,'LOD 400 - COLO1'!$B:Y,24,FALSE),"N/A")</f>
        <v>OUTDATED</v>
      </c>
      <c r="BK19" s="87">
        <f>IFERROR(VLOOKUP($B19,'LOD 400 - COLO1'!$B:AB,27,FALSE),"N/A")</f>
        <v>0.54</v>
      </c>
      <c r="BL19" s="80" t="str">
        <f>IFERROR(VLOOKUP($B19,'LOD 400 - COLO1'!$B:AE,30,FALSE),"N/A")</f>
        <v>NEXT ROUND</v>
      </c>
      <c r="BM19" s="81">
        <f>IFERROR(VLOOKUP($B19,'LOD 400 - COLO1'!$B:AH,33,FALSE),"N/A")</f>
        <v>0.88</v>
      </c>
      <c r="BN19" s="87" t="str">
        <f>IFERROR(VLOOKUP($B19,'LOD 400 - COLO1'!$B:AK,36,FALSE),"N/A")</f>
        <v>OUTDATED</v>
      </c>
      <c r="BO19" s="83" t="str">
        <f>IFERROR(VLOOKUP($B19,'LOD 400 - COLO1'!$B:AN,39,FALSE),"N/A")</f>
        <v>NEXT ROUND</v>
      </c>
      <c r="BP19" s="88" t="str">
        <f>IFERROR(VLOOKUP($B19,'LOD 400 - COLO1'!$B:AQ,42,FALSE),"N/A")</f>
        <v>IMPROPER</v>
      </c>
      <c r="BQ19" s="84">
        <f>IFERROR(VLOOKUP($B19,'LOD 400 - COLO1'!$B:AT,45,FALSE),"N/A")</f>
        <v>0.88</v>
      </c>
      <c r="BR19" s="85" t="str">
        <f>IFERROR(VLOOKUP($B19,'LOD 400 - COLO1'!$B:AW,48,FALSE),"N/A")</f>
        <v>IMPROPER</v>
      </c>
      <c r="BS19" s="84" t="str">
        <f>IFERROR(VLOOKUP($B19,'LOD 400 - COLO1'!$B:AZ,51,FALSE),"N/A")</f>
        <v>IMPROPER</v>
      </c>
      <c r="BT19" s="84" t="str">
        <f>IFERROR(VLOOKUP($B19,'LOD 400 - COLO1'!$B:BC,54,FALSE),"N/A")</f>
        <v>IMPROPER</v>
      </c>
      <c r="BU19" s="84" t="str">
        <f>IFERROR(VLOOKUP($B19,'LOD 400 - COLO1'!$B:BF,57,FALSE),"N/A")</f>
        <v>OUTDATED</v>
      </c>
      <c r="BV19" s="84" t="str">
        <f>IFERROR(VLOOKUP($B19,'LOD 400 - COLO1'!$B:BI,60,FALSE),"N/A")</f>
        <v>OUTDATED</v>
      </c>
      <c r="BW19" s="84">
        <f>IFERROR(VLOOKUP($B19,'LOD 400 - COLO1'!$B:BL,63,FALSE),"N/A")</f>
        <v>0.88</v>
      </c>
      <c r="BX19" s="84" t="str">
        <f>IFERROR(VLOOKUP($B19,'LOD 400 - COLO1'!$B:BO,66,FALSE),"N/A")</f>
        <v>OUTDATED</v>
      </c>
      <c r="BY19" s="84" t="str">
        <f>IFERROR(VLOOKUP($B19,'LOD 400 - COLO1'!$B:BR,69,FALSE),"N/A")</f>
        <v>APPROVED</v>
      </c>
      <c r="BZ19" s="84">
        <f>IFERROR(VLOOKUP($B19,'LOD 400 - COLO1'!$B:BU,72,FALSE),"N/A")</f>
        <v>1</v>
      </c>
      <c r="CA19" s="84">
        <f>IFERROR(VLOOKUP($B19,'LOD 400 - COLO1'!$B:BX,75,FALSE),"N/A")</f>
        <v>1</v>
      </c>
      <c r="CB19" s="84">
        <f>IFERROR(VLOOKUP($B19,'LOD 400 - COLO1'!$B:CA,78,FALSE),"N/A")</f>
        <v>1</v>
      </c>
      <c r="CC19" s="84">
        <f>IFERROR(VLOOKUP($B19,'LOD 400 - COLO1'!$B:CD,81,FALSE),"N/A")</f>
        <v>1</v>
      </c>
      <c r="CD19" s="85">
        <f>IFERROR(VLOOKUP($B19,'LOD 400 - COLO1'!$B:CG,84,FALSE),"N/A")</f>
        <v>1</v>
      </c>
      <c r="CE19" s="84">
        <f>IFERROR(VLOOKUP($B19,'LOD 400 - COLO1'!$B:CJ,87,FALSE),"N/A")</f>
        <v>1</v>
      </c>
      <c r="CF19" s="85">
        <f>IFERROR(VLOOKUP($B19,'LOD 400 - COLO1'!$B:CM,90,FALSE),"N/A")</f>
        <v>1</v>
      </c>
      <c r="CG19" s="84">
        <f>IFERROR(VLOOKUP($B19,'LOD 400 - COLO1'!$B:CP,93,FALSE),"N/A")</f>
        <v>1</v>
      </c>
      <c r="CH19" s="84">
        <f>IFERROR(VLOOKUP($B19,'LOD 400 - COLO1'!$B:CS,96,FALSE),"N/A")</f>
        <v>1</v>
      </c>
      <c r="CI19" s="84">
        <f>IFERROR(VLOOKUP($B19,'LOD 400 - COLO1'!$B:CV,99,FALSE),"N/A")</f>
        <v>1</v>
      </c>
      <c r="CJ19" s="84">
        <f>IFERROR(VLOOKUP($B19,'LOD 400 - COLO1'!$B:CY,102,FALSE),"N/A")</f>
        <v>1</v>
      </c>
      <c r="CK19" s="84">
        <f>IFERROR(VLOOKUP($B19,'LOD 400 - COLO1'!$B:DB,105,FALSE),"N/A")</f>
        <v>1</v>
      </c>
      <c r="CL19" s="84">
        <f>IFERROR(VLOOKUP($B19,'LOD 400 - COLO1'!$B:DE,108,FALSE),"N/A")</f>
        <v>1</v>
      </c>
      <c r="CM19" s="84">
        <f>IFERROR(VLOOKUP($B19,'LOD 400 - COLO1'!$B:DH,111,FALSE),"N/A")</f>
        <v>1</v>
      </c>
      <c r="CN19" s="84">
        <f>IFERROR(VLOOKUP($B19,'LOD 400 - COLO1'!$B:DK,114,FALSE),"N/A")</f>
        <v>1</v>
      </c>
      <c r="CO19" s="84">
        <f>IFERROR(VLOOKUP($B19,'LOD 400 - COLO1'!$B:DN,117,FALSE),"N/A")</f>
        <v>1</v>
      </c>
      <c r="CP19" s="86">
        <f>IFERROR(__xludf.DUMMYFUNCTION("IFERROR(
  MAX(FILTER(BH19:CO19, ISNUMBER(BH19:CO19))),
  CO19
)"),1.0)</f>
        <v>1</v>
      </c>
      <c r="CQ19" s="89" t="str">
        <f>IFERROR(VLOOKUP($B19,'LOD 400 - COLO2'!B:S,18,FALSE),"N/A")</f>
        <v>OUTDATED</v>
      </c>
      <c r="CR19" s="79" t="str">
        <f>IFERROR(VLOOKUP($B19,'LOD 400 - COLO2'!B:V,21,FALSE),"N/A")</f>
        <v>OUTDATED</v>
      </c>
      <c r="CS19" s="79" t="str">
        <f>IFERROR(VLOOKUP($B19,'LOD 400 - COLO2'!$B:Y,24,FALSE),"N/A")</f>
        <v>OUTDATED</v>
      </c>
      <c r="CT19" s="80">
        <f>IFERROR(VLOOKUP($B19,'LOD 400 - COLO2'!$B:DQ,27,FALSE),"N/A")</f>
        <v>0.5</v>
      </c>
      <c r="CU19" s="90" t="str">
        <f>IFERROR(VLOOKUP($B19,'LOD 400 - COLO2'!$B:AE,30,FALSE),"N/A")</f>
        <v>NEXT ROUND</v>
      </c>
      <c r="CV19" s="81">
        <f>IFERROR(VLOOKUP($B19,'LOD 400 - COLO2'!$B:AH,33,FALSE),"N/A")</f>
        <v>0.88</v>
      </c>
      <c r="CW19" s="90" t="str">
        <f>IFERROR(VLOOKUP($B19,'LOD 400 - COLO2'!$B:AK,36,FALSE),"N/A")</f>
        <v>OUTDATED</v>
      </c>
      <c r="CX19" s="85" t="str">
        <f>IFERROR(VLOOKUP($B19,'LOD 400 - COLO2'!$B:AN,39,FALSE),"N/A")</f>
        <v>NEXT ROUND</v>
      </c>
      <c r="CY19" s="88" t="str">
        <f>IFERROR(VLOOKUP($B19,'LOD 400 - COLO2'!$B:AQ,42,FALSE),"N/A")</f>
        <v>IMPROPER</v>
      </c>
      <c r="CZ19" s="84">
        <f>IFERROR(VLOOKUP($B19,'LOD 400 - COLO2'!$B:AT,45,FALSE),"N/A")</f>
        <v>0.88</v>
      </c>
      <c r="DA19" s="85" t="str">
        <f>IFERROR(VLOOKUP($B19,'LOD 400 - COLO2'!$B:AW,48,FALSE),"N/A")</f>
        <v>IMPROPER</v>
      </c>
      <c r="DB19" s="84" t="str">
        <f>IFERROR(VLOOKUP($B19,'LOD 400 - COLO2'!$B:AZ,51,FALSE),"N/A")</f>
        <v>IMPROPER</v>
      </c>
      <c r="DC19" s="84" t="str">
        <f>IFERROR(VLOOKUP($B19,'LOD 400 - COLO2'!$B:BC,54,FALSE),"N/A")</f>
        <v>IMPROPER</v>
      </c>
      <c r="DD19" s="84" t="str">
        <f>IFERROR(VLOOKUP($B19,'LOD 400 - COLO2'!$B:BF,57,FALSE),"N/A")</f>
        <v>OUTDATED</v>
      </c>
      <c r="DE19" s="84" t="str">
        <f>IFERROR(VLOOKUP($B19,'LOD 400 - COLO2'!$B:BI,60,FALSE),"N/A")</f>
        <v>OUTDATED</v>
      </c>
      <c r="DF19" s="84">
        <f>IFERROR(VLOOKUP($B19,'LOD 400 - COLO2'!$B:BL,63,FALSE),"N/A")</f>
        <v>0.88</v>
      </c>
      <c r="DG19" s="84" t="str">
        <f>IFERROR(VLOOKUP($B19,'LOD 400 - COLO2'!$B:BO,66,FALSE),"N/A")</f>
        <v>NEXT ROUND</v>
      </c>
      <c r="DH19" s="84">
        <f>IFERROR(VLOOKUP($B19,'LOD 400 - COLO2'!$B:BR,69,FALSE),"N/A")</f>
        <v>1</v>
      </c>
      <c r="DI19" s="84">
        <f>IFERROR(VLOOKUP($B19,'LOD 400 - COLO2'!$B:BU,72,FALSE),"N/A")</f>
        <v>1</v>
      </c>
      <c r="DJ19" s="84">
        <f>IFERROR(VLOOKUP($B19,'LOD 400 - COLO2'!$B:BX,75,FALSE),"N/A")</f>
        <v>1</v>
      </c>
      <c r="DK19" s="84">
        <f>IFERROR(VLOOKUP($B19,'LOD 400 - COLO2'!$B:CA,78,FALSE),"N/A")</f>
        <v>1</v>
      </c>
      <c r="DL19" s="84">
        <f>IFERROR(VLOOKUP($B19,'LOD 400 - COLO2'!$B:CD,81,FALSE),"N/A")</f>
        <v>1</v>
      </c>
      <c r="DM19" s="85">
        <f>IFERROR(VLOOKUP($B19,'LOD 400 - COLO2'!$B:CG,84,FALSE),"N/A")</f>
        <v>1</v>
      </c>
      <c r="DN19" s="84">
        <f>IFERROR(VLOOKUP($B19,'LOD 400 - COLO2'!$B:CJ,87,FALSE),"N/A")</f>
        <v>1</v>
      </c>
      <c r="DO19" s="85">
        <f>IFERROR(VLOOKUP($B19,'LOD 400 - COLO2'!$B:CM,90,FALSE),"N/A")</f>
        <v>1</v>
      </c>
      <c r="DP19" s="84">
        <f>IFERROR(VLOOKUP($B19,'LOD 400 - COLO2'!$B:CP,93,FALSE),"N/A")</f>
        <v>1</v>
      </c>
      <c r="DQ19" s="84">
        <f>IFERROR(VLOOKUP($B19,'LOD 400 - COLO2'!$B:CS,96,FALSE),"N/A")</f>
        <v>1</v>
      </c>
      <c r="DR19" s="84">
        <f>IFERROR(VLOOKUP($B19,'LOD 400 - COLO2'!$B:CV,99,FALSE),"N/A")</f>
        <v>1</v>
      </c>
      <c r="DS19" s="84">
        <f>IFERROR(VLOOKUP($B19,'LOD 400 - COLO2'!$B:CY,102,FALSE),"N/A")</f>
        <v>1</v>
      </c>
      <c r="DT19" s="84">
        <f>IFERROR(VLOOKUP($B19,'LOD 400 - COLO2'!$B:DB,105,FALSE),"N/A")</f>
        <v>1</v>
      </c>
      <c r="DU19" s="84">
        <f>IFERROR(VLOOKUP($B19,'LOD 400 - COLO2'!$B:DE,108,FALSE),"N/A")</f>
        <v>1</v>
      </c>
      <c r="DV19" s="84">
        <f>IFERROR(VLOOKUP($B19,'LOD 400 - COLO2'!$B:DH,111,FALSE),"N/A")</f>
        <v>1</v>
      </c>
      <c r="DW19" s="84">
        <f>IFERROR(VLOOKUP($B19,'LOD 400 - COLO2'!$B:DK,114,FALSE),"N/A")</f>
        <v>1</v>
      </c>
      <c r="DX19" s="84">
        <f>IFERROR(VLOOKUP($B19,'LOD 400 - COLO2'!$B:DN,117,FALSE),"N/A")</f>
        <v>1</v>
      </c>
      <c r="DY19" s="91">
        <f>IFERROR(__xludf.DUMMYFUNCTION("IFERROR(
  MAX(FILTER(CQ19:DW19, ISNUMBER(CQ19:DW19))),
  DW19
)"),1.0)</f>
        <v>1</v>
      </c>
      <c r="DZ19" s="92">
        <f>IFERROR(VLOOKUP($B19,'LOD 400 - COLO3'!B:S,18,FALSE),"N/A")</f>
        <v>0</v>
      </c>
      <c r="EA19" s="84">
        <f>IFERROR(VLOOKUP($B19,'LOD 400 - COLO3'!B:V,21,FALSE),"N/A")</f>
        <v>1</v>
      </c>
      <c r="EB19" s="84">
        <f>IFERROR(VLOOKUP($B19,'LOD 400 - COLO3'!B:Y,24,FALSE),"N/A")</f>
        <v>1</v>
      </c>
      <c r="EC19" s="84">
        <f>IFERROR(VLOOKUP($B19,'LOD 400 - COLO3'!B:AB,27,FALSE),"N/A")</f>
        <v>1</v>
      </c>
      <c r="ED19" s="85">
        <f>IFERROR(VLOOKUP($B19,'LOD 400 - COLO3'!B:AE,30,FALSE),"N/A")</f>
        <v>1</v>
      </c>
      <c r="EE19" s="84">
        <f>IFERROR(VLOOKUP($B19,'LOD 400 - COLO3'!B:AH,33,FALSE),"N/A")</f>
        <v>1</v>
      </c>
      <c r="EF19" s="84">
        <f>IFERROR(VLOOKUP($B19,'LOD 400 - COLO3'!B:AK,36,FALSE),"N/A")</f>
        <v>1</v>
      </c>
      <c r="EG19" s="109">
        <f>IFERROR(VLOOKUP($B19,'LOD 400 - COLO3'!B:AN,39,FALSE),"N/A")</f>
        <v>1</v>
      </c>
      <c r="EH19" s="94">
        <f>IFERROR(VLOOKUP($B19,'LOD 400 - COLO3'!B:AQ,42,FALSE),"N/A")</f>
        <v>1</v>
      </c>
      <c r="EI19" s="94">
        <f>IFERROR(VLOOKUP($B19,'LOD 400 - COLO3'!B:AT,45,FALSE),"N/A")</f>
        <v>1</v>
      </c>
      <c r="EJ19" s="94">
        <f>IFERROR(VLOOKUP($B19,'LOD 400 - COLO3'!B:AW,48,FALSE),"N/A")</f>
        <v>1</v>
      </c>
      <c r="EK19" s="94">
        <f>IFERROR(VLOOKUP($B19,'LOD 400 - COLO3'!B:AZ,51,FALSE),"N/A")</f>
        <v>1</v>
      </c>
      <c r="EL19" s="94">
        <f>IFERROR(VLOOKUP($B19,'LOD 400 - COLO3'!B:BC,54,FALSE),"N/A")</f>
        <v>1</v>
      </c>
      <c r="EM19" s="94">
        <f>IFERROR(VLOOKUP($B19,'LOD 400 - COLO3'!B:BF,57,FALSE),"N/A")</f>
        <v>1</v>
      </c>
      <c r="EN19" s="94">
        <f>IFERROR(VLOOKUP($B19,'LOD 400 - COLO3'!B:BI,60,FALSE),"N/A")</f>
        <v>1</v>
      </c>
      <c r="EO19" s="94">
        <f>IFERROR(VLOOKUP($B19,'LOD 400 - COLO3'!B:BL,63,FALSE),"N/A")</f>
        <v>1</v>
      </c>
      <c r="EP19" s="86">
        <f>IFERROR(__xludf.DUMMYFUNCTION("IFERROR(
  MAX(FILTER(DZ19:EO19, ISNUMBER(DZ19:EO19))),
  EO19
)"),1.0)</f>
        <v>1</v>
      </c>
      <c r="EQ19" s="95">
        <f>IFERROR(VLOOKUP($B19,'LOD 400 - COLO4'!B:S,18,FALSE),"N/A")</f>
        <v>0</v>
      </c>
      <c r="ER19" s="96">
        <f>IFERROR(__xludf.DUMMYFUNCTION("IFERROR(
  MAX(FILTER(EQ19, ISNUMBER(EQ19))),
  EQ19
)"),0.0)</f>
        <v>0</v>
      </c>
      <c r="ES19" s="79" t="str">
        <f>IFERROR(VLOOKUP($B19,'LOD 400 - SITE'!B:S,18,FALSE),"N/A")</f>
        <v>N/A</v>
      </c>
      <c r="ET19" s="80" t="str">
        <f>IFERROR(VLOOKUP($B19,'LOD 400 - SITE'!B:V,21,FALSE),"N/A")</f>
        <v>N/A</v>
      </c>
      <c r="EU19" s="97" t="str">
        <f>IFERROR(VLOOKUP($B19,'LOD 400 - SITE'!$B:Y,24,FALSE),"N/A")</f>
        <v>N/A</v>
      </c>
      <c r="EV19" s="80" t="str">
        <f>IFERROR(VLOOKUP($B19,'LOD 400 - SITE'!$B:AB,27,FALSE),"N/A")</f>
        <v>N/A</v>
      </c>
      <c r="EW19" s="81" t="str">
        <f>IFERROR(VLOOKUP($B19,'LOD 400 - SITE'!$B:AE,30,FALSE),"N/A")</f>
        <v>N/A</v>
      </c>
      <c r="EX19" s="87" t="str">
        <f>IFERROR(VLOOKUP($B19,'LOD 400 - SITE'!$B:AH,33,FALSE),"N/A")</f>
        <v>N/A</v>
      </c>
      <c r="EY19" s="87" t="str">
        <f>IFERROR(VLOOKUP($B19,'LOD 400 - SITE'!$B:AK,36,FALSE),"N/A")</f>
        <v>N/A</v>
      </c>
      <c r="EZ19" s="80" t="str">
        <f>IFERROR(VLOOKUP($B19,'LOD 400 - SITE'!$B:AN,39,FALSE),"N/A")</f>
        <v>N/A</v>
      </c>
      <c r="FA19" s="82" t="str">
        <f>IFERROR(VLOOKUP($B19,'LOD 400 - SITE'!$B:AQ,42,FALSE),"N/A")</f>
        <v>N/A</v>
      </c>
      <c r="FB19" s="88" t="str">
        <f>IFERROR(VLOOKUP($B19,'LOD 400 - SITE'!$B:AT,45,FALSE),"N/A")</f>
        <v>N/A</v>
      </c>
      <c r="FC19" s="84" t="str">
        <f>IFERROR(VLOOKUP($B19,'LOD 400 - SITE'!$B:AW,48,FALSE),"N/A")</f>
        <v>N/A</v>
      </c>
      <c r="FD19" s="84" t="str">
        <f>IFERROR(VLOOKUP($B19,'LOD 400 - SITE'!$B:AZ,51,FALSE),"N/A")</f>
        <v>N/A</v>
      </c>
      <c r="FE19" s="84" t="str">
        <f>IFERROR(VLOOKUP($B19,'LOD 400 - SITE'!$B:BC,54,FALSE),"N/A")</f>
        <v>N/A</v>
      </c>
      <c r="FF19" s="84" t="str">
        <f>IFERROR(VLOOKUP($B19,'LOD 400 - SITE'!$B:BF,57,FALSE),"N/A")</f>
        <v>N/A</v>
      </c>
      <c r="FG19" s="84" t="str">
        <f>IFERROR(VLOOKUP($B19,'LOD 400 - SITE'!$B:BI,60,FALSE),"N/A")</f>
        <v>N/A</v>
      </c>
      <c r="FH19" s="84" t="str">
        <f>IFERROR(VLOOKUP($B19,'LOD 400 - SITE'!$B:BL,63,FALSE),"N/A")</f>
        <v>N/A</v>
      </c>
      <c r="FI19" s="84" t="str">
        <f>IFERROR(VLOOKUP($B19,'LOD 400 - SITE'!$B:BO,66,FALSE),"N/A")</f>
        <v>N/A</v>
      </c>
      <c r="FJ19" s="84" t="str">
        <f>IFERROR(VLOOKUP($B19,'LOD 400 - SITE'!$B:BR,69,FALSE),"N/A")</f>
        <v>N/A</v>
      </c>
      <c r="FK19" s="84" t="str">
        <f>IFERROR(VLOOKUP($B19,'LOD 400 - SITE'!$B:BU,72,FALSE),"N/A")</f>
        <v>N/A</v>
      </c>
      <c r="FL19" s="84" t="str">
        <f>IFERROR(VLOOKUP($B19,'LOD 400 - SITE'!$B:BX,75,FALSE),"N/A")</f>
        <v>N/A</v>
      </c>
      <c r="FM19" s="84" t="str">
        <f>IFERROR(VLOOKUP($B19,'LOD 400 - SITE'!$B:CA,78,FALSE),"N/A")</f>
        <v>N/A</v>
      </c>
      <c r="FN19" s="85" t="str">
        <f>IFERROR(VLOOKUP($B19,'LOD 400 - SITE'!$B:CD,81,FALSE),"N/A")</f>
        <v>N/A</v>
      </c>
      <c r="FO19" s="84" t="str">
        <f>IFERROR(VLOOKUP($B19,'LOD 400 - SITE'!$B:CG,84,FALSE),"N/A")</f>
        <v>N/A</v>
      </c>
      <c r="FP19" s="85" t="str">
        <f>IFERROR(VLOOKUP($B19,'LOD 400 - SITE'!$B:CJ,87,FALSE),"N/A")</f>
        <v>N/A</v>
      </c>
      <c r="FQ19" s="84" t="str">
        <f>IFERROR(VLOOKUP($B19,'LOD 400 - SITE'!$B:CM,90,FALSE),"N/A")</f>
        <v>N/A</v>
      </c>
      <c r="FR19" s="84" t="str">
        <f>IFERROR(VLOOKUP($B19,'LOD 400 - SITE'!$B:CP,93,FALSE),"N/A")</f>
        <v>N/A</v>
      </c>
      <c r="FS19" s="84" t="str">
        <f>IFERROR(VLOOKUP($B19,'LOD 400 - SITE'!$B:CS,96,FALSE),"N/A")</f>
        <v>N/A</v>
      </c>
      <c r="FT19" s="84" t="str">
        <f>IFERROR(VLOOKUP($B19,'LOD 400 - SITE'!$B:CV,99,FALSE),"N/A")</f>
        <v>N/A</v>
      </c>
      <c r="FU19" s="84" t="str">
        <f>IFERROR(VLOOKUP($B19,'LOD 400 - SITE'!$B:CY,102,FALSE),"N/A")</f>
        <v>N/A</v>
      </c>
      <c r="FV19" s="84" t="str">
        <f>IFERROR(VLOOKUP($B19,'LOD 400 - SITE'!$B:DB,105,FALSE),"N/A")</f>
        <v>N/A</v>
      </c>
      <c r="FW19" s="84" t="str">
        <f>IFERROR(VLOOKUP($B19,'LOD 400 - SITE'!$B:DE,108,FALSE),"N/A")</f>
        <v>N/A</v>
      </c>
      <c r="FX19" s="84" t="str">
        <f>IFERROR(VLOOKUP($B19,'LOD 400 - SITE'!$B:DH,111,FALSE),"N/A")</f>
        <v>N/A</v>
      </c>
      <c r="FY19" s="84" t="str">
        <f>IFERROR(VLOOKUP($B19,'LOD 400 - SITE'!$B:DK,114,FALSE),"N/A")</f>
        <v>N/A</v>
      </c>
      <c r="FZ19" s="96" t="str">
        <f>IFERROR(__xludf.DUMMYFUNCTION("IFERROR(
  MAX(FILTER(ES19:FY19, ISNUMBER(ES19:FY19))),
  FY19
)"),"N/A")</f>
        <v>N/A</v>
      </c>
      <c r="GA19" s="80" t="str">
        <f>IFERROR(VLOOKUP($B19,'LOD 400 - UTLS'!B:S,18,FALSE),"N/A")</f>
        <v>N/A</v>
      </c>
      <c r="GB19" s="98" t="str">
        <f>IFERROR(VLOOKUP($B19,'LOD 400 - UTLS'!B:V,21,FALSE),"N/A")</f>
        <v>N/A</v>
      </c>
      <c r="GC19" s="81" t="str">
        <f>IFERROR(VLOOKUP($B19,'LOD 400 - UTLS'!B:Y,24,FALSE),"N/A")</f>
        <v>N/A</v>
      </c>
      <c r="GD19" s="87" t="str">
        <f>IFERROR(VLOOKUP($B19,'LOD 400 - UTLS'!$B:AB,27,FALSE),"N/A")</f>
        <v>N/A</v>
      </c>
      <c r="GE19" s="80" t="str">
        <f>IFERROR(VLOOKUP($B19,'LOD 400 - UTLS'!$B:AE,30,FALSE),"N/A")</f>
        <v>N/A</v>
      </c>
      <c r="GF19" s="82" t="str">
        <f>IFERROR(VLOOKUP($B19,'LOD 400 - UTLS'!$B:AH,33,FALSE),"N/A")</f>
        <v>N/A</v>
      </c>
      <c r="GG19" s="88" t="str">
        <f>IFERROR(VLOOKUP($B19,'LOD 400 - UTLS'!$B:AK,36,FALSE),"N/A")</f>
        <v>N/A</v>
      </c>
      <c r="GH19" s="84" t="str">
        <f>IFERROR(VLOOKUP($B19,'LOD 400 - UTLS'!$B:AN,39,FALSE),"N/A")</f>
        <v>N/A</v>
      </c>
      <c r="GI19" s="84" t="str">
        <f>IFERROR(VLOOKUP($B19,'LOD 400 - UTLS'!$B:AQ,42,FALSE),"N/A")</f>
        <v>N/A</v>
      </c>
      <c r="GJ19" s="84" t="str">
        <f>IFERROR(VLOOKUP($B19,'LOD 400 - UTLS'!$B:AT,45,FALSE),"N/A")</f>
        <v>N/A</v>
      </c>
      <c r="GK19" s="84" t="str">
        <f>IFERROR(VLOOKUP($B19,'LOD 400 - UTLS'!$B:AW,48,FALSE),"N/A")</f>
        <v>N/A</v>
      </c>
      <c r="GL19" s="84" t="str">
        <f>IFERROR(VLOOKUP($B19,'LOD 400 - UTLS'!$B:AZ,51,FALSE),"N/A")</f>
        <v>N/A</v>
      </c>
      <c r="GM19" s="84" t="str">
        <f>IFERROR(VLOOKUP($B19,'LOD 400 - UTLS'!$B:BC,54,FALSE),"N/A")</f>
        <v>N/A</v>
      </c>
      <c r="GN19" s="84" t="str">
        <f>IFERROR(VLOOKUP($B19,'LOD 400 - UTLS'!$B:BF,57,FALSE),"N/A")</f>
        <v>N/A</v>
      </c>
      <c r="GO19" s="84" t="str">
        <f>IFERROR(VLOOKUP($B19,'LOD 400 - UTLS'!$B:BI,60,FALSE),"N/A")</f>
        <v>N/A</v>
      </c>
      <c r="GP19" s="84" t="str">
        <f>IFERROR(VLOOKUP($B19,'LOD 400 - UTLS'!$B:BL,63,FALSE),"N/A")</f>
        <v>N/A</v>
      </c>
      <c r="GQ19" s="84" t="str">
        <f>IFERROR(VLOOKUP($B19,'LOD 400 - UTLS'!$B:BO,66,FALSE),"N/A")</f>
        <v>N/A</v>
      </c>
      <c r="GR19" s="84" t="str">
        <f>IFERROR(VLOOKUP($B19,'LOD 400 - UTLS'!$B:BR,69,FALSE),"N/A")</f>
        <v>N/A</v>
      </c>
      <c r="GS19" s="85" t="str">
        <f>IFERROR(VLOOKUP($B19,'LOD 400 - UTLS'!$B:BU,72,FALSE),"N/A")</f>
        <v>N/A</v>
      </c>
      <c r="GT19" s="84" t="str">
        <f>IFERROR(VLOOKUP($B19,'LOD 400 - UTLS'!$B:BX,75,FALSE),"N/A")</f>
        <v>N/A</v>
      </c>
      <c r="GU19" s="85" t="str">
        <f>IFERROR(VLOOKUP($B19,'LOD 400 - UTLS'!$B:CA,78,FALSE),"N/A")</f>
        <v>N/A</v>
      </c>
      <c r="GV19" s="84" t="str">
        <f>IFERROR(VLOOKUP($B19,'LOD 400 - UTLS'!$B:CD,81,FALSE),"N/A")</f>
        <v>N/A</v>
      </c>
      <c r="GW19" s="84" t="str">
        <f>IFERROR(VLOOKUP($B19,'LOD 400 - UTLS'!$B:CG,84,FALSE),"N/A")</f>
        <v>N/A</v>
      </c>
      <c r="GX19" s="84" t="str">
        <f>IFERROR(VLOOKUP($B19,'LOD 400 - UTLS'!$B:CJ,87,FALSE),"N/A")</f>
        <v>N/A</v>
      </c>
      <c r="GY19" s="84" t="str">
        <f>IFERROR(VLOOKUP($B19,'LOD 400 - UTLS'!$B:CM,90,FALSE),"N/A")</f>
        <v>N/A</v>
      </c>
      <c r="GZ19" s="84" t="str">
        <f>IFERROR(VLOOKUP($B19,'LOD 400 - UTLS'!$B:CP,93,FALSE),"N/A")</f>
        <v>N/A</v>
      </c>
      <c r="HA19" s="84" t="str">
        <f>IFERROR(VLOOKUP($B19,'LOD 400 - UTLS'!$B:CS,96,FALSE),"N/A")</f>
        <v>N/A</v>
      </c>
      <c r="HB19" s="84" t="str">
        <f>IFERROR(VLOOKUP($B19,'LOD 400 - UTLS'!$B:CV,99,FALSE),"N/A")</f>
        <v>N/A</v>
      </c>
      <c r="HC19" s="84" t="str">
        <f>IFERROR(VLOOKUP($B19,'LOD 400 - UTLS'!$B:CY,102,FALSE),"N/A")</f>
        <v>N/A</v>
      </c>
      <c r="HD19" s="84" t="str">
        <f>IFERROR(VLOOKUP($B19,'LOD 400 - UTLS'!$B:DB,105,FALSE),"N/A")</f>
        <v>N/A</v>
      </c>
      <c r="HE19" s="96" t="str">
        <f>IFERROR(__xludf.DUMMYFUNCTION("IFERROR(
  MAX(FILTER(GA19:HD19, ISNUMBER(GA19:HD19))),
  HD19
)"),"N/A")</f>
        <v>N/A</v>
      </c>
      <c r="HF19" s="99"/>
      <c r="HG19" s="99"/>
      <c r="HH19" s="99"/>
      <c r="HI19" s="99"/>
      <c r="HJ19" s="99"/>
      <c r="HK19" s="99"/>
    </row>
    <row r="20" ht="15.0" customHeight="1" outlineLevel="1">
      <c r="A20" s="53">
        <v>23.0</v>
      </c>
      <c r="B20" s="100" t="s">
        <v>122</v>
      </c>
      <c r="C20" s="100" t="s">
        <v>123</v>
      </c>
      <c r="D20" s="64" t="str">
        <f t="shared" si="1"/>
        <v>DATA</v>
      </c>
      <c r="E20" s="101" t="s">
        <v>120</v>
      </c>
      <c r="F20" s="102">
        <v>1110.0</v>
      </c>
      <c r="G20" s="103" t="s">
        <v>121</v>
      </c>
      <c r="H20" s="104">
        <v>1128.0</v>
      </c>
      <c r="I20" s="68" t="str">
        <f>IFERROR(VLOOKUP($C17:C108,'R22 RELATÓRIO ACC'!B:F,5,FALSE),"NOT PUBLISHED")</f>
        <v>V30</v>
      </c>
      <c r="J20" s="69" t="str">
        <f>IFERROR(VLOOKUP($C17:C108,'R22 RELATÓRIO ACC'!B:P,15,FALSE),"NOT PUBLISHED")</f>
        <v>26/03/2026</v>
      </c>
      <c r="K20" s="70" t="str">
        <f>IFERROR(VLOOKUP($B17:B108,'RELATÓRIO ACC'!B:F,5,FALSE),"NOT PUBLISHED")</f>
        <v>V2</v>
      </c>
      <c r="L20" s="71" t="str">
        <f>IFERROR(VLOOKUP($B17:B108,'RELATÓRIO ACC'!B:P,15,FALSE),"NOT PUBLISHED")</f>
        <v>20/05/2026</v>
      </c>
      <c r="M20" s="72" t="str">
        <f>IF(OR($D20="UTLS",$D20="GUAR",$D20="STIR",$D20="PUMP",$D20="SITE"),
   VLOOKUP($B20,'LOD 400 - SITE'!B:M,12,FALSE),
   VLOOKUP($B20,'LOD 400 - ADMN'!B:M,12,FALSE)
)</f>
        <v>V28</v>
      </c>
      <c r="N20" s="105">
        <f>IF(OR($D20="UTLS",$D20="GUAR",$D20="STIR",$D20="PUMP",$D20="SITE"),
   VLOOKUP($B20,'LOD 400 - SITE'!B:N,13,FALSE),
   VLOOKUP($B20,'LOD 400 - ADMN'!B:N,13,FALSE)
)</f>
        <v>46087</v>
      </c>
      <c r="O20" s="106" t="str">
        <f>IF(OR($D20="UTLS",$D20="GUAR",$D20="STIR",$D20="PUMP",$D20="SITE"),
   VLOOKUP($B20,'LOD 400 - SITE'!B:O,14,FALSE),
   VLOOKUP($B20,'LOD 400 - ADMN'!B:O,14,FALSE)
)</f>
        <v>R22</v>
      </c>
      <c r="P20" s="107" t="str">
        <f>IF(OR($D20="C345",$D20="C12A",$D20="DATA"),
   VLOOKUP($B20,'LOD 400 - COLO3'!B:M,12,FALSE),"N/A")</f>
        <v>V30</v>
      </c>
      <c r="Q20" s="108">
        <f>IF(OR($D20="C345",$D20="C12A",$D20="DATA"),
   VLOOKUP($B20,'LOD 400 - COLO3'!B:N,13,FALSE),"N/A")</f>
        <v>-618635</v>
      </c>
      <c r="R20" s="75" t="str">
        <f>IF(OR($D20="C345",$D20="C12A",$D20="DATA"),
   VLOOKUP($B20,'LOD 400 - COLO3'!B:O,14,FALSE),"N/A")</f>
        <v>R22</v>
      </c>
      <c r="S20" s="76" t="str">
        <f>IF(OR($D20="C345",$D20="C12A",$D20="DATA"),
   VLOOKUP($B20,'LOD 400 - COLO4'!B:N,12,FALSE),"N/A")</f>
        <v>N/A</v>
      </c>
      <c r="T20" s="76" t="str">
        <f>IF(OR($D20="C345",$D20="C12A",$D20="DATA"),
   VLOOKUP($B20,'LOD 400 - COLO4'!B:N,13,FALSE),"N/A")</f>
        <v>N/A</v>
      </c>
      <c r="U20" s="76" t="str">
        <f>IF(OR($D20="C345",$D20="C12A",$D20="DATA"),
   VLOOKUP($B20,'LOD 400 - COLO4'!B:N,13,FALSE),"N/A")</f>
        <v>N/A</v>
      </c>
      <c r="V20" s="77" t="str">
        <f>IF(OR($D20="UTLS",$D20="GUAR",$D20="STIR",$D20="PUMP",$D20="SITE"),
   VLOOKUP($B20,'LOD 400 - UTLS'!B:M,12,FALSE),"N/A")</f>
        <v>N/A</v>
      </c>
      <c r="W20" s="78" t="str">
        <f>IF(OR($D20="UTLS",$D20="GUAR",$D20="STIR",$D20="PUMP",$D20="SITE"),
   VLOOKUP($B20,'LOD 400 - UTLS'!B:N,13,FALSE),"N/A")</f>
        <v>N/A</v>
      </c>
      <c r="X20" s="108" t="str">
        <f>IF(OR($D20="UTLS",$D20="GUAR",$D20="STIR",$D20="PUMP",$D20="SITE"),
   VLOOKUP($B20,'LOD 400 - UTLS'!B:O,14,FALSE),"N/A")</f>
        <v>N/A</v>
      </c>
      <c r="Y20" s="79" t="str">
        <f>IFERROR(VLOOKUP($B20,'LOD 400 - ADMN'!B:S,18,FALSE),"N/A")</f>
        <v>OUTDATED</v>
      </c>
      <c r="Z20" s="79">
        <f>IFERROR(VLOOKUP($B20,'LOD 400 - ADMN'!B:V,21,FALSE),"N/A")</f>
        <v>0.02</v>
      </c>
      <c r="AA20" s="79" t="str">
        <f>IFERROR(VLOOKUP($B20,'LOD 400 - ADMN'!$B:Y,24,FALSE),"N/A")</f>
        <v>OUTDATED</v>
      </c>
      <c r="AB20" s="80" t="str">
        <f>IFERROR(VLOOKUP($B20,'LOD 400 - ADMN'!$B:AB,27,FALSE),"N/A")</f>
        <v>IMPROPER</v>
      </c>
      <c r="AC20" s="81" t="str">
        <f>IFERROR(VLOOKUP($B20,'LOD 400 - ADMN'!$B:AE,30,FALSE),"N/A")</f>
        <v>IMPROPER</v>
      </c>
      <c r="AD20" s="81">
        <f>IFERROR(VLOOKUP($B20,'LOD 400 - ADMN'!$B:AH,33,FALSE),"N/A")</f>
        <v>0.92</v>
      </c>
      <c r="AE20" s="80" t="str">
        <f>IFERROR(VLOOKUP($B20,'LOD 400 - ADMN'!$B:AK,36,FALSE),"N/A")</f>
        <v>OUTDATED</v>
      </c>
      <c r="AF20" s="82" t="str">
        <f>IFERROR(VLOOKUP($B20,'LOD 400 - ADMN'!$B:AN,39,FALSE),"N/A")</f>
        <v>NEXT ROUND</v>
      </c>
      <c r="AG20" s="83">
        <f>IFERROR(VLOOKUP($B20,'LOD 400 - ADMN'!$B:AQ,42,FALSE),"N/A")</f>
        <v>0.93</v>
      </c>
      <c r="AH20" s="84">
        <f>IFERROR(VLOOKUP($B20,'LOD 400 - ADMN'!$B:AT,45,FALSE),"N/A")</f>
        <v>0.93</v>
      </c>
      <c r="AI20" s="85" t="str">
        <f>IFERROR(VLOOKUP($B20,'LOD 400 - ADMN'!$B:AW,48,FALSE),"N/A")</f>
        <v>IMPROPER</v>
      </c>
      <c r="AJ20" s="85" t="str">
        <f>IFERROR(VLOOKUP($B20,'LOD 400 - ADMN'!$B:AZ,51,FALSE),"N/A")</f>
        <v>IMPROPER</v>
      </c>
      <c r="AK20" s="84" t="str">
        <f>IFERROR(VLOOKUP($B20,'LOD 400 - ADMN'!$B:BC,54,FALSE),"N/A")</f>
        <v>OUTDATED</v>
      </c>
      <c r="AL20" s="84" t="str">
        <f>IFERROR(VLOOKUP($B20,'LOD 400 - ADMN'!$B:BF,57,FALSE),"N/A")</f>
        <v>OUTDATED</v>
      </c>
      <c r="AM20" s="84" t="str">
        <f>IFERROR(VLOOKUP($B20,'LOD 400 - ADMN'!$B:BI,60,FALSE),"N/A")</f>
        <v>OUTDATED</v>
      </c>
      <c r="AN20" s="84" t="str">
        <f>IFERROR(VLOOKUP($B20,'LOD 400 - ADMN'!$B:BL,63,FALSE),"N/A")</f>
        <v>NEXT ROUND</v>
      </c>
      <c r="AO20" s="84" t="str">
        <f>IFERROR(VLOOKUP($B20,'LOD 400 - ADMN'!$B:BO,66,FALSE),"N/A")</f>
        <v>NEXT ROUND</v>
      </c>
      <c r="AP20" s="84">
        <f>IFERROR(VLOOKUP($B20,'LOD 400 - ADMN'!$B:BR,69,FALSE),"N/A")</f>
        <v>1</v>
      </c>
      <c r="AQ20" s="84">
        <f>IFERROR(VLOOKUP($B20,'LOD 400 - ADMN'!$B:BU,72,FALSE),"N/A")</f>
        <v>1</v>
      </c>
      <c r="AR20" s="84">
        <f>IFERROR(VLOOKUP($B20,'LOD 400 - ADMN'!$B:BX,75,FALSE),"N/A")</f>
        <v>1</v>
      </c>
      <c r="AS20" s="84">
        <f>IFERROR(VLOOKUP($B20,'LOD 400 - ADMN'!$B:CA,78,FALSE),"N/A")</f>
        <v>1</v>
      </c>
      <c r="AT20" s="84">
        <f>IFERROR(VLOOKUP($B20,'LOD 400 - ADMN'!$B:CD,81,FALSE),"N/A")</f>
        <v>1</v>
      </c>
      <c r="AU20" s="85">
        <f>IFERROR(VLOOKUP($B20,'LOD 400 - ADMN'!$B:CG,84,FALSE),"N/A")</f>
        <v>1</v>
      </c>
      <c r="AV20" s="84">
        <f>IFERROR(VLOOKUP($B20,'LOD 400 - ADMN'!$B:CJ,87,FALSE),"N/A")</f>
        <v>1</v>
      </c>
      <c r="AW20" s="85">
        <f>IFERROR(VLOOKUP($B20,'LOD 400 - ADMN'!$B:CM,90,FALSE),"N/A")</f>
        <v>1</v>
      </c>
      <c r="AX20" s="84">
        <f>IFERROR(VLOOKUP($B20,'LOD 400 - ADMN'!$B:CP,93,FALSE),"N/A")</f>
        <v>1</v>
      </c>
      <c r="AY20" s="84">
        <f>IFERROR(VLOOKUP($B20,'LOD 400 - ADMN'!$B:CS,96,FALSE),"N/A")</f>
        <v>1</v>
      </c>
      <c r="AZ20" s="84">
        <f>IFERROR(VLOOKUP($B20,'LOD 400 - ADMN'!$B:CV,99,FALSE),"N/A")</f>
        <v>1</v>
      </c>
      <c r="BA20" s="84">
        <f>IFERROR(VLOOKUP($B20,'LOD 400 - ADMN'!$B:CY,102,FALSE),"N/A")</f>
        <v>1</v>
      </c>
      <c r="BB20" s="84">
        <f>IFERROR(VLOOKUP($B20,'LOD 400 - ADMN'!$B:DB,105,FALSE),"N/A")</f>
        <v>1</v>
      </c>
      <c r="BC20" s="84">
        <f>IFERROR(VLOOKUP($B20,'LOD 400 - ADMN'!$B:DE,108,FALSE),"N/A")</f>
        <v>1</v>
      </c>
      <c r="BD20" s="84">
        <f>IFERROR(VLOOKUP($B20,'LOD 400 - ADMN'!$B:DH,111,FALSE),"N/A")</f>
        <v>1</v>
      </c>
      <c r="BE20" s="84">
        <f>IFERROR(VLOOKUP($B20,'LOD 400 - ADMN'!$B:DK,114,FALSE),"N/A")</f>
        <v>1</v>
      </c>
      <c r="BF20" s="84">
        <f>IFERROR(VLOOKUP($B20,'LOD 400 - ADMN'!$B:DN,117,FALSE),"N/A")</f>
        <v>1</v>
      </c>
      <c r="BG20" s="86">
        <f>IFERROR(__xludf.DUMMYFUNCTION("IFERROR(
  MAX(FILTER(Y20:BF20, ISNUMBER(Y20:BF20))),
  BF20
)"),1.0)</f>
        <v>1</v>
      </c>
      <c r="BH20" s="79" t="str">
        <f>IFERROR(VLOOKUP($B20,'LOD 400 - COLO1'!B:S,18,FALSE),"N/A")</f>
        <v>OUTDATED</v>
      </c>
      <c r="BI20" s="79">
        <f>IFERROR(VLOOKUP($B20,'LOD 400 - COLO1'!B:V,21,FALSE),"N/A")</f>
        <v>0.02</v>
      </c>
      <c r="BJ20" s="79" t="str">
        <f>IFERROR(VLOOKUP($B20,'LOD 400 - COLO1'!$B:Y,24,FALSE),"N/A")</f>
        <v>OUTDATED</v>
      </c>
      <c r="BK20" s="87" t="str">
        <f>IFERROR(VLOOKUP($B20,'LOD 400 - COLO1'!$B:AB,27,FALSE),"N/A")</f>
        <v>IMPROPER</v>
      </c>
      <c r="BL20" s="80" t="str">
        <f>IFERROR(VLOOKUP($B20,'LOD 400 - COLO1'!$B:AE,30,FALSE),"N/A")</f>
        <v>IMPROPER</v>
      </c>
      <c r="BM20" s="81">
        <f>IFERROR(VLOOKUP($B20,'LOD 400 - COLO1'!$B:AH,33,FALSE),"N/A")</f>
        <v>0.92</v>
      </c>
      <c r="BN20" s="87" t="str">
        <f>IFERROR(VLOOKUP($B20,'LOD 400 - COLO1'!$B:AK,36,FALSE),"N/A")</f>
        <v>OUTDATED</v>
      </c>
      <c r="BO20" s="83" t="str">
        <f>IFERROR(VLOOKUP($B20,'LOD 400 - COLO1'!$B:AN,39,FALSE),"N/A")</f>
        <v>NEXT ROUND</v>
      </c>
      <c r="BP20" s="88" t="str">
        <f>IFERROR(VLOOKUP($B20,'LOD 400 - COLO1'!$B:AQ,42,FALSE),"N/A")</f>
        <v>IMPROPER</v>
      </c>
      <c r="BQ20" s="84">
        <f>IFERROR(VLOOKUP($B20,'LOD 400 - COLO1'!$B:AT,45,FALSE),"N/A")</f>
        <v>0.92</v>
      </c>
      <c r="BR20" s="85" t="str">
        <f>IFERROR(VLOOKUP($B20,'LOD 400 - COLO1'!$B:AW,48,FALSE),"N/A")</f>
        <v>IMPROPER</v>
      </c>
      <c r="BS20" s="84" t="str">
        <f>IFERROR(VLOOKUP($B20,'LOD 400 - COLO1'!$B:AZ,51,FALSE),"N/A")</f>
        <v>IMPROPER</v>
      </c>
      <c r="BT20" s="84" t="str">
        <f>IFERROR(VLOOKUP($B20,'LOD 400 - COLO1'!$B:BC,54,FALSE),"N/A")</f>
        <v>OUTDATED</v>
      </c>
      <c r="BU20" s="84" t="str">
        <f>IFERROR(VLOOKUP($B20,'LOD 400 - COLO1'!$B:BF,57,FALSE),"N/A")</f>
        <v>OUTDATED</v>
      </c>
      <c r="BV20" s="84" t="str">
        <f>IFERROR(VLOOKUP($B20,'LOD 400 - COLO1'!$B:BI,60,FALSE),"N/A")</f>
        <v>OUTDATED</v>
      </c>
      <c r="BW20" s="84" t="str">
        <f>IFERROR(VLOOKUP($B20,'LOD 400 - COLO1'!$B:BL,63,FALSE),"N/A")</f>
        <v>NEXT ROUND</v>
      </c>
      <c r="BX20" s="84" t="str">
        <f>IFERROR(VLOOKUP($B20,'LOD 400 - COLO1'!$B:BO,66,FALSE),"N/A")</f>
        <v>NEXT ROUND</v>
      </c>
      <c r="BY20" s="84">
        <f>IFERROR(VLOOKUP($B20,'LOD 400 - COLO1'!$B:BR,69,FALSE),"N/A")</f>
        <v>1</v>
      </c>
      <c r="BZ20" s="84">
        <f>IFERROR(VLOOKUP($B20,'LOD 400 - COLO1'!$B:BU,72,FALSE),"N/A")</f>
        <v>1</v>
      </c>
      <c r="CA20" s="84">
        <f>IFERROR(VLOOKUP($B20,'LOD 400 - COLO1'!$B:BX,75,FALSE),"N/A")</f>
        <v>1</v>
      </c>
      <c r="CB20" s="84">
        <f>IFERROR(VLOOKUP($B20,'LOD 400 - COLO1'!$B:CA,78,FALSE),"N/A")</f>
        <v>1</v>
      </c>
      <c r="CC20" s="84">
        <f>IFERROR(VLOOKUP($B20,'LOD 400 - COLO1'!$B:CD,81,FALSE),"N/A")</f>
        <v>1</v>
      </c>
      <c r="CD20" s="85">
        <f>IFERROR(VLOOKUP($B20,'LOD 400 - COLO1'!$B:CG,84,FALSE),"N/A")</f>
        <v>1</v>
      </c>
      <c r="CE20" s="84">
        <f>IFERROR(VLOOKUP($B20,'LOD 400 - COLO1'!$B:CJ,87,FALSE),"N/A")</f>
        <v>1</v>
      </c>
      <c r="CF20" s="85">
        <f>IFERROR(VLOOKUP($B20,'LOD 400 - COLO1'!$B:CM,90,FALSE),"N/A")</f>
        <v>1</v>
      </c>
      <c r="CG20" s="84">
        <f>IFERROR(VLOOKUP($B20,'LOD 400 - COLO1'!$B:CP,93,FALSE),"N/A")</f>
        <v>1</v>
      </c>
      <c r="CH20" s="84">
        <f>IFERROR(VLOOKUP($B20,'LOD 400 - COLO1'!$B:CS,96,FALSE),"N/A")</f>
        <v>1</v>
      </c>
      <c r="CI20" s="84">
        <f>IFERROR(VLOOKUP($B20,'LOD 400 - COLO1'!$B:CV,99,FALSE),"N/A")</f>
        <v>1</v>
      </c>
      <c r="CJ20" s="84">
        <f>IFERROR(VLOOKUP($B20,'LOD 400 - COLO1'!$B:CY,102,FALSE),"N/A")</f>
        <v>1</v>
      </c>
      <c r="CK20" s="84">
        <f>IFERROR(VLOOKUP($B20,'LOD 400 - COLO1'!$B:DB,105,FALSE),"N/A")</f>
        <v>1</v>
      </c>
      <c r="CL20" s="84">
        <f>IFERROR(VLOOKUP($B20,'LOD 400 - COLO1'!$B:DE,108,FALSE),"N/A")</f>
        <v>1</v>
      </c>
      <c r="CM20" s="84">
        <f>IFERROR(VLOOKUP($B20,'LOD 400 - COLO1'!$B:DH,111,FALSE),"N/A")</f>
        <v>1</v>
      </c>
      <c r="CN20" s="84">
        <f>IFERROR(VLOOKUP($B20,'LOD 400 - COLO1'!$B:DK,114,FALSE),"N/A")</f>
        <v>1</v>
      </c>
      <c r="CO20" s="84">
        <f>IFERROR(VLOOKUP($B20,'LOD 400 - COLO1'!$B:DN,117,FALSE),"N/A")</f>
        <v>1</v>
      </c>
      <c r="CP20" s="86">
        <f>IFERROR(__xludf.DUMMYFUNCTION("IFERROR(
  MAX(FILTER(BH20:CO20, ISNUMBER(BH20:CO20))),
  CO20
)"),1.0)</f>
        <v>1</v>
      </c>
      <c r="CQ20" s="89" t="str">
        <f>IFERROR(VLOOKUP($B20,'LOD 400 - COLO2'!B:S,18,FALSE),"N/A")</f>
        <v>OUTDATED</v>
      </c>
      <c r="CR20" s="79">
        <f>IFERROR(VLOOKUP($B20,'LOD 400 - COLO2'!B:V,21,FALSE),"N/A")</f>
        <v>0.02</v>
      </c>
      <c r="CS20" s="79" t="str">
        <f>IFERROR(VLOOKUP($B20,'LOD 400 - COLO2'!$B:Y,24,FALSE),"N/A")</f>
        <v>OUTDATED</v>
      </c>
      <c r="CT20" s="80" t="str">
        <f>IFERROR(VLOOKUP($B20,'LOD 400 - COLO2'!$B:DQ,27,FALSE),"N/A")</f>
        <v>IMPROPER</v>
      </c>
      <c r="CU20" s="90" t="str">
        <f>IFERROR(VLOOKUP($B20,'LOD 400 - COLO2'!$B:AE,30,FALSE),"N/A")</f>
        <v>IMPROPER</v>
      </c>
      <c r="CV20" s="81">
        <f>IFERROR(VLOOKUP($B20,'LOD 400 - COLO2'!$B:AH,33,FALSE),"N/A")</f>
        <v>0.91</v>
      </c>
      <c r="CW20" s="90" t="str">
        <f>IFERROR(VLOOKUP($B20,'LOD 400 - COLO2'!$B:AK,36,FALSE),"N/A")</f>
        <v>OUTDATED</v>
      </c>
      <c r="CX20" s="85" t="str">
        <f>IFERROR(VLOOKUP($B20,'LOD 400 - COLO2'!$B:AN,39,FALSE),"N/A")</f>
        <v>NEXT ROUND</v>
      </c>
      <c r="CY20" s="88" t="str">
        <f>IFERROR(VLOOKUP($B20,'LOD 400 - COLO2'!$B:AQ,42,FALSE),"N/A")</f>
        <v>IMPROPER</v>
      </c>
      <c r="CZ20" s="84">
        <f>IFERROR(VLOOKUP($B20,'LOD 400 - COLO2'!$B:AT,45,FALSE),"N/A")</f>
        <v>0.91</v>
      </c>
      <c r="DA20" s="85" t="str">
        <f>IFERROR(VLOOKUP($B20,'LOD 400 - COLO2'!$B:AW,48,FALSE),"N/A")</f>
        <v>IMPROPER</v>
      </c>
      <c r="DB20" s="84" t="str">
        <f>IFERROR(VLOOKUP($B20,'LOD 400 - COLO2'!$B:AZ,51,FALSE),"N/A")</f>
        <v>IMPROPER</v>
      </c>
      <c r="DC20" s="84" t="str">
        <f>IFERROR(VLOOKUP($B20,'LOD 400 - COLO2'!$B:BC,54,FALSE),"N/A")</f>
        <v>OUTDATED</v>
      </c>
      <c r="DD20" s="84" t="str">
        <f>IFERROR(VLOOKUP($B20,'LOD 400 - COLO2'!$B:BF,57,FALSE),"N/A")</f>
        <v>OUTDATED</v>
      </c>
      <c r="DE20" s="84" t="str">
        <f>IFERROR(VLOOKUP($B20,'LOD 400 - COLO2'!$B:BI,60,FALSE),"N/A")</f>
        <v>OUTDATED</v>
      </c>
      <c r="DF20" s="84" t="str">
        <f>IFERROR(VLOOKUP($B20,'LOD 400 - COLO2'!$B:BL,63,FALSE),"N/A")</f>
        <v>NEXT ROUND</v>
      </c>
      <c r="DG20" s="84" t="str">
        <f>IFERROR(VLOOKUP($B20,'LOD 400 - COLO2'!$B:BO,66,FALSE),"N/A")</f>
        <v>NEXT ROUND</v>
      </c>
      <c r="DH20" s="84">
        <f>IFERROR(VLOOKUP($B20,'LOD 400 - COLO2'!$B:BR,69,FALSE),"N/A")</f>
        <v>1</v>
      </c>
      <c r="DI20" s="84">
        <f>IFERROR(VLOOKUP($B20,'LOD 400 - COLO2'!$B:BU,72,FALSE),"N/A")</f>
        <v>1</v>
      </c>
      <c r="DJ20" s="84">
        <f>IFERROR(VLOOKUP($B20,'LOD 400 - COLO2'!$B:BX,75,FALSE),"N/A")</f>
        <v>1</v>
      </c>
      <c r="DK20" s="84">
        <f>IFERROR(VLOOKUP($B20,'LOD 400 - COLO2'!$B:CA,78,FALSE),"N/A")</f>
        <v>1</v>
      </c>
      <c r="DL20" s="84">
        <f>IFERROR(VLOOKUP($B20,'LOD 400 - COLO2'!$B:CD,81,FALSE),"N/A")</f>
        <v>1</v>
      </c>
      <c r="DM20" s="85">
        <f>IFERROR(VLOOKUP($B20,'LOD 400 - COLO2'!$B:CG,84,FALSE),"N/A")</f>
        <v>1</v>
      </c>
      <c r="DN20" s="84">
        <f>IFERROR(VLOOKUP($B20,'LOD 400 - COLO2'!$B:CJ,87,FALSE),"N/A")</f>
        <v>1</v>
      </c>
      <c r="DO20" s="85">
        <f>IFERROR(VLOOKUP($B20,'LOD 400 - COLO2'!$B:CM,90,FALSE),"N/A")</f>
        <v>1</v>
      </c>
      <c r="DP20" s="84">
        <f>IFERROR(VLOOKUP($B20,'LOD 400 - COLO2'!$B:CP,93,FALSE),"N/A")</f>
        <v>1</v>
      </c>
      <c r="DQ20" s="84">
        <f>IFERROR(VLOOKUP($B20,'LOD 400 - COLO2'!$B:CS,96,FALSE),"N/A")</f>
        <v>1</v>
      </c>
      <c r="DR20" s="84">
        <f>IFERROR(VLOOKUP($B20,'LOD 400 - COLO2'!$B:CV,99,FALSE),"N/A")</f>
        <v>1</v>
      </c>
      <c r="DS20" s="84">
        <f>IFERROR(VLOOKUP($B20,'LOD 400 - COLO2'!$B:CY,102,FALSE),"N/A")</f>
        <v>1</v>
      </c>
      <c r="DT20" s="84">
        <f>IFERROR(VLOOKUP($B20,'LOD 400 - COLO2'!$B:DB,105,FALSE),"N/A")</f>
        <v>1</v>
      </c>
      <c r="DU20" s="84">
        <f>IFERROR(VLOOKUP($B20,'LOD 400 - COLO2'!$B:DE,108,FALSE),"N/A")</f>
        <v>1</v>
      </c>
      <c r="DV20" s="84">
        <f>IFERROR(VLOOKUP($B20,'LOD 400 - COLO2'!$B:DH,111,FALSE),"N/A")</f>
        <v>1</v>
      </c>
      <c r="DW20" s="84">
        <f>IFERROR(VLOOKUP($B20,'LOD 400 - COLO2'!$B:DK,114,FALSE),"N/A")</f>
        <v>1</v>
      </c>
      <c r="DX20" s="84">
        <f>IFERROR(VLOOKUP($B20,'LOD 400 - COLO2'!$B:DN,117,FALSE),"N/A")</f>
        <v>1</v>
      </c>
      <c r="DY20" s="91">
        <f>IFERROR(__xludf.DUMMYFUNCTION("IFERROR(
  MAX(FILTER(CQ20:DW20, ISNUMBER(CQ20:DW20))),
  DW20
)"),1.0)</f>
        <v>1</v>
      </c>
      <c r="DZ20" s="92">
        <f>IFERROR(VLOOKUP($B20,'LOD 400 - COLO3'!B:S,18,FALSE),"N/A")</f>
        <v>0</v>
      </c>
      <c r="EA20" s="84">
        <f>IFERROR(VLOOKUP($B20,'LOD 400 - COLO3'!B:V,21,FALSE),"N/A")</f>
        <v>0</v>
      </c>
      <c r="EB20" s="84">
        <f>IFERROR(VLOOKUP($B20,'LOD 400 - COLO3'!B:Y,24,FALSE),"N/A")</f>
        <v>1</v>
      </c>
      <c r="EC20" s="84">
        <f>IFERROR(VLOOKUP($B20,'LOD 400 - COLO3'!B:AB,27,FALSE),"N/A")</f>
        <v>1</v>
      </c>
      <c r="ED20" s="85">
        <f>IFERROR(VLOOKUP($B20,'LOD 400 - COLO3'!B:AE,30,FALSE),"N/A")</f>
        <v>1</v>
      </c>
      <c r="EE20" s="84">
        <f>IFERROR(VLOOKUP($B20,'LOD 400 - COLO3'!B:AH,33,FALSE),"N/A")</f>
        <v>1</v>
      </c>
      <c r="EF20" s="84">
        <f>IFERROR(VLOOKUP($B20,'LOD 400 - COLO3'!B:AK,36,FALSE),"N/A")</f>
        <v>1</v>
      </c>
      <c r="EG20" s="109">
        <f>IFERROR(VLOOKUP($B20,'LOD 400 - COLO3'!B:AN,39,FALSE),"N/A")</f>
        <v>1</v>
      </c>
      <c r="EH20" s="94">
        <f>IFERROR(VLOOKUP($B20,'LOD 400 - COLO3'!B:AQ,42,FALSE),"N/A")</f>
        <v>1</v>
      </c>
      <c r="EI20" s="94">
        <f>IFERROR(VLOOKUP($B20,'LOD 400 - COLO3'!B:AT,45,FALSE),"N/A")</f>
        <v>1</v>
      </c>
      <c r="EJ20" s="94">
        <f>IFERROR(VLOOKUP($B20,'LOD 400 - COLO3'!B:AW,48,FALSE),"N/A")</f>
        <v>1</v>
      </c>
      <c r="EK20" s="94">
        <f>IFERROR(VLOOKUP($B20,'LOD 400 - COLO3'!B:AZ,51,FALSE),"N/A")</f>
        <v>1</v>
      </c>
      <c r="EL20" s="94">
        <f>IFERROR(VLOOKUP($B20,'LOD 400 - COLO3'!B:BC,54,FALSE),"N/A")</f>
        <v>1</v>
      </c>
      <c r="EM20" s="94">
        <f>IFERROR(VLOOKUP($B20,'LOD 400 - COLO3'!B:BF,57,FALSE),"N/A")</f>
        <v>1</v>
      </c>
      <c r="EN20" s="94">
        <f>IFERROR(VLOOKUP($B20,'LOD 400 - COLO3'!B:BI,60,FALSE),"N/A")</f>
        <v>1</v>
      </c>
      <c r="EO20" s="94">
        <f>IFERROR(VLOOKUP($B20,'LOD 400 - COLO3'!B:BL,63,FALSE),"N/A")</f>
        <v>1</v>
      </c>
      <c r="EP20" s="86">
        <f>IFERROR(__xludf.DUMMYFUNCTION("IFERROR(
  MAX(FILTER(DZ20:EO20, ISNUMBER(DZ20:EO20))),
  EO20
)"),1.0)</f>
        <v>1</v>
      </c>
      <c r="EQ20" s="95">
        <f>IFERROR(VLOOKUP($B20,'LOD 400 - COLO4'!B:S,18,FALSE),"N/A")</f>
        <v>0</v>
      </c>
      <c r="ER20" s="96">
        <f>IFERROR(__xludf.DUMMYFUNCTION("IFERROR(
  MAX(FILTER(EQ20, ISNUMBER(EQ20))),
  EQ20
)"),0.0)</f>
        <v>0</v>
      </c>
      <c r="ES20" s="79" t="str">
        <f>IFERROR(VLOOKUP($B20,'LOD 400 - SITE'!B:S,18,FALSE),"N/A")</f>
        <v>N/A</v>
      </c>
      <c r="ET20" s="80" t="str">
        <f>IFERROR(VLOOKUP($B20,'LOD 400 - SITE'!B:V,21,FALSE),"N/A")</f>
        <v>N/A</v>
      </c>
      <c r="EU20" s="97" t="str">
        <f>IFERROR(VLOOKUP($B20,'LOD 400 - SITE'!$B:Y,24,FALSE),"N/A")</f>
        <v>N/A</v>
      </c>
      <c r="EV20" s="80" t="str">
        <f>IFERROR(VLOOKUP($B20,'LOD 400 - SITE'!$B:AB,27,FALSE),"N/A")</f>
        <v>N/A</v>
      </c>
      <c r="EW20" s="81" t="str">
        <f>IFERROR(VLOOKUP($B20,'LOD 400 - SITE'!$B:AE,30,FALSE),"N/A")</f>
        <v>N/A</v>
      </c>
      <c r="EX20" s="87" t="str">
        <f>IFERROR(VLOOKUP($B20,'LOD 400 - SITE'!$B:AH,33,FALSE),"N/A")</f>
        <v>N/A</v>
      </c>
      <c r="EY20" s="87" t="str">
        <f>IFERROR(VLOOKUP($B20,'LOD 400 - SITE'!$B:AK,36,FALSE),"N/A")</f>
        <v>N/A</v>
      </c>
      <c r="EZ20" s="80" t="str">
        <f>IFERROR(VLOOKUP($B20,'LOD 400 - SITE'!$B:AN,39,FALSE),"N/A")</f>
        <v>N/A</v>
      </c>
      <c r="FA20" s="82" t="str">
        <f>IFERROR(VLOOKUP($B20,'LOD 400 - SITE'!$B:AQ,42,FALSE),"N/A")</f>
        <v>N/A</v>
      </c>
      <c r="FB20" s="88" t="str">
        <f>IFERROR(VLOOKUP($B20,'LOD 400 - SITE'!$B:AT,45,FALSE),"N/A")</f>
        <v>N/A</v>
      </c>
      <c r="FC20" s="84" t="str">
        <f>IFERROR(VLOOKUP($B20,'LOD 400 - SITE'!$B:AW,48,FALSE),"N/A")</f>
        <v>N/A</v>
      </c>
      <c r="FD20" s="84" t="str">
        <f>IFERROR(VLOOKUP($B20,'LOD 400 - SITE'!$B:AZ,51,FALSE),"N/A")</f>
        <v>N/A</v>
      </c>
      <c r="FE20" s="84" t="str">
        <f>IFERROR(VLOOKUP($B20,'LOD 400 - SITE'!$B:BC,54,FALSE),"N/A")</f>
        <v>N/A</v>
      </c>
      <c r="FF20" s="84" t="str">
        <f>IFERROR(VLOOKUP($B20,'LOD 400 - SITE'!$B:BF,57,FALSE),"N/A")</f>
        <v>N/A</v>
      </c>
      <c r="FG20" s="84" t="str">
        <f>IFERROR(VLOOKUP($B20,'LOD 400 - SITE'!$B:BI,60,FALSE),"N/A")</f>
        <v>N/A</v>
      </c>
      <c r="FH20" s="84" t="str">
        <f>IFERROR(VLOOKUP($B20,'LOD 400 - SITE'!$B:BL,63,FALSE),"N/A")</f>
        <v>N/A</v>
      </c>
      <c r="FI20" s="84" t="str">
        <f>IFERROR(VLOOKUP($B20,'LOD 400 - SITE'!$B:BO,66,FALSE),"N/A")</f>
        <v>N/A</v>
      </c>
      <c r="FJ20" s="84" t="str">
        <f>IFERROR(VLOOKUP($B20,'LOD 400 - SITE'!$B:BR,69,FALSE),"N/A")</f>
        <v>N/A</v>
      </c>
      <c r="FK20" s="84" t="str">
        <f>IFERROR(VLOOKUP($B20,'LOD 400 - SITE'!$B:BU,72,FALSE),"N/A")</f>
        <v>N/A</v>
      </c>
      <c r="FL20" s="84" t="str">
        <f>IFERROR(VLOOKUP($B20,'LOD 400 - SITE'!$B:BX,75,FALSE),"N/A")</f>
        <v>N/A</v>
      </c>
      <c r="FM20" s="84" t="str">
        <f>IFERROR(VLOOKUP($B20,'LOD 400 - SITE'!$B:CA,78,FALSE),"N/A")</f>
        <v>N/A</v>
      </c>
      <c r="FN20" s="85" t="str">
        <f>IFERROR(VLOOKUP($B20,'LOD 400 - SITE'!$B:CD,81,FALSE),"N/A")</f>
        <v>N/A</v>
      </c>
      <c r="FO20" s="84" t="str">
        <f>IFERROR(VLOOKUP($B20,'LOD 400 - SITE'!$B:CG,84,FALSE),"N/A")</f>
        <v>N/A</v>
      </c>
      <c r="FP20" s="85" t="str">
        <f>IFERROR(VLOOKUP($B20,'LOD 400 - SITE'!$B:CJ,87,FALSE),"N/A")</f>
        <v>N/A</v>
      </c>
      <c r="FQ20" s="84" t="str">
        <f>IFERROR(VLOOKUP($B20,'LOD 400 - SITE'!$B:CM,90,FALSE),"N/A")</f>
        <v>N/A</v>
      </c>
      <c r="FR20" s="84" t="str">
        <f>IFERROR(VLOOKUP($B20,'LOD 400 - SITE'!$B:CP,93,FALSE),"N/A")</f>
        <v>N/A</v>
      </c>
      <c r="FS20" s="84" t="str">
        <f>IFERROR(VLOOKUP($B20,'LOD 400 - SITE'!$B:CS,96,FALSE),"N/A")</f>
        <v>N/A</v>
      </c>
      <c r="FT20" s="84" t="str">
        <f>IFERROR(VLOOKUP($B20,'LOD 400 - SITE'!$B:CV,99,FALSE),"N/A")</f>
        <v>N/A</v>
      </c>
      <c r="FU20" s="84" t="str">
        <f>IFERROR(VLOOKUP($B20,'LOD 400 - SITE'!$B:CY,102,FALSE),"N/A")</f>
        <v>N/A</v>
      </c>
      <c r="FV20" s="84" t="str">
        <f>IFERROR(VLOOKUP($B20,'LOD 400 - SITE'!$B:DB,105,FALSE),"N/A")</f>
        <v>N/A</v>
      </c>
      <c r="FW20" s="84" t="str">
        <f>IFERROR(VLOOKUP($B20,'LOD 400 - SITE'!$B:DE,108,FALSE),"N/A")</f>
        <v>N/A</v>
      </c>
      <c r="FX20" s="84" t="str">
        <f>IFERROR(VLOOKUP($B20,'LOD 400 - SITE'!$B:DH,111,FALSE),"N/A")</f>
        <v>N/A</v>
      </c>
      <c r="FY20" s="84" t="str">
        <f>IFERROR(VLOOKUP($B20,'LOD 400 - SITE'!$B:DK,114,FALSE),"N/A")</f>
        <v>N/A</v>
      </c>
      <c r="FZ20" s="96" t="str">
        <f>IFERROR(__xludf.DUMMYFUNCTION("IFERROR(
  MAX(FILTER(ES20:FY20, ISNUMBER(ES20:FY20))),
  FY20
)"),"N/A")</f>
        <v>N/A</v>
      </c>
      <c r="GA20" s="80" t="str">
        <f>IFERROR(VLOOKUP($B20,'LOD 400 - UTLS'!B:S,18,FALSE),"N/A")</f>
        <v>N/A</v>
      </c>
      <c r="GB20" s="98" t="str">
        <f>IFERROR(VLOOKUP($B20,'LOD 400 - UTLS'!B:V,21,FALSE),"N/A")</f>
        <v>N/A</v>
      </c>
      <c r="GC20" s="81" t="str">
        <f>IFERROR(VLOOKUP($B20,'LOD 400 - UTLS'!B:Y,24,FALSE),"N/A")</f>
        <v>N/A</v>
      </c>
      <c r="GD20" s="87" t="str">
        <f>IFERROR(VLOOKUP($B20,'LOD 400 - UTLS'!$B:AB,27,FALSE),"N/A")</f>
        <v>N/A</v>
      </c>
      <c r="GE20" s="80" t="str">
        <f>IFERROR(VLOOKUP($B20,'LOD 400 - UTLS'!$B:AE,30,FALSE),"N/A")</f>
        <v>N/A</v>
      </c>
      <c r="GF20" s="82" t="str">
        <f>IFERROR(VLOOKUP($B20,'LOD 400 - UTLS'!$B:AH,33,FALSE),"N/A")</f>
        <v>N/A</v>
      </c>
      <c r="GG20" s="88" t="str">
        <f>IFERROR(VLOOKUP($B20,'LOD 400 - UTLS'!$B:AK,36,FALSE),"N/A")</f>
        <v>N/A</v>
      </c>
      <c r="GH20" s="84" t="str">
        <f>IFERROR(VLOOKUP($B20,'LOD 400 - UTLS'!$B:AN,39,FALSE),"N/A")</f>
        <v>N/A</v>
      </c>
      <c r="GI20" s="84" t="str">
        <f>IFERROR(VLOOKUP($B20,'LOD 400 - UTLS'!$B:AQ,42,FALSE),"N/A")</f>
        <v>N/A</v>
      </c>
      <c r="GJ20" s="84" t="str">
        <f>IFERROR(VLOOKUP($B20,'LOD 400 - UTLS'!$B:AT,45,FALSE),"N/A")</f>
        <v>N/A</v>
      </c>
      <c r="GK20" s="84" t="str">
        <f>IFERROR(VLOOKUP($B20,'LOD 400 - UTLS'!$B:AW,48,FALSE),"N/A")</f>
        <v>N/A</v>
      </c>
      <c r="GL20" s="84" t="str">
        <f>IFERROR(VLOOKUP($B20,'LOD 400 - UTLS'!$B:AZ,51,FALSE),"N/A")</f>
        <v>N/A</v>
      </c>
      <c r="GM20" s="84" t="str">
        <f>IFERROR(VLOOKUP($B20,'LOD 400 - UTLS'!$B:BC,54,FALSE),"N/A")</f>
        <v>N/A</v>
      </c>
      <c r="GN20" s="84" t="str">
        <f>IFERROR(VLOOKUP($B20,'LOD 400 - UTLS'!$B:BF,57,FALSE),"N/A")</f>
        <v>N/A</v>
      </c>
      <c r="GO20" s="84" t="str">
        <f>IFERROR(VLOOKUP($B20,'LOD 400 - UTLS'!$B:BI,60,FALSE),"N/A")</f>
        <v>N/A</v>
      </c>
      <c r="GP20" s="84" t="str">
        <f>IFERROR(VLOOKUP($B20,'LOD 400 - UTLS'!$B:BL,63,FALSE),"N/A")</f>
        <v>N/A</v>
      </c>
      <c r="GQ20" s="84" t="str">
        <f>IFERROR(VLOOKUP($B20,'LOD 400 - UTLS'!$B:BO,66,FALSE),"N/A")</f>
        <v>N/A</v>
      </c>
      <c r="GR20" s="84" t="str">
        <f>IFERROR(VLOOKUP($B20,'LOD 400 - UTLS'!$B:BR,69,FALSE),"N/A")</f>
        <v>N/A</v>
      </c>
      <c r="GS20" s="85" t="str">
        <f>IFERROR(VLOOKUP($B20,'LOD 400 - UTLS'!$B:BU,72,FALSE),"N/A")</f>
        <v>N/A</v>
      </c>
      <c r="GT20" s="84" t="str">
        <f>IFERROR(VLOOKUP($B20,'LOD 400 - UTLS'!$B:BX,75,FALSE),"N/A")</f>
        <v>N/A</v>
      </c>
      <c r="GU20" s="85" t="str">
        <f>IFERROR(VLOOKUP($B20,'LOD 400 - UTLS'!$B:CA,78,FALSE),"N/A")</f>
        <v>N/A</v>
      </c>
      <c r="GV20" s="84" t="str">
        <f>IFERROR(VLOOKUP($B20,'LOD 400 - UTLS'!$B:CD,81,FALSE),"N/A")</f>
        <v>N/A</v>
      </c>
      <c r="GW20" s="84" t="str">
        <f>IFERROR(VLOOKUP($B20,'LOD 400 - UTLS'!$B:CG,84,FALSE),"N/A")</f>
        <v>N/A</v>
      </c>
      <c r="GX20" s="84" t="str">
        <f>IFERROR(VLOOKUP($B20,'LOD 400 - UTLS'!$B:CJ,87,FALSE),"N/A")</f>
        <v>N/A</v>
      </c>
      <c r="GY20" s="84" t="str">
        <f>IFERROR(VLOOKUP($B20,'LOD 400 - UTLS'!$B:CM,90,FALSE),"N/A")</f>
        <v>N/A</v>
      </c>
      <c r="GZ20" s="84" t="str">
        <f>IFERROR(VLOOKUP($B20,'LOD 400 - UTLS'!$B:CP,93,FALSE),"N/A")</f>
        <v>N/A</v>
      </c>
      <c r="HA20" s="84" t="str">
        <f>IFERROR(VLOOKUP($B20,'LOD 400 - UTLS'!$B:CS,96,FALSE),"N/A")</f>
        <v>N/A</v>
      </c>
      <c r="HB20" s="84" t="str">
        <f>IFERROR(VLOOKUP($B20,'LOD 400 - UTLS'!$B:CV,99,FALSE),"N/A")</f>
        <v>N/A</v>
      </c>
      <c r="HC20" s="84" t="str">
        <f>IFERROR(VLOOKUP($B20,'LOD 400 - UTLS'!$B:CY,102,FALSE),"N/A")</f>
        <v>N/A</v>
      </c>
      <c r="HD20" s="84" t="str">
        <f>IFERROR(VLOOKUP($B20,'LOD 400 - UTLS'!$B:DB,105,FALSE),"N/A")</f>
        <v>N/A</v>
      </c>
      <c r="HE20" s="96" t="str">
        <f>IFERROR(__xludf.DUMMYFUNCTION("IFERROR(
  MAX(FILTER(GA20:HD20, ISNUMBER(GA20:HD20))),
  HD20
)"),"N/A")</f>
        <v>N/A</v>
      </c>
      <c r="HF20" s="99"/>
      <c r="HG20" s="99"/>
      <c r="HH20" s="99"/>
      <c r="HI20" s="99"/>
      <c r="HJ20" s="99"/>
      <c r="HK20" s="99"/>
    </row>
    <row r="21" ht="15.0" customHeight="1" outlineLevel="1">
      <c r="A21" s="53">
        <v>24.0</v>
      </c>
      <c r="B21" s="100" t="s">
        <v>124</v>
      </c>
      <c r="C21" s="100" t="s">
        <v>125</v>
      </c>
      <c r="D21" s="64" t="str">
        <f t="shared" si="1"/>
        <v>SITE</v>
      </c>
      <c r="E21" s="101" t="s">
        <v>126</v>
      </c>
      <c r="F21" s="118">
        <v>1101.0</v>
      </c>
      <c r="G21" s="103" t="s">
        <v>127</v>
      </c>
      <c r="H21" s="104">
        <v>1126.0</v>
      </c>
      <c r="I21" s="68" t="str">
        <f>IFERROR(VLOOKUP($C18:C108,'R22 RELATÓRIO ACC'!B:F,5,FALSE),"NOT PUBLISHED")</f>
        <v>V14</v>
      </c>
      <c r="J21" s="69" t="str">
        <f>IFERROR(VLOOKUP($C18:C108,'R22 RELATÓRIO ACC'!B:P,15,FALSE),"NOT PUBLISHED")</f>
        <v>18/03/2026</v>
      </c>
      <c r="K21" s="70" t="str">
        <f>IFERROR(VLOOKUP($B18:B108,'RELATÓRIO ACC'!B:F,5,FALSE),"NOT PUBLISHED")</f>
        <v>V2</v>
      </c>
      <c r="L21" s="71" t="str">
        <f>IFERROR(VLOOKUP($B18:B108,'RELATÓRIO ACC'!B:P,15,FALSE),"NOT PUBLISHED")</f>
        <v>17/06/2026</v>
      </c>
      <c r="M21" s="72" t="str">
        <f>IF(OR($D21="UTLS",$D21="GUAR",$D21="STIR",$D21="PUMP",$D21="SITE"),
   VLOOKUP($B21,'LOD 400 - SITE'!B:M,12,FALSE),
   VLOOKUP($B21,'LOD 400 - ADMN'!B:M,12,FALSE)
)</f>
        <v>V2</v>
      </c>
      <c r="N21" s="105">
        <f>IF(OR($D21="UTLS",$D21="GUAR",$D21="STIR",$D21="PUMP",$D21="SITE"),
   VLOOKUP($B21,'LOD 400 - SITE'!B:N,13,FALSE),
   VLOOKUP($B21,'LOD 400 - ADMN'!B:N,13,FALSE)
)</f>
        <v>46190</v>
      </c>
      <c r="O21" s="106" t="str">
        <f>IF(OR($D21="UTLS",$D21="GUAR",$D21="STIR",$D21="PUMP",$D21="SITE"),
   VLOOKUP($B21,'LOD 400 - SITE'!B:O,14,FALSE),
   VLOOKUP($B21,'LOD 400 - ADMN'!B:O,14,FALSE)
)</f>
        <v>R24</v>
      </c>
      <c r="P21" s="107" t="str">
        <f>IF(OR($D21="C345",$D21="C12A",$D21="DATA"),
   VLOOKUP($B21,'LOD 400 - COLO3'!B:M,12,FALSE),"N/A")</f>
        <v>N/A</v>
      </c>
      <c r="Q21" s="108" t="str">
        <f>IF(OR($D21="C345",$D21="C12A",$D21="DATA"),
   VLOOKUP($B21,'LOD 400 - COLO3'!B:N,13,FALSE),"N/A")</f>
        <v>N/A</v>
      </c>
      <c r="R21" s="75" t="str">
        <f>IF(OR($D21="C345",$D21="C12A",$D21="DATA"),
   VLOOKUP($B21,'LOD 400 - COLO3'!B:O,14,FALSE),"N/A")</f>
        <v>N/A</v>
      </c>
      <c r="S21" s="76" t="str">
        <f>IF(OR($D21="C345",$D21="C12A",$D21="DATA"),
   VLOOKUP($B21,'LOD 400 - COLO4'!B:N,12,FALSE),"N/A")</f>
        <v>N/A</v>
      </c>
      <c r="T21" s="76" t="str">
        <f>IF(OR($D21="C345",$D21="C12A",$D21="DATA"),
   VLOOKUP($B21,'LOD 400 - COLO4'!B:N,13,FALSE),"N/A")</f>
        <v>N/A</v>
      </c>
      <c r="U21" s="76" t="str">
        <f>IF(OR($D21="C345",$D21="C12A",$D21="DATA"),
   VLOOKUP($B21,'LOD 400 - COLO4'!B:N,13,FALSE),"N/A")</f>
        <v>N/A</v>
      </c>
      <c r="V21" s="77" t="str">
        <f>IF(OR($D21="UTLS",$D21="GUAR",$D21="STIR",$D21="PUMP",$D21="SITE"),
   VLOOKUP($B21,'LOD 400 - UTLS'!B:M,12,FALSE),"N/A")</f>
        <v>V2</v>
      </c>
      <c r="W21" s="78">
        <f>IF(OR($D21="UTLS",$D21="GUAR",$D21="STIR",$D21="PUMP",$D21="SITE"),
   VLOOKUP($B21,'LOD 400 - UTLS'!B:N,13,FALSE),"N/A")</f>
        <v>46190</v>
      </c>
      <c r="X21" s="108" t="str">
        <f>IF(OR($D21="UTLS",$D21="GUAR",$D21="STIR",$D21="PUMP",$D21="SITE"),
   VLOOKUP($B21,'LOD 400 - UTLS'!B:O,14,FALSE),"N/A")</f>
        <v>R24</v>
      </c>
      <c r="Y21" s="79" t="str">
        <f>IFERROR(VLOOKUP($B21,'LOD 400 - ADMN'!B:S,18,FALSE),"N/A")</f>
        <v>N/A</v>
      </c>
      <c r="Z21" s="79" t="str">
        <f>IFERROR(VLOOKUP($B21,'LOD 400 - ADMN'!B:V,21,FALSE),"N/A")</f>
        <v>N/A</v>
      </c>
      <c r="AA21" s="79" t="str">
        <f>IFERROR(VLOOKUP($B21,'LOD 400 - ADMN'!$B:Y,24,FALSE),"N/A")</f>
        <v>N/A</v>
      </c>
      <c r="AB21" s="80" t="str">
        <f>IFERROR(VLOOKUP($B21,'LOD 400 - ADMN'!$B:AB,27,FALSE),"N/A")</f>
        <v>N/A</v>
      </c>
      <c r="AC21" s="81" t="str">
        <f>IFERROR(VLOOKUP($B21,'LOD 400 - ADMN'!$B:AE,30,FALSE),"N/A")</f>
        <v>N/A</v>
      </c>
      <c r="AD21" s="81" t="str">
        <f>IFERROR(VLOOKUP($B21,'LOD 400 - ADMN'!$B:AH,33,FALSE),"N/A")</f>
        <v>N/A</v>
      </c>
      <c r="AE21" s="80" t="str">
        <f>IFERROR(VLOOKUP($B21,'LOD 400 - ADMN'!$B:AK,36,FALSE),"N/A")</f>
        <v>N/A</v>
      </c>
      <c r="AF21" s="82" t="str">
        <f>IFERROR(VLOOKUP($B21,'LOD 400 - ADMN'!$B:AN,39,FALSE),"N/A")</f>
        <v>N/A</v>
      </c>
      <c r="AG21" s="83" t="str">
        <f>IFERROR(VLOOKUP($B21,'LOD 400 - ADMN'!$B:AQ,42,FALSE),"N/A")</f>
        <v>N/A</v>
      </c>
      <c r="AH21" s="84" t="str">
        <f>IFERROR(VLOOKUP($B21,'LOD 400 - ADMN'!$B:AT,45,FALSE),"N/A")</f>
        <v>N/A</v>
      </c>
      <c r="AI21" s="85" t="str">
        <f>IFERROR(VLOOKUP($B21,'LOD 400 - ADMN'!$B:AW,48,FALSE),"N/A")</f>
        <v>N/A</v>
      </c>
      <c r="AJ21" s="85" t="str">
        <f>IFERROR(VLOOKUP($B21,'LOD 400 - ADMN'!$B:AZ,51,FALSE),"N/A")</f>
        <v>N/A</v>
      </c>
      <c r="AK21" s="84" t="str">
        <f>IFERROR(VLOOKUP($B21,'LOD 400 - ADMN'!$B:BC,54,FALSE),"N/A")</f>
        <v>N/A</v>
      </c>
      <c r="AL21" s="84" t="str">
        <f>IFERROR(VLOOKUP($B21,'LOD 400 - ADMN'!$B:BF,57,FALSE),"N/A")</f>
        <v>N/A</v>
      </c>
      <c r="AM21" s="84" t="str">
        <f>IFERROR(VLOOKUP($B21,'LOD 400 - ADMN'!$B:BI,60,FALSE),"N/A")</f>
        <v>N/A</v>
      </c>
      <c r="AN21" s="84" t="str">
        <f>IFERROR(VLOOKUP($B21,'LOD 400 - ADMN'!$B:BL,63,FALSE),"N/A")</f>
        <v>N/A</v>
      </c>
      <c r="AO21" s="84" t="str">
        <f>IFERROR(VLOOKUP($B21,'LOD 400 - ADMN'!$B:BO,66,FALSE),"N/A")</f>
        <v>N/A</v>
      </c>
      <c r="AP21" s="84" t="str">
        <f>IFERROR(VLOOKUP($B21,'LOD 400 - ADMN'!$B:BR,69,FALSE),"N/A")</f>
        <v>N/A</v>
      </c>
      <c r="AQ21" s="84" t="str">
        <f>IFERROR(VLOOKUP($B21,'LOD 400 - ADMN'!$B:BU,72,FALSE),"N/A")</f>
        <v>N/A</v>
      </c>
      <c r="AR21" s="84" t="str">
        <f>IFERROR(VLOOKUP($B21,'LOD 400 - ADMN'!$B:BX,75,FALSE),"N/A")</f>
        <v>N/A</v>
      </c>
      <c r="AS21" s="84" t="str">
        <f>IFERROR(VLOOKUP($B21,'LOD 400 - ADMN'!$B:CA,78,FALSE),"N/A")</f>
        <v>N/A</v>
      </c>
      <c r="AT21" s="84" t="str">
        <f>IFERROR(VLOOKUP($B21,'LOD 400 - ADMN'!$B:CD,81,FALSE),"N/A")</f>
        <v>N/A</v>
      </c>
      <c r="AU21" s="85" t="str">
        <f>IFERROR(VLOOKUP($B21,'LOD 400 - ADMN'!$B:CG,84,FALSE),"N/A")</f>
        <v>N/A</v>
      </c>
      <c r="AV21" s="84" t="str">
        <f>IFERROR(VLOOKUP($B21,'LOD 400 - ADMN'!$B:CJ,87,FALSE),"N/A")</f>
        <v>N/A</v>
      </c>
      <c r="AW21" s="85" t="str">
        <f>IFERROR(VLOOKUP($B21,'LOD 400 - ADMN'!$B:CM,90,FALSE),"N/A")</f>
        <v>N/A</v>
      </c>
      <c r="AX21" s="84" t="str">
        <f>IFERROR(VLOOKUP($B21,'LOD 400 - ADMN'!$B:CP,93,FALSE),"N/A")</f>
        <v>N/A</v>
      </c>
      <c r="AY21" s="84" t="str">
        <f>IFERROR(VLOOKUP($B21,'LOD 400 - ADMN'!$B:CS,96,FALSE),"N/A")</f>
        <v>N/A</v>
      </c>
      <c r="AZ21" s="84" t="str">
        <f>IFERROR(VLOOKUP($B21,'LOD 400 - ADMN'!$B:CV,99,FALSE),"N/A")</f>
        <v>N/A</v>
      </c>
      <c r="BA21" s="84" t="str">
        <f>IFERROR(VLOOKUP($B21,'LOD 400 - ADMN'!$B:CY,102,FALSE),"N/A")</f>
        <v>N/A</v>
      </c>
      <c r="BB21" s="84" t="str">
        <f>IFERROR(VLOOKUP($B21,'LOD 400 - ADMN'!$B:DB,105,FALSE),"N/A")</f>
        <v>N/A</v>
      </c>
      <c r="BC21" s="84" t="str">
        <f>IFERROR(VLOOKUP($B21,'LOD 400 - ADMN'!$B:DE,108,FALSE),"N/A")</f>
        <v>N/A</v>
      </c>
      <c r="BD21" s="84" t="str">
        <f>IFERROR(VLOOKUP($B21,'LOD 400 - ADMN'!$B:DH,111,FALSE),"N/A")</f>
        <v>N/A</v>
      </c>
      <c r="BE21" s="84" t="str">
        <f>IFERROR(VLOOKUP($B21,'LOD 400 - ADMN'!$B:DK,114,FALSE),"N/A")</f>
        <v>N/A</v>
      </c>
      <c r="BF21" s="84" t="str">
        <f>IFERROR(VLOOKUP($B21,'LOD 400 - ADMN'!$B:DN,117,FALSE),"N/A")</f>
        <v>N/A</v>
      </c>
      <c r="BG21" s="86" t="str">
        <f>IFERROR(__xludf.DUMMYFUNCTION("IFERROR(
  MAX(FILTER(Y21:BF21, ISNUMBER(Y21:BF21))),
  BF21
)"),"N/A")</f>
        <v>N/A</v>
      </c>
      <c r="BH21" s="79" t="str">
        <f>IFERROR(VLOOKUP($B21,'LOD 400 - COLO1'!B:S,18,FALSE),"N/A")</f>
        <v>N/A</v>
      </c>
      <c r="BI21" s="79" t="str">
        <f>IFERROR(VLOOKUP($B21,'LOD 400 - COLO1'!B:V,21,FALSE),"N/A")</f>
        <v>N/A</v>
      </c>
      <c r="BJ21" s="79" t="str">
        <f>IFERROR(VLOOKUP($B21,'LOD 400 - COLO1'!$B:Y,24,FALSE),"N/A")</f>
        <v>N/A</v>
      </c>
      <c r="BK21" s="87" t="str">
        <f>IFERROR(VLOOKUP($B21,'LOD 400 - COLO1'!$B:AB,27,FALSE),"N/A")</f>
        <v>N/A</v>
      </c>
      <c r="BL21" s="80" t="str">
        <f>IFERROR(VLOOKUP($B21,'LOD 400 - COLO1'!$B:AE,30,FALSE),"N/A")</f>
        <v>N/A</v>
      </c>
      <c r="BM21" s="81" t="str">
        <f>IFERROR(VLOOKUP($B21,'LOD 400 - COLO1'!$B:AH,33,FALSE),"N/A")</f>
        <v>N/A</v>
      </c>
      <c r="BN21" s="87" t="str">
        <f>IFERROR(VLOOKUP($B21,'LOD 400 - COLO1'!$B:AK,36,FALSE),"N/A")</f>
        <v>N/A</v>
      </c>
      <c r="BO21" s="83" t="str">
        <f>IFERROR(VLOOKUP($B21,'LOD 400 - COLO1'!$B:AN,39,FALSE),"N/A")</f>
        <v>N/A</v>
      </c>
      <c r="BP21" s="88" t="str">
        <f>IFERROR(VLOOKUP($B21,'LOD 400 - COLO1'!$B:AQ,42,FALSE),"N/A")</f>
        <v>N/A</v>
      </c>
      <c r="BQ21" s="84" t="str">
        <f>IFERROR(VLOOKUP($B21,'LOD 400 - COLO1'!$B:AT,45,FALSE),"N/A")</f>
        <v>N/A</v>
      </c>
      <c r="BR21" s="85" t="str">
        <f>IFERROR(VLOOKUP($B21,'LOD 400 - COLO1'!$B:AW,48,FALSE),"N/A")</f>
        <v>N/A</v>
      </c>
      <c r="BS21" s="84" t="str">
        <f>IFERROR(VLOOKUP($B21,'LOD 400 - COLO1'!$B:AZ,51,FALSE),"N/A")</f>
        <v>N/A</v>
      </c>
      <c r="BT21" s="84" t="str">
        <f>IFERROR(VLOOKUP($B21,'LOD 400 - COLO1'!$B:BC,54,FALSE),"N/A")</f>
        <v>N/A</v>
      </c>
      <c r="BU21" s="84" t="str">
        <f>IFERROR(VLOOKUP($B21,'LOD 400 - COLO1'!$B:BF,57,FALSE),"N/A")</f>
        <v>N/A</v>
      </c>
      <c r="BV21" s="84" t="str">
        <f>IFERROR(VLOOKUP($B21,'LOD 400 - COLO1'!$B:BI,60,FALSE),"N/A")</f>
        <v>N/A</v>
      </c>
      <c r="BW21" s="84" t="str">
        <f>IFERROR(VLOOKUP($B21,'LOD 400 - COLO1'!$B:BL,63,FALSE),"N/A")</f>
        <v>N/A</v>
      </c>
      <c r="BX21" s="84" t="str">
        <f>IFERROR(VLOOKUP($B21,'LOD 400 - COLO1'!$B:BO,66,FALSE),"N/A")</f>
        <v>N/A</v>
      </c>
      <c r="BY21" s="84" t="str">
        <f>IFERROR(VLOOKUP($B21,'LOD 400 - COLO1'!$B:BR,69,FALSE),"N/A")</f>
        <v>N/A</v>
      </c>
      <c r="BZ21" s="84" t="str">
        <f>IFERROR(VLOOKUP($B21,'LOD 400 - COLO1'!$B:BU,72,FALSE),"N/A")</f>
        <v>N/A</v>
      </c>
      <c r="CA21" s="84" t="str">
        <f>IFERROR(VLOOKUP($B21,'LOD 400 - COLO1'!$B:BX,75,FALSE),"N/A")</f>
        <v>N/A</v>
      </c>
      <c r="CB21" s="84" t="str">
        <f>IFERROR(VLOOKUP($B21,'LOD 400 - COLO1'!$B:CA,78,FALSE),"N/A")</f>
        <v>N/A</v>
      </c>
      <c r="CC21" s="84" t="str">
        <f>IFERROR(VLOOKUP($B21,'LOD 400 - COLO1'!$B:CD,81,FALSE),"N/A")</f>
        <v>N/A</v>
      </c>
      <c r="CD21" s="85" t="str">
        <f>IFERROR(VLOOKUP($B21,'LOD 400 - COLO1'!$B:CG,84,FALSE),"N/A")</f>
        <v>N/A</v>
      </c>
      <c r="CE21" s="84" t="str">
        <f>IFERROR(VLOOKUP($B21,'LOD 400 - COLO1'!$B:CJ,87,FALSE),"N/A")</f>
        <v>N/A</v>
      </c>
      <c r="CF21" s="85" t="str">
        <f>IFERROR(VLOOKUP($B21,'LOD 400 - COLO1'!$B:CM,90,FALSE),"N/A")</f>
        <v>N/A</v>
      </c>
      <c r="CG21" s="84" t="str">
        <f>IFERROR(VLOOKUP($B21,'LOD 400 - COLO1'!$B:CP,93,FALSE),"N/A")</f>
        <v>N/A</v>
      </c>
      <c r="CH21" s="84" t="str">
        <f>IFERROR(VLOOKUP($B21,'LOD 400 - COLO1'!$B:CS,96,FALSE),"N/A")</f>
        <v>N/A</v>
      </c>
      <c r="CI21" s="84" t="str">
        <f>IFERROR(VLOOKUP($B21,'LOD 400 - COLO1'!$B:CV,99,FALSE),"N/A")</f>
        <v>N/A</v>
      </c>
      <c r="CJ21" s="84" t="str">
        <f>IFERROR(VLOOKUP($B21,'LOD 400 - COLO1'!$B:CY,102,FALSE),"N/A")</f>
        <v>N/A</v>
      </c>
      <c r="CK21" s="84" t="str">
        <f>IFERROR(VLOOKUP($B21,'LOD 400 - COLO1'!$B:DB,105,FALSE),"N/A")</f>
        <v>N/A</v>
      </c>
      <c r="CL21" s="84" t="str">
        <f>IFERROR(VLOOKUP($B21,'LOD 400 - COLO1'!$B:DE,108,FALSE),"N/A")</f>
        <v>N/A</v>
      </c>
      <c r="CM21" s="84" t="str">
        <f>IFERROR(VLOOKUP($B21,'LOD 400 - COLO1'!$B:DH,111,FALSE),"N/A")</f>
        <v>N/A</v>
      </c>
      <c r="CN21" s="84" t="str">
        <f>IFERROR(VLOOKUP($B21,'LOD 400 - COLO1'!$B:DK,114,FALSE),"N/A")</f>
        <v>N/A</v>
      </c>
      <c r="CO21" s="84" t="str">
        <f>IFERROR(VLOOKUP($B21,'LOD 400 - COLO1'!$B:DN,117,FALSE),"N/A")</f>
        <v>N/A</v>
      </c>
      <c r="CP21" s="86" t="str">
        <f>IFERROR(__xludf.DUMMYFUNCTION("IFERROR(
  MAX(FILTER(BH21:CO21, ISNUMBER(BH21:CO21))),
  CO21
)"),"N/A")</f>
        <v>N/A</v>
      </c>
      <c r="CQ21" s="89" t="str">
        <f>IFERROR(VLOOKUP($B21,'LOD 400 - COLO2'!B:S,18,FALSE),"N/A")</f>
        <v>N/A</v>
      </c>
      <c r="CR21" s="79" t="str">
        <f>IFERROR(VLOOKUP($B21,'LOD 400 - COLO2'!B:V,21,FALSE),"N/A")</f>
        <v>N/A</v>
      </c>
      <c r="CS21" s="79" t="str">
        <f>IFERROR(VLOOKUP($B21,'LOD 400 - COLO2'!$B:Y,24,FALSE),"N/A")</f>
        <v>N/A</v>
      </c>
      <c r="CT21" s="80" t="str">
        <f>IFERROR(VLOOKUP($B21,'LOD 400 - COLO2'!$B:DQ,27,FALSE),"N/A")</f>
        <v>N/A</v>
      </c>
      <c r="CU21" s="90" t="str">
        <f>IFERROR(VLOOKUP($B21,'LOD 400 - COLO2'!$B:AE,30,FALSE),"N/A")</f>
        <v>N/A</v>
      </c>
      <c r="CV21" s="81" t="str">
        <f>IFERROR(VLOOKUP($B21,'LOD 400 - COLO2'!$B:AH,33,FALSE),"N/A")</f>
        <v>N/A</v>
      </c>
      <c r="CW21" s="90" t="str">
        <f>IFERROR(VLOOKUP($B21,'LOD 400 - COLO2'!$B:AK,36,FALSE),"N/A")</f>
        <v>N/A</v>
      </c>
      <c r="CX21" s="85" t="str">
        <f>IFERROR(VLOOKUP($B21,'LOD 400 - COLO2'!$B:AN,39,FALSE),"N/A")</f>
        <v>N/A</v>
      </c>
      <c r="CY21" s="88" t="str">
        <f>IFERROR(VLOOKUP($B21,'LOD 400 - COLO2'!$B:AQ,42,FALSE),"N/A")</f>
        <v>N/A</v>
      </c>
      <c r="CZ21" s="84" t="str">
        <f>IFERROR(VLOOKUP($B21,'LOD 400 - COLO2'!$B:AT,45,FALSE),"N/A")</f>
        <v>N/A</v>
      </c>
      <c r="DA21" s="85" t="str">
        <f>IFERROR(VLOOKUP($B21,'LOD 400 - COLO2'!$B:AW,48,FALSE),"N/A")</f>
        <v>N/A</v>
      </c>
      <c r="DB21" s="84" t="str">
        <f>IFERROR(VLOOKUP($B21,'LOD 400 - COLO2'!$B:AZ,51,FALSE),"N/A")</f>
        <v>N/A</v>
      </c>
      <c r="DC21" s="84" t="str">
        <f>IFERROR(VLOOKUP($B21,'LOD 400 - COLO2'!$B:BC,54,FALSE),"N/A")</f>
        <v>N/A</v>
      </c>
      <c r="DD21" s="84" t="str">
        <f>IFERROR(VLOOKUP($B21,'LOD 400 - COLO2'!$B:BF,57,FALSE),"N/A")</f>
        <v>N/A</v>
      </c>
      <c r="DE21" s="84" t="str">
        <f>IFERROR(VLOOKUP($B21,'LOD 400 - COLO2'!$B:BI,60,FALSE),"N/A")</f>
        <v>N/A</v>
      </c>
      <c r="DF21" s="84" t="str">
        <f>IFERROR(VLOOKUP($B21,'LOD 400 - COLO2'!$B:BL,63,FALSE),"N/A")</f>
        <v>N/A</v>
      </c>
      <c r="DG21" s="84" t="str">
        <f>IFERROR(VLOOKUP($B21,'LOD 400 - COLO2'!$B:BO,66,FALSE),"N/A")</f>
        <v>N/A</v>
      </c>
      <c r="DH21" s="84" t="str">
        <f>IFERROR(VLOOKUP($B21,'LOD 400 - COLO2'!$B:BR,69,FALSE),"N/A")</f>
        <v>N/A</v>
      </c>
      <c r="DI21" s="84" t="str">
        <f>IFERROR(VLOOKUP($B21,'LOD 400 - COLO2'!$B:BU,72,FALSE),"N/A")</f>
        <v>N/A</v>
      </c>
      <c r="DJ21" s="84" t="str">
        <f>IFERROR(VLOOKUP($B21,'LOD 400 - COLO2'!$B:BX,75,FALSE),"N/A")</f>
        <v>N/A</v>
      </c>
      <c r="DK21" s="84" t="str">
        <f>IFERROR(VLOOKUP($B21,'LOD 400 - COLO2'!$B:CA,78,FALSE),"N/A")</f>
        <v>N/A</v>
      </c>
      <c r="DL21" s="84" t="str">
        <f>IFERROR(VLOOKUP($B21,'LOD 400 - COLO2'!$B:CD,81,FALSE),"N/A")</f>
        <v>N/A</v>
      </c>
      <c r="DM21" s="85" t="str">
        <f>IFERROR(VLOOKUP($B21,'LOD 400 - COLO2'!$B:CG,84,FALSE),"N/A")</f>
        <v>N/A</v>
      </c>
      <c r="DN21" s="84" t="str">
        <f>IFERROR(VLOOKUP($B21,'LOD 400 - COLO2'!$B:CJ,87,FALSE),"N/A")</f>
        <v>N/A</v>
      </c>
      <c r="DO21" s="85" t="str">
        <f>IFERROR(VLOOKUP($B21,'LOD 400 - COLO2'!$B:CM,90,FALSE),"N/A")</f>
        <v>N/A</v>
      </c>
      <c r="DP21" s="84" t="str">
        <f>IFERROR(VLOOKUP($B21,'LOD 400 - COLO2'!$B:CP,93,FALSE),"N/A")</f>
        <v>N/A</v>
      </c>
      <c r="DQ21" s="84" t="str">
        <f>IFERROR(VLOOKUP($B21,'LOD 400 - COLO2'!$B:CS,96,FALSE),"N/A")</f>
        <v>N/A</v>
      </c>
      <c r="DR21" s="84" t="str">
        <f>IFERROR(VLOOKUP($B21,'LOD 400 - COLO2'!$B:CV,99,FALSE),"N/A")</f>
        <v>N/A</v>
      </c>
      <c r="DS21" s="84" t="str">
        <f>IFERROR(VLOOKUP($B21,'LOD 400 - COLO2'!$B:CY,102,FALSE),"N/A")</f>
        <v>N/A</v>
      </c>
      <c r="DT21" s="84" t="str">
        <f>IFERROR(VLOOKUP($B21,'LOD 400 - COLO2'!$B:DB,105,FALSE),"N/A")</f>
        <v>N/A</v>
      </c>
      <c r="DU21" s="84" t="str">
        <f>IFERROR(VLOOKUP($B21,'LOD 400 - COLO2'!$B:DE,108,FALSE),"N/A")</f>
        <v>N/A</v>
      </c>
      <c r="DV21" s="84" t="str">
        <f>IFERROR(VLOOKUP($B21,'LOD 400 - COLO2'!$B:DH,111,FALSE),"N/A")</f>
        <v>N/A</v>
      </c>
      <c r="DW21" s="84" t="str">
        <f>IFERROR(VLOOKUP($B21,'LOD 400 - COLO2'!$B:DK,114,FALSE),"N/A")</f>
        <v>N/A</v>
      </c>
      <c r="DX21" s="84" t="str">
        <f>IFERROR(VLOOKUP($B21,'LOD 400 - COLO2'!$B:DN,117,FALSE),"N/A")</f>
        <v>N/A</v>
      </c>
      <c r="DY21" s="91" t="str">
        <f>IFERROR(__xludf.DUMMYFUNCTION("IFERROR(
  MAX(FILTER(CQ21:DW21, ISNUMBER(CQ21:DW21))),
  DW21
)"),"N/A")</f>
        <v>N/A</v>
      </c>
      <c r="DZ21" s="92" t="str">
        <f>IFERROR(VLOOKUP($B21,'LOD 400 - COLO3'!B:S,18,FALSE),"N/A")</f>
        <v>N/A</v>
      </c>
      <c r="EA21" s="84" t="str">
        <f>IFERROR(VLOOKUP($B21,'LOD 400 - COLO3'!B:V,21,FALSE),"N/A")</f>
        <v>N/A</v>
      </c>
      <c r="EB21" s="84" t="str">
        <f>IFERROR(VLOOKUP($B21,'LOD 400 - COLO3'!B:Y,24,FALSE),"N/A")</f>
        <v>N/A</v>
      </c>
      <c r="EC21" s="84" t="str">
        <f>IFERROR(VLOOKUP($B21,'LOD 400 - COLO3'!B:AB,27,FALSE),"N/A")</f>
        <v>N/A</v>
      </c>
      <c r="ED21" s="85" t="str">
        <f>IFERROR(VLOOKUP($B21,'LOD 400 - COLO3'!B:AE,30,FALSE),"N/A")</f>
        <v>N/A</v>
      </c>
      <c r="EE21" s="84" t="str">
        <f>IFERROR(VLOOKUP($B21,'LOD 400 - COLO3'!B:AH,33,FALSE),"N/A")</f>
        <v>N/A</v>
      </c>
      <c r="EF21" s="84" t="str">
        <f>IFERROR(VLOOKUP($B21,'LOD 400 - COLO3'!B:AK,36,FALSE),"N/A")</f>
        <v>N/A</v>
      </c>
      <c r="EG21" s="109" t="str">
        <f>IFERROR(VLOOKUP($B21,'LOD 400 - COLO3'!B:AN,39,FALSE),"N/A")</f>
        <v>N/A</v>
      </c>
      <c r="EH21" s="94" t="str">
        <f>IFERROR(VLOOKUP($B21,'LOD 400 - COLO3'!B:AQ,42,FALSE),"N/A")</f>
        <v>N/A</v>
      </c>
      <c r="EI21" s="94" t="str">
        <f>IFERROR(VLOOKUP($B21,'LOD 400 - COLO3'!B:AT,45,FALSE),"N/A")</f>
        <v>N/A</v>
      </c>
      <c r="EJ21" s="94" t="str">
        <f>IFERROR(VLOOKUP($B21,'LOD 400 - COLO3'!B:AW,48,FALSE),"N/A")</f>
        <v>N/A</v>
      </c>
      <c r="EK21" s="94" t="str">
        <f>IFERROR(VLOOKUP($B21,'LOD 400 - COLO3'!B:AZ,51,FALSE),"N/A")</f>
        <v>N/A</v>
      </c>
      <c r="EL21" s="94" t="str">
        <f>IFERROR(VLOOKUP($B21,'LOD 400 - COLO3'!B:BC,54,FALSE),"N/A")</f>
        <v>N/A</v>
      </c>
      <c r="EM21" s="94" t="str">
        <f>IFERROR(VLOOKUP($B21,'LOD 400 - COLO3'!B:BF,57,FALSE),"N/A")</f>
        <v>N/A</v>
      </c>
      <c r="EN21" s="94" t="str">
        <f>IFERROR(VLOOKUP($B21,'LOD 400 - COLO3'!B:BI,60,FALSE),"N/A")</f>
        <v>N/A</v>
      </c>
      <c r="EO21" s="94" t="str">
        <f>IFERROR(VLOOKUP($B21,'LOD 400 - COLO3'!B:BL,63,FALSE),"N/A")</f>
        <v>N/A</v>
      </c>
      <c r="EP21" s="86" t="str">
        <f>IFERROR(__xludf.DUMMYFUNCTION("IFERROR(
  MAX(FILTER(DZ21:EO21, ISNUMBER(DZ21:EO21))),
  EO21
)"),"N/A")</f>
        <v>N/A</v>
      </c>
      <c r="EQ21" s="95" t="str">
        <f>IFERROR(VLOOKUP($B21,'LOD 400 - COLO4'!B:S,18,FALSE),"N/A")</f>
        <v>N/A</v>
      </c>
      <c r="ER21" s="96" t="str">
        <f>IFERROR(__xludf.DUMMYFUNCTION("IFERROR(
  MAX(FILTER(EQ21, ISNUMBER(EQ21))),
  EQ21
)"),"N/A")</f>
        <v>N/A</v>
      </c>
      <c r="ES21" s="79" t="str">
        <f>IFERROR(VLOOKUP($B21,'LOD 400 - SITE'!B:S,18,FALSE),"N/A")</f>
        <v>OUTDATED</v>
      </c>
      <c r="ET21" s="80">
        <f>IFERROR(VLOOKUP($B21,'LOD 400 - SITE'!B:V,21,FALSE),"N/A")</f>
        <v>0.24</v>
      </c>
      <c r="EU21" s="97" t="str">
        <f>IFERROR(VLOOKUP($B21,'LOD 400 - SITE'!$B:Y,24,FALSE),"N/A")</f>
        <v>OUTDATED</v>
      </c>
      <c r="EV21" s="80" t="str">
        <f>IFERROR(VLOOKUP($B21,'LOD 400 - SITE'!$B:AB,27,FALSE),"N/A")</f>
        <v>IMPROPER</v>
      </c>
      <c r="EW21" s="81" t="str">
        <f>IFERROR(VLOOKUP($B21,'LOD 400 - SITE'!$B:AE,30,FALSE),"N/A")</f>
        <v>OUTDATED</v>
      </c>
      <c r="EX21" s="87" t="str">
        <f>IFERROR(VLOOKUP($B21,'LOD 400 - SITE'!$B:AH,33,FALSE),"N/A")</f>
        <v>NEXT ROUND </v>
      </c>
      <c r="EY21" s="87">
        <f>IFERROR(VLOOKUP($B21,'LOD 400 - SITE'!$B:AK,36,FALSE),"N/A")</f>
        <v>0.78</v>
      </c>
      <c r="EZ21" s="80" t="str">
        <f>IFERROR(VLOOKUP($B21,'LOD 400 - SITE'!$B:AN,39,FALSE),"N/A")</f>
        <v>OUTDATED</v>
      </c>
      <c r="FA21" s="82" t="str">
        <f>IFERROR(VLOOKUP($B21,'LOD 400 - SITE'!$B:AQ,42,FALSE),"N/A")</f>
        <v>OUTDATED</v>
      </c>
      <c r="FB21" s="88" t="str">
        <f>IFERROR(VLOOKUP($B21,'LOD 400 - SITE'!$B:AT,45,FALSE),"N/A")</f>
        <v>OUTDATED</v>
      </c>
      <c r="FC21" s="84" t="str">
        <f>IFERROR(VLOOKUP($B21,'LOD 400 - SITE'!$B:AW,48,FALSE),"N/A")</f>
        <v>OUTDATED</v>
      </c>
      <c r="FD21" s="84" t="str">
        <f>IFERROR(VLOOKUP($B21,'LOD 400 - SITE'!$B:AZ,51,FALSE),"N/A")</f>
        <v>OUTDATED</v>
      </c>
      <c r="FE21" s="84" t="str">
        <f>IFERROR(VLOOKUP($B21,'LOD 400 - SITE'!$B:BC,54,FALSE),"N/A")</f>
        <v>OUTDATED</v>
      </c>
      <c r="FF21" s="84" t="str">
        <f>IFERROR(VLOOKUP($B21,'LOD 400 - SITE'!$B:BF,57,FALSE),"N/A")</f>
        <v>OUTDATED</v>
      </c>
      <c r="FG21" s="84" t="str">
        <f>IFERROR(VLOOKUP($B21,'LOD 400 - SITE'!$B:BI,60,FALSE),"N/A")</f>
        <v>OUTDATED</v>
      </c>
      <c r="FH21" s="84">
        <f>IFERROR(VLOOKUP($B21,'LOD 400 - SITE'!$B:BL,63,FALSE),"N/A")</f>
        <v>0.92</v>
      </c>
      <c r="FI21" s="84" t="str">
        <f>IFERROR(VLOOKUP($B21,'LOD 400 - SITE'!$B:BO,66,FALSE),"N/A")</f>
        <v>OUTDATED</v>
      </c>
      <c r="FJ21" s="84" t="str">
        <f>IFERROR(VLOOKUP($B21,'LOD 400 - SITE'!$B:BR,69,FALSE),"N/A")</f>
        <v>OUTDATED</v>
      </c>
      <c r="FK21" s="84" t="str">
        <f>IFERROR(VLOOKUP($B21,'LOD 400 - SITE'!$B:BU,72,FALSE),"N/A")</f>
        <v>OUTDATED</v>
      </c>
      <c r="FL21" s="84" t="str">
        <f>IFERROR(VLOOKUP($B21,'LOD 400 - SITE'!$B:BX,75,FALSE),"N/A")</f>
        <v>OUTDATED</v>
      </c>
      <c r="FM21" s="84" t="str">
        <f>IFERROR(VLOOKUP($B21,'LOD 400 - SITE'!$B:CA,78,FALSE),"N/A")</f>
        <v>OUTDATED</v>
      </c>
      <c r="FN21" s="85" t="str">
        <f>IFERROR(VLOOKUP($B21,'LOD 400 - SITE'!$B:CD,81,FALSE),"N/A")</f>
        <v>OUTDATED</v>
      </c>
      <c r="FO21" s="84" t="str">
        <f>IFERROR(VLOOKUP($B21,'LOD 400 - SITE'!$B:CG,84,FALSE),"N/A")</f>
        <v>OUTDATED</v>
      </c>
      <c r="FP21" s="85" t="str">
        <f>IFERROR(VLOOKUP($B21,'LOD 400 - SITE'!$B:CJ,87,FALSE),"N/A")</f>
        <v>OUTDATED</v>
      </c>
      <c r="FQ21" s="84" t="str">
        <f>IFERROR(VLOOKUP($B21,'LOD 400 - SITE'!$B:CM,90,FALSE),"N/A")</f>
        <v>IMPROPER</v>
      </c>
      <c r="FR21" s="84" t="str">
        <f>IFERROR(VLOOKUP($B21,'LOD 400 - SITE'!$B:CP,93,FALSE),"N/A")</f>
        <v>OUTDATED</v>
      </c>
      <c r="FS21" s="84" t="str">
        <f>IFERROR(VLOOKUP($B21,'LOD 400 - SITE'!$B:CS,96,FALSE),"N/A")</f>
        <v>OUTDATED</v>
      </c>
      <c r="FT21" s="84" t="str">
        <f>IFERROR(VLOOKUP($B21,'LOD 400 - SITE'!$B:CV,99,FALSE),"N/A")</f>
        <v>OUTDATED</v>
      </c>
      <c r="FU21" s="84" t="str">
        <f>IFERROR(VLOOKUP($B21,'LOD 400 - SITE'!$B:CY,102,FALSE),"N/A")</f>
        <v>NEXT ROUND</v>
      </c>
      <c r="FV21" s="84" t="str">
        <f>IFERROR(VLOOKUP($B21,'LOD 400 - SITE'!$B:DB,105,FALSE),"N/A")</f>
        <v>IMPROPER</v>
      </c>
      <c r="FW21" s="84" t="str">
        <f>IFERROR(VLOOKUP($B21,'LOD 400 - SITE'!$B:DE,108,FALSE),"N/A")</f>
        <v>OUTDATED</v>
      </c>
      <c r="FX21" s="84" t="str">
        <f>IFERROR(VLOOKUP($B21,'LOD 400 - SITE'!$B:DH,111,FALSE),"N/A")</f>
        <v>OUTDATED</v>
      </c>
      <c r="FY21" s="84" t="str">
        <f>IFERROR(VLOOKUP($B21,'LOD 400 - SITE'!$B:DK,114,FALSE),"N/A")</f>
        <v>OUTDATED</v>
      </c>
      <c r="FZ21" s="96">
        <f>IFERROR(__xludf.DUMMYFUNCTION("IFERROR(
  MAX(FILTER(ES21:FY21, ISNUMBER(ES21:FY21))),
  FY21
)"),0.92)</f>
        <v>0.92</v>
      </c>
      <c r="GA21" s="80">
        <f>IFERROR(VLOOKUP($B21,'LOD 400 - UTLS'!B:S,18,FALSE),"N/A")</f>
        <v>0.12</v>
      </c>
      <c r="GB21" s="98" t="str">
        <f>IFERROR(VLOOKUP($B21,'LOD 400 - UTLS'!B:V,21,FALSE),"N/A")</f>
        <v>IMPROPER</v>
      </c>
      <c r="GC21" s="81" t="str">
        <f>IFERROR(VLOOKUP($B21,'LOD 400 - UTLS'!B:Y,24,FALSE),"N/A")</f>
        <v>NEXT ROUND</v>
      </c>
      <c r="GD21" s="87">
        <f>IFERROR(VLOOKUP($B21,'LOD 400 - UTLS'!$B:AB,27,FALSE),"N/A")</f>
        <v>0.71</v>
      </c>
      <c r="GE21" s="80" t="str">
        <f>IFERROR(VLOOKUP($B21,'LOD 400 - UTLS'!$B:AE,30,FALSE),"N/A")</f>
        <v>OUTDATED</v>
      </c>
      <c r="GF21" s="82" t="str">
        <f>IFERROR(VLOOKUP($B21,'LOD 400 - UTLS'!$B:AH,33,FALSE),"N/A")</f>
        <v>OUTDATED</v>
      </c>
      <c r="GG21" s="88" t="str">
        <f>IFERROR(VLOOKUP($B21,'LOD 400 - UTLS'!$B:AK,36,FALSE),"N/A")</f>
        <v>OUTDATED</v>
      </c>
      <c r="GH21" s="84" t="str">
        <f>IFERROR(VLOOKUP($B21,'LOD 400 - UTLS'!$B:AN,39,FALSE),"N/A")</f>
        <v>OUTDATED</v>
      </c>
      <c r="GI21" s="84" t="str">
        <f>IFERROR(VLOOKUP($B21,'LOD 400 - UTLS'!$B:AQ,42,FALSE),"N/A")</f>
        <v>OUTDATED</v>
      </c>
      <c r="GJ21" s="84" t="str">
        <f>IFERROR(VLOOKUP($B21,'LOD 400 - UTLS'!$B:AT,45,FALSE),"N/A")</f>
        <v>OUTDATED</v>
      </c>
      <c r="GK21" s="84" t="str">
        <f>IFERROR(VLOOKUP($B21,'LOD 400 - UTLS'!$B:AW,48,FALSE),"N/A")</f>
        <v>OUTDATED</v>
      </c>
      <c r="GL21" s="84" t="str">
        <f>IFERROR(VLOOKUP($B21,'LOD 400 - UTLS'!$B:AZ,51,FALSE),"N/A")</f>
        <v>OUTDATED</v>
      </c>
      <c r="GM21" s="84" t="str">
        <f>IFERROR(VLOOKUP($B21,'LOD 400 - UTLS'!$B:BC,54,FALSE),"N/A")</f>
        <v>NEXT ROUND</v>
      </c>
      <c r="GN21" s="84">
        <f>IFERROR(VLOOKUP($B21,'LOD 400 - UTLS'!$B:BF,57,FALSE),"N/A")</f>
        <v>0.71</v>
      </c>
      <c r="GO21" s="84" t="str">
        <f>IFERROR(VLOOKUP($B21,'LOD 400 - UTLS'!$B:BI,60,FALSE),"N/A")</f>
        <v>OUTDATED</v>
      </c>
      <c r="GP21" s="84" t="str">
        <f>IFERROR(VLOOKUP($B21,'LOD 400 - UTLS'!$B:BL,63,FALSE),"N/A")</f>
        <v>OUTDATED</v>
      </c>
      <c r="GQ21" s="84" t="str">
        <f>IFERROR(VLOOKUP($B21,'LOD 400 - UTLS'!$B:BO,66,FALSE),"N/A")</f>
        <v>OUTDATED</v>
      </c>
      <c r="GR21" s="84" t="str">
        <f>IFERROR(VLOOKUP($B21,'LOD 400 - UTLS'!$B:BR,69,FALSE),"N/A")</f>
        <v>OUTDATED</v>
      </c>
      <c r="GS21" s="85" t="str">
        <f>IFERROR(VLOOKUP($B21,'LOD 400 - UTLS'!$B:BU,72,FALSE),"N/A")</f>
        <v>OUTDATED</v>
      </c>
      <c r="GT21" s="84" t="str">
        <f>IFERROR(VLOOKUP($B21,'LOD 400 - UTLS'!$B:BX,75,FALSE),"N/A")</f>
        <v>OUTDATED</v>
      </c>
      <c r="GU21" s="85" t="str">
        <f>IFERROR(VLOOKUP($B21,'LOD 400 - UTLS'!$B:CA,78,FALSE),"N/A")</f>
        <v>OUTDATED</v>
      </c>
      <c r="GV21" s="84" t="str">
        <f>IFERROR(VLOOKUP($B21,'LOD 400 - UTLS'!$B:CD,81,FALSE),"N/A")</f>
        <v>IMPROPER</v>
      </c>
      <c r="GW21" s="84" t="str">
        <f>IFERROR(VLOOKUP($B21,'LOD 400 - UTLS'!$B:CG,84,FALSE),"N/A")</f>
        <v>OUTDATED</v>
      </c>
      <c r="GX21" s="84" t="str">
        <f>IFERROR(VLOOKUP($B21,'LOD 400 - UTLS'!$B:CJ,87,FALSE),"N/A")</f>
        <v>OUTDATED</v>
      </c>
      <c r="GY21" s="84" t="str">
        <f>IFERROR(VLOOKUP($B21,'LOD 400 - UTLS'!$B:CM,90,FALSE),"N/A")</f>
        <v>OUTDATED</v>
      </c>
      <c r="GZ21" s="84" t="str">
        <f>IFERROR(VLOOKUP($B21,'LOD 400 - UTLS'!$B:CP,93,FALSE),"N/A")</f>
        <v>NEXT ROUND </v>
      </c>
      <c r="HA21" s="84" t="str">
        <f>IFERROR(VLOOKUP($B21,'LOD 400 - UTLS'!$B:CS,96,FALSE),"N/A")</f>
        <v>IMPROPER</v>
      </c>
      <c r="HB21" s="84" t="str">
        <f>IFERROR(VLOOKUP($B21,'LOD 400 - UTLS'!$B:CV,99,FALSE),"N/A")</f>
        <v>OUTDATED</v>
      </c>
      <c r="HC21" s="84" t="str">
        <f>IFERROR(VLOOKUP($B21,'LOD 400 - UTLS'!$B:CY,102,FALSE),"N/A")</f>
        <v>OUTDATED</v>
      </c>
      <c r="HD21" s="84" t="str">
        <f>IFERROR(VLOOKUP($B21,'LOD 400 - UTLS'!$B:DB,105,FALSE),"N/A")</f>
        <v>OUTDATED</v>
      </c>
      <c r="HE21" s="96">
        <f>IFERROR(__xludf.DUMMYFUNCTION("IFERROR(
  MAX(FILTER(GA21:HD21, ISNUMBER(GA21:HD21))),
  HD21
)"),0.71)</f>
        <v>0.71</v>
      </c>
      <c r="HF21" s="99"/>
      <c r="HG21" s="99"/>
      <c r="HH21" s="99"/>
      <c r="HI21" s="99"/>
      <c r="HJ21" s="99"/>
      <c r="HK21" s="99"/>
    </row>
    <row r="22" ht="15.0" customHeight="1" outlineLevel="1">
      <c r="A22" s="53">
        <v>25.0</v>
      </c>
      <c r="B22" s="100" t="s">
        <v>128</v>
      </c>
      <c r="C22" s="100" t="s">
        <v>129</v>
      </c>
      <c r="D22" s="64" t="str">
        <f t="shared" si="1"/>
        <v>C345</v>
      </c>
      <c r="E22" s="101" t="s">
        <v>126</v>
      </c>
      <c r="F22" s="118">
        <v>1101.0</v>
      </c>
      <c r="G22" s="103" t="s">
        <v>127</v>
      </c>
      <c r="H22" s="104">
        <v>1126.0</v>
      </c>
      <c r="I22" s="68" t="str">
        <f>IFERROR(VLOOKUP($C19:C108,'R22 RELATÓRIO ACC'!B:F,5,FALSE),"NOT PUBLISHED")</f>
        <v>V14</v>
      </c>
      <c r="J22" s="69" t="str">
        <f>IFERROR(VLOOKUP($C19:C108,'R22 RELATÓRIO ACC'!B:P,15,FALSE),"NOT PUBLISHED")</f>
        <v>30/01/2026</v>
      </c>
      <c r="K22" s="70" t="str">
        <f>IFERROR(VLOOKUP($B19:B108,'RELATÓRIO ACC'!B:F,5,FALSE),"NOT PUBLISHED")</f>
        <v>V1</v>
      </c>
      <c r="L22" s="71" t="str">
        <f>IFERROR(VLOOKUP($B19:B108,'RELATÓRIO ACC'!B:P,15,FALSE),"NOT PUBLISHED")</f>
        <v>19/05/2026</v>
      </c>
      <c r="M22" s="72" t="str">
        <f>IF(OR($D22="UTLS",$D22="GUAR",$D22="STIR",$D22="PUMP",$D22="SITE"),
   VLOOKUP($B22,'LOD 400 - SITE'!B:M,12,FALSE),
   VLOOKUP($B22,'LOD 400 - ADMN'!B:M,12,FALSE)
)</f>
        <v>N/A</v>
      </c>
      <c r="N22" s="105" t="str">
        <f>IF(OR($D22="UTLS",$D22="GUAR",$D22="STIR",$D22="PUMP",$D22="SITE"),
   VLOOKUP($B22,'LOD 400 - SITE'!B:N,13,FALSE),
   VLOOKUP($B22,'LOD 400 - ADMN'!B:N,13,FALSE)
)</f>
        <v>N/A</v>
      </c>
      <c r="O22" s="106" t="str">
        <f>IF(OR($D22="UTLS",$D22="GUAR",$D22="STIR",$D22="PUMP",$D22="SITE"),
   VLOOKUP($B22,'LOD 400 - SITE'!B:O,14,FALSE),
   VLOOKUP($B22,'LOD 400 - ADMN'!B:O,14,FALSE)
)</f>
        <v>N/A</v>
      </c>
      <c r="P22" s="107" t="str">
        <f>IF(OR($D22="C345",$D22="C12A",$D22="DATA"),
   VLOOKUP($B22,'LOD 400 - COLO3'!B:M,12,FALSE),"N/A")</f>
        <v>V1</v>
      </c>
      <c r="Q22" s="108">
        <f>IF(OR($D22="C345",$D22="C12A",$D22="DATA"),
   VLOOKUP($B22,'LOD 400 - COLO3'!B:N,13,FALSE),"N/A")</f>
        <v>46161</v>
      </c>
      <c r="R22" s="75" t="str">
        <f>IF(OR($D22="C345",$D22="C12A",$D22="DATA"),
   VLOOKUP($B22,'LOD 400 - COLO3'!B:O,14,FALSE),"N/A")</f>
        <v>R24</v>
      </c>
      <c r="S22" s="76" t="str">
        <f>IF(OR($D22="C345",$D22="C12A",$D22="DATA"),
   VLOOKUP($B22,'LOD 400 - COLO4'!B:N,12,FALSE),"N/A")</f>
        <v>N/A</v>
      </c>
      <c r="T22" s="76" t="str">
        <f>IF(OR($D22="C345",$D22="C12A",$D22="DATA"),
   VLOOKUP($B22,'LOD 400 - COLO4'!B:N,13,FALSE),"N/A")</f>
        <v>N/A</v>
      </c>
      <c r="U22" s="76" t="str">
        <f>IF(OR($D22="C345",$D22="C12A",$D22="DATA"),
   VLOOKUP($B22,'LOD 400 - COLO4'!B:N,13,FALSE),"N/A")</f>
        <v>N/A</v>
      </c>
      <c r="V22" s="77" t="str">
        <f>IF(OR($D22="UTLS",$D22="GUAR",$D22="STIR",$D22="PUMP",$D22="SITE"),
   VLOOKUP($B22,'LOD 400 - UTLS'!B:M,12,FALSE),"N/A")</f>
        <v>N/A</v>
      </c>
      <c r="W22" s="78" t="str">
        <f>IF(OR($D22="UTLS",$D22="GUAR",$D22="STIR",$D22="PUMP",$D22="SITE"),
   VLOOKUP($B22,'LOD 400 - UTLS'!B:N,13,FALSE),"N/A")</f>
        <v>N/A</v>
      </c>
      <c r="X22" s="108" t="str">
        <f>IF(OR($D22="UTLS",$D22="GUAR",$D22="STIR",$D22="PUMP",$D22="SITE"),
   VLOOKUP($B22,'LOD 400 - UTLS'!B:O,14,FALSE),"N/A")</f>
        <v>N/A</v>
      </c>
      <c r="Y22" s="79" t="str">
        <f>IFERROR(VLOOKUP($B22,'LOD 400 - ADMN'!B:S,18,FALSE),"N/A")</f>
        <v>N/A</v>
      </c>
      <c r="Z22" s="79" t="str">
        <f>IFERROR(VLOOKUP($B22,'LOD 400 - ADMN'!B:V,21,FALSE),"N/A")</f>
        <v>N/A</v>
      </c>
      <c r="AA22" s="79" t="str">
        <f>IFERROR(VLOOKUP($B22,'LOD 400 - ADMN'!$B:Y,24,FALSE),"N/A")</f>
        <v>N/A</v>
      </c>
      <c r="AB22" s="80" t="str">
        <f>IFERROR(VLOOKUP($B22,'LOD 400 - ADMN'!$B:AB,27,FALSE),"N/A")</f>
        <v>N/A</v>
      </c>
      <c r="AC22" s="81" t="str">
        <f>IFERROR(VLOOKUP($B22,'LOD 400 - ADMN'!$B:AE,30,FALSE),"N/A")</f>
        <v>N/A</v>
      </c>
      <c r="AD22" s="81" t="str">
        <f>IFERROR(VLOOKUP($B22,'LOD 400 - ADMN'!$B:AH,33,FALSE),"N/A")</f>
        <v>N/A</v>
      </c>
      <c r="AE22" s="80" t="str">
        <f>IFERROR(VLOOKUP($B22,'LOD 400 - ADMN'!$B:AK,36,FALSE),"N/A")</f>
        <v>N/A</v>
      </c>
      <c r="AF22" s="82" t="str">
        <f>IFERROR(VLOOKUP($B22,'LOD 400 - ADMN'!$B:AN,39,FALSE),"N/A")</f>
        <v>N/A</v>
      </c>
      <c r="AG22" s="83" t="str">
        <f>IFERROR(VLOOKUP($B22,'LOD 400 - ADMN'!$B:AQ,42,FALSE),"N/A")</f>
        <v>N/A</v>
      </c>
      <c r="AH22" s="84" t="str">
        <f>IFERROR(VLOOKUP($B22,'LOD 400 - ADMN'!$B:AT,45,FALSE),"N/A")</f>
        <v>N/A</v>
      </c>
      <c r="AI22" s="85" t="str">
        <f>IFERROR(VLOOKUP($B22,'LOD 400 - ADMN'!$B:AW,48,FALSE),"N/A")</f>
        <v>N/A</v>
      </c>
      <c r="AJ22" s="85" t="str">
        <f>IFERROR(VLOOKUP($B22,'LOD 400 - ADMN'!$B:AZ,51,FALSE),"N/A")</f>
        <v>N/A</v>
      </c>
      <c r="AK22" s="84" t="str">
        <f>IFERROR(VLOOKUP($B22,'LOD 400 - ADMN'!$B:BC,54,FALSE),"N/A")</f>
        <v>N/A</v>
      </c>
      <c r="AL22" s="84" t="str">
        <f>IFERROR(VLOOKUP($B22,'LOD 400 - ADMN'!$B:BF,57,FALSE),"N/A")</f>
        <v>N/A</v>
      </c>
      <c r="AM22" s="84" t="str">
        <f>IFERROR(VLOOKUP($B22,'LOD 400 - ADMN'!$B:BI,60,FALSE),"N/A")</f>
        <v>N/A</v>
      </c>
      <c r="AN22" s="84" t="str">
        <f>IFERROR(VLOOKUP($B22,'LOD 400 - ADMN'!$B:BL,63,FALSE),"N/A")</f>
        <v>N/A</v>
      </c>
      <c r="AO22" s="84" t="str">
        <f>IFERROR(VLOOKUP($B22,'LOD 400 - ADMN'!$B:BO,66,FALSE),"N/A")</f>
        <v>N/A</v>
      </c>
      <c r="AP22" s="84" t="str">
        <f>IFERROR(VLOOKUP($B22,'LOD 400 - ADMN'!$B:BR,69,FALSE),"N/A")</f>
        <v>N/A</v>
      </c>
      <c r="AQ22" s="84" t="str">
        <f>IFERROR(VLOOKUP($B22,'LOD 400 - ADMN'!$B:BU,72,FALSE),"N/A")</f>
        <v>N/A</v>
      </c>
      <c r="AR22" s="84" t="str">
        <f>IFERROR(VLOOKUP($B22,'LOD 400 - ADMN'!$B:BX,75,FALSE),"N/A")</f>
        <v>N/A</v>
      </c>
      <c r="AS22" s="84" t="str">
        <f>IFERROR(VLOOKUP($B22,'LOD 400 - ADMN'!$B:CA,78,FALSE),"N/A")</f>
        <v>N/A</v>
      </c>
      <c r="AT22" s="84" t="str">
        <f>IFERROR(VLOOKUP($B22,'LOD 400 - ADMN'!$B:CD,81,FALSE),"N/A")</f>
        <v>N/A</v>
      </c>
      <c r="AU22" s="85" t="str">
        <f>IFERROR(VLOOKUP($B22,'LOD 400 - ADMN'!$B:CG,84,FALSE),"N/A")</f>
        <v>N/A</v>
      </c>
      <c r="AV22" s="84" t="str">
        <f>IFERROR(VLOOKUP($B22,'LOD 400 - ADMN'!$B:CJ,87,FALSE),"N/A")</f>
        <v>N/A</v>
      </c>
      <c r="AW22" s="85" t="str">
        <f>IFERROR(VLOOKUP($B22,'LOD 400 - ADMN'!$B:CM,90,FALSE),"N/A")</f>
        <v>N/A</v>
      </c>
      <c r="AX22" s="84" t="str">
        <f>IFERROR(VLOOKUP($B22,'LOD 400 - ADMN'!$B:CP,93,FALSE),"N/A")</f>
        <v>N/A</v>
      </c>
      <c r="AY22" s="84" t="str">
        <f>IFERROR(VLOOKUP($B22,'LOD 400 - ADMN'!$B:CS,96,FALSE),"N/A")</f>
        <v>N/A</v>
      </c>
      <c r="AZ22" s="84" t="str">
        <f>IFERROR(VLOOKUP($B22,'LOD 400 - ADMN'!$B:CV,99,FALSE),"N/A")</f>
        <v>N/A</v>
      </c>
      <c r="BA22" s="84" t="str">
        <f>IFERROR(VLOOKUP($B22,'LOD 400 - ADMN'!$B:CY,102,FALSE),"N/A")</f>
        <v>N/A</v>
      </c>
      <c r="BB22" s="84" t="str">
        <f>IFERROR(VLOOKUP($B22,'LOD 400 - ADMN'!$B:DB,105,FALSE),"N/A")</f>
        <v>N/A</v>
      </c>
      <c r="BC22" s="84" t="str">
        <f>IFERROR(VLOOKUP($B22,'LOD 400 - ADMN'!$B:DE,108,FALSE),"N/A")</f>
        <v>N/A</v>
      </c>
      <c r="BD22" s="84" t="str">
        <f>IFERROR(VLOOKUP($B22,'LOD 400 - ADMN'!$B:DH,111,FALSE),"N/A")</f>
        <v>N/A</v>
      </c>
      <c r="BE22" s="84" t="str">
        <f>IFERROR(VLOOKUP($B22,'LOD 400 - ADMN'!$B:DK,114,FALSE),"N/A")</f>
        <v>N/A</v>
      </c>
      <c r="BF22" s="84" t="str">
        <f>IFERROR(VLOOKUP($B22,'LOD 400 - ADMN'!$B:DN,117,FALSE),"N/A")</f>
        <v>N/A</v>
      </c>
      <c r="BG22" s="86" t="str">
        <f>IFERROR(__xludf.DUMMYFUNCTION("IFERROR(
  MAX(FILTER(Y22:BF22, ISNUMBER(Y22:BF22))),
  BF22
)"),"N/A")</f>
        <v>N/A</v>
      </c>
      <c r="BH22" s="79" t="str">
        <f>IFERROR(VLOOKUP($B22,'LOD 400 - COLO1'!B:S,18,FALSE),"N/A")</f>
        <v>N/A</v>
      </c>
      <c r="BI22" s="79" t="str">
        <f>IFERROR(VLOOKUP($B22,'LOD 400 - COLO1'!B:V,21,FALSE),"N/A")</f>
        <v>N/A</v>
      </c>
      <c r="BJ22" s="79" t="str">
        <f>IFERROR(VLOOKUP($B22,'LOD 400 - COLO1'!$B:Y,24,FALSE),"N/A")</f>
        <v>N/A</v>
      </c>
      <c r="BK22" s="87" t="str">
        <f>IFERROR(VLOOKUP($B22,'LOD 400 - COLO1'!$B:AB,27,FALSE),"N/A")</f>
        <v>N/A</v>
      </c>
      <c r="BL22" s="80" t="str">
        <f>IFERROR(VLOOKUP($B22,'LOD 400 - COLO1'!$B:AE,30,FALSE),"N/A")</f>
        <v>N/A</v>
      </c>
      <c r="BM22" s="81" t="str">
        <f>IFERROR(VLOOKUP($B22,'LOD 400 - COLO1'!$B:AH,33,FALSE),"N/A")</f>
        <v>N/A</v>
      </c>
      <c r="BN22" s="87" t="str">
        <f>IFERROR(VLOOKUP($B22,'LOD 400 - COLO1'!$B:AK,36,FALSE),"N/A")</f>
        <v>N/A</v>
      </c>
      <c r="BO22" s="83" t="str">
        <f>IFERROR(VLOOKUP($B22,'LOD 400 - COLO1'!$B:AN,39,FALSE),"N/A")</f>
        <v>N/A</v>
      </c>
      <c r="BP22" s="88" t="str">
        <f>IFERROR(VLOOKUP($B22,'LOD 400 - COLO1'!$B:AQ,42,FALSE),"N/A")</f>
        <v>N/A</v>
      </c>
      <c r="BQ22" s="84" t="str">
        <f>IFERROR(VLOOKUP($B22,'LOD 400 - COLO1'!$B:AT,45,FALSE),"N/A")</f>
        <v>N/A</v>
      </c>
      <c r="BR22" s="85" t="str">
        <f>IFERROR(VLOOKUP($B22,'LOD 400 - COLO1'!$B:AW,48,FALSE),"N/A")</f>
        <v>N/A</v>
      </c>
      <c r="BS22" s="84" t="str">
        <f>IFERROR(VLOOKUP($B22,'LOD 400 - COLO1'!$B:AZ,51,FALSE),"N/A")</f>
        <v>N/A</v>
      </c>
      <c r="BT22" s="84" t="str">
        <f>IFERROR(VLOOKUP($B22,'LOD 400 - COLO1'!$B:BC,54,FALSE),"N/A")</f>
        <v>N/A</v>
      </c>
      <c r="BU22" s="84" t="str">
        <f>IFERROR(VLOOKUP($B22,'LOD 400 - COLO1'!$B:BF,57,FALSE),"N/A")</f>
        <v>N/A</v>
      </c>
      <c r="BV22" s="84" t="str">
        <f>IFERROR(VLOOKUP($B22,'LOD 400 - COLO1'!$B:BI,60,FALSE),"N/A")</f>
        <v>N/A</v>
      </c>
      <c r="BW22" s="84" t="str">
        <f>IFERROR(VLOOKUP($B22,'LOD 400 - COLO1'!$B:BL,63,FALSE),"N/A")</f>
        <v>N/A</v>
      </c>
      <c r="BX22" s="84" t="str">
        <f>IFERROR(VLOOKUP($B22,'LOD 400 - COLO1'!$B:BO,66,FALSE),"N/A")</f>
        <v>N/A</v>
      </c>
      <c r="BY22" s="84" t="str">
        <f>IFERROR(VLOOKUP($B22,'LOD 400 - COLO1'!$B:BR,69,FALSE),"N/A")</f>
        <v>N/A</v>
      </c>
      <c r="BZ22" s="84" t="str">
        <f>IFERROR(VLOOKUP($B22,'LOD 400 - COLO1'!$B:BU,72,FALSE),"N/A")</f>
        <v>N/A</v>
      </c>
      <c r="CA22" s="84" t="str">
        <f>IFERROR(VLOOKUP($B22,'LOD 400 - COLO1'!$B:BX,75,FALSE),"N/A")</f>
        <v>N/A</v>
      </c>
      <c r="CB22" s="84" t="str">
        <f>IFERROR(VLOOKUP($B22,'LOD 400 - COLO1'!$B:CA,78,FALSE),"N/A")</f>
        <v>N/A</v>
      </c>
      <c r="CC22" s="84" t="str">
        <f>IFERROR(VLOOKUP($B22,'LOD 400 - COLO1'!$B:CD,81,FALSE),"N/A")</f>
        <v>N/A</v>
      </c>
      <c r="CD22" s="85" t="str">
        <f>IFERROR(VLOOKUP($B22,'LOD 400 - COLO1'!$B:CG,84,FALSE),"N/A")</f>
        <v>N/A</v>
      </c>
      <c r="CE22" s="84" t="str">
        <f>IFERROR(VLOOKUP($B22,'LOD 400 - COLO1'!$B:CJ,87,FALSE),"N/A")</f>
        <v>N/A</v>
      </c>
      <c r="CF22" s="85" t="str">
        <f>IFERROR(VLOOKUP($B22,'LOD 400 - COLO1'!$B:CM,90,FALSE),"N/A")</f>
        <v>N/A</v>
      </c>
      <c r="CG22" s="84" t="str">
        <f>IFERROR(VLOOKUP($B22,'LOD 400 - COLO1'!$B:CP,93,FALSE),"N/A")</f>
        <v>N/A</v>
      </c>
      <c r="CH22" s="84" t="str">
        <f>IFERROR(VLOOKUP($B22,'LOD 400 - COLO1'!$B:CS,96,FALSE),"N/A")</f>
        <v>N/A</v>
      </c>
      <c r="CI22" s="84" t="str">
        <f>IFERROR(VLOOKUP($B22,'LOD 400 - COLO1'!$B:CV,99,FALSE),"N/A")</f>
        <v>N/A</v>
      </c>
      <c r="CJ22" s="84" t="str">
        <f>IFERROR(VLOOKUP($B22,'LOD 400 - COLO1'!$B:CY,102,FALSE),"N/A")</f>
        <v>N/A</v>
      </c>
      <c r="CK22" s="84" t="str">
        <f>IFERROR(VLOOKUP($B22,'LOD 400 - COLO1'!$B:DB,105,FALSE),"N/A")</f>
        <v>N/A</v>
      </c>
      <c r="CL22" s="84" t="str">
        <f>IFERROR(VLOOKUP($B22,'LOD 400 - COLO1'!$B:DE,108,FALSE),"N/A")</f>
        <v>N/A</v>
      </c>
      <c r="CM22" s="84" t="str">
        <f>IFERROR(VLOOKUP($B22,'LOD 400 - COLO1'!$B:DH,111,FALSE),"N/A")</f>
        <v>N/A</v>
      </c>
      <c r="CN22" s="84" t="str">
        <f>IFERROR(VLOOKUP($B22,'LOD 400 - COLO1'!$B:DK,114,FALSE),"N/A")</f>
        <v>N/A</v>
      </c>
      <c r="CO22" s="84" t="str">
        <f>IFERROR(VLOOKUP($B22,'LOD 400 - COLO1'!$B:DN,117,FALSE),"N/A")</f>
        <v>N/A</v>
      </c>
      <c r="CP22" s="86" t="str">
        <f>IFERROR(__xludf.DUMMYFUNCTION("IFERROR(
  MAX(FILTER(BH22:CO22, ISNUMBER(BH22:CO22))),
  CO22
)"),"N/A")</f>
        <v>N/A</v>
      </c>
      <c r="CQ22" s="89" t="str">
        <f>IFERROR(VLOOKUP($B22,'LOD 400 - COLO2'!B:S,18,FALSE),"N/A")</f>
        <v>N/A</v>
      </c>
      <c r="CR22" s="79" t="str">
        <f>IFERROR(VLOOKUP($B22,'LOD 400 - COLO2'!B:V,21,FALSE),"N/A")</f>
        <v>N/A</v>
      </c>
      <c r="CS22" s="79" t="str">
        <f>IFERROR(VLOOKUP($B22,'LOD 400 - COLO2'!$B:Y,24,FALSE),"N/A")</f>
        <v>N/A</v>
      </c>
      <c r="CT22" s="80" t="str">
        <f>IFERROR(VLOOKUP($B22,'LOD 400 - COLO2'!$B:DQ,27,FALSE),"N/A")</f>
        <v>N/A</v>
      </c>
      <c r="CU22" s="90" t="str">
        <f>IFERROR(VLOOKUP($B22,'LOD 400 - COLO2'!$B:AE,30,FALSE),"N/A")</f>
        <v>N/A</v>
      </c>
      <c r="CV22" s="81" t="str">
        <f>IFERROR(VLOOKUP($B22,'LOD 400 - COLO2'!$B:AH,33,FALSE),"N/A")</f>
        <v>N/A</v>
      </c>
      <c r="CW22" s="90" t="str">
        <f>IFERROR(VLOOKUP($B22,'LOD 400 - COLO2'!$B:AK,36,FALSE),"N/A")</f>
        <v>N/A</v>
      </c>
      <c r="CX22" s="85" t="str">
        <f>IFERROR(VLOOKUP($B22,'LOD 400 - COLO2'!$B:AN,39,FALSE),"N/A")</f>
        <v>N/A</v>
      </c>
      <c r="CY22" s="88" t="str">
        <f>IFERROR(VLOOKUP($B22,'LOD 400 - COLO2'!$B:AQ,42,FALSE),"N/A")</f>
        <v>N/A</v>
      </c>
      <c r="CZ22" s="84" t="str">
        <f>IFERROR(VLOOKUP($B22,'LOD 400 - COLO2'!$B:AT,45,FALSE),"N/A")</f>
        <v>N/A</v>
      </c>
      <c r="DA22" s="85" t="str">
        <f>IFERROR(VLOOKUP($B22,'LOD 400 - COLO2'!$B:AW,48,FALSE),"N/A")</f>
        <v>N/A</v>
      </c>
      <c r="DB22" s="84" t="str">
        <f>IFERROR(VLOOKUP($B22,'LOD 400 - COLO2'!$B:AZ,51,FALSE),"N/A")</f>
        <v>N/A</v>
      </c>
      <c r="DC22" s="84" t="str">
        <f>IFERROR(VLOOKUP($B22,'LOD 400 - COLO2'!$B:BC,54,FALSE),"N/A")</f>
        <v>N/A</v>
      </c>
      <c r="DD22" s="84" t="str">
        <f>IFERROR(VLOOKUP($B22,'LOD 400 - COLO2'!$B:BF,57,FALSE),"N/A")</f>
        <v>N/A</v>
      </c>
      <c r="DE22" s="84" t="str">
        <f>IFERROR(VLOOKUP($B22,'LOD 400 - COLO2'!$B:BI,60,FALSE),"N/A")</f>
        <v>N/A</v>
      </c>
      <c r="DF22" s="84" t="str">
        <f>IFERROR(VLOOKUP($B22,'LOD 400 - COLO2'!$B:BL,63,FALSE),"N/A")</f>
        <v>N/A</v>
      </c>
      <c r="DG22" s="84" t="str">
        <f>IFERROR(VLOOKUP($B22,'LOD 400 - COLO2'!$B:BO,66,FALSE),"N/A")</f>
        <v>N/A</v>
      </c>
      <c r="DH22" s="84" t="str">
        <f>IFERROR(VLOOKUP($B22,'LOD 400 - COLO2'!$B:BR,69,FALSE),"N/A")</f>
        <v>N/A</v>
      </c>
      <c r="DI22" s="84" t="str">
        <f>IFERROR(VLOOKUP($B22,'LOD 400 - COLO2'!$B:BU,72,FALSE),"N/A")</f>
        <v>N/A</v>
      </c>
      <c r="DJ22" s="84" t="str">
        <f>IFERROR(VLOOKUP($B22,'LOD 400 - COLO2'!$B:BX,75,FALSE),"N/A")</f>
        <v>N/A</v>
      </c>
      <c r="DK22" s="84" t="str">
        <f>IFERROR(VLOOKUP($B22,'LOD 400 - COLO2'!$B:CA,78,FALSE),"N/A")</f>
        <v>N/A</v>
      </c>
      <c r="DL22" s="84" t="str">
        <f>IFERROR(VLOOKUP($B22,'LOD 400 - COLO2'!$B:CD,81,FALSE),"N/A")</f>
        <v>N/A</v>
      </c>
      <c r="DM22" s="85" t="str">
        <f>IFERROR(VLOOKUP($B22,'LOD 400 - COLO2'!$B:CG,84,FALSE),"N/A")</f>
        <v>N/A</v>
      </c>
      <c r="DN22" s="84" t="str">
        <f>IFERROR(VLOOKUP($B22,'LOD 400 - COLO2'!$B:CJ,87,FALSE),"N/A")</f>
        <v>N/A</v>
      </c>
      <c r="DO22" s="85" t="str">
        <f>IFERROR(VLOOKUP($B22,'LOD 400 - COLO2'!$B:CM,90,FALSE),"N/A")</f>
        <v>N/A</v>
      </c>
      <c r="DP22" s="84" t="str">
        <f>IFERROR(VLOOKUP($B22,'LOD 400 - COLO2'!$B:CP,93,FALSE),"N/A")</f>
        <v>N/A</v>
      </c>
      <c r="DQ22" s="84" t="str">
        <f>IFERROR(VLOOKUP($B22,'LOD 400 - COLO2'!$B:CS,96,FALSE),"N/A")</f>
        <v>N/A</v>
      </c>
      <c r="DR22" s="84" t="str">
        <f>IFERROR(VLOOKUP($B22,'LOD 400 - COLO2'!$B:CV,99,FALSE),"N/A")</f>
        <v>N/A</v>
      </c>
      <c r="DS22" s="84" t="str">
        <f>IFERROR(VLOOKUP($B22,'LOD 400 - COLO2'!$B:CY,102,FALSE),"N/A")</f>
        <v>N/A</v>
      </c>
      <c r="DT22" s="84" t="str">
        <f>IFERROR(VLOOKUP($B22,'LOD 400 - COLO2'!$B:DB,105,FALSE),"N/A")</f>
        <v>N/A</v>
      </c>
      <c r="DU22" s="84" t="str">
        <f>IFERROR(VLOOKUP($B22,'LOD 400 - COLO2'!$B:DE,108,FALSE),"N/A")</f>
        <v>N/A</v>
      </c>
      <c r="DV22" s="84" t="str">
        <f>IFERROR(VLOOKUP($B22,'LOD 400 - COLO2'!$B:DH,111,FALSE),"N/A")</f>
        <v>N/A</v>
      </c>
      <c r="DW22" s="84" t="str">
        <f>IFERROR(VLOOKUP($B22,'LOD 400 - COLO2'!$B:DK,114,FALSE),"N/A")</f>
        <v>N/A</v>
      </c>
      <c r="DX22" s="84" t="str">
        <f>IFERROR(VLOOKUP($B22,'LOD 400 - COLO2'!$B:DN,117,FALSE),"N/A")</f>
        <v>N/A</v>
      </c>
      <c r="DY22" s="91" t="str">
        <f>IFERROR(__xludf.DUMMYFUNCTION("IFERROR(
  MAX(FILTER(CQ22:DW22, ISNUMBER(CQ22:DW22))),
  DW22
)"),"N/A")</f>
        <v>N/A</v>
      </c>
      <c r="DZ22" s="92">
        <f>IFERROR(VLOOKUP($B22,'LOD 400 - COLO3'!B:S,18,FALSE),"N/A")</f>
        <v>0</v>
      </c>
      <c r="EA22" s="84">
        <f>IFERROR(VLOOKUP($B22,'LOD 400 - COLO3'!B:V,21,FALSE),"N/A")</f>
        <v>0</v>
      </c>
      <c r="EB22" s="84">
        <f>IFERROR(VLOOKUP($B22,'LOD 400 - COLO3'!B:Y,24,FALSE),"N/A")</f>
        <v>0.74</v>
      </c>
      <c r="EC22" s="84" t="str">
        <f>IFERROR(VLOOKUP($B22,'LOD 400 - COLO3'!B:AB,27,FALSE),"N/A")</f>
        <v>OUTDATED</v>
      </c>
      <c r="ED22" s="85" t="str">
        <f>IFERROR(VLOOKUP($B22,'LOD 400 - COLO3'!B:AE,30,FALSE),"N/A")</f>
        <v>OUTDATED</v>
      </c>
      <c r="EE22" s="84" t="str">
        <f>IFERROR(VLOOKUP($B22,'LOD 400 - COLO3'!B:AH,33,FALSE),"N/A")</f>
        <v>OUTDATED</v>
      </c>
      <c r="EF22" s="84" t="str">
        <f>IFERROR(VLOOKUP($B22,'LOD 400 - COLO3'!B:AK,36,FALSE),"N/A")</f>
        <v>OUTDATED</v>
      </c>
      <c r="EG22" s="109" t="str">
        <f>IFERROR(VLOOKUP($B22,'LOD 400 - COLO3'!B:AN,39,FALSE),"N/A")</f>
        <v>IMPROPER</v>
      </c>
      <c r="EH22" s="94" t="str">
        <f>IFERROR(VLOOKUP($B22,'LOD 400 - COLO3'!B:AQ,42,FALSE),"N/A")</f>
        <v>OUTDATED</v>
      </c>
      <c r="EI22" s="94" t="str">
        <f>IFERROR(VLOOKUP($B22,'LOD 400 - COLO3'!B:AT,45,FALSE),"N/A")</f>
        <v>OUTDATED</v>
      </c>
      <c r="EJ22" s="94" t="str">
        <f>IFERROR(VLOOKUP($B22,'LOD 400 - COLO3'!B:AW,48,FALSE),"N/A")</f>
        <v>OUTDATED</v>
      </c>
      <c r="EK22" s="94" t="str">
        <f>IFERROR(VLOOKUP($B22,'LOD 400 - COLO3'!B:AZ,51,FALSE),"N/A")</f>
        <v>OUTDATED</v>
      </c>
      <c r="EL22" s="94" t="str">
        <f>IFERROR(VLOOKUP($B22,'LOD 400 - COLO3'!B:BC,54,FALSE),"N/A")</f>
        <v>OUTDATED</v>
      </c>
      <c r="EM22" s="94" t="str">
        <f>IFERROR(VLOOKUP($B22,'LOD 400 - COLO3'!B:BF,57,FALSE),"N/A")</f>
        <v>OUTDATED</v>
      </c>
      <c r="EN22" s="94" t="str">
        <f>IFERROR(VLOOKUP($B22,'LOD 400 - COLO3'!B:BI,60,FALSE),"N/A")</f>
        <v>OUTDATED</v>
      </c>
      <c r="EO22" s="94" t="str">
        <f>IFERROR(VLOOKUP($B22,'LOD 400 - COLO3'!B:BL,63,FALSE),"N/A")</f>
        <v>OUTDATED</v>
      </c>
      <c r="EP22" s="86">
        <f>IFERROR(__xludf.DUMMYFUNCTION("IFERROR(
  MAX(FILTER(DZ22:EO22, ISNUMBER(DZ22:EO22))),
  EO22
)"),0.74)</f>
        <v>0.74</v>
      </c>
      <c r="EQ22" s="95">
        <f>IFERROR(VLOOKUP($B22,'LOD 400 - COLO4'!B:S,18,FALSE),"N/A")</f>
        <v>0</v>
      </c>
      <c r="ER22" s="96">
        <f>IFERROR(__xludf.DUMMYFUNCTION("IFERROR(
  MAX(FILTER(EQ22, ISNUMBER(EQ22))),
  EQ22
)"),0.0)</f>
        <v>0</v>
      </c>
      <c r="ES22" s="79" t="str">
        <f>IFERROR(VLOOKUP($B22,'LOD 400 - SITE'!B:S,18,FALSE),"N/A")</f>
        <v>N/A</v>
      </c>
      <c r="ET22" s="80" t="str">
        <f>IFERROR(VLOOKUP($B22,'LOD 400 - SITE'!B:V,21,FALSE),"N/A")</f>
        <v>N/A</v>
      </c>
      <c r="EU22" s="97" t="str">
        <f>IFERROR(VLOOKUP($B22,'LOD 400 - SITE'!$B:Y,24,FALSE),"N/A")</f>
        <v>N/A</v>
      </c>
      <c r="EV22" s="80" t="str">
        <f>IFERROR(VLOOKUP($B22,'LOD 400 - SITE'!$B:AB,27,FALSE),"N/A")</f>
        <v>N/A</v>
      </c>
      <c r="EW22" s="81" t="str">
        <f>IFERROR(VLOOKUP($B22,'LOD 400 - SITE'!$B:AE,30,FALSE),"N/A")</f>
        <v>N/A</v>
      </c>
      <c r="EX22" s="87" t="str">
        <f>IFERROR(VLOOKUP($B22,'LOD 400 - SITE'!$B:AH,33,FALSE),"N/A")</f>
        <v>N/A</v>
      </c>
      <c r="EY22" s="87" t="str">
        <f>IFERROR(VLOOKUP($B22,'LOD 400 - SITE'!$B:AK,36,FALSE),"N/A")</f>
        <v>N/A</v>
      </c>
      <c r="EZ22" s="80" t="str">
        <f>IFERROR(VLOOKUP($B22,'LOD 400 - SITE'!$B:AN,39,FALSE),"N/A")</f>
        <v>N/A</v>
      </c>
      <c r="FA22" s="82" t="str">
        <f>IFERROR(VLOOKUP($B22,'LOD 400 - SITE'!$B:AQ,42,FALSE),"N/A")</f>
        <v>N/A</v>
      </c>
      <c r="FB22" s="88" t="str">
        <f>IFERROR(VLOOKUP($B22,'LOD 400 - SITE'!$B:AT,45,FALSE),"N/A")</f>
        <v>N/A</v>
      </c>
      <c r="FC22" s="84" t="str">
        <f>IFERROR(VLOOKUP($B22,'LOD 400 - SITE'!$B:AW,48,FALSE),"N/A")</f>
        <v>N/A</v>
      </c>
      <c r="FD22" s="84" t="str">
        <f>IFERROR(VLOOKUP($B22,'LOD 400 - SITE'!$B:AZ,51,FALSE),"N/A")</f>
        <v>N/A</v>
      </c>
      <c r="FE22" s="84" t="str">
        <f>IFERROR(VLOOKUP($B22,'LOD 400 - SITE'!$B:BC,54,FALSE),"N/A")</f>
        <v>N/A</v>
      </c>
      <c r="FF22" s="84" t="str">
        <f>IFERROR(VLOOKUP($B22,'LOD 400 - SITE'!$B:BF,57,FALSE),"N/A")</f>
        <v>N/A</v>
      </c>
      <c r="FG22" s="84" t="str">
        <f>IFERROR(VLOOKUP($B22,'LOD 400 - SITE'!$B:BI,60,FALSE),"N/A")</f>
        <v>N/A</v>
      </c>
      <c r="FH22" s="84" t="str">
        <f>IFERROR(VLOOKUP($B22,'LOD 400 - SITE'!$B:BL,63,FALSE),"N/A")</f>
        <v>N/A</v>
      </c>
      <c r="FI22" s="84" t="str">
        <f>IFERROR(VLOOKUP($B22,'LOD 400 - SITE'!$B:BO,66,FALSE),"N/A")</f>
        <v>N/A</v>
      </c>
      <c r="FJ22" s="84" t="str">
        <f>IFERROR(VLOOKUP($B22,'LOD 400 - SITE'!$B:BR,69,FALSE),"N/A")</f>
        <v>N/A</v>
      </c>
      <c r="FK22" s="84" t="str">
        <f>IFERROR(VLOOKUP($B22,'LOD 400 - SITE'!$B:BU,72,FALSE),"N/A")</f>
        <v>N/A</v>
      </c>
      <c r="FL22" s="84" t="str">
        <f>IFERROR(VLOOKUP($B22,'LOD 400 - SITE'!$B:BX,75,FALSE),"N/A")</f>
        <v>N/A</v>
      </c>
      <c r="FM22" s="84" t="str">
        <f>IFERROR(VLOOKUP($B22,'LOD 400 - SITE'!$B:CA,78,FALSE),"N/A")</f>
        <v>N/A</v>
      </c>
      <c r="FN22" s="85" t="str">
        <f>IFERROR(VLOOKUP($B22,'LOD 400 - SITE'!$B:CD,81,FALSE),"N/A")</f>
        <v>N/A</v>
      </c>
      <c r="FO22" s="84" t="str">
        <f>IFERROR(VLOOKUP($B22,'LOD 400 - SITE'!$B:CG,84,FALSE),"N/A")</f>
        <v>N/A</v>
      </c>
      <c r="FP22" s="85" t="str">
        <f>IFERROR(VLOOKUP($B22,'LOD 400 - SITE'!$B:CJ,87,FALSE),"N/A")</f>
        <v>N/A</v>
      </c>
      <c r="FQ22" s="84" t="str">
        <f>IFERROR(VLOOKUP($B22,'LOD 400 - SITE'!$B:CM,90,FALSE),"N/A")</f>
        <v>N/A</v>
      </c>
      <c r="FR22" s="84" t="str">
        <f>IFERROR(VLOOKUP($B22,'LOD 400 - SITE'!$B:CP,93,FALSE),"N/A")</f>
        <v>N/A</v>
      </c>
      <c r="FS22" s="84" t="str">
        <f>IFERROR(VLOOKUP($B22,'LOD 400 - SITE'!$B:CS,96,FALSE),"N/A")</f>
        <v>N/A</v>
      </c>
      <c r="FT22" s="84" t="str">
        <f>IFERROR(VLOOKUP($B22,'LOD 400 - SITE'!$B:CV,99,FALSE),"N/A")</f>
        <v>N/A</v>
      </c>
      <c r="FU22" s="84" t="str">
        <f>IFERROR(VLOOKUP($B22,'LOD 400 - SITE'!$B:CY,102,FALSE),"N/A")</f>
        <v>N/A</v>
      </c>
      <c r="FV22" s="84" t="str">
        <f>IFERROR(VLOOKUP($B22,'LOD 400 - SITE'!$B:DB,105,FALSE),"N/A")</f>
        <v>N/A</v>
      </c>
      <c r="FW22" s="84" t="str">
        <f>IFERROR(VLOOKUP($B22,'LOD 400 - SITE'!$B:DE,108,FALSE),"N/A")</f>
        <v>N/A</v>
      </c>
      <c r="FX22" s="84" t="str">
        <f>IFERROR(VLOOKUP($B22,'LOD 400 - SITE'!$B:DH,111,FALSE),"N/A")</f>
        <v>N/A</v>
      </c>
      <c r="FY22" s="84" t="str">
        <f>IFERROR(VLOOKUP($B22,'LOD 400 - SITE'!$B:DK,114,FALSE),"N/A")</f>
        <v>N/A</v>
      </c>
      <c r="FZ22" s="96" t="str">
        <f>IFERROR(__xludf.DUMMYFUNCTION("IFERROR(
  MAX(FILTER(ES22:FY22, ISNUMBER(ES22:FY22))),
  FY22
)"),"N/A")</f>
        <v>N/A</v>
      </c>
      <c r="GA22" s="80" t="str">
        <f>IFERROR(VLOOKUP($B22,'LOD 400 - UTLS'!B:S,18,FALSE),"N/A")</f>
        <v>N/A</v>
      </c>
      <c r="GB22" s="98" t="str">
        <f>IFERROR(VLOOKUP($B22,'LOD 400 - UTLS'!B:V,21,FALSE),"N/A")</f>
        <v>N/A</v>
      </c>
      <c r="GC22" s="81" t="str">
        <f>IFERROR(VLOOKUP($B22,'LOD 400 - UTLS'!B:Y,24,FALSE),"N/A")</f>
        <v>N/A</v>
      </c>
      <c r="GD22" s="87" t="str">
        <f>IFERROR(VLOOKUP($B22,'LOD 400 - UTLS'!$B:AB,27,FALSE),"N/A")</f>
        <v>N/A</v>
      </c>
      <c r="GE22" s="80" t="str">
        <f>IFERROR(VLOOKUP($B22,'LOD 400 - UTLS'!$B:AE,30,FALSE),"N/A")</f>
        <v>N/A</v>
      </c>
      <c r="GF22" s="82" t="str">
        <f>IFERROR(VLOOKUP($B22,'LOD 400 - UTLS'!$B:AH,33,FALSE),"N/A")</f>
        <v>N/A</v>
      </c>
      <c r="GG22" s="88" t="str">
        <f>IFERROR(VLOOKUP($B22,'LOD 400 - UTLS'!$B:AK,36,FALSE),"N/A")</f>
        <v>N/A</v>
      </c>
      <c r="GH22" s="84" t="str">
        <f>IFERROR(VLOOKUP($B22,'LOD 400 - UTLS'!$B:AN,39,FALSE),"N/A")</f>
        <v>N/A</v>
      </c>
      <c r="GI22" s="84" t="str">
        <f>IFERROR(VLOOKUP($B22,'LOD 400 - UTLS'!$B:AQ,42,FALSE),"N/A")</f>
        <v>N/A</v>
      </c>
      <c r="GJ22" s="84" t="str">
        <f>IFERROR(VLOOKUP($B22,'LOD 400 - UTLS'!$B:AT,45,FALSE),"N/A")</f>
        <v>N/A</v>
      </c>
      <c r="GK22" s="84" t="str">
        <f>IFERROR(VLOOKUP($B22,'LOD 400 - UTLS'!$B:AW,48,FALSE),"N/A")</f>
        <v>N/A</v>
      </c>
      <c r="GL22" s="84" t="str">
        <f>IFERROR(VLOOKUP($B22,'LOD 400 - UTLS'!$B:AZ,51,FALSE),"N/A")</f>
        <v>N/A</v>
      </c>
      <c r="GM22" s="84" t="str">
        <f>IFERROR(VLOOKUP($B22,'LOD 400 - UTLS'!$B:BC,54,FALSE),"N/A")</f>
        <v>N/A</v>
      </c>
      <c r="GN22" s="84" t="str">
        <f>IFERROR(VLOOKUP($B22,'LOD 400 - UTLS'!$B:BF,57,FALSE),"N/A")</f>
        <v>N/A</v>
      </c>
      <c r="GO22" s="84" t="str">
        <f>IFERROR(VLOOKUP($B22,'LOD 400 - UTLS'!$B:BI,60,FALSE),"N/A")</f>
        <v>N/A</v>
      </c>
      <c r="GP22" s="84" t="str">
        <f>IFERROR(VLOOKUP($B22,'LOD 400 - UTLS'!$B:BL,63,FALSE),"N/A")</f>
        <v>N/A</v>
      </c>
      <c r="GQ22" s="84" t="str">
        <f>IFERROR(VLOOKUP($B22,'LOD 400 - UTLS'!$B:BO,66,FALSE),"N/A")</f>
        <v>N/A</v>
      </c>
      <c r="GR22" s="84" t="str">
        <f>IFERROR(VLOOKUP($B22,'LOD 400 - UTLS'!$B:BR,69,FALSE),"N/A")</f>
        <v>N/A</v>
      </c>
      <c r="GS22" s="85" t="str">
        <f>IFERROR(VLOOKUP($B22,'LOD 400 - UTLS'!$B:BU,72,FALSE),"N/A")</f>
        <v>N/A</v>
      </c>
      <c r="GT22" s="84" t="str">
        <f>IFERROR(VLOOKUP($B22,'LOD 400 - UTLS'!$B:BX,75,FALSE),"N/A")</f>
        <v>N/A</v>
      </c>
      <c r="GU22" s="85" t="str">
        <f>IFERROR(VLOOKUP($B22,'LOD 400 - UTLS'!$B:CA,78,FALSE),"N/A")</f>
        <v>N/A</v>
      </c>
      <c r="GV22" s="84" t="str">
        <f>IFERROR(VLOOKUP($B22,'LOD 400 - UTLS'!$B:CD,81,FALSE),"N/A")</f>
        <v>N/A</v>
      </c>
      <c r="GW22" s="84" t="str">
        <f>IFERROR(VLOOKUP($B22,'LOD 400 - UTLS'!$B:CG,84,FALSE),"N/A")</f>
        <v>N/A</v>
      </c>
      <c r="GX22" s="84" t="str">
        <f>IFERROR(VLOOKUP($B22,'LOD 400 - UTLS'!$B:CJ,87,FALSE),"N/A")</f>
        <v>N/A</v>
      </c>
      <c r="GY22" s="84" t="str">
        <f>IFERROR(VLOOKUP($B22,'LOD 400 - UTLS'!$B:CM,90,FALSE),"N/A")</f>
        <v>N/A</v>
      </c>
      <c r="GZ22" s="84" t="str">
        <f>IFERROR(VLOOKUP($B22,'LOD 400 - UTLS'!$B:CP,93,FALSE),"N/A")</f>
        <v>N/A</v>
      </c>
      <c r="HA22" s="84" t="str">
        <f>IFERROR(VLOOKUP($B22,'LOD 400 - UTLS'!$B:CS,96,FALSE),"N/A")</f>
        <v>N/A</v>
      </c>
      <c r="HB22" s="84" t="str">
        <f>IFERROR(VLOOKUP($B22,'LOD 400 - UTLS'!$B:CV,99,FALSE),"N/A")</f>
        <v>N/A</v>
      </c>
      <c r="HC22" s="84" t="str">
        <f>IFERROR(VLOOKUP($B22,'LOD 400 - UTLS'!$B:CY,102,FALSE),"N/A")</f>
        <v>N/A</v>
      </c>
      <c r="HD22" s="84" t="str">
        <f>IFERROR(VLOOKUP($B22,'LOD 400 - UTLS'!$B:DB,105,FALSE),"N/A")</f>
        <v>N/A</v>
      </c>
      <c r="HE22" s="96" t="str">
        <f>IFERROR(__xludf.DUMMYFUNCTION("IFERROR(
  MAX(FILTER(GA22:HD22, ISNUMBER(GA22:HD22))),
  HD22
)"),"N/A")</f>
        <v>N/A</v>
      </c>
      <c r="HF22" s="99"/>
      <c r="HG22" s="99"/>
      <c r="HH22" s="99"/>
      <c r="HI22" s="99"/>
      <c r="HJ22" s="99"/>
      <c r="HK22" s="99"/>
    </row>
    <row r="23" ht="15.0" customHeight="1" outlineLevel="1">
      <c r="A23" s="53">
        <v>26.0</v>
      </c>
      <c r="B23" s="100" t="s">
        <v>130</v>
      </c>
      <c r="C23" s="100" t="s">
        <v>131</v>
      </c>
      <c r="D23" s="64" t="str">
        <f t="shared" si="1"/>
        <v>C12A</v>
      </c>
      <c r="E23" s="101" t="s">
        <v>126</v>
      </c>
      <c r="F23" s="118">
        <v>1101.0</v>
      </c>
      <c r="G23" s="103" t="s">
        <v>127</v>
      </c>
      <c r="H23" s="104">
        <v>1126.0</v>
      </c>
      <c r="I23" s="68" t="str">
        <f>IFERROR(VLOOKUP($C20:C108,'R22 RELATÓRIO ACC'!B:F,5,FALSE),"NOT PUBLISHED")</f>
        <v>V24</v>
      </c>
      <c r="J23" s="69" t="str">
        <f>IFERROR(VLOOKUP($C20:C108,'R22 RELATÓRIO ACC'!B:P,15,FALSE),"NOT PUBLISHED")</f>
        <v>07/04/2026</v>
      </c>
      <c r="K23" s="70" t="str">
        <f>IFERROR(VLOOKUP($B20:B108,'RELATÓRIO ACC'!B:F,5,FALSE),"NOT PUBLISHED")</f>
        <v>V2</v>
      </c>
      <c r="L23" s="71" t="str">
        <f>IFERROR(VLOOKUP($B20:B108,'RELATÓRIO ACC'!B:P,15,FALSE),"NOT PUBLISHED")</f>
        <v>27/05/2026</v>
      </c>
      <c r="M23" s="72" t="str">
        <f>IF(OR($D23="UTLS",$D23="GUAR",$D23="STIR",$D23="PUMP",$D23="SITE"),
   VLOOKUP($B23,'LOD 400 - SITE'!B:M,12,FALSE),
   VLOOKUP($B23,'LOD 400 - ADMN'!B:M,12,FALSE)
)</f>
        <v>V24</v>
      </c>
      <c r="N23" s="105">
        <f>IF(OR($D23="UTLS",$D23="GUAR",$D23="STIR",$D23="PUMP",$D23="SITE"),
   VLOOKUP($B23,'LOD 400 - SITE'!B:N,13,FALSE),
   VLOOKUP($B23,'LOD 400 - ADMN'!B:N,13,FALSE)
)</f>
        <v>46119</v>
      </c>
      <c r="O23" s="106" t="str">
        <f>IF(OR($D23="UTLS",$D23="GUAR",$D23="STIR",$D23="PUMP",$D23="SITE"),
   VLOOKUP($B23,'LOD 400 - SITE'!B:O,14,FALSE),
   VLOOKUP($B23,'LOD 400 - ADMN'!B:O,14,FALSE)
)</f>
        <v>R22</v>
      </c>
      <c r="P23" s="107" t="str">
        <f>IF(OR($D23="C345",$D23="C12A",$D23="DATA"),
   VLOOKUP($B23,'LOD 400 - COLO3'!B:M,12,FALSE),"N/A")</f>
        <v>N/A</v>
      </c>
      <c r="Q23" s="108" t="str">
        <f>IF(OR($D23="C345",$D23="C12A",$D23="DATA"),
   VLOOKUP($B23,'LOD 400 - COLO3'!B:N,13,FALSE),"N/A")</f>
        <v>N/A</v>
      </c>
      <c r="R23" s="75" t="str">
        <f>IF(OR($D23="C345",$D23="C12A",$D23="DATA"),
   VLOOKUP($B23,'LOD 400 - COLO3'!B:O,14,FALSE),"N/A")</f>
        <v>N/A</v>
      </c>
      <c r="S23" s="76" t="str">
        <f>IF(OR($D23="C345",$D23="C12A",$D23="DATA"),
   VLOOKUP($B23,'LOD 400 - COLO4'!B:N,12,FALSE),"N/A")</f>
        <v>N/A</v>
      </c>
      <c r="T23" s="76" t="str">
        <f>IF(OR($D23="C345",$D23="C12A",$D23="DATA"),
   VLOOKUP($B23,'LOD 400 - COLO4'!B:N,13,FALSE),"N/A")</f>
        <v>N/A</v>
      </c>
      <c r="U23" s="76" t="str">
        <f>IF(OR($D23="C345",$D23="C12A",$D23="DATA"),
   VLOOKUP($B23,'LOD 400 - COLO4'!B:N,13,FALSE),"N/A")</f>
        <v>N/A</v>
      </c>
      <c r="V23" s="77" t="str">
        <f>IF(OR($D23="UTLS",$D23="GUAR",$D23="STIR",$D23="PUMP",$D23="SITE"),
   VLOOKUP($B23,'LOD 400 - UTLS'!B:M,12,FALSE),"N/A")</f>
        <v>N/A</v>
      </c>
      <c r="W23" s="78" t="str">
        <f>IF(OR($D23="UTLS",$D23="GUAR",$D23="STIR",$D23="PUMP",$D23="SITE"),
   VLOOKUP($B23,'LOD 400 - UTLS'!B:N,13,FALSE),"N/A")</f>
        <v>N/A</v>
      </c>
      <c r="X23" s="108" t="str">
        <f>IF(OR($D23="UTLS",$D23="GUAR",$D23="STIR",$D23="PUMP",$D23="SITE"),
   VLOOKUP($B23,'LOD 400 - UTLS'!B:O,14,FALSE),"N/A")</f>
        <v>N/A</v>
      </c>
      <c r="Y23" s="79" t="str">
        <f>IFERROR(VLOOKUP($B23,'LOD 400 - ADMN'!B:S,18,FALSE),"N/A")</f>
        <v>OUTDATED</v>
      </c>
      <c r="Z23" s="79">
        <f>IFERROR(VLOOKUP($B23,'LOD 400 - ADMN'!B:V,21,FALSE),"N/A")</f>
        <v>0.23</v>
      </c>
      <c r="AA23" s="79" t="str">
        <f>IFERROR(VLOOKUP($B23,'LOD 400 - ADMN'!$B:Y,24,FALSE),"N/A")</f>
        <v>OUTDATED</v>
      </c>
      <c r="AB23" s="80" t="str">
        <f>IFERROR(VLOOKUP($B23,'LOD 400 - ADMN'!$B:AB,27,FALSE),"N/A")</f>
        <v>IMPROPER</v>
      </c>
      <c r="AC23" s="81" t="str">
        <f>IFERROR(VLOOKUP($B23,'LOD 400 - ADMN'!$B:AE,30,FALSE),"N/A")</f>
        <v>NEXT ROUND</v>
      </c>
      <c r="AD23" s="81" t="str">
        <f>IFERROR(VLOOKUP($B23,'LOD 400 - ADMN'!$B:AH,33,FALSE),"N/A")</f>
        <v>IMPROPER</v>
      </c>
      <c r="AE23" s="80">
        <f>IFERROR(VLOOKUP($B23,'LOD 400 - ADMN'!$B:AK,36,FALSE),"N/A")</f>
        <v>0.74</v>
      </c>
      <c r="AF23" s="82" t="str">
        <f>IFERROR(VLOOKUP($B23,'LOD 400 - ADMN'!$B:AN,39,FALSE),"N/A")</f>
        <v>NEXT ROUND</v>
      </c>
      <c r="AG23" s="83" t="str">
        <f>IFERROR(VLOOKUP($B23,'LOD 400 - ADMN'!$B:AQ,42,FALSE),"N/A")</f>
        <v>IMPROPER</v>
      </c>
      <c r="AH23" s="84" t="str">
        <f>IFERROR(VLOOKUP($B23,'LOD 400 - ADMN'!$B:AT,45,FALSE),"N/A")</f>
        <v>IMPROPER</v>
      </c>
      <c r="AI23" s="85" t="str">
        <f>IFERROR(VLOOKUP($B23,'LOD 400 - ADMN'!$B:AW,48,FALSE),"N/A")</f>
        <v>IMPROPER</v>
      </c>
      <c r="AJ23" s="85" t="str">
        <f>IFERROR(VLOOKUP($B23,'LOD 400 - ADMN'!$B:AZ,51,FALSE),"N/A")</f>
        <v>IMPROPER</v>
      </c>
      <c r="AK23" s="84" t="str">
        <f>IFERROR(VLOOKUP($B23,'LOD 400 - ADMN'!$B:BC,54,FALSE),"N/A")</f>
        <v>IMPROPER</v>
      </c>
      <c r="AL23" s="84" t="str">
        <f>IFERROR(VLOOKUP($B23,'LOD 400 - ADMN'!$B:BF,57,FALSE),"N/A")</f>
        <v>IMPROPER</v>
      </c>
      <c r="AM23" s="84">
        <f>IFERROR(VLOOKUP($B23,'LOD 400 - ADMN'!$B:BI,60,FALSE),"N/A")</f>
        <v>0.98</v>
      </c>
      <c r="AN23" s="84">
        <f>IFERROR(VLOOKUP($B23,'LOD 400 - ADMN'!$B:BL,63,FALSE),"N/A")</f>
        <v>0.94</v>
      </c>
      <c r="AO23" s="84" t="str">
        <f>IFERROR(VLOOKUP($B23,'LOD 400 - ADMN'!$B:BO,66,FALSE),"N/A")</f>
        <v>OUTDATED</v>
      </c>
      <c r="AP23" s="84" t="str">
        <f>IFERROR(VLOOKUP($B23,'LOD 400 - ADMN'!$B:BR,69,FALSE),"N/A")</f>
        <v>OUTDATED</v>
      </c>
      <c r="AQ23" s="84" t="str">
        <f>IFERROR(VLOOKUP($B23,'LOD 400 - ADMN'!$B:BU,72,FALSE),"N/A")</f>
        <v>OUTDATED</v>
      </c>
      <c r="AR23" s="84" t="str">
        <f>IFERROR(VLOOKUP($B23,'LOD 400 - ADMN'!$B:BX,75,FALSE),"N/A")</f>
        <v>NEXT ROUND</v>
      </c>
      <c r="AS23" s="84">
        <f>IFERROR(VLOOKUP($B23,'LOD 400 - ADMN'!$B:CA,78,FALSE),"N/A")</f>
        <v>1</v>
      </c>
      <c r="AT23" s="84">
        <f>IFERROR(VLOOKUP($B23,'LOD 400 - ADMN'!$B:CD,81,FALSE),"N/A")</f>
        <v>1</v>
      </c>
      <c r="AU23" s="85">
        <f>IFERROR(VLOOKUP($B23,'LOD 400 - ADMN'!$B:CG,84,FALSE),"N/A")</f>
        <v>1</v>
      </c>
      <c r="AV23" s="84">
        <f>IFERROR(VLOOKUP($B23,'LOD 400 - ADMN'!$B:CJ,87,FALSE),"N/A")</f>
        <v>1</v>
      </c>
      <c r="AW23" s="85">
        <f>IFERROR(VLOOKUP($B23,'LOD 400 - ADMN'!$B:CM,90,FALSE),"N/A")</f>
        <v>1</v>
      </c>
      <c r="AX23" s="84">
        <f>IFERROR(VLOOKUP($B23,'LOD 400 - ADMN'!$B:CP,93,FALSE),"N/A")</f>
        <v>1</v>
      </c>
      <c r="AY23" s="84">
        <f>IFERROR(VLOOKUP($B23,'LOD 400 - ADMN'!$B:CS,96,FALSE),"N/A")</f>
        <v>1</v>
      </c>
      <c r="AZ23" s="84">
        <f>IFERROR(VLOOKUP($B23,'LOD 400 - ADMN'!$B:CV,99,FALSE),"N/A")</f>
        <v>1</v>
      </c>
      <c r="BA23" s="84">
        <f>IFERROR(VLOOKUP($B23,'LOD 400 - ADMN'!$B:CY,102,FALSE),"N/A")</f>
        <v>1</v>
      </c>
      <c r="BB23" s="84">
        <f>IFERROR(VLOOKUP($B23,'LOD 400 - ADMN'!$B:DB,105,FALSE),"N/A")</f>
        <v>1</v>
      </c>
      <c r="BC23" s="84">
        <f>IFERROR(VLOOKUP($B23,'LOD 400 - ADMN'!$B:DE,108,FALSE),"N/A")</f>
        <v>1</v>
      </c>
      <c r="BD23" s="84">
        <f>IFERROR(VLOOKUP($B23,'LOD 400 - ADMN'!$B:DH,111,FALSE),"N/A")</f>
        <v>1</v>
      </c>
      <c r="BE23" s="84">
        <f>IFERROR(VLOOKUP($B23,'LOD 400 - ADMN'!$B:DK,114,FALSE),"N/A")</f>
        <v>1</v>
      </c>
      <c r="BF23" s="84">
        <f>IFERROR(VLOOKUP($B23,'LOD 400 - ADMN'!$B:DN,117,FALSE),"N/A")</f>
        <v>1</v>
      </c>
      <c r="BG23" s="86">
        <f>IFERROR(__xludf.DUMMYFUNCTION("IFERROR(
  MAX(FILTER(Y23:BF23, ISNUMBER(Y23:BF23))),
  BF23
)"),1.0)</f>
        <v>1</v>
      </c>
      <c r="BH23" s="79" t="str">
        <f>IFERROR(VLOOKUP($B23,'LOD 400 - COLO1'!B:S,18,FALSE),"N/A")</f>
        <v>OUTDATED</v>
      </c>
      <c r="BI23" s="79">
        <f>IFERROR(VLOOKUP($B23,'LOD 400 - COLO1'!B:V,21,FALSE),"N/A")</f>
        <v>0.23</v>
      </c>
      <c r="BJ23" s="79" t="str">
        <f>IFERROR(VLOOKUP($B23,'LOD 400 - COLO1'!$B:Y,24,FALSE),"N/A")</f>
        <v>OUTDATED</v>
      </c>
      <c r="BK23" s="87" t="str">
        <f>IFERROR(VLOOKUP($B23,'LOD 400 - COLO1'!$B:AB,27,FALSE),"N/A")</f>
        <v>IMPROPER</v>
      </c>
      <c r="BL23" s="80" t="str">
        <f>IFERROR(VLOOKUP($B23,'LOD 400 - COLO1'!$B:AE,30,FALSE),"N/A")</f>
        <v>NEXT ROUND</v>
      </c>
      <c r="BM23" s="81" t="str">
        <f>IFERROR(VLOOKUP($B23,'LOD 400 - COLO1'!$B:AH,33,FALSE),"N/A")</f>
        <v>IMPROPER</v>
      </c>
      <c r="BN23" s="87">
        <f>IFERROR(VLOOKUP($B23,'LOD 400 - COLO1'!$B:AK,36,FALSE),"N/A")</f>
        <v>0.73</v>
      </c>
      <c r="BO23" s="83" t="str">
        <f>IFERROR(VLOOKUP($B23,'LOD 400 - COLO1'!$B:AN,39,FALSE),"N/A")</f>
        <v>NEXT ROUND</v>
      </c>
      <c r="BP23" s="88" t="str">
        <f>IFERROR(VLOOKUP($B23,'LOD 400 - COLO1'!$B:AQ,42,FALSE),"N/A")</f>
        <v>IMPROPER</v>
      </c>
      <c r="BQ23" s="84" t="str">
        <f>IFERROR(VLOOKUP($B23,'LOD 400 - COLO1'!$B:AT,45,FALSE),"N/A")</f>
        <v>IMPROPER</v>
      </c>
      <c r="BR23" s="85" t="str">
        <f>IFERROR(VLOOKUP($B23,'LOD 400 - COLO1'!$B:AW,48,FALSE),"N/A")</f>
        <v>IMPROPER</v>
      </c>
      <c r="BS23" s="84" t="str">
        <f>IFERROR(VLOOKUP($B23,'LOD 400 - COLO1'!$B:AZ,51,FALSE),"N/A")</f>
        <v>IMPROPER</v>
      </c>
      <c r="BT23" s="84" t="str">
        <f>IFERROR(VLOOKUP($B23,'LOD 400 - COLO1'!$B:BC,54,FALSE),"N/A")</f>
        <v>IMPROPER</v>
      </c>
      <c r="BU23" s="84" t="str">
        <f>IFERROR(VLOOKUP($B23,'LOD 400 - COLO1'!$B:BF,57,FALSE),"N/A")</f>
        <v>IMPROPER</v>
      </c>
      <c r="BV23" s="84">
        <f>IFERROR(VLOOKUP($B23,'LOD 400 - COLO1'!$B:BI,60,FALSE),"N/A")</f>
        <v>0.95</v>
      </c>
      <c r="BW23" s="84">
        <f>IFERROR(VLOOKUP($B23,'LOD 400 - COLO1'!$B:BL,63,FALSE),"N/A")</f>
        <v>0.95</v>
      </c>
      <c r="BX23" s="84" t="str">
        <f>IFERROR(VLOOKUP($B23,'LOD 400 - COLO1'!$B:BO,66,FALSE),"N/A")</f>
        <v>OUTDATED</v>
      </c>
      <c r="BY23" s="84" t="str">
        <f>IFERROR(VLOOKUP($B23,'LOD 400 - COLO1'!$B:BR,69,FALSE),"N/A")</f>
        <v>OUTDATED</v>
      </c>
      <c r="BZ23" s="84" t="str">
        <f>IFERROR(VLOOKUP($B23,'LOD 400 - COLO1'!$B:BU,72,FALSE),"N/A")</f>
        <v>OUTDATED</v>
      </c>
      <c r="CA23" s="84" t="str">
        <f>IFERROR(VLOOKUP($B23,'LOD 400 - COLO1'!$B:BX,75,FALSE),"N/A")</f>
        <v>NEXT ROUND</v>
      </c>
      <c r="CB23" s="84">
        <f>IFERROR(VLOOKUP($B23,'LOD 400 - COLO1'!$B:CA,78,FALSE),"N/A")</f>
        <v>1</v>
      </c>
      <c r="CC23" s="84">
        <f>IFERROR(VLOOKUP($B23,'LOD 400 - COLO1'!$B:CD,81,FALSE),"N/A")</f>
        <v>1</v>
      </c>
      <c r="CD23" s="85">
        <f>IFERROR(VLOOKUP($B23,'LOD 400 - COLO1'!$B:CG,84,FALSE),"N/A")</f>
        <v>1</v>
      </c>
      <c r="CE23" s="84">
        <f>IFERROR(VLOOKUP($B23,'LOD 400 - COLO1'!$B:CJ,87,FALSE),"N/A")</f>
        <v>1</v>
      </c>
      <c r="CF23" s="85">
        <f>IFERROR(VLOOKUP($B23,'LOD 400 - COLO1'!$B:CM,90,FALSE),"N/A")</f>
        <v>1</v>
      </c>
      <c r="CG23" s="84">
        <f>IFERROR(VLOOKUP($B23,'LOD 400 - COLO1'!$B:CP,93,FALSE),"N/A")</f>
        <v>1</v>
      </c>
      <c r="CH23" s="84">
        <f>IFERROR(VLOOKUP($B23,'LOD 400 - COLO1'!$B:CS,96,FALSE),"N/A")</f>
        <v>1</v>
      </c>
      <c r="CI23" s="84">
        <f>IFERROR(VLOOKUP($B23,'LOD 400 - COLO1'!$B:CV,99,FALSE),"N/A")</f>
        <v>1</v>
      </c>
      <c r="CJ23" s="84">
        <f>IFERROR(VLOOKUP($B23,'LOD 400 - COLO1'!$B:CY,102,FALSE),"N/A")</f>
        <v>1</v>
      </c>
      <c r="CK23" s="84">
        <f>IFERROR(VLOOKUP($B23,'LOD 400 - COLO1'!$B:DB,105,FALSE),"N/A")</f>
        <v>1</v>
      </c>
      <c r="CL23" s="84">
        <f>IFERROR(VLOOKUP($B23,'LOD 400 - COLO1'!$B:DE,108,FALSE),"N/A")</f>
        <v>1</v>
      </c>
      <c r="CM23" s="84">
        <f>IFERROR(VLOOKUP($B23,'LOD 400 - COLO1'!$B:DH,111,FALSE),"N/A")</f>
        <v>1</v>
      </c>
      <c r="CN23" s="84">
        <f>IFERROR(VLOOKUP($B23,'LOD 400 - COLO1'!$B:DK,114,FALSE),"N/A")</f>
        <v>1</v>
      </c>
      <c r="CO23" s="84">
        <f>IFERROR(VLOOKUP($B23,'LOD 400 - COLO1'!$B:DN,117,FALSE),"N/A")</f>
        <v>1</v>
      </c>
      <c r="CP23" s="86">
        <f>IFERROR(__xludf.DUMMYFUNCTION("IFERROR(
  MAX(FILTER(BH23:CO23, ISNUMBER(BH23:CO23))),
  CO23
)"),1.0)</f>
        <v>1</v>
      </c>
      <c r="CQ23" s="89" t="str">
        <f>IFERROR(VLOOKUP($B23,'LOD 400 - COLO2'!B:S,18,FALSE),"N/A")</f>
        <v>OUTDATED</v>
      </c>
      <c r="CR23" s="79">
        <f>IFERROR(VLOOKUP($B23,'LOD 400 - COLO2'!B:V,21,FALSE),"N/A")</f>
        <v>0.23</v>
      </c>
      <c r="CS23" s="79" t="str">
        <f>IFERROR(VLOOKUP($B23,'LOD 400 - COLO2'!$B:Y,24,FALSE),"N/A")</f>
        <v>OUTDATED</v>
      </c>
      <c r="CT23" s="80" t="str">
        <f>IFERROR(VLOOKUP($B23,'LOD 400 - COLO2'!$B:DQ,27,FALSE),"N/A")</f>
        <v>IMPROPER</v>
      </c>
      <c r="CU23" s="90" t="str">
        <f>IFERROR(VLOOKUP($B23,'LOD 400 - COLO2'!$B:AE,30,FALSE),"N/A")</f>
        <v>NEXT ROUND</v>
      </c>
      <c r="CV23" s="81" t="str">
        <f>IFERROR(VLOOKUP($B23,'LOD 400 - COLO2'!$B:AH,33,FALSE),"N/A")</f>
        <v>IMPROPER</v>
      </c>
      <c r="CW23" s="90">
        <f>IFERROR(VLOOKUP($B23,'LOD 400 - COLO2'!$B:AK,36,FALSE),"N/A")</f>
        <v>0.73</v>
      </c>
      <c r="CX23" s="85" t="str">
        <f>IFERROR(VLOOKUP($B23,'LOD 400 - COLO2'!$B:AN,39,FALSE),"N/A")</f>
        <v>NEXT ROUND</v>
      </c>
      <c r="CY23" s="88" t="str">
        <f>IFERROR(VLOOKUP($B23,'LOD 400 - COLO2'!$B:AQ,42,FALSE),"N/A")</f>
        <v>IMPROPER</v>
      </c>
      <c r="CZ23" s="84" t="str">
        <f>IFERROR(VLOOKUP($B23,'LOD 400 - COLO2'!$B:AT,45,FALSE),"N/A")</f>
        <v>IMPROPER</v>
      </c>
      <c r="DA23" s="85" t="str">
        <f>IFERROR(VLOOKUP($B23,'LOD 400 - COLO2'!$B:AW,48,FALSE),"N/A")</f>
        <v>IMPROPER</v>
      </c>
      <c r="DB23" s="84" t="str">
        <f>IFERROR(VLOOKUP($B23,'LOD 400 - COLO2'!$B:AZ,51,FALSE),"N/A")</f>
        <v>IMPROPER</v>
      </c>
      <c r="DC23" s="84" t="str">
        <f>IFERROR(VLOOKUP($B23,'LOD 400 - COLO2'!$B:BC,54,FALSE),"N/A")</f>
        <v>IMPROPER</v>
      </c>
      <c r="DD23" s="84" t="str">
        <f>IFERROR(VLOOKUP($B23,'LOD 400 - COLO2'!$B:BF,57,FALSE),"N/A")</f>
        <v>IMPROPER</v>
      </c>
      <c r="DE23" s="84">
        <f>IFERROR(VLOOKUP($B23,'LOD 400 - COLO2'!$B:BI,60,FALSE),"N/A")</f>
        <v>0.99</v>
      </c>
      <c r="DF23" s="84">
        <f>IFERROR(VLOOKUP($B23,'LOD 400 - COLO2'!$B:BL,63,FALSE),"N/A")</f>
        <v>0.95</v>
      </c>
      <c r="DG23" s="84" t="str">
        <f>IFERROR(VLOOKUP($B23,'LOD 400 - COLO2'!$B:BO,66,FALSE),"N/A")</f>
        <v>OUTDATED</v>
      </c>
      <c r="DH23" s="84" t="str">
        <f>IFERROR(VLOOKUP($B23,'LOD 400 - COLO2'!$B:BR,69,FALSE),"N/A")</f>
        <v>OUTDATED</v>
      </c>
      <c r="DI23" s="84" t="str">
        <f>IFERROR(VLOOKUP($B23,'LOD 400 - COLO2'!$B:BU,72,FALSE),"N/A")</f>
        <v>OUTDATED</v>
      </c>
      <c r="DJ23" s="84" t="str">
        <f>IFERROR(VLOOKUP($B23,'LOD 400 - COLO2'!$B:BX,75,FALSE),"N/A")</f>
        <v>NEXT ROUND</v>
      </c>
      <c r="DK23" s="84">
        <f>IFERROR(VLOOKUP($B23,'LOD 400 - COLO2'!$B:CA,78,FALSE),"N/A")</f>
        <v>1</v>
      </c>
      <c r="DL23" s="84">
        <f>IFERROR(VLOOKUP($B23,'LOD 400 - COLO2'!$B:CD,81,FALSE),"N/A")</f>
        <v>1</v>
      </c>
      <c r="DM23" s="85">
        <f>IFERROR(VLOOKUP($B23,'LOD 400 - COLO2'!$B:CG,84,FALSE),"N/A")</f>
        <v>1</v>
      </c>
      <c r="DN23" s="84">
        <f>IFERROR(VLOOKUP($B23,'LOD 400 - COLO2'!$B:CJ,87,FALSE),"N/A")</f>
        <v>1</v>
      </c>
      <c r="DO23" s="85">
        <f>IFERROR(VLOOKUP($B23,'LOD 400 - COLO2'!$B:CM,90,FALSE),"N/A")</f>
        <v>1</v>
      </c>
      <c r="DP23" s="84">
        <f>IFERROR(VLOOKUP($B23,'LOD 400 - COLO2'!$B:CP,93,FALSE),"N/A")</f>
        <v>1</v>
      </c>
      <c r="DQ23" s="84">
        <f>IFERROR(VLOOKUP($B23,'LOD 400 - COLO2'!$B:CS,96,FALSE),"N/A")</f>
        <v>1</v>
      </c>
      <c r="DR23" s="84">
        <f>IFERROR(VLOOKUP($B23,'LOD 400 - COLO2'!$B:CV,99,FALSE),"N/A")</f>
        <v>1</v>
      </c>
      <c r="DS23" s="84">
        <f>IFERROR(VLOOKUP($B23,'LOD 400 - COLO2'!$B:CY,102,FALSE),"N/A")</f>
        <v>1</v>
      </c>
      <c r="DT23" s="84">
        <f>IFERROR(VLOOKUP($B23,'LOD 400 - COLO2'!$B:DB,105,FALSE),"N/A")</f>
        <v>1</v>
      </c>
      <c r="DU23" s="84">
        <f>IFERROR(VLOOKUP($B23,'LOD 400 - COLO2'!$B:DE,108,FALSE),"N/A")</f>
        <v>1</v>
      </c>
      <c r="DV23" s="84">
        <f>IFERROR(VLOOKUP($B23,'LOD 400 - COLO2'!$B:DH,111,FALSE),"N/A")</f>
        <v>1</v>
      </c>
      <c r="DW23" s="84">
        <f>IFERROR(VLOOKUP($B23,'LOD 400 - COLO2'!$B:DK,114,FALSE),"N/A")</f>
        <v>1</v>
      </c>
      <c r="DX23" s="84">
        <f>IFERROR(VLOOKUP($B23,'LOD 400 - COLO2'!$B:DN,117,FALSE),"N/A")</f>
        <v>1</v>
      </c>
      <c r="DY23" s="91">
        <f>IFERROR(__xludf.DUMMYFUNCTION("IFERROR(
  MAX(FILTER(CQ23:DW23, ISNUMBER(CQ23:DW23))),
  DW23
)"),1.0)</f>
        <v>1</v>
      </c>
      <c r="DZ23" s="92" t="str">
        <f>IFERROR(VLOOKUP($B23,'LOD 400 - COLO3'!B:S,18,FALSE),"N/A")</f>
        <v>N/A</v>
      </c>
      <c r="EA23" s="84" t="str">
        <f>IFERROR(VLOOKUP($B23,'LOD 400 - COLO3'!B:V,21,FALSE),"N/A")</f>
        <v>N/A</v>
      </c>
      <c r="EB23" s="84" t="str">
        <f>IFERROR(VLOOKUP($B23,'LOD 400 - COLO3'!B:Y,24,FALSE),"N/A")</f>
        <v>N/A</v>
      </c>
      <c r="EC23" s="84" t="str">
        <f>IFERROR(VLOOKUP($B23,'LOD 400 - COLO3'!B:AB,27,FALSE),"N/A")</f>
        <v>N/A</v>
      </c>
      <c r="ED23" s="85" t="str">
        <f>IFERROR(VLOOKUP($B23,'LOD 400 - COLO3'!B:AE,30,FALSE),"N/A")</f>
        <v>N/A</v>
      </c>
      <c r="EE23" s="84" t="str">
        <f>IFERROR(VLOOKUP($B23,'LOD 400 - COLO3'!B:AH,33,FALSE),"N/A")</f>
        <v>N/A</v>
      </c>
      <c r="EF23" s="84" t="str">
        <f>IFERROR(VLOOKUP($B23,'LOD 400 - COLO3'!B:AK,36,FALSE),"N/A")</f>
        <v>N/A</v>
      </c>
      <c r="EG23" s="109" t="str">
        <f>IFERROR(VLOOKUP($B23,'LOD 400 - COLO3'!B:AN,39,FALSE),"N/A")</f>
        <v>N/A</v>
      </c>
      <c r="EH23" s="94" t="str">
        <f>IFERROR(VLOOKUP($B23,'LOD 400 - COLO3'!B:AQ,42,FALSE),"N/A")</f>
        <v>N/A</v>
      </c>
      <c r="EI23" s="94" t="str">
        <f>IFERROR(VLOOKUP($B23,'LOD 400 - COLO3'!B:AT,45,FALSE),"N/A")</f>
        <v>N/A</v>
      </c>
      <c r="EJ23" s="94" t="str">
        <f>IFERROR(VLOOKUP($B23,'LOD 400 - COLO3'!B:AW,48,FALSE),"N/A")</f>
        <v>N/A</v>
      </c>
      <c r="EK23" s="94" t="str">
        <f>IFERROR(VLOOKUP($B23,'LOD 400 - COLO3'!B:AZ,51,FALSE),"N/A")</f>
        <v>N/A</v>
      </c>
      <c r="EL23" s="94" t="str">
        <f>IFERROR(VLOOKUP($B23,'LOD 400 - COLO3'!B:BC,54,FALSE),"N/A")</f>
        <v>N/A</v>
      </c>
      <c r="EM23" s="94" t="str">
        <f>IFERROR(VLOOKUP($B23,'LOD 400 - COLO3'!B:BF,57,FALSE),"N/A")</f>
        <v>N/A</v>
      </c>
      <c r="EN23" s="94" t="str">
        <f>IFERROR(VLOOKUP($B23,'LOD 400 - COLO3'!B:BI,60,FALSE),"N/A")</f>
        <v>N/A</v>
      </c>
      <c r="EO23" s="94" t="str">
        <f>IFERROR(VLOOKUP($B23,'LOD 400 - COLO3'!B:BL,63,FALSE),"N/A")</f>
        <v>N/A</v>
      </c>
      <c r="EP23" s="86" t="str">
        <f>IFERROR(__xludf.DUMMYFUNCTION("IFERROR(
  MAX(FILTER(DZ23:EO23, ISNUMBER(DZ23:EO23))),
  EO23
)"),"N/A")</f>
        <v>N/A</v>
      </c>
      <c r="EQ23" s="95">
        <f>IFERROR(VLOOKUP($B23,'LOD 400 - COLO4'!B:S,18,FALSE),"N/A")</f>
        <v>0</v>
      </c>
      <c r="ER23" s="96">
        <f>IFERROR(__xludf.DUMMYFUNCTION("IFERROR(
  MAX(FILTER(EQ23, ISNUMBER(EQ23))),
  EQ23
)"),0.0)</f>
        <v>0</v>
      </c>
      <c r="ES23" s="79" t="str">
        <f>IFERROR(VLOOKUP($B23,'LOD 400 - SITE'!B:S,18,FALSE),"N/A")</f>
        <v>N/A</v>
      </c>
      <c r="ET23" s="80" t="str">
        <f>IFERROR(VLOOKUP($B23,'LOD 400 - SITE'!B:V,21,FALSE),"N/A")</f>
        <v>N/A</v>
      </c>
      <c r="EU23" s="97" t="str">
        <f>IFERROR(VLOOKUP($B23,'LOD 400 - SITE'!$B:Y,24,FALSE),"N/A")</f>
        <v>N/A</v>
      </c>
      <c r="EV23" s="80" t="str">
        <f>IFERROR(VLOOKUP($B23,'LOD 400 - SITE'!$B:AB,27,FALSE),"N/A")</f>
        <v>N/A</v>
      </c>
      <c r="EW23" s="81" t="str">
        <f>IFERROR(VLOOKUP($B23,'LOD 400 - SITE'!$B:AE,30,FALSE),"N/A")</f>
        <v>N/A</v>
      </c>
      <c r="EX23" s="87" t="str">
        <f>IFERROR(VLOOKUP($B23,'LOD 400 - SITE'!$B:AH,33,FALSE),"N/A")</f>
        <v>N/A</v>
      </c>
      <c r="EY23" s="87" t="str">
        <f>IFERROR(VLOOKUP($B23,'LOD 400 - SITE'!$B:AK,36,FALSE),"N/A")</f>
        <v>N/A</v>
      </c>
      <c r="EZ23" s="80" t="str">
        <f>IFERROR(VLOOKUP($B23,'LOD 400 - SITE'!$B:AN,39,FALSE),"N/A")</f>
        <v>N/A</v>
      </c>
      <c r="FA23" s="82" t="str">
        <f>IFERROR(VLOOKUP($B23,'LOD 400 - SITE'!$B:AQ,42,FALSE),"N/A")</f>
        <v>N/A</v>
      </c>
      <c r="FB23" s="88" t="str">
        <f>IFERROR(VLOOKUP($B23,'LOD 400 - SITE'!$B:AT,45,FALSE),"N/A")</f>
        <v>N/A</v>
      </c>
      <c r="FC23" s="84" t="str">
        <f>IFERROR(VLOOKUP($B23,'LOD 400 - SITE'!$B:AW,48,FALSE),"N/A")</f>
        <v>N/A</v>
      </c>
      <c r="FD23" s="84" t="str">
        <f>IFERROR(VLOOKUP($B23,'LOD 400 - SITE'!$B:AZ,51,FALSE),"N/A")</f>
        <v>N/A</v>
      </c>
      <c r="FE23" s="84" t="str">
        <f>IFERROR(VLOOKUP($B23,'LOD 400 - SITE'!$B:BC,54,FALSE),"N/A")</f>
        <v>N/A</v>
      </c>
      <c r="FF23" s="84" t="str">
        <f>IFERROR(VLOOKUP($B23,'LOD 400 - SITE'!$B:BF,57,FALSE),"N/A")</f>
        <v>N/A</v>
      </c>
      <c r="FG23" s="84" t="str">
        <f>IFERROR(VLOOKUP($B23,'LOD 400 - SITE'!$B:BI,60,FALSE),"N/A")</f>
        <v>N/A</v>
      </c>
      <c r="FH23" s="84" t="str">
        <f>IFERROR(VLOOKUP($B23,'LOD 400 - SITE'!$B:BL,63,FALSE),"N/A")</f>
        <v>N/A</v>
      </c>
      <c r="FI23" s="84" t="str">
        <f>IFERROR(VLOOKUP($B23,'LOD 400 - SITE'!$B:BO,66,FALSE),"N/A")</f>
        <v>N/A</v>
      </c>
      <c r="FJ23" s="84" t="str">
        <f>IFERROR(VLOOKUP($B23,'LOD 400 - SITE'!$B:BR,69,FALSE),"N/A")</f>
        <v>N/A</v>
      </c>
      <c r="FK23" s="84" t="str">
        <f>IFERROR(VLOOKUP($B23,'LOD 400 - SITE'!$B:BU,72,FALSE),"N/A")</f>
        <v>N/A</v>
      </c>
      <c r="FL23" s="84" t="str">
        <f>IFERROR(VLOOKUP($B23,'LOD 400 - SITE'!$B:BX,75,FALSE),"N/A")</f>
        <v>N/A</v>
      </c>
      <c r="FM23" s="84" t="str">
        <f>IFERROR(VLOOKUP($B23,'LOD 400 - SITE'!$B:CA,78,FALSE),"N/A")</f>
        <v>N/A</v>
      </c>
      <c r="FN23" s="85" t="str">
        <f>IFERROR(VLOOKUP($B23,'LOD 400 - SITE'!$B:CD,81,FALSE),"N/A")</f>
        <v>N/A</v>
      </c>
      <c r="FO23" s="84" t="str">
        <f>IFERROR(VLOOKUP($B23,'LOD 400 - SITE'!$B:CG,84,FALSE),"N/A")</f>
        <v>N/A</v>
      </c>
      <c r="FP23" s="85" t="str">
        <f>IFERROR(VLOOKUP($B23,'LOD 400 - SITE'!$B:CJ,87,FALSE),"N/A")</f>
        <v>N/A</v>
      </c>
      <c r="FQ23" s="84" t="str">
        <f>IFERROR(VLOOKUP($B23,'LOD 400 - SITE'!$B:CM,90,FALSE),"N/A")</f>
        <v>N/A</v>
      </c>
      <c r="FR23" s="84" t="str">
        <f>IFERROR(VLOOKUP($B23,'LOD 400 - SITE'!$B:CP,93,FALSE),"N/A")</f>
        <v>N/A</v>
      </c>
      <c r="FS23" s="84" t="str">
        <f>IFERROR(VLOOKUP($B23,'LOD 400 - SITE'!$B:CS,96,FALSE),"N/A")</f>
        <v>N/A</v>
      </c>
      <c r="FT23" s="84" t="str">
        <f>IFERROR(VLOOKUP($B23,'LOD 400 - SITE'!$B:CV,99,FALSE),"N/A")</f>
        <v>N/A</v>
      </c>
      <c r="FU23" s="84" t="str">
        <f>IFERROR(VLOOKUP($B23,'LOD 400 - SITE'!$B:CY,102,FALSE),"N/A")</f>
        <v>N/A</v>
      </c>
      <c r="FV23" s="84" t="str">
        <f>IFERROR(VLOOKUP($B23,'LOD 400 - SITE'!$B:DB,105,FALSE),"N/A")</f>
        <v>N/A</v>
      </c>
      <c r="FW23" s="84" t="str">
        <f>IFERROR(VLOOKUP($B23,'LOD 400 - SITE'!$B:DE,108,FALSE),"N/A")</f>
        <v>N/A</v>
      </c>
      <c r="FX23" s="84" t="str">
        <f>IFERROR(VLOOKUP($B23,'LOD 400 - SITE'!$B:DH,111,FALSE),"N/A")</f>
        <v>N/A</v>
      </c>
      <c r="FY23" s="84" t="str">
        <f>IFERROR(VLOOKUP($B23,'LOD 400 - SITE'!$B:DK,114,FALSE),"N/A")</f>
        <v>N/A</v>
      </c>
      <c r="FZ23" s="96" t="str">
        <f>IFERROR(__xludf.DUMMYFUNCTION("IFERROR(
  MAX(FILTER(ES23:FY23, ISNUMBER(ES23:FY23))),
  FY23
)"),"N/A")</f>
        <v>N/A</v>
      </c>
      <c r="GA23" s="80" t="str">
        <f>IFERROR(VLOOKUP($B23,'LOD 400 - UTLS'!B:S,18,FALSE),"N/A")</f>
        <v>N/A</v>
      </c>
      <c r="GB23" s="98" t="str">
        <f>IFERROR(VLOOKUP($B23,'LOD 400 - UTLS'!B:V,21,FALSE),"N/A")</f>
        <v>N/A</v>
      </c>
      <c r="GC23" s="81" t="str">
        <f>IFERROR(VLOOKUP($B23,'LOD 400 - UTLS'!B:Y,24,FALSE),"N/A")</f>
        <v>N/A</v>
      </c>
      <c r="GD23" s="87" t="str">
        <f>IFERROR(VLOOKUP($B23,'LOD 400 - UTLS'!$B:AB,27,FALSE),"N/A")</f>
        <v>N/A</v>
      </c>
      <c r="GE23" s="80" t="str">
        <f>IFERROR(VLOOKUP($B23,'LOD 400 - UTLS'!$B:AE,30,FALSE),"N/A")</f>
        <v>N/A</v>
      </c>
      <c r="GF23" s="82" t="str">
        <f>IFERROR(VLOOKUP($B23,'LOD 400 - UTLS'!$B:AH,33,FALSE),"N/A")</f>
        <v>N/A</v>
      </c>
      <c r="GG23" s="88" t="str">
        <f>IFERROR(VLOOKUP($B23,'LOD 400 - UTLS'!$B:AK,36,FALSE),"N/A")</f>
        <v>N/A</v>
      </c>
      <c r="GH23" s="84" t="str">
        <f>IFERROR(VLOOKUP($B23,'LOD 400 - UTLS'!$B:AN,39,FALSE),"N/A")</f>
        <v>N/A</v>
      </c>
      <c r="GI23" s="84" t="str">
        <f>IFERROR(VLOOKUP($B23,'LOD 400 - UTLS'!$B:AQ,42,FALSE),"N/A")</f>
        <v>N/A</v>
      </c>
      <c r="GJ23" s="84" t="str">
        <f>IFERROR(VLOOKUP($B23,'LOD 400 - UTLS'!$B:AT,45,FALSE),"N/A")</f>
        <v>N/A</v>
      </c>
      <c r="GK23" s="84" t="str">
        <f>IFERROR(VLOOKUP($B23,'LOD 400 - UTLS'!$B:AW,48,FALSE),"N/A")</f>
        <v>N/A</v>
      </c>
      <c r="GL23" s="84" t="str">
        <f>IFERROR(VLOOKUP($B23,'LOD 400 - UTLS'!$B:AZ,51,FALSE),"N/A")</f>
        <v>N/A</v>
      </c>
      <c r="GM23" s="84" t="str">
        <f>IFERROR(VLOOKUP($B23,'LOD 400 - UTLS'!$B:BC,54,FALSE),"N/A")</f>
        <v>N/A</v>
      </c>
      <c r="GN23" s="84" t="str">
        <f>IFERROR(VLOOKUP($B23,'LOD 400 - UTLS'!$B:BF,57,FALSE),"N/A")</f>
        <v>N/A</v>
      </c>
      <c r="GO23" s="84" t="str">
        <f>IFERROR(VLOOKUP($B23,'LOD 400 - UTLS'!$B:BI,60,FALSE),"N/A")</f>
        <v>N/A</v>
      </c>
      <c r="GP23" s="84" t="str">
        <f>IFERROR(VLOOKUP($B23,'LOD 400 - UTLS'!$B:BL,63,FALSE),"N/A")</f>
        <v>N/A</v>
      </c>
      <c r="GQ23" s="84" t="str">
        <f>IFERROR(VLOOKUP($B23,'LOD 400 - UTLS'!$B:BO,66,FALSE),"N/A")</f>
        <v>N/A</v>
      </c>
      <c r="GR23" s="84" t="str">
        <f>IFERROR(VLOOKUP($B23,'LOD 400 - UTLS'!$B:BR,69,FALSE),"N/A")</f>
        <v>N/A</v>
      </c>
      <c r="GS23" s="85" t="str">
        <f>IFERROR(VLOOKUP($B23,'LOD 400 - UTLS'!$B:BU,72,FALSE),"N/A")</f>
        <v>N/A</v>
      </c>
      <c r="GT23" s="84" t="str">
        <f>IFERROR(VLOOKUP($B23,'LOD 400 - UTLS'!$B:BX,75,FALSE),"N/A")</f>
        <v>N/A</v>
      </c>
      <c r="GU23" s="85" t="str">
        <f>IFERROR(VLOOKUP($B23,'LOD 400 - UTLS'!$B:CA,78,FALSE),"N/A")</f>
        <v>N/A</v>
      </c>
      <c r="GV23" s="84" t="str">
        <f>IFERROR(VLOOKUP($B23,'LOD 400 - UTLS'!$B:CD,81,FALSE),"N/A")</f>
        <v>N/A</v>
      </c>
      <c r="GW23" s="84" t="str">
        <f>IFERROR(VLOOKUP($B23,'LOD 400 - UTLS'!$B:CG,84,FALSE),"N/A")</f>
        <v>N/A</v>
      </c>
      <c r="GX23" s="84" t="str">
        <f>IFERROR(VLOOKUP($B23,'LOD 400 - UTLS'!$B:CJ,87,FALSE),"N/A")</f>
        <v>N/A</v>
      </c>
      <c r="GY23" s="84" t="str">
        <f>IFERROR(VLOOKUP($B23,'LOD 400 - UTLS'!$B:CM,90,FALSE),"N/A")</f>
        <v>N/A</v>
      </c>
      <c r="GZ23" s="84" t="str">
        <f>IFERROR(VLOOKUP($B23,'LOD 400 - UTLS'!$B:CP,93,FALSE),"N/A")</f>
        <v>N/A</v>
      </c>
      <c r="HA23" s="84" t="str">
        <f>IFERROR(VLOOKUP($B23,'LOD 400 - UTLS'!$B:CS,96,FALSE),"N/A")</f>
        <v>N/A</v>
      </c>
      <c r="HB23" s="84" t="str">
        <f>IFERROR(VLOOKUP($B23,'LOD 400 - UTLS'!$B:CV,99,FALSE),"N/A")</f>
        <v>N/A</v>
      </c>
      <c r="HC23" s="84" t="str">
        <f>IFERROR(VLOOKUP($B23,'LOD 400 - UTLS'!$B:CY,102,FALSE),"N/A")</f>
        <v>N/A</v>
      </c>
      <c r="HD23" s="84" t="str">
        <f>IFERROR(VLOOKUP($B23,'LOD 400 - UTLS'!$B:DB,105,FALSE),"N/A")</f>
        <v>N/A</v>
      </c>
      <c r="HE23" s="96" t="str">
        <f>IFERROR(__xludf.DUMMYFUNCTION("IFERROR(
  MAX(FILTER(GA23:HD23, ISNUMBER(GA23:HD23))),
  HD23
)"),"N/A")</f>
        <v>N/A</v>
      </c>
      <c r="HF23" s="99"/>
      <c r="HG23" s="99"/>
      <c r="HH23" s="99"/>
      <c r="HI23" s="99"/>
      <c r="HJ23" s="99"/>
      <c r="HK23" s="99"/>
    </row>
    <row r="24" ht="15.0" customHeight="1" outlineLevel="1">
      <c r="A24" s="53">
        <v>27.0</v>
      </c>
      <c r="B24" s="100" t="s">
        <v>132</v>
      </c>
      <c r="C24" s="100" t="s">
        <v>133</v>
      </c>
      <c r="D24" s="64" t="str">
        <f t="shared" si="1"/>
        <v>DATA</v>
      </c>
      <c r="E24" s="101" t="s">
        <v>105</v>
      </c>
      <c r="F24" s="115">
        <v>0.0</v>
      </c>
      <c r="G24" s="119" t="s">
        <v>105</v>
      </c>
      <c r="H24" s="116">
        <v>0.0</v>
      </c>
      <c r="I24" s="68" t="str">
        <f>IFERROR(VLOOKUP($C21:C108,'R22 RELATÓRIO ACC'!B:F,5,FALSE),"NOT PUBLISHED")</f>
        <v>NOT PUBLISHED</v>
      </c>
      <c r="J24" s="69" t="str">
        <f>IFERROR(VLOOKUP($C21:C108,'R22 RELATÓRIO ACC'!B:P,15,FALSE),"NOT PUBLISHED")</f>
        <v>NOT PUBLISHED</v>
      </c>
      <c r="K24" s="70" t="str">
        <f>IFERROR(VLOOKUP($B21:B108,'RELATÓRIO ACC'!B:F,5,FALSE),"NOT PUBLISHED")</f>
        <v>NOT PUBLISHED</v>
      </c>
      <c r="L24" s="71" t="str">
        <f>IFERROR(VLOOKUP($B21:B108,'RELATÓRIO ACC'!B:P,15,FALSE),"NOT PUBLISHED")</f>
        <v>NOT PUBLISHED</v>
      </c>
      <c r="M24" s="72" t="str">
        <f>IF(OR($D24="UTLS",$D24="GUAR",$D24="STIR",$D24="PUMP",$D24="SITE"),
   VLOOKUP($B24,'LOD 400 - SITE'!B:M,12,FALSE),
   VLOOKUP($B24,'LOD 400 - ADMN'!B:M,12,FALSE)
)</f>
        <v>NOT PUBLISHED</v>
      </c>
      <c r="N24" s="105" t="str">
        <f>IF(OR($D24="UTLS",$D24="GUAR",$D24="STIR",$D24="PUMP",$D24="SITE"),
   VLOOKUP($B24,'LOD 400 - SITE'!B:N,13,FALSE),
   VLOOKUP($B24,'LOD 400 - ADMN'!B:N,13,FALSE)
)</f>
        <v>NOT PUBLISHED</v>
      </c>
      <c r="O24" s="106" t="str">
        <f>IF(OR($D24="UTLS",$D24="GUAR",$D24="STIR",$D24="PUMP",$D24="SITE"),
   VLOOKUP($B24,'LOD 400 - SITE'!B:O,14,FALSE),
   VLOOKUP($B24,'LOD 400 - ADMN'!B:O,14,FALSE)
)</f>
        <v>NOT PUBLISHED</v>
      </c>
      <c r="P24" s="107" t="str">
        <f>IF(OR($D24="C345",$D24="C12A",$D24="DATA"),
   VLOOKUP($B24,'LOD 400 - COLO3'!B:M,12,FALSE),"N/A")</f>
        <v>NOT PUBLISHED</v>
      </c>
      <c r="Q24" s="108" t="str">
        <f>IF(OR($D24="C345",$D24="C12A",$D24="DATA"),
   VLOOKUP($B24,'LOD 400 - COLO3'!B:N,13,FALSE),"N/A")</f>
        <v>NOT PUBLISHED</v>
      </c>
      <c r="R24" s="75" t="str">
        <f>IF(OR($D24="C345",$D24="C12A",$D24="DATA"),
   VLOOKUP($B24,'LOD 400 - COLO3'!B:O,14,FALSE),"N/A")</f>
        <v>NOT PUBLISHED</v>
      </c>
      <c r="S24" s="113" t="str">
        <f>IFERROR(VLOOKUP($B23:J108,'RELATÓRIO ACC'!J:N,5,FALSE),"NOT PUBLISHED")</f>
        <v>NOT PUBLISHED</v>
      </c>
      <c r="T24" s="113" t="str">
        <f>IFERROR(VLOOKUP($B23:K108,'RELATÓRIO ACC'!K:O,5,FALSE),"NOT PUBLISHED")</f>
        <v>NOT PUBLISHED</v>
      </c>
      <c r="U24" s="70" t="str">
        <f>IFERROR(VLOOKUP($B23:L108,'RELATÓRIO ACC'!L:P,5,FALSE),"NOT PUBLISHED")</f>
        <v>NOT PUBLISHED</v>
      </c>
      <c r="V24" s="77" t="str">
        <f>IF(OR($D24="UTLS",$D24="GUAR",$D24="STIR",$D24="PUMP",$D24="SITE"),
   VLOOKUP($B24,'LOD 400 - UTLS'!B:M,12,FALSE),"N/A")</f>
        <v>N/A</v>
      </c>
      <c r="W24" s="78" t="str">
        <f>IF(OR($D24="UTLS",$D24="GUAR",$D24="STIR",$D24="PUMP",$D24="SITE"),
   VLOOKUP($B24,'LOD 400 - UTLS'!B:N,13,FALSE),"N/A")</f>
        <v>N/A</v>
      </c>
      <c r="X24" s="108" t="str">
        <f>IF(OR($D24="UTLS",$D24="GUAR",$D24="STIR",$D24="PUMP",$D24="SITE"),
   VLOOKUP($B24,'LOD 400 - UTLS'!B:O,14,FALSE),"N/A")</f>
        <v>N/A</v>
      </c>
      <c r="Y24" s="79" t="str">
        <f>IFERROR(VLOOKUP($B24,'LOD 400 - ADMN'!B:S,18,FALSE),"N/A")</f>
        <v>NOT PUBLISHED</v>
      </c>
      <c r="Z24" s="79" t="str">
        <f>IFERROR(VLOOKUP($B24,'LOD 400 - ADMN'!B:V,21,FALSE),"N/A")</f>
        <v>NOT PUBLISHED</v>
      </c>
      <c r="AA24" s="79" t="str">
        <f>IFERROR(VLOOKUP($B24,'LOD 400 - ADMN'!$B:Y,24,FALSE),"N/A")</f>
        <v>NOT PUBLISHED</v>
      </c>
      <c r="AB24" s="80" t="str">
        <f>IFERROR(VLOOKUP($B24,'LOD 400 - ADMN'!$B:AB,27,FALSE),"N/A")</f>
        <v>NOT PUBLISHED</v>
      </c>
      <c r="AC24" s="81" t="str">
        <f>IFERROR(VLOOKUP($B24,'LOD 400 - ADMN'!$B:AE,30,FALSE),"N/A")</f>
        <v>NOT PUBLISHED</v>
      </c>
      <c r="AD24" s="81" t="str">
        <f>IFERROR(VLOOKUP($B24,'LOD 400 - ADMN'!$B:AH,33,FALSE),"N/A")</f>
        <v>NOT PUBLISHED</v>
      </c>
      <c r="AE24" s="80" t="str">
        <f>IFERROR(VLOOKUP($B24,'LOD 400 - ADMN'!$B:AK,36,FALSE),"N/A")</f>
        <v>NOT PUBLISHED</v>
      </c>
      <c r="AF24" s="82" t="str">
        <f>IFERROR(VLOOKUP($B24,'LOD 400 - ADMN'!$B:AN,39,FALSE),"N/A")</f>
        <v>NOT PUBLISHED</v>
      </c>
      <c r="AG24" s="83" t="str">
        <f>IFERROR(VLOOKUP($B24,'LOD 400 - ADMN'!$B:AQ,42,FALSE),"N/A")</f>
        <v>NOT PUBLISHED</v>
      </c>
      <c r="AH24" s="84" t="str">
        <f>IFERROR(VLOOKUP($B24,'LOD 400 - ADMN'!$B:AT,45,FALSE),"N/A")</f>
        <v>NOT PUBLISHED</v>
      </c>
      <c r="AI24" s="85" t="str">
        <f>IFERROR(VLOOKUP($B24,'LOD 400 - ADMN'!$B:AW,48,FALSE),"N/A")</f>
        <v>NOT PUBLISHED</v>
      </c>
      <c r="AJ24" s="85" t="str">
        <f>IFERROR(VLOOKUP($B24,'LOD 400 - ADMN'!$B:AZ,51,FALSE),"N/A")</f>
        <v>NOT PUBLISHED</v>
      </c>
      <c r="AK24" s="84" t="str">
        <f>IFERROR(VLOOKUP($B24,'LOD 400 - ADMN'!$B:BC,54,FALSE),"N/A")</f>
        <v>NOT PUBLISHED</v>
      </c>
      <c r="AL24" s="84" t="str">
        <f>IFERROR(VLOOKUP($B24,'LOD 400 - ADMN'!$B:BF,57,FALSE),"N/A")</f>
        <v>NOT PUBLISHED</v>
      </c>
      <c r="AM24" s="84" t="str">
        <f>IFERROR(VLOOKUP($B24,'LOD 400 - ADMN'!$B:BI,60,FALSE),"N/A")</f>
        <v>NOT PUBLISHED</v>
      </c>
      <c r="AN24" s="84" t="str">
        <f>IFERROR(VLOOKUP($B24,'LOD 400 - ADMN'!$B:BL,63,FALSE),"N/A")</f>
        <v>NOT PUBLISHED</v>
      </c>
      <c r="AO24" s="84" t="str">
        <f>IFERROR(VLOOKUP($B24,'LOD 400 - ADMN'!$B:BO,66,FALSE),"N/A")</f>
        <v>NOT PUBLISHED</v>
      </c>
      <c r="AP24" s="84" t="str">
        <f>IFERROR(VLOOKUP($B24,'LOD 400 - ADMN'!$B:BR,69,FALSE),"N/A")</f>
        <v>NOT PUBLISHED</v>
      </c>
      <c r="AQ24" s="84" t="str">
        <f>IFERROR(VLOOKUP($B24,'LOD 400 - ADMN'!$B:BU,72,FALSE),"N/A")</f>
        <v>NOT PUBLISHED</v>
      </c>
      <c r="AR24" s="84" t="str">
        <f>IFERROR(VLOOKUP($B24,'LOD 400 - ADMN'!$B:BX,75,FALSE),"N/A")</f>
        <v>NOT PUBLISHED</v>
      </c>
      <c r="AS24" s="84" t="str">
        <f>IFERROR(VLOOKUP($B24,'LOD 400 - ADMN'!$B:CA,78,FALSE),"N/A")</f>
        <v>NOT PUBLISHED</v>
      </c>
      <c r="AT24" s="84" t="str">
        <f>IFERROR(VLOOKUP($B24,'LOD 400 - ADMN'!$B:CD,81,FALSE),"N/A")</f>
        <v>NOT PUBLISHED</v>
      </c>
      <c r="AU24" s="85" t="str">
        <f>IFERROR(VLOOKUP($B24,'LOD 400 - ADMN'!$B:CG,84,FALSE),"N/A")</f>
        <v>NOT PUBLISHED</v>
      </c>
      <c r="AV24" s="84" t="str">
        <f>IFERROR(VLOOKUP($B24,'LOD 400 - ADMN'!$B:CJ,87,FALSE),"N/A")</f>
        <v>NOT PUBLISHED</v>
      </c>
      <c r="AW24" s="85" t="str">
        <f>IFERROR(VLOOKUP($B24,'LOD 400 - ADMN'!$B:CM,90,FALSE),"N/A")</f>
        <v>NOT PUBLISHED</v>
      </c>
      <c r="AX24" s="84" t="str">
        <f>IFERROR(VLOOKUP($B24,'LOD 400 - ADMN'!$B:CP,93,FALSE),"N/A")</f>
        <v>NOT PUBLISHED</v>
      </c>
      <c r="AY24" s="84" t="str">
        <f>IFERROR(VLOOKUP($B24,'LOD 400 - ADMN'!$B:CS,96,FALSE),"N/A")</f>
        <v>NOT PUBLISHED</v>
      </c>
      <c r="AZ24" s="84" t="str">
        <f>IFERROR(VLOOKUP($B24,'LOD 400 - ADMN'!$B:CV,99,FALSE),"N/A")</f>
        <v>NOT PUBLISHED</v>
      </c>
      <c r="BA24" s="84" t="str">
        <f>IFERROR(VLOOKUP($B24,'LOD 400 - ADMN'!$B:CY,102,FALSE),"N/A")</f>
        <v>NOT PUBLISHED</v>
      </c>
      <c r="BB24" s="84" t="str">
        <f>IFERROR(VLOOKUP($B24,'LOD 400 - ADMN'!$B:DB,105,FALSE),"N/A")</f>
        <v>NOT PUBLISHED</v>
      </c>
      <c r="BC24" s="84" t="str">
        <f>IFERROR(VLOOKUP($B24,'LOD 400 - ADMN'!$B:DE,108,FALSE),"N/A")</f>
        <v>NOT PUBLISHED</v>
      </c>
      <c r="BD24" s="84" t="str">
        <f>IFERROR(VLOOKUP($B24,'LOD 400 - ADMN'!$B:DH,111,FALSE),"N/A")</f>
        <v>NOT PUBLISHED</v>
      </c>
      <c r="BE24" s="84" t="str">
        <f>IFERROR(VLOOKUP($B24,'LOD 400 - ADMN'!$B:DK,114,FALSE),"N/A")</f>
        <v>NOT PUBLISHED</v>
      </c>
      <c r="BF24" s="84" t="str">
        <f>IFERROR(VLOOKUP($B24,'LOD 400 - ADMN'!$B:DN,117,FALSE),"N/A")</f>
        <v>NOT PUBLISHED</v>
      </c>
      <c r="BG24" s="86" t="str">
        <f>IFERROR(__xludf.DUMMYFUNCTION("IFERROR(
  MAX(FILTER(Y24:BF24, ISNUMBER(Y24:BF24))),
  BF24
)"),"NOT PUBLISHED")</f>
        <v>NOT PUBLISHED</v>
      </c>
      <c r="BH24" s="79" t="str">
        <f>IFERROR(VLOOKUP($B24,'LOD 400 - COLO1'!B:S,18,FALSE),"N/A")</f>
        <v>NOT PUBLISHED</v>
      </c>
      <c r="BI24" s="79" t="str">
        <f>IFERROR(VLOOKUP($B24,'LOD 400 - COLO1'!B:V,21,FALSE),"N/A")</f>
        <v>NOT PUBLISHED</v>
      </c>
      <c r="BJ24" s="79" t="str">
        <f>IFERROR(VLOOKUP($B24,'LOD 400 - COLO1'!$B:Y,24,FALSE),"N/A")</f>
        <v>NOT PUBLISHED</v>
      </c>
      <c r="BK24" s="87" t="str">
        <f>IFERROR(VLOOKUP($B24,'LOD 400 - COLO1'!$B:AB,27,FALSE),"N/A")</f>
        <v>NOT PUBLISHED</v>
      </c>
      <c r="BL24" s="80" t="str">
        <f>IFERROR(VLOOKUP($B24,'LOD 400 - COLO1'!$B:AE,30,FALSE),"N/A")</f>
        <v>NOT PUBLISHED</v>
      </c>
      <c r="BM24" s="81" t="str">
        <f>IFERROR(VLOOKUP($B24,'LOD 400 - COLO1'!$B:AH,33,FALSE),"N/A")</f>
        <v>NOT PUBLISHED</v>
      </c>
      <c r="BN24" s="87" t="str">
        <f>IFERROR(VLOOKUP($B24,'LOD 400 - COLO1'!$B:AK,36,FALSE),"N/A")</f>
        <v>NOT PUBLISHED</v>
      </c>
      <c r="BO24" s="83" t="str">
        <f>IFERROR(VLOOKUP($B24,'LOD 400 - COLO1'!$B:AN,39,FALSE),"N/A")</f>
        <v>NOT PUBLISHED</v>
      </c>
      <c r="BP24" s="88" t="str">
        <f>IFERROR(VLOOKUP($B24,'LOD 400 - COLO1'!$B:AQ,42,FALSE),"N/A")</f>
        <v>NOT PUBLISHED</v>
      </c>
      <c r="BQ24" s="84" t="str">
        <f>IFERROR(VLOOKUP($B24,'LOD 400 - COLO1'!$B:AT,45,FALSE),"N/A")</f>
        <v>NOT PUBLISHED</v>
      </c>
      <c r="BR24" s="85" t="str">
        <f>IFERROR(VLOOKUP($B24,'LOD 400 - COLO1'!$B:AW,48,FALSE),"N/A")</f>
        <v>NOT PUBLISHED</v>
      </c>
      <c r="BS24" s="84" t="str">
        <f>IFERROR(VLOOKUP($B24,'LOD 400 - COLO1'!$B:AZ,51,FALSE),"N/A")</f>
        <v>NOT PUBLISHED</v>
      </c>
      <c r="BT24" s="84" t="str">
        <f>IFERROR(VLOOKUP($B24,'LOD 400 - COLO1'!$B:BC,54,FALSE),"N/A")</f>
        <v>NOT PUBLISHED</v>
      </c>
      <c r="BU24" s="84" t="str">
        <f>IFERROR(VLOOKUP($B24,'LOD 400 - COLO1'!$B:BF,57,FALSE),"N/A")</f>
        <v>NOT PUBLISHED</v>
      </c>
      <c r="BV24" s="84" t="str">
        <f>IFERROR(VLOOKUP($B24,'LOD 400 - COLO1'!$B:BI,60,FALSE),"N/A")</f>
        <v>NOT PUBLISHED</v>
      </c>
      <c r="BW24" s="84" t="str">
        <f>IFERROR(VLOOKUP($B24,'LOD 400 - COLO1'!$B:BL,63,FALSE),"N/A")</f>
        <v>NOT PUBLISHED</v>
      </c>
      <c r="BX24" s="84" t="str">
        <f>IFERROR(VLOOKUP($B24,'LOD 400 - COLO1'!$B:BO,66,FALSE),"N/A")</f>
        <v>NOT PUBLISHED</v>
      </c>
      <c r="BY24" s="84" t="str">
        <f>IFERROR(VLOOKUP($B24,'LOD 400 - COLO1'!$B:BR,69,FALSE),"N/A")</f>
        <v>NOT PUBLISHED</v>
      </c>
      <c r="BZ24" s="84" t="str">
        <f>IFERROR(VLOOKUP($B24,'LOD 400 - COLO1'!$B:BU,72,FALSE),"N/A")</f>
        <v>NOT PUBLISHED</v>
      </c>
      <c r="CA24" s="84" t="str">
        <f>IFERROR(VLOOKUP($B24,'LOD 400 - COLO1'!$B:BX,75,FALSE),"N/A")</f>
        <v>NOT PUBLISHED</v>
      </c>
      <c r="CB24" s="84" t="str">
        <f>IFERROR(VLOOKUP($B24,'LOD 400 - COLO1'!$B:CA,78,FALSE),"N/A")</f>
        <v>NOT PUBLISHED</v>
      </c>
      <c r="CC24" s="84" t="str">
        <f>IFERROR(VLOOKUP($B24,'LOD 400 - COLO1'!$B:CD,81,FALSE),"N/A")</f>
        <v>NOT PUBLISHED</v>
      </c>
      <c r="CD24" s="85" t="str">
        <f>IFERROR(VLOOKUP($B24,'LOD 400 - COLO1'!$B:CG,84,FALSE),"N/A")</f>
        <v>NOT PUBLISHED</v>
      </c>
      <c r="CE24" s="84" t="str">
        <f>IFERROR(VLOOKUP($B24,'LOD 400 - COLO1'!$B:CJ,87,FALSE),"N/A")</f>
        <v>NOT PUBLISHED</v>
      </c>
      <c r="CF24" s="85" t="str">
        <f>IFERROR(VLOOKUP($B24,'LOD 400 - COLO1'!$B:CM,90,FALSE),"N/A")</f>
        <v>NOT PUBLISHED</v>
      </c>
      <c r="CG24" s="84" t="str">
        <f>IFERROR(VLOOKUP($B24,'LOD 400 - COLO1'!$B:CP,93,FALSE),"N/A")</f>
        <v>NOT PUBLISHED</v>
      </c>
      <c r="CH24" s="84" t="str">
        <f>IFERROR(VLOOKUP($B24,'LOD 400 - COLO1'!$B:CS,96,FALSE),"N/A")</f>
        <v>NOT PUBLISHED</v>
      </c>
      <c r="CI24" s="84" t="str">
        <f>IFERROR(VLOOKUP($B24,'LOD 400 - COLO1'!$B:CV,99,FALSE),"N/A")</f>
        <v>NOT PUBLISHED</v>
      </c>
      <c r="CJ24" s="84" t="str">
        <f>IFERROR(VLOOKUP($B24,'LOD 400 - COLO1'!$B:CY,102,FALSE),"N/A")</f>
        <v>NOT PUBLISHED</v>
      </c>
      <c r="CK24" s="84" t="str">
        <f>IFERROR(VLOOKUP($B24,'LOD 400 - COLO1'!$B:DB,105,FALSE),"N/A")</f>
        <v>NOT PUBLISHED</v>
      </c>
      <c r="CL24" s="84" t="str">
        <f>IFERROR(VLOOKUP($B24,'LOD 400 - COLO1'!$B:DE,108,FALSE),"N/A")</f>
        <v>NOT PUBLISHED</v>
      </c>
      <c r="CM24" s="84" t="str">
        <f>IFERROR(VLOOKUP($B24,'LOD 400 - COLO1'!$B:DH,111,FALSE),"N/A")</f>
        <v>NOT PUBLISHED</v>
      </c>
      <c r="CN24" s="84" t="str">
        <f>IFERROR(VLOOKUP($B24,'LOD 400 - COLO1'!$B:DK,114,FALSE),"N/A")</f>
        <v>NOT PUBLISHED</v>
      </c>
      <c r="CO24" s="84" t="str">
        <f>IFERROR(VLOOKUP($B24,'LOD 400 - COLO1'!$B:DN,117,FALSE),"N/A")</f>
        <v>NOT PUBLISHED</v>
      </c>
      <c r="CP24" s="86" t="str">
        <f>IFERROR(__xludf.DUMMYFUNCTION("IFERROR(
  MAX(FILTER(BH24:CO24, ISNUMBER(BH24:CO24))),
  CO24
)"),"NOT PUBLISHED")</f>
        <v>NOT PUBLISHED</v>
      </c>
      <c r="CQ24" s="89" t="str">
        <f>IFERROR(VLOOKUP($B24,'LOD 400 - COLO2'!B:S,18,FALSE),"N/A")</f>
        <v>NOT PUBLISHED</v>
      </c>
      <c r="CR24" s="79" t="str">
        <f>IFERROR(VLOOKUP($B24,'LOD 400 - COLO2'!B:V,21,FALSE),"N/A")</f>
        <v>NOT PUBLISHED</v>
      </c>
      <c r="CS24" s="79" t="str">
        <f>IFERROR(VLOOKUP($B24,'LOD 400 - COLO2'!$B:Y,24,FALSE),"N/A")</f>
        <v>NOT PUBLISHED</v>
      </c>
      <c r="CT24" s="80" t="str">
        <f>IFERROR(VLOOKUP($B24,'LOD 400 - COLO2'!$B:DQ,27,FALSE),"N/A")</f>
        <v>NOT PUBLISHED</v>
      </c>
      <c r="CU24" s="90" t="str">
        <f>IFERROR(VLOOKUP($B24,'LOD 400 - COLO2'!$B:AE,30,FALSE),"N/A")</f>
        <v>NOT PUBLISHED</v>
      </c>
      <c r="CV24" s="81" t="str">
        <f>IFERROR(VLOOKUP($B24,'LOD 400 - COLO2'!$B:AH,33,FALSE),"N/A")</f>
        <v>NOT PUBLISHED</v>
      </c>
      <c r="CW24" s="90" t="str">
        <f>IFERROR(VLOOKUP($B24,'LOD 400 - COLO2'!$B:AK,36,FALSE),"N/A")</f>
        <v>NOT PUBLISHED</v>
      </c>
      <c r="CX24" s="85" t="str">
        <f>IFERROR(VLOOKUP($B24,'LOD 400 - COLO2'!$B:AN,39,FALSE),"N/A")</f>
        <v>NOT PUBLISHED</v>
      </c>
      <c r="CY24" s="88" t="str">
        <f>IFERROR(VLOOKUP($B24,'LOD 400 - COLO2'!$B:AQ,42,FALSE),"N/A")</f>
        <v>NOT PUBLISHED</v>
      </c>
      <c r="CZ24" s="84" t="str">
        <f>IFERROR(VLOOKUP($B24,'LOD 400 - COLO2'!$B:AT,45,FALSE),"N/A")</f>
        <v>NOT PUBLISHED</v>
      </c>
      <c r="DA24" s="85" t="str">
        <f>IFERROR(VLOOKUP($B24,'LOD 400 - COLO2'!$B:AW,48,FALSE),"N/A")</f>
        <v>NOT PUBLISHED</v>
      </c>
      <c r="DB24" s="84" t="str">
        <f>IFERROR(VLOOKUP($B24,'LOD 400 - COLO2'!$B:AZ,51,FALSE),"N/A")</f>
        <v>NOT PUBLISHED</v>
      </c>
      <c r="DC24" s="84" t="str">
        <f>IFERROR(VLOOKUP($B24,'LOD 400 - COLO2'!$B:BC,54,FALSE),"N/A")</f>
        <v>NOT PUBLISHED</v>
      </c>
      <c r="DD24" s="84" t="str">
        <f>IFERROR(VLOOKUP($B24,'LOD 400 - COLO2'!$B:BF,57,FALSE),"N/A")</f>
        <v>NOT PUBLISHED</v>
      </c>
      <c r="DE24" s="84" t="str">
        <f>IFERROR(VLOOKUP($B24,'LOD 400 - COLO2'!$B:BI,60,FALSE),"N/A")</f>
        <v>NOT PUBLISHED</v>
      </c>
      <c r="DF24" s="84" t="str">
        <f>IFERROR(VLOOKUP($B24,'LOD 400 - COLO2'!$B:BL,63,FALSE),"N/A")</f>
        <v>NOT PUBLISHED</v>
      </c>
      <c r="DG24" s="84" t="str">
        <f>IFERROR(VLOOKUP($B24,'LOD 400 - COLO2'!$B:BO,66,FALSE),"N/A")</f>
        <v>NOT PUBLISHED</v>
      </c>
      <c r="DH24" s="84" t="str">
        <f>IFERROR(VLOOKUP($B24,'LOD 400 - COLO2'!$B:BR,69,FALSE),"N/A")</f>
        <v>NOT PUBLISHED</v>
      </c>
      <c r="DI24" s="84" t="str">
        <f>IFERROR(VLOOKUP($B24,'LOD 400 - COLO2'!$B:BU,72,FALSE),"N/A")</f>
        <v>NOT PUBLISHED</v>
      </c>
      <c r="DJ24" s="84" t="str">
        <f>IFERROR(VLOOKUP($B24,'LOD 400 - COLO2'!$B:BX,75,FALSE),"N/A")</f>
        <v>NOT PUBLISHED</v>
      </c>
      <c r="DK24" s="84" t="str">
        <f>IFERROR(VLOOKUP($B24,'LOD 400 - COLO2'!$B:CA,78,FALSE),"N/A")</f>
        <v>NOT PUBLISHED</v>
      </c>
      <c r="DL24" s="84" t="str">
        <f>IFERROR(VLOOKUP($B24,'LOD 400 - COLO2'!$B:CD,81,FALSE),"N/A")</f>
        <v>NOT PUBLISHED</v>
      </c>
      <c r="DM24" s="85" t="str">
        <f>IFERROR(VLOOKUP($B24,'LOD 400 - COLO2'!$B:CG,84,FALSE),"N/A")</f>
        <v>NOT PUBLISHED</v>
      </c>
      <c r="DN24" s="84" t="str">
        <f>IFERROR(VLOOKUP($B24,'LOD 400 - COLO2'!$B:CJ,87,FALSE),"N/A")</f>
        <v>NOT PUBLISHED</v>
      </c>
      <c r="DO24" s="85" t="str">
        <f>IFERROR(VLOOKUP($B24,'LOD 400 - COLO2'!$B:CM,90,FALSE),"N/A")</f>
        <v>NOT PUBLISHED</v>
      </c>
      <c r="DP24" s="84" t="str">
        <f>IFERROR(VLOOKUP($B24,'LOD 400 - COLO2'!$B:CP,93,FALSE),"N/A")</f>
        <v>NOT PUBLISHED</v>
      </c>
      <c r="DQ24" s="84" t="str">
        <f>IFERROR(VLOOKUP($B24,'LOD 400 - COLO2'!$B:CS,96,FALSE),"N/A")</f>
        <v>NOT PUBLISHED</v>
      </c>
      <c r="DR24" s="84" t="str">
        <f>IFERROR(VLOOKUP($B24,'LOD 400 - COLO2'!$B:CV,99,FALSE),"N/A")</f>
        <v>NOT PUBLISHED</v>
      </c>
      <c r="DS24" s="84" t="str">
        <f>IFERROR(VLOOKUP($B24,'LOD 400 - COLO2'!$B:CY,102,FALSE),"N/A")</f>
        <v>NOT PUBLISHED</v>
      </c>
      <c r="DT24" s="84" t="str">
        <f>IFERROR(VLOOKUP($B24,'LOD 400 - COLO2'!$B:DB,105,FALSE),"N/A")</f>
        <v>NOT PUBLISHED</v>
      </c>
      <c r="DU24" s="84" t="str">
        <f>IFERROR(VLOOKUP($B24,'LOD 400 - COLO2'!$B:DE,108,FALSE),"N/A")</f>
        <v>NOT PUBLISHED</v>
      </c>
      <c r="DV24" s="84" t="str">
        <f>IFERROR(VLOOKUP($B24,'LOD 400 - COLO2'!$B:DH,111,FALSE),"N/A")</f>
        <v>NOT PUBLISHED</v>
      </c>
      <c r="DW24" s="84" t="str">
        <f>IFERROR(VLOOKUP($B24,'LOD 400 - COLO2'!$B:DK,114,FALSE),"N/A")</f>
        <v>NOT PUBLISHED</v>
      </c>
      <c r="DX24" s="84" t="str">
        <f>IFERROR(VLOOKUP($B24,'LOD 400 - COLO2'!$B:DN,117,FALSE),"N/A")</f>
        <v>NOT PUBLISHED</v>
      </c>
      <c r="DY24" s="91" t="str">
        <f>IFERROR(__xludf.DUMMYFUNCTION("IFERROR(
  MAX(FILTER(CQ24:DW24, ISNUMBER(CQ24:DW24))),
  DW24
)"),"NOT PUBLISHED")</f>
        <v>NOT PUBLISHED</v>
      </c>
      <c r="DZ24" s="92" t="str">
        <f>IFERROR(VLOOKUP($B24,'LOD 400 - COLO3'!B:S,18,FALSE),"N/A")</f>
        <v>NOT PUBLISHED</v>
      </c>
      <c r="EA24" s="84" t="str">
        <f>IFERROR(VLOOKUP($B24,'LOD 400 - COLO3'!B:V,21,FALSE),"N/A")</f>
        <v>NOT PUBLISHED</v>
      </c>
      <c r="EB24" s="84" t="str">
        <f>IFERROR(VLOOKUP($B24,'LOD 400 - COLO3'!B:Y,24,FALSE),"N/A")</f>
        <v>NOT PUBLISHED</v>
      </c>
      <c r="EC24" s="84" t="str">
        <f>IFERROR(VLOOKUP($B24,'LOD 400 - COLO3'!B:AB,27,FALSE),"N/A")</f>
        <v>NOT PUBLISHED</v>
      </c>
      <c r="ED24" s="85" t="str">
        <f>IFERROR(VLOOKUP($B24,'LOD 400 - COLO3'!B:AE,30,FALSE),"N/A")</f>
        <v>NOT PUBLISHED</v>
      </c>
      <c r="EE24" s="84" t="str">
        <f>IFERROR(VLOOKUP($B24,'LOD 400 - COLO3'!B:AH,33,FALSE),"N/A")</f>
        <v>NOT PUBLISHED</v>
      </c>
      <c r="EF24" s="84" t="str">
        <f>IFERROR(VLOOKUP($B24,'LOD 400 - COLO3'!B:AK,36,FALSE),"N/A")</f>
        <v>NOT PUBLISHED</v>
      </c>
      <c r="EG24" s="109" t="str">
        <f>IFERROR(VLOOKUP($B24,'LOD 400 - COLO3'!B:AN,39,FALSE),"N/A")</f>
        <v>NOT PUBLISHED</v>
      </c>
      <c r="EH24" s="94" t="str">
        <f>IFERROR(VLOOKUP($B24,'LOD 400 - COLO3'!B:AQ,42,FALSE),"N/A")</f>
        <v>NOT PUBLISHED</v>
      </c>
      <c r="EI24" s="94" t="str">
        <f>IFERROR(VLOOKUP($B24,'LOD 400 - COLO3'!B:AT,45,FALSE),"N/A")</f>
        <v>NOT PUBLISHED</v>
      </c>
      <c r="EJ24" s="94" t="str">
        <f>IFERROR(VLOOKUP($B24,'LOD 400 - COLO3'!B:AW,48,FALSE),"N/A")</f>
        <v>NOT PUBLISHED</v>
      </c>
      <c r="EK24" s="94" t="str">
        <f>IFERROR(VLOOKUP($B24,'LOD 400 - COLO3'!B:AZ,51,FALSE),"N/A")</f>
        <v>NOT PUBLISHED</v>
      </c>
      <c r="EL24" s="94" t="str">
        <f>IFERROR(VLOOKUP($B24,'LOD 400 - COLO3'!B:BC,54,FALSE),"N/A")</f>
        <v>NOT PUBLISHED</v>
      </c>
      <c r="EM24" s="94" t="str">
        <f>IFERROR(VLOOKUP($B24,'LOD 400 - COLO3'!B:BF,57,FALSE),"N/A")</f>
        <v>NOT PUBLISHED</v>
      </c>
      <c r="EN24" s="94" t="str">
        <f>IFERROR(VLOOKUP($B24,'LOD 400 - COLO3'!B:BI,60,FALSE),"N/A")</f>
        <v>NOT PUBLISHED</v>
      </c>
      <c r="EO24" s="94" t="str">
        <f>IFERROR(VLOOKUP($B24,'LOD 400 - COLO3'!B:BL,63,FALSE),"N/A")</f>
        <v>NOT PUBLISHED</v>
      </c>
      <c r="EP24" s="86" t="str">
        <f>IFERROR(__xludf.DUMMYFUNCTION("IFERROR(
  MAX(FILTER(DZ24:EO24, ISNUMBER(DZ24:EO24))),
  EO24
)"),"NOT PUBLISHED")</f>
        <v>NOT PUBLISHED</v>
      </c>
      <c r="EQ24" s="95" t="str">
        <f>IFERROR(VLOOKUP($B24,'LOD 400 - COLO4'!B:S,18,FALSE),"N/A")</f>
        <v>NOT PUBLISHED</v>
      </c>
      <c r="ER24" s="96" t="str">
        <f>IFERROR(__xludf.DUMMYFUNCTION("IFERROR(
  MAX(FILTER(EQ24, ISNUMBER(EQ24))),
  EQ24
)"),"NOT PUBLISHED")</f>
        <v>NOT PUBLISHED</v>
      </c>
      <c r="ES24" s="79" t="str">
        <f>IFERROR(VLOOKUP($B24,'LOD 400 - SITE'!B:S,18,FALSE),"N/A")</f>
        <v>N/A</v>
      </c>
      <c r="ET24" s="80" t="str">
        <f>IFERROR(VLOOKUP($B24,'LOD 400 - SITE'!B:V,21,FALSE),"N/A")</f>
        <v>N/A</v>
      </c>
      <c r="EU24" s="97" t="str">
        <f>IFERROR(VLOOKUP($B24,'LOD 400 - SITE'!$B:Y,24,FALSE),"N/A")</f>
        <v>N/A</v>
      </c>
      <c r="EV24" s="80" t="str">
        <f>IFERROR(VLOOKUP($B24,'LOD 400 - SITE'!$B:AB,27,FALSE),"N/A")</f>
        <v>N/A</v>
      </c>
      <c r="EW24" s="81" t="str">
        <f>IFERROR(VLOOKUP($B24,'LOD 400 - SITE'!$B:AE,30,FALSE),"N/A")</f>
        <v>N/A</v>
      </c>
      <c r="EX24" s="87" t="str">
        <f>IFERROR(VLOOKUP($B24,'LOD 400 - SITE'!$B:AH,33,FALSE),"N/A")</f>
        <v>N/A</v>
      </c>
      <c r="EY24" s="87" t="str">
        <f>IFERROR(VLOOKUP($B24,'LOD 400 - SITE'!$B:AK,36,FALSE),"N/A")</f>
        <v>N/A</v>
      </c>
      <c r="EZ24" s="80" t="str">
        <f>IFERROR(VLOOKUP($B24,'LOD 400 - SITE'!$B:AN,39,FALSE),"N/A")</f>
        <v>N/A</v>
      </c>
      <c r="FA24" s="82" t="str">
        <f>IFERROR(VLOOKUP($B24,'LOD 400 - SITE'!$B:AQ,42,FALSE),"N/A")</f>
        <v>N/A</v>
      </c>
      <c r="FB24" s="88" t="str">
        <f>IFERROR(VLOOKUP($B24,'LOD 400 - SITE'!$B:AT,45,FALSE),"N/A")</f>
        <v>N/A</v>
      </c>
      <c r="FC24" s="84" t="str">
        <f>IFERROR(VLOOKUP($B24,'LOD 400 - SITE'!$B:AW,48,FALSE),"N/A")</f>
        <v>N/A</v>
      </c>
      <c r="FD24" s="84" t="str">
        <f>IFERROR(VLOOKUP($B24,'LOD 400 - SITE'!$B:AZ,51,FALSE),"N/A")</f>
        <v>N/A</v>
      </c>
      <c r="FE24" s="84" t="str">
        <f>IFERROR(VLOOKUP($B24,'LOD 400 - SITE'!$B:BC,54,FALSE),"N/A")</f>
        <v>N/A</v>
      </c>
      <c r="FF24" s="84" t="str">
        <f>IFERROR(VLOOKUP($B24,'LOD 400 - SITE'!$B:BF,57,FALSE),"N/A")</f>
        <v>N/A</v>
      </c>
      <c r="FG24" s="84" t="str">
        <f>IFERROR(VLOOKUP($B24,'LOD 400 - SITE'!$B:BI,60,FALSE),"N/A")</f>
        <v>N/A</v>
      </c>
      <c r="FH24" s="84" t="str">
        <f>IFERROR(VLOOKUP($B24,'LOD 400 - SITE'!$B:BL,63,FALSE),"N/A")</f>
        <v>N/A</v>
      </c>
      <c r="FI24" s="84" t="str">
        <f>IFERROR(VLOOKUP($B24,'LOD 400 - SITE'!$B:BO,66,FALSE),"N/A")</f>
        <v>N/A</v>
      </c>
      <c r="FJ24" s="84" t="str">
        <f>IFERROR(VLOOKUP($B24,'LOD 400 - SITE'!$B:BR,69,FALSE),"N/A")</f>
        <v>N/A</v>
      </c>
      <c r="FK24" s="84" t="str">
        <f>IFERROR(VLOOKUP($B24,'LOD 400 - SITE'!$B:BU,72,FALSE),"N/A")</f>
        <v>N/A</v>
      </c>
      <c r="FL24" s="84" t="str">
        <f>IFERROR(VLOOKUP($B24,'LOD 400 - SITE'!$B:BX,75,FALSE),"N/A")</f>
        <v>N/A</v>
      </c>
      <c r="FM24" s="84" t="str">
        <f>IFERROR(VLOOKUP($B24,'LOD 400 - SITE'!$B:CA,78,FALSE),"N/A")</f>
        <v>N/A</v>
      </c>
      <c r="FN24" s="85" t="str">
        <f>IFERROR(VLOOKUP($B24,'LOD 400 - SITE'!$B:CD,81,FALSE),"N/A")</f>
        <v>N/A</v>
      </c>
      <c r="FO24" s="84" t="str">
        <f>IFERROR(VLOOKUP($B24,'LOD 400 - SITE'!$B:CG,84,FALSE),"N/A")</f>
        <v>N/A</v>
      </c>
      <c r="FP24" s="85" t="str">
        <f>IFERROR(VLOOKUP($B24,'LOD 400 - SITE'!$B:CJ,87,FALSE),"N/A")</f>
        <v>N/A</v>
      </c>
      <c r="FQ24" s="84" t="str">
        <f>IFERROR(VLOOKUP($B24,'LOD 400 - SITE'!$B:CM,90,FALSE),"N/A")</f>
        <v>N/A</v>
      </c>
      <c r="FR24" s="84" t="str">
        <f>IFERROR(VLOOKUP($B24,'LOD 400 - SITE'!$B:CP,93,FALSE),"N/A")</f>
        <v>N/A</v>
      </c>
      <c r="FS24" s="84" t="str">
        <f>IFERROR(VLOOKUP($B24,'LOD 400 - SITE'!$B:CS,96,FALSE),"N/A")</f>
        <v>N/A</v>
      </c>
      <c r="FT24" s="84" t="str">
        <f>IFERROR(VLOOKUP($B24,'LOD 400 - SITE'!$B:CV,99,FALSE),"N/A")</f>
        <v>N/A</v>
      </c>
      <c r="FU24" s="84" t="str">
        <f>IFERROR(VLOOKUP($B24,'LOD 400 - SITE'!$B:CY,102,FALSE),"N/A")</f>
        <v>N/A</v>
      </c>
      <c r="FV24" s="84" t="str">
        <f>IFERROR(VLOOKUP($B24,'LOD 400 - SITE'!$B:DB,105,FALSE),"N/A")</f>
        <v>N/A</v>
      </c>
      <c r="FW24" s="84" t="str">
        <f>IFERROR(VLOOKUP($B24,'LOD 400 - SITE'!$B:DE,108,FALSE),"N/A")</f>
        <v>N/A</v>
      </c>
      <c r="FX24" s="84" t="str">
        <f>IFERROR(VLOOKUP($B24,'LOD 400 - SITE'!$B:DH,111,FALSE),"N/A")</f>
        <v>N/A</v>
      </c>
      <c r="FY24" s="84" t="str">
        <f>IFERROR(VLOOKUP($B24,'LOD 400 - SITE'!$B:DK,114,FALSE),"N/A")</f>
        <v>N/A</v>
      </c>
      <c r="FZ24" s="96" t="str">
        <f>IFERROR(__xludf.DUMMYFUNCTION("IFERROR(
  MAX(FILTER(ES24:FY24, ISNUMBER(ES24:FY24))),
  FY24
)"),"N/A")</f>
        <v>N/A</v>
      </c>
      <c r="GA24" s="80" t="str">
        <f>IFERROR(VLOOKUP($B24,'LOD 400 - UTLS'!B:S,18,FALSE),"N/A")</f>
        <v>N/A</v>
      </c>
      <c r="GB24" s="98" t="str">
        <f>IFERROR(VLOOKUP($B24,'LOD 400 - UTLS'!B:V,21,FALSE),"N/A")</f>
        <v>N/A</v>
      </c>
      <c r="GC24" s="81" t="str">
        <f>IFERROR(VLOOKUP($B24,'LOD 400 - UTLS'!B:Y,24,FALSE),"N/A")</f>
        <v>N/A</v>
      </c>
      <c r="GD24" s="87" t="str">
        <f>IFERROR(VLOOKUP($B24,'LOD 400 - UTLS'!$B:AB,27,FALSE),"N/A")</f>
        <v>N/A</v>
      </c>
      <c r="GE24" s="80" t="str">
        <f>IFERROR(VLOOKUP($B24,'LOD 400 - UTLS'!$B:AE,30,FALSE),"N/A")</f>
        <v>N/A</v>
      </c>
      <c r="GF24" s="82" t="str">
        <f>IFERROR(VLOOKUP($B24,'LOD 400 - UTLS'!$B:AH,33,FALSE),"N/A")</f>
        <v>N/A</v>
      </c>
      <c r="GG24" s="88" t="str">
        <f>IFERROR(VLOOKUP($B24,'LOD 400 - UTLS'!$B:AK,36,FALSE),"N/A")</f>
        <v>N/A</v>
      </c>
      <c r="GH24" s="84" t="str">
        <f>IFERROR(VLOOKUP($B24,'LOD 400 - UTLS'!$B:AN,39,FALSE),"N/A")</f>
        <v>N/A</v>
      </c>
      <c r="GI24" s="84" t="str">
        <f>IFERROR(VLOOKUP($B24,'LOD 400 - UTLS'!$B:AQ,42,FALSE),"N/A")</f>
        <v>N/A</v>
      </c>
      <c r="GJ24" s="84" t="str">
        <f>IFERROR(VLOOKUP($B24,'LOD 400 - UTLS'!$B:AT,45,FALSE),"N/A")</f>
        <v>N/A</v>
      </c>
      <c r="GK24" s="84" t="str">
        <f>IFERROR(VLOOKUP($B24,'LOD 400 - UTLS'!$B:AW,48,FALSE),"N/A")</f>
        <v>N/A</v>
      </c>
      <c r="GL24" s="84" t="str">
        <f>IFERROR(VLOOKUP($B24,'LOD 400 - UTLS'!$B:AZ,51,FALSE),"N/A")</f>
        <v>N/A</v>
      </c>
      <c r="GM24" s="84" t="str">
        <f>IFERROR(VLOOKUP($B24,'LOD 400 - UTLS'!$B:BC,54,FALSE),"N/A")</f>
        <v>N/A</v>
      </c>
      <c r="GN24" s="84" t="str">
        <f>IFERROR(VLOOKUP($B24,'LOD 400 - UTLS'!$B:BF,57,FALSE),"N/A")</f>
        <v>N/A</v>
      </c>
      <c r="GO24" s="84" t="str">
        <f>IFERROR(VLOOKUP($B24,'LOD 400 - UTLS'!$B:BI,60,FALSE),"N/A")</f>
        <v>N/A</v>
      </c>
      <c r="GP24" s="84" t="str">
        <f>IFERROR(VLOOKUP($B24,'LOD 400 - UTLS'!$B:BL,63,FALSE),"N/A")</f>
        <v>N/A</v>
      </c>
      <c r="GQ24" s="84" t="str">
        <f>IFERROR(VLOOKUP($B24,'LOD 400 - UTLS'!$B:BO,66,FALSE),"N/A")</f>
        <v>N/A</v>
      </c>
      <c r="GR24" s="84" t="str">
        <f>IFERROR(VLOOKUP($B24,'LOD 400 - UTLS'!$B:BR,69,FALSE),"N/A")</f>
        <v>N/A</v>
      </c>
      <c r="GS24" s="85" t="str">
        <f>IFERROR(VLOOKUP($B24,'LOD 400 - UTLS'!$B:BU,72,FALSE),"N/A")</f>
        <v>N/A</v>
      </c>
      <c r="GT24" s="84" t="str">
        <f>IFERROR(VLOOKUP($B24,'LOD 400 - UTLS'!$B:BX,75,FALSE),"N/A")</f>
        <v>N/A</v>
      </c>
      <c r="GU24" s="85" t="str">
        <f>IFERROR(VLOOKUP($B24,'LOD 400 - UTLS'!$B:CA,78,FALSE),"N/A")</f>
        <v>N/A</v>
      </c>
      <c r="GV24" s="84" t="str">
        <f>IFERROR(VLOOKUP($B24,'LOD 400 - UTLS'!$B:CD,81,FALSE),"N/A")</f>
        <v>N/A</v>
      </c>
      <c r="GW24" s="84" t="str">
        <f>IFERROR(VLOOKUP($B24,'LOD 400 - UTLS'!$B:CG,84,FALSE),"N/A")</f>
        <v>N/A</v>
      </c>
      <c r="GX24" s="84" t="str">
        <f>IFERROR(VLOOKUP($B24,'LOD 400 - UTLS'!$B:CJ,87,FALSE),"N/A")</f>
        <v>N/A</v>
      </c>
      <c r="GY24" s="84" t="str">
        <f>IFERROR(VLOOKUP($B24,'LOD 400 - UTLS'!$B:CM,90,FALSE),"N/A")</f>
        <v>N/A</v>
      </c>
      <c r="GZ24" s="84" t="str">
        <f>IFERROR(VLOOKUP($B24,'LOD 400 - UTLS'!$B:CP,93,FALSE),"N/A")</f>
        <v>N/A</v>
      </c>
      <c r="HA24" s="84" t="str">
        <f>IFERROR(VLOOKUP($B24,'LOD 400 - UTLS'!$B:CS,96,FALSE),"N/A")</f>
        <v>N/A</v>
      </c>
      <c r="HB24" s="84" t="str">
        <f>IFERROR(VLOOKUP($B24,'LOD 400 - UTLS'!$B:CV,99,FALSE),"N/A")</f>
        <v>N/A</v>
      </c>
      <c r="HC24" s="84" t="str">
        <f>IFERROR(VLOOKUP($B24,'LOD 400 - UTLS'!$B:CY,102,FALSE),"N/A")</f>
        <v>N/A</v>
      </c>
      <c r="HD24" s="84" t="str">
        <f>IFERROR(VLOOKUP($B24,'LOD 400 - UTLS'!$B:DB,105,FALSE),"N/A")</f>
        <v>N/A</v>
      </c>
      <c r="HE24" s="96" t="str">
        <f>IFERROR(__xludf.DUMMYFUNCTION("IFERROR(
  MAX(FILTER(GA24:HD24, ISNUMBER(GA24:HD24))),
  HD24
)"),"N/A")</f>
        <v>N/A</v>
      </c>
      <c r="HF24" s="99"/>
      <c r="HG24" s="99"/>
      <c r="HH24" s="99"/>
      <c r="HI24" s="99"/>
      <c r="HJ24" s="99"/>
      <c r="HK24" s="99"/>
    </row>
    <row r="25" ht="15.0" customHeight="1" outlineLevel="1">
      <c r="A25" s="53">
        <v>28.0</v>
      </c>
      <c r="B25" s="100" t="s">
        <v>134</v>
      </c>
      <c r="C25" s="100" t="s">
        <v>135</v>
      </c>
      <c r="D25" s="64" t="str">
        <f t="shared" si="1"/>
        <v>SITE</v>
      </c>
      <c r="E25" s="111" t="s">
        <v>136</v>
      </c>
      <c r="F25" s="115">
        <v>0.0</v>
      </c>
      <c r="G25" s="119" t="s">
        <v>105</v>
      </c>
      <c r="H25" s="116"/>
      <c r="I25" s="68" t="str">
        <f>IFERROR(VLOOKUP($C22:C108,'R22 RELATÓRIO ACC'!B:F,5,FALSE),"NOT PUBLISHED")</f>
        <v>NOT PUBLISHED</v>
      </c>
      <c r="J25" s="69" t="str">
        <f>IFERROR(VLOOKUP($C22:C108,'R22 RELATÓRIO ACC'!B:P,15,FALSE),"NOT PUBLISHED")</f>
        <v>NOT PUBLISHED</v>
      </c>
      <c r="K25" s="70" t="str">
        <f>IFERROR(VLOOKUP($B22:B108,'RELATÓRIO ACC'!B:F,5,FALSE),"NOT PUBLISHED")</f>
        <v>NOT PUBLISHED</v>
      </c>
      <c r="L25" s="71" t="str">
        <f>IFERROR(VLOOKUP($B22:B108,'RELATÓRIO ACC'!B:P,15,FALSE),"NOT PUBLISHED")</f>
        <v>NOT PUBLISHED</v>
      </c>
      <c r="M25" s="72" t="str">
        <f>IF(OR($D25="UTLS",$D25="GUAR",$D25="STIR",$D25="PUMP",$D25="SITE"),
   VLOOKUP($B25,'LOD 400 - SITE'!B:M,12,FALSE),
   VLOOKUP($B25,'LOD 400 - ADMN'!B:M,12,FALSE)
)</f>
        <v>NOT PUBLISHED</v>
      </c>
      <c r="N25" s="105" t="str">
        <f>IF(OR($D25="UTLS",$D25="GUAR",$D25="STIR",$D25="PUMP",$D25="SITE"),
   VLOOKUP($B25,'LOD 400 - SITE'!B:N,13,FALSE),
   VLOOKUP($B25,'LOD 400 - ADMN'!B:N,13,FALSE)
)</f>
        <v>NOT PUBLISHED</v>
      </c>
      <c r="O25" s="106" t="str">
        <f>IF(OR($D25="UTLS",$D25="GUAR",$D25="STIR",$D25="PUMP",$D25="SITE"),
   VLOOKUP($B25,'LOD 400 - SITE'!B:O,14,FALSE),
   VLOOKUP($B25,'LOD 400 - ADMN'!B:O,14,FALSE)
)</f>
        <v>NOT PUBLISHED</v>
      </c>
      <c r="P25" s="107" t="str">
        <f>IF(OR($D25="C345",$D25="C12A",$D25="DATA"),
   VLOOKUP($B25,'LOD 400 - COLO3'!B:M,12,FALSE),"N/A")</f>
        <v>N/A</v>
      </c>
      <c r="Q25" s="108" t="str">
        <f>IF(OR($D25="C345",$D25="C12A",$D25="DATA"),
   VLOOKUP($B25,'LOD 400 - COLO3'!B:N,13,FALSE),"N/A")</f>
        <v>N/A</v>
      </c>
      <c r="R25" s="75" t="str">
        <f>IF(OR($D25="C345",$D25="C12A",$D25="DATA"),
   VLOOKUP($B25,'LOD 400 - COLO3'!B:O,14,FALSE),"N/A")</f>
        <v>N/A</v>
      </c>
      <c r="S25" s="76" t="str">
        <f>IF(OR($D25="C345",$D25="C12A",$D25="DATA"),
   VLOOKUP($B25,'LOD 400 - COLO4'!B:N,12,FALSE),"N/A")</f>
        <v>N/A</v>
      </c>
      <c r="T25" s="76" t="str">
        <f>IF(OR($D25="C345",$D25="C12A",$D25="DATA"),
   VLOOKUP($B25,'LOD 400 - COLO4'!C:O,12,FALSE),"N/A")</f>
        <v>N/A</v>
      </c>
      <c r="U25" s="117" t="str">
        <f>IF(OR($D25="C345",$D25="C12A",$D25="DATA"),
   VLOOKUP($B25,'LOD 400 - COLO4'!D:P,12,FALSE),"N/A")</f>
        <v>N/A</v>
      </c>
      <c r="V25" s="77" t="str">
        <f>IF(OR($D25="UTLS",$D25="GUAR",$D25="STIR",$D25="PUMP",$D25="SITE"),
   VLOOKUP($B25,'LOD 400 - UTLS'!B:M,12,FALSE),"N/A")</f>
        <v>NOT PUBLISHED</v>
      </c>
      <c r="W25" s="78" t="str">
        <f>IF(OR($D25="UTLS",$D25="GUAR",$D25="STIR",$D25="PUMP",$D25="SITE"),
   VLOOKUP($B25,'LOD 400 - UTLS'!B:N,13,FALSE),"N/A")</f>
        <v>NOT PUBLISHED</v>
      </c>
      <c r="X25" s="108" t="str">
        <f>IF(OR($D25="UTLS",$D25="GUAR",$D25="STIR",$D25="PUMP",$D25="SITE"),
   VLOOKUP($B25,'LOD 400 - UTLS'!B:O,14,FALSE),"N/A")</f>
        <v>NOT PUBLISHED</v>
      </c>
      <c r="Y25" s="79" t="str">
        <f>IFERROR(VLOOKUP($B25,'LOD 400 - ADMN'!B:S,18,FALSE),"N/A")</f>
        <v>N/A</v>
      </c>
      <c r="Z25" s="79" t="str">
        <f>IFERROR(VLOOKUP($B25,'LOD 400 - ADMN'!B:V,21,FALSE),"N/A")</f>
        <v>N/A</v>
      </c>
      <c r="AA25" s="79" t="str">
        <f>IFERROR(VLOOKUP($B25,'LOD 400 - ADMN'!$B:Y,24,FALSE),"N/A")</f>
        <v>N/A</v>
      </c>
      <c r="AB25" s="80" t="str">
        <f>IFERROR(VLOOKUP($B25,'LOD 400 - ADMN'!$B:AB,27,FALSE),"N/A")</f>
        <v>N/A</v>
      </c>
      <c r="AC25" s="81" t="str">
        <f>IFERROR(VLOOKUP($B25,'LOD 400 - ADMN'!$B:AE,30,FALSE),"N/A")</f>
        <v>N/A</v>
      </c>
      <c r="AD25" s="81" t="str">
        <f>IFERROR(VLOOKUP($B25,'LOD 400 - ADMN'!$B:AH,33,FALSE),"N/A")</f>
        <v>N/A</v>
      </c>
      <c r="AE25" s="80" t="str">
        <f>IFERROR(VLOOKUP($B25,'LOD 400 - ADMN'!$B:AK,36,FALSE),"N/A")</f>
        <v>N/A</v>
      </c>
      <c r="AF25" s="82" t="str">
        <f>IFERROR(VLOOKUP($B25,'LOD 400 - ADMN'!$B:AN,39,FALSE),"N/A")</f>
        <v>N/A</v>
      </c>
      <c r="AG25" s="83" t="str">
        <f>IFERROR(VLOOKUP($B25,'LOD 400 - ADMN'!$B:AQ,42,FALSE),"N/A")</f>
        <v>N/A</v>
      </c>
      <c r="AH25" s="84" t="str">
        <f>IFERROR(VLOOKUP($B25,'LOD 400 - ADMN'!$B:AT,45,FALSE),"N/A")</f>
        <v>N/A</v>
      </c>
      <c r="AI25" s="85" t="str">
        <f>IFERROR(VLOOKUP($B25,'LOD 400 - ADMN'!$B:AW,48,FALSE),"N/A")</f>
        <v>N/A</v>
      </c>
      <c r="AJ25" s="85" t="str">
        <f>IFERROR(VLOOKUP($B25,'LOD 400 - ADMN'!$B:AZ,51,FALSE),"N/A")</f>
        <v>N/A</v>
      </c>
      <c r="AK25" s="84" t="str">
        <f>IFERROR(VLOOKUP($B25,'LOD 400 - ADMN'!$B:BC,54,FALSE),"N/A")</f>
        <v>N/A</v>
      </c>
      <c r="AL25" s="84" t="str">
        <f>IFERROR(VLOOKUP($B25,'LOD 400 - ADMN'!$B:BF,57,FALSE),"N/A")</f>
        <v>N/A</v>
      </c>
      <c r="AM25" s="84" t="str">
        <f>IFERROR(VLOOKUP($B25,'LOD 400 - ADMN'!$B:BI,60,FALSE),"N/A")</f>
        <v>N/A</v>
      </c>
      <c r="AN25" s="84" t="str">
        <f>IFERROR(VLOOKUP($B25,'LOD 400 - ADMN'!$B:BL,63,FALSE),"N/A")</f>
        <v>N/A</v>
      </c>
      <c r="AO25" s="84" t="str">
        <f>IFERROR(VLOOKUP($B25,'LOD 400 - ADMN'!$B:BO,66,FALSE),"N/A")</f>
        <v>N/A</v>
      </c>
      <c r="AP25" s="84" t="str">
        <f>IFERROR(VLOOKUP($B25,'LOD 400 - ADMN'!$B:BR,69,FALSE),"N/A")</f>
        <v>N/A</v>
      </c>
      <c r="AQ25" s="84" t="str">
        <f>IFERROR(VLOOKUP($B25,'LOD 400 - ADMN'!$B:BU,72,FALSE),"N/A")</f>
        <v>N/A</v>
      </c>
      <c r="AR25" s="84" t="str">
        <f>IFERROR(VLOOKUP($B25,'LOD 400 - ADMN'!$B:BX,75,FALSE),"N/A")</f>
        <v>N/A</v>
      </c>
      <c r="AS25" s="84" t="str">
        <f>IFERROR(VLOOKUP($B25,'LOD 400 - ADMN'!$B:CA,78,FALSE),"N/A")</f>
        <v>N/A</v>
      </c>
      <c r="AT25" s="84" t="str">
        <f>IFERROR(VLOOKUP($B25,'LOD 400 - ADMN'!$B:CD,81,FALSE),"N/A")</f>
        <v>N/A</v>
      </c>
      <c r="AU25" s="85" t="str">
        <f>IFERROR(VLOOKUP($B25,'LOD 400 - ADMN'!$B:CG,84,FALSE),"N/A")</f>
        <v>N/A</v>
      </c>
      <c r="AV25" s="84" t="str">
        <f>IFERROR(VLOOKUP($B25,'LOD 400 - ADMN'!$B:CJ,87,FALSE),"N/A")</f>
        <v>N/A</v>
      </c>
      <c r="AW25" s="85" t="str">
        <f>IFERROR(VLOOKUP($B25,'LOD 400 - ADMN'!$B:CM,90,FALSE),"N/A")</f>
        <v>N/A</v>
      </c>
      <c r="AX25" s="84" t="str">
        <f>IFERROR(VLOOKUP($B25,'LOD 400 - ADMN'!$B:CP,93,FALSE),"N/A")</f>
        <v>N/A</v>
      </c>
      <c r="AY25" s="84" t="str">
        <f>IFERROR(VLOOKUP($B25,'LOD 400 - ADMN'!$B:CS,96,FALSE),"N/A")</f>
        <v>N/A</v>
      </c>
      <c r="AZ25" s="84" t="str">
        <f>IFERROR(VLOOKUP($B25,'LOD 400 - ADMN'!$B:CV,99,FALSE),"N/A")</f>
        <v>N/A</v>
      </c>
      <c r="BA25" s="84" t="str">
        <f>IFERROR(VLOOKUP($B25,'LOD 400 - ADMN'!$B:CY,102,FALSE),"N/A")</f>
        <v>N/A</v>
      </c>
      <c r="BB25" s="84" t="str">
        <f>IFERROR(VLOOKUP($B25,'LOD 400 - ADMN'!$B:DB,105,FALSE),"N/A")</f>
        <v>N/A</v>
      </c>
      <c r="BC25" s="84" t="str">
        <f>IFERROR(VLOOKUP($B25,'LOD 400 - ADMN'!$B:DE,108,FALSE),"N/A")</f>
        <v>N/A</v>
      </c>
      <c r="BD25" s="84" t="str">
        <f>IFERROR(VLOOKUP($B25,'LOD 400 - ADMN'!$B:DH,111,FALSE),"N/A")</f>
        <v>N/A</v>
      </c>
      <c r="BE25" s="84" t="str">
        <f>IFERROR(VLOOKUP($B25,'LOD 400 - ADMN'!$B:DK,114,FALSE),"N/A")</f>
        <v>N/A</v>
      </c>
      <c r="BF25" s="84" t="str">
        <f>IFERROR(VLOOKUP($B25,'LOD 400 - ADMN'!$B:DN,117,FALSE),"N/A")</f>
        <v>N/A</v>
      </c>
      <c r="BG25" s="86" t="str">
        <f>IFERROR(__xludf.DUMMYFUNCTION("IFERROR(
  MAX(FILTER(Y25:BF25, ISNUMBER(Y25:BF25))),
  BF25
)"),"N/A")</f>
        <v>N/A</v>
      </c>
      <c r="BH25" s="79" t="str">
        <f>IFERROR(VLOOKUP($B25,'LOD 400 - COLO1'!B:S,18,FALSE),"N/A")</f>
        <v>N/A</v>
      </c>
      <c r="BI25" s="79" t="str">
        <f>IFERROR(VLOOKUP($B25,'LOD 400 - COLO1'!B:V,21,FALSE),"N/A")</f>
        <v>N/A</v>
      </c>
      <c r="BJ25" s="79" t="str">
        <f>IFERROR(VLOOKUP($B25,'LOD 400 - COLO1'!$B:Y,24,FALSE),"N/A")</f>
        <v>N/A</v>
      </c>
      <c r="BK25" s="87" t="str">
        <f>IFERROR(VLOOKUP($B25,'LOD 400 - COLO1'!$B:AB,27,FALSE),"N/A")</f>
        <v>N/A</v>
      </c>
      <c r="BL25" s="80" t="str">
        <f>IFERROR(VLOOKUP($B25,'LOD 400 - COLO1'!$B:AE,30,FALSE),"N/A")</f>
        <v>N/A</v>
      </c>
      <c r="BM25" s="81" t="str">
        <f>IFERROR(VLOOKUP($B25,'LOD 400 - COLO1'!$B:AH,33,FALSE),"N/A")</f>
        <v>N/A</v>
      </c>
      <c r="BN25" s="87" t="str">
        <f>IFERROR(VLOOKUP($B25,'LOD 400 - COLO1'!$B:AK,36,FALSE),"N/A")</f>
        <v>N/A</v>
      </c>
      <c r="BO25" s="83" t="str">
        <f>IFERROR(VLOOKUP($B25,'LOD 400 - COLO1'!$B:AN,39,FALSE),"N/A")</f>
        <v>N/A</v>
      </c>
      <c r="BP25" s="88" t="str">
        <f>IFERROR(VLOOKUP($B25,'LOD 400 - COLO1'!$B:AQ,42,FALSE),"N/A")</f>
        <v>N/A</v>
      </c>
      <c r="BQ25" s="84" t="str">
        <f>IFERROR(VLOOKUP($B25,'LOD 400 - COLO1'!$B:AT,45,FALSE),"N/A")</f>
        <v>N/A</v>
      </c>
      <c r="BR25" s="85" t="str">
        <f>IFERROR(VLOOKUP($B25,'LOD 400 - COLO1'!$B:AW,48,FALSE),"N/A")</f>
        <v>N/A</v>
      </c>
      <c r="BS25" s="84" t="str">
        <f>IFERROR(VLOOKUP($B25,'LOD 400 - COLO1'!$B:AZ,51,FALSE),"N/A")</f>
        <v>N/A</v>
      </c>
      <c r="BT25" s="84" t="str">
        <f>IFERROR(VLOOKUP($B25,'LOD 400 - COLO1'!$B:BC,54,FALSE),"N/A")</f>
        <v>N/A</v>
      </c>
      <c r="BU25" s="84" t="str">
        <f>IFERROR(VLOOKUP($B25,'LOD 400 - COLO1'!$B:BF,57,FALSE),"N/A")</f>
        <v>N/A</v>
      </c>
      <c r="BV25" s="84" t="str">
        <f>IFERROR(VLOOKUP($B25,'LOD 400 - COLO1'!$B:BI,60,FALSE),"N/A")</f>
        <v>N/A</v>
      </c>
      <c r="BW25" s="84" t="str">
        <f>IFERROR(VLOOKUP($B25,'LOD 400 - COLO1'!$B:BL,63,FALSE),"N/A")</f>
        <v>N/A</v>
      </c>
      <c r="BX25" s="84" t="str">
        <f>IFERROR(VLOOKUP($B25,'LOD 400 - COLO1'!$B:BO,66,FALSE),"N/A")</f>
        <v>N/A</v>
      </c>
      <c r="BY25" s="84" t="str">
        <f>IFERROR(VLOOKUP($B25,'LOD 400 - COLO1'!$B:BR,69,FALSE),"N/A")</f>
        <v>N/A</v>
      </c>
      <c r="BZ25" s="84" t="str">
        <f>IFERROR(VLOOKUP($B25,'LOD 400 - COLO1'!$B:BU,72,FALSE),"N/A")</f>
        <v>N/A</v>
      </c>
      <c r="CA25" s="84" t="str">
        <f>IFERROR(VLOOKUP($B25,'LOD 400 - COLO1'!$B:BX,75,FALSE),"N/A")</f>
        <v>N/A</v>
      </c>
      <c r="CB25" s="84" t="str">
        <f>IFERROR(VLOOKUP($B25,'LOD 400 - COLO1'!$B:CA,78,FALSE),"N/A")</f>
        <v>N/A</v>
      </c>
      <c r="CC25" s="84" t="str">
        <f>IFERROR(VLOOKUP($B25,'LOD 400 - COLO1'!$B:CD,81,FALSE),"N/A")</f>
        <v>N/A</v>
      </c>
      <c r="CD25" s="85" t="str">
        <f>IFERROR(VLOOKUP($B25,'LOD 400 - COLO1'!$B:CG,84,FALSE),"N/A")</f>
        <v>N/A</v>
      </c>
      <c r="CE25" s="84" t="str">
        <f>IFERROR(VLOOKUP($B25,'LOD 400 - COLO1'!$B:CJ,87,FALSE),"N/A")</f>
        <v>N/A</v>
      </c>
      <c r="CF25" s="85" t="str">
        <f>IFERROR(VLOOKUP($B25,'LOD 400 - COLO1'!$B:CM,90,FALSE),"N/A")</f>
        <v>N/A</v>
      </c>
      <c r="CG25" s="84" t="str">
        <f>IFERROR(VLOOKUP($B25,'LOD 400 - COLO1'!$B:CP,93,FALSE),"N/A")</f>
        <v>N/A</v>
      </c>
      <c r="CH25" s="84" t="str">
        <f>IFERROR(VLOOKUP($B25,'LOD 400 - COLO1'!$B:CS,96,FALSE),"N/A")</f>
        <v>N/A</v>
      </c>
      <c r="CI25" s="84" t="str">
        <f>IFERROR(VLOOKUP($B25,'LOD 400 - COLO1'!$B:CV,99,FALSE),"N/A")</f>
        <v>N/A</v>
      </c>
      <c r="CJ25" s="84" t="str">
        <f>IFERROR(VLOOKUP($B25,'LOD 400 - COLO1'!$B:CY,102,FALSE),"N/A")</f>
        <v>N/A</v>
      </c>
      <c r="CK25" s="84" t="str">
        <f>IFERROR(VLOOKUP($B25,'LOD 400 - COLO1'!$B:DB,105,FALSE),"N/A")</f>
        <v>N/A</v>
      </c>
      <c r="CL25" s="84" t="str">
        <f>IFERROR(VLOOKUP($B25,'LOD 400 - COLO1'!$B:DE,108,FALSE),"N/A")</f>
        <v>N/A</v>
      </c>
      <c r="CM25" s="84" t="str">
        <f>IFERROR(VLOOKUP($B25,'LOD 400 - COLO1'!$B:DH,111,FALSE),"N/A")</f>
        <v>N/A</v>
      </c>
      <c r="CN25" s="84" t="str">
        <f>IFERROR(VLOOKUP($B25,'LOD 400 - COLO1'!$B:DK,114,FALSE),"N/A")</f>
        <v>N/A</v>
      </c>
      <c r="CO25" s="84" t="str">
        <f>IFERROR(VLOOKUP($B25,'LOD 400 - COLO1'!$B:DN,117,FALSE),"N/A")</f>
        <v>N/A</v>
      </c>
      <c r="CP25" s="86" t="str">
        <f>IFERROR(__xludf.DUMMYFUNCTION("IFERROR(
  MAX(FILTER(BH25:CO25, ISNUMBER(BH25:CO25))),
  CO25
)"),"N/A")</f>
        <v>N/A</v>
      </c>
      <c r="CQ25" s="89" t="str">
        <f>IFERROR(VLOOKUP($B25,'LOD 400 - COLO2'!B:S,18,FALSE),"N/A")</f>
        <v>N/A</v>
      </c>
      <c r="CR25" s="79" t="str">
        <f>IFERROR(VLOOKUP($B25,'LOD 400 - COLO2'!B:V,21,FALSE),"N/A")</f>
        <v>N/A</v>
      </c>
      <c r="CS25" s="79" t="str">
        <f>IFERROR(VLOOKUP($B25,'LOD 400 - COLO2'!$B:Y,24,FALSE),"N/A")</f>
        <v>N/A</v>
      </c>
      <c r="CT25" s="80" t="str">
        <f>IFERROR(VLOOKUP($B25,'LOD 400 - COLO2'!$B:DQ,27,FALSE),"N/A")</f>
        <v>N/A</v>
      </c>
      <c r="CU25" s="90" t="str">
        <f>IFERROR(VLOOKUP($B25,'LOD 400 - COLO2'!$B:AE,30,FALSE),"N/A")</f>
        <v>N/A</v>
      </c>
      <c r="CV25" s="81" t="str">
        <f>IFERROR(VLOOKUP($B25,'LOD 400 - COLO2'!$B:AH,33,FALSE),"N/A")</f>
        <v>N/A</v>
      </c>
      <c r="CW25" s="90" t="str">
        <f>IFERROR(VLOOKUP($B25,'LOD 400 - COLO2'!$B:AK,36,FALSE),"N/A")</f>
        <v>N/A</v>
      </c>
      <c r="CX25" s="85" t="str">
        <f>IFERROR(VLOOKUP($B25,'LOD 400 - COLO2'!$B:AN,39,FALSE),"N/A")</f>
        <v>N/A</v>
      </c>
      <c r="CY25" s="88" t="str">
        <f>IFERROR(VLOOKUP($B25,'LOD 400 - COLO2'!$B:AQ,42,FALSE),"N/A")</f>
        <v>N/A</v>
      </c>
      <c r="CZ25" s="84" t="str">
        <f>IFERROR(VLOOKUP($B25,'LOD 400 - COLO2'!$B:AT,45,FALSE),"N/A")</f>
        <v>N/A</v>
      </c>
      <c r="DA25" s="85" t="str">
        <f>IFERROR(VLOOKUP($B25,'LOD 400 - COLO2'!$B:AW,48,FALSE),"N/A")</f>
        <v>N/A</v>
      </c>
      <c r="DB25" s="84" t="str">
        <f>IFERROR(VLOOKUP($B25,'LOD 400 - COLO2'!$B:AZ,51,FALSE),"N/A")</f>
        <v>N/A</v>
      </c>
      <c r="DC25" s="84" t="str">
        <f>IFERROR(VLOOKUP($B25,'LOD 400 - COLO2'!$B:BC,54,FALSE),"N/A")</f>
        <v>N/A</v>
      </c>
      <c r="DD25" s="84" t="str">
        <f>IFERROR(VLOOKUP($B25,'LOD 400 - COLO2'!$B:BF,57,FALSE),"N/A")</f>
        <v>N/A</v>
      </c>
      <c r="DE25" s="84" t="str">
        <f>IFERROR(VLOOKUP($B25,'LOD 400 - COLO2'!$B:BI,60,FALSE),"N/A")</f>
        <v>N/A</v>
      </c>
      <c r="DF25" s="84" t="str">
        <f>IFERROR(VLOOKUP($B25,'LOD 400 - COLO2'!$B:BL,63,FALSE),"N/A")</f>
        <v>N/A</v>
      </c>
      <c r="DG25" s="84" t="str">
        <f>IFERROR(VLOOKUP($B25,'LOD 400 - COLO2'!$B:BO,66,FALSE),"N/A")</f>
        <v>N/A</v>
      </c>
      <c r="DH25" s="84" t="str">
        <f>IFERROR(VLOOKUP($B25,'LOD 400 - COLO2'!$B:BR,69,FALSE),"N/A")</f>
        <v>N/A</v>
      </c>
      <c r="DI25" s="84" t="str">
        <f>IFERROR(VLOOKUP($B25,'LOD 400 - COLO2'!$B:BU,72,FALSE),"N/A")</f>
        <v>N/A</v>
      </c>
      <c r="DJ25" s="84" t="str">
        <f>IFERROR(VLOOKUP($B25,'LOD 400 - COLO2'!$B:BX,75,FALSE),"N/A")</f>
        <v>N/A</v>
      </c>
      <c r="DK25" s="84" t="str">
        <f>IFERROR(VLOOKUP($B25,'LOD 400 - COLO2'!$B:CA,78,FALSE),"N/A")</f>
        <v>N/A</v>
      </c>
      <c r="DL25" s="84" t="str">
        <f>IFERROR(VLOOKUP($B25,'LOD 400 - COLO2'!$B:CD,81,FALSE),"N/A")</f>
        <v>N/A</v>
      </c>
      <c r="DM25" s="85" t="str">
        <f>IFERROR(VLOOKUP($B25,'LOD 400 - COLO2'!$B:CG,84,FALSE),"N/A")</f>
        <v>N/A</v>
      </c>
      <c r="DN25" s="84" t="str">
        <f>IFERROR(VLOOKUP($B25,'LOD 400 - COLO2'!$B:CJ,87,FALSE),"N/A")</f>
        <v>N/A</v>
      </c>
      <c r="DO25" s="85" t="str">
        <f>IFERROR(VLOOKUP($B25,'LOD 400 - COLO2'!$B:CM,90,FALSE),"N/A")</f>
        <v>N/A</v>
      </c>
      <c r="DP25" s="84" t="str">
        <f>IFERROR(VLOOKUP($B25,'LOD 400 - COLO2'!$B:CP,93,FALSE),"N/A")</f>
        <v>N/A</v>
      </c>
      <c r="DQ25" s="84" t="str">
        <f>IFERROR(VLOOKUP($B25,'LOD 400 - COLO2'!$B:CS,96,FALSE),"N/A")</f>
        <v>N/A</v>
      </c>
      <c r="DR25" s="84" t="str">
        <f>IFERROR(VLOOKUP($B25,'LOD 400 - COLO2'!$B:CV,99,FALSE),"N/A")</f>
        <v>N/A</v>
      </c>
      <c r="DS25" s="84" t="str">
        <f>IFERROR(VLOOKUP($B25,'LOD 400 - COLO2'!$B:CY,102,FALSE),"N/A")</f>
        <v>N/A</v>
      </c>
      <c r="DT25" s="84" t="str">
        <f>IFERROR(VLOOKUP($B25,'LOD 400 - COLO2'!$B:DB,105,FALSE),"N/A")</f>
        <v>N/A</v>
      </c>
      <c r="DU25" s="84" t="str">
        <f>IFERROR(VLOOKUP($B25,'LOD 400 - COLO2'!$B:DE,108,FALSE),"N/A")</f>
        <v>N/A</v>
      </c>
      <c r="DV25" s="84" t="str">
        <f>IFERROR(VLOOKUP($B25,'LOD 400 - COLO2'!$B:DH,111,FALSE),"N/A")</f>
        <v>N/A</v>
      </c>
      <c r="DW25" s="84" t="str">
        <f>IFERROR(VLOOKUP($B25,'LOD 400 - COLO2'!$B:DK,114,FALSE),"N/A")</f>
        <v>N/A</v>
      </c>
      <c r="DX25" s="84" t="str">
        <f>IFERROR(VLOOKUP($B25,'LOD 400 - COLO2'!$B:DN,117,FALSE),"N/A")</f>
        <v>N/A</v>
      </c>
      <c r="DY25" s="91" t="str">
        <f>IFERROR(__xludf.DUMMYFUNCTION("IFERROR(
  MAX(FILTER(CQ25:DW25, ISNUMBER(CQ25:DW25))),
  DW25
)"),"N/A")</f>
        <v>N/A</v>
      </c>
      <c r="DZ25" s="92" t="str">
        <f>IFERROR(VLOOKUP($B25,'LOD 400 - COLO3'!B:S,18,FALSE),"N/A")</f>
        <v>N/A</v>
      </c>
      <c r="EA25" s="84" t="str">
        <f>IFERROR(VLOOKUP($B25,'LOD 400 - COLO3'!B:V,21,FALSE),"N/A")</f>
        <v>N/A</v>
      </c>
      <c r="EB25" s="84" t="str">
        <f>IFERROR(VLOOKUP($B25,'LOD 400 - COLO3'!B:Y,24,FALSE),"N/A")</f>
        <v>N/A</v>
      </c>
      <c r="EC25" s="84" t="str">
        <f>IFERROR(VLOOKUP($B25,'LOD 400 - COLO3'!B:AB,27,FALSE),"N/A")</f>
        <v>N/A</v>
      </c>
      <c r="ED25" s="85" t="str">
        <f>IFERROR(VLOOKUP($B25,'LOD 400 - COLO3'!B:AE,30,FALSE),"N/A")</f>
        <v>N/A</v>
      </c>
      <c r="EE25" s="84" t="str">
        <f>IFERROR(VLOOKUP($B25,'LOD 400 - COLO3'!B:AH,33,FALSE),"N/A")</f>
        <v>N/A</v>
      </c>
      <c r="EF25" s="84" t="str">
        <f>IFERROR(VLOOKUP($B25,'LOD 400 - COLO3'!B:AK,36,FALSE),"N/A")</f>
        <v>N/A</v>
      </c>
      <c r="EG25" s="109" t="str">
        <f>IFERROR(VLOOKUP($B25,'LOD 400 - COLO3'!B:AN,39,FALSE),"N/A")</f>
        <v>N/A</v>
      </c>
      <c r="EH25" s="94" t="str">
        <f>IFERROR(VLOOKUP($B25,'LOD 400 - COLO3'!B:AQ,42,FALSE),"N/A")</f>
        <v>N/A</v>
      </c>
      <c r="EI25" s="94" t="str">
        <f>IFERROR(VLOOKUP($B25,'LOD 400 - COLO3'!B:AT,45,FALSE),"N/A")</f>
        <v>N/A</v>
      </c>
      <c r="EJ25" s="94" t="str">
        <f>IFERROR(VLOOKUP($B25,'LOD 400 - COLO3'!B:AW,48,FALSE),"N/A")</f>
        <v>N/A</v>
      </c>
      <c r="EK25" s="94" t="str">
        <f>IFERROR(VLOOKUP($B25,'LOD 400 - COLO3'!B:AZ,51,FALSE),"N/A")</f>
        <v>N/A</v>
      </c>
      <c r="EL25" s="94" t="str">
        <f>IFERROR(VLOOKUP($B25,'LOD 400 - COLO3'!B:BC,54,FALSE),"N/A")</f>
        <v>N/A</v>
      </c>
      <c r="EM25" s="94" t="str">
        <f>IFERROR(VLOOKUP($B25,'LOD 400 - COLO3'!B:BF,57,FALSE),"N/A")</f>
        <v>N/A</v>
      </c>
      <c r="EN25" s="94" t="str">
        <f>IFERROR(VLOOKUP($B25,'LOD 400 - COLO3'!B:BI,60,FALSE),"N/A")</f>
        <v>N/A</v>
      </c>
      <c r="EO25" s="94" t="str">
        <f>IFERROR(VLOOKUP($B25,'LOD 400 - COLO3'!B:BL,63,FALSE),"N/A")</f>
        <v>N/A</v>
      </c>
      <c r="EP25" s="86" t="str">
        <f>IFERROR(__xludf.DUMMYFUNCTION("IFERROR(
  MAX(FILTER(DZ25:EO25, ISNUMBER(DZ25:EO25))),
  EO25
)"),"N/A")</f>
        <v>N/A</v>
      </c>
      <c r="EQ25" s="95" t="str">
        <f>IFERROR(VLOOKUP($B25,'LOD 400 - COLO4'!B:S,18,FALSE),"N/A")</f>
        <v>N/A</v>
      </c>
      <c r="ER25" s="96" t="str">
        <f>IFERROR(__xludf.DUMMYFUNCTION("IFERROR(
  MAX(FILTER(EQ25, ISNUMBER(EQ25))),
  EQ25
)"),"N/A")</f>
        <v>N/A</v>
      </c>
      <c r="ES25" s="79" t="str">
        <f>IFERROR(VLOOKUP($B25,'LOD 400 - SITE'!B:S,18,FALSE),"N/A")</f>
        <v>NOT PUBLISHED</v>
      </c>
      <c r="ET25" s="80" t="str">
        <f>IFERROR(VLOOKUP($B25,'LOD 400 - SITE'!B:V,21,FALSE),"N/A")</f>
        <v>NOT PUBLISHED</v>
      </c>
      <c r="EU25" s="97" t="str">
        <f>IFERROR(VLOOKUP($B25,'LOD 400 - SITE'!$B:Y,24,FALSE),"N/A")</f>
        <v>NOT PUBLISHED</v>
      </c>
      <c r="EV25" s="80" t="str">
        <f>IFERROR(VLOOKUP($B25,'LOD 400 - SITE'!$B:AB,27,FALSE),"N/A")</f>
        <v>NOT PUBLISHED</v>
      </c>
      <c r="EW25" s="81" t="str">
        <f>IFERROR(VLOOKUP($B25,'LOD 400 - SITE'!$B:AE,30,FALSE),"N/A")</f>
        <v>NOT PUBLISHED</v>
      </c>
      <c r="EX25" s="87" t="str">
        <f>IFERROR(VLOOKUP($B25,'LOD 400 - SITE'!$B:AH,33,FALSE),"N/A")</f>
        <v>NOT PUBLISHED</v>
      </c>
      <c r="EY25" s="87" t="str">
        <f>IFERROR(VLOOKUP($B25,'LOD 400 - SITE'!$B:AK,36,FALSE),"N/A")</f>
        <v>NOT PUBLISHED</v>
      </c>
      <c r="EZ25" s="80" t="str">
        <f>IFERROR(VLOOKUP($B25,'LOD 400 - SITE'!$B:AN,39,FALSE),"N/A")</f>
        <v>NOT PUBLISHED</v>
      </c>
      <c r="FA25" s="82" t="str">
        <f>IFERROR(VLOOKUP($B25,'LOD 400 - SITE'!$B:AQ,42,FALSE),"N/A")</f>
        <v>NOT PUBLISHED</v>
      </c>
      <c r="FB25" s="88" t="str">
        <f>IFERROR(VLOOKUP($B25,'LOD 400 - SITE'!$B:AT,45,FALSE),"N/A")</f>
        <v>NOT PUBLISHED</v>
      </c>
      <c r="FC25" s="84" t="str">
        <f>IFERROR(VLOOKUP($B25,'LOD 400 - SITE'!$B:AW,48,FALSE),"N/A")</f>
        <v>NOT PUBLISHED</v>
      </c>
      <c r="FD25" s="84" t="str">
        <f>IFERROR(VLOOKUP($B25,'LOD 400 - SITE'!$B:AZ,51,FALSE),"N/A")</f>
        <v>NOT PUBLISHED</v>
      </c>
      <c r="FE25" s="84" t="str">
        <f>IFERROR(VLOOKUP($B25,'LOD 400 - SITE'!$B:BC,54,FALSE),"N/A")</f>
        <v>NOT PUBLISHED</v>
      </c>
      <c r="FF25" s="84" t="str">
        <f>IFERROR(VLOOKUP($B25,'LOD 400 - SITE'!$B:BF,57,FALSE),"N/A")</f>
        <v>NOT PUBLISHED</v>
      </c>
      <c r="FG25" s="84" t="str">
        <f>IFERROR(VLOOKUP($B25,'LOD 400 - SITE'!$B:BI,60,FALSE),"N/A")</f>
        <v>NOT PUBLISHED</v>
      </c>
      <c r="FH25" s="84" t="str">
        <f>IFERROR(VLOOKUP($B25,'LOD 400 - SITE'!$B:BL,63,FALSE),"N/A")</f>
        <v>NOT PUBLISHED</v>
      </c>
      <c r="FI25" s="84" t="str">
        <f>IFERROR(VLOOKUP($B25,'LOD 400 - SITE'!$B:BO,66,FALSE),"N/A")</f>
        <v>NOT PUBLISHED</v>
      </c>
      <c r="FJ25" s="84" t="str">
        <f>IFERROR(VLOOKUP($B25,'LOD 400 - SITE'!$B:BR,69,FALSE),"N/A")</f>
        <v>NOT PUBLISHED</v>
      </c>
      <c r="FK25" s="84" t="str">
        <f>IFERROR(VLOOKUP($B25,'LOD 400 - SITE'!$B:BU,72,FALSE),"N/A")</f>
        <v>NOT PUBLISHED</v>
      </c>
      <c r="FL25" s="84" t="str">
        <f>IFERROR(VLOOKUP($B25,'LOD 400 - SITE'!$B:BX,75,FALSE),"N/A")</f>
        <v>NOT PUBLISHED</v>
      </c>
      <c r="FM25" s="84" t="str">
        <f>IFERROR(VLOOKUP($B25,'LOD 400 - SITE'!$B:CA,78,FALSE),"N/A")</f>
        <v>NOT PUBLISHED</v>
      </c>
      <c r="FN25" s="85" t="str">
        <f>IFERROR(VLOOKUP($B25,'LOD 400 - SITE'!$B:CD,81,FALSE),"N/A")</f>
        <v>NOT PUBLISHED</v>
      </c>
      <c r="FO25" s="84" t="str">
        <f>IFERROR(VLOOKUP($B25,'LOD 400 - SITE'!$B:CG,84,FALSE),"N/A")</f>
        <v>NOT PUBLISHED</v>
      </c>
      <c r="FP25" s="85" t="str">
        <f>IFERROR(VLOOKUP($B25,'LOD 400 - SITE'!$B:CJ,87,FALSE),"N/A")</f>
        <v>NOT PUBLISHED</v>
      </c>
      <c r="FQ25" s="84" t="str">
        <f>IFERROR(VLOOKUP($B25,'LOD 400 - SITE'!$B:CM,90,FALSE),"N/A")</f>
        <v>NOT PUBLISHED</v>
      </c>
      <c r="FR25" s="84" t="str">
        <f>IFERROR(VLOOKUP($B25,'LOD 400 - SITE'!$B:CP,93,FALSE),"N/A")</f>
        <v>NOT PUBLISHED</v>
      </c>
      <c r="FS25" s="84" t="str">
        <f>IFERROR(VLOOKUP($B25,'LOD 400 - SITE'!$B:CS,96,FALSE),"N/A")</f>
        <v>NOT PUBLISHED</v>
      </c>
      <c r="FT25" s="84" t="str">
        <f>IFERROR(VLOOKUP($B25,'LOD 400 - SITE'!$B:CV,99,FALSE),"N/A")</f>
        <v>NOT PUBLISHED</v>
      </c>
      <c r="FU25" s="84" t="str">
        <f>IFERROR(VLOOKUP($B25,'LOD 400 - SITE'!$B:CY,102,FALSE),"N/A")</f>
        <v>NOT PUBLISHED</v>
      </c>
      <c r="FV25" s="84" t="str">
        <f>IFERROR(VLOOKUP($B25,'LOD 400 - SITE'!$B:DB,105,FALSE),"N/A")</f>
        <v>NOT PUBLISHED</v>
      </c>
      <c r="FW25" s="84" t="str">
        <f>IFERROR(VLOOKUP($B25,'LOD 400 - SITE'!$B:DE,108,FALSE),"N/A")</f>
        <v>NOT PUBLISHED</v>
      </c>
      <c r="FX25" s="84" t="str">
        <f>IFERROR(VLOOKUP($B25,'LOD 400 - SITE'!$B:DH,111,FALSE),"N/A")</f>
        <v>NOT PUBLISHED</v>
      </c>
      <c r="FY25" s="84" t="str">
        <f>IFERROR(VLOOKUP($B25,'LOD 400 - SITE'!$B:DK,114,FALSE),"N/A")</f>
        <v>NOT PUBLISHED</v>
      </c>
      <c r="FZ25" s="96" t="str">
        <f>IFERROR(__xludf.DUMMYFUNCTION("IFERROR(
  MAX(FILTER(ES25:FY25, ISNUMBER(ES25:FY25))),
  FY25
)"),"NOT PUBLISHED")</f>
        <v>NOT PUBLISHED</v>
      </c>
      <c r="GA25" s="80" t="str">
        <f>IFERROR(VLOOKUP($B25,'LOD 400 - UTLS'!B:S,18,FALSE),"N/A")</f>
        <v>NOT PUBLISHED</v>
      </c>
      <c r="GB25" s="98" t="str">
        <f>IFERROR(VLOOKUP($B25,'LOD 400 - UTLS'!B:V,21,FALSE),"N/A")</f>
        <v>NOT PUBLISHED</v>
      </c>
      <c r="GC25" s="81" t="str">
        <f>IFERROR(VLOOKUP($B25,'LOD 400 - UTLS'!B:Y,24,FALSE),"N/A")</f>
        <v>NOT PUBLISHED</v>
      </c>
      <c r="GD25" s="87" t="str">
        <f>IFERROR(VLOOKUP($B25,'LOD 400 - UTLS'!$B:AB,27,FALSE),"N/A")</f>
        <v>NOT PUBLISHED</v>
      </c>
      <c r="GE25" s="80" t="str">
        <f>IFERROR(VLOOKUP($B25,'LOD 400 - UTLS'!$B:AE,30,FALSE),"N/A")</f>
        <v>NOT PUBLISHED</v>
      </c>
      <c r="GF25" s="82" t="str">
        <f>IFERROR(VLOOKUP($B25,'LOD 400 - UTLS'!$B:AH,33,FALSE),"N/A")</f>
        <v>NOT PUBLISHED</v>
      </c>
      <c r="GG25" s="88" t="str">
        <f>IFERROR(VLOOKUP($B25,'LOD 400 - UTLS'!$B:AK,36,FALSE),"N/A")</f>
        <v>NOT PUBLISHED</v>
      </c>
      <c r="GH25" s="84" t="str">
        <f>IFERROR(VLOOKUP($B25,'LOD 400 - UTLS'!$B:AN,39,FALSE),"N/A")</f>
        <v>NOT PUBLISHED</v>
      </c>
      <c r="GI25" s="84" t="str">
        <f>IFERROR(VLOOKUP($B25,'LOD 400 - UTLS'!$B:AQ,42,FALSE),"N/A")</f>
        <v>NOT PUBLISHED</v>
      </c>
      <c r="GJ25" s="84" t="str">
        <f>IFERROR(VLOOKUP($B25,'LOD 400 - UTLS'!$B:AT,45,FALSE),"N/A")</f>
        <v>NOT PUBLISHED</v>
      </c>
      <c r="GK25" s="84" t="str">
        <f>IFERROR(VLOOKUP($B25,'LOD 400 - UTLS'!$B:AW,48,FALSE),"N/A")</f>
        <v>NOT PUBLISHED</v>
      </c>
      <c r="GL25" s="84" t="str">
        <f>IFERROR(VLOOKUP($B25,'LOD 400 - UTLS'!$B:AZ,51,FALSE),"N/A")</f>
        <v>NOT PUBLISHED</v>
      </c>
      <c r="GM25" s="84" t="str">
        <f>IFERROR(VLOOKUP($B25,'LOD 400 - UTLS'!$B:BC,54,FALSE),"N/A")</f>
        <v>NOT PUBLISHED</v>
      </c>
      <c r="GN25" s="84" t="str">
        <f>IFERROR(VLOOKUP($B25,'LOD 400 - UTLS'!$B:BF,57,FALSE),"N/A")</f>
        <v>NOT PUBLISHED</v>
      </c>
      <c r="GO25" s="84" t="str">
        <f>IFERROR(VLOOKUP($B25,'LOD 400 - UTLS'!$B:BI,60,FALSE),"N/A")</f>
        <v>NOT PUBLISHED</v>
      </c>
      <c r="GP25" s="84" t="str">
        <f>IFERROR(VLOOKUP($B25,'LOD 400 - UTLS'!$B:BL,63,FALSE),"N/A")</f>
        <v>NOT PUBLISHED</v>
      </c>
      <c r="GQ25" s="84" t="str">
        <f>IFERROR(VLOOKUP($B25,'LOD 400 - UTLS'!$B:BO,66,FALSE),"N/A")</f>
        <v>NOT PUBLISHED</v>
      </c>
      <c r="GR25" s="84" t="str">
        <f>IFERROR(VLOOKUP($B25,'LOD 400 - UTLS'!$B:BR,69,FALSE),"N/A")</f>
        <v>NOT PUBLISHED</v>
      </c>
      <c r="GS25" s="85" t="str">
        <f>IFERROR(VLOOKUP($B25,'LOD 400 - UTLS'!$B:BU,72,FALSE),"N/A")</f>
        <v>NOT PUBLISHED</v>
      </c>
      <c r="GT25" s="84" t="str">
        <f>IFERROR(VLOOKUP($B25,'LOD 400 - UTLS'!$B:BX,75,FALSE),"N/A")</f>
        <v>NOT PUBLISHED</v>
      </c>
      <c r="GU25" s="85" t="str">
        <f>IFERROR(VLOOKUP($B25,'LOD 400 - UTLS'!$B:CA,78,FALSE),"N/A")</f>
        <v>NOT PUBLISHED</v>
      </c>
      <c r="GV25" s="84" t="str">
        <f>IFERROR(VLOOKUP($B25,'LOD 400 - UTLS'!$B:CD,81,FALSE),"N/A")</f>
        <v>NOT PUBLISHED</v>
      </c>
      <c r="GW25" s="84" t="str">
        <f>IFERROR(VLOOKUP($B25,'LOD 400 - UTLS'!$B:CG,84,FALSE),"N/A")</f>
        <v>NOT PUBLISHED</v>
      </c>
      <c r="GX25" s="84" t="str">
        <f>IFERROR(VLOOKUP($B25,'LOD 400 - UTLS'!$B:CJ,87,FALSE),"N/A")</f>
        <v>NOT PUBLISHED</v>
      </c>
      <c r="GY25" s="84" t="str">
        <f>IFERROR(VLOOKUP($B25,'LOD 400 - UTLS'!$B:CM,90,FALSE),"N/A")</f>
        <v>NOT PUBLISHED</v>
      </c>
      <c r="GZ25" s="84" t="str">
        <f>IFERROR(VLOOKUP($B25,'LOD 400 - UTLS'!$B:CP,93,FALSE),"N/A")</f>
        <v>NOT PUBLISHED</v>
      </c>
      <c r="HA25" s="84" t="str">
        <f>IFERROR(VLOOKUP($B25,'LOD 400 - UTLS'!$B:CS,96,FALSE),"N/A")</f>
        <v>NOT PUBLISHED</v>
      </c>
      <c r="HB25" s="84" t="str">
        <f>IFERROR(VLOOKUP($B25,'LOD 400 - UTLS'!$B:CV,99,FALSE),"N/A")</f>
        <v>NOT PUBLISHED</v>
      </c>
      <c r="HC25" s="84" t="str">
        <f>IFERROR(VLOOKUP($B25,'LOD 400 - UTLS'!$B:CY,102,FALSE),"N/A")</f>
        <v>NOT PUBLISHED</v>
      </c>
      <c r="HD25" s="84" t="str">
        <f>IFERROR(VLOOKUP($B25,'LOD 400 - UTLS'!$B:DB,105,FALSE),"N/A")</f>
        <v>NOT PUBLISHED</v>
      </c>
      <c r="HE25" s="96" t="str">
        <f>IFERROR(__xludf.DUMMYFUNCTION("IFERROR(
  MAX(FILTER(GA25:HD25, ISNUMBER(GA25:HD25))),
  HD25
)"),"NOT PUBLISHED")</f>
        <v>NOT PUBLISHED</v>
      </c>
      <c r="HF25" s="120"/>
      <c r="HG25" s="99"/>
      <c r="HH25" s="99"/>
      <c r="HI25" s="99"/>
      <c r="HJ25" s="99"/>
      <c r="HK25" s="99"/>
    </row>
    <row r="26" ht="15.0" customHeight="1" outlineLevel="1">
      <c r="A26" s="53">
        <v>29.0</v>
      </c>
      <c r="B26" s="100" t="s">
        <v>137</v>
      </c>
      <c r="C26" s="100" t="s">
        <v>138</v>
      </c>
      <c r="D26" s="64" t="str">
        <f t="shared" si="1"/>
        <v>SITE</v>
      </c>
      <c r="E26" s="101" t="s">
        <v>105</v>
      </c>
      <c r="F26" s="115">
        <v>0.0</v>
      </c>
      <c r="G26" s="119" t="s">
        <v>105</v>
      </c>
      <c r="H26" s="116"/>
      <c r="I26" s="68" t="str">
        <f>IFERROR(VLOOKUP($C23:C108,'R22 RELATÓRIO ACC'!B:F,5,FALSE),"NOT PUBLISHED")</f>
        <v>NOT PUBLISHED</v>
      </c>
      <c r="J26" s="69" t="str">
        <f>IFERROR(VLOOKUP($C23:C108,'R22 RELATÓRIO ACC'!B:P,15,FALSE),"NOT PUBLISHED")</f>
        <v>NOT PUBLISHED</v>
      </c>
      <c r="K26" s="70" t="str">
        <f>IFERROR(VLOOKUP($B23:B108,'RELATÓRIO ACC'!B:F,5,FALSE),"NOT PUBLISHED")</f>
        <v>NOT PUBLISHED</v>
      </c>
      <c r="L26" s="71" t="str">
        <f>IFERROR(VLOOKUP($B23:B108,'RELATÓRIO ACC'!B:P,15,FALSE),"NOT PUBLISHED")</f>
        <v>NOT PUBLISHED</v>
      </c>
      <c r="M26" s="72" t="str">
        <f>IF(OR($D26="UTLS",$D26="GUAR",$D26="STIR",$D26="PUMP",$D26="SITE"),
   VLOOKUP($B26,'LOD 400 - SITE'!B:M,12,FALSE),
   VLOOKUP($B26,'LOD 400 - ADMN'!B:M,12,FALSE)
)</f>
        <v>NOT PUBLISHED</v>
      </c>
      <c r="N26" s="105" t="str">
        <f>IF(OR($D26="UTLS",$D26="GUAR",$D26="STIR",$D26="PUMP",$D26="SITE"),
   VLOOKUP($B26,'LOD 400 - SITE'!B:N,13,FALSE),
   VLOOKUP($B26,'LOD 400 - ADMN'!B:N,13,FALSE)
)</f>
        <v>NOT PUBLISHED</v>
      </c>
      <c r="O26" s="106" t="str">
        <f>IF(OR($D26="UTLS",$D26="GUAR",$D26="STIR",$D26="PUMP",$D26="SITE"),
   VLOOKUP($B26,'LOD 400 - SITE'!B:O,14,FALSE),
   VLOOKUP($B26,'LOD 400 - ADMN'!B:O,14,FALSE)
)</f>
        <v>NOT PUBLISHED</v>
      </c>
      <c r="P26" s="107" t="str">
        <f>IF(OR($D26="C345",$D26="C12A",$D26="DATA"),
   VLOOKUP($B26,'LOD 400 - COLO3'!B:M,12,FALSE),"N/A")</f>
        <v>N/A</v>
      </c>
      <c r="Q26" s="108" t="str">
        <f>IF(OR($D26="C345",$D26="C12A",$D26="DATA"),
   VLOOKUP($B26,'LOD 400 - COLO3'!B:N,13,FALSE),"N/A")</f>
        <v>N/A</v>
      </c>
      <c r="R26" s="75" t="str">
        <f>IF(OR($D26="C345",$D26="C12A",$D26="DATA"),
   VLOOKUP($B26,'LOD 400 - COLO3'!B:O,14,FALSE),"N/A")</f>
        <v>N/A</v>
      </c>
      <c r="S26" s="76" t="str">
        <f>IF(OR($D26="C345",$D26="C12A",$D26="DATA"),
   VLOOKUP($B26,'LOD 400 - COLO4'!B:N,12,FALSE),"N/A")</f>
        <v>N/A</v>
      </c>
      <c r="T26" s="76" t="str">
        <f>IF(OR($D26="C345",$D26="C12A",$D26="DATA"),
   VLOOKUP($B26,'LOD 400 - COLO4'!C:O,12,FALSE),"N/A")</f>
        <v>N/A</v>
      </c>
      <c r="U26" s="117" t="str">
        <f>IF(OR($D26="C345",$D26="C12A",$D26="DATA"),
   VLOOKUP($B26,'LOD 400 - COLO4'!D:P,12,FALSE),"N/A")</f>
        <v>N/A</v>
      </c>
      <c r="V26" s="77" t="str">
        <f>IF(OR($D26="UTLS",$D26="GUAR",$D26="STIR",$D26="PUMP",$D26="SITE"),
   VLOOKUP($B26,'LOD 400 - UTLS'!B:M,12,FALSE),"N/A")</f>
        <v>NOT PUBLISHED</v>
      </c>
      <c r="W26" s="78" t="str">
        <f>IF(OR($D26="UTLS",$D26="GUAR",$D26="STIR",$D26="PUMP",$D26="SITE"),
   VLOOKUP($B26,'LOD 400 - UTLS'!B:N,13,FALSE),"N/A")</f>
        <v>NOT PUBLISHED</v>
      </c>
      <c r="X26" s="108" t="str">
        <f>IF(OR($D26="UTLS",$D26="GUAR",$D26="STIR",$D26="PUMP",$D26="SITE"),
   VLOOKUP($B26,'LOD 400 - UTLS'!B:O,14,FALSE),"N/A")</f>
        <v>NOT PUBLISHED</v>
      </c>
      <c r="Y26" s="79" t="str">
        <f>IFERROR(VLOOKUP($B26,'LOD 400 - ADMN'!B:S,18,FALSE),"N/A")</f>
        <v>N/A</v>
      </c>
      <c r="Z26" s="79" t="str">
        <f>IFERROR(VLOOKUP($B26,'LOD 400 - ADMN'!B:V,21,FALSE),"N/A")</f>
        <v>N/A</v>
      </c>
      <c r="AA26" s="79" t="str">
        <f>IFERROR(VLOOKUP($B26,'LOD 400 - ADMN'!$B:Y,24,FALSE),"N/A")</f>
        <v>N/A</v>
      </c>
      <c r="AB26" s="80" t="str">
        <f>IFERROR(VLOOKUP($B26,'LOD 400 - ADMN'!$B:AB,27,FALSE),"N/A")</f>
        <v>N/A</v>
      </c>
      <c r="AC26" s="81" t="str">
        <f>IFERROR(VLOOKUP($B26,'LOD 400 - ADMN'!$B:AE,30,FALSE),"N/A")</f>
        <v>N/A</v>
      </c>
      <c r="AD26" s="81" t="str">
        <f>IFERROR(VLOOKUP($B26,'LOD 400 - ADMN'!$B:AH,33,FALSE),"N/A")</f>
        <v>N/A</v>
      </c>
      <c r="AE26" s="80" t="str">
        <f>IFERROR(VLOOKUP($B26,'LOD 400 - ADMN'!$B:AK,36,FALSE),"N/A")</f>
        <v>N/A</v>
      </c>
      <c r="AF26" s="82" t="str">
        <f>IFERROR(VLOOKUP($B26,'LOD 400 - ADMN'!$B:AN,39,FALSE),"N/A")</f>
        <v>N/A</v>
      </c>
      <c r="AG26" s="83" t="str">
        <f>IFERROR(VLOOKUP($B26,'LOD 400 - ADMN'!$B:AQ,42,FALSE),"N/A")</f>
        <v>N/A</v>
      </c>
      <c r="AH26" s="84" t="str">
        <f>IFERROR(VLOOKUP($B26,'LOD 400 - ADMN'!$B:AT,45,FALSE),"N/A")</f>
        <v>N/A</v>
      </c>
      <c r="AI26" s="85" t="str">
        <f>IFERROR(VLOOKUP($B26,'LOD 400 - ADMN'!$B:AW,48,FALSE),"N/A")</f>
        <v>N/A</v>
      </c>
      <c r="AJ26" s="85" t="str">
        <f>IFERROR(VLOOKUP($B26,'LOD 400 - ADMN'!$B:AZ,51,FALSE),"N/A")</f>
        <v>N/A</v>
      </c>
      <c r="AK26" s="84" t="str">
        <f>IFERROR(VLOOKUP($B26,'LOD 400 - ADMN'!$B:BC,54,FALSE),"N/A")</f>
        <v>N/A</v>
      </c>
      <c r="AL26" s="84" t="str">
        <f>IFERROR(VLOOKUP($B26,'LOD 400 - ADMN'!$B:BF,57,FALSE),"N/A")</f>
        <v>N/A</v>
      </c>
      <c r="AM26" s="84" t="str">
        <f>IFERROR(VLOOKUP($B26,'LOD 400 - ADMN'!$B:BI,60,FALSE),"N/A")</f>
        <v>N/A</v>
      </c>
      <c r="AN26" s="84" t="str">
        <f>IFERROR(VLOOKUP($B26,'LOD 400 - ADMN'!$B:BL,63,FALSE),"N/A")</f>
        <v>N/A</v>
      </c>
      <c r="AO26" s="84" t="str">
        <f>IFERROR(VLOOKUP($B26,'LOD 400 - ADMN'!$B:BO,66,FALSE),"N/A")</f>
        <v>N/A</v>
      </c>
      <c r="AP26" s="84" t="str">
        <f>IFERROR(VLOOKUP($B26,'LOD 400 - ADMN'!$B:BR,69,FALSE),"N/A")</f>
        <v>N/A</v>
      </c>
      <c r="AQ26" s="84" t="str">
        <f>IFERROR(VLOOKUP($B26,'LOD 400 - ADMN'!$B:BU,72,FALSE),"N/A")</f>
        <v>N/A</v>
      </c>
      <c r="AR26" s="84" t="str">
        <f>IFERROR(VLOOKUP($B26,'LOD 400 - ADMN'!$B:BX,75,FALSE),"N/A")</f>
        <v>N/A</v>
      </c>
      <c r="AS26" s="84" t="str">
        <f>IFERROR(VLOOKUP($B26,'LOD 400 - ADMN'!$B:CA,78,FALSE),"N/A")</f>
        <v>N/A</v>
      </c>
      <c r="AT26" s="84" t="str">
        <f>IFERROR(VLOOKUP($B26,'LOD 400 - ADMN'!$B:CD,81,FALSE),"N/A")</f>
        <v>N/A</v>
      </c>
      <c r="AU26" s="85" t="str">
        <f>IFERROR(VLOOKUP($B26,'LOD 400 - ADMN'!$B:CG,84,FALSE),"N/A")</f>
        <v>N/A</v>
      </c>
      <c r="AV26" s="84" t="str">
        <f>IFERROR(VLOOKUP($B26,'LOD 400 - ADMN'!$B:CJ,87,FALSE),"N/A")</f>
        <v>N/A</v>
      </c>
      <c r="AW26" s="85" t="str">
        <f>IFERROR(VLOOKUP($B26,'LOD 400 - ADMN'!$B:CM,90,FALSE),"N/A")</f>
        <v>N/A</v>
      </c>
      <c r="AX26" s="84" t="str">
        <f>IFERROR(VLOOKUP($B26,'LOD 400 - ADMN'!$B:CP,93,FALSE),"N/A")</f>
        <v>N/A</v>
      </c>
      <c r="AY26" s="84" t="str">
        <f>IFERROR(VLOOKUP($B26,'LOD 400 - ADMN'!$B:CS,96,FALSE),"N/A")</f>
        <v>N/A</v>
      </c>
      <c r="AZ26" s="84" t="str">
        <f>IFERROR(VLOOKUP($B26,'LOD 400 - ADMN'!$B:CV,99,FALSE),"N/A")</f>
        <v>N/A</v>
      </c>
      <c r="BA26" s="84" t="str">
        <f>IFERROR(VLOOKUP($B26,'LOD 400 - ADMN'!$B:CY,102,FALSE),"N/A")</f>
        <v>N/A</v>
      </c>
      <c r="BB26" s="84" t="str">
        <f>IFERROR(VLOOKUP($B26,'LOD 400 - ADMN'!$B:DB,105,FALSE),"N/A")</f>
        <v>N/A</v>
      </c>
      <c r="BC26" s="84" t="str">
        <f>IFERROR(VLOOKUP($B26,'LOD 400 - ADMN'!$B:DE,108,FALSE),"N/A")</f>
        <v>N/A</v>
      </c>
      <c r="BD26" s="84" t="str">
        <f>IFERROR(VLOOKUP($B26,'LOD 400 - ADMN'!$B:DH,111,FALSE),"N/A")</f>
        <v>N/A</v>
      </c>
      <c r="BE26" s="84" t="str">
        <f>IFERROR(VLOOKUP($B26,'LOD 400 - ADMN'!$B:DK,114,FALSE),"N/A")</f>
        <v>N/A</v>
      </c>
      <c r="BF26" s="84" t="str">
        <f>IFERROR(VLOOKUP($B26,'LOD 400 - ADMN'!$B:DN,117,FALSE),"N/A")</f>
        <v>N/A</v>
      </c>
      <c r="BG26" s="86" t="str">
        <f>IFERROR(__xludf.DUMMYFUNCTION("IFERROR(
  MAX(FILTER(Y26:BF26, ISNUMBER(Y26:BF26))),
  BF26
)"),"N/A")</f>
        <v>N/A</v>
      </c>
      <c r="BH26" s="79" t="str">
        <f>IFERROR(VLOOKUP($B26,'LOD 400 - COLO1'!B:S,18,FALSE),"N/A")</f>
        <v>N/A</v>
      </c>
      <c r="BI26" s="79" t="str">
        <f>IFERROR(VLOOKUP($B26,'LOD 400 - COLO1'!B:V,21,FALSE),"N/A")</f>
        <v>N/A</v>
      </c>
      <c r="BJ26" s="79" t="str">
        <f>IFERROR(VLOOKUP($B26,'LOD 400 - COLO1'!$B:Y,24,FALSE),"N/A")</f>
        <v>N/A</v>
      </c>
      <c r="BK26" s="87" t="str">
        <f>IFERROR(VLOOKUP($B26,'LOD 400 - COLO1'!$B:AB,27,FALSE),"N/A")</f>
        <v>N/A</v>
      </c>
      <c r="BL26" s="80" t="str">
        <f>IFERROR(VLOOKUP($B26,'LOD 400 - COLO1'!$B:AE,30,FALSE),"N/A")</f>
        <v>N/A</v>
      </c>
      <c r="BM26" s="81" t="str">
        <f>IFERROR(VLOOKUP($B26,'LOD 400 - COLO1'!$B:AH,33,FALSE),"N/A")</f>
        <v>N/A</v>
      </c>
      <c r="BN26" s="87" t="str">
        <f>IFERROR(VLOOKUP($B26,'LOD 400 - COLO1'!$B:AK,36,FALSE),"N/A")</f>
        <v>N/A</v>
      </c>
      <c r="BO26" s="83" t="str">
        <f>IFERROR(VLOOKUP($B26,'LOD 400 - COLO1'!$B:AN,39,FALSE),"N/A")</f>
        <v>N/A</v>
      </c>
      <c r="BP26" s="88" t="str">
        <f>IFERROR(VLOOKUP($B26,'LOD 400 - COLO1'!$B:AQ,42,FALSE),"N/A")</f>
        <v>N/A</v>
      </c>
      <c r="BQ26" s="84" t="str">
        <f>IFERROR(VLOOKUP($B26,'LOD 400 - COLO1'!$B:AT,45,FALSE),"N/A")</f>
        <v>N/A</v>
      </c>
      <c r="BR26" s="85" t="str">
        <f>IFERROR(VLOOKUP($B26,'LOD 400 - COLO1'!$B:AW,48,FALSE),"N/A")</f>
        <v>N/A</v>
      </c>
      <c r="BS26" s="84" t="str">
        <f>IFERROR(VLOOKUP($B26,'LOD 400 - COLO1'!$B:AZ,51,FALSE),"N/A")</f>
        <v>N/A</v>
      </c>
      <c r="BT26" s="84" t="str">
        <f>IFERROR(VLOOKUP($B26,'LOD 400 - COLO1'!$B:BC,54,FALSE),"N/A")</f>
        <v>N/A</v>
      </c>
      <c r="BU26" s="84" t="str">
        <f>IFERROR(VLOOKUP($B26,'LOD 400 - COLO1'!$B:BF,57,FALSE),"N/A")</f>
        <v>N/A</v>
      </c>
      <c r="BV26" s="84" t="str">
        <f>IFERROR(VLOOKUP($B26,'LOD 400 - COLO1'!$B:BI,60,FALSE),"N/A")</f>
        <v>N/A</v>
      </c>
      <c r="BW26" s="84" t="str">
        <f>IFERROR(VLOOKUP($B26,'LOD 400 - COLO1'!$B:BL,63,FALSE),"N/A")</f>
        <v>N/A</v>
      </c>
      <c r="BX26" s="84" t="str">
        <f>IFERROR(VLOOKUP($B26,'LOD 400 - COLO1'!$B:BO,66,FALSE),"N/A")</f>
        <v>N/A</v>
      </c>
      <c r="BY26" s="84" t="str">
        <f>IFERROR(VLOOKUP($B26,'LOD 400 - COLO1'!$B:BR,69,FALSE),"N/A")</f>
        <v>N/A</v>
      </c>
      <c r="BZ26" s="84" t="str">
        <f>IFERROR(VLOOKUP($B26,'LOD 400 - COLO1'!$B:BU,72,FALSE),"N/A")</f>
        <v>N/A</v>
      </c>
      <c r="CA26" s="84" t="str">
        <f>IFERROR(VLOOKUP($B26,'LOD 400 - COLO1'!$B:BX,75,FALSE),"N/A")</f>
        <v>N/A</v>
      </c>
      <c r="CB26" s="84" t="str">
        <f>IFERROR(VLOOKUP($B26,'LOD 400 - COLO1'!$B:CA,78,FALSE),"N/A")</f>
        <v>N/A</v>
      </c>
      <c r="CC26" s="84" t="str">
        <f>IFERROR(VLOOKUP($B26,'LOD 400 - COLO1'!$B:CD,81,FALSE),"N/A")</f>
        <v>N/A</v>
      </c>
      <c r="CD26" s="85" t="str">
        <f>IFERROR(VLOOKUP($B26,'LOD 400 - COLO1'!$B:CG,84,FALSE),"N/A")</f>
        <v>N/A</v>
      </c>
      <c r="CE26" s="84" t="str">
        <f>IFERROR(VLOOKUP($B26,'LOD 400 - COLO1'!$B:CJ,87,FALSE),"N/A")</f>
        <v>N/A</v>
      </c>
      <c r="CF26" s="85" t="str">
        <f>IFERROR(VLOOKUP($B26,'LOD 400 - COLO1'!$B:CM,90,FALSE),"N/A")</f>
        <v>N/A</v>
      </c>
      <c r="CG26" s="84" t="str">
        <f>IFERROR(VLOOKUP($B26,'LOD 400 - COLO1'!$B:CP,93,FALSE),"N/A")</f>
        <v>N/A</v>
      </c>
      <c r="CH26" s="84" t="str">
        <f>IFERROR(VLOOKUP($B26,'LOD 400 - COLO1'!$B:CS,96,FALSE),"N/A")</f>
        <v>N/A</v>
      </c>
      <c r="CI26" s="84" t="str">
        <f>IFERROR(VLOOKUP($B26,'LOD 400 - COLO1'!$B:CV,99,FALSE),"N/A")</f>
        <v>N/A</v>
      </c>
      <c r="CJ26" s="84" t="str">
        <f>IFERROR(VLOOKUP($B26,'LOD 400 - COLO1'!$B:CY,102,FALSE),"N/A")</f>
        <v>N/A</v>
      </c>
      <c r="CK26" s="84" t="str">
        <f>IFERROR(VLOOKUP($B26,'LOD 400 - COLO1'!$B:DB,105,FALSE),"N/A")</f>
        <v>N/A</v>
      </c>
      <c r="CL26" s="84" t="str">
        <f>IFERROR(VLOOKUP($B26,'LOD 400 - COLO1'!$B:DE,108,FALSE),"N/A")</f>
        <v>N/A</v>
      </c>
      <c r="CM26" s="84" t="str">
        <f>IFERROR(VLOOKUP($B26,'LOD 400 - COLO1'!$B:DH,111,FALSE),"N/A")</f>
        <v>N/A</v>
      </c>
      <c r="CN26" s="84" t="str">
        <f>IFERROR(VLOOKUP($B26,'LOD 400 - COLO1'!$B:DK,114,FALSE),"N/A")</f>
        <v>N/A</v>
      </c>
      <c r="CO26" s="84" t="str">
        <f>IFERROR(VLOOKUP($B26,'LOD 400 - COLO1'!$B:DN,117,FALSE),"N/A")</f>
        <v>N/A</v>
      </c>
      <c r="CP26" s="86" t="str">
        <f>IFERROR(__xludf.DUMMYFUNCTION("IFERROR(
  MAX(FILTER(BH26:CO26, ISNUMBER(BH26:CO26))),
  CO26
)"),"N/A")</f>
        <v>N/A</v>
      </c>
      <c r="CQ26" s="89" t="str">
        <f>IFERROR(VLOOKUP($B26,'LOD 400 - COLO2'!B:S,18,FALSE),"N/A")</f>
        <v>N/A</v>
      </c>
      <c r="CR26" s="79" t="str">
        <f>IFERROR(VLOOKUP($B26,'LOD 400 - COLO2'!B:V,21,FALSE),"N/A")</f>
        <v>N/A</v>
      </c>
      <c r="CS26" s="79" t="str">
        <f>IFERROR(VLOOKUP($B26,'LOD 400 - COLO2'!$B:Y,24,FALSE),"N/A")</f>
        <v>N/A</v>
      </c>
      <c r="CT26" s="80" t="str">
        <f>IFERROR(VLOOKUP($B26,'LOD 400 - COLO2'!$B:DQ,27,FALSE),"N/A")</f>
        <v>N/A</v>
      </c>
      <c r="CU26" s="90" t="str">
        <f>IFERROR(VLOOKUP($B26,'LOD 400 - COLO2'!$B:AE,30,FALSE),"N/A")</f>
        <v>N/A</v>
      </c>
      <c r="CV26" s="81" t="str">
        <f>IFERROR(VLOOKUP($B26,'LOD 400 - COLO2'!$B:AH,33,FALSE),"N/A")</f>
        <v>N/A</v>
      </c>
      <c r="CW26" s="90" t="str">
        <f>IFERROR(VLOOKUP($B26,'LOD 400 - COLO2'!$B:AK,36,FALSE),"N/A")</f>
        <v>N/A</v>
      </c>
      <c r="CX26" s="85" t="str">
        <f>IFERROR(VLOOKUP($B26,'LOD 400 - COLO2'!$B:AN,39,FALSE),"N/A")</f>
        <v>N/A</v>
      </c>
      <c r="CY26" s="88" t="str">
        <f>IFERROR(VLOOKUP($B26,'LOD 400 - COLO2'!$B:AQ,42,FALSE),"N/A")</f>
        <v>N/A</v>
      </c>
      <c r="CZ26" s="84" t="str">
        <f>IFERROR(VLOOKUP($B26,'LOD 400 - COLO2'!$B:AT,45,FALSE),"N/A")</f>
        <v>N/A</v>
      </c>
      <c r="DA26" s="85" t="str">
        <f>IFERROR(VLOOKUP($B26,'LOD 400 - COLO2'!$B:AW,48,FALSE),"N/A")</f>
        <v>N/A</v>
      </c>
      <c r="DB26" s="84" t="str">
        <f>IFERROR(VLOOKUP($B26,'LOD 400 - COLO2'!$B:AZ,51,FALSE),"N/A")</f>
        <v>N/A</v>
      </c>
      <c r="DC26" s="84" t="str">
        <f>IFERROR(VLOOKUP($B26,'LOD 400 - COLO2'!$B:BC,54,FALSE),"N/A")</f>
        <v>N/A</v>
      </c>
      <c r="DD26" s="84" t="str">
        <f>IFERROR(VLOOKUP($B26,'LOD 400 - COLO2'!$B:BF,57,FALSE),"N/A")</f>
        <v>N/A</v>
      </c>
      <c r="DE26" s="84" t="str">
        <f>IFERROR(VLOOKUP($B26,'LOD 400 - COLO2'!$B:BI,60,FALSE),"N/A")</f>
        <v>N/A</v>
      </c>
      <c r="DF26" s="84" t="str">
        <f>IFERROR(VLOOKUP($B26,'LOD 400 - COLO2'!$B:BL,63,FALSE),"N/A")</f>
        <v>N/A</v>
      </c>
      <c r="DG26" s="84" t="str">
        <f>IFERROR(VLOOKUP($B26,'LOD 400 - COLO2'!$B:BO,66,FALSE),"N/A")</f>
        <v>N/A</v>
      </c>
      <c r="DH26" s="84" t="str">
        <f>IFERROR(VLOOKUP($B26,'LOD 400 - COLO2'!$B:BR,69,FALSE),"N/A")</f>
        <v>N/A</v>
      </c>
      <c r="DI26" s="84" t="str">
        <f>IFERROR(VLOOKUP($B26,'LOD 400 - COLO2'!$B:BU,72,FALSE),"N/A")</f>
        <v>N/A</v>
      </c>
      <c r="DJ26" s="84" t="str">
        <f>IFERROR(VLOOKUP($B26,'LOD 400 - COLO2'!$B:BX,75,FALSE),"N/A")</f>
        <v>N/A</v>
      </c>
      <c r="DK26" s="84" t="str">
        <f>IFERROR(VLOOKUP($B26,'LOD 400 - COLO2'!$B:CA,78,FALSE),"N/A")</f>
        <v>N/A</v>
      </c>
      <c r="DL26" s="84" t="str">
        <f>IFERROR(VLOOKUP($B26,'LOD 400 - COLO2'!$B:CD,81,FALSE),"N/A")</f>
        <v>N/A</v>
      </c>
      <c r="DM26" s="85" t="str">
        <f>IFERROR(VLOOKUP($B26,'LOD 400 - COLO2'!$B:CG,84,FALSE),"N/A")</f>
        <v>N/A</v>
      </c>
      <c r="DN26" s="84" t="str">
        <f>IFERROR(VLOOKUP($B26,'LOD 400 - COLO2'!$B:CJ,87,FALSE),"N/A")</f>
        <v>N/A</v>
      </c>
      <c r="DO26" s="85" t="str">
        <f>IFERROR(VLOOKUP($B26,'LOD 400 - COLO2'!$B:CM,90,FALSE),"N/A")</f>
        <v>N/A</v>
      </c>
      <c r="DP26" s="84" t="str">
        <f>IFERROR(VLOOKUP($B26,'LOD 400 - COLO2'!$B:CP,93,FALSE),"N/A")</f>
        <v>N/A</v>
      </c>
      <c r="DQ26" s="84" t="str">
        <f>IFERROR(VLOOKUP($B26,'LOD 400 - COLO2'!$B:CS,96,FALSE),"N/A")</f>
        <v>N/A</v>
      </c>
      <c r="DR26" s="84" t="str">
        <f>IFERROR(VLOOKUP($B26,'LOD 400 - COLO2'!$B:CV,99,FALSE),"N/A")</f>
        <v>N/A</v>
      </c>
      <c r="DS26" s="84" t="str">
        <f>IFERROR(VLOOKUP($B26,'LOD 400 - COLO2'!$B:CY,102,FALSE),"N/A")</f>
        <v>N/A</v>
      </c>
      <c r="DT26" s="84" t="str">
        <f>IFERROR(VLOOKUP($B26,'LOD 400 - COLO2'!$B:DB,105,FALSE),"N/A")</f>
        <v>N/A</v>
      </c>
      <c r="DU26" s="84" t="str">
        <f>IFERROR(VLOOKUP($B26,'LOD 400 - COLO2'!$B:DE,108,FALSE),"N/A")</f>
        <v>N/A</v>
      </c>
      <c r="DV26" s="84" t="str">
        <f>IFERROR(VLOOKUP($B26,'LOD 400 - COLO2'!$B:DH,111,FALSE),"N/A")</f>
        <v>N/A</v>
      </c>
      <c r="DW26" s="84" t="str">
        <f>IFERROR(VLOOKUP($B26,'LOD 400 - COLO2'!$B:DK,114,FALSE),"N/A")</f>
        <v>N/A</v>
      </c>
      <c r="DX26" s="84" t="str">
        <f>IFERROR(VLOOKUP($B26,'LOD 400 - COLO2'!$B:DN,117,FALSE),"N/A")</f>
        <v>N/A</v>
      </c>
      <c r="DY26" s="91" t="str">
        <f>IFERROR(__xludf.DUMMYFUNCTION("IFERROR(
  MAX(FILTER(CQ26:DW26, ISNUMBER(CQ26:DW26))),
  DW26
)"),"N/A")</f>
        <v>N/A</v>
      </c>
      <c r="DZ26" s="92" t="str">
        <f>IFERROR(VLOOKUP($B26,'LOD 400 - COLO3'!B:S,18,FALSE),"N/A")</f>
        <v>N/A</v>
      </c>
      <c r="EA26" s="84" t="str">
        <f>IFERROR(VLOOKUP($B26,'LOD 400 - COLO3'!B:V,21,FALSE),"N/A")</f>
        <v>N/A</v>
      </c>
      <c r="EB26" s="84" t="str">
        <f>IFERROR(VLOOKUP($B26,'LOD 400 - COLO3'!B:Y,24,FALSE),"N/A")</f>
        <v>N/A</v>
      </c>
      <c r="EC26" s="84" t="str">
        <f>IFERROR(VLOOKUP($B26,'LOD 400 - COLO3'!B:AB,27,FALSE),"N/A")</f>
        <v>N/A</v>
      </c>
      <c r="ED26" s="85" t="str">
        <f>IFERROR(VLOOKUP($B26,'LOD 400 - COLO3'!B:AE,30,FALSE),"N/A")</f>
        <v>N/A</v>
      </c>
      <c r="EE26" s="84" t="str">
        <f>IFERROR(VLOOKUP($B26,'LOD 400 - COLO3'!B:AH,33,FALSE),"N/A")</f>
        <v>N/A</v>
      </c>
      <c r="EF26" s="84" t="str">
        <f>IFERROR(VLOOKUP($B26,'LOD 400 - COLO3'!B:AK,36,FALSE),"N/A")</f>
        <v>N/A</v>
      </c>
      <c r="EG26" s="109" t="str">
        <f>IFERROR(VLOOKUP($B26,'LOD 400 - COLO3'!B:AN,39,FALSE),"N/A")</f>
        <v>N/A</v>
      </c>
      <c r="EH26" s="94" t="str">
        <f>IFERROR(VLOOKUP($B26,'LOD 400 - COLO3'!B:AQ,42,FALSE),"N/A")</f>
        <v>N/A</v>
      </c>
      <c r="EI26" s="94" t="str">
        <f>IFERROR(VLOOKUP($B26,'LOD 400 - COLO3'!B:AT,45,FALSE),"N/A")</f>
        <v>N/A</v>
      </c>
      <c r="EJ26" s="94" t="str">
        <f>IFERROR(VLOOKUP($B26,'LOD 400 - COLO3'!B:AW,48,FALSE),"N/A")</f>
        <v>N/A</v>
      </c>
      <c r="EK26" s="94" t="str">
        <f>IFERROR(VLOOKUP($B26,'LOD 400 - COLO3'!B:AZ,51,FALSE),"N/A")</f>
        <v>N/A</v>
      </c>
      <c r="EL26" s="94" t="str">
        <f>IFERROR(VLOOKUP($B26,'LOD 400 - COLO3'!B:BC,54,FALSE),"N/A")</f>
        <v>N/A</v>
      </c>
      <c r="EM26" s="94" t="str">
        <f>IFERROR(VLOOKUP($B26,'LOD 400 - COLO3'!B:BF,57,FALSE),"N/A")</f>
        <v>N/A</v>
      </c>
      <c r="EN26" s="94" t="str">
        <f>IFERROR(VLOOKUP($B26,'LOD 400 - COLO3'!B:BI,60,FALSE),"N/A")</f>
        <v>N/A</v>
      </c>
      <c r="EO26" s="94" t="str">
        <f>IFERROR(VLOOKUP($B26,'LOD 400 - COLO3'!B:BL,63,FALSE),"N/A")</f>
        <v>N/A</v>
      </c>
      <c r="EP26" s="86" t="str">
        <f>IFERROR(__xludf.DUMMYFUNCTION("IFERROR(
  MAX(FILTER(DZ26:EO26, ISNUMBER(DZ26:EO26))),
  EO26
)"),"N/A")</f>
        <v>N/A</v>
      </c>
      <c r="EQ26" s="95" t="str">
        <f>IFERROR(VLOOKUP($B26,'LOD 400 - COLO4'!B:S,18,FALSE),"N/A")</f>
        <v>N/A</v>
      </c>
      <c r="ER26" s="96" t="str">
        <f>IFERROR(__xludf.DUMMYFUNCTION("IFERROR(
  MAX(FILTER(EQ26, ISNUMBER(EQ26))),
  EQ26
)"),"N/A")</f>
        <v>N/A</v>
      </c>
      <c r="ES26" s="79" t="str">
        <f>IFERROR(VLOOKUP($B26,'LOD 400 - SITE'!B:S,18,FALSE),"N/A")</f>
        <v>NOT PUBLISHED</v>
      </c>
      <c r="ET26" s="80" t="str">
        <f>IFERROR(VLOOKUP($B26,'LOD 400 - SITE'!B:V,21,FALSE),"N/A")</f>
        <v>NOT PUBLISHED</v>
      </c>
      <c r="EU26" s="97" t="str">
        <f>IFERROR(VLOOKUP($B26,'LOD 400 - SITE'!$B:Y,24,FALSE),"N/A")</f>
        <v>NOT PUBLISHED</v>
      </c>
      <c r="EV26" s="80" t="str">
        <f>IFERROR(VLOOKUP($B26,'LOD 400 - SITE'!$B:AB,27,FALSE),"N/A")</f>
        <v>NOT PUBLISHED</v>
      </c>
      <c r="EW26" s="81" t="str">
        <f>IFERROR(VLOOKUP($B26,'LOD 400 - SITE'!$B:AE,30,FALSE),"N/A")</f>
        <v>NOT PUBLISHED</v>
      </c>
      <c r="EX26" s="87" t="str">
        <f>IFERROR(VLOOKUP($B26,'LOD 400 - SITE'!$B:AH,33,FALSE),"N/A")</f>
        <v>NOT PUBLISHED</v>
      </c>
      <c r="EY26" s="87" t="str">
        <f>IFERROR(VLOOKUP($B26,'LOD 400 - SITE'!$B:AK,36,FALSE),"N/A")</f>
        <v>NOT PUBLISHED</v>
      </c>
      <c r="EZ26" s="80" t="str">
        <f>IFERROR(VLOOKUP($B26,'LOD 400 - SITE'!$B:AN,39,FALSE),"N/A")</f>
        <v>NOT PUBLISHED</v>
      </c>
      <c r="FA26" s="82" t="str">
        <f>IFERROR(VLOOKUP($B26,'LOD 400 - SITE'!$B:AQ,42,FALSE),"N/A")</f>
        <v>NOT PUBLISHED</v>
      </c>
      <c r="FB26" s="88" t="str">
        <f>IFERROR(VLOOKUP($B26,'LOD 400 - SITE'!$B:AT,45,FALSE),"N/A")</f>
        <v>NOT PUBLISHED</v>
      </c>
      <c r="FC26" s="84" t="str">
        <f>IFERROR(VLOOKUP($B26,'LOD 400 - SITE'!$B:AW,48,FALSE),"N/A")</f>
        <v>NOT PUBLISHED</v>
      </c>
      <c r="FD26" s="84" t="str">
        <f>IFERROR(VLOOKUP($B26,'LOD 400 - SITE'!$B:AZ,51,FALSE),"N/A")</f>
        <v>NOT PUBLISHED</v>
      </c>
      <c r="FE26" s="84" t="str">
        <f>IFERROR(VLOOKUP($B26,'LOD 400 - SITE'!$B:BC,54,FALSE),"N/A")</f>
        <v>NOT PUBLISHED</v>
      </c>
      <c r="FF26" s="84" t="str">
        <f>IFERROR(VLOOKUP($B26,'LOD 400 - SITE'!$B:BF,57,FALSE),"N/A")</f>
        <v>NOT PUBLISHED</v>
      </c>
      <c r="FG26" s="84" t="str">
        <f>IFERROR(VLOOKUP($B26,'LOD 400 - SITE'!$B:BI,60,FALSE),"N/A")</f>
        <v>NOT PUBLISHED</v>
      </c>
      <c r="FH26" s="84" t="str">
        <f>IFERROR(VLOOKUP($B26,'LOD 400 - SITE'!$B:BL,63,FALSE),"N/A")</f>
        <v>NOT PUBLISHED</v>
      </c>
      <c r="FI26" s="84" t="str">
        <f>IFERROR(VLOOKUP($B26,'LOD 400 - SITE'!$B:BO,66,FALSE),"N/A")</f>
        <v>NOT PUBLISHED</v>
      </c>
      <c r="FJ26" s="84" t="str">
        <f>IFERROR(VLOOKUP($B26,'LOD 400 - SITE'!$B:BR,69,FALSE),"N/A")</f>
        <v>NOT PUBLISHED</v>
      </c>
      <c r="FK26" s="84" t="str">
        <f>IFERROR(VLOOKUP($B26,'LOD 400 - SITE'!$B:BU,72,FALSE),"N/A")</f>
        <v>NOT PUBLISHED</v>
      </c>
      <c r="FL26" s="84" t="str">
        <f>IFERROR(VLOOKUP($B26,'LOD 400 - SITE'!$B:BX,75,FALSE),"N/A")</f>
        <v>NOT PUBLISHED</v>
      </c>
      <c r="FM26" s="84" t="str">
        <f>IFERROR(VLOOKUP($B26,'LOD 400 - SITE'!$B:CA,78,FALSE),"N/A")</f>
        <v>NOT PUBLISHED</v>
      </c>
      <c r="FN26" s="85" t="str">
        <f>IFERROR(VLOOKUP($B26,'LOD 400 - SITE'!$B:CD,81,FALSE),"N/A")</f>
        <v>NOT PUBLISHED</v>
      </c>
      <c r="FO26" s="84" t="str">
        <f>IFERROR(VLOOKUP($B26,'LOD 400 - SITE'!$B:CG,84,FALSE),"N/A")</f>
        <v>NOT PUBLISHED</v>
      </c>
      <c r="FP26" s="85" t="str">
        <f>IFERROR(VLOOKUP($B26,'LOD 400 - SITE'!$B:CJ,87,FALSE),"N/A")</f>
        <v>NOT PUBLISHED</v>
      </c>
      <c r="FQ26" s="84" t="str">
        <f>IFERROR(VLOOKUP($B26,'LOD 400 - SITE'!$B:CM,90,FALSE),"N/A")</f>
        <v>NOT PUBLISHED</v>
      </c>
      <c r="FR26" s="84" t="str">
        <f>IFERROR(VLOOKUP($B26,'LOD 400 - SITE'!$B:CP,93,FALSE),"N/A")</f>
        <v>NOT PUBLISHED</v>
      </c>
      <c r="FS26" s="84" t="str">
        <f>IFERROR(VLOOKUP($B26,'LOD 400 - SITE'!$B:CS,96,FALSE),"N/A")</f>
        <v>NOT PUBLISHED</v>
      </c>
      <c r="FT26" s="84" t="str">
        <f>IFERROR(VLOOKUP($B26,'LOD 400 - SITE'!$B:CV,99,FALSE),"N/A")</f>
        <v>NOT PUBLISHED</v>
      </c>
      <c r="FU26" s="84" t="str">
        <f>IFERROR(VLOOKUP($B26,'LOD 400 - SITE'!$B:CY,102,FALSE),"N/A")</f>
        <v>NOT PUBLISHED</v>
      </c>
      <c r="FV26" s="84" t="str">
        <f>IFERROR(VLOOKUP($B26,'LOD 400 - SITE'!$B:DB,105,FALSE),"N/A")</f>
        <v>NOT PUBLISHED</v>
      </c>
      <c r="FW26" s="84" t="str">
        <f>IFERROR(VLOOKUP($B26,'LOD 400 - SITE'!$B:DE,108,FALSE),"N/A")</f>
        <v>NOT PUBLISHED</v>
      </c>
      <c r="FX26" s="84" t="str">
        <f>IFERROR(VLOOKUP($B26,'LOD 400 - SITE'!$B:DH,111,FALSE),"N/A")</f>
        <v>NOT PUBLISHED</v>
      </c>
      <c r="FY26" s="84" t="str">
        <f>IFERROR(VLOOKUP($B26,'LOD 400 - SITE'!$B:DK,114,FALSE),"N/A")</f>
        <v>NOT PUBLISHED</v>
      </c>
      <c r="FZ26" s="96" t="str">
        <f>IFERROR(__xludf.DUMMYFUNCTION("IFERROR(
  MAX(FILTER(ES26:FY26, ISNUMBER(ES26:FY26))),
  FY26
)"),"NOT PUBLISHED")</f>
        <v>NOT PUBLISHED</v>
      </c>
      <c r="GA26" s="80" t="str">
        <f>IFERROR(VLOOKUP($B26,'LOD 400 - UTLS'!B:S,18,FALSE),"N/A")</f>
        <v>NOT PUBLISHED</v>
      </c>
      <c r="GB26" s="98" t="str">
        <f>IFERROR(VLOOKUP($B26,'LOD 400 - UTLS'!B:V,21,FALSE),"N/A")</f>
        <v>NOT PUBLISHED</v>
      </c>
      <c r="GC26" s="81" t="str">
        <f>IFERROR(VLOOKUP($B26,'LOD 400 - UTLS'!B:Y,24,FALSE),"N/A")</f>
        <v>NOT PUBLISHED</v>
      </c>
      <c r="GD26" s="87" t="str">
        <f>IFERROR(VLOOKUP($B26,'LOD 400 - UTLS'!$B:AB,27,FALSE),"N/A")</f>
        <v>NOT PUBLISHED</v>
      </c>
      <c r="GE26" s="80" t="str">
        <f>IFERROR(VLOOKUP($B26,'LOD 400 - UTLS'!$B:AE,30,FALSE),"N/A")</f>
        <v>NOT PUBLISHED</v>
      </c>
      <c r="GF26" s="82" t="str">
        <f>IFERROR(VLOOKUP($B26,'LOD 400 - UTLS'!$B:AH,33,FALSE),"N/A")</f>
        <v>NOT PUBLISHED</v>
      </c>
      <c r="GG26" s="88" t="str">
        <f>IFERROR(VLOOKUP($B26,'LOD 400 - UTLS'!$B:AK,36,FALSE),"N/A")</f>
        <v>NOT PUBLISHED</v>
      </c>
      <c r="GH26" s="84" t="str">
        <f>IFERROR(VLOOKUP($B26,'LOD 400 - UTLS'!$B:AN,39,FALSE),"N/A")</f>
        <v>NOT PUBLISHED</v>
      </c>
      <c r="GI26" s="84" t="str">
        <f>IFERROR(VLOOKUP($B26,'LOD 400 - UTLS'!$B:AQ,42,FALSE),"N/A")</f>
        <v>NOT PUBLISHED</v>
      </c>
      <c r="GJ26" s="84" t="str">
        <f>IFERROR(VLOOKUP($B26,'LOD 400 - UTLS'!$B:AT,45,FALSE),"N/A")</f>
        <v>NOT PUBLISHED</v>
      </c>
      <c r="GK26" s="84" t="str">
        <f>IFERROR(VLOOKUP($B26,'LOD 400 - UTLS'!$B:AW,48,FALSE),"N/A")</f>
        <v>NOT PUBLISHED</v>
      </c>
      <c r="GL26" s="84" t="str">
        <f>IFERROR(VLOOKUP($B26,'LOD 400 - UTLS'!$B:AZ,51,FALSE),"N/A")</f>
        <v>NOT PUBLISHED</v>
      </c>
      <c r="GM26" s="84" t="str">
        <f>IFERROR(VLOOKUP($B26,'LOD 400 - UTLS'!$B:BC,54,FALSE),"N/A")</f>
        <v>NOT PUBLISHED</v>
      </c>
      <c r="GN26" s="84" t="str">
        <f>IFERROR(VLOOKUP($B26,'LOD 400 - UTLS'!$B:BF,57,FALSE),"N/A")</f>
        <v>NOT PUBLISHED</v>
      </c>
      <c r="GO26" s="84" t="str">
        <f>IFERROR(VLOOKUP($B26,'LOD 400 - UTLS'!$B:BI,60,FALSE),"N/A")</f>
        <v>NOT PUBLISHED</v>
      </c>
      <c r="GP26" s="84" t="str">
        <f>IFERROR(VLOOKUP($B26,'LOD 400 - UTLS'!$B:BL,63,FALSE),"N/A")</f>
        <v>NOT PUBLISHED</v>
      </c>
      <c r="GQ26" s="84" t="str">
        <f>IFERROR(VLOOKUP($B26,'LOD 400 - UTLS'!$B:BO,66,FALSE),"N/A")</f>
        <v>NOT PUBLISHED</v>
      </c>
      <c r="GR26" s="84" t="str">
        <f>IFERROR(VLOOKUP($B26,'LOD 400 - UTLS'!$B:BR,69,FALSE),"N/A")</f>
        <v>NOT PUBLISHED</v>
      </c>
      <c r="GS26" s="85" t="str">
        <f>IFERROR(VLOOKUP($B26,'LOD 400 - UTLS'!$B:BU,72,FALSE),"N/A")</f>
        <v>NOT PUBLISHED</v>
      </c>
      <c r="GT26" s="84" t="str">
        <f>IFERROR(VLOOKUP($B26,'LOD 400 - UTLS'!$B:BX,75,FALSE),"N/A")</f>
        <v>NOT PUBLISHED</v>
      </c>
      <c r="GU26" s="85" t="str">
        <f>IFERROR(VLOOKUP($B26,'LOD 400 - UTLS'!$B:CA,78,FALSE),"N/A")</f>
        <v>NOT PUBLISHED</v>
      </c>
      <c r="GV26" s="84" t="str">
        <f>IFERROR(VLOOKUP($B26,'LOD 400 - UTLS'!$B:CD,81,FALSE),"N/A")</f>
        <v>NOT PUBLISHED</v>
      </c>
      <c r="GW26" s="84" t="str">
        <f>IFERROR(VLOOKUP($B26,'LOD 400 - UTLS'!$B:CG,84,FALSE),"N/A")</f>
        <v>NOT PUBLISHED</v>
      </c>
      <c r="GX26" s="84" t="str">
        <f>IFERROR(VLOOKUP($B26,'LOD 400 - UTLS'!$B:CJ,87,FALSE),"N/A")</f>
        <v>NOT PUBLISHED</v>
      </c>
      <c r="GY26" s="84" t="str">
        <f>IFERROR(VLOOKUP($B26,'LOD 400 - UTLS'!$B:CM,90,FALSE),"N/A")</f>
        <v>NOT PUBLISHED</v>
      </c>
      <c r="GZ26" s="84" t="str">
        <f>IFERROR(VLOOKUP($B26,'LOD 400 - UTLS'!$B:CP,93,FALSE),"N/A")</f>
        <v>NOT PUBLISHED</v>
      </c>
      <c r="HA26" s="84" t="str">
        <f>IFERROR(VLOOKUP($B26,'LOD 400 - UTLS'!$B:CS,96,FALSE),"N/A")</f>
        <v>NOT PUBLISHED</v>
      </c>
      <c r="HB26" s="84" t="str">
        <f>IFERROR(VLOOKUP($B26,'LOD 400 - UTLS'!$B:CV,99,FALSE),"N/A")</f>
        <v>NOT PUBLISHED</v>
      </c>
      <c r="HC26" s="84" t="str">
        <f>IFERROR(VLOOKUP($B26,'LOD 400 - UTLS'!$B:CY,102,FALSE),"N/A")</f>
        <v>NOT PUBLISHED</v>
      </c>
      <c r="HD26" s="84" t="str">
        <f>IFERROR(VLOOKUP($B26,'LOD 400 - UTLS'!$B:DB,105,FALSE),"N/A")</f>
        <v>NOT PUBLISHED</v>
      </c>
      <c r="HE26" s="96" t="str">
        <f>IFERROR(__xludf.DUMMYFUNCTION("IFERROR(
  MAX(FILTER(GA26:HD26, ISNUMBER(GA26:HD26))),
  HD26
)"),"NOT PUBLISHED")</f>
        <v>NOT PUBLISHED</v>
      </c>
      <c r="HF26" s="99"/>
      <c r="HG26" s="99"/>
      <c r="HH26" s="99"/>
      <c r="HI26" s="99"/>
      <c r="HJ26" s="99"/>
      <c r="HK26" s="99"/>
    </row>
    <row r="27" ht="15.0" customHeight="1" outlineLevel="1">
      <c r="A27" s="53">
        <v>30.0</v>
      </c>
      <c r="B27" s="100" t="s">
        <v>139</v>
      </c>
      <c r="C27" s="100" t="s">
        <v>140</v>
      </c>
      <c r="D27" s="64" t="str">
        <f t="shared" si="1"/>
        <v>DATA</v>
      </c>
      <c r="E27" s="111" t="s">
        <v>141</v>
      </c>
      <c r="F27" s="115">
        <v>0.0</v>
      </c>
      <c r="G27" s="121" t="s">
        <v>142</v>
      </c>
      <c r="H27" s="116"/>
      <c r="I27" s="68" t="str">
        <f>IFERROR(VLOOKUP($C24:C108,'R22 RELATÓRIO ACC'!B:F,5,FALSE),"NOT PUBLISHED")</f>
        <v>V4</v>
      </c>
      <c r="J27" s="69" t="str">
        <f>IFERROR(VLOOKUP($C24:C108,'R22 RELATÓRIO ACC'!B:P,15,FALSE),"NOT PUBLISHED")</f>
        <v>29/04/2026</v>
      </c>
      <c r="K27" s="70" t="str">
        <f>IFERROR(VLOOKUP($B24:B108,'RELATÓRIO ACC'!B:F,5,FALSE),"NOT PUBLISHED")</f>
        <v>V1</v>
      </c>
      <c r="L27" s="71" t="str">
        <f>IFERROR(VLOOKUP($B24:B108,'RELATÓRIO ACC'!B:P,15,FALSE),"NOT PUBLISHED")</f>
        <v>04/06/2026</v>
      </c>
      <c r="M27" s="72" t="str">
        <f>IF(OR($D27="UTLS",$D27="GUAR",$D27="STIR",$D27="PUMP",$D27="SITE"),
   VLOOKUP($B27,'LOD 400 - SITE'!B:M,12,FALSE),
   VLOOKUP($B27,'LOD 400 - ADMN'!B:M,12,FALSE)
)</f>
        <v>V1</v>
      </c>
      <c r="N27" s="105" t="str">
        <f>IF(OR($D27="UTLS",$D27="GUAR",$D27="STIR",$D27="PUMP",$D27="SITE"),
   VLOOKUP($B27,'LOD 400 - SITE'!B:N,13,FALSE),
   VLOOKUP($B27,'LOD 400 - ADMN'!B:N,13,FALSE)
)</f>
        <v>04/06/2026</v>
      </c>
      <c r="O27" s="106" t="str">
        <f>IF(OR($D27="UTLS",$D27="GUAR",$D27="STIR",$D27="PUMP",$D27="SITE"),
   VLOOKUP($B27,'LOD 400 - SITE'!B:O,14,FALSE),
   VLOOKUP($B27,'LOD 400 - ADMN'!B:O,14,FALSE)
)</f>
        <v>R24</v>
      </c>
      <c r="P27" s="107" t="str">
        <f>IF(OR($D27="C345",$D27="C12A",$D27="DATA"),
   VLOOKUP($B27,'LOD 400 - COLO3'!B:M,12,FALSE),"N/A")</f>
        <v>V1</v>
      </c>
      <c r="Q27" s="108">
        <f>IF(OR($D27="C345",$D27="C12A",$D27="DATA"),
   VLOOKUP($B27,'LOD 400 - COLO3'!B:N,13,FALSE),"N/A")</f>
        <v>46177</v>
      </c>
      <c r="R27" s="75" t="str">
        <f>IF(OR($D27="C345",$D27="C12A",$D27="DATA"),
   VLOOKUP($B27,'LOD 400 - COLO3'!B:O,14,FALSE),"N/A")</f>
        <v>R24</v>
      </c>
      <c r="S27" s="76" t="str">
        <f>IF(OR($D27="C345",$D27="C12A",$D27="DATA"),
   VLOOKUP($B27,'LOD 400 - COLO4'!B:N,12,FALSE),"N/A")</f>
        <v>N/A</v>
      </c>
      <c r="T27" s="76" t="str">
        <f>IF(OR($D27="C345",$D27="C12A",$D27="DATA"),
   VLOOKUP($B27,'LOD 400 - COLO4'!B:N,13,FALSE),"N/A")</f>
        <v>N/A</v>
      </c>
      <c r="U27" s="76" t="str">
        <f>IF(OR($D27="C345",$D27="C12A",$D27="DATA"),
   VLOOKUP($B27,'LOD 400 - COLO4'!B:N,13,FALSE),"N/A")</f>
        <v>N/A</v>
      </c>
      <c r="V27" s="77" t="str">
        <f>IF(OR($D27="UTLS",$D27="GUAR",$D27="STIR",$D27="PUMP",$D27="SITE"),
   VLOOKUP($B27,'LOD 400 - UTLS'!B:M,12,FALSE),"N/A")</f>
        <v>N/A</v>
      </c>
      <c r="W27" s="78" t="str">
        <f>IF(OR($D27="UTLS",$D27="GUAR",$D27="STIR",$D27="PUMP",$D27="SITE"),
   VLOOKUP($B27,'LOD 400 - UTLS'!B:N,13,FALSE),"N/A")</f>
        <v>N/A</v>
      </c>
      <c r="X27" s="108" t="str">
        <f>IF(OR($D27="UTLS",$D27="GUAR",$D27="STIR",$D27="PUMP",$D27="SITE"),
   VLOOKUP($B27,'LOD 400 - UTLS'!B:O,14,FALSE),"N/A")</f>
        <v>N/A</v>
      </c>
      <c r="Y27" s="79" t="str">
        <f>IFERROR(VLOOKUP($B27,'LOD 400 - ADMN'!B:S,18,FALSE),"N/A")</f>
        <v>NOT PUBLISHED</v>
      </c>
      <c r="Z27" s="79" t="str">
        <f>IFERROR(VLOOKUP($B27,'LOD 400 - ADMN'!B:V,21,FALSE),"N/A")</f>
        <v>NOT PUBLISHED</v>
      </c>
      <c r="AA27" s="79" t="str">
        <f>IFERROR(VLOOKUP($B27,'LOD 400 - ADMN'!$B:Y,24,FALSE),"N/A")</f>
        <v>NOT PUBLISHED</v>
      </c>
      <c r="AB27" s="80" t="str">
        <f>IFERROR(VLOOKUP($B27,'LOD 400 - ADMN'!$B:AB,27,FALSE),"N/A")</f>
        <v>NOT PUBLISHED</v>
      </c>
      <c r="AC27" s="81" t="str">
        <f>IFERROR(VLOOKUP($B27,'LOD 400 - ADMN'!$B:AE,30,FALSE),"N/A")</f>
        <v>NOT PUBLISHED</v>
      </c>
      <c r="AD27" s="81" t="str">
        <f>IFERROR(VLOOKUP($B27,'LOD 400 - ADMN'!$B:AH,33,FALSE),"N/A")</f>
        <v>NEXT ROUND</v>
      </c>
      <c r="AE27" s="80" t="str">
        <f>IFERROR(VLOOKUP($B27,'LOD 400 - ADMN'!$B:AK,36,FALSE),"N/A")</f>
        <v>IMPROPER</v>
      </c>
      <c r="AF27" s="82" t="str">
        <f>IFERROR(VLOOKUP($B27,'LOD 400 - ADMN'!$B:AN,39,FALSE),"N/A")</f>
        <v>IMPROPER</v>
      </c>
      <c r="AG27" s="83" t="str">
        <f>IFERROR(VLOOKUP($B27,'LOD 400 - ADMN'!$B:AQ,42,FALSE),"N/A")</f>
        <v>IMPROPER</v>
      </c>
      <c r="AH27" s="84" t="str">
        <f>IFERROR(VLOOKUP($B27,'LOD 400 - ADMN'!$B:AT,45,FALSE),"N/A")</f>
        <v>IMPROPER</v>
      </c>
      <c r="AI27" s="85" t="str">
        <f>IFERROR(VLOOKUP($B27,'LOD 400 - ADMN'!$B:AW,48,FALSE),"N/A")</f>
        <v>IMPROPER</v>
      </c>
      <c r="AJ27" s="85" t="str">
        <f>IFERROR(VLOOKUP($B27,'LOD 400 - ADMN'!$B:AZ,51,FALSE),"N/A")</f>
        <v>IMPROPER</v>
      </c>
      <c r="AK27" s="84" t="str">
        <f>IFERROR(VLOOKUP($B27,'LOD 400 - ADMN'!$B:BC,54,FALSE),"N/A")</f>
        <v>IMPROPER</v>
      </c>
      <c r="AL27" s="84" t="str">
        <f>IFERROR(VLOOKUP($B27,'LOD 400 - ADMN'!$B:BF,57,FALSE),"N/A")</f>
        <v>OUTDATED</v>
      </c>
      <c r="AM27" s="84" t="str">
        <f>IFERROR(VLOOKUP($B27,'LOD 400 - ADMN'!$B:BI,60,FALSE),"N/A")</f>
        <v>IMPROPER</v>
      </c>
      <c r="AN27" s="84" t="str">
        <f>IFERROR(VLOOKUP($B27,'LOD 400 - ADMN'!$B:BL,63,FALSE),"N/A")</f>
        <v>OUTDATED</v>
      </c>
      <c r="AO27" s="84" t="str">
        <f>IFERROR(VLOOKUP($B27,'LOD 400 - ADMN'!$B:BO,66,FALSE),"N/A")</f>
        <v>NEXT ROUND</v>
      </c>
      <c r="AP27" s="84">
        <f>IFERROR(VLOOKUP($B27,'LOD 400 - ADMN'!$B:BR,69,FALSE),"N/A")</f>
        <v>0</v>
      </c>
      <c r="AQ27" s="84">
        <f>IFERROR(VLOOKUP($B27,'LOD 400 - ADMN'!$B:BU,72,FALSE),"N/A")</f>
        <v>0.01</v>
      </c>
      <c r="AR27" s="84" t="str">
        <f>IFERROR(VLOOKUP($B27,'LOD 400 - ADMN'!$B:BX,75,FALSE),"N/A")</f>
        <v>OUTDATED</v>
      </c>
      <c r="AS27" s="84" t="str">
        <f>IFERROR(VLOOKUP($B27,'LOD 400 - ADMN'!$B:CA,78,FALSE),"N/A")</f>
        <v>OUTDATED</v>
      </c>
      <c r="AT27" s="84" t="str">
        <f>IFERROR(VLOOKUP($B27,'LOD 400 - ADMN'!$B:CD,81,FALSE),"N/A")</f>
        <v>OUTDATED</v>
      </c>
      <c r="AU27" s="85" t="str">
        <f>IFERROR(VLOOKUP($B27,'LOD 400 - ADMN'!$B:CG,84,FALSE),"N/A")</f>
        <v>NEXT ROUND</v>
      </c>
      <c r="AV27" s="84">
        <f>IFERROR(VLOOKUP($B27,'LOD 400 - ADMN'!$B:CJ,87,FALSE),"N/A")</f>
        <v>0.01</v>
      </c>
      <c r="AW27" s="85" t="str">
        <f>IFERROR(VLOOKUP($B27,'LOD 400 - ADMN'!$B:CM,90,FALSE),"N/A")</f>
        <v>OUTDATED</v>
      </c>
      <c r="AX27" s="84" t="str">
        <f>IFERROR(VLOOKUP($B27,'LOD 400 - ADMN'!$B:CP,93,FALSE),"N/A")</f>
        <v>NEXT ROUND</v>
      </c>
      <c r="AY27" s="84" t="str">
        <f>IFERROR(VLOOKUP($B27,'LOD 400 - ADMN'!$B:CS,96,FALSE),"N/A")</f>
        <v>IMPROPER</v>
      </c>
      <c r="AZ27" s="84" t="str">
        <f>IFERROR(VLOOKUP($B27,'LOD 400 - ADMN'!$B:CV,99,FALSE),"N/A")</f>
        <v>NEXT ROUND</v>
      </c>
      <c r="BA27" s="84" t="str">
        <f>IFERROR(VLOOKUP($B27,'LOD 400 - ADMN'!$B:CY,102,FALSE),"N/A")</f>
        <v>IMPROPER</v>
      </c>
      <c r="BB27" s="84" t="str">
        <f>IFERROR(VLOOKUP($B27,'LOD 400 - ADMN'!$B:DB,105,FALSE),"N/A")</f>
        <v>OUTDATED</v>
      </c>
      <c r="BC27" s="84" t="str">
        <f>IFERROR(VLOOKUP($B27,'LOD 400 - ADMN'!$B:DE,108,FALSE),"N/A")</f>
        <v>OUTDATED</v>
      </c>
      <c r="BD27" s="84" t="str">
        <f>IFERROR(VLOOKUP($B27,'LOD 400 - ADMN'!$B:DH,111,FALSE),"N/A")</f>
        <v>OUTDATED</v>
      </c>
      <c r="BE27" s="84" t="str">
        <f>IFERROR(VLOOKUP($B27,'LOD 400 - ADMN'!$B:DK,114,FALSE),"N/A")</f>
        <v>OUTDATED</v>
      </c>
      <c r="BF27" s="84" t="str">
        <f>IFERROR(VLOOKUP($B27,'LOD 400 - ADMN'!$B:DN,117,FALSE),"N/A")</f>
        <v>OUTDATED</v>
      </c>
      <c r="BG27" s="86">
        <f>IFERROR(__xludf.DUMMYFUNCTION("IFERROR(
  MAX(FILTER(Y27:BF27, ISNUMBER(Y27:BF27))),
  BF27
)"),0.01)</f>
        <v>0.01</v>
      </c>
      <c r="BH27" s="79" t="str">
        <f>IFERROR(VLOOKUP($B27,'LOD 400 - COLO1'!B:S,18,FALSE),"N/A")</f>
        <v>NOT PUBLISHED</v>
      </c>
      <c r="BI27" s="79" t="str">
        <f>IFERROR(VLOOKUP($B27,'LOD 400 - COLO1'!B:V,21,FALSE),"N/A")</f>
        <v>NOT PUBLISHED</v>
      </c>
      <c r="BJ27" s="79" t="str">
        <f>IFERROR(VLOOKUP($B27,'LOD 400 - COLO1'!$B:Y,24,FALSE),"N/A")</f>
        <v>NOT PUBLISHED</v>
      </c>
      <c r="BK27" s="87" t="str">
        <f>IFERROR(VLOOKUP($B27,'LOD 400 - COLO1'!$B:AB,27,FALSE),"N/A")</f>
        <v>NOT PUBLISHED</v>
      </c>
      <c r="BL27" s="80" t="str">
        <f>IFERROR(VLOOKUP($B27,'LOD 400 - COLO1'!$B:AE,30,FALSE),"N/A")</f>
        <v>NOT PUBLISHED</v>
      </c>
      <c r="BM27" s="81" t="str">
        <f>IFERROR(VLOOKUP($B27,'LOD 400 - COLO1'!$B:AH,33,FALSE),"N/A")</f>
        <v>NEXT ROUND</v>
      </c>
      <c r="BN27" s="87">
        <f>IFERROR(VLOOKUP($B27,'LOD 400 - COLO1'!$B:AK,36,FALSE),"N/A")</f>
        <v>0.01</v>
      </c>
      <c r="BO27" s="83" t="str">
        <f>IFERROR(VLOOKUP($B27,'LOD 400 - COLO1'!$B:AN,39,FALSE),"N/A")</f>
        <v>OUTDATED</v>
      </c>
      <c r="BP27" s="88" t="str">
        <f>IFERROR(VLOOKUP($B27,'LOD 400 - COLO1'!$B:AQ,42,FALSE),"N/A")</f>
        <v>OUTDATED</v>
      </c>
      <c r="BQ27" s="84" t="str">
        <f>IFERROR(VLOOKUP($B27,'LOD 400 - COLO1'!$B:AT,45,FALSE),"N/A")</f>
        <v>OUTDATED</v>
      </c>
      <c r="BR27" s="85" t="str">
        <f>IFERROR(VLOOKUP($B27,'LOD 400 - COLO1'!$B:AW,48,FALSE),"N/A")</f>
        <v>OUTDATED</v>
      </c>
      <c r="BS27" s="84" t="str">
        <f>IFERROR(VLOOKUP($B27,'LOD 400 - COLO1'!$B:AZ,51,FALSE),"N/A")</f>
        <v>OUTDATED</v>
      </c>
      <c r="BT27" s="84" t="str">
        <f>IFERROR(VLOOKUP($B27,'LOD 400 - COLO1'!$B:BC,54,FALSE),"N/A")</f>
        <v>OUTDATED</v>
      </c>
      <c r="BU27" s="84" t="str">
        <f>IFERROR(VLOOKUP($B27,'LOD 400 - COLO1'!$B:BF,57,FALSE),"N/A")</f>
        <v>OUTDATED</v>
      </c>
      <c r="BV27" s="84" t="str">
        <f>IFERROR(VLOOKUP($B27,'LOD 400 - COLO1'!$B:BI,60,FALSE),"N/A")</f>
        <v>IMPROPER</v>
      </c>
      <c r="BW27" s="84" t="str">
        <f>IFERROR(VLOOKUP($B27,'LOD 400 - COLO1'!$B:BL,63,FALSE),"N/A")</f>
        <v>OUTDATED</v>
      </c>
      <c r="BX27" s="84" t="str">
        <f>IFERROR(VLOOKUP($B27,'LOD 400 - COLO1'!$B:BO,66,FALSE),"N/A")</f>
        <v>OUTDATED</v>
      </c>
      <c r="BY27" s="84" t="str">
        <f>IFERROR(VLOOKUP($B27,'LOD 400 - COLO1'!$B:BR,69,FALSE),"N/A")</f>
        <v>NEXT ROUND</v>
      </c>
      <c r="BZ27" s="84">
        <f>IFERROR(VLOOKUP($B27,'LOD 400 - COLO1'!$B:BU,72,FALSE),"N/A")</f>
        <v>0.01</v>
      </c>
      <c r="CA27" s="84" t="str">
        <f>IFERROR(VLOOKUP($B27,'LOD 400 - COLO1'!$B:BX,75,FALSE),"N/A")</f>
        <v>OUTDATED</v>
      </c>
      <c r="CB27" s="84" t="str">
        <f>IFERROR(VLOOKUP($B27,'LOD 400 - COLO1'!$B:CA,78,FALSE),"N/A")</f>
        <v>OUTDATED</v>
      </c>
      <c r="CC27" s="84" t="str">
        <f>IFERROR(VLOOKUP($B27,'LOD 400 - COLO1'!$B:CD,81,FALSE),"N/A")</f>
        <v>OUTDATED</v>
      </c>
      <c r="CD27" s="85" t="str">
        <f>IFERROR(VLOOKUP($B27,'LOD 400 - COLO1'!$B:CG,84,FALSE),"N/A")</f>
        <v>NEXT ROUND</v>
      </c>
      <c r="CE27" s="84" t="str">
        <f>IFERROR(VLOOKUP($B27,'LOD 400 - COLO1'!$B:CJ,87,FALSE),"N/A")</f>
        <v>IMPROPER</v>
      </c>
      <c r="CF27" s="85" t="str">
        <f>IFERROR(VLOOKUP($B27,'LOD 400 - COLO1'!$B:CM,90,FALSE),"N/A")</f>
        <v>OUTDATED</v>
      </c>
      <c r="CG27" s="84" t="str">
        <f>IFERROR(VLOOKUP($B27,'LOD 400 - COLO1'!$B:CP,93,FALSE),"N/A")</f>
        <v>NEXT ROUND</v>
      </c>
      <c r="CH27" s="84" t="str">
        <f>IFERROR(VLOOKUP($B27,'LOD 400 - COLO1'!$B:CS,96,FALSE),"N/A")</f>
        <v>IMPROPER</v>
      </c>
      <c r="CI27" s="84" t="str">
        <f>IFERROR(VLOOKUP($B27,'LOD 400 - COLO1'!$B:CV,99,FALSE),"N/A")</f>
        <v>NEXT ROUND</v>
      </c>
      <c r="CJ27" s="84" t="str">
        <f>IFERROR(VLOOKUP($B27,'LOD 400 - COLO1'!$B:CY,102,FALSE),"N/A")</f>
        <v>IMPROPER</v>
      </c>
      <c r="CK27" s="84" t="str">
        <f>IFERROR(VLOOKUP($B27,'LOD 400 - COLO1'!$B:DB,105,FALSE),"N/A")</f>
        <v>OUTDATED</v>
      </c>
      <c r="CL27" s="84" t="str">
        <f>IFERROR(VLOOKUP($B27,'LOD 400 - COLO1'!$B:DE,108,FALSE),"N/A")</f>
        <v>OUTDATED</v>
      </c>
      <c r="CM27" s="84" t="str">
        <f>IFERROR(VLOOKUP($B27,'LOD 400 - COLO1'!$B:DH,111,FALSE),"N/A")</f>
        <v>OUTDATED</v>
      </c>
      <c r="CN27" s="84" t="str">
        <f>IFERROR(VLOOKUP($B27,'LOD 400 - COLO1'!$B:DK,114,FALSE),"N/A")</f>
        <v>OUTDATED</v>
      </c>
      <c r="CO27" s="84" t="str">
        <f>IFERROR(VLOOKUP($B27,'LOD 400 - COLO1'!$B:DN,117,FALSE),"N/A")</f>
        <v>OUTDATED</v>
      </c>
      <c r="CP27" s="86">
        <f>IFERROR(__xludf.DUMMYFUNCTION("IFERROR(
  MAX(FILTER(BH27:CO27, ISNUMBER(BH27:CO27))),
  CO27
)"),0.01)</f>
        <v>0.01</v>
      </c>
      <c r="CQ27" s="89" t="str">
        <f>IFERROR(VLOOKUP($B27,'LOD 400 - COLO2'!B:S,18,FALSE),"N/A")</f>
        <v>NOT PUBLISHED</v>
      </c>
      <c r="CR27" s="79" t="str">
        <f>IFERROR(VLOOKUP($B27,'LOD 400 - COLO2'!B:V,21,FALSE),"N/A")</f>
        <v>NOT PUBLISHED</v>
      </c>
      <c r="CS27" s="79" t="str">
        <f>IFERROR(VLOOKUP($B27,'LOD 400 - COLO2'!$B:Y,24,FALSE),"N/A")</f>
        <v>NOT PUBLISHED</v>
      </c>
      <c r="CT27" s="80" t="str">
        <f>IFERROR(VLOOKUP($B27,'LOD 400 - COLO2'!$B:DQ,27,FALSE),"N/A")</f>
        <v>NOT PUBLISHED</v>
      </c>
      <c r="CU27" s="90" t="str">
        <f>IFERROR(VLOOKUP($B27,'LOD 400 - COLO2'!$B:AE,30,FALSE),"N/A")</f>
        <v>NOT PUBLISHED</v>
      </c>
      <c r="CV27" s="81" t="str">
        <f>IFERROR(VLOOKUP($B27,'LOD 400 - COLO2'!$B:AH,33,FALSE),"N/A")</f>
        <v>NEXT ROUND</v>
      </c>
      <c r="CW27" s="90">
        <f>IFERROR(VLOOKUP($B27,'LOD 400 - COLO2'!$B:AK,36,FALSE),"N/A")</f>
        <v>0.01</v>
      </c>
      <c r="CX27" s="85" t="str">
        <f>IFERROR(VLOOKUP($B27,'LOD 400 - COLO2'!$B:AN,39,FALSE),"N/A")</f>
        <v>OUTDATED</v>
      </c>
      <c r="CY27" s="88" t="str">
        <f>IFERROR(VLOOKUP($B27,'LOD 400 - COLO2'!$B:AQ,42,FALSE),"N/A")</f>
        <v>OUTDATED</v>
      </c>
      <c r="CZ27" s="84" t="str">
        <f>IFERROR(VLOOKUP($B27,'LOD 400 - COLO2'!$B:AT,45,FALSE),"N/A")</f>
        <v>OUTDATED</v>
      </c>
      <c r="DA27" s="85" t="str">
        <f>IFERROR(VLOOKUP($B27,'LOD 400 - COLO2'!$B:AW,48,FALSE),"N/A")</f>
        <v>OUTDATED</v>
      </c>
      <c r="DB27" s="84" t="str">
        <f>IFERROR(VLOOKUP($B27,'LOD 400 - COLO2'!$B:AZ,51,FALSE),"N/A")</f>
        <v>OUTDATED</v>
      </c>
      <c r="DC27" s="84" t="str">
        <f>IFERROR(VLOOKUP($B27,'LOD 400 - COLO2'!$B:BC,54,FALSE),"N/A")</f>
        <v>OUTDATED</v>
      </c>
      <c r="DD27" s="84" t="str">
        <f>IFERROR(VLOOKUP($B27,'LOD 400 - COLO2'!$B:BF,57,FALSE),"N/A")</f>
        <v>OUTDATED</v>
      </c>
      <c r="DE27" s="84" t="str">
        <f>IFERROR(VLOOKUP($B27,'LOD 400 - COLO2'!$B:BI,60,FALSE),"N/A")</f>
        <v>IMPROPER</v>
      </c>
      <c r="DF27" s="84" t="str">
        <f>IFERROR(VLOOKUP($B27,'LOD 400 - COLO2'!$B:BL,63,FALSE),"N/A")</f>
        <v>OUTDATED</v>
      </c>
      <c r="DG27" s="84" t="str">
        <f>IFERROR(VLOOKUP($B27,'LOD 400 - COLO2'!$B:BO,66,FALSE),"N/A")</f>
        <v>OUTDATED</v>
      </c>
      <c r="DH27" s="84" t="str">
        <f>IFERROR(VLOOKUP($B27,'LOD 400 - COLO2'!$B:BR,69,FALSE),"N/A")</f>
        <v>NEXT ROUND</v>
      </c>
      <c r="DI27" s="84">
        <f>IFERROR(VLOOKUP($B27,'LOD 400 - COLO2'!$B:BU,72,FALSE),"N/A")</f>
        <v>0.01</v>
      </c>
      <c r="DJ27" s="84" t="str">
        <f>IFERROR(VLOOKUP($B27,'LOD 400 - COLO2'!$B:BX,75,FALSE),"N/A")</f>
        <v>OUTDATED</v>
      </c>
      <c r="DK27" s="84" t="str">
        <f>IFERROR(VLOOKUP($B27,'LOD 400 - COLO2'!$B:CA,78,FALSE),"N/A")</f>
        <v>OUTDATED</v>
      </c>
      <c r="DL27" s="84" t="str">
        <f>IFERROR(VLOOKUP($B27,'LOD 400 - COLO2'!$B:CD,81,FALSE),"N/A")</f>
        <v>OUTDATED</v>
      </c>
      <c r="DM27" s="85" t="str">
        <f>IFERROR(VLOOKUP($B27,'LOD 400 - COLO2'!$B:CG,84,FALSE),"N/A")</f>
        <v>NEXT ROUND</v>
      </c>
      <c r="DN27" s="84" t="str">
        <f>IFERROR(VLOOKUP($B27,'LOD 400 - COLO2'!$B:CJ,87,FALSE),"N/A")</f>
        <v>IMPROPER</v>
      </c>
      <c r="DO27" s="85" t="str">
        <f>IFERROR(VLOOKUP($B27,'LOD 400 - COLO2'!$B:CM,90,FALSE),"N/A")</f>
        <v>OUTDATED</v>
      </c>
      <c r="DP27" s="84" t="str">
        <f>IFERROR(VLOOKUP($B27,'LOD 400 - COLO2'!$B:CP,93,FALSE),"N/A")</f>
        <v>NEXT ROUND</v>
      </c>
      <c r="DQ27" s="84" t="str">
        <f>IFERROR(VLOOKUP($B27,'LOD 400 - COLO2'!$B:CS,96,FALSE),"N/A")</f>
        <v>IMPROPER</v>
      </c>
      <c r="DR27" s="84" t="str">
        <f>IFERROR(VLOOKUP($B27,'LOD 400 - COLO2'!$B:CV,99,FALSE),"N/A")</f>
        <v>NEXT ROUND</v>
      </c>
      <c r="DS27" s="84" t="str">
        <f>IFERROR(VLOOKUP($B27,'LOD 400 - COLO2'!$B:CY,102,FALSE),"N/A")</f>
        <v>IMPROPER</v>
      </c>
      <c r="DT27" s="84" t="str">
        <f>IFERROR(VLOOKUP($B27,'LOD 400 - COLO2'!$B:DB,105,FALSE),"N/A")</f>
        <v>OUTDATED</v>
      </c>
      <c r="DU27" s="84" t="str">
        <f>IFERROR(VLOOKUP($B27,'LOD 400 - COLO2'!$B:DE,108,FALSE),"N/A")</f>
        <v>OUTDATED</v>
      </c>
      <c r="DV27" s="84" t="str">
        <f>IFERROR(VLOOKUP($B27,'LOD 400 - COLO2'!$B:DH,111,FALSE),"N/A")</f>
        <v>OUTDATED</v>
      </c>
      <c r="DW27" s="84" t="str">
        <f>IFERROR(VLOOKUP($B27,'LOD 400 - COLO2'!$B:DK,114,FALSE),"N/A")</f>
        <v>OUTDATED</v>
      </c>
      <c r="DX27" s="84" t="str">
        <f>IFERROR(VLOOKUP($B27,'LOD 400 - COLO2'!$B:DN,117,FALSE),"N/A")</f>
        <v>OUTDATED</v>
      </c>
      <c r="DY27" s="91">
        <f>IFERROR(__xludf.DUMMYFUNCTION("IFERROR(
  MAX(FILTER(CQ27:DW27, ISNUMBER(CQ27:DW27))),
  DW27
)"),0.01)</f>
        <v>0.01</v>
      </c>
      <c r="DZ27" s="92">
        <f>IFERROR(VLOOKUP($B27,'LOD 400 - COLO3'!B:S,18,FALSE),"N/A")</f>
        <v>0</v>
      </c>
      <c r="EA27" s="84">
        <f>IFERROR(VLOOKUP($B27,'LOD 400 - COLO3'!B:V,21,FALSE),"N/A")</f>
        <v>0</v>
      </c>
      <c r="EB27" s="84">
        <f>IFERROR(VLOOKUP($B27,'LOD 400 - COLO3'!B:Y,24,FALSE),"N/A")</f>
        <v>0.01</v>
      </c>
      <c r="EC27" s="84">
        <f>IFERROR(VLOOKUP($B27,'LOD 400 - COLO3'!B:AB,27,FALSE),"N/A")</f>
        <v>0.01</v>
      </c>
      <c r="ED27" s="85" t="str">
        <f>IFERROR(VLOOKUP($B27,'LOD 400 - COLO3'!B:AE,30,FALSE),"N/A")</f>
        <v>NEXT ROUND</v>
      </c>
      <c r="EE27" s="84" t="str">
        <f>IFERROR(VLOOKUP($B27,'LOD 400 - COLO3'!B:AH,33,FALSE),"N/A")</f>
        <v>IMPROPER</v>
      </c>
      <c r="EF27" s="84" t="str">
        <f>IFERROR(VLOOKUP($B27,'LOD 400 - COLO3'!B:AK,36,FALSE),"N/A")</f>
        <v>OUTDATED</v>
      </c>
      <c r="EG27" s="109" t="str">
        <f>IFERROR(VLOOKUP($B27,'LOD 400 - COLO3'!B:AN,39,FALSE),"N/A")</f>
        <v>NEXT ROUND</v>
      </c>
      <c r="EH27" s="94" t="str">
        <f>IFERROR(VLOOKUP($B27,'LOD 400 - COLO3'!B:AQ,42,FALSE),"N/A")</f>
        <v>IMPROPER</v>
      </c>
      <c r="EI27" s="94" t="str">
        <f>IFERROR(VLOOKUP($B27,'LOD 400 - COLO3'!B:AT,45,FALSE),"N/A")</f>
        <v>NEXT ROUND</v>
      </c>
      <c r="EJ27" s="94" t="str">
        <f>IFERROR(VLOOKUP($B27,'LOD 400 - COLO3'!B:AW,48,FALSE),"N/A")</f>
        <v>IMPROPER</v>
      </c>
      <c r="EK27" s="94" t="str">
        <f>IFERROR(VLOOKUP($B27,'LOD 400 - COLO3'!B:AZ,51,FALSE),"N/A")</f>
        <v>OUTDATED</v>
      </c>
      <c r="EL27" s="94" t="str">
        <f>IFERROR(VLOOKUP($B27,'LOD 400 - COLO3'!B:BC,54,FALSE),"N/A")</f>
        <v>OUTDATED</v>
      </c>
      <c r="EM27" s="94" t="str">
        <f>IFERROR(VLOOKUP($B27,'LOD 400 - COLO3'!B:BF,57,FALSE),"N/A")</f>
        <v>OUTDATED</v>
      </c>
      <c r="EN27" s="94" t="str">
        <f>IFERROR(VLOOKUP($B27,'LOD 400 - COLO3'!B:BI,60,FALSE),"N/A")</f>
        <v>OUTDATED</v>
      </c>
      <c r="EO27" s="94" t="str">
        <f>IFERROR(VLOOKUP($B27,'LOD 400 - COLO3'!B:BL,63,FALSE),"N/A")</f>
        <v>OUTDATED</v>
      </c>
      <c r="EP27" s="86">
        <f>IFERROR(__xludf.DUMMYFUNCTION("IFERROR(
  MAX(FILTER(DZ27:EO27, ISNUMBER(DZ27:EO27))),
  EO27
)"),0.01)</f>
        <v>0.01</v>
      </c>
      <c r="EQ27" s="95">
        <f>IFERROR(VLOOKUP($B27,'LOD 400 - COLO4'!B:S,18,FALSE),"N/A")</f>
        <v>0</v>
      </c>
      <c r="ER27" s="96">
        <f>IFERROR(__xludf.DUMMYFUNCTION("IFERROR(
  MAX(FILTER(EQ27, ISNUMBER(EQ27))),
  EQ27
)"),0.0)</f>
        <v>0</v>
      </c>
      <c r="ES27" s="79" t="str">
        <f>IFERROR(VLOOKUP($B27,'LOD 400 - SITE'!B:S,18,FALSE),"N/A")</f>
        <v>N/A</v>
      </c>
      <c r="ET27" s="80" t="str">
        <f>IFERROR(VLOOKUP($B27,'LOD 400 - SITE'!B:V,21,FALSE),"N/A")</f>
        <v>N/A</v>
      </c>
      <c r="EU27" s="97" t="str">
        <f>IFERROR(VLOOKUP($B27,'LOD 400 - SITE'!$B:Y,24,FALSE),"N/A")</f>
        <v>N/A</v>
      </c>
      <c r="EV27" s="80" t="str">
        <f>IFERROR(VLOOKUP($B27,'LOD 400 - SITE'!$B:AB,27,FALSE),"N/A")</f>
        <v>N/A</v>
      </c>
      <c r="EW27" s="81" t="str">
        <f>IFERROR(VLOOKUP($B27,'LOD 400 - SITE'!$B:AE,30,FALSE),"N/A")</f>
        <v>N/A</v>
      </c>
      <c r="EX27" s="87" t="str">
        <f>IFERROR(VLOOKUP($B27,'LOD 400 - SITE'!$B:AH,33,FALSE),"N/A")</f>
        <v>N/A</v>
      </c>
      <c r="EY27" s="87" t="str">
        <f>IFERROR(VLOOKUP($B27,'LOD 400 - SITE'!$B:AK,36,FALSE),"N/A")</f>
        <v>N/A</v>
      </c>
      <c r="EZ27" s="80" t="str">
        <f>IFERROR(VLOOKUP($B27,'LOD 400 - SITE'!$B:AN,39,FALSE),"N/A")</f>
        <v>N/A</v>
      </c>
      <c r="FA27" s="82" t="str">
        <f>IFERROR(VLOOKUP($B27,'LOD 400 - SITE'!$B:AQ,42,FALSE),"N/A")</f>
        <v>N/A</v>
      </c>
      <c r="FB27" s="88" t="str">
        <f>IFERROR(VLOOKUP($B27,'LOD 400 - SITE'!$B:AT,45,FALSE),"N/A")</f>
        <v>N/A</v>
      </c>
      <c r="FC27" s="84" t="str">
        <f>IFERROR(VLOOKUP($B27,'LOD 400 - SITE'!$B:AW,48,FALSE),"N/A")</f>
        <v>N/A</v>
      </c>
      <c r="FD27" s="84" t="str">
        <f>IFERROR(VLOOKUP($B27,'LOD 400 - SITE'!$B:AZ,51,FALSE),"N/A")</f>
        <v>N/A</v>
      </c>
      <c r="FE27" s="84" t="str">
        <f>IFERROR(VLOOKUP($B27,'LOD 400 - SITE'!$B:BC,54,FALSE),"N/A")</f>
        <v>N/A</v>
      </c>
      <c r="FF27" s="84" t="str">
        <f>IFERROR(VLOOKUP($B27,'LOD 400 - SITE'!$B:BF,57,FALSE),"N/A")</f>
        <v>N/A</v>
      </c>
      <c r="FG27" s="84" t="str">
        <f>IFERROR(VLOOKUP($B27,'LOD 400 - SITE'!$B:BI,60,FALSE),"N/A")</f>
        <v>N/A</v>
      </c>
      <c r="FH27" s="84" t="str">
        <f>IFERROR(VLOOKUP($B27,'LOD 400 - SITE'!$B:BL,63,FALSE),"N/A")</f>
        <v>N/A</v>
      </c>
      <c r="FI27" s="84" t="str">
        <f>IFERROR(VLOOKUP($B27,'LOD 400 - SITE'!$B:BO,66,FALSE),"N/A")</f>
        <v>N/A</v>
      </c>
      <c r="FJ27" s="84" t="str">
        <f>IFERROR(VLOOKUP($B27,'LOD 400 - SITE'!$B:BR,69,FALSE),"N/A")</f>
        <v>N/A</v>
      </c>
      <c r="FK27" s="84" t="str">
        <f>IFERROR(VLOOKUP($B27,'LOD 400 - SITE'!$B:BU,72,FALSE),"N/A")</f>
        <v>N/A</v>
      </c>
      <c r="FL27" s="84" t="str">
        <f>IFERROR(VLOOKUP($B27,'LOD 400 - SITE'!$B:BX,75,FALSE),"N/A")</f>
        <v>N/A</v>
      </c>
      <c r="FM27" s="84" t="str">
        <f>IFERROR(VLOOKUP($B27,'LOD 400 - SITE'!$B:CA,78,FALSE),"N/A")</f>
        <v>N/A</v>
      </c>
      <c r="FN27" s="85" t="str">
        <f>IFERROR(VLOOKUP($B27,'LOD 400 - SITE'!$B:CD,81,FALSE),"N/A")</f>
        <v>N/A</v>
      </c>
      <c r="FO27" s="84" t="str">
        <f>IFERROR(VLOOKUP($B27,'LOD 400 - SITE'!$B:CG,84,FALSE),"N/A")</f>
        <v>N/A</v>
      </c>
      <c r="FP27" s="85" t="str">
        <f>IFERROR(VLOOKUP($B27,'LOD 400 - SITE'!$B:CJ,87,FALSE),"N/A")</f>
        <v>N/A</v>
      </c>
      <c r="FQ27" s="84" t="str">
        <f>IFERROR(VLOOKUP($B27,'LOD 400 - SITE'!$B:CM,90,FALSE),"N/A")</f>
        <v>N/A</v>
      </c>
      <c r="FR27" s="84" t="str">
        <f>IFERROR(VLOOKUP($B27,'LOD 400 - SITE'!$B:CP,93,FALSE),"N/A")</f>
        <v>N/A</v>
      </c>
      <c r="FS27" s="84" t="str">
        <f>IFERROR(VLOOKUP($B27,'LOD 400 - SITE'!$B:CS,96,FALSE),"N/A")</f>
        <v>N/A</v>
      </c>
      <c r="FT27" s="84" t="str">
        <f>IFERROR(VLOOKUP($B27,'LOD 400 - SITE'!$B:CV,99,FALSE),"N/A")</f>
        <v>N/A</v>
      </c>
      <c r="FU27" s="84" t="str">
        <f>IFERROR(VLOOKUP($B27,'LOD 400 - SITE'!$B:CY,102,FALSE),"N/A")</f>
        <v>N/A</v>
      </c>
      <c r="FV27" s="84" t="str">
        <f>IFERROR(VLOOKUP($B27,'LOD 400 - SITE'!$B:DB,105,FALSE),"N/A")</f>
        <v>N/A</v>
      </c>
      <c r="FW27" s="84" t="str">
        <f>IFERROR(VLOOKUP($B27,'LOD 400 - SITE'!$B:DE,108,FALSE),"N/A")</f>
        <v>N/A</v>
      </c>
      <c r="FX27" s="84" t="str">
        <f>IFERROR(VLOOKUP($B27,'LOD 400 - SITE'!$B:DH,111,FALSE),"N/A")</f>
        <v>N/A</v>
      </c>
      <c r="FY27" s="84" t="str">
        <f>IFERROR(VLOOKUP($B27,'LOD 400 - SITE'!$B:DK,114,FALSE),"N/A")</f>
        <v>N/A</v>
      </c>
      <c r="FZ27" s="96" t="str">
        <f>IFERROR(__xludf.DUMMYFUNCTION("IFERROR(
  MAX(FILTER(ES27:FY27, ISNUMBER(ES27:FY27))),
  FY27
)"),"N/A")</f>
        <v>N/A</v>
      </c>
      <c r="GA27" s="80" t="str">
        <f>IFERROR(VLOOKUP($B27,'LOD 400 - UTLS'!B:S,18,FALSE),"N/A")</f>
        <v>N/A</v>
      </c>
      <c r="GB27" s="98" t="str">
        <f>IFERROR(VLOOKUP($B27,'LOD 400 - UTLS'!B:V,21,FALSE),"N/A")</f>
        <v>N/A</v>
      </c>
      <c r="GC27" s="81" t="str">
        <f>IFERROR(VLOOKUP($B27,'LOD 400 - UTLS'!B:Y,24,FALSE),"N/A")</f>
        <v>N/A</v>
      </c>
      <c r="GD27" s="87" t="str">
        <f>IFERROR(VLOOKUP($B27,'LOD 400 - UTLS'!$B:AB,27,FALSE),"N/A")</f>
        <v>N/A</v>
      </c>
      <c r="GE27" s="80" t="str">
        <f>IFERROR(VLOOKUP($B27,'LOD 400 - UTLS'!$B:AE,30,FALSE),"N/A")</f>
        <v>N/A</v>
      </c>
      <c r="GF27" s="82" t="str">
        <f>IFERROR(VLOOKUP($B27,'LOD 400 - UTLS'!$B:AH,33,FALSE),"N/A")</f>
        <v>N/A</v>
      </c>
      <c r="GG27" s="88" t="str">
        <f>IFERROR(VLOOKUP($B27,'LOD 400 - UTLS'!$B:AK,36,FALSE),"N/A")</f>
        <v>N/A</v>
      </c>
      <c r="GH27" s="84" t="str">
        <f>IFERROR(VLOOKUP($B27,'LOD 400 - UTLS'!$B:AN,39,FALSE),"N/A")</f>
        <v>N/A</v>
      </c>
      <c r="GI27" s="84" t="str">
        <f>IFERROR(VLOOKUP($B27,'LOD 400 - UTLS'!$B:AQ,42,FALSE),"N/A")</f>
        <v>N/A</v>
      </c>
      <c r="GJ27" s="84" t="str">
        <f>IFERROR(VLOOKUP($B27,'LOD 400 - UTLS'!$B:AT,45,FALSE),"N/A")</f>
        <v>N/A</v>
      </c>
      <c r="GK27" s="84" t="str">
        <f>IFERROR(VLOOKUP($B27,'LOD 400 - UTLS'!$B:AW,48,FALSE),"N/A")</f>
        <v>N/A</v>
      </c>
      <c r="GL27" s="84" t="str">
        <f>IFERROR(VLOOKUP($B27,'LOD 400 - UTLS'!$B:AZ,51,FALSE),"N/A")</f>
        <v>N/A</v>
      </c>
      <c r="GM27" s="84" t="str">
        <f>IFERROR(VLOOKUP($B27,'LOD 400 - UTLS'!$B:BC,54,FALSE),"N/A")</f>
        <v>N/A</v>
      </c>
      <c r="GN27" s="84" t="str">
        <f>IFERROR(VLOOKUP($B27,'LOD 400 - UTLS'!$B:BF,57,FALSE),"N/A")</f>
        <v>N/A</v>
      </c>
      <c r="GO27" s="84" t="str">
        <f>IFERROR(VLOOKUP($B27,'LOD 400 - UTLS'!$B:BI,60,FALSE),"N/A")</f>
        <v>N/A</v>
      </c>
      <c r="GP27" s="84" t="str">
        <f>IFERROR(VLOOKUP($B27,'LOD 400 - UTLS'!$B:BL,63,FALSE),"N/A")</f>
        <v>N/A</v>
      </c>
      <c r="GQ27" s="84" t="str">
        <f>IFERROR(VLOOKUP($B27,'LOD 400 - UTLS'!$B:BO,66,FALSE),"N/A")</f>
        <v>N/A</v>
      </c>
      <c r="GR27" s="84" t="str">
        <f>IFERROR(VLOOKUP($B27,'LOD 400 - UTLS'!$B:BR,69,FALSE),"N/A")</f>
        <v>N/A</v>
      </c>
      <c r="GS27" s="85" t="str">
        <f>IFERROR(VLOOKUP($B27,'LOD 400 - UTLS'!$B:BU,72,FALSE),"N/A")</f>
        <v>N/A</v>
      </c>
      <c r="GT27" s="84" t="str">
        <f>IFERROR(VLOOKUP($B27,'LOD 400 - UTLS'!$B:BX,75,FALSE),"N/A")</f>
        <v>N/A</v>
      </c>
      <c r="GU27" s="85" t="str">
        <f>IFERROR(VLOOKUP($B27,'LOD 400 - UTLS'!$B:CA,78,FALSE),"N/A")</f>
        <v>N/A</v>
      </c>
      <c r="GV27" s="84" t="str">
        <f>IFERROR(VLOOKUP($B27,'LOD 400 - UTLS'!$B:CD,81,FALSE),"N/A")</f>
        <v>N/A</v>
      </c>
      <c r="GW27" s="84" t="str">
        <f>IFERROR(VLOOKUP($B27,'LOD 400 - UTLS'!$B:CG,84,FALSE),"N/A")</f>
        <v>N/A</v>
      </c>
      <c r="GX27" s="84" t="str">
        <f>IFERROR(VLOOKUP($B27,'LOD 400 - UTLS'!$B:CJ,87,FALSE),"N/A")</f>
        <v>N/A</v>
      </c>
      <c r="GY27" s="84" t="str">
        <f>IFERROR(VLOOKUP($B27,'LOD 400 - UTLS'!$B:CM,90,FALSE),"N/A")</f>
        <v>N/A</v>
      </c>
      <c r="GZ27" s="84" t="str">
        <f>IFERROR(VLOOKUP($B27,'LOD 400 - UTLS'!$B:CP,93,FALSE),"N/A")</f>
        <v>N/A</v>
      </c>
      <c r="HA27" s="84" t="str">
        <f>IFERROR(VLOOKUP($B27,'LOD 400 - UTLS'!$B:CS,96,FALSE),"N/A")</f>
        <v>N/A</v>
      </c>
      <c r="HB27" s="84" t="str">
        <f>IFERROR(VLOOKUP($B27,'LOD 400 - UTLS'!$B:CV,99,FALSE),"N/A")</f>
        <v>N/A</v>
      </c>
      <c r="HC27" s="84" t="str">
        <f>IFERROR(VLOOKUP($B27,'LOD 400 - UTLS'!$B:CY,102,FALSE),"N/A")</f>
        <v>N/A</v>
      </c>
      <c r="HD27" s="84" t="str">
        <f>IFERROR(VLOOKUP($B27,'LOD 400 - UTLS'!$B:DB,105,FALSE),"N/A")</f>
        <v>N/A</v>
      </c>
      <c r="HE27" s="96" t="str">
        <f>IFERROR(__xludf.DUMMYFUNCTION("IFERROR(
  MAX(FILTER(GA27:HD27, ISNUMBER(GA27:HD27))),
  HD27
)"),"N/A")</f>
        <v>N/A</v>
      </c>
      <c r="HG27" s="99"/>
      <c r="HH27" s="99"/>
      <c r="HI27" s="99"/>
      <c r="HJ27" s="99"/>
      <c r="HK27" s="99"/>
    </row>
    <row r="28" ht="15.0" customHeight="1" outlineLevel="1">
      <c r="A28" s="53">
        <v>31.0</v>
      </c>
      <c r="B28" s="100" t="s">
        <v>143</v>
      </c>
      <c r="C28" s="100" t="s">
        <v>144</v>
      </c>
      <c r="D28" s="64" t="str">
        <f t="shared" si="1"/>
        <v>SITE</v>
      </c>
      <c r="E28" s="111" t="s">
        <v>141</v>
      </c>
      <c r="F28" s="115">
        <v>0.0</v>
      </c>
      <c r="G28" s="121" t="s">
        <v>142</v>
      </c>
      <c r="H28" s="116"/>
      <c r="I28" s="68" t="str">
        <f>IFERROR(VLOOKUP($C25:C108,'R22 RELATÓRIO ACC'!B:F,5,FALSE),"NOT PUBLISHED")</f>
        <v>V2</v>
      </c>
      <c r="J28" s="69" t="str">
        <f>IFERROR(VLOOKUP($C25:C108,'R22 RELATÓRIO ACC'!B:P,15,FALSE),"NOT PUBLISHED")</f>
        <v>29/04/2026</v>
      </c>
      <c r="K28" s="70" t="str">
        <f>IFERROR(VLOOKUP($B25:B108,'RELATÓRIO ACC'!B:F,5,FALSE),"NOT PUBLISHED")</f>
        <v>V1</v>
      </c>
      <c r="L28" s="71" t="str">
        <f>IFERROR(VLOOKUP($B25:B108,'RELATÓRIO ACC'!B:P,15,FALSE),"NOT PUBLISHED")</f>
        <v>12/06/2026</v>
      </c>
      <c r="M28" s="72" t="str">
        <f>IF(OR($D28="UTLS",$D28="GUAR",$D28="STIR",$D28="PUMP",$D28="SITE"),
   VLOOKUP($B28,'LOD 400 - SITE'!B:M,12,FALSE),
   VLOOKUP($B28,'LOD 400 - ADMN'!B:M,12,FALSE)
)</f>
        <v>V1</v>
      </c>
      <c r="N28" s="105">
        <f>IF(OR($D28="UTLS",$D28="GUAR",$D28="STIR",$D28="PUMP",$D28="SITE"),
   VLOOKUP($B28,'LOD 400 - SITE'!B:N,13,FALSE),
   VLOOKUP($B28,'LOD 400 - ADMN'!B:N,13,FALSE)
)</f>
        <v>46185</v>
      </c>
      <c r="O28" s="106" t="str">
        <f>IF(OR($D28="UTLS",$D28="GUAR",$D28="STIR",$D28="PUMP",$D28="SITE"),
   VLOOKUP($B28,'LOD 400 - SITE'!B:O,14,FALSE),
   VLOOKUP($B28,'LOD 400 - ADMN'!B:O,14,FALSE)
)</f>
        <v>R24</v>
      </c>
      <c r="P28" s="107" t="str">
        <f>IF(OR($D28="C345",$D28="C12A",$D28="DATA"),
   VLOOKUP($B28,'LOD 400 - COLO3'!B:M,12,FALSE),"N/A")</f>
        <v>N/A</v>
      </c>
      <c r="Q28" s="108" t="str">
        <f>IF(OR($D28="C345",$D28="C12A",$D28="DATA"),
   VLOOKUP($B28,'LOD 400 - COLO3'!B:N,13,FALSE),"N/A")</f>
        <v>N/A</v>
      </c>
      <c r="R28" s="75" t="str">
        <f>IF(OR($D28="C345",$D28="C12A",$D28="DATA"),
   VLOOKUP($B28,'LOD 400 - COLO3'!B:O,14,FALSE),"N/A")</f>
        <v>N/A</v>
      </c>
      <c r="S28" s="76" t="str">
        <f>IF(OR($D28="C345",$D28="C12A",$D28="DATA"),
   VLOOKUP($B28,'LOD 400 - COLO4'!B:N,12,FALSE),"N/A")</f>
        <v>N/A</v>
      </c>
      <c r="T28" s="76" t="str">
        <f>IF(OR($D28="C345",$D28="C12A",$D28="DATA"),
   VLOOKUP($B28,'LOD 400 - COLO4'!B:N,13,FALSE),"N/A")</f>
        <v>N/A</v>
      </c>
      <c r="U28" s="76" t="str">
        <f>IF(OR($D28="C345",$D28="C12A",$D28="DATA"),
   VLOOKUP($B28,'LOD 400 - COLO4'!B:N,13,FALSE),"N/A")</f>
        <v>N/A</v>
      </c>
      <c r="V28" s="77" t="str">
        <f>IF(OR($D28="UTLS",$D28="GUAR",$D28="STIR",$D28="PUMP",$D28="SITE"),
   VLOOKUP($B28,'LOD 400 - UTLS'!B:M,12,FALSE),"N/A")</f>
        <v>V1</v>
      </c>
      <c r="W28" s="78">
        <f>IF(OR($D28="UTLS",$D28="GUAR",$D28="STIR",$D28="PUMP",$D28="SITE"),
   VLOOKUP($B28,'LOD 400 - UTLS'!B:N,13,FALSE),"N/A")</f>
        <v>46185</v>
      </c>
      <c r="X28" s="108" t="str">
        <f>IF(OR($D28="UTLS",$D28="GUAR",$D28="STIR",$D28="PUMP",$D28="SITE"),
   VLOOKUP($B28,'LOD 400 - UTLS'!B:O,14,FALSE),"N/A")</f>
        <v>R24</v>
      </c>
      <c r="Y28" s="79" t="str">
        <f>IFERROR(VLOOKUP($B28,'LOD 400 - ADMN'!B:S,18,FALSE),"N/A")</f>
        <v>N/A</v>
      </c>
      <c r="Z28" s="79" t="str">
        <f>IFERROR(VLOOKUP($B28,'LOD 400 - ADMN'!B:V,21,FALSE),"N/A")</f>
        <v>N/A</v>
      </c>
      <c r="AA28" s="79" t="str">
        <f>IFERROR(VLOOKUP($B28,'LOD 400 - ADMN'!$B:Y,24,FALSE),"N/A")</f>
        <v>N/A</v>
      </c>
      <c r="AB28" s="80" t="str">
        <f>IFERROR(VLOOKUP($B28,'LOD 400 - ADMN'!$B:AB,27,FALSE),"N/A")</f>
        <v>N/A</v>
      </c>
      <c r="AC28" s="81" t="str">
        <f>IFERROR(VLOOKUP($B28,'LOD 400 - ADMN'!$B:AE,30,FALSE),"N/A")</f>
        <v>N/A</v>
      </c>
      <c r="AD28" s="81" t="str">
        <f>IFERROR(VLOOKUP($B28,'LOD 400 - ADMN'!$B:AH,33,FALSE),"N/A")</f>
        <v>N/A</v>
      </c>
      <c r="AE28" s="80" t="str">
        <f>IFERROR(VLOOKUP($B28,'LOD 400 - ADMN'!$B:AK,36,FALSE),"N/A")</f>
        <v>N/A</v>
      </c>
      <c r="AF28" s="82" t="str">
        <f>IFERROR(VLOOKUP($B28,'LOD 400 - ADMN'!$B:AN,39,FALSE),"N/A")</f>
        <v>N/A</v>
      </c>
      <c r="AG28" s="83" t="str">
        <f>IFERROR(VLOOKUP($B28,'LOD 400 - ADMN'!$B:AQ,42,FALSE),"N/A")</f>
        <v>N/A</v>
      </c>
      <c r="AH28" s="84" t="str">
        <f>IFERROR(VLOOKUP($B28,'LOD 400 - ADMN'!$B:AT,45,FALSE),"N/A")</f>
        <v>N/A</v>
      </c>
      <c r="AI28" s="85" t="str">
        <f>IFERROR(VLOOKUP($B28,'LOD 400 - ADMN'!$B:AW,48,FALSE),"N/A")</f>
        <v>N/A</v>
      </c>
      <c r="AJ28" s="85" t="str">
        <f>IFERROR(VLOOKUP($B28,'LOD 400 - ADMN'!$B:AZ,51,FALSE),"N/A")</f>
        <v>N/A</v>
      </c>
      <c r="AK28" s="84" t="str">
        <f>IFERROR(VLOOKUP($B28,'LOD 400 - ADMN'!$B:BC,54,FALSE),"N/A")</f>
        <v>N/A</v>
      </c>
      <c r="AL28" s="84" t="str">
        <f>IFERROR(VLOOKUP($B28,'LOD 400 - ADMN'!$B:BF,57,FALSE),"N/A")</f>
        <v>N/A</v>
      </c>
      <c r="AM28" s="84" t="str">
        <f>IFERROR(VLOOKUP($B28,'LOD 400 - ADMN'!$B:BI,60,FALSE),"N/A")</f>
        <v>N/A</v>
      </c>
      <c r="AN28" s="84" t="str">
        <f>IFERROR(VLOOKUP($B28,'LOD 400 - ADMN'!$B:BL,63,FALSE),"N/A")</f>
        <v>N/A</v>
      </c>
      <c r="AO28" s="84" t="str">
        <f>IFERROR(VLOOKUP($B28,'LOD 400 - ADMN'!$B:BO,66,FALSE),"N/A")</f>
        <v>N/A</v>
      </c>
      <c r="AP28" s="84" t="str">
        <f>IFERROR(VLOOKUP($B28,'LOD 400 - ADMN'!$B:BR,69,FALSE),"N/A")</f>
        <v>N/A</v>
      </c>
      <c r="AQ28" s="84" t="str">
        <f>IFERROR(VLOOKUP($B28,'LOD 400 - ADMN'!$B:BU,72,FALSE),"N/A")</f>
        <v>N/A</v>
      </c>
      <c r="AR28" s="84" t="str">
        <f>IFERROR(VLOOKUP($B28,'LOD 400 - ADMN'!$B:BX,75,FALSE),"N/A")</f>
        <v>N/A</v>
      </c>
      <c r="AS28" s="84" t="str">
        <f>IFERROR(VLOOKUP($B28,'LOD 400 - ADMN'!$B:CA,78,FALSE),"N/A")</f>
        <v>N/A</v>
      </c>
      <c r="AT28" s="84" t="str">
        <f>IFERROR(VLOOKUP($B28,'LOD 400 - ADMN'!$B:CD,81,FALSE),"N/A")</f>
        <v>N/A</v>
      </c>
      <c r="AU28" s="85" t="str">
        <f>IFERROR(VLOOKUP($B28,'LOD 400 - ADMN'!$B:CG,84,FALSE),"N/A")</f>
        <v>N/A</v>
      </c>
      <c r="AV28" s="84" t="str">
        <f>IFERROR(VLOOKUP($B28,'LOD 400 - ADMN'!$B:CJ,87,FALSE),"N/A")</f>
        <v>N/A</v>
      </c>
      <c r="AW28" s="85" t="str">
        <f>IFERROR(VLOOKUP($B28,'LOD 400 - ADMN'!$B:CM,90,FALSE),"N/A")</f>
        <v>N/A</v>
      </c>
      <c r="AX28" s="84" t="str">
        <f>IFERROR(VLOOKUP($B28,'LOD 400 - ADMN'!$B:CP,93,FALSE),"N/A")</f>
        <v>N/A</v>
      </c>
      <c r="AY28" s="84" t="str">
        <f>IFERROR(VLOOKUP($B28,'LOD 400 - ADMN'!$B:CS,96,FALSE),"N/A")</f>
        <v>N/A</v>
      </c>
      <c r="AZ28" s="84" t="str">
        <f>IFERROR(VLOOKUP($B28,'LOD 400 - ADMN'!$B:CV,99,FALSE),"N/A")</f>
        <v>N/A</v>
      </c>
      <c r="BA28" s="84" t="str">
        <f>IFERROR(VLOOKUP($B28,'LOD 400 - ADMN'!$B:CY,102,FALSE),"N/A")</f>
        <v>N/A</v>
      </c>
      <c r="BB28" s="84" t="str">
        <f>IFERROR(VLOOKUP($B28,'LOD 400 - ADMN'!$B:DB,105,FALSE),"N/A")</f>
        <v>N/A</v>
      </c>
      <c r="BC28" s="84" t="str">
        <f>IFERROR(VLOOKUP($B28,'LOD 400 - ADMN'!$B:DE,108,FALSE),"N/A")</f>
        <v>N/A</v>
      </c>
      <c r="BD28" s="84" t="str">
        <f>IFERROR(VLOOKUP($B28,'LOD 400 - ADMN'!$B:DH,111,FALSE),"N/A")</f>
        <v>N/A</v>
      </c>
      <c r="BE28" s="84" t="str">
        <f>IFERROR(VLOOKUP($B28,'LOD 400 - ADMN'!$B:DK,114,FALSE),"N/A")</f>
        <v>N/A</v>
      </c>
      <c r="BF28" s="84" t="str">
        <f>IFERROR(VLOOKUP($B28,'LOD 400 - ADMN'!$B:DN,117,FALSE),"N/A")</f>
        <v>N/A</v>
      </c>
      <c r="BG28" s="86" t="str">
        <f>IFERROR(__xludf.DUMMYFUNCTION("IFERROR(
  MAX(FILTER(Y28:BF28, ISNUMBER(Y28:BF28))),
  BF28
)"),"N/A")</f>
        <v>N/A</v>
      </c>
      <c r="BH28" s="79" t="str">
        <f>IFERROR(VLOOKUP($B28,'LOD 400 - COLO1'!B:S,18,FALSE),"N/A")</f>
        <v>N/A</v>
      </c>
      <c r="BI28" s="79" t="str">
        <f>IFERROR(VLOOKUP($B28,'LOD 400 - COLO1'!B:V,21,FALSE),"N/A")</f>
        <v>N/A</v>
      </c>
      <c r="BJ28" s="79" t="str">
        <f>IFERROR(VLOOKUP($B28,'LOD 400 - COLO1'!$B:Y,24,FALSE),"N/A")</f>
        <v>N/A</v>
      </c>
      <c r="BK28" s="87" t="str">
        <f>IFERROR(VLOOKUP($B28,'LOD 400 - COLO1'!$B:AB,27,FALSE),"N/A")</f>
        <v>N/A</v>
      </c>
      <c r="BL28" s="80" t="str">
        <f>IFERROR(VLOOKUP($B28,'LOD 400 - COLO1'!$B:AE,30,FALSE),"N/A")</f>
        <v>N/A</v>
      </c>
      <c r="BM28" s="81" t="str">
        <f>IFERROR(VLOOKUP($B28,'LOD 400 - COLO1'!$B:AH,33,FALSE),"N/A")</f>
        <v>N/A</v>
      </c>
      <c r="BN28" s="87" t="str">
        <f>IFERROR(VLOOKUP($B28,'LOD 400 - COLO1'!$B:AK,36,FALSE),"N/A")</f>
        <v>N/A</v>
      </c>
      <c r="BO28" s="83" t="str">
        <f>IFERROR(VLOOKUP($B28,'LOD 400 - COLO1'!$B:AN,39,FALSE),"N/A")</f>
        <v>N/A</v>
      </c>
      <c r="BP28" s="88" t="str">
        <f>IFERROR(VLOOKUP($B28,'LOD 400 - COLO1'!$B:AQ,42,FALSE),"N/A")</f>
        <v>N/A</v>
      </c>
      <c r="BQ28" s="84" t="str">
        <f>IFERROR(VLOOKUP($B28,'LOD 400 - COLO1'!$B:AT,45,FALSE),"N/A")</f>
        <v>N/A</v>
      </c>
      <c r="BR28" s="85" t="str">
        <f>IFERROR(VLOOKUP($B28,'LOD 400 - COLO1'!$B:AW,48,FALSE),"N/A")</f>
        <v>N/A</v>
      </c>
      <c r="BS28" s="84" t="str">
        <f>IFERROR(VLOOKUP($B28,'LOD 400 - COLO1'!$B:AZ,51,FALSE),"N/A")</f>
        <v>N/A</v>
      </c>
      <c r="BT28" s="84" t="str">
        <f>IFERROR(VLOOKUP($B28,'LOD 400 - COLO1'!$B:BC,54,FALSE),"N/A")</f>
        <v>N/A</v>
      </c>
      <c r="BU28" s="84" t="str">
        <f>IFERROR(VLOOKUP($B28,'LOD 400 - COLO1'!$B:BF,57,FALSE),"N/A")</f>
        <v>N/A</v>
      </c>
      <c r="BV28" s="84" t="str">
        <f>IFERROR(VLOOKUP($B28,'LOD 400 - COLO1'!$B:BI,60,FALSE),"N/A")</f>
        <v>N/A</v>
      </c>
      <c r="BW28" s="84" t="str">
        <f>IFERROR(VLOOKUP($B28,'LOD 400 - COLO1'!$B:BL,63,FALSE),"N/A")</f>
        <v>N/A</v>
      </c>
      <c r="BX28" s="84" t="str">
        <f>IFERROR(VLOOKUP($B28,'LOD 400 - COLO1'!$B:BO,66,FALSE),"N/A")</f>
        <v>N/A</v>
      </c>
      <c r="BY28" s="84" t="str">
        <f>IFERROR(VLOOKUP($B28,'LOD 400 - COLO1'!$B:BR,69,FALSE),"N/A")</f>
        <v>N/A</v>
      </c>
      <c r="BZ28" s="84" t="str">
        <f>IFERROR(VLOOKUP($B28,'LOD 400 - COLO1'!$B:BU,72,FALSE),"N/A")</f>
        <v>N/A</v>
      </c>
      <c r="CA28" s="84" t="str">
        <f>IFERROR(VLOOKUP($B28,'LOD 400 - COLO1'!$B:BX,75,FALSE),"N/A")</f>
        <v>N/A</v>
      </c>
      <c r="CB28" s="84" t="str">
        <f>IFERROR(VLOOKUP($B28,'LOD 400 - COLO1'!$B:CA,78,FALSE),"N/A")</f>
        <v>N/A</v>
      </c>
      <c r="CC28" s="84" t="str">
        <f>IFERROR(VLOOKUP($B28,'LOD 400 - COLO1'!$B:CD,81,FALSE),"N/A")</f>
        <v>N/A</v>
      </c>
      <c r="CD28" s="85" t="str">
        <f>IFERROR(VLOOKUP($B28,'LOD 400 - COLO1'!$B:CG,84,FALSE),"N/A")</f>
        <v>N/A</v>
      </c>
      <c r="CE28" s="84" t="str">
        <f>IFERROR(VLOOKUP($B28,'LOD 400 - COLO1'!$B:CJ,87,FALSE),"N/A")</f>
        <v>N/A</v>
      </c>
      <c r="CF28" s="85" t="str">
        <f>IFERROR(VLOOKUP($B28,'LOD 400 - COLO1'!$B:CM,90,FALSE),"N/A")</f>
        <v>N/A</v>
      </c>
      <c r="CG28" s="84" t="str">
        <f>IFERROR(VLOOKUP($B28,'LOD 400 - COLO1'!$B:CP,93,FALSE),"N/A")</f>
        <v>N/A</v>
      </c>
      <c r="CH28" s="84" t="str">
        <f>IFERROR(VLOOKUP($B28,'LOD 400 - COLO1'!$B:CS,96,FALSE),"N/A")</f>
        <v>N/A</v>
      </c>
      <c r="CI28" s="84" t="str">
        <f>IFERROR(VLOOKUP($B28,'LOD 400 - COLO1'!$B:CV,99,FALSE),"N/A")</f>
        <v>N/A</v>
      </c>
      <c r="CJ28" s="84" t="str">
        <f>IFERROR(VLOOKUP($B28,'LOD 400 - COLO1'!$B:CY,102,FALSE),"N/A")</f>
        <v>N/A</v>
      </c>
      <c r="CK28" s="84" t="str">
        <f>IFERROR(VLOOKUP($B28,'LOD 400 - COLO1'!$B:DB,105,FALSE),"N/A")</f>
        <v>N/A</v>
      </c>
      <c r="CL28" s="84" t="str">
        <f>IFERROR(VLOOKUP($B28,'LOD 400 - COLO1'!$B:DE,108,FALSE),"N/A")</f>
        <v>N/A</v>
      </c>
      <c r="CM28" s="84" t="str">
        <f>IFERROR(VLOOKUP($B28,'LOD 400 - COLO1'!$B:DH,111,FALSE),"N/A")</f>
        <v>N/A</v>
      </c>
      <c r="CN28" s="84" t="str">
        <f>IFERROR(VLOOKUP($B28,'LOD 400 - COLO1'!$B:DK,114,FALSE),"N/A")</f>
        <v>N/A</v>
      </c>
      <c r="CO28" s="84" t="str">
        <f>IFERROR(VLOOKUP($B28,'LOD 400 - COLO1'!$B:DN,117,FALSE),"N/A")</f>
        <v>N/A</v>
      </c>
      <c r="CP28" s="86" t="str">
        <f>IFERROR(__xludf.DUMMYFUNCTION("IFERROR(
  MAX(FILTER(BH28:CO28, ISNUMBER(BH28:CO28))),
  CO28
)"),"N/A")</f>
        <v>N/A</v>
      </c>
      <c r="CQ28" s="89" t="str">
        <f>IFERROR(VLOOKUP($B28,'LOD 400 - COLO2'!B:S,18,FALSE),"N/A")</f>
        <v>N/A</v>
      </c>
      <c r="CR28" s="79" t="str">
        <f>IFERROR(VLOOKUP($B28,'LOD 400 - COLO2'!B:V,21,FALSE),"N/A")</f>
        <v>N/A</v>
      </c>
      <c r="CS28" s="79" t="str">
        <f>IFERROR(VLOOKUP($B28,'LOD 400 - COLO2'!$B:Y,24,FALSE),"N/A")</f>
        <v>N/A</v>
      </c>
      <c r="CT28" s="80" t="str">
        <f>IFERROR(VLOOKUP($B28,'LOD 400 - COLO2'!$B:DQ,27,FALSE),"N/A")</f>
        <v>N/A</v>
      </c>
      <c r="CU28" s="90" t="str">
        <f>IFERROR(VLOOKUP($B28,'LOD 400 - COLO2'!$B:AE,30,FALSE),"N/A")</f>
        <v>N/A</v>
      </c>
      <c r="CV28" s="81" t="str">
        <f>IFERROR(VLOOKUP($B28,'LOD 400 - COLO2'!$B:AH,33,FALSE),"N/A")</f>
        <v>N/A</v>
      </c>
      <c r="CW28" s="90" t="str">
        <f>IFERROR(VLOOKUP($B28,'LOD 400 - COLO2'!$B:AK,36,FALSE),"N/A")</f>
        <v>N/A</v>
      </c>
      <c r="CX28" s="85" t="str">
        <f>IFERROR(VLOOKUP($B28,'LOD 400 - COLO2'!$B:AN,39,FALSE),"N/A")</f>
        <v>N/A</v>
      </c>
      <c r="CY28" s="88" t="str">
        <f>IFERROR(VLOOKUP($B28,'LOD 400 - COLO2'!$B:AQ,42,FALSE),"N/A")</f>
        <v>N/A</v>
      </c>
      <c r="CZ28" s="84" t="str">
        <f>IFERROR(VLOOKUP($B28,'LOD 400 - COLO2'!$B:AT,45,FALSE),"N/A")</f>
        <v>N/A</v>
      </c>
      <c r="DA28" s="85" t="str">
        <f>IFERROR(VLOOKUP($B28,'LOD 400 - COLO2'!$B:AW,48,FALSE),"N/A")</f>
        <v>N/A</v>
      </c>
      <c r="DB28" s="84" t="str">
        <f>IFERROR(VLOOKUP($B28,'LOD 400 - COLO2'!$B:AZ,51,FALSE),"N/A")</f>
        <v>N/A</v>
      </c>
      <c r="DC28" s="84" t="str">
        <f>IFERROR(VLOOKUP($B28,'LOD 400 - COLO2'!$B:BC,54,FALSE),"N/A")</f>
        <v>N/A</v>
      </c>
      <c r="DD28" s="84" t="str">
        <f>IFERROR(VLOOKUP($B28,'LOD 400 - COLO2'!$B:BF,57,FALSE),"N/A")</f>
        <v>N/A</v>
      </c>
      <c r="DE28" s="84" t="str">
        <f>IFERROR(VLOOKUP($B28,'LOD 400 - COLO2'!$B:BI,60,FALSE),"N/A")</f>
        <v>N/A</v>
      </c>
      <c r="DF28" s="84" t="str">
        <f>IFERROR(VLOOKUP($B28,'LOD 400 - COLO2'!$B:BL,63,FALSE),"N/A")</f>
        <v>N/A</v>
      </c>
      <c r="DG28" s="84" t="str">
        <f>IFERROR(VLOOKUP($B28,'LOD 400 - COLO2'!$B:BO,66,FALSE),"N/A")</f>
        <v>N/A</v>
      </c>
      <c r="DH28" s="84" t="str">
        <f>IFERROR(VLOOKUP($B28,'LOD 400 - COLO2'!$B:BR,69,FALSE),"N/A")</f>
        <v>N/A</v>
      </c>
      <c r="DI28" s="84" t="str">
        <f>IFERROR(VLOOKUP($B28,'LOD 400 - COLO2'!$B:BU,72,FALSE),"N/A")</f>
        <v>N/A</v>
      </c>
      <c r="DJ28" s="84" t="str">
        <f>IFERROR(VLOOKUP($B28,'LOD 400 - COLO2'!$B:BX,75,FALSE),"N/A")</f>
        <v>N/A</v>
      </c>
      <c r="DK28" s="84" t="str">
        <f>IFERROR(VLOOKUP($B28,'LOD 400 - COLO2'!$B:CA,78,FALSE),"N/A")</f>
        <v>N/A</v>
      </c>
      <c r="DL28" s="84" t="str">
        <f>IFERROR(VLOOKUP($B28,'LOD 400 - COLO2'!$B:CD,81,FALSE),"N/A")</f>
        <v>N/A</v>
      </c>
      <c r="DM28" s="85" t="str">
        <f>IFERROR(VLOOKUP($B28,'LOD 400 - COLO2'!$B:CG,84,FALSE),"N/A")</f>
        <v>N/A</v>
      </c>
      <c r="DN28" s="84" t="str">
        <f>IFERROR(VLOOKUP($B28,'LOD 400 - COLO2'!$B:CJ,87,FALSE),"N/A")</f>
        <v>N/A</v>
      </c>
      <c r="DO28" s="85" t="str">
        <f>IFERROR(VLOOKUP($B28,'LOD 400 - COLO2'!$B:CM,90,FALSE),"N/A")</f>
        <v>N/A</v>
      </c>
      <c r="DP28" s="84" t="str">
        <f>IFERROR(VLOOKUP($B28,'LOD 400 - COLO2'!$B:CP,93,FALSE),"N/A")</f>
        <v>N/A</v>
      </c>
      <c r="DQ28" s="84" t="str">
        <f>IFERROR(VLOOKUP($B28,'LOD 400 - COLO2'!$B:CS,96,FALSE),"N/A")</f>
        <v>N/A</v>
      </c>
      <c r="DR28" s="84" t="str">
        <f>IFERROR(VLOOKUP($B28,'LOD 400 - COLO2'!$B:CV,99,FALSE),"N/A")</f>
        <v>N/A</v>
      </c>
      <c r="DS28" s="84" t="str">
        <f>IFERROR(VLOOKUP($B28,'LOD 400 - COLO2'!$B:CY,102,FALSE),"N/A")</f>
        <v>N/A</v>
      </c>
      <c r="DT28" s="84" t="str">
        <f>IFERROR(VLOOKUP($B28,'LOD 400 - COLO2'!$B:DB,105,FALSE),"N/A")</f>
        <v>N/A</v>
      </c>
      <c r="DU28" s="84" t="str">
        <f>IFERROR(VLOOKUP($B28,'LOD 400 - COLO2'!$B:DE,108,FALSE),"N/A")</f>
        <v>N/A</v>
      </c>
      <c r="DV28" s="84" t="str">
        <f>IFERROR(VLOOKUP($B28,'LOD 400 - COLO2'!$B:DH,111,FALSE),"N/A")</f>
        <v>N/A</v>
      </c>
      <c r="DW28" s="84" t="str">
        <f>IFERROR(VLOOKUP($B28,'LOD 400 - COLO2'!$B:DK,114,FALSE),"N/A")</f>
        <v>N/A</v>
      </c>
      <c r="DX28" s="84" t="str">
        <f>IFERROR(VLOOKUP($B28,'LOD 400 - COLO2'!$B:DN,117,FALSE),"N/A")</f>
        <v>N/A</v>
      </c>
      <c r="DY28" s="91" t="str">
        <f>IFERROR(__xludf.DUMMYFUNCTION("IFERROR(
  MAX(FILTER(CQ28:DW28, ISNUMBER(CQ28:DW28))),
  DW28
)"),"N/A")</f>
        <v>N/A</v>
      </c>
      <c r="DZ28" s="92" t="str">
        <f>IFERROR(VLOOKUP($B28,'LOD 400 - COLO3'!B:S,18,FALSE),"N/A")</f>
        <v>N/A</v>
      </c>
      <c r="EA28" s="84" t="str">
        <f>IFERROR(VLOOKUP($B28,'LOD 400 - COLO3'!B:V,21,FALSE),"N/A")</f>
        <v>N/A</v>
      </c>
      <c r="EB28" s="84" t="str">
        <f>IFERROR(VLOOKUP($B28,'LOD 400 - COLO3'!B:Y,24,FALSE),"N/A")</f>
        <v>N/A</v>
      </c>
      <c r="EC28" s="84" t="str">
        <f>IFERROR(VLOOKUP($B28,'LOD 400 - COLO3'!B:AB,27,FALSE),"N/A")</f>
        <v>N/A</v>
      </c>
      <c r="ED28" s="85" t="str">
        <f>IFERROR(VLOOKUP($B28,'LOD 400 - COLO3'!B:AE,30,FALSE),"N/A")</f>
        <v>N/A</v>
      </c>
      <c r="EE28" s="84" t="str">
        <f>IFERROR(VLOOKUP($B28,'LOD 400 - COLO3'!B:AH,33,FALSE),"N/A")</f>
        <v>N/A</v>
      </c>
      <c r="EF28" s="84" t="str">
        <f>IFERROR(VLOOKUP($B28,'LOD 400 - COLO3'!B:AK,36,FALSE),"N/A")</f>
        <v>N/A</v>
      </c>
      <c r="EG28" s="109" t="str">
        <f>IFERROR(VLOOKUP($B28,'LOD 400 - COLO3'!B:AN,39,FALSE),"N/A")</f>
        <v>N/A</v>
      </c>
      <c r="EH28" s="94" t="str">
        <f>IFERROR(VLOOKUP($B28,'LOD 400 - COLO3'!B:AQ,42,FALSE),"N/A")</f>
        <v>N/A</v>
      </c>
      <c r="EI28" s="94" t="str">
        <f>IFERROR(VLOOKUP($B28,'LOD 400 - COLO3'!B:AT,45,FALSE),"N/A")</f>
        <v>N/A</v>
      </c>
      <c r="EJ28" s="94" t="str">
        <f>IFERROR(VLOOKUP($B28,'LOD 400 - COLO3'!B:AW,48,FALSE),"N/A")</f>
        <v>N/A</v>
      </c>
      <c r="EK28" s="94" t="str">
        <f>IFERROR(VLOOKUP($B28,'LOD 400 - COLO3'!B:AZ,51,FALSE),"N/A")</f>
        <v>N/A</v>
      </c>
      <c r="EL28" s="94" t="str">
        <f>IFERROR(VLOOKUP($B28,'LOD 400 - COLO3'!B:BC,54,FALSE),"N/A")</f>
        <v>N/A</v>
      </c>
      <c r="EM28" s="94" t="str">
        <f>IFERROR(VLOOKUP($B28,'LOD 400 - COLO3'!B:BF,57,FALSE),"N/A")</f>
        <v>N/A</v>
      </c>
      <c r="EN28" s="94" t="str">
        <f>IFERROR(VLOOKUP($B28,'LOD 400 - COLO3'!B:BI,60,FALSE),"N/A")</f>
        <v>N/A</v>
      </c>
      <c r="EO28" s="94" t="str">
        <f>IFERROR(VLOOKUP($B28,'LOD 400 - COLO3'!B:BL,63,FALSE),"N/A")</f>
        <v>N/A</v>
      </c>
      <c r="EP28" s="86" t="str">
        <f>IFERROR(__xludf.DUMMYFUNCTION("IFERROR(
  MAX(FILTER(DZ28:EO28, ISNUMBER(DZ28:EO28))),
  EO28
)"),"N/A")</f>
        <v>N/A</v>
      </c>
      <c r="EQ28" s="95" t="str">
        <f>IFERROR(VLOOKUP($B28,'LOD 400 - COLO4'!B:S,18,FALSE),"N/A")</f>
        <v>N/A</v>
      </c>
      <c r="ER28" s="96" t="str">
        <f>IFERROR(__xludf.DUMMYFUNCTION("IFERROR(
  MAX(FILTER(EQ28, ISNUMBER(EQ28))),
  EQ28
)"),"N/A")</f>
        <v>N/A</v>
      </c>
      <c r="ES28" s="79" t="str">
        <f>IFERROR(VLOOKUP($B28,'LOD 400 - SITE'!B:S,18,FALSE),"N/A")</f>
        <v>NOT PUBLISHED</v>
      </c>
      <c r="ET28" s="80" t="str">
        <f>IFERROR(VLOOKUP($B28,'LOD 400 - SITE'!B:V,21,FALSE),"N/A")</f>
        <v>NOT PUBLISHED</v>
      </c>
      <c r="EU28" s="97" t="str">
        <f>IFERROR(VLOOKUP($B28,'LOD 400 - SITE'!$B:Y,24,FALSE),"N/A")</f>
        <v>NOT PUBLISHED</v>
      </c>
      <c r="EV28" s="80" t="str">
        <f>IFERROR(VLOOKUP($B28,'LOD 400 - SITE'!$B:AB,27,FALSE),"N/A")</f>
        <v>NOT PUBLISHED</v>
      </c>
      <c r="EW28" s="81" t="str">
        <f>IFERROR(VLOOKUP($B28,'LOD 400 - SITE'!$B:AE,30,FALSE),"N/A")</f>
        <v>NOT PUBLISHED</v>
      </c>
      <c r="EX28" s="87" t="str">
        <f>IFERROR(VLOOKUP($B28,'LOD 400 - SITE'!$B:AH,33,FALSE),"N/A")</f>
        <v>NEXT ROUND </v>
      </c>
      <c r="EY28" s="87">
        <f>IFERROR(VLOOKUP($B28,'LOD 400 - SITE'!$B:AK,36,FALSE),"N/A")</f>
        <v>0.01</v>
      </c>
      <c r="EZ28" s="80" t="str">
        <f>IFERROR(VLOOKUP($B28,'LOD 400 - SITE'!$B:AN,39,FALSE),"N/A")</f>
        <v>OUTDATED</v>
      </c>
      <c r="FA28" s="82" t="str">
        <f>IFERROR(VLOOKUP($B28,'LOD 400 - SITE'!$B:AQ,42,FALSE),"N/A")</f>
        <v>OUTDATED</v>
      </c>
      <c r="FB28" s="88" t="str">
        <f>IFERROR(VLOOKUP($B28,'LOD 400 - SITE'!$B:AT,45,FALSE),"N/A")</f>
        <v>OUTDATED</v>
      </c>
      <c r="FC28" s="84" t="str">
        <f>IFERROR(VLOOKUP($B28,'LOD 400 - SITE'!$B:AW,48,FALSE),"N/A")</f>
        <v>OUTDATED</v>
      </c>
      <c r="FD28" s="84" t="str">
        <f>IFERROR(VLOOKUP($B28,'LOD 400 - SITE'!$B:AZ,51,FALSE),"N/A")</f>
        <v>OUTDATED</v>
      </c>
      <c r="FE28" s="84" t="str">
        <f>IFERROR(VLOOKUP($B28,'LOD 400 - SITE'!$B:BC,54,FALSE),"N/A")</f>
        <v>OUTDATED</v>
      </c>
      <c r="FF28" s="84" t="str">
        <f>IFERROR(VLOOKUP($B28,'LOD 400 - SITE'!$B:BF,57,FALSE),"N/A")</f>
        <v>OUTDATED</v>
      </c>
      <c r="FG28" s="84" t="str">
        <f>IFERROR(VLOOKUP($B28,'LOD 400 - SITE'!$B:BI,60,FALSE),"N/A")</f>
        <v>OUTDATED</v>
      </c>
      <c r="FH28" s="84" t="str">
        <f>IFERROR(VLOOKUP($B28,'LOD 400 - SITE'!$B:BL,63,FALSE),"N/A")</f>
        <v>OUTDATED</v>
      </c>
      <c r="FI28" s="84" t="str">
        <f>IFERROR(VLOOKUP($B28,'LOD 400 - SITE'!$B:BO,66,FALSE),"N/A")</f>
        <v>OUTDATED</v>
      </c>
      <c r="FJ28" s="84" t="str">
        <f>IFERROR(VLOOKUP($B28,'LOD 400 - SITE'!$B:BR,69,FALSE),"N/A")</f>
        <v>OUTDATED</v>
      </c>
      <c r="FK28" s="84" t="str">
        <f>IFERROR(VLOOKUP($B28,'LOD 400 - SITE'!$B:BU,72,FALSE),"N/A")</f>
        <v>OUTDATED</v>
      </c>
      <c r="FL28" s="84" t="str">
        <f>IFERROR(VLOOKUP($B28,'LOD 400 - SITE'!$B:BX,75,FALSE),"N/A")</f>
        <v>OUTDATED</v>
      </c>
      <c r="FM28" s="84" t="str">
        <f>IFERROR(VLOOKUP($B28,'LOD 400 - SITE'!$B:CA,78,FALSE),"N/A")</f>
        <v>OUTDATED</v>
      </c>
      <c r="FN28" s="85" t="str">
        <f>IFERROR(VLOOKUP($B28,'LOD 400 - SITE'!$B:CD,81,FALSE),"N/A")</f>
        <v>NEXT ROUND </v>
      </c>
      <c r="FO28" s="84">
        <f>IFERROR(VLOOKUP($B28,'LOD 400 - SITE'!$B:CG,84,FALSE),"N/A")</f>
        <v>0.01</v>
      </c>
      <c r="FP28" s="85" t="str">
        <f>IFERROR(VLOOKUP($B28,'LOD 400 - SITE'!$B:CJ,87,FALSE),"N/A")</f>
        <v>OUTDATED</v>
      </c>
      <c r="FQ28" s="84" t="str">
        <f>IFERROR(VLOOKUP($B28,'LOD 400 - SITE'!$B:CM,90,FALSE),"N/A")</f>
        <v>NEXT ROUND</v>
      </c>
      <c r="FR28" s="84" t="str">
        <f>IFERROR(VLOOKUP($B28,'LOD 400 - SITE'!$B:CP,93,FALSE),"N/A")</f>
        <v>IMPROPER</v>
      </c>
      <c r="FS28" s="84" t="str">
        <f>IFERROR(VLOOKUP($B28,'LOD 400 - SITE'!$B:CS,96,FALSE),"N/A")</f>
        <v>OUTDATED</v>
      </c>
      <c r="FT28" s="84" t="str">
        <f>IFERROR(VLOOKUP($B28,'LOD 400 - SITE'!$B:CV,99,FALSE),"N/A")</f>
        <v>IMPROPER</v>
      </c>
      <c r="FU28" s="84" t="str">
        <f>IFERROR(VLOOKUP($B28,'LOD 400 - SITE'!$B:CY,102,FALSE),"N/A")</f>
        <v>OUTDATED</v>
      </c>
      <c r="FV28" s="84" t="str">
        <f>IFERROR(VLOOKUP($B28,'LOD 400 - SITE'!$B:DB,105,FALSE),"N/A")</f>
        <v>OUTDATED</v>
      </c>
      <c r="FW28" s="84" t="str">
        <f>IFERROR(VLOOKUP($B28,'LOD 400 - SITE'!$B:DE,108,FALSE),"N/A")</f>
        <v>OUTDATED</v>
      </c>
      <c r="FX28" s="84" t="str">
        <f>IFERROR(VLOOKUP($B28,'LOD 400 - SITE'!$B:DH,111,FALSE),"N/A")</f>
        <v>OUTDATED</v>
      </c>
      <c r="FY28" s="84" t="str">
        <f>IFERROR(VLOOKUP($B28,'LOD 400 - SITE'!$B:DK,114,FALSE),"N/A")</f>
        <v>OUTDATED</v>
      </c>
      <c r="FZ28" s="96">
        <f>IFERROR(__xludf.DUMMYFUNCTION("IFERROR(
  MAX(FILTER(ES28:FY28, ISNUMBER(ES28:FY28))),
  FY28
)"),0.01)</f>
        <v>0.01</v>
      </c>
      <c r="GA28" s="80" t="str">
        <f>IFERROR(VLOOKUP($B28,'LOD 400 - UTLS'!B:S,18,FALSE),"N/A")</f>
        <v>NOT PUBLISHED</v>
      </c>
      <c r="GB28" s="98" t="str">
        <f>IFERROR(VLOOKUP($B28,'LOD 400 - UTLS'!B:V,21,FALSE),"N/A")</f>
        <v>NOT PUBLISHED</v>
      </c>
      <c r="GC28" s="81" t="str">
        <f>IFERROR(VLOOKUP($B28,'LOD 400 - UTLS'!B:Y,24,FALSE),"N/A")</f>
        <v>N/A</v>
      </c>
      <c r="GD28" s="87" t="str">
        <f>IFERROR(VLOOKUP($B28,'LOD 400 - UTLS'!$B:AB,27,FALSE),"N/A")</f>
        <v>N/A</v>
      </c>
      <c r="GE28" s="80" t="str">
        <f>IFERROR(VLOOKUP($B28,'LOD 400 - UTLS'!$B:AE,30,FALSE),"N/A")</f>
        <v>N/A</v>
      </c>
      <c r="GF28" s="82" t="str">
        <f>IFERROR(VLOOKUP($B28,'LOD 400 - UTLS'!$B:AH,33,FALSE),"N/A")</f>
        <v>N/A</v>
      </c>
      <c r="GG28" s="88" t="str">
        <f>IFERROR(VLOOKUP($B28,'LOD 400 - UTLS'!$B:AK,36,FALSE),"N/A")</f>
        <v>N/A</v>
      </c>
      <c r="GH28" s="84" t="str">
        <f>IFERROR(VLOOKUP($B28,'LOD 400 - UTLS'!$B:AN,39,FALSE),"N/A")</f>
        <v>N/A</v>
      </c>
      <c r="GI28" s="84" t="str">
        <f>IFERROR(VLOOKUP($B28,'LOD 400 - UTLS'!$B:AQ,42,FALSE),"N/A")</f>
        <v>N/A</v>
      </c>
      <c r="GJ28" s="84" t="str">
        <f>IFERROR(VLOOKUP($B28,'LOD 400 - UTLS'!$B:AT,45,FALSE),"N/A")</f>
        <v>N/A</v>
      </c>
      <c r="GK28" s="84" t="str">
        <f>IFERROR(VLOOKUP($B28,'LOD 400 - UTLS'!$B:AW,48,FALSE),"N/A")</f>
        <v>N/A</v>
      </c>
      <c r="GL28" s="84" t="str">
        <f>IFERROR(VLOOKUP($B28,'LOD 400 - UTLS'!$B:AZ,51,FALSE),"N/A")</f>
        <v>N/A</v>
      </c>
      <c r="GM28" s="84" t="str">
        <f>IFERROR(VLOOKUP($B28,'LOD 400 - UTLS'!$B:BC,54,FALSE),"N/A")</f>
        <v>N/A</v>
      </c>
      <c r="GN28" s="84" t="str">
        <f>IFERROR(VLOOKUP($B28,'LOD 400 - UTLS'!$B:BF,57,FALSE),"N/A")</f>
        <v>N/A</v>
      </c>
      <c r="GO28" s="84" t="str">
        <f>IFERROR(VLOOKUP($B28,'LOD 400 - UTLS'!$B:BI,60,FALSE),"N/A")</f>
        <v>N/A</v>
      </c>
      <c r="GP28" s="84" t="str">
        <f>IFERROR(VLOOKUP($B28,'LOD 400 - UTLS'!$B:BL,63,FALSE),"N/A")</f>
        <v>N/A</v>
      </c>
      <c r="GQ28" s="84" t="str">
        <f>IFERROR(VLOOKUP($B28,'LOD 400 - UTLS'!$B:BO,66,FALSE),"N/A")</f>
        <v>N/A</v>
      </c>
      <c r="GR28" s="84" t="str">
        <f>IFERROR(VLOOKUP($B28,'LOD 400 - UTLS'!$B:BR,69,FALSE),"N/A")</f>
        <v>N/A</v>
      </c>
      <c r="GS28" s="85" t="str">
        <f>IFERROR(VLOOKUP($B28,'LOD 400 - UTLS'!$B:BU,72,FALSE),"N/A")</f>
        <v>N/A</v>
      </c>
      <c r="GT28" s="84" t="str">
        <f>IFERROR(VLOOKUP($B28,'LOD 400 - UTLS'!$B:BX,75,FALSE),"N/A")</f>
        <v>N/A</v>
      </c>
      <c r="GU28" s="85" t="str">
        <f>IFERROR(VLOOKUP($B28,'LOD 400 - UTLS'!$B:CA,78,FALSE),"N/A")</f>
        <v>N/A</v>
      </c>
      <c r="GV28" s="84" t="str">
        <f>IFERROR(VLOOKUP($B28,'LOD 400 - UTLS'!$B:CD,81,FALSE),"N/A")</f>
        <v>N/A</v>
      </c>
      <c r="GW28" s="84" t="str">
        <f>IFERROR(VLOOKUP($B28,'LOD 400 - UTLS'!$B:CG,84,FALSE),"N/A")</f>
        <v>N/A</v>
      </c>
      <c r="GX28" s="84" t="str">
        <f>IFERROR(VLOOKUP($B28,'LOD 400 - UTLS'!$B:CJ,87,FALSE),"N/A")</f>
        <v>N/A</v>
      </c>
      <c r="GY28" s="84" t="str">
        <f>IFERROR(VLOOKUP($B28,'LOD 400 - UTLS'!$B:CM,90,FALSE),"N/A")</f>
        <v>N/A</v>
      </c>
      <c r="GZ28" s="84" t="str">
        <f>IFERROR(VLOOKUP($B28,'LOD 400 - UTLS'!$B:CP,93,FALSE),"N/A")</f>
        <v>N/A</v>
      </c>
      <c r="HA28" s="84" t="str">
        <f>IFERROR(VLOOKUP($B28,'LOD 400 - UTLS'!$B:CS,96,FALSE),"N/A")</f>
        <v>N/A</v>
      </c>
      <c r="HB28" s="84" t="str">
        <f>IFERROR(VLOOKUP($B28,'LOD 400 - UTLS'!$B:CV,99,FALSE),"N/A")</f>
        <v>N/A</v>
      </c>
      <c r="HC28" s="84" t="str">
        <f>IFERROR(VLOOKUP($B28,'LOD 400 - UTLS'!$B:CY,102,FALSE),"N/A")</f>
        <v>N/A</v>
      </c>
      <c r="HD28" s="84" t="str">
        <f>IFERROR(VLOOKUP($B28,'LOD 400 - UTLS'!$B:DB,105,FALSE),"N/A")</f>
        <v>N/A</v>
      </c>
      <c r="HE28" s="96" t="str">
        <f>IFERROR(__xludf.DUMMYFUNCTION("IFERROR(
  MAX(FILTER(GA28:HD28, ISNUMBER(GA28:HD28))),
  HD28
)"),"N/A")</f>
        <v>N/A</v>
      </c>
      <c r="HF28" s="99"/>
      <c r="HG28" s="99"/>
      <c r="HH28" s="99"/>
      <c r="HI28" s="99"/>
      <c r="HJ28" s="99"/>
      <c r="HK28" s="99"/>
    </row>
    <row r="29" ht="15.0" customHeight="1" outlineLevel="1">
      <c r="A29" s="53">
        <v>32.0</v>
      </c>
      <c r="B29" s="100" t="s">
        <v>145</v>
      </c>
      <c r="C29" s="100" t="s">
        <v>146</v>
      </c>
      <c r="D29" s="64" t="str">
        <f t="shared" si="1"/>
        <v>DATA</v>
      </c>
      <c r="E29" s="111" t="s">
        <v>147</v>
      </c>
      <c r="F29" s="111" t="s">
        <v>147</v>
      </c>
      <c r="G29" s="112" t="s">
        <v>147</v>
      </c>
      <c r="H29" s="116"/>
      <c r="I29" s="68" t="str">
        <f>IFERROR(VLOOKUP($C26:C108,'R22 RELATÓRIO ACC'!B:F,5,FALSE),"NOT PUBLISHED")</f>
        <v>V9</v>
      </c>
      <c r="J29" s="69" t="str">
        <f>IFERROR(VLOOKUP($C26:C108,'R22 RELATÓRIO ACC'!B:P,15,FALSE),"NOT PUBLISHED")</f>
        <v>28/02/2026</v>
      </c>
      <c r="K29" s="70" t="str">
        <f>IFERROR(VLOOKUP($B25:B108,'RELATÓRIO ACC'!B:F,5,FALSE),"NOT PUBLISHED")</f>
        <v>V1</v>
      </c>
      <c r="L29" s="71" t="str">
        <f>IFERROR(VLOOKUP($B25:B108,'RELATÓRIO ACC'!B:P,15,FALSE),"NOT PUBLISHED")</f>
        <v>20/05/2026</v>
      </c>
      <c r="M29" s="72" t="str">
        <f>IF(OR($D29="UTLS",$D29="GUAR",$D29="STIR",$D29="PUMP",$D29="SITE"),
   VLOOKUP($B29,'LOD 400 - SITE'!B:M,12,FALSE),
   VLOOKUP($B29,'LOD 400 - ADMN'!B:M,12,FALSE)
)</f>
        <v>V8</v>
      </c>
      <c r="N29" s="105">
        <f>IF(OR($D29="UTLS",$D29="GUAR",$D29="STIR",$D29="PUMP",$D29="SITE"),
   VLOOKUP($B29,'LOD 400 - SITE'!B:N,13,FALSE),
   VLOOKUP($B29,'LOD 400 - ADMN'!B:N,13,FALSE)
)</f>
        <v>45996</v>
      </c>
      <c r="O29" s="106" t="str">
        <f>IF(OR($D29="UTLS",$D29="GUAR",$D29="STIR",$D29="PUMP",$D29="SITE"),
   VLOOKUP($B29,'LOD 400 - SITE'!B:O,14,FALSE),
   VLOOKUP($B29,'LOD 400 - ADMN'!B:O,14,FALSE)
)</f>
        <v>R22</v>
      </c>
      <c r="P29" s="107" t="str">
        <f>IF(OR($D29="C345",$D29="C12A",$D29="DATA"),
   VLOOKUP($B29,'LOD 400 - COLO3'!B:M,12,FALSE),"N/A")</f>
        <v>N/A</v>
      </c>
      <c r="Q29" s="108" t="str">
        <f>IF(OR($D29="C345",$D29="C12A",$D29="DATA"),
   VLOOKUP($B29,'LOD 400 - COLO3'!B:N,13,FALSE),"N/A")</f>
        <v>N/A</v>
      </c>
      <c r="R29" s="75" t="str">
        <f>IF(OR($D29="C345",$D29="C12A",$D29="DATA"),
   VLOOKUP($B29,'LOD 400 - COLO3'!B:O,14,FALSE),"N/A")</f>
        <v>N/A</v>
      </c>
      <c r="S29" s="76" t="str">
        <f>IF(OR($D29="C345",$D29="C12A",$D29="DATA"),
   VLOOKUP($B29,'LOD 400 - COLO4'!B:N,12,FALSE),"N/A")</f>
        <v>N/A</v>
      </c>
      <c r="T29" s="76" t="str">
        <f>IF(OR($D29="C345",$D29="C12A",$D29="DATA"),
   VLOOKUP($B29,'LOD 400 - COLO4'!B:N,13,FALSE),"N/A")</f>
        <v>N/A</v>
      </c>
      <c r="U29" s="76" t="str">
        <f>IF(OR($D29="C345",$D29="C12A",$D29="DATA"),
   VLOOKUP($B29,'LOD 400 - COLO4'!B:N,13,FALSE),"N/A")</f>
        <v>N/A</v>
      </c>
      <c r="V29" s="77" t="str">
        <f>IF(OR($D29="UTLS",$D29="GUAR",$D29="STIR",$D29="PUMP",$D29="SITE"),
   VLOOKUP($B29,'LOD 400 - UTLS'!B:M,12,FALSE),"N/A")</f>
        <v>N/A</v>
      </c>
      <c r="W29" s="78" t="str">
        <f>IF(OR($D29="UTLS",$D29="GUAR",$D29="STIR",$D29="PUMP",$D29="SITE"),
   VLOOKUP($B29,'LOD 400 - UTLS'!B:N,13,FALSE),"N/A")</f>
        <v>N/A</v>
      </c>
      <c r="X29" s="108" t="str">
        <f>IF(OR($D29="UTLS",$D29="GUAR",$D29="STIR",$D29="PUMP",$D29="SITE"),
   VLOOKUP($B29,'LOD 400 - UTLS'!B:O,14,FALSE),"N/A")</f>
        <v>N/A</v>
      </c>
      <c r="Y29" s="79">
        <f>IFERROR(VLOOKUP($B29,'LOD 400 - ADMN'!B:S,18,FALSE),"N/A")</f>
        <v>0.01</v>
      </c>
      <c r="Z29" s="79" t="str">
        <f>IFERROR(VLOOKUP($B29,'LOD 400 - ADMN'!B:V,21,FALSE),"N/A")</f>
        <v>OUTDATED</v>
      </c>
      <c r="AA29" s="79" t="str">
        <f>IFERROR(VLOOKUP($B29,'LOD 400 - ADMN'!$B:Y,24,FALSE),"N/A")</f>
        <v>OUTDATED</v>
      </c>
      <c r="AB29" s="80" t="str">
        <f>IFERROR(VLOOKUP($B29,'LOD 400 - ADMN'!$B:AB,27,FALSE),"N/A")</f>
        <v>OUTDATED</v>
      </c>
      <c r="AC29" s="81" t="str">
        <f>IFERROR(VLOOKUP($B29,'LOD 400 - ADMN'!$B:AE,30,FALSE),"N/A")</f>
        <v>IMPROPER</v>
      </c>
      <c r="AD29" s="81">
        <f>IFERROR(VLOOKUP($B29,'LOD 400 - ADMN'!$B:AH,33,FALSE),"N/A")</f>
        <v>0.01</v>
      </c>
      <c r="AE29" s="80" t="str">
        <f>IFERROR(VLOOKUP($B29,'LOD 400 - ADMN'!$B:AK,36,FALSE),"N/A")</f>
        <v>OUTDATED</v>
      </c>
      <c r="AF29" s="82" t="str">
        <f>IFERROR(VLOOKUP($B29,'LOD 400 - ADMN'!$B:AN,39,FALSE),"N/A")</f>
        <v>NEXT ROUND</v>
      </c>
      <c r="AG29" s="83">
        <f>IFERROR(VLOOKUP($B29,'LOD 400 - ADMN'!$B:AQ,42,FALSE),"N/A")</f>
        <v>1</v>
      </c>
      <c r="AH29" s="84">
        <f>IFERROR(VLOOKUP($B29,'LOD 400 - ADMN'!$B:AT,45,FALSE),"N/A")</f>
        <v>1</v>
      </c>
      <c r="AI29" s="85">
        <f>IFERROR(VLOOKUP($B29,'LOD 400 - ADMN'!$B:AW,48,FALSE),"N/A")</f>
        <v>1</v>
      </c>
      <c r="AJ29" s="85">
        <f>IFERROR(VLOOKUP($B29,'LOD 400 - ADMN'!$B:AZ,51,FALSE),"N/A")</f>
        <v>1</v>
      </c>
      <c r="AK29" s="84">
        <f>IFERROR(VLOOKUP($B29,'LOD 400 - ADMN'!$B:BC,54,FALSE),"N/A")</f>
        <v>1</v>
      </c>
      <c r="AL29" s="84">
        <f>IFERROR(VLOOKUP($B29,'LOD 400 - ADMN'!$B:BF,57,FALSE),"N/A")</f>
        <v>1</v>
      </c>
      <c r="AM29" s="84">
        <f>IFERROR(VLOOKUP($B29,'LOD 400 - ADMN'!$B:BI,60,FALSE),"N/A")</f>
        <v>1</v>
      </c>
      <c r="AN29" s="84">
        <f>IFERROR(VLOOKUP($B29,'LOD 400 - ADMN'!$B:BL,63,FALSE),"N/A")</f>
        <v>1</v>
      </c>
      <c r="AO29" s="84">
        <f>IFERROR(VLOOKUP($B29,'LOD 400 - ADMN'!$B:BO,66,FALSE),"N/A")</f>
        <v>1</v>
      </c>
      <c r="AP29" s="84">
        <f>IFERROR(VLOOKUP($B29,'LOD 400 - ADMN'!$B:BR,69,FALSE),"N/A")</f>
        <v>1</v>
      </c>
      <c r="AQ29" s="84">
        <f>IFERROR(VLOOKUP($B29,'LOD 400 - ADMN'!$B:BU,72,FALSE),"N/A")</f>
        <v>1</v>
      </c>
      <c r="AR29" s="84">
        <f>IFERROR(VLOOKUP($B29,'LOD 400 - ADMN'!$B:BX,75,FALSE),"N/A")</f>
        <v>1</v>
      </c>
      <c r="AS29" s="84">
        <f>IFERROR(VLOOKUP($B29,'LOD 400 - ADMN'!$B:CA,78,FALSE),"N/A")</f>
        <v>1</v>
      </c>
      <c r="AT29" s="84">
        <f>IFERROR(VLOOKUP($B29,'LOD 400 - ADMN'!$B:CD,81,FALSE),"N/A")</f>
        <v>1</v>
      </c>
      <c r="AU29" s="85">
        <f>IFERROR(VLOOKUP($B29,'LOD 400 - ADMN'!$B:CG,84,FALSE),"N/A")</f>
        <v>1</v>
      </c>
      <c r="AV29" s="84">
        <f>IFERROR(VLOOKUP($B29,'LOD 400 - ADMN'!$B:CJ,87,FALSE),"N/A")</f>
        <v>1</v>
      </c>
      <c r="AW29" s="85">
        <f>IFERROR(VLOOKUP($B29,'LOD 400 - ADMN'!$B:CM,90,FALSE),"N/A")</f>
        <v>1</v>
      </c>
      <c r="AX29" s="84">
        <f>IFERROR(VLOOKUP($B29,'LOD 400 - ADMN'!$B:CP,93,FALSE),"N/A")</f>
        <v>1</v>
      </c>
      <c r="AY29" s="84">
        <f>IFERROR(VLOOKUP($B29,'LOD 400 - ADMN'!$B:CS,96,FALSE),"N/A")</f>
        <v>1</v>
      </c>
      <c r="AZ29" s="84">
        <f>IFERROR(VLOOKUP($B29,'LOD 400 - ADMN'!$B:CV,99,FALSE),"N/A")</f>
        <v>1</v>
      </c>
      <c r="BA29" s="84">
        <f>IFERROR(VLOOKUP($B29,'LOD 400 - ADMN'!$B:CY,102,FALSE),"N/A")</f>
        <v>1</v>
      </c>
      <c r="BB29" s="84">
        <f>IFERROR(VLOOKUP($B29,'LOD 400 - ADMN'!$B:DB,105,FALSE),"N/A")</f>
        <v>1</v>
      </c>
      <c r="BC29" s="84">
        <f>IFERROR(VLOOKUP($B29,'LOD 400 - ADMN'!$B:DE,108,FALSE),"N/A")</f>
        <v>1</v>
      </c>
      <c r="BD29" s="84">
        <f>IFERROR(VLOOKUP($B29,'LOD 400 - ADMN'!$B:DH,111,FALSE),"N/A")</f>
        <v>1</v>
      </c>
      <c r="BE29" s="84">
        <f>IFERROR(VLOOKUP($B29,'LOD 400 - ADMN'!$B:DK,114,FALSE),"N/A")</f>
        <v>1</v>
      </c>
      <c r="BF29" s="84">
        <f>IFERROR(VLOOKUP($B29,'LOD 400 - ADMN'!$B:DN,117,FALSE),"N/A")</f>
        <v>1</v>
      </c>
      <c r="BG29" s="86">
        <f>IFERROR(__xludf.DUMMYFUNCTION("IFERROR(
  MAX(FILTER(Y29:BF29, ISNUMBER(Y29:BF29))),
  BF29
)"),1.0)</f>
        <v>1</v>
      </c>
      <c r="BH29" s="79" t="str">
        <f>IFERROR(VLOOKUP($B29,'LOD 400 - COLO1'!B:S,18,FALSE),"N/A")</f>
        <v>N/A</v>
      </c>
      <c r="BI29" s="79" t="str">
        <f>IFERROR(VLOOKUP($B29,'LOD 400 - COLO1'!B:V,21,FALSE),"N/A")</f>
        <v>N/A</v>
      </c>
      <c r="BJ29" s="79" t="str">
        <f>IFERROR(VLOOKUP($B29,'LOD 400 - COLO1'!$B:Y,24,FALSE),"N/A")</f>
        <v>N/A</v>
      </c>
      <c r="BK29" s="87" t="str">
        <f>IFERROR(VLOOKUP($B29,'LOD 400 - COLO1'!$B:AB,27,FALSE),"N/A")</f>
        <v>N/A</v>
      </c>
      <c r="BL29" s="80" t="str">
        <f>IFERROR(VLOOKUP($B29,'LOD 400 - COLO1'!$B:AE,30,FALSE),"N/A")</f>
        <v>N/A</v>
      </c>
      <c r="BM29" s="81" t="str">
        <f>IFERROR(VLOOKUP($B29,'LOD 400 - COLO1'!$B:AH,33,FALSE),"N/A")</f>
        <v>N/A</v>
      </c>
      <c r="BN29" s="87" t="str">
        <f>IFERROR(VLOOKUP($B29,'LOD 400 - COLO1'!$B:AK,36,FALSE),"N/A")</f>
        <v>N/A</v>
      </c>
      <c r="BO29" s="83" t="str">
        <f>IFERROR(VLOOKUP($B29,'LOD 400 - COLO1'!$B:AN,39,FALSE),"N/A")</f>
        <v>N/A</v>
      </c>
      <c r="BP29" s="88" t="str">
        <f>IFERROR(VLOOKUP($B29,'LOD 400 - COLO1'!$B:AQ,42,FALSE),"N/A")</f>
        <v>N/A</v>
      </c>
      <c r="BQ29" s="84" t="str">
        <f>IFERROR(VLOOKUP($B29,'LOD 400 - COLO1'!$B:AT,45,FALSE),"N/A")</f>
        <v>N/A</v>
      </c>
      <c r="BR29" s="85" t="str">
        <f>IFERROR(VLOOKUP($B29,'LOD 400 - COLO1'!$B:AW,48,FALSE),"N/A")</f>
        <v>N/A</v>
      </c>
      <c r="BS29" s="84" t="str">
        <f>IFERROR(VLOOKUP($B29,'LOD 400 - COLO1'!$B:AZ,51,FALSE),"N/A")</f>
        <v>N/A</v>
      </c>
      <c r="BT29" s="84" t="str">
        <f>IFERROR(VLOOKUP($B29,'LOD 400 - COLO1'!$B:BC,54,FALSE),"N/A")</f>
        <v>N/A</v>
      </c>
      <c r="BU29" s="84" t="str">
        <f>IFERROR(VLOOKUP($B29,'LOD 400 - COLO1'!$B:BF,57,FALSE),"N/A")</f>
        <v>N/A</v>
      </c>
      <c r="BV29" s="84" t="str">
        <f>IFERROR(VLOOKUP($B29,'LOD 400 - COLO1'!$B:BI,60,FALSE),"N/A")</f>
        <v>N/A</v>
      </c>
      <c r="BW29" s="84" t="str">
        <f>IFERROR(VLOOKUP($B29,'LOD 400 - COLO1'!$B:BL,63,FALSE),"N/A")</f>
        <v>N/A</v>
      </c>
      <c r="BX29" s="84" t="str">
        <f>IFERROR(VLOOKUP($B29,'LOD 400 - COLO1'!$B:BO,66,FALSE),"N/A")</f>
        <v>N/A</v>
      </c>
      <c r="BY29" s="84" t="str">
        <f>IFERROR(VLOOKUP($B29,'LOD 400 - COLO1'!$B:BR,69,FALSE),"N/A")</f>
        <v>N/A</v>
      </c>
      <c r="BZ29" s="84" t="str">
        <f>IFERROR(VLOOKUP($B29,'LOD 400 - COLO1'!$B:BU,72,FALSE),"N/A")</f>
        <v>N/A</v>
      </c>
      <c r="CA29" s="84" t="str">
        <f>IFERROR(VLOOKUP($B29,'LOD 400 - COLO1'!$B:BX,75,FALSE),"N/A")</f>
        <v>N/A</v>
      </c>
      <c r="CB29" s="84" t="str">
        <f>IFERROR(VLOOKUP($B29,'LOD 400 - COLO1'!$B:CA,78,FALSE),"N/A")</f>
        <v>N/A</v>
      </c>
      <c r="CC29" s="84" t="str">
        <f>IFERROR(VLOOKUP($B29,'LOD 400 - COLO1'!$B:CD,81,FALSE),"N/A")</f>
        <v>N/A</v>
      </c>
      <c r="CD29" s="85" t="str">
        <f>IFERROR(VLOOKUP($B29,'LOD 400 - COLO1'!$B:CG,84,FALSE),"N/A")</f>
        <v>N/A</v>
      </c>
      <c r="CE29" s="84" t="str">
        <f>IFERROR(VLOOKUP($B29,'LOD 400 - COLO1'!$B:CJ,87,FALSE),"N/A")</f>
        <v>N/A</v>
      </c>
      <c r="CF29" s="85" t="str">
        <f>IFERROR(VLOOKUP($B29,'LOD 400 - COLO1'!$B:CM,90,FALSE),"N/A")</f>
        <v>N/A</v>
      </c>
      <c r="CG29" s="84" t="str">
        <f>IFERROR(VLOOKUP($B29,'LOD 400 - COLO1'!$B:CP,93,FALSE),"N/A")</f>
        <v>N/A</v>
      </c>
      <c r="CH29" s="84" t="str">
        <f>IFERROR(VLOOKUP($B29,'LOD 400 - COLO1'!$B:CS,96,FALSE),"N/A")</f>
        <v>N/A</v>
      </c>
      <c r="CI29" s="84" t="str">
        <f>IFERROR(VLOOKUP($B29,'LOD 400 - COLO1'!$B:CV,99,FALSE),"N/A")</f>
        <v>N/A</v>
      </c>
      <c r="CJ29" s="84" t="str">
        <f>IFERROR(VLOOKUP($B29,'LOD 400 - COLO1'!$B:CY,102,FALSE),"N/A")</f>
        <v>N/A</v>
      </c>
      <c r="CK29" s="84" t="str">
        <f>IFERROR(VLOOKUP($B29,'LOD 400 - COLO1'!$B:DB,105,FALSE),"N/A")</f>
        <v>N/A</v>
      </c>
      <c r="CL29" s="84" t="str">
        <f>IFERROR(VLOOKUP($B29,'LOD 400 - COLO1'!$B:DE,108,FALSE),"N/A")</f>
        <v>N/A</v>
      </c>
      <c r="CM29" s="84" t="str">
        <f>IFERROR(VLOOKUP($B29,'LOD 400 - COLO1'!$B:DH,111,FALSE),"N/A")</f>
        <v>N/A</v>
      </c>
      <c r="CN29" s="84" t="str">
        <f>IFERROR(VLOOKUP($B29,'LOD 400 - COLO1'!$B:DK,114,FALSE),"N/A")</f>
        <v>N/A</v>
      </c>
      <c r="CO29" s="84" t="str">
        <f>IFERROR(VLOOKUP($B29,'LOD 400 - COLO1'!$B:DN,117,FALSE),"N/A")</f>
        <v>N/A</v>
      </c>
      <c r="CP29" s="86" t="str">
        <f>IFERROR(__xludf.DUMMYFUNCTION("IFERROR(
  MAX(FILTER(BH29:CO29, ISNUMBER(BH29:CO29))),
  CO29
)"),"N/A")</f>
        <v>N/A</v>
      </c>
      <c r="CQ29" s="89" t="str">
        <f>IFERROR(VLOOKUP($B29,'LOD 400 - COLO2'!B:S,18,FALSE),"N/A")</f>
        <v>N/A</v>
      </c>
      <c r="CR29" s="79" t="str">
        <f>IFERROR(VLOOKUP($B29,'LOD 400 - COLO2'!B:V,21,FALSE),"N/A")</f>
        <v>N/A</v>
      </c>
      <c r="CS29" s="79" t="str">
        <f>IFERROR(VLOOKUP($B29,'LOD 400 - COLO2'!$B:Y,24,FALSE),"N/A")</f>
        <v>N/A</v>
      </c>
      <c r="CT29" s="80" t="str">
        <f>IFERROR(VLOOKUP($B29,'LOD 400 - COLO2'!$B:DQ,27,FALSE),"N/A")</f>
        <v>N/A</v>
      </c>
      <c r="CU29" s="90" t="str">
        <f>IFERROR(VLOOKUP($B29,'LOD 400 - COLO2'!$B:AE,30,FALSE),"N/A")</f>
        <v>N/A</v>
      </c>
      <c r="CV29" s="81" t="str">
        <f>IFERROR(VLOOKUP($B29,'LOD 400 - COLO2'!$B:AH,33,FALSE),"N/A")</f>
        <v>N/A</v>
      </c>
      <c r="CW29" s="90" t="str">
        <f>IFERROR(VLOOKUP($B29,'LOD 400 - COLO2'!$B:AK,36,FALSE),"N/A")</f>
        <v>N/A</v>
      </c>
      <c r="CX29" s="85" t="str">
        <f>IFERROR(VLOOKUP($B29,'LOD 400 - COLO2'!$B:AN,39,FALSE),"N/A")</f>
        <v>N/A</v>
      </c>
      <c r="CY29" s="88" t="str">
        <f>IFERROR(VLOOKUP($B29,'LOD 400 - COLO2'!$B:AQ,42,FALSE),"N/A")</f>
        <v>N/A</v>
      </c>
      <c r="CZ29" s="84" t="str">
        <f>IFERROR(VLOOKUP($B29,'LOD 400 - COLO2'!$B:AT,45,FALSE),"N/A")</f>
        <v>N/A</v>
      </c>
      <c r="DA29" s="85" t="str">
        <f>IFERROR(VLOOKUP($B29,'LOD 400 - COLO2'!$B:AW,48,FALSE),"N/A")</f>
        <v>N/A</v>
      </c>
      <c r="DB29" s="84" t="str">
        <f>IFERROR(VLOOKUP($B29,'LOD 400 - COLO2'!$B:AZ,51,FALSE),"N/A")</f>
        <v>N/A</v>
      </c>
      <c r="DC29" s="84" t="str">
        <f>IFERROR(VLOOKUP($B29,'LOD 400 - COLO2'!$B:BC,54,FALSE),"N/A")</f>
        <v>N/A</v>
      </c>
      <c r="DD29" s="84" t="str">
        <f>IFERROR(VLOOKUP($B29,'LOD 400 - COLO2'!$B:BF,57,FALSE),"N/A")</f>
        <v>N/A</v>
      </c>
      <c r="DE29" s="84" t="str">
        <f>IFERROR(VLOOKUP($B29,'LOD 400 - COLO2'!$B:BI,60,FALSE),"N/A")</f>
        <v>N/A</v>
      </c>
      <c r="DF29" s="84" t="str">
        <f>IFERROR(VLOOKUP($B29,'LOD 400 - COLO2'!$B:BL,63,FALSE),"N/A")</f>
        <v>N/A</v>
      </c>
      <c r="DG29" s="84" t="str">
        <f>IFERROR(VLOOKUP($B29,'LOD 400 - COLO2'!$B:BO,66,FALSE),"N/A")</f>
        <v>N/A</v>
      </c>
      <c r="DH29" s="84" t="str">
        <f>IFERROR(VLOOKUP($B29,'LOD 400 - COLO2'!$B:BR,69,FALSE),"N/A")</f>
        <v>N/A</v>
      </c>
      <c r="DI29" s="84" t="str">
        <f>IFERROR(VLOOKUP($B29,'LOD 400 - COLO2'!$B:BU,72,FALSE),"N/A")</f>
        <v>N/A</v>
      </c>
      <c r="DJ29" s="84" t="str">
        <f>IFERROR(VLOOKUP($B29,'LOD 400 - COLO2'!$B:BX,75,FALSE),"N/A")</f>
        <v>N/A</v>
      </c>
      <c r="DK29" s="84" t="str">
        <f>IFERROR(VLOOKUP($B29,'LOD 400 - COLO2'!$B:CA,78,FALSE),"N/A")</f>
        <v>N/A</v>
      </c>
      <c r="DL29" s="84" t="str">
        <f>IFERROR(VLOOKUP($B29,'LOD 400 - COLO2'!$B:CD,81,FALSE),"N/A")</f>
        <v>N/A</v>
      </c>
      <c r="DM29" s="85" t="str">
        <f>IFERROR(VLOOKUP($B29,'LOD 400 - COLO2'!$B:CG,84,FALSE),"N/A")</f>
        <v>N/A</v>
      </c>
      <c r="DN29" s="84" t="str">
        <f>IFERROR(VLOOKUP($B29,'LOD 400 - COLO2'!$B:CJ,87,FALSE),"N/A")</f>
        <v>N/A</v>
      </c>
      <c r="DO29" s="85" t="str">
        <f>IFERROR(VLOOKUP($B29,'LOD 400 - COLO2'!$B:CM,90,FALSE),"N/A")</f>
        <v>N/A</v>
      </c>
      <c r="DP29" s="84" t="str">
        <f>IFERROR(VLOOKUP($B29,'LOD 400 - COLO2'!$B:CP,93,FALSE),"N/A")</f>
        <v>N/A</v>
      </c>
      <c r="DQ29" s="84" t="str">
        <f>IFERROR(VLOOKUP($B29,'LOD 400 - COLO2'!$B:CS,96,FALSE),"N/A")</f>
        <v>N/A</v>
      </c>
      <c r="DR29" s="84" t="str">
        <f>IFERROR(VLOOKUP($B29,'LOD 400 - COLO2'!$B:CV,99,FALSE),"N/A")</f>
        <v>N/A</v>
      </c>
      <c r="DS29" s="84" t="str">
        <f>IFERROR(VLOOKUP($B29,'LOD 400 - COLO2'!$B:CY,102,FALSE),"N/A")</f>
        <v>N/A</v>
      </c>
      <c r="DT29" s="84" t="str">
        <f>IFERROR(VLOOKUP($B29,'LOD 400 - COLO2'!$B:DB,105,FALSE),"N/A")</f>
        <v>N/A</v>
      </c>
      <c r="DU29" s="84" t="str">
        <f>IFERROR(VLOOKUP($B29,'LOD 400 - COLO2'!$B:DE,108,FALSE),"N/A")</f>
        <v>N/A</v>
      </c>
      <c r="DV29" s="84" t="str">
        <f>IFERROR(VLOOKUP($B29,'LOD 400 - COLO2'!$B:DH,111,FALSE),"N/A")</f>
        <v>N/A</v>
      </c>
      <c r="DW29" s="84" t="str">
        <f>IFERROR(VLOOKUP($B29,'LOD 400 - COLO2'!$B:DK,114,FALSE),"N/A")</f>
        <v>N/A</v>
      </c>
      <c r="DX29" s="84" t="str">
        <f>IFERROR(VLOOKUP($B29,'LOD 400 - COLO2'!$B:DN,117,FALSE),"N/A")</f>
        <v>N/A</v>
      </c>
      <c r="DY29" s="91" t="str">
        <f>IFERROR(__xludf.DUMMYFUNCTION("IFERROR(
  MAX(FILTER(CQ29:DW29, ISNUMBER(CQ29:DW29))),
  DW29
)"),"N/A")</f>
        <v>N/A</v>
      </c>
      <c r="DZ29" s="92" t="str">
        <f>IFERROR(VLOOKUP($B29,'LOD 400 - COLO3'!B:S,18,FALSE),"N/A")</f>
        <v>N/A</v>
      </c>
      <c r="EA29" s="84" t="str">
        <f>IFERROR(VLOOKUP($B29,'LOD 400 - COLO3'!B:V,21,FALSE),"N/A")</f>
        <v>N/A</v>
      </c>
      <c r="EB29" s="84" t="str">
        <f>IFERROR(VLOOKUP($B29,'LOD 400 - COLO3'!B:Y,24,FALSE),"N/A")</f>
        <v>N/A</v>
      </c>
      <c r="EC29" s="84" t="str">
        <f>IFERROR(VLOOKUP($B29,'LOD 400 - COLO3'!B:AB,27,FALSE),"N/A")</f>
        <v>N/A</v>
      </c>
      <c r="ED29" s="85" t="str">
        <f>IFERROR(VLOOKUP($B29,'LOD 400 - COLO3'!B:AE,30,FALSE),"N/A")</f>
        <v>N/A</v>
      </c>
      <c r="EE29" s="84" t="str">
        <f>IFERROR(VLOOKUP($B29,'LOD 400 - COLO3'!B:AH,33,FALSE),"N/A")</f>
        <v>N/A</v>
      </c>
      <c r="EF29" s="84" t="str">
        <f>IFERROR(VLOOKUP($B29,'LOD 400 - COLO3'!B:AK,36,FALSE),"N/A")</f>
        <v>N/A</v>
      </c>
      <c r="EG29" s="109" t="str">
        <f>IFERROR(VLOOKUP($B29,'LOD 400 - COLO3'!B:AN,39,FALSE),"N/A")</f>
        <v>N/A</v>
      </c>
      <c r="EH29" s="94" t="str">
        <f>IFERROR(VLOOKUP($B29,'LOD 400 - COLO3'!B:AQ,42,FALSE),"N/A")</f>
        <v>N/A</v>
      </c>
      <c r="EI29" s="94" t="str">
        <f>IFERROR(VLOOKUP($B29,'LOD 400 - COLO3'!B:AT,45,FALSE),"N/A")</f>
        <v>N/A</v>
      </c>
      <c r="EJ29" s="94" t="str">
        <f>IFERROR(VLOOKUP($B29,'LOD 400 - COLO3'!B:AW,48,FALSE),"N/A")</f>
        <v>N/A</v>
      </c>
      <c r="EK29" s="94" t="str">
        <f>IFERROR(VLOOKUP($B29,'LOD 400 - COLO3'!B:AZ,51,FALSE),"N/A")</f>
        <v>N/A</v>
      </c>
      <c r="EL29" s="94" t="str">
        <f>IFERROR(VLOOKUP($B29,'LOD 400 - COLO3'!B:BC,54,FALSE),"N/A")</f>
        <v>N/A</v>
      </c>
      <c r="EM29" s="94" t="str">
        <f>IFERROR(VLOOKUP($B29,'LOD 400 - COLO3'!B:BF,57,FALSE),"N/A")</f>
        <v>N/A</v>
      </c>
      <c r="EN29" s="94" t="str">
        <f>IFERROR(VLOOKUP($B29,'LOD 400 - COLO3'!B:BI,60,FALSE),"N/A")</f>
        <v>N/A</v>
      </c>
      <c r="EO29" s="94" t="str">
        <f>IFERROR(VLOOKUP($B29,'LOD 400 - COLO3'!B:BL,63,FALSE),"N/A")</f>
        <v>N/A</v>
      </c>
      <c r="EP29" s="86" t="str">
        <f>IFERROR(__xludf.DUMMYFUNCTION("IFERROR(
  MAX(FILTER(DZ29:EO29, ISNUMBER(DZ29:EO29))),
  EO29
)"),"N/A")</f>
        <v>N/A</v>
      </c>
      <c r="EQ29" s="95">
        <f>IFERROR(VLOOKUP($B29,'LOD 400 - COLO4'!B:S,18,FALSE),"N/A")</f>
        <v>0</v>
      </c>
      <c r="ER29" s="96">
        <f>IFERROR(__xludf.DUMMYFUNCTION("IFERROR(
  MAX(FILTER(EQ29, ISNUMBER(EQ29))),
  EQ29
)"),0.0)</f>
        <v>0</v>
      </c>
      <c r="ES29" s="79" t="str">
        <f>IFERROR(VLOOKUP($B29,'LOD 400 - SITE'!B:S,18,FALSE),"N/A")</f>
        <v>N/A</v>
      </c>
      <c r="ET29" s="80" t="str">
        <f>IFERROR(VLOOKUP($B29,'LOD 400 - SITE'!B:V,21,FALSE),"N/A")</f>
        <v>N/A</v>
      </c>
      <c r="EU29" s="97" t="str">
        <f>IFERROR(VLOOKUP($B29,'LOD 400 - SITE'!$B:Y,24,FALSE),"N/A")</f>
        <v>N/A</v>
      </c>
      <c r="EV29" s="80" t="str">
        <f>IFERROR(VLOOKUP($B29,'LOD 400 - SITE'!$B:AB,27,FALSE),"N/A")</f>
        <v>N/A</v>
      </c>
      <c r="EW29" s="81" t="str">
        <f>IFERROR(VLOOKUP($B29,'LOD 400 - SITE'!$B:AE,30,FALSE),"N/A")</f>
        <v>N/A</v>
      </c>
      <c r="EX29" s="87" t="str">
        <f>IFERROR(VLOOKUP($B29,'LOD 400 - SITE'!$B:AH,33,FALSE),"N/A")</f>
        <v>N/A</v>
      </c>
      <c r="EY29" s="87" t="str">
        <f>IFERROR(VLOOKUP($B29,'LOD 400 - SITE'!$B:AK,36,FALSE),"N/A")</f>
        <v>N/A</v>
      </c>
      <c r="EZ29" s="80" t="str">
        <f>IFERROR(VLOOKUP($B29,'LOD 400 - SITE'!$B:AN,39,FALSE),"N/A")</f>
        <v>N/A</v>
      </c>
      <c r="FA29" s="82" t="str">
        <f>IFERROR(VLOOKUP($B29,'LOD 400 - SITE'!$B:AQ,42,FALSE),"N/A")</f>
        <v>N/A</v>
      </c>
      <c r="FB29" s="88" t="str">
        <f>IFERROR(VLOOKUP($B29,'LOD 400 - SITE'!$B:AT,45,FALSE),"N/A")</f>
        <v>N/A</v>
      </c>
      <c r="FC29" s="84" t="str">
        <f>IFERROR(VLOOKUP($B29,'LOD 400 - SITE'!$B:AW,48,FALSE),"N/A")</f>
        <v>N/A</v>
      </c>
      <c r="FD29" s="84" t="str">
        <f>IFERROR(VLOOKUP($B29,'LOD 400 - SITE'!$B:AZ,51,FALSE),"N/A")</f>
        <v>N/A</v>
      </c>
      <c r="FE29" s="84" t="str">
        <f>IFERROR(VLOOKUP($B29,'LOD 400 - SITE'!$B:BC,54,FALSE),"N/A")</f>
        <v>N/A</v>
      </c>
      <c r="FF29" s="84" t="str">
        <f>IFERROR(VLOOKUP($B29,'LOD 400 - SITE'!$B:BF,57,FALSE),"N/A")</f>
        <v>N/A</v>
      </c>
      <c r="FG29" s="84" t="str">
        <f>IFERROR(VLOOKUP($B29,'LOD 400 - SITE'!$B:BI,60,FALSE),"N/A")</f>
        <v>N/A</v>
      </c>
      <c r="FH29" s="84" t="str">
        <f>IFERROR(VLOOKUP($B29,'LOD 400 - SITE'!$B:BL,63,FALSE),"N/A")</f>
        <v>N/A</v>
      </c>
      <c r="FI29" s="84" t="str">
        <f>IFERROR(VLOOKUP($B29,'LOD 400 - SITE'!$B:BO,66,FALSE),"N/A")</f>
        <v>N/A</v>
      </c>
      <c r="FJ29" s="84" t="str">
        <f>IFERROR(VLOOKUP($B29,'LOD 400 - SITE'!$B:BR,69,FALSE),"N/A")</f>
        <v>N/A</v>
      </c>
      <c r="FK29" s="84" t="str">
        <f>IFERROR(VLOOKUP($B29,'LOD 400 - SITE'!$B:BU,72,FALSE),"N/A")</f>
        <v>N/A</v>
      </c>
      <c r="FL29" s="84" t="str">
        <f>IFERROR(VLOOKUP($B29,'LOD 400 - SITE'!$B:BX,75,FALSE),"N/A")</f>
        <v>N/A</v>
      </c>
      <c r="FM29" s="84" t="str">
        <f>IFERROR(VLOOKUP($B29,'LOD 400 - SITE'!$B:CA,78,FALSE),"N/A")</f>
        <v>N/A</v>
      </c>
      <c r="FN29" s="85" t="str">
        <f>IFERROR(VLOOKUP($B29,'LOD 400 - SITE'!$B:CD,81,FALSE),"N/A")</f>
        <v>N/A</v>
      </c>
      <c r="FO29" s="84" t="str">
        <f>IFERROR(VLOOKUP($B29,'LOD 400 - SITE'!$B:CG,84,FALSE),"N/A")</f>
        <v>N/A</v>
      </c>
      <c r="FP29" s="85" t="str">
        <f>IFERROR(VLOOKUP($B29,'LOD 400 - SITE'!$B:CJ,87,FALSE),"N/A")</f>
        <v>N/A</v>
      </c>
      <c r="FQ29" s="84" t="str">
        <f>IFERROR(VLOOKUP($B29,'LOD 400 - SITE'!$B:CM,90,FALSE),"N/A")</f>
        <v>N/A</v>
      </c>
      <c r="FR29" s="84" t="str">
        <f>IFERROR(VLOOKUP($B29,'LOD 400 - SITE'!$B:CP,93,FALSE),"N/A")</f>
        <v>N/A</v>
      </c>
      <c r="FS29" s="84" t="str">
        <f>IFERROR(VLOOKUP($B29,'LOD 400 - SITE'!$B:CS,96,FALSE),"N/A")</f>
        <v>N/A</v>
      </c>
      <c r="FT29" s="84" t="str">
        <f>IFERROR(VLOOKUP($B29,'LOD 400 - SITE'!$B:CV,99,FALSE),"N/A")</f>
        <v>N/A</v>
      </c>
      <c r="FU29" s="84" t="str">
        <f>IFERROR(VLOOKUP($B29,'LOD 400 - SITE'!$B:CY,102,FALSE),"N/A")</f>
        <v>N/A</v>
      </c>
      <c r="FV29" s="84" t="str">
        <f>IFERROR(VLOOKUP($B29,'LOD 400 - SITE'!$B:DB,105,FALSE),"N/A")</f>
        <v>N/A</v>
      </c>
      <c r="FW29" s="84" t="str">
        <f>IFERROR(VLOOKUP($B29,'LOD 400 - SITE'!$B:DE,108,FALSE),"N/A")</f>
        <v>N/A</v>
      </c>
      <c r="FX29" s="84" t="str">
        <f>IFERROR(VLOOKUP($B29,'LOD 400 - SITE'!$B:DH,111,FALSE),"N/A")</f>
        <v>N/A</v>
      </c>
      <c r="FY29" s="84" t="str">
        <f>IFERROR(VLOOKUP($B29,'LOD 400 - SITE'!$B:DK,114,FALSE),"N/A")</f>
        <v>N/A</v>
      </c>
      <c r="FZ29" s="96" t="str">
        <f>IFERROR(__xludf.DUMMYFUNCTION("IFERROR(
  MAX(FILTER(ES29:FY29, ISNUMBER(ES29:FY29))),
  FY29
)"),"N/A")</f>
        <v>N/A</v>
      </c>
      <c r="GA29" s="80" t="str">
        <f>IFERROR(VLOOKUP($B29,'LOD 400 - UTLS'!B:S,18,FALSE),"N/A")</f>
        <v>N/A</v>
      </c>
      <c r="GB29" s="98" t="str">
        <f>IFERROR(VLOOKUP($B29,'LOD 400 - UTLS'!B:V,21,FALSE),"N/A")</f>
        <v>N/A</v>
      </c>
      <c r="GC29" s="81" t="str">
        <f>IFERROR(VLOOKUP($B29,'LOD 400 - UTLS'!B:Y,24,FALSE),"N/A")</f>
        <v>N/A</v>
      </c>
      <c r="GD29" s="87" t="str">
        <f>IFERROR(VLOOKUP($B29,'LOD 400 - UTLS'!$B:AB,27,FALSE),"N/A")</f>
        <v>N/A</v>
      </c>
      <c r="GE29" s="80" t="str">
        <f>IFERROR(VLOOKUP($B29,'LOD 400 - UTLS'!$B:AE,30,FALSE),"N/A")</f>
        <v>N/A</v>
      </c>
      <c r="GF29" s="82" t="str">
        <f>IFERROR(VLOOKUP($B29,'LOD 400 - UTLS'!$B:AH,33,FALSE),"N/A")</f>
        <v>N/A</v>
      </c>
      <c r="GG29" s="88" t="str">
        <f>IFERROR(VLOOKUP($B29,'LOD 400 - UTLS'!$B:AK,36,FALSE),"N/A")</f>
        <v>N/A</v>
      </c>
      <c r="GH29" s="84" t="str">
        <f>IFERROR(VLOOKUP($B29,'LOD 400 - UTLS'!$B:AN,39,FALSE),"N/A")</f>
        <v>N/A</v>
      </c>
      <c r="GI29" s="84" t="str">
        <f>IFERROR(VLOOKUP($B29,'LOD 400 - UTLS'!$B:AQ,42,FALSE),"N/A")</f>
        <v>N/A</v>
      </c>
      <c r="GJ29" s="84" t="str">
        <f>IFERROR(VLOOKUP($B29,'LOD 400 - UTLS'!$B:AT,45,FALSE),"N/A")</f>
        <v>N/A</v>
      </c>
      <c r="GK29" s="84" t="str">
        <f>IFERROR(VLOOKUP($B29,'LOD 400 - UTLS'!$B:AW,48,FALSE),"N/A")</f>
        <v>N/A</v>
      </c>
      <c r="GL29" s="84" t="str">
        <f>IFERROR(VLOOKUP($B29,'LOD 400 - UTLS'!$B:AZ,51,FALSE),"N/A")</f>
        <v>N/A</v>
      </c>
      <c r="GM29" s="84" t="str">
        <f>IFERROR(VLOOKUP($B29,'LOD 400 - UTLS'!$B:BC,54,FALSE),"N/A")</f>
        <v>N/A</v>
      </c>
      <c r="GN29" s="84" t="str">
        <f>IFERROR(VLOOKUP($B29,'LOD 400 - UTLS'!$B:BF,57,FALSE),"N/A")</f>
        <v>N/A</v>
      </c>
      <c r="GO29" s="84" t="str">
        <f>IFERROR(VLOOKUP($B29,'LOD 400 - UTLS'!$B:BI,60,FALSE),"N/A")</f>
        <v>N/A</v>
      </c>
      <c r="GP29" s="84" t="str">
        <f>IFERROR(VLOOKUP($B29,'LOD 400 - UTLS'!$B:BL,63,FALSE),"N/A")</f>
        <v>N/A</v>
      </c>
      <c r="GQ29" s="84" t="str">
        <f>IFERROR(VLOOKUP($B29,'LOD 400 - UTLS'!$B:BO,66,FALSE),"N/A")</f>
        <v>N/A</v>
      </c>
      <c r="GR29" s="84" t="str">
        <f>IFERROR(VLOOKUP($B29,'LOD 400 - UTLS'!$B:BR,69,FALSE),"N/A")</f>
        <v>N/A</v>
      </c>
      <c r="GS29" s="85" t="str">
        <f>IFERROR(VLOOKUP($B29,'LOD 400 - UTLS'!$B:BU,72,FALSE),"N/A")</f>
        <v>N/A</v>
      </c>
      <c r="GT29" s="84" t="str">
        <f>IFERROR(VLOOKUP($B29,'LOD 400 - UTLS'!$B:BX,75,FALSE),"N/A")</f>
        <v>N/A</v>
      </c>
      <c r="GU29" s="85" t="str">
        <f>IFERROR(VLOOKUP($B29,'LOD 400 - UTLS'!$B:CA,78,FALSE),"N/A")</f>
        <v>N/A</v>
      </c>
      <c r="GV29" s="84" t="str">
        <f>IFERROR(VLOOKUP($B29,'LOD 400 - UTLS'!$B:CD,81,FALSE),"N/A")</f>
        <v>N/A</v>
      </c>
      <c r="GW29" s="84" t="str">
        <f>IFERROR(VLOOKUP($B29,'LOD 400 - UTLS'!$B:CG,84,FALSE),"N/A")</f>
        <v>N/A</v>
      </c>
      <c r="GX29" s="84" t="str">
        <f>IFERROR(VLOOKUP($B29,'LOD 400 - UTLS'!$B:CJ,87,FALSE),"N/A")</f>
        <v>N/A</v>
      </c>
      <c r="GY29" s="84" t="str">
        <f>IFERROR(VLOOKUP($B29,'LOD 400 - UTLS'!$B:CM,90,FALSE),"N/A")</f>
        <v>N/A</v>
      </c>
      <c r="GZ29" s="84" t="str">
        <f>IFERROR(VLOOKUP($B29,'LOD 400 - UTLS'!$B:CP,93,FALSE),"N/A")</f>
        <v>N/A</v>
      </c>
      <c r="HA29" s="84" t="str">
        <f>IFERROR(VLOOKUP($B29,'LOD 400 - UTLS'!$B:CS,96,FALSE),"N/A")</f>
        <v>N/A</v>
      </c>
      <c r="HB29" s="84" t="str">
        <f>IFERROR(VLOOKUP($B29,'LOD 400 - UTLS'!$B:CV,99,FALSE),"N/A")</f>
        <v>N/A</v>
      </c>
      <c r="HC29" s="84" t="str">
        <f>IFERROR(VLOOKUP($B29,'LOD 400 - UTLS'!$B:CY,102,FALSE),"N/A")</f>
        <v>N/A</v>
      </c>
      <c r="HD29" s="84" t="str">
        <f>IFERROR(VLOOKUP($B29,'LOD 400 - UTLS'!$B:DB,105,FALSE),"N/A")</f>
        <v>N/A</v>
      </c>
      <c r="HE29" s="96" t="str">
        <f>IFERROR(__xludf.DUMMYFUNCTION("IFERROR(
  MAX(FILTER(GA29:HD29, ISNUMBER(GA29:HD29))),
  HD29
)"),"N/A")</f>
        <v>N/A</v>
      </c>
      <c r="HF29" s="99"/>
      <c r="HG29" s="99"/>
      <c r="HH29" s="99"/>
      <c r="HI29" s="99"/>
      <c r="HJ29" s="99"/>
      <c r="HK29" s="99"/>
    </row>
    <row r="30" ht="15.0" customHeight="1" outlineLevel="1">
      <c r="A30" s="53">
        <v>33.0</v>
      </c>
      <c r="B30" s="122" t="s">
        <v>148</v>
      </c>
      <c r="C30" s="122" t="s">
        <v>149</v>
      </c>
      <c r="D30" s="64" t="str">
        <f t="shared" si="1"/>
        <v>SITE</v>
      </c>
      <c r="E30" s="123" t="s">
        <v>150</v>
      </c>
      <c r="F30" s="123"/>
      <c r="G30" s="112" t="s">
        <v>150</v>
      </c>
      <c r="H30" s="116"/>
      <c r="I30" s="68" t="str">
        <f>IFERROR(VLOOKUP($C27:C108,'R22 RELATÓRIO ACC'!B:F,5,FALSE),"NOT PUBLISHED")</f>
        <v>V10</v>
      </c>
      <c r="J30" s="69" t="str">
        <f>IFERROR(VLOOKUP($C27:C108,'R22 RELATÓRIO ACC'!B:P,15,FALSE),"NOT PUBLISHED")</f>
        <v>11/05/2026</v>
      </c>
      <c r="K30" s="70" t="str">
        <f>IFERROR(VLOOKUP($B26:B108,'RELATÓRIO ACC'!B:F,5,FALSE),"NOT PUBLISHED")</f>
        <v>V3</v>
      </c>
      <c r="L30" s="71" t="str">
        <f>IFERROR(VLOOKUP($B26:B108,'RELATÓRIO ACC'!B:P,15,FALSE),"NOT PUBLISHED")</f>
        <v>09/06/2026</v>
      </c>
      <c r="M30" s="72" t="str">
        <f>IF(OR($D30="UTLS",$D30="GUAR",$D30="STIR",$D30="PUMP",$D30="SITE"),
   VLOOKUP($B30,'LOD 400 - SITE'!B:M,12,FALSE),
   VLOOKUP($B30,'LOD 400 - ADMN'!B:M,12,FALSE)
)</f>
        <v>V3</v>
      </c>
      <c r="N30" s="105">
        <f>IF(OR($D30="UTLS",$D30="GUAR",$D30="STIR",$D30="PUMP",$D30="SITE"),
   VLOOKUP($B30,'LOD 400 - SITE'!B:N,13,FALSE),
   VLOOKUP($B30,'LOD 400 - ADMN'!B:N,13,FALSE)
)</f>
        <v>46182</v>
      </c>
      <c r="O30" s="106" t="str">
        <f>IF(OR($D30="UTLS",$D30="GUAR",$D30="STIR",$D30="PUMP",$D30="SITE"),
   VLOOKUP($B30,'LOD 400 - SITE'!B:O,14,FALSE),
   VLOOKUP($B30,'LOD 400 - ADMN'!B:O,14,FALSE)
)</f>
        <v>R24</v>
      </c>
      <c r="P30" s="107" t="str">
        <f>IF(OR($D30="C345",$D30="C12A",$D30="DATA"),
   VLOOKUP($B30,'LOD 400 - COLO3'!B:M,12,FALSE),"N/A")</f>
        <v>N/A</v>
      </c>
      <c r="Q30" s="108" t="str">
        <f>IF(OR($D30="C345",$D30="C12A",$D30="DATA"),
   VLOOKUP($B30,'LOD 400 - COLO3'!B:N,13,FALSE),"N/A")</f>
        <v>N/A</v>
      </c>
      <c r="R30" s="75" t="str">
        <f>IF(OR($D30="C345",$D30="C12A",$D30="DATA"),
   VLOOKUP($B30,'LOD 400 - COLO3'!B:O,14,FALSE),"N/A")</f>
        <v>N/A</v>
      </c>
      <c r="S30" s="76" t="str">
        <f>IF(OR($D30="C345",$D30="C12A",$D30="DATA"),
   VLOOKUP($B30,'LOD 400 - COLO4'!B:N,12,FALSE),"N/A")</f>
        <v>N/A</v>
      </c>
      <c r="T30" s="76" t="str">
        <f>IF(OR($D30="C345",$D30="C12A",$D30="DATA"),
   VLOOKUP($B30,'LOD 400 - COLO4'!B:N,13,FALSE),"N/A")</f>
        <v>N/A</v>
      </c>
      <c r="U30" s="76" t="str">
        <f>IF(OR($D30="C345",$D30="C12A",$D30="DATA"),
   VLOOKUP($B30,'LOD 400 - COLO4'!B:N,13,FALSE),"N/A")</f>
        <v>N/A</v>
      </c>
      <c r="V30" s="77" t="str">
        <f>IF(OR($D30="UTLS",$D30="GUAR",$D30="STIR",$D30="PUMP",$D30="SITE"),
   VLOOKUP($B30,'LOD 400 - UTLS'!B:M,12,FALSE),"N/A")</f>
        <v>N/A</v>
      </c>
      <c r="W30" s="78" t="str">
        <f>IF(OR($D30="UTLS",$D30="GUAR",$D30="STIR",$D30="PUMP",$D30="SITE"),
   VLOOKUP($B30,'LOD 400 - UTLS'!B:N,13,FALSE),"N/A")</f>
        <v>N/A</v>
      </c>
      <c r="X30" s="108" t="str">
        <f>IF(OR($D30="UTLS",$D30="GUAR",$D30="STIR",$D30="PUMP",$D30="SITE"),
   VLOOKUP($B30,'LOD 400 - UTLS'!B:O,14,FALSE),"N/A")</f>
        <v>N/A</v>
      </c>
      <c r="Y30" s="79" t="str">
        <f>IFERROR(VLOOKUP($B30,'LOD 400 - ADMN'!B:S,18,FALSE),"N/A")</f>
        <v>N/A</v>
      </c>
      <c r="Z30" s="79" t="str">
        <f>IFERROR(VLOOKUP($B30,'LOD 400 - ADMN'!B:V,21,FALSE),"N/A")</f>
        <v>N/A</v>
      </c>
      <c r="AA30" s="79" t="str">
        <f>IFERROR(VLOOKUP($B30,'LOD 400 - ADMN'!$B:Y,24,FALSE),"N/A")</f>
        <v>N/A</v>
      </c>
      <c r="AB30" s="80" t="str">
        <f>IFERROR(VLOOKUP($B30,'LOD 400 - ADMN'!$B:AB,27,FALSE),"N/A")</f>
        <v>N/A</v>
      </c>
      <c r="AC30" s="81" t="str">
        <f>IFERROR(VLOOKUP($B30,'LOD 400 - ADMN'!$B:AE,30,FALSE),"N/A")</f>
        <v>N/A</v>
      </c>
      <c r="AD30" s="81" t="str">
        <f>IFERROR(VLOOKUP($B30,'LOD 400 - ADMN'!$B:AH,33,FALSE),"N/A")</f>
        <v>N/A</v>
      </c>
      <c r="AE30" s="80" t="str">
        <f>IFERROR(VLOOKUP($B30,'LOD 400 - ADMN'!$B:AK,36,FALSE),"N/A")</f>
        <v>N/A</v>
      </c>
      <c r="AF30" s="82" t="str">
        <f>IFERROR(VLOOKUP($B30,'LOD 400 - ADMN'!$B:AN,39,FALSE),"N/A")</f>
        <v>N/A</v>
      </c>
      <c r="AG30" s="83" t="str">
        <f>IFERROR(VLOOKUP($B30,'LOD 400 - ADMN'!$B:AQ,42,FALSE),"N/A")</f>
        <v>N/A</v>
      </c>
      <c r="AH30" s="84" t="str">
        <f>IFERROR(VLOOKUP($B30,'LOD 400 - ADMN'!$B:AT,45,FALSE),"N/A")</f>
        <v>N/A</v>
      </c>
      <c r="AI30" s="85" t="str">
        <f>IFERROR(VLOOKUP($B30,'LOD 400 - ADMN'!$B:AW,48,FALSE),"N/A")</f>
        <v>N/A</v>
      </c>
      <c r="AJ30" s="85" t="str">
        <f>IFERROR(VLOOKUP($B30,'LOD 400 - ADMN'!$B:AZ,51,FALSE),"N/A")</f>
        <v>N/A</v>
      </c>
      <c r="AK30" s="84" t="str">
        <f>IFERROR(VLOOKUP($B30,'LOD 400 - ADMN'!$B:BC,54,FALSE),"N/A")</f>
        <v>N/A</v>
      </c>
      <c r="AL30" s="84" t="str">
        <f>IFERROR(VLOOKUP($B30,'LOD 400 - ADMN'!$B:BF,57,FALSE),"N/A")</f>
        <v>N/A</v>
      </c>
      <c r="AM30" s="84" t="str">
        <f>IFERROR(VLOOKUP($B30,'LOD 400 - ADMN'!$B:BI,60,FALSE),"N/A")</f>
        <v>N/A</v>
      </c>
      <c r="AN30" s="84" t="str">
        <f>IFERROR(VLOOKUP($B30,'LOD 400 - ADMN'!$B:BL,63,FALSE),"N/A")</f>
        <v>N/A</v>
      </c>
      <c r="AO30" s="84" t="str">
        <f>IFERROR(VLOOKUP($B30,'LOD 400 - ADMN'!$B:BO,66,FALSE),"N/A")</f>
        <v>N/A</v>
      </c>
      <c r="AP30" s="84" t="str">
        <f>IFERROR(VLOOKUP($B30,'LOD 400 - ADMN'!$B:BR,69,FALSE),"N/A")</f>
        <v>N/A</v>
      </c>
      <c r="AQ30" s="84" t="str">
        <f>IFERROR(VLOOKUP($B30,'LOD 400 - ADMN'!$B:BU,72,FALSE),"N/A")</f>
        <v>N/A</v>
      </c>
      <c r="AR30" s="84" t="str">
        <f>IFERROR(VLOOKUP($B30,'LOD 400 - ADMN'!$B:BX,75,FALSE),"N/A")</f>
        <v>N/A</v>
      </c>
      <c r="AS30" s="84" t="str">
        <f>IFERROR(VLOOKUP($B30,'LOD 400 - ADMN'!$B:CA,78,FALSE),"N/A")</f>
        <v>N/A</v>
      </c>
      <c r="AT30" s="84" t="str">
        <f>IFERROR(VLOOKUP($B30,'LOD 400 - ADMN'!$B:CD,81,FALSE),"N/A")</f>
        <v>N/A</v>
      </c>
      <c r="AU30" s="85" t="str">
        <f>IFERROR(VLOOKUP($B30,'LOD 400 - ADMN'!$B:CG,84,FALSE),"N/A")</f>
        <v>N/A</v>
      </c>
      <c r="AV30" s="84" t="str">
        <f>IFERROR(VLOOKUP($B30,'LOD 400 - ADMN'!$B:CJ,87,FALSE),"N/A")</f>
        <v>N/A</v>
      </c>
      <c r="AW30" s="85" t="str">
        <f>IFERROR(VLOOKUP($B30,'LOD 400 - ADMN'!$B:CM,90,FALSE),"N/A")</f>
        <v>N/A</v>
      </c>
      <c r="AX30" s="84" t="str">
        <f>IFERROR(VLOOKUP($B30,'LOD 400 - ADMN'!$B:CP,93,FALSE),"N/A")</f>
        <v>N/A</v>
      </c>
      <c r="AY30" s="84" t="str">
        <f>IFERROR(VLOOKUP($B30,'LOD 400 - ADMN'!$B:CS,96,FALSE),"N/A")</f>
        <v>N/A</v>
      </c>
      <c r="AZ30" s="84" t="str">
        <f>IFERROR(VLOOKUP($B30,'LOD 400 - ADMN'!$B:CV,99,FALSE),"N/A")</f>
        <v>N/A</v>
      </c>
      <c r="BA30" s="84" t="str">
        <f>IFERROR(VLOOKUP($B30,'LOD 400 - ADMN'!$B:CY,102,FALSE),"N/A")</f>
        <v>N/A</v>
      </c>
      <c r="BB30" s="84" t="str">
        <f>IFERROR(VLOOKUP($B30,'LOD 400 - ADMN'!$B:DB,105,FALSE),"N/A")</f>
        <v>N/A</v>
      </c>
      <c r="BC30" s="84" t="str">
        <f>IFERROR(VLOOKUP($B30,'LOD 400 - ADMN'!$B:DE,108,FALSE),"N/A")</f>
        <v>N/A</v>
      </c>
      <c r="BD30" s="84" t="str">
        <f>IFERROR(VLOOKUP($B30,'LOD 400 - ADMN'!$B:DH,111,FALSE),"N/A")</f>
        <v>N/A</v>
      </c>
      <c r="BE30" s="84" t="str">
        <f>IFERROR(VLOOKUP($B30,'LOD 400 - ADMN'!$B:DK,114,FALSE),"N/A")</f>
        <v>N/A</v>
      </c>
      <c r="BF30" s="84" t="str">
        <f>IFERROR(VLOOKUP($B30,'LOD 400 - ADMN'!$B:DN,117,FALSE),"N/A")</f>
        <v>N/A</v>
      </c>
      <c r="BG30" s="86" t="str">
        <f>IFERROR(__xludf.DUMMYFUNCTION("IFERROR(
  MAX(FILTER(Y30:BF30, ISNUMBER(Y30:BF30))),
  BF30
)"),"N/A")</f>
        <v>N/A</v>
      </c>
      <c r="BH30" s="79" t="str">
        <f>IFERROR(VLOOKUP($B30,'LOD 400 - COLO1'!B:S,18,FALSE),"N/A")</f>
        <v>N/A</v>
      </c>
      <c r="BI30" s="79" t="str">
        <f>IFERROR(VLOOKUP($B30,'LOD 400 - COLO1'!B:V,21,FALSE),"N/A")</f>
        <v>N/A</v>
      </c>
      <c r="BJ30" s="79" t="str">
        <f>IFERROR(VLOOKUP($B30,'LOD 400 - COLO1'!$B:Y,24,FALSE),"N/A")</f>
        <v>N/A</v>
      </c>
      <c r="BK30" s="87" t="str">
        <f>IFERROR(VLOOKUP($B30,'LOD 400 - COLO1'!$B:AB,27,FALSE),"N/A")</f>
        <v>N/A</v>
      </c>
      <c r="BL30" s="80" t="str">
        <f>IFERROR(VLOOKUP($B30,'LOD 400 - COLO1'!$B:AE,30,FALSE),"N/A")</f>
        <v>N/A</v>
      </c>
      <c r="BM30" s="81" t="str">
        <f>IFERROR(VLOOKUP($B30,'LOD 400 - COLO1'!$B:AH,33,FALSE),"N/A")</f>
        <v>N/A</v>
      </c>
      <c r="BN30" s="87" t="str">
        <f>IFERROR(VLOOKUP($B30,'LOD 400 - COLO1'!$B:AK,36,FALSE),"N/A")</f>
        <v>N/A</v>
      </c>
      <c r="BO30" s="83" t="str">
        <f>IFERROR(VLOOKUP($B30,'LOD 400 - COLO1'!$B:AN,39,FALSE),"N/A")</f>
        <v>N/A</v>
      </c>
      <c r="BP30" s="88" t="str">
        <f>IFERROR(VLOOKUP($B30,'LOD 400 - COLO1'!$B:AQ,42,FALSE),"N/A")</f>
        <v>N/A</v>
      </c>
      <c r="BQ30" s="84" t="str">
        <f>IFERROR(VLOOKUP($B30,'LOD 400 - COLO1'!$B:AT,45,FALSE),"N/A")</f>
        <v>N/A</v>
      </c>
      <c r="BR30" s="85" t="str">
        <f>IFERROR(VLOOKUP($B30,'LOD 400 - COLO1'!$B:AW,48,FALSE),"N/A")</f>
        <v>N/A</v>
      </c>
      <c r="BS30" s="84" t="str">
        <f>IFERROR(VLOOKUP($B30,'LOD 400 - COLO1'!$B:AZ,51,FALSE),"N/A")</f>
        <v>N/A</v>
      </c>
      <c r="BT30" s="84" t="str">
        <f>IFERROR(VLOOKUP($B30,'LOD 400 - COLO1'!$B:BC,54,FALSE),"N/A")</f>
        <v>N/A</v>
      </c>
      <c r="BU30" s="84" t="str">
        <f>IFERROR(VLOOKUP($B30,'LOD 400 - COLO1'!$B:BF,57,FALSE),"N/A")</f>
        <v>N/A</v>
      </c>
      <c r="BV30" s="84" t="str">
        <f>IFERROR(VLOOKUP($B30,'LOD 400 - COLO1'!$B:BI,60,FALSE),"N/A")</f>
        <v>N/A</v>
      </c>
      <c r="BW30" s="84" t="str">
        <f>IFERROR(VLOOKUP($B30,'LOD 400 - COLO1'!$B:BL,63,FALSE),"N/A")</f>
        <v>N/A</v>
      </c>
      <c r="BX30" s="84" t="str">
        <f>IFERROR(VLOOKUP($B30,'LOD 400 - COLO1'!$B:BO,66,FALSE),"N/A")</f>
        <v>N/A</v>
      </c>
      <c r="BY30" s="84" t="str">
        <f>IFERROR(VLOOKUP($B30,'LOD 400 - COLO1'!$B:BR,69,FALSE),"N/A")</f>
        <v>N/A</v>
      </c>
      <c r="BZ30" s="84" t="str">
        <f>IFERROR(VLOOKUP($B30,'LOD 400 - COLO1'!$B:BU,72,FALSE),"N/A")</f>
        <v>N/A</v>
      </c>
      <c r="CA30" s="84" t="str">
        <f>IFERROR(VLOOKUP($B30,'LOD 400 - COLO1'!$B:BX,75,FALSE),"N/A")</f>
        <v>N/A</v>
      </c>
      <c r="CB30" s="84" t="str">
        <f>IFERROR(VLOOKUP($B30,'LOD 400 - COLO1'!$B:CA,78,FALSE),"N/A")</f>
        <v>N/A</v>
      </c>
      <c r="CC30" s="84" t="str">
        <f>IFERROR(VLOOKUP($B30,'LOD 400 - COLO1'!$B:CD,81,FALSE),"N/A")</f>
        <v>N/A</v>
      </c>
      <c r="CD30" s="85" t="str">
        <f>IFERROR(VLOOKUP($B30,'LOD 400 - COLO1'!$B:CG,84,FALSE),"N/A")</f>
        <v>N/A</v>
      </c>
      <c r="CE30" s="84" t="str">
        <f>IFERROR(VLOOKUP($B30,'LOD 400 - COLO1'!$B:CJ,87,FALSE),"N/A")</f>
        <v>N/A</v>
      </c>
      <c r="CF30" s="85" t="str">
        <f>IFERROR(VLOOKUP($B30,'LOD 400 - COLO1'!$B:CM,90,FALSE),"N/A")</f>
        <v>N/A</v>
      </c>
      <c r="CG30" s="84" t="str">
        <f>IFERROR(VLOOKUP($B30,'LOD 400 - COLO1'!$B:CP,93,FALSE),"N/A")</f>
        <v>N/A</v>
      </c>
      <c r="CH30" s="84" t="str">
        <f>IFERROR(VLOOKUP($B30,'LOD 400 - COLO1'!$B:CS,96,FALSE),"N/A")</f>
        <v>N/A</v>
      </c>
      <c r="CI30" s="84" t="str">
        <f>IFERROR(VLOOKUP($B30,'LOD 400 - COLO1'!$B:CV,99,FALSE),"N/A")</f>
        <v>N/A</v>
      </c>
      <c r="CJ30" s="84" t="str">
        <f>IFERROR(VLOOKUP($B30,'LOD 400 - COLO1'!$B:CY,102,FALSE),"N/A")</f>
        <v>N/A</v>
      </c>
      <c r="CK30" s="84" t="str">
        <f>IFERROR(VLOOKUP($B30,'LOD 400 - COLO1'!$B:DB,105,FALSE),"N/A")</f>
        <v>N/A</v>
      </c>
      <c r="CL30" s="84" t="str">
        <f>IFERROR(VLOOKUP($B30,'LOD 400 - COLO1'!$B:DE,108,FALSE),"N/A")</f>
        <v>N/A</v>
      </c>
      <c r="CM30" s="84" t="str">
        <f>IFERROR(VLOOKUP($B30,'LOD 400 - COLO1'!$B:DH,111,FALSE),"N/A")</f>
        <v>N/A</v>
      </c>
      <c r="CN30" s="84" t="str">
        <f>IFERROR(VLOOKUP($B30,'LOD 400 - COLO1'!$B:DK,114,FALSE),"N/A")</f>
        <v>N/A</v>
      </c>
      <c r="CO30" s="84" t="str">
        <f>IFERROR(VLOOKUP($B30,'LOD 400 - COLO1'!$B:DN,117,FALSE),"N/A")</f>
        <v>N/A</v>
      </c>
      <c r="CP30" s="86" t="str">
        <f>IFERROR(__xludf.DUMMYFUNCTION("IFERROR(
  MAX(FILTER(BH30:CO30, ISNUMBER(BH30:CO30))),
  CO30
)"),"N/A")</f>
        <v>N/A</v>
      </c>
      <c r="CQ30" s="89" t="str">
        <f>IFERROR(VLOOKUP($B30,'LOD 400 - COLO2'!B:S,18,FALSE),"N/A")</f>
        <v>N/A</v>
      </c>
      <c r="CR30" s="79" t="str">
        <f>IFERROR(VLOOKUP($B30,'LOD 400 - COLO2'!B:V,21,FALSE),"N/A")</f>
        <v>N/A</v>
      </c>
      <c r="CS30" s="79" t="str">
        <f>IFERROR(VLOOKUP($B30,'LOD 400 - COLO2'!$B:Y,24,FALSE),"N/A")</f>
        <v>N/A</v>
      </c>
      <c r="CT30" s="80" t="str">
        <f>IFERROR(VLOOKUP($B30,'LOD 400 - COLO2'!$B:DQ,27,FALSE),"N/A")</f>
        <v>N/A</v>
      </c>
      <c r="CU30" s="90" t="str">
        <f>IFERROR(VLOOKUP($B30,'LOD 400 - COLO2'!$B:AE,30,FALSE),"N/A")</f>
        <v>N/A</v>
      </c>
      <c r="CV30" s="81" t="str">
        <f>IFERROR(VLOOKUP($B30,'LOD 400 - COLO2'!$B:AH,33,FALSE),"N/A")</f>
        <v>N/A</v>
      </c>
      <c r="CW30" s="90" t="str">
        <f>IFERROR(VLOOKUP($B30,'LOD 400 - COLO2'!$B:AK,36,FALSE),"N/A")</f>
        <v>N/A</v>
      </c>
      <c r="CX30" s="85" t="str">
        <f>IFERROR(VLOOKUP($B30,'LOD 400 - COLO2'!$B:AN,39,FALSE),"N/A")</f>
        <v>N/A</v>
      </c>
      <c r="CY30" s="88" t="str">
        <f>IFERROR(VLOOKUP($B30,'LOD 400 - COLO2'!$B:AQ,42,FALSE),"N/A")</f>
        <v>N/A</v>
      </c>
      <c r="CZ30" s="84" t="str">
        <f>IFERROR(VLOOKUP($B30,'LOD 400 - COLO2'!$B:AT,45,FALSE),"N/A")</f>
        <v>N/A</v>
      </c>
      <c r="DA30" s="85" t="str">
        <f>IFERROR(VLOOKUP($B30,'LOD 400 - COLO2'!$B:AW,48,FALSE),"N/A")</f>
        <v>N/A</v>
      </c>
      <c r="DB30" s="84" t="str">
        <f>IFERROR(VLOOKUP($B30,'LOD 400 - COLO2'!$B:AZ,51,FALSE),"N/A")</f>
        <v>N/A</v>
      </c>
      <c r="DC30" s="84" t="str">
        <f>IFERROR(VLOOKUP($B30,'LOD 400 - COLO2'!$B:BC,54,FALSE),"N/A")</f>
        <v>N/A</v>
      </c>
      <c r="DD30" s="84" t="str">
        <f>IFERROR(VLOOKUP($B30,'LOD 400 - COLO2'!$B:BF,57,FALSE),"N/A")</f>
        <v>N/A</v>
      </c>
      <c r="DE30" s="84" t="str">
        <f>IFERROR(VLOOKUP($B30,'LOD 400 - COLO2'!$B:BI,60,FALSE),"N/A")</f>
        <v>N/A</v>
      </c>
      <c r="DF30" s="84" t="str">
        <f>IFERROR(VLOOKUP($B30,'LOD 400 - COLO2'!$B:BL,63,FALSE),"N/A")</f>
        <v>N/A</v>
      </c>
      <c r="DG30" s="84" t="str">
        <f>IFERROR(VLOOKUP($B30,'LOD 400 - COLO2'!$B:BO,66,FALSE),"N/A")</f>
        <v>N/A</v>
      </c>
      <c r="DH30" s="84" t="str">
        <f>IFERROR(VLOOKUP($B30,'LOD 400 - COLO2'!$B:BR,69,FALSE),"N/A")</f>
        <v>N/A</v>
      </c>
      <c r="DI30" s="84" t="str">
        <f>IFERROR(VLOOKUP($B30,'LOD 400 - COLO2'!$B:BU,72,FALSE),"N/A")</f>
        <v>N/A</v>
      </c>
      <c r="DJ30" s="84" t="str">
        <f>IFERROR(VLOOKUP($B30,'LOD 400 - COLO2'!$B:BX,75,FALSE),"N/A")</f>
        <v>N/A</v>
      </c>
      <c r="DK30" s="84" t="str">
        <f>IFERROR(VLOOKUP($B30,'LOD 400 - COLO2'!$B:CA,78,FALSE),"N/A")</f>
        <v>N/A</v>
      </c>
      <c r="DL30" s="84" t="str">
        <f>IFERROR(VLOOKUP($B30,'LOD 400 - COLO2'!$B:CD,81,FALSE),"N/A")</f>
        <v>N/A</v>
      </c>
      <c r="DM30" s="85" t="str">
        <f>IFERROR(VLOOKUP($B30,'LOD 400 - COLO2'!$B:CG,84,FALSE),"N/A")</f>
        <v>N/A</v>
      </c>
      <c r="DN30" s="84" t="str">
        <f>IFERROR(VLOOKUP($B30,'LOD 400 - COLO2'!$B:CJ,87,FALSE),"N/A")</f>
        <v>N/A</v>
      </c>
      <c r="DO30" s="85" t="str">
        <f>IFERROR(VLOOKUP($B30,'LOD 400 - COLO2'!$B:CM,90,FALSE),"N/A")</f>
        <v>N/A</v>
      </c>
      <c r="DP30" s="84" t="str">
        <f>IFERROR(VLOOKUP($B30,'LOD 400 - COLO2'!$B:CP,93,FALSE),"N/A")</f>
        <v>N/A</v>
      </c>
      <c r="DQ30" s="84" t="str">
        <f>IFERROR(VLOOKUP($B30,'LOD 400 - COLO2'!$B:CS,96,FALSE),"N/A")</f>
        <v>N/A</v>
      </c>
      <c r="DR30" s="84" t="str">
        <f>IFERROR(VLOOKUP($B30,'LOD 400 - COLO2'!$B:CV,99,FALSE),"N/A")</f>
        <v>N/A</v>
      </c>
      <c r="DS30" s="84" t="str">
        <f>IFERROR(VLOOKUP($B30,'LOD 400 - COLO2'!$B:CY,102,FALSE),"N/A")</f>
        <v>N/A</v>
      </c>
      <c r="DT30" s="84" t="str">
        <f>IFERROR(VLOOKUP($B30,'LOD 400 - COLO2'!$B:DB,105,FALSE),"N/A")</f>
        <v>N/A</v>
      </c>
      <c r="DU30" s="84" t="str">
        <f>IFERROR(VLOOKUP($B30,'LOD 400 - COLO2'!$B:DE,108,FALSE),"N/A")</f>
        <v>N/A</v>
      </c>
      <c r="DV30" s="84" t="str">
        <f>IFERROR(VLOOKUP($B30,'LOD 400 - COLO2'!$B:DH,111,FALSE),"N/A")</f>
        <v>N/A</v>
      </c>
      <c r="DW30" s="84" t="str">
        <f>IFERROR(VLOOKUP($B30,'LOD 400 - COLO2'!$B:DK,114,FALSE),"N/A")</f>
        <v>N/A</v>
      </c>
      <c r="DX30" s="84" t="str">
        <f>IFERROR(VLOOKUP($B30,'LOD 400 - COLO2'!$B:DN,117,FALSE),"N/A")</f>
        <v>N/A</v>
      </c>
      <c r="DY30" s="91" t="str">
        <f>IFERROR(__xludf.DUMMYFUNCTION("IFERROR(
  MAX(FILTER(CQ30:DW30, ISNUMBER(CQ30:DW30))),
  DW30
)"),"N/A")</f>
        <v>N/A</v>
      </c>
      <c r="DZ30" s="92" t="str">
        <f>IFERROR(VLOOKUP($B30,'LOD 400 - COLO3'!B:S,18,FALSE),"N/A")</f>
        <v>N/A</v>
      </c>
      <c r="EA30" s="84" t="str">
        <f>IFERROR(VLOOKUP($B30,'LOD 400 - COLO3'!B:V,21,FALSE),"N/A")</f>
        <v>N/A</v>
      </c>
      <c r="EB30" s="84" t="str">
        <f>IFERROR(VLOOKUP($B30,'LOD 400 - COLO3'!B:Y,24,FALSE),"N/A")</f>
        <v>N/A</v>
      </c>
      <c r="EC30" s="84" t="str">
        <f>IFERROR(VLOOKUP($B30,'LOD 400 - COLO3'!B:AB,27,FALSE),"N/A")</f>
        <v>N/A</v>
      </c>
      <c r="ED30" s="85" t="str">
        <f>IFERROR(VLOOKUP($B30,'LOD 400 - COLO3'!B:AE,30,FALSE),"N/A")</f>
        <v>N/A</v>
      </c>
      <c r="EE30" s="84" t="str">
        <f>IFERROR(VLOOKUP($B30,'LOD 400 - COLO3'!B:AH,33,FALSE),"N/A")</f>
        <v>N/A</v>
      </c>
      <c r="EF30" s="84" t="str">
        <f>IFERROR(VLOOKUP($B30,'LOD 400 - COLO3'!B:AK,36,FALSE),"N/A")</f>
        <v>N/A</v>
      </c>
      <c r="EG30" s="109" t="str">
        <f>IFERROR(VLOOKUP($B30,'LOD 400 - COLO3'!B:AN,39,FALSE),"N/A")</f>
        <v>N/A</v>
      </c>
      <c r="EH30" s="94" t="str">
        <f>IFERROR(VLOOKUP($B30,'LOD 400 - COLO3'!B:AQ,42,FALSE),"N/A")</f>
        <v>N/A</v>
      </c>
      <c r="EI30" s="94" t="str">
        <f>IFERROR(VLOOKUP($B30,'LOD 400 - COLO3'!B:AT,45,FALSE),"N/A")</f>
        <v>N/A</v>
      </c>
      <c r="EJ30" s="94" t="str">
        <f>IFERROR(VLOOKUP($B30,'LOD 400 - COLO3'!B:AW,48,FALSE),"N/A")</f>
        <v>N/A</v>
      </c>
      <c r="EK30" s="94" t="str">
        <f>IFERROR(VLOOKUP($B30,'LOD 400 - COLO3'!B:AZ,51,FALSE),"N/A")</f>
        <v>N/A</v>
      </c>
      <c r="EL30" s="94" t="str">
        <f>IFERROR(VLOOKUP($B30,'LOD 400 - COLO3'!B:BC,54,FALSE),"N/A")</f>
        <v>N/A</v>
      </c>
      <c r="EM30" s="94" t="str">
        <f>IFERROR(VLOOKUP($B30,'LOD 400 - COLO3'!B:BF,57,FALSE),"N/A")</f>
        <v>N/A</v>
      </c>
      <c r="EN30" s="94" t="str">
        <f>IFERROR(VLOOKUP($B30,'LOD 400 - COLO3'!B:BI,60,FALSE),"N/A")</f>
        <v>N/A</v>
      </c>
      <c r="EO30" s="94" t="str">
        <f>IFERROR(VLOOKUP($B30,'LOD 400 - COLO3'!B:BL,63,FALSE),"N/A")</f>
        <v>N/A</v>
      </c>
      <c r="EP30" s="86" t="str">
        <f>IFERROR(__xludf.DUMMYFUNCTION("IFERROR(
  MAX(FILTER(DZ30:EO30, ISNUMBER(DZ30:EO30))),
  EO30
)"),"N/A")</f>
        <v>N/A</v>
      </c>
      <c r="EQ30" s="95" t="str">
        <f>IFERROR(VLOOKUP($B30,'LOD 400 - COLO4'!B:S,18,FALSE),"N/A")</f>
        <v>N/A</v>
      </c>
      <c r="ER30" s="96" t="str">
        <f>IFERROR(__xludf.DUMMYFUNCTION("IFERROR(
  MAX(FILTER(EQ30, ISNUMBER(EQ30))),
  EQ30
)"),"N/A")</f>
        <v>N/A</v>
      </c>
      <c r="ES30" s="79" t="str">
        <f>IFERROR(VLOOKUP($B30,'LOD 400 - SITE'!B:S,18,FALSE),"N/A")</f>
        <v>NOT PUBLISHED</v>
      </c>
      <c r="ET30" s="80" t="str">
        <f>IFERROR(VLOOKUP($B30,'LOD 400 - SITE'!B:V,21,FALSE),"N/A")</f>
        <v>NOT PUBLISHED</v>
      </c>
      <c r="EU30" s="97" t="str">
        <f>IFERROR(VLOOKUP($B30,'LOD 400 - SITE'!$B:Y,24,FALSE),"N/A")</f>
        <v>NOT PUBLISHED</v>
      </c>
      <c r="EV30" s="80" t="str">
        <f>IFERROR(VLOOKUP($B30,'LOD 400 - SITE'!$B:AB,27,FALSE),"N/A")</f>
        <v>NOT PUBLISHED</v>
      </c>
      <c r="EW30" s="81" t="str">
        <f>IFERROR(VLOOKUP($B30,'LOD 400 - SITE'!$B:AE,30,FALSE),"N/A")</f>
        <v>NOT PUBLISHED</v>
      </c>
      <c r="EX30" s="87" t="str">
        <f>IFERROR(VLOOKUP($B30,'LOD 400 - SITE'!$B:AH,33,FALSE),"N/A")</f>
        <v>NOT PUBLISHED</v>
      </c>
      <c r="EY30" s="87" t="str">
        <f>IFERROR(VLOOKUP($B30,'LOD 400 - SITE'!$B:AK,36,FALSE),"N/A")</f>
        <v>NOT PUBLISHED</v>
      </c>
      <c r="EZ30" s="80" t="str">
        <f>IFERROR(VLOOKUP($B30,'LOD 400 - SITE'!$B:AN,39,FALSE),"N/A")</f>
        <v>NOT PUBLISHED</v>
      </c>
      <c r="FA30" s="82" t="str">
        <f>IFERROR(VLOOKUP($B30,'LOD 400 - SITE'!$B:AQ,42,FALSE),"N/A")</f>
        <v>NOT PUBLISHED</v>
      </c>
      <c r="FB30" s="88" t="str">
        <f>IFERROR(VLOOKUP($B30,'LOD 400 - SITE'!$B:AT,45,FALSE),"N/A")</f>
        <v>NOT PUBLISHED</v>
      </c>
      <c r="FC30" s="84" t="str">
        <f>IFERROR(VLOOKUP($B30,'LOD 400 - SITE'!$B:AW,48,FALSE),"N/A")</f>
        <v>NOT PUBLISHED</v>
      </c>
      <c r="FD30" s="84" t="str">
        <f>IFERROR(VLOOKUP($B30,'LOD 400 - SITE'!$B:AZ,51,FALSE),"N/A")</f>
        <v>NOT PUBLISHED</v>
      </c>
      <c r="FE30" s="84" t="str">
        <f>IFERROR(VLOOKUP($B30,'LOD 400 - SITE'!$B:BC,54,FALSE),"N/A")</f>
        <v>IMPROPER</v>
      </c>
      <c r="FF30" s="84" t="str">
        <f>IFERROR(VLOOKUP($B30,'LOD 400 - SITE'!$B:BF,57,FALSE),"N/A")</f>
        <v>NEXT ROUND </v>
      </c>
      <c r="FG30" s="84" t="str">
        <f>IFERROR(VLOOKUP($B30,'LOD 400 - SITE'!$B:BI,60,FALSE),"N/A")</f>
        <v>NEXT ROUND </v>
      </c>
      <c r="FH30" s="84" t="str">
        <f>IFERROR(VLOOKUP($B30,'LOD 400 - SITE'!$B:BL,63,FALSE),"N/A")</f>
        <v>NEXT ROUND </v>
      </c>
      <c r="FI30" s="84">
        <f>IFERROR(VLOOKUP($B30,'LOD 400 - SITE'!$B:BO,66,FALSE),"N/A")</f>
        <v>0</v>
      </c>
      <c r="FJ30" s="84">
        <f>IFERROR(VLOOKUP($B30,'LOD 400 - SITE'!$B:BR,69,FALSE),"N/A")</f>
        <v>0.54</v>
      </c>
      <c r="FK30" s="84">
        <f>IFERROR(VLOOKUP($B30,'LOD 400 - SITE'!$B:BU,72,FALSE),"N/A")</f>
        <v>0.58</v>
      </c>
      <c r="FL30" s="84" t="str">
        <f>IFERROR(VLOOKUP($B30,'LOD 400 - SITE'!$B:BX,75,FALSE),"N/A")</f>
        <v>IMPROPER</v>
      </c>
      <c r="FM30" s="84" t="str">
        <f>IFERROR(VLOOKUP($B30,'LOD 400 - SITE'!$B:CA,78,FALSE),"N/A")</f>
        <v>OUTDATED</v>
      </c>
      <c r="FN30" s="85" t="str">
        <f>IFERROR(VLOOKUP($B30,'LOD 400 - SITE'!$B:CD,81,FALSE),"N/A")</f>
        <v>NEXT ROUND</v>
      </c>
      <c r="FO30" s="84" t="str">
        <f>IFERROR(VLOOKUP($B30,'LOD 400 - SITE'!$B:CG,84,FALSE),"N/A")</f>
        <v>IMPROPER</v>
      </c>
      <c r="FP30" s="85" t="str">
        <f>IFERROR(VLOOKUP($B30,'LOD 400 - SITE'!$B:CJ,87,FALSE),"N/A")</f>
        <v>NEXT ROUND</v>
      </c>
      <c r="FQ30" s="84" t="str">
        <f>IFERROR(VLOOKUP($B30,'LOD 400 - SITE'!$B:CM,90,FALSE),"N/A")</f>
        <v>NEXT ROUND </v>
      </c>
      <c r="FR30" s="84" t="str">
        <f>IFERROR(VLOOKUP($B30,'LOD 400 - SITE'!$B:CP,93,FALSE),"N/A")</f>
        <v>NEXT ROUND</v>
      </c>
      <c r="FS30" s="84">
        <f>IFERROR(VLOOKUP($B30,'LOD 400 - SITE'!$B:CS,96,FALSE),"N/A")</f>
        <v>1</v>
      </c>
      <c r="FT30" s="84">
        <f>IFERROR(VLOOKUP($B30,'LOD 400 - SITE'!$B:CV,99,FALSE),"N/A")</f>
        <v>1</v>
      </c>
      <c r="FU30" s="84">
        <f>IFERROR(VLOOKUP($B30,'LOD 400 - SITE'!$B:CY,102,FALSE),"N/A")</f>
        <v>1</v>
      </c>
      <c r="FV30" s="84">
        <f>IFERROR(VLOOKUP($B30,'LOD 400 - SITE'!$B:DB,105,FALSE),"N/A")</f>
        <v>1</v>
      </c>
      <c r="FW30" s="84">
        <f>IFERROR(VLOOKUP($B30,'LOD 400 - SITE'!$B:DE,108,FALSE),"N/A")</f>
        <v>1</v>
      </c>
      <c r="FX30" s="84">
        <f>IFERROR(VLOOKUP($B30,'LOD 400 - SITE'!$B:DH,111,FALSE),"N/A")</f>
        <v>1</v>
      </c>
      <c r="FY30" s="84">
        <f>IFERROR(VLOOKUP($B30,'LOD 400 - SITE'!$B:DK,114,FALSE),"N/A")</f>
        <v>1</v>
      </c>
      <c r="FZ30" s="96">
        <f>IFERROR(__xludf.DUMMYFUNCTION("IFERROR(
  MAX(FILTER(ES30:FY30, ISNUMBER(ES30:FY30))),
  FY30
)"),1.0)</f>
        <v>1</v>
      </c>
      <c r="GA30" s="80" t="str">
        <f>IFERROR(VLOOKUP($B30,'LOD 400 - UTLS'!B:S,18,FALSE),"N/A")</f>
        <v>N/A</v>
      </c>
      <c r="GB30" s="98" t="str">
        <f>IFERROR(VLOOKUP($B30,'LOD 400 - UTLS'!B:V,21,FALSE),"N/A")</f>
        <v>N/A</v>
      </c>
      <c r="GC30" s="81" t="str">
        <f>IFERROR(VLOOKUP($B30,'LOD 400 - UTLS'!B:Y,24,FALSE),"N/A")</f>
        <v>N/A</v>
      </c>
      <c r="GD30" s="87" t="str">
        <f>IFERROR(VLOOKUP($B30,'LOD 400 - UTLS'!$B:AB,27,FALSE),"N/A")</f>
        <v>N/A</v>
      </c>
      <c r="GE30" s="80" t="str">
        <f>IFERROR(VLOOKUP($B30,'LOD 400 - UTLS'!$B:AE,30,FALSE),"N/A")</f>
        <v>N/A</v>
      </c>
      <c r="GF30" s="82" t="str">
        <f>IFERROR(VLOOKUP($B30,'LOD 400 - UTLS'!$B:AH,33,FALSE),"N/A")</f>
        <v>N/A</v>
      </c>
      <c r="GG30" s="88" t="str">
        <f>IFERROR(VLOOKUP($B30,'LOD 400 - UTLS'!$B:AK,36,FALSE),"N/A")</f>
        <v>N/A</v>
      </c>
      <c r="GH30" s="84" t="str">
        <f>IFERROR(VLOOKUP($B30,'LOD 400 - UTLS'!$B:AN,39,FALSE),"N/A")</f>
        <v>N/A</v>
      </c>
      <c r="GI30" s="84" t="str">
        <f>IFERROR(VLOOKUP($B30,'LOD 400 - UTLS'!$B:AQ,42,FALSE),"N/A")</f>
        <v>N/A</v>
      </c>
      <c r="GJ30" s="84" t="str">
        <f>IFERROR(VLOOKUP($B30,'LOD 400 - UTLS'!$B:AT,45,FALSE),"N/A")</f>
        <v>N/A</v>
      </c>
      <c r="GK30" s="84" t="str">
        <f>IFERROR(VLOOKUP($B30,'LOD 400 - UTLS'!$B:AW,48,FALSE),"N/A")</f>
        <v>N/A</v>
      </c>
      <c r="GL30" s="84" t="str">
        <f>IFERROR(VLOOKUP($B30,'LOD 400 - UTLS'!$B:AZ,51,FALSE),"N/A")</f>
        <v>N/A</v>
      </c>
      <c r="GM30" s="84" t="str">
        <f>IFERROR(VLOOKUP($B30,'LOD 400 - UTLS'!$B:BC,54,FALSE),"N/A")</f>
        <v>N/A</v>
      </c>
      <c r="GN30" s="84" t="str">
        <f>IFERROR(VLOOKUP($B30,'LOD 400 - UTLS'!$B:BF,57,FALSE),"N/A")</f>
        <v>N/A</v>
      </c>
      <c r="GO30" s="84" t="str">
        <f>IFERROR(VLOOKUP($B30,'LOD 400 - UTLS'!$B:BI,60,FALSE),"N/A")</f>
        <v>N/A</v>
      </c>
      <c r="GP30" s="84" t="str">
        <f>IFERROR(VLOOKUP($B30,'LOD 400 - UTLS'!$B:BL,63,FALSE),"N/A")</f>
        <v>N/A</v>
      </c>
      <c r="GQ30" s="84" t="str">
        <f>IFERROR(VLOOKUP($B30,'LOD 400 - UTLS'!$B:BO,66,FALSE),"N/A")</f>
        <v>N/A</v>
      </c>
      <c r="GR30" s="84" t="str">
        <f>IFERROR(VLOOKUP($B30,'LOD 400 - UTLS'!$B:BR,69,FALSE),"N/A")</f>
        <v>N/A</v>
      </c>
      <c r="GS30" s="85" t="str">
        <f>IFERROR(VLOOKUP($B30,'LOD 400 - UTLS'!$B:BU,72,FALSE),"N/A")</f>
        <v>N/A</v>
      </c>
      <c r="GT30" s="84" t="str">
        <f>IFERROR(VLOOKUP($B30,'LOD 400 - UTLS'!$B:BX,75,FALSE),"N/A")</f>
        <v>N/A</v>
      </c>
      <c r="GU30" s="85" t="str">
        <f>IFERROR(VLOOKUP($B30,'LOD 400 - UTLS'!$B:CA,78,FALSE),"N/A")</f>
        <v>N/A</v>
      </c>
      <c r="GV30" s="84" t="str">
        <f>IFERROR(VLOOKUP($B30,'LOD 400 - UTLS'!$B:CD,81,FALSE),"N/A")</f>
        <v>N/A</v>
      </c>
      <c r="GW30" s="84" t="str">
        <f>IFERROR(VLOOKUP($B30,'LOD 400 - UTLS'!$B:CG,84,FALSE),"N/A")</f>
        <v>N/A</v>
      </c>
      <c r="GX30" s="84" t="str">
        <f>IFERROR(VLOOKUP($B30,'LOD 400 - UTLS'!$B:CJ,87,FALSE),"N/A")</f>
        <v>N/A</v>
      </c>
      <c r="GY30" s="84" t="str">
        <f>IFERROR(VLOOKUP($B30,'LOD 400 - UTLS'!$B:CM,90,FALSE),"N/A")</f>
        <v>N/A</v>
      </c>
      <c r="GZ30" s="84" t="str">
        <f>IFERROR(VLOOKUP($B30,'LOD 400 - UTLS'!$B:CP,93,FALSE),"N/A")</f>
        <v>N/A</v>
      </c>
      <c r="HA30" s="84" t="str">
        <f>IFERROR(VLOOKUP($B30,'LOD 400 - UTLS'!$B:CS,96,FALSE),"N/A")</f>
        <v>N/A</v>
      </c>
      <c r="HB30" s="84" t="str">
        <f>IFERROR(VLOOKUP($B30,'LOD 400 - UTLS'!$B:CV,99,FALSE),"N/A")</f>
        <v>N/A</v>
      </c>
      <c r="HC30" s="84" t="str">
        <f>IFERROR(VLOOKUP($B30,'LOD 400 - UTLS'!$B:CY,102,FALSE),"N/A")</f>
        <v>N/A</v>
      </c>
      <c r="HD30" s="84" t="str">
        <f>IFERROR(VLOOKUP($B30,'LOD 400 - UTLS'!$B:DB,105,FALSE),"N/A")</f>
        <v>N/A</v>
      </c>
      <c r="HE30" s="96" t="str">
        <f>IFERROR(__xludf.DUMMYFUNCTION("IFERROR(
  MAX(FILTER(GA30:HD30, ISNUMBER(GA30:HD30))),
  HD30
)"),"N/A")</f>
        <v>N/A</v>
      </c>
      <c r="HF30" s="99"/>
      <c r="HG30" s="99"/>
      <c r="HH30" s="99"/>
      <c r="HI30" s="99"/>
      <c r="HJ30" s="99"/>
      <c r="HK30" s="99"/>
    </row>
    <row r="31" ht="15.0" hidden="1" customHeight="1">
      <c r="A31" s="53">
        <v>35.0</v>
      </c>
      <c r="B31" s="124" t="s">
        <v>151</v>
      </c>
      <c r="C31" s="125"/>
      <c r="D31" s="126" t="str">
        <f>VLOOKUP(B31, 'LOD 400 - COLO1'!$B$1:$S$63, 2, FALSE)</f>
        <v/>
      </c>
      <c r="E31" s="126"/>
      <c r="F31" s="126"/>
      <c r="G31" s="127"/>
      <c r="H31" s="126"/>
      <c r="I31" s="126"/>
      <c r="J31" s="128"/>
      <c r="K31" s="129"/>
      <c r="L31" s="130"/>
      <c r="M31" s="126"/>
      <c r="N31" s="131"/>
      <c r="O31" s="132"/>
      <c r="P31" s="133"/>
      <c r="Q31" s="134"/>
      <c r="R31" s="135"/>
      <c r="S31" s="136"/>
      <c r="T31" s="136"/>
      <c r="U31" s="137"/>
      <c r="V31" s="138"/>
      <c r="W31" s="126"/>
      <c r="X31" s="134"/>
      <c r="Y31" s="127"/>
      <c r="Z31" s="127"/>
      <c r="AA31" s="127"/>
      <c r="AB31" s="127"/>
      <c r="AC31" s="127"/>
      <c r="AD31" s="127"/>
      <c r="AE31" s="127"/>
      <c r="AF31" s="127"/>
      <c r="AG31" s="127"/>
      <c r="AH31" s="127"/>
      <c r="AI31" s="127"/>
      <c r="AJ31" s="127"/>
      <c r="AK31" s="127"/>
      <c r="AL31" s="127"/>
      <c r="AM31" s="127"/>
      <c r="AN31" s="127"/>
      <c r="AO31" s="127"/>
      <c r="AP31" s="127"/>
      <c r="AQ31" s="127"/>
      <c r="AR31" s="127"/>
      <c r="AS31" s="127"/>
      <c r="AT31" s="126"/>
      <c r="AU31" s="126"/>
      <c r="AV31" s="134"/>
      <c r="AW31" s="135"/>
      <c r="AX31" s="134"/>
      <c r="AY31" s="135"/>
      <c r="AZ31" s="135"/>
      <c r="BA31" s="135"/>
      <c r="BB31" s="135"/>
      <c r="BC31" s="135"/>
      <c r="BD31" s="135"/>
      <c r="BE31" s="135"/>
      <c r="BF31" s="135"/>
      <c r="BG31" s="139"/>
      <c r="BH31" s="127"/>
      <c r="BI31" s="127"/>
      <c r="BJ31" s="127"/>
      <c r="BK31" s="127"/>
      <c r="BL31" s="127"/>
      <c r="BM31" s="127"/>
      <c r="BN31" s="127"/>
      <c r="BO31" s="127"/>
      <c r="BP31" s="127"/>
      <c r="BQ31" s="127"/>
      <c r="BR31" s="127"/>
      <c r="BS31" s="127"/>
      <c r="BT31" s="127"/>
      <c r="BU31" s="127"/>
      <c r="BV31" s="127"/>
      <c r="BW31" s="127"/>
      <c r="BX31" s="127"/>
      <c r="BY31" s="127"/>
      <c r="BZ31" s="127"/>
      <c r="CA31" s="127"/>
      <c r="CB31" s="127"/>
      <c r="CC31" s="126"/>
      <c r="CD31" s="126"/>
      <c r="CE31" s="134"/>
      <c r="CF31" s="135"/>
      <c r="CG31" s="134"/>
      <c r="CH31" s="135"/>
      <c r="CI31" s="135"/>
      <c r="CJ31" s="135"/>
      <c r="CK31" s="135"/>
      <c r="CL31" s="135"/>
      <c r="CM31" s="135"/>
      <c r="CN31" s="135"/>
      <c r="CO31" s="135"/>
      <c r="CP31" s="139"/>
      <c r="CQ31" s="127"/>
      <c r="CR31" s="127"/>
      <c r="CS31" s="127"/>
      <c r="CT31" s="127"/>
      <c r="CU31" s="127"/>
      <c r="CV31" s="127"/>
      <c r="CW31" s="127"/>
      <c r="CX31" s="127"/>
      <c r="CY31" s="127"/>
      <c r="CZ31" s="127"/>
      <c r="DA31" s="127"/>
      <c r="DB31" s="127"/>
      <c r="DC31" s="127"/>
      <c r="DD31" s="127"/>
      <c r="DE31" s="127"/>
      <c r="DF31" s="127"/>
      <c r="DG31" s="127"/>
      <c r="DH31" s="127"/>
      <c r="DI31" s="127"/>
      <c r="DJ31" s="126"/>
      <c r="DK31" s="126"/>
      <c r="DL31" s="126"/>
      <c r="DM31" s="126"/>
      <c r="DN31" s="134"/>
      <c r="DO31" s="135"/>
      <c r="DP31" s="134"/>
      <c r="DQ31" s="135"/>
      <c r="DR31" s="135"/>
      <c r="DS31" s="135"/>
      <c r="DT31" s="135"/>
      <c r="DU31" s="135"/>
      <c r="DV31" s="135"/>
      <c r="DW31" s="135"/>
      <c r="DX31" s="135"/>
      <c r="DY31" s="126"/>
      <c r="DZ31" s="140"/>
      <c r="EA31" s="137"/>
      <c r="EB31" s="135"/>
      <c r="EC31" s="135"/>
      <c r="ED31" s="135"/>
      <c r="EE31" s="134"/>
      <c r="EF31" s="135"/>
      <c r="EG31" s="126"/>
      <c r="EH31" s="141"/>
      <c r="EI31" s="135"/>
      <c r="EJ31" s="135"/>
      <c r="EK31" s="135"/>
      <c r="EL31" s="135"/>
      <c r="EM31" s="135"/>
      <c r="EN31" s="135"/>
      <c r="EO31" s="135"/>
      <c r="EP31" s="142"/>
      <c r="EQ31" s="135"/>
      <c r="ER31" s="143"/>
      <c r="ES31" s="127"/>
      <c r="ET31" s="126"/>
      <c r="EU31" s="138"/>
      <c r="EV31" s="127"/>
      <c r="EW31" s="127"/>
      <c r="EX31" s="127"/>
      <c r="EY31" s="127"/>
      <c r="EZ31" s="127"/>
      <c r="FA31" s="127"/>
      <c r="FB31" s="127"/>
      <c r="FC31" s="127"/>
      <c r="FD31" s="127"/>
      <c r="FE31" s="127"/>
      <c r="FF31" s="127"/>
      <c r="FG31" s="127"/>
      <c r="FH31" s="127"/>
      <c r="FI31" s="127"/>
      <c r="FJ31" s="127"/>
      <c r="FK31" s="127"/>
      <c r="FL31" s="127"/>
      <c r="FM31" s="127"/>
      <c r="FN31" s="126"/>
      <c r="FO31" s="134"/>
      <c r="FP31" s="135"/>
      <c r="FQ31" s="134"/>
      <c r="FR31" s="135"/>
      <c r="FS31" s="135"/>
      <c r="FT31" s="135"/>
      <c r="FU31" s="135"/>
      <c r="FV31" s="135"/>
      <c r="FW31" s="135"/>
      <c r="FX31" s="135"/>
      <c r="FY31" s="135"/>
      <c r="FZ31" s="144"/>
      <c r="GA31" s="127"/>
      <c r="GB31" s="127"/>
      <c r="GC31" s="127"/>
      <c r="GD31" s="127"/>
      <c r="GE31" s="127"/>
      <c r="GF31" s="127"/>
      <c r="GG31" s="127"/>
      <c r="GH31" s="127"/>
      <c r="GI31" s="127"/>
      <c r="GJ31" s="127"/>
      <c r="GK31" s="127"/>
      <c r="GL31" s="127"/>
      <c r="GM31" s="127"/>
      <c r="GN31" s="127"/>
      <c r="GO31" s="127"/>
      <c r="GP31" s="127"/>
      <c r="GQ31" s="135"/>
      <c r="GR31" s="135"/>
      <c r="GS31" s="135"/>
      <c r="GT31" s="134"/>
      <c r="GU31" s="135"/>
      <c r="GV31" s="134"/>
      <c r="GW31" s="135"/>
      <c r="GX31" s="135"/>
      <c r="GY31" s="135"/>
      <c r="GZ31" s="135"/>
      <c r="HA31" s="135"/>
      <c r="HB31" s="135"/>
      <c r="HC31" s="135"/>
      <c r="HD31" s="135"/>
      <c r="HE31" s="143"/>
      <c r="HF31" s="99"/>
      <c r="HG31" s="99"/>
      <c r="HH31" s="99"/>
      <c r="HI31" s="99"/>
      <c r="HJ31" s="99"/>
      <c r="HK31" s="99"/>
    </row>
    <row r="32" ht="15.0" customHeight="1" outlineLevel="1">
      <c r="A32" s="53">
        <v>36.0</v>
      </c>
      <c r="B32" s="145" t="s">
        <v>152</v>
      </c>
      <c r="C32" s="145" t="s">
        <v>153</v>
      </c>
      <c r="D32" s="64" t="str">
        <f t="shared" ref="D32:D33" si="2">MID(B32,17,4)</f>
        <v>DATA</v>
      </c>
      <c r="E32" s="101" t="s">
        <v>154</v>
      </c>
      <c r="F32" s="102">
        <v>1112.0</v>
      </c>
      <c r="G32" s="103" t="s">
        <v>155</v>
      </c>
      <c r="H32" s="104">
        <v>1129.0</v>
      </c>
      <c r="I32" s="68" t="str">
        <f>IFERROR(VLOOKUP($C29:C108,'R22 RELATÓRIO ACC'!B:F,5,FALSE),"NOT PUBLISHED")</f>
        <v>V40</v>
      </c>
      <c r="J32" s="69" t="str">
        <f>IFERROR(VLOOKUP($C29:C108,'R22 RELATÓRIO ACC'!B:P,15,FALSE),"NOT PUBLISHED")</f>
        <v>10/04/2026</v>
      </c>
      <c r="K32" s="70" t="str">
        <f>IFERROR(VLOOKUP($B29:B108,'RELATÓRIO ACC'!B:F,5,FALSE),"NOT PUBLISHED")</f>
        <v>V3</v>
      </c>
      <c r="L32" s="71" t="str">
        <f>IFERROR(VLOOKUP($B29:B108,'RELATÓRIO ACC'!B:P,15,FALSE),"NOT PUBLISHED")</f>
        <v>13/07/2026</v>
      </c>
      <c r="M32" s="72" t="str">
        <f>IF(OR($D32="UTLS",$D32="GUAR",$D32="STIR",$D32="PUMP",$D32="SITE"),
   VLOOKUP($B32,'LOD 400 - SITE'!B:M,12,FALSE),
   VLOOKUP($B32,'LOD 400 - ADMN'!B:M,12,FALSE)
)</f>
        <v>V35</v>
      </c>
      <c r="N32" s="105">
        <f>IF(OR($D32="UTLS",$D32="GUAR",$D32="STIR",$D32="PUMP",$D32="SITE"),
   VLOOKUP($B32,'LOD 400 - SITE'!B:N,13,FALSE),
   VLOOKUP($B32,'LOD 400 - ADMN'!B:N,13,FALSE)
)</f>
        <v>46029</v>
      </c>
      <c r="O32" s="106" t="str">
        <f>IF(OR($D32="UTLS",$D32="GUAR",$D32="STIR",$D32="PUMP",$D32="SITE"),
   VLOOKUP($B32,'LOD 400 - SITE'!B:O,14,FALSE),
   VLOOKUP($B32,'LOD 400 - ADMN'!B:O,14,FALSE)
)</f>
        <v>R22</v>
      </c>
      <c r="P32" s="107" t="str">
        <f>IF(OR($D32="C345",$D32="C12A",$D32="DATA"),
   VLOOKUP($B32,'LOD 400 - COLO3'!B:M,12,FALSE),"N/A")</f>
        <v>V2</v>
      </c>
      <c r="Q32" s="108">
        <f>IF(OR($D32="C345",$D32="C12A",$D32="DATA"),
   VLOOKUP($B32,'LOD 400 - COLO3'!B:N,13,FALSE),"N/A")</f>
        <v>46176</v>
      </c>
      <c r="R32" s="75" t="str">
        <f>IF(OR($D32="C345",$D32="C12A",$D32="DATA"),
   VLOOKUP($B32,'LOD 400 - COLO3'!B:O,14,FALSE),"N/A")</f>
        <v>R24</v>
      </c>
      <c r="S32" s="76" t="str">
        <f>IF(OR($D32="C345",$D32="C12A",$D32="DATA"),
   VLOOKUP($B32,'LOD 400 - COLO4'!B:N,12,FALSE),"N/A")</f>
        <v>N/A</v>
      </c>
      <c r="T32" s="76" t="str">
        <f>IF(OR($D32="C345",$D32="C12A",$D32="DATA"),
   VLOOKUP($B32,'LOD 400 - COLO4'!B:N,13,FALSE),"N/A")</f>
        <v>N/A</v>
      </c>
      <c r="U32" s="76" t="str">
        <f>IF(OR($D32="C345",$D32="C12A",$D32="DATA"),
   VLOOKUP($B32,'LOD 400 - COLO4'!B:N,13,FALSE),"N/A")</f>
        <v>N/A</v>
      </c>
      <c r="V32" s="77" t="str">
        <f>IF(OR($D32="UTLS",$D32="GUAR",$D32="STIR",$D32="PUMP",$D32="SITE"),
   VLOOKUP($B32,'LOD 400 - UTLS'!B:M,12,FALSE),"N/A")</f>
        <v>N/A</v>
      </c>
      <c r="W32" s="78" t="str">
        <f>IF(OR($D32="UTLS",$D32="GUAR",$D32="STIR",$D32="PUMP",$D32="SITE"),
   VLOOKUP($B32,'LOD 400 - UTLS'!B:N,13,FALSE),"N/A")</f>
        <v>N/A</v>
      </c>
      <c r="X32" s="108" t="str">
        <f>IF(OR($D32="UTLS",$D32="GUAR",$D32="STIR",$D32="PUMP",$D32="SITE"),
   VLOOKUP($B32,'LOD 400 - UTLS'!B:O,14,FALSE),"N/A")</f>
        <v>N/A</v>
      </c>
      <c r="Y32" s="79">
        <f>IFERROR(VLOOKUP($B32,'LOD 400 - ADMN'!B:S,18,FALSE),"N/A")</f>
        <v>0.17</v>
      </c>
      <c r="Z32" s="79" t="str">
        <f>IFERROR(VLOOKUP($B32,'LOD 400 - ADMN'!B:V,21,FALSE),"N/A")</f>
        <v>OUTDATED</v>
      </c>
      <c r="AA32" s="79">
        <f>IFERROR(VLOOKUP($B32,'LOD 400 - ADMN'!$B:Y,24,FALSE),"N/A")</f>
        <v>0.2</v>
      </c>
      <c r="AB32" s="80" t="str">
        <f>IFERROR(VLOOKUP($B32,'LOD 400 - ADMN'!$B:AB,27,FALSE),"N/A")</f>
        <v>NEXT ROUND</v>
      </c>
      <c r="AC32" s="81">
        <f>IFERROR(VLOOKUP($B32,'LOD 400 - ADMN'!$B:AE,30,FALSE),"N/A")</f>
        <v>0.58</v>
      </c>
      <c r="AD32" s="81" t="str">
        <f>IFERROR(VLOOKUP($B32,'LOD 400 - ADMN'!$B:AH,33,FALSE),"N/A")</f>
        <v>NEXT ROUND</v>
      </c>
      <c r="AE32" s="80" t="str">
        <f>IFERROR(VLOOKUP($B32,'LOD 400 - ADMN'!$B:AK,36,FALSE),"N/A")</f>
        <v>NEXT ROUND</v>
      </c>
      <c r="AF32" s="82">
        <f>IFERROR(VLOOKUP($B32,'LOD 400 - ADMN'!$B:AN,39,FALSE),"N/A")</f>
        <v>0.61</v>
      </c>
      <c r="AG32" s="83">
        <f>IFERROR(VLOOKUP($B32,'LOD 400 - ADMN'!$B:AQ,42,FALSE),"N/A")</f>
        <v>0.98</v>
      </c>
      <c r="AH32" s="84">
        <f>IFERROR(VLOOKUP($B32,'LOD 400 - ADMN'!$B:AT,45,FALSE),"N/A")</f>
        <v>1</v>
      </c>
      <c r="AI32" s="85">
        <f>IFERROR(VLOOKUP($B32,'LOD 400 - ADMN'!$B:AW,48,FALSE),"N/A")</f>
        <v>1</v>
      </c>
      <c r="AJ32" s="85">
        <f>IFERROR(VLOOKUP($B32,'LOD 400 - ADMN'!$B:AZ,51,FALSE),"N/A")</f>
        <v>1</v>
      </c>
      <c r="AK32" s="84">
        <f>IFERROR(VLOOKUP($B32,'LOD 400 - ADMN'!$B:BC,54,FALSE),"N/A")</f>
        <v>1</v>
      </c>
      <c r="AL32" s="84">
        <f>IFERROR(VLOOKUP($B32,'LOD 400 - ADMN'!$B:BF,57,FALSE),"N/A")</f>
        <v>1</v>
      </c>
      <c r="AM32" s="84">
        <f>IFERROR(VLOOKUP($B32,'LOD 400 - ADMN'!$B:BI,60,FALSE),"N/A")</f>
        <v>1</v>
      </c>
      <c r="AN32" s="84">
        <f>IFERROR(VLOOKUP($B32,'LOD 400 - ADMN'!$B:BL,63,FALSE),"N/A")</f>
        <v>1</v>
      </c>
      <c r="AO32" s="84">
        <f>IFERROR(VLOOKUP($B32,'LOD 400 - ADMN'!$B:BO,66,FALSE),"N/A")</f>
        <v>1</v>
      </c>
      <c r="AP32" s="84">
        <f>IFERROR(VLOOKUP($B32,'LOD 400 - ADMN'!$B:BR,69,FALSE),"N/A")</f>
        <v>1</v>
      </c>
      <c r="AQ32" s="84">
        <f>IFERROR(VLOOKUP($B32,'LOD 400 - ADMN'!$B:BU,72,FALSE),"N/A")</f>
        <v>1</v>
      </c>
      <c r="AR32" s="84">
        <f>IFERROR(VLOOKUP($B32,'LOD 400 - ADMN'!$B:BX,75,FALSE),"N/A")</f>
        <v>1</v>
      </c>
      <c r="AS32" s="84">
        <f>IFERROR(VLOOKUP($B32,'LOD 400 - ADMN'!$B:CA,78,FALSE),"N/A")</f>
        <v>1</v>
      </c>
      <c r="AT32" s="84">
        <f>IFERROR(VLOOKUP($B32,'LOD 400 - ADMN'!$B:CD,81,FALSE),"N/A")</f>
        <v>1</v>
      </c>
      <c r="AU32" s="85">
        <f>IFERROR(VLOOKUP($B32,'LOD 400 - ADMN'!$B:CG,84,FALSE),"N/A")</f>
        <v>1</v>
      </c>
      <c r="AV32" s="84">
        <f>IFERROR(VLOOKUP($B32,'LOD 400 - ADMN'!$B:CJ,87,FALSE),"N/A")</f>
        <v>1</v>
      </c>
      <c r="AW32" s="85">
        <f>IFERROR(VLOOKUP($B32,'LOD 400 - ADMN'!$B:CM,90,FALSE),"N/A")</f>
        <v>1</v>
      </c>
      <c r="AX32" s="84">
        <f>IFERROR(VLOOKUP($B32,'LOD 400 - ADMN'!$B:CP,93,FALSE),"N/A")</f>
        <v>1</v>
      </c>
      <c r="AY32" s="84">
        <f>IFERROR(VLOOKUP($B32,'LOD 400 - ADMN'!$B:CS,96,FALSE),"N/A")</f>
        <v>1</v>
      </c>
      <c r="AZ32" s="84">
        <f>IFERROR(VLOOKUP($B32,'LOD 400 - ADMN'!$B:CV,99,FALSE),"N/A")</f>
        <v>1</v>
      </c>
      <c r="BA32" s="84">
        <f>IFERROR(VLOOKUP($B32,'LOD 400 - ADMN'!$B:CY,102,FALSE),"N/A")</f>
        <v>1</v>
      </c>
      <c r="BB32" s="84">
        <f>IFERROR(VLOOKUP($B32,'LOD 400 - ADMN'!$B:DB,105,FALSE),"N/A")</f>
        <v>1</v>
      </c>
      <c r="BC32" s="84">
        <f>IFERROR(VLOOKUP($B32,'LOD 400 - ADMN'!$B:DE,108,FALSE),"N/A")</f>
        <v>1</v>
      </c>
      <c r="BD32" s="84">
        <f>IFERROR(VLOOKUP($B32,'LOD 400 - ADMN'!$B:DH,111,FALSE),"N/A")</f>
        <v>1</v>
      </c>
      <c r="BE32" s="84">
        <f>IFERROR(VLOOKUP($B32,'LOD 400 - ADMN'!$B:DK,114,FALSE),"N/A")</f>
        <v>1</v>
      </c>
      <c r="BF32" s="84">
        <f>IFERROR(VLOOKUP($B32,'LOD 400 - ADMN'!$B:DN,117,FALSE),"N/A")</f>
        <v>1</v>
      </c>
      <c r="BG32" s="86">
        <f>IFERROR(__xludf.DUMMYFUNCTION("IFERROR(
  MAX(FILTER(Y32:BF32, ISNUMBER(Y32:BF32))),
  BF32
)"),1.0)</f>
        <v>1</v>
      </c>
      <c r="BH32" s="79">
        <f>IFERROR(VLOOKUP($B32,'LOD 400 - COLO1'!B:S,18,FALSE),"N/A")</f>
        <v>0.17</v>
      </c>
      <c r="BI32" s="79" t="str">
        <f>IFERROR(VLOOKUP($B32,'LOD 400 - COLO1'!B:V,21,FALSE),"N/A")</f>
        <v>OUTDATED</v>
      </c>
      <c r="BJ32" s="79">
        <f>IFERROR(VLOOKUP($B32,'LOD 400 - COLO1'!$B:Y,24,FALSE),"N/A")</f>
        <v>0.18</v>
      </c>
      <c r="BK32" s="87" t="str">
        <f>IFERROR(VLOOKUP($B32,'LOD 400 - COLO1'!$B:AB,27,FALSE),"N/A")</f>
        <v>NEXT ROUND</v>
      </c>
      <c r="BL32" s="80">
        <f>IFERROR(VLOOKUP($B32,'LOD 400 - COLO1'!$B:AE,30,FALSE),"N/A")</f>
        <v>0.55</v>
      </c>
      <c r="BM32" s="81" t="str">
        <f>IFERROR(VLOOKUP($B32,'LOD 400 - COLO1'!$B:AH,33,FALSE),"N/A")</f>
        <v>NEXT ROUND</v>
      </c>
      <c r="BN32" s="87" t="str">
        <f>IFERROR(VLOOKUP($B32,'LOD 400 - COLO1'!$B:AK,36,FALSE),"N/A")</f>
        <v>NEXT ROUND</v>
      </c>
      <c r="BO32" s="83">
        <f>IFERROR(VLOOKUP($B32,'LOD 400 - COLO1'!$B:AN,39,FALSE),"N/A")</f>
        <v>0.57</v>
      </c>
      <c r="BP32" s="88">
        <f>IFERROR(VLOOKUP($B32,'LOD 400 - COLO1'!$B:AQ,42,FALSE),"N/A")</f>
        <v>0.98</v>
      </c>
      <c r="BQ32" s="84">
        <f>IFERROR(VLOOKUP($B32,'LOD 400 - COLO1'!$B:AT,45,FALSE),"N/A")</f>
        <v>1</v>
      </c>
      <c r="BR32" s="85">
        <f>IFERROR(VLOOKUP($B32,'LOD 400 - COLO1'!$B:AW,48,FALSE),"N/A")</f>
        <v>1</v>
      </c>
      <c r="BS32" s="84">
        <f>IFERROR(VLOOKUP($B32,'LOD 400 - COLO1'!$B:AZ,51,FALSE),"N/A")</f>
        <v>1</v>
      </c>
      <c r="BT32" s="84">
        <f>IFERROR(VLOOKUP($B32,'LOD 400 - COLO1'!$B:BC,54,FALSE),"N/A")</f>
        <v>1</v>
      </c>
      <c r="BU32" s="84">
        <f>IFERROR(VLOOKUP($B32,'LOD 400 - COLO1'!$B:BF,57,FALSE),"N/A")</f>
        <v>1</v>
      </c>
      <c r="BV32" s="84">
        <f>IFERROR(VLOOKUP($B32,'LOD 400 - COLO1'!$B:BI,60,FALSE),"N/A")</f>
        <v>1</v>
      </c>
      <c r="BW32" s="84">
        <f>IFERROR(VLOOKUP($B32,'LOD 400 - COLO1'!$B:BL,63,FALSE),"N/A")</f>
        <v>1</v>
      </c>
      <c r="BX32" s="84">
        <f>IFERROR(VLOOKUP($B32,'LOD 400 - COLO1'!$B:BO,66,FALSE),"N/A")</f>
        <v>1</v>
      </c>
      <c r="BY32" s="84">
        <f>IFERROR(VLOOKUP($B32,'LOD 400 - COLO1'!$B:BR,69,FALSE),"N/A")</f>
        <v>1</v>
      </c>
      <c r="BZ32" s="84">
        <f>IFERROR(VLOOKUP($B32,'LOD 400 - COLO1'!$B:BU,72,FALSE),"N/A")</f>
        <v>1</v>
      </c>
      <c r="CA32" s="84">
        <f>IFERROR(VLOOKUP($B32,'LOD 400 - COLO1'!$B:BX,75,FALSE),"N/A")</f>
        <v>1</v>
      </c>
      <c r="CB32" s="84">
        <f>IFERROR(VLOOKUP($B32,'LOD 400 - COLO1'!$B:CA,78,FALSE),"N/A")</f>
        <v>1</v>
      </c>
      <c r="CC32" s="84">
        <f>IFERROR(VLOOKUP($B32,'LOD 400 - COLO1'!$B:CD,81,FALSE),"N/A")</f>
        <v>1</v>
      </c>
      <c r="CD32" s="85">
        <f>IFERROR(VLOOKUP($B32,'LOD 400 - COLO1'!$B:CG,84,FALSE),"N/A")</f>
        <v>1</v>
      </c>
      <c r="CE32" s="84">
        <f>IFERROR(VLOOKUP($B32,'LOD 400 - COLO1'!$B:CJ,87,FALSE),"N/A")</f>
        <v>1</v>
      </c>
      <c r="CF32" s="85">
        <f>IFERROR(VLOOKUP($B32,'LOD 400 - COLO1'!$B:CM,90,FALSE),"N/A")</f>
        <v>1</v>
      </c>
      <c r="CG32" s="84">
        <f>IFERROR(VLOOKUP($B32,'LOD 400 - COLO1'!$B:CP,93,FALSE),"N/A")</f>
        <v>1</v>
      </c>
      <c r="CH32" s="84">
        <f>IFERROR(VLOOKUP($B32,'LOD 400 - COLO1'!$B:CS,96,FALSE),"N/A")</f>
        <v>1</v>
      </c>
      <c r="CI32" s="84">
        <f>IFERROR(VLOOKUP($B32,'LOD 400 - COLO1'!$B:CV,99,FALSE),"N/A")</f>
        <v>1</v>
      </c>
      <c r="CJ32" s="84">
        <f>IFERROR(VLOOKUP($B32,'LOD 400 - COLO1'!$B:CY,102,FALSE),"N/A")</f>
        <v>1</v>
      </c>
      <c r="CK32" s="84">
        <f>IFERROR(VLOOKUP($B32,'LOD 400 - COLO1'!$B:DB,105,FALSE),"N/A")</f>
        <v>1</v>
      </c>
      <c r="CL32" s="84">
        <f>IFERROR(VLOOKUP($B32,'LOD 400 - COLO1'!$B:DE,108,FALSE),"N/A")</f>
        <v>1</v>
      </c>
      <c r="CM32" s="84">
        <f>IFERROR(VLOOKUP($B32,'LOD 400 - COLO1'!$B:DH,111,FALSE),"N/A")</f>
        <v>1</v>
      </c>
      <c r="CN32" s="84">
        <f>IFERROR(VLOOKUP($B32,'LOD 400 - COLO1'!$B:DK,114,FALSE),"N/A")</f>
        <v>1</v>
      </c>
      <c r="CO32" s="84">
        <f>IFERROR(VLOOKUP($B32,'LOD 400 - COLO1'!$B:DN,117,FALSE),"N/A")</f>
        <v>1</v>
      </c>
      <c r="CP32" s="86">
        <f>IFERROR(__xludf.DUMMYFUNCTION("IFERROR(
  MAX(FILTER(BH32:CO32, ISNUMBER(BH32:CO32))),
  CO32
)"),1.0)</f>
        <v>1</v>
      </c>
      <c r="CQ32" s="89">
        <f>IFERROR(VLOOKUP($B32,'LOD 400 - COLO2'!B:S,18,FALSE),"N/A")</f>
        <v>0.17</v>
      </c>
      <c r="CR32" s="79" t="str">
        <f>IFERROR(VLOOKUP($B32,'LOD 400 - COLO2'!B:V,21,FALSE),"N/A")</f>
        <v>OUTDATED</v>
      </c>
      <c r="CS32" s="79">
        <f>IFERROR(VLOOKUP($B32,'LOD 400 - COLO2'!$B:Y,24,FALSE),"N/A")</f>
        <v>0.16</v>
      </c>
      <c r="CT32" s="80" t="str">
        <f>IFERROR(VLOOKUP($B32,'LOD 400 - COLO2'!$B:DQ,27,FALSE),"N/A")</f>
        <v>NEXT ROUND</v>
      </c>
      <c r="CU32" s="90">
        <f>IFERROR(VLOOKUP($B32,'LOD 400 - COLO2'!$B:AE,30,FALSE),"N/A")</f>
        <v>0.57</v>
      </c>
      <c r="CV32" s="81" t="str">
        <f>IFERROR(VLOOKUP($B32,'LOD 400 - COLO2'!$B:AH,33,FALSE),"N/A")</f>
        <v>NEXT ROUND</v>
      </c>
      <c r="CW32" s="90" t="str">
        <f>IFERROR(VLOOKUP($B32,'LOD 400 - COLO2'!$B:AK,36,FALSE),"N/A")</f>
        <v>NEXT ROUND</v>
      </c>
      <c r="CX32" s="85">
        <f>IFERROR(VLOOKUP($B32,'LOD 400 - COLO2'!$B:AN,39,FALSE),"N/A")</f>
        <v>0.57</v>
      </c>
      <c r="CY32" s="88">
        <f>IFERROR(VLOOKUP($B32,'LOD 400 - COLO2'!$B:AQ,42,FALSE),"N/A")</f>
        <v>0.97</v>
      </c>
      <c r="CZ32" s="84">
        <f>IFERROR(VLOOKUP($B32,'LOD 400 - COLO2'!$B:AT,45,FALSE),"N/A")</f>
        <v>1</v>
      </c>
      <c r="DA32" s="85">
        <f>IFERROR(VLOOKUP($B32,'LOD 400 - COLO2'!$B:AW,48,FALSE),"N/A")</f>
        <v>1</v>
      </c>
      <c r="DB32" s="84">
        <f>IFERROR(VLOOKUP($B32,'LOD 400 - COLO2'!$B:AZ,51,FALSE),"N/A")</f>
        <v>1</v>
      </c>
      <c r="DC32" s="84">
        <f>IFERROR(VLOOKUP($B32,'LOD 400 - COLO2'!$B:BC,54,FALSE),"N/A")</f>
        <v>1</v>
      </c>
      <c r="DD32" s="84">
        <f>IFERROR(VLOOKUP($B32,'LOD 400 - COLO2'!$B:BF,57,FALSE),"N/A")</f>
        <v>1</v>
      </c>
      <c r="DE32" s="84">
        <f>IFERROR(VLOOKUP($B32,'LOD 400 - COLO2'!$B:BI,60,FALSE),"N/A")</f>
        <v>1</v>
      </c>
      <c r="DF32" s="84">
        <f>IFERROR(VLOOKUP($B32,'LOD 400 - COLO2'!$B:BL,63,FALSE),"N/A")</f>
        <v>1</v>
      </c>
      <c r="DG32" s="84">
        <f>IFERROR(VLOOKUP($B32,'LOD 400 - COLO2'!$B:BO,66,FALSE),"N/A")</f>
        <v>1</v>
      </c>
      <c r="DH32" s="84">
        <f>IFERROR(VLOOKUP($B32,'LOD 400 - COLO2'!$B:BR,69,FALSE),"N/A")</f>
        <v>1</v>
      </c>
      <c r="DI32" s="84">
        <f>IFERROR(VLOOKUP($B32,'LOD 400 - COLO2'!$B:BU,72,FALSE),"N/A")</f>
        <v>1</v>
      </c>
      <c r="DJ32" s="84">
        <f>IFERROR(VLOOKUP($B32,'LOD 400 - COLO2'!$B:BX,75,FALSE),"N/A")</f>
        <v>1</v>
      </c>
      <c r="DK32" s="84">
        <f>IFERROR(VLOOKUP($B32,'LOD 400 - COLO2'!$B:CA,78,FALSE),"N/A")</f>
        <v>1</v>
      </c>
      <c r="DL32" s="84">
        <f>IFERROR(VLOOKUP($B32,'LOD 400 - COLO2'!$B:CD,81,FALSE),"N/A")</f>
        <v>1</v>
      </c>
      <c r="DM32" s="85">
        <f>IFERROR(VLOOKUP($B32,'LOD 400 - COLO2'!$B:CG,84,FALSE),"N/A")</f>
        <v>1</v>
      </c>
      <c r="DN32" s="84">
        <f>IFERROR(VLOOKUP($B32,'LOD 400 - COLO2'!$B:CJ,87,FALSE),"N/A")</f>
        <v>1</v>
      </c>
      <c r="DO32" s="85">
        <f>IFERROR(VLOOKUP($B32,'LOD 400 - COLO2'!$B:CM,90,FALSE),"N/A")</f>
        <v>1</v>
      </c>
      <c r="DP32" s="84">
        <f>IFERROR(VLOOKUP($B32,'LOD 400 - COLO2'!$B:CP,93,FALSE),"N/A")</f>
        <v>1</v>
      </c>
      <c r="DQ32" s="84">
        <f>IFERROR(VLOOKUP($B32,'LOD 400 - COLO2'!$B:CS,96,FALSE),"N/A")</f>
        <v>1</v>
      </c>
      <c r="DR32" s="84">
        <f>IFERROR(VLOOKUP($B32,'LOD 400 - COLO2'!$B:CV,99,FALSE),"N/A")</f>
        <v>1</v>
      </c>
      <c r="DS32" s="84">
        <f>IFERROR(VLOOKUP($B32,'LOD 400 - COLO2'!$B:CY,102,FALSE),"N/A")</f>
        <v>1</v>
      </c>
      <c r="DT32" s="84">
        <f>IFERROR(VLOOKUP($B32,'LOD 400 - COLO2'!$B:DB,105,FALSE),"N/A")</f>
        <v>1</v>
      </c>
      <c r="DU32" s="84">
        <f>IFERROR(VLOOKUP($B32,'LOD 400 - COLO2'!$B:DE,108,FALSE),"N/A")</f>
        <v>1</v>
      </c>
      <c r="DV32" s="84">
        <f>IFERROR(VLOOKUP($B32,'LOD 400 - COLO2'!$B:DH,111,FALSE),"N/A")</f>
        <v>1</v>
      </c>
      <c r="DW32" s="84">
        <f>IFERROR(VLOOKUP($B32,'LOD 400 - COLO2'!$B:DK,114,FALSE),"N/A")</f>
        <v>1</v>
      </c>
      <c r="DX32" s="84">
        <f>IFERROR(VLOOKUP($B32,'LOD 400 - COLO2'!$B:DN,117,FALSE),"N/A")</f>
        <v>1</v>
      </c>
      <c r="DY32" s="91">
        <f>IFERROR(__xludf.DUMMYFUNCTION("IFERROR(
  MAX(FILTER(CQ32:DW32, ISNUMBER(CQ32:DW32))),
  DW32
)"),1.0)</f>
        <v>1</v>
      </c>
      <c r="DZ32" s="92">
        <f>IFERROR(VLOOKUP($B32,'LOD 400 - COLO3'!B:S,18,FALSE),"N/A")</f>
        <v>0</v>
      </c>
      <c r="EA32" s="84">
        <f>IFERROR(VLOOKUP($B32,'LOD 400 - COLO3'!B:V,21,FALSE),"N/A")</f>
        <v>0</v>
      </c>
      <c r="EB32" s="84">
        <f>IFERROR(VLOOKUP($B32,'LOD 400 - COLO3'!B:Y,24,FALSE),"N/A")</f>
        <v>0.87</v>
      </c>
      <c r="EC32" s="84" t="str">
        <f>IFERROR(VLOOKUP($B32,'LOD 400 - COLO3'!B:AB,27,FALSE),"N/A")</f>
        <v>OUTDATED</v>
      </c>
      <c r="ED32" s="85" t="str">
        <f>IFERROR(VLOOKUP($B32,'LOD 400 - COLO3'!B:AE,30,FALSE),"N/A")</f>
        <v>OUTDATED</v>
      </c>
      <c r="EE32" s="84" t="str">
        <f>IFERROR(VLOOKUP($B32,'LOD 400 - COLO3'!B:AH,33,FALSE),"N/A")</f>
        <v>OUTDATED</v>
      </c>
      <c r="EF32" s="84" t="str">
        <f>IFERROR(VLOOKUP($B32,'LOD 400 - COLO3'!B:AK,36,FALSE),"N/A")</f>
        <v>OUTDATED</v>
      </c>
      <c r="EG32" s="109" t="str">
        <f>IFERROR(VLOOKUP($B32,'LOD 400 - COLO3'!B:AN,39,FALSE),"N/A")</f>
        <v>NEXT ROUND</v>
      </c>
      <c r="EH32" s="94" t="str">
        <f>IFERROR(VLOOKUP($B32,'LOD 400 - COLO3'!B:AQ,42,FALSE),"N/A")</f>
        <v>NEXT ROUND</v>
      </c>
      <c r="EI32" s="94" t="str">
        <f>IFERROR(VLOOKUP($B32,'LOD 400 - COLO3'!B:AT,45,FALSE),"N/A")</f>
        <v>NEXT ROUND</v>
      </c>
      <c r="EJ32" s="94" t="str">
        <f>IFERROR(VLOOKUP($B32,'LOD 400 - COLO3'!B:AW,48,FALSE),"N/A")</f>
        <v>NEXT ROUND</v>
      </c>
      <c r="EK32" s="94">
        <f>IFERROR(VLOOKUP($B32,'LOD 400 - COLO3'!B:AZ,51,FALSE),"N/A")</f>
        <v>0.87</v>
      </c>
      <c r="EL32" s="94" t="str">
        <f>IFERROR(VLOOKUP($B32,'LOD 400 - COLO3'!B:BC,54,FALSE),"N/A")</f>
        <v>OUTDATED</v>
      </c>
      <c r="EM32" s="94" t="str">
        <f>IFERROR(VLOOKUP($B32,'LOD 400 - COLO3'!B:BF,57,FALSE),"N/A")</f>
        <v>OUTDATED</v>
      </c>
      <c r="EN32" s="94">
        <f>IFERROR(VLOOKUP($B32,'LOD 400 - COLO3'!B:BI,60,FALSE),"N/A")</f>
        <v>1</v>
      </c>
      <c r="EO32" s="94">
        <f>IFERROR(VLOOKUP($B32,'LOD 400 - COLO3'!B:BL,63,FALSE),"N/A")</f>
        <v>1</v>
      </c>
      <c r="EP32" s="86">
        <f>IFERROR(__xludf.DUMMYFUNCTION("IFERROR(
  MAX(FILTER(DZ32:EO32, ISNUMBER(DZ32:EO32))),
  EO32
)"),1.0)</f>
        <v>1</v>
      </c>
      <c r="EQ32" s="95">
        <f>IFERROR(VLOOKUP($B32,'LOD 400 - COLO4'!B:S,18,FALSE),"N/A")</f>
        <v>0</v>
      </c>
      <c r="ER32" s="96">
        <f>IFERROR(__xludf.DUMMYFUNCTION("IFERROR(
  MAX(FILTER(EQ32, ISNUMBER(EQ32))),
  EQ32
)"),0.0)</f>
        <v>0</v>
      </c>
      <c r="ES32" s="79" t="str">
        <f>IFERROR(VLOOKUP($B32,'LOD 400 - SITE'!B:S,18,FALSE),"N/A")</f>
        <v>N/A</v>
      </c>
      <c r="ET32" s="80" t="str">
        <f>IFERROR(VLOOKUP($B32,'LOD 400 - SITE'!B:V,21,FALSE),"N/A")</f>
        <v>N/A</v>
      </c>
      <c r="EU32" s="97" t="str">
        <f>IFERROR(VLOOKUP($B32,'LOD 400 - SITE'!$B:Y,24,FALSE),"N/A")</f>
        <v>N/A</v>
      </c>
      <c r="EV32" s="80" t="str">
        <f>IFERROR(VLOOKUP($B32,'LOD 400 - SITE'!$B:AB,27,FALSE),"N/A")</f>
        <v>N/A</v>
      </c>
      <c r="EW32" s="81" t="str">
        <f>IFERROR(VLOOKUP($B32,'LOD 400 - SITE'!$B:AE,30,FALSE),"N/A")</f>
        <v>N/A</v>
      </c>
      <c r="EX32" s="87" t="str">
        <f>IFERROR(VLOOKUP($B32,'LOD 400 - SITE'!$B:AH,33,FALSE),"N/A")</f>
        <v>N/A</v>
      </c>
      <c r="EY32" s="87" t="str">
        <f>IFERROR(VLOOKUP($B32,'LOD 400 - SITE'!$B:AK,36,FALSE),"N/A")</f>
        <v>N/A</v>
      </c>
      <c r="EZ32" s="80" t="str">
        <f>IFERROR(VLOOKUP($B32,'LOD 400 - SITE'!$B:AN,39,FALSE),"N/A")</f>
        <v>N/A</v>
      </c>
      <c r="FA32" s="82" t="str">
        <f>IFERROR(VLOOKUP($B32,'LOD 400 - SITE'!$B:AQ,42,FALSE),"N/A")</f>
        <v>N/A</v>
      </c>
      <c r="FB32" s="88" t="str">
        <f>IFERROR(VLOOKUP($B32,'LOD 400 - SITE'!$B:AT,45,FALSE),"N/A")</f>
        <v>N/A</v>
      </c>
      <c r="FC32" s="84" t="str">
        <f>IFERROR(VLOOKUP($B32,'LOD 400 - SITE'!$B:AW,48,FALSE),"N/A")</f>
        <v>N/A</v>
      </c>
      <c r="FD32" s="84" t="str">
        <f>IFERROR(VLOOKUP($B32,'LOD 400 - SITE'!$B:AZ,51,FALSE),"N/A")</f>
        <v>N/A</v>
      </c>
      <c r="FE32" s="84" t="str">
        <f>IFERROR(VLOOKUP($B32,'LOD 400 - SITE'!$B:BC,54,FALSE),"N/A")</f>
        <v>N/A</v>
      </c>
      <c r="FF32" s="84" t="str">
        <f>IFERROR(VLOOKUP($B32,'LOD 400 - SITE'!$B:BF,57,FALSE),"N/A")</f>
        <v>N/A</v>
      </c>
      <c r="FG32" s="84" t="str">
        <f>IFERROR(VLOOKUP($B32,'LOD 400 - SITE'!$B:BI,60,FALSE),"N/A")</f>
        <v>N/A</v>
      </c>
      <c r="FH32" s="84" t="str">
        <f>IFERROR(VLOOKUP($B32,'LOD 400 - SITE'!$B:BL,63,FALSE),"N/A")</f>
        <v>N/A</v>
      </c>
      <c r="FI32" s="84" t="str">
        <f>IFERROR(VLOOKUP($B32,'LOD 400 - SITE'!$B:BO,66,FALSE),"N/A")</f>
        <v>N/A</v>
      </c>
      <c r="FJ32" s="84" t="str">
        <f>IFERROR(VLOOKUP($B32,'LOD 400 - SITE'!$B:BR,69,FALSE),"N/A")</f>
        <v>N/A</v>
      </c>
      <c r="FK32" s="84" t="str">
        <f>IFERROR(VLOOKUP($B32,'LOD 400 - SITE'!$B:BU,72,FALSE),"N/A")</f>
        <v>N/A</v>
      </c>
      <c r="FL32" s="84" t="str">
        <f>IFERROR(VLOOKUP($B32,'LOD 400 - SITE'!$B:BX,75,FALSE),"N/A")</f>
        <v>N/A</v>
      </c>
      <c r="FM32" s="84" t="str">
        <f>IFERROR(VLOOKUP($B32,'LOD 400 - SITE'!$B:CA,78,FALSE),"N/A")</f>
        <v>N/A</v>
      </c>
      <c r="FN32" s="85" t="str">
        <f>IFERROR(VLOOKUP($B32,'LOD 400 - SITE'!$B:CD,81,FALSE),"N/A")</f>
        <v>N/A</v>
      </c>
      <c r="FO32" s="84" t="str">
        <f>IFERROR(VLOOKUP($B32,'LOD 400 - SITE'!$B:CG,84,FALSE),"N/A")</f>
        <v>N/A</v>
      </c>
      <c r="FP32" s="85" t="str">
        <f>IFERROR(VLOOKUP($B32,'LOD 400 - SITE'!$B:CJ,87,FALSE),"N/A")</f>
        <v>N/A</v>
      </c>
      <c r="FQ32" s="84" t="str">
        <f>IFERROR(VLOOKUP($B32,'LOD 400 - SITE'!$B:CM,90,FALSE),"N/A")</f>
        <v>N/A</v>
      </c>
      <c r="FR32" s="84" t="str">
        <f>IFERROR(VLOOKUP($B32,'LOD 400 - SITE'!$B:CP,93,FALSE),"N/A")</f>
        <v>N/A</v>
      </c>
      <c r="FS32" s="84" t="str">
        <f>IFERROR(VLOOKUP($B32,'LOD 400 - SITE'!$B:CS,96,FALSE),"N/A")</f>
        <v>N/A</v>
      </c>
      <c r="FT32" s="84" t="str">
        <f>IFERROR(VLOOKUP($B32,'LOD 400 - SITE'!$B:CV,99,FALSE),"N/A")</f>
        <v>N/A</v>
      </c>
      <c r="FU32" s="84" t="str">
        <f>IFERROR(VLOOKUP($B32,'LOD 400 - SITE'!$B:CY,102,FALSE),"N/A")</f>
        <v>N/A</v>
      </c>
      <c r="FV32" s="84" t="str">
        <f>IFERROR(VLOOKUP($B32,'LOD 400 - SITE'!$B:DB,105,FALSE),"N/A")</f>
        <v>N/A</v>
      </c>
      <c r="FW32" s="84" t="str">
        <f>IFERROR(VLOOKUP($B32,'LOD 400 - SITE'!$B:DE,108,FALSE),"N/A")</f>
        <v>N/A</v>
      </c>
      <c r="FX32" s="84" t="str">
        <f>IFERROR(VLOOKUP($B32,'LOD 400 - SITE'!$B:DH,111,FALSE),"N/A")</f>
        <v>N/A</v>
      </c>
      <c r="FY32" s="84" t="str">
        <f>IFERROR(VLOOKUP($B32,'LOD 400 - SITE'!$B:DK,114,FALSE),"N/A")</f>
        <v>N/A</v>
      </c>
      <c r="FZ32" s="96" t="str">
        <f>IFERROR(__xludf.DUMMYFUNCTION("IFERROR(
  MAX(FILTER(ES32:FY32, ISNUMBER(ES32:FY32))),
  FY32
)"),"N/A")</f>
        <v>N/A</v>
      </c>
      <c r="GA32" s="80" t="str">
        <f>IFERROR(VLOOKUP($B32,'LOD 400 - UTLS'!B:S,18,FALSE),"N/A")</f>
        <v>N/A</v>
      </c>
      <c r="GB32" s="98" t="str">
        <f>IFERROR(VLOOKUP($B32,'LOD 400 - UTLS'!B:V,21,FALSE),"N/A")</f>
        <v>N/A</v>
      </c>
      <c r="GC32" s="81" t="str">
        <f>IFERROR(VLOOKUP($B32,'LOD 400 - UTLS'!B:Y,24,FALSE),"N/A")</f>
        <v>N/A</v>
      </c>
      <c r="GD32" s="87" t="str">
        <f>IFERROR(VLOOKUP($B32,'LOD 400 - UTLS'!$B:AB,27,FALSE),"N/A")</f>
        <v>N/A</v>
      </c>
      <c r="GE32" s="80" t="str">
        <f>IFERROR(VLOOKUP($B32,'LOD 400 - UTLS'!$B:AE,30,FALSE),"N/A")</f>
        <v>N/A</v>
      </c>
      <c r="GF32" s="82" t="str">
        <f>IFERROR(VLOOKUP($B32,'LOD 400 - UTLS'!$B:AH,33,FALSE),"N/A")</f>
        <v>N/A</v>
      </c>
      <c r="GG32" s="88" t="str">
        <f>IFERROR(VLOOKUP($B32,'LOD 400 - UTLS'!$B:AK,36,FALSE),"N/A")</f>
        <v>N/A</v>
      </c>
      <c r="GH32" s="84" t="str">
        <f>IFERROR(VLOOKUP($B32,'LOD 400 - UTLS'!$B:AN,39,FALSE),"N/A")</f>
        <v>N/A</v>
      </c>
      <c r="GI32" s="84" t="str">
        <f>IFERROR(VLOOKUP($B32,'LOD 400 - UTLS'!$B:AQ,42,FALSE),"N/A")</f>
        <v>N/A</v>
      </c>
      <c r="GJ32" s="84" t="str">
        <f>IFERROR(VLOOKUP($B32,'LOD 400 - UTLS'!$B:AT,45,FALSE),"N/A")</f>
        <v>N/A</v>
      </c>
      <c r="GK32" s="84" t="str">
        <f>IFERROR(VLOOKUP($B32,'LOD 400 - UTLS'!$B:AW,48,FALSE),"N/A")</f>
        <v>N/A</v>
      </c>
      <c r="GL32" s="84" t="str">
        <f>IFERROR(VLOOKUP($B32,'LOD 400 - UTLS'!$B:AZ,51,FALSE),"N/A")</f>
        <v>N/A</v>
      </c>
      <c r="GM32" s="84" t="str">
        <f>IFERROR(VLOOKUP($B32,'LOD 400 - UTLS'!$B:BC,54,FALSE),"N/A")</f>
        <v>N/A</v>
      </c>
      <c r="GN32" s="84" t="str">
        <f>IFERROR(VLOOKUP($B32,'LOD 400 - UTLS'!$B:BF,57,FALSE),"N/A")</f>
        <v>N/A</v>
      </c>
      <c r="GO32" s="84" t="str">
        <f>IFERROR(VLOOKUP($B32,'LOD 400 - UTLS'!$B:BI,60,FALSE),"N/A")</f>
        <v>N/A</v>
      </c>
      <c r="GP32" s="84" t="str">
        <f>IFERROR(VLOOKUP($B32,'LOD 400 - UTLS'!$B:BL,63,FALSE),"N/A")</f>
        <v>N/A</v>
      </c>
      <c r="GQ32" s="84" t="str">
        <f>IFERROR(VLOOKUP($B32,'LOD 400 - UTLS'!$B:BO,66,FALSE),"N/A")</f>
        <v>N/A</v>
      </c>
      <c r="GR32" s="84" t="str">
        <f>IFERROR(VLOOKUP($B32,'LOD 400 - UTLS'!$B:BR,69,FALSE),"N/A")</f>
        <v>N/A</v>
      </c>
      <c r="GS32" s="85" t="str">
        <f>IFERROR(VLOOKUP($B32,'LOD 400 - UTLS'!$B:BU,72,FALSE),"N/A")</f>
        <v>N/A</v>
      </c>
      <c r="GT32" s="84" t="str">
        <f>IFERROR(VLOOKUP($B32,'LOD 400 - UTLS'!$B:BX,75,FALSE),"N/A")</f>
        <v>N/A</v>
      </c>
      <c r="GU32" s="85" t="str">
        <f>IFERROR(VLOOKUP($B32,'LOD 400 - UTLS'!$B:CA,78,FALSE),"N/A")</f>
        <v>N/A</v>
      </c>
      <c r="GV32" s="84" t="str">
        <f>IFERROR(VLOOKUP($B32,'LOD 400 - UTLS'!$B:CD,81,FALSE),"N/A")</f>
        <v>N/A</v>
      </c>
      <c r="GW32" s="84" t="str">
        <f>IFERROR(VLOOKUP($B32,'LOD 400 - UTLS'!$B:CG,84,FALSE),"N/A")</f>
        <v>N/A</v>
      </c>
      <c r="GX32" s="84" t="str">
        <f>IFERROR(VLOOKUP($B32,'LOD 400 - UTLS'!$B:CJ,87,FALSE),"N/A")</f>
        <v>N/A</v>
      </c>
      <c r="GY32" s="84" t="str">
        <f>IFERROR(VLOOKUP($B32,'LOD 400 - UTLS'!$B:CM,90,FALSE),"N/A")</f>
        <v>N/A</v>
      </c>
      <c r="GZ32" s="84" t="str">
        <f>IFERROR(VLOOKUP($B32,'LOD 400 - UTLS'!$B:CP,93,FALSE),"N/A")</f>
        <v>N/A</v>
      </c>
      <c r="HA32" s="84" t="str">
        <f>IFERROR(VLOOKUP($B32,'LOD 400 - UTLS'!$B:CS,96,FALSE),"N/A")</f>
        <v>N/A</v>
      </c>
      <c r="HB32" s="84" t="str">
        <f>IFERROR(VLOOKUP($B32,'LOD 400 - UTLS'!$B:CV,99,FALSE),"N/A")</f>
        <v>N/A</v>
      </c>
      <c r="HC32" s="84" t="str">
        <f>IFERROR(VLOOKUP($B32,'LOD 400 - UTLS'!$B:CY,102,FALSE),"N/A")</f>
        <v>N/A</v>
      </c>
      <c r="HD32" s="84" t="str">
        <f>IFERROR(VLOOKUP($B32,'LOD 400 - UTLS'!$B:DB,105,FALSE),"N/A")</f>
        <v>N/A</v>
      </c>
      <c r="HE32" s="96" t="str">
        <f>IFERROR(__xludf.DUMMYFUNCTION("IFERROR(
  MAX(FILTER(GA32:HD32, ISNUMBER(GA32:HD32))),
  HD32
)"),"N/A")</f>
        <v>N/A</v>
      </c>
      <c r="HF32" s="99"/>
      <c r="HG32" s="99"/>
      <c r="HH32" s="99"/>
      <c r="HI32" s="99"/>
      <c r="HJ32" s="99"/>
      <c r="HK32" s="99"/>
    </row>
    <row r="33" ht="15.0" customHeight="1" outlineLevel="1">
      <c r="A33" s="53">
        <v>37.0</v>
      </c>
      <c r="B33" s="100" t="s">
        <v>156</v>
      </c>
      <c r="C33" s="100" t="s">
        <v>157</v>
      </c>
      <c r="D33" s="64" t="str">
        <f t="shared" si="2"/>
        <v>SITE</v>
      </c>
      <c r="E33" s="101" t="s">
        <v>154</v>
      </c>
      <c r="F33" s="102">
        <v>1112.0</v>
      </c>
      <c r="G33" s="103" t="s">
        <v>155</v>
      </c>
      <c r="H33" s="104">
        <v>1129.0</v>
      </c>
      <c r="I33" s="68" t="str">
        <f>IFERROR(VLOOKUP($C30:C108,'R22 RELATÓRIO ACC'!B:F,5,FALSE),"NOT PUBLISHED")</f>
        <v>V39</v>
      </c>
      <c r="J33" s="69" t="str">
        <f>IFERROR(VLOOKUP($C30:C108,'R22 RELATÓRIO ACC'!B:P,15,FALSE),"NOT PUBLISHED")</f>
        <v>12/05/2026</v>
      </c>
      <c r="K33" s="70" t="str">
        <f>IFERROR(VLOOKUP($B29:B108,'RELATÓRIO ACC'!B:F,5,FALSE),"NOT PUBLISHED")</f>
        <v>V4</v>
      </c>
      <c r="L33" s="71" t="str">
        <f>IFERROR(VLOOKUP($B29:B108,'RELATÓRIO ACC'!B:P,15,FALSE),"NOT PUBLISHED")</f>
        <v>14/07/2026</v>
      </c>
      <c r="M33" s="72" t="str">
        <f>IF(OR($D33="UTLS",$D33="GUAR",$D33="STIR",$D33="PUMP",$D33="SITE"),
   VLOOKUP($B33,'LOD 400 - SITE'!B:M,12,FALSE),
   VLOOKUP($B33,'LOD 400 - ADMN'!B:M,12,FALSE)
)</f>
        <v>V34</v>
      </c>
      <c r="N33" s="105" t="str">
        <f>IF(OR($D33="UTLS",$D33="GUAR",$D33="STIR",$D33="PUMP",$D33="SITE"),
   VLOOKUP($B33,'LOD 400 - SITE'!B:N,13,FALSE),
   VLOOKUP($B33,'LOD 400 - ADMN'!B:N,13,FALSE)
)</f>
        <v>23/12/2025</v>
      </c>
      <c r="O33" s="106" t="str">
        <f>IF(OR($D33="UTLS",$D33="GUAR",$D33="STIR",$D33="PUMP",$D33="SITE"),
   VLOOKUP($B33,'LOD 400 - SITE'!B:O,14,FALSE),
   VLOOKUP($B33,'LOD 400 - ADMN'!B:O,14,FALSE)
)</f>
        <v>R22</v>
      </c>
      <c r="P33" s="107" t="str">
        <f>IF(OR($D33="C345",$D33="C12A",$D33="DATA"),
   VLOOKUP($B33,'LOD 400 - COLO3'!B:M,12,FALSE),"N/A")</f>
        <v>N/A</v>
      </c>
      <c r="Q33" s="108" t="str">
        <f>IF(OR($D33="C345",$D33="C12A",$D33="DATA"),
   VLOOKUP($B33,'LOD 400 - COLO3'!B:N,13,FALSE),"N/A")</f>
        <v>N/A</v>
      </c>
      <c r="R33" s="75" t="str">
        <f>IF(OR($D33="C345",$D33="C12A",$D33="DATA"),
   VLOOKUP($B33,'LOD 400 - COLO3'!B:O,14,FALSE),"N/A")</f>
        <v>N/A</v>
      </c>
      <c r="S33" s="76" t="str">
        <f>IF(OR($D33="C345",$D33="C12A",$D33="DATA"),
   VLOOKUP($B33,'LOD 400 - COLO4'!B:N,12,FALSE),"N/A")</f>
        <v>N/A</v>
      </c>
      <c r="T33" s="76" t="str">
        <f>IF(OR($D33="C345",$D33="C12A",$D33="DATA"),
   VLOOKUP($B33,'LOD 400 - COLO4'!B:N,13,FALSE),"N/A")</f>
        <v>N/A</v>
      </c>
      <c r="U33" s="76" t="str">
        <f>IF(OR($D33="C345",$D33="C12A",$D33="DATA"),
   VLOOKUP($B33,'LOD 400 - COLO4'!B:N,13,FALSE),"N/A")</f>
        <v>N/A</v>
      </c>
      <c r="V33" s="77" t="str">
        <f>IF(OR($D33="UTLS",$D33="GUAR",$D33="STIR",$D33="PUMP",$D33="SITE"),
   VLOOKUP($B33,'LOD 400 - UTLS'!B:M,12,FALSE),"N/A")</f>
        <v>V34</v>
      </c>
      <c r="W33" s="78" t="str">
        <f>IF(OR($D33="UTLS",$D33="GUAR",$D33="STIR",$D33="PUMP",$D33="SITE"),
   VLOOKUP($B33,'LOD 400 - UTLS'!B:N,13,FALSE),"N/A")</f>
        <v>23/12/2025</v>
      </c>
      <c r="X33" s="108" t="str">
        <f>IF(OR($D33="UTLS",$D33="GUAR",$D33="STIR",$D33="PUMP",$D33="SITE"),
   VLOOKUP($B33,'LOD 400 - UTLS'!B:O,14,FALSE),"N/A")</f>
        <v>R22</v>
      </c>
      <c r="Y33" s="79" t="str">
        <f>IFERROR(VLOOKUP($B33,'LOD 400 - ADMN'!B:S,18,FALSE),"N/A")</f>
        <v>N/A</v>
      </c>
      <c r="Z33" s="79" t="str">
        <f>IFERROR(VLOOKUP($B33,'LOD 400 - ADMN'!B:V,21,FALSE),"N/A")</f>
        <v>N/A</v>
      </c>
      <c r="AA33" s="79" t="str">
        <f>IFERROR(VLOOKUP($B33,'LOD 400 - ADMN'!$B:Y,24,FALSE),"N/A")</f>
        <v>N/A</v>
      </c>
      <c r="AB33" s="80" t="str">
        <f>IFERROR(VLOOKUP($B33,'LOD 400 - ADMN'!$B:AB,27,FALSE),"N/A")</f>
        <v>N/A</v>
      </c>
      <c r="AC33" s="81" t="str">
        <f>IFERROR(VLOOKUP($B33,'LOD 400 - ADMN'!$B:AE,30,FALSE),"N/A")</f>
        <v>N/A</v>
      </c>
      <c r="AD33" s="81" t="str">
        <f>IFERROR(VLOOKUP($B33,'LOD 400 - ADMN'!$B:AH,33,FALSE),"N/A")</f>
        <v>N/A</v>
      </c>
      <c r="AE33" s="80" t="str">
        <f>IFERROR(VLOOKUP($B33,'LOD 400 - ADMN'!$B:AK,36,FALSE),"N/A")</f>
        <v>N/A</v>
      </c>
      <c r="AF33" s="82" t="str">
        <f>IFERROR(VLOOKUP($B33,'LOD 400 - ADMN'!$B:AN,39,FALSE),"N/A")</f>
        <v>N/A</v>
      </c>
      <c r="AG33" s="83" t="str">
        <f>IFERROR(VLOOKUP($B33,'LOD 400 - ADMN'!$B:AQ,42,FALSE),"N/A")</f>
        <v>N/A</v>
      </c>
      <c r="AH33" s="84" t="str">
        <f>IFERROR(VLOOKUP($B33,'LOD 400 - ADMN'!$B:AT,45,FALSE),"N/A")</f>
        <v>N/A</v>
      </c>
      <c r="AI33" s="85" t="str">
        <f>IFERROR(VLOOKUP($B33,'LOD 400 - ADMN'!$B:AW,48,FALSE),"N/A")</f>
        <v>N/A</v>
      </c>
      <c r="AJ33" s="85" t="str">
        <f>IFERROR(VLOOKUP($B33,'LOD 400 - ADMN'!$B:AZ,51,FALSE),"N/A")</f>
        <v>N/A</v>
      </c>
      <c r="AK33" s="84" t="str">
        <f>IFERROR(VLOOKUP($B33,'LOD 400 - ADMN'!$B:BC,54,FALSE),"N/A")</f>
        <v>N/A</v>
      </c>
      <c r="AL33" s="84" t="str">
        <f>IFERROR(VLOOKUP($B33,'LOD 400 - ADMN'!$B:BF,57,FALSE),"N/A")</f>
        <v>N/A</v>
      </c>
      <c r="AM33" s="84" t="str">
        <f>IFERROR(VLOOKUP($B33,'LOD 400 - ADMN'!$B:BI,60,FALSE),"N/A")</f>
        <v>N/A</v>
      </c>
      <c r="AN33" s="84" t="str">
        <f>IFERROR(VLOOKUP($B33,'LOD 400 - ADMN'!$B:BL,63,FALSE),"N/A")</f>
        <v>N/A</v>
      </c>
      <c r="AO33" s="84" t="str">
        <f>IFERROR(VLOOKUP($B33,'LOD 400 - ADMN'!$B:BO,66,FALSE),"N/A")</f>
        <v>N/A</v>
      </c>
      <c r="AP33" s="84" t="str">
        <f>IFERROR(VLOOKUP($B33,'LOD 400 - ADMN'!$B:BR,69,FALSE),"N/A")</f>
        <v>N/A</v>
      </c>
      <c r="AQ33" s="84" t="str">
        <f>IFERROR(VLOOKUP($B33,'LOD 400 - ADMN'!$B:BU,72,FALSE),"N/A")</f>
        <v>N/A</v>
      </c>
      <c r="AR33" s="84" t="str">
        <f>IFERROR(VLOOKUP($B33,'LOD 400 - ADMN'!$B:BX,75,FALSE),"N/A")</f>
        <v>N/A</v>
      </c>
      <c r="AS33" s="84" t="str">
        <f>IFERROR(VLOOKUP($B33,'LOD 400 - ADMN'!$B:CA,78,FALSE),"N/A")</f>
        <v>N/A</v>
      </c>
      <c r="AT33" s="84" t="str">
        <f>IFERROR(VLOOKUP($B33,'LOD 400 - ADMN'!$B:CD,81,FALSE),"N/A")</f>
        <v>N/A</v>
      </c>
      <c r="AU33" s="85" t="str">
        <f>IFERROR(VLOOKUP($B33,'LOD 400 - ADMN'!$B:CG,84,FALSE),"N/A")</f>
        <v>N/A</v>
      </c>
      <c r="AV33" s="84" t="str">
        <f>IFERROR(VLOOKUP($B33,'LOD 400 - ADMN'!$B:CJ,87,FALSE),"N/A")</f>
        <v>N/A</v>
      </c>
      <c r="AW33" s="85" t="str">
        <f>IFERROR(VLOOKUP($B33,'LOD 400 - ADMN'!$B:CM,90,FALSE),"N/A")</f>
        <v>N/A</v>
      </c>
      <c r="AX33" s="84" t="str">
        <f>IFERROR(VLOOKUP($B33,'LOD 400 - ADMN'!$B:CP,93,FALSE),"N/A")</f>
        <v>N/A</v>
      </c>
      <c r="AY33" s="84" t="str">
        <f>IFERROR(VLOOKUP($B33,'LOD 400 - ADMN'!$B:CS,96,FALSE),"N/A")</f>
        <v>N/A</v>
      </c>
      <c r="AZ33" s="84" t="str">
        <f>IFERROR(VLOOKUP($B33,'LOD 400 - ADMN'!$B:CV,99,FALSE),"N/A")</f>
        <v>N/A</v>
      </c>
      <c r="BA33" s="84" t="str">
        <f>IFERROR(VLOOKUP($B33,'LOD 400 - ADMN'!$B:CY,102,FALSE),"N/A")</f>
        <v>N/A</v>
      </c>
      <c r="BB33" s="84" t="str">
        <f>IFERROR(VLOOKUP($B33,'LOD 400 - ADMN'!$B:DB,105,FALSE),"N/A")</f>
        <v>N/A</v>
      </c>
      <c r="BC33" s="84" t="str">
        <f>IFERROR(VLOOKUP($B33,'LOD 400 - ADMN'!$B:DE,108,FALSE),"N/A")</f>
        <v>N/A</v>
      </c>
      <c r="BD33" s="84" t="str">
        <f>IFERROR(VLOOKUP($B33,'LOD 400 - ADMN'!$B:DH,111,FALSE),"N/A")</f>
        <v>N/A</v>
      </c>
      <c r="BE33" s="84" t="str">
        <f>IFERROR(VLOOKUP($B33,'LOD 400 - ADMN'!$B:DK,114,FALSE),"N/A")</f>
        <v>N/A</v>
      </c>
      <c r="BF33" s="84" t="str">
        <f>IFERROR(VLOOKUP($B33,'LOD 400 - ADMN'!$B:DN,117,FALSE),"N/A")</f>
        <v>N/A</v>
      </c>
      <c r="BG33" s="86" t="str">
        <f>IFERROR(__xludf.DUMMYFUNCTION("IFERROR(
  MAX(FILTER(Y33:BF33, ISNUMBER(Y33:BF33))),
  BF33
)"),"N/A")</f>
        <v>N/A</v>
      </c>
      <c r="BH33" s="79" t="str">
        <f>IFERROR(VLOOKUP($B33,'LOD 400 - COLO1'!B:S,18,FALSE),"N/A")</f>
        <v>N/A</v>
      </c>
      <c r="BI33" s="79" t="str">
        <f>IFERROR(VLOOKUP($B33,'LOD 400 - COLO1'!B:V,21,FALSE),"N/A")</f>
        <v>N/A</v>
      </c>
      <c r="BJ33" s="79" t="str">
        <f>IFERROR(VLOOKUP($B33,'LOD 400 - COLO1'!$B:Y,24,FALSE),"N/A")</f>
        <v>N/A</v>
      </c>
      <c r="BK33" s="87" t="str">
        <f>IFERROR(VLOOKUP($B33,'LOD 400 - COLO1'!$B:AB,27,FALSE),"N/A")</f>
        <v>N/A</v>
      </c>
      <c r="BL33" s="80" t="str">
        <f>IFERROR(VLOOKUP($B33,'LOD 400 - COLO1'!$B:AE,30,FALSE),"N/A")</f>
        <v>N/A</v>
      </c>
      <c r="BM33" s="81" t="str">
        <f>IFERROR(VLOOKUP($B33,'LOD 400 - COLO1'!$B:AH,33,FALSE),"N/A")</f>
        <v>N/A</v>
      </c>
      <c r="BN33" s="87" t="str">
        <f>IFERROR(VLOOKUP($B33,'LOD 400 - COLO1'!$B:AK,36,FALSE),"N/A")</f>
        <v>N/A</v>
      </c>
      <c r="BO33" s="83" t="str">
        <f>IFERROR(VLOOKUP($B33,'LOD 400 - COLO1'!$B:AN,39,FALSE),"N/A")</f>
        <v>N/A</v>
      </c>
      <c r="BP33" s="88" t="str">
        <f>IFERROR(VLOOKUP($B33,'LOD 400 - COLO1'!$B:AQ,42,FALSE),"N/A")</f>
        <v>N/A</v>
      </c>
      <c r="BQ33" s="84" t="str">
        <f>IFERROR(VLOOKUP($B33,'LOD 400 - COLO1'!$B:AT,45,FALSE),"N/A")</f>
        <v>N/A</v>
      </c>
      <c r="BR33" s="85" t="str">
        <f>IFERROR(VLOOKUP($B33,'LOD 400 - COLO1'!$B:AW,48,FALSE),"N/A")</f>
        <v>N/A</v>
      </c>
      <c r="BS33" s="84" t="str">
        <f>IFERROR(VLOOKUP($B33,'LOD 400 - COLO1'!$B:AZ,51,FALSE),"N/A")</f>
        <v>N/A</v>
      </c>
      <c r="BT33" s="84" t="str">
        <f>IFERROR(VLOOKUP($B33,'LOD 400 - COLO1'!$B:BC,54,FALSE),"N/A")</f>
        <v>N/A</v>
      </c>
      <c r="BU33" s="84" t="str">
        <f>IFERROR(VLOOKUP($B33,'LOD 400 - COLO1'!$B:BF,57,FALSE),"N/A")</f>
        <v>N/A</v>
      </c>
      <c r="BV33" s="84" t="str">
        <f>IFERROR(VLOOKUP($B33,'LOD 400 - COLO1'!$B:BI,60,FALSE),"N/A")</f>
        <v>N/A</v>
      </c>
      <c r="BW33" s="84" t="str">
        <f>IFERROR(VLOOKUP($B33,'LOD 400 - COLO1'!$B:BL,63,FALSE),"N/A")</f>
        <v>N/A</v>
      </c>
      <c r="BX33" s="84" t="str">
        <f>IFERROR(VLOOKUP($B33,'LOD 400 - COLO1'!$B:BO,66,FALSE),"N/A")</f>
        <v>N/A</v>
      </c>
      <c r="BY33" s="84" t="str">
        <f>IFERROR(VLOOKUP($B33,'LOD 400 - COLO1'!$B:BR,69,FALSE),"N/A")</f>
        <v>N/A</v>
      </c>
      <c r="BZ33" s="84" t="str">
        <f>IFERROR(VLOOKUP($B33,'LOD 400 - COLO1'!$B:BU,72,FALSE),"N/A")</f>
        <v>N/A</v>
      </c>
      <c r="CA33" s="84" t="str">
        <f>IFERROR(VLOOKUP($B33,'LOD 400 - COLO1'!$B:BX,75,FALSE),"N/A")</f>
        <v>N/A</v>
      </c>
      <c r="CB33" s="84" t="str">
        <f>IFERROR(VLOOKUP($B33,'LOD 400 - COLO1'!$B:CA,78,FALSE),"N/A")</f>
        <v>N/A</v>
      </c>
      <c r="CC33" s="84" t="str">
        <f>IFERROR(VLOOKUP($B33,'LOD 400 - COLO1'!$B:CD,81,FALSE),"N/A")</f>
        <v>N/A</v>
      </c>
      <c r="CD33" s="85" t="str">
        <f>IFERROR(VLOOKUP($B33,'LOD 400 - COLO1'!$B:CG,84,FALSE),"N/A")</f>
        <v>N/A</v>
      </c>
      <c r="CE33" s="84" t="str">
        <f>IFERROR(VLOOKUP($B33,'LOD 400 - COLO1'!$B:CJ,87,FALSE),"N/A")</f>
        <v>N/A</v>
      </c>
      <c r="CF33" s="85" t="str">
        <f>IFERROR(VLOOKUP($B33,'LOD 400 - COLO1'!$B:CM,90,FALSE),"N/A")</f>
        <v>N/A</v>
      </c>
      <c r="CG33" s="84" t="str">
        <f>IFERROR(VLOOKUP($B33,'LOD 400 - COLO1'!$B:CP,93,FALSE),"N/A")</f>
        <v>N/A</v>
      </c>
      <c r="CH33" s="84" t="str">
        <f>IFERROR(VLOOKUP($B33,'LOD 400 - COLO1'!$B:CS,96,FALSE),"N/A")</f>
        <v>N/A</v>
      </c>
      <c r="CI33" s="84" t="str">
        <f>IFERROR(VLOOKUP($B33,'LOD 400 - COLO1'!$B:CV,99,FALSE),"N/A")</f>
        <v>N/A</v>
      </c>
      <c r="CJ33" s="84" t="str">
        <f>IFERROR(VLOOKUP($B33,'LOD 400 - COLO1'!$B:CY,102,FALSE),"N/A")</f>
        <v>N/A</v>
      </c>
      <c r="CK33" s="84" t="str">
        <f>IFERROR(VLOOKUP($B33,'LOD 400 - COLO1'!$B:DB,105,FALSE),"N/A")</f>
        <v>N/A</v>
      </c>
      <c r="CL33" s="84" t="str">
        <f>IFERROR(VLOOKUP($B33,'LOD 400 - COLO1'!$B:DE,108,FALSE),"N/A")</f>
        <v>N/A</v>
      </c>
      <c r="CM33" s="84" t="str">
        <f>IFERROR(VLOOKUP($B33,'LOD 400 - COLO1'!$B:DH,111,FALSE),"N/A")</f>
        <v>N/A</v>
      </c>
      <c r="CN33" s="84" t="str">
        <f>IFERROR(VLOOKUP($B33,'LOD 400 - COLO1'!$B:DK,114,FALSE),"N/A")</f>
        <v>N/A</v>
      </c>
      <c r="CO33" s="84" t="str">
        <f>IFERROR(VLOOKUP($B33,'LOD 400 - COLO1'!$B:DN,117,FALSE),"N/A")</f>
        <v>N/A</v>
      </c>
      <c r="CP33" s="86" t="str">
        <f>IFERROR(__xludf.DUMMYFUNCTION("IFERROR(
  MAX(FILTER(BH33:CO33, ISNUMBER(BH33:CO33))),
  CO33
)"),"N/A")</f>
        <v>N/A</v>
      </c>
      <c r="CQ33" s="89" t="str">
        <f>IFERROR(VLOOKUP($B33,'LOD 400 - COLO2'!B:S,18,FALSE),"N/A")</f>
        <v>N/A</v>
      </c>
      <c r="CR33" s="79" t="str">
        <f>IFERROR(VLOOKUP($B33,'LOD 400 - COLO2'!B:V,21,FALSE),"N/A")</f>
        <v>N/A</v>
      </c>
      <c r="CS33" s="79" t="str">
        <f>IFERROR(VLOOKUP($B33,'LOD 400 - COLO2'!$B:Y,24,FALSE),"N/A")</f>
        <v>N/A</v>
      </c>
      <c r="CT33" s="80" t="str">
        <f>IFERROR(VLOOKUP($B33,'LOD 400 - COLO2'!$B:DQ,27,FALSE),"N/A")</f>
        <v>N/A</v>
      </c>
      <c r="CU33" s="90" t="str">
        <f>IFERROR(VLOOKUP($B33,'LOD 400 - COLO2'!$B:AE,30,FALSE),"N/A")</f>
        <v>N/A</v>
      </c>
      <c r="CV33" s="81" t="str">
        <f>IFERROR(VLOOKUP($B33,'LOD 400 - COLO2'!$B:AH,33,FALSE),"N/A")</f>
        <v>N/A</v>
      </c>
      <c r="CW33" s="90" t="str">
        <f>IFERROR(VLOOKUP($B33,'LOD 400 - COLO2'!$B:AK,36,FALSE),"N/A")</f>
        <v>N/A</v>
      </c>
      <c r="CX33" s="85" t="str">
        <f>IFERROR(VLOOKUP($B33,'LOD 400 - COLO2'!$B:AN,39,FALSE),"N/A")</f>
        <v>N/A</v>
      </c>
      <c r="CY33" s="88" t="str">
        <f>IFERROR(VLOOKUP($B33,'LOD 400 - COLO2'!$B:AQ,42,FALSE),"N/A")</f>
        <v>N/A</v>
      </c>
      <c r="CZ33" s="84" t="str">
        <f>IFERROR(VLOOKUP($B33,'LOD 400 - COLO2'!$B:AT,45,FALSE),"N/A")</f>
        <v>N/A</v>
      </c>
      <c r="DA33" s="85" t="str">
        <f>IFERROR(VLOOKUP($B33,'LOD 400 - COLO2'!$B:AW,48,FALSE),"N/A")</f>
        <v>N/A</v>
      </c>
      <c r="DB33" s="84" t="str">
        <f>IFERROR(VLOOKUP($B33,'LOD 400 - COLO2'!$B:AZ,51,FALSE),"N/A")</f>
        <v>N/A</v>
      </c>
      <c r="DC33" s="84" t="str">
        <f>IFERROR(VLOOKUP($B33,'LOD 400 - COLO2'!$B:BC,54,FALSE),"N/A")</f>
        <v>N/A</v>
      </c>
      <c r="DD33" s="84" t="str">
        <f>IFERROR(VLOOKUP($B33,'LOD 400 - COLO2'!$B:BF,57,FALSE),"N/A")</f>
        <v>N/A</v>
      </c>
      <c r="DE33" s="84" t="str">
        <f>IFERROR(VLOOKUP($B33,'LOD 400 - COLO2'!$B:BI,60,FALSE),"N/A")</f>
        <v>N/A</v>
      </c>
      <c r="DF33" s="84" t="str">
        <f>IFERROR(VLOOKUP($B33,'LOD 400 - COLO2'!$B:BL,63,FALSE),"N/A")</f>
        <v>N/A</v>
      </c>
      <c r="DG33" s="84" t="str">
        <f>IFERROR(VLOOKUP($B33,'LOD 400 - COLO2'!$B:BO,66,FALSE),"N/A")</f>
        <v>N/A</v>
      </c>
      <c r="DH33" s="84" t="str">
        <f>IFERROR(VLOOKUP($B33,'LOD 400 - COLO2'!$B:BR,69,FALSE),"N/A")</f>
        <v>N/A</v>
      </c>
      <c r="DI33" s="84" t="str">
        <f>IFERROR(VLOOKUP($B33,'LOD 400 - COLO2'!$B:BU,72,FALSE),"N/A")</f>
        <v>N/A</v>
      </c>
      <c r="DJ33" s="84" t="str">
        <f>IFERROR(VLOOKUP($B33,'LOD 400 - COLO2'!$B:BX,75,FALSE),"N/A")</f>
        <v>N/A</v>
      </c>
      <c r="DK33" s="84" t="str">
        <f>IFERROR(VLOOKUP($B33,'LOD 400 - COLO2'!$B:CA,78,FALSE),"N/A")</f>
        <v>N/A</v>
      </c>
      <c r="DL33" s="84" t="str">
        <f>IFERROR(VLOOKUP($B33,'LOD 400 - COLO2'!$B:CD,81,FALSE),"N/A")</f>
        <v>N/A</v>
      </c>
      <c r="DM33" s="85" t="str">
        <f>IFERROR(VLOOKUP($B33,'LOD 400 - COLO2'!$B:CG,84,FALSE),"N/A")</f>
        <v>N/A</v>
      </c>
      <c r="DN33" s="84" t="str">
        <f>IFERROR(VLOOKUP($B33,'LOD 400 - COLO2'!$B:CJ,87,FALSE),"N/A")</f>
        <v>N/A</v>
      </c>
      <c r="DO33" s="85" t="str">
        <f>IFERROR(VLOOKUP($B33,'LOD 400 - COLO2'!$B:CM,90,FALSE),"N/A")</f>
        <v>N/A</v>
      </c>
      <c r="DP33" s="84" t="str">
        <f>IFERROR(VLOOKUP($B33,'LOD 400 - COLO2'!$B:CP,93,FALSE),"N/A")</f>
        <v>N/A</v>
      </c>
      <c r="DQ33" s="84" t="str">
        <f>IFERROR(VLOOKUP($B33,'LOD 400 - COLO2'!$B:CS,96,FALSE),"N/A")</f>
        <v>N/A</v>
      </c>
      <c r="DR33" s="84" t="str">
        <f>IFERROR(VLOOKUP($B33,'LOD 400 - COLO2'!$B:CV,99,FALSE),"N/A")</f>
        <v>N/A</v>
      </c>
      <c r="DS33" s="84" t="str">
        <f>IFERROR(VLOOKUP($B33,'LOD 400 - COLO2'!$B:CY,102,FALSE),"N/A")</f>
        <v>N/A</v>
      </c>
      <c r="DT33" s="84" t="str">
        <f>IFERROR(VLOOKUP($B33,'LOD 400 - COLO2'!$B:DB,105,FALSE),"N/A")</f>
        <v>N/A</v>
      </c>
      <c r="DU33" s="84" t="str">
        <f>IFERROR(VLOOKUP($B33,'LOD 400 - COLO2'!$B:DE,108,FALSE),"N/A")</f>
        <v>N/A</v>
      </c>
      <c r="DV33" s="84" t="str">
        <f>IFERROR(VLOOKUP($B33,'LOD 400 - COLO2'!$B:DH,111,FALSE),"N/A")</f>
        <v>N/A</v>
      </c>
      <c r="DW33" s="84" t="str">
        <f>IFERROR(VLOOKUP($B33,'LOD 400 - COLO2'!$B:DK,114,FALSE),"N/A")</f>
        <v>N/A</v>
      </c>
      <c r="DX33" s="84" t="str">
        <f>IFERROR(VLOOKUP($B33,'LOD 400 - COLO2'!$B:DN,117,FALSE),"N/A")</f>
        <v>N/A</v>
      </c>
      <c r="DY33" s="91" t="str">
        <f>IFERROR(__xludf.DUMMYFUNCTION("IFERROR(
  MAX(FILTER(CQ33:DW33, ISNUMBER(CQ33:DW33))),
  DW33
)"),"N/A")</f>
        <v>N/A</v>
      </c>
      <c r="DZ33" s="92" t="str">
        <f>IFERROR(VLOOKUP($B33,'LOD 400 - COLO3'!B:S,18,FALSE),"N/A")</f>
        <v>N/A</v>
      </c>
      <c r="EA33" s="84" t="str">
        <f>IFERROR(VLOOKUP($B33,'LOD 400 - COLO3'!B:V,21,FALSE),"N/A")</f>
        <v>N/A</v>
      </c>
      <c r="EB33" s="84" t="str">
        <f>IFERROR(VLOOKUP($B33,'LOD 400 - COLO3'!B:Y,24,FALSE),"N/A")</f>
        <v>N/A</v>
      </c>
      <c r="EC33" s="84" t="str">
        <f>IFERROR(VLOOKUP($B33,'LOD 400 - COLO3'!B:AB,27,FALSE),"N/A")</f>
        <v>N/A</v>
      </c>
      <c r="ED33" s="85" t="str">
        <f>IFERROR(VLOOKUP($B33,'LOD 400 - COLO3'!B:AE,30,FALSE),"N/A")</f>
        <v>N/A</v>
      </c>
      <c r="EE33" s="84" t="str">
        <f>IFERROR(VLOOKUP($B33,'LOD 400 - COLO3'!B:AH,33,FALSE),"N/A")</f>
        <v>N/A</v>
      </c>
      <c r="EF33" s="84" t="str">
        <f>IFERROR(VLOOKUP($B33,'LOD 400 - COLO3'!B:AK,36,FALSE),"N/A")</f>
        <v>N/A</v>
      </c>
      <c r="EG33" s="109" t="str">
        <f>IFERROR(VLOOKUP($B33,'LOD 400 - COLO3'!B:AN,39,FALSE),"N/A")</f>
        <v>N/A</v>
      </c>
      <c r="EH33" s="94" t="str">
        <f>IFERROR(VLOOKUP($B33,'LOD 400 - COLO3'!B:AQ,42,FALSE),"N/A")</f>
        <v>N/A</v>
      </c>
      <c r="EI33" s="94" t="str">
        <f>IFERROR(VLOOKUP($B33,'LOD 400 - COLO3'!B:AT,45,FALSE),"N/A")</f>
        <v>N/A</v>
      </c>
      <c r="EJ33" s="94" t="str">
        <f>IFERROR(VLOOKUP($B33,'LOD 400 - COLO3'!B:AW,48,FALSE),"N/A")</f>
        <v>N/A</v>
      </c>
      <c r="EK33" s="94" t="str">
        <f>IFERROR(VLOOKUP($B33,'LOD 400 - COLO3'!B:AZ,51,FALSE),"N/A")</f>
        <v>N/A</v>
      </c>
      <c r="EL33" s="94" t="str">
        <f>IFERROR(VLOOKUP($B33,'LOD 400 - COLO3'!B:BC,54,FALSE),"N/A")</f>
        <v>N/A</v>
      </c>
      <c r="EM33" s="94" t="str">
        <f>IFERROR(VLOOKUP($B33,'LOD 400 - COLO3'!B:BF,57,FALSE),"N/A")</f>
        <v>N/A</v>
      </c>
      <c r="EN33" s="94" t="str">
        <f>IFERROR(VLOOKUP($B33,'LOD 400 - COLO3'!B:BI,60,FALSE),"N/A")</f>
        <v>N/A</v>
      </c>
      <c r="EO33" s="94" t="str">
        <f>IFERROR(VLOOKUP($B33,'LOD 400 - COLO3'!B:BL,63,FALSE),"N/A")</f>
        <v>N/A</v>
      </c>
      <c r="EP33" s="86" t="str">
        <f>IFERROR(__xludf.DUMMYFUNCTION("IFERROR(
  MAX(FILTER(DZ33:EO33, ISNUMBER(DZ33:EO33))),
  EO33
)"),"N/A")</f>
        <v>N/A</v>
      </c>
      <c r="EQ33" s="95" t="str">
        <f>IFERROR(VLOOKUP($B33,'LOD 400 - COLO4'!B:S,18,FALSE),"N/A")</f>
        <v>N/A</v>
      </c>
      <c r="ER33" s="96" t="str">
        <f>IFERROR(__xludf.DUMMYFUNCTION("IFERROR(
  MAX(FILTER(EQ33, ISNUMBER(EQ33))),
  EQ33
)"),"N/A")</f>
        <v>N/A</v>
      </c>
      <c r="ES33" s="79">
        <f>IFERROR(VLOOKUP($B33,'LOD 400 - SITE'!B:S,18,FALSE),"N/A")</f>
        <v>0.2</v>
      </c>
      <c r="ET33" s="80" t="str">
        <f>IFERROR(VLOOKUP($B33,'LOD 400 - SITE'!B:V,21,FALSE),"N/A")</f>
        <v>OUTDATED</v>
      </c>
      <c r="EU33" s="97">
        <f>IFERROR(VLOOKUP($B33,'LOD 400 - SITE'!$B:Y,24,FALSE),"N/A")</f>
        <v>0.2</v>
      </c>
      <c r="EV33" s="80" t="str">
        <f>IFERROR(VLOOKUP($B33,'LOD 400 - SITE'!$B:AB,27,FALSE),"N/A")</f>
        <v>IMPROPER</v>
      </c>
      <c r="EW33" s="81">
        <f>IFERROR(VLOOKUP($B33,'LOD 400 - SITE'!$B:AE,30,FALSE),"N/A")</f>
        <v>0.61</v>
      </c>
      <c r="EX33" s="87" t="str">
        <f>IFERROR(VLOOKUP($B33,'LOD 400 - SITE'!$B:AH,33,FALSE),"N/A")</f>
        <v>NEXT ROUND </v>
      </c>
      <c r="EY33" s="87">
        <f>IFERROR(VLOOKUP($B33,'LOD 400 - SITE'!$B:AK,36,FALSE),"N/A")</f>
        <v>0.65</v>
      </c>
      <c r="EZ33" s="80" t="str">
        <f>IFERROR(VLOOKUP($B33,'LOD 400 - SITE'!$B:AN,39,FALSE),"N/A")</f>
        <v>NEXT ROUND </v>
      </c>
      <c r="FA33" s="82">
        <f>IFERROR(VLOOKUP($B33,'LOD 400 - SITE'!$B:AQ,42,FALSE),"N/A")</f>
        <v>1</v>
      </c>
      <c r="FB33" s="88">
        <f>IFERROR(VLOOKUP($B33,'LOD 400 - SITE'!$B:AT,45,FALSE),"N/A")</f>
        <v>1</v>
      </c>
      <c r="FC33" s="84">
        <f>IFERROR(VLOOKUP($B33,'LOD 400 - SITE'!$B:AW,48,FALSE),"N/A")</f>
        <v>1</v>
      </c>
      <c r="FD33" s="84">
        <f>IFERROR(VLOOKUP($B33,'LOD 400 - SITE'!$B:AZ,51,FALSE),"N/A")</f>
        <v>1</v>
      </c>
      <c r="FE33" s="84">
        <f>IFERROR(VLOOKUP($B33,'LOD 400 - SITE'!$B:BC,54,FALSE),"N/A")</f>
        <v>1</v>
      </c>
      <c r="FF33" s="84">
        <f>IFERROR(VLOOKUP($B33,'LOD 400 - SITE'!$B:BF,57,FALSE),"N/A")</f>
        <v>1</v>
      </c>
      <c r="FG33" s="84">
        <f>IFERROR(VLOOKUP($B33,'LOD 400 - SITE'!$B:BI,60,FALSE),"N/A")</f>
        <v>1</v>
      </c>
      <c r="FH33" s="84">
        <f>IFERROR(VLOOKUP($B33,'LOD 400 - SITE'!$B:BL,63,FALSE),"N/A")</f>
        <v>1</v>
      </c>
      <c r="FI33" s="84">
        <f>IFERROR(VLOOKUP($B33,'LOD 400 - SITE'!$B:BO,66,FALSE),"N/A")</f>
        <v>1</v>
      </c>
      <c r="FJ33" s="84">
        <f>IFERROR(VLOOKUP($B33,'LOD 400 - SITE'!$B:BR,69,FALSE),"N/A")</f>
        <v>1</v>
      </c>
      <c r="FK33" s="84">
        <f>IFERROR(VLOOKUP($B33,'LOD 400 - SITE'!$B:BU,72,FALSE),"N/A")</f>
        <v>1</v>
      </c>
      <c r="FL33" s="84">
        <f>IFERROR(VLOOKUP($B33,'LOD 400 - SITE'!$B:BX,75,FALSE),"N/A")</f>
        <v>1</v>
      </c>
      <c r="FM33" s="84">
        <f>IFERROR(VLOOKUP($B33,'LOD 400 - SITE'!$B:CA,78,FALSE),"N/A")</f>
        <v>1</v>
      </c>
      <c r="FN33" s="85">
        <f>IFERROR(VLOOKUP($B33,'LOD 400 - SITE'!$B:CD,81,FALSE),"N/A")</f>
        <v>1</v>
      </c>
      <c r="FO33" s="84">
        <f>IFERROR(VLOOKUP($B33,'LOD 400 - SITE'!$B:CG,84,FALSE),"N/A")</f>
        <v>1</v>
      </c>
      <c r="FP33" s="85">
        <f>IFERROR(VLOOKUP($B33,'LOD 400 - SITE'!$B:CJ,87,FALSE),"N/A")</f>
        <v>1</v>
      </c>
      <c r="FQ33" s="84">
        <f>IFERROR(VLOOKUP($B33,'LOD 400 - SITE'!$B:CM,90,FALSE),"N/A")</f>
        <v>1</v>
      </c>
      <c r="FR33" s="84">
        <f>IFERROR(VLOOKUP($B33,'LOD 400 - SITE'!$B:CP,93,FALSE),"N/A")</f>
        <v>1</v>
      </c>
      <c r="FS33" s="84">
        <f>IFERROR(VLOOKUP($B33,'LOD 400 - SITE'!$B:CS,96,FALSE),"N/A")</f>
        <v>1</v>
      </c>
      <c r="FT33" s="84">
        <f>IFERROR(VLOOKUP($B33,'LOD 400 - SITE'!$B:CV,99,FALSE),"N/A")</f>
        <v>1</v>
      </c>
      <c r="FU33" s="84">
        <f>IFERROR(VLOOKUP($B33,'LOD 400 - SITE'!$B:CY,102,FALSE),"N/A")</f>
        <v>1</v>
      </c>
      <c r="FV33" s="84">
        <f>IFERROR(VLOOKUP($B33,'LOD 400 - SITE'!$B:DB,105,FALSE),"N/A")</f>
        <v>1</v>
      </c>
      <c r="FW33" s="84">
        <f>IFERROR(VLOOKUP($B33,'LOD 400 - SITE'!$B:DE,108,FALSE),"N/A")</f>
        <v>1</v>
      </c>
      <c r="FX33" s="84">
        <f>IFERROR(VLOOKUP($B33,'LOD 400 - SITE'!$B:DH,111,FALSE),"N/A")</f>
        <v>1</v>
      </c>
      <c r="FY33" s="84">
        <f>IFERROR(VLOOKUP($B33,'LOD 400 - SITE'!$B:DK,114,FALSE),"N/A")</f>
        <v>1</v>
      </c>
      <c r="FZ33" s="96">
        <f>IFERROR(__xludf.DUMMYFUNCTION("IFERROR(
  MAX(FILTER(ES33:FY33, ISNUMBER(ES33:FY33))),
  FY33
)"),1.0)</f>
        <v>1</v>
      </c>
      <c r="GA33" s="80">
        <f>IFERROR(VLOOKUP($B33,'LOD 400 - UTLS'!B:S,18,FALSE),"N/A")</f>
        <v>0.21</v>
      </c>
      <c r="GB33" s="98">
        <f>IFERROR(VLOOKUP($B33,'LOD 400 - UTLS'!B:V,21,FALSE),"N/A")</f>
        <v>0.61</v>
      </c>
      <c r="GC33" s="81">
        <f>IFERROR(VLOOKUP($B33,'LOD 400 - UTLS'!B:Y,24,FALSE),"N/A")</f>
        <v>0.71</v>
      </c>
      <c r="GD33" s="87">
        <f>IFERROR(VLOOKUP($B33,'LOD 400 - UTLS'!$B:AB,27,FALSE),"N/A")</f>
        <v>0.71</v>
      </c>
      <c r="GE33" s="80" t="str">
        <f>IFERROR(VLOOKUP($B33,'LOD 400 - UTLS'!$B:AE,30,FALSE),"N/A")</f>
        <v>NEXT ROUND</v>
      </c>
      <c r="GF33" s="82">
        <f>IFERROR(VLOOKUP($B33,'LOD 400 - UTLS'!$B:AH,33,FALSE),"N/A")</f>
        <v>1</v>
      </c>
      <c r="GG33" s="88">
        <f>IFERROR(VLOOKUP($B33,'LOD 400 - UTLS'!$B:AK,36,FALSE),"N/A")</f>
        <v>1</v>
      </c>
      <c r="GH33" s="84">
        <f>IFERROR(VLOOKUP($B33,'LOD 400 - UTLS'!$B:AN,39,FALSE),"N/A")</f>
        <v>1</v>
      </c>
      <c r="GI33" s="84">
        <f>IFERROR(VLOOKUP($B33,'LOD 400 - UTLS'!$B:AQ,42,FALSE),"N/A")</f>
        <v>1</v>
      </c>
      <c r="GJ33" s="84">
        <f>IFERROR(VLOOKUP($B33,'LOD 400 - UTLS'!$B:AT,45,FALSE),"N/A")</f>
        <v>1</v>
      </c>
      <c r="GK33" s="84">
        <f>IFERROR(VLOOKUP($B33,'LOD 400 - UTLS'!$B:AW,48,FALSE),"N/A")</f>
        <v>1</v>
      </c>
      <c r="GL33" s="84">
        <f>IFERROR(VLOOKUP($B33,'LOD 400 - UTLS'!$B:AZ,51,FALSE),"N/A")</f>
        <v>1</v>
      </c>
      <c r="GM33" s="84">
        <f>IFERROR(VLOOKUP($B33,'LOD 400 - UTLS'!$B:BC,54,FALSE),"N/A")</f>
        <v>1</v>
      </c>
      <c r="GN33" s="84">
        <f>IFERROR(VLOOKUP($B33,'LOD 400 - UTLS'!$B:BF,57,FALSE),"N/A")</f>
        <v>1</v>
      </c>
      <c r="GO33" s="84">
        <f>IFERROR(VLOOKUP($B33,'LOD 400 - UTLS'!$B:BI,60,FALSE),"N/A")</f>
        <v>1</v>
      </c>
      <c r="GP33" s="84">
        <f>IFERROR(VLOOKUP($B33,'LOD 400 - UTLS'!$B:BL,63,FALSE),"N/A")</f>
        <v>1</v>
      </c>
      <c r="GQ33" s="84">
        <f>IFERROR(VLOOKUP($B33,'LOD 400 - UTLS'!$B:BO,66,FALSE),"N/A")</f>
        <v>1</v>
      </c>
      <c r="GR33" s="84">
        <f>IFERROR(VLOOKUP($B33,'LOD 400 - UTLS'!$B:BR,69,FALSE),"N/A")</f>
        <v>1</v>
      </c>
      <c r="GS33" s="85">
        <f>IFERROR(VLOOKUP($B33,'LOD 400 - UTLS'!$B:BU,72,FALSE),"N/A")</f>
        <v>1</v>
      </c>
      <c r="GT33" s="84">
        <f>IFERROR(VLOOKUP($B33,'LOD 400 - UTLS'!$B:BX,75,FALSE),"N/A")</f>
        <v>1</v>
      </c>
      <c r="GU33" s="85">
        <f>IFERROR(VLOOKUP($B33,'LOD 400 - UTLS'!$B:CA,78,FALSE),"N/A")</f>
        <v>1</v>
      </c>
      <c r="GV33" s="84">
        <f>IFERROR(VLOOKUP($B33,'LOD 400 - UTLS'!$B:CD,81,FALSE),"N/A")</f>
        <v>1</v>
      </c>
      <c r="GW33" s="84">
        <f>IFERROR(VLOOKUP($B33,'LOD 400 - UTLS'!$B:CG,84,FALSE),"N/A")</f>
        <v>1</v>
      </c>
      <c r="GX33" s="84">
        <f>IFERROR(VLOOKUP($B33,'LOD 400 - UTLS'!$B:CJ,87,FALSE),"N/A")</f>
        <v>1</v>
      </c>
      <c r="GY33" s="84">
        <f>IFERROR(VLOOKUP($B33,'LOD 400 - UTLS'!$B:CM,90,FALSE),"N/A")</f>
        <v>1</v>
      </c>
      <c r="GZ33" s="84">
        <f>IFERROR(VLOOKUP($B33,'LOD 400 - UTLS'!$B:CP,93,FALSE),"N/A")</f>
        <v>1</v>
      </c>
      <c r="HA33" s="84">
        <f>IFERROR(VLOOKUP($B33,'LOD 400 - UTLS'!$B:CS,96,FALSE),"N/A")</f>
        <v>1</v>
      </c>
      <c r="HB33" s="84">
        <f>IFERROR(VLOOKUP($B33,'LOD 400 - UTLS'!$B:CV,99,FALSE),"N/A")</f>
        <v>1</v>
      </c>
      <c r="HC33" s="84">
        <f>IFERROR(VLOOKUP($B33,'LOD 400 - UTLS'!$B:CY,102,FALSE),"N/A")</f>
        <v>1</v>
      </c>
      <c r="HD33" s="84">
        <f>IFERROR(VLOOKUP($B33,'LOD 400 - UTLS'!$B:DB,105,FALSE),"N/A")</f>
        <v>1</v>
      </c>
      <c r="HE33" s="96">
        <f>IFERROR(__xludf.DUMMYFUNCTION("IFERROR(
  MAX(FILTER(GA33:HD33, ISNUMBER(GA33:HD33))),
  HD33
)"),1.0)</f>
        <v>1</v>
      </c>
      <c r="HF33" s="99"/>
      <c r="HG33" s="99"/>
      <c r="HH33" s="99"/>
      <c r="HI33" s="99"/>
      <c r="HJ33" s="99"/>
      <c r="HK33" s="99"/>
    </row>
    <row r="34" ht="15.0" hidden="1" customHeight="1">
      <c r="A34" s="53">
        <v>38.0</v>
      </c>
      <c r="B34" s="146" t="s">
        <v>158</v>
      </c>
      <c r="C34" s="147"/>
      <c r="D34" s="148"/>
      <c r="E34" s="148"/>
      <c r="F34" s="148"/>
      <c r="G34" s="149"/>
      <c r="H34" s="148"/>
      <c r="I34" s="148"/>
      <c r="J34" s="150"/>
      <c r="K34" s="151"/>
      <c r="L34" s="149"/>
      <c r="M34" s="148"/>
      <c r="N34" s="152"/>
      <c r="O34" s="153"/>
      <c r="P34" s="154"/>
      <c r="Q34" s="155"/>
      <c r="R34" s="156"/>
      <c r="S34" s="157"/>
      <c r="T34" s="157"/>
      <c r="U34" s="158"/>
      <c r="V34" s="159"/>
      <c r="W34" s="148"/>
      <c r="X34" s="155"/>
      <c r="Y34" s="149"/>
      <c r="Z34" s="149"/>
      <c r="AA34" s="149"/>
      <c r="AB34" s="149"/>
      <c r="AC34" s="149"/>
      <c r="AD34" s="149"/>
      <c r="AE34" s="149"/>
      <c r="AF34" s="149"/>
      <c r="AG34" s="149"/>
      <c r="AH34" s="149"/>
      <c r="AI34" s="149"/>
      <c r="AJ34" s="149"/>
      <c r="AK34" s="149"/>
      <c r="AL34" s="149"/>
      <c r="AM34" s="149"/>
      <c r="AN34" s="149"/>
      <c r="AO34" s="149"/>
      <c r="AP34" s="149"/>
      <c r="AQ34" s="149"/>
      <c r="AR34" s="149"/>
      <c r="AS34" s="149"/>
      <c r="AT34" s="148"/>
      <c r="AU34" s="148"/>
      <c r="AV34" s="155"/>
      <c r="AW34" s="156"/>
      <c r="AX34" s="155"/>
      <c r="AY34" s="156"/>
      <c r="AZ34" s="156"/>
      <c r="BA34" s="156"/>
      <c r="BB34" s="156"/>
      <c r="BC34" s="156"/>
      <c r="BD34" s="156"/>
      <c r="BE34" s="156"/>
      <c r="BF34" s="156"/>
      <c r="BG34" s="160"/>
      <c r="BH34" s="149"/>
      <c r="BI34" s="149"/>
      <c r="BJ34" s="149"/>
      <c r="BK34" s="149"/>
      <c r="BL34" s="149"/>
      <c r="BM34" s="149"/>
      <c r="BN34" s="149"/>
      <c r="BO34" s="149"/>
      <c r="BP34" s="149"/>
      <c r="BQ34" s="149"/>
      <c r="BR34" s="149"/>
      <c r="BS34" s="149"/>
      <c r="BT34" s="149"/>
      <c r="BU34" s="149"/>
      <c r="BV34" s="149"/>
      <c r="BW34" s="149"/>
      <c r="BX34" s="149"/>
      <c r="BY34" s="149"/>
      <c r="BZ34" s="149"/>
      <c r="CA34" s="149"/>
      <c r="CB34" s="149"/>
      <c r="CC34" s="148"/>
      <c r="CD34" s="148"/>
      <c r="CE34" s="155"/>
      <c r="CF34" s="156"/>
      <c r="CG34" s="155"/>
      <c r="CH34" s="156"/>
      <c r="CI34" s="156"/>
      <c r="CJ34" s="156"/>
      <c r="CK34" s="156"/>
      <c r="CL34" s="156"/>
      <c r="CM34" s="156"/>
      <c r="CN34" s="156"/>
      <c r="CO34" s="156"/>
      <c r="CP34" s="160"/>
      <c r="CQ34" s="149"/>
      <c r="CR34" s="149"/>
      <c r="CS34" s="149"/>
      <c r="CT34" s="149"/>
      <c r="CU34" s="149"/>
      <c r="CV34" s="149"/>
      <c r="CW34" s="149"/>
      <c r="CX34" s="149"/>
      <c r="CY34" s="149"/>
      <c r="CZ34" s="149"/>
      <c r="DA34" s="149"/>
      <c r="DB34" s="149"/>
      <c r="DC34" s="149"/>
      <c r="DD34" s="149"/>
      <c r="DE34" s="149"/>
      <c r="DF34" s="149"/>
      <c r="DG34" s="149"/>
      <c r="DH34" s="149"/>
      <c r="DI34" s="149"/>
      <c r="DJ34" s="148"/>
      <c r="DK34" s="148"/>
      <c r="DL34" s="148"/>
      <c r="DM34" s="148"/>
      <c r="DN34" s="155"/>
      <c r="DO34" s="156"/>
      <c r="DP34" s="155"/>
      <c r="DQ34" s="156"/>
      <c r="DR34" s="156"/>
      <c r="DS34" s="156"/>
      <c r="DT34" s="156"/>
      <c r="DU34" s="156"/>
      <c r="DV34" s="156"/>
      <c r="DW34" s="156"/>
      <c r="DX34" s="156"/>
      <c r="DY34" s="148"/>
      <c r="DZ34" s="161"/>
      <c r="EA34" s="158"/>
      <c r="EB34" s="156"/>
      <c r="EC34" s="156"/>
      <c r="ED34" s="156"/>
      <c r="EE34" s="155"/>
      <c r="EF34" s="156"/>
      <c r="EG34" s="148"/>
      <c r="EH34" s="162"/>
      <c r="EI34" s="156"/>
      <c r="EJ34" s="156"/>
      <c r="EK34" s="156"/>
      <c r="EL34" s="156"/>
      <c r="EM34" s="156"/>
      <c r="EN34" s="156"/>
      <c r="EO34" s="156"/>
      <c r="EP34" s="163"/>
      <c r="EQ34" s="156"/>
      <c r="ER34" s="164"/>
      <c r="ES34" s="149"/>
      <c r="ET34" s="148"/>
      <c r="EU34" s="159"/>
      <c r="EV34" s="149"/>
      <c r="EW34" s="149"/>
      <c r="EX34" s="149"/>
      <c r="EY34" s="149"/>
      <c r="EZ34" s="149"/>
      <c r="FA34" s="149"/>
      <c r="FB34" s="149"/>
      <c r="FC34" s="149"/>
      <c r="FD34" s="149"/>
      <c r="FE34" s="149"/>
      <c r="FF34" s="149"/>
      <c r="FG34" s="149"/>
      <c r="FH34" s="149"/>
      <c r="FI34" s="149"/>
      <c r="FJ34" s="149"/>
      <c r="FK34" s="149"/>
      <c r="FL34" s="149"/>
      <c r="FM34" s="149"/>
      <c r="FN34" s="148"/>
      <c r="FO34" s="155"/>
      <c r="FP34" s="156"/>
      <c r="FQ34" s="155"/>
      <c r="FR34" s="156"/>
      <c r="FS34" s="156"/>
      <c r="FT34" s="156"/>
      <c r="FU34" s="156"/>
      <c r="FV34" s="156"/>
      <c r="FW34" s="156"/>
      <c r="FX34" s="156"/>
      <c r="FY34" s="156"/>
      <c r="FZ34" s="165"/>
      <c r="GA34" s="149"/>
      <c r="GB34" s="149"/>
      <c r="GC34" s="149"/>
      <c r="GD34" s="149"/>
      <c r="GE34" s="149"/>
      <c r="GF34" s="149"/>
      <c r="GG34" s="149"/>
      <c r="GH34" s="149"/>
      <c r="GI34" s="149"/>
      <c r="GJ34" s="149"/>
      <c r="GK34" s="149"/>
      <c r="GL34" s="149"/>
      <c r="GM34" s="149"/>
      <c r="GN34" s="149"/>
      <c r="GO34" s="149"/>
      <c r="GP34" s="149"/>
      <c r="GQ34" s="156"/>
      <c r="GR34" s="156"/>
      <c r="GS34" s="156"/>
      <c r="GT34" s="155"/>
      <c r="GU34" s="156"/>
      <c r="GV34" s="155"/>
      <c r="GW34" s="156"/>
      <c r="GX34" s="156"/>
      <c r="GY34" s="156"/>
      <c r="GZ34" s="156"/>
      <c r="HA34" s="156"/>
      <c r="HB34" s="156"/>
      <c r="HC34" s="156"/>
      <c r="HD34" s="156"/>
      <c r="HE34" s="164"/>
      <c r="HF34" s="99"/>
      <c r="HG34" s="99"/>
      <c r="HH34" s="99"/>
      <c r="HI34" s="99"/>
      <c r="HJ34" s="99"/>
      <c r="HK34" s="99"/>
    </row>
    <row r="35" ht="15.0" customHeight="1" outlineLevel="1">
      <c r="A35" s="53">
        <v>39.0</v>
      </c>
      <c r="B35" s="100" t="s">
        <v>159</v>
      </c>
      <c r="C35" s="100" t="s">
        <v>160</v>
      </c>
      <c r="D35" s="64" t="str">
        <f>MID(B35,17,4)</f>
        <v>DATA</v>
      </c>
      <c r="E35" s="101" t="s">
        <v>161</v>
      </c>
      <c r="F35" s="102">
        <v>1113.0</v>
      </c>
      <c r="G35" s="103" t="s">
        <v>161</v>
      </c>
      <c r="H35" s="104">
        <v>1113.0</v>
      </c>
      <c r="I35" s="68" t="str">
        <f>IFERROR(VLOOKUP($C32:C108,'R22 RELATÓRIO ACC'!B:F,5,FALSE),"NOT PUBLISHED")</f>
        <v>V28</v>
      </c>
      <c r="J35" s="69" t="str">
        <f>IFERROR(VLOOKUP($C32:C108,'R22 RELATÓRIO ACC'!B:P,15,FALSE),"NOT PUBLISHED")</f>
        <v>16/04/2026</v>
      </c>
      <c r="K35" s="70" t="str">
        <f>IFERROR(VLOOKUP($B32:B108,'RELATÓRIO ACC'!B:F,5,FALSE),"NOT PUBLISHED")</f>
        <v>V4</v>
      </c>
      <c r="L35" s="71" t="str">
        <f>IFERROR(VLOOKUP($B32:B108,'RELATÓRIO ACC'!B:P,15,FALSE),"NOT PUBLISHED")</f>
        <v>26/06/2026</v>
      </c>
      <c r="M35" s="72" t="str">
        <f>IF(OR($D35="UTLS",$D35="GUAR",$D35="STIR",$D35="PUMP",$D35="SITE"),
   VLOOKUP($B35,'LOD 400 - SITE'!B:M,12,FALSE),
   VLOOKUP($B35,'LOD 400 - ADMN'!B:M,12,FALSE)
)</f>
        <v>V21</v>
      </c>
      <c r="N35" s="105">
        <f>IF(OR($D35="UTLS",$D35="GUAR",$D35="STIR",$D35="PUMP",$D35="SITE"),
   VLOOKUP($B35,'LOD 400 - SITE'!B:N,13,FALSE),
   VLOOKUP($B35,'LOD 400 - ADMN'!B:N,13,FALSE)
)</f>
        <v>45996</v>
      </c>
      <c r="O35" s="106" t="str">
        <f>IF(OR($D35="UTLS",$D35="GUAR",$D35="STIR",$D35="PUMP",$D35="SITE"),
   VLOOKUP($B35,'LOD 400 - SITE'!B:O,14,FALSE),
   VLOOKUP($B35,'LOD 400 - ADMN'!B:O,14,FALSE)
)</f>
        <v>R22</v>
      </c>
      <c r="P35" s="107" t="str">
        <f>IF(OR($D35="C345",$D35="C12A",$D35="DATA"),
   VLOOKUP($B35,'LOD 400 - COLO3'!B:M,12,FALSE),"N/A")</f>
        <v>V27</v>
      </c>
      <c r="Q35" s="108">
        <f>IF(OR($D35="C345",$D35="C12A",$D35="DATA"),
   VLOOKUP($B35,'LOD 400 - COLO3'!B:N,13,FALSE),"N/A")</f>
        <v>46114</v>
      </c>
      <c r="R35" s="75" t="str">
        <f>IF(OR($D35="C345",$D35="C12A",$D35="DATA"),
   VLOOKUP($B35,'LOD 400 - COLO3'!B:O,14,FALSE),"N/A")</f>
        <v>R22</v>
      </c>
      <c r="S35" s="76" t="str">
        <f>IF(OR($D35="C345",$D35="C12A",$D35="DATA"),
   VLOOKUP($B35,'LOD 400 - COLO4'!B:N,12,FALSE),"N/A")</f>
        <v>N/A</v>
      </c>
      <c r="T35" s="76" t="str">
        <f>IF(OR($D35="C345",$D35="C12A",$D35="DATA"),
   VLOOKUP($B35,'LOD 400 - COLO4'!B:N,13,FALSE),"N/A")</f>
        <v>N/A</v>
      </c>
      <c r="U35" s="76" t="str">
        <f>IF(OR($D35="C345",$D35="C12A",$D35="DATA"),
   VLOOKUP($B35,'LOD 400 - COLO4'!B:N,13,FALSE),"N/A")</f>
        <v>N/A</v>
      </c>
      <c r="V35" s="77" t="str">
        <f>IF(OR($D35="UTLS",$D35="GUAR",$D35="STIR",$D35="PUMP",$D35="SITE"),
   VLOOKUP($B35,'LOD 400 - UTLS'!B:M,12,FALSE),"N/A")</f>
        <v>N/A</v>
      </c>
      <c r="W35" s="78" t="str">
        <f>IF(OR($D35="UTLS",$D35="GUAR",$D35="STIR",$D35="PUMP",$D35="SITE"),
   VLOOKUP($B35,'LOD 400 - UTLS'!B:N,13,FALSE),"N/A")</f>
        <v>N/A</v>
      </c>
      <c r="X35" s="108" t="str">
        <f>IF(OR($D35="UTLS",$D35="GUAR",$D35="STIR",$D35="PUMP",$D35="SITE"),
   VLOOKUP($B35,'LOD 400 - UTLS'!B:O,14,FALSE),"N/A")</f>
        <v>N/A</v>
      </c>
      <c r="Y35" s="79">
        <f>IFERROR(VLOOKUP($B35,'LOD 400 - ADMN'!B:S,18,FALSE),"N/A")</f>
        <v>0.01</v>
      </c>
      <c r="Z35" s="79" t="str">
        <f>IFERROR(VLOOKUP($B35,'LOD 400 - ADMN'!B:V,21,FALSE),"N/A")</f>
        <v>OUTDATED</v>
      </c>
      <c r="AA35" s="79">
        <f>IFERROR(VLOOKUP($B35,'LOD 400 - ADMN'!$B:Y,24,FALSE),"N/A")</f>
        <v>0.08</v>
      </c>
      <c r="AB35" s="80" t="str">
        <f>IFERROR(VLOOKUP($B35,'LOD 400 - ADMN'!$B:AB,27,FALSE),"N/A")</f>
        <v>OUTDATED</v>
      </c>
      <c r="AC35" s="81" t="str">
        <f>IFERROR(VLOOKUP($B35,'LOD 400 - ADMN'!$B:AE,30,FALSE),"N/A")</f>
        <v>NEXT ROUND</v>
      </c>
      <c r="AD35" s="81">
        <f>IFERROR(VLOOKUP($B35,'LOD 400 - ADMN'!$B:AH,33,FALSE),"N/A")</f>
        <v>0.45</v>
      </c>
      <c r="AE35" s="80" t="str">
        <f>IFERROR(VLOOKUP($B35,'LOD 400 - ADMN'!$B:AK,36,FALSE),"N/A")</f>
        <v>OUTDATED</v>
      </c>
      <c r="AF35" s="82" t="str">
        <f>IFERROR(VLOOKUP($B35,'LOD 400 - ADMN'!$B:AN,39,FALSE),"N/A")</f>
        <v>NEXT ROUND</v>
      </c>
      <c r="AG35" s="83">
        <f>IFERROR(VLOOKUP($B35,'LOD 400 - ADMN'!$B:AQ,42,FALSE),"N/A")</f>
        <v>1</v>
      </c>
      <c r="AH35" s="84">
        <f>IFERROR(VLOOKUP($B35,'LOD 400 - ADMN'!$B:AT,45,FALSE),"N/A")</f>
        <v>1</v>
      </c>
      <c r="AI35" s="85">
        <f>IFERROR(VLOOKUP($B35,'LOD 400 - ADMN'!$B:AW,48,FALSE),"N/A")</f>
        <v>1</v>
      </c>
      <c r="AJ35" s="85">
        <f>IFERROR(VLOOKUP($B35,'LOD 400 - ADMN'!$B:AZ,51,FALSE),"N/A")</f>
        <v>1</v>
      </c>
      <c r="AK35" s="84">
        <f>IFERROR(VLOOKUP($B35,'LOD 400 - ADMN'!$B:BC,54,FALSE),"N/A")</f>
        <v>1</v>
      </c>
      <c r="AL35" s="84">
        <f>IFERROR(VLOOKUP($B35,'LOD 400 - ADMN'!$B:BF,57,FALSE),"N/A")</f>
        <v>1</v>
      </c>
      <c r="AM35" s="84">
        <f>IFERROR(VLOOKUP($B35,'LOD 400 - ADMN'!$B:BI,60,FALSE),"N/A")</f>
        <v>1</v>
      </c>
      <c r="AN35" s="84">
        <f>IFERROR(VLOOKUP($B35,'LOD 400 - ADMN'!$B:BL,63,FALSE),"N/A")</f>
        <v>1</v>
      </c>
      <c r="AO35" s="84">
        <f>IFERROR(VLOOKUP($B35,'LOD 400 - ADMN'!$B:BO,66,FALSE),"N/A")</f>
        <v>1</v>
      </c>
      <c r="AP35" s="84">
        <f>IFERROR(VLOOKUP($B35,'LOD 400 - ADMN'!$B:BR,69,FALSE),"N/A")</f>
        <v>1</v>
      </c>
      <c r="AQ35" s="84">
        <f>IFERROR(VLOOKUP($B35,'LOD 400 - ADMN'!$B:BU,72,FALSE),"N/A")</f>
        <v>1</v>
      </c>
      <c r="AR35" s="84">
        <f>IFERROR(VLOOKUP($B35,'LOD 400 - ADMN'!$B:BX,75,FALSE),"N/A")</f>
        <v>1</v>
      </c>
      <c r="AS35" s="84">
        <f>IFERROR(VLOOKUP($B35,'LOD 400 - ADMN'!$B:CA,78,FALSE),"N/A")</f>
        <v>1</v>
      </c>
      <c r="AT35" s="84">
        <f>IFERROR(VLOOKUP($B35,'LOD 400 - ADMN'!$B:CD,81,FALSE),"N/A")</f>
        <v>1</v>
      </c>
      <c r="AU35" s="85">
        <f>IFERROR(VLOOKUP($B35,'LOD 400 - ADMN'!$B:CG,84,FALSE),"N/A")</f>
        <v>1</v>
      </c>
      <c r="AV35" s="84">
        <f>IFERROR(VLOOKUP($B35,'LOD 400 - ADMN'!$B:CJ,87,FALSE),"N/A")</f>
        <v>1</v>
      </c>
      <c r="AW35" s="85">
        <f>IFERROR(VLOOKUP($B35,'LOD 400 - ADMN'!$B:CM,90,FALSE),"N/A")</f>
        <v>1</v>
      </c>
      <c r="AX35" s="84">
        <f>IFERROR(VLOOKUP($B35,'LOD 400 - ADMN'!$B:CP,93,FALSE),"N/A")</f>
        <v>1</v>
      </c>
      <c r="AY35" s="84">
        <f>IFERROR(VLOOKUP($B35,'LOD 400 - ADMN'!$B:CS,96,FALSE),"N/A")</f>
        <v>1</v>
      </c>
      <c r="AZ35" s="84">
        <f>IFERROR(VLOOKUP($B35,'LOD 400 - ADMN'!$B:CV,99,FALSE),"N/A")</f>
        <v>1</v>
      </c>
      <c r="BA35" s="84">
        <f>IFERROR(VLOOKUP($B35,'LOD 400 - ADMN'!$B:CY,102,FALSE),"N/A")</f>
        <v>1</v>
      </c>
      <c r="BB35" s="84">
        <f>IFERROR(VLOOKUP($B35,'LOD 400 - ADMN'!$B:DB,105,FALSE),"N/A")</f>
        <v>1</v>
      </c>
      <c r="BC35" s="84">
        <f>IFERROR(VLOOKUP($B35,'LOD 400 - ADMN'!$B:DE,108,FALSE),"N/A")</f>
        <v>1</v>
      </c>
      <c r="BD35" s="84">
        <f>IFERROR(VLOOKUP($B35,'LOD 400 - ADMN'!$B:DH,111,FALSE),"N/A")</f>
        <v>1</v>
      </c>
      <c r="BE35" s="84">
        <f>IFERROR(VLOOKUP($B35,'LOD 400 - ADMN'!$B:DK,114,FALSE),"N/A")</f>
        <v>1</v>
      </c>
      <c r="BF35" s="84">
        <f>IFERROR(VLOOKUP($B35,'LOD 400 - ADMN'!$B:DN,117,FALSE),"N/A")</f>
        <v>1</v>
      </c>
      <c r="BG35" s="86">
        <f>IFERROR(__xludf.DUMMYFUNCTION("IFERROR(
  MAX(FILTER(Y35:BF35, ISNUMBER(Y35:BF35))),
  BF35
)"),1.0)</f>
        <v>1</v>
      </c>
      <c r="BH35" s="79">
        <f>IFERROR(VLOOKUP($B35,'LOD 400 - COLO1'!B:S,18,FALSE),"N/A")</f>
        <v>0.01</v>
      </c>
      <c r="BI35" s="79" t="str">
        <f>IFERROR(VLOOKUP($B35,'LOD 400 - COLO1'!B:V,21,FALSE),"N/A")</f>
        <v>OUTDATED</v>
      </c>
      <c r="BJ35" s="79">
        <f>IFERROR(VLOOKUP($B35,'LOD 400 - COLO1'!$B:Y,24,FALSE),"N/A")</f>
        <v>0.07</v>
      </c>
      <c r="BK35" s="87" t="str">
        <f>IFERROR(VLOOKUP($B35,'LOD 400 - COLO1'!$B:AB,27,FALSE),"N/A")</f>
        <v>OUTDATED</v>
      </c>
      <c r="BL35" s="80" t="str">
        <f>IFERROR(VLOOKUP($B35,'LOD 400 - COLO1'!$B:AE,30,FALSE),"N/A")</f>
        <v>NEXT ROUND</v>
      </c>
      <c r="BM35" s="81">
        <f>IFERROR(VLOOKUP($B35,'LOD 400 - COLO1'!$B:AH,33,FALSE),"N/A")</f>
        <v>0.36</v>
      </c>
      <c r="BN35" s="87" t="str">
        <f>IFERROR(VLOOKUP($B35,'LOD 400 - COLO1'!$B:AK,36,FALSE),"N/A")</f>
        <v>OUTDATED</v>
      </c>
      <c r="BO35" s="83" t="str">
        <f>IFERROR(VLOOKUP($B35,'LOD 400 - COLO1'!$B:AN,39,FALSE),"N/A")</f>
        <v>NEXT ROUND</v>
      </c>
      <c r="BP35" s="88">
        <f>IFERROR(VLOOKUP($B35,'LOD 400 - COLO1'!$B:AQ,42,FALSE),"N/A")</f>
        <v>1</v>
      </c>
      <c r="BQ35" s="84">
        <f>IFERROR(VLOOKUP($B35,'LOD 400 - COLO1'!$B:AT,45,FALSE),"N/A")</f>
        <v>1</v>
      </c>
      <c r="BR35" s="85">
        <f>IFERROR(VLOOKUP($B35,'LOD 400 - COLO1'!$B:AW,48,FALSE),"N/A")</f>
        <v>1</v>
      </c>
      <c r="BS35" s="84">
        <f>IFERROR(VLOOKUP($B35,'LOD 400 - COLO1'!$B:AZ,51,FALSE),"N/A")</f>
        <v>1</v>
      </c>
      <c r="BT35" s="84">
        <f>IFERROR(VLOOKUP($B35,'LOD 400 - COLO1'!$B:BC,54,FALSE),"N/A")</f>
        <v>1</v>
      </c>
      <c r="BU35" s="84">
        <f>IFERROR(VLOOKUP($B35,'LOD 400 - COLO1'!$B:BF,57,FALSE),"N/A")</f>
        <v>1</v>
      </c>
      <c r="BV35" s="84">
        <f>IFERROR(VLOOKUP($B35,'LOD 400 - COLO1'!$B:BI,60,FALSE),"N/A")</f>
        <v>1</v>
      </c>
      <c r="BW35" s="84">
        <f>IFERROR(VLOOKUP($B35,'LOD 400 - COLO1'!$B:BL,63,FALSE),"N/A")</f>
        <v>1</v>
      </c>
      <c r="BX35" s="84">
        <f>IFERROR(VLOOKUP($B35,'LOD 400 - COLO1'!$B:BO,66,FALSE),"N/A")</f>
        <v>1</v>
      </c>
      <c r="BY35" s="84">
        <f>IFERROR(VLOOKUP($B35,'LOD 400 - COLO1'!$B:BR,69,FALSE),"N/A")</f>
        <v>1</v>
      </c>
      <c r="BZ35" s="84">
        <f>IFERROR(VLOOKUP($B35,'LOD 400 - COLO1'!$B:BU,72,FALSE),"N/A")</f>
        <v>1</v>
      </c>
      <c r="CA35" s="84">
        <f>IFERROR(VLOOKUP($B35,'LOD 400 - COLO1'!$B:BX,75,FALSE),"N/A")</f>
        <v>1</v>
      </c>
      <c r="CB35" s="84">
        <f>IFERROR(VLOOKUP($B35,'LOD 400 - COLO1'!$B:CA,78,FALSE),"N/A")</f>
        <v>1</v>
      </c>
      <c r="CC35" s="84">
        <f>IFERROR(VLOOKUP($B35,'LOD 400 - COLO1'!$B:CD,81,FALSE),"N/A")</f>
        <v>1</v>
      </c>
      <c r="CD35" s="85">
        <f>IFERROR(VLOOKUP($B35,'LOD 400 - COLO1'!$B:CG,84,FALSE),"N/A")</f>
        <v>1</v>
      </c>
      <c r="CE35" s="84">
        <f>IFERROR(VLOOKUP($B35,'LOD 400 - COLO1'!$B:CJ,87,FALSE),"N/A")</f>
        <v>1</v>
      </c>
      <c r="CF35" s="85">
        <f>IFERROR(VLOOKUP($B35,'LOD 400 - COLO1'!$B:CM,90,FALSE),"N/A")</f>
        <v>1</v>
      </c>
      <c r="CG35" s="84">
        <f>IFERROR(VLOOKUP($B35,'LOD 400 - COLO1'!$B:CP,93,FALSE),"N/A")</f>
        <v>1</v>
      </c>
      <c r="CH35" s="84">
        <f>IFERROR(VLOOKUP($B35,'LOD 400 - COLO1'!$B:CS,96,FALSE),"N/A")</f>
        <v>1</v>
      </c>
      <c r="CI35" s="84">
        <f>IFERROR(VLOOKUP($B35,'LOD 400 - COLO1'!$B:CV,99,FALSE),"N/A")</f>
        <v>1</v>
      </c>
      <c r="CJ35" s="84">
        <f>IFERROR(VLOOKUP($B35,'LOD 400 - COLO1'!$B:CY,102,FALSE),"N/A")</f>
        <v>1</v>
      </c>
      <c r="CK35" s="84">
        <f>IFERROR(VLOOKUP($B35,'LOD 400 - COLO1'!$B:DB,105,FALSE),"N/A")</f>
        <v>1</v>
      </c>
      <c r="CL35" s="84">
        <f>IFERROR(VLOOKUP($B35,'LOD 400 - COLO1'!$B:DE,108,FALSE),"N/A")</f>
        <v>1</v>
      </c>
      <c r="CM35" s="84">
        <f>IFERROR(VLOOKUP($B35,'LOD 400 - COLO1'!$B:DH,111,FALSE),"N/A")</f>
        <v>1</v>
      </c>
      <c r="CN35" s="84">
        <f>IFERROR(VLOOKUP($B35,'LOD 400 - COLO1'!$B:DK,114,FALSE),"N/A")</f>
        <v>1</v>
      </c>
      <c r="CO35" s="84">
        <f>IFERROR(VLOOKUP($B35,'LOD 400 - COLO1'!$B:DN,117,FALSE),"N/A")</f>
        <v>1</v>
      </c>
      <c r="CP35" s="86">
        <f>IFERROR(__xludf.DUMMYFUNCTION("IFERROR(
  MAX(FILTER(BH35:CO35, ISNUMBER(BH35:CO35))),
  CO35
)"),1.0)</f>
        <v>1</v>
      </c>
      <c r="CQ35" s="89">
        <f>IFERROR(VLOOKUP($B35,'LOD 400 - COLO2'!B:S,18,FALSE),"N/A")</f>
        <v>0.01</v>
      </c>
      <c r="CR35" s="79" t="str">
        <f>IFERROR(VLOOKUP($B35,'LOD 400 - COLO2'!B:V,21,FALSE),"N/A")</f>
        <v>OUTDATED</v>
      </c>
      <c r="CS35" s="79">
        <f>IFERROR(VLOOKUP($B35,'LOD 400 - COLO2'!$B:Y,24,FALSE),"N/A")</f>
        <v>0.07</v>
      </c>
      <c r="CT35" s="80" t="str">
        <f>IFERROR(VLOOKUP($B35,'LOD 400 - COLO2'!$B:DQ,27,FALSE),"N/A")</f>
        <v>OUTDATED</v>
      </c>
      <c r="CU35" s="90" t="str">
        <f>IFERROR(VLOOKUP($B35,'LOD 400 - COLO2'!$B:AE,30,FALSE),"N/A")</f>
        <v>NEXT ROUND</v>
      </c>
      <c r="CV35" s="81">
        <f>IFERROR(VLOOKUP($B35,'LOD 400 - COLO2'!$B:AH,33,FALSE),"N/A")</f>
        <v>0.3</v>
      </c>
      <c r="CW35" s="90" t="str">
        <f>IFERROR(VLOOKUP($B35,'LOD 400 - COLO2'!$B:AK,36,FALSE),"N/A")</f>
        <v>OUTDATED</v>
      </c>
      <c r="CX35" s="85" t="str">
        <f>IFERROR(VLOOKUP($B35,'LOD 400 - COLO2'!$B:AN,39,FALSE),"N/A")</f>
        <v>NEXT ROUND</v>
      </c>
      <c r="CY35" s="88">
        <f>IFERROR(VLOOKUP($B35,'LOD 400 - COLO2'!$B:AQ,42,FALSE),"N/A")</f>
        <v>1</v>
      </c>
      <c r="CZ35" s="84">
        <f>IFERROR(VLOOKUP($B35,'LOD 400 - COLO2'!$B:AT,45,FALSE),"N/A")</f>
        <v>1</v>
      </c>
      <c r="DA35" s="85">
        <f>IFERROR(VLOOKUP($B35,'LOD 400 - COLO2'!$B:AW,48,FALSE),"N/A")</f>
        <v>1</v>
      </c>
      <c r="DB35" s="84">
        <f>IFERROR(VLOOKUP($B35,'LOD 400 - COLO2'!$B:AZ,51,FALSE),"N/A")</f>
        <v>1</v>
      </c>
      <c r="DC35" s="84">
        <f>IFERROR(VLOOKUP($B35,'LOD 400 - COLO2'!$B:BC,54,FALSE),"N/A")</f>
        <v>1</v>
      </c>
      <c r="DD35" s="84">
        <f>IFERROR(VLOOKUP($B35,'LOD 400 - COLO2'!$B:BF,57,FALSE),"N/A")</f>
        <v>1</v>
      </c>
      <c r="DE35" s="84">
        <f>IFERROR(VLOOKUP($B35,'LOD 400 - COLO2'!$B:BI,60,FALSE),"N/A")</f>
        <v>1</v>
      </c>
      <c r="DF35" s="84">
        <f>IFERROR(VLOOKUP($B35,'LOD 400 - COLO2'!$B:BL,63,FALSE),"N/A")</f>
        <v>1</v>
      </c>
      <c r="DG35" s="84">
        <f>IFERROR(VLOOKUP($B35,'LOD 400 - COLO2'!$B:BO,66,FALSE),"N/A")</f>
        <v>1</v>
      </c>
      <c r="DH35" s="84">
        <f>IFERROR(VLOOKUP($B35,'LOD 400 - COLO2'!$B:BR,69,FALSE),"N/A")</f>
        <v>1</v>
      </c>
      <c r="DI35" s="84">
        <f>IFERROR(VLOOKUP($B35,'LOD 400 - COLO2'!$B:BU,72,FALSE),"N/A")</f>
        <v>1</v>
      </c>
      <c r="DJ35" s="84">
        <f>IFERROR(VLOOKUP($B35,'LOD 400 - COLO2'!$B:BX,75,FALSE),"N/A")</f>
        <v>1</v>
      </c>
      <c r="DK35" s="84">
        <f>IFERROR(VLOOKUP($B35,'LOD 400 - COLO2'!$B:CA,78,FALSE),"N/A")</f>
        <v>1</v>
      </c>
      <c r="DL35" s="84">
        <f>IFERROR(VLOOKUP($B35,'LOD 400 - COLO2'!$B:CD,81,FALSE),"N/A")</f>
        <v>1</v>
      </c>
      <c r="DM35" s="85">
        <f>IFERROR(VLOOKUP($B35,'LOD 400 - COLO2'!$B:CG,84,FALSE),"N/A")</f>
        <v>1</v>
      </c>
      <c r="DN35" s="84">
        <f>IFERROR(VLOOKUP($B35,'LOD 400 - COLO2'!$B:CJ,87,FALSE),"N/A")</f>
        <v>1</v>
      </c>
      <c r="DO35" s="85">
        <f>IFERROR(VLOOKUP($B35,'LOD 400 - COLO2'!$B:CM,90,FALSE),"N/A")</f>
        <v>1</v>
      </c>
      <c r="DP35" s="84">
        <f>IFERROR(VLOOKUP($B35,'LOD 400 - COLO2'!$B:CP,93,FALSE),"N/A")</f>
        <v>1</v>
      </c>
      <c r="DQ35" s="84">
        <f>IFERROR(VLOOKUP($B35,'LOD 400 - COLO2'!$B:CS,96,FALSE),"N/A")</f>
        <v>1</v>
      </c>
      <c r="DR35" s="84">
        <f>IFERROR(VLOOKUP($B35,'LOD 400 - COLO2'!$B:CV,99,FALSE),"N/A")</f>
        <v>1</v>
      </c>
      <c r="DS35" s="84">
        <f>IFERROR(VLOOKUP($B35,'LOD 400 - COLO2'!$B:CY,102,FALSE),"N/A")</f>
        <v>1</v>
      </c>
      <c r="DT35" s="84">
        <f>IFERROR(VLOOKUP($B35,'LOD 400 - COLO2'!$B:DB,105,FALSE),"N/A")</f>
        <v>1</v>
      </c>
      <c r="DU35" s="84">
        <f>IFERROR(VLOOKUP($B35,'LOD 400 - COLO2'!$B:DE,108,FALSE),"N/A")</f>
        <v>1</v>
      </c>
      <c r="DV35" s="84">
        <f>IFERROR(VLOOKUP($B35,'LOD 400 - COLO2'!$B:DH,111,FALSE),"N/A")</f>
        <v>1</v>
      </c>
      <c r="DW35" s="84">
        <f>IFERROR(VLOOKUP($B35,'LOD 400 - COLO2'!$B:DK,114,FALSE),"N/A")</f>
        <v>1</v>
      </c>
      <c r="DX35" s="84">
        <f>IFERROR(VLOOKUP($B35,'LOD 400 - COLO2'!$B:DN,117,FALSE),"N/A")</f>
        <v>1</v>
      </c>
      <c r="DY35" s="91">
        <f>IFERROR(__xludf.DUMMYFUNCTION("IFERROR(
  MAX(FILTER(CQ35:DW35, ISNUMBER(CQ35:DW35))),
  DW35
)"),1.0)</f>
        <v>1</v>
      </c>
      <c r="DZ35" s="92">
        <f>IFERROR(VLOOKUP($B35,'LOD 400 - COLO3'!B:S,18,FALSE),"N/A")</f>
        <v>0</v>
      </c>
      <c r="EA35" s="84">
        <f>IFERROR(VLOOKUP($B35,'LOD 400 - COLO3'!B:V,21,FALSE),"N/A")</f>
        <v>0</v>
      </c>
      <c r="EB35" s="84">
        <f>IFERROR(VLOOKUP($B35,'LOD 400 - COLO3'!B:Y,24,FALSE),"N/A")</f>
        <v>1</v>
      </c>
      <c r="EC35" s="84">
        <f>IFERROR(VLOOKUP($B35,'LOD 400 - COLO3'!B:AB,27,FALSE),"N/A")</f>
        <v>1</v>
      </c>
      <c r="ED35" s="85">
        <f>IFERROR(VLOOKUP($B35,'LOD 400 - COLO3'!B:AE,30,FALSE),"N/A")</f>
        <v>1</v>
      </c>
      <c r="EE35" s="84">
        <f>IFERROR(VLOOKUP($B35,'LOD 400 - COLO3'!B:AH,33,FALSE),"N/A")</f>
        <v>1</v>
      </c>
      <c r="EF35" s="84">
        <f>IFERROR(VLOOKUP($B35,'LOD 400 - COLO3'!B:AK,36,FALSE),"N/A")</f>
        <v>1</v>
      </c>
      <c r="EG35" s="109">
        <f>IFERROR(VLOOKUP($B35,'LOD 400 - COLO3'!B:AN,39,FALSE),"N/A")</f>
        <v>1</v>
      </c>
      <c r="EH35" s="94">
        <f>IFERROR(VLOOKUP($B35,'LOD 400 - COLO3'!B:AQ,42,FALSE),"N/A")</f>
        <v>1</v>
      </c>
      <c r="EI35" s="94">
        <f>IFERROR(VLOOKUP($B35,'LOD 400 - COLO3'!B:AT,45,FALSE),"N/A")</f>
        <v>1</v>
      </c>
      <c r="EJ35" s="94">
        <f>IFERROR(VLOOKUP($B35,'LOD 400 - COLO3'!B:AW,48,FALSE),"N/A")</f>
        <v>1</v>
      </c>
      <c r="EK35" s="94">
        <f>IFERROR(VLOOKUP($B35,'LOD 400 - COLO3'!B:AZ,51,FALSE),"N/A")</f>
        <v>1</v>
      </c>
      <c r="EL35" s="94">
        <f>IFERROR(VLOOKUP($B35,'LOD 400 - COLO3'!B:BC,54,FALSE),"N/A")</f>
        <v>1</v>
      </c>
      <c r="EM35" s="94">
        <f>IFERROR(VLOOKUP($B35,'LOD 400 - COLO3'!B:BF,57,FALSE),"N/A")</f>
        <v>1</v>
      </c>
      <c r="EN35" s="94">
        <f>IFERROR(VLOOKUP($B35,'LOD 400 - COLO3'!B:BI,60,FALSE),"N/A")</f>
        <v>1</v>
      </c>
      <c r="EO35" s="94">
        <f>IFERROR(VLOOKUP($B35,'LOD 400 - COLO3'!B:BL,63,FALSE),"N/A")</f>
        <v>1</v>
      </c>
      <c r="EP35" s="86">
        <f>IFERROR(__xludf.DUMMYFUNCTION("IFERROR(
  MAX(FILTER(DZ35:EO35, ISNUMBER(DZ35:EO35))),
  EO35
)"),1.0)</f>
        <v>1</v>
      </c>
      <c r="EQ35" s="95">
        <f>IFERROR(VLOOKUP($B35,'LOD 400 - COLO4'!B:S,18,FALSE),"N/A")</f>
        <v>0</v>
      </c>
      <c r="ER35" s="96">
        <f>IFERROR(__xludf.DUMMYFUNCTION("IFERROR(
  MAX(FILTER(EQ35, ISNUMBER(EQ35))),
  EQ35
)"),0.0)</f>
        <v>0</v>
      </c>
      <c r="ES35" s="79" t="str">
        <f>IFERROR(VLOOKUP($B35,'LOD 400 - SITE'!B:S,18,FALSE),"N/A")</f>
        <v>N/A</v>
      </c>
      <c r="ET35" s="80" t="str">
        <f>IFERROR(VLOOKUP($B35,'LOD 400 - SITE'!B:V,21,FALSE),"N/A")</f>
        <v>N/A</v>
      </c>
      <c r="EU35" s="97" t="str">
        <f>IFERROR(VLOOKUP($B35,'LOD 400 - SITE'!$B:Y,24,FALSE),"N/A")</f>
        <v>N/A</v>
      </c>
      <c r="EV35" s="80" t="str">
        <f>IFERROR(VLOOKUP($B35,'LOD 400 - SITE'!$B:AB,27,FALSE),"N/A")</f>
        <v>N/A</v>
      </c>
      <c r="EW35" s="81" t="str">
        <f>IFERROR(VLOOKUP($B35,'LOD 400 - SITE'!$B:AE,30,FALSE),"N/A")</f>
        <v>N/A</v>
      </c>
      <c r="EX35" s="87" t="str">
        <f>IFERROR(VLOOKUP($B35,'LOD 400 - SITE'!$B:AH,33,FALSE),"N/A")</f>
        <v>N/A</v>
      </c>
      <c r="EY35" s="87" t="str">
        <f>IFERROR(VLOOKUP($B35,'LOD 400 - SITE'!$B:AK,36,FALSE),"N/A")</f>
        <v>N/A</v>
      </c>
      <c r="EZ35" s="80" t="str">
        <f>IFERROR(VLOOKUP($B35,'LOD 400 - SITE'!$B:AN,39,FALSE),"N/A")</f>
        <v>N/A</v>
      </c>
      <c r="FA35" s="82" t="str">
        <f>IFERROR(VLOOKUP($B35,'LOD 400 - SITE'!$B:AQ,42,FALSE),"N/A")</f>
        <v>N/A</v>
      </c>
      <c r="FB35" s="88" t="str">
        <f>IFERROR(VLOOKUP($B35,'LOD 400 - SITE'!$B:AT,45,FALSE),"N/A")</f>
        <v>N/A</v>
      </c>
      <c r="FC35" s="84" t="str">
        <f>IFERROR(VLOOKUP($B35,'LOD 400 - SITE'!$B:AW,48,FALSE),"N/A")</f>
        <v>N/A</v>
      </c>
      <c r="FD35" s="84" t="str">
        <f>IFERROR(VLOOKUP($B35,'LOD 400 - SITE'!$B:AZ,51,FALSE),"N/A")</f>
        <v>N/A</v>
      </c>
      <c r="FE35" s="84" t="str">
        <f>IFERROR(VLOOKUP($B35,'LOD 400 - SITE'!$B:BC,54,FALSE),"N/A")</f>
        <v>N/A</v>
      </c>
      <c r="FF35" s="84" t="str">
        <f>IFERROR(VLOOKUP($B35,'LOD 400 - SITE'!$B:BF,57,FALSE),"N/A")</f>
        <v>N/A</v>
      </c>
      <c r="FG35" s="84" t="str">
        <f>IFERROR(VLOOKUP($B35,'LOD 400 - SITE'!$B:BI,60,FALSE),"N/A")</f>
        <v>N/A</v>
      </c>
      <c r="FH35" s="84" t="str">
        <f>IFERROR(VLOOKUP($B35,'LOD 400 - SITE'!$B:BL,63,FALSE),"N/A")</f>
        <v>N/A</v>
      </c>
      <c r="FI35" s="84" t="str">
        <f>IFERROR(VLOOKUP($B35,'LOD 400 - SITE'!$B:BO,66,FALSE),"N/A")</f>
        <v>N/A</v>
      </c>
      <c r="FJ35" s="84" t="str">
        <f>IFERROR(VLOOKUP($B35,'LOD 400 - SITE'!$B:BR,69,FALSE),"N/A")</f>
        <v>N/A</v>
      </c>
      <c r="FK35" s="84" t="str">
        <f>IFERROR(VLOOKUP($B35,'LOD 400 - SITE'!$B:BU,72,FALSE),"N/A")</f>
        <v>N/A</v>
      </c>
      <c r="FL35" s="84" t="str">
        <f>IFERROR(VLOOKUP($B35,'LOD 400 - SITE'!$B:BX,75,FALSE),"N/A")</f>
        <v>N/A</v>
      </c>
      <c r="FM35" s="84" t="str">
        <f>IFERROR(VLOOKUP($B35,'LOD 400 - SITE'!$B:CA,78,FALSE),"N/A")</f>
        <v>N/A</v>
      </c>
      <c r="FN35" s="85" t="str">
        <f>IFERROR(VLOOKUP($B35,'LOD 400 - SITE'!$B:CD,81,FALSE),"N/A")</f>
        <v>N/A</v>
      </c>
      <c r="FO35" s="84" t="str">
        <f>IFERROR(VLOOKUP($B35,'LOD 400 - SITE'!$B:CG,84,FALSE),"N/A")</f>
        <v>N/A</v>
      </c>
      <c r="FP35" s="85" t="str">
        <f>IFERROR(VLOOKUP($B35,'LOD 400 - SITE'!$B:CJ,87,FALSE),"N/A")</f>
        <v>N/A</v>
      </c>
      <c r="FQ35" s="84" t="str">
        <f>IFERROR(VLOOKUP($B35,'LOD 400 - SITE'!$B:CM,90,FALSE),"N/A")</f>
        <v>N/A</v>
      </c>
      <c r="FR35" s="84" t="str">
        <f>IFERROR(VLOOKUP($B35,'LOD 400 - SITE'!$B:CP,93,FALSE),"N/A")</f>
        <v>N/A</v>
      </c>
      <c r="FS35" s="84" t="str">
        <f>IFERROR(VLOOKUP($B35,'LOD 400 - SITE'!$B:CS,96,FALSE),"N/A")</f>
        <v>N/A</v>
      </c>
      <c r="FT35" s="84" t="str">
        <f>IFERROR(VLOOKUP($B35,'LOD 400 - SITE'!$B:CV,99,FALSE),"N/A")</f>
        <v>N/A</v>
      </c>
      <c r="FU35" s="84" t="str">
        <f>IFERROR(VLOOKUP($B35,'LOD 400 - SITE'!$B:CY,102,FALSE),"N/A")</f>
        <v>N/A</v>
      </c>
      <c r="FV35" s="84" t="str">
        <f>IFERROR(VLOOKUP($B35,'LOD 400 - SITE'!$B:DB,105,FALSE),"N/A")</f>
        <v>N/A</v>
      </c>
      <c r="FW35" s="84" t="str">
        <f>IFERROR(VLOOKUP($B35,'LOD 400 - SITE'!$B:DE,108,FALSE),"N/A")</f>
        <v>N/A</v>
      </c>
      <c r="FX35" s="84" t="str">
        <f>IFERROR(VLOOKUP($B35,'LOD 400 - SITE'!$B:DH,111,FALSE),"N/A")</f>
        <v>N/A</v>
      </c>
      <c r="FY35" s="84" t="str">
        <f>IFERROR(VLOOKUP($B35,'LOD 400 - SITE'!$B:DK,114,FALSE),"N/A")</f>
        <v>N/A</v>
      </c>
      <c r="FZ35" s="96" t="str">
        <f>IFERROR(__xludf.DUMMYFUNCTION("IFERROR(
  MAX(FILTER(ES35:FY35, ISNUMBER(ES35:FY35))),
  FY35
)"),"N/A")</f>
        <v>N/A</v>
      </c>
      <c r="GA35" s="80" t="str">
        <f>IFERROR(VLOOKUP($B35,'LOD 400 - UTLS'!B:S,18,FALSE),"N/A")</f>
        <v>N/A</v>
      </c>
      <c r="GB35" s="98" t="str">
        <f>IFERROR(VLOOKUP($B35,'LOD 400 - UTLS'!B:V,21,FALSE),"N/A")</f>
        <v>N/A</v>
      </c>
      <c r="GC35" s="81" t="str">
        <f>IFERROR(VLOOKUP($B35,'LOD 400 - UTLS'!B:Y,24,FALSE),"N/A")</f>
        <v>N/A</v>
      </c>
      <c r="GD35" s="87" t="str">
        <f>IFERROR(VLOOKUP($B35,'LOD 400 - UTLS'!$B:AB,27,FALSE),"N/A")</f>
        <v>N/A</v>
      </c>
      <c r="GE35" s="80" t="str">
        <f>IFERROR(VLOOKUP($B35,'LOD 400 - UTLS'!$B:AE,30,FALSE),"N/A")</f>
        <v>N/A</v>
      </c>
      <c r="GF35" s="82" t="str">
        <f>IFERROR(VLOOKUP($B35,'LOD 400 - UTLS'!$B:AH,33,FALSE),"N/A")</f>
        <v>N/A</v>
      </c>
      <c r="GG35" s="88" t="str">
        <f>IFERROR(VLOOKUP($B35,'LOD 400 - UTLS'!$B:AK,36,FALSE),"N/A")</f>
        <v>N/A</v>
      </c>
      <c r="GH35" s="84" t="str">
        <f>IFERROR(VLOOKUP($B35,'LOD 400 - UTLS'!$B:AN,39,FALSE),"N/A")</f>
        <v>N/A</v>
      </c>
      <c r="GI35" s="84" t="str">
        <f>IFERROR(VLOOKUP($B35,'LOD 400 - UTLS'!$B:AQ,42,FALSE),"N/A")</f>
        <v>N/A</v>
      </c>
      <c r="GJ35" s="84" t="str">
        <f>IFERROR(VLOOKUP($B35,'LOD 400 - UTLS'!$B:AT,45,FALSE),"N/A")</f>
        <v>N/A</v>
      </c>
      <c r="GK35" s="84" t="str">
        <f>IFERROR(VLOOKUP($B35,'LOD 400 - UTLS'!$B:AW,48,FALSE),"N/A")</f>
        <v>N/A</v>
      </c>
      <c r="GL35" s="84" t="str">
        <f>IFERROR(VLOOKUP($B35,'LOD 400 - UTLS'!$B:AZ,51,FALSE),"N/A")</f>
        <v>N/A</v>
      </c>
      <c r="GM35" s="84" t="str">
        <f>IFERROR(VLOOKUP($B35,'LOD 400 - UTLS'!$B:BC,54,FALSE),"N/A")</f>
        <v>N/A</v>
      </c>
      <c r="GN35" s="84" t="str">
        <f>IFERROR(VLOOKUP($B35,'LOD 400 - UTLS'!$B:BF,57,FALSE),"N/A")</f>
        <v>N/A</v>
      </c>
      <c r="GO35" s="84" t="str">
        <f>IFERROR(VLOOKUP($B35,'LOD 400 - UTLS'!$B:BI,60,FALSE),"N/A")</f>
        <v>N/A</v>
      </c>
      <c r="GP35" s="84" t="str">
        <f>IFERROR(VLOOKUP($B35,'LOD 400 - UTLS'!$B:BL,63,FALSE),"N/A")</f>
        <v>N/A</v>
      </c>
      <c r="GQ35" s="84" t="str">
        <f>IFERROR(VLOOKUP($B35,'LOD 400 - UTLS'!$B:BO,66,FALSE),"N/A")</f>
        <v>N/A</v>
      </c>
      <c r="GR35" s="84" t="str">
        <f>IFERROR(VLOOKUP($B35,'LOD 400 - UTLS'!$B:BR,69,FALSE),"N/A")</f>
        <v>N/A</v>
      </c>
      <c r="GS35" s="85" t="str">
        <f>IFERROR(VLOOKUP($B35,'LOD 400 - UTLS'!$B:BU,72,FALSE),"N/A")</f>
        <v>N/A</v>
      </c>
      <c r="GT35" s="84" t="str">
        <f>IFERROR(VLOOKUP($B35,'LOD 400 - UTLS'!$B:BX,75,FALSE),"N/A")</f>
        <v>N/A</v>
      </c>
      <c r="GU35" s="85" t="str">
        <f>IFERROR(VLOOKUP($B35,'LOD 400 - UTLS'!$B:CA,78,FALSE),"N/A")</f>
        <v>N/A</v>
      </c>
      <c r="GV35" s="84" t="str">
        <f>IFERROR(VLOOKUP($B35,'LOD 400 - UTLS'!$B:CD,81,FALSE),"N/A")</f>
        <v>N/A</v>
      </c>
      <c r="GW35" s="84" t="str">
        <f>IFERROR(VLOOKUP($B35,'LOD 400 - UTLS'!$B:CG,84,FALSE),"N/A")</f>
        <v>N/A</v>
      </c>
      <c r="GX35" s="84" t="str">
        <f>IFERROR(VLOOKUP($B35,'LOD 400 - UTLS'!$B:CJ,87,FALSE),"N/A")</f>
        <v>N/A</v>
      </c>
      <c r="GY35" s="84" t="str">
        <f>IFERROR(VLOOKUP($B35,'LOD 400 - UTLS'!$B:CM,90,FALSE),"N/A")</f>
        <v>N/A</v>
      </c>
      <c r="GZ35" s="84" t="str">
        <f>IFERROR(VLOOKUP($B35,'LOD 400 - UTLS'!$B:CP,93,FALSE),"N/A")</f>
        <v>N/A</v>
      </c>
      <c r="HA35" s="84" t="str">
        <f>IFERROR(VLOOKUP($B35,'LOD 400 - UTLS'!$B:CS,96,FALSE),"N/A")</f>
        <v>N/A</v>
      </c>
      <c r="HB35" s="84" t="str">
        <f>IFERROR(VLOOKUP($B35,'LOD 400 - UTLS'!$B:CV,99,FALSE),"N/A")</f>
        <v>N/A</v>
      </c>
      <c r="HC35" s="84" t="str">
        <f>IFERROR(VLOOKUP($B35,'LOD 400 - UTLS'!$B:CY,102,FALSE),"N/A")</f>
        <v>N/A</v>
      </c>
      <c r="HD35" s="84" t="str">
        <f>IFERROR(VLOOKUP($B35,'LOD 400 - UTLS'!$B:DB,105,FALSE),"N/A")</f>
        <v>N/A</v>
      </c>
      <c r="HE35" s="96" t="str">
        <f>IFERROR(__xludf.DUMMYFUNCTION("IFERROR(
  MAX(FILTER(GA35:HD35, ISNUMBER(GA35:HD35))),
  HD35
)"),"N/A")</f>
        <v>N/A</v>
      </c>
      <c r="HF35" s="99"/>
      <c r="HG35" s="99"/>
      <c r="HH35" s="99"/>
      <c r="HI35" s="99"/>
      <c r="HJ35" s="99"/>
      <c r="HK35" s="99"/>
    </row>
    <row r="36" ht="13.5" hidden="1" customHeight="1">
      <c r="A36" s="53">
        <v>40.0</v>
      </c>
      <c r="B36" s="146" t="s">
        <v>162</v>
      </c>
      <c r="C36" s="147"/>
      <c r="D36" s="148"/>
      <c r="E36" s="148"/>
      <c r="F36" s="148"/>
      <c r="G36" s="149"/>
      <c r="H36" s="148"/>
      <c r="I36" s="148"/>
      <c r="J36" s="150"/>
      <c r="K36" s="151"/>
      <c r="L36" s="149"/>
      <c r="M36" s="148"/>
      <c r="N36" s="152"/>
      <c r="O36" s="153"/>
      <c r="P36" s="154"/>
      <c r="Q36" s="155"/>
      <c r="R36" s="156"/>
      <c r="S36" s="157"/>
      <c r="T36" s="157"/>
      <c r="U36" s="158"/>
      <c r="V36" s="159"/>
      <c r="W36" s="148"/>
      <c r="X36" s="155"/>
      <c r="Y36" s="149"/>
      <c r="Z36" s="149"/>
      <c r="AA36" s="149"/>
      <c r="AB36" s="149"/>
      <c r="AC36" s="149"/>
      <c r="AD36" s="149"/>
      <c r="AE36" s="149"/>
      <c r="AF36" s="149"/>
      <c r="AG36" s="149"/>
      <c r="AH36" s="149"/>
      <c r="AI36" s="149"/>
      <c r="AJ36" s="149"/>
      <c r="AK36" s="149"/>
      <c r="AL36" s="149"/>
      <c r="AM36" s="149"/>
      <c r="AN36" s="149"/>
      <c r="AO36" s="149"/>
      <c r="AP36" s="149"/>
      <c r="AQ36" s="149"/>
      <c r="AR36" s="149"/>
      <c r="AS36" s="149"/>
      <c r="AT36" s="148"/>
      <c r="AU36" s="148"/>
      <c r="AV36" s="155"/>
      <c r="AW36" s="156"/>
      <c r="AX36" s="155"/>
      <c r="AY36" s="156"/>
      <c r="AZ36" s="156"/>
      <c r="BA36" s="156"/>
      <c r="BB36" s="156"/>
      <c r="BC36" s="156"/>
      <c r="BD36" s="156"/>
      <c r="BE36" s="156"/>
      <c r="BF36" s="156"/>
      <c r="BG36" s="160"/>
      <c r="BH36" s="149"/>
      <c r="BI36" s="149"/>
      <c r="BJ36" s="149"/>
      <c r="BK36" s="149"/>
      <c r="BL36" s="149"/>
      <c r="BM36" s="149"/>
      <c r="BN36" s="149"/>
      <c r="BO36" s="149"/>
      <c r="BP36" s="149"/>
      <c r="BQ36" s="149"/>
      <c r="BR36" s="149"/>
      <c r="BS36" s="149"/>
      <c r="BT36" s="149"/>
      <c r="BU36" s="149"/>
      <c r="BV36" s="149"/>
      <c r="BW36" s="149"/>
      <c r="BX36" s="149"/>
      <c r="BY36" s="149"/>
      <c r="BZ36" s="149"/>
      <c r="CA36" s="149"/>
      <c r="CB36" s="149"/>
      <c r="CC36" s="148"/>
      <c r="CD36" s="148"/>
      <c r="CE36" s="155"/>
      <c r="CF36" s="156"/>
      <c r="CG36" s="155"/>
      <c r="CH36" s="156"/>
      <c r="CI36" s="156"/>
      <c r="CJ36" s="156"/>
      <c r="CK36" s="156"/>
      <c r="CL36" s="156"/>
      <c r="CM36" s="156"/>
      <c r="CN36" s="156"/>
      <c r="CO36" s="156"/>
      <c r="CP36" s="160"/>
      <c r="CQ36" s="149"/>
      <c r="CR36" s="149"/>
      <c r="CS36" s="149"/>
      <c r="CT36" s="149"/>
      <c r="CU36" s="149"/>
      <c r="CV36" s="149"/>
      <c r="CW36" s="149"/>
      <c r="CX36" s="149"/>
      <c r="CY36" s="149"/>
      <c r="CZ36" s="149"/>
      <c r="DA36" s="149"/>
      <c r="DB36" s="149"/>
      <c r="DC36" s="149"/>
      <c r="DD36" s="149"/>
      <c r="DE36" s="149"/>
      <c r="DF36" s="149"/>
      <c r="DG36" s="149"/>
      <c r="DH36" s="149"/>
      <c r="DI36" s="149"/>
      <c r="DJ36" s="148"/>
      <c r="DK36" s="148"/>
      <c r="DL36" s="148"/>
      <c r="DM36" s="148"/>
      <c r="DN36" s="155"/>
      <c r="DO36" s="156"/>
      <c r="DP36" s="155"/>
      <c r="DQ36" s="156"/>
      <c r="DR36" s="156"/>
      <c r="DS36" s="156"/>
      <c r="DT36" s="156"/>
      <c r="DU36" s="156"/>
      <c r="DV36" s="156"/>
      <c r="DW36" s="156"/>
      <c r="DX36" s="156"/>
      <c r="DY36" s="148"/>
      <c r="DZ36" s="161"/>
      <c r="EA36" s="158"/>
      <c r="EB36" s="156"/>
      <c r="EC36" s="156"/>
      <c r="ED36" s="156"/>
      <c r="EE36" s="155"/>
      <c r="EF36" s="156"/>
      <c r="EG36" s="148"/>
      <c r="EH36" s="162"/>
      <c r="EI36" s="156"/>
      <c r="EJ36" s="156"/>
      <c r="EK36" s="156"/>
      <c r="EL36" s="156"/>
      <c r="EM36" s="156"/>
      <c r="EN36" s="156"/>
      <c r="EO36" s="156"/>
      <c r="EP36" s="163"/>
      <c r="EQ36" s="156"/>
      <c r="ER36" s="164"/>
      <c r="ES36" s="149"/>
      <c r="ET36" s="148"/>
      <c r="EU36" s="159"/>
      <c r="EV36" s="149"/>
      <c r="EW36" s="149"/>
      <c r="EX36" s="149"/>
      <c r="EY36" s="149"/>
      <c r="EZ36" s="149"/>
      <c r="FA36" s="149"/>
      <c r="FB36" s="149"/>
      <c r="FC36" s="149"/>
      <c r="FD36" s="149"/>
      <c r="FE36" s="149"/>
      <c r="FF36" s="149"/>
      <c r="FG36" s="149"/>
      <c r="FH36" s="149"/>
      <c r="FI36" s="149"/>
      <c r="FJ36" s="149"/>
      <c r="FK36" s="149"/>
      <c r="FL36" s="149"/>
      <c r="FM36" s="149"/>
      <c r="FN36" s="148"/>
      <c r="FO36" s="155"/>
      <c r="FP36" s="156"/>
      <c r="FQ36" s="155"/>
      <c r="FR36" s="156"/>
      <c r="FS36" s="156"/>
      <c r="FT36" s="156"/>
      <c r="FU36" s="156"/>
      <c r="FV36" s="156"/>
      <c r="FW36" s="156"/>
      <c r="FX36" s="156"/>
      <c r="FY36" s="156"/>
      <c r="FZ36" s="165"/>
      <c r="GA36" s="149"/>
      <c r="GB36" s="149"/>
      <c r="GC36" s="149"/>
      <c r="GD36" s="149"/>
      <c r="GE36" s="149"/>
      <c r="GF36" s="149"/>
      <c r="GG36" s="149"/>
      <c r="GH36" s="149"/>
      <c r="GI36" s="149"/>
      <c r="GJ36" s="149"/>
      <c r="GK36" s="149"/>
      <c r="GL36" s="149"/>
      <c r="GM36" s="149"/>
      <c r="GN36" s="149"/>
      <c r="GO36" s="149"/>
      <c r="GP36" s="149"/>
      <c r="GQ36" s="156"/>
      <c r="GR36" s="156"/>
      <c r="GS36" s="156"/>
      <c r="GT36" s="155"/>
      <c r="GU36" s="156"/>
      <c r="GV36" s="155"/>
      <c r="GW36" s="156"/>
      <c r="GX36" s="156"/>
      <c r="GY36" s="156"/>
      <c r="GZ36" s="156"/>
      <c r="HA36" s="156"/>
      <c r="HB36" s="156"/>
      <c r="HC36" s="156"/>
      <c r="HD36" s="156"/>
      <c r="HE36" s="164"/>
      <c r="HF36" s="99"/>
      <c r="HG36" s="99"/>
      <c r="HH36" s="99"/>
      <c r="HI36" s="99"/>
      <c r="HJ36" s="99"/>
      <c r="HK36" s="99"/>
    </row>
    <row r="37" ht="15.0" customHeight="1" outlineLevel="1">
      <c r="A37" s="53">
        <v>41.0</v>
      </c>
      <c r="B37" s="100" t="s">
        <v>163</v>
      </c>
      <c r="C37" s="100" t="s">
        <v>164</v>
      </c>
      <c r="D37" s="64" t="str">
        <f t="shared" ref="D37:D38" si="3">MID(B37,17,4)</f>
        <v>DATA</v>
      </c>
      <c r="E37" s="101" t="s">
        <v>165</v>
      </c>
      <c r="F37" s="102">
        <v>1114.0</v>
      </c>
      <c r="G37" s="103" t="s">
        <v>165</v>
      </c>
      <c r="H37" s="104">
        <v>1114.0</v>
      </c>
      <c r="I37" s="68" t="str">
        <f>IFERROR(VLOOKUP($C34:C108,'R22 RELATÓRIO ACC'!B:F,5,FALSE),"NOT PUBLISHED")</f>
        <v>V15</v>
      </c>
      <c r="J37" s="69" t="str">
        <f>IFERROR(VLOOKUP($C34:C108,'R22 RELATÓRIO ACC'!B:P,15,FALSE),"NOT PUBLISHED")</f>
        <v>27/04/2026</v>
      </c>
      <c r="K37" s="70" t="str">
        <f>IFERROR(VLOOKUP($B34:B108,'RELATÓRIO ACC'!B:F,5,FALSE),"NOT PUBLISHED")</f>
        <v>V3</v>
      </c>
      <c r="L37" s="71" t="str">
        <f>IFERROR(VLOOKUP($B34:B108,'RELATÓRIO ACC'!B:P,15,FALSE),"NOT PUBLISHED")</f>
        <v>12/07/2026</v>
      </c>
      <c r="M37" s="72" t="str">
        <f>IF(OR($D37="UTLS",$D37="GUAR",$D37="STIR",$D37="PUMP",$D37="SITE"),
   VLOOKUP($B37,'LOD 400 - SITE'!B:M,12,FALSE),
   VLOOKUP($B37,'LOD 400 - ADMN'!B:M,12,FALSE)
)</f>
        <v>V12</v>
      </c>
      <c r="N37" s="105" t="str">
        <f>IF(OR($D37="UTLS",$D37="GUAR",$D37="STIR",$D37="PUMP",$D37="SITE"),
   VLOOKUP($B37,'LOD 400 - SITE'!B:N,13,FALSE),
   VLOOKUP($B37,'LOD 400 - ADMN'!B:N,13,FALSE)
)</f>
        <v>18/11/2025</v>
      </c>
      <c r="O37" s="106" t="str">
        <f>IF(OR($D37="UTLS",$D37="GUAR",$D37="STIR",$D37="PUMP",$D37="SITE"),
   VLOOKUP($B37,'LOD 400 - SITE'!B:O,14,FALSE),
   VLOOKUP($B37,'LOD 400 - ADMN'!B:O,14,FALSE)
)</f>
        <v>R22</v>
      </c>
      <c r="P37" s="107" t="str">
        <f>IF(OR($D37="C345",$D37="C12A",$D37="DATA"),
   VLOOKUP($B37,'LOD 400 - COLO3'!B:M,12,FALSE),"N/A")</f>
        <v>V15</v>
      </c>
      <c r="Q37" s="108">
        <f>IF(OR($D37="C345",$D37="C12A",$D37="DATA"),
   VLOOKUP($B37,'LOD 400 - COLO3'!B:N,13,FALSE),"N/A")</f>
        <v>46139</v>
      </c>
      <c r="R37" s="75" t="str">
        <f>IF(OR($D37="C345",$D37="C12A",$D37="DATA"),
   VLOOKUP($B37,'LOD 400 - COLO3'!B:O,14,FALSE),"N/A")</f>
        <v>R22</v>
      </c>
      <c r="S37" s="76" t="str">
        <f>IF(OR($D37="C345",$D37="C12A",$D37="DATA"),
   VLOOKUP($B37,'LOD 400 - COLO4'!B:N,12,FALSE),"N/A")</f>
        <v>N/A</v>
      </c>
      <c r="T37" s="76" t="str">
        <f>IF(OR($D37="C345",$D37="C12A",$D37="DATA"),
   VLOOKUP($B37,'LOD 400 - COLO4'!B:N,13,FALSE),"N/A")</f>
        <v>N/A</v>
      </c>
      <c r="U37" s="76" t="str">
        <f>IF(OR($D37="C345",$D37="C12A",$D37="DATA"),
   VLOOKUP($B37,'LOD 400 - COLO4'!B:N,13,FALSE),"N/A")</f>
        <v>N/A</v>
      </c>
      <c r="V37" s="77" t="str">
        <f>IF(OR($D37="UTLS",$D37="GUAR",$D37="STIR",$D37="PUMP",$D37="SITE"),
   VLOOKUP($B37,'LOD 400 - UTLS'!B:M,12,FALSE),"N/A")</f>
        <v>N/A</v>
      </c>
      <c r="W37" s="78" t="str">
        <f>IF(OR($D37="UTLS",$D37="GUAR",$D37="STIR",$D37="PUMP",$D37="SITE"),
   VLOOKUP($B37,'LOD 400 - UTLS'!B:N,13,FALSE),"N/A")</f>
        <v>N/A</v>
      </c>
      <c r="X37" s="108" t="str">
        <f>IF(OR($D37="UTLS",$D37="GUAR",$D37="STIR",$D37="PUMP",$D37="SITE"),
   VLOOKUP($B37,'LOD 400 - UTLS'!B:O,14,FALSE),"N/A")</f>
        <v>N/A</v>
      </c>
      <c r="Y37" s="79" t="str">
        <f>IFERROR(VLOOKUP($B37,'LOD 400 - ADMN'!B:S,18,FALSE),"N/A")</f>
        <v>OUTDATED</v>
      </c>
      <c r="Z37" s="79">
        <f>IFERROR(VLOOKUP($B37,'LOD 400 - ADMN'!B:V,21,FALSE),"N/A")</f>
        <v>0.18</v>
      </c>
      <c r="AA37" s="79" t="str">
        <f>IFERROR(VLOOKUP($B37,'LOD 400 - ADMN'!$B:Y,24,FALSE),"N/A")</f>
        <v>OUTDATED</v>
      </c>
      <c r="AB37" s="80" t="str">
        <f>IFERROR(VLOOKUP($B37,'LOD 400 - ADMN'!$B:AB,27,FALSE),"N/A")</f>
        <v>OUTDATED</v>
      </c>
      <c r="AC37" s="81" t="str">
        <f>IFERROR(VLOOKUP($B37,'LOD 400 - ADMN'!$B:AE,30,FALSE),"N/A")</f>
        <v>OUTDATED</v>
      </c>
      <c r="AD37" s="81" t="str">
        <f>IFERROR(VLOOKUP($B37,'LOD 400 - ADMN'!$B:AH,33,FALSE),"N/A")</f>
        <v>NEXT ROUND</v>
      </c>
      <c r="AE37" s="80">
        <f>IFERROR(VLOOKUP($B37,'LOD 400 - ADMN'!$B:AK,36,FALSE),"N/A")</f>
        <v>0.94</v>
      </c>
      <c r="AF37" s="82" t="str">
        <f>IFERROR(VLOOKUP($B37,'LOD 400 - ADMN'!$B:AN,39,FALSE),"N/A")</f>
        <v>OUTDATED</v>
      </c>
      <c r="AG37" s="83">
        <f>IFERROR(VLOOKUP($B37,'LOD 400 - ADMN'!$B:AQ,42,FALSE),"N/A")</f>
        <v>1</v>
      </c>
      <c r="AH37" s="84">
        <f>IFERROR(VLOOKUP($B37,'LOD 400 - ADMN'!$B:AT,45,FALSE),"N/A")</f>
        <v>1</v>
      </c>
      <c r="AI37" s="85">
        <f>IFERROR(VLOOKUP($B37,'LOD 400 - ADMN'!$B:AW,48,FALSE),"N/A")</f>
        <v>1</v>
      </c>
      <c r="AJ37" s="85">
        <f>IFERROR(VLOOKUP($B37,'LOD 400 - ADMN'!$B:AZ,51,FALSE),"N/A")</f>
        <v>1</v>
      </c>
      <c r="AK37" s="84">
        <f>IFERROR(VLOOKUP($B37,'LOD 400 - ADMN'!$B:BC,54,FALSE),"N/A")</f>
        <v>1</v>
      </c>
      <c r="AL37" s="84">
        <f>IFERROR(VLOOKUP($B37,'LOD 400 - ADMN'!$B:BF,57,FALSE),"N/A")</f>
        <v>1</v>
      </c>
      <c r="AM37" s="84">
        <f>IFERROR(VLOOKUP($B37,'LOD 400 - ADMN'!$B:BI,60,FALSE),"N/A")</f>
        <v>1</v>
      </c>
      <c r="AN37" s="84">
        <f>IFERROR(VLOOKUP($B37,'LOD 400 - ADMN'!$B:BL,63,FALSE),"N/A")</f>
        <v>1</v>
      </c>
      <c r="AO37" s="84">
        <f>IFERROR(VLOOKUP($B37,'LOD 400 - ADMN'!$B:BO,66,FALSE),"N/A")</f>
        <v>1</v>
      </c>
      <c r="AP37" s="84">
        <f>IFERROR(VLOOKUP($B37,'LOD 400 - ADMN'!$B:BR,69,FALSE),"N/A")</f>
        <v>1</v>
      </c>
      <c r="AQ37" s="84">
        <f>IFERROR(VLOOKUP($B37,'LOD 400 - ADMN'!$B:BU,72,FALSE),"N/A")</f>
        <v>1</v>
      </c>
      <c r="AR37" s="84">
        <f>IFERROR(VLOOKUP($B37,'LOD 400 - ADMN'!$B:BX,75,FALSE),"N/A")</f>
        <v>1</v>
      </c>
      <c r="AS37" s="84">
        <f>IFERROR(VLOOKUP($B37,'LOD 400 - ADMN'!$B:CA,78,FALSE),"N/A")</f>
        <v>1</v>
      </c>
      <c r="AT37" s="84">
        <f>IFERROR(VLOOKUP($B37,'LOD 400 - ADMN'!$B:CD,81,FALSE),"N/A")</f>
        <v>1</v>
      </c>
      <c r="AU37" s="85">
        <f>IFERROR(VLOOKUP($B37,'LOD 400 - ADMN'!$B:CG,84,FALSE),"N/A")</f>
        <v>1</v>
      </c>
      <c r="AV37" s="84">
        <f>IFERROR(VLOOKUP($B37,'LOD 400 - ADMN'!$B:CJ,87,FALSE),"N/A")</f>
        <v>1</v>
      </c>
      <c r="AW37" s="85">
        <f>IFERROR(VLOOKUP($B37,'LOD 400 - ADMN'!$B:CM,90,FALSE),"N/A")</f>
        <v>1</v>
      </c>
      <c r="AX37" s="84">
        <f>IFERROR(VLOOKUP($B37,'LOD 400 - ADMN'!$B:CP,93,FALSE),"N/A")</f>
        <v>1</v>
      </c>
      <c r="AY37" s="84">
        <f>IFERROR(VLOOKUP($B37,'LOD 400 - ADMN'!$B:CS,96,FALSE),"N/A")</f>
        <v>1</v>
      </c>
      <c r="AZ37" s="84">
        <f>IFERROR(VLOOKUP($B37,'LOD 400 - ADMN'!$B:CV,99,FALSE),"N/A")</f>
        <v>1</v>
      </c>
      <c r="BA37" s="84">
        <f>IFERROR(VLOOKUP($B37,'LOD 400 - ADMN'!$B:CY,102,FALSE),"N/A")</f>
        <v>1</v>
      </c>
      <c r="BB37" s="84">
        <f>IFERROR(VLOOKUP($B37,'LOD 400 - ADMN'!$B:DB,105,FALSE),"N/A")</f>
        <v>1</v>
      </c>
      <c r="BC37" s="84">
        <f>IFERROR(VLOOKUP($B37,'LOD 400 - ADMN'!$B:DE,108,FALSE),"N/A")</f>
        <v>1</v>
      </c>
      <c r="BD37" s="84">
        <f>IFERROR(VLOOKUP($B37,'LOD 400 - ADMN'!$B:DH,111,FALSE),"N/A")</f>
        <v>1</v>
      </c>
      <c r="BE37" s="84">
        <f>IFERROR(VLOOKUP($B37,'LOD 400 - ADMN'!$B:DK,114,FALSE),"N/A")</f>
        <v>1</v>
      </c>
      <c r="BF37" s="84">
        <f>IFERROR(VLOOKUP($B37,'LOD 400 - ADMN'!$B:DN,117,FALSE),"N/A")</f>
        <v>1</v>
      </c>
      <c r="BG37" s="86">
        <f>IFERROR(__xludf.DUMMYFUNCTION("IFERROR(
  MAX(FILTER(Y37:BF37, ISNUMBER(Y37:BF37))),
  BF37
)"),1.0)</f>
        <v>1</v>
      </c>
      <c r="BH37" s="79" t="str">
        <f>IFERROR(VLOOKUP($B37,'LOD 400 - COLO1'!B:S,18,FALSE),"N/A")</f>
        <v>OUTDATED</v>
      </c>
      <c r="BI37" s="79">
        <f>IFERROR(VLOOKUP($B37,'LOD 400 - COLO1'!B:V,21,FALSE),"N/A")</f>
        <v>0.18</v>
      </c>
      <c r="BJ37" s="79" t="str">
        <f>IFERROR(VLOOKUP($B37,'LOD 400 - COLO1'!$B:Y,24,FALSE),"N/A")</f>
        <v>OUTDATED</v>
      </c>
      <c r="BK37" s="87" t="str">
        <f>IFERROR(VLOOKUP($B37,'LOD 400 - COLO1'!$B:AB,27,FALSE),"N/A")</f>
        <v>OUTDATED</v>
      </c>
      <c r="BL37" s="80" t="str">
        <f>IFERROR(VLOOKUP($B37,'LOD 400 - COLO1'!$B:AE,30,FALSE),"N/A")</f>
        <v>OUTDATED</v>
      </c>
      <c r="BM37" s="81" t="str">
        <f>IFERROR(VLOOKUP($B37,'LOD 400 - COLO1'!$B:AH,33,FALSE),"N/A")</f>
        <v>NEXT ROUND</v>
      </c>
      <c r="BN37" s="87">
        <f>IFERROR(VLOOKUP($B37,'LOD 400 - COLO1'!$B:AK,36,FALSE),"N/A")</f>
        <v>0.94</v>
      </c>
      <c r="BO37" s="83" t="str">
        <f>IFERROR(VLOOKUP($B37,'LOD 400 - COLO1'!$B:AN,39,FALSE),"N/A")</f>
        <v>OUTDATED</v>
      </c>
      <c r="BP37" s="88">
        <f>IFERROR(VLOOKUP($B37,'LOD 400 - COLO1'!$B:AQ,42,FALSE),"N/A")</f>
        <v>1</v>
      </c>
      <c r="BQ37" s="84">
        <f>IFERROR(VLOOKUP($B37,'LOD 400 - COLO1'!$B:AT,45,FALSE),"N/A")</f>
        <v>1</v>
      </c>
      <c r="BR37" s="85">
        <f>IFERROR(VLOOKUP($B37,'LOD 400 - COLO1'!$B:AW,48,FALSE),"N/A")</f>
        <v>1</v>
      </c>
      <c r="BS37" s="84">
        <f>IFERROR(VLOOKUP($B37,'LOD 400 - COLO1'!$B:AZ,51,FALSE),"N/A")</f>
        <v>1</v>
      </c>
      <c r="BT37" s="84">
        <f>IFERROR(VLOOKUP($B37,'LOD 400 - COLO1'!$B:BC,54,FALSE),"N/A")</f>
        <v>1</v>
      </c>
      <c r="BU37" s="84">
        <f>IFERROR(VLOOKUP($B37,'LOD 400 - COLO1'!$B:BF,57,FALSE),"N/A")</f>
        <v>1</v>
      </c>
      <c r="BV37" s="84">
        <f>IFERROR(VLOOKUP($B37,'LOD 400 - COLO1'!$B:BI,60,FALSE),"N/A")</f>
        <v>1</v>
      </c>
      <c r="BW37" s="84">
        <f>IFERROR(VLOOKUP($B37,'LOD 400 - COLO1'!$B:BL,63,FALSE),"N/A")</f>
        <v>1</v>
      </c>
      <c r="BX37" s="84">
        <f>IFERROR(VLOOKUP($B37,'LOD 400 - COLO1'!$B:BO,66,FALSE),"N/A")</f>
        <v>1</v>
      </c>
      <c r="BY37" s="84">
        <f>IFERROR(VLOOKUP($B37,'LOD 400 - COLO1'!$B:BR,69,FALSE),"N/A")</f>
        <v>1</v>
      </c>
      <c r="BZ37" s="84">
        <f>IFERROR(VLOOKUP($B37,'LOD 400 - COLO1'!$B:BU,72,FALSE),"N/A")</f>
        <v>1</v>
      </c>
      <c r="CA37" s="84">
        <f>IFERROR(VLOOKUP($B37,'LOD 400 - COLO1'!$B:BX,75,FALSE),"N/A")</f>
        <v>1</v>
      </c>
      <c r="CB37" s="84">
        <f>IFERROR(VLOOKUP($B37,'LOD 400 - COLO1'!$B:CA,78,FALSE),"N/A")</f>
        <v>1</v>
      </c>
      <c r="CC37" s="84">
        <f>IFERROR(VLOOKUP($B37,'LOD 400 - COLO1'!$B:CD,81,FALSE),"N/A")</f>
        <v>1</v>
      </c>
      <c r="CD37" s="85">
        <f>IFERROR(VLOOKUP($B37,'LOD 400 - COLO1'!$B:CG,84,FALSE),"N/A")</f>
        <v>1</v>
      </c>
      <c r="CE37" s="84">
        <f>IFERROR(VLOOKUP($B37,'LOD 400 - COLO1'!$B:CJ,87,FALSE),"N/A")</f>
        <v>1</v>
      </c>
      <c r="CF37" s="85">
        <f>IFERROR(VLOOKUP($B37,'LOD 400 - COLO1'!$B:CM,90,FALSE),"N/A")</f>
        <v>1</v>
      </c>
      <c r="CG37" s="84">
        <f>IFERROR(VLOOKUP($B37,'LOD 400 - COLO1'!$B:CP,93,FALSE),"N/A")</f>
        <v>1</v>
      </c>
      <c r="CH37" s="84">
        <f>IFERROR(VLOOKUP($B37,'LOD 400 - COLO1'!$B:CS,96,FALSE),"N/A")</f>
        <v>1</v>
      </c>
      <c r="CI37" s="84">
        <f>IFERROR(VLOOKUP($B37,'LOD 400 - COLO1'!$B:CV,99,FALSE),"N/A")</f>
        <v>1</v>
      </c>
      <c r="CJ37" s="84">
        <f>IFERROR(VLOOKUP($B37,'LOD 400 - COLO1'!$B:CY,102,FALSE),"N/A")</f>
        <v>1</v>
      </c>
      <c r="CK37" s="84">
        <f>IFERROR(VLOOKUP($B37,'LOD 400 - COLO1'!$B:DB,105,FALSE),"N/A")</f>
        <v>1</v>
      </c>
      <c r="CL37" s="84">
        <f>IFERROR(VLOOKUP($B37,'LOD 400 - COLO1'!$B:DE,108,FALSE),"N/A")</f>
        <v>1</v>
      </c>
      <c r="CM37" s="84">
        <f>IFERROR(VLOOKUP($B37,'LOD 400 - COLO1'!$B:DH,111,FALSE),"N/A")</f>
        <v>1</v>
      </c>
      <c r="CN37" s="84">
        <f>IFERROR(VLOOKUP($B37,'LOD 400 - COLO1'!$B:DK,114,FALSE),"N/A")</f>
        <v>1</v>
      </c>
      <c r="CO37" s="84">
        <f>IFERROR(VLOOKUP($B37,'LOD 400 - COLO1'!$B:DN,117,FALSE),"N/A")</f>
        <v>1</v>
      </c>
      <c r="CP37" s="86">
        <f>IFERROR(__xludf.DUMMYFUNCTION("IFERROR(
  MAX(FILTER(BH37:CO37, ISNUMBER(BH37:CO37))),
  CO37
)"),1.0)</f>
        <v>1</v>
      </c>
      <c r="CQ37" s="89" t="str">
        <f>IFERROR(VLOOKUP($B37,'LOD 400 - COLO2'!B:S,18,FALSE),"N/A")</f>
        <v>OUTDATED</v>
      </c>
      <c r="CR37" s="79">
        <f>IFERROR(VLOOKUP($B37,'LOD 400 - COLO2'!B:V,21,FALSE),"N/A")</f>
        <v>0.18</v>
      </c>
      <c r="CS37" s="79" t="str">
        <f>IFERROR(VLOOKUP($B37,'LOD 400 - COLO2'!$B:Y,24,FALSE),"N/A")</f>
        <v>OUTDATED</v>
      </c>
      <c r="CT37" s="80" t="str">
        <f>IFERROR(VLOOKUP($B37,'LOD 400 - COLO2'!$B:DQ,27,FALSE),"N/A")</f>
        <v>OUTDATED</v>
      </c>
      <c r="CU37" s="90" t="str">
        <f>IFERROR(VLOOKUP($B37,'LOD 400 - COLO2'!$B:AE,30,FALSE),"N/A")</f>
        <v>OUTDATED</v>
      </c>
      <c r="CV37" s="81" t="str">
        <f>IFERROR(VLOOKUP($B37,'LOD 400 - COLO2'!$B:AH,33,FALSE),"N/A")</f>
        <v>NEXT ROUND</v>
      </c>
      <c r="CW37" s="90">
        <f>IFERROR(VLOOKUP($B37,'LOD 400 - COLO2'!$B:AK,36,FALSE),"N/A")</f>
        <v>0.94</v>
      </c>
      <c r="CX37" s="85" t="str">
        <f>IFERROR(VLOOKUP($B37,'LOD 400 - COLO2'!$B:AN,39,FALSE),"N/A")</f>
        <v>OUTDATED</v>
      </c>
      <c r="CY37" s="88">
        <f>IFERROR(VLOOKUP($B37,'LOD 400 - COLO2'!$B:AQ,42,FALSE),"N/A")</f>
        <v>1</v>
      </c>
      <c r="CZ37" s="84">
        <f>IFERROR(VLOOKUP($B37,'LOD 400 - COLO2'!$B:AT,45,FALSE),"N/A")</f>
        <v>1</v>
      </c>
      <c r="DA37" s="85">
        <f>IFERROR(VLOOKUP($B37,'LOD 400 - COLO2'!$B:AW,48,FALSE),"N/A")</f>
        <v>1</v>
      </c>
      <c r="DB37" s="84">
        <f>IFERROR(VLOOKUP($B37,'LOD 400 - COLO2'!$B:AZ,51,FALSE),"N/A")</f>
        <v>1</v>
      </c>
      <c r="DC37" s="84">
        <f>IFERROR(VLOOKUP($B37,'LOD 400 - COLO2'!$B:BC,54,FALSE),"N/A")</f>
        <v>1</v>
      </c>
      <c r="DD37" s="84">
        <f>IFERROR(VLOOKUP($B37,'LOD 400 - COLO2'!$B:BF,57,FALSE),"N/A")</f>
        <v>1</v>
      </c>
      <c r="DE37" s="84">
        <f>IFERROR(VLOOKUP($B37,'LOD 400 - COLO2'!$B:BI,60,FALSE),"N/A")</f>
        <v>1</v>
      </c>
      <c r="DF37" s="84">
        <f>IFERROR(VLOOKUP($B37,'LOD 400 - COLO2'!$B:BL,63,FALSE),"N/A")</f>
        <v>1</v>
      </c>
      <c r="DG37" s="84">
        <f>IFERROR(VLOOKUP($B37,'LOD 400 - COLO2'!$B:BO,66,FALSE),"N/A")</f>
        <v>1</v>
      </c>
      <c r="DH37" s="84">
        <f>IFERROR(VLOOKUP($B37,'LOD 400 - COLO2'!$B:BR,69,FALSE),"N/A")</f>
        <v>1</v>
      </c>
      <c r="DI37" s="84">
        <f>IFERROR(VLOOKUP($B37,'LOD 400 - COLO2'!$B:BU,72,FALSE),"N/A")</f>
        <v>1</v>
      </c>
      <c r="DJ37" s="84">
        <f>IFERROR(VLOOKUP($B37,'LOD 400 - COLO2'!$B:BX,75,FALSE),"N/A")</f>
        <v>1</v>
      </c>
      <c r="DK37" s="84">
        <f>IFERROR(VLOOKUP($B37,'LOD 400 - COLO2'!$B:CA,78,FALSE),"N/A")</f>
        <v>1</v>
      </c>
      <c r="DL37" s="84">
        <f>IFERROR(VLOOKUP($B37,'LOD 400 - COLO2'!$B:CD,81,FALSE),"N/A")</f>
        <v>1</v>
      </c>
      <c r="DM37" s="85">
        <f>IFERROR(VLOOKUP($B37,'LOD 400 - COLO2'!$B:CG,84,FALSE),"N/A")</f>
        <v>1</v>
      </c>
      <c r="DN37" s="84">
        <f>IFERROR(VLOOKUP($B37,'LOD 400 - COLO2'!$B:CJ,87,FALSE),"N/A")</f>
        <v>1</v>
      </c>
      <c r="DO37" s="85">
        <f>IFERROR(VLOOKUP($B37,'LOD 400 - COLO2'!$B:CM,90,FALSE),"N/A")</f>
        <v>1</v>
      </c>
      <c r="DP37" s="84">
        <f>IFERROR(VLOOKUP($B37,'LOD 400 - COLO2'!$B:CP,93,FALSE),"N/A")</f>
        <v>1</v>
      </c>
      <c r="DQ37" s="84">
        <f>IFERROR(VLOOKUP($B37,'LOD 400 - COLO2'!$B:CS,96,FALSE),"N/A")</f>
        <v>1</v>
      </c>
      <c r="DR37" s="84">
        <f>IFERROR(VLOOKUP($B37,'LOD 400 - COLO2'!$B:CV,99,FALSE),"N/A")</f>
        <v>1</v>
      </c>
      <c r="DS37" s="84">
        <f>IFERROR(VLOOKUP($B37,'LOD 400 - COLO2'!$B:CY,102,FALSE),"N/A")</f>
        <v>1</v>
      </c>
      <c r="DT37" s="84">
        <f>IFERROR(VLOOKUP($B37,'LOD 400 - COLO2'!$B:DB,105,FALSE),"N/A")</f>
        <v>1</v>
      </c>
      <c r="DU37" s="84">
        <f>IFERROR(VLOOKUP($B37,'LOD 400 - COLO2'!$B:DE,108,FALSE),"N/A")</f>
        <v>1</v>
      </c>
      <c r="DV37" s="84">
        <f>IFERROR(VLOOKUP($B37,'LOD 400 - COLO2'!$B:DH,111,FALSE),"N/A")</f>
        <v>1</v>
      </c>
      <c r="DW37" s="84">
        <f>IFERROR(VLOOKUP($B37,'LOD 400 - COLO2'!$B:DK,114,FALSE),"N/A")</f>
        <v>1</v>
      </c>
      <c r="DX37" s="84">
        <f>IFERROR(VLOOKUP($B37,'LOD 400 - COLO2'!$B:DN,117,FALSE),"N/A")</f>
        <v>1</v>
      </c>
      <c r="DY37" s="91">
        <f>IFERROR(__xludf.DUMMYFUNCTION("IFERROR(
  MAX(FILTER(CQ37:DW37, ISNUMBER(CQ37:DW37))),
  DW37
)"),1.0)</f>
        <v>1</v>
      </c>
      <c r="DZ37" s="92">
        <f>IFERROR(VLOOKUP($B37,'LOD 400 - COLO3'!B:S,18,FALSE),"N/A")</f>
        <v>0</v>
      </c>
      <c r="EA37" s="84">
        <f>IFERROR(VLOOKUP($B37,'LOD 400 - COLO3'!B:V,21,FALSE),"N/A")</f>
        <v>0.86</v>
      </c>
      <c r="EB37" s="84" t="str">
        <f>IFERROR(VLOOKUP($B37,'LOD 400 - COLO3'!B:Y,24,FALSE),"N/A")</f>
        <v>OUTDATED</v>
      </c>
      <c r="EC37" s="84" t="str">
        <f>IFERROR(VLOOKUP($B37,'LOD 400 - COLO3'!B:AB,27,FALSE),"N/A")</f>
        <v>OUTDATED</v>
      </c>
      <c r="ED37" s="85" t="str">
        <f>IFERROR(VLOOKUP($B37,'LOD 400 - COLO3'!B:AE,30,FALSE),"N/A")</f>
        <v>NEXT ROUND</v>
      </c>
      <c r="EE37" s="84">
        <f>IFERROR(VLOOKUP($B37,'LOD 400 - COLO3'!B:AH,33,FALSE),"N/A")</f>
        <v>1</v>
      </c>
      <c r="EF37" s="84">
        <f>IFERROR(VLOOKUP($B37,'LOD 400 - COLO3'!B:AK,36,FALSE),"N/A")</f>
        <v>1</v>
      </c>
      <c r="EG37" s="109">
        <f>IFERROR(VLOOKUP($B37,'LOD 400 - COLO3'!B:AN,39,FALSE),"N/A")</f>
        <v>1</v>
      </c>
      <c r="EH37" s="94">
        <f>IFERROR(VLOOKUP($B37,'LOD 400 - COLO3'!B:AQ,42,FALSE),"N/A")</f>
        <v>1</v>
      </c>
      <c r="EI37" s="94">
        <f>IFERROR(VLOOKUP($B37,'LOD 400 - COLO3'!B:AT,45,FALSE),"N/A")</f>
        <v>1</v>
      </c>
      <c r="EJ37" s="94">
        <f>IFERROR(VLOOKUP($B37,'LOD 400 - COLO3'!B:AW,48,FALSE),"N/A")</f>
        <v>1</v>
      </c>
      <c r="EK37" s="94">
        <f>IFERROR(VLOOKUP($B37,'LOD 400 - COLO3'!B:AZ,51,FALSE),"N/A")</f>
        <v>1</v>
      </c>
      <c r="EL37" s="94">
        <f>IFERROR(VLOOKUP($B37,'LOD 400 - COLO3'!B:BC,54,FALSE),"N/A")</f>
        <v>1</v>
      </c>
      <c r="EM37" s="94">
        <f>IFERROR(VLOOKUP($B37,'LOD 400 - COLO3'!B:BF,57,FALSE),"N/A")</f>
        <v>1</v>
      </c>
      <c r="EN37" s="94">
        <f>IFERROR(VLOOKUP($B37,'LOD 400 - COLO3'!B:BI,60,FALSE),"N/A")</f>
        <v>1</v>
      </c>
      <c r="EO37" s="94">
        <f>IFERROR(VLOOKUP($B37,'LOD 400 - COLO3'!B:BL,63,FALSE),"N/A")</f>
        <v>1</v>
      </c>
      <c r="EP37" s="86">
        <f>IFERROR(__xludf.DUMMYFUNCTION("IFERROR(
  MAX(FILTER(DZ37:EO37, ISNUMBER(DZ37:EO37))),
  EO37
)"),1.0)</f>
        <v>1</v>
      </c>
      <c r="EQ37" s="95">
        <f>IFERROR(VLOOKUP($B37,'LOD 400 - COLO4'!B:S,18,FALSE),"N/A")</f>
        <v>0</v>
      </c>
      <c r="ER37" s="96">
        <f>IFERROR(__xludf.DUMMYFUNCTION("IFERROR(
  MAX(FILTER(EQ37, ISNUMBER(EQ37))),
  EQ37
)"),0.0)</f>
        <v>0</v>
      </c>
      <c r="ES37" s="79" t="str">
        <f>IFERROR(VLOOKUP($B37,'LOD 400 - SITE'!B:S,18,FALSE),"N/A")</f>
        <v>N/A</v>
      </c>
      <c r="ET37" s="80" t="str">
        <f>IFERROR(VLOOKUP($B37,'LOD 400 - SITE'!B:V,21,FALSE),"N/A")</f>
        <v>N/A</v>
      </c>
      <c r="EU37" s="97" t="str">
        <f>IFERROR(VLOOKUP($B37,'LOD 400 - SITE'!$B:Y,24,FALSE),"N/A")</f>
        <v>N/A</v>
      </c>
      <c r="EV37" s="80" t="str">
        <f>IFERROR(VLOOKUP($B37,'LOD 400 - SITE'!$B:AB,27,FALSE),"N/A")</f>
        <v>N/A</v>
      </c>
      <c r="EW37" s="81" t="str">
        <f>IFERROR(VLOOKUP($B37,'LOD 400 - SITE'!$B:AE,30,FALSE),"N/A")</f>
        <v>N/A</v>
      </c>
      <c r="EX37" s="87" t="str">
        <f>IFERROR(VLOOKUP($B37,'LOD 400 - SITE'!$B:AH,33,FALSE),"N/A")</f>
        <v>N/A</v>
      </c>
      <c r="EY37" s="87" t="str">
        <f>IFERROR(VLOOKUP($B37,'LOD 400 - SITE'!$B:AK,36,FALSE),"N/A")</f>
        <v>N/A</v>
      </c>
      <c r="EZ37" s="80" t="str">
        <f>IFERROR(VLOOKUP($B37,'LOD 400 - SITE'!$B:AN,39,FALSE),"N/A")</f>
        <v>N/A</v>
      </c>
      <c r="FA37" s="82" t="str">
        <f>IFERROR(VLOOKUP($B37,'LOD 400 - SITE'!$B:AQ,42,FALSE),"N/A")</f>
        <v>N/A</v>
      </c>
      <c r="FB37" s="88" t="str">
        <f>IFERROR(VLOOKUP($B37,'LOD 400 - SITE'!$B:AT,45,FALSE),"N/A")</f>
        <v>N/A</v>
      </c>
      <c r="FC37" s="84" t="str">
        <f>IFERROR(VLOOKUP($B37,'LOD 400 - SITE'!$B:AW,48,FALSE),"N/A")</f>
        <v>N/A</v>
      </c>
      <c r="FD37" s="84" t="str">
        <f>IFERROR(VLOOKUP($B37,'LOD 400 - SITE'!$B:AZ,51,FALSE),"N/A")</f>
        <v>N/A</v>
      </c>
      <c r="FE37" s="84" t="str">
        <f>IFERROR(VLOOKUP($B37,'LOD 400 - SITE'!$B:BC,54,FALSE),"N/A")</f>
        <v>N/A</v>
      </c>
      <c r="FF37" s="84" t="str">
        <f>IFERROR(VLOOKUP($B37,'LOD 400 - SITE'!$B:BF,57,FALSE),"N/A")</f>
        <v>N/A</v>
      </c>
      <c r="FG37" s="84" t="str">
        <f>IFERROR(VLOOKUP($B37,'LOD 400 - SITE'!$B:BI,60,FALSE),"N/A")</f>
        <v>N/A</v>
      </c>
      <c r="FH37" s="84" t="str">
        <f>IFERROR(VLOOKUP($B37,'LOD 400 - SITE'!$B:BL,63,FALSE),"N/A")</f>
        <v>N/A</v>
      </c>
      <c r="FI37" s="84" t="str">
        <f>IFERROR(VLOOKUP($B37,'LOD 400 - SITE'!$B:BO,66,FALSE),"N/A")</f>
        <v>N/A</v>
      </c>
      <c r="FJ37" s="84" t="str">
        <f>IFERROR(VLOOKUP($B37,'LOD 400 - SITE'!$B:BR,69,FALSE),"N/A")</f>
        <v>N/A</v>
      </c>
      <c r="FK37" s="84" t="str">
        <f>IFERROR(VLOOKUP($B37,'LOD 400 - SITE'!$B:BU,72,FALSE),"N/A")</f>
        <v>N/A</v>
      </c>
      <c r="FL37" s="84" t="str">
        <f>IFERROR(VLOOKUP($B37,'LOD 400 - SITE'!$B:BX,75,FALSE),"N/A")</f>
        <v>N/A</v>
      </c>
      <c r="FM37" s="84" t="str">
        <f>IFERROR(VLOOKUP($B37,'LOD 400 - SITE'!$B:CA,78,FALSE),"N/A")</f>
        <v>N/A</v>
      </c>
      <c r="FN37" s="85" t="str">
        <f>IFERROR(VLOOKUP($B37,'LOD 400 - SITE'!$B:CD,81,FALSE),"N/A")</f>
        <v>N/A</v>
      </c>
      <c r="FO37" s="84" t="str">
        <f>IFERROR(VLOOKUP($B37,'LOD 400 - SITE'!$B:CG,84,FALSE),"N/A")</f>
        <v>N/A</v>
      </c>
      <c r="FP37" s="85" t="str">
        <f>IFERROR(VLOOKUP($B37,'LOD 400 - SITE'!$B:CJ,87,FALSE),"N/A")</f>
        <v>N/A</v>
      </c>
      <c r="FQ37" s="84" t="str">
        <f>IFERROR(VLOOKUP($B37,'LOD 400 - SITE'!$B:CM,90,FALSE),"N/A")</f>
        <v>N/A</v>
      </c>
      <c r="FR37" s="84" t="str">
        <f>IFERROR(VLOOKUP($B37,'LOD 400 - SITE'!$B:CP,93,FALSE),"N/A")</f>
        <v>N/A</v>
      </c>
      <c r="FS37" s="84" t="str">
        <f>IFERROR(VLOOKUP($B37,'LOD 400 - SITE'!$B:CS,96,FALSE),"N/A")</f>
        <v>N/A</v>
      </c>
      <c r="FT37" s="84" t="str">
        <f>IFERROR(VLOOKUP($B37,'LOD 400 - SITE'!$B:CV,99,FALSE),"N/A")</f>
        <v>N/A</v>
      </c>
      <c r="FU37" s="84" t="str">
        <f>IFERROR(VLOOKUP($B37,'LOD 400 - SITE'!$B:CY,102,FALSE),"N/A")</f>
        <v>N/A</v>
      </c>
      <c r="FV37" s="84" t="str">
        <f>IFERROR(VLOOKUP($B37,'LOD 400 - SITE'!$B:DB,105,FALSE),"N/A")</f>
        <v>N/A</v>
      </c>
      <c r="FW37" s="84" t="str">
        <f>IFERROR(VLOOKUP($B37,'LOD 400 - SITE'!$B:DE,108,FALSE),"N/A")</f>
        <v>N/A</v>
      </c>
      <c r="FX37" s="84" t="str">
        <f>IFERROR(VLOOKUP($B37,'LOD 400 - SITE'!$B:DH,111,FALSE),"N/A")</f>
        <v>N/A</v>
      </c>
      <c r="FY37" s="84" t="str">
        <f>IFERROR(VLOOKUP($B37,'LOD 400 - SITE'!$B:DK,114,FALSE),"N/A")</f>
        <v>N/A</v>
      </c>
      <c r="FZ37" s="96" t="str">
        <f>IFERROR(__xludf.DUMMYFUNCTION("IFERROR(
  MAX(FILTER(ES37:FY37, ISNUMBER(ES37:FY37))),
  FY37
)"),"N/A")</f>
        <v>N/A</v>
      </c>
      <c r="GA37" s="80" t="str">
        <f>IFERROR(VLOOKUP($B37,'LOD 400 - UTLS'!B:S,18,FALSE),"N/A")</f>
        <v>N/A</v>
      </c>
      <c r="GB37" s="98" t="str">
        <f>IFERROR(VLOOKUP($B37,'LOD 400 - UTLS'!B:V,21,FALSE),"N/A")</f>
        <v>N/A</v>
      </c>
      <c r="GC37" s="81" t="str">
        <f>IFERROR(VLOOKUP($B37,'LOD 400 - UTLS'!B:Y,24,FALSE),"N/A")</f>
        <v>N/A</v>
      </c>
      <c r="GD37" s="87" t="str">
        <f>IFERROR(VLOOKUP($B37,'LOD 400 - UTLS'!$B:AB,27,FALSE),"N/A")</f>
        <v>N/A</v>
      </c>
      <c r="GE37" s="80" t="str">
        <f>IFERROR(VLOOKUP($B37,'LOD 400 - UTLS'!$B:AE,30,FALSE),"N/A")</f>
        <v>N/A</v>
      </c>
      <c r="GF37" s="82" t="str">
        <f>IFERROR(VLOOKUP($B37,'LOD 400 - UTLS'!$B:AH,33,FALSE),"N/A")</f>
        <v>N/A</v>
      </c>
      <c r="GG37" s="88" t="str">
        <f>IFERROR(VLOOKUP($B37,'LOD 400 - UTLS'!$B:AK,36,FALSE),"N/A")</f>
        <v>N/A</v>
      </c>
      <c r="GH37" s="84" t="str">
        <f>IFERROR(VLOOKUP($B37,'LOD 400 - UTLS'!$B:AN,39,FALSE),"N/A")</f>
        <v>N/A</v>
      </c>
      <c r="GI37" s="84" t="str">
        <f>IFERROR(VLOOKUP($B37,'LOD 400 - UTLS'!$B:AQ,42,FALSE),"N/A")</f>
        <v>N/A</v>
      </c>
      <c r="GJ37" s="84" t="str">
        <f>IFERROR(VLOOKUP($B37,'LOD 400 - UTLS'!$B:AT,45,FALSE),"N/A")</f>
        <v>N/A</v>
      </c>
      <c r="GK37" s="84" t="str">
        <f>IFERROR(VLOOKUP($B37,'LOD 400 - UTLS'!$B:AW,48,FALSE),"N/A")</f>
        <v>N/A</v>
      </c>
      <c r="GL37" s="84" t="str">
        <f>IFERROR(VLOOKUP($B37,'LOD 400 - UTLS'!$B:AZ,51,FALSE),"N/A")</f>
        <v>N/A</v>
      </c>
      <c r="GM37" s="84" t="str">
        <f>IFERROR(VLOOKUP($B37,'LOD 400 - UTLS'!$B:BC,54,FALSE),"N/A")</f>
        <v>N/A</v>
      </c>
      <c r="GN37" s="84" t="str">
        <f>IFERROR(VLOOKUP($B37,'LOD 400 - UTLS'!$B:BF,57,FALSE),"N/A")</f>
        <v>N/A</v>
      </c>
      <c r="GO37" s="84" t="str">
        <f>IFERROR(VLOOKUP($B37,'LOD 400 - UTLS'!$B:BI,60,FALSE),"N/A")</f>
        <v>N/A</v>
      </c>
      <c r="GP37" s="84" t="str">
        <f>IFERROR(VLOOKUP($B37,'LOD 400 - UTLS'!$B:BL,63,FALSE),"N/A")</f>
        <v>N/A</v>
      </c>
      <c r="GQ37" s="84" t="str">
        <f>IFERROR(VLOOKUP($B37,'LOD 400 - UTLS'!$B:BO,66,FALSE),"N/A")</f>
        <v>N/A</v>
      </c>
      <c r="GR37" s="84" t="str">
        <f>IFERROR(VLOOKUP($B37,'LOD 400 - UTLS'!$B:BR,69,FALSE),"N/A")</f>
        <v>N/A</v>
      </c>
      <c r="GS37" s="85" t="str">
        <f>IFERROR(VLOOKUP($B37,'LOD 400 - UTLS'!$B:BU,72,FALSE),"N/A")</f>
        <v>N/A</v>
      </c>
      <c r="GT37" s="84" t="str">
        <f>IFERROR(VLOOKUP($B37,'LOD 400 - UTLS'!$B:BX,75,FALSE),"N/A")</f>
        <v>N/A</v>
      </c>
      <c r="GU37" s="85" t="str">
        <f>IFERROR(VLOOKUP($B37,'LOD 400 - UTLS'!$B:CA,78,FALSE),"N/A")</f>
        <v>N/A</v>
      </c>
      <c r="GV37" s="84" t="str">
        <f>IFERROR(VLOOKUP($B37,'LOD 400 - UTLS'!$B:CD,81,FALSE),"N/A")</f>
        <v>N/A</v>
      </c>
      <c r="GW37" s="84" t="str">
        <f>IFERROR(VLOOKUP($B37,'LOD 400 - UTLS'!$B:CG,84,FALSE),"N/A")</f>
        <v>N/A</v>
      </c>
      <c r="GX37" s="84" t="str">
        <f>IFERROR(VLOOKUP($B37,'LOD 400 - UTLS'!$B:CJ,87,FALSE),"N/A")</f>
        <v>N/A</v>
      </c>
      <c r="GY37" s="84" t="str">
        <f>IFERROR(VLOOKUP($B37,'LOD 400 - UTLS'!$B:CM,90,FALSE),"N/A")</f>
        <v>N/A</v>
      </c>
      <c r="GZ37" s="84" t="str">
        <f>IFERROR(VLOOKUP($B37,'LOD 400 - UTLS'!$B:CP,93,FALSE),"N/A")</f>
        <v>N/A</v>
      </c>
      <c r="HA37" s="84" t="str">
        <f>IFERROR(VLOOKUP($B37,'LOD 400 - UTLS'!$B:CS,96,FALSE),"N/A")</f>
        <v>N/A</v>
      </c>
      <c r="HB37" s="84" t="str">
        <f>IFERROR(VLOOKUP($B37,'LOD 400 - UTLS'!$B:CV,99,FALSE),"N/A")</f>
        <v>N/A</v>
      </c>
      <c r="HC37" s="84" t="str">
        <f>IFERROR(VLOOKUP($B37,'LOD 400 - UTLS'!$B:CY,102,FALSE),"N/A")</f>
        <v>N/A</v>
      </c>
      <c r="HD37" s="84" t="str">
        <f>IFERROR(VLOOKUP($B37,'LOD 400 - UTLS'!$B:DB,105,FALSE),"N/A")</f>
        <v>N/A</v>
      </c>
      <c r="HE37" s="96" t="str">
        <f>IFERROR(__xludf.DUMMYFUNCTION("IFERROR(
  MAX(FILTER(GA37:HD37, ISNUMBER(GA37:HD37))),
  HD37
)"),"N/A")</f>
        <v>N/A</v>
      </c>
      <c r="HF37" s="99"/>
      <c r="HG37" s="99"/>
      <c r="HH37" s="99"/>
      <c r="HI37" s="99"/>
      <c r="HJ37" s="99"/>
      <c r="HK37" s="99"/>
    </row>
    <row r="38" ht="15.0" customHeight="1" outlineLevel="1">
      <c r="A38" s="53">
        <v>42.0</v>
      </c>
      <c r="B38" s="100" t="s">
        <v>166</v>
      </c>
      <c r="C38" s="100" t="s">
        <v>167</v>
      </c>
      <c r="D38" s="64" t="str">
        <f t="shared" si="3"/>
        <v>SITE</v>
      </c>
      <c r="E38" s="101" t="s">
        <v>165</v>
      </c>
      <c r="F38" s="102">
        <v>1114.0</v>
      </c>
      <c r="G38" s="103" t="s">
        <v>165</v>
      </c>
      <c r="H38" s="104">
        <v>1114.0</v>
      </c>
      <c r="I38" s="68" t="str">
        <f>IFERROR(VLOOKUP($C35:C108,'R22 RELATÓRIO ACC'!B:F,5,FALSE),"NOT PUBLISHED")</f>
        <v>V11</v>
      </c>
      <c r="J38" s="69" t="str">
        <f>IFERROR(VLOOKUP($C35:C108,'R22 RELATÓRIO ACC'!B:P,15,FALSE),"NOT PUBLISHED")</f>
        <v>03/02/2026</v>
      </c>
      <c r="K38" s="70" t="str">
        <f>IFERROR(VLOOKUP($B35:B108,'RELATÓRIO ACC'!B:F,5,FALSE),"NOT PUBLISHED")</f>
        <v>V1</v>
      </c>
      <c r="L38" s="71" t="str">
        <f>IFERROR(VLOOKUP($B35:B108,'RELATÓRIO ACC'!B:P,15,FALSE),"NOT PUBLISHED")</f>
        <v>15/05/2026</v>
      </c>
      <c r="M38" s="72" t="str">
        <f>IF(OR($D38="UTLS",$D38="GUAR",$D38="STIR",$D38="PUMP",$D38="SITE"),
   VLOOKUP($B38,'LOD 400 - SITE'!B:M,12,FALSE),
   VLOOKUP($B38,'LOD 400 - ADMN'!B:M,12,FALSE)
)</f>
        <v>V10</v>
      </c>
      <c r="N38" s="105" t="str">
        <f>IF(OR($D38="UTLS",$D38="GUAR",$D38="STIR",$D38="PUMP",$D38="SITE"),
   VLOOKUP($B38,'LOD 400 - SITE'!B:N,13,FALSE),
   VLOOKUP($B38,'LOD 400 - ADMN'!B:N,13,FALSE)
)</f>
        <v>11/11/2025</v>
      </c>
      <c r="O38" s="106" t="str">
        <f>IF(OR($D38="UTLS",$D38="GUAR",$D38="STIR",$D38="PUMP",$D38="SITE"),
   VLOOKUP($B38,'LOD 400 - SITE'!B:O,14,FALSE),
   VLOOKUP($B38,'LOD 400 - ADMN'!B:O,14,FALSE)
)</f>
        <v>R22</v>
      </c>
      <c r="P38" s="107" t="str">
        <f>IF(OR($D38="C345",$D38="C12A",$D38="DATA"),
   VLOOKUP($B38,'LOD 400 - COLO3'!B:M,12,FALSE),"N/A")</f>
        <v>N/A</v>
      </c>
      <c r="Q38" s="108" t="str">
        <f>IF(OR($D38="C345",$D38="C12A",$D38="DATA"),
   VLOOKUP($B38,'LOD 400 - COLO3'!B:N,13,FALSE),"N/A")</f>
        <v>N/A</v>
      </c>
      <c r="R38" s="75" t="str">
        <f>IF(OR($D38="C345",$D38="C12A",$D38="DATA"),
   VLOOKUP($B38,'LOD 400 - COLO3'!B:O,14,FALSE),"N/A")</f>
        <v>N/A</v>
      </c>
      <c r="S38" s="76" t="str">
        <f>IF(OR($D38="C345",$D38="C12A",$D38="DATA"),
   VLOOKUP($B38,'LOD 400 - COLO4'!B:N,12,FALSE),"N/A")</f>
        <v>N/A</v>
      </c>
      <c r="T38" s="76" t="str">
        <f>IF(OR($D38="C345",$D38="C12A",$D38="DATA"),
   VLOOKUP($B38,'LOD 400 - COLO4'!B:N,13,FALSE),"N/A")</f>
        <v>N/A</v>
      </c>
      <c r="U38" s="76" t="str">
        <f>IF(OR($D38="C345",$D38="C12A",$D38="DATA"),
   VLOOKUP($B38,'LOD 400 - COLO4'!B:N,13,FALSE),"N/A")</f>
        <v>N/A</v>
      </c>
      <c r="V38" s="77" t="str">
        <f>IF(OR($D38="UTLS",$D38="GUAR",$D38="STIR",$D38="PUMP",$D38="SITE"),
   VLOOKUP($B38,'LOD 400 - UTLS'!B:M,12,FALSE),"N/A")</f>
        <v>V10</v>
      </c>
      <c r="W38" s="78" t="str">
        <f>IF(OR($D38="UTLS",$D38="GUAR",$D38="STIR",$D38="PUMP",$D38="SITE"),
   VLOOKUP($B38,'LOD 400 - UTLS'!B:N,13,FALSE),"N/A")</f>
        <v>11/11/2025</v>
      </c>
      <c r="X38" s="108" t="str">
        <f>IF(OR($D38="UTLS",$D38="GUAR",$D38="STIR",$D38="PUMP",$D38="SITE"),
   VLOOKUP($B38,'LOD 400 - UTLS'!B:O,14,FALSE),"N/A")</f>
        <v>R22</v>
      </c>
      <c r="Y38" s="79" t="str">
        <f>IFERROR(VLOOKUP($B38,'LOD 400 - ADMN'!B:S,18,FALSE),"N/A")</f>
        <v>N/A</v>
      </c>
      <c r="Z38" s="79" t="str">
        <f>IFERROR(VLOOKUP($B38,'LOD 400 - ADMN'!B:V,21,FALSE),"N/A")</f>
        <v>N/A</v>
      </c>
      <c r="AA38" s="79" t="str">
        <f>IFERROR(VLOOKUP($B38,'LOD 400 - ADMN'!$B:Y,24,FALSE),"N/A")</f>
        <v>N/A</v>
      </c>
      <c r="AB38" s="80" t="str">
        <f>IFERROR(VLOOKUP($B38,'LOD 400 - ADMN'!$B:AB,27,FALSE),"N/A")</f>
        <v>N/A</v>
      </c>
      <c r="AC38" s="81" t="str">
        <f>IFERROR(VLOOKUP($B38,'LOD 400 - ADMN'!$B:AE,30,FALSE),"N/A")</f>
        <v>N/A</v>
      </c>
      <c r="AD38" s="81" t="str">
        <f>IFERROR(VLOOKUP($B38,'LOD 400 - ADMN'!$B:AH,33,FALSE),"N/A")</f>
        <v>N/A</v>
      </c>
      <c r="AE38" s="80" t="str">
        <f>IFERROR(VLOOKUP($B38,'LOD 400 - ADMN'!$B:AK,36,FALSE),"N/A")</f>
        <v>N/A</v>
      </c>
      <c r="AF38" s="82" t="str">
        <f>IFERROR(VLOOKUP($B38,'LOD 400 - ADMN'!$B:AN,39,FALSE),"N/A")</f>
        <v>N/A</v>
      </c>
      <c r="AG38" s="83" t="str">
        <f>IFERROR(VLOOKUP($B38,'LOD 400 - ADMN'!$B:AQ,42,FALSE),"N/A")</f>
        <v>N/A</v>
      </c>
      <c r="AH38" s="84" t="str">
        <f>IFERROR(VLOOKUP($B38,'LOD 400 - ADMN'!$B:AT,45,FALSE),"N/A")</f>
        <v>N/A</v>
      </c>
      <c r="AI38" s="85" t="str">
        <f>IFERROR(VLOOKUP($B38,'LOD 400 - ADMN'!$B:AW,48,FALSE),"N/A")</f>
        <v>N/A</v>
      </c>
      <c r="AJ38" s="85" t="str">
        <f>IFERROR(VLOOKUP($B38,'LOD 400 - ADMN'!$B:AZ,51,FALSE),"N/A")</f>
        <v>N/A</v>
      </c>
      <c r="AK38" s="84" t="str">
        <f>IFERROR(VLOOKUP($B38,'LOD 400 - ADMN'!$B:BC,54,FALSE),"N/A")</f>
        <v>N/A</v>
      </c>
      <c r="AL38" s="84" t="str">
        <f>IFERROR(VLOOKUP($B38,'LOD 400 - ADMN'!$B:BF,57,FALSE),"N/A")</f>
        <v>N/A</v>
      </c>
      <c r="AM38" s="84" t="str">
        <f>IFERROR(VLOOKUP($B38,'LOD 400 - ADMN'!$B:BI,60,FALSE),"N/A")</f>
        <v>N/A</v>
      </c>
      <c r="AN38" s="84" t="str">
        <f>IFERROR(VLOOKUP($B38,'LOD 400 - ADMN'!$B:BL,63,FALSE),"N/A")</f>
        <v>N/A</v>
      </c>
      <c r="AO38" s="84" t="str">
        <f>IFERROR(VLOOKUP($B38,'LOD 400 - ADMN'!$B:BO,66,FALSE),"N/A")</f>
        <v>N/A</v>
      </c>
      <c r="AP38" s="84" t="str">
        <f>IFERROR(VLOOKUP($B38,'LOD 400 - ADMN'!$B:BR,69,FALSE),"N/A")</f>
        <v>N/A</v>
      </c>
      <c r="AQ38" s="84" t="str">
        <f>IFERROR(VLOOKUP($B38,'LOD 400 - ADMN'!$B:BU,72,FALSE),"N/A")</f>
        <v>N/A</v>
      </c>
      <c r="AR38" s="84" t="str">
        <f>IFERROR(VLOOKUP($B38,'LOD 400 - ADMN'!$B:BX,75,FALSE),"N/A")</f>
        <v>N/A</v>
      </c>
      <c r="AS38" s="84" t="str">
        <f>IFERROR(VLOOKUP($B38,'LOD 400 - ADMN'!$B:CA,78,FALSE),"N/A")</f>
        <v>N/A</v>
      </c>
      <c r="AT38" s="84" t="str">
        <f>IFERROR(VLOOKUP($B38,'LOD 400 - ADMN'!$B:CD,81,FALSE),"N/A")</f>
        <v>N/A</v>
      </c>
      <c r="AU38" s="85" t="str">
        <f>IFERROR(VLOOKUP($B38,'LOD 400 - ADMN'!$B:CG,84,FALSE),"N/A")</f>
        <v>N/A</v>
      </c>
      <c r="AV38" s="84" t="str">
        <f>IFERROR(VLOOKUP($B38,'LOD 400 - ADMN'!$B:CJ,87,FALSE),"N/A")</f>
        <v>N/A</v>
      </c>
      <c r="AW38" s="85" t="str">
        <f>IFERROR(VLOOKUP($B38,'LOD 400 - ADMN'!$B:CM,90,FALSE),"N/A")</f>
        <v>N/A</v>
      </c>
      <c r="AX38" s="84" t="str">
        <f>IFERROR(VLOOKUP($B38,'LOD 400 - ADMN'!$B:CP,93,FALSE),"N/A")</f>
        <v>N/A</v>
      </c>
      <c r="AY38" s="84" t="str">
        <f>IFERROR(VLOOKUP($B38,'LOD 400 - ADMN'!$B:CS,96,FALSE),"N/A")</f>
        <v>N/A</v>
      </c>
      <c r="AZ38" s="84" t="str">
        <f>IFERROR(VLOOKUP($B38,'LOD 400 - ADMN'!$B:CV,99,FALSE),"N/A")</f>
        <v>N/A</v>
      </c>
      <c r="BA38" s="84" t="str">
        <f>IFERROR(VLOOKUP($B38,'LOD 400 - ADMN'!$B:CY,102,FALSE),"N/A")</f>
        <v>N/A</v>
      </c>
      <c r="BB38" s="84" t="str">
        <f>IFERROR(VLOOKUP($B38,'LOD 400 - ADMN'!$B:DB,105,FALSE),"N/A")</f>
        <v>N/A</v>
      </c>
      <c r="BC38" s="84" t="str">
        <f>IFERROR(VLOOKUP($B38,'LOD 400 - ADMN'!$B:DE,108,FALSE),"N/A")</f>
        <v>N/A</v>
      </c>
      <c r="BD38" s="84" t="str">
        <f>IFERROR(VLOOKUP($B38,'LOD 400 - ADMN'!$B:DH,111,FALSE),"N/A")</f>
        <v>N/A</v>
      </c>
      <c r="BE38" s="84" t="str">
        <f>IFERROR(VLOOKUP($B38,'LOD 400 - ADMN'!$B:DK,114,FALSE),"N/A")</f>
        <v>N/A</v>
      </c>
      <c r="BF38" s="84" t="str">
        <f>IFERROR(VLOOKUP($B38,'LOD 400 - ADMN'!$B:DN,117,FALSE),"N/A")</f>
        <v>N/A</v>
      </c>
      <c r="BG38" s="86" t="str">
        <f>IFERROR(__xludf.DUMMYFUNCTION("IFERROR(
  MAX(FILTER(Y38:BF38, ISNUMBER(Y38:BF38))),
  BF38
)"),"N/A")</f>
        <v>N/A</v>
      </c>
      <c r="BH38" s="79" t="str">
        <f>IFERROR(VLOOKUP($B38,'LOD 400 - COLO1'!B:S,18,FALSE),"N/A")</f>
        <v>N/A</v>
      </c>
      <c r="BI38" s="79" t="str">
        <f>IFERROR(VLOOKUP($B38,'LOD 400 - COLO1'!B:V,21,FALSE),"N/A")</f>
        <v>N/A</v>
      </c>
      <c r="BJ38" s="79" t="str">
        <f>IFERROR(VLOOKUP($B38,'LOD 400 - COLO1'!$B:Y,24,FALSE),"N/A")</f>
        <v>N/A</v>
      </c>
      <c r="BK38" s="87" t="str">
        <f>IFERROR(VLOOKUP($B38,'LOD 400 - COLO1'!$B:AB,27,FALSE),"N/A")</f>
        <v>N/A</v>
      </c>
      <c r="BL38" s="80" t="str">
        <f>IFERROR(VLOOKUP($B38,'LOD 400 - COLO1'!$B:AE,30,FALSE),"N/A")</f>
        <v>N/A</v>
      </c>
      <c r="BM38" s="81" t="str">
        <f>IFERROR(VLOOKUP($B38,'LOD 400 - COLO1'!$B:AH,33,FALSE),"N/A")</f>
        <v>N/A</v>
      </c>
      <c r="BN38" s="87" t="str">
        <f>IFERROR(VLOOKUP($B38,'LOD 400 - COLO1'!$B:AK,36,FALSE),"N/A")</f>
        <v>N/A</v>
      </c>
      <c r="BO38" s="83" t="str">
        <f>IFERROR(VLOOKUP($B38,'LOD 400 - COLO1'!$B:AN,39,FALSE),"N/A")</f>
        <v>N/A</v>
      </c>
      <c r="BP38" s="88" t="str">
        <f>IFERROR(VLOOKUP($B38,'LOD 400 - COLO1'!$B:AQ,42,FALSE),"N/A")</f>
        <v>N/A</v>
      </c>
      <c r="BQ38" s="84" t="str">
        <f>IFERROR(VLOOKUP($B38,'LOD 400 - COLO1'!$B:AT,45,FALSE),"N/A")</f>
        <v>N/A</v>
      </c>
      <c r="BR38" s="85" t="str">
        <f>IFERROR(VLOOKUP($B38,'LOD 400 - COLO1'!$B:AW,48,FALSE),"N/A")</f>
        <v>N/A</v>
      </c>
      <c r="BS38" s="84" t="str">
        <f>IFERROR(VLOOKUP($B38,'LOD 400 - COLO1'!$B:AZ,51,FALSE),"N/A")</f>
        <v>N/A</v>
      </c>
      <c r="BT38" s="84" t="str">
        <f>IFERROR(VLOOKUP($B38,'LOD 400 - COLO1'!$B:BC,54,FALSE),"N/A")</f>
        <v>N/A</v>
      </c>
      <c r="BU38" s="84" t="str">
        <f>IFERROR(VLOOKUP($B38,'LOD 400 - COLO1'!$B:BF,57,FALSE),"N/A")</f>
        <v>N/A</v>
      </c>
      <c r="BV38" s="84" t="str">
        <f>IFERROR(VLOOKUP($B38,'LOD 400 - COLO1'!$B:BI,60,FALSE),"N/A")</f>
        <v>N/A</v>
      </c>
      <c r="BW38" s="84" t="str">
        <f>IFERROR(VLOOKUP($B38,'LOD 400 - COLO1'!$B:BL,63,FALSE),"N/A")</f>
        <v>N/A</v>
      </c>
      <c r="BX38" s="84" t="str">
        <f>IFERROR(VLOOKUP($B38,'LOD 400 - COLO1'!$B:BO,66,FALSE),"N/A")</f>
        <v>N/A</v>
      </c>
      <c r="BY38" s="84" t="str">
        <f>IFERROR(VLOOKUP($B38,'LOD 400 - COLO1'!$B:BR,69,FALSE),"N/A")</f>
        <v>N/A</v>
      </c>
      <c r="BZ38" s="84" t="str">
        <f>IFERROR(VLOOKUP($B38,'LOD 400 - COLO1'!$B:BU,72,FALSE),"N/A")</f>
        <v>N/A</v>
      </c>
      <c r="CA38" s="84" t="str">
        <f>IFERROR(VLOOKUP($B38,'LOD 400 - COLO1'!$B:BX,75,FALSE),"N/A")</f>
        <v>N/A</v>
      </c>
      <c r="CB38" s="84" t="str">
        <f>IFERROR(VLOOKUP($B38,'LOD 400 - COLO1'!$B:CA,78,FALSE),"N/A")</f>
        <v>N/A</v>
      </c>
      <c r="CC38" s="84" t="str">
        <f>IFERROR(VLOOKUP($B38,'LOD 400 - COLO1'!$B:CD,81,FALSE),"N/A")</f>
        <v>N/A</v>
      </c>
      <c r="CD38" s="85" t="str">
        <f>IFERROR(VLOOKUP($B38,'LOD 400 - COLO1'!$B:CG,84,FALSE),"N/A")</f>
        <v>N/A</v>
      </c>
      <c r="CE38" s="84" t="str">
        <f>IFERROR(VLOOKUP($B38,'LOD 400 - COLO1'!$B:CJ,87,FALSE),"N/A")</f>
        <v>N/A</v>
      </c>
      <c r="CF38" s="85" t="str">
        <f>IFERROR(VLOOKUP($B38,'LOD 400 - COLO1'!$B:CM,90,FALSE),"N/A")</f>
        <v>N/A</v>
      </c>
      <c r="CG38" s="84" t="str">
        <f>IFERROR(VLOOKUP($B38,'LOD 400 - COLO1'!$B:CP,93,FALSE),"N/A")</f>
        <v>N/A</v>
      </c>
      <c r="CH38" s="84" t="str">
        <f>IFERROR(VLOOKUP($B38,'LOD 400 - COLO1'!$B:CS,96,FALSE),"N/A")</f>
        <v>N/A</v>
      </c>
      <c r="CI38" s="84" t="str">
        <f>IFERROR(VLOOKUP($B38,'LOD 400 - COLO1'!$B:CV,99,FALSE),"N/A")</f>
        <v>N/A</v>
      </c>
      <c r="CJ38" s="84" t="str">
        <f>IFERROR(VLOOKUP($B38,'LOD 400 - COLO1'!$B:CY,102,FALSE),"N/A")</f>
        <v>N/A</v>
      </c>
      <c r="CK38" s="84" t="str">
        <f>IFERROR(VLOOKUP($B38,'LOD 400 - COLO1'!$B:DB,105,FALSE),"N/A")</f>
        <v>N/A</v>
      </c>
      <c r="CL38" s="84" t="str">
        <f>IFERROR(VLOOKUP($B38,'LOD 400 - COLO1'!$B:DE,108,FALSE),"N/A")</f>
        <v>N/A</v>
      </c>
      <c r="CM38" s="84" t="str">
        <f>IFERROR(VLOOKUP($B38,'LOD 400 - COLO1'!$B:DH,111,FALSE),"N/A")</f>
        <v>N/A</v>
      </c>
      <c r="CN38" s="84" t="str">
        <f>IFERROR(VLOOKUP($B38,'LOD 400 - COLO1'!$B:DK,114,FALSE),"N/A")</f>
        <v>N/A</v>
      </c>
      <c r="CO38" s="84" t="str">
        <f>IFERROR(VLOOKUP($B38,'LOD 400 - COLO1'!$B:DN,117,FALSE),"N/A")</f>
        <v>N/A</v>
      </c>
      <c r="CP38" s="86" t="str">
        <f>IFERROR(__xludf.DUMMYFUNCTION("IFERROR(
  MAX(FILTER(BH38:CO38, ISNUMBER(BH38:CO38))),
  CO38
)"),"N/A")</f>
        <v>N/A</v>
      </c>
      <c r="CQ38" s="89" t="str">
        <f>IFERROR(VLOOKUP($B38,'LOD 400 - COLO2'!B:S,18,FALSE),"N/A")</f>
        <v>N/A</v>
      </c>
      <c r="CR38" s="79" t="str">
        <f>IFERROR(VLOOKUP($B38,'LOD 400 - COLO2'!B:V,21,FALSE),"N/A")</f>
        <v>N/A</v>
      </c>
      <c r="CS38" s="79" t="str">
        <f>IFERROR(VLOOKUP($B38,'LOD 400 - COLO2'!$B:Y,24,FALSE),"N/A")</f>
        <v>N/A</v>
      </c>
      <c r="CT38" s="80" t="str">
        <f>IFERROR(VLOOKUP($B38,'LOD 400 - COLO2'!$B:DQ,27,FALSE),"N/A")</f>
        <v>N/A</v>
      </c>
      <c r="CU38" s="90" t="str">
        <f>IFERROR(VLOOKUP($B38,'LOD 400 - COLO2'!$B:AE,30,FALSE),"N/A")</f>
        <v>N/A</v>
      </c>
      <c r="CV38" s="81" t="str">
        <f>IFERROR(VLOOKUP($B38,'LOD 400 - COLO2'!$B:AH,33,FALSE),"N/A")</f>
        <v>N/A</v>
      </c>
      <c r="CW38" s="90" t="str">
        <f>IFERROR(VLOOKUP($B38,'LOD 400 - COLO2'!$B:AK,36,FALSE),"N/A")</f>
        <v>N/A</v>
      </c>
      <c r="CX38" s="85" t="str">
        <f>IFERROR(VLOOKUP($B38,'LOD 400 - COLO2'!$B:AN,39,FALSE),"N/A")</f>
        <v>N/A</v>
      </c>
      <c r="CY38" s="88" t="str">
        <f>IFERROR(VLOOKUP($B38,'LOD 400 - COLO2'!$B:AQ,42,FALSE),"N/A")</f>
        <v>N/A</v>
      </c>
      <c r="CZ38" s="84" t="str">
        <f>IFERROR(VLOOKUP($B38,'LOD 400 - COLO2'!$B:AT,45,FALSE),"N/A")</f>
        <v>N/A</v>
      </c>
      <c r="DA38" s="85" t="str">
        <f>IFERROR(VLOOKUP($B38,'LOD 400 - COLO2'!$B:AW,48,FALSE),"N/A")</f>
        <v>N/A</v>
      </c>
      <c r="DB38" s="84" t="str">
        <f>IFERROR(VLOOKUP($B38,'LOD 400 - COLO2'!$B:AZ,51,FALSE),"N/A")</f>
        <v>N/A</v>
      </c>
      <c r="DC38" s="84" t="str">
        <f>IFERROR(VLOOKUP($B38,'LOD 400 - COLO2'!$B:BC,54,FALSE),"N/A")</f>
        <v>N/A</v>
      </c>
      <c r="DD38" s="84" t="str">
        <f>IFERROR(VLOOKUP($B38,'LOD 400 - COLO2'!$B:BF,57,FALSE),"N/A")</f>
        <v>N/A</v>
      </c>
      <c r="DE38" s="84" t="str">
        <f>IFERROR(VLOOKUP($B38,'LOD 400 - COLO2'!$B:BI,60,FALSE),"N/A")</f>
        <v>N/A</v>
      </c>
      <c r="DF38" s="84" t="str">
        <f>IFERROR(VLOOKUP($B38,'LOD 400 - COLO2'!$B:BL,63,FALSE),"N/A")</f>
        <v>N/A</v>
      </c>
      <c r="DG38" s="84" t="str">
        <f>IFERROR(VLOOKUP($B38,'LOD 400 - COLO2'!$B:BO,66,FALSE),"N/A")</f>
        <v>N/A</v>
      </c>
      <c r="DH38" s="84" t="str">
        <f>IFERROR(VLOOKUP($B38,'LOD 400 - COLO2'!$B:BR,69,FALSE),"N/A")</f>
        <v>N/A</v>
      </c>
      <c r="DI38" s="84" t="str">
        <f>IFERROR(VLOOKUP($B38,'LOD 400 - COLO2'!$B:BU,72,FALSE),"N/A")</f>
        <v>N/A</v>
      </c>
      <c r="DJ38" s="84" t="str">
        <f>IFERROR(VLOOKUP($B38,'LOD 400 - COLO2'!$B:BX,75,FALSE),"N/A")</f>
        <v>N/A</v>
      </c>
      <c r="DK38" s="84" t="str">
        <f>IFERROR(VLOOKUP($B38,'LOD 400 - COLO2'!$B:CA,78,FALSE),"N/A")</f>
        <v>N/A</v>
      </c>
      <c r="DL38" s="84" t="str">
        <f>IFERROR(VLOOKUP($B38,'LOD 400 - COLO2'!$B:CD,81,FALSE),"N/A")</f>
        <v>N/A</v>
      </c>
      <c r="DM38" s="85" t="str">
        <f>IFERROR(VLOOKUP($B38,'LOD 400 - COLO2'!$B:CG,84,FALSE),"N/A")</f>
        <v>N/A</v>
      </c>
      <c r="DN38" s="84" t="str">
        <f>IFERROR(VLOOKUP($B38,'LOD 400 - COLO2'!$B:CJ,87,FALSE),"N/A")</f>
        <v>N/A</v>
      </c>
      <c r="DO38" s="85" t="str">
        <f>IFERROR(VLOOKUP($B38,'LOD 400 - COLO2'!$B:CM,90,FALSE),"N/A")</f>
        <v>N/A</v>
      </c>
      <c r="DP38" s="84" t="str">
        <f>IFERROR(VLOOKUP($B38,'LOD 400 - COLO2'!$B:CP,93,FALSE),"N/A")</f>
        <v>N/A</v>
      </c>
      <c r="DQ38" s="84" t="str">
        <f>IFERROR(VLOOKUP($B38,'LOD 400 - COLO2'!$B:CS,96,FALSE),"N/A")</f>
        <v>N/A</v>
      </c>
      <c r="DR38" s="84" t="str">
        <f>IFERROR(VLOOKUP($B38,'LOD 400 - COLO2'!$B:CV,99,FALSE),"N/A")</f>
        <v>N/A</v>
      </c>
      <c r="DS38" s="84" t="str">
        <f>IFERROR(VLOOKUP($B38,'LOD 400 - COLO2'!$B:CY,102,FALSE),"N/A")</f>
        <v>N/A</v>
      </c>
      <c r="DT38" s="84" t="str">
        <f>IFERROR(VLOOKUP($B38,'LOD 400 - COLO2'!$B:DB,105,FALSE),"N/A")</f>
        <v>N/A</v>
      </c>
      <c r="DU38" s="84" t="str">
        <f>IFERROR(VLOOKUP($B38,'LOD 400 - COLO2'!$B:DE,108,FALSE),"N/A")</f>
        <v>N/A</v>
      </c>
      <c r="DV38" s="84" t="str">
        <f>IFERROR(VLOOKUP($B38,'LOD 400 - COLO2'!$B:DH,111,FALSE),"N/A")</f>
        <v>N/A</v>
      </c>
      <c r="DW38" s="84" t="str">
        <f>IFERROR(VLOOKUP($B38,'LOD 400 - COLO2'!$B:DK,114,FALSE),"N/A")</f>
        <v>N/A</v>
      </c>
      <c r="DX38" s="84" t="str">
        <f>IFERROR(VLOOKUP($B38,'LOD 400 - COLO2'!$B:DN,117,FALSE),"N/A")</f>
        <v>N/A</v>
      </c>
      <c r="DY38" s="91" t="str">
        <f>IFERROR(__xludf.DUMMYFUNCTION("IFERROR(
  MAX(FILTER(CQ38:DW38, ISNUMBER(CQ38:DW38))),
  DW38
)"),"N/A")</f>
        <v>N/A</v>
      </c>
      <c r="DZ38" s="92" t="str">
        <f>IFERROR(VLOOKUP($B38,'LOD 400 - COLO3'!B:S,18,FALSE),"N/A")</f>
        <v>N/A</v>
      </c>
      <c r="EA38" s="84" t="str">
        <f>IFERROR(VLOOKUP($B38,'LOD 400 - COLO3'!B:V,21,FALSE),"N/A")</f>
        <v>N/A</v>
      </c>
      <c r="EB38" s="84" t="str">
        <f>IFERROR(VLOOKUP($B38,'LOD 400 - COLO3'!B:Y,24,FALSE),"N/A")</f>
        <v>N/A</v>
      </c>
      <c r="EC38" s="84" t="str">
        <f>IFERROR(VLOOKUP($B38,'LOD 400 - COLO3'!B:AB,27,FALSE),"N/A")</f>
        <v>N/A</v>
      </c>
      <c r="ED38" s="85" t="str">
        <f>IFERROR(VLOOKUP($B38,'LOD 400 - COLO3'!B:AE,30,FALSE),"N/A")</f>
        <v>N/A</v>
      </c>
      <c r="EE38" s="84" t="str">
        <f>IFERROR(VLOOKUP($B38,'LOD 400 - COLO3'!B:AH,33,FALSE),"N/A")</f>
        <v>N/A</v>
      </c>
      <c r="EF38" s="84" t="str">
        <f>IFERROR(VLOOKUP($B38,'LOD 400 - COLO3'!B:AK,36,FALSE),"N/A")</f>
        <v>N/A</v>
      </c>
      <c r="EG38" s="109" t="str">
        <f>IFERROR(VLOOKUP($B38,'LOD 400 - COLO3'!B:AN,39,FALSE),"N/A")</f>
        <v>N/A</v>
      </c>
      <c r="EH38" s="94" t="str">
        <f>IFERROR(VLOOKUP($B38,'LOD 400 - COLO3'!B:AQ,42,FALSE),"N/A")</f>
        <v>N/A</v>
      </c>
      <c r="EI38" s="94" t="str">
        <f>IFERROR(VLOOKUP($B38,'LOD 400 - COLO3'!B:AT,45,FALSE),"N/A")</f>
        <v>N/A</v>
      </c>
      <c r="EJ38" s="94" t="str">
        <f>IFERROR(VLOOKUP($B38,'LOD 400 - COLO3'!B:AW,48,FALSE),"N/A")</f>
        <v>N/A</v>
      </c>
      <c r="EK38" s="94" t="str">
        <f>IFERROR(VLOOKUP($B38,'LOD 400 - COLO3'!B:AZ,51,FALSE),"N/A")</f>
        <v>N/A</v>
      </c>
      <c r="EL38" s="94" t="str">
        <f>IFERROR(VLOOKUP($B38,'LOD 400 - COLO3'!B:BC,54,FALSE),"N/A")</f>
        <v>N/A</v>
      </c>
      <c r="EM38" s="94" t="str">
        <f>IFERROR(VLOOKUP($B38,'LOD 400 - COLO3'!B:BF,57,FALSE),"N/A")</f>
        <v>N/A</v>
      </c>
      <c r="EN38" s="94" t="str">
        <f>IFERROR(VLOOKUP($B38,'LOD 400 - COLO3'!B:BI,60,FALSE),"N/A")</f>
        <v>N/A</v>
      </c>
      <c r="EO38" s="94" t="str">
        <f>IFERROR(VLOOKUP($B38,'LOD 400 - COLO3'!B:BL,63,FALSE),"N/A")</f>
        <v>N/A</v>
      </c>
      <c r="EP38" s="86" t="str">
        <f>IFERROR(__xludf.DUMMYFUNCTION("IFERROR(
  MAX(FILTER(DZ38:EO38, ISNUMBER(DZ38:EO38))),
  EO38
)"),"N/A")</f>
        <v>N/A</v>
      </c>
      <c r="EQ38" s="95" t="str">
        <f>IFERROR(VLOOKUP($B38,'LOD 400 - COLO4'!B:S,18,FALSE),"N/A")</f>
        <v>N/A</v>
      </c>
      <c r="ER38" s="96" t="str">
        <f>IFERROR(__xludf.DUMMYFUNCTION("IFERROR(
  MAX(FILTER(EQ38, ISNUMBER(EQ38))),
  EQ38
)"),"N/A")</f>
        <v>N/A</v>
      </c>
      <c r="ES38" s="79" t="str">
        <f>IFERROR(VLOOKUP($B38,'LOD 400 - SITE'!B:S,18,FALSE),"N/A")</f>
        <v>OUTDATED</v>
      </c>
      <c r="ET38" s="80" t="str">
        <f>IFERROR(VLOOKUP($B38,'LOD 400 - SITE'!B:V,21,FALSE),"N/A")</f>
        <v>OUTDATED</v>
      </c>
      <c r="EU38" s="97" t="str">
        <f>IFERROR(VLOOKUP($B38,'LOD 400 - SITE'!$B:Y,24,FALSE),"N/A")</f>
        <v>OUTDATED</v>
      </c>
      <c r="EV38" s="80">
        <f>IFERROR(VLOOKUP($B38,'LOD 400 - SITE'!$B:AB,27,FALSE),"N/A")</f>
        <v>0.78</v>
      </c>
      <c r="EW38" s="81" t="str">
        <f>IFERROR(VLOOKUP($B38,'LOD 400 - SITE'!$B:AE,30,FALSE),"N/A")</f>
        <v>OUTDATED</v>
      </c>
      <c r="EX38" s="87" t="str">
        <f>IFERROR(VLOOKUP($B38,'LOD 400 - SITE'!$B:AH,33,FALSE),"N/A")</f>
        <v>NEXT ROUND </v>
      </c>
      <c r="EY38" s="87">
        <f>IFERROR(VLOOKUP($B38,'LOD 400 - SITE'!$B:AK,36,FALSE),"N/A")</f>
        <v>1</v>
      </c>
      <c r="EZ38" s="80">
        <f>IFERROR(VLOOKUP($B38,'LOD 400 - SITE'!$B:AN,39,FALSE),"N/A")</f>
        <v>1</v>
      </c>
      <c r="FA38" s="82">
        <f>IFERROR(VLOOKUP($B38,'LOD 400 - SITE'!$B:AQ,42,FALSE),"N/A")</f>
        <v>1</v>
      </c>
      <c r="FB38" s="88">
        <f>IFERROR(VLOOKUP($B38,'LOD 400 - SITE'!$B:AT,45,FALSE),"N/A")</f>
        <v>1</v>
      </c>
      <c r="FC38" s="84">
        <f>IFERROR(VLOOKUP($B38,'LOD 400 - SITE'!$B:AW,48,FALSE),"N/A")</f>
        <v>1</v>
      </c>
      <c r="FD38" s="84">
        <f>IFERROR(VLOOKUP($B38,'LOD 400 - SITE'!$B:AZ,51,FALSE),"N/A")</f>
        <v>1</v>
      </c>
      <c r="FE38" s="84">
        <f>IFERROR(VLOOKUP($B38,'LOD 400 - SITE'!$B:BC,54,FALSE),"N/A")</f>
        <v>1</v>
      </c>
      <c r="FF38" s="84">
        <f>IFERROR(VLOOKUP($B38,'LOD 400 - SITE'!$B:BF,57,FALSE),"N/A")</f>
        <v>1</v>
      </c>
      <c r="FG38" s="84">
        <f>IFERROR(VLOOKUP($B38,'LOD 400 - SITE'!$B:BI,60,FALSE),"N/A")</f>
        <v>1</v>
      </c>
      <c r="FH38" s="84">
        <f>IFERROR(VLOOKUP($B38,'LOD 400 - SITE'!$B:BL,63,FALSE),"N/A")</f>
        <v>1</v>
      </c>
      <c r="FI38" s="84">
        <f>IFERROR(VLOOKUP($B38,'LOD 400 - SITE'!$B:BO,66,FALSE),"N/A")</f>
        <v>1</v>
      </c>
      <c r="FJ38" s="84">
        <f>IFERROR(VLOOKUP($B38,'LOD 400 - SITE'!$B:BR,69,FALSE),"N/A")</f>
        <v>1</v>
      </c>
      <c r="FK38" s="84">
        <f>IFERROR(VLOOKUP($B38,'LOD 400 - SITE'!$B:BU,72,FALSE),"N/A")</f>
        <v>1</v>
      </c>
      <c r="FL38" s="84">
        <f>IFERROR(VLOOKUP($B38,'LOD 400 - SITE'!$B:BX,75,FALSE),"N/A")</f>
        <v>1</v>
      </c>
      <c r="FM38" s="84">
        <f>IFERROR(VLOOKUP($B38,'LOD 400 - SITE'!$B:CA,78,FALSE),"N/A")</f>
        <v>1</v>
      </c>
      <c r="FN38" s="85">
        <f>IFERROR(VLOOKUP($B38,'LOD 400 - SITE'!$B:CD,81,FALSE),"N/A")</f>
        <v>1</v>
      </c>
      <c r="FO38" s="84">
        <f>IFERROR(VLOOKUP($B38,'LOD 400 - SITE'!$B:CG,84,FALSE),"N/A")</f>
        <v>1</v>
      </c>
      <c r="FP38" s="85">
        <f>IFERROR(VLOOKUP($B38,'LOD 400 - SITE'!$B:CJ,87,FALSE),"N/A")</f>
        <v>1</v>
      </c>
      <c r="FQ38" s="84">
        <f>IFERROR(VLOOKUP($B38,'LOD 400 - SITE'!$B:CM,90,FALSE),"N/A")</f>
        <v>1</v>
      </c>
      <c r="FR38" s="84">
        <f>IFERROR(VLOOKUP($B38,'LOD 400 - SITE'!$B:CP,93,FALSE),"N/A")</f>
        <v>1</v>
      </c>
      <c r="FS38" s="84">
        <f>IFERROR(VLOOKUP($B38,'LOD 400 - SITE'!$B:CS,96,FALSE),"N/A")</f>
        <v>1</v>
      </c>
      <c r="FT38" s="84">
        <f>IFERROR(VLOOKUP($B38,'LOD 400 - SITE'!$B:CV,99,FALSE),"N/A")</f>
        <v>1</v>
      </c>
      <c r="FU38" s="84">
        <f>IFERROR(VLOOKUP($B38,'LOD 400 - SITE'!$B:CY,102,FALSE),"N/A")</f>
        <v>1</v>
      </c>
      <c r="FV38" s="84">
        <f>IFERROR(VLOOKUP($B38,'LOD 400 - SITE'!$B:DB,105,FALSE),"N/A")</f>
        <v>1</v>
      </c>
      <c r="FW38" s="84">
        <f>IFERROR(VLOOKUP($B38,'LOD 400 - SITE'!$B:DE,108,FALSE),"N/A")</f>
        <v>1</v>
      </c>
      <c r="FX38" s="84">
        <f>IFERROR(VLOOKUP($B38,'LOD 400 - SITE'!$B:DH,111,FALSE),"N/A")</f>
        <v>1</v>
      </c>
      <c r="FY38" s="84">
        <f>IFERROR(VLOOKUP($B38,'LOD 400 - SITE'!$B:DK,114,FALSE),"N/A")</f>
        <v>1</v>
      </c>
      <c r="FZ38" s="96">
        <f>IFERROR(__xludf.DUMMYFUNCTION("IFERROR(
  MAX(FILTER(ES38:FY38, ISNUMBER(ES38:FY38))),
  FY38
)"),1.0)</f>
        <v>1</v>
      </c>
      <c r="GA38" s="80" t="str">
        <f>IFERROR(VLOOKUP($B38,'LOD 400 - UTLS'!B:S,18,FALSE),"N/A")</f>
        <v>OUTDATED</v>
      </c>
      <c r="GB38" s="98">
        <f>IFERROR(VLOOKUP($B38,'LOD 400 - UTLS'!B:V,21,FALSE),"N/A")</f>
        <v>0.78</v>
      </c>
      <c r="GC38" s="81" t="str">
        <f>IFERROR(VLOOKUP($B38,'LOD 400 - UTLS'!B:Y,24,FALSE),"N/A")</f>
        <v>NEXT ROUND</v>
      </c>
      <c r="GD38" s="87">
        <f>IFERROR(VLOOKUP($B38,'LOD 400 - UTLS'!$B:AB,27,FALSE),"N/A")</f>
        <v>1</v>
      </c>
      <c r="GE38" s="80">
        <f>IFERROR(VLOOKUP($B38,'LOD 400 - UTLS'!$B:AE,30,FALSE),"N/A")</f>
        <v>1</v>
      </c>
      <c r="GF38" s="82">
        <f>IFERROR(VLOOKUP($B38,'LOD 400 - UTLS'!$B:AH,33,FALSE),"N/A")</f>
        <v>1</v>
      </c>
      <c r="GG38" s="88">
        <f>IFERROR(VLOOKUP($B38,'LOD 400 - UTLS'!$B:AK,36,FALSE),"N/A")</f>
        <v>1</v>
      </c>
      <c r="GH38" s="84">
        <f>IFERROR(VLOOKUP($B38,'LOD 400 - UTLS'!$B:AN,39,FALSE),"N/A")</f>
        <v>1</v>
      </c>
      <c r="GI38" s="84">
        <f>IFERROR(VLOOKUP($B38,'LOD 400 - UTLS'!$B:AQ,42,FALSE),"N/A")</f>
        <v>1</v>
      </c>
      <c r="GJ38" s="84">
        <f>IFERROR(VLOOKUP($B38,'LOD 400 - UTLS'!$B:AT,45,FALSE),"N/A")</f>
        <v>1</v>
      </c>
      <c r="GK38" s="84">
        <f>IFERROR(VLOOKUP($B38,'LOD 400 - UTLS'!$B:AW,48,FALSE),"N/A")</f>
        <v>1</v>
      </c>
      <c r="GL38" s="84">
        <f>IFERROR(VLOOKUP($B38,'LOD 400 - UTLS'!$B:AZ,51,FALSE),"N/A")</f>
        <v>1</v>
      </c>
      <c r="GM38" s="84">
        <f>IFERROR(VLOOKUP($B38,'LOD 400 - UTLS'!$B:BC,54,FALSE),"N/A")</f>
        <v>1</v>
      </c>
      <c r="GN38" s="84">
        <f>IFERROR(VLOOKUP($B38,'LOD 400 - UTLS'!$B:BF,57,FALSE),"N/A")</f>
        <v>1</v>
      </c>
      <c r="GO38" s="84">
        <f>IFERROR(VLOOKUP($B38,'LOD 400 - UTLS'!$B:BI,60,FALSE),"N/A")</f>
        <v>1</v>
      </c>
      <c r="GP38" s="84">
        <f>IFERROR(VLOOKUP($B38,'LOD 400 - UTLS'!$B:BL,63,FALSE),"N/A")</f>
        <v>1</v>
      </c>
      <c r="GQ38" s="84">
        <f>IFERROR(VLOOKUP($B38,'LOD 400 - UTLS'!$B:BO,66,FALSE),"N/A")</f>
        <v>1</v>
      </c>
      <c r="GR38" s="84">
        <f>IFERROR(VLOOKUP($B38,'LOD 400 - UTLS'!$B:BR,69,FALSE),"N/A")</f>
        <v>1</v>
      </c>
      <c r="GS38" s="85">
        <f>IFERROR(VLOOKUP($B38,'LOD 400 - UTLS'!$B:BU,72,FALSE),"N/A")</f>
        <v>1</v>
      </c>
      <c r="GT38" s="84">
        <f>IFERROR(VLOOKUP($B38,'LOD 400 - UTLS'!$B:BX,75,FALSE),"N/A")</f>
        <v>1</v>
      </c>
      <c r="GU38" s="85">
        <f>IFERROR(VLOOKUP($B38,'LOD 400 - UTLS'!$B:CA,78,FALSE),"N/A")</f>
        <v>1</v>
      </c>
      <c r="GV38" s="84">
        <f>IFERROR(VLOOKUP($B38,'LOD 400 - UTLS'!$B:CD,81,FALSE),"N/A")</f>
        <v>1</v>
      </c>
      <c r="GW38" s="84">
        <f>IFERROR(VLOOKUP($B38,'LOD 400 - UTLS'!$B:CG,84,FALSE),"N/A")</f>
        <v>1</v>
      </c>
      <c r="GX38" s="84">
        <f>IFERROR(VLOOKUP($B38,'LOD 400 - UTLS'!$B:CJ,87,FALSE),"N/A")</f>
        <v>1</v>
      </c>
      <c r="GY38" s="84">
        <f>IFERROR(VLOOKUP($B38,'LOD 400 - UTLS'!$B:CM,90,FALSE),"N/A")</f>
        <v>1</v>
      </c>
      <c r="GZ38" s="84">
        <f>IFERROR(VLOOKUP($B38,'LOD 400 - UTLS'!$B:CP,93,FALSE),"N/A")</f>
        <v>1</v>
      </c>
      <c r="HA38" s="84">
        <f>IFERROR(VLOOKUP($B38,'LOD 400 - UTLS'!$B:CS,96,FALSE),"N/A")</f>
        <v>1</v>
      </c>
      <c r="HB38" s="84">
        <f>IFERROR(VLOOKUP($B38,'LOD 400 - UTLS'!$B:CV,99,FALSE),"N/A")</f>
        <v>1</v>
      </c>
      <c r="HC38" s="84">
        <f>IFERROR(VLOOKUP($B38,'LOD 400 - UTLS'!$B:CY,102,FALSE),"N/A")</f>
        <v>1</v>
      </c>
      <c r="HD38" s="84">
        <f>IFERROR(VLOOKUP($B38,'LOD 400 - UTLS'!$B:DB,105,FALSE),"N/A")</f>
        <v>1</v>
      </c>
      <c r="HE38" s="96">
        <f>IFERROR(__xludf.DUMMYFUNCTION("IFERROR(
  MAX(FILTER(GA38:HD38, ISNUMBER(GA38:HD38))),
  HD38
)"),1.0)</f>
        <v>1</v>
      </c>
      <c r="HF38" s="99"/>
      <c r="HG38" s="99"/>
      <c r="HH38" s="99"/>
      <c r="HI38" s="99"/>
      <c r="HJ38" s="99"/>
      <c r="HK38" s="99"/>
    </row>
    <row r="39" ht="15.0" hidden="1" customHeight="1">
      <c r="A39" s="53">
        <v>43.0</v>
      </c>
      <c r="B39" s="146" t="s">
        <v>168</v>
      </c>
      <c r="C39" s="147"/>
      <c r="D39" s="148"/>
      <c r="E39" s="148"/>
      <c r="F39" s="148"/>
      <c r="G39" s="149"/>
      <c r="H39" s="148"/>
      <c r="I39" s="148"/>
      <c r="J39" s="150"/>
      <c r="K39" s="151"/>
      <c r="L39" s="166"/>
      <c r="M39" s="148"/>
      <c r="N39" s="152"/>
      <c r="O39" s="153"/>
      <c r="P39" s="154"/>
      <c r="Q39" s="155"/>
      <c r="R39" s="156"/>
      <c r="S39" s="157"/>
      <c r="T39" s="157"/>
      <c r="U39" s="158"/>
      <c r="V39" s="159"/>
      <c r="W39" s="148"/>
      <c r="X39" s="155"/>
      <c r="Y39" s="149"/>
      <c r="Z39" s="149"/>
      <c r="AA39" s="149"/>
      <c r="AB39" s="149"/>
      <c r="AC39" s="149"/>
      <c r="AD39" s="149"/>
      <c r="AE39" s="149"/>
      <c r="AF39" s="149"/>
      <c r="AG39" s="149"/>
      <c r="AH39" s="149"/>
      <c r="AI39" s="149"/>
      <c r="AJ39" s="149"/>
      <c r="AK39" s="149"/>
      <c r="AL39" s="149"/>
      <c r="AM39" s="149"/>
      <c r="AN39" s="149"/>
      <c r="AO39" s="149"/>
      <c r="AP39" s="149"/>
      <c r="AQ39" s="149"/>
      <c r="AR39" s="149"/>
      <c r="AS39" s="149"/>
      <c r="AT39" s="148"/>
      <c r="AU39" s="148"/>
      <c r="AV39" s="155"/>
      <c r="AW39" s="156"/>
      <c r="AX39" s="155"/>
      <c r="AY39" s="156"/>
      <c r="AZ39" s="156"/>
      <c r="BA39" s="156"/>
      <c r="BB39" s="156"/>
      <c r="BC39" s="156"/>
      <c r="BD39" s="156"/>
      <c r="BE39" s="156"/>
      <c r="BF39" s="156"/>
      <c r="BG39" s="160"/>
      <c r="BH39" s="149"/>
      <c r="BI39" s="149"/>
      <c r="BJ39" s="149"/>
      <c r="BK39" s="149"/>
      <c r="BL39" s="149"/>
      <c r="BM39" s="149"/>
      <c r="BN39" s="149"/>
      <c r="BO39" s="149"/>
      <c r="BP39" s="149"/>
      <c r="BQ39" s="149"/>
      <c r="BR39" s="149"/>
      <c r="BS39" s="149"/>
      <c r="BT39" s="149"/>
      <c r="BU39" s="149"/>
      <c r="BV39" s="149"/>
      <c r="BW39" s="149"/>
      <c r="BX39" s="149"/>
      <c r="BY39" s="149"/>
      <c r="BZ39" s="149"/>
      <c r="CA39" s="149"/>
      <c r="CB39" s="149"/>
      <c r="CC39" s="148"/>
      <c r="CD39" s="148"/>
      <c r="CE39" s="155"/>
      <c r="CF39" s="156"/>
      <c r="CG39" s="155"/>
      <c r="CH39" s="156"/>
      <c r="CI39" s="156"/>
      <c r="CJ39" s="156"/>
      <c r="CK39" s="156"/>
      <c r="CL39" s="156"/>
      <c r="CM39" s="156"/>
      <c r="CN39" s="156"/>
      <c r="CO39" s="156"/>
      <c r="CP39" s="160"/>
      <c r="CQ39" s="149"/>
      <c r="CR39" s="149"/>
      <c r="CS39" s="149"/>
      <c r="CT39" s="149"/>
      <c r="CU39" s="149"/>
      <c r="CV39" s="149"/>
      <c r="CW39" s="149"/>
      <c r="CX39" s="149"/>
      <c r="CY39" s="149"/>
      <c r="CZ39" s="149"/>
      <c r="DA39" s="149"/>
      <c r="DB39" s="149"/>
      <c r="DC39" s="149"/>
      <c r="DD39" s="149"/>
      <c r="DE39" s="149"/>
      <c r="DF39" s="149"/>
      <c r="DG39" s="149"/>
      <c r="DH39" s="149"/>
      <c r="DI39" s="149"/>
      <c r="DJ39" s="148"/>
      <c r="DK39" s="148"/>
      <c r="DL39" s="148"/>
      <c r="DM39" s="148"/>
      <c r="DN39" s="155"/>
      <c r="DO39" s="156"/>
      <c r="DP39" s="155"/>
      <c r="DQ39" s="156"/>
      <c r="DR39" s="156"/>
      <c r="DS39" s="156"/>
      <c r="DT39" s="156"/>
      <c r="DU39" s="156"/>
      <c r="DV39" s="156"/>
      <c r="DW39" s="156"/>
      <c r="DX39" s="156"/>
      <c r="DY39" s="148"/>
      <c r="DZ39" s="161"/>
      <c r="EA39" s="158"/>
      <c r="EB39" s="156"/>
      <c r="EC39" s="156"/>
      <c r="ED39" s="156"/>
      <c r="EE39" s="155"/>
      <c r="EF39" s="156"/>
      <c r="EG39" s="148"/>
      <c r="EH39" s="162"/>
      <c r="EI39" s="156"/>
      <c r="EJ39" s="156"/>
      <c r="EK39" s="156"/>
      <c r="EL39" s="156"/>
      <c r="EM39" s="156"/>
      <c r="EN39" s="156"/>
      <c r="EO39" s="156"/>
      <c r="EP39" s="163"/>
      <c r="EQ39" s="156"/>
      <c r="ER39" s="164"/>
      <c r="ES39" s="149"/>
      <c r="ET39" s="148"/>
      <c r="EU39" s="159"/>
      <c r="EV39" s="149"/>
      <c r="EW39" s="149"/>
      <c r="EX39" s="149"/>
      <c r="EY39" s="149"/>
      <c r="EZ39" s="149"/>
      <c r="FA39" s="149"/>
      <c r="FB39" s="149"/>
      <c r="FC39" s="149"/>
      <c r="FD39" s="149"/>
      <c r="FE39" s="149"/>
      <c r="FF39" s="149"/>
      <c r="FG39" s="149"/>
      <c r="FH39" s="149"/>
      <c r="FI39" s="149"/>
      <c r="FJ39" s="149"/>
      <c r="FK39" s="149"/>
      <c r="FL39" s="149"/>
      <c r="FM39" s="149"/>
      <c r="FN39" s="148"/>
      <c r="FO39" s="155"/>
      <c r="FP39" s="156"/>
      <c r="FQ39" s="155"/>
      <c r="FR39" s="156"/>
      <c r="FS39" s="156"/>
      <c r="FT39" s="156"/>
      <c r="FU39" s="156"/>
      <c r="FV39" s="156"/>
      <c r="FW39" s="156"/>
      <c r="FX39" s="156"/>
      <c r="FY39" s="156"/>
      <c r="FZ39" s="165"/>
      <c r="GA39" s="149"/>
      <c r="GB39" s="149"/>
      <c r="GC39" s="149"/>
      <c r="GD39" s="149"/>
      <c r="GE39" s="149"/>
      <c r="GF39" s="149"/>
      <c r="GG39" s="149"/>
      <c r="GH39" s="149"/>
      <c r="GI39" s="149"/>
      <c r="GJ39" s="149"/>
      <c r="GK39" s="149"/>
      <c r="GL39" s="149"/>
      <c r="GM39" s="149"/>
      <c r="GN39" s="149"/>
      <c r="GO39" s="149"/>
      <c r="GP39" s="149"/>
      <c r="GQ39" s="156"/>
      <c r="GR39" s="156"/>
      <c r="GS39" s="156"/>
      <c r="GT39" s="155"/>
      <c r="GU39" s="156"/>
      <c r="GV39" s="155"/>
      <c r="GW39" s="156"/>
      <c r="GX39" s="156"/>
      <c r="GY39" s="156"/>
      <c r="GZ39" s="156"/>
      <c r="HA39" s="156"/>
      <c r="HB39" s="156"/>
      <c r="HC39" s="156"/>
      <c r="HD39" s="156"/>
      <c r="HE39" s="164"/>
      <c r="HF39" s="99"/>
      <c r="HG39" s="99"/>
      <c r="HH39" s="99"/>
      <c r="HI39" s="99"/>
      <c r="HJ39" s="99"/>
      <c r="HK39" s="99"/>
    </row>
    <row r="40" ht="15.0" customHeight="1" outlineLevel="1">
      <c r="A40" s="53">
        <v>44.0</v>
      </c>
      <c r="B40" s="100" t="s">
        <v>169</v>
      </c>
      <c r="C40" s="100" t="s">
        <v>170</v>
      </c>
      <c r="D40" s="64" t="str">
        <f t="shared" ref="D40:D41" si="4">MID(B40,17,4)</f>
        <v>GUAR</v>
      </c>
      <c r="E40" s="101" t="s">
        <v>161</v>
      </c>
      <c r="F40" s="102">
        <v>1113.0</v>
      </c>
      <c r="G40" s="103" t="s">
        <v>161</v>
      </c>
      <c r="H40" s="104">
        <v>1113.0</v>
      </c>
      <c r="I40" s="68" t="str">
        <f>IFERROR(VLOOKUP($C37:C108,'R22 RELATÓRIO ACC'!B:F,5,FALSE),"NOT PUBLISHED")</f>
        <v>V12</v>
      </c>
      <c r="J40" s="69" t="str">
        <f>IFERROR(VLOOKUP($C37:C108,'R22 RELATÓRIO ACC'!B:P,15,FALSE),"NOT PUBLISHED")</f>
        <v>13/05/2026</v>
      </c>
      <c r="K40" s="70" t="str">
        <f>IFERROR(VLOOKUP($B37:B108,'RELATÓRIO ACC'!B:F,5,FALSE),"NOT PUBLISHED")</f>
        <v>V2</v>
      </c>
      <c r="L40" s="71" t="str">
        <f>IFERROR(VLOOKUP($B37:B108,'RELATÓRIO ACC'!B:P,15,FALSE),"NOT PUBLISHED")</f>
        <v>01/06/2026</v>
      </c>
      <c r="M40" s="72" t="str">
        <f>IF(OR($D40="UTLS",$D40="GUAR",$D40="STIR",$D40="PUMP",$D40="SITE"),
   VLOOKUP($B40,'LOD 400 - SITE'!B:M,12,FALSE),
   VLOOKUP($B40,'LOD 400 - ADMN'!B:M,12,FALSE)
)</f>
        <v>V9</v>
      </c>
      <c r="N40" s="105">
        <f>IF(OR($D40="UTLS",$D40="GUAR",$D40="STIR",$D40="PUMP",$D40="SITE"),
   VLOOKUP($B40,'LOD 400 - SITE'!B:N,13,FALSE),
   VLOOKUP($B40,'LOD 400 - ADMN'!B:N,13,FALSE)
)</f>
        <v>45995</v>
      </c>
      <c r="O40" s="106" t="str">
        <f>IF(OR($D40="UTLS",$D40="GUAR",$D40="STIR",$D40="PUMP",$D40="SITE"),
   VLOOKUP($B40,'LOD 400 - SITE'!B:O,14,FALSE),
   VLOOKUP($B40,'LOD 400 - ADMN'!B:O,14,FALSE)
)</f>
        <v>R22</v>
      </c>
      <c r="P40" s="107" t="str">
        <f>IF(OR($D40="C345",$D40="C12A",$D40="DATA"),
   VLOOKUP($B40,'LOD 400 - COLO3'!B:M,12,FALSE),"N/A")</f>
        <v>N/A</v>
      </c>
      <c r="Q40" s="108" t="str">
        <f>IF(OR($D40="C345",$D40="C12A",$D40="DATA"),
   VLOOKUP($B40,'LOD 400 - COLO3'!B:N,13,FALSE),"N/A")</f>
        <v>N/A</v>
      </c>
      <c r="R40" s="75" t="str">
        <f>IF(OR($D40="C345",$D40="C12A",$D40="DATA"),
   VLOOKUP($B40,'LOD 400 - COLO3'!B:O,14,FALSE),"N/A")</f>
        <v>N/A</v>
      </c>
      <c r="S40" s="76" t="str">
        <f>IF(OR($D40="C345",$D40="C12A",$D40="DATA"),
   VLOOKUP($B40,'LOD 400 - COLO4'!B:N,12,FALSE),"N/A")</f>
        <v>N/A</v>
      </c>
      <c r="T40" s="76" t="str">
        <f>IF(OR($D40="C345",$D40="C12A",$D40="DATA"),
   VLOOKUP($B40,'LOD 400 - COLO4'!B:N,13,FALSE),"N/A")</f>
        <v>N/A</v>
      </c>
      <c r="U40" s="76" t="str">
        <f>IF(OR($D40="C345",$D40="C12A",$D40="DATA"),
   VLOOKUP($B40,'LOD 400 - COLO4'!B:N,13,FALSE),"N/A")</f>
        <v>N/A</v>
      </c>
      <c r="V40" s="77" t="str">
        <f>IF(OR($D40="UTLS",$D40="GUAR",$D40="STIR",$D40="PUMP",$D40="SITE"),
   VLOOKUP($B40,'LOD 400 - UTLS'!B:M,12,FALSE),"N/A")</f>
        <v>N/A</v>
      </c>
      <c r="W40" s="78" t="str">
        <f>IF(OR($D40="UTLS",$D40="GUAR",$D40="STIR",$D40="PUMP",$D40="SITE"),
   VLOOKUP($B40,'LOD 400 - UTLS'!B:N,13,FALSE),"N/A")</f>
        <v>N/A</v>
      </c>
      <c r="X40" s="108" t="str">
        <f>IF(OR($D40="UTLS",$D40="GUAR",$D40="STIR",$D40="PUMP",$D40="SITE"),
   VLOOKUP($B40,'LOD 400 - UTLS'!B:O,14,FALSE),"N/A")</f>
        <v>N/A</v>
      </c>
      <c r="Y40" s="79" t="str">
        <f>IFERROR(VLOOKUP($B40,'LOD 400 - ADMN'!B:S,18,FALSE),"N/A")</f>
        <v>N/A</v>
      </c>
      <c r="Z40" s="79" t="str">
        <f>IFERROR(VLOOKUP($B40,'LOD 400 - ADMN'!B:V,21,FALSE),"N/A")</f>
        <v>N/A</v>
      </c>
      <c r="AA40" s="79" t="str">
        <f>IFERROR(VLOOKUP($B40,'LOD 400 - ADMN'!$B:Y,24,FALSE),"N/A")</f>
        <v>N/A</v>
      </c>
      <c r="AB40" s="80" t="str">
        <f>IFERROR(VLOOKUP($B40,'LOD 400 - ADMN'!$B:AB,27,FALSE),"N/A")</f>
        <v>N/A</v>
      </c>
      <c r="AC40" s="81" t="str">
        <f>IFERROR(VLOOKUP($B40,'LOD 400 - ADMN'!$B:AE,30,FALSE),"N/A")</f>
        <v>N/A</v>
      </c>
      <c r="AD40" s="81" t="str">
        <f>IFERROR(VLOOKUP($B40,'LOD 400 - ADMN'!$B:AH,33,FALSE),"N/A")</f>
        <v>N/A</v>
      </c>
      <c r="AE40" s="80" t="str">
        <f>IFERROR(VLOOKUP($B40,'LOD 400 - ADMN'!$B:AK,36,FALSE),"N/A")</f>
        <v>N/A</v>
      </c>
      <c r="AF40" s="82" t="str">
        <f>IFERROR(VLOOKUP($B40,'LOD 400 - ADMN'!$B:AN,39,FALSE),"N/A")</f>
        <v>N/A</v>
      </c>
      <c r="AG40" s="83" t="str">
        <f>IFERROR(VLOOKUP($B40,'LOD 400 - ADMN'!$B:AQ,42,FALSE),"N/A")</f>
        <v>N/A</v>
      </c>
      <c r="AH40" s="84" t="str">
        <f>IFERROR(VLOOKUP($B40,'LOD 400 - ADMN'!$B:AT,45,FALSE),"N/A")</f>
        <v>N/A</v>
      </c>
      <c r="AI40" s="85" t="str">
        <f>IFERROR(VLOOKUP($B40,'LOD 400 - ADMN'!$B:AW,48,FALSE),"N/A")</f>
        <v>N/A</v>
      </c>
      <c r="AJ40" s="85" t="str">
        <f>IFERROR(VLOOKUP($B40,'LOD 400 - ADMN'!$B:AZ,51,FALSE),"N/A")</f>
        <v>N/A</v>
      </c>
      <c r="AK40" s="84" t="str">
        <f>IFERROR(VLOOKUP($B40,'LOD 400 - ADMN'!$B:BC,54,FALSE),"N/A")</f>
        <v>N/A</v>
      </c>
      <c r="AL40" s="84" t="str">
        <f>IFERROR(VLOOKUP($B40,'LOD 400 - ADMN'!$B:BF,57,FALSE),"N/A")</f>
        <v>N/A</v>
      </c>
      <c r="AM40" s="84" t="str">
        <f>IFERROR(VLOOKUP($B40,'LOD 400 - ADMN'!$B:BI,60,FALSE),"N/A")</f>
        <v>N/A</v>
      </c>
      <c r="AN40" s="84" t="str">
        <f>IFERROR(VLOOKUP($B40,'LOD 400 - ADMN'!$B:BL,63,FALSE),"N/A")</f>
        <v>N/A</v>
      </c>
      <c r="AO40" s="84" t="str">
        <f>IFERROR(VLOOKUP($B40,'LOD 400 - ADMN'!$B:BO,66,FALSE),"N/A")</f>
        <v>N/A</v>
      </c>
      <c r="AP40" s="84" t="str">
        <f>IFERROR(VLOOKUP($B40,'LOD 400 - ADMN'!$B:BR,69,FALSE),"N/A")</f>
        <v>N/A</v>
      </c>
      <c r="AQ40" s="84" t="str">
        <f>IFERROR(VLOOKUP($B40,'LOD 400 - ADMN'!$B:BU,72,FALSE),"N/A")</f>
        <v>N/A</v>
      </c>
      <c r="AR40" s="84" t="str">
        <f>IFERROR(VLOOKUP($B40,'LOD 400 - ADMN'!$B:BX,75,FALSE),"N/A")</f>
        <v>N/A</v>
      </c>
      <c r="AS40" s="84" t="str">
        <f>IFERROR(VLOOKUP($B40,'LOD 400 - ADMN'!$B:CA,78,FALSE),"N/A")</f>
        <v>N/A</v>
      </c>
      <c r="AT40" s="84" t="str">
        <f>IFERROR(VLOOKUP($B40,'LOD 400 - ADMN'!$B:CD,81,FALSE),"N/A")</f>
        <v>N/A</v>
      </c>
      <c r="AU40" s="85" t="str">
        <f>IFERROR(VLOOKUP($B40,'LOD 400 - ADMN'!$B:CG,84,FALSE),"N/A")</f>
        <v>N/A</v>
      </c>
      <c r="AV40" s="84" t="str">
        <f>IFERROR(VLOOKUP($B40,'LOD 400 - ADMN'!$B:CJ,87,FALSE),"N/A")</f>
        <v>N/A</v>
      </c>
      <c r="AW40" s="85" t="str">
        <f>IFERROR(VLOOKUP($B40,'LOD 400 - ADMN'!$B:CM,90,FALSE),"N/A")</f>
        <v>N/A</v>
      </c>
      <c r="AX40" s="84" t="str">
        <f>IFERROR(VLOOKUP($B40,'LOD 400 - ADMN'!$B:CP,93,FALSE),"N/A")</f>
        <v>N/A</v>
      </c>
      <c r="AY40" s="84" t="str">
        <f>IFERROR(VLOOKUP($B40,'LOD 400 - ADMN'!$B:CS,96,FALSE),"N/A")</f>
        <v>N/A</v>
      </c>
      <c r="AZ40" s="84" t="str">
        <f>IFERROR(VLOOKUP($B40,'LOD 400 - ADMN'!$B:CV,99,FALSE),"N/A")</f>
        <v>N/A</v>
      </c>
      <c r="BA40" s="84" t="str">
        <f>IFERROR(VLOOKUP($B40,'LOD 400 - ADMN'!$B:CY,102,FALSE),"N/A")</f>
        <v>N/A</v>
      </c>
      <c r="BB40" s="84" t="str">
        <f>IFERROR(VLOOKUP($B40,'LOD 400 - ADMN'!$B:DB,105,FALSE),"N/A")</f>
        <v>N/A</v>
      </c>
      <c r="BC40" s="84" t="str">
        <f>IFERROR(VLOOKUP($B40,'LOD 400 - ADMN'!$B:DE,108,FALSE),"N/A")</f>
        <v>N/A</v>
      </c>
      <c r="BD40" s="84" t="str">
        <f>IFERROR(VLOOKUP($B40,'LOD 400 - ADMN'!$B:DH,111,FALSE),"N/A")</f>
        <v>N/A</v>
      </c>
      <c r="BE40" s="84" t="str">
        <f>IFERROR(VLOOKUP($B40,'LOD 400 - ADMN'!$B:DK,114,FALSE),"N/A")</f>
        <v>N/A</v>
      </c>
      <c r="BF40" s="84" t="str">
        <f>IFERROR(VLOOKUP($B40,'LOD 400 - ADMN'!$B:DN,117,FALSE),"N/A")</f>
        <v>N/A</v>
      </c>
      <c r="BG40" s="86" t="str">
        <f>IFERROR(__xludf.DUMMYFUNCTION("IFERROR(
  MAX(FILTER(Y40:BF40, ISNUMBER(Y40:BF40))),
  BF40
)"),"N/A")</f>
        <v>N/A</v>
      </c>
      <c r="BH40" s="79" t="str">
        <f>IFERROR(VLOOKUP($B40,'LOD 400 - COLO1'!B:S,18,FALSE),"N/A")</f>
        <v>N/A</v>
      </c>
      <c r="BI40" s="79" t="str">
        <f>IFERROR(VLOOKUP($B40,'LOD 400 - COLO1'!B:V,21,FALSE),"N/A")</f>
        <v>N/A</v>
      </c>
      <c r="BJ40" s="79" t="str">
        <f>IFERROR(VLOOKUP($B40,'LOD 400 - COLO1'!$B:Y,24,FALSE),"N/A")</f>
        <v>N/A</v>
      </c>
      <c r="BK40" s="87" t="str">
        <f>IFERROR(VLOOKUP($B40,'LOD 400 - COLO1'!$B:AB,27,FALSE),"N/A")</f>
        <v>N/A</v>
      </c>
      <c r="BL40" s="80" t="str">
        <f>IFERROR(VLOOKUP($B40,'LOD 400 - COLO1'!$B:AE,30,FALSE),"N/A")</f>
        <v>N/A</v>
      </c>
      <c r="BM40" s="81" t="str">
        <f>IFERROR(VLOOKUP($B40,'LOD 400 - COLO1'!$B:AH,33,FALSE),"N/A")</f>
        <v>N/A</v>
      </c>
      <c r="BN40" s="87" t="str">
        <f>IFERROR(VLOOKUP($B40,'LOD 400 - COLO1'!$B:AK,36,FALSE),"N/A")</f>
        <v>N/A</v>
      </c>
      <c r="BO40" s="83" t="str">
        <f>IFERROR(VLOOKUP($B40,'LOD 400 - COLO1'!$B:AN,39,FALSE),"N/A")</f>
        <v>N/A</v>
      </c>
      <c r="BP40" s="88" t="str">
        <f>IFERROR(VLOOKUP($B40,'LOD 400 - COLO1'!$B:AQ,42,FALSE),"N/A")</f>
        <v>N/A</v>
      </c>
      <c r="BQ40" s="84" t="str">
        <f>IFERROR(VLOOKUP($B40,'LOD 400 - COLO1'!$B:AT,45,FALSE),"N/A")</f>
        <v>N/A</v>
      </c>
      <c r="BR40" s="85" t="str">
        <f>IFERROR(VLOOKUP($B40,'LOD 400 - COLO1'!$B:AW,48,FALSE),"N/A")</f>
        <v>N/A</v>
      </c>
      <c r="BS40" s="84" t="str">
        <f>IFERROR(VLOOKUP($B40,'LOD 400 - COLO1'!$B:AZ,51,FALSE),"N/A")</f>
        <v>N/A</v>
      </c>
      <c r="BT40" s="84" t="str">
        <f>IFERROR(VLOOKUP($B40,'LOD 400 - COLO1'!$B:BC,54,FALSE),"N/A")</f>
        <v>N/A</v>
      </c>
      <c r="BU40" s="84" t="str">
        <f>IFERROR(VLOOKUP($B40,'LOD 400 - COLO1'!$B:BF,57,FALSE),"N/A")</f>
        <v>N/A</v>
      </c>
      <c r="BV40" s="84" t="str">
        <f>IFERROR(VLOOKUP($B40,'LOD 400 - COLO1'!$B:BI,60,FALSE),"N/A")</f>
        <v>N/A</v>
      </c>
      <c r="BW40" s="84" t="str">
        <f>IFERROR(VLOOKUP($B40,'LOD 400 - COLO1'!$B:BL,63,FALSE),"N/A")</f>
        <v>N/A</v>
      </c>
      <c r="BX40" s="84" t="str">
        <f>IFERROR(VLOOKUP($B40,'LOD 400 - COLO1'!$B:BO,66,FALSE),"N/A")</f>
        <v>N/A</v>
      </c>
      <c r="BY40" s="84" t="str">
        <f>IFERROR(VLOOKUP($B40,'LOD 400 - COLO1'!$B:BR,69,FALSE),"N/A")</f>
        <v>N/A</v>
      </c>
      <c r="BZ40" s="84" t="str">
        <f>IFERROR(VLOOKUP($B40,'LOD 400 - COLO1'!$B:BU,72,FALSE),"N/A")</f>
        <v>N/A</v>
      </c>
      <c r="CA40" s="84" t="str">
        <f>IFERROR(VLOOKUP($B40,'LOD 400 - COLO1'!$B:BX,75,FALSE),"N/A")</f>
        <v>N/A</v>
      </c>
      <c r="CB40" s="84" t="str">
        <f>IFERROR(VLOOKUP($B40,'LOD 400 - COLO1'!$B:CA,78,FALSE),"N/A")</f>
        <v>N/A</v>
      </c>
      <c r="CC40" s="84" t="str">
        <f>IFERROR(VLOOKUP($B40,'LOD 400 - COLO1'!$B:CD,81,FALSE),"N/A")</f>
        <v>N/A</v>
      </c>
      <c r="CD40" s="85" t="str">
        <f>IFERROR(VLOOKUP($B40,'LOD 400 - COLO1'!$B:CG,84,FALSE),"N/A")</f>
        <v>N/A</v>
      </c>
      <c r="CE40" s="84" t="str">
        <f>IFERROR(VLOOKUP($B40,'LOD 400 - COLO1'!$B:CJ,87,FALSE),"N/A")</f>
        <v>N/A</v>
      </c>
      <c r="CF40" s="85" t="str">
        <f>IFERROR(VLOOKUP($B40,'LOD 400 - COLO1'!$B:CM,90,FALSE),"N/A")</f>
        <v>N/A</v>
      </c>
      <c r="CG40" s="84" t="str">
        <f>IFERROR(VLOOKUP($B40,'LOD 400 - COLO1'!$B:CP,93,FALSE),"N/A")</f>
        <v>N/A</v>
      </c>
      <c r="CH40" s="84" t="str">
        <f>IFERROR(VLOOKUP($B40,'LOD 400 - COLO1'!$B:CS,96,FALSE),"N/A")</f>
        <v>N/A</v>
      </c>
      <c r="CI40" s="84" t="str">
        <f>IFERROR(VLOOKUP($B40,'LOD 400 - COLO1'!$B:CV,99,FALSE),"N/A")</f>
        <v>N/A</v>
      </c>
      <c r="CJ40" s="84" t="str">
        <f>IFERROR(VLOOKUP($B40,'LOD 400 - COLO1'!$B:CY,102,FALSE),"N/A")</f>
        <v>N/A</v>
      </c>
      <c r="CK40" s="84" t="str">
        <f>IFERROR(VLOOKUP($B40,'LOD 400 - COLO1'!$B:DB,105,FALSE),"N/A")</f>
        <v>N/A</v>
      </c>
      <c r="CL40" s="84" t="str">
        <f>IFERROR(VLOOKUP($B40,'LOD 400 - COLO1'!$B:DE,108,FALSE),"N/A")</f>
        <v>N/A</v>
      </c>
      <c r="CM40" s="84" t="str">
        <f>IFERROR(VLOOKUP($B40,'LOD 400 - COLO1'!$B:DH,111,FALSE),"N/A")</f>
        <v>N/A</v>
      </c>
      <c r="CN40" s="84" t="str">
        <f>IFERROR(VLOOKUP($B40,'LOD 400 - COLO1'!$B:DK,114,FALSE),"N/A")</f>
        <v>N/A</v>
      </c>
      <c r="CO40" s="84" t="str">
        <f>IFERROR(VLOOKUP($B40,'LOD 400 - COLO1'!$B:DN,117,FALSE),"N/A")</f>
        <v>N/A</v>
      </c>
      <c r="CP40" s="86" t="str">
        <f>IFERROR(__xludf.DUMMYFUNCTION("IFERROR(
  MAX(FILTER(BH40:CO40, ISNUMBER(BH40:CO40))),
  CO40
)"),"N/A")</f>
        <v>N/A</v>
      </c>
      <c r="CQ40" s="89" t="str">
        <f>IFERROR(VLOOKUP($B40,'LOD 400 - COLO2'!B:S,18,FALSE),"N/A")</f>
        <v>N/A</v>
      </c>
      <c r="CR40" s="79" t="str">
        <f>IFERROR(VLOOKUP($B40,'LOD 400 - COLO2'!B:V,21,FALSE),"N/A")</f>
        <v>N/A</v>
      </c>
      <c r="CS40" s="79" t="str">
        <f>IFERROR(VLOOKUP($B40,'LOD 400 - COLO2'!$B:Y,24,FALSE),"N/A")</f>
        <v>N/A</v>
      </c>
      <c r="CT40" s="80" t="str">
        <f>IFERROR(VLOOKUP($B40,'LOD 400 - COLO2'!$B:DQ,27,FALSE),"N/A")</f>
        <v>N/A</v>
      </c>
      <c r="CU40" s="90" t="str">
        <f>IFERROR(VLOOKUP($B40,'LOD 400 - COLO2'!$B:AE,30,FALSE),"N/A")</f>
        <v>N/A</v>
      </c>
      <c r="CV40" s="81" t="str">
        <f>IFERROR(VLOOKUP($B40,'LOD 400 - COLO2'!$B:AH,33,FALSE),"N/A")</f>
        <v>N/A</v>
      </c>
      <c r="CW40" s="90" t="str">
        <f>IFERROR(VLOOKUP($B40,'LOD 400 - COLO2'!$B:AK,36,FALSE),"N/A")</f>
        <v>N/A</v>
      </c>
      <c r="CX40" s="85" t="str">
        <f>IFERROR(VLOOKUP($B40,'LOD 400 - COLO2'!$B:AN,39,FALSE),"N/A")</f>
        <v>N/A</v>
      </c>
      <c r="CY40" s="88" t="str">
        <f>IFERROR(VLOOKUP($B40,'LOD 400 - COLO2'!$B:AQ,42,FALSE),"N/A")</f>
        <v>N/A</v>
      </c>
      <c r="CZ40" s="84" t="str">
        <f>IFERROR(VLOOKUP($B40,'LOD 400 - COLO2'!$B:AT,45,FALSE),"N/A")</f>
        <v>N/A</v>
      </c>
      <c r="DA40" s="85" t="str">
        <f>IFERROR(VLOOKUP($B40,'LOD 400 - COLO2'!$B:AW,48,FALSE),"N/A")</f>
        <v>N/A</v>
      </c>
      <c r="DB40" s="84" t="str">
        <f>IFERROR(VLOOKUP($B40,'LOD 400 - COLO2'!$B:AZ,51,FALSE),"N/A")</f>
        <v>N/A</v>
      </c>
      <c r="DC40" s="84" t="str">
        <f>IFERROR(VLOOKUP($B40,'LOD 400 - COLO2'!$B:BC,54,FALSE),"N/A")</f>
        <v>N/A</v>
      </c>
      <c r="DD40" s="84" t="str">
        <f>IFERROR(VLOOKUP($B40,'LOD 400 - COLO2'!$B:BF,57,FALSE),"N/A")</f>
        <v>N/A</v>
      </c>
      <c r="DE40" s="84" t="str">
        <f>IFERROR(VLOOKUP($B40,'LOD 400 - COLO2'!$B:BI,60,FALSE),"N/A")</f>
        <v>N/A</v>
      </c>
      <c r="DF40" s="84" t="str">
        <f>IFERROR(VLOOKUP($B40,'LOD 400 - COLO2'!$B:BL,63,FALSE),"N/A")</f>
        <v>N/A</v>
      </c>
      <c r="DG40" s="84" t="str">
        <f>IFERROR(VLOOKUP($B40,'LOD 400 - COLO2'!$B:BO,66,FALSE),"N/A")</f>
        <v>N/A</v>
      </c>
      <c r="DH40" s="84" t="str">
        <f>IFERROR(VLOOKUP($B40,'LOD 400 - COLO2'!$B:BR,69,FALSE),"N/A")</f>
        <v>N/A</v>
      </c>
      <c r="DI40" s="84" t="str">
        <f>IFERROR(VLOOKUP($B40,'LOD 400 - COLO2'!$B:BU,72,FALSE),"N/A")</f>
        <v>N/A</v>
      </c>
      <c r="DJ40" s="84" t="str">
        <f>IFERROR(VLOOKUP($B40,'LOD 400 - COLO2'!$B:BX,75,FALSE),"N/A")</f>
        <v>N/A</v>
      </c>
      <c r="DK40" s="84" t="str">
        <f>IFERROR(VLOOKUP($B40,'LOD 400 - COLO2'!$B:CA,78,FALSE),"N/A")</f>
        <v>N/A</v>
      </c>
      <c r="DL40" s="84" t="str">
        <f>IFERROR(VLOOKUP($B40,'LOD 400 - COLO2'!$B:CD,81,FALSE),"N/A")</f>
        <v>N/A</v>
      </c>
      <c r="DM40" s="85" t="str">
        <f>IFERROR(VLOOKUP($B40,'LOD 400 - COLO2'!$B:CG,84,FALSE),"N/A")</f>
        <v>N/A</v>
      </c>
      <c r="DN40" s="84" t="str">
        <f>IFERROR(VLOOKUP($B40,'LOD 400 - COLO2'!$B:CJ,87,FALSE),"N/A")</f>
        <v>N/A</v>
      </c>
      <c r="DO40" s="85" t="str">
        <f>IFERROR(VLOOKUP($B40,'LOD 400 - COLO2'!$B:CM,90,FALSE),"N/A")</f>
        <v>N/A</v>
      </c>
      <c r="DP40" s="84" t="str">
        <f>IFERROR(VLOOKUP($B40,'LOD 400 - COLO2'!$B:CP,93,FALSE),"N/A")</f>
        <v>N/A</v>
      </c>
      <c r="DQ40" s="84" t="str">
        <f>IFERROR(VLOOKUP($B40,'LOD 400 - COLO2'!$B:CS,96,FALSE),"N/A")</f>
        <v>N/A</v>
      </c>
      <c r="DR40" s="84" t="str">
        <f>IFERROR(VLOOKUP($B40,'LOD 400 - COLO2'!$B:CV,99,FALSE),"N/A")</f>
        <v>N/A</v>
      </c>
      <c r="DS40" s="84" t="str">
        <f>IFERROR(VLOOKUP($B40,'LOD 400 - COLO2'!$B:CY,102,FALSE),"N/A")</f>
        <v>N/A</v>
      </c>
      <c r="DT40" s="84" t="str">
        <f>IFERROR(VLOOKUP($B40,'LOD 400 - COLO2'!$B:DB,105,FALSE),"N/A")</f>
        <v>N/A</v>
      </c>
      <c r="DU40" s="84" t="str">
        <f>IFERROR(VLOOKUP($B40,'LOD 400 - COLO2'!$B:DE,108,FALSE),"N/A")</f>
        <v>N/A</v>
      </c>
      <c r="DV40" s="84" t="str">
        <f>IFERROR(VLOOKUP($B40,'LOD 400 - COLO2'!$B:DH,111,FALSE),"N/A")</f>
        <v>N/A</v>
      </c>
      <c r="DW40" s="84" t="str">
        <f>IFERROR(VLOOKUP($B40,'LOD 400 - COLO2'!$B:DK,114,FALSE),"N/A")</f>
        <v>N/A</v>
      </c>
      <c r="DX40" s="84" t="str">
        <f>IFERROR(VLOOKUP($B40,'LOD 400 - COLO2'!$B:DN,117,FALSE),"N/A")</f>
        <v>N/A</v>
      </c>
      <c r="DY40" s="91" t="str">
        <f>IFERROR(__xludf.DUMMYFUNCTION("IFERROR(
  MAX(FILTER(CQ40:DW40, ISNUMBER(CQ40:DW40))),
  DW40
)"),"N/A")</f>
        <v>N/A</v>
      </c>
      <c r="DZ40" s="92" t="str">
        <f>IFERROR(VLOOKUP($B40,'LOD 400 - COLO3'!B:S,18,FALSE),"N/A")</f>
        <v>N/A</v>
      </c>
      <c r="EA40" s="84" t="str">
        <f>IFERROR(VLOOKUP($B40,'LOD 400 - COLO3'!B:V,21,FALSE),"N/A")</f>
        <v>N/A</v>
      </c>
      <c r="EB40" s="84" t="str">
        <f>IFERROR(VLOOKUP($B40,'LOD 400 - COLO3'!B:Y,24,FALSE),"N/A")</f>
        <v>N/A</v>
      </c>
      <c r="EC40" s="84" t="str">
        <f>IFERROR(VLOOKUP($B40,'LOD 400 - COLO3'!B:AB,27,FALSE),"N/A")</f>
        <v>N/A</v>
      </c>
      <c r="ED40" s="85" t="str">
        <f>IFERROR(VLOOKUP($B40,'LOD 400 - COLO3'!B:AE,30,FALSE),"N/A")</f>
        <v>N/A</v>
      </c>
      <c r="EE40" s="84" t="str">
        <f>IFERROR(VLOOKUP($B40,'LOD 400 - COLO3'!B:AH,33,FALSE),"N/A")</f>
        <v>N/A</v>
      </c>
      <c r="EF40" s="84" t="str">
        <f>IFERROR(VLOOKUP($B40,'LOD 400 - COLO3'!B:AK,36,FALSE),"N/A")</f>
        <v>N/A</v>
      </c>
      <c r="EG40" s="109" t="str">
        <f>IFERROR(VLOOKUP($B40,'LOD 400 - COLO3'!B:AN,39,FALSE),"N/A")</f>
        <v>N/A</v>
      </c>
      <c r="EH40" s="94" t="str">
        <f>IFERROR(VLOOKUP($B40,'LOD 400 - COLO3'!B:AQ,42,FALSE),"N/A")</f>
        <v>N/A</v>
      </c>
      <c r="EI40" s="94" t="str">
        <f>IFERROR(VLOOKUP($B40,'LOD 400 - COLO3'!B:AT,45,FALSE),"N/A")</f>
        <v>N/A</v>
      </c>
      <c r="EJ40" s="94" t="str">
        <f>IFERROR(VLOOKUP($B40,'LOD 400 - COLO3'!B:AW,48,FALSE),"N/A")</f>
        <v>N/A</v>
      </c>
      <c r="EK40" s="94" t="str">
        <f>IFERROR(VLOOKUP($B40,'LOD 400 - COLO3'!B:AZ,51,FALSE),"N/A")</f>
        <v>N/A</v>
      </c>
      <c r="EL40" s="94" t="str">
        <f>IFERROR(VLOOKUP($B40,'LOD 400 - COLO3'!B:BC,54,FALSE),"N/A")</f>
        <v>N/A</v>
      </c>
      <c r="EM40" s="94" t="str">
        <f>IFERROR(VLOOKUP($B40,'LOD 400 - COLO3'!B:BF,57,FALSE),"N/A")</f>
        <v>N/A</v>
      </c>
      <c r="EN40" s="94" t="str">
        <f>IFERROR(VLOOKUP($B40,'LOD 400 - COLO3'!B:BI,60,FALSE),"N/A")</f>
        <v>N/A</v>
      </c>
      <c r="EO40" s="94" t="str">
        <f>IFERROR(VLOOKUP($B40,'LOD 400 - COLO3'!B:BL,63,FALSE),"N/A")</f>
        <v>N/A</v>
      </c>
      <c r="EP40" s="86" t="str">
        <f>IFERROR(__xludf.DUMMYFUNCTION("IFERROR(
  MAX(FILTER(DZ40:EO40, ISNUMBER(DZ40:EO40))),
  EO40
)"),"N/A")</f>
        <v>N/A</v>
      </c>
      <c r="EQ40" s="95" t="str">
        <f>IFERROR(VLOOKUP($B40,'LOD 400 - COLO4'!B:S,18,FALSE),"N/A")</f>
        <v>N/A</v>
      </c>
      <c r="ER40" s="96" t="str">
        <f>IFERROR(__xludf.DUMMYFUNCTION("IFERROR(
  MAX(FILTER(EQ40, ISNUMBER(EQ40))),
  EQ40
)"),"N/A")</f>
        <v>N/A</v>
      </c>
      <c r="ES40" s="79" t="str">
        <f>IFERROR(VLOOKUP($B40,'LOD 400 - SITE'!B:S,18,FALSE),"N/A")</f>
        <v>OUTDATED</v>
      </c>
      <c r="ET40" s="80" t="str">
        <f>IFERROR(VLOOKUP($B40,'LOD 400 - SITE'!B:V,21,FALSE),"N/A")</f>
        <v>OUTDATED</v>
      </c>
      <c r="EU40" s="97" t="str">
        <f>IFERROR(VLOOKUP($B40,'LOD 400 - SITE'!$B:Y,24,FALSE),"N/A")</f>
        <v>OUTDATED</v>
      </c>
      <c r="EV40" s="80" t="str">
        <f>IFERROR(VLOOKUP($B40,'LOD 400 - SITE'!$B:AB,27,FALSE),"N/A")</f>
        <v>OUTDATED</v>
      </c>
      <c r="EW40" s="81" t="str">
        <f>IFERROR(VLOOKUP($B40,'LOD 400 - SITE'!$B:AE,30,FALSE),"N/A")</f>
        <v>OUTDATED</v>
      </c>
      <c r="EX40" s="87">
        <f>IFERROR(VLOOKUP($B40,'LOD 400 - SITE'!$B:AH,33,FALSE),"N/A")</f>
        <v>0.57</v>
      </c>
      <c r="EY40" s="87" t="str">
        <f>IFERROR(VLOOKUP($B40,'LOD 400 - SITE'!$B:AK,36,FALSE),"N/A")</f>
        <v>OUTDATED</v>
      </c>
      <c r="EZ40" s="80" t="str">
        <f>IFERROR(VLOOKUP($B40,'LOD 400 - SITE'!$B:AN,39,FALSE),"N/A")</f>
        <v>NEXT ROUND </v>
      </c>
      <c r="FA40" s="82">
        <f>IFERROR(VLOOKUP($B40,'LOD 400 - SITE'!$B:AQ,42,FALSE),"N/A")</f>
        <v>1</v>
      </c>
      <c r="FB40" s="88">
        <f>IFERROR(VLOOKUP($B40,'LOD 400 - SITE'!$B:AT,45,FALSE),"N/A")</f>
        <v>1</v>
      </c>
      <c r="FC40" s="84">
        <f>IFERROR(VLOOKUP($B40,'LOD 400 - SITE'!$B:AW,48,FALSE),"N/A")</f>
        <v>1</v>
      </c>
      <c r="FD40" s="84">
        <f>IFERROR(VLOOKUP($B40,'LOD 400 - SITE'!$B:AZ,51,FALSE),"N/A")</f>
        <v>1</v>
      </c>
      <c r="FE40" s="84">
        <f>IFERROR(VLOOKUP($B40,'LOD 400 - SITE'!$B:BC,54,FALSE),"N/A")</f>
        <v>1</v>
      </c>
      <c r="FF40" s="84">
        <f>IFERROR(VLOOKUP($B40,'LOD 400 - SITE'!$B:BF,57,FALSE),"N/A")</f>
        <v>1</v>
      </c>
      <c r="FG40" s="84">
        <f>IFERROR(VLOOKUP($B40,'LOD 400 - SITE'!$B:BI,60,FALSE),"N/A")</f>
        <v>1</v>
      </c>
      <c r="FH40" s="84">
        <f>IFERROR(VLOOKUP($B40,'LOD 400 - SITE'!$B:BL,63,FALSE),"N/A")</f>
        <v>1</v>
      </c>
      <c r="FI40" s="84">
        <f>IFERROR(VLOOKUP($B40,'LOD 400 - SITE'!$B:BO,66,FALSE),"N/A")</f>
        <v>1</v>
      </c>
      <c r="FJ40" s="84">
        <f>IFERROR(VLOOKUP($B40,'LOD 400 - SITE'!$B:BR,69,FALSE),"N/A")</f>
        <v>1</v>
      </c>
      <c r="FK40" s="84">
        <f>IFERROR(VLOOKUP($B40,'LOD 400 - SITE'!$B:BU,72,FALSE),"N/A")</f>
        <v>1</v>
      </c>
      <c r="FL40" s="84">
        <f>IFERROR(VLOOKUP($B40,'LOD 400 - SITE'!$B:BX,75,FALSE),"N/A")</f>
        <v>1</v>
      </c>
      <c r="FM40" s="84">
        <f>IFERROR(VLOOKUP($B40,'LOD 400 - SITE'!$B:CA,78,FALSE),"N/A")</f>
        <v>1</v>
      </c>
      <c r="FN40" s="85">
        <f>IFERROR(VLOOKUP($B40,'LOD 400 - SITE'!$B:CD,81,FALSE),"N/A")</f>
        <v>1</v>
      </c>
      <c r="FO40" s="84">
        <f>IFERROR(VLOOKUP($B40,'LOD 400 - SITE'!$B:CG,84,FALSE),"N/A")</f>
        <v>1</v>
      </c>
      <c r="FP40" s="85">
        <f>IFERROR(VLOOKUP($B40,'LOD 400 - SITE'!$B:CJ,87,FALSE),"N/A")</f>
        <v>1</v>
      </c>
      <c r="FQ40" s="84">
        <f>IFERROR(VLOOKUP($B40,'LOD 400 - SITE'!$B:CM,90,FALSE),"N/A")</f>
        <v>1</v>
      </c>
      <c r="FR40" s="84">
        <f>IFERROR(VLOOKUP($B40,'LOD 400 - SITE'!$B:CP,93,FALSE),"N/A")</f>
        <v>1</v>
      </c>
      <c r="FS40" s="84">
        <f>IFERROR(VLOOKUP($B40,'LOD 400 - SITE'!$B:CS,96,FALSE),"N/A")</f>
        <v>1</v>
      </c>
      <c r="FT40" s="84">
        <f>IFERROR(VLOOKUP($B40,'LOD 400 - SITE'!$B:CV,99,FALSE),"N/A")</f>
        <v>1</v>
      </c>
      <c r="FU40" s="84">
        <f>IFERROR(VLOOKUP($B40,'LOD 400 - SITE'!$B:CY,102,FALSE),"N/A")</f>
        <v>1</v>
      </c>
      <c r="FV40" s="84">
        <f>IFERROR(VLOOKUP($B40,'LOD 400 - SITE'!$B:DB,105,FALSE),"N/A")</f>
        <v>1</v>
      </c>
      <c r="FW40" s="84">
        <f>IFERROR(VLOOKUP($B40,'LOD 400 - SITE'!$B:DE,108,FALSE),"N/A")</f>
        <v>1</v>
      </c>
      <c r="FX40" s="84">
        <f>IFERROR(VLOOKUP($B40,'LOD 400 - SITE'!$B:DH,111,FALSE),"N/A")</f>
        <v>1</v>
      </c>
      <c r="FY40" s="84">
        <f>IFERROR(VLOOKUP($B40,'LOD 400 - SITE'!$B:DK,114,FALSE),"N/A")</f>
        <v>1</v>
      </c>
      <c r="FZ40" s="96">
        <f>IFERROR(__xludf.DUMMYFUNCTION("IFERROR(
  MAX(FILTER(ES40:FY40, ISNUMBER(ES40:FY40))),
  FY40
)"),1.0)</f>
        <v>1</v>
      </c>
      <c r="GA40" s="80" t="str">
        <f>IFERROR(VLOOKUP($B40,'LOD 400 - UTLS'!B:S,18,FALSE),"N/A")</f>
        <v>N/A</v>
      </c>
      <c r="GB40" s="98" t="str">
        <f>IFERROR(VLOOKUP($B40,'LOD 400 - UTLS'!B:V,21,FALSE),"N/A")</f>
        <v>N/A</v>
      </c>
      <c r="GC40" s="81" t="str">
        <f>IFERROR(VLOOKUP($B40,'LOD 400 - UTLS'!B:Y,24,FALSE),"N/A")</f>
        <v>N/A</v>
      </c>
      <c r="GD40" s="87" t="str">
        <f>IFERROR(VLOOKUP($B40,'LOD 400 - UTLS'!$B:AB,27,FALSE),"N/A")</f>
        <v>N/A</v>
      </c>
      <c r="GE40" s="80" t="str">
        <f>IFERROR(VLOOKUP($B40,'LOD 400 - UTLS'!$B:AE,30,FALSE),"N/A")</f>
        <v>N/A</v>
      </c>
      <c r="GF40" s="82" t="str">
        <f>IFERROR(VLOOKUP($B40,'LOD 400 - UTLS'!$B:AH,33,FALSE),"N/A")</f>
        <v>N/A</v>
      </c>
      <c r="GG40" s="88" t="str">
        <f>IFERROR(VLOOKUP($B40,'LOD 400 - UTLS'!$B:AK,36,FALSE),"N/A")</f>
        <v>N/A</v>
      </c>
      <c r="GH40" s="84" t="str">
        <f>IFERROR(VLOOKUP($B40,'LOD 400 - UTLS'!$B:AN,39,FALSE),"N/A")</f>
        <v>N/A</v>
      </c>
      <c r="GI40" s="84" t="str">
        <f>IFERROR(VLOOKUP($B40,'LOD 400 - UTLS'!$B:AQ,42,FALSE),"N/A")</f>
        <v>N/A</v>
      </c>
      <c r="GJ40" s="84" t="str">
        <f>IFERROR(VLOOKUP($B40,'LOD 400 - UTLS'!$B:AT,45,FALSE),"N/A")</f>
        <v>N/A</v>
      </c>
      <c r="GK40" s="84" t="str">
        <f>IFERROR(VLOOKUP($B40,'LOD 400 - UTLS'!$B:AW,48,FALSE),"N/A")</f>
        <v>N/A</v>
      </c>
      <c r="GL40" s="84" t="str">
        <f>IFERROR(VLOOKUP($B40,'LOD 400 - UTLS'!$B:AZ,51,FALSE),"N/A")</f>
        <v>N/A</v>
      </c>
      <c r="GM40" s="84" t="str">
        <f>IFERROR(VLOOKUP($B40,'LOD 400 - UTLS'!$B:BC,54,FALSE),"N/A")</f>
        <v>N/A</v>
      </c>
      <c r="GN40" s="84" t="str">
        <f>IFERROR(VLOOKUP($B40,'LOD 400 - UTLS'!$B:BF,57,FALSE),"N/A")</f>
        <v>N/A</v>
      </c>
      <c r="GO40" s="84" t="str">
        <f>IFERROR(VLOOKUP($B40,'LOD 400 - UTLS'!$B:BI,60,FALSE),"N/A")</f>
        <v>N/A</v>
      </c>
      <c r="GP40" s="84" t="str">
        <f>IFERROR(VLOOKUP($B40,'LOD 400 - UTLS'!$B:BL,63,FALSE),"N/A")</f>
        <v>N/A</v>
      </c>
      <c r="GQ40" s="84" t="str">
        <f>IFERROR(VLOOKUP($B40,'LOD 400 - UTLS'!$B:BO,66,FALSE),"N/A")</f>
        <v>N/A</v>
      </c>
      <c r="GR40" s="84" t="str">
        <f>IFERROR(VLOOKUP($B40,'LOD 400 - UTLS'!$B:BR,69,FALSE),"N/A")</f>
        <v>N/A</v>
      </c>
      <c r="GS40" s="85" t="str">
        <f>IFERROR(VLOOKUP($B40,'LOD 400 - UTLS'!$B:BU,72,FALSE),"N/A")</f>
        <v>N/A</v>
      </c>
      <c r="GT40" s="84" t="str">
        <f>IFERROR(VLOOKUP($B40,'LOD 400 - UTLS'!$B:BX,75,FALSE),"N/A")</f>
        <v>N/A</v>
      </c>
      <c r="GU40" s="85" t="str">
        <f>IFERROR(VLOOKUP($B40,'LOD 400 - UTLS'!$B:CA,78,FALSE),"N/A")</f>
        <v>N/A</v>
      </c>
      <c r="GV40" s="84" t="str">
        <f>IFERROR(VLOOKUP($B40,'LOD 400 - UTLS'!$B:CD,81,FALSE),"N/A")</f>
        <v>N/A</v>
      </c>
      <c r="GW40" s="84" t="str">
        <f>IFERROR(VLOOKUP($B40,'LOD 400 - UTLS'!$B:CG,84,FALSE),"N/A")</f>
        <v>N/A</v>
      </c>
      <c r="GX40" s="84" t="str">
        <f>IFERROR(VLOOKUP($B40,'LOD 400 - UTLS'!$B:CJ,87,FALSE),"N/A")</f>
        <v>N/A</v>
      </c>
      <c r="GY40" s="84" t="str">
        <f>IFERROR(VLOOKUP($B40,'LOD 400 - UTLS'!$B:CM,90,FALSE),"N/A")</f>
        <v>N/A</v>
      </c>
      <c r="GZ40" s="84" t="str">
        <f>IFERROR(VLOOKUP($B40,'LOD 400 - UTLS'!$B:CP,93,FALSE),"N/A")</f>
        <v>N/A</v>
      </c>
      <c r="HA40" s="84" t="str">
        <f>IFERROR(VLOOKUP($B40,'LOD 400 - UTLS'!$B:CS,96,FALSE),"N/A")</f>
        <v>N/A</v>
      </c>
      <c r="HB40" s="84" t="str">
        <f>IFERROR(VLOOKUP($B40,'LOD 400 - UTLS'!$B:CV,99,FALSE),"N/A")</f>
        <v>N/A</v>
      </c>
      <c r="HC40" s="84" t="str">
        <f>IFERROR(VLOOKUP($B40,'LOD 400 - UTLS'!$B:CY,102,FALSE),"N/A")</f>
        <v>N/A</v>
      </c>
      <c r="HD40" s="84" t="str">
        <f>IFERROR(VLOOKUP($B40,'LOD 400 - UTLS'!$B:DB,105,FALSE),"N/A")</f>
        <v>N/A</v>
      </c>
      <c r="HE40" s="96" t="str">
        <f>IFERROR(__xludf.DUMMYFUNCTION("IFERROR(
  MAX(FILTER(GA40:HD40, ISNUMBER(GA40:HD40))),
  HD40
)"),"N/A")</f>
        <v>N/A</v>
      </c>
      <c r="HF40" s="99"/>
      <c r="HG40" s="99"/>
      <c r="HH40" s="99"/>
      <c r="HI40" s="99"/>
      <c r="HJ40" s="99"/>
      <c r="HK40" s="99"/>
    </row>
    <row r="41" ht="15.0" customHeight="1" outlineLevel="1">
      <c r="A41" s="53">
        <v>45.0</v>
      </c>
      <c r="B41" s="100" t="s">
        <v>171</v>
      </c>
      <c r="C41" s="100" t="s">
        <v>172</v>
      </c>
      <c r="D41" s="64" t="str">
        <f t="shared" si="4"/>
        <v>DATA</v>
      </c>
      <c r="E41" s="101" t="s">
        <v>161</v>
      </c>
      <c r="F41" s="102">
        <v>1113.0</v>
      </c>
      <c r="G41" s="103" t="s">
        <v>161</v>
      </c>
      <c r="H41" s="104">
        <v>1113.0</v>
      </c>
      <c r="I41" s="68" t="str">
        <f>IFERROR(VLOOKUP($C38:C108,'R22 RELATÓRIO ACC'!B:F,5,FALSE),"NOT PUBLISHED")</f>
        <v>V36</v>
      </c>
      <c r="J41" s="69" t="str">
        <f>IFERROR(VLOOKUP($C38:C108,'R22 RELATÓRIO ACC'!B:P,15,FALSE),"NOT PUBLISHED")</f>
        <v>08/05/2026</v>
      </c>
      <c r="K41" s="70" t="str">
        <f>IFERROR(VLOOKUP($B38:B108,'RELATÓRIO ACC'!B:F,5,FALSE),"NOT PUBLISHED")</f>
        <v>V2</v>
      </c>
      <c r="L41" s="71" t="str">
        <f>IFERROR(VLOOKUP($B38:B108,'RELATÓRIO ACC'!B:P,15,FALSE),"NOT PUBLISHED")</f>
        <v>03/06/2026</v>
      </c>
      <c r="M41" s="72" t="str">
        <f>IF(OR($D41="UTLS",$D41="GUAR",$D41="STIR",$D41="PUMP",$D41="SITE"),
   VLOOKUP($B41,'LOD 400 - SITE'!B:M,12,FALSE),
   VLOOKUP($B41,'LOD 400 - ADMN'!B:M,12,FALSE)
)</f>
        <v>V24</v>
      </c>
      <c r="N41" s="105" t="str">
        <f>IF(OR($D41="UTLS",$D41="GUAR",$D41="STIR",$D41="PUMP",$D41="SITE"),
   VLOOKUP($B41,'LOD 400 - SITE'!B:N,13,FALSE),
   VLOOKUP($B41,'LOD 400 - ADMN'!B:N,13,FALSE)
)</f>
        <v>10/11/2025</v>
      </c>
      <c r="O41" s="106" t="str">
        <f>IF(OR($D41="UTLS",$D41="GUAR",$D41="STIR",$D41="PUMP",$D41="SITE"),
   VLOOKUP($B41,'LOD 400 - SITE'!B:O,14,FALSE),
   VLOOKUP($B41,'LOD 400 - ADMN'!B:O,14,FALSE)
)</f>
        <v>R22</v>
      </c>
      <c r="P41" s="107" t="str">
        <f>IF(OR($D41="C345",$D41="C12A",$D41="DATA"),
   VLOOKUP($B41,'LOD 400 - COLO3'!B:M,12,FALSE),"N/A")</f>
        <v>V34</v>
      </c>
      <c r="Q41" s="108" t="str">
        <f>IF(OR($D41="C345",$D41="C12A",$D41="DATA"),
   VLOOKUP($B41,'LOD 400 - COLO3'!B:N,13,FALSE),"N/A")</f>
        <v>09/04/2026</v>
      </c>
      <c r="R41" s="75" t="str">
        <f>IF(OR($D41="C345",$D41="C12A",$D41="DATA"),
   VLOOKUP($B41,'LOD 400 - COLO3'!B:O,14,FALSE),"N/A")</f>
        <v>R22</v>
      </c>
      <c r="S41" s="76" t="str">
        <f>IF(OR($D41="C345",$D41="C12A",$D41="DATA"),
   VLOOKUP($B41,'LOD 400 - COLO4'!B:N,12,FALSE),"N/A")</f>
        <v>N/A</v>
      </c>
      <c r="T41" s="76" t="str">
        <f>IF(OR($D41="C345",$D41="C12A",$D41="DATA"),
   VLOOKUP($B41,'LOD 400 - COLO4'!B:N,13,FALSE),"N/A")</f>
        <v>N/A</v>
      </c>
      <c r="U41" s="76" t="str">
        <f>IF(OR($D41="C345",$D41="C12A",$D41="DATA"),
   VLOOKUP($B41,'LOD 400 - COLO4'!B:N,13,FALSE),"N/A")</f>
        <v>N/A</v>
      </c>
      <c r="V41" s="77" t="str">
        <f>IF(OR($D41="UTLS",$D41="GUAR",$D41="STIR",$D41="PUMP",$D41="SITE"),
   VLOOKUP($B41,'LOD 400 - UTLS'!B:M,12,FALSE),"N/A")</f>
        <v>N/A</v>
      </c>
      <c r="W41" s="78" t="str">
        <f>IF(OR($D41="UTLS",$D41="GUAR",$D41="STIR",$D41="PUMP",$D41="SITE"),
   VLOOKUP($B41,'LOD 400 - UTLS'!B:N,13,FALSE),"N/A")</f>
        <v>N/A</v>
      </c>
      <c r="X41" s="108" t="str">
        <f>IF(OR($D41="UTLS",$D41="GUAR",$D41="STIR",$D41="PUMP",$D41="SITE"),
   VLOOKUP($B41,'LOD 400 - UTLS'!B:O,14,FALSE),"N/A")</f>
        <v>N/A</v>
      </c>
      <c r="Y41" s="79">
        <f>IFERROR(VLOOKUP($B41,'LOD 400 - ADMN'!B:S,18,FALSE),"N/A")</f>
        <v>0.11</v>
      </c>
      <c r="Z41" s="79" t="str">
        <f>IFERROR(VLOOKUP($B41,'LOD 400 - ADMN'!B:V,21,FALSE),"N/A")</f>
        <v>OUTDATED</v>
      </c>
      <c r="AA41" s="79" t="str">
        <f>IFERROR(VLOOKUP($B41,'LOD 400 - ADMN'!$B:Y,24,FALSE),"N/A")</f>
        <v>OUTDATED</v>
      </c>
      <c r="AB41" s="80" t="str">
        <f>IFERROR(VLOOKUP($B41,'LOD 400 - ADMN'!$B:AB,27,FALSE),"N/A")</f>
        <v>IMPROPER</v>
      </c>
      <c r="AC41" s="81" t="str">
        <f>IFERROR(VLOOKUP($B41,'LOD 400 - ADMN'!$B:AE,30,FALSE),"N/A")</f>
        <v>NEXT ROUND</v>
      </c>
      <c r="AD41" s="81">
        <f>IFERROR(VLOOKUP($B41,'LOD 400 - ADMN'!$B:AH,33,FALSE),"N/A")</f>
        <v>1</v>
      </c>
      <c r="AE41" s="80">
        <f>IFERROR(VLOOKUP($B41,'LOD 400 - ADMN'!$B:AK,36,FALSE),"N/A")</f>
        <v>1</v>
      </c>
      <c r="AF41" s="82">
        <f>IFERROR(VLOOKUP($B41,'LOD 400 - ADMN'!$B:AN,39,FALSE),"N/A")</f>
        <v>1</v>
      </c>
      <c r="AG41" s="83">
        <f>IFERROR(VLOOKUP($B41,'LOD 400 - ADMN'!$B:AQ,42,FALSE),"N/A")</f>
        <v>1</v>
      </c>
      <c r="AH41" s="84">
        <f>IFERROR(VLOOKUP($B41,'LOD 400 - ADMN'!$B:AT,45,FALSE),"N/A")</f>
        <v>1</v>
      </c>
      <c r="AI41" s="85">
        <f>IFERROR(VLOOKUP($B41,'LOD 400 - ADMN'!$B:AW,48,FALSE),"N/A")</f>
        <v>1</v>
      </c>
      <c r="AJ41" s="85">
        <f>IFERROR(VLOOKUP($B41,'LOD 400 - ADMN'!$B:AZ,51,FALSE),"N/A")</f>
        <v>1</v>
      </c>
      <c r="AK41" s="84">
        <f>IFERROR(VLOOKUP($B41,'LOD 400 - ADMN'!$B:BC,54,FALSE),"N/A")</f>
        <v>1</v>
      </c>
      <c r="AL41" s="84">
        <f>IFERROR(VLOOKUP($B41,'LOD 400 - ADMN'!$B:BF,57,FALSE),"N/A")</f>
        <v>1</v>
      </c>
      <c r="AM41" s="84">
        <f>IFERROR(VLOOKUP($B41,'LOD 400 - ADMN'!$B:BI,60,FALSE),"N/A")</f>
        <v>1</v>
      </c>
      <c r="AN41" s="84">
        <f>IFERROR(VLOOKUP($B41,'LOD 400 - ADMN'!$B:BL,63,FALSE),"N/A")</f>
        <v>1</v>
      </c>
      <c r="AO41" s="84">
        <f>IFERROR(VLOOKUP($B41,'LOD 400 - ADMN'!$B:BO,66,FALSE),"N/A")</f>
        <v>1</v>
      </c>
      <c r="AP41" s="84">
        <f>IFERROR(VLOOKUP($B41,'LOD 400 - ADMN'!$B:BR,69,FALSE),"N/A")</f>
        <v>1</v>
      </c>
      <c r="AQ41" s="84">
        <f>IFERROR(VLOOKUP($B41,'LOD 400 - ADMN'!$B:BU,72,FALSE),"N/A")</f>
        <v>1</v>
      </c>
      <c r="AR41" s="84">
        <f>IFERROR(VLOOKUP($B41,'LOD 400 - ADMN'!$B:BX,75,FALSE),"N/A")</f>
        <v>1</v>
      </c>
      <c r="AS41" s="84">
        <f>IFERROR(VLOOKUP($B41,'LOD 400 - ADMN'!$B:CA,78,FALSE),"N/A")</f>
        <v>1</v>
      </c>
      <c r="AT41" s="84">
        <f>IFERROR(VLOOKUP($B41,'LOD 400 - ADMN'!$B:CD,81,FALSE),"N/A")</f>
        <v>1</v>
      </c>
      <c r="AU41" s="85">
        <f>IFERROR(VLOOKUP($B41,'LOD 400 - ADMN'!$B:CG,84,FALSE),"N/A")</f>
        <v>1</v>
      </c>
      <c r="AV41" s="84">
        <f>IFERROR(VLOOKUP($B41,'LOD 400 - ADMN'!$B:CJ,87,FALSE),"N/A")</f>
        <v>1</v>
      </c>
      <c r="AW41" s="85">
        <f>IFERROR(VLOOKUP($B41,'LOD 400 - ADMN'!$B:CM,90,FALSE),"N/A")</f>
        <v>1</v>
      </c>
      <c r="AX41" s="84">
        <f>IFERROR(VLOOKUP($B41,'LOD 400 - ADMN'!$B:CP,93,FALSE),"N/A")</f>
        <v>1</v>
      </c>
      <c r="AY41" s="84">
        <f>IFERROR(VLOOKUP($B41,'LOD 400 - ADMN'!$B:CS,96,FALSE),"N/A")</f>
        <v>1</v>
      </c>
      <c r="AZ41" s="84">
        <f>IFERROR(VLOOKUP($B41,'LOD 400 - ADMN'!$B:CV,99,FALSE),"N/A")</f>
        <v>1</v>
      </c>
      <c r="BA41" s="84">
        <f>IFERROR(VLOOKUP($B41,'LOD 400 - ADMN'!$B:CY,102,FALSE),"N/A")</f>
        <v>1</v>
      </c>
      <c r="BB41" s="84">
        <f>IFERROR(VLOOKUP($B41,'LOD 400 - ADMN'!$B:DB,105,FALSE),"N/A")</f>
        <v>1</v>
      </c>
      <c r="BC41" s="84">
        <f>IFERROR(VLOOKUP($B41,'LOD 400 - ADMN'!$B:DE,108,FALSE),"N/A")</f>
        <v>1</v>
      </c>
      <c r="BD41" s="84">
        <f>IFERROR(VLOOKUP($B41,'LOD 400 - ADMN'!$B:DH,111,FALSE),"N/A")</f>
        <v>1</v>
      </c>
      <c r="BE41" s="84">
        <f>IFERROR(VLOOKUP($B41,'LOD 400 - ADMN'!$B:DK,114,FALSE),"N/A")</f>
        <v>1</v>
      </c>
      <c r="BF41" s="84">
        <f>IFERROR(VLOOKUP($B41,'LOD 400 - ADMN'!$B:DN,117,FALSE),"N/A")</f>
        <v>1</v>
      </c>
      <c r="BG41" s="86">
        <f>IFERROR(__xludf.DUMMYFUNCTION("IFERROR(
  MAX(FILTER(Y41:BF41, ISNUMBER(Y41:BF41))),
  BF41
)"),1.0)</f>
        <v>1</v>
      </c>
      <c r="BH41" s="79">
        <f>IFERROR(VLOOKUP($B41,'LOD 400 - COLO1'!B:S,18,FALSE),"N/A")</f>
        <v>0.15</v>
      </c>
      <c r="BI41" s="79" t="str">
        <f>IFERROR(VLOOKUP($B41,'LOD 400 - COLO1'!B:V,21,FALSE),"N/A")</f>
        <v>OUTDATED</v>
      </c>
      <c r="BJ41" s="79" t="str">
        <f>IFERROR(VLOOKUP($B41,'LOD 400 - COLO1'!$B:Y,24,FALSE),"N/A")</f>
        <v>OUTDATED</v>
      </c>
      <c r="BK41" s="87" t="str">
        <f>IFERROR(VLOOKUP($B41,'LOD 400 - COLO1'!$B:AB,27,FALSE),"N/A")</f>
        <v>IMPROPER</v>
      </c>
      <c r="BL41" s="80" t="str">
        <f>IFERROR(VLOOKUP($B41,'LOD 400 - COLO1'!$B:AE,30,FALSE),"N/A")</f>
        <v>NEXT ROUND</v>
      </c>
      <c r="BM41" s="81">
        <f>IFERROR(VLOOKUP($B41,'LOD 400 - COLO1'!$B:AH,33,FALSE),"N/A")</f>
        <v>1</v>
      </c>
      <c r="BN41" s="87">
        <f>IFERROR(VLOOKUP($B41,'LOD 400 - COLO1'!$B:AK,36,FALSE),"N/A")</f>
        <v>1</v>
      </c>
      <c r="BO41" s="83">
        <f>IFERROR(VLOOKUP($B41,'LOD 400 - COLO1'!$B:AN,39,FALSE),"N/A")</f>
        <v>1</v>
      </c>
      <c r="BP41" s="88">
        <f>IFERROR(VLOOKUP($B41,'LOD 400 - COLO1'!$B:AQ,42,FALSE),"N/A")</f>
        <v>1</v>
      </c>
      <c r="BQ41" s="84">
        <f>IFERROR(VLOOKUP($B41,'LOD 400 - COLO1'!$B:AT,45,FALSE),"N/A")</f>
        <v>1</v>
      </c>
      <c r="BR41" s="85">
        <f>IFERROR(VLOOKUP($B41,'LOD 400 - COLO1'!$B:AW,48,FALSE),"N/A")</f>
        <v>1</v>
      </c>
      <c r="BS41" s="84">
        <f>IFERROR(VLOOKUP($B41,'LOD 400 - COLO1'!$B:AZ,51,FALSE),"N/A")</f>
        <v>1</v>
      </c>
      <c r="BT41" s="84">
        <f>IFERROR(VLOOKUP($B41,'LOD 400 - COLO1'!$B:BC,54,FALSE),"N/A")</f>
        <v>1</v>
      </c>
      <c r="BU41" s="84">
        <f>IFERROR(VLOOKUP($B41,'LOD 400 - COLO1'!$B:BF,57,FALSE),"N/A")</f>
        <v>1</v>
      </c>
      <c r="BV41" s="84">
        <f>IFERROR(VLOOKUP($B41,'LOD 400 - COLO1'!$B:BI,60,FALSE),"N/A")</f>
        <v>1</v>
      </c>
      <c r="BW41" s="84">
        <f>IFERROR(VLOOKUP($B41,'LOD 400 - COLO1'!$B:BL,63,FALSE),"N/A")</f>
        <v>1</v>
      </c>
      <c r="BX41" s="84">
        <f>IFERROR(VLOOKUP($B41,'LOD 400 - COLO1'!$B:BO,66,FALSE),"N/A")</f>
        <v>1</v>
      </c>
      <c r="BY41" s="84">
        <f>IFERROR(VLOOKUP($B41,'LOD 400 - COLO1'!$B:BR,69,FALSE),"N/A")</f>
        <v>1</v>
      </c>
      <c r="BZ41" s="84">
        <f>IFERROR(VLOOKUP($B41,'LOD 400 - COLO1'!$B:BU,72,FALSE),"N/A")</f>
        <v>1</v>
      </c>
      <c r="CA41" s="84">
        <f>IFERROR(VLOOKUP($B41,'LOD 400 - COLO1'!$B:BX,75,FALSE),"N/A")</f>
        <v>1</v>
      </c>
      <c r="CB41" s="84">
        <f>IFERROR(VLOOKUP($B41,'LOD 400 - COLO1'!$B:CA,78,FALSE),"N/A")</f>
        <v>1</v>
      </c>
      <c r="CC41" s="84">
        <f>IFERROR(VLOOKUP($B41,'LOD 400 - COLO1'!$B:CD,81,FALSE),"N/A")</f>
        <v>1</v>
      </c>
      <c r="CD41" s="85">
        <f>IFERROR(VLOOKUP($B41,'LOD 400 - COLO1'!$B:CG,84,FALSE),"N/A")</f>
        <v>1</v>
      </c>
      <c r="CE41" s="84">
        <f>IFERROR(VLOOKUP($B41,'LOD 400 - COLO1'!$B:CJ,87,FALSE),"N/A")</f>
        <v>1</v>
      </c>
      <c r="CF41" s="85">
        <f>IFERROR(VLOOKUP($B41,'LOD 400 - COLO1'!$B:CM,90,FALSE),"N/A")</f>
        <v>1</v>
      </c>
      <c r="CG41" s="84">
        <f>IFERROR(VLOOKUP($B41,'LOD 400 - COLO1'!$B:CP,93,FALSE),"N/A")</f>
        <v>1</v>
      </c>
      <c r="CH41" s="84">
        <f>IFERROR(VLOOKUP($B41,'LOD 400 - COLO1'!$B:CS,96,FALSE),"N/A")</f>
        <v>1</v>
      </c>
      <c r="CI41" s="84">
        <f>IFERROR(VLOOKUP($B41,'LOD 400 - COLO1'!$B:CV,99,FALSE),"N/A")</f>
        <v>1</v>
      </c>
      <c r="CJ41" s="84">
        <f>IFERROR(VLOOKUP($B41,'LOD 400 - COLO1'!$B:CY,102,FALSE),"N/A")</f>
        <v>1</v>
      </c>
      <c r="CK41" s="84">
        <f>IFERROR(VLOOKUP($B41,'LOD 400 - COLO1'!$B:DB,105,FALSE),"N/A")</f>
        <v>1</v>
      </c>
      <c r="CL41" s="84">
        <f>IFERROR(VLOOKUP($B41,'LOD 400 - COLO1'!$B:DE,108,FALSE),"N/A")</f>
        <v>1</v>
      </c>
      <c r="CM41" s="84">
        <f>IFERROR(VLOOKUP($B41,'LOD 400 - COLO1'!$B:DH,111,FALSE),"N/A")</f>
        <v>1</v>
      </c>
      <c r="CN41" s="84">
        <f>IFERROR(VLOOKUP($B41,'LOD 400 - COLO1'!$B:DK,114,FALSE),"N/A")</f>
        <v>1</v>
      </c>
      <c r="CO41" s="84">
        <f>IFERROR(VLOOKUP($B41,'LOD 400 - COLO1'!$B:DN,117,FALSE),"N/A")</f>
        <v>1</v>
      </c>
      <c r="CP41" s="86">
        <f>IFERROR(__xludf.DUMMYFUNCTION("IFERROR(
  MAX(FILTER(BH41:CO41, ISNUMBER(BH41:CO41))),
  CO41
)"),1.0)</f>
        <v>1</v>
      </c>
      <c r="CQ41" s="89">
        <f>IFERROR(VLOOKUP($B41,'LOD 400 - COLO2'!B:S,18,FALSE),"N/A")</f>
        <v>0.03</v>
      </c>
      <c r="CR41" s="79" t="str">
        <f>IFERROR(VLOOKUP($B41,'LOD 400 - COLO2'!B:V,21,FALSE),"N/A")</f>
        <v>OUTDATED</v>
      </c>
      <c r="CS41" s="79" t="str">
        <f>IFERROR(VLOOKUP($B41,'LOD 400 - COLO2'!$B:Y,24,FALSE),"N/A")</f>
        <v>OUTDATED</v>
      </c>
      <c r="CT41" s="80" t="str">
        <f>IFERROR(VLOOKUP($B41,'LOD 400 - COLO2'!$B:DQ,27,FALSE),"N/A")</f>
        <v>IMPROPER</v>
      </c>
      <c r="CU41" s="90" t="str">
        <f>IFERROR(VLOOKUP($B41,'LOD 400 - COLO2'!$B:AE,30,FALSE),"N/A")</f>
        <v>NEXT ROUND</v>
      </c>
      <c r="CV41" s="81">
        <f>IFERROR(VLOOKUP($B41,'LOD 400 - COLO2'!$B:AH,33,FALSE),"N/A")</f>
        <v>1</v>
      </c>
      <c r="CW41" s="90">
        <f>IFERROR(VLOOKUP($B41,'LOD 400 - COLO2'!$B:AK,36,FALSE),"N/A")</f>
        <v>1</v>
      </c>
      <c r="CX41" s="85">
        <f>IFERROR(VLOOKUP($B41,'LOD 400 - COLO2'!$B:AN,39,FALSE),"N/A")</f>
        <v>1</v>
      </c>
      <c r="CY41" s="88">
        <f>IFERROR(VLOOKUP($B41,'LOD 400 - COLO2'!$B:AQ,42,FALSE),"N/A")</f>
        <v>1</v>
      </c>
      <c r="CZ41" s="84">
        <f>IFERROR(VLOOKUP($B41,'LOD 400 - COLO2'!$B:AT,45,FALSE),"N/A")</f>
        <v>1</v>
      </c>
      <c r="DA41" s="85">
        <f>IFERROR(VLOOKUP($B41,'LOD 400 - COLO2'!$B:AW,48,FALSE),"N/A")</f>
        <v>1</v>
      </c>
      <c r="DB41" s="84">
        <f>IFERROR(VLOOKUP($B41,'LOD 400 - COLO2'!$B:AZ,51,FALSE),"N/A")</f>
        <v>1</v>
      </c>
      <c r="DC41" s="84">
        <f>IFERROR(VLOOKUP($B41,'LOD 400 - COLO2'!$B:BC,54,FALSE),"N/A")</f>
        <v>1</v>
      </c>
      <c r="DD41" s="84">
        <f>IFERROR(VLOOKUP($B41,'LOD 400 - COLO2'!$B:BF,57,FALSE),"N/A")</f>
        <v>1</v>
      </c>
      <c r="DE41" s="84">
        <f>IFERROR(VLOOKUP($B41,'LOD 400 - COLO2'!$B:BI,60,FALSE),"N/A")</f>
        <v>1</v>
      </c>
      <c r="DF41" s="84">
        <f>IFERROR(VLOOKUP($B41,'LOD 400 - COLO2'!$B:BL,63,FALSE),"N/A")</f>
        <v>1</v>
      </c>
      <c r="DG41" s="84">
        <f>IFERROR(VLOOKUP($B41,'LOD 400 - COLO2'!$B:BO,66,FALSE),"N/A")</f>
        <v>1</v>
      </c>
      <c r="DH41" s="84">
        <f>IFERROR(VLOOKUP($B41,'LOD 400 - COLO2'!$B:BR,69,FALSE),"N/A")</f>
        <v>1</v>
      </c>
      <c r="DI41" s="84">
        <f>IFERROR(VLOOKUP($B41,'LOD 400 - COLO2'!$B:BU,72,FALSE),"N/A")</f>
        <v>1</v>
      </c>
      <c r="DJ41" s="84">
        <f>IFERROR(VLOOKUP($B41,'LOD 400 - COLO2'!$B:BX,75,FALSE),"N/A")</f>
        <v>1</v>
      </c>
      <c r="DK41" s="84">
        <f>IFERROR(VLOOKUP($B41,'LOD 400 - COLO2'!$B:CA,78,FALSE),"N/A")</f>
        <v>1</v>
      </c>
      <c r="DL41" s="84">
        <f>IFERROR(VLOOKUP($B41,'LOD 400 - COLO2'!$B:CD,81,FALSE),"N/A")</f>
        <v>1</v>
      </c>
      <c r="DM41" s="85">
        <f>IFERROR(VLOOKUP($B41,'LOD 400 - COLO2'!$B:CG,84,FALSE),"N/A")</f>
        <v>1</v>
      </c>
      <c r="DN41" s="84">
        <f>IFERROR(VLOOKUP($B41,'LOD 400 - COLO2'!$B:CJ,87,FALSE),"N/A")</f>
        <v>1</v>
      </c>
      <c r="DO41" s="85">
        <f>IFERROR(VLOOKUP($B41,'LOD 400 - COLO2'!$B:CM,90,FALSE),"N/A")</f>
        <v>1</v>
      </c>
      <c r="DP41" s="84">
        <f>IFERROR(VLOOKUP($B41,'LOD 400 - COLO2'!$B:CP,93,FALSE),"N/A")</f>
        <v>1</v>
      </c>
      <c r="DQ41" s="84">
        <f>IFERROR(VLOOKUP($B41,'LOD 400 - COLO2'!$B:CS,96,FALSE),"N/A")</f>
        <v>1</v>
      </c>
      <c r="DR41" s="84">
        <f>IFERROR(VLOOKUP($B41,'LOD 400 - COLO2'!$B:CV,99,FALSE),"N/A")</f>
        <v>1</v>
      </c>
      <c r="DS41" s="84">
        <f>IFERROR(VLOOKUP($B41,'LOD 400 - COLO2'!$B:CY,102,FALSE),"N/A")</f>
        <v>1</v>
      </c>
      <c r="DT41" s="84">
        <f>IFERROR(VLOOKUP($B41,'LOD 400 - COLO2'!$B:DB,105,FALSE),"N/A")</f>
        <v>1</v>
      </c>
      <c r="DU41" s="84">
        <f>IFERROR(VLOOKUP($B41,'LOD 400 - COLO2'!$B:DE,108,FALSE),"N/A")</f>
        <v>1</v>
      </c>
      <c r="DV41" s="84">
        <f>IFERROR(VLOOKUP($B41,'LOD 400 - COLO2'!$B:DH,111,FALSE),"N/A")</f>
        <v>1</v>
      </c>
      <c r="DW41" s="84">
        <f>IFERROR(VLOOKUP($B41,'LOD 400 - COLO2'!$B:DK,114,FALSE),"N/A")</f>
        <v>1</v>
      </c>
      <c r="DX41" s="84">
        <f>IFERROR(VLOOKUP($B41,'LOD 400 - COLO2'!$B:DN,117,FALSE),"N/A")</f>
        <v>1</v>
      </c>
      <c r="DY41" s="91">
        <f>IFERROR(__xludf.DUMMYFUNCTION("IFERROR(
  MAX(FILTER(CQ41:DW41, ISNUMBER(CQ41:DW41))),
  DW41
)"),1.0)</f>
        <v>1</v>
      </c>
      <c r="DZ41" s="92">
        <f>IFERROR(VLOOKUP($B41,'LOD 400 - COLO3'!B:S,18,FALSE),"N/A")</f>
        <v>0</v>
      </c>
      <c r="EA41" s="84">
        <f>IFERROR(VLOOKUP($B41,'LOD 400 - COLO3'!B:V,21,FALSE),"N/A")</f>
        <v>0</v>
      </c>
      <c r="EB41" s="84">
        <f>IFERROR(VLOOKUP($B41,'LOD 400 - COLO3'!B:Y,24,FALSE),"N/A")</f>
        <v>1</v>
      </c>
      <c r="EC41" s="84">
        <f>IFERROR(VLOOKUP($B41,'LOD 400 - COLO3'!B:AB,27,FALSE),"N/A")</f>
        <v>1</v>
      </c>
      <c r="ED41" s="85">
        <f>IFERROR(VLOOKUP($B41,'LOD 400 - COLO3'!B:AE,30,FALSE),"N/A")</f>
        <v>1</v>
      </c>
      <c r="EE41" s="84">
        <f>IFERROR(VLOOKUP($B41,'LOD 400 - COLO3'!B:AH,33,FALSE),"N/A")</f>
        <v>1</v>
      </c>
      <c r="EF41" s="84">
        <f>IFERROR(VLOOKUP($B41,'LOD 400 - COLO3'!B:AK,36,FALSE),"N/A")</f>
        <v>1</v>
      </c>
      <c r="EG41" s="109">
        <f>IFERROR(VLOOKUP($B41,'LOD 400 - COLO3'!B:AN,39,FALSE),"N/A")</f>
        <v>1</v>
      </c>
      <c r="EH41" s="94">
        <f>IFERROR(VLOOKUP($B41,'LOD 400 - COLO3'!B:AQ,42,FALSE),"N/A")</f>
        <v>1</v>
      </c>
      <c r="EI41" s="94">
        <f>IFERROR(VLOOKUP($B41,'LOD 400 - COLO3'!B:AT,45,FALSE),"N/A")</f>
        <v>1</v>
      </c>
      <c r="EJ41" s="94">
        <f>IFERROR(VLOOKUP($B41,'LOD 400 - COLO3'!B:AW,48,FALSE),"N/A")</f>
        <v>1</v>
      </c>
      <c r="EK41" s="94">
        <f>IFERROR(VLOOKUP($B41,'LOD 400 - COLO3'!B:AZ,51,FALSE),"N/A")</f>
        <v>1</v>
      </c>
      <c r="EL41" s="94">
        <f>IFERROR(VLOOKUP($B41,'LOD 400 - COLO3'!B:BC,54,FALSE),"N/A")</f>
        <v>1</v>
      </c>
      <c r="EM41" s="94">
        <f>IFERROR(VLOOKUP($B41,'LOD 400 - COLO3'!B:BF,57,FALSE),"N/A")</f>
        <v>1</v>
      </c>
      <c r="EN41" s="94">
        <f>IFERROR(VLOOKUP($B41,'LOD 400 - COLO3'!B:BI,60,FALSE),"N/A")</f>
        <v>1</v>
      </c>
      <c r="EO41" s="94">
        <f>IFERROR(VLOOKUP($B41,'LOD 400 - COLO3'!B:BL,63,FALSE),"N/A")</f>
        <v>1</v>
      </c>
      <c r="EP41" s="86">
        <f>IFERROR(__xludf.DUMMYFUNCTION("IFERROR(
  MAX(FILTER(DZ41:EO41, ISNUMBER(DZ41:EO41))),
  EO41
)"),1.0)</f>
        <v>1</v>
      </c>
      <c r="EQ41" s="95">
        <f>IFERROR(VLOOKUP($B41,'LOD 400 - COLO4'!B:S,18,FALSE),"N/A")</f>
        <v>0</v>
      </c>
      <c r="ER41" s="96">
        <f>IFERROR(__xludf.DUMMYFUNCTION("IFERROR(
  MAX(FILTER(EQ41, ISNUMBER(EQ41))),
  EQ41
)"),0.0)</f>
        <v>0</v>
      </c>
      <c r="ES41" s="79" t="str">
        <f>IFERROR(VLOOKUP($B41,'LOD 400 - SITE'!B:S,18,FALSE),"N/A")</f>
        <v>N/A</v>
      </c>
      <c r="ET41" s="80" t="str">
        <f>IFERROR(VLOOKUP($B41,'LOD 400 - SITE'!B:V,21,FALSE),"N/A")</f>
        <v>N/A</v>
      </c>
      <c r="EU41" s="97" t="str">
        <f>IFERROR(VLOOKUP($B41,'LOD 400 - SITE'!$B:Y,24,FALSE),"N/A")</f>
        <v>N/A</v>
      </c>
      <c r="EV41" s="80" t="str">
        <f>IFERROR(VLOOKUP($B41,'LOD 400 - SITE'!$B:AB,27,FALSE),"N/A")</f>
        <v>N/A</v>
      </c>
      <c r="EW41" s="81" t="str">
        <f>IFERROR(VLOOKUP($B41,'LOD 400 - SITE'!$B:AE,30,FALSE),"N/A")</f>
        <v>N/A</v>
      </c>
      <c r="EX41" s="87" t="str">
        <f>IFERROR(VLOOKUP($B41,'LOD 400 - SITE'!$B:AH,33,FALSE),"N/A")</f>
        <v>N/A</v>
      </c>
      <c r="EY41" s="87" t="str">
        <f>IFERROR(VLOOKUP($B41,'LOD 400 - SITE'!$B:AK,36,FALSE),"N/A")</f>
        <v>N/A</v>
      </c>
      <c r="EZ41" s="80" t="str">
        <f>IFERROR(VLOOKUP($B41,'LOD 400 - SITE'!$B:AN,39,FALSE),"N/A")</f>
        <v>N/A</v>
      </c>
      <c r="FA41" s="82" t="str">
        <f>IFERROR(VLOOKUP($B41,'LOD 400 - SITE'!$B:AQ,42,FALSE),"N/A")</f>
        <v>N/A</v>
      </c>
      <c r="FB41" s="88" t="str">
        <f>IFERROR(VLOOKUP($B41,'LOD 400 - SITE'!$B:AT,45,FALSE),"N/A")</f>
        <v>N/A</v>
      </c>
      <c r="FC41" s="84" t="str">
        <f>IFERROR(VLOOKUP($B41,'LOD 400 - SITE'!$B:AW,48,FALSE),"N/A")</f>
        <v>N/A</v>
      </c>
      <c r="FD41" s="84" t="str">
        <f>IFERROR(VLOOKUP($B41,'LOD 400 - SITE'!$B:AZ,51,FALSE),"N/A")</f>
        <v>N/A</v>
      </c>
      <c r="FE41" s="84" t="str">
        <f>IFERROR(VLOOKUP($B41,'LOD 400 - SITE'!$B:BC,54,FALSE),"N/A")</f>
        <v>N/A</v>
      </c>
      <c r="FF41" s="84" t="str">
        <f>IFERROR(VLOOKUP($B41,'LOD 400 - SITE'!$B:BF,57,FALSE),"N/A")</f>
        <v>N/A</v>
      </c>
      <c r="FG41" s="84" t="str">
        <f>IFERROR(VLOOKUP($B41,'LOD 400 - SITE'!$B:BI,60,FALSE),"N/A")</f>
        <v>N/A</v>
      </c>
      <c r="FH41" s="84" t="str">
        <f>IFERROR(VLOOKUP($B41,'LOD 400 - SITE'!$B:BL,63,FALSE),"N/A")</f>
        <v>N/A</v>
      </c>
      <c r="FI41" s="84" t="str">
        <f>IFERROR(VLOOKUP($B41,'LOD 400 - SITE'!$B:BO,66,FALSE),"N/A")</f>
        <v>N/A</v>
      </c>
      <c r="FJ41" s="84" t="str">
        <f>IFERROR(VLOOKUP($B41,'LOD 400 - SITE'!$B:BR,69,FALSE),"N/A")</f>
        <v>N/A</v>
      </c>
      <c r="FK41" s="84" t="str">
        <f>IFERROR(VLOOKUP($B41,'LOD 400 - SITE'!$B:BU,72,FALSE),"N/A")</f>
        <v>N/A</v>
      </c>
      <c r="FL41" s="84" t="str">
        <f>IFERROR(VLOOKUP($B41,'LOD 400 - SITE'!$B:BX,75,FALSE),"N/A")</f>
        <v>N/A</v>
      </c>
      <c r="FM41" s="84" t="str">
        <f>IFERROR(VLOOKUP($B41,'LOD 400 - SITE'!$B:CA,78,FALSE),"N/A")</f>
        <v>N/A</v>
      </c>
      <c r="FN41" s="85" t="str">
        <f>IFERROR(VLOOKUP($B41,'LOD 400 - SITE'!$B:CD,81,FALSE),"N/A")</f>
        <v>N/A</v>
      </c>
      <c r="FO41" s="84" t="str">
        <f>IFERROR(VLOOKUP($B41,'LOD 400 - SITE'!$B:CG,84,FALSE),"N/A")</f>
        <v>N/A</v>
      </c>
      <c r="FP41" s="85" t="str">
        <f>IFERROR(VLOOKUP($B41,'LOD 400 - SITE'!$B:CJ,87,FALSE),"N/A")</f>
        <v>N/A</v>
      </c>
      <c r="FQ41" s="84" t="str">
        <f>IFERROR(VLOOKUP($B41,'LOD 400 - SITE'!$B:CM,90,FALSE),"N/A")</f>
        <v>N/A</v>
      </c>
      <c r="FR41" s="84" t="str">
        <f>IFERROR(VLOOKUP($B41,'LOD 400 - SITE'!$B:CP,93,FALSE),"N/A")</f>
        <v>N/A</v>
      </c>
      <c r="FS41" s="84" t="str">
        <f>IFERROR(VLOOKUP($B41,'LOD 400 - SITE'!$B:CS,96,FALSE),"N/A")</f>
        <v>N/A</v>
      </c>
      <c r="FT41" s="84" t="str">
        <f>IFERROR(VLOOKUP($B41,'LOD 400 - SITE'!$B:CV,99,FALSE),"N/A")</f>
        <v>N/A</v>
      </c>
      <c r="FU41" s="84" t="str">
        <f>IFERROR(VLOOKUP($B41,'LOD 400 - SITE'!$B:CY,102,FALSE),"N/A")</f>
        <v>N/A</v>
      </c>
      <c r="FV41" s="84" t="str">
        <f>IFERROR(VLOOKUP($B41,'LOD 400 - SITE'!$B:DB,105,FALSE),"N/A")</f>
        <v>N/A</v>
      </c>
      <c r="FW41" s="84" t="str">
        <f>IFERROR(VLOOKUP($B41,'LOD 400 - SITE'!$B:DE,108,FALSE),"N/A")</f>
        <v>N/A</v>
      </c>
      <c r="FX41" s="84" t="str">
        <f>IFERROR(VLOOKUP($B41,'LOD 400 - SITE'!$B:DH,111,FALSE),"N/A")</f>
        <v>N/A</v>
      </c>
      <c r="FY41" s="84" t="str">
        <f>IFERROR(VLOOKUP($B41,'LOD 400 - SITE'!$B:DK,114,FALSE),"N/A")</f>
        <v>N/A</v>
      </c>
      <c r="FZ41" s="96" t="str">
        <f>IFERROR(__xludf.DUMMYFUNCTION("IFERROR(
  MAX(FILTER(ES41:FY41, ISNUMBER(ES41:FY41))),
  FY41
)"),"N/A")</f>
        <v>N/A</v>
      </c>
      <c r="GA41" s="80" t="str">
        <f>IFERROR(VLOOKUP($B41,'LOD 400 - UTLS'!B:S,18,FALSE),"N/A")</f>
        <v>N/A</v>
      </c>
      <c r="GB41" s="98" t="str">
        <f>IFERROR(VLOOKUP($B41,'LOD 400 - UTLS'!B:V,21,FALSE),"N/A")</f>
        <v>N/A</v>
      </c>
      <c r="GC41" s="81" t="str">
        <f>IFERROR(VLOOKUP($B41,'LOD 400 - UTLS'!B:Y,24,FALSE),"N/A")</f>
        <v>N/A</v>
      </c>
      <c r="GD41" s="87" t="str">
        <f>IFERROR(VLOOKUP($B41,'LOD 400 - UTLS'!$B:AB,27,FALSE),"N/A")</f>
        <v>N/A</v>
      </c>
      <c r="GE41" s="80" t="str">
        <f>IFERROR(VLOOKUP($B41,'LOD 400 - UTLS'!$B:AE,30,FALSE),"N/A")</f>
        <v>N/A</v>
      </c>
      <c r="GF41" s="82" t="str">
        <f>IFERROR(VLOOKUP($B41,'LOD 400 - UTLS'!$B:AH,33,FALSE),"N/A")</f>
        <v>N/A</v>
      </c>
      <c r="GG41" s="88" t="str">
        <f>IFERROR(VLOOKUP($B41,'LOD 400 - UTLS'!$B:AK,36,FALSE),"N/A")</f>
        <v>N/A</v>
      </c>
      <c r="GH41" s="84" t="str">
        <f>IFERROR(VLOOKUP($B41,'LOD 400 - UTLS'!$B:AN,39,FALSE),"N/A")</f>
        <v>N/A</v>
      </c>
      <c r="GI41" s="84" t="str">
        <f>IFERROR(VLOOKUP($B41,'LOD 400 - UTLS'!$B:AQ,42,FALSE),"N/A")</f>
        <v>N/A</v>
      </c>
      <c r="GJ41" s="84" t="str">
        <f>IFERROR(VLOOKUP($B41,'LOD 400 - UTLS'!$B:AT,45,FALSE),"N/A")</f>
        <v>N/A</v>
      </c>
      <c r="GK41" s="84" t="str">
        <f>IFERROR(VLOOKUP($B41,'LOD 400 - UTLS'!$B:AW,48,FALSE),"N/A")</f>
        <v>N/A</v>
      </c>
      <c r="GL41" s="84" t="str">
        <f>IFERROR(VLOOKUP($B41,'LOD 400 - UTLS'!$B:AZ,51,FALSE),"N/A")</f>
        <v>N/A</v>
      </c>
      <c r="GM41" s="84" t="str">
        <f>IFERROR(VLOOKUP($B41,'LOD 400 - UTLS'!$B:BC,54,FALSE),"N/A")</f>
        <v>N/A</v>
      </c>
      <c r="GN41" s="84" t="str">
        <f>IFERROR(VLOOKUP($B41,'LOD 400 - UTLS'!$B:BF,57,FALSE),"N/A")</f>
        <v>N/A</v>
      </c>
      <c r="GO41" s="84" t="str">
        <f>IFERROR(VLOOKUP($B41,'LOD 400 - UTLS'!$B:BI,60,FALSE),"N/A")</f>
        <v>N/A</v>
      </c>
      <c r="GP41" s="84" t="str">
        <f>IFERROR(VLOOKUP($B41,'LOD 400 - UTLS'!$B:BL,63,FALSE),"N/A")</f>
        <v>N/A</v>
      </c>
      <c r="GQ41" s="84" t="str">
        <f>IFERROR(VLOOKUP($B41,'LOD 400 - UTLS'!$B:BO,66,FALSE),"N/A")</f>
        <v>N/A</v>
      </c>
      <c r="GR41" s="84" t="str">
        <f>IFERROR(VLOOKUP($B41,'LOD 400 - UTLS'!$B:BR,69,FALSE),"N/A")</f>
        <v>N/A</v>
      </c>
      <c r="GS41" s="85" t="str">
        <f>IFERROR(VLOOKUP($B41,'LOD 400 - UTLS'!$B:BU,72,FALSE),"N/A")</f>
        <v>N/A</v>
      </c>
      <c r="GT41" s="84" t="str">
        <f>IFERROR(VLOOKUP($B41,'LOD 400 - UTLS'!$B:BX,75,FALSE),"N/A")</f>
        <v>N/A</v>
      </c>
      <c r="GU41" s="85" t="str">
        <f>IFERROR(VLOOKUP($B41,'LOD 400 - UTLS'!$B:CA,78,FALSE),"N/A")</f>
        <v>N/A</v>
      </c>
      <c r="GV41" s="84" t="str">
        <f>IFERROR(VLOOKUP($B41,'LOD 400 - UTLS'!$B:CD,81,FALSE),"N/A")</f>
        <v>N/A</v>
      </c>
      <c r="GW41" s="84" t="str">
        <f>IFERROR(VLOOKUP($B41,'LOD 400 - UTLS'!$B:CG,84,FALSE),"N/A")</f>
        <v>N/A</v>
      </c>
      <c r="GX41" s="84" t="str">
        <f>IFERROR(VLOOKUP($B41,'LOD 400 - UTLS'!$B:CJ,87,FALSE),"N/A")</f>
        <v>N/A</v>
      </c>
      <c r="GY41" s="84" t="str">
        <f>IFERROR(VLOOKUP($B41,'LOD 400 - UTLS'!$B:CM,90,FALSE),"N/A")</f>
        <v>N/A</v>
      </c>
      <c r="GZ41" s="84" t="str">
        <f>IFERROR(VLOOKUP($B41,'LOD 400 - UTLS'!$B:CP,93,FALSE),"N/A")</f>
        <v>N/A</v>
      </c>
      <c r="HA41" s="84" t="str">
        <f>IFERROR(VLOOKUP($B41,'LOD 400 - UTLS'!$B:CS,96,FALSE),"N/A")</f>
        <v>N/A</v>
      </c>
      <c r="HB41" s="84" t="str">
        <f>IFERROR(VLOOKUP($B41,'LOD 400 - UTLS'!$B:CV,99,FALSE),"N/A")</f>
        <v>N/A</v>
      </c>
      <c r="HC41" s="84" t="str">
        <f>IFERROR(VLOOKUP($B41,'LOD 400 - UTLS'!$B:CY,102,FALSE),"N/A")</f>
        <v>N/A</v>
      </c>
      <c r="HD41" s="84" t="str">
        <f>IFERROR(VLOOKUP($B41,'LOD 400 - UTLS'!$B:DB,105,FALSE),"N/A")</f>
        <v>N/A</v>
      </c>
      <c r="HE41" s="96" t="str">
        <f>IFERROR(__xludf.DUMMYFUNCTION("IFERROR(
  MAX(FILTER(GA41:HD41, ISNUMBER(GA41:HD41))),
  HD41
)"),"N/A")</f>
        <v>N/A</v>
      </c>
      <c r="HF41" s="99"/>
      <c r="HG41" s="99"/>
      <c r="HH41" s="99"/>
      <c r="HI41" s="99"/>
      <c r="HJ41" s="99"/>
      <c r="HK41" s="99"/>
    </row>
    <row r="42" ht="15.0" hidden="1" customHeight="1">
      <c r="A42" s="53">
        <v>46.0</v>
      </c>
      <c r="B42" s="146" t="s">
        <v>173</v>
      </c>
      <c r="C42" s="147"/>
      <c r="D42" s="148"/>
      <c r="E42" s="148"/>
      <c r="F42" s="148"/>
      <c r="G42" s="149"/>
      <c r="H42" s="148"/>
      <c r="I42" s="148"/>
      <c r="J42" s="150"/>
      <c r="K42" s="151"/>
      <c r="L42" s="166"/>
      <c r="M42" s="148"/>
      <c r="N42" s="152"/>
      <c r="O42" s="153"/>
      <c r="P42" s="154"/>
      <c r="Q42" s="155"/>
      <c r="R42" s="156"/>
      <c r="S42" s="157"/>
      <c r="T42" s="157"/>
      <c r="U42" s="158"/>
      <c r="V42" s="159"/>
      <c r="W42" s="148"/>
      <c r="X42" s="155"/>
      <c r="Y42" s="149"/>
      <c r="Z42" s="149"/>
      <c r="AA42" s="149"/>
      <c r="AB42" s="149"/>
      <c r="AC42" s="149"/>
      <c r="AD42" s="149"/>
      <c r="AE42" s="149"/>
      <c r="AF42" s="149"/>
      <c r="AG42" s="149"/>
      <c r="AH42" s="149"/>
      <c r="AI42" s="149"/>
      <c r="AJ42" s="149"/>
      <c r="AK42" s="149"/>
      <c r="AL42" s="149"/>
      <c r="AM42" s="149"/>
      <c r="AN42" s="149"/>
      <c r="AO42" s="149"/>
      <c r="AP42" s="149"/>
      <c r="AQ42" s="149"/>
      <c r="AR42" s="149"/>
      <c r="AS42" s="149"/>
      <c r="AT42" s="148"/>
      <c r="AU42" s="148"/>
      <c r="AV42" s="155"/>
      <c r="AW42" s="156"/>
      <c r="AX42" s="155"/>
      <c r="AY42" s="156"/>
      <c r="AZ42" s="156"/>
      <c r="BA42" s="156"/>
      <c r="BB42" s="156"/>
      <c r="BC42" s="156"/>
      <c r="BD42" s="156"/>
      <c r="BE42" s="156"/>
      <c r="BF42" s="156"/>
      <c r="BG42" s="160"/>
      <c r="BH42" s="149"/>
      <c r="BI42" s="149"/>
      <c r="BJ42" s="149"/>
      <c r="BK42" s="149"/>
      <c r="BL42" s="149"/>
      <c r="BM42" s="149"/>
      <c r="BN42" s="149"/>
      <c r="BO42" s="149"/>
      <c r="BP42" s="149"/>
      <c r="BQ42" s="149"/>
      <c r="BR42" s="149"/>
      <c r="BS42" s="149"/>
      <c r="BT42" s="149"/>
      <c r="BU42" s="149"/>
      <c r="BV42" s="149"/>
      <c r="BW42" s="149"/>
      <c r="BX42" s="149"/>
      <c r="BY42" s="149"/>
      <c r="BZ42" s="149"/>
      <c r="CA42" s="149"/>
      <c r="CB42" s="149"/>
      <c r="CC42" s="148"/>
      <c r="CD42" s="148"/>
      <c r="CE42" s="155"/>
      <c r="CF42" s="156"/>
      <c r="CG42" s="155"/>
      <c r="CH42" s="156"/>
      <c r="CI42" s="156"/>
      <c r="CJ42" s="156"/>
      <c r="CK42" s="156"/>
      <c r="CL42" s="156"/>
      <c r="CM42" s="156"/>
      <c r="CN42" s="156"/>
      <c r="CO42" s="156"/>
      <c r="CP42" s="160"/>
      <c r="CQ42" s="149"/>
      <c r="CR42" s="149"/>
      <c r="CS42" s="149"/>
      <c r="CT42" s="149"/>
      <c r="CU42" s="149"/>
      <c r="CV42" s="149"/>
      <c r="CW42" s="149"/>
      <c r="CX42" s="149"/>
      <c r="CY42" s="149"/>
      <c r="CZ42" s="149"/>
      <c r="DA42" s="149"/>
      <c r="DB42" s="149"/>
      <c r="DC42" s="149"/>
      <c r="DD42" s="149"/>
      <c r="DE42" s="149"/>
      <c r="DF42" s="149"/>
      <c r="DG42" s="149"/>
      <c r="DH42" s="149"/>
      <c r="DI42" s="149"/>
      <c r="DJ42" s="148"/>
      <c r="DK42" s="148"/>
      <c r="DL42" s="148"/>
      <c r="DM42" s="148"/>
      <c r="DN42" s="155"/>
      <c r="DO42" s="156"/>
      <c r="DP42" s="155"/>
      <c r="DQ42" s="156"/>
      <c r="DR42" s="156"/>
      <c r="DS42" s="156"/>
      <c r="DT42" s="156"/>
      <c r="DU42" s="156"/>
      <c r="DV42" s="156"/>
      <c r="DW42" s="156"/>
      <c r="DX42" s="156"/>
      <c r="DY42" s="148"/>
      <c r="DZ42" s="161"/>
      <c r="EA42" s="158"/>
      <c r="EB42" s="156"/>
      <c r="EC42" s="156"/>
      <c r="ED42" s="156"/>
      <c r="EE42" s="155"/>
      <c r="EF42" s="156"/>
      <c r="EG42" s="148"/>
      <c r="EH42" s="162"/>
      <c r="EI42" s="156"/>
      <c r="EJ42" s="156"/>
      <c r="EK42" s="156"/>
      <c r="EL42" s="156"/>
      <c r="EM42" s="156"/>
      <c r="EN42" s="156"/>
      <c r="EO42" s="156"/>
      <c r="EP42" s="163"/>
      <c r="EQ42" s="156"/>
      <c r="ER42" s="164"/>
      <c r="ES42" s="149"/>
      <c r="ET42" s="148"/>
      <c r="EU42" s="159"/>
      <c r="EV42" s="149"/>
      <c r="EW42" s="149"/>
      <c r="EX42" s="149"/>
      <c r="EY42" s="149"/>
      <c r="EZ42" s="149"/>
      <c r="FA42" s="149"/>
      <c r="FB42" s="149"/>
      <c r="FC42" s="149"/>
      <c r="FD42" s="149"/>
      <c r="FE42" s="149"/>
      <c r="FF42" s="149"/>
      <c r="FG42" s="149"/>
      <c r="FH42" s="149"/>
      <c r="FI42" s="149"/>
      <c r="FJ42" s="149"/>
      <c r="FK42" s="149"/>
      <c r="FL42" s="149"/>
      <c r="FM42" s="149"/>
      <c r="FN42" s="148"/>
      <c r="FO42" s="155"/>
      <c r="FP42" s="156"/>
      <c r="FQ42" s="155"/>
      <c r="FR42" s="156"/>
      <c r="FS42" s="156"/>
      <c r="FT42" s="156"/>
      <c r="FU42" s="156"/>
      <c r="FV42" s="156"/>
      <c r="FW42" s="156"/>
      <c r="FX42" s="156"/>
      <c r="FY42" s="156"/>
      <c r="FZ42" s="165"/>
      <c r="GA42" s="149"/>
      <c r="GB42" s="149"/>
      <c r="GC42" s="149"/>
      <c r="GD42" s="149"/>
      <c r="GE42" s="149"/>
      <c r="GF42" s="149"/>
      <c r="GG42" s="149"/>
      <c r="GH42" s="149"/>
      <c r="GI42" s="149"/>
      <c r="GJ42" s="149"/>
      <c r="GK42" s="149"/>
      <c r="GL42" s="149"/>
      <c r="GM42" s="149"/>
      <c r="GN42" s="149"/>
      <c r="GO42" s="149"/>
      <c r="GP42" s="149"/>
      <c r="GQ42" s="156"/>
      <c r="GR42" s="156"/>
      <c r="GS42" s="156"/>
      <c r="GT42" s="155"/>
      <c r="GU42" s="156"/>
      <c r="GV42" s="155"/>
      <c r="GW42" s="156"/>
      <c r="GX42" s="156"/>
      <c r="GY42" s="156"/>
      <c r="GZ42" s="156"/>
      <c r="HA42" s="156"/>
      <c r="HB42" s="156"/>
      <c r="HC42" s="156"/>
      <c r="HD42" s="156"/>
      <c r="HE42" s="164"/>
      <c r="HF42" s="99"/>
      <c r="HG42" s="99"/>
      <c r="HH42" s="99"/>
      <c r="HI42" s="99"/>
      <c r="HJ42" s="99"/>
      <c r="HK42" s="99"/>
    </row>
    <row r="43" ht="15.0" customHeight="1" outlineLevel="1">
      <c r="A43" s="53">
        <v>47.0</v>
      </c>
      <c r="B43" s="100" t="s">
        <v>174</v>
      </c>
      <c r="C43" s="100" t="s">
        <v>175</v>
      </c>
      <c r="D43" s="64" t="str">
        <f t="shared" ref="D43:D44" si="5">MID(B43,17,4)</f>
        <v>SITE</v>
      </c>
      <c r="E43" s="101" t="s">
        <v>165</v>
      </c>
      <c r="F43" s="102">
        <v>1114.0</v>
      </c>
      <c r="G43" s="103" t="s">
        <v>165</v>
      </c>
      <c r="H43" s="104">
        <v>1114.0</v>
      </c>
      <c r="I43" s="68" t="str">
        <f>IFERROR(VLOOKUP($C40:C108,'R22 RELATÓRIO ACC'!B:F,5,FALSE),"NOT PUBLISHED")</f>
        <v>V14</v>
      </c>
      <c r="J43" s="69" t="str">
        <f>IFERROR(VLOOKUP($C40:C108,'R22 RELATÓRIO ACC'!B:P,15,FALSE),"NOT PUBLISHED")</f>
        <v>29/04/2026</v>
      </c>
      <c r="K43" s="70" t="str">
        <f>IFERROR(VLOOKUP($B40:B108,'RELATÓRIO ACC'!B:F,5,FALSE),"NOT PUBLISHED")</f>
        <v>V2</v>
      </c>
      <c r="L43" s="71" t="str">
        <f>IFERROR(VLOOKUP($B40:B108,'RELATÓRIO ACC'!B:P,15,FALSE),"NOT PUBLISHED")</f>
        <v>07/07/2026</v>
      </c>
      <c r="M43" s="72" t="str">
        <f>IF(OR($D43="UTLS",$D43="GUAR",$D43="STIR",$D43="PUMP",$D43="SITE"),
   VLOOKUP($B43,'LOD 400 - SITE'!B:M,12,FALSE),
   VLOOKUP($B43,'LOD 400 - ADMN'!B:M,12,FALSE)
)</f>
        <v>V10</v>
      </c>
      <c r="N43" s="105" t="str">
        <f>IF(OR($D43="UTLS",$D43="GUAR",$D43="STIR",$D43="PUMP",$D43="SITE"),
   VLOOKUP($B43,'LOD 400 - SITE'!B:N,13,FALSE),
   VLOOKUP($B43,'LOD 400 - ADMN'!B:N,13,FALSE)
)</f>
        <v>19/11/2025</v>
      </c>
      <c r="O43" s="106" t="str">
        <f>IF(OR($D43="UTLS",$D43="GUAR",$D43="STIR",$D43="PUMP",$D43="SITE"),
   VLOOKUP($B43,'LOD 400 - SITE'!B:O,14,FALSE),
   VLOOKUP($B43,'LOD 400 - ADMN'!B:O,14,FALSE)
)</f>
        <v>R22</v>
      </c>
      <c r="P43" s="107" t="str">
        <f>IF(OR($D43="C345",$D43="C12A",$D43="DATA"),
   VLOOKUP($B43,'LOD 400 - COLO3'!B:M,12,FALSE),"N/A")</f>
        <v>N/A</v>
      </c>
      <c r="Q43" s="108" t="str">
        <f>IF(OR($D43="C345",$D43="C12A",$D43="DATA"),
   VLOOKUP($B43,'LOD 400 - COLO3'!B:N,13,FALSE),"N/A")</f>
        <v>N/A</v>
      </c>
      <c r="R43" s="75" t="str">
        <f>IF(OR($D43="C345",$D43="C12A",$D43="DATA"),
   VLOOKUP($B43,'LOD 400 - COLO3'!B:O,14,FALSE),"N/A")</f>
        <v>N/A</v>
      </c>
      <c r="S43" s="76" t="str">
        <f>IF(OR($D43="C345",$D43="C12A",$D43="DATA"),
   VLOOKUP($B43,'LOD 400 - COLO4'!B:N,12,FALSE),"N/A")</f>
        <v>N/A</v>
      </c>
      <c r="T43" s="76" t="str">
        <f>IF(OR($D43="C345",$D43="C12A",$D43="DATA"),
   VLOOKUP($B43,'LOD 400 - COLO4'!B:N,13,FALSE),"N/A")</f>
        <v>N/A</v>
      </c>
      <c r="U43" s="76" t="str">
        <f>IF(OR($D43="C345",$D43="C12A",$D43="DATA"),
   VLOOKUP($B43,'LOD 400 - COLO4'!B:N,13,FALSE),"N/A")</f>
        <v>N/A</v>
      </c>
      <c r="V43" s="77" t="str">
        <f>IF(OR($D43="UTLS",$D43="GUAR",$D43="STIR",$D43="PUMP",$D43="SITE"),
   VLOOKUP($B43,'LOD 400 - UTLS'!B:M,12,FALSE),"N/A")</f>
        <v>N/A</v>
      </c>
      <c r="W43" s="78" t="str">
        <f>IF(OR($D43="UTLS",$D43="GUAR",$D43="STIR",$D43="PUMP",$D43="SITE"),
   VLOOKUP($B43,'LOD 400 - UTLS'!B:N,13,FALSE),"N/A")</f>
        <v>N/A</v>
      </c>
      <c r="X43" s="108" t="str">
        <f>IF(OR($D43="UTLS",$D43="GUAR",$D43="STIR",$D43="PUMP",$D43="SITE"),
   VLOOKUP($B43,'LOD 400 - UTLS'!B:O,14,FALSE),"N/A")</f>
        <v>N/A</v>
      </c>
      <c r="Y43" s="79" t="str">
        <f>IFERROR(VLOOKUP($B43,'LOD 400 - ADMN'!B:S,18,FALSE),"N/A")</f>
        <v>N/A</v>
      </c>
      <c r="Z43" s="79" t="str">
        <f>IFERROR(VLOOKUP($B43,'LOD 400 - ADMN'!B:V,21,FALSE),"N/A")</f>
        <v>N/A</v>
      </c>
      <c r="AA43" s="79" t="str">
        <f>IFERROR(VLOOKUP($B43,'LOD 400 - ADMN'!$B:Y,24,FALSE),"N/A")</f>
        <v>N/A</v>
      </c>
      <c r="AB43" s="80" t="str">
        <f>IFERROR(VLOOKUP($B43,'LOD 400 - ADMN'!$B:AB,27,FALSE),"N/A")</f>
        <v>N/A</v>
      </c>
      <c r="AC43" s="81" t="str">
        <f>IFERROR(VLOOKUP($B43,'LOD 400 - ADMN'!$B:AE,30,FALSE),"N/A")</f>
        <v>N/A</v>
      </c>
      <c r="AD43" s="81" t="str">
        <f>IFERROR(VLOOKUP($B43,'LOD 400 - ADMN'!$B:AH,33,FALSE),"N/A")</f>
        <v>N/A</v>
      </c>
      <c r="AE43" s="80" t="str">
        <f>IFERROR(VLOOKUP($B43,'LOD 400 - ADMN'!$B:AK,36,FALSE),"N/A")</f>
        <v>N/A</v>
      </c>
      <c r="AF43" s="82" t="str">
        <f>IFERROR(VLOOKUP($B43,'LOD 400 - ADMN'!$B:AN,39,FALSE),"N/A")</f>
        <v>N/A</v>
      </c>
      <c r="AG43" s="83" t="str">
        <f>IFERROR(VLOOKUP($B43,'LOD 400 - ADMN'!$B:AQ,42,FALSE),"N/A")</f>
        <v>N/A</v>
      </c>
      <c r="AH43" s="84" t="str">
        <f>IFERROR(VLOOKUP($B43,'LOD 400 - ADMN'!$B:AT,45,FALSE),"N/A")</f>
        <v>N/A</v>
      </c>
      <c r="AI43" s="85" t="str">
        <f>IFERROR(VLOOKUP($B43,'LOD 400 - ADMN'!$B:AW,48,FALSE),"N/A")</f>
        <v>N/A</v>
      </c>
      <c r="AJ43" s="85" t="str">
        <f>IFERROR(VLOOKUP($B43,'LOD 400 - ADMN'!$B:AZ,51,FALSE),"N/A")</f>
        <v>N/A</v>
      </c>
      <c r="AK43" s="84" t="str">
        <f>IFERROR(VLOOKUP($B43,'LOD 400 - ADMN'!$B:BC,54,FALSE),"N/A")</f>
        <v>N/A</v>
      </c>
      <c r="AL43" s="84" t="str">
        <f>IFERROR(VLOOKUP($B43,'LOD 400 - ADMN'!$B:BF,57,FALSE),"N/A")</f>
        <v>N/A</v>
      </c>
      <c r="AM43" s="84" t="str">
        <f>IFERROR(VLOOKUP($B43,'LOD 400 - ADMN'!$B:BI,60,FALSE),"N/A")</f>
        <v>N/A</v>
      </c>
      <c r="AN43" s="84" t="str">
        <f>IFERROR(VLOOKUP($B43,'LOD 400 - ADMN'!$B:BL,63,FALSE),"N/A")</f>
        <v>N/A</v>
      </c>
      <c r="AO43" s="84" t="str">
        <f>IFERROR(VLOOKUP($B43,'LOD 400 - ADMN'!$B:BO,66,FALSE),"N/A")</f>
        <v>N/A</v>
      </c>
      <c r="AP43" s="84" t="str">
        <f>IFERROR(VLOOKUP($B43,'LOD 400 - ADMN'!$B:BR,69,FALSE),"N/A")</f>
        <v>N/A</v>
      </c>
      <c r="AQ43" s="84" t="str">
        <f>IFERROR(VLOOKUP($B43,'LOD 400 - ADMN'!$B:BU,72,FALSE),"N/A")</f>
        <v>N/A</v>
      </c>
      <c r="AR43" s="84" t="str">
        <f>IFERROR(VLOOKUP($B43,'LOD 400 - ADMN'!$B:BX,75,FALSE),"N/A")</f>
        <v>N/A</v>
      </c>
      <c r="AS43" s="84" t="str">
        <f>IFERROR(VLOOKUP($B43,'LOD 400 - ADMN'!$B:CA,78,FALSE),"N/A")</f>
        <v>N/A</v>
      </c>
      <c r="AT43" s="84" t="str">
        <f>IFERROR(VLOOKUP($B43,'LOD 400 - ADMN'!$B:CD,81,FALSE),"N/A")</f>
        <v>N/A</v>
      </c>
      <c r="AU43" s="85" t="str">
        <f>IFERROR(VLOOKUP($B43,'LOD 400 - ADMN'!$B:CG,84,FALSE),"N/A")</f>
        <v>N/A</v>
      </c>
      <c r="AV43" s="84" t="str">
        <f>IFERROR(VLOOKUP($B43,'LOD 400 - ADMN'!$B:CJ,87,FALSE),"N/A")</f>
        <v>N/A</v>
      </c>
      <c r="AW43" s="85" t="str">
        <f>IFERROR(VLOOKUP($B43,'LOD 400 - ADMN'!$B:CM,90,FALSE),"N/A")</f>
        <v>N/A</v>
      </c>
      <c r="AX43" s="84" t="str">
        <f>IFERROR(VLOOKUP($B43,'LOD 400 - ADMN'!$B:CP,93,FALSE),"N/A")</f>
        <v>N/A</v>
      </c>
      <c r="AY43" s="84" t="str">
        <f>IFERROR(VLOOKUP($B43,'LOD 400 - ADMN'!$B:CS,96,FALSE),"N/A")</f>
        <v>N/A</v>
      </c>
      <c r="AZ43" s="84" t="str">
        <f>IFERROR(VLOOKUP($B43,'LOD 400 - ADMN'!$B:CV,99,FALSE),"N/A")</f>
        <v>N/A</v>
      </c>
      <c r="BA43" s="84" t="str">
        <f>IFERROR(VLOOKUP($B43,'LOD 400 - ADMN'!$B:CY,102,FALSE),"N/A")</f>
        <v>N/A</v>
      </c>
      <c r="BB43" s="84" t="str">
        <f>IFERROR(VLOOKUP($B43,'LOD 400 - ADMN'!$B:DB,105,FALSE),"N/A")</f>
        <v>N/A</v>
      </c>
      <c r="BC43" s="84" t="str">
        <f>IFERROR(VLOOKUP($B43,'LOD 400 - ADMN'!$B:DE,108,FALSE),"N/A")</f>
        <v>N/A</v>
      </c>
      <c r="BD43" s="84" t="str">
        <f>IFERROR(VLOOKUP($B43,'LOD 400 - ADMN'!$B:DH,111,FALSE),"N/A")</f>
        <v>N/A</v>
      </c>
      <c r="BE43" s="84" t="str">
        <f>IFERROR(VLOOKUP($B43,'LOD 400 - ADMN'!$B:DK,114,FALSE),"N/A")</f>
        <v>N/A</v>
      </c>
      <c r="BF43" s="84" t="str">
        <f>IFERROR(VLOOKUP($B43,'LOD 400 - ADMN'!$B:DN,117,FALSE),"N/A")</f>
        <v>N/A</v>
      </c>
      <c r="BG43" s="86" t="str">
        <f>IFERROR(__xludf.DUMMYFUNCTION("IFERROR(
  MAX(FILTER(Y43:BF43, ISNUMBER(Y43:BF43))),
  BF43
)"),"N/A")</f>
        <v>N/A</v>
      </c>
      <c r="BH43" s="79" t="str">
        <f>IFERROR(VLOOKUP($B43,'LOD 400 - COLO1'!B:S,18,FALSE),"N/A")</f>
        <v>N/A</v>
      </c>
      <c r="BI43" s="79" t="str">
        <f>IFERROR(VLOOKUP($B43,'LOD 400 - COLO1'!B:V,21,FALSE),"N/A")</f>
        <v>N/A</v>
      </c>
      <c r="BJ43" s="79" t="str">
        <f>IFERROR(VLOOKUP($B43,'LOD 400 - COLO1'!$B:Y,24,FALSE),"N/A")</f>
        <v>N/A</v>
      </c>
      <c r="BK43" s="87" t="str">
        <f>IFERROR(VLOOKUP($B43,'LOD 400 - COLO1'!$B:AB,27,FALSE),"N/A")</f>
        <v>N/A</v>
      </c>
      <c r="BL43" s="80" t="str">
        <f>IFERROR(VLOOKUP($B43,'LOD 400 - COLO1'!$B:AE,30,FALSE),"N/A")</f>
        <v>N/A</v>
      </c>
      <c r="BM43" s="81" t="str">
        <f>IFERROR(VLOOKUP($B43,'LOD 400 - COLO1'!$B:AH,33,FALSE),"N/A")</f>
        <v>N/A</v>
      </c>
      <c r="BN43" s="87" t="str">
        <f>IFERROR(VLOOKUP($B43,'LOD 400 - COLO1'!$B:AK,36,FALSE),"N/A")</f>
        <v>N/A</v>
      </c>
      <c r="BO43" s="83" t="str">
        <f>IFERROR(VLOOKUP($B43,'LOD 400 - COLO1'!$B:AN,39,FALSE),"N/A")</f>
        <v>N/A</v>
      </c>
      <c r="BP43" s="88" t="str">
        <f>IFERROR(VLOOKUP($B43,'LOD 400 - COLO1'!$B:AQ,42,FALSE),"N/A")</f>
        <v>N/A</v>
      </c>
      <c r="BQ43" s="84" t="str">
        <f>IFERROR(VLOOKUP($B43,'LOD 400 - COLO1'!$B:AT,45,FALSE),"N/A")</f>
        <v>N/A</v>
      </c>
      <c r="BR43" s="85" t="str">
        <f>IFERROR(VLOOKUP($B43,'LOD 400 - COLO1'!$B:AW,48,FALSE),"N/A")</f>
        <v>N/A</v>
      </c>
      <c r="BS43" s="84" t="str">
        <f>IFERROR(VLOOKUP($B43,'LOD 400 - COLO1'!$B:AZ,51,FALSE),"N/A")</f>
        <v>N/A</v>
      </c>
      <c r="BT43" s="84" t="str">
        <f>IFERROR(VLOOKUP($B43,'LOD 400 - COLO1'!$B:BC,54,FALSE),"N/A")</f>
        <v>N/A</v>
      </c>
      <c r="BU43" s="84" t="str">
        <f>IFERROR(VLOOKUP($B43,'LOD 400 - COLO1'!$B:BF,57,FALSE),"N/A")</f>
        <v>N/A</v>
      </c>
      <c r="BV43" s="84" t="str">
        <f>IFERROR(VLOOKUP($B43,'LOD 400 - COLO1'!$B:BI,60,FALSE),"N/A")</f>
        <v>N/A</v>
      </c>
      <c r="BW43" s="84" t="str">
        <f>IFERROR(VLOOKUP($B43,'LOD 400 - COLO1'!$B:BL,63,FALSE),"N/A")</f>
        <v>N/A</v>
      </c>
      <c r="BX43" s="84" t="str">
        <f>IFERROR(VLOOKUP($B43,'LOD 400 - COLO1'!$B:BO,66,FALSE),"N/A")</f>
        <v>N/A</v>
      </c>
      <c r="BY43" s="84" t="str">
        <f>IFERROR(VLOOKUP($B43,'LOD 400 - COLO1'!$B:BR,69,FALSE),"N/A")</f>
        <v>N/A</v>
      </c>
      <c r="BZ43" s="84" t="str">
        <f>IFERROR(VLOOKUP($B43,'LOD 400 - COLO1'!$B:BU,72,FALSE),"N/A")</f>
        <v>N/A</v>
      </c>
      <c r="CA43" s="84" t="str">
        <f>IFERROR(VLOOKUP($B43,'LOD 400 - COLO1'!$B:BX,75,FALSE),"N/A")</f>
        <v>N/A</v>
      </c>
      <c r="CB43" s="84" t="str">
        <f>IFERROR(VLOOKUP($B43,'LOD 400 - COLO1'!$B:CA,78,FALSE),"N/A")</f>
        <v>N/A</v>
      </c>
      <c r="CC43" s="84" t="str">
        <f>IFERROR(VLOOKUP($B43,'LOD 400 - COLO1'!$B:CD,81,FALSE),"N/A")</f>
        <v>N/A</v>
      </c>
      <c r="CD43" s="85" t="str">
        <f>IFERROR(VLOOKUP($B43,'LOD 400 - COLO1'!$B:CG,84,FALSE),"N/A")</f>
        <v>N/A</v>
      </c>
      <c r="CE43" s="84" t="str">
        <f>IFERROR(VLOOKUP($B43,'LOD 400 - COLO1'!$B:CJ,87,FALSE),"N/A")</f>
        <v>N/A</v>
      </c>
      <c r="CF43" s="85" t="str">
        <f>IFERROR(VLOOKUP($B43,'LOD 400 - COLO1'!$B:CM,90,FALSE),"N/A")</f>
        <v>N/A</v>
      </c>
      <c r="CG43" s="84" t="str">
        <f>IFERROR(VLOOKUP($B43,'LOD 400 - COLO1'!$B:CP,93,FALSE),"N/A")</f>
        <v>N/A</v>
      </c>
      <c r="CH43" s="84" t="str">
        <f>IFERROR(VLOOKUP($B43,'LOD 400 - COLO1'!$B:CS,96,FALSE),"N/A")</f>
        <v>N/A</v>
      </c>
      <c r="CI43" s="84" t="str">
        <f>IFERROR(VLOOKUP($B43,'LOD 400 - COLO1'!$B:CV,99,FALSE),"N/A")</f>
        <v>N/A</v>
      </c>
      <c r="CJ43" s="84" t="str">
        <f>IFERROR(VLOOKUP($B43,'LOD 400 - COLO1'!$B:CY,102,FALSE),"N/A")</f>
        <v>N/A</v>
      </c>
      <c r="CK43" s="84" t="str">
        <f>IFERROR(VLOOKUP($B43,'LOD 400 - COLO1'!$B:DB,105,FALSE),"N/A")</f>
        <v>N/A</v>
      </c>
      <c r="CL43" s="84" t="str">
        <f>IFERROR(VLOOKUP($B43,'LOD 400 - COLO1'!$B:DE,108,FALSE),"N/A")</f>
        <v>N/A</v>
      </c>
      <c r="CM43" s="84" t="str">
        <f>IFERROR(VLOOKUP($B43,'LOD 400 - COLO1'!$B:DH,111,FALSE),"N/A")</f>
        <v>N/A</v>
      </c>
      <c r="CN43" s="84" t="str">
        <f>IFERROR(VLOOKUP($B43,'LOD 400 - COLO1'!$B:DK,114,FALSE),"N/A")</f>
        <v>N/A</v>
      </c>
      <c r="CO43" s="84" t="str">
        <f>IFERROR(VLOOKUP($B43,'LOD 400 - COLO1'!$B:DN,117,FALSE),"N/A")</f>
        <v>N/A</v>
      </c>
      <c r="CP43" s="86" t="str">
        <f>IFERROR(__xludf.DUMMYFUNCTION("IFERROR(
  MAX(FILTER(BH43:CO43, ISNUMBER(BH43:CO43))),
  CO43
)"),"N/A")</f>
        <v>N/A</v>
      </c>
      <c r="CQ43" s="89" t="str">
        <f>IFERROR(VLOOKUP($B43,'LOD 400 - COLO2'!B:S,18,FALSE),"N/A")</f>
        <v>N/A</v>
      </c>
      <c r="CR43" s="79" t="str">
        <f>IFERROR(VLOOKUP($B43,'LOD 400 - COLO2'!B:V,21,FALSE),"N/A")</f>
        <v>N/A</v>
      </c>
      <c r="CS43" s="79" t="str">
        <f>IFERROR(VLOOKUP($B43,'LOD 400 - COLO2'!$B:Y,24,FALSE),"N/A")</f>
        <v>N/A</v>
      </c>
      <c r="CT43" s="80" t="str">
        <f>IFERROR(VLOOKUP($B43,'LOD 400 - COLO2'!$B:DQ,27,FALSE),"N/A")</f>
        <v>N/A</v>
      </c>
      <c r="CU43" s="90" t="str">
        <f>IFERROR(VLOOKUP($B43,'LOD 400 - COLO2'!$B:AE,30,FALSE),"N/A")</f>
        <v>N/A</v>
      </c>
      <c r="CV43" s="81" t="str">
        <f>IFERROR(VLOOKUP($B43,'LOD 400 - COLO2'!$B:AH,33,FALSE),"N/A")</f>
        <v>N/A</v>
      </c>
      <c r="CW43" s="90" t="str">
        <f>IFERROR(VLOOKUP($B43,'LOD 400 - COLO2'!$B:AK,36,FALSE),"N/A")</f>
        <v>N/A</v>
      </c>
      <c r="CX43" s="85" t="str">
        <f>IFERROR(VLOOKUP($B43,'LOD 400 - COLO2'!$B:AN,39,FALSE),"N/A")</f>
        <v>N/A</v>
      </c>
      <c r="CY43" s="88" t="str">
        <f>IFERROR(VLOOKUP($B43,'LOD 400 - COLO2'!$B:AQ,42,FALSE),"N/A")</f>
        <v>N/A</v>
      </c>
      <c r="CZ43" s="84" t="str">
        <f>IFERROR(VLOOKUP($B43,'LOD 400 - COLO2'!$B:AT,45,FALSE),"N/A")</f>
        <v>N/A</v>
      </c>
      <c r="DA43" s="85" t="str">
        <f>IFERROR(VLOOKUP($B43,'LOD 400 - COLO2'!$B:AW,48,FALSE),"N/A")</f>
        <v>N/A</v>
      </c>
      <c r="DB43" s="84" t="str">
        <f>IFERROR(VLOOKUP($B43,'LOD 400 - COLO2'!$B:AZ,51,FALSE),"N/A")</f>
        <v>N/A</v>
      </c>
      <c r="DC43" s="84" t="str">
        <f>IFERROR(VLOOKUP($B43,'LOD 400 - COLO2'!$B:BC,54,FALSE),"N/A")</f>
        <v>N/A</v>
      </c>
      <c r="DD43" s="84" t="str">
        <f>IFERROR(VLOOKUP($B43,'LOD 400 - COLO2'!$B:BF,57,FALSE),"N/A")</f>
        <v>N/A</v>
      </c>
      <c r="DE43" s="84" t="str">
        <f>IFERROR(VLOOKUP($B43,'LOD 400 - COLO2'!$B:BI,60,FALSE),"N/A")</f>
        <v>N/A</v>
      </c>
      <c r="DF43" s="84" t="str">
        <f>IFERROR(VLOOKUP($B43,'LOD 400 - COLO2'!$B:BL,63,FALSE),"N/A")</f>
        <v>N/A</v>
      </c>
      <c r="DG43" s="84" t="str">
        <f>IFERROR(VLOOKUP($B43,'LOD 400 - COLO2'!$B:BO,66,FALSE),"N/A")</f>
        <v>N/A</v>
      </c>
      <c r="DH43" s="84" t="str">
        <f>IFERROR(VLOOKUP($B43,'LOD 400 - COLO2'!$B:BR,69,FALSE),"N/A")</f>
        <v>N/A</v>
      </c>
      <c r="DI43" s="84" t="str">
        <f>IFERROR(VLOOKUP($B43,'LOD 400 - COLO2'!$B:BU,72,FALSE),"N/A")</f>
        <v>N/A</v>
      </c>
      <c r="DJ43" s="84" t="str">
        <f>IFERROR(VLOOKUP($B43,'LOD 400 - COLO2'!$B:BX,75,FALSE),"N/A")</f>
        <v>N/A</v>
      </c>
      <c r="DK43" s="84" t="str">
        <f>IFERROR(VLOOKUP($B43,'LOD 400 - COLO2'!$B:CA,78,FALSE),"N/A")</f>
        <v>N/A</v>
      </c>
      <c r="DL43" s="84" t="str">
        <f>IFERROR(VLOOKUP($B43,'LOD 400 - COLO2'!$B:CD,81,FALSE),"N/A")</f>
        <v>N/A</v>
      </c>
      <c r="DM43" s="85" t="str">
        <f>IFERROR(VLOOKUP($B43,'LOD 400 - COLO2'!$B:CG,84,FALSE),"N/A")</f>
        <v>N/A</v>
      </c>
      <c r="DN43" s="84" t="str">
        <f>IFERROR(VLOOKUP($B43,'LOD 400 - COLO2'!$B:CJ,87,FALSE),"N/A")</f>
        <v>N/A</v>
      </c>
      <c r="DO43" s="85" t="str">
        <f>IFERROR(VLOOKUP($B43,'LOD 400 - COLO2'!$B:CM,90,FALSE),"N/A")</f>
        <v>N/A</v>
      </c>
      <c r="DP43" s="84" t="str">
        <f>IFERROR(VLOOKUP($B43,'LOD 400 - COLO2'!$B:CP,93,FALSE),"N/A")</f>
        <v>N/A</v>
      </c>
      <c r="DQ43" s="84" t="str">
        <f>IFERROR(VLOOKUP($B43,'LOD 400 - COLO2'!$B:CS,96,FALSE),"N/A")</f>
        <v>N/A</v>
      </c>
      <c r="DR43" s="84" t="str">
        <f>IFERROR(VLOOKUP($B43,'LOD 400 - COLO2'!$B:CV,99,FALSE),"N/A")</f>
        <v>N/A</v>
      </c>
      <c r="DS43" s="84" t="str">
        <f>IFERROR(VLOOKUP($B43,'LOD 400 - COLO2'!$B:CY,102,FALSE),"N/A")</f>
        <v>N/A</v>
      </c>
      <c r="DT43" s="84" t="str">
        <f>IFERROR(VLOOKUP($B43,'LOD 400 - COLO2'!$B:DB,105,FALSE),"N/A")</f>
        <v>N/A</v>
      </c>
      <c r="DU43" s="84" t="str">
        <f>IFERROR(VLOOKUP($B43,'LOD 400 - COLO2'!$B:DE,108,FALSE),"N/A")</f>
        <v>N/A</v>
      </c>
      <c r="DV43" s="84" t="str">
        <f>IFERROR(VLOOKUP($B43,'LOD 400 - COLO2'!$B:DH,111,FALSE),"N/A")</f>
        <v>N/A</v>
      </c>
      <c r="DW43" s="84" t="str">
        <f>IFERROR(VLOOKUP($B43,'LOD 400 - COLO2'!$B:DK,114,FALSE),"N/A")</f>
        <v>N/A</v>
      </c>
      <c r="DX43" s="84" t="str">
        <f>IFERROR(VLOOKUP($B43,'LOD 400 - COLO2'!$B:DN,117,FALSE),"N/A")</f>
        <v>N/A</v>
      </c>
      <c r="DY43" s="91" t="str">
        <f>IFERROR(__xludf.DUMMYFUNCTION("IFERROR(
  MAX(FILTER(CQ43:DW43, ISNUMBER(CQ43:DW43))),
  DW43
)"),"N/A")</f>
        <v>N/A</v>
      </c>
      <c r="DZ43" s="92" t="str">
        <f>IFERROR(VLOOKUP($B43,'LOD 400 - COLO3'!B:S,18,FALSE),"N/A")</f>
        <v>N/A</v>
      </c>
      <c r="EA43" s="84" t="str">
        <f>IFERROR(VLOOKUP($B43,'LOD 400 - COLO3'!B:V,21,FALSE),"N/A")</f>
        <v>N/A</v>
      </c>
      <c r="EB43" s="84" t="str">
        <f>IFERROR(VLOOKUP($B43,'LOD 400 - COLO3'!B:Y,24,FALSE),"N/A")</f>
        <v>N/A</v>
      </c>
      <c r="EC43" s="84" t="str">
        <f>IFERROR(VLOOKUP($B43,'LOD 400 - COLO3'!B:AB,27,FALSE),"N/A")</f>
        <v>N/A</v>
      </c>
      <c r="ED43" s="85" t="str">
        <f>IFERROR(VLOOKUP($B43,'LOD 400 - COLO3'!B:AE,30,FALSE),"N/A")</f>
        <v>N/A</v>
      </c>
      <c r="EE43" s="84" t="str">
        <f>IFERROR(VLOOKUP($B43,'LOD 400 - COLO3'!B:AH,33,FALSE),"N/A")</f>
        <v>N/A</v>
      </c>
      <c r="EF43" s="84" t="str">
        <f>IFERROR(VLOOKUP($B43,'LOD 400 - COLO3'!B:AK,36,FALSE),"N/A")</f>
        <v>N/A</v>
      </c>
      <c r="EG43" s="109" t="str">
        <f>IFERROR(VLOOKUP($B43,'LOD 400 - COLO3'!B:AN,39,FALSE),"N/A")</f>
        <v>N/A</v>
      </c>
      <c r="EH43" s="94" t="str">
        <f>IFERROR(VLOOKUP($B43,'LOD 400 - COLO3'!B:AQ,42,FALSE),"N/A")</f>
        <v>N/A</v>
      </c>
      <c r="EI43" s="94" t="str">
        <f>IFERROR(VLOOKUP($B43,'LOD 400 - COLO3'!B:AT,45,FALSE),"N/A")</f>
        <v>N/A</v>
      </c>
      <c r="EJ43" s="94" t="str">
        <f>IFERROR(VLOOKUP($B43,'LOD 400 - COLO3'!B:AW,48,FALSE),"N/A")</f>
        <v>N/A</v>
      </c>
      <c r="EK43" s="94" t="str">
        <f>IFERROR(VLOOKUP($B43,'LOD 400 - COLO3'!B:AZ,51,FALSE),"N/A")</f>
        <v>N/A</v>
      </c>
      <c r="EL43" s="94" t="str">
        <f>IFERROR(VLOOKUP($B43,'LOD 400 - COLO3'!B:BC,54,FALSE),"N/A")</f>
        <v>N/A</v>
      </c>
      <c r="EM43" s="94" t="str">
        <f>IFERROR(VLOOKUP($B43,'LOD 400 - COLO3'!B:BF,57,FALSE),"N/A")</f>
        <v>N/A</v>
      </c>
      <c r="EN43" s="94" t="str">
        <f>IFERROR(VLOOKUP($B43,'LOD 400 - COLO3'!B:BI,60,FALSE),"N/A")</f>
        <v>N/A</v>
      </c>
      <c r="EO43" s="94" t="str">
        <f>IFERROR(VLOOKUP($B43,'LOD 400 - COLO3'!B:BL,63,FALSE),"N/A")</f>
        <v>N/A</v>
      </c>
      <c r="EP43" s="86" t="str">
        <f>IFERROR(__xludf.DUMMYFUNCTION("IFERROR(
  MAX(FILTER(DZ43:EO43, ISNUMBER(DZ43:EO43))),
  EO43
)"),"N/A")</f>
        <v>N/A</v>
      </c>
      <c r="EQ43" s="95" t="str">
        <f>IFERROR(VLOOKUP($B43,'LOD 400 - COLO4'!B:S,18,FALSE),"N/A")</f>
        <v>N/A</v>
      </c>
      <c r="ER43" s="96" t="str">
        <f>IFERROR(__xludf.DUMMYFUNCTION("IFERROR(
  MAX(FILTER(EQ43, ISNUMBER(EQ43))),
  EQ43
)"),"N/A")</f>
        <v>N/A</v>
      </c>
      <c r="ES43" s="79" t="str">
        <f>IFERROR(VLOOKUP($B43,'LOD 400 - SITE'!B:S,18,FALSE),"N/A")</f>
        <v>OUTDATED</v>
      </c>
      <c r="ET43" s="80" t="str">
        <f>IFERROR(VLOOKUP($B43,'LOD 400 - SITE'!B:V,21,FALSE),"N/A")</f>
        <v>OUTDATED</v>
      </c>
      <c r="EU43" s="97" t="str">
        <f>IFERROR(VLOOKUP($B43,'LOD 400 - SITE'!$B:Y,24,FALSE),"N/A")</f>
        <v>OUTDATED</v>
      </c>
      <c r="EV43" s="80" t="str">
        <f>IFERROR(VLOOKUP($B43,'LOD 400 - SITE'!$B:AB,27,FALSE),"N/A")</f>
        <v>OUTDATED</v>
      </c>
      <c r="EW43" s="81">
        <f>IFERROR(VLOOKUP($B43,'LOD 400 - SITE'!$B:AE,30,FALSE),"N/A")</f>
        <v>0.86</v>
      </c>
      <c r="EX43" s="87" t="str">
        <f>IFERROR(VLOOKUP($B43,'LOD 400 - SITE'!$B:AH,33,FALSE),"N/A")</f>
        <v>NEXT ROUND </v>
      </c>
      <c r="EY43" s="87">
        <f>IFERROR(VLOOKUP($B43,'LOD 400 - SITE'!$B:AK,36,FALSE),"N/A")</f>
        <v>1</v>
      </c>
      <c r="EZ43" s="80">
        <f>IFERROR(VLOOKUP($B43,'LOD 400 - SITE'!$B:AN,39,FALSE),"N/A")</f>
        <v>1</v>
      </c>
      <c r="FA43" s="82">
        <f>IFERROR(VLOOKUP($B43,'LOD 400 - SITE'!$B:AQ,42,FALSE),"N/A")</f>
        <v>1</v>
      </c>
      <c r="FB43" s="88">
        <f>IFERROR(VLOOKUP($B43,'LOD 400 - SITE'!$B:AT,45,FALSE),"N/A")</f>
        <v>1</v>
      </c>
      <c r="FC43" s="84">
        <f>IFERROR(VLOOKUP($B43,'LOD 400 - SITE'!$B:AW,48,FALSE),"N/A")</f>
        <v>1</v>
      </c>
      <c r="FD43" s="84">
        <f>IFERROR(VLOOKUP($B43,'LOD 400 - SITE'!$B:AZ,51,FALSE),"N/A")</f>
        <v>1</v>
      </c>
      <c r="FE43" s="84">
        <f>IFERROR(VLOOKUP($B43,'LOD 400 - SITE'!$B:BC,54,FALSE),"N/A")</f>
        <v>1</v>
      </c>
      <c r="FF43" s="84">
        <f>IFERROR(VLOOKUP($B43,'LOD 400 - SITE'!$B:BF,57,FALSE),"N/A")</f>
        <v>1</v>
      </c>
      <c r="FG43" s="84">
        <f>IFERROR(VLOOKUP($B43,'LOD 400 - SITE'!$B:BI,60,FALSE),"N/A")</f>
        <v>1</v>
      </c>
      <c r="FH43" s="84">
        <f>IFERROR(VLOOKUP($B43,'LOD 400 - SITE'!$B:BL,63,FALSE),"N/A")</f>
        <v>1</v>
      </c>
      <c r="FI43" s="84">
        <f>IFERROR(VLOOKUP($B43,'LOD 400 - SITE'!$B:BO,66,FALSE),"N/A")</f>
        <v>1</v>
      </c>
      <c r="FJ43" s="84">
        <f>IFERROR(VLOOKUP($B43,'LOD 400 - SITE'!$B:BR,69,FALSE),"N/A")</f>
        <v>1</v>
      </c>
      <c r="FK43" s="84">
        <f>IFERROR(VLOOKUP($B43,'LOD 400 - SITE'!$B:BU,72,FALSE),"N/A")</f>
        <v>1</v>
      </c>
      <c r="FL43" s="84">
        <f>IFERROR(VLOOKUP($B43,'LOD 400 - SITE'!$B:BX,75,FALSE),"N/A")</f>
        <v>1</v>
      </c>
      <c r="FM43" s="84">
        <f>IFERROR(VLOOKUP($B43,'LOD 400 - SITE'!$B:CA,78,FALSE),"N/A")</f>
        <v>1</v>
      </c>
      <c r="FN43" s="85">
        <f>IFERROR(VLOOKUP($B43,'LOD 400 - SITE'!$B:CD,81,FALSE),"N/A")</f>
        <v>1</v>
      </c>
      <c r="FO43" s="84">
        <f>IFERROR(VLOOKUP($B43,'LOD 400 - SITE'!$B:CG,84,FALSE),"N/A")</f>
        <v>1</v>
      </c>
      <c r="FP43" s="85">
        <f>IFERROR(VLOOKUP($B43,'LOD 400 - SITE'!$B:CJ,87,FALSE),"N/A")</f>
        <v>1</v>
      </c>
      <c r="FQ43" s="84">
        <f>IFERROR(VLOOKUP($B43,'LOD 400 - SITE'!$B:CM,90,FALSE),"N/A")</f>
        <v>1</v>
      </c>
      <c r="FR43" s="84">
        <f>IFERROR(VLOOKUP($B43,'LOD 400 - SITE'!$B:CP,93,FALSE),"N/A")</f>
        <v>1</v>
      </c>
      <c r="FS43" s="84">
        <f>IFERROR(VLOOKUP($B43,'LOD 400 - SITE'!$B:CS,96,FALSE),"N/A")</f>
        <v>1</v>
      </c>
      <c r="FT43" s="84">
        <f>IFERROR(VLOOKUP($B43,'LOD 400 - SITE'!$B:CV,99,FALSE),"N/A")</f>
        <v>1</v>
      </c>
      <c r="FU43" s="84">
        <f>IFERROR(VLOOKUP($B43,'LOD 400 - SITE'!$B:CY,102,FALSE),"N/A")</f>
        <v>1</v>
      </c>
      <c r="FV43" s="84">
        <f>IFERROR(VLOOKUP($B43,'LOD 400 - SITE'!$B:DB,105,FALSE),"N/A")</f>
        <v>1</v>
      </c>
      <c r="FW43" s="84">
        <f>IFERROR(VLOOKUP($B43,'LOD 400 - SITE'!$B:DE,108,FALSE),"N/A")</f>
        <v>1</v>
      </c>
      <c r="FX43" s="84">
        <f>IFERROR(VLOOKUP($B43,'LOD 400 - SITE'!$B:DH,111,FALSE),"N/A")</f>
        <v>1</v>
      </c>
      <c r="FY43" s="84">
        <f>IFERROR(VLOOKUP($B43,'LOD 400 - SITE'!$B:DK,114,FALSE),"N/A")</f>
        <v>1</v>
      </c>
      <c r="FZ43" s="96">
        <f>IFERROR(__xludf.DUMMYFUNCTION("IFERROR(
  MAX(FILTER(ES43:FY43, ISNUMBER(ES43:FY43))),
  FY43
)"),1.0)</f>
        <v>1</v>
      </c>
      <c r="GA43" s="80" t="str">
        <f>IFERROR(VLOOKUP($B43,'LOD 400 - UTLS'!B:S,18,FALSE),"N/A")</f>
        <v>N/A</v>
      </c>
      <c r="GB43" s="98" t="str">
        <f>IFERROR(VLOOKUP($B43,'LOD 400 - UTLS'!B:V,21,FALSE),"N/A")</f>
        <v>N/A</v>
      </c>
      <c r="GC43" s="81" t="str">
        <f>IFERROR(VLOOKUP($B43,'LOD 400 - UTLS'!B:Y,24,FALSE),"N/A")</f>
        <v>N/A</v>
      </c>
      <c r="GD43" s="87" t="str">
        <f>IFERROR(VLOOKUP($B43,'LOD 400 - UTLS'!$B:AB,27,FALSE),"N/A")</f>
        <v>N/A</v>
      </c>
      <c r="GE43" s="80" t="str">
        <f>IFERROR(VLOOKUP($B43,'LOD 400 - UTLS'!$B:AE,30,FALSE),"N/A")</f>
        <v>N/A</v>
      </c>
      <c r="GF43" s="82" t="str">
        <f>IFERROR(VLOOKUP($B43,'LOD 400 - UTLS'!$B:AH,33,FALSE),"N/A")</f>
        <v>N/A</v>
      </c>
      <c r="GG43" s="88" t="str">
        <f>IFERROR(VLOOKUP($B43,'LOD 400 - UTLS'!$B:AK,36,FALSE),"N/A")</f>
        <v>N/A</v>
      </c>
      <c r="GH43" s="84" t="str">
        <f>IFERROR(VLOOKUP($B43,'LOD 400 - UTLS'!$B:AN,39,FALSE),"N/A")</f>
        <v>N/A</v>
      </c>
      <c r="GI43" s="84" t="str">
        <f>IFERROR(VLOOKUP($B43,'LOD 400 - UTLS'!$B:AQ,42,FALSE),"N/A")</f>
        <v>N/A</v>
      </c>
      <c r="GJ43" s="84" t="str">
        <f>IFERROR(VLOOKUP($B43,'LOD 400 - UTLS'!$B:AT,45,FALSE),"N/A")</f>
        <v>N/A</v>
      </c>
      <c r="GK43" s="84" t="str">
        <f>IFERROR(VLOOKUP($B43,'LOD 400 - UTLS'!$B:AW,48,FALSE),"N/A")</f>
        <v>N/A</v>
      </c>
      <c r="GL43" s="84" t="str">
        <f>IFERROR(VLOOKUP($B43,'LOD 400 - UTLS'!$B:AZ,51,FALSE),"N/A")</f>
        <v>N/A</v>
      </c>
      <c r="GM43" s="84" t="str">
        <f>IFERROR(VLOOKUP($B43,'LOD 400 - UTLS'!$B:BC,54,FALSE),"N/A")</f>
        <v>N/A</v>
      </c>
      <c r="GN43" s="84" t="str">
        <f>IFERROR(VLOOKUP($B43,'LOD 400 - UTLS'!$B:BF,57,FALSE),"N/A")</f>
        <v>N/A</v>
      </c>
      <c r="GO43" s="84" t="str">
        <f>IFERROR(VLOOKUP($B43,'LOD 400 - UTLS'!$B:BI,60,FALSE),"N/A")</f>
        <v>N/A</v>
      </c>
      <c r="GP43" s="84" t="str">
        <f>IFERROR(VLOOKUP($B43,'LOD 400 - UTLS'!$B:BL,63,FALSE),"N/A")</f>
        <v>N/A</v>
      </c>
      <c r="GQ43" s="84" t="str">
        <f>IFERROR(VLOOKUP($B43,'LOD 400 - UTLS'!$B:BO,66,FALSE),"N/A")</f>
        <v>N/A</v>
      </c>
      <c r="GR43" s="84" t="str">
        <f>IFERROR(VLOOKUP($B43,'LOD 400 - UTLS'!$B:BR,69,FALSE),"N/A")</f>
        <v>N/A</v>
      </c>
      <c r="GS43" s="85" t="str">
        <f>IFERROR(VLOOKUP($B43,'LOD 400 - UTLS'!$B:BU,72,FALSE),"N/A")</f>
        <v>N/A</v>
      </c>
      <c r="GT43" s="84" t="str">
        <f>IFERROR(VLOOKUP($B43,'LOD 400 - UTLS'!$B:BX,75,FALSE),"N/A")</f>
        <v>N/A</v>
      </c>
      <c r="GU43" s="85" t="str">
        <f>IFERROR(VLOOKUP($B43,'LOD 400 - UTLS'!$B:CA,78,FALSE),"N/A")</f>
        <v>N/A</v>
      </c>
      <c r="GV43" s="84" t="str">
        <f>IFERROR(VLOOKUP($B43,'LOD 400 - UTLS'!$B:CD,81,FALSE),"N/A")</f>
        <v>N/A</v>
      </c>
      <c r="GW43" s="84" t="str">
        <f>IFERROR(VLOOKUP($B43,'LOD 400 - UTLS'!$B:CG,84,FALSE),"N/A")</f>
        <v>N/A</v>
      </c>
      <c r="GX43" s="84" t="str">
        <f>IFERROR(VLOOKUP($B43,'LOD 400 - UTLS'!$B:CJ,87,FALSE),"N/A")</f>
        <v>N/A</v>
      </c>
      <c r="GY43" s="84" t="str">
        <f>IFERROR(VLOOKUP($B43,'LOD 400 - UTLS'!$B:CM,90,FALSE),"N/A")</f>
        <v>N/A</v>
      </c>
      <c r="GZ43" s="84" t="str">
        <f>IFERROR(VLOOKUP($B43,'LOD 400 - UTLS'!$B:CP,93,FALSE),"N/A")</f>
        <v>N/A</v>
      </c>
      <c r="HA43" s="84" t="str">
        <f>IFERROR(VLOOKUP($B43,'LOD 400 - UTLS'!$B:CS,96,FALSE),"N/A")</f>
        <v>N/A</v>
      </c>
      <c r="HB43" s="84" t="str">
        <f>IFERROR(VLOOKUP($B43,'LOD 400 - UTLS'!$B:CV,99,FALSE),"N/A")</f>
        <v>N/A</v>
      </c>
      <c r="HC43" s="84" t="str">
        <f>IFERROR(VLOOKUP($B43,'LOD 400 - UTLS'!$B:CY,102,FALSE),"N/A")</f>
        <v>N/A</v>
      </c>
      <c r="HD43" s="84" t="str">
        <f>IFERROR(VLOOKUP($B43,'LOD 400 - UTLS'!$B:DB,105,FALSE),"N/A")</f>
        <v>N/A</v>
      </c>
      <c r="HE43" s="96" t="str">
        <f>IFERROR(__xludf.DUMMYFUNCTION("IFERROR(
  MAX(FILTER(GA43:HD43, ISNUMBER(GA43:HD43))),
  HD43
)"),"N/A")</f>
        <v>N/A</v>
      </c>
      <c r="HF43" s="99"/>
      <c r="HG43" s="99"/>
      <c r="HH43" s="99"/>
      <c r="HI43" s="99"/>
      <c r="HJ43" s="99"/>
      <c r="HK43" s="99"/>
    </row>
    <row r="44" ht="15.0" customHeight="1" outlineLevel="1">
      <c r="A44" s="53">
        <v>48.0</v>
      </c>
      <c r="B44" s="100" t="s">
        <v>176</v>
      </c>
      <c r="C44" s="100" t="s">
        <v>177</v>
      </c>
      <c r="D44" s="64" t="str">
        <f t="shared" si="5"/>
        <v>DATA</v>
      </c>
      <c r="E44" s="101" t="s">
        <v>165</v>
      </c>
      <c r="F44" s="102">
        <v>1114.0</v>
      </c>
      <c r="G44" s="103" t="s">
        <v>165</v>
      </c>
      <c r="H44" s="104">
        <v>1114.0</v>
      </c>
      <c r="I44" s="68" t="str">
        <f>IFERROR(VLOOKUP($C41:C108,'R22 RELATÓRIO ACC'!B:F,5,FALSE),"NOT PUBLISHED")</f>
        <v>V18</v>
      </c>
      <c r="J44" s="69" t="str">
        <f>IFERROR(VLOOKUP($C41:C108,'R22 RELATÓRIO ACC'!B:P,15,FALSE),"NOT PUBLISHED")</f>
        <v>30/04/2026</v>
      </c>
      <c r="K44" s="70" t="str">
        <f>IFERROR(VLOOKUP($B41:B108,'RELATÓRIO ACC'!B:F,5,FALSE),"NOT PUBLISHED")</f>
        <v>V3</v>
      </c>
      <c r="L44" s="71" t="str">
        <f>IFERROR(VLOOKUP($B41:B108,'RELATÓRIO ACC'!B:P,15,FALSE),"NOT PUBLISHED")</f>
        <v>29/06/2026</v>
      </c>
      <c r="M44" s="72" t="str">
        <f>IF(OR($D44="UTLS",$D44="GUAR",$D44="STIR",$D44="PUMP",$D44="SITE"),
   VLOOKUP($B44,'LOD 400 - SITE'!B:M,12,FALSE),
   VLOOKUP($B44,'LOD 400 - ADMN'!B:M,12,FALSE)
)</f>
        <v>V14</v>
      </c>
      <c r="N44" s="105" t="str">
        <f>IF(OR($D44="UTLS",$D44="GUAR",$D44="STIR",$D44="PUMP",$D44="SITE"),
   VLOOKUP($B44,'LOD 400 - SITE'!B:N,13,FALSE),
   VLOOKUP($B44,'LOD 400 - ADMN'!B:N,13,FALSE)
)</f>
        <v>18/11/2025</v>
      </c>
      <c r="O44" s="106" t="str">
        <f>IF(OR($D44="UTLS",$D44="GUAR",$D44="STIR",$D44="PUMP",$D44="SITE"),
   VLOOKUP($B44,'LOD 400 - SITE'!B:O,14,FALSE),
   VLOOKUP($B44,'LOD 400 - ADMN'!B:O,14,FALSE)
)</f>
        <v>R22</v>
      </c>
      <c r="P44" s="107" t="str">
        <f>IF(OR($D44="C345",$D44="C12A",$D44="DATA"),
   VLOOKUP($B44,'LOD 400 - COLO3'!B:M,12,FALSE),"N/A")</f>
        <v>V2</v>
      </c>
      <c r="Q44" s="108">
        <f>IF(OR($D44="C345",$D44="C12A",$D44="DATA"),
   VLOOKUP($B44,'LOD 400 - COLO3'!B:N,13,FALSE),"N/A")</f>
        <v>46160</v>
      </c>
      <c r="R44" s="75" t="str">
        <f>IF(OR($D44="C345",$D44="C12A",$D44="DATA"),
   VLOOKUP($B44,'LOD 400 - COLO3'!B:O,14,FALSE),"N/A")</f>
        <v>R24</v>
      </c>
      <c r="S44" s="76" t="str">
        <f>IF(OR($D44="C345",$D44="C12A",$D44="DATA"),
   VLOOKUP($B44,'LOD 400 - COLO4'!B:N,12,FALSE),"N/A")</f>
        <v>N/A</v>
      </c>
      <c r="T44" s="76" t="str">
        <f>IF(OR($D44="C345",$D44="C12A",$D44="DATA"),
   VLOOKUP($B44,'LOD 400 - COLO4'!B:N,13,FALSE),"N/A")</f>
        <v>N/A</v>
      </c>
      <c r="U44" s="76" t="str">
        <f>IF(OR($D44="C345",$D44="C12A",$D44="DATA"),
   VLOOKUP($B44,'LOD 400 - COLO4'!B:N,13,FALSE),"N/A")</f>
        <v>N/A</v>
      </c>
      <c r="V44" s="77" t="str">
        <f>IF(OR($D44="UTLS",$D44="GUAR",$D44="STIR",$D44="PUMP",$D44="SITE"),
   VLOOKUP($B44,'LOD 400 - UTLS'!B:M,12,FALSE),"N/A")</f>
        <v>N/A</v>
      </c>
      <c r="W44" s="78" t="str">
        <f>IF(OR($D44="UTLS",$D44="GUAR",$D44="STIR",$D44="PUMP",$D44="SITE"),
   VLOOKUP($B44,'LOD 400 - UTLS'!B:N,13,FALSE),"N/A")</f>
        <v>N/A</v>
      </c>
      <c r="X44" s="108" t="str">
        <f>IF(OR($D44="UTLS",$D44="GUAR",$D44="STIR",$D44="PUMP",$D44="SITE"),
   VLOOKUP($B44,'LOD 400 - UTLS'!B:O,14,FALSE),"N/A")</f>
        <v>N/A</v>
      </c>
      <c r="Y44" s="79" t="str">
        <f>IFERROR(VLOOKUP($B44,'LOD 400 - ADMN'!B:S,18,FALSE),"N/A")</f>
        <v>OUTDATED</v>
      </c>
      <c r="Z44" s="79" t="str">
        <f>IFERROR(VLOOKUP($B44,'LOD 400 - ADMN'!B:V,21,FALSE),"N/A")</f>
        <v>OUTDATED</v>
      </c>
      <c r="AA44" s="79">
        <f>IFERROR(VLOOKUP($B44,'LOD 400 - ADMN'!$B:Y,24,FALSE),"N/A")</f>
        <v>0.2</v>
      </c>
      <c r="AB44" s="80" t="str">
        <f>IFERROR(VLOOKUP($B44,'LOD 400 - ADMN'!$B:AB,27,FALSE),"N/A")</f>
        <v>OUTDATED</v>
      </c>
      <c r="AC44" s="81" t="str">
        <f>IFERROR(VLOOKUP($B44,'LOD 400 - ADMN'!$B:AE,30,FALSE),"N/A")</f>
        <v>OUTDATED</v>
      </c>
      <c r="AD44" s="81" t="str">
        <f>IFERROR(VLOOKUP($B44,'LOD 400 - ADMN'!$B:AH,33,FALSE),"N/A")</f>
        <v>NEXT ROUND</v>
      </c>
      <c r="AE44" s="80">
        <f>IFERROR(VLOOKUP($B44,'LOD 400 - ADMN'!$B:AK,36,FALSE),"N/A")</f>
        <v>1</v>
      </c>
      <c r="AF44" s="82">
        <f>IFERROR(VLOOKUP($B44,'LOD 400 - ADMN'!$B:AN,39,FALSE),"N/A")</f>
        <v>1</v>
      </c>
      <c r="AG44" s="83">
        <f>IFERROR(VLOOKUP($B44,'LOD 400 - ADMN'!$B:AQ,42,FALSE),"N/A")</f>
        <v>1</v>
      </c>
      <c r="AH44" s="84">
        <f>IFERROR(VLOOKUP($B44,'LOD 400 - ADMN'!$B:AT,45,FALSE),"N/A")</f>
        <v>1</v>
      </c>
      <c r="AI44" s="85">
        <f>IFERROR(VLOOKUP($B44,'LOD 400 - ADMN'!$B:AW,48,FALSE),"N/A")</f>
        <v>1</v>
      </c>
      <c r="AJ44" s="85">
        <f>IFERROR(VLOOKUP($B44,'LOD 400 - ADMN'!$B:AZ,51,FALSE),"N/A")</f>
        <v>1</v>
      </c>
      <c r="AK44" s="84">
        <f>IFERROR(VLOOKUP($B44,'LOD 400 - ADMN'!$B:BC,54,FALSE),"N/A")</f>
        <v>1</v>
      </c>
      <c r="AL44" s="84">
        <f>IFERROR(VLOOKUP($B44,'LOD 400 - ADMN'!$B:BF,57,FALSE),"N/A")</f>
        <v>1</v>
      </c>
      <c r="AM44" s="84">
        <f>IFERROR(VLOOKUP($B44,'LOD 400 - ADMN'!$B:BI,60,FALSE),"N/A")</f>
        <v>1</v>
      </c>
      <c r="AN44" s="84">
        <f>IFERROR(VLOOKUP($B44,'LOD 400 - ADMN'!$B:BL,63,FALSE),"N/A")</f>
        <v>1</v>
      </c>
      <c r="AO44" s="84">
        <f>IFERROR(VLOOKUP($B44,'LOD 400 - ADMN'!$B:BO,66,FALSE),"N/A")</f>
        <v>1</v>
      </c>
      <c r="AP44" s="84">
        <f>IFERROR(VLOOKUP($B44,'LOD 400 - ADMN'!$B:BR,69,FALSE),"N/A")</f>
        <v>1</v>
      </c>
      <c r="AQ44" s="84">
        <f>IFERROR(VLOOKUP($B44,'LOD 400 - ADMN'!$B:BU,72,FALSE),"N/A")</f>
        <v>1</v>
      </c>
      <c r="AR44" s="84">
        <f>IFERROR(VLOOKUP($B44,'LOD 400 - ADMN'!$B:BX,75,FALSE),"N/A")</f>
        <v>1</v>
      </c>
      <c r="AS44" s="84">
        <f>IFERROR(VLOOKUP($B44,'LOD 400 - ADMN'!$B:CA,78,FALSE),"N/A")</f>
        <v>1</v>
      </c>
      <c r="AT44" s="84">
        <f>IFERROR(VLOOKUP($B44,'LOD 400 - ADMN'!$B:CD,81,FALSE),"N/A")</f>
        <v>1</v>
      </c>
      <c r="AU44" s="85">
        <f>IFERROR(VLOOKUP($B44,'LOD 400 - ADMN'!$B:CG,84,FALSE),"N/A")</f>
        <v>1</v>
      </c>
      <c r="AV44" s="84">
        <f>IFERROR(VLOOKUP($B44,'LOD 400 - ADMN'!$B:CJ,87,FALSE),"N/A")</f>
        <v>1</v>
      </c>
      <c r="AW44" s="85">
        <f>IFERROR(VLOOKUP($B44,'LOD 400 - ADMN'!$B:CM,90,FALSE),"N/A")</f>
        <v>1</v>
      </c>
      <c r="AX44" s="84">
        <f>IFERROR(VLOOKUP($B44,'LOD 400 - ADMN'!$B:CP,93,FALSE),"N/A")</f>
        <v>1</v>
      </c>
      <c r="AY44" s="84">
        <f>IFERROR(VLOOKUP($B44,'LOD 400 - ADMN'!$B:CS,96,FALSE),"N/A")</f>
        <v>1</v>
      </c>
      <c r="AZ44" s="84">
        <f>IFERROR(VLOOKUP($B44,'LOD 400 - ADMN'!$B:CV,99,FALSE),"N/A")</f>
        <v>1</v>
      </c>
      <c r="BA44" s="84">
        <f>IFERROR(VLOOKUP($B44,'LOD 400 - ADMN'!$B:CY,102,FALSE),"N/A")</f>
        <v>1</v>
      </c>
      <c r="BB44" s="84">
        <f>IFERROR(VLOOKUP($B44,'LOD 400 - ADMN'!$B:DB,105,FALSE),"N/A")</f>
        <v>1</v>
      </c>
      <c r="BC44" s="84">
        <f>IFERROR(VLOOKUP($B44,'LOD 400 - ADMN'!$B:DE,108,FALSE),"N/A")</f>
        <v>1</v>
      </c>
      <c r="BD44" s="84">
        <f>IFERROR(VLOOKUP($B44,'LOD 400 - ADMN'!$B:DH,111,FALSE),"N/A")</f>
        <v>1</v>
      </c>
      <c r="BE44" s="84">
        <f>IFERROR(VLOOKUP($B44,'LOD 400 - ADMN'!$B:DK,114,FALSE),"N/A")</f>
        <v>1</v>
      </c>
      <c r="BF44" s="84">
        <f>IFERROR(VLOOKUP($B44,'LOD 400 - ADMN'!$B:DN,117,FALSE),"N/A")</f>
        <v>1</v>
      </c>
      <c r="BG44" s="86">
        <f>IFERROR(__xludf.DUMMYFUNCTION("IFERROR(
  MAX(FILTER(Y44:BF44, ISNUMBER(Y44:BF44))),
  BF44
)"),1.0)</f>
        <v>1</v>
      </c>
      <c r="BH44" s="79" t="str">
        <f>IFERROR(VLOOKUP($B44,'LOD 400 - COLO1'!B:S,18,FALSE),"N/A")</f>
        <v>OUTDATED</v>
      </c>
      <c r="BI44" s="79" t="str">
        <f>IFERROR(VLOOKUP($B44,'LOD 400 - COLO1'!B:V,21,FALSE),"N/A")</f>
        <v>OUTDATED</v>
      </c>
      <c r="BJ44" s="79">
        <f>IFERROR(VLOOKUP($B44,'LOD 400 - COLO1'!$B:Y,24,FALSE),"N/A")</f>
        <v>0.2</v>
      </c>
      <c r="BK44" s="87" t="str">
        <f>IFERROR(VLOOKUP($B44,'LOD 400 - COLO1'!$B:AB,27,FALSE),"N/A")</f>
        <v>OUTDATED</v>
      </c>
      <c r="BL44" s="80" t="str">
        <f>IFERROR(VLOOKUP($B44,'LOD 400 - COLO1'!$B:AE,30,FALSE),"N/A")</f>
        <v>OUTDATED</v>
      </c>
      <c r="BM44" s="81" t="str">
        <f>IFERROR(VLOOKUP($B44,'LOD 400 - COLO1'!$B:AH,33,FALSE),"N/A")</f>
        <v>NEXT ROUND</v>
      </c>
      <c r="BN44" s="87">
        <f>IFERROR(VLOOKUP($B44,'LOD 400 - COLO1'!$B:AK,36,FALSE),"N/A")</f>
        <v>1</v>
      </c>
      <c r="BO44" s="83">
        <f>IFERROR(VLOOKUP($B44,'LOD 400 - COLO1'!$B:AN,39,FALSE),"N/A")</f>
        <v>1</v>
      </c>
      <c r="BP44" s="88">
        <f>IFERROR(VLOOKUP($B44,'LOD 400 - COLO1'!$B:AQ,42,FALSE),"N/A")</f>
        <v>1</v>
      </c>
      <c r="BQ44" s="84">
        <f>IFERROR(VLOOKUP($B44,'LOD 400 - COLO1'!$B:AT,45,FALSE),"N/A")</f>
        <v>1</v>
      </c>
      <c r="BR44" s="85">
        <f>IFERROR(VLOOKUP($B44,'LOD 400 - COLO1'!$B:AW,48,FALSE),"N/A")</f>
        <v>1</v>
      </c>
      <c r="BS44" s="84">
        <f>IFERROR(VLOOKUP($B44,'LOD 400 - COLO1'!$B:AZ,51,FALSE),"N/A")</f>
        <v>1</v>
      </c>
      <c r="BT44" s="84">
        <f>IFERROR(VLOOKUP($B44,'LOD 400 - COLO1'!$B:BC,54,FALSE),"N/A")</f>
        <v>1</v>
      </c>
      <c r="BU44" s="84">
        <f>IFERROR(VLOOKUP($B44,'LOD 400 - COLO1'!$B:BF,57,FALSE),"N/A")</f>
        <v>1</v>
      </c>
      <c r="BV44" s="84">
        <f>IFERROR(VLOOKUP($B44,'LOD 400 - COLO1'!$B:BI,60,FALSE),"N/A")</f>
        <v>1</v>
      </c>
      <c r="BW44" s="84">
        <f>IFERROR(VLOOKUP($B44,'LOD 400 - COLO1'!$B:BL,63,FALSE),"N/A")</f>
        <v>1</v>
      </c>
      <c r="BX44" s="84">
        <f>IFERROR(VLOOKUP($B44,'LOD 400 - COLO1'!$B:BO,66,FALSE),"N/A")</f>
        <v>1</v>
      </c>
      <c r="BY44" s="84">
        <f>IFERROR(VLOOKUP($B44,'LOD 400 - COLO1'!$B:BR,69,FALSE),"N/A")</f>
        <v>1</v>
      </c>
      <c r="BZ44" s="84">
        <f>IFERROR(VLOOKUP($B44,'LOD 400 - COLO1'!$B:BU,72,FALSE),"N/A")</f>
        <v>1</v>
      </c>
      <c r="CA44" s="84">
        <f>IFERROR(VLOOKUP($B44,'LOD 400 - COLO1'!$B:BX,75,FALSE),"N/A")</f>
        <v>1</v>
      </c>
      <c r="CB44" s="84">
        <f>IFERROR(VLOOKUP($B44,'LOD 400 - COLO1'!$B:CA,78,FALSE),"N/A")</f>
        <v>1</v>
      </c>
      <c r="CC44" s="84">
        <f>IFERROR(VLOOKUP($B44,'LOD 400 - COLO1'!$B:CD,81,FALSE),"N/A")</f>
        <v>1</v>
      </c>
      <c r="CD44" s="85">
        <f>IFERROR(VLOOKUP($B44,'LOD 400 - COLO1'!$B:CG,84,FALSE),"N/A")</f>
        <v>1</v>
      </c>
      <c r="CE44" s="84">
        <f>IFERROR(VLOOKUP($B44,'LOD 400 - COLO1'!$B:CJ,87,FALSE),"N/A")</f>
        <v>1</v>
      </c>
      <c r="CF44" s="85">
        <f>IFERROR(VLOOKUP($B44,'LOD 400 - COLO1'!$B:CM,90,FALSE),"N/A")</f>
        <v>1</v>
      </c>
      <c r="CG44" s="84">
        <f>IFERROR(VLOOKUP($B44,'LOD 400 - COLO1'!$B:CP,93,FALSE),"N/A")</f>
        <v>1</v>
      </c>
      <c r="CH44" s="84">
        <f>IFERROR(VLOOKUP($B44,'LOD 400 - COLO1'!$B:CS,96,FALSE),"N/A")</f>
        <v>1</v>
      </c>
      <c r="CI44" s="84">
        <f>IFERROR(VLOOKUP($B44,'LOD 400 - COLO1'!$B:CV,99,FALSE),"N/A")</f>
        <v>1</v>
      </c>
      <c r="CJ44" s="84">
        <f>IFERROR(VLOOKUP($B44,'LOD 400 - COLO1'!$B:CY,102,FALSE),"N/A")</f>
        <v>1</v>
      </c>
      <c r="CK44" s="84">
        <f>IFERROR(VLOOKUP($B44,'LOD 400 - COLO1'!$B:DB,105,FALSE),"N/A")</f>
        <v>1</v>
      </c>
      <c r="CL44" s="84">
        <f>IFERROR(VLOOKUP($B44,'LOD 400 - COLO1'!$B:DE,108,FALSE),"N/A")</f>
        <v>1</v>
      </c>
      <c r="CM44" s="84">
        <f>IFERROR(VLOOKUP($B44,'LOD 400 - COLO1'!$B:DH,111,FALSE),"N/A")</f>
        <v>1</v>
      </c>
      <c r="CN44" s="84">
        <f>IFERROR(VLOOKUP($B44,'LOD 400 - COLO1'!$B:DK,114,FALSE),"N/A")</f>
        <v>1</v>
      </c>
      <c r="CO44" s="84">
        <f>IFERROR(VLOOKUP($B44,'LOD 400 - COLO1'!$B:DN,117,FALSE),"N/A")</f>
        <v>1</v>
      </c>
      <c r="CP44" s="86">
        <f>IFERROR(__xludf.DUMMYFUNCTION("IFERROR(
  MAX(FILTER(BH44:CO44, ISNUMBER(BH44:CO44))),
  CO44
)"),1.0)</f>
        <v>1</v>
      </c>
      <c r="CQ44" s="89" t="str">
        <f>IFERROR(VLOOKUP($B44,'LOD 400 - COLO2'!B:S,18,FALSE),"N/A")</f>
        <v>OUTDATED</v>
      </c>
      <c r="CR44" s="79" t="str">
        <f>IFERROR(VLOOKUP($B44,'LOD 400 - COLO2'!B:V,21,FALSE),"N/A")</f>
        <v>OUTDATED</v>
      </c>
      <c r="CS44" s="79">
        <f>IFERROR(VLOOKUP($B44,'LOD 400 - COLO2'!$B:Y,24,FALSE),"N/A")</f>
        <v>0.12</v>
      </c>
      <c r="CT44" s="80" t="str">
        <f>IFERROR(VLOOKUP($B44,'LOD 400 - COLO2'!$B:DQ,27,FALSE),"N/A")</f>
        <v>OUTDATED</v>
      </c>
      <c r="CU44" s="90" t="str">
        <f>IFERROR(VLOOKUP($B44,'LOD 400 - COLO2'!$B:AE,30,FALSE),"N/A")</f>
        <v>OUTDATED</v>
      </c>
      <c r="CV44" s="81" t="str">
        <f>IFERROR(VLOOKUP($B44,'LOD 400 - COLO2'!$B:AH,33,FALSE),"N/A")</f>
        <v>NEXT ROUND</v>
      </c>
      <c r="CW44" s="90">
        <f>IFERROR(VLOOKUP($B44,'LOD 400 - COLO2'!$B:AK,36,FALSE),"N/A")</f>
        <v>1</v>
      </c>
      <c r="CX44" s="85">
        <f>IFERROR(VLOOKUP($B44,'LOD 400 - COLO2'!$B:AN,39,FALSE),"N/A")</f>
        <v>1</v>
      </c>
      <c r="CY44" s="88">
        <f>IFERROR(VLOOKUP($B44,'LOD 400 - COLO2'!$B:AQ,42,FALSE),"N/A")</f>
        <v>1</v>
      </c>
      <c r="CZ44" s="84">
        <f>IFERROR(VLOOKUP($B44,'LOD 400 - COLO2'!$B:AT,45,FALSE),"N/A")</f>
        <v>1</v>
      </c>
      <c r="DA44" s="85">
        <f>IFERROR(VLOOKUP($B44,'LOD 400 - COLO2'!$B:AW,48,FALSE),"N/A")</f>
        <v>1</v>
      </c>
      <c r="DB44" s="84">
        <f>IFERROR(VLOOKUP($B44,'LOD 400 - COLO2'!$B:AZ,51,FALSE),"N/A")</f>
        <v>1</v>
      </c>
      <c r="DC44" s="84">
        <f>IFERROR(VLOOKUP($B44,'LOD 400 - COLO2'!$B:BC,54,FALSE),"N/A")</f>
        <v>1</v>
      </c>
      <c r="DD44" s="84">
        <f>IFERROR(VLOOKUP($B44,'LOD 400 - COLO2'!$B:BF,57,FALSE),"N/A")</f>
        <v>1</v>
      </c>
      <c r="DE44" s="84">
        <f>IFERROR(VLOOKUP($B44,'LOD 400 - COLO2'!$B:BI,60,FALSE),"N/A")</f>
        <v>1</v>
      </c>
      <c r="DF44" s="84">
        <f>IFERROR(VLOOKUP($B44,'LOD 400 - COLO2'!$B:BL,63,FALSE),"N/A")</f>
        <v>1</v>
      </c>
      <c r="DG44" s="84">
        <f>IFERROR(VLOOKUP($B44,'LOD 400 - COLO2'!$B:BO,66,FALSE),"N/A")</f>
        <v>1</v>
      </c>
      <c r="DH44" s="84">
        <f>IFERROR(VLOOKUP($B44,'LOD 400 - COLO2'!$B:BR,69,FALSE),"N/A")</f>
        <v>1</v>
      </c>
      <c r="DI44" s="84">
        <f>IFERROR(VLOOKUP($B44,'LOD 400 - COLO2'!$B:BU,72,FALSE),"N/A")</f>
        <v>1</v>
      </c>
      <c r="DJ44" s="84">
        <f>IFERROR(VLOOKUP($B44,'LOD 400 - COLO2'!$B:BX,75,FALSE),"N/A")</f>
        <v>1</v>
      </c>
      <c r="DK44" s="84">
        <f>IFERROR(VLOOKUP($B44,'LOD 400 - COLO2'!$B:CA,78,FALSE),"N/A")</f>
        <v>1</v>
      </c>
      <c r="DL44" s="84">
        <f>IFERROR(VLOOKUP($B44,'LOD 400 - COLO2'!$B:CD,81,FALSE),"N/A")</f>
        <v>1</v>
      </c>
      <c r="DM44" s="85">
        <f>IFERROR(VLOOKUP($B44,'LOD 400 - COLO2'!$B:CG,84,FALSE),"N/A")</f>
        <v>1</v>
      </c>
      <c r="DN44" s="84">
        <f>IFERROR(VLOOKUP($B44,'LOD 400 - COLO2'!$B:CJ,87,FALSE),"N/A")</f>
        <v>1</v>
      </c>
      <c r="DO44" s="85">
        <f>IFERROR(VLOOKUP($B44,'LOD 400 - COLO2'!$B:CM,90,FALSE),"N/A")</f>
        <v>1</v>
      </c>
      <c r="DP44" s="84">
        <f>IFERROR(VLOOKUP($B44,'LOD 400 - COLO2'!$B:CP,93,FALSE),"N/A")</f>
        <v>1</v>
      </c>
      <c r="DQ44" s="84">
        <f>IFERROR(VLOOKUP($B44,'LOD 400 - COLO2'!$B:CS,96,FALSE),"N/A")</f>
        <v>1</v>
      </c>
      <c r="DR44" s="84">
        <f>IFERROR(VLOOKUP($B44,'LOD 400 - COLO2'!$B:CV,99,FALSE),"N/A")</f>
        <v>1</v>
      </c>
      <c r="DS44" s="84">
        <f>IFERROR(VLOOKUP($B44,'LOD 400 - COLO2'!$B:CY,102,FALSE),"N/A")</f>
        <v>1</v>
      </c>
      <c r="DT44" s="84">
        <f>IFERROR(VLOOKUP($B44,'LOD 400 - COLO2'!$B:DB,105,FALSE),"N/A")</f>
        <v>1</v>
      </c>
      <c r="DU44" s="84">
        <f>IFERROR(VLOOKUP($B44,'LOD 400 - COLO2'!$B:DE,108,FALSE),"N/A")</f>
        <v>1</v>
      </c>
      <c r="DV44" s="84">
        <f>IFERROR(VLOOKUP($B44,'LOD 400 - COLO2'!$B:DH,111,FALSE),"N/A")</f>
        <v>1</v>
      </c>
      <c r="DW44" s="84">
        <f>IFERROR(VLOOKUP($B44,'LOD 400 - COLO2'!$B:DK,114,FALSE),"N/A")</f>
        <v>1</v>
      </c>
      <c r="DX44" s="84">
        <f>IFERROR(VLOOKUP($B44,'LOD 400 - COLO2'!$B:DN,117,FALSE),"N/A")</f>
        <v>1</v>
      </c>
      <c r="DY44" s="91">
        <f>IFERROR(__xludf.DUMMYFUNCTION("IFERROR(
  MAX(FILTER(CQ44:DW44, ISNUMBER(CQ44:DW44))),
  DW44
)"),1.0)</f>
        <v>1</v>
      </c>
      <c r="DZ44" s="92">
        <f>IFERROR(VLOOKUP($B44,'LOD 400 - COLO3'!B:S,18,FALSE),"N/A")</f>
        <v>0</v>
      </c>
      <c r="EA44" s="84">
        <f>IFERROR(VLOOKUP($B44,'LOD 400 - COLO3'!B:V,21,FALSE),"N/A")</f>
        <v>0.4</v>
      </c>
      <c r="EB44" s="84">
        <f>IFERROR(VLOOKUP($B44,'LOD 400 - COLO3'!B:Y,24,FALSE),"N/A")</f>
        <v>0.33</v>
      </c>
      <c r="EC44" s="84" t="str">
        <f>IFERROR(VLOOKUP($B44,'LOD 400 - COLO3'!B:AB,27,FALSE),"N/A")</f>
        <v>OUTDATED</v>
      </c>
      <c r="ED44" s="85" t="str">
        <f>IFERROR(VLOOKUP($B44,'LOD 400 - COLO3'!B:AE,30,FALSE),"N/A")</f>
        <v>NEXT ROUND</v>
      </c>
      <c r="EE44" s="84" t="str">
        <f>IFERROR(VLOOKUP($B44,'LOD 400 - COLO3'!B:AH,33,FALSE),"N/A")</f>
        <v>NEXT ROUND</v>
      </c>
      <c r="EF44" s="84" t="str">
        <f>IFERROR(VLOOKUP($B44,'LOD 400 - COLO3'!B:AK,36,FALSE),"N/A")</f>
        <v>NEXT ROUND</v>
      </c>
      <c r="EG44" s="109" t="str">
        <f>IFERROR(VLOOKUP($B44,'LOD 400 - COLO3'!B:AN,39,FALSE),"N/A")</f>
        <v>NEXT ROUND</v>
      </c>
      <c r="EH44" s="94">
        <f>IFERROR(VLOOKUP($B44,'LOD 400 - COLO3'!B:AQ,42,FALSE),"N/A")</f>
        <v>1</v>
      </c>
      <c r="EI44" s="94">
        <f>IFERROR(VLOOKUP($B44,'LOD 400 - COLO3'!B:AT,45,FALSE),"N/A")</f>
        <v>1</v>
      </c>
      <c r="EJ44" s="94">
        <f>IFERROR(VLOOKUP($B44,'LOD 400 - COLO3'!B:AW,48,FALSE),"N/A")</f>
        <v>1</v>
      </c>
      <c r="EK44" s="94">
        <f>IFERROR(VLOOKUP($B44,'LOD 400 - COLO3'!B:AZ,51,FALSE),"N/A")</f>
        <v>1</v>
      </c>
      <c r="EL44" s="94">
        <f>IFERROR(VLOOKUP($B44,'LOD 400 - COLO3'!B:BC,54,FALSE),"N/A")</f>
        <v>1</v>
      </c>
      <c r="EM44" s="94">
        <f>IFERROR(VLOOKUP($B44,'LOD 400 - COLO3'!B:BF,57,FALSE),"N/A")</f>
        <v>1</v>
      </c>
      <c r="EN44" s="94">
        <f>IFERROR(VLOOKUP($B44,'LOD 400 - COLO3'!B:BI,60,FALSE),"N/A")</f>
        <v>1</v>
      </c>
      <c r="EO44" s="94">
        <f>IFERROR(VLOOKUP($B44,'LOD 400 - COLO3'!B:BL,63,FALSE),"N/A")</f>
        <v>1</v>
      </c>
      <c r="EP44" s="86">
        <f>IFERROR(__xludf.DUMMYFUNCTION("IFERROR(
  MAX(FILTER(DZ44:EO44, ISNUMBER(DZ44:EO44))),
  EO44
)"),1.0)</f>
        <v>1</v>
      </c>
      <c r="EQ44" s="95">
        <f>IFERROR(VLOOKUP($B44,'LOD 400 - COLO4'!B:S,18,FALSE),"N/A")</f>
        <v>0</v>
      </c>
      <c r="ER44" s="96">
        <f>IFERROR(__xludf.DUMMYFUNCTION("IFERROR(
  MAX(FILTER(EQ44, ISNUMBER(EQ44))),
  EQ44
)"),0.0)</f>
        <v>0</v>
      </c>
      <c r="ES44" s="79" t="str">
        <f>IFERROR(VLOOKUP($B44,'LOD 400 - SITE'!B:S,18,FALSE),"N/A")</f>
        <v>N/A</v>
      </c>
      <c r="ET44" s="80" t="str">
        <f>IFERROR(VLOOKUP($B44,'LOD 400 - SITE'!B:V,21,FALSE),"N/A")</f>
        <v>N/A</v>
      </c>
      <c r="EU44" s="97" t="str">
        <f>IFERROR(VLOOKUP($B44,'LOD 400 - SITE'!$B:Y,24,FALSE),"N/A")</f>
        <v>N/A</v>
      </c>
      <c r="EV44" s="80" t="str">
        <f>IFERROR(VLOOKUP($B44,'LOD 400 - SITE'!$B:AB,27,FALSE),"N/A")</f>
        <v>N/A</v>
      </c>
      <c r="EW44" s="81" t="str">
        <f>IFERROR(VLOOKUP($B44,'LOD 400 - SITE'!$B:AE,30,FALSE),"N/A")</f>
        <v>N/A</v>
      </c>
      <c r="EX44" s="87" t="str">
        <f>IFERROR(VLOOKUP($B44,'LOD 400 - SITE'!$B:AH,33,FALSE),"N/A")</f>
        <v>N/A</v>
      </c>
      <c r="EY44" s="87" t="str">
        <f>IFERROR(VLOOKUP($B44,'LOD 400 - SITE'!$B:AK,36,FALSE),"N/A")</f>
        <v>N/A</v>
      </c>
      <c r="EZ44" s="80" t="str">
        <f>IFERROR(VLOOKUP($B44,'LOD 400 - SITE'!$B:AN,39,FALSE),"N/A")</f>
        <v>N/A</v>
      </c>
      <c r="FA44" s="82" t="str">
        <f>IFERROR(VLOOKUP($B44,'LOD 400 - SITE'!$B:AQ,42,FALSE),"N/A")</f>
        <v>N/A</v>
      </c>
      <c r="FB44" s="88" t="str">
        <f>IFERROR(VLOOKUP($B44,'LOD 400 - SITE'!$B:AT,45,FALSE),"N/A")</f>
        <v>N/A</v>
      </c>
      <c r="FC44" s="84" t="str">
        <f>IFERROR(VLOOKUP($B44,'LOD 400 - SITE'!$B:AW,48,FALSE),"N/A")</f>
        <v>N/A</v>
      </c>
      <c r="FD44" s="84" t="str">
        <f>IFERROR(VLOOKUP($B44,'LOD 400 - SITE'!$B:AZ,51,FALSE),"N/A")</f>
        <v>N/A</v>
      </c>
      <c r="FE44" s="84" t="str">
        <f>IFERROR(VLOOKUP($B44,'LOD 400 - SITE'!$B:BC,54,FALSE),"N/A")</f>
        <v>N/A</v>
      </c>
      <c r="FF44" s="84" t="str">
        <f>IFERROR(VLOOKUP($B44,'LOD 400 - SITE'!$B:BF,57,FALSE),"N/A")</f>
        <v>N/A</v>
      </c>
      <c r="FG44" s="84" t="str">
        <f>IFERROR(VLOOKUP($B44,'LOD 400 - SITE'!$B:BI,60,FALSE),"N/A")</f>
        <v>N/A</v>
      </c>
      <c r="FH44" s="84" t="str">
        <f>IFERROR(VLOOKUP($B44,'LOD 400 - SITE'!$B:BL,63,FALSE),"N/A")</f>
        <v>N/A</v>
      </c>
      <c r="FI44" s="84" t="str">
        <f>IFERROR(VLOOKUP($B44,'LOD 400 - SITE'!$B:BO,66,FALSE),"N/A")</f>
        <v>N/A</v>
      </c>
      <c r="FJ44" s="84" t="str">
        <f>IFERROR(VLOOKUP($B44,'LOD 400 - SITE'!$B:BR,69,FALSE),"N/A")</f>
        <v>N/A</v>
      </c>
      <c r="FK44" s="84" t="str">
        <f>IFERROR(VLOOKUP($B44,'LOD 400 - SITE'!$B:BU,72,FALSE),"N/A")</f>
        <v>N/A</v>
      </c>
      <c r="FL44" s="84" t="str">
        <f>IFERROR(VLOOKUP($B44,'LOD 400 - SITE'!$B:BX,75,FALSE),"N/A")</f>
        <v>N/A</v>
      </c>
      <c r="FM44" s="84" t="str">
        <f>IFERROR(VLOOKUP($B44,'LOD 400 - SITE'!$B:CA,78,FALSE),"N/A")</f>
        <v>N/A</v>
      </c>
      <c r="FN44" s="85" t="str">
        <f>IFERROR(VLOOKUP($B44,'LOD 400 - SITE'!$B:CD,81,FALSE),"N/A")</f>
        <v>N/A</v>
      </c>
      <c r="FO44" s="84" t="str">
        <f>IFERROR(VLOOKUP($B44,'LOD 400 - SITE'!$B:CG,84,FALSE),"N/A")</f>
        <v>N/A</v>
      </c>
      <c r="FP44" s="85" t="str">
        <f>IFERROR(VLOOKUP($B44,'LOD 400 - SITE'!$B:CJ,87,FALSE),"N/A")</f>
        <v>N/A</v>
      </c>
      <c r="FQ44" s="84" t="str">
        <f>IFERROR(VLOOKUP($B44,'LOD 400 - SITE'!$B:CM,90,FALSE),"N/A")</f>
        <v>N/A</v>
      </c>
      <c r="FR44" s="84" t="str">
        <f>IFERROR(VLOOKUP($B44,'LOD 400 - SITE'!$B:CP,93,FALSE),"N/A")</f>
        <v>N/A</v>
      </c>
      <c r="FS44" s="84" t="str">
        <f>IFERROR(VLOOKUP($B44,'LOD 400 - SITE'!$B:CS,96,FALSE),"N/A")</f>
        <v>N/A</v>
      </c>
      <c r="FT44" s="84" t="str">
        <f>IFERROR(VLOOKUP($B44,'LOD 400 - SITE'!$B:CV,99,FALSE),"N/A")</f>
        <v>N/A</v>
      </c>
      <c r="FU44" s="84" t="str">
        <f>IFERROR(VLOOKUP($B44,'LOD 400 - SITE'!$B:CY,102,FALSE),"N/A")</f>
        <v>N/A</v>
      </c>
      <c r="FV44" s="84" t="str">
        <f>IFERROR(VLOOKUP($B44,'LOD 400 - SITE'!$B:DB,105,FALSE),"N/A")</f>
        <v>N/A</v>
      </c>
      <c r="FW44" s="84" t="str">
        <f>IFERROR(VLOOKUP($B44,'LOD 400 - SITE'!$B:DE,108,FALSE),"N/A")</f>
        <v>N/A</v>
      </c>
      <c r="FX44" s="84" t="str">
        <f>IFERROR(VLOOKUP($B44,'LOD 400 - SITE'!$B:DH,111,FALSE),"N/A")</f>
        <v>N/A</v>
      </c>
      <c r="FY44" s="84" t="str">
        <f>IFERROR(VLOOKUP($B44,'LOD 400 - SITE'!$B:DK,114,FALSE),"N/A")</f>
        <v>N/A</v>
      </c>
      <c r="FZ44" s="96" t="str">
        <f>IFERROR(__xludf.DUMMYFUNCTION("IFERROR(
  MAX(FILTER(ES44:FY44, ISNUMBER(ES44:FY44))),
  FY44
)"),"N/A")</f>
        <v>N/A</v>
      </c>
      <c r="GA44" s="80" t="str">
        <f>IFERROR(VLOOKUP($B44,'LOD 400 - UTLS'!B:S,18,FALSE),"N/A")</f>
        <v>N/A</v>
      </c>
      <c r="GB44" s="98" t="str">
        <f>IFERROR(VLOOKUP($B44,'LOD 400 - UTLS'!B:V,21,FALSE),"N/A")</f>
        <v>N/A</v>
      </c>
      <c r="GC44" s="81" t="str">
        <f>IFERROR(VLOOKUP($B44,'LOD 400 - UTLS'!B:Y,24,FALSE),"N/A")</f>
        <v>N/A</v>
      </c>
      <c r="GD44" s="87" t="str">
        <f>IFERROR(VLOOKUP($B44,'LOD 400 - UTLS'!$B:AB,27,FALSE),"N/A")</f>
        <v>N/A</v>
      </c>
      <c r="GE44" s="80" t="str">
        <f>IFERROR(VLOOKUP($B44,'LOD 400 - UTLS'!$B:AE,30,FALSE),"N/A")</f>
        <v>N/A</v>
      </c>
      <c r="GF44" s="82" t="str">
        <f>IFERROR(VLOOKUP($B44,'LOD 400 - UTLS'!$B:AH,33,FALSE),"N/A")</f>
        <v>N/A</v>
      </c>
      <c r="GG44" s="88" t="str">
        <f>IFERROR(VLOOKUP($B44,'LOD 400 - UTLS'!$B:AK,36,FALSE),"N/A")</f>
        <v>N/A</v>
      </c>
      <c r="GH44" s="84" t="str">
        <f>IFERROR(VLOOKUP($B44,'LOD 400 - UTLS'!$B:AN,39,FALSE),"N/A")</f>
        <v>N/A</v>
      </c>
      <c r="GI44" s="84" t="str">
        <f>IFERROR(VLOOKUP($B44,'LOD 400 - UTLS'!$B:AQ,42,FALSE),"N/A")</f>
        <v>N/A</v>
      </c>
      <c r="GJ44" s="84" t="str">
        <f>IFERROR(VLOOKUP($B44,'LOD 400 - UTLS'!$B:AT,45,FALSE),"N/A")</f>
        <v>N/A</v>
      </c>
      <c r="GK44" s="84" t="str">
        <f>IFERROR(VLOOKUP($B44,'LOD 400 - UTLS'!$B:AW,48,FALSE),"N/A")</f>
        <v>N/A</v>
      </c>
      <c r="GL44" s="84" t="str">
        <f>IFERROR(VLOOKUP($B44,'LOD 400 - UTLS'!$B:AZ,51,FALSE),"N/A")</f>
        <v>N/A</v>
      </c>
      <c r="GM44" s="84" t="str">
        <f>IFERROR(VLOOKUP($B44,'LOD 400 - UTLS'!$B:BC,54,FALSE),"N/A")</f>
        <v>N/A</v>
      </c>
      <c r="GN44" s="84" t="str">
        <f>IFERROR(VLOOKUP($B44,'LOD 400 - UTLS'!$B:BF,57,FALSE),"N/A")</f>
        <v>N/A</v>
      </c>
      <c r="GO44" s="84" t="str">
        <f>IFERROR(VLOOKUP($B44,'LOD 400 - UTLS'!$B:BI,60,FALSE),"N/A")</f>
        <v>N/A</v>
      </c>
      <c r="GP44" s="84" t="str">
        <f>IFERROR(VLOOKUP($B44,'LOD 400 - UTLS'!$B:BL,63,FALSE),"N/A")</f>
        <v>N/A</v>
      </c>
      <c r="GQ44" s="84" t="str">
        <f>IFERROR(VLOOKUP($B44,'LOD 400 - UTLS'!$B:BO,66,FALSE),"N/A")</f>
        <v>N/A</v>
      </c>
      <c r="GR44" s="84" t="str">
        <f>IFERROR(VLOOKUP($B44,'LOD 400 - UTLS'!$B:BR,69,FALSE),"N/A")</f>
        <v>N/A</v>
      </c>
      <c r="GS44" s="85" t="str">
        <f>IFERROR(VLOOKUP($B44,'LOD 400 - UTLS'!$B:BU,72,FALSE),"N/A")</f>
        <v>N/A</v>
      </c>
      <c r="GT44" s="84" t="str">
        <f>IFERROR(VLOOKUP($B44,'LOD 400 - UTLS'!$B:BX,75,FALSE),"N/A")</f>
        <v>N/A</v>
      </c>
      <c r="GU44" s="85" t="str">
        <f>IFERROR(VLOOKUP($B44,'LOD 400 - UTLS'!$B:CA,78,FALSE),"N/A")</f>
        <v>N/A</v>
      </c>
      <c r="GV44" s="84" t="str">
        <f>IFERROR(VLOOKUP($B44,'LOD 400 - UTLS'!$B:CD,81,FALSE),"N/A")</f>
        <v>N/A</v>
      </c>
      <c r="GW44" s="84" t="str">
        <f>IFERROR(VLOOKUP($B44,'LOD 400 - UTLS'!$B:CG,84,FALSE),"N/A")</f>
        <v>N/A</v>
      </c>
      <c r="GX44" s="84" t="str">
        <f>IFERROR(VLOOKUP($B44,'LOD 400 - UTLS'!$B:CJ,87,FALSE),"N/A")</f>
        <v>N/A</v>
      </c>
      <c r="GY44" s="84" t="str">
        <f>IFERROR(VLOOKUP($B44,'LOD 400 - UTLS'!$B:CM,90,FALSE),"N/A")</f>
        <v>N/A</v>
      </c>
      <c r="GZ44" s="84" t="str">
        <f>IFERROR(VLOOKUP($B44,'LOD 400 - UTLS'!$B:CP,93,FALSE),"N/A")</f>
        <v>N/A</v>
      </c>
      <c r="HA44" s="84" t="str">
        <f>IFERROR(VLOOKUP($B44,'LOD 400 - UTLS'!$B:CS,96,FALSE),"N/A")</f>
        <v>N/A</v>
      </c>
      <c r="HB44" s="84" t="str">
        <f>IFERROR(VLOOKUP($B44,'LOD 400 - UTLS'!$B:CV,99,FALSE),"N/A")</f>
        <v>N/A</v>
      </c>
      <c r="HC44" s="84" t="str">
        <f>IFERROR(VLOOKUP($B44,'LOD 400 - UTLS'!$B:CY,102,FALSE),"N/A")</f>
        <v>N/A</v>
      </c>
      <c r="HD44" s="84" t="str">
        <f>IFERROR(VLOOKUP($B44,'LOD 400 - UTLS'!$B:DB,105,FALSE),"N/A")</f>
        <v>N/A</v>
      </c>
      <c r="HE44" s="96" t="str">
        <f>IFERROR(__xludf.DUMMYFUNCTION("IFERROR(
  MAX(FILTER(GA44:HD44, ISNUMBER(GA44:HD44))),
  HD44
)"),"N/A")</f>
        <v>N/A</v>
      </c>
      <c r="HF44" s="99"/>
      <c r="HG44" s="99"/>
      <c r="HH44" s="99"/>
      <c r="HI44" s="99"/>
      <c r="HJ44" s="99"/>
      <c r="HK44" s="99"/>
    </row>
    <row r="45" ht="15.0" hidden="1" customHeight="1">
      <c r="A45" s="53">
        <v>49.0</v>
      </c>
      <c r="B45" s="124" t="s">
        <v>178</v>
      </c>
      <c r="C45" s="125"/>
      <c r="D45" s="167"/>
      <c r="E45" s="167"/>
      <c r="F45" s="167"/>
      <c r="G45" s="168"/>
      <c r="H45" s="167"/>
      <c r="I45" s="167"/>
      <c r="J45" s="169"/>
      <c r="K45" s="170"/>
      <c r="L45" s="171"/>
      <c r="M45" s="167"/>
      <c r="N45" s="172"/>
      <c r="O45" s="173"/>
      <c r="P45" s="174"/>
      <c r="Q45" s="175"/>
      <c r="R45" s="176"/>
      <c r="S45" s="177"/>
      <c r="T45" s="177"/>
      <c r="U45" s="178"/>
      <c r="V45" s="179"/>
      <c r="W45" s="167"/>
      <c r="X45" s="175"/>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7"/>
      <c r="AU45" s="167"/>
      <c r="AV45" s="175"/>
      <c r="AW45" s="176"/>
      <c r="AX45" s="175"/>
      <c r="AY45" s="176"/>
      <c r="AZ45" s="176"/>
      <c r="BA45" s="176"/>
      <c r="BB45" s="176"/>
      <c r="BC45" s="176"/>
      <c r="BD45" s="176"/>
      <c r="BE45" s="176"/>
      <c r="BF45" s="176"/>
      <c r="BG45" s="180"/>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7"/>
      <c r="CD45" s="167"/>
      <c r="CE45" s="175"/>
      <c r="CF45" s="176"/>
      <c r="CG45" s="175"/>
      <c r="CH45" s="176"/>
      <c r="CI45" s="176"/>
      <c r="CJ45" s="176"/>
      <c r="CK45" s="176"/>
      <c r="CL45" s="176"/>
      <c r="CM45" s="176"/>
      <c r="CN45" s="176"/>
      <c r="CO45" s="176"/>
      <c r="CP45" s="180"/>
      <c r="CQ45" s="168"/>
      <c r="CR45" s="168"/>
      <c r="CS45" s="168"/>
      <c r="CT45" s="168"/>
      <c r="CU45" s="168"/>
      <c r="CV45" s="168"/>
      <c r="CW45" s="168"/>
      <c r="CX45" s="168"/>
      <c r="CY45" s="168"/>
      <c r="CZ45" s="168"/>
      <c r="DA45" s="168"/>
      <c r="DB45" s="168"/>
      <c r="DC45" s="168"/>
      <c r="DD45" s="168"/>
      <c r="DE45" s="168"/>
      <c r="DF45" s="168"/>
      <c r="DG45" s="168"/>
      <c r="DH45" s="168"/>
      <c r="DI45" s="168"/>
      <c r="DJ45" s="167"/>
      <c r="DK45" s="167"/>
      <c r="DL45" s="167"/>
      <c r="DM45" s="167"/>
      <c r="DN45" s="175"/>
      <c r="DO45" s="176"/>
      <c r="DP45" s="175"/>
      <c r="DQ45" s="176"/>
      <c r="DR45" s="176"/>
      <c r="DS45" s="176"/>
      <c r="DT45" s="176"/>
      <c r="DU45" s="176"/>
      <c r="DV45" s="176"/>
      <c r="DW45" s="176"/>
      <c r="DX45" s="176"/>
      <c r="DY45" s="167"/>
      <c r="DZ45" s="181"/>
      <c r="EA45" s="178"/>
      <c r="EB45" s="176"/>
      <c r="EC45" s="176"/>
      <c r="ED45" s="176"/>
      <c r="EE45" s="175"/>
      <c r="EF45" s="176"/>
      <c r="EG45" s="167"/>
      <c r="EH45" s="182"/>
      <c r="EI45" s="176"/>
      <c r="EJ45" s="176"/>
      <c r="EK45" s="176"/>
      <c r="EL45" s="176"/>
      <c r="EM45" s="176"/>
      <c r="EN45" s="176"/>
      <c r="EO45" s="176"/>
      <c r="EP45" s="183"/>
      <c r="EQ45" s="176"/>
      <c r="ER45" s="184"/>
      <c r="ES45" s="168"/>
      <c r="ET45" s="167"/>
      <c r="EU45" s="179"/>
      <c r="EV45" s="168"/>
      <c r="EW45" s="168"/>
      <c r="EX45" s="168"/>
      <c r="EY45" s="168"/>
      <c r="EZ45" s="168"/>
      <c r="FA45" s="168"/>
      <c r="FB45" s="168"/>
      <c r="FC45" s="168"/>
      <c r="FD45" s="168"/>
      <c r="FE45" s="168"/>
      <c r="FF45" s="168"/>
      <c r="FG45" s="168"/>
      <c r="FH45" s="168"/>
      <c r="FI45" s="168"/>
      <c r="FJ45" s="168"/>
      <c r="FK45" s="168"/>
      <c r="FL45" s="168"/>
      <c r="FM45" s="168"/>
      <c r="FN45" s="167"/>
      <c r="FO45" s="175"/>
      <c r="FP45" s="176"/>
      <c r="FQ45" s="175"/>
      <c r="FR45" s="176"/>
      <c r="FS45" s="176"/>
      <c r="FT45" s="176"/>
      <c r="FU45" s="176"/>
      <c r="FV45" s="176"/>
      <c r="FW45" s="176"/>
      <c r="FX45" s="176"/>
      <c r="FY45" s="176"/>
      <c r="FZ45" s="185"/>
      <c r="GA45" s="168"/>
      <c r="GB45" s="168"/>
      <c r="GC45" s="168"/>
      <c r="GD45" s="168"/>
      <c r="GE45" s="168"/>
      <c r="GF45" s="168"/>
      <c r="GG45" s="168"/>
      <c r="GH45" s="168"/>
      <c r="GI45" s="168"/>
      <c r="GJ45" s="168"/>
      <c r="GK45" s="168"/>
      <c r="GL45" s="168"/>
      <c r="GM45" s="168"/>
      <c r="GN45" s="168"/>
      <c r="GO45" s="168"/>
      <c r="GP45" s="168"/>
      <c r="GQ45" s="176"/>
      <c r="GR45" s="176"/>
      <c r="GS45" s="176"/>
      <c r="GT45" s="175"/>
      <c r="GU45" s="176"/>
      <c r="GV45" s="175"/>
      <c r="GW45" s="176"/>
      <c r="GX45" s="176"/>
      <c r="GY45" s="176"/>
      <c r="GZ45" s="176"/>
      <c r="HA45" s="176"/>
      <c r="HB45" s="176"/>
      <c r="HC45" s="176"/>
      <c r="HD45" s="176"/>
      <c r="HE45" s="184"/>
      <c r="HF45" s="99"/>
      <c r="HG45" s="99"/>
      <c r="HH45" s="99"/>
      <c r="HI45" s="99"/>
      <c r="HJ45" s="99"/>
      <c r="HK45" s="99"/>
    </row>
    <row r="46" ht="15.0" customHeight="1" outlineLevel="1">
      <c r="A46" s="53">
        <v>50.0</v>
      </c>
      <c r="B46" s="145" t="s">
        <v>179</v>
      </c>
      <c r="C46" s="145" t="s">
        <v>180</v>
      </c>
      <c r="D46" s="64" t="str">
        <f t="shared" ref="D46:D47" si="6">MID(B46,17,4)</f>
        <v>DATA</v>
      </c>
      <c r="E46" s="101" t="s">
        <v>154</v>
      </c>
      <c r="F46" s="102">
        <v>1112.0</v>
      </c>
      <c r="G46" s="103" t="s">
        <v>155</v>
      </c>
      <c r="H46" s="104">
        <v>1129.0</v>
      </c>
      <c r="I46" s="68" t="str">
        <f>IFERROR(VLOOKUP($C43:C108,'R22 RELATÓRIO ACC'!B:F,5,FALSE),"NOT PUBLISHED")</f>
        <v>V33</v>
      </c>
      <c r="J46" s="69" t="str">
        <f>IFERROR(VLOOKUP($C43:C108,'R22 RELATÓRIO ACC'!B:P,15,FALSE),"NOT PUBLISHED")</f>
        <v>04/03/2026</v>
      </c>
      <c r="K46" s="70" t="str">
        <f>IFERROR(VLOOKUP($B43:B108,'RELATÓRIO ACC'!B:F,5,FALSE),"NOT PUBLISHED")</f>
        <v>V2</v>
      </c>
      <c r="L46" s="71" t="str">
        <f>IFERROR(VLOOKUP($B43:B108,'RELATÓRIO ACC'!B:P,15,FALSE),"NOT PUBLISHED")</f>
        <v>13/07/2026</v>
      </c>
      <c r="M46" s="72" t="str">
        <f>IF(OR($D46="UTLS",$D46="GUAR",$D46="STIR",$D46="PUMP",$D46="SITE"),
   VLOOKUP($B46,'LOD 400 - SITE'!B:M,12,FALSE),
   VLOOKUP($B46,'LOD 400 - ADMN'!B:M,12,FALSE)
)</f>
        <v>V32</v>
      </c>
      <c r="N46" s="105" t="str">
        <f>IF(OR($D46="UTLS",$D46="GUAR",$D46="STIR",$D46="PUMP",$D46="SITE"),
   VLOOKUP($B46,'LOD 400 - SITE'!B:N,13,FALSE),
   VLOOKUP($B46,'LOD 400 - ADMN'!B:N,13,FALSE)
)</f>
        <v>23/12/2025</v>
      </c>
      <c r="O46" s="106" t="str">
        <f>IF(OR($D46="UTLS",$D46="GUAR",$D46="STIR",$D46="PUMP",$D46="SITE"),
   VLOOKUP($B46,'LOD 400 - SITE'!B:O,14,FALSE),
   VLOOKUP($B46,'LOD 400 - ADMN'!B:O,14,FALSE)
)</f>
        <v>R22</v>
      </c>
      <c r="P46" s="107" t="str">
        <f>IF(OR($D46="C345",$D46="C12A",$D46="DATA"),
   VLOOKUP($B46,'LOD 400 - COLO3'!B:M,12,FALSE),"N/A")</f>
        <v>V33</v>
      </c>
      <c r="Q46" s="108">
        <f>IF(OR($D46="C345",$D46="C12A",$D46="DATA"),
   VLOOKUP($B46,'LOD 400 - COLO3'!B:N,13,FALSE),"N/A")</f>
        <v>46085</v>
      </c>
      <c r="R46" s="75" t="str">
        <f>IF(OR($D46="C345",$D46="C12A",$D46="DATA"),
   VLOOKUP($B46,'LOD 400 - COLO3'!B:O,14,FALSE),"N/A")</f>
        <v>R22</v>
      </c>
      <c r="S46" s="76" t="str">
        <f>IF(OR($D46="C345",$D46="C12A",$D46="DATA"),
   VLOOKUP($B46,'LOD 400 - COLO4'!B:N,12,FALSE),"N/A")</f>
        <v>N/A</v>
      </c>
      <c r="T46" s="76" t="str">
        <f>IF(OR($D46="C345",$D46="C12A",$D46="DATA"),
   VLOOKUP($B46,'LOD 400 - COLO4'!B:N,13,FALSE),"N/A")</f>
        <v>N/A</v>
      </c>
      <c r="U46" s="76" t="str">
        <f>IF(OR($D46="C345",$D46="C12A",$D46="DATA"),
   VLOOKUP($B46,'LOD 400 - COLO4'!B:N,13,FALSE),"N/A")</f>
        <v>N/A</v>
      </c>
      <c r="V46" s="77" t="str">
        <f>IF(OR($D46="UTLS",$D46="GUAR",$D46="STIR",$D46="PUMP",$D46="SITE"),
   VLOOKUP($B46,'LOD 400 - UTLS'!B:M,12,FALSE),"N/A")</f>
        <v>N/A</v>
      </c>
      <c r="W46" s="78" t="str">
        <f>IF(OR($D46="UTLS",$D46="GUAR",$D46="STIR",$D46="PUMP",$D46="SITE"),
   VLOOKUP($B46,'LOD 400 - UTLS'!B:N,13,FALSE),"N/A")</f>
        <v>N/A</v>
      </c>
      <c r="X46" s="108" t="str">
        <f>IF(OR($D46="UTLS",$D46="GUAR",$D46="STIR",$D46="PUMP",$D46="SITE"),
   VLOOKUP($B46,'LOD 400 - UTLS'!B:O,14,FALSE),"N/A")</f>
        <v>N/A</v>
      </c>
      <c r="Y46" s="79" t="str">
        <f>IFERROR(VLOOKUP($B46,'LOD 400 - ADMN'!B:S,18,FALSE),"N/A")</f>
        <v>OUTDATED</v>
      </c>
      <c r="Z46" s="79" t="str">
        <f>IFERROR(VLOOKUP($B46,'LOD 400 - ADMN'!B:V,21,FALSE),"N/A")</f>
        <v>OUTDATED</v>
      </c>
      <c r="AA46" s="79">
        <f>IFERROR(VLOOKUP($B46,'LOD 400 - ADMN'!$B:Y,24,FALSE),"N/A")</f>
        <v>0.18</v>
      </c>
      <c r="AB46" s="80" t="str">
        <f>IFERROR(VLOOKUP($B46,'LOD 400 - ADMN'!$B:AB,27,FALSE),"N/A")</f>
        <v>NEXT ROUND</v>
      </c>
      <c r="AC46" s="81">
        <f>IFERROR(VLOOKUP($B46,'LOD 400 - ADMN'!$B:AE,30,FALSE),"N/A")</f>
        <v>0.59</v>
      </c>
      <c r="AD46" s="81" t="str">
        <f>IFERROR(VLOOKUP($B46,'LOD 400 - ADMN'!$B:AH,33,FALSE),"N/A")</f>
        <v>NEXT ROUND</v>
      </c>
      <c r="AE46" s="80" t="str">
        <f>IFERROR(VLOOKUP($B46,'LOD 400 - ADMN'!$B:AK,36,FALSE),"N/A")</f>
        <v>NEXT ROUND</v>
      </c>
      <c r="AF46" s="82">
        <f>IFERROR(VLOOKUP($B46,'LOD 400 - ADMN'!$B:AN,39,FALSE),"N/A")</f>
        <v>0.68</v>
      </c>
      <c r="AG46" s="83">
        <f>IFERROR(VLOOKUP($B46,'LOD 400 - ADMN'!$B:AQ,42,FALSE),"N/A")</f>
        <v>0.99</v>
      </c>
      <c r="AH46" s="84">
        <f>IFERROR(VLOOKUP($B46,'LOD 400 - ADMN'!$B:AT,45,FALSE),"N/A")</f>
        <v>1</v>
      </c>
      <c r="AI46" s="85">
        <f>IFERROR(VLOOKUP($B46,'LOD 400 - ADMN'!$B:AW,48,FALSE),"N/A")</f>
        <v>1</v>
      </c>
      <c r="AJ46" s="85">
        <f>IFERROR(VLOOKUP($B46,'LOD 400 - ADMN'!$B:AZ,51,FALSE),"N/A")</f>
        <v>1</v>
      </c>
      <c r="AK46" s="84">
        <f>IFERROR(VLOOKUP($B46,'LOD 400 - ADMN'!$B:BC,54,FALSE),"N/A")</f>
        <v>1</v>
      </c>
      <c r="AL46" s="84">
        <f>IFERROR(VLOOKUP($B46,'LOD 400 - ADMN'!$B:BF,57,FALSE),"N/A")</f>
        <v>1</v>
      </c>
      <c r="AM46" s="84">
        <f>IFERROR(VLOOKUP($B46,'LOD 400 - ADMN'!$B:BI,60,FALSE),"N/A")</f>
        <v>1</v>
      </c>
      <c r="AN46" s="84">
        <f>IFERROR(VLOOKUP($B46,'LOD 400 - ADMN'!$B:BL,63,FALSE),"N/A")</f>
        <v>1</v>
      </c>
      <c r="AO46" s="84">
        <f>IFERROR(VLOOKUP($B46,'LOD 400 - ADMN'!$B:BO,66,FALSE),"N/A")</f>
        <v>1</v>
      </c>
      <c r="AP46" s="84">
        <f>IFERROR(VLOOKUP($B46,'LOD 400 - ADMN'!$B:BR,69,FALSE),"N/A")</f>
        <v>1</v>
      </c>
      <c r="AQ46" s="84">
        <f>IFERROR(VLOOKUP($B46,'LOD 400 - ADMN'!$B:BU,72,FALSE),"N/A")</f>
        <v>1</v>
      </c>
      <c r="AR46" s="84">
        <f>IFERROR(VLOOKUP($B46,'LOD 400 - ADMN'!$B:BX,75,FALSE),"N/A")</f>
        <v>1</v>
      </c>
      <c r="AS46" s="84">
        <f>IFERROR(VLOOKUP($B46,'LOD 400 - ADMN'!$B:CA,78,FALSE),"N/A")</f>
        <v>1</v>
      </c>
      <c r="AT46" s="84">
        <f>IFERROR(VLOOKUP($B46,'LOD 400 - ADMN'!$B:CD,81,FALSE),"N/A")</f>
        <v>1</v>
      </c>
      <c r="AU46" s="85">
        <f>IFERROR(VLOOKUP($B46,'LOD 400 - ADMN'!$B:CG,84,FALSE),"N/A")</f>
        <v>1</v>
      </c>
      <c r="AV46" s="84">
        <f>IFERROR(VLOOKUP($B46,'LOD 400 - ADMN'!$B:CJ,87,FALSE),"N/A")</f>
        <v>1</v>
      </c>
      <c r="AW46" s="85">
        <f>IFERROR(VLOOKUP($B46,'LOD 400 - ADMN'!$B:CM,90,FALSE),"N/A")</f>
        <v>1</v>
      </c>
      <c r="AX46" s="84">
        <f>IFERROR(VLOOKUP($B46,'LOD 400 - ADMN'!$B:CP,93,FALSE),"N/A")</f>
        <v>1</v>
      </c>
      <c r="AY46" s="84">
        <f>IFERROR(VLOOKUP($B46,'LOD 400 - ADMN'!$B:CS,96,FALSE),"N/A")</f>
        <v>1</v>
      </c>
      <c r="AZ46" s="84">
        <f>IFERROR(VLOOKUP($B46,'LOD 400 - ADMN'!$B:CV,99,FALSE),"N/A")</f>
        <v>1</v>
      </c>
      <c r="BA46" s="84">
        <f>IFERROR(VLOOKUP($B46,'LOD 400 - ADMN'!$B:CY,102,FALSE),"N/A")</f>
        <v>1</v>
      </c>
      <c r="BB46" s="84">
        <f>IFERROR(VLOOKUP($B46,'LOD 400 - ADMN'!$B:DB,105,FALSE),"N/A")</f>
        <v>1</v>
      </c>
      <c r="BC46" s="84">
        <f>IFERROR(VLOOKUP($B46,'LOD 400 - ADMN'!$B:DE,108,FALSE),"N/A")</f>
        <v>1</v>
      </c>
      <c r="BD46" s="84">
        <f>IFERROR(VLOOKUP($B46,'LOD 400 - ADMN'!$B:DH,111,FALSE),"N/A")</f>
        <v>1</v>
      </c>
      <c r="BE46" s="84">
        <f>IFERROR(VLOOKUP($B46,'LOD 400 - ADMN'!$B:DK,114,FALSE),"N/A")</f>
        <v>1</v>
      </c>
      <c r="BF46" s="84">
        <f>IFERROR(VLOOKUP($B46,'LOD 400 - ADMN'!$B:DN,117,FALSE),"N/A")</f>
        <v>1</v>
      </c>
      <c r="BG46" s="86">
        <f>IFERROR(__xludf.DUMMYFUNCTION("IFERROR(
  MAX(FILTER(Y46:BF46, ISNUMBER(Y46:BF46))),
  BF46
)"),1.0)</f>
        <v>1</v>
      </c>
      <c r="BH46" s="79" t="str">
        <f>IFERROR(VLOOKUP($B46,'LOD 400 - COLO1'!B:S,18,FALSE),"N/A")</f>
        <v>OUTDATED</v>
      </c>
      <c r="BI46" s="79" t="str">
        <f>IFERROR(VLOOKUP($B46,'LOD 400 - COLO1'!B:V,21,FALSE),"N/A")</f>
        <v>OUTDATED</v>
      </c>
      <c r="BJ46" s="79">
        <f>IFERROR(VLOOKUP($B46,'LOD 400 - COLO1'!$B:Y,24,FALSE),"N/A")</f>
        <v>0.16</v>
      </c>
      <c r="BK46" s="87" t="str">
        <f>IFERROR(VLOOKUP($B46,'LOD 400 - COLO1'!$B:AB,27,FALSE),"N/A")</f>
        <v>NEXT ROUND</v>
      </c>
      <c r="BL46" s="80">
        <f>IFERROR(VLOOKUP($B46,'LOD 400 - COLO1'!$B:AE,30,FALSE),"N/A")</f>
        <v>0.62</v>
      </c>
      <c r="BM46" s="81" t="str">
        <f>IFERROR(VLOOKUP($B46,'LOD 400 - COLO1'!$B:AH,33,FALSE),"N/A")</f>
        <v>NEXT ROUND</v>
      </c>
      <c r="BN46" s="87" t="str">
        <f>IFERROR(VLOOKUP($B46,'LOD 400 - COLO1'!$B:AK,36,FALSE),"N/A")</f>
        <v>NEXT ROUND</v>
      </c>
      <c r="BO46" s="83">
        <f>IFERROR(VLOOKUP($B46,'LOD 400 - COLO1'!$B:AN,39,FALSE),"N/A")</f>
        <v>0.74</v>
      </c>
      <c r="BP46" s="88">
        <f>IFERROR(VLOOKUP($B46,'LOD 400 - COLO1'!$B:AQ,42,FALSE),"N/A")</f>
        <v>0.99</v>
      </c>
      <c r="BQ46" s="84">
        <f>IFERROR(VLOOKUP($B46,'LOD 400 - COLO1'!$B:AT,45,FALSE),"N/A")</f>
        <v>1</v>
      </c>
      <c r="BR46" s="85">
        <f>IFERROR(VLOOKUP($B46,'LOD 400 - COLO1'!$B:AW,48,FALSE),"N/A")</f>
        <v>1</v>
      </c>
      <c r="BS46" s="84">
        <f>IFERROR(VLOOKUP($B46,'LOD 400 - COLO1'!$B:AZ,51,FALSE),"N/A")</f>
        <v>1</v>
      </c>
      <c r="BT46" s="84">
        <f>IFERROR(VLOOKUP($B46,'LOD 400 - COLO1'!$B:BC,54,FALSE),"N/A")</f>
        <v>1</v>
      </c>
      <c r="BU46" s="84">
        <f>IFERROR(VLOOKUP($B46,'LOD 400 - COLO1'!$B:BF,57,FALSE),"N/A")</f>
        <v>1</v>
      </c>
      <c r="BV46" s="84">
        <f>IFERROR(VLOOKUP($B46,'LOD 400 - COLO1'!$B:BI,60,FALSE),"N/A")</f>
        <v>1</v>
      </c>
      <c r="BW46" s="84">
        <f>IFERROR(VLOOKUP($B46,'LOD 400 - COLO1'!$B:BL,63,FALSE),"N/A")</f>
        <v>1</v>
      </c>
      <c r="BX46" s="84">
        <f>IFERROR(VLOOKUP($B46,'LOD 400 - COLO1'!$B:BO,66,FALSE),"N/A")</f>
        <v>1</v>
      </c>
      <c r="BY46" s="84">
        <f>IFERROR(VLOOKUP($B46,'LOD 400 - COLO1'!$B:BR,69,FALSE),"N/A")</f>
        <v>1</v>
      </c>
      <c r="BZ46" s="84">
        <f>IFERROR(VLOOKUP($B46,'LOD 400 - COLO1'!$B:BU,72,FALSE),"N/A")</f>
        <v>1</v>
      </c>
      <c r="CA46" s="84">
        <f>IFERROR(VLOOKUP($B46,'LOD 400 - COLO1'!$B:BX,75,FALSE),"N/A")</f>
        <v>1</v>
      </c>
      <c r="CB46" s="84">
        <f>IFERROR(VLOOKUP($B46,'LOD 400 - COLO1'!$B:CA,78,FALSE),"N/A")</f>
        <v>1</v>
      </c>
      <c r="CC46" s="84">
        <f>IFERROR(VLOOKUP($B46,'LOD 400 - COLO1'!$B:CD,81,FALSE),"N/A")</f>
        <v>1</v>
      </c>
      <c r="CD46" s="85">
        <f>IFERROR(VLOOKUP($B46,'LOD 400 - COLO1'!$B:CG,84,FALSE),"N/A")</f>
        <v>1</v>
      </c>
      <c r="CE46" s="84">
        <f>IFERROR(VLOOKUP($B46,'LOD 400 - COLO1'!$B:CJ,87,FALSE),"N/A")</f>
        <v>1</v>
      </c>
      <c r="CF46" s="85">
        <f>IFERROR(VLOOKUP($B46,'LOD 400 - COLO1'!$B:CM,90,FALSE),"N/A")</f>
        <v>1</v>
      </c>
      <c r="CG46" s="84">
        <f>IFERROR(VLOOKUP($B46,'LOD 400 - COLO1'!$B:CP,93,FALSE),"N/A")</f>
        <v>1</v>
      </c>
      <c r="CH46" s="84">
        <f>IFERROR(VLOOKUP($B46,'LOD 400 - COLO1'!$B:CS,96,FALSE),"N/A")</f>
        <v>1</v>
      </c>
      <c r="CI46" s="84">
        <f>IFERROR(VLOOKUP($B46,'LOD 400 - COLO1'!$B:CV,99,FALSE),"N/A")</f>
        <v>1</v>
      </c>
      <c r="CJ46" s="84">
        <f>IFERROR(VLOOKUP($B46,'LOD 400 - COLO1'!$B:CY,102,FALSE),"N/A")</f>
        <v>1</v>
      </c>
      <c r="CK46" s="84">
        <f>IFERROR(VLOOKUP($B46,'LOD 400 - COLO1'!$B:DB,105,FALSE),"N/A")</f>
        <v>1</v>
      </c>
      <c r="CL46" s="84">
        <f>IFERROR(VLOOKUP($B46,'LOD 400 - COLO1'!$B:DE,108,FALSE),"N/A")</f>
        <v>1</v>
      </c>
      <c r="CM46" s="84">
        <f>IFERROR(VLOOKUP($B46,'LOD 400 - COLO1'!$B:DH,111,FALSE),"N/A")</f>
        <v>1</v>
      </c>
      <c r="CN46" s="84">
        <f>IFERROR(VLOOKUP($B46,'LOD 400 - COLO1'!$B:DK,114,FALSE),"N/A")</f>
        <v>1</v>
      </c>
      <c r="CO46" s="84">
        <f>IFERROR(VLOOKUP($B46,'LOD 400 - COLO1'!$B:DN,117,FALSE),"N/A")</f>
        <v>1</v>
      </c>
      <c r="CP46" s="86">
        <f>IFERROR(__xludf.DUMMYFUNCTION("IFERROR(
  MAX(FILTER(BH46:CO46, ISNUMBER(BH46:CO46))),
  CO46
)"),1.0)</f>
        <v>1</v>
      </c>
      <c r="CQ46" s="89" t="str">
        <f>IFERROR(VLOOKUP($B46,'LOD 400 - COLO2'!B:S,18,FALSE),"N/A")</f>
        <v>OUTDATED</v>
      </c>
      <c r="CR46" s="79" t="str">
        <f>IFERROR(VLOOKUP($B46,'LOD 400 - COLO2'!B:V,21,FALSE),"N/A")</f>
        <v>OUTDATED</v>
      </c>
      <c r="CS46" s="79">
        <f>IFERROR(VLOOKUP($B46,'LOD 400 - COLO2'!$B:Y,24,FALSE),"N/A")</f>
        <v>0.16</v>
      </c>
      <c r="CT46" s="80" t="str">
        <f>IFERROR(VLOOKUP($B46,'LOD 400 - COLO2'!$B:DQ,27,FALSE),"N/A")</f>
        <v>NEXT ROUND</v>
      </c>
      <c r="CU46" s="90">
        <f>IFERROR(VLOOKUP($B46,'LOD 400 - COLO2'!$B:AE,30,FALSE),"N/A")</f>
        <v>0.62</v>
      </c>
      <c r="CV46" s="81" t="str">
        <f>IFERROR(VLOOKUP($B46,'LOD 400 - COLO2'!$B:AH,33,FALSE),"N/A")</f>
        <v>NEXT ROUND</v>
      </c>
      <c r="CW46" s="90" t="str">
        <f>IFERROR(VLOOKUP($B46,'LOD 400 - COLO2'!$B:AK,36,FALSE),"N/A")</f>
        <v>NEXT ROUND</v>
      </c>
      <c r="CX46" s="85">
        <f>IFERROR(VLOOKUP($B46,'LOD 400 - COLO2'!$B:AN,39,FALSE),"N/A")</f>
        <v>0.74</v>
      </c>
      <c r="CY46" s="88">
        <f>IFERROR(VLOOKUP($B46,'LOD 400 - COLO2'!$B:AQ,42,FALSE),"N/A")</f>
        <v>0.99</v>
      </c>
      <c r="CZ46" s="84">
        <f>IFERROR(VLOOKUP($B46,'LOD 400 - COLO2'!$B:AT,45,FALSE),"N/A")</f>
        <v>1</v>
      </c>
      <c r="DA46" s="85">
        <f>IFERROR(VLOOKUP($B46,'LOD 400 - COLO2'!$B:AW,48,FALSE),"N/A")</f>
        <v>1</v>
      </c>
      <c r="DB46" s="84">
        <f>IFERROR(VLOOKUP($B46,'LOD 400 - COLO2'!$B:AZ,51,FALSE),"N/A")</f>
        <v>1</v>
      </c>
      <c r="DC46" s="84">
        <f>IFERROR(VLOOKUP($B46,'LOD 400 - COLO2'!$B:BC,54,FALSE),"N/A")</f>
        <v>1</v>
      </c>
      <c r="DD46" s="84">
        <f>IFERROR(VLOOKUP($B46,'LOD 400 - COLO2'!$B:BF,57,FALSE),"N/A")</f>
        <v>1</v>
      </c>
      <c r="DE46" s="84">
        <f>IFERROR(VLOOKUP($B46,'LOD 400 - COLO2'!$B:BI,60,FALSE),"N/A")</f>
        <v>1</v>
      </c>
      <c r="DF46" s="84">
        <f>IFERROR(VLOOKUP($B46,'LOD 400 - COLO2'!$B:BL,63,FALSE),"N/A")</f>
        <v>1</v>
      </c>
      <c r="DG46" s="84">
        <f>IFERROR(VLOOKUP($B46,'LOD 400 - COLO2'!$B:BO,66,FALSE),"N/A")</f>
        <v>1</v>
      </c>
      <c r="DH46" s="84">
        <f>IFERROR(VLOOKUP($B46,'LOD 400 - COLO2'!$B:BR,69,FALSE),"N/A")</f>
        <v>1</v>
      </c>
      <c r="DI46" s="84">
        <f>IFERROR(VLOOKUP($B46,'LOD 400 - COLO2'!$B:BU,72,FALSE),"N/A")</f>
        <v>1</v>
      </c>
      <c r="DJ46" s="84">
        <f>IFERROR(VLOOKUP($B46,'LOD 400 - COLO2'!$B:BX,75,FALSE),"N/A")</f>
        <v>1</v>
      </c>
      <c r="DK46" s="84">
        <f>IFERROR(VLOOKUP($B46,'LOD 400 - COLO2'!$B:CA,78,FALSE),"N/A")</f>
        <v>1</v>
      </c>
      <c r="DL46" s="84">
        <f>IFERROR(VLOOKUP($B46,'LOD 400 - COLO2'!$B:CD,81,FALSE),"N/A")</f>
        <v>1</v>
      </c>
      <c r="DM46" s="85">
        <f>IFERROR(VLOOKUP($B46,'LOD 400 - COLO2'!$B:CG,84,FALSE),"N/A")</f>
        <v>1</v>
      </c>
      <c r="DN46" s="84">
        <f>IFERROR(VLOOKUP($B46,'LOD 400 - COLO2'!$B:CJ,87,FALSE),"N/A")</f>
        <v>1</v>
      </c>
      <c r="DO46" s="85">
        <f>IFERROR(VLOOKUP($B46,'LOD 400 - COLO2'!$B:CM,90,FALSE),"N/A")</f>
        <v>1</v>
      </c>
      <c r="DP46" s="84">
        <f>IFERROR(VLOOKUP($B46,'LOD 400 - COLO2'!$B:CP,93,FALSE),"N/A")</f>
        <v>1</v>
      </c>
      <c r="DQ46" s="84">
        <f>IFERROR(VLOOKUP($B46,'LOD 400 - COLO2'!$B:CS,96,FALSE),"N/A")</f>
        <v>1</v>
      </c>
      <c r="DR46" s="84">
        <f>IFERROR(VLOOKUP($B46,'LOD 400 - COLO2'!$B:CV,99,FALSE),"N/A")</f>
        <v>1</v>
      </c>
      <c r="DS46" s="84">
        <f>IFERROR(VLOOKUP($B46,'LOD 400 - COLO2'!$B:CY,102,FALSE),"N/A")</f>
        <v>1</v>
      </c>
      <c r="DT46" s="84">
        <f>IFERROR(VLOOKUP($B46,'LOD 400 - COLO2'!$B:DB,105,FALSE),"N/A")</f>
        <v>1</v>
      </c>
      <c r="DU46" s="84">
        <f>IFERROR(VLOOKUP($B46,'LOD 400 - COLO2'!$B:DE,108,FALSE),"N/A")</f>
        <v>1</v>
      </c>
      <c r="DV46" s="84">
        <f>IFERROR(VLOOKUP($B46,'LOD 400 - COLO2'!$B:DH,111,FALSE),"N/A")</f>
        <v>1</v>
      </c>
      <c r="DW46" s="84">
        <f>IFERROR(VLOOKUP($B46,'LOD 400 - COLO2'!$B:DK,114,FALSE),"N/A")</f>
        <v>1</v>
      </c>
      <c r="DX46" s="84">
        <f>IFERROR(VLOOKUP($B46,'LOD 400 - COLO2'!$B:DN,117,FALSE),"N/A")</f>
        <v>1</v>
      </c>
      <c r="DY46" s="91">
        <f>IFERROR(__xludf.DUMMYFUNCTION("IFERROR(
  MAX(FILTER(CQ46:DW46, ISNUMBER(CQ46:DW46))),
  DW46
)"),1.0)</f>
        <v>1</v>
      </c>
      <c r="DZ46" s="92">
        <f>IFERROR(VLOOKUP($B46,'LOD 400 - COLO3'!B:S,18,FALSE),"N/A")</f>
        <v>0</v>
      </c>
      <c r="EA46" s="84">
        <f>IFERROR(VLOOKUP($B46,'LOD 400 - COLO3'!B:V,21,FALSE),"N/A")</f>
        <v>1</v>
      </c>
      <c r="EB46" s="84">
        <f>IFERROR(VLOOKUP($B46,'LOD 400 - COLO3'!B:Y,24,FALSE),"N/A")</f>
        <v>1</v>
      </c>
      <c r="EC46" s="84">
        <f>IFERROR(VLOOKUP($B46,'LOD 400 - COLO3'!B:AB,27,FALSE),"N/A")</f>
        <v>1</v>
      </c>
      <c r="ED46" s="85">
        <f>IFERROR(VLOOKUP($B46,'LOD 400 - COLO3'!B:AE,30,FALSE),"N/A")</f>
        <v>1</v>
      </c>
      <c r="EE46" s="84">
        <f>IFERROR(VLOOKUP($B46,'LOD 400 - COLO3'!B:AH,33,FALSE),"N/A")</f>
        <v>1</v>
      </c>
      <c r="EF46" s="84">
        <f>IFERROR(VLOOKUP($B46,'LOD 400 - COLO3'!B:AK,36,FALSE),"N/A")</f>
        <v>1</v>
      </c>
      <c r="EG46" s="109">
        <f>IFERROR(VLOOKUP($B46,'LOD 400 - COLO3'!B:AN,39,FALSE),"N/A")</f>
        <v>1</v>
      </c>
      <c r="EH46" s="94">
        <f>IFERROR(VLOOKUP($B46,'LOD 400 - COLO3'!B:AQ,42,FALSE),"N/A")</f>
        <v>1</v>
      </c>
      <c r="EI46" s="94">
        <f>IFERROR(VLOOKUP($B46,'LOD 400 - COLO3'!B:AT,45,FALSE),"N/A")</f>
        <v>1</v>
      </c>
      <c r="EJ46" s="94">
        <f>IFERROR(VLOOKUP($B46,'LOD 400 - COLO3'!B:AW,48,FALSE),"N/A")</f>
        <v>1</v>
      </c>
      <c r="EK46" s="94">
        <f>IFERROR(VLOOKUP($B46,'LOD 400 - COLO3'!B:AZ,51,FALSE),"N/A")</f>
        <v>1</v>
      </c>
      <c r="EL46" s="94">
        <f>IFERROR(VLOOKUP($B46,'LOD 400 - COLO3'!B:BC,54,FALSE),"N/A")</f>
        <v>1</v>
      </c>
      <c r="EM46" s="94">
        <f>IFERROR(VLOOKUP($B46,'LOD 400 - COLO3'!B:BF,57,FALSE),"N/A")</f>
        <v>1</v>
      </c>
      <c r="EN46" s="94">
        <f>IFERROR(VLOOKUP($B46,'LOD 400 - COLO3'!B:BI,60,FALSE),"N/A")</f>
        <v>1</v>
      </c>
      <c r="EO46" s="94">
        <f>IFERROR(VLOOKUP($B46,'LOD 400 - COLO3'!B:BL,63,FALSE),"N/A")</f>
        <v>1</v>
      </c>
      <c r="EP46" s="86">
        <f>IFERROR(__xludf.DUMMYFUNCTION("IFERROR(
  MAX(FILTER(DZ46:EO46, ISNUMBER(DZ46:EO46))),
  EO46
)"),1.0)</f>
        <v>1</v>
      </c>
      <c r="EQ46" s="95">
        <f>IFERROR(VLOOKUP($B46,'LOD 400 - COLO4'!B:S,18,FALSE),"N/A")</f>
        <v>0</v>
      </c>
      <c r="ER46" s="96">
        <f>IFERROR(__xludf.DUMMYFUNCTION("IFERROR(
  MAX(FILTER(EQ46, ISNUMBER(EQ46))),
  EQ46
)"),0.0)</f>
        <v>0</v>
      </c>
      <c r="ES46" s="79" t="str">
        <f>IFERROR(VLOOKUP($B46,'LOD 400 - SITE'!B:S,18,FALSE),"N/A")</f>
        <v>N/A</v>
      </c>
      <c r="ET46" s="80" t="str">
        <f>IFERROR(VLOOKUP($B46,'LOD 400 - SITE'!B:V,21,FALSE),"N/A")</f>
        <v>N/A</v>
      </c>
      <c r="EU46" s="97" t="str">
        <f>IFERROR(VLOOKUP($B46,'LOD 400 - SITE'!$B:Y,24,FALSE),"N/A")</f>
        <v>N/A</v>
      </c>
      <c r="EV46" s="80" t="str">
        <f>IFERROR(VLOOKUP($B46,'LOD 400 - SITE'!$B:AB,27,FALSE),"N/A")</f>
        <v>N/A</v>
      </c>
      <c r="EW46" s="81" t="str">
        <f>IFERROR(VLOOKUP($B46,'LOD 400 - SITE'!$B:AE,30,FALSE),"N/A")</f>
        <v>N/A</v>
      </c>
      <c r="EX46" s="87" t="str">
        <f>IFERROR(VLOOKUP($B46,'LOD 400 - SITE'!$B:AH,33,FALSE),"N/A")</f>
        <v>N/A</v>
      </c>
      <c r="EY46" s="87" t="str">
        <f>IFERROR(VLOOKUP($B46,'LOD 400 - SITE'!$B:AK,36,FALSE),"N/A")</f>
        <v>N/A</v>
      </c>
      <c r="EZ46" s="80" t="str">
        <f>IFERROR(VLOOKUP($B46,'LOD 400 - SITE'!$B:AN,39,FALSE),"N/A")</f>
        <v>N/A</v>
      </c>
      <c r="FA46" s="82" t="str">
        <f>IFERROR(VLOOKUP($B46,'LOD 400 - SITE'!$B:AQ,42,FALSE),"N/A")</f>
        <v>N/A</v>
      </c>
      <c r="FB46" s="88" t="str">
        <f>IFERROR(VLOOKUP($B46,'LOD 400 - SITE'!$B:AT,45,FALSE),"N/A")</f>
        <v>N/A</v>
      </c>
      <c r="FC46" s="84" t="str">
        <f>IFERROR(VLOOKUP($B46,'LOD 400 - SITE'!$B:AW,48,FALSE),"N/A")</f>
        <v>N/A</v>
      </c>
      <c r="FD46" s="84" t="str">
        <f>IFERROR(VLOOKUP($B46,'LOD 400 - SITE'!$B:AZ,51,FALSE),"N/A")</f>
        <v>N/A</v>
      </c>
      <c r="FE46" s="84" t="str">
        <f>IFERROR(VLOOKUP($B46,'LOD 400 - SITE'!$B:BC,54,FALSE),"N/A")</f>
        <v>N/A</v>
      </c>
      <c r="FF46" s="84" t="str">
        <f>IFERROR(VLOOKUP($B46,'LOD 400 - SITE'!$B:BF,57,FALSE),"N/A")</f>
        <v>N/A</v>
      </c>
      <c r="FG46" s="84" t="str">
        <f>IFERROR(VLOOKUP($B46,'LOD 400 - SITE'!$B:BI,60,FALSE),"N/A")</f>
        <v>N/A</v>
      </c>
      <c r="FH46" s="84" t="str">
        <f>IFERROR(VLOOKUP($B46,'LOD 400 - SITE'!$B:BL,63,FALSE),"N/A")</f>
        <v>N/A</v>
      </c>
      <c r="FI46" s="84" t="str">
        <f>IFERROR(VLOOKUP($B46,'LOD 400 - SITE'!$B:BO,66,FALSE),"N/A")</f>
        <v>N/A</v>
      </c>
      <c r="FJ46" s="84" t="str">
        <f>IFERROR(VLOOKUP($B46,'LOD 400 - SITE'!$B:BR,69,FALSE),"N/A")</f>
        <v>N/A</v>
      </c>
      <c r="FK46" s="84" t="str">
        <f>IFERROR(VLOOKUP($B46,'LOD 400 - SITE'!$B:BU,72,FALSE),"N/A")</f>
        <v>N/A</v>
      </c>
      <c r="FL46" s="84" t="str">
        <f>IFERROR(VLOOKUP($B46,'LOD 400 - SITE'!$B:BX,75,FALSE),"N/A")</f>
        <v>N/A</v>
      </c>
      <c r="FM46" s="84" t="str">
        <f>IFERROR(VLOOKUP($B46,'LOD 400 - SITE'!$B:CA,78,FALSE),"N/A")</f>
        <v>N/A</v>
      </c>
      <c r="FN46" s="85" t="str">
        <f>IFERROR(VLOOKUP($B46,'LOD 400 - SITE'!$B:CD,81,FALSE),"N/A")</f>
        <v>N/A</v>
      </c>
      <c r="FO46" s="84" t="str">
        <f>IFERROR(VLOOKUP($B46,'LOD 400 - SITE'!$B:CG,84,FALSE),"N/A")</f>
        <v>N/A</v>
      </c>
      <c r="FP46" s="85" t="str">
        <f>IFERROR(VLOOKUP($B46,'LOD 400 - SITE'!$B:CJ,87,FALSE),"N/A")</f>
        <v>N/A</v>
      </c>
      <c r="FQ46" s="84" t="str">
        <f>IFERROR(VLOOKUP($B46,'LOD 400 - SITE'!$B:CM,90,FALSE),"N/A")</f>
        <v>N/A</v>
      </c>
      <c r="FR46" s="84" t="str">
        <f>IFERROR(VLOOKUP($B46,'LOD 400 - SITE'!$B:CP,93,FALSE),"N/A")</f>
        <v>N/A</v>
      </c>
      <c r="FS46" s="84" t="str">
        <f>IFERROR(VLOOKUP($B46,'LOD 400 - SITE'!$B:CS,96,FALSE),"N/A")</f>
        <v>N/A</v>
      </c>
      <c r="FT46" s="84" t="str">
        <f>IFERROR(VLOOKUP($B46,'LOD 400 - SITE'!$B:CV,99,FALSE),"N/A")</f>
        <v>N/A</v>
      </c>
      <c r="FU46" s="84" t="str">
        <f>IFERROR(VLOOKUP($B46,'LOD 400 - SITE'!$B:CY,102,FALSE),"N/A")</f>
        <v>N/A</v>
      </c>
      <c r="FV46" s="84" t="str">
        <f>IFERROR(VLOOKUP($B46,'LOD 400 - SITE'!$B:DB,105,FALSE),"N/A")</f>
        <v>N/A</v>
      </c>
      <c r="FW46" s="84" t="str">
        <f>IFERROR(VLOOKUP($B46,'LOD 400 - SITE'!$B:DE,108,FALSE),"N/A")</f>
        <v>N/A</v>
      </c>
      <c r="FX46" s="84" t="str">
        <f>IFERROR(VLOOKUP($B46,'LOD 400 - SITE'!$B:DH,111,FALSE),"N/A")</f>
        <v>N/A</v>
      </c>
      <c r="FY46" s="84" t="str">
        <f>IFERROR(VLOOKUP($B46,'LOD 400 - SITE'!$B:DK,114,FALSE),"N/A")</f>
        <v>N/A</v>
      </c>
      <c r="FZ46" s="96" t="str">
        <f>IFERROR(__xludf.DUMMYFUNCTION("IFERROR(
  MAX(FILTER(ES46:FY46, ISNUMBER(ES46:FY46))),
  FY46
)"),"N/A")</f>
        <v>N/A</v>
      </c>
      <c r="GA46" s="80" t="str">
        <f>IFERROR(VLOOKUP($B46,'LOD 400 - UTLS'!B:S,18,FALSE),"N/A")</f>
        <v>N/A</v>
      </c>
      <c r="GB46" s="98" t="str">
        <f>IFERROR(VLOOKUP($B46,'LOD 400 - UTLS'!B:V,21,FALSE),"N/A")</f>
        <v>N/A</v>
      </c>
      <c r="GC46" s="81" t="str">
        <f>IFERROR(VLOOKUP($B46,'LOD 400 - UTLS'!B:Y,24,FALSE),"N/A")</f>
        <v>N/A</v>
      </c>
      <c r="GD46" s="87" t="str">
        <f>IFERROR(VLOOKUP($B46,'LOD 400 - UTLS'!$B:AB,27,FALSE),"N/A")</f>
        <v>N/A</v>
      </c>
      <c r="GE46" s="80" t="str">
        <f>IFERROR(VLOOKUP($B46,'LOD 400 - UTLS'!$B:AE,30,FALSE),"N/A")</f>
        <v>N/A</v>
      </c>
      <c r="GF46" s="82" t="str">
        <f>IFERROR(VLOOKUP($B46,'LOD 400 - UTLS'!$B:AH,33,FALSE),"N/A")</f>
        <v>N/A</v>
      </c>
      <c r="GG46" s="88" t="str">
        <f>IFERROR(VLOOKUP($B46,'LOD 400 - UTLS'!$B:AK,36,FALSE),"N/A")</f>
        <v>N/A</v>
      </c>
      <c r="GH46" s="84" t="str">
        <f>IFERROR(VLOOKUP($B46,'LOD 400 - UTLS'!$B:AN,39,FALSE),"N/A")</f>
        <v>N/A</v>
      </c>
      <c r="GI46" s="84" t="str">
        <f>IFERROR(VLOOKUP($B46,'LOD 400 - UTLS'!$B:AQ,42,FALSE),"N/A")</f>
        <v>N/A</v>
      </c>
      <c r="GJ46" s="84" t="str">
        <f>IFERROR(VLOOKUP($B46,'LOD 400 - UTLS'!$B:AT,45,FALSE),"N/A")</f>
        <v>N/A</v>
      </c>
      <c r="GK46" s="84" t="str">
        <f>IFERROR(VLOOKUP($B46,'LOD 400 - UTLS'!$B:AW,48,FALSE),"N/A")</f>
        <v>N/A</v>
      </c>
      <c r="GL46" s="84" t="str">
        <f>IFERROR(VLOOKUP($B46,'LOD 400 - UTLS'!$B:AZ,51,FALSE),"N/A")</f>
        <v>N/A</v>
      </c>
      <c r="GM46" s="84" t="str">
        <f>IFERROR(VLOOKUP($B46,'LOD 400 - UTLS'!$B:BC,54,FALSE),"N/A")</f>
        <v>N/A</v>
      </c>
      <c r="GN46" s="84" t="str">
        <f>IFERROR(VLOOKUP($B46,'LOD 400 - UTLS'!$B:BF,57,FALSE),"N/A")</f>
        <v>N/A</v>
      </c>
      <c r="GO46" s="84" t="str">
        <f>IFERROR(VLOOKUP($B46,'LOD 400 - UTLS'!$B:BI,60,FALSE),"N/A")</f>
        <v>N/A</v>
      </c>
      <c r="GP46" s="84" t="str">
        <f>IFERROR(VLOOKUP($B46,'LOD 400 - UTLS'!$B:BL,63,FALSE),"N/A")</f>
        <v>N/A</v>
      </c>
      <c r="GQ46" s="84" t="str">
        <f>IFERROR(VLOOKUP($B46,'LOD 400 - UTLS'!$B:BO,66,FALSE),"N/A")</f>
        <v>N/A</v>
      </c>
      <c r="GR46" s="84" t="str">
        <f>IFERROR(VLOOKUP($B46,'LOD 400 - UTLS'!$B:BR,69,FALSE),"N/A")</f>
        <v>N/A</v>
      </c>
      <c r="GS46" s="85" t="str">
        <f>IFERROR(VLOOKUP($B46,'LOD 400 - UTLS'!$B:BU,72,FALSE),"N/A")</f>
        <v>N/A</v>
      </c>
      <c r="GT46" s="84" t="str">
        <f>IFERROR(VLOOKUP($B46,'LOD 400 - UTLS'!$B:BX,75,FALSE),"N/A")</f>
        <v>N/A</v>
      </c>
      <c r="GU46" s="85" t="str">
        <f>IFERROR(VLOOKUP($B46,'LOD 400 - UTLS'!$B:CA,78,FALSE),"N/A")</f>
        <v>N/A</v>
      </c>
      <c r="GV46" s="84" t="str">
        <f>IFERROR(VLOOKUP($B46,'LOD 400 - UTLS'!$B:CD,81,FALSE),"N/A")</f>
        <v>N/A</v>
      </c>
      <c r="GW46" s="84" t="str">
        <f>IFERROR(VLOOKUP($B46,'LOD 400 - UTLS'!$B:CG,84,FALSE),"N/A")</f>
        <v>N/A</v>
      </c>
      <c r="GX46" s="84" t="str">
        <f>IFERROR(VLOOKUP($B46,'LOD 400 - UTLS'!$B:CJ,87,FALSE),"N/A")</f>
        <v>N/A</v>
      </c>
      <c r="GY46" s="84" t="str">
        <f>IFERROR(VLOOKUP($B46,'LOD 400 - UTLS'!$B:CM,90,FALSE),"N/A")</f>
        <v>N/A</v>
      </c>
      <c r="GZ46" s="84" t="str">
        <f>IFERROR(VLOOKUP($B46,'LOD 400 - UTLS'!$B:CP,93,FALSE),"N/A")</f>
        <v>N/A</v>
      </c>
      <c r="HA46" s="84" t="str">
        <f>IFERROR(VLOOKUP($B46,'LOD 400 - UTLS'!$B:CS,96,FALSE),"N/A")</f>
        <v>N/A</v>
      </c>
      <c r="HB46" s="84" t="str">
        <f>IFERROR(VLOOKUP($B46,'LOD 400 - UTLS'!$B:CV,99,FALSE),"N/A")</f>
        <v>N/A</v>
      </c>
      <c r="HC46" s="84" t="str">
        <f>IFERROR(VLOOKUP($B46,'LOD 400 - UTLS'!$B:CY,102,FALSE),"N/A")</f>
        <v>N/A</v>
      </c>
      <c r="HD46" s="84" t="str">
        <f>IFERROR(VLOOKUP($B46,'LOD 400 - UTLS'!$B:DB,105,FALSE),"N/A")</f>
        <v>N/A</v>
      </c>
      <c r="HE46" s="96" t="str">
        <f>IFERROR(__xludf.DUMMYFUNCTION("IFERROR(
  MAX(FILTER(GA46:HD46, ISNUMBER(GA46:HD46))),
  HD46
)"),"N/A")</f>
        <v>N/A</v>
      </c>
      <c r="HF46" s="99"/>
      <c r="HG46" s="99"/>
      <c r="HH46" s="99"/>
      <c r="HI46" s="99"/>
      <c r="HJ46" s="99"/>
      <c r="HK46" s="99"/>
    </row>
    <row r="47" ht="15.0" customHeight="1" outlineLevel="1">
      <c r="A47" s="53">
        <v>51.0</v>
      </c>
      <c r="B47" s="100" t="s">
        <v>181</v>
      </c>
      <c r="C47" s="100" t="s">
        <v>182</v>
      </c>
      <c r="D47" s="64" t="str">
        <f t="shared" si="6"/>
        <v>PUMP</v>
      </c>
      <c r="E47" s="101" t="s">
        <v>154</v>
      </c>
      <c r="F47" s="102">
        <v>1112.0</v>
      </c>
      <c r="G47" s="103" t="s">
        <v>155</v>
      </c>
      <c r="H47" s="104">
        <v>1129.0</v>
      </c>
      <c r="I47" s="68" t="str">
        <f>IFERROR(VLOOKUP($C44:C108,'R22 RELATÓRIO ACC'!B:F,5,FALSE),"NOT PUBLISHED")</f>
        <v>V32</v>
      </c>
      <c r="J47" s="69" t="str">
        <f>IFERROR(VLOOKUP($C44:C108,'R22 RELATÓRIO ACC'!B:P,15,FALSE),"NOT PUBLISHED")</f>
        <v>24/04/2026</v>
      </c>
      <c r="K47" s="70" t="str">
        <f>IFERROR(VLOOKUP($B44:B108,'RELATÓRIO ACC'!B:F,5,FALSE),"NOT PUBLISHED")</f>
        <v>V3</v>
      </c>
      <c r="L47" s="71" t="str">
        <f>IFERROR(VLOOKUP($B44:B108,'RELATÓRIO ACC'!B:P,15,FALSE),"NOT PUBLISHED")</f>
        <v>03/07/2026</v>
      </c>
      <c r="M47" s="72" t="str">
        <f>IF(OR($D47="UTLS",$D47="GUAR",$D47="STIR",$D47="PUMP",$D47="SITE"),
   VLOOKUP($B47,'LOD 400 - SITE'!B:M,12,FALSE),
   VLOOKUP($B47,'LOD 400 - ADMN'!B:M,12,FALSE)
)</f>
        <v>V28</v>
      </c>
      <c r="N47" s="105" t="str">
        <f>IF(OR($D47="UTLS",$D47="GUAR",$D47="STIR",$D47="PUMP",$D47="SITE"),
   VLOOKUP($B47,'LOD 400 - SITE'!B:N,13,FALSE),
   VLOOKUP($B47,'LOD 400 - ADMN'!B:N,13,FALSE)
)</f>
        <v>23/12/2025</v>
      </c>
      <c r="O47" s="106" t="str">
        <f>IF(OR($D47="UTLS",$D47="GUAR",$D47="STIR",$D47="PUMP",$D47="SITE"),
   VLOOKUP($B47,'LOD 400 - SITE'!B:O,14,FALSE),
   VLOOKUP($B47,'LOD 400 - ADMN'!B:O,14,FALSE)
)</f>
        <v>R22</v>
      </c>
      <c r="P47" s="107" t="str">
        <f>IF(OR($D47="C345",$D47="C12A",$D47="DATA"),
   VLOOKUP($B47,'LOD 400 - COLO3'!B:M,12,FALSE),"N/A")</f>
        <v>N/A</v>
      </c>
      <c r="Q47" s="108" t="str">
        <f>IF(OR($D47="C345",$D47="C12A",$D47="DATA"),
   VLOOKUP($B47,'LOD 400 - COLO3'!B:N,13,FALSE),"N/A")</f>
        <v>N/A</v>
      </c>
      <c r="R47" s="75" t="str">
        <f>IF(OR($D47="C345",$D47="C12A",$D47="DATA"),
   VLOOKUP($B47,'LOD 400 - COLO3'!B:O,14,FALSE),"N/A")</f>
        <v>N/A</v>
      </c>
      <c r="S47" s="76" t="str">
        <f>IF(OR($D47="C345",$D47="C12A",$D47="DATA"),
   VLOOKUP($B47,'LOD 400 - COLO4'!B:N,12,FALSE),"N/A")</f>
        <v>N/A</v>
      </c>
      <c r="T47" s="76" t="str">
        <f>IF(OR($D47="C345",$D47="C12A",$D47="DATA"),
   VLOOKUP($B47,'LOD 400 - COLO4'!B:N,13,FALSE),"N/A")</f>
        <v>N/A</v>
      </c>
      <c r="U47" s="76" t="str">
        <f>IF(OR($D47="C345",$D47="C12A",$D47="DATA"),
   VLOOKUP($B47,'LOD 400 - COLO4'!B:N,13,FALSE),"N/A")</f>
        <v>N/A</v>
      </c>
      <c r="V47" s="77" t="str">
        <f>IF(OR($D47="UTLS",$D47="GUAR",$D47="STIR",$D47="PUMP",$D47="SITE"),
   VLOOKUP($B47,'LOD 400 - UTLS'!B:M,12,FALSE),"N/A")</f>
        <v>V28</v>
      </c>
      <c r="W47" s="78" t="str">
        <f>IF(OR($D47="UTLS",$D47="GUAR",$D47="STIR",$D47="PUMP",$D47="SITE"),
   VLOOKUP($B47,'LOD 400 - UTLS'!B:N,13,FALSE),"N/A")</f>
        <v>23/12/2025</v>
      </c>
      <c r="X47" s="108" t="str">
        <f>IF(OR($D47="UTLS",$D47="GUAR",$D47="STIR",$D47="PUMP",$D47="SITE"),
   VLOOKUP($B47,'LOD 400 - UTLS'!B:O,14,FALSE),"N/A")</f>
        <v>R22</v>
      </c>
      <c r="Y47" s="79" t="str">
        <f>IFERROR(VLOOKUP($B47,'LOD 400 - ADMN'!B:S,18,FALSE),"N/A")</f>
        <v>N/A</v>
      </c>
      <c r="Z47" s="79" t="str">
        <f>IFERROR(VLOOKUP($B47,'LOD 400 - ADMN'!B:V,21,FALSE),"N/A")</f>
        <v>N/A</v>
      </c>
      <c r="AA47" s="79" t="str">
        <f>IFERROR(VLOOKUP($B47,'LOD 400 - ADMN'!$B:Y,24,FALSE),"N/A")</f>
        <v>N/A</v>
      </c>
      <c r="AB47" s="80" t="str">
        <f>IFERROR(VLOOKUP($B47,'LOD 400 - ADMN'!$B:AB,27,FALSE),"N/A")</f>
        <v>N/A</v>
      </c>
      <c r="AC47" s="81" t="str">
        <f>IFERROR(VLOOKUP($B47,'LOD 400 - ADMN'!$B:AE,30,FALSE),"N/A")</f>
        <v>N/A</v>
      </c>
      <c r="AD47" s="81" t="str">
        <f>IFERROR(VLOOKUP($B47,'LOD 400 - ADMN'!$B:AH,33,FALSE),"N/A")</f>
        <v>N/A</v>
      </c>
      <c r="AE47" s="80" t="str">
        <f>IFERROR(VLOOKUP($B47,'LOD 400 - ADMN'!$B:AK,36,FALSE),"N/A")</f>
        <v>N/A</v>
      </c>
      <c r="AF47" s="82" t="str">
        <f>IFERROR(VLOOKUP($B47,'LOD 400 - ADMN'!$B:AN,39,FALSE),"N/A")</f>
        <v>N/A</v>
      </c>
      <c r="AG47" s="83" t="str">
        <f>IFERROR(VLOOKUP($B47,'LOD 400 - ADMN'!$B:AQ,42,FALSE),"N/A")</f>
        <v>N/A</v>
      </c>
      <c r="AH47" s="84" t="str">
        <f>IFERROR(VLOOKUP($B47,'LOD 400 - ADMN'!$B:AT,45,FALSE),"N/A")</f>
        <v>N/A</v>
      </c>
      <c r="AI47" s="85" t="str">
        <f>IFERROR(VLOOKUP($B47,'LOD 400 - ADMN'!$B:AW,48,FALSE),"N/A")</f>
        <v>N/A</v>
      </c>
      <c r="AJ47" s="85" t="str">
        <f>IFERROR(VLOOKUP($B47,'LOD 400 - ADMN'!$B:AZ,51,FALSE),"N/A")</f>
        <v>N/A</v>
      </c>
      <c r="AK47" s="84" t="str">
        <f>IFERROR(VLOOKUP($B47,'LOD 400 - ADMN'!$B:BC,54,FALSE),"N/A")</f>
        <v>N/A</v>
      </c>
      <c r="AL47" s="84" t="str">
        <f>IFERROR(VLOOKUP($B47,'LOD 400 - ADMN'!$B:BF,57,FALSE),"N/A")</f>
        <v>N/A</v>
      </c>
      <c r="AM47" s="84" t="str">
        <f>IFERROR(VLOOKUP($B47,'LOD 400 - ADMN'!$B:BI,60,FALSE),"N/A")</f>
        <v>N/A</v>
      </c>
      <c r="AN47" s="84" t="str">
        <f>IFERROR(VLOOKUP($B47,'LOD 400 - ADMN'!$B:BL,63,FALSE),"N/A")</f>
        <v>N/A</v>
      </c>
      <c r="AO47" s="84" t="str">
        <f>IFERROR(VLOOKUP($B47,'LOD 400 - ADMN'!$B:BO,66,FALSE),"N/A")</f>
        <v>N/A</v>
      </c>
      <c r="AP47" s="84" t="str">
        <f>IFERROR(VLOOKUP($B47,'LOD 400 - ADMN'!$B:BR,69,FALSE),"N/A")</f>
        <v>N/A</v>
      </c>
      <c r="AQ47" s="84" t="str">
        <f>IFERROR(VLOOKUP($B47,'LOD 400 - ADMN'!$B:BU,72,FALSE),"N/A")</f>
        <v>N/A</v>
      </c>
      <c r="AR47" s="84" t="str">
        <f>IFERROR(VLOOKUP($B47,'LOD 400 - ADMN'!$B:BX,75,FALSE),"N/A")</f>
        <v>N/A</v>
      </c>
      <c r="AS47" s="84" t="str">
        <f>IFERROR(VLOOKUP($B47,'LOD 400 - ADMN'!$B:CA,78,FALSE),"N/A")</f>
        <v>N/A</v>
      </c>
      <c r="AT47" s="84" t="str">
        <f>IFERROR(VLOOKUP($B47,'LOD 400 - ADMN'!$B:CD,81,FALSE),"N/A")</f>
        <v>N/A</v>
      </c>
      <c r="AU47" s="85" t="str">
        <f>IFERROR(VLOOKUP($B47,'LOD 400 - ADMN'!$B:CG,84,FALSE),"N/A")</f>
        <v>N/A</v>
      </c>
      <c r="AV47" s="84" t="str">
        <f>IFERROR(VLOOKUP($B47,'LOD 400 - ADMN'!$B:CJ,87,FALSE),"N/A")</f>
        <v>N/A</v>
      </c>
      <c r="AW47" s="85" t="str">
        <f>IFERROR(VLOOKUP($B47,'LOD 400 - ADMN'!$B:CM,90,FALSE),"N/A")</f>
        <v>N/A</v>
      </c>
      <c r="AX47" s="84" t="str">
        <f>IFERROR(VLOOKUP($B47,'LOD 400 - ADMN'!$B:CP,93,FALSE),"N/A")</f>
        <v>N/A</v>
      </c>
      <c r="AY47" s="84" t="str">
        <f>IFERROR(VLOOKUP($B47,'LOD 400 - ADMN'!$B:CS,96,FALSE),"N/A")</f>
        <v>N/A</v>
      </c>
      <c r="AZ47" s="84" t="str">
        <f>IFERROR(VLOOKUP($B47,'LOD 400 - ADMN'!$B:CV,99,FALSE),"N/A")</f>
        <v>N/A</v>
      </c>
      <c r="BA47" s="84" t="str">
        <f>IFERROR(VLOOKUP($B47,'LOD 400 - ADMN'!$B:CY,102,FALSE),"N/A")</f>
        <v>N/A</v>
      </c>
      <c r="BB47" s="84" t="str">
        <f>IFERROR(VLOOKUP($B47,'LOD 400 - ADMN'!$B:DB,105,FALSE),"N/A")</f>
        <v>N/A</v>
      </c>
      <c r="BC47" s="84" t="str">
        <f>IFERROR(VLOOKUP($B47,'LOD 400 - ADMN'!$B:DE,108,FALSE),"N/A")</f>
        <v>N/A</v>
      </c>
      <c r="BD47" s="84" t="str">
        <f>IFERROR(VLOOKUP($B47,'LOD 400 - ADMN'!$B:DH,111,FALSE),"N/A")</f>
        <v>N/A</v>
      </c>
      <c r="BE47" s="84" t="str">
        <f>IFERROR(VLOOKUP($B47,'LOD 400 - ADMN'!$B:DK,114,FALSE),"N/A")</f>
        <v>N/A</v>
      </c>
      <c r="BF47" s="84" t="str">
        <f>IFERROR(VLOOKUP($B47,'LOD 400 - ADMN'!$B:DN,117,FALSE),"N/A")</f>
        <v>N/A</v>
      </c>
      <c r="BG47" s="86" t="str">
        <f>IFERROR(__xludf.DUMMYFUNCTION("IFERROR(
  MAX(FILTER(Y47:BF47, ISNUMBER(Y47:BF47))),
  BF47
)"),"N/A")</f>
        <v>N/A</v>
      </c>
      <c r="BH47" s="79" t="str">
        <f>IFERROR(VLOOKUP($B47,'LOD 400 - COLO1'!B:S,18,FALSE),"N/A")</f>
        <v>N/A</v>
      </c>
      <c r="BI47" s="79" t="str">
        <f>IFERROR(VLOOKUP($B47,'LOD 400 - COLO1'!B:V,21,FALSE),"N/A")</f>
        <v>N/A</v>
      </c>
      <c r="BJ47" s="79" t="str">
        <f>IFERROR(VLOOKUP($B47,'LOD 400 - COLO1'!$B:Y,24,FALSE),"N/A")</f>
        <v>N/A</v>
      </c>
      <c r="BK47" s="87" t="str">
        <f>IFERROR(VLOOKUP($B47,'LOD 400 - COLO1'!$B:AB,27,FALSE),"N/A")</f>
        <v>N/A</v>
      </c>
      <c r="BL47" s="80" t="str">
        <f>IFERROR(VLOOKUP($B47,'LOD 400 - COLO1'!$B:AE,30,FALSE),"N/A")</f>
        <v>N/A</v>
      </c>
      <c r="BM47" s="81" t="str">
        <f>IFERROR(VLOOKUP($B47,'LOD 400 - COLO1'!$B:AH,33,FALSE),"N/A")</f>
        <v>N/A</v>
      </c>
      <c r="BN47" s="87" t="str">
        <f>IFERROR(VLOOKUP($B47,'LOD 400 - COLO1'!$B:AK,36,FALSE),"N/A")</f>
        <v>N/A</v>
      </c>
      <c r="BO47" s="83" t="str">
        <f>IFERROR(VLOOKUP($B47,'LOD 400 - COLO1'!$B:AN,39,FALSE),"N/A")</f>
        <v>N/A</v>
      </c>
      <c r="BP47" s="88" t="str">
        <f>IFERROR(VLOOKUP($B47,'LOD 400 - COLO1'!$B:AQ,42,FALSE),"N/A")</f>
        <v>N/A</v>
      </c>
      <c r="BQ47" s="84" t="str">
        <f>IFERROR(VLOOKUP($B47,'LOD 400 - COLO1'!$B:AT,45,FALSE),"N/A")</f>
        <v>N/A</v>
      </c>
      <c r="BR47" s="85" t="str">
        <f>IFERROR(VLOOKUP($B47,'LOD 400 - COLO1'!$B:AW,48,FALSE),"N/A")</f>
        <v>N/A</v>
      </c>
      <c r="BS47" s="84" t="str">
        <f>IFERROR(VLOOKUP($B47,'LOD 400 - COLO1'!$B:AZ,51,FALSE),"N/A")</f>
        <v>N/A</v>
      </c>
      <c r="BT47" s="84" t="str">
        <f>IFERROR(VLOOKUP($B47,'LOD 400 - COLO1'!$B:BC,54,FALSE),"N/A")</f>
        <v>N/A</v>
      </c>
      <c r="BU47" s="84" t="str">
        <f>IFERROR(VLOOKUP($B47,'LOD 400 - COLO1'!$B:BF,57,FALSE),"N/A")</f>
        <v>N/A</v>
      </c>
      <c r="BV47" s="84" t="str">
        <f>IFERROR(VLOOKUP($B47,'LOD 400 - COLO1'!$B:BI,60,FALSE),"N/A")</f>
        <v>N/A</v>
      </c>
      <c r="BW47" s="84" t="str">
        <f>IFERROR(VLOOKUP($B47,'LOD 400 - COLO1'!$B:BL,63,FALSE),"N/A")</f>
        <v>N/A</v>
      </c>
      <c r="BX47" s="84" t="str">
        <f>IFERROR(VLOOKUP($B47,'LOD 400 - COLO1'!$B:BO,66,FALSE),"N/A")</f>
        <v>N/A</v>
      </c>
      <c r="BY47" s="84" t="str">
        <f>IFERROR(VLOOKUP($B47,'LOD 400 - COLO1'!$B:BR,69,FALSE),"N/A")</f>
        <v>N/A</v>
      </c>
      <c r="BZ47" s="84" t="str">
        <f>IFERROR(VLOOKUP($B47,'LOD 400 - COLO1'!$B:BU,72,FALSE),"N/A")</f>
        <v>N/A</v>
      </c>
      <c r="CA47" s="84" t="str">
        <f>IFERROR(VLOOKUP($B47,'LOD 400 - COLO1'!$B:BX,75,FALSE),"N/A")</f>
        <v>N/A</v>
      </c>
      <c r="CB47" s="84" t="str">
        <f>IFERROR(VLOOKUP($B47,'LOD 400 - COLO1'!$B:CA,78,FALSE),"N/A")</f>
        <v>N/A</v>
      </c>
      <c r="CC47" s="84" t="str">
        <f>IFERROR(VLOOKUP($B47,'LOD 400 - COLO1'!$B:CD,81,FALSE),"N/A")</f>
        <v>N/A</v>
      </c>
      <c r="CD47" s="85" t="str">
        <f>IFERROR(VLOOKUP($B47,'LOD 400 - COLO1'!$B:CG,84,FALSE),"N/A")</f>
        <v>N/A</v>
      </c>
      <c r="CE47" s="84" t="str">
        <f>IFERROR(VLOOKUP($B47,'LOD 400 - COLO1'!$B:CJ,87,FALSE),"N/A")</f>
        <v>N/A</v>
      </c>
      <c r="CF47" s="85" t="str">
        <f>IFERROR(VLOOKUP($B47,'LOD 400 - COLO1'!$B:CM,90,FALSE),"N/A")</f>
        <v>N/A</v>
      </c>
      <c r="CG47" s="84" t="str">
        <f>IFERROR(VLOOKUP($B47,'LOD 400 - COLO1'!$B:CP,93,FALSE),"N/A")</f>
        <v>N/A</v>
      </c>
      <c r="CH47" s="84" t="str">
        <f>IFERROR(VLOOKUP($B47,'LOD 400 - COLO1'!$B:CS,96,FALSE),"N/A")</f>
        <v>N/A</v>
      </c>
      <c r="CI47" s="84" t="str">
        <f>IFERROR(VLOOKUP($B47,'LOD 400 - COLO1'!$B:CV,99,FALSE),"N/A")</f>
        <v>N/A</v>
      </c>
      <c r="CJ47" s="84" t="str">
        <f>IFERROR(VLOOKUP($B47,'LOD 400 - COLO1'!$B:CY,102,FALSE),"N/A")</f>
        <v>N/A</v>
      </c>
      <c r="CK47" s="84" t="str">
        <f>IFERROR(VLOOKUP($B47,'LOD 400 - COLO1'!$B:DB,105,FALSE),"N/A")</f>
        <v>N/A</v>
      </c>
      <c r="CL47" s="84" t="str">
        <f>IFERROR(VLOOKUP($B47,'LOD 400 - COLO1'!$B:DE,108,FALSE),"N/A")</f>
        <v>N/A</v>
      </c>
      <c r="CM47" s="84" t="str">
        <f>IFERROR(VLOOKUP($B47,'LOD 400 - COLO1'!$B:DH,111,FALSE),"N/A")</f>
        <v>N/A</v>
      </c>
      <c r="CN47" s="84" t="str">
        <f>IFERROR(VLOOKUP($B47,'LOD 400 - COLO1'!$B:DK,114,FALSE),"N/A")</f>
        <v>N/A</v>
      </c>
      <c r="CO47" s="84" t="str">
        <f>IFERROR(VLOOKUP($B47,'LOD 400 - COLO1'!$B:DN,117,FALSE),"N/A")</f>
        <v>N/A</v>
      </c>
      <c r="CP47" s="86" t="str">
        <f>IFERROR(__xludf.DUMMYFUNCTION("IFERROR(
  MAX(FILTER(BH47:CO47, ISNUMBER(BH47:CO47))),
  CO47
)"),"N/A")</f>
        <v>N/A</v>
      </c>
      <c r="CQ47" s="89" t="str">
        <f>IFERROR(VLOOKUP($B47,'LOD 400 - COLO2'!B:S,18,FALSE),"N/A")</f>
        <v>N/A</v>
      </c>
      <c r="CR47" s="79" t="str">
        <f>IFERROR(VLOOKUP($B47,'LOD 400 - COLO2'!B:V,21,FALSE),"N/A")</f>
        <v>N/A</v>
      </c>
      <c r="CS47" s="79" t="str">
        <f>IFERROR(VLOOKUP($B47,'LOD 400 - COLO2'!$B:Y,24,FALSE),"N/A")</f>
        <v>N/A</v>
      </c>
      <c r="CT47" s="80" t="str">
        <f>IFERROR(VLOOKUP($B47,'LOD 400 - COLO2'!$B:DQ,27,FALSE),"N/A")</f>
        <v>N/A</v>
      </c>
      <c r="CU47" s="90" t="str">
        <f>IFERROR(VLOOKUP($B47,'LOD 400 - COLO2'!$B:AE,30,FALSE),"N/A")</f>
        <v>N/A</v>
      </c>
      <c r="CV47" s="81" t="str">
        <f>IFERROR(VLOOKUP($B47,'LOD 400 - COLO2'!$B:AH,33,FALSE),"N/A")</f>
        <v>N/A</v>
      </c>
      <c r="CW47" s="90" t="str">
        <f>IFERROR(VLOOKUP($B47,'LOD 400 - COLO2'!$B:AK,36,FALSE),"N/A")</f>
        <v>N/A</v>
      </c>
      <c r="CX47" s="85" t="str">
        <f>IFERROR(VLOOKUP($B47,'LOD 400 - COLO2'!$B:AN,39,FALSE),"N/A")</f>
        <v>N/A</v>
      </c>
      <c r="CY47" s="88" t="str">
        <f>IFERROR(VLOOKUP($B47,'LOD 400 - COLO2'!$B:AQ,42,FALSE),"N/A")</f>
        <v>N/A</v>
      </c>
      <c r="CZ47" s="84" t="str">
        <f>IFERROR(VLOOKUP($B47,'LOD 400 - COLO2'!$B:AT,45,FALSE),"N/A")</f>
        <v>N/A</v>
      </c>
      <c r="DA47" s="85" t="str">
        <f>IFERROR(VLOOKUP($B47,'LOD 400 - COLO2'!$B:AW,48,FALSE),"N/A")</f>
        <v>N/A</v>
      </c>
      <c r="DB47" s="84" t="str">
        <f>IFERROR(VLOOKUP($B47,'LOD 400 - COLO2'!$B:AZ,51,FALSE),"N/A")</f>
        <v>N/A</v>
      </c>
      <c r="DC47" s="84" t="str">
        <f>IFERROR(VLOOKUP($B47,'LOD 400 - COLO2'!$B:BC,54,FALSE),"N/A")</f>
        <v>N/A</v>
      </c>
      <c r="DD47" s="84" t="str">
        <f>IFERROR(VLOOKUP($B47,'LOD 400 - COLO2'!$B:BF,57,FALSE),"N/A")</f>
        <v>N/A</v>
      </c>
      <c r="DE47" s="84" t="str">
        <f>IFERROR(VLOOKUP($B47,'LOD 400 - COLO2'!$B:BI,60,FALSE),"N/A")</f>
        <v>N/A</v>
      </c>
      <c r="DF47" s="84" t="str">
        <f>IFERROR(VLOOKUP($B47,'LOD 400 - COLO2'!$B:BL,63,FALSE),"N/A")</f>
        <v>N/A</v>
      </c>
      <c r="DG47" s="84" t="str">
        <f>IFERROR(VLOOKUP($B47,'LOD 400 - COLO2'!$B:BO,66,FALSE),"N/A")</f>
        <v>N/A</v>
      </c>
      <c r="DH47" s="84" t="str">
        <f>IFERROR(VLOOKUP($B47,'LOD 400 - COLO2'!$B:BR,69,FALSE),"N/A")</f>
        <v>N/A</v>
      </c>
      <c r="DI47" s="84" t="str">
        <f>IFERROR(VLOOKUP($B47,'LOD 400 - COLO2'!$B:BU,72,FALSE),"N/A")</f>
        <v>N/A</v>
      </c>
      <c r="DJ47" s="84" t="str">
        <f>IFERROR(VLOOKUP($B47,'LOD 400 - COLO2'!$B:BX,75,FALSE),"N/A")</f>
        <v>N/A</v>
      </c>
      <c r="DK47" s="84" t="str">
        <f>IFERROR(VLOOKUP($B47,'LOD 400 - COLO2'!$B:CA,78,FALSE),"N/A")</f>
        <v>N/A</v>
      </c>
      <c r="DL47" s="84" t="str">
        <f>IFERROR(VLOOKUP($B47,'LOD 400 - COLO2'!$B:CD,81,FALSE),"N/A")</f>
        <v>N/A</v>
      </c>
      <c r="DM47" s="85" t="str">
        <f>IFERROR(VLOOKUP($B47,'LOD 400 - COLO2'!$B:CG,84,FALSE),"N/A")</f>
        <v>N/A</v>
      </c>
      <c r="DN47" s="84" t="str">
        <f>IFERROR(VLOOKUP($B47,'LOD 400 - COLO2'!$B:CJ,87,FALSE),"N/A")</f>
        <v>N/A</v>
      </c>
      <c r="DO47" s="85" t="str">
        <f>IFERROR(VLOOKUP($B47,'LOD 400 - COLO2'!$B:CM,90,FALSE),"N/A")</f>
        <v>N/A</v>
      </c>
      <c r="DP47" s="84" t="str">
        <f>IFERROR(VLOOKUP($B47,'LOD 400 - COLO2'!$B:CP,93,FALSE),"N/A")</f>
        <v>N/A</v>
      </c>
      <c r="DQ47" s="84" t="str">
        <f>IFERROR(VLOOKUP($B47,'LOD 400 - COLO2'!$B:CS,96,FALSE),"N/A")</f>
        <v>N/A</v>
      </c>
      <c r="DR47" s="84" t="str">
        <f>IFERROR(VLOOKUP($B47,'LOD 400 - COLO2'!$B:CV,99,FALSE),"N/A")</f>
        <v>N/A</v>
      </c>
      <c r="DS47" s="84" t="str">
        <f>IFERROR(VLOOKUP($B47,'LOD 400 - COLO2'!$B:CY,102,FALSE),"N/A")</f>
        <v>N/A</v>
      </c>
      <c r="DT47" s="84" t="str">
        <f>IFERROR(VLOOKUP($B47,'LOD 400 - COLO2'!$B:DB,105,FALSE),"N/A")</f>
        <v>N/A</v>
      </c>
      <c r="DU47" s="84" t="str">
        <f>IFERROR(VLOOKUP($B47,'LOD 400 - COLO2'!$B:DE,108,FALSE),"N/A")</f>
        <v>N/A</v>
      </c>
      <c r="DV47" s="84" t="str">
        <f>IFERROR(VLOOKUP($B47,'LOD 400 - COLO2'!$B:DH,111,FALSE),"N/A")</f>
        <v>N/A</v>
      </c>
      <c r="DW47" s="84" t="str">
        <f>IFERROR(VLOOKUP($B47,'LOD 400 - COLO2'!$B:DK,114,FALSE),"N/A")</f>
        <v>N/A</v>
      </c>
      <c r="DX47" s="84" t="str">
        <f>IFERROR(VLOOKUP($B47,'LOD 400 - COLO2'!$B:DN,117,FALSE),"N/A")</f>
        <v>N/A</v>
      </c>
      <c r="DY47" s="91" t="str">
        <f>IFERROR(__xludf.DUMMYFUNCTION("IFERROR(
  MAX(FILTER(CQ47:DW47, ISNUMBER(CQ47:DW47))),
  DW47
)"),"N/A")</f>
        <v>N/A</v>
      </c>
      <c r="DZ47" s="92" t="str">
        <f>IFERROR(VLOOKUP($B47,'LOD 400 - COLO3'!B:S,18,FALSE),"N/A")</f>
        <v>N/A</v>
      </c>
      <c r="EA47" s="84" t="str">
        <f>IFERROR(VLOOKUP($B47,'LOD 400 - COLO3'!B:V,21,FALSE),"N/A")</f>
        <v>N/A</v>
      </c>
      <c r="EB47" s="84" t="str">
        <f>IFERROR(VLOOKUP($B47,'LOD 400 - COLO3'!B:Y,24,FALSE),"N/A")</f>
        <v>N/A</v>
      </c>
      <c r="EC47" s="84" t="str">
        <f>IFERROR(VLOOKUP($B47,'LOD 400 - COLO3'!B:AB,27,FALSE),"N/A")</f>
        <v>N/A</v>
      </c>
      <c r="ED47" s="85" t="str">
        <f>IFERROR(VLOOKUP($B47,'LOD 400 - COLO3'!B:AE,30,FALSE),"N/A")</f>
        <v>N/A</v>
      </c>
      <c r="EE47" s="84" t="str">
        <f>IFERROR(VLOOKUP($B47,'LOD 400 - COLO3'!B:AH,33,FALSE),"N/A")</f>
        <v>N/A</v>
      </c>
      <c r="EF47" s="84" t="str">
        <f>IFERROR(VLOOKUP($B47,'LOD 400 - COLO3'!B:AK,36,FALSE),"N/A")</f>
        <v>N/A</v>
      </c>
      <c r="EG47" s="109" t="str">
        <f>IFERROR(VLOOKUP($B47,'LOD 400 - COLO3'!B:AN,39,FALSE),"N/A")</f>
        <v>N/A</v>
      </c>
      <c r="EH47" s="94" t="str">
        <f>IFERROR(VLOOKUP($B47,'LOD 400 - COLO3'!B:AQ,42,FALSE),"N/A")</f>
        <v>N/A</v>
      </c>
      <c r="EI47" s="94" t="str">
        <f>IFERROR(VLOOKUP($B47,'LOD 400 - COLO3'!B:AT,45,FALSE),"N/A")</f>
        <v>N/A</v>
      </c>
      <c r="EJ47" s="94" t="str">
        <f>IFERROR(VLOOKUP($B47,'LOD 400 - COLO3'!B:AW,48,FALSE),"N/A")</f>
        <v>N/A</v>
      </c>
      <c r="EK47" s="94" t="str">
        <f>IFERROR(VLOOKUP($B47,'LOD 400 - COLO3'!B:AZ,51,FALSE),"N/A")</f>
        <v>N/A</v>
      </c>
      <c r="EL47" s="94" t="str">
        <f>IFERROR(VLOOKUP($B47,'LOD 400 - COLO3'!B:BC,54,FALSE),"N/A")</f>
        <v>N/A</v>
      </c>
      <c r="EM47" s="94" t="str">
        <f>IFERROR(VLOOKUP($B47,'LOD 400 - COLO3'!B:BF,57,FALSE),"N/A")</f>
        <v>N/A</v>
      </c>
      <c r="EN47" s="94" t="str">
        <f>IFERROR(VLOOKUP($B47,'LOD 400 - COLO3'!B:BI,60,FALSE),"N/A")</f>
        <v>N/A</v>
      </c>
      <c r="EO47" s="94" t="str">
        <f>IFERROR(VLOOKUP($B47,'LOD 400 - COLO3'!B:BL,63,FALSE),"N/A")</f>
        <v>N/A</v>
      </c>
      <c r="EP47" s="86" t="str">
        <f>IFERROR(__xludf.DUMMYFUNCTION("IFERROR(
  MAX(FILTER(DZ47:EO47, ISNUMBER(DZ47:EO47))),
  EO47
)"),"N/A")</f>
        <v>N/A</v>
      </c>
      <c r="EQ47" s="95" t="str">
        <f>IFERROR(VLOOKUP($B47,'LOD 400 - COLO4'!B:S,18,FALSE),"N/A")</f>
        <v>N/A</v>
      </c>
      <c r="ER47" s="96" t="str">
        <f>IFERROR(__xludf.DUMMYFUNCTION("IFERROR(
  MAX(FILTER(EQ47, ISNUMBER(EQ47))),
  EQ47
)"),"N/A")</f>
        <v>N/A</v>
      </c>
      <c r="ES47" s="79" t="str">
        <f>IFERROR(VLOOKUP($B47,'LOD 400 - SITE'!B:S,18,FALSE),"N/A")</f>
        <v>OUTDATED</v>
      </c>
      <c r="ET47" s="80" t="str">
        <f>IFERROR(VLOOKUP($B47,'LOD 400 - SITE'!B:V,21,FALSE),"N/A")</f>
        <v>OUTDATED</v>
      </c>
      <c r="EU47" s="97">
        <f>IFERROR(VLOOKUP($B47,'LOD 400 - SITE'!$B:Y,24,FALSE),"N/A")</f>
        <v>0.21</v>
      </c>
      <c r="EV47" s="80">
        <f>IFERROR(VLOOKUP($B47,'LOD 400 - SITE'!$B:AB,27,FALSE),"N/A")</f>
        <v>0.66</v>
      </c>
      <c r="EW47" s="81">
        <f>IFERROR(VLOOKUP($B47,'LOD 400 - SITE'!$B:AE,30,FALSE),"N/A")</f>
        <v>0.72</v>
      </c>
      <c r="EX47" s="87" t="str">
        <f>IFERROR(VLOOKUP($B47,'LOD 400 - SITE'!$B:AH,33,FALSE),"N/A")</f>
        <v>OUTDATED</v>
      </c>
      <c r="EY47" s="87">
        <f>IFERROR(VLOOKUP($B47,'LOD 400 - SITE'!$B:AK,36,FALSE),"N/A")</f>
        <v>0.79</v>
      </c>
      <c r="EZ47" s="80" t="str">
        <f>IFERROR(VLOOKUP($B47,'LOD 400 - SITE'!$B:AN,39,FALSE),"N/A")</f>
        <v>NEXT ROUND </v>
      </c>
      <c r="FA47" s="82">
        <f>IFERROR(VLOOKUP($B47,'LOD 400 - SITE'!$B:AQ,42,FALSE),"N/A")</f>
        <v>1</v>
      </c>
      <c r="FB47" s="88">
        <f>IFERROR(VLOOKUP($B47,'LOD 400 - SITE'!$B:AT,45,FALSE),"N/A")</f>
        <v>1</v>
      </c>
      <c r="FC47" s="84">
        <f>IFERROR(VLOOKUP($B47,'LOD 400 - SITE'!$B:AW,48,FALSE),"N/A")</f>
        <v>1</v>
      </c>
      <c r="FD47" s="84">
        <f>IFERROR(VLOOKUP($B47,'LOD 400 - SITE'!$B:AZ,51,FALSE),"N/A")</f>
        <v>1</v>
      </c>
      <c r="FE47" s="84">
        <f>IFERROR(VLOOKUP($B47,'LOD 400 - SITE'!$B:BC,54,FALSE),"N/A")</f>
        <v>1</v>
      </c>
      <c r="FF47" s="84">
        <f>IFERROR(VLOOKUP($B47,'LOD 400 - SITE'!$B:BF,57,FALSE),"N/A")</f>
        <v>1</v>
      </c>
      <c r="FG47" s="84">
        <f>IFERROR(VLOOKUP($B47,'LOD 400 - SITE'!$B:BI,60,FALSE),"N/A")</f>
        <v>1</v>
      </c>
      <c r="FH47" s="84">
        <f>IFERROR(VLOOKUP($B47,'LOD 400 - SITE'!$B:BL,63,FALSE),"N/A")</f>
        <v>1</v>
      </c>
      <c r="FI47" s="84">
        <f>IFERROR(VLOOKUP($B47,'LOD 400 - SITE'!$B:BO,66,FALSE),"N/A")</f>
        <v>1</v>
      </c>
      <c r="FJ47" s="84">
        <f>IFERROR(VLOOKUP($B47,'LOD 400 - SITE'!$B:BR,69,FALSE),"N/A")</f>
        <v>1</v>
      </c>
      <c r="FK47" s="84">
        <f>IFERROR(VLOOKUP($B47,'LOD 400 - SITE'!$B:BU,72,FALSE),"N/A")</f>
        <v>1</v>
      </c>
      <c r="FL47" s="84">
        <f>IFERROR(VLOOKUP($B47,'LOD 400 - SITE'!$B:BX,75,FALSE),"N/A")</f>
        <v>1</v>
      </c>
      <c r="FM47" s="84">
        <f>IFERROR(VLOOKUP($B47,'LOD 400 - SITE'!$B:CA,78,FALSE),"N/A")</f>
        <v>1</v>
      </c>
      <c r="FN47" s="85">
        <f>IFERROR(VLOOKUP($B47,'LOD 400 - SITE'!$B:CD,81,FALSE),"N/A")</f>
        <v>1</v>
      </c>
      <c r="FO47" s="84">
        <f>IFERROR(VLOOKUP($B47,'LOD 400 - SITE'!$B:CG,84,FALSE),"N/A")</f>
        <v>1</v>
      </c>
      <c r="FP47" s="85">
        <f>IFERROR(VLOOKUP($B47,'LOD 400 - SITE'!$B:CJ,87,FALSE),"N/A")</f>
        <v>1</v>
      </c>
      <c r="FQ47" s="84">
        <f>IFERROR(VLOOKUP($B47,'LOD 400 - SITE'!$B:CM,90,FALSE),"N/A")</f>
        <v>1</v>
      </c>
      <c r="FR47" s="84">
        <f>IFERROR(VLOOKUP($B47,'LOD 400 - SITE'!$B:CP,93,FALSE),"N/A")</f>
        <v>1</v>
      </c>
      <c r="FS47" s="84">
        <f>IFERROR(VLOOKUP($B47,'LOD 400 - SITE'!$B:CS,96,FALSE),"N/A")</f>
        <v>1</v>
      </c>
      <c r="FT47" s="84">
        <f>IFERROR(VLOOKUP($B47,'LOD 400 - SITE'!$B:CV,99,FALSE),"N/A")</f>
        <v>1</v>
      </c>
      <c r="FU47" s="84">
        <f>IFERROR(VLOOKUP($B47,'LOD 400 - SITE'!$B:CY,102,FALSE),"N/A")</f>
        <v>1</v>
      </c>
      <c r="FV47" s="84">
        <f>IFERROR(VLOOKUP($B47,'LOD 400 - SITE'!$B:DB,105,FALSE),"N/A")</f>
        <v>1</v>
      </c>
      <c r="FW47" s="84">
        <f>IFERROR(VLOOKUP($B47,'LOD 400 - SITE'!$B:DE,108,FALSE),"N/A")</f>
        <v>1</v>
      </c>
      <c r="FX47" s="84">
        <f>IFERROR(VLOOKUP($B47,'LOD 400 - SITE'!$B:DH,111,FALSE),"N/A")</f>
        <v>1</v>
      </c>
      <c r="FY47" s="84">
        <f>IFERROR(VLOOKUP($B47,'LOD 400 - SITE'!$B:DK,114,FALSE),"N/A")</f>
        <v>1</v>
      </c>
      <c r="FZ47" s="96">
        <f>IFERROR(__xludf.DUMMYFUNCTION("IFERROR(
  MAX(FILTER(ES47:FY47, ISNUMBER(ES47:FY47))),
  FY47
)"),1.0)</f>
        <v>1</v>
      </c>
      <c r="GA47" s="80">
        <f>IFERROR(VLOOKUP($B47,'LOD 400 - UTLS'!B:S,18,FALSE),"N/A")</f>
        <v>0.11</v>
      </c>
      <c r="GB47" s="98">
        <f>IFERROR(VLOOKUP($B47,'LOD 400 - UTLS'!B:V,21,FALSE),"N/A")</f>
        <v>0.64</v>
      </c>
      <c r="GC47" s="81">
        <f>IFERROR(VLOOKUP($B47,'LOD 400 - UTLS'!B:Y,24,FALSE),"N/A")</f>
        <v>0.63</v>
      </c>
      <c r="GD47" s="87">
        <f>IFERROR(VLOOKUP($B47,'LOD 400 - UTLS'!$B:AB,27,FALSE),"N/A")</f>
        <v>0.76</v>
      </c>
      <c r="GE47" s="80" t="str">
        <f>IFERROR(VLOOKUP($B47,'LOD 400 - UTLS'!$B:AE,30,FALSE),"N/A")</f>
        <v>NEXT ROUND</v>
      </c>
      <c r="GF47" s="82">
        <f>IFERROR(VLOOKUP($B47,'LOD 400 - UTLS'!$B:AH,33,FALSE),"N/A")</f>
        <v>1</v>
      </c>
      <c r="GG47" s="88">
        <f>IFERROR(VLOOKUP($B47,'LOD 400 - UTLS'!$B:AK,36,FALSE),"N/A")</f>
        <v>1</v>
      </c>
      <c r="GH47" s="84">
        <f>IFERROR(VLOOKUP($B47,'LOD 400 - UTLS'!$B:AN,39,FALSE),"N/A")</f>
        <v>1</v>
      </c>
      <c r="GI47" s="84">
        <f>IFERROR(VLOOKUP($B47,'LOD 400 - UTLS'!$B:AQ,42,FALSE),"N/A")</f>
        <v>1</v>
      </c>
      <c r="GJ47" s="84">
        <f>IFERROR(VLOOKUP($B47,'LOD 400 - UTLS'!$B:AT,45,FALSE),"N/A")</f>
        <v>1</v>
      </c>
      <c r="GK47" s="84">
        <f>IFERROR(VLOOKUP($B47,'LOD 400 - UTLS'!$B:AW,48,FALSE),"N/A")</f>
        <v>1</v>
      </c>
      <c r="GL47" s="84">
        <f>IFERROR(VLOOKUP($B47,'LOD 400 - UTLS'!$B:AZ,51,FALSE),"N/A")</f>
        <v>1</v>
      </c>
      <c r="GM47" s="84">
        <f>IFERROR(VLOOKUP($B47,'LOD 400 - UTLS'!$B:BC,54,FALSE),"N/A")</f>
        <v>1</v>
      </c>
      <c r="GN47" s="84">
        <f>IFERROR(VLOOKUP($B47,'LOD 400 - UTLS'!$B:BF,57,FALSE),"N/A")</f>
        <v>1</v>
      </c>
      <c r="GO47" s="84">
        <f>IFERROR(VLOOKUP($B47,'LOD 400 - UTLS'!$B:BI,60,FALSE),"N/A")</f>
        <v>1</v>
      </c>
      <c r="GP47" s="84">
        <f>IFERROR(VLOOKUP($B47,'LOD 400 - UTLS'!$B:BL,63,FALSE),"N/A")</f>
        <v>1</v>
      </c>
      <c r="GQ47" s="84">
        <f>IFERROR(VLOOKUP($B47,'LOD 400 - UTLS'!$B:BO,66,FALSE),"N/A")</f>
        <v>1</v>
      </c>
      <c r="GR47" s="84">
        <f>IFERROR(VLOOKUP($B47,'LOD 400 - UTLS'!$B:BR,69,FALSE),"N/A")</f>
        <v>1</v>
      </c>
      <c r="GS47" s="85">
        <f>IFERROR(VLOOKUP($B47,'LOD 400 - UTLS'!$B:BU,72,FALSE),"N/A")</f>
        <v>1</v>
      </c>
      <c r="GT47" s="84">
        <f>IFERROR(VLOOKUP($B47,'LOD 400 - UTLS'!$B:BX,75,FALSE),"N/A")</f>
        <v>1</v>
      </c>
      <c r="GU47" s="85">
        <f>IFERROR(VLOOKUP($B47,'LOD 400 - UTLS'!$B:CA,78,FALSE),"N/A")</f>
        <v>1</v>
      </c>
      <c r="GV47" s="84">
        <f>IFERROR(VLOOKUP($B47,'LOD 400 - UTLS'!$B:CD,81,FALSE),"N/A")</f>
        <v>1</v>
      </c>
      <c r="GW47" s="84">
        <f>IFERROR(VLOOKUP($B47,'LOD 400 - UTLS'!$B:CG,84,FALSE),"N/A")</f>
        <v>1</v>
      </c>
      <c r="GX47" s="84">
        <f>IFERROR(VLOOKUP($B47,'LOD 400 - UTLS'!$B:CJ,87,FALSE),"N/A")</f>
        <v>1</v>
      </c>
      <c r="GY47" s="84">
        <f>IFERROR(VLOOKUP($B47,'LOD 400 - UTLS'!$B:CM,90,FALSE),"N/A")</f>
        <v>1</v>
      </c>
      <c r="GZ47" s="84">
        <f>IFERROR(VLOOKUP($B47,'LOD 400 - UTLS'!$B:CP,93,FALSE),"N/A")</f>
        <v>1</v>
      </c>
      <c r="HA47" s="84">
        <f>IFERROR(VLOOKUP($B47,'LOD 400 - UTLS'!$B:CS,96,FALSE),"N/A")</f>
        <v>1</v>
      </c>
      <c r="HB47" s="84">
        <f>IFERROR(VLOOKUP($B47,'LOD 400 - UTLS'!$B:CV,99,FALSE),"N/A")</f>
        <v>1</v>
      </c>
      <c r="HC47" s="84">
        <f>IFERROR(VLOOKUP($B47,'LOD 400 - UTLS'!$B:CY,102,FALSE),"N/A")</f>
        <v>1</v>
      </c>
      <c r="HD47" s="84">
        <f>IFERROR(VLOOKUP($B47,'LOD 400 - UTLS'!$B:DB,105,FALSE),"N/A")</f>
        <v>1</v>
      </c>
      <c r="HE47" s="96">
        <f>IFERROR(__xludf.DUMMYFUNCTION("IFERROR(
  MAX(FILTER(GA47:HD47, ISNUMBER(GA47:HD47))),
  HD47
)"),1.0)</f>
        <v>1</v>
      </c>
      <c r="HF47" s="99"/>
      <c r="HG47" s="99"/>
      <c r="HH47" s="99"/>
      <c r="HI47" s="99"/>
      <c r="HJ47" s="99"/>
      <c r="HK47" s="99"/>
    </row>
    <row r="48" ht="15.0" hidden="1" customHeight="1">
      <c r="A48" s="53">
        <v>52.0</v>
      </c>
      <c r="B48" s="146" t="s">
        <v>183</v>
      </c>
      <c r="C48" s="147"/>
      <c r="D48" s="148"/>
      <c r="E48" s="148"/>
      <c r="F48" s="148"/>
      <c r="G48" s="149"/>
      <c r="H48" s="148"/>
      <c r="I48" s="148"/>
      <c r="J48" s="150"/>
      <c r="K48" s="151"/>
      <c r="L48" s="149"/>
      <c r="M48" s="148"/>
      <c r="N48" s="152"/>
      <c r="O48" s="153"/>
      <c r="P48" s="154"/>
      <c r="Q48" s="155"/>
      <c r="R48" s="156"/>
      <c r="S48" s="157"/>
      <c r="T48" s="157"/>
      <c r="U48" s="158"/>
      <c r="V48" s="159"/>
      <c r="W48" s="148"/>
      <c r="X48" s="155"/>
      <c r="Y48" s="149"/>
      <c r="Z48" s="149"/>
      <c r="AA48" s="149"/>
      <c r="AB48" s="149"/>
      <c r="AC48" s="149"/>
      <c r="AD48" s="149"/>
      <c r="AE48" s="149"/>
      <c r="AF48" s="149"/>
      <c r="AG48" s="149"/>
      <c r="AH48" s="149"/>
      <c r="AI48" s="149"/>
      <c r="AJ48" s="149"/>
      <c r="AK48" s="149"/>
      <c r="AL48" s="149"/>
      <c r="AM48" s="149"/>
      <c r="AN48" s="149"/>
      <c r="AO48" s="149"/>
      <c r="AP48" s="149"/>
      <c r="AQ48" s="149"/>
      <c r="AR48" s="149"/>
      <c r="AS48" s="149"/>
      <c r="AT48" s="148"/>
      <c r="AU48" s="148"/>
      <c r="AV48" s="155"/>
      <c r="AW48" s="156"/>
      <c r="AX48" s="155"/>
      <c r="AY48" s="156"/>
      <c r="AZ48" s="156"/>
      <c r="BA48" s="156"/>
      <c r="BB48" s="156"/>
      <c r="BC48" s="156"/>
      <c r="BD48" s="156"/>
      <c r="BE48" s="156"/>
      <c r="BF48" s="156"/>
      <c r="BG48" s="160"/>
      <c r="BH48" s="149"/>
      <c r="BI48" s="149"/>
      <c r="BJ48" s="149"/>
      <c r="BK48" s="149"/>
      <c r="BL48" s="149"/>
      <c r="BM48" s="149"/>
      <c r="BN48" s="149"/>
      <c r="BO48" s="149"/>
      <c r="BP48" s="149"/>
      <c r="BQ48" s="149"/>
      <c r="BR48" s="149"/>
      <c r="BS48" s="149"/>
      <c r="BT48" s="149"/>
      <c r="BU48" s="149"/>
      <c r="BV48" s="149"/>
      <c r="BW48" s="149"/>
      <c r="BX48" s="149"/>
      <c r="BY48" s="149"/>
      <c r="BZ48" s="149"/>
      <c r="CA48" s="149"/>
      <c r="CB48" s="149"/>
      <c r="CC48" s="148"/>
      <c r="CD48" s="148"/>
      <c r="CE48" s="155"/>
      <c r="CF48" s="156"/>
      <c r="CG48" s="155"/>
      <c r="CH48" s="156"/>
      <c r="CI48" s="156"/>
      <c r="CJ48" s="156"/>
      <c r="CK48" s="156"/>
      <c r="CL48" s="156"/>
      <c r="CM48" s="156"/>
      <c r="CN48" s="156"/>
      <c r="CO48" s="156"/>
      <c r="CP48" s="160"/>
      <c r="CQ48" s="149"/>
      <c r="CR48" s="149"/>
      <c r="CS48" s="149"/>
      <c r="CT48" s="149"/>
      <c r="CU48" s="149"/>
      <c r="CV48" s="149"/>
      <c r="CW48" s="149"/>
      <c r="CX48" s="149"/>
      <c r="CY48" s="149"/>
      <c r="CZ48" s="149"/>
      <c r="DA48" s="149"/>
      <c r="DB48" s="149"/>
      <c r="DC48" s="149"/>
      <c r="DD48" s="149"/>
      <c r="DE48" s="149"/>
      <c r="DF48" s="149"/>
      <c r="DG48" s="149"/>
      <c r="DH48" s="149"/>
      <c r="DI48" s="149"/>
      <c r="DJ48" s="148"/>
      <c r="DK48" s="148"/>
      <c r="DL48" s="148"/>
      <c r="DM48" s="148"/>
      <c r="DN48" s="155"/>
      <c r="DO48" s="156"/>
      <c r="DP48" s="155"/>
      <c r="DQ48" s="156"/>
      <c r="DR48" s="156"/>
      <c r="DS48" s="156"/>
      <c r="DT48" s="156"/>
      <c r="DU48" s="156"/>
      <c r="DV48" s="156"/>
      <c r="DW48" s="156"/>
      <c r="DX48" s="156"/>
      <c r="DY48" s="148"/>
      <c r="DZ48" s="161"/>
      <c r="EA48" s="158"/>
      <c r="EB48" s="156"/>
      <c r="EC48" s="156"/>
      <c r="ED48" s="156"/>
      <c r="EE48" s="155"/>
      <c r="EF48" s="156"/>
      <c r="EG48" s="148"/>
      <c r="EH48" s="162"/>
      <c r="EI48" s="156"/>
      <c r="EJ48" s="156"/>
      <c r="EK48" s="156"/>
      <c r="EL48" s="156"/>
      <c r="EM48" s="156"/>
      <c r="EN48" s="156"/>
      <c r="EO48" s="156"/>
      <c r="EP48" s="163"/>
      <c r="EQ48" s="156"/>
      <c r="ER48" s="164"/>
      <c r="ES48" s="149"/>
      <c r="ET48" s="148"/>
      <c r="EU48" s="159"/>
      <c r="EV48" s="149"/>
      <c r="EW48" s="149"/>
      <c r="EX48" s="149"/>
      <c r="EY48" s="149"/>
      <c r="EZ48" s="149"/>
      <c r="FA48" s="149"/>
      <c r="FB48" s="149"/>
      <c r="FC48" s="149"/>
      <c r="FD48" s="149"/>
      <c r="FE48" s="149"/>
      <c r="FF48" s="149"/>
      <c r="FG48" s="149"/>
      <c r="FH48" s="149"/>
      <c r="FI48" s="149"/>
      <c r="FJ48" s="149"/>
      <c r="FK48" s="149"/>
      <c r="FL48" s="149"/>
      <c r="FM48" s="149"/>
      <c r="FN48" s="148"/>
      <c r="FO48" s="155"/>
      <c r="FP48" s="156"/>
      <c r="FQ48" s="155"/>
      <c r="FR48" s="156"/>
      <c r="FS48" s="156"/>
      <c r="FT48" s="156"/>
      <c r="FU48" s="156"/>
      <c r="FV48" s="156"/>
      <c r="FW48" s="156"/>
      <c r="FX48" s="156"/>
      <c r="FY48" s="156"/>
      <c r="FZ48" s="165"/>
      <c r="GA48" s="149"/>
      <c r="GB48" s="149"/>
      <c r="GC48" s="149"/>
      <c r="GD48" s="149"/>
      <c r="GE48" s="149"/>
      <c r="GF48" s="149"/>
      <c r="GG48" s="149"/>
      <c r="GH48" s="149"/>
      <c r="GI48" s="149"/>
      <c r="GJ48" s="149"/>
      <c r="GK48" s="149"/>
      <c r="GL48" s="149"/>
      <c r="GM48" s="149"/>
      <c r="GN48" s="149"/>
      <c r="GO48" s="149"/>
      <c r="GP48" s="149"/>
      <c r="GQ48" s="156"/>
      <c r="GR48" s="156"/>
      <c r="GS48" s="156"/>
      <c r="GT48" s="155"/>
      <c r="GU48" s="156"/>
      <c r="GV48" s="155"/>
      <c r="GW48" s="156"/>
      <c r="GX48" s="156"/>
      <c r="GY48" s="156"/>
      <c r="GZ48" s="156"/>
      <c r="HA48" s="156"/>
      <c r="HB48" s="156"/>
      <c r="HC48" s="156"/>
      <c r="HD48" s="156"/>
      <c r="HE48" s="164"/>
      <c r="HF48" s="99"/>
      <c r="HG48" s="99"/>
      <c r="HH48" s="99"/>
      <c r="HI48" s="99"/>
      <c r="HJ48" s="99"/>
      <c r="HK48" s="99"/>
    </row>
    <row r="49" ht="15.0" customHeight="1" outlineLevel="1">
      <c r="A49" s="53">
        <v>53.0</v>
      </c>
      <c r="B49" s="100" t="s">
        <v>184</v>
      </c>
      <c r="C49" s="100" t="s">
        <v>185</v>
      </c>
      <c r="D49" s="64" t="str">
        <f t="shared" ref="D49:D50" si="7">MID(B49,17,4)</f>
        <v>PUMP</v>
      </c>
      <c r="E49" s="101" t="s">
        <v>165</v>
      </c>
      <c r="F49" s="102">
        <v>1114.0</v>
      </c>
      <c r="G49" s="103" t="s">
        <v>165</v>
      </c>
      <c r="H49" s="104">
        <v>1114.0</v>
      </c>
      <c r="I49" s="68" t="str">
        <f>IFERROR(VLOOKUP($C46:C108,'R22 RELATÓRIO ACC'!B:F,5,FALSE),"NOT PUBLISHED")</f>
        <v>V14</v>
      </c>
      <c r="J49" s="69" t="str">
        <f>IFERROR(VLOOKUP($C46:C108,'R22 RELATÓRIO ACC'!B:P,15,FALSE),"NOT PUBLISHED")</f>
        <v>03/02/2026</v>
      </c>
      <c r="K49" s="70" t="str">
        <f>IFERROR(VLOOKUP($B46:B108,'RELATÓRIO ACC'!B:F,5,FALSE),"NOT PUBLISHED")</f>
        <v>V1</v>
      </c>
      <c r="L49" s="71" t="str">
        <f>IFERROR(VLOOKUP($B46:B108,'RELATÓRIO ACC'!B:P,15,FALSE),"NOT PUBLISHED")</f>
        <v>15/05/2026</v>
      </c>
      <c r="M49" s="72" t="str">
        <f>IF(OR($D49="UTLS",$D49="GUAR",$D49="STIR",$D49="PUMP",$D49="SITE"),
   VLOOKUP($B49,'LOD 400 - SITE'!B:M,12,FALSE),
   VLOOKUP($B49,'LOD 400 - ADMN'!B:M,12,FALSE)
)</f>
        <v>V11</v>
      </c>
      <c r="N49" s="105" t="str">
        <f>IF(OR($D49="UTLS",$D49="GUAR",$D49="STIR",$D49="PUMP",$D49="SITE"),
   VLOOKUP($B49,'LOD 400 - SITE'!B:N,13,FALSE),
   VLOOKUP($B49,'LOD 400 - ADMN'!B:N,13,FALSE)
)</f>
        <v>17/10/2025</v>
      </c>
      <c r="O49" s="106" t="str">
        <f>IF(OR($D49="UTLS",$D49="GUAR",$D49="STIR",$D49="PUMP",$D49="SITE"),
   VLOOKUP($B49,'LOD 400 - SITE'!B:O,14,FALSE),
   VLOOKUP($B49,'LOD 400 - ADMN'!B:O,14,FALSE)
)</f>
        <v>R22</v>
      </c>
      <c r="P49" s="107" t="str">
        <f>IF(OR($D49="C345",$D49="C12A",$D49="DATA"),
   VLOOKUP($B49,'LOD 400 - COLO3'!B:M,12,FALSE),"N/A")</f>
        <v>N/A</v>
      </c>
      <c r="Q49" s="108" t="str">
        <f>IF(OR($D49="C345",$D49="C12A",$D49="DATA"),
   VLOOKUP($B49,'LOD 400 - COLO3'!B:N,13,FALSE),"N/A")</f>
        <v>N/A</v>
      </c>
      <c r="R49" s="75" t="str">
        <f>IF(OR($D49="C345",$D49="C12A",$D49="DATA"),
   VLOOKUP($B49,'LOD 400 - COLO3'!B:O,14,FALSE),"N/A")</f>
        <v>N/A</v>
      </c>
      <c r="S49" s="76" t="str">
        <f>IF(OR($D49="C345",$D49="C12A",$D49="DATA"),
   VLOOKUP($B49,'LOD 400 - COLO4'!B:N,12,FALSE),"N/A")</f>
        <v>N/A</v>
      </c>
      <c r="T49" s="76" t="str">
        <f>IF(OR($D49="C345",$D49="C12A",$D49="DATA"),
   VLOOKUP($B49,'LOD 400 - COLO4'!B:N,13,FALSE),"N/A")</f>
        <v>N/A</v>
      </c>
      <c r="U49" s="76" t="str">
        <f>IF(OR($D49="C345",$D49="C12A",$D49="DATA"),
   VLOOKUP($B49,'LOD 400 - COLO4'!B:N,13,FALSE),"N/A")</f>
        <v>N/A</v>
      </c>
      <c r="V49" s="77" t="str">
        <f>IF(OR($D49="UTLS",$D49="GUAR",$D49="STIR",$D49="PUMP",$D49="SITE"),
   VLOOKUP($B49,'LOD 400 - UTLS'!B:M,12,FALSE),"N/A")</f>
        <v>V12</v>
      </c>
      <c r="W49" s="78" t="str">
        <f>IF(OR($D49="UTLS",$D49="GUAR",$D49="STIR",$D49="PUMP",$D49="SITE"),
   VLOOKUP($B49,'LOD 400 - UTLS'!B:N,13,FALSE),"N/A")</f>
        <v>11/11/2025</v>
      </c>
      <c r="X49" s="108" t="str">
        <f>IF(OR($D49="UTLS",$D49="GUAR",$D49="STIR",$D49="PUMP",$D49="SITE"),
   VLOOKUP($B49,'LOD 400 - UTLS'!B:O,14,FALSE),"N/A")</f>
        <v>R22</v>
      </c>
      <c r="Y49" s="79" t="str">
        <f>IFERROR(VLOOKUP($B49,'LOD 400 - ADMN'!B:S,18,FALSE),"N/A")</f>
        <v>N/A</v>
      </c>
      <c r="Z49" s="79" t="str">
        <f>IFERROR(VLOOKUP($B49,'LOD 400 - ADMN'!B:V,21,FALSE),"N/A")</f>
        <v>N/A</v>
      </c>
      <c r="AA49" s="79" t="str">
        <f>IFERROR(VLOOKUP($B49,'LOD 400 - ADMN'!$B:Y,24,FALSE),"N/A")</f>
        <v>N/A</v>
      </c>
      <c r="AB49" s="80" t="str">
        <f>IFERROR(VLOOKUP($B49,'LOD 400 - ADMN'!$B:AB,27,FALSE),"N/A")</f>
        <v>N/A</v>
      </c>
      <c r="AC49" s="81" t="str">
        <f>IFERROR(VLOOKUP($B49,'LOD 400 - ADMN'!$B:AE,30,FALSE),"N/A")</f>
        <v>N/A</v>
      </c>
      <c r="AD49" s="81" t="str">
        <f>IFERROR(VLOOKUP($B49,'LOD 400 - ADMN'!$B:AH,33,FALSE),"N/A")</f>
        <v>N/A</v>
      </c>
      <c r="AE49" s="80" t="str">
        <f>IFERROR(VLOOKUP($B49,'LOD 400 - ADMN'!$B:AK,36,FALSE),"N/A")</f>
        <v>N/A</v>
      </c>
      <c r="AF49" s="82" t="str">
        <f>IFERROR(VLOOKUP($B49,'LOD 400 - ADMN'!$B:AN,39,FALSE),"N/A")</f>
        <v>N/A</v>
      </c>
      <c r="AG49" s="83" t="str">
        <f>IFERROR(VLOOKUP($B49,'LOD 400 - ADMN'!$B:AQ,42,FALSE),"N/A")</f>
        <v>N/A</v>
      </c>
      <c r="AH49" s="84" t="str">
        <f>IFERROR(VLOOKUP($B49,'LOD 400 - ADMN'!$B:AT,45,FALSE),"N/A")</f>
        <v>N/A</v>
      </c>
      <c r="AI49" s="85" t="str">
        <f>IFERROR(VLOOKUP($B49,'LOD 400 - ADMN'!$B:AW,48,FALSE),"N/A")</f>
        <v>N/A</v>
      </c>
      <c r="AJ49" s="85" t="str">
        <f>IFERROR(VLOOKUP($B49,'LOD 400 - ADMN'!$B:AZ,51,FALSE),"N/A")</f>
        <v>N/A</v>
      </c>
      <c r="AK49" s="84" t="str">
        <f>IFERROR(VLOOKUP($B49,'LOD 400 - ADMN'!$B:BC,54,FALSE),"N/A")</f>
        <v>N/A</v>
      </c>
      <c r="AL49" s="84" t="str">
        <f>IFERROR(VLOOKUP($B49,'LOD 400 - ADMN'!$B:BF,57,FALSE),"N/A")</f>
        <v>N/A</v>
      </c>
      <c r="AM49" s="84" t="str">
        <f>IFERROR(VLOOKUP($B49,'LOD 400 - ADMN'!$B:BI,60,FALSE),"N/A")</f>
        <v>N/A</v>
      </c>
      <c r="AN49" s="84" t="str">
        <f>IFERROR(VLOOKUP($B49,'LOD 400 - ADMN'!$B:BL,63,FALSE),"N/A")</f>
        <v>N/A</v>
      </c>
      <c r="AO49" s="84" t="str">
        <f>IFERROR(VLOOKUP($B49,'LOD 400 - ADMN'!$B:BO,66,FALSE),"N/A")</f>
        <v>N/A</v>
      </c>
      <c r="AP49" s="84" t="str">
        <f>IFERROR(VLOOKUP($B49,'LOD 400 - ADMN'!$B:BR,69,FALSE),"N/A")</f>
        <v>N/A</v>
      </c>
      <c r="AQ49" s="84" t="str">
        <f>IFERROR(VLOOKUP($B49,'LOD 400 - ADMN'!$B:BU,72,FALSE),"N/A")</f>
        <v>N/A</v>
      </c>
      <c r="AR49" s="84" t="str">
        <f>IFERROR(VLOOKUP($B49,'LOD 400 - ADMN'!$B:BX,75,FALSE),"N/A")</f>
        <v>N/A</v>
      </c>
      <c r="AS49" s="84" t="str">
        <f>IFERROR(VLOOKUP($B49,'LOD 400 - ADMN'!$B:CA,78,FALSE),"N/A")</f>
        <v>N/A</v>
      </c>
      <c r="AT49" s="84" t="str">
        <f>IFERROR(VLOOKUP($B49,'LOD 400 - ADMN'!$B:CD,81,FALSE),"N/A")</f>
        <v>N/A</v>
      </c>
      <c r="AU49" s="85" t="str">
        <f>IFERROR(VLOOKUP($B49,'LOD 400 - ADMN'!$B:CG,84,FALSE),"N/A")</f>
        <v>N/A</v>
      </c>
      <c r="AV49" s="84" t="str">
        <f>IFERROR(VLOOKUP($B49,'LOD 400 - ADMN'!$B:CJ,87,FALSE),"N/A")</f>
        <v>N/A</v>
      </c>
      <c r="AW49" s="85" t="str">
        <f>IFERROR(VLOOKUP($B49,'LOD 400 - ADMN'!$B:CM,90,FALSE),"N/A")</f>
        <v>N/A</v>
      </c>
      <c r="AX49" s="84" t="str">
        <f>IFERROR(VLOOKUP($B49,'LOD 400 - ADMN'!$B:CP,93,FALSE),"N/A")</f>
        <v>N/A</v>
      </c>
      <c r="AY49" s="84" t="str">
        <f>IFERROR(VLOOKUP($B49,'LOD 400 - ADMN'!$B:CS,96,FALSE),"N/A")</f>
        <v>N/A</v>
      </c>
      <c r="AZ49" s="84" t="str">
        <f>IFERROR(VLOOKUP($B49,'LOD 400 - ADMN'!$B:CV,99,FALSE),"N/A")</f>
        <v>N/A</v>
      </c>
      <c r="BA49" s="84" t="str">
        <f>IFERROR(VLOOKUP($B49,'LOD 400 - ADMN'!$B:CY,102,FALSE),"N/A")</f>
        <v>N/A</v>
      </c>
      <c r="BB49" s="84" t="str">
        <f>IFERROR(VLOOKUP($B49,'LOD 400 - ADMN'!$B:DB,105,FALSE),"N/A")</f>
        <v>N/A</v>
      </c>
      <c r="BC49" s="84" t="str">
        <f>IFERROR(VLOOKUP($B49,'LOD 400 - ADMN'!$B:DE,108,FALSE),"N/A")</f>
        <v>N/A</v>
      </c>
      <c r="BD49" s="84" t="str">
        <f>IFERROR(VLOOKUP($B49,'LOD 400 - ADMN'!$B:DH,111,FALSE),"N/A")</f>
        <v>N/A</v>
      </c>
      <c r="BE49" s="84" t="str">
        <f>IFERROR(VLOOKUP($B49,'LOD 400 - ADMN'!$B:DK,114,FALSE),"N/A")</f>
        <v>N/A</v>
      </c>
      <c r="BF49" s="84" t="str">
        <f>IFERROR(VLOOKUP($B49,'LOD 400 - ADMN'!$B:DN,117,FALSE),"N/A")</f>
        <v>N/A</v>
      </c>
      <c r="BG49" s="86" t="str">
        <f>IFERROR(__xludf.DUMMYFUNCTION("IFERROR(
  MAX(FILTER(Y49:BF49, ISNUMBER(Y49:BF49))),
  BF49
)"),"N/A")</f>
        <v>N/A</v>
      </c>
      <c r="BH49" s="79" t="str">
        <f>IFERROR(VLOOKUP($B49,'LOD 400 - COLO1'!B:S,18,FALSE),"N/A")</f>
        <v>N/A</v>
      </c>
      <c r="BI49" s="79" t="str">
        <f>IFERROR(VLOOKUP($B49,'LOD 400 - COLO1'!B:V,21,FALSE),"N/A")</f>
        <v>N/A</v>
      </c>
      <c r="BJ49" s="79" t="str">
        <f>IFERROR(VLOOKUP($B49,'LOD 400 - COLO1'!$B:Y,24,FALSE),"N/A")</f>
        <v>N/A</v>
      </c>
      <c r="BK49" s="87" t="str">
        <f>IFERROR(VLOOKUP($B49,'LOD 400 - COLO1'!$B:AB,27,FALSE),"N/A")</f>
        <v>N/A</v>
      </c>
      <c r="BL49" s="80" t="str">
        <f>IFERROR(VLOOKUP($B49,'LOD 400 - COLO1'!$B:AE,30,FALSE),"N/A")</f>
        <v>N/A</v>
      </c>
      <c r="BM49" s="81" t="str">
        <f>IFERROR(VLOOKUP($B49,'LOD 400 - COLO1'!$B:AH,33,FALSE),"N/A")</f>
        <v>N/A</v>
      </c>
      <c r="BN49" s="87" t="str">
        <f>IFERROR(VLOOKUP($B49,'LOD 400 - COLO1'!$B:AK,36,FALSE),"N/A")</f>
        <v>N/A</v>
      </c>
      <c r="BO49" s="83" t="str">
        <f>IFERROR(VLOOKUP($B49,'LOD 400 - COLO1'!$B:AN,39,FALSE),"N/A")</f>
        <v>N/A</v>
      </c>
      <c r="BP49" s="88" t="str">
        <f>IFERROR(VLOOKUP($B49,'LOD 400 - COLO1'!$B:AQ,42,FALSE),"N/A")</f>
        <v>N/A</v>
      </c>
      <c r="BQ49" s="84" t="str">
        <f>IFERROR(VLOOKUP($B49,'LOD 400 - COLO1'!$B:AT,45,FALSE),"N/A")</f>
        <v>N/A</v>
      </c>
      <c r="BR49" s="85" t="str">
        <f>IFERROR(VLOOKUP($B49,'LOD 400 - COLO1'!$B:AW,48,FALSE),"N/A")</f>
        <v>N/A</v>
      </c>
      <c r="BS49" s="84" t="str">
        <f>IFERROR(VLOOKUP($B49,'LOD 400 - COLO1'!$B:AZ,51,FALSE),"N/A")</f>
        <v>N/A</v>
      </c>
      <c r="BT49" s="84" t="str">
        <f>IFERROR(VLOOKUP($B49,'LOD 400 - COLO1'!$B:BC,54,FALSE),"N/A")</f>
        <v>N/A</v>
      </c>
      <c r="BU49" s="84" t="str">
        <f>IFERROR(VLOOKUP($B49,'LOD 400 - COLO1'!$B:BF,57,FALSE),"N/A")</f>
        <v>N/A</v>
      </c>
      <c r="BV49" s="84" t="str">
        <f>IFERROR(VLOOKUP($B49,'LOD 400 - COLO1'!$B:BI,60,FALSE),"N/A")</f>
        <v>N/A</v>
      </c>
      <c r="BW49" s="84" t="str">
        <f>IFERROR(VLOOKUP($B49,'LOD 400 - COLO1'!$B:BL,63,FALSE),"N/A")</f>
        <v>N/A</v>
      </c>
      <c r="BX49" s="84" t="str">
        <f>IFERROR(VLOOKUP($B49,'LOD 400 - COLO1'!$B:BO,66,FALSE),"N/A")</f>
        <v>N/A</v>
      </c>
      <c r="BY49" s="84" t="str">
        <f>IFERROR(VLOOKUP($B49,'LOD 400 - COLO1'!$B:BR,69,FALSE),"N/A")</f>
        <v>N/A</v>
      </c>
      <c r="BZ49" s="84" t="str">
        <f>IFERROR(VLOOKUP($B49,'LOD 400 - COLO1'!$B:BU,72,FALSE),"N/A")</f>
        <v>N/A</v>
      </c>
      <c r="CA49" s="84" t="str">
        <f>IFERROR(VLOOKUP($B49,'LOD 400 - COLO1'!$B:BX,75,FALSE),"N/A")</f>
        <v>N/A</v>
      </c>
      <c r="CB49" s="84" t="str">
        <f>IFERROR(VLOOKUP($B49,'LOD 400 - COLO1'!$B:CA,78,FALSE),"N/A")</f>
        <v>N/A</v>
      </c>
      <c r="CC49" s="84" t="str">
        <f>IFERROR(VLOOKUP($B49,'LOD 400 - COLO1'!$B:CD,81,FALSE),"N/A")</f>
        <v>N/A</v>
      </c>
      <c r="CD49" s="85" t="str">
        <f>IFERROR(VLOOKUP($B49,'LOD 400 - COLO1'!$B:CG,84,FALSE),"N/A")</f>
        <v>N/A</v>
      </c>
      <c r="CE49" s="84" t="str">
        <f>IFERROR(VLOOKUP($B49,'LOD 400 - COLO1'!$B:CJ,87,FALSE),"N/A")</f>
        <v>N/A</v>
      </c>
      <c r="CF49" s="85" t="str">
        <f>IFERROR(VLOOKUP($B49,'LOD 400 - COLO1'!$B:CM,90,FALSE),"N/A")</f>
        <v>N/A</v>
      </c>
      <c r="CG49" s="84" t="str">
        <f>IFERROR(VLOOKUP($B49,'LOD 400 - COLO1'!$B:CP,93,FALSE),"N/A")</f>
        <v>N/A</v>
      </c>
      <c r="CH49" s="84" t="str">
        <f>IFERROR(VLOOKUP($B49,'LOD 400 - COLO1'!$B:CS,96,FALSE),"N/A")</f>
        <v>N/A</v>
      </c>
      <c r="CI49" s="84" t="str">
        <f>IFERROR(VLOOKUP($B49,'LOD 400 - COLO1'!$B:CV,99,FALSE),"N/A")</f>
        <v>N/A</v>
      </c>
      <c r="CJ49" s="84" t="str">
        <f>IFERROR(VLOOKUP($B49,'LOD 400 - COLO1'!$B:CY,102,FALSE),"N/A")</f>
        <v>N/A</v>
      </c>
      <c r="CK49" s="84" t="str">
        <f>IFERROR(VLOOKUP($B49,'LOD 400 - COLO1'!$B:DB,105,FALSE),"N/A")</f>
        <v>N/A</v>
      </c>
      <c r="CL49" s="84" t="str">
        <f>IFERROR(VLOOKUP($B49,'LOD 400 - COLO1'!$B:DE,108,FALSE),"N/A")</f>
        <v>N/A</v>
      </c>
      <c r="CM49" s="84" t="str">
        <f>IFERROR(VLOOKUP($B49,'LOD 400 - COLO1'!$B:DH,111,FALSE),"N/A")</f>
        <v>N/A</v>
      </c>
      <c r="CN49" s="84" t="str">
        <f>IFERROR(VLOOKUP($B49,'LOD 400 - COLO1'!$B:DK,114,FALSE),"N/A")</f>
        <v>N/A</v>
      </c>
      <c r="CO49" s="84" t="str">
        <f>IFERROR(VLOOKUP($B49,'LOD 400 - COLO1'!$B:DN,117,FALSE),"N/A")</f>
        <v>N/A</v>
      </c>
      <c r="CP49" s="86" t="str">
        <f>IFERROR(__xludf.DUMMYFUNCTION("IFERROR(
  MAX(FILTER(BH49:CO49, ISNUMBER(BH49:CO49))),
  CO49
)"),"N/A")</f>
        <v>N/A</v>
      </c>
      <c r="CQ49" s="89" t="str">
        <f>IFERROR(VLOOKUP($B49,'LOD 400 - COLO2'!B:S,18,FALSE),"N/A")</f>
        <v>N/A</v>
      </c>
      <c r="CR49" s="79" t="str">
        <f>IFERROR(VLOOKUP($B49,'LOD 400 - COLO2'!B:V,21,FALSE),"N/A")</f>
        <v>N/A</v>
      </c>
      <c r="CS49" s="79" t="str">
        <f>IFERROR(VLOOKUP($B49,'LOD 400 - COLO2'!$B:Y,24,FALSE),"N/A")</f>
        <v>N/A</v>
      </c>
      <c r="CT49" s="80" t="str">
        <f>IFERROR(VLOOKUP($B49,'LOD 400 - COLO2'!$B:DQ,27,FALSE),"N/A")</f>
        <v>N/A</v>
      </c>
      <c r="CU49" s="90" t="str">
        <f>IFERROR(VLOOKUP($B49,'LOD 400 - COLO2'!$B:AE,30,FALSE),"N/A")</f>
        <v>N/A</v>
      </c>
      <c r="CV49" s="81" t="str">
        <f>IFERROR(VLOOKUP($B49,'LOD 400 - COLO2'!$B:AH,33,FALSE),"N/A")</f>
        <v>N/A</v>
      </c>
      <c r="CW49" s="90" t="str">
        <f>IFERROR(VLOOKUP($B49,'LOD 400 - COLO2'!$B:AK,36,FALSE),"N/A")</f>
        <v>N/A</v>
      </c>
      <c r="CX49" s="85" t="str">
        <f>IFERROR(VLOOKUP($B49,'LOD 400 - COLO2'!$B:AN,39,FALSE),"N/A")</f>
        <v>N/A</v>
      </c>
      <c r="CY49" s="88" t="str">
        <f>IFERROR(VLOOKUP($B49,'LOD 400 - COLO2'!$B:AQ,42,FALSE),"N/A")</f>
        <v>N/A</v>
      </c>
      <c r="CZ49" s="84" t="str">
        <f>IFERROR(VLOOKUP($B49,'LOD 400 - COLO2'!$B:AT,45,FALSE),"N/A")</f>
        <v>N/A</v>
      </c>
      <c r="DA49" s="85" t="str">
        <f>IFERROR(VLOOKUP($B49,'LOD 400 - COLO2'!$B:AW,48,FALSE),"N/A")</f>
        <v>N/A</v>
      </c>
      <c r="DB49" s="84" t="str">
        <f>IFERROR(VLOOKUP($B49,'LOD 400 - COLO2'!$B:AZ,51,FALSE),"N/A")</f>
        <v>N/A</v>
      </c>
      <c r="DC49" s="84" t="str">
        <f>IFERROR(VLOOKUP($B49,'LOD 400 - COLO2'!$B:BC,54,FALSE),"N/A")</f>
        <v>N/A</v>
      </c>
      <c r="DD49" s="84" t="str">
        <f>IFERROR(VLOOKUP($B49,'LOD 400 - COLO2'!$B:BF,57,FALSE),"N/A")</f>
        <v>N/A</v>
      </c>
      <c r="DE49" s="84" t="str">
        <f>IFERROR(VLOOKUP($B49,'LOD 400 - COLO2'!$B:BI,60,FALSE),"N/A")</f>
        <v>N/A</v>
      </c>
      <c r="DF49" s="84" t="str">
        <f>IFERROR(VLOOKUP($B49,'LOD 400 - COLO2'!$B:BL,63,FALSE),"N/A")</f>
        <v>N/A</v>
      </c>
      <c r="DG49" s="84" t="str">
        <f>IFERROR(VLOOKUP($B49,'LOD 400 - COLO2'!$B:BO,66,FALSE),"N/A")</f>
        <v>N/A</v>
      </c>
      <c r="DH49" s="84" t="str">
        <f>IFERROR(VLOOKUP($B49,'LOD 400 - COLO2'!$B:BR,69,FALSE),"N/A")</f>
        <v>N/A</v>
      </c>
      <c r="DI49" s="84" t="str">
        <f>IFERROR(VLOOKUP($B49,'LOD 400 - COLO2'!$B:BU,72,FALSE),"N/A")</f>
        <v>N/A</v>
      </c>
      <c r="DJ49" s="84" t="str">
        <f>IFERROR(VLOOKUP($B49,'LOD 400 - COLO2'!$B:BX,75,FALSE),"N/A")</f>
        <v>N/A</v>
      </c>
      <c r="DK49" s="84" t="str">
        <f>IFERROR(VLOOKUP($B49,'LOD 400 - COLO2'!$B:CA,78,FALSE),"N/A")</f>
        <v>N/A</v>
      </c>
      <c r="DL49" s="84" t="str">
        <f>IFERROR(VLOOKUP($B49,'LOD 400 - COLO2'!$B:CD,81,FALSE),"N/A")</f>
        <v>N/A</v>
      </c>
      <c r="DM49" s="85" t="str">
        <f>IFERROR(VLOOKUP($B49,'LOD 400 - COLO2'!$B:CG,84,FALSE),"N/A")</f>
        <v>N/A</v>
      </c>
      <c r="DN49" s="84" t="str">
        <f>IFERROR(VLOOKUP($B49,'LOD 400 - COLO2'!$B:CJ,87,FALSE),"N/A")</f>
        <v>N/A</v>
      </c>
      <c r="DO49" s="85" t="str">
        <f>IFERROR(VLOOKUP($B49,'LOD 400 - COLO2'!$B:CM,90,FALSE),"N/A")</f>
        <v>N/A</v>
      </c>
      <c r="DP49" s="84" t="str">
        <f>IFERROR(VLOOKUP($B49,'LOD 400 - COLO2'!$B:CP,93,FALSE),"N/A")</f>
        <v>N/A</v>
      </c>
      <c r="DQ49" s="84" t="str">
        <f>IFERROR(VLOOKUP($B49,'LOD 400 - COLO2'!$B:CS,96,FALSE),"N/A")</f>
        <v>N/A</v>
      </c>
      <c r="DR49" s="84" t="str">
        <f>IFERROR(VLOOKUP($B49,'LOD 400 - COLO2'!$B:CV,99,FALSE),"N/A")</f>
        <v>N/A</v>
      </c>
      <c r="DS49" s="84" t="str">
        <f>IFERROR(VLOOKUP($B49,'LOD 400 - COLO2'!$B:CY,102,FALSE),"N/A")</f>
        <v>N/A</v>
      </c>
      <c r="DT49" s="84" t="str">
        <f>IFERROR(VLOOKUP($B49,'LOD 400 - COLO2'!$B:DB,105,FALSE),"N/A")</f>
        <v>N/A</v>
      </c>
      <c r="DU49" s="84" t="str">
        <f>IFERROR(VLOOKUP($B49,'LOD 400 - COLO2'!$B:DE,108,FALSE),"N/A")</f>
        <v>N/A</v>
      </c>
      <c r="DV49" s="84" t="str">
        <f>IFERROR(VLOOKUP($B49,'LOD 400 - COLO2'!$B:DH,111,FALSE),"N/A")</f>
        <v>N/A</v>
      </c>
      <c r="DW49" s="84" t="str">
        <f>IFERROR(VLOOKUP($B49,'LOD 400 - COLO2'!$B:DK,114,FALSE),"N/A")</f>
        <v>N/A</v>
      </c>
      <c r="DX49" s="84" t="str">
        <f>IFERROR(VLOOKUP($B49,'LOD 400 - COLO2'!$B:DN,117,FALSE),"N/A")</f>
        <v>N/A</v>
      </c>
      <c r="DY49" s="91" t="str">
        <f>IFERROR(__xludf.DUMMYFUNCTION("IFERROR(
  MAX(FILTER(CQ49:DW49, ISNUMBER(CQ49:DW49))),
  DW49
)"),"N/A")</f>
        <v>N/A</v>
      </c>
      <c r="DZ49" s="92" t="str">
        <f>IFERROR(VLOOKUP($B49,'LOD 400 - COLO3'!B:S,18,FALSE),"N/A")</f>
        <v>N/A</v>
      </c>
      <c r="EA49" s="84" t="str">
        <f>IFERROR(VLOOKUP($B49,'LOD 400 - COLO3'!B:V,21,FALSE),"N/A")</f>
        <v>N/A</v>
      </c>
      <c r="EB49" s="84" t="str">
        <f>IFERROR(VLOOKUP($B49,'LOD 400 - COLO3'!B:Y,24,FALSE),"N/A")</f>
        <v>N/A</v>
      </c>
      <c r="EC49" s="84" t="str">
        <f>IFERROR(VLOOKUP($B49,'LOD 400 - COLO3'!B:AB,27,FALSE),"N/A")</f>
        <v>N/A</v>
      </c>
      <c r="ED49" s="85" t="str">
        <f>IFERROR(VLOOKUP($B49,'LOD 400 - COLO3'!B:AE,30,FALSE),"N/A")</f>
        <v>N/A</v>
      </c>
      <c r="EE49" s="84" t="str">
        <f>IFERROR(VLOOKUP($B49,'LOD 400 - COLO3'!B:AH,33,FALSE),"N/A")</f>
        <v>N/A</v>
      </c>
      <c r="EF49" s="84" t="str">
        <f>IFERROR(VLOOKUP($B49,'LOD 400 - COLO3'!B:AK,36,FALSE),"N/A")</f>
        <v>N/A</v>
      </c>
      <c r="EG49" s="109" t="str">
        <f>IFERROR(VLOOKUP($B49,'LOD 400 - COLO3'!B:AN,39,FALSE),"N/A")</f>
        <v>N/A</v>
      </c>
      <c r="EH49" s="94" t="str">
        <f>IFERROR(VLOOKUP($B49,'LOD 400 - COLO3'!B:AQ,42,FALSE),"N/A")</f>
        <v>N/A</v>
      </c>
      <c r="EI49" s="94" t="str">
        <f>IFERROR(VLOOKUP($B49,'LOD 400 - COLO3'!B:AT,45,FALSE),"N/A")</f>
        <v>N/A</v>
      </c>
      <c r="EJ49" s="94" t="str">
        <f>IFERROR(VLOOKUP($B49,'LOD 400 - COLO3'!B:AW,48,FALSE),"N/A")</f>
        <v>N/A</v>
      </c>
      <c r="EK49" s="94" t="str">
        <f>IFERROR(VLOOKUP($B49,'LOD 400 - COLO3'!B:AZ,51,FALSE),"N/A")</f>
        <v>N/A</v>
      </c>
      <c r="EL49" s="94" t="str">
        <f>IFERROR(VLOOKUP($B49,'LOD 400 - COLO3'!B:BC,54,FALSE),"N/A")</f>
        <v>N/A</v>
      </c>
      <c r="EM49" s="94" t="str">
        <f>IFERROR(VLOOKUP($B49,'LOD 400 - COLO3'!B:BF,57,FALSE),"N/A")</f>
        <v>N/A</v>
      </c>
      <c r="EN49" s="94" t="str">
        <f>IFERROR(VLOOKUP($B49,'LOD 400 - COLO3'!B:BI,60,FALSE),"N/A")</f>
        <v>N/A</v>
      </c>
      <c r="EO49" s="94" t="str">
        <f>IFERROR(VLOOKUP($B49,'LOD 400 - COLO3'!B:BL,63,FALSE),"N/A")</f>
        <v>N/A</v>
      </c>
      <c r="EP49" s="86" t="str">
        <f>IFERROR(__xludf.DUMMYFUNCTION("IFERROR(
  MAX(FILTER(DZ49:EO49, ISNUMBER(DZ49:EO49))),
  EO49
)"),"N/A")</f>
        <v>N/A</v>
      </c>
      <c r="EQ49" s="95" t="str">
        <f>IFERROR(VLOOKUP($B49,'LOD 400 - COLO4'!B:S,18,FALSE),"N/A")</f>
        <v>N/A</v>
      </c>
      <c r="ER49" s="96" t="str">
        <f>IFERROR(__xludf.DUMMYFUNCTION("IFERROR(
  MAX(FILTER(EQ49, ISNUMBER(EQ49))),
  EQ49
)"),"N/A")</f>
        <v>N/A</v>
      </c>
      <c r="ES49" s="79" t="str">
        <f>IFERROR(VLOOKUP($B49,'LOD 400 - SITE'!B:S,18,FALSE),"N/A")</f>
        <v>OUTDATED</v>
      </c>
      <c r="ET49" s="80" t="str">
        <f>IFERROR(VLOOKUP($B49,'LOD 400 - SITE'!B:V,21,FALSE),"N/A")</f>
        <v>OUTDATED</v>
      </c>
      <c r="EU49" s="97" t="str">
        <f>IFERROR(VLOOKUP($B49,'LOD 400 - SITE'!$B:Y,24,FALSE),"N/A")</f>
        <v>OUTDATED</v>
      </c>
      <c r="EV49" s="80">
        <f>IFERROR(VLOOKUP($B49,'LOD 400 - SITE'!$B:AB,27,FALSE),"N/A")</f>
        <v>1</v>
      </c>
      <c r="EW49" s="81">
        <f>IFERROR(VLOOKUP($B49,'LOD 400 - SITE'!$B:AE,30,FALSE),"N/A")</f>
        <v>1</v>
      </c>
      <c r="EX49" s="87">
        <f>IFERROR(VLOOKUP($B49,'LOD 400 - SITE'!$B:AH,33,FALSE),"N/A")</f>
        <v>1</v>
      </c>
      <c r="EY49" s="87">
        <f>IFERROR(VLOOKUP($B49,'LOD 400 - SITE'!$B:AK,36,FALSE),"N/A")</f>
        <v>1</v>
      </c>
      <c r="EZ49" s="80">
        <f>IFERROR(VLOOKUP($B49,'LOD 400 - SITE'!$B:AN,39,FALSE),"N/A")</f>
        <v>1</v>
      </c>
      <c r="FA49" s="82">
        <f>IFERROR(VLOOKUP($B49,'LOD 400 - SITE'!$B:AQ,42,FALSE),"N/A")</f>
        <v>1</v>
      </c>
      <c r="FB49" s="88">
        <f>IFERROR(VLOOKUP($B49,'LOD 400 - SITE'!$B:AT,45,FALSE),"N/A")</f>
        <v>1</v>
      </c>
      <c r="FC49" s="84">
        <f>IFERROR(VLOOKUP($B49,'LOD 400 - SITE'!$B:AW,48,FALSE),"N/A")</f>
        <v>1</v>
      </c>
      <c r="FD49" s="84">
        <f>IFERROR(VLOOKUP($B49,'LOD 400 - SITE'!$B:AZ,51,FALSE),"N/A")</f>
        <v>1</v>
      </c>
      <c r="FE49" s="84">
        <f>IFERROR(VLOOKUP($B49,'LOD 400 - SITE'!$B:BC,54,FALSE),"N/A")</f>
        <v>1</v>
      </c>
      <c r="FF49" s="84">
        <f>IFERROR(VLOOKUP($B49,'LOD 400 - SITE'!$B:BF,57,FALSE),"N/A")</f>
        <v>1</v>
      </c>
      <c r="FG49" s="84">
        <f>IFERROR(VLOOKUP($B49,'LOD 400 - SITE'!$B:BI,60,FALSE),"N/A")</f>
        <v>1</v>
      </c>
      <c r="FH49" s="84">
        <f>IFERROR(VLOOKUP($B49,'LOD 400 - SITE'!$B:BL,63,FALSE),"N/A")</f>
        <v>1</v>
      </c>
      <c r="FI49" s="84">
        <f>IFERROR(VLOOKUP($B49,'LOD 400 - SITE'!$B:BO,66,FALSE),"N/A")</f>
        <v>1</v>
      </c>
      <c r="FJ49" s="84">
        <f>IFERROR(VLOOKUP($B49,'LOD 400 - SITE'!$B:BR,69,FALSE),"N/A")</f>
        <v>1</v>
      </c>
      <c r="FK49" s="84">
        <f>IFERROR(VLOOKUP($B49,'LOD 400 - SITE'!$B:BU,72,FALSE),"N/A")</f>
        <v>1</v>
      </c>
      <c r="FL49" s="84">
        <f>IFERROR(VLOOKUP($B49,'LOD 400 - SITE'!$B:BX,75,FALSE),"N/A")</f>
        <v>1</v>
      </c>
      <c r="FM49" s="84">
        <f>IFERROR(VLOOKUP($B49,'LOD 400 - SITE'!$B:CA,78,FALSE),"N/A")</f>
        <v>1</v>
      </c>
      <c r="FN49" s="85">
        <f>IFERROR(VLOOKUP($B49,'LOD 400 - SITE'!$B:CD,81,FALSE),"N/A")</f>
        <v>1</v>
      </c>
      <c r="FO49" s="84">
        <f>IFERROR(VLOOKUP($B49,'LOD 400 - SITE'!$B:CG,84,FALSE),"N/A")</f>
        <v>1</v>
      </c>
      <c r="FP49" s="85">
        <f>IFERROR(VLOOKUP($B49,'LOD 400 - SITE'!$B:CJ,87,FALSE),"N/A")</f>
        <v>1</v>
      </c>
      <c r="FQ49" s="84">
        <f>IFERROR(VLOOKUP($B49,'LOD 400 - SITE'!$B:CM,90,FALSE),"N/A")</f>
        <v>1</v>
      </c>
      <c r="FR49" s="84">
        <f>IFERROR(VLOOKUP($B49,'LOD 400 - SITE'!$B:CP,93,FALSE),"N/A")</f>
        <v>1</v>
      </c>
      <c r="FS49" s="84">
        <f>IFERROR(VLOOKUP($B49,'LOD 400 - SITE'!$B:CS,96,FALSE),"N/A")</f>
        <v>1</v>
      </c>
      <c r="FT49" s="84">
        <f>IFERROR(VLOOKUP($B49,'LOD 400 - SITE'!$B:CV,99,FALSE),"N/A")</f>
        <v>1</v>
      </c>
      <c r="FU49" s="84">
        <f>IFERROR(VLOOKUP($B49,'LOD 400 - SITE'!$B:CY,102,FALSE),"N/A")</f>
        <v>1</v>
      </c>
      <c r="FV49" s="84">
        <f>IFERROR(VLOOKUP($B49,'LOD 400 - SITE'!$B:DB,105,FALSE),"N/A")</f>
        <v>1</v>
      </c>
      <c r="FW49" s="84">
        <f>IFERROR(VLOOKUP($B49,'LOD 400 - SITE'!$B:DE,108,FALSE),"N/A")</f>
        <v>1</v>
      </c>
      <c r="FX49" s="84">
        <f>IFERROR(VLOOKUP($B49,'LOD 400 - SITE'!$B:DH,111,FALSE),"N/A")</f>
        <v>1</v>
      </c>
      <c r="FY49" s="84">
        <f>IFERROR(VLOOKUP($B49,'LOD 400 - SITE'!$B:DK,114,FALSE),"N/A")</f>
        <v>1</v>
      </c>
      <c r="FZ49" s="96">
        <f>IFERROR(__xludf.DUMMYFUNCTION("IFERROR(
  MAX(FILTER(ES49:FY49, ISNUMBER(ES49:FY49))),
  FY49
)"),1.0)</f>
        <v>1</v>
      </c>
      <c r="GA49" s="80" t="str">
        <f>IFERROR(VLOOKUP($B49,'LOD 400 - UTLS'!B:S,18,FALSE),"N/A")</f>
        <v>OUTDATED</v>
      </c>
      <c r="GB49" s="98">
        <f>IFERROR(VLOOKUP($B49,'LOD 400 - UTLS'!B:V,21,FALSE),"N/A")</f>
        <v>0.86</v>
      </c>
      <c r="GC49" s="81">
        <f>IFERROR(VLOOKUP($B49,'LOD 400 - UTLS'!B:Y,24,FALSE),"N/A")</f>
        <v>1</v>
      </c>
      <c r="GD49" s="87">
        <f>IFERROR(VLOOKUP($B49,'LOD 400 - UTLS'!$B:AB,27,FALSE),"N/A")</f>
        <v>1</v>
      </c>
      <c r="GE49" s="80">
        <f>IFERROR(VLOOKUP($B49,'LOD 400 - UTLS'!$B:AE,30,FALSE),"N/A")</f>
        <v>1</v>
      </c>
      <c r="GF49" s="82">
        <f>IFERROR(VLOOKUP($B49,'LOD 400 - UTLS'!$B:AH,33,FALSE),"N/A")</f>
        <v>1</v>
      </c>
      <c r="GG49" s="88">
        <f>IFERROR(VLOOKUP($B49,'LOD 400 - UTLS'!$B:AK,36,FALSE),"N/A")</f>
        <v>1</v>
      </c>
      <c r="GH49" s="84">
        <f>IFERROR(VLOOKUP($B49,'LOD 400 - UTLS'!$B:AN,39,FALSE),"N/A")</f>
        <v>1</v>
      </c>
      <c r="GI49" s="84">
        <f>IFERROR(VLOOKUP($B49,'LOD 400 - UTLS'!$B:AQ,42,FALSE),"N/A")</f>
        <v>1</v>
      </c>
      <c r="GJ49" s="84">
        <f>IFERROR(VLOOKUP($B49,'LOD 400 - UTLS'!$B:AT,45,FALSE),"N/A")</f>
        <v>1</v>
      </c>
      <c r="GK49" s="84">
        <f>IFERROR(VLOOKUP($B49,'LOD 400 - UTLS'!$B:AW,48,FALSE),"N/A")</f>
        <v>1</v>
      </c>
      <c r="GL49" s="84">
        <f>IFERROR(VLOOKUP($B49,'LOD 400 - UTLS'!$B:AZ,51,FALSE),"N/A")</f>
        <v>1</v>
      </c>
      <c r="GM49" s="84">
        <f>IFERROR(VLOOKUP($B49,'LOD 400 - UTLS'!$B:BC,54,FALSE),"N/A")</f>
        <v>1</v>
      </c>
      <c r="GN49" s="84">
        <f>IFERROR(VLOOKUP($B49,'LOD 400 - UTLS'!$B:BF,57,FALSE),"N/A")</f>
        <v>1</v>
      </c>
      <c r="GO49" s="84">
        <f>IFERROR(VLOOKUP($B49,'LOD 400 - UTLS'!$B:BI,60,FALSE),"N/A")</f>
        <v>1</v>
      </c>
      <c r="GP49" s="84">
        <f>IFERROR(VLOOKUP($B49,'LOD 400 - UTLS'!$B:BL,63,FALSE),"N/A")</f>
        <v>1</v>
      </c>
      <c r="GQ49" s="84">
        <f>IFERROR(VLOOKUP($B49,'LOD 400 - UTLS'!$B:BO,66,FALSE),"N/A")</f>
        <v>1</v>
      </c>
      <c r="GR49" s="84">
        <f>IFERROR(VLOOKUP($B49,'LOD 400 - UTLS'!$B:BR,69,FALSE),"N/A")</f>
        <v>1</v>
      </c>
      <c r="GS49" s="85">
        <f>IFERROR(VLOOKUP($B49,'LOD 400 - UTLS'!$B:BU,72,FALSE),"N/A")</f>
        <v>1</v>
      </c>
      <c r="GT49" s="84">
        <f>IFERROR(VLOOKUP($B49,'LOD 400 - UTLS'!$B:BX,75,FALSE),"N/A")</f>
        <v>1</v>
      </c>
      <c r="GU49" s="85">
        <f>IFERROR(VLOOKUP($B49,'LOD 400 - UTLS'!$B:CA,78,FALSE),"N/A")</f>
        <v>1</v>
      </c>
      <c r="GV49" s="84">
        <f>IFERROR(VLOOKUP($B49,'LOD 400 - UTLS'!$B:CD,81,FALSE),"N/A")</f>
        <v>1</v>
      </c>
      <c r="GW49" s="84">
        <f>IFERROR(VLOOKUP($B49,'LOD 400 - UTLS'!$B:CG,84,FALSE),"N/A")</f>
        <v>1</v>
      </c>
      <c r="GX49" s="84">
        <f>IFERROR(VLOOKUP($B49,'LOD 400 - UTLS'!$B:CJ,87,FALSE),"N/A")</f>
        <v>1</v>
      </c>
      <c r="GY49" s="84">
        <f>IFERROR(VLOOKUP($B49,'LOD 400 - UTLS'!$B:CM,90,FALSE),"N/A")</f>
        <v>1</v>
      </c>
      <c r="GZ49" s="84">
        <f>IFERROR(VLOOKUP($B49,'LOD 400 - UTLS'!$B:CP,93,FALSE),"N/A")</f>
        <v>1</v>
      </c>
      <c r="HA49" s="84">
        <f>IFERROR(VLOOKUP($B49,'LOD 400 - UTLS'!$B:CS,96,FALSE),"N/A")</f>
        <v>1</v>
      </c>
      <c r="HB49" s="84">
        <f>IFERROR(VLOOKUP($B49,'LOD 400 - UTLS'!$B:CV,99,FALSE),"N/A")</f>
        <v>1</v>
      </c>
      <c r="HC49" s="84">
        <f>IFERROR(VLOOKUP($B49,'LOD 400 - UTLS'!$B:CY,102,FALSE),"N/A")</f>
        <v>1</v>
      </c>
      <c r="HD49" s="84">
        <f>IFERROR(VLOOKUP($B49,'LOD 400 - UTLS'!$B:DB,105,FALSE),"N/A")</f>
        <v>1</v>
      </c>
      <c r="HE49" s="96">
        <f>IFERROR(__xludf.DUMMYFUNCTION("IFERROR(
  MAX(FILTER(GA49:HD49, ISNUMBER(GA49:HD49))),
  HD49
)"),1.0)</f>
        <v>1</v>
      </c>
      <c r="HF49" s="99"/>
      <c r="HG49" s="99"/>
      <c r="HH49" s="99"/>
      <c r="HI49" s="99"/>
      <c r="HJ49" s="99"/>
      <c r="HK49" s="99"/>
    </row>
    <row r="50" ht="15.0" customHeight="1" outlineLevel="1">
      <c r="A50" s="53">
        <v>54.0</v>
      </c>
      <c r="B50" s="100" t="s">
        <v>186</v>
      </c>
      <c r="C50" s="100" t="s">
        <v>187</v>
      </c>
      <c r="D50" s="64" t="str">
        <f t="shared" si="7"/>
        <v>DATA</v>
      </c>
      <c r="E50" s="101" t="s">
        <v>165</v>
      </c>
      <c r="F50" s="102">
        <v>1114.0</v>
      </c>
      <c r="G50" s="103" t="s">
        <v>165</v>
      </c>
      <c r="H50" s="104">
        <v>1114.0</v>
      </c>
      <c r="I50" s="68" t="str">
        <f>IFERROR(VLOOKUP($C47:C108,'R22 RELATÓRIO ACC'!B:F,5,FALSE),"NOT PUBLISHED")</f>
        <v>V20</v>
      </c>
      <c r="J50" s="69" t="str">
        <f>IFERROR(VLOOKUP($C47:C108,'R22 RELATÓRIO ACC'!B:P,15,FALSE),"NOT PUBLISHED")</f>
        <v>05/05/2026</v>
      </c>
      <c r="K50" s="70" t="str">
        <f>IFERROR(VLOOKUP($B47:B108,'RELATÓRIO ACC'!B:F,5,FALSE),"NOT PUBLISHED")</f>
        <v>V2</v>
      </c>
      <c r="L50" s="71" t="str">
        <f>IFERROR(VLOOKUP($B47:B108,'RELATÓRIO ACC'!B:P,15,FALSE),"NOT PUBLISHED")</f>
        <v>12/07/2026</v>
      </c>
      <c r="M50" s="72" t="str">
        <f>IF(OR($D50="UTLS",$D50="GUAR",$D50="STIR",$D50="PUMP",$D50="SITE"),
   VLOOKUP($B50,'LOD 400 - SITE'!B:M,12,FALSE),
   VLOOKUP($B50,'LOD 400 - ADMN'!B:M,12,FALSE)
)</f>
        <v>V14</v>
      </c>
      <c r="N50" s="105">
        <f>IF(OR($D50="UTLS",$D50="GUAR",$D50="STIR",$D50="PUMP",$D50="SITE"),
   VLOOKUP($B50,'LOD 400 - SITE'!B:N,13,FALSE),
   VLOOKUP($B50,'LOD 400 - ADMN'!B:N,13,FALSE)
)</f>
        <v>45999</v>
      </c>
      <c r="O50" s="106" t="str">
        <f>IF(OR($D50="UTLS",$D50="GUAR",$D50="STIR",$D50="PUMP",$D50="SITE"),
   VLOOKUP($B50,'LOD 400 - SITE'!B:O,14,FALSE),
   VLOOKUP($B50,'LOD 400 - ADMN'!B:O,14,FALSE)
)</f>
        <v>R22</v>
      </c>
      <c r="P50" s="107" t="str">
        <f>IF(OR($D50="C345",$D50="C12A",$D50="DATA"),
   VLOOKUP($B50,'LOD 400 - COLO3'!B:M,12,FALSE),"N/A")</f>
        <v>V19</v>
      </c>
      <c r="Q50" s="108">
        <f>IF(OR($D50="C345",$D50="C12A",$D50="DATA"),
   VLOOKUP($B50,'LOD 400 - COLO3'!B:N,13,FALSE),"N/A")</f>
        <v>46140</v>
      </c>
      <c r="R50" s="75" t="str">
        <f>IF(OR($D50="C345",$D50="C12A",$D50="DATA"),
   VLOOKUP($B50,'LOD 400 - COLO3'!B:O,14,FALSE),"N/A")</f>
        <v>R22</v>
      </c>
      <c r="S50" s="76" t="str">
        <f>IF(OR($D50="C345",$D50="C12A",$D50="DATA"),
   VLOOKUP($B50,'LOD 400 - COLO4'!B:N,12,FALSE),"N/A")</f>
        <v>N/A</v>
      </c>
      <c r="T50" s="76" t="str">
        <f>IF(OR($D50="C345",$D50="C12A",$D50="DATA"),
   VLOOKUP($B50,'LOD 400 - COLO4'!B:N,13,FALSE),"N/A")</f>
        <v>N/A</v>
      </c>
      <c r="U50" s="76" t="str">
        <f>IF(OR($D50="C345",$D50="C12A",$D50="DATA"),
   VLOOKUP($B50,'LOD 400 - COLO4'!B:N,13,FALSE),"N/A")</f>
        <v>N/A</v>
      </c>
      <c r="V50" s="77" t="str">
        <f>IF(OR($D50="UTLS",$D50="GUAR",$D50="STIR",$D50="PUMP",$D50="SITE"),
   VLOOKUP($B50,'LOD 400 - UTLS'!B:M,12,FALSE),"N/A")</f>
        <v>N/A</v>
      </c>
      <c r="W50" s="78" t="str">
        <f>IF(OR($D50="UTLS",$D50="GUAR",$D50="STIR",$D50="PUMP",$D50="SITE"),
   VLOOKUP($B50,'LOD 400 - UTLS'!B:N,13,FALSE),"N/A")</f>
        <v>N/A</v>
      </c>
      <c r="X50" s="108" t="str">
        <f>IF(OR($D50="UTLS",$D50="GUAR",$D50="STIR",$D50="PUMP",$D50="SITE"),
   VLOOKUP($B50,'LOD 400 - UTLS'!B:O,14,FALSE),"N/A")</f>
        <v>N/A</v>
      </c>
      <c r="Y50" s="79" t="str">
        <f>IFERROR(VLOOKUP($B50,'LOD 400 - ADMN'!B:S,18,FALSE),"N/A")</f>
        <v>OUTDATED</v>
      </c>
      <c r="Z50" s="79" t="str">
        <f>IFERROR(VLOOKUP($B50,'LOD 400 - ADMN'!B:V,21,FALSE),"N/A")</f>
        <v>OUTDATED</v>
      </c>
      <c r="AA50" s="79">
        <f>IFERROR(VLOOKUP($B50,'LOD 400 - ADMN'!$B:Y,24,FALSE),"N/A")</f>
        <v>0.01</v>
      </c>
      <c r="AB50" s="80" t="str">
        <f>IFERROR(VLOOKUP($B50,'LOD 400 - ADMN'!$B:AB,27,FALSE),"N/A")</f>
        <v>OUTDATED</v>
      </c>
      <c r="AC50" s="81" t="str">
        <f>IFERROR(VLOOKUP($B50,'LOD 400 - ADMN'!$B:AE,30,FALSE),"N/A")</f>
        <v>OUTDATED</v>
      </c>
      <c r="AD50" s="81" t="str">
        <f>IFERROR(VLOOKUP($B50,'LOD 400 - ADMN'!$B:AH,33,FALSE),"N/A")</f>
        <v>NEXT ROUND</v>
      </c>
      <c r="AE50" s="80">
        <f>IFERROR(VLOOKUP($B50,'LOD 400 - ADMN'!$B:AK,36,FALSE),"N/A")</f>
        <v>0.97</v>
      </c>
      <c r="AF50" s="82" t="str">
        <f>IFERROR(VLOOKUP($B50,'LOD 400 - ADMN'!$B:AN,39,FALSE),"N/A")</f>
        <v>NEXT ROUND</v>
      </c>
      <c r="AG50" s="83">
        <f>IFERROR(VLOOKUP($B50,'LOD 400 - ADMN'!$B:AQ,42,FALSE),"N/A")</f>
        <v>1</v>
      </c>
      <c r="AH50" s="84">
        <f>IFERROR(VLOOKUP($B50,'LOD 400 - ADMN'!$B:AT,45,FALSE),"N/A")</f>
        <v>1</v>
      </c>
      <c r="AI50" s="85">
        <f>IFERROR(VLOOKUP($B50,'LOD 400 - ADMN'!$B:AW,48,FALSE),"N/A")</f>
        <v>1</v>
      </c>
      <c r="AJ50" s="85">
        <f>IFERROR(VLOOKUP($B50,'LOD 400 - ADMN'!$B:AZ,51,FALSE),"N/A")</f>
        <v>1</v>
      </c>
      <c r="AK50" s="84">
        <f>IFERROR(VLOOKUP($B50,'LOD 400 - ADMN'!$B:BC,54,FALSE),"N/A")</f>
        <v>1</v>
      </c>
      <c r="AL50" s="84">
        <f>IFERROR(VLOOKUP($B50,'LOD 400 - ADMN'!$B:BF,57,FALSE),"N/A")</f>
        <v>1</v>
      </c>
      <c r="AM50" s="84">
        <f>IFERROR(VLOOKUP($B50,'LOD 400 - ADMN'!$B:BI,60,FALSE),"N/A")</f>
        <v>1</v>
      </c>
      <c r="AN50" s="84">
        <f>IFERROR(VLOOKUP($B50,'LOD 400 - ADMN'!$B:BL,63,FALSE),"N/A")</f>
        <v>1</v>
      </c>
      <c r="AO50" s="84">
        <f>IFERROR(VLOOKUP($B50,'LOD 400 - ADMN'!$B:BO,66,FALSE),"N/A")</f>
        <v>1</v>
      </c>
      <c r="AP50" s="84">
        <f>IFERROR(VLOOKUP($B50,'LOD 400 - ADMN'!$B:BR,69,FALSE),"N/A")</f>
        <v>1</v>
      </c>
      <c r="AQ50" s="84">
        <f>IFERROR(VLOOKUP($B50,'LOD 400 - ADMN'!$B:BU,72,FALSE),"N/A")</f>
        <v>1</v>
      </c>
      <c r="AR50" s="84">
        <f>IFERROR(VLOOKUP($B50,'LOD 400 - ADMN'!$B:BX,75,FALSE),"N/A")</f>
        <v>1</v>
      </c>
      <c r="AS50" s="84">
        <f>IFERROR(VLOOKUP($B50,'LOD 400 - ADMN'!$B:CA,78,FALSE),"N/A")</f>
        <v>1</v>
      </c>
      <c r="AT50" s="84">
        <f>IFERROR(VLOOKUP($B50,'LOD 400 - ADMN'!$B:CD,81,FALSE),"N/A")</f>
        <v>1</v>
      </c>
      <c r="AU50" s="85">
        <f>IFERROR(VLOOKUP($B50,'LOD 400 - ADMN'!$B:CG,84,FALSE),"N/A")</f>
        <v>1</v>
      </c>
      <c r="AV50" s="84">
        <f>IFERROR(VLOOKUP($B50,'LOD 400 - ADMN'!$B:CJ,87,FALSE),"N/A")</f>
        <v>1</v>
      </c>
      <c r="AW50" s="85">
        <f>IFERROR(VLOOKUP($B50,'LOD 400 - ADMN'!$B:CM,90,FALSE),"N/A")</f>
        <v>1</v>
      </c>
      <c r="AX50" s="84">
        <f>IFERROR(VLOOKUP($B50,'LOD 400 - ADMN'!$B:CP,93,FALSE),"N/A")</f>
        <v>1</v>
      </c>
      <c r="AY50" s="84">
        <f>IFERROR(VLOOKUP($B50,'LOD 400 - ADMN'!$B:CS,96,FALSE),"N/A")</f>
        <v>1</v>
      </c>
      <c r="AZ50" s="84">
        <f>IFERROR(VLOOKUP($B50,'LOD 400 - ADMN'!$B:CV,99,FALSE),"N/A")</f>
        <v>1</v>
      </c>
      <c r="BA50" s="84">
        <f>IFERROR(VLOOKUP($B50,'LOD 400 - ADMN'!$B:CY,102,FALSE),"N/A")</f>
        <v>1</v>
      </c>
      <c r="BB50" s="84">
        <f>IFERROR(VLOOKUP($B50,'LOD 400 - ADMN'!$B:DB,105,FALSE),"N/A")</f>
        <v>1</v>
      </c>
      <c r="BC50" s="84">
        <f>IFERROR(VLOOKUP($B50,'LOD 400 - ADMN'!$B:DE,108,FALSE),"N/A")</f>
        <v>1</v>
      </c>
      <c r="BD50" s="84">
        <f>IFERROR(VLOOKUP($B50,'LOD 400 - ADMN'!$B:DH,111,FALSE),"N/A")</f>
        <v>1</v>
      </c>
      <c r="BE50" s="84">
        <f>IFERROR(VLOOKUP($B50,'LOD 400 - ADMN'!$B:DK,114,FALSE),"N/A")</f>
        <v>1</v>
      </c>
      <c r="BF50" s="84">
        <f>IFERROR(VLOOKUP($B50,'LOD 400 - ADMN'!$B:DN,117,FALSE),"N/A")</f>
        <v>1</v>
      </c>
      <c r="BG50" s="86">
        <f>IFERROR(__xludf.DUMMYFUNCTION("IFERROR(
  MAX(FILTER(Y50:BF50, ISNUMBER(Y50:BF50))),
  BF50
)"),1.0)</f>
        <v>1</v>
      </c>
      <c r="BH50" s="79" t="str">
        <f>IFERROR(VLOOKUP($B50,'LOD 400 - COLO1'!B:S,18,FALSE),"N/A")</f>
        <v>OUTDATED</v>
      </c>
      <c r="BI50" s="79" t="str">
        <f>IFERROR(VLOOKUP($B50,'LOD 400 - COLO1'!B:V,21,FALSE),"N/A")</f>
        <v>OUTDATED</v>
      </c>
      <c r="BJ50" s="79">
        <f>IFERROR(VLOOKUP($B50,'LOD 400 - COLO1'!$B:Y,24,FALSE),"N/A")</f>
        <v>0.01</v>
      </c>
      <c r="BK50" s="87" t="str">
        <f>IFERROR(VLOOKUP($B50,'LOD 400 - COLO1'!$B:AB,27,FALSE),"N/A")</f>
        <v>OUTDATED</v>
      </c>
      <c r="BL50" s="80" t="str">
        <f>IFERROR(VLOOKUP($B50,'LOD 400 - COLO1'!$B:AE,30,FALSE),"N/A")</f>
        <v>OUTDATED</v>
      </c>
      <c r="BM50" s="81" t="str">
        <f>IFERROR(VLOOKUP($B50,'LOD 400 - COLO1'!$B:AH,33,FALSE),"N/A")</f>
        <v>NEXT ROUND</v>
      </c>
      <c r="BN50" s="87">
        <f>IFERROR(VLOOKUP($B50,'LOD 400 - COLO1'!$B:AK,36,FALSE),"N/A")</f>
        <v>1</v>
      </c>
      <c r="BO50" s="83">
        <f>IFERROR(VLOOKUP($B50,'LOD 400 - COLO1'!$B:AN,39,FALSE),"N/A")</f>
        <v>1</v>
      </c>
      <c r="BP50" s="88">
        <f>IFERROR(VLOOKUP($B50,'LOD 400 - COLO1'!$B:AQ,42,FALSE),"N/A")</f>
        <v>1</v>
      </c>
      <c r="BQ50" s="84">
        <f>IFERROR(VLOOKUP($B50,'LOD 400 - COLO1'!$B:AT,45,FALSE),"N/A")</f>
        <v>1</v>
      </c>
      <c r="BR50" s="85">
        <f>IFERROR(VLOOKUP($B50,'LOD 400 - COLO1'!$B:AW,48,FALSE),"N/A")</f>
        <v>1</v>
      </c>
      <c r="BS50" s="84">
        <f>IFERROR(VLOOKUP($B50,'LOD 400 - COLO1'!$B:AZ,51,FALSE),"N/A")</f>
        <v>1</v>
      </c>
      <c r="BT50" s="84">
        <f>IFERROR(VLOOKUP($B50,'LOD 400 - COLO1'!$B:BC,54,FALSE),"N/A")</f>
        <v>1</v>
      </c>
      <c r="BU50" s="84">
        <f>IFERROR(VLOOKUP($B50,'LOD 400 - COLO1'!$B:BF,57,FALSE),"N/A")</f>
        <v>1</v>
      </c>
      <c r="BV50" s="84">
        <f>IFERROR(VLOOKUP($B50,'LOD 400 - COLO1'!$B:BI,60,FALSE),"N/A")</f>
        <v>1</v>
      </c>
      <c r="BW50" s="84">
        <f>IFERROR(VLOOKUP($B50,'LOD 400 - COLO1'!$B:BL,63,FALSE),"N/A")</f>
        <v>1</v>
      </c>
      <c r="BX50" s="84">
        <f>IFERROR(VLOOKUP($B50,'LOD 400 - COLO1'!$B:BO,66,FALSE),"N/A")</f>
        <v>1</v>
      </c>
      <c r="BY50" s="84">
        <f>IFERROR(VLOOKUP($B50,'LOD 400 - COLO1'!$B:BR,69,FALSE),"N/A")</f>
        <v>1</v>
      </c>
      <c r="BZ50" s="84">
        <f>IFERROR(VLOOKUP($B50,'LOD 400 - COLO1'!$B:BU,72,FALSE),"N/A")</f>
        <v>1</v>
      </c>
      <c r="CA50" s="84">
        <f>IFERROR(VLOOKUP($B50,'LOD 400 - COLO1'!$B:BX,75,FALSE),"N/A")</f>
        <v>1</v>
      </c>
      <c r="CB50" s="84">
        <f>IFERROR(VLOOKUP($B50,'LOD 400 - COLO1'!$B:CA,78,FALSE),"N/A")</f>
        <v>1</v>
      </c>
      <c r="CC50" s="84">
        <f>IFERROR(VLOOKUP($B50,'LOD 400 - COLO1'!$B:CD,81,FALSE),"N/A")</f>
        <v>1</v>
      </c>
      <c r="CD50" s="85">
        <f>IFERROR(VLOOKUP($B50,'LOD 400 - COLO1'!$B:CG,84,FALSE),"N/A")</f>
        <v>1</v>
      </c>
      <c r="CE50" s="84">
        <f>IFERROR(VLOOKUP($B50,'LOD 400 - COLO1'!$B:CJ,87,FALSE),"N/A")</f>
        <v>1</v>
      </c>
      <c r="CF50" s="85">
        <f>IFERROR(VLOOKUP($B50,'LOD 400 - COLO1'!$B:CM,90,FALSE),"N/A")</f>
        <v>1</v>
      </c>
      <c r="CG50" s="84">
        <f>IFERROR(VLOOKUP($B50,'LOD 400 - COLO1'!$B:CP,93,FALSE),"N/A")</f>
        <v>1</v>
      </c>
      <c r="CH50" s="84">
        <f>IFERROR(VLOOKUP($B50,'LOD 400 - COLO1'!$B:CS,96,FALSE),"N/A")</f>
        <v>1</v>
      </c>
      <c r="CI50" s="84">
        <f>IFERROR(VLOOKUP($B50,'LOD 400 - COLO1'!$B:CV,99,FALSE),"N/A")</f>
        <v>1</v>
      </c>
      <c r="CJ50" s="84">
        <f>IFERROR(VLOOKUP($B50,'LOD 400 - COLO1'!$B:CY,102,FALSE),"N/A")</f>
        <v>1</v>
      </c>
      <c r="CK50" s="84">
        <f>IFERROR(VLOOKUP($B50,'LOD 400 - COLO1'!$B:DB,105,FALSE),"N/A")</f>
        <v>1</v>
      </c>
      <c r="CL50" s="84">
        <f>IFERROR(VLOOKUP($B50,'LOD 400 - COLO1'!$B:DE,108,FALSE),"N/A")</f>
        <v>1</v>
      </c>
      <c r="CM50" s="84">
        <f>IFERROR(VLOOKUP($B50,'LOD 400 - COLO1'!$B:DH,111,FALSE),"N/A")</f>
        <v>1</v>
      </c>
      <c r="CN50" s="84">
        <f>IFERROR(VLOOKUP($B50,'LOD 400 - COLO1'!$B:DK,114,FALSE),"N/A")</f>
        <v>1</v>
      </c>
      <c r="CO50" s="84">
        <f>IFERROR(VLOOKUP($B50,'LOD 400 - COLO1'!$B:DN,117,FALSE),"N/A")</f>
        <v>1</v>
      </c>
      <c r="CP50" s="86">
        <f>IFERROR(__xludf.DUMMYFUNCTION("IFERROR(
  MAX(FILTER(BH50:CO50, ISNUMBER(BH50:CO50))),
  CO50
)"),1.0)</f>
        <v>1</v>
      </c>
      <c r="CQ50" s="89" t="str">
        <f>IFERROR(VLOOKUP($B50,'LOD 400 - COLO2'!B:S,18,FALSE),"N/A")</f>
        <v>OUTDATED</v>
      </c>
      <c r="CR50" s="79" t="str">
        <f>IFERROR(VLOOKUP($B50,'LOD 400 - COLO2'!B:V,21,FALSE),"N/A")</f>
        <v>OUTDATED</v>
      </c>
      <c r="CS50" s="79">
        <f>IFERROR(VLOOKUP($B50,'LOD 400 - COLO2'!$B:Y,24,FALSE),"N/A")</f>
        <v>0.01</v>
      </c>
      <c r="CT50" s="80" t="str">
        <f>IFERROR(VLOOKUP($B50,'LOD 400 - COLO2'!$B:DQ,27,FALSE),"N/A")</f>
        <v>OUTDATED</v>
      </c>
      <c r="CU50" s="90" t="str">
        <f>IFERROR(VLOOKUP($B50,'LOD 400 - COLO2'!$B:AE,30,FALSE),"N/A")</f>
        <v>OUTDATED</v>
      </c>
      <c r="CV50" s="81" t="str">
        <f>IFERROR(VLOOKUP($B50,'LOD 400 - COLO2'!$B:AH,33,FALSE),"N/A")</f>
        <v>NEXT ROUND</v>
      </c>
      <c r="CW50" s="90">
        <f>IFERROR(VLOOKUP($B50,'LOD 400 - COLO2'!$B:AK,36,FALSE),"N/A")</f>
        <v>0.97</v>
      </c>
      <c r="CX50" s="85" t="str">
        <f>IFERROR(VLOOKUP($B50,'LOD 400 - COLO2'!$B:AN,39,FALSE),"N/A")</f>
        <v>NEXT ROUND</v>
      </c>
      <c r="CY50" s="88">
        <f>IFERROR(VLOOKUP($B50,'LOD 400 - COLO2'!$B:AQ,42,FALSE),"N/A")</f>
        <v>1</v>
      </c>
      <c r="CZ50" s="84">
        <f>IFERROR(VLOOKUP($B50,'LOD 400 - COLO2'!$B:AT,45,FALSE),"N/A")</f>
        <v>1</v>
      </c>
      <c r="DA50" s="85">
        <f>IFERROR(VLOOKUP($B50,'LOD 400 - COLO2'!$B:AW,48,FALSE),"N/A")</f>
        <v>1</v>
      </c>
      <c r="DB50" s="84">
        <f>IFERROR(VLOOKUP($B50,'LOD 400 - COLO2'!$B:AZ,51,FALSE),"N/A")</f>
        <v>1</v>
      </c>
      <c r="DC50" s="84">
        <f>IFERROR(VLOOKUP($B50,'LOD 400 - COLO2'!$B:BC,54,FALSE),"N/A")</f>
        <v>1</v>
      </c>
      <c r="DD50" s="84">
        <f>IFERROR(VLOOKUP($B50,'LOD 400 - COLO2'!$B:BF,57,FALSE),"N/A")</f>
        <v>1</v>
      </c>
      <c r="DE50" s="84">
        <f>IFERROR(VLOOKUP($B50,'LOD 400 - COLO2'!$B:BI,60,FALSE),"N/A")</f>
        <v>1</v>
      </c>
      <c r="DF50" s="84">
        <f>IFERROR(VLOOKUP($B50,'LOD 400 - COLO2'!$B:BL,63,FALSE),"N/A")</f>
        <v>1</v>
      </c>
      <c r="DG50" s="84">
        <f>IFERROR(VLOOKUP($B50,'LOD 400 - COLO2'!$B:BO,66,FALSE),"N/A")</f>
        <v>1</v>
      </c>
      <c r="DH50" s="84">
        <f>IFERROR(VLOOKUP($B50,'LOD 400 - COLO2'!$B:BR,69,FALSE),"N/A")</f>
        <v>1</v>
      </c>
      <c r="DI50" s="84">
        <f>IFERROR(VLOOKUP($B50,'LOD 400 - COLO2'!$B:BU,72,FALSE),"N/A")</f>
        <v>1</v>
      </c>
      <c r="DJ50" s="84">
        <f>IFERROR(VLOOKUP($B50,'LOD 400 - COLO2'!$B:BX,75,FALSE),"N/A")</f>
        <v>1</v>
      </c>
      <c r="DK50" s="84">
        <f>IFERROR(VLOOKUP($B50,'LOD 400 - COLO2'!$B:CA,78,FALSE),"N/A")</f>
        <v>1</v>
      </c>
      <c r="DL50" s="84">
        <f>IFERROR(VLOOKUP($B50,'LOD 400 - COLO2'!$B:CD,81,FALSE),"N/A")</f>
        <v>1</v>
      </c>
      <c r="DM50" s="85">
        <f>IFERROR(VLOOKUP($B50,'LOD 400 - COLO2'!$B:CG,84,FALSE),"N/A")</f>
        <v>1</v>
      </c>
      <c r="DN50" s="84">
        <f>IFERROR(VLOOKUP($B50,'LOD 400 - COLO2'!$B:CJ,87,FALSE),"N/A")</f>
        <v>1</v>
      </c>
      <c r="DO50" s="85">
        <f>IFERROR(VLOOKUP($B50,'LOD 400 - COLO2'!$B:CM,90,FALSE),"N/A")</f>
        <v>1</v>
      </c>
      <c r="DP50" s="84">
        <f>IFERROR(VLOOKUP($B50,'LOD 400 - COLO2'!$B:CP,93,FALSE),"N/A")</f>
        <v>1</v>
      </c>
      <c r="DQ50" s="84">
        <f>IFERROR(VLOOKUP($B50,'LOD 400 - COLO2'!$B:CS,96,FALSE),"N/A")</f>
        <v>1</v>
      </c>
      <c r="DR50" s="84">
        <f>IFERROR(VLOOKUP($B50,'LOD 400 - COLO2'!$B:CV,99,FALSE),"N/A")</f>
        <v>1</v>
      </c>
      <c r="DS50" s="84">
        <f>IFERROR(VLOOKUP($B50,'LOD 400 - COLO2'!$B:CY,102,FALSE),"N/A")</f>
        <v>1</v>
      </c>
      <c r="DT50" s="84">
        <f>IFERROR(VLOOKUP($B50,'LOD 400 - COLO2'!$B:DB,105,FALSE),"N/A")</f>
        <v>1</v>
      </c>
      <c r="DU50" s="84">
        <f>IFERROR(VLOOKUP($B50,'LOD 400 - COLO2'!$B:DE,108,FALSE),"N/A")</f>
        <v>1</v>
      </c>
      <c r="DV50" s="84">
        <f>IFERROR(VLOOKUP($B50,'LOD 400 - COLO2'!$B:DH,111,FALSE),"N/A")</f>
        <v>1</v>
      </c>
      <c r="DW50" s="84">
        <f>IFERROR(VLOOKUP($B50,'LOD 400 - COLO2'!$B:DK,114,FALSE),"N/A")</f>
        <v>1</v>
      </c>
      <c r="DX50" s="84">
        <f>IFERROR(VLOOKUP($B50,'LOD 400 - COLO2'!$B:DN,117,FALSE),"N/A")</f>
        <v>1</v>
      </c>
      <c r="DY50" s="91">
        <f>IFERROR(__xludf.DUMMYFUNCTION("IFERROR(
  MAX(FILTER(CQ50:DW50, ISNUMBER(CQ50:DW50))),
  DW50
)"),1.0)</f>
        <v>1</v>
      </c>
      <c r="DZ50" s="92">
        <f>IFERROR(VLOOKUP($B50,'LOD 400 - COLO3'!B:S,18,FALSE),"N/A")</f>
        <v>0</v>
      </c>
      <c r="EA50" s="84">
        <f>IFERROR(VLOOKUP($B50,'LOD 400 - COLO3'!B:V,21,FALSE),"N/A")</f>
        <v>0.38</v>
      </c>
      <c r="EB50" s="84" t="str">
        <f>IFERROR(VLOOKUP($B50,'LOD 400 - COLO3'!B:Y,24,FALSE),"N/A")</f>
        <v>OUTDATED</v>
      </c>
      <c r="EC50" s="84" t="str">
        <f>IFERROR(VLOOKUP($B50,'LOD 400 - COLO3'!B:AB,27,FALSE),"N/A")</f>
        <v>OUTDATED</v>
      </c>
      <c r="ED50" s="85" t="str">
        <f>IFERROR(VLOOKUP($B50,'LOD 400 - COLO3'!B:AE,30,FALSE),"N/A")</f>
        <v>NEXT ROUND</v>
      </c>
      <c r="EE50" s="84">
        <f>IFERROR(VLOOKUP($B50,'LOD 400 - COLO3'!B:AH,33,FALSE),"N/A")</f>
        <v>1</v>
      </c>
      <c r="EF50" s="84">
        <f>IFERROR(VLOOKUP($B50,'LOD 400 - COLO3'!B:AK,36,FALSE),"N/A")</f>
        <v>1</v>
      </c>
      <c r="EG50" s="109">
        <f>IFERROR(VLOOKUP($B50,'LOD 400 - COLO3'!B:AN,39,FALSE),"N/A")</f>
        <v>1</v>
      </c>
      <c r="EH50" s="94">
        <f>IFERROR(VLOOKUP($B50,'LOD 400 - COLO3'!B:AQ,42,FALSE),"N/A")</f>
        <v>1</v>
      </c>
      <c r="EI50" s="94">
        <f>IFERROR(VLOOKUP($B50,'LOD 400 - COLO3'!B:AT,45,FALSE),"N/A")</f>
        <v>1</v>
      </c>
      <c r="EJ50" s="94">
        <f>IFERROR(VLOOKUP($B50,'LOD 400 - COLO3'!B:AW,48,FALSE),"N/A")</f>
        <v>1</v>
      </c>
      <c r="EK50" s="94">
        <f>IFERROR(VLOOKUP($B50,'LOD 400 - COLO3'!B:AZ,51,FALSE),"N/A")</f>
        <v>1</v>
      </c>
      <c r="EL50" s="94">
        <f>IFERROR(VLOOKUP($B50,'LOD 400 - COLO3'!B:BC,54,FALSE),"N/A")</f>
        <v>1</v>
      </c>
      <c r="EM50" s="94">
        <f>IFERROR(VLOOKUP($B50,'LOD 400 - COLO3'!B:BF,57,FALSE),"N/A")</f>
        <v>1</v>
      </c>
      <c r="EN50" s="94">
        <f>IFERROR(VLOOKUP($B50,'LOD 400 - COLO3'!B:BI,60,FALSE),"N/A")</f>
        <v>1</v>
      </c>
      <c r="EO50" s="94">
        <f>IFERROR(VLOOKUP($B50,'LOD 400 - COLO3'!B:BL,63,FALSE),"N/A")</f>
        <v>1</v>
      </c>
      <c r="EP50" s="86">
        <f>IFERROR(__xludf.DUMMYFUNCTION("IFERROR(
  MAX(FILTER(DZ50:EO50, ISNUMBER(DZ50:EO50))),
  EO50
)"),1.0)</f>
        <v>1</v>
      </c>
      <c r="EQ50" s="95">
        <f>IFERROR(VLOOKUP($B50,'LOD 400 - COLO4'!B:S,18,FALSE),"N/A")</f>
        <v>0</v>
      </c>
      <c r="ER50" s="96">
        <f>IFERROR(__xludf.DUMMYFUNCTION("IFERROR(
  MAX(FILTER(EQ50, ISNUMBER(EQ50))),
  EQ50
)"),0.0)</f>
        <v>0</v>
      </c>
      <c r="ES50" s="79" t="str">
        <f>IFERROR(VLOOKUP($B50,'LOD 400 - SITE'!B:S,18,FALSE),"N/A")</f>
        <v>N/A</v>
      </c>
      <c r="ET50" s="80" t="str">
        <f>IFERROR(VLOOKUP($B50,'LOD 400 - SITE'!B:V,21,FALSE),"N/A")</f>
        <v>N/A</v>
      </c>
      <c r="EU50" s="97" t="str">
        <f>IFERROR(VLOOKUP($B50,'LOD 400 - SITE'!$B:Y,24,FALSE),"N/A")</f>
        <v>N/A</v>
      </c>
      <c r="EV50" s="80" t="str">
        <f>IFERROR(VLOOKUP($B50,'LOD 400 - SITE'!$B:AB,27,FALSE),"N/A")</f>
        <v>N/A</v>
      </c>
      <c r="EW50" s="81" t="str">
        <f>IFERROR(VLOOKUP($B50,'LOD 400 - SITE'!$B:AE,30,FALSE),"N/A")</f>
        <v>N/A</v>
      </c>
      <c r="EX50" s="87" t="str">
        <f>IFERROR(VLOOKUP($B50,'LOD 400 - SITE'!$B:AH,33,FALSE),"N/A")</f>
        <v>N/A</v>
      </c>
      <c r="EY50" s="87" t="str">
        <f>IFERROR(VLOOKUP($B50,'LOD 400 - SITE'!$B:AK,36,FALSE),"N/A")</f>
        <v>N/A</v>
      </c>
      <c r="EZ50" s="80" t="str">
        <f>IFERROR(VLOOKUP($B50,'LOD 400 - SITE'!$B:AN,39,FALSE),"N/A")</f>
        <v>N/A</v>
      </c>
      <c r="FA50" s="82" t="str">
        <f>IFERROR(VLOOKUP($B50,'LOD 400 - SITE'!$B:AQ,42,FALSE),"N/A")</f>
        <v>N/A</v>
      </c>
      <c r="FB50" s="88" t="str">
        <f>IFERROR(VLOOKUP($B50,'LOD 400 - SITE'!$B:AT,45,FALSE),"N/A")</f>
        <v>N/A</v>
      </c>
      <c r="FC50" s="84" t="str">
        <f>IFERROR(VLOOKUP($B50,'LOD 400 - SITE'!$B:AW,48,FALSE),"N/A")</f>
        <v>N/A</v>
      </c>
      <c r="FD50" s="84" t="str">
        <f>IFERROR(VLOOKUP($B50,'LOD 400 - SITE'!$B:AZ,51,FALSE),"N/A")</f>
        <v>N/A</v>
      </c>
      <c r="FE50" s="84" t="str">
        <f>IFERROR(VLOOKUP($B50,'LOD 400 - SITE'!$B:BC,54,FALSE),"N/A")</f>
        <v>N/A</v>
      </c>
      <c r="FF50" s="84" t="str">
        <f>IFERROR(VLOOKUP($B50,'LOD 400 - SITE'!$B:BF,57,FALSE),"N/A")</f>
        <v>N/A</v>
      </c>
      <c r="FG50" s="84" t="str">
        <f>IFERROR(VLOOKUP($B50,'LOD 400 - SITE'!$B:BI,60,FALSE),"N/A")</f>
        <v>N/A</v>
      </c>
      <c r="FH50" s="84" t="str">
        <f>IFERROR(VLOOKUP($B50,'LOD 400 - SITE'!$B:BL,63,FALSE),"N/A")</f>
        <v>N/A</v>
      </c>
      <c r="FI50" s="84" t="str">
        <f>IFERROR(VLOOKUP($B50,'LOD 400 - SITE'!$B:BO,66,FALSE),"N/A")</f>
        <v>N/A</v>
      </c>
      <c r="FJ50" s="84" t="str">
        <f>IFERROR(VLOOKUP($B50,'LOD 400 - SITE'!$B:BR,69,FALSE),"N/A")</f>
        <v>N/A</v>
      </c>
      <c r="FK50" s="84" t="str">
        <f>IFERROR(VLOOKUP($B50,'LOD 400 - SITE'!$B:BU,72,FALSE),"N/A")</f>
        <v>N/A</v>
      </c>
      <c r="FL50" s="84" t="str">
        <f>IFERROR(VLOOKUP($B50,'LOD 400 - SITE'!$B:BX,75,FALSE),"N/A")</f>
        <v>N/A</v>
      </c>
      <c r="FM50" s="84" t="str">
        <f>IFERROR(VLOOKUP($B50,'LOD 400 - SITE'!$B:CA,78,FALSE),"N/A")</f>
        <v>N/A</v>
      </c>
      <c r="FN50" s="85" t="str">
        <f>IFERROR(VLOOKUP($B50,'LOD 400 - SITE'!$B:CD,81,FALSE),"N/A")</f>
        <v>N/A</v>
      </c>
      <c r="FO50" s="84" t="str">
        <f>IFERROR(VLOOKUP($B50,'LOD 400 - SITE'!$B:CG,84,FALSE),"N/A")</f>
        <v>N/A</v>
      </c>
      <c r="FP50" s="85" t="str">
        <f>IFERROR(VLOOKUP($B50,'LOD 400 - SITE'!$B:CJ,87,FALSE),"N/A")</f>
        <v>N/A</v>
      </c>
      <c r="FQ50" s="84" t="str">
        <f>IFERROR(VLOOKUP($B50,'LOD 400 - SITE'!$B:CM,90,FALSE),"N/A")</f>
        <v>N/A</v>
      </c>
      <c r="FR50" s="84" t="str">
        <f>IFERROR(VLOOKUP($B50,'LOD 400 - SITE'!$B:CP,93,FALSE),"N/A")</f>
        <v>N/A</v>
      </c>
      <c r="FS50" s="84" t="str">
        <f>IFERROR(VLOOKUP($B50,'LOD 400 - SITE'!$B:CS,96,FALSE),"N/A")</f>
        <v>N/A</v>
      </c>
      <c r="FT50" s="84" t="str">
        <f>IFERROR(VLOOKUP($B50,'LOD 400 - SITE'!$B:CV,99,FALSE),"N/A")</f>
        <v>N/A</v>
      </c>
      <c r="FU50" s="84" t="str">
        <f>IFERROR(VLOOKUP($B50,'LOD 400 - SITE'!$B:CY,102,FALSE),"N/A")</f>
        <v>N/A</v>
      </c>
      <c r="FV50" s="84" t="str">
        <f>IFERROR(VLOOKUP($B50,'LOD 400 - SITE'!$B:DB,105,FALSE),"N/A")</f>
        <v>N/A</v>
      </c>
      <c r="FW50" s="84" t="str">
        <f>IFERROR(VLOOKUP($B50,'LOD 400 - SITE'!$B:DE,108,FALSE),"N/A")</f>
        <v>N/A</v>
      </c>
      <c r="FX50" s="84" t="str">
        <f>IFERROR(VLOOKUP($B50,'LOD 400 - SITE'!$B:DH,111,FALSE),"N/A")</f>
        <v>N/A</v>
      </c>
      <c r="FY50" s="84" t="str">
        <f>IFERROR(VLOOKUP($B50,'LOD 400 - SITE'!$B:DK,114,FALSE),"N/A")</f>
        <v>N/A</v>
      </c>
      <c r="FZ50" s="96" t="str">
        <f>IFERROR(__xludf.DUMMYFUNCTION("IFERROR(
  MAX(FILTER(ES50:FY50, ISNUMBER(ES50:FY50))),
  FY50
)"),"N/A")</f>
        <v>N/A</v>
      </c>
      <c r="GA50" s="80" t="str">
        <f>IFERROR(VLOOKUP($B50,'LOD 400 - UTLS'!B:S,18,FALSE),"N/A")</f>
        <v>N/A</v>
      </c>
      <c r="GB50" s="98" t="str">
        <f>IFERROR(VLOOKUP($B50,'LOD 400 - UTLS'!B:V,21,FALSE),"N/A")</f>
        <v>N/A</v>
      </c>
      <c r="GC50" s="81" t="str">
        <f>IFERROR(VLOOKUP($B50,'LOD 400 - UTLS'!B:Y,24,FALSE),"N/A")</f>
        <v>N/A</v>
      </c>
      <c r="GD50" s="87" t="str">
        <f>IFERROR(VLOOKUP($B50,'LOD 400 - UTLS'!$B:AB,27,FALSE),"N/A")</f>
        <v>N/A</v>
      </c>
      <c r="GE50" s="80" t="str">
        <f>IFERROR(VLOOKUP($B50,'LOD 400 - UTLS'!$B:AE,30,FALSE),"N/A")</f>
        <v>N/A</v>
      </c>
      <c r="GF50" s="82" t="str">
        <f>IFERROR(VLOOKUP($B50,'LOD 400 - UTLS'!$B:AH,33,FALSE),"N/A")</f>
        <v>N/A</v>
      </c>
      <c r="GG50" s="88" t="str">
        <f>IFERROR(VLOOKUP($B50,'LOD 400 - UTLS'!$B:AK,36,FALSE),"N/A")</f>
        <v>N/A</v>
      </c>
      <c r="GH50" s="84" t="str">
        <f>IFERROR(VLOOKUP($B50,'LOD 400 - UTLS'!$B:AN,39,FALSE),"N/A")</f>
        <v>N/A</v>
      </c>
      <c r="GI50" s="84" t="str">
        <f>IFERROR(VLOOKUP($B50,'LOD 400 - UTLS'!$B:AQ,42,FALSE),"N/A")</f>
        <v>N/A</v>
      </c>
      <c r="GJ50" s="84" t="str">
        <f>IFERROR(VLOOKUP($B50,'LOD 400 - UTLS'!$B:AT,45,FALSE),"N/A")</f>
        <v>N/A</v>
      </c>
      <c r="GK50" s="84" t="str">
        <f>IFERROR(VLOOKUP($B50,'LOD 400 - UTLS'!$B:AW,48,FALSE),"N/A")</f>
        <v>N/A</v>
      </c>
      <c r="GL50" s="84" t="str">
        <f>IFERROR(VLOOKUP($B50,'LOD 400 - UTLS'!$B:AZ,51,FALSE),"N/A")</f>
        <v>N/A</v>
      </c>
      <c r="GM50" s="84" t="str">
        <f>IFERROR(VLOOKUP($B50,'LOD 400 - UTLS'!$B:BC,54,FALSE),"N/A")</f>
        <v>N/A</v>
      </c>
      <c r="GN50" s="84" t="str">
        <f>IFERROR(VLOOKUP($B50,'LOD 400 - UTLS'!$B:BF,57,FALSE),"N/A")</f>
        <v>N/A</v>
      </c>
      <c r="GO50" s="84" t="str">
        <f>IFERROR(VLOOKUP($B50,'LOD 400 - UTLS'!$B:BI,60,FALSE),"N/A")</f>
        <v>N/A</v>
      </c>
      <c r="GP50" s="84" t="str">
        <f>IFERROR(VLOOKUP($B50,'LOD 400 - UTLS'!$B:BL,63,FALSE),"N/A")</f>
        <v>N/A</v>
      </c>
      <c r="GQ50" s="84" t="str">
        <f>IFERROR(VLOOKUP($B50,'LOD 400 - UTLS'!$B:BO,66,FALSE),"N/A")</f>
        <v>N/A</v>
      </c>
      <c r="GR50" s="84" t="str">
        <f>IFERROR(VLOOKUP($B50,'LOD 400 - UTLS'!$B:BR,69,FALSE),"N/A")</f>
        <v>N/A</v>
      </c>
      <c r="GS50" s="85" t="str">
        <f>IFERROR(VLOOKUP($B50,'LOD 400 - UTLS'!$B:BU,72,FALSE),"N/A")</f>
        <v>N/A</v>
      </c>
      <c r="GT50" s="84" t="str">
        <f>IFERROR(VLOOKUP($B50,'LOD 400 - UTLS'!$B:BX,75,FALSE),"N/A")</f>
        <v>N/A</v>
      </c>
      <c r="GU50" s="85" t="str">
        <f>IFERROR(VLOOKUP($B50,'LOD 400 - UTLS'!$B:CA,78,FALSE),"N/A")</f>
        <v>N/A</v>
      </c>
      <c r="GV50" s="84" t="str">
        <f>IFERROR(VLOOKUP($B50,'LOD 400 - UTLS'!$B:CD,81,FALSE),"N/A")</f>
        <v>N/A</v>
      </c>
      <c r="GW50" s="84" t="str">
        <f>IFERROR(VLOOKUP($B50,'LOD 400 - UTLS'!$B:CG,84,FALSE),"N/A")</f>
        <v>N/A</v>
      </c>
      <c r="GX50" s="84" t="str">
        <f>IFERROR(VLOOKUP($B50,'LOD 400 - UTLS'!$B:CJ,87,FALSE),"N/A")</f>
        <v>N/A</v>
      </c>
      <c r="GY50" s="84" t="str">
        <f>IFERROR(VLOOKUP($B50,'LOD 400 - UTLS'!$B:CM,90,FALSE),"N/A")</f>
        <v>N/A</v>
      </c>
      <c r="GZ50" s="84" t="str">
        <f>IFERROR(VLOOKUP($B50,'LOD 400 - UTLS'!$B:CP,93,FALSE),"N/A")</f>
        <v>N/A</v>
      </c>
      <c r="HA50" s="84" t="str">
        <f>IFERROR(VLOOKUP($B50,'LOD 400 - UTLS'!$B:CS,96,FALSE),"N/A")</f>
        <v>N/A</v>
      </c>
      <c r="HB50" s="84" t="str">
        <f>IFERROR(VLOOKUP($B50,'LOD 400 - UTLS'!$B:CV,99,FALSE),"N/A")</f>
        <v>N/A</v>
      </c>
      <c r="HC50" s="84" t="str">
        <f>IFERROR(VLOOKUP($B50,'LOD 400 - UTLS'!$B:CY,102,FALSE),"N/A")</f>
        <v>N/A</v>
      </c>
      <c r="HD50" s="84" t="str">
        <f>IFERROR(VLOOKUP($B50,'LOD 400 - UTLS'!$B:DB,105,FALSE),"N/A")</f>
        <v>N/A</v>
      </c>
      <c r="HE50" s="96" t="str">
        <f>IFERROR(__xludf.DUMMYFUNCTION("IFERROR(
  MAX(FILTER(GA50:HD50, ISNUMBER(GA50:HD50))),
  HD50
)"),"N/A")</f>
        <v>N/A</v>
      </c>
      <c r="HF50" s="99"/>
      <c r="HG50" s="99"/>
      <c r="HH50" s="99"/>
      <c r="HI50" s="99"/>
      <c r="HJ50" s="99"/>
      <c r="HK50" s="99"/>
    </row>
    <row r="51" ht="15.0" hidden="1" customHeight="1">
      <c r="A51" s="53">
        <v>55.0</v>
      </c>
      <c r="B51" s="124" t="s">
        <v>188</v>
      </c>
      <c r="C51" s="125"/>
      <c r="D51" s="126"/>
      <c r="E51" s="126"/>
      <c r="F51" s="126"/>
      <c r="G51" s="127"/>
      <c r="H51" s="126"/>
      <c r="I51" s="126"/>
      <c r="J51" s="128"/>
      <c r="K51" s="129"/>
      <c r="L51" s="130"/>
      <c r="M51" s="126"/>
      <c r="N51" s="131"/>
      <c r="O51" s="132"/>
      <c r="P51" s="133"/>
      <c r="Q51" s="134"/>
      <c r="R51" s="135"/>
      <c r="S51" s="136"/>
      <c r="T51" s="136"/>
      <c r="U51" s="137"/>
      <c r="V51" s="138"/>
      <c r="W51" s="126"/>
      <c r="X51" s="134"/>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6"/>
      <c r="AU51" s="126"/>
      <c r="AV51" s="134"/>
      <c r="AW51" s="135"/>
      <c r="AX51" s="134"/>
      <c r="AY51" s="135"/>
      <c r="AZ51" s="135"/>
      <c r="BA51" s="135"/>
      <c r="BB51" s="135"/>
      <c r="BC51" s="135"/>
      <c r="BD51" s="135"/>
      <c r="BE51" s="135"/>
      <c r="BF51" s="135"/>
      <c r="BG51" s="139"/>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6"/>
      <c r="CD51" s="126"/>
      <c r="CE51" s="134"/>
      <c r="CF51" s="135"/>
      <c r="CG51" s="134"/>
      <c r="CH51" s="135"/>
      <c r="CI51" s="135"/>
      <c r="CJ51" s="135"/>
      <c r="CK51" s="135"/>
      <c r="CL51" s="135"/>
      <c r="CM51" s="135"/>
      <c r="CN51" s="135"/>
      <c r="CO51" s="135"/>
      <c r="CP51" s="139"/>
      <c r="CQ51" s="127"/>
      <c r="CR51" s="127"/>
      <c r="CS51" s="127"/>
      <c r="CT51" s="127"/>
      <c r="CU51" s="127"/>
      <c r="CV51" s="127"/>
      <c r="CW51" s="127"/>
      <c r="CX51" s="127"/>
      <c r="CY51" s="127"/>
      <c r="CZ51" s="127"/>
      <c r="DA51" s="127"/>
      <c r="DB51" s="127"/>
      <c r="DC51" s="127"/>
      <c r="DD51" s="127"/>
      <c r="DE51" s="127"/>
      <c r="DF51" s="127"/>
      <c r="DG51" s="127"/>
      <c r="DH51" s="127"/>
      <c r="DI51" s="127"/>
      <c r="DJ51" s="126"/>
      <c r="DK51" s="126"/>
      <c r="DL51" s="126"/>
      <c r="DM51" s="126"/>
      <c r="DN51" s="134"/>
      <c r="DO51" s="135"/>
      <c r="DP51" s="134"/>
      <c r="DQ51" s="135"/>
      <c r="DR51" s="135"/>
      <c r="DS51" s="135"/>
      <c r="DT51" s="135"/>
      <c r="DU51" s="135"/>
      <c r="DV51" s="135"/>
      <c r="DW51" s="135"/>
      <c r="DX51" s="135"/>
      <c r="DY51" s="126"/>
      <c r="DZ51" s="140"/>
      <c r="EA51" s="137"/>
      <c r="EB51" s="135"/>
      <c r="EC51" s="135"/>
      <c r="ED51" s="135"/>
      <c r="EE51" s="134"/>
      <c r="EF51" s="135"/>
      <c r="EG51" s="126"/>
      <c r="EH51" s="141"/>
      <c r="EI51" s="135"/>
      <c r="EJ51" s="135"/>
      <c r="EK51" s="135"/>
      <c r="EL51" s="135"/>
      <c r="EM51" s="135"/>
      <c r="EN51" s="135"/>
      <c r="EO51" s="135"/>
      <c r="EP51" s="142"/>
      <c r="EQ51" s="135"/>
      <c r="ER51" s="143"/>
      <c r="ES51" s="127"/>
      <c r="ET51" s="126"/>
      <c r="EU51" s="138"/>
      <c r="EV51" s="127"/>
      <c r="EW51" s="127"/>
      <c r="EX51" s="127"/>
      <c r="EY51" s="127"/>
      <c r="EZ51" s="127"/>
      <c r="FA51" s="127"/>
      <c r="FB51" s="127"/>
      <c r="FC51" s="127"/>
      <c r="FD51" s="127"/>
      <c r="FE51" s="127"/>
      <c r="FF51" s="127"/>
      <c r="FG51" s="127"/>
      <c r="FH51" s="127"/>
      <c r="FI51" s="127"/>
      <c r="FJ51" s="127"/>
      <c r="FK51" s="127"/>
      <c r="FL51" s="127"/>
      <c r="FM51" s="127"/>
      <c r="FN51" s="126"/>
      <c r="FO51" s="134"/>
      <c r="FP51" s="135"/>
      <c r="FQ51" s="134"/>
      <c r="FR51" s="135"/>
      <c r="FS51" s="135"/>
      <c r="FT51" s="135"/>
      <c r="FU51" s="135"/>
      <c r="FV51" s="135"/>
      <c r="FW51" s="135"/>
      <c r="FX51" s="135"/>
      <c r="FY51" s="135"/>
      <c r="FZ51" s="144"/>
      <c r="GA51" s="127"/>
      <c r="GB51" s="127"/>
      <c r="GC51" s="127"/>
      <c r="GD51" s="127"/>
      <c r="GE51" s="127"/>
      <c r="GF51" s="127"/>
      <c r="GG51" s="127"/>
      <c r="GH51" s="127"/>
      <c r="GI51" s="127"/>
      <c r="GJ51" s="127"/>
      <c r="GK51" s="127"/>
      <c r="GL51" s="127"/>
      <c r="GM51" s="127"/>
      <c r="GN51" s="127"/>
      <c r="GO51" s="127"/>
      <c r="GP51" s="127"/>
      <c r="GQ51" s="135"/>
      <c r="GR51" s="135"/>
      <c r="GS51" s="135"/>
      <c r="GT51" s="134"/>
      <c r="GU51" s="135"/>
      <c r="GV51" s="134"/>
      <c r="GW51" s="135"/>
      <c r="GX51" s="135"/>
      <c r="GY51" s="135"/>
      <c r="GZ51" s="135"/>
      <c r="HA51" s="135"/>
      <c r="HB51" s="135"/>
      <c r="HC51" s="135"/>
      <c r="HD51" s="135"/>
      <c r="HE51" s="143"/>
      <c r="HF51" s="99"/>
      <c r="HG51" s="99"/>
      <c r="HH51" s="99"/>
      <c r="HI51" s="99"/>
      <c r="HJ51" s="99"/>
      <c r="HK51" s="99"/>
    </row>
    <row r="52" ht="16.5" customHeight="1" outlineLevel="1">
      <c r="A52" s="53">
        <v>56.0</v>
      </c>
      <c r="B52" s="145" t="s">
        <v>189</v>
      </c>
      <c r="C52" s="145" t="s">
        <v>190</v>
      </c>
      <c r="D52" s="64" t="str">
        <f t="shared" ref="D52:D53" si="8">MID(B52,17,4)</f>
        <v>DATA</v>
      </c>
      <c r="E52" s="101" t="s">
        <v>154</v>
      </c>
      <c r="F52" s="102">
        <v>1112.0</v>
      </c>
      <c r="G52" s="103" t="s">
        <v>155</v>
      </c>
      <c r="H52" s="104">
        <v>1129.0</v>
      </c>
      <c r="I52" s="68" t="str">
        <f>IFERROR(VLOOKUP($C49:C108,'R22 RELATÓRIO ACC'!B:F,5,FALSE),"NOT PUBLISHED")</f>
        <v>V39</v>
      </c>
      <c r="J52" s="69" t="str">
        <f>IFERROR(VLOOKUP($C49:C108,'R22 RELATÓRIO ACC'!B:P,15,FALSE),"NOT PUBLISHED")</f>
        <v>19/03/2026</v>
      </c>
      <c r="K52" s="70" t="str">
        <f>IFERROR(VLOOKUP($B49:B108,'RELATÓRIO ACC'!B:F,5,FALSE),"NOT PUBLISHED")</f>
        <v>V5</v>
      </c>
      <c r="L52" s="71" t="str">
        <f>IFERROR(VLOOKUP($B49:B108,'RELATÓRIO ACC'!B:P,15,FALSE),"NOT PUBLISHED")</f>
        <v>10/07/2026</v>
      </c>
      <c r="M52" s="72" t="str">
        <f>IF(OR($D52="UTLS",$D52="GUAR",$D52="STIR",$D52="PUMP",$D52="SITE"),
   VLOOKUP($B52,'LOD 400 - SITE'!B:M,12,FALSE),
   VLOOKUP($B52,'LOD 400 - ADMN'!B:M,12,FALSE)
)</f>
        <v>V35</v>
      </c>
      <c r="N52" s="105">
        <f>IF(OR($D52="UTLS",$D52="GUAR",$D52="STIR",$D52="PUMP",$D52="SITE"),
   VLOOKUP($B52,'LOD 400 - SITE'!B:N,13,FALSE),
   VLOOKUP($B52,'LOD 400 - ADMN'!B:N,13,FALSE)
)</f>
        <v>46002</v>
      </c>
      <c r="O52" s="106" t="str">
        <f>IF(OR($D52="UTLS",$D52="GUAR",$D52="STIR",$D52="PUMP",$D52="SITE"),
   VLOOKUP($B52,'LOD 400 - SITE'!B:O,14,FALSE),
   VLOOKUP($B52,'LOD 400 - ADMN'!B:O,14,FALSE)
)</f>
        <v>R22</v>
      </c>
      <c r="P52" s="107" t="str">
        <f>IF(OR($D52="C345",$D52="C12A",$D52="DATA"),
   VLOOKUP($B52,'LOD 400 - COLO3'!B:M,12,FALSE),"N/A")</f>
        <v>V4</v>
      </c>
      <c r="Q52" s="108">
        <f>IF(OR($D52="C345",$D52="C12A",$D52="DATA"),
   VLOOKUP($B52,'LOD 400 - COLO3'!B:N,13,FALSE),"N/A")</f>
        <v>46199</v>
      </c>
      <c r="R52" s="75" t="str">
        <f>IF(OR($D52="C345",$D52="C12A",$D52="DATA"),
   VLOOKUP($B52,'LOD 400 - COLO3'!B:O,14,FALSE),"N/A")</f>
        <v>R24</v>
      </c>
      <c r="S52" s="76" t="str">
        <f>IF(OR($D52="C345",$D52="C12A",$D52="DATA"),
   VLOOKUP($B52,'LOD 400 - COLO4'!B:N,12,FALSE),"N/A")</f>
        <v>N/A</v>
      </c>
      <c r="T52" s="76" t="str">
        <f>IF(OR($D52="C345",$D52="C12A",$D52="DATA"),
   VLOOKUP($B52,'LOD 400 - COLO4'!B:N,13,FALSE),"N/A")</f>
        <v>N/A</v>
      </c>
      <c r="U52" s="76" t="str">
        <f>IF(OR($D52="C345",$D52="C12A",$D52="DATA"),
   VLOOKUP($B52,'LOD 400 - COLO4'!B:N,13,FALSE),"N/A")</f>
        <v>N/A</v>
      </c>
      <c r="V52" s="77" t="str">
        <f>IF(OR($D52="UTLS",$D52="GUAR",$D52="STIR",$D52="PUMP",$D52="SITE"),
   VLOOKUP($B52,'LOD 400 - UTLS'!B:M,12,FALSE),"N/A")</f>
        <v>N/A</v>
      </c>
      <c r="W52" s="78" t="str">
        <f>IF(OR($D52="UTLS",$D52="GUAR",$D52="STIR",$D52="PUMP",$D52="SITE"),
   VLOOKUP($B52,'LOD 400 - UTLS'!B:N,13,FALSE),"N/A")</f>
        <v>N/A</v>
      </c>
      <c r="X52" s="108" t="str">
        <f>IF(OR($D52="UTLS",$D52="GUAR",$D52="STIR",$D52="PUMP",$D52="SITE"),
   VLOOKUP($B52,'LOD 400 - UTLS'!B:O,14,FALSE),"N/A")</f>
        <v>N/A</v>
      </c>
      <c r="Y52" s="79">
        <f>IFERROR(VLOOKUP($B52,'LOD 400 - ADMN'!B:S,18,FALSE),"N/A")</f>
        <v>0.06</v>
      </c>
      <c r="Z52" s="79" t="str">
        <f>IFERROR(VLOOKUP($B52,'LOD 400 - ADMN'!B:V,21,FALSE),"N/A")</f>
        <v>OUTDATED</v>
      </c>
      <c r="AA52" s="79">
        <f>IFERROR(VLOOKUP($B52,'LOD 400 - ADMN'!$B:Y,24,FALSE),"N/A")</f>
        <v>0.06</v>
      </c>
      <c r="AB52" s="80" t="str">
        <f>IFERROR(VLOOKUP($B52,'LOD 400 - ADMN'!$B:AB,27,FALSE),"N/A")</f>
        <v>NEXT ROUND</v>
      </c>
      <c r="AC52" s="81">
        <f>IFERROR(VLOOKUP($B52,'LOD 400 - ADMN'!$B:AE,30,FALSE),"N/A")</f>
        <v>0.63</v>
      </c>
      <c r="AD52" s="81" t="str">
        <f>IFERROR(VLOOKUP($B52,'LOD 400 - ADMN'!$B:AH,33,FALSE),"N/A")</f>
        <v>NEXT ROUND</v>
      </c>
      <c r="AE52" s="80" t="str">
        <f>IFERROR(VLOOKUP($B52,'LOD 400 - ADMN'!$B:AK,36,FALSE),"N/A")</f>
        <v>NEXT ROUND</v>
      </c>
      <c r="AF52" s="82">
        <f>IFERROR(VLOOKUP($B52,'LOD 400 - ADMN'!$B:AN,39,FALSE),"N/A")</f>
        <v>0.69</v>
      </c>
      <c r="AG52" s="83">
        <f>IFERROR(VLOOKUP($B52,'LOD 400 - ADMN'!$B:AQ,42,FALSE),"N/A")</f>
        <v>1</v>
      </c>
      <c r="AH52" s="84">
        <f>IFERROR(VLOOKUP($B52,'LOD 400 - ADMN'!$B:AT,45,FALSE),"N/A")</f>
        <v>1</v>
      </c>
      <c r="AI52" s="85">
        <f>IFERROR(VLOOKUP($B52,'LOD 400 - ADMN'!$B:AW,48,FALSE),"N/A")</f>
        <v>1</v>
      </c>
      <c r="AJ52" s="85">
        <f>IFERROR(VLOOKUP($B52,'LOD 400 - ADMN'!$B:AZ,51,FALSE),"N/A")</f>
        <v>1</v>
      </c>
      <c r="AK52" s="84">
        <f>IFERROR(VLOOKUP($B52,'LOD 400 - ADMN'!$B:BC,54,FALSE),"N/A")</f>
        <v>1</v>
      </c>
      <c r="AL52" s="84">
        <f>IFERROR(VLOOKUP($B52,'LOD 400 - ADMN'!$B:BF,57,FALSE),"N/A")</f>
        <v>1</v>
      </c>
      <c r="AM52" s="84">
        <f>IFERROR(VLOOKUP($B52,'LOD 400 - ADMN'!$B:BI,60,FALSE),"N/A")</f>
        <v>1</v>
      </c>
      <c r="AN52" s="84">
        <f>IFERROR(VLOOKUP($B52,'LOD 400 - ADMN'!$B:BL,63,FALSE),"N/A")</f>
        <v>1</v>
      </c>
      <c r="AO52" s="84">
        <f>IFERROR(VLOOKUP($B52,'LOD 400 - ADMN'!$B:BO,66,FALSE),"N/A")</f>
        <v>1</v>
      </c>
      <c r="AP52" s="84">
        <f>IFERROR(VLOOKUP($B52,'LOD 400 - ADMN'!$B:BR,69,FALSE),"N/A")</f>
        <v>1</v>
      </c>
      <c r="AQ52" s="84">
        <f>IFERROR(VLOOKUP($B52,'LOD 400 - ADMN'!$B:BU,72,FALSE),"N/A")</f>
        <v>1</v>
      </c>
      <c r="AR52" s="84">
        <f>IFERROR(VLOOKUP($B52,'LOD 400 - ADMN'!$B:BX,75,FALSE),"N/A")</f>
        <v>1</v>
      </c>
      <c r="AS52" s="84">
        <f>IFERROR(VLOOKUP($B52,'LOD 400 - ADMN'!$B:CA,78,FALSE),"N/A")</f>
        <v>1</v>
      </c>
      <c r="AT52" s="84">
        <f>IFERROR(VLOOKUP($B52,'LOD 400 - ADMN'!$B:CD,81,FALSE),"N/A")</f>
        <v>1</v>
      </c>
      <c r="AU52" s="85">
        <f>IFERROR(VLOOKUP($B52,'LOD 400 - ADMN'!$B:CG,84,FALSE),"N/A")</f>
        <v>1</v>
      </c>
      <c r="AV52" s="84">
        <f>IFERROR(VLOOKUP($B52,'LOD 400 - ADMN'!$B:CJ,87,FALSE),"N/A")</f>
        <v>1</v>
      </c>
      <c r="AW52" s="85">
        <f>IFERROR(VLOOKUP($B52,'LOD 400 - ADMN'!$B:CM,90,FALSE),"N/A")</f>
        <v>1</v>
      </c>
      <c r="AX52" s="84">
        <f>IFERROR(VLOOKUP($B52,'LOD 400 - ADMN'!$B:CP,93,FALSE),"N/A")</f>
        <v>1</v>
      </c>
      <c r="AY52" s="84">
        <f>IFERROR(VLOOKUP($B52,'LOD 400 - ADMN'!$B:CS,96,FALSE),"N/A")</f>
        <v>1</v>
      </c>
      <c r="AZ52" s="84">
        <f>IFERROR(VLOOKUP($B52,'LOD 400 - ADMN'!$B:CV,99,FALSE),"N/A")</f>
        <v>1</v>
      </c>
      <c r="BA52" s="84">
        <f>IFERROR(VLOOKUP($B52,'LOD 400 - ADMN'!$B:CY,102,FALSE),"N/A")</f>
        <v>1</v>
      </c>
      <c r="BB52" s="84">
        <f>IFERROR(VLOOKUP($B52,'LOD 400 - ADMN'!$B:DB,105,FALSE),"N/A")</f>
        <v>1</v>
      </c>
      <c r="BC52" s="84">
        <f>IFERROR(VLOOKUP($B52,'LOD 400 - ADMN'!$B:DE,108,FALSE),"N/A")</f>
        <v>1</v>
      </c>
      <c r="BD52" s="84">
        <f>IFERROR(VLOOKUP($B52,'LOD 400 - ADMN'!$B:DH,111,FALSE),"N/A")</f>
        <v>1</v>
      </c>
      <c r="BE52" s="84">
        <f>IFERROR(VLOOKUP($B52,'LOD 400 - ADMN'!$B:DK,114,FALSE),"N/A")</f>
        <v>1</v>
      </c>
      <c r="BF52" s="84">
        <f>IFERROR(VLOOKUP($B52,'LOD 400 - ADMN'!$B:DN,117,FALSE),"N/A")</f>
        <v>1</v>
      </c>
      <c r="BG52" s="86">
        <f>IFERROR(__xludf.DUMMYFUNCTION("IFERROR(
  MAX(FILTER(Y52:BF52, ISNUMBER(Y52:BF52))),
  BF52
)"),1.0)</f>
        <v>1</v>
      </c>
      <c r="BH52" s="79">
        <f>IFERROR(VLOOKUP($B52,'LOD 400 - COLO1'!B:S,18,FALSE),"N/A")</f>
        <v>0.08</v>
      </c>
      <c r="BI52" s="79" t="str">
        <f>IFERROR(VLOOKUP($B52,'LOD 400 - COLO1'!B:V,21,FALSE),"N/A")</f>
        <v>OUTDATED</v>
      </c>
      <c r="BJ52" s="79">
        <f>IFERROR(VLOOKUP($B52,'LOD 400 - COLO1'!$B:Y,24,FALSE),"N/A")</f>
        <v>0.08</v>
      </c>
      <c r="BK52" s="87" t="str">
        <f>IFERROR(VLOOKUP($B52,'LOD 400 - COLO1'!$B:AB,27,FALSE),"N/A")</f>
        <v>NEXT ROUND</v>
      </c>
      <c r="BL52" s="80">
        <f>IFERROR(VLOOKUP($B52,'LOD 400 - COLO1'!$B:AE,30,FALSE),"N/A")</f>
        <v>0.56</v>
      </c>
      <c r="BM52" s="81" t="str">
        <f>IFERROR(VLOOKUP($B52,'LOD 400 - COLO1'!$B:AH,33,FALSE),"N/A")</f>
        <v>NEXT ROUND</v>
      </c>
      <c r="BN52" s="87" t="str">
        <f>IFERROR(VLOOKUP($B52,'LOD 400 - COLO1'!$B:AK,36,FALSE),"N/A")</f>
        <v>NEXT ROUND</v>
      </c>
      <c r="BO52" s="83">
        <f>IFERROR(VLOOKUP($B52,'LOD 400 - COLO1'!$B:AN,39,FALSE),"N/A")</f>
        <v>0.75</v>
      </c>
      <c r="BP52" s="88">
        <f>IFERROR(VLOOKUP($B52,'LOD 400 - COLO1'!$B:AQ,42,FALSE),"N/A")</f>
        <v>1</v>
      </c>
      <c r="BQ52" s="84">
        <f>IFERROR(VLOOKUP($B52,'LOD 400 - COLO1'!$B:AT,45,FALSE),"N/A")</f>
        <v>1</v>
      </c>
      <c r="BR52" s="85">
        <f>IFERROR(VLOOKUP($B52,'LOD 400 - COLO1'!$B:AW,48,FALSE),"N/A")</f>
        <v>1</v>
      </c>
      <c r="BS52" s="84">
        <f>IFERROR(VLOOKUP($B52,'LOD 400 - COLO1'!$B:AZ,51,FALSE),"N/A")</f>
        <v>1</v>
      </c>
      <c r="BT52" s="84">
        <f>IFERROR(VLOOKUP($B52,'LOD 400 - COLO1'!$B:BC,54,FALSE),"N/A")</f>
        <v>1</v>
      </c>
      <c r="BU52" s="84">
        <f>IFERROR(VLOOKUP($B52,'LOD 400 - COLO1'!$B:BF,57,FALSE),"N/A")</f>
        <v>1</v>
      </c>
      <c r="BV52" s="84">
        <f>IFERROR(VLOOKUP($B52,'LOD 400 - COLO1'!$B:BI,60,FALSE),"N/A")</f>
        <v>1</v>
      </c>
      <c r="BW52" s="84">
        <f>IFERROR(VLOOKUP($B52,'LOD 400 - COLO1'!$B:BL,63,FALSE),"N/A")</f>
        <v>1</v>
      </c>
      <c r="BX52" s="84">
        <f>IFERROR(VLOOKUP($B52,'LOD 400 - COLO1'!$B:BO,66,FALSE),"N/A")</f>
        <v>1</v>
      </c>
      <c r="BY52" s="84">
        <f>IFERROR(VLOOKUP($B52,'LOD 400 - COLO1'!$B:BR,69,FALSE),"N/A")</f>
        <v>1</v>
      </c>
      <c r="BZ52" s="84">
        <f>IFERROR(VLOOKUP($B52,'LOD 400 - COLO1'!$B:BU,72,FALSE),"N/A")</f>
        <v>1</v>
      </c>
      <c r="CA52" s="84">
        <f>IFERROR(VLOOKUP($B52,'LOD 400 - COLO1'!$B:BX,75,FALSE),"N/A")</f>
        <v>1</v>
      </c>
      <c r="CB52" s="84">
        <f>IFERROR(VLOOKUP($B52,'LOD 400 - COLO1'!$B:CA,78,FALSE),"N/A")</f>
        <v>1</v>
      </c>
      <c r="CC52" s="84">
        <f>IFERROR(VLOOKUP($B52,'LOD 400 - COLO1'!$B:CD,81,FALSE),"N/A")</f>
        <v>1</v>
      </c>
      <c r="CD52" s="85">
        <f>IFERROR(VLOOKUP($B52,'LOD 400 - COLO1'!$B:CG,84,FALSE),"N/A")</f>
        <v>1</v>
      </c>
      <c r="CE52" s="84">
        <f>IFERROR(VLOOKUP($B52,'LOD 400 - COLO1'!$B:CJ,87,FALSE),"N/A")</f>
        <v>1</v>
      </c>
      <c r="CF52" s="85">
        <f>IFERROR(VLOOKUP($B52,'LOD 400 - COLO1'!$B:CM,90,FALSE),"N/A")</f>
        <v>1</v>
      </c>
      <c r="CG52" s="84">
        <f>IFERROR(VLOOKUP($B52,'LOD 400 - COLO1'!$B:CP,93,FALSE),"N/A")</f>
        <v>1</v>
      </c>
      <c r="CH52" s="84">
        <f>IFERROR(VLOOKUP($B52,'LOD 400 - COLO1'!$B:CS,96,FALSE),"N/A")</f>
        <v>1</v>
      </c>
      <c r="CI52" s="84">
        <f>IFERROR(VLOOKUP($B52,'LOD 400 - COLO1'!$B:CV,99,FALSE),"N/A")</f>
        <v>1</v>
      </c>
      <c r="CJ52" s="84">
        <f>IFERROR(VLOOKUP($B52,'LOD 400 - COLO1'!$B:CY,102,FALSE),"N/A")</f>
        <v>1</v>
      </c>
      <c r="CK52" s="84">
        <f>IFERROR(VLOOKUP($B52,'LOD 400 - COLO1'!$B:DB,105,FALSE),"N/A")</f>
        <v>1</v>
      </c>
      <c r="CL52" s="84">
        <f>IFERROR(VLOOKUP($B52,'LOD 400 - COLO1'!$B:DE,108,FALSE),"N/A")</f>
        <v>1</v>
      </c>
      <c r="CM52" s="84">
        <f>IFERROR(VLOOKUP($B52,'LOD 400 - COLO1'!$B:DH,111,FALSE),"N/A")</f>
        <v>1</v>
      </c>
      <c r="CN52" s="84">
        <f>IFERROR(VLOOKUP($B52,'LOD 400 - COLO1'!$B:DK,114,FALSE),"N/A")</f>
        <v>1</v>
      </c>
      <c r="CO52" s="84">
        <f>IFERROR(VLOOKUP($B52,'LOD 400 - COLO1'!$B:DN,117,FALSE),"N/A")</f>
        <v>1</v>
      </c>
      <c r="CP52" s="86">
        <f>IFERROR(__xludf.DUMMYFUNCTION("IFERROR(
  MAX(FILTER(BH52:CO52, ISNUMBER(BH52:CO52))),
  CO52
)"),1.0)</f>
        <v>1</v>
      </c>
      <c r="CQ52" s="89">
        <f>IFERROR(VLOOKUP($B52,'LOD 400 - COLO2'!B:S,18,FALSE),"N/A")</f>
        <v>0.08</v>
      </c>
      <c r="CR52" s="79" t="str">
        <f>IFERROR(VLOOKUP($B52,'LOD 400 - COLO2'!B:V,21,FALSE),"N/A")</f>
        <v>OUTDATED</v>
      </c>
      <c r="CS52" s="79">
        <f>IFERROR(VLOOKUP($B52,'LOD 400 - COLO2'!$B:Y,24,FALSE),"N/A")</f>
        <v>0.08</v>
      </c>
      <c r="CT52" s="80" t="str">
        <f>IFERROR(VLOOKUP($B52,'LOD 400 - COLO2'!$B:DQ,27,FALSE),"N/A")</f>
        <v>NEXT ROUND</v>
      </c>
      <c r="CU52" s="90">
        <f>IFERROR(VLOOKUP($B52,'LOD 400 - COLO2'!$B:AE,30,FALSE),"N/A")</f>
        <v>0.56</v>
      </c>
      <c r="CV52" s="81" t="str">
        <f>IFERROR(VLOOKUP($B52,'LOD 400 - COLO2'!$B:AH,33,FALSE),"N/A")</f>
        <v>NEXT ROUND</v>
      </c>
      <c r="CW52" s="90" t="str">
        <f>IFERROR(VLOOKUP($B52,'LOD 400 - COLO2'!$B:AK,36,FALSE),"N/A")</f>
        <v>NEXT ROUND</v>
      </c>
      <c r="CX52" s="85">
        <f>IFERROR(VLOOKUP($B52,'LOD 400 - COLO2'!$B:AN,39,FALSE),"N/A")</f>
        <v>0.75</v>
      </c>
      <c r="CY52" s="88">
        <f>IFERROR(VLOOKUP($B52,'LOD 400 - COLO2'!$B:AQ,42,FALSE),"N/A")</f>
        <v>1</v>
      </c>
      <c r="CZ52" s="84">
        <f>IFERROR(VLOOKUP($B52,'LOD 400 - COLO2'!$B:AT,45,FALSE),"N/A")</f>
        <v>1</v>
      </c>
      <c r="DA52" s="85">
        <f>IFERROR(VLOOKUP($B52,'LOD 400 - COLO2'!$B:AW,48,FALSE),"N/A")</f>
        <v>1</v>
      </c>
      <c r="DB52" s="84">
        <f>IFERROR(VLOOKUP($B52,'LOD 400 - COLO2'!$B:AZ,51,FALSE),"N/A")</f>
        <v>1</v>
      </c>
      <c r="DC52" s="84">
        <f>IFERROR(VLOOKUP($B52,'LOD 400 - COLO2'!$B:BC,54,FALSE),"N/A")</f>
        <v>1</v>
      </c>
      <c r="DD52" s="84">
        <f>IFERROR(VLOOKUP($B52,'LOD 400 - COLO2'!$B:BF,57,FALSE),"N/A")</f>
        <v>1</v>
      </c>
      <c r="DE52" s="84">
        <f>IFERROR(VLOOKUP($B52,'LOD 400 - COLO2'!$B:BI,60,FALSE),"N/A")</f>
        <v>1</v>
      </c>
      <c r="DF52" s="84">
        <f>IFERROR(VLOOKUP($B52,'LOD 400 - COLO2'!$B:BL,63,FALSE),"N/A")</f>
        <v>1</v>
      </c>
      <c r="DG52" s="84">
        <f>IFERROR(VLOOKUP($B52,'LOD 400 - COLO2'!$B:BO,66,FALSE),"N/A")</f>
        <v>1</v>
      </c>
      <c r="DH52" s="84">
        <f>IFERROR(VLOOKUP($B52,'LOD 400 - COLO2'!$B:BR,69,FALSE),"N/A")</f>
        <v>1</v>
      </c>
      <c r="DI52" s="84">
        <f>IFERROR(VLOOKUP($B52,'LOD 400 - COLO2'!$B:BU,72,FALSE),"N/A")</f>
        <v>1</v>
      </c>
      <c r="DJ52" s="84">
        <f>IFERROR(VLOOKUP($B52,'LOD 400 - COLO2'!$B:BX,75,FALSE),"N/A")</f>
        <v>1</v>
      </c>
      <c r="DK52" s="84">
        <f>IFERROR(VLOOKUP($B52,'LOD 400 - COLO2'!$B:CA,78,FALSE),"N/A")</f>
        <v>1</v>
      </c>
      <c r="DL52" s="84">
        <f>IFERROR(VLOOKUP($B52,'LOD 400 - COLO2'!$B:CD,81,FALSE),"N/A")</f>
        <v>1</v>
      </c>
      <c r="DM52" s="85">
        <f>IFERROR(VLOOKUP($B52,'LOD 400 - COLO2'!$B:CG,84,FALSE),"N/A")</f>
        <v>1</v>
      </c>
      <c r="DN52" s="84">
        <f>IFERROR(VLOOKUP($B52,'LOD 400 - COLO2'!$B:CJ,87,FALSE),"N/A")</f>
        <v>1</v>
      </c>
      <c r="DO52" s="85">
        <f>IFERROR(VLOOKUP($B52,'LOD 400 - COLO2'!$B:CM,90,FALSE),"N/A")</f>
        <v>1</v>
      </c>
      <c r="DP52" s="84">
        <f>IFERROR(VLOOKUP($B52,'LOD 400 - COLO2'!$B:CP,93,FALSE),"N/A")</f>
        <v>1</v>
      </c>
      <c r="DQ52" s="84">
        <f>IFERROR(VLOOKUP($B52,'LOD 400 - COLO2'!$B:CS,96,FALSE),"N/A")</f>
        <v>1</v>
      </c>
      <c r="DR52" s="84">
        <f>IFERROR(VLOOKUP($B52,'LOD 400 - COLO2'!$B:CV,99,FALSE),"N/A")</f>
        <v>1</v>
      </c>
      <c r="DS52" s="84">
        <f>IFERROR(VLOOKUP($B52,'LOD 400 - COLO2'!$B:CY,102,FALSE),"N/A")</f>
        <v>1</v>
      </c>
      <c r="DT52" s="84">
        <f>IFERROR(VLOOKUP($B52,'LOD 400 - COLO2'!$B:DB,105,FALSE),"N/A")</f>
        <v>1</v>
      </c>
      <c r="DU52" s="84">
        <f>IFERROR(VLOOKUP($B52,'LOD 400 - COLO2'!$B:DE,108,FALSE),"N/A")</f>
        <v>1</v>
      </c>
      <c r="DV52" s="84">
        <f>IFERROR(VLOOKUP($B52,'LOD 400 - COLO2'!$B:DH,111,FALSE),"N/A")</f>
        <v>1</v>
      </c>
      <c r="DW52" s="84">
        <f>IFERROR(VLOOKUP($B52,'LOD 400 - COLO2'!$B:DK,114,FALSE),"N/A")</f>
        <v>1</v>
      </c>
      <c r="DX52" s="84">
        <f>IFERROR(VLOOKUP($B52,'LOD 400 - COLO2'!$B:DN,117,FALSE),"N/A")</f>
        <v>1</v>
      </c>
      <c r="DY52" s="91">
        <f>IFERROR(__xludf.DUMMYFUNCTION("IFERROR(
  MAX(FILTER(CQ52:DW52, ISNUMBER(CQ52:DW52))),
  DW52
)"),1.0)</f>
        <v>1</v>
      </c>
      <c r="DZ52" s="92">
        <f>IFERROR(VLOOKUP($B52,'LOD 400 - COLO3'!B:S,18,FALSE),"N/A")</f>
        <v>0</v>
      </c>
      <c r="EA52" s="84">
        <f>IFERROR(VLOOKUP($B52,'LOD 400 - COLO3'!B:V,21,FALSE),"N/A")</f>
        <v>0</v>
      </c>
      <c r="EB52" s="84">
        <f>IFERROR(VLOOKUP($B52,'LOD 400 - COLO3'!B:Y,24,FALSE),"N/A")</f>
        <v>0.83</v>
      </c>
      <c r="EC52" s="84" t="str">
        <f>IFERROR(VLOOKUP($B52,'LOD 400 - COLO3'!B:AB,27,FALSE),"N/A")</f>
        <v>OUTDATED</v>
      </c>
      <c r="ED52" s="85" t="str">
        <f>IFERROR(VLOOKUP($B52,'LOD 400 - COLO3'!B:AE,30,FALSE),"N/A")</f>
        <v>OUTDATED</v>
      </c>
      <c r="EE52" s="84" t="str">
        <f>IFERROR(VLOOKUP($B52,'LOD 400 - COLO3'!B:AH,33,FALSE),"N/A")</f>
        <v>OUTDATED</v>
      </c>
      <c r="EF52" s="84" t="str">
        <f>IFERROR(VLOOKUP($B52,'LOD 400 - COLO3'!B:AK,36,FALSE),"N/A")</f>
        <v>OUTDATED</v>
      </c>
      <c r="EG52" s="109" t="str">
        <f>IFERROR(VLOOKUP($B52,'LOD 400 - COLO3'!B:AN,39,FALSE),"N/A")</f>
        <v>NEXT ROUND</v>
      </c>
      <c r="EH52" s="94" t="str">
        <f>IFERROR(VLOOKUP($B52,'LOD 400 - COLO3'!B:AQ,42,FALSE),"N/A")</f>
        <v>NEXT ROUND</v>
      </c>
      <c r="EI52" s="94" t="str">
        <f>IFERROR(VLOOKUP($B52,'LOD 400 - COLO3'!B:AT,45,FALSE),"N/A")</f>
        <v>NEXT ROUND</v>
      </c>
      <c r="EJ52" s="94" t="str">
        <f>IFERROR(VLOOKUP($B52,'LOD 400 - COLO3'!B:AW,48,FALSE),"N/A")</f>
        <v>NEXT ROUND</v>
      </c>
      <c r="EK52" s="94" t="str">
        <f>IFERROR(VLOOKUP($B52,'LOD 400 - COLO3'!B:AZ,51,FALSE),"N/A")</f>
        <v>NEXT ROUND</v>
      </c>
      <c r="EL52" s="94" t="str">
        <f>IFERROR(VLOOKUP($B52,'LOD 400 - COLO3'!B:BC,54,FALSE),"N/A")</f>
        <v>IMPROPER</v>
      </c>
      <c r="EM52" s="94">
        <f>IFERROR(VLOOKUP($B52,'LOD 400 - COLO3'!B:BF,57,FALSE),"N/A")</f>
        <v>1</v>
      </c>
      <c r="EN52" s="94">
        <f>IFERROR(VLOOKUP($B52,'LOD 400 - COLO3'!B:BI,60,FALSE),"N/A")</f>
        <v>1</v>
      </c>
      <c r="EO52" s="94">
        <f>IFERROR(VLOOKUP($B52,'LOD 400 - COLO3'!B:BL,63,FALSE),"N/A")</f>
        <v>1</v>
      </c>
      <c r="EP52" s="86">
        <f>IFERROR(__xludf.DUMMYFUNCTION("IFERROR(
  MAX(FILTER(DZ52:EO52, ISNUMBER(DZ52:EO52))),
  EO52
)"),1.0)</f>
        <v>1</v>
      </c>
      <c r="EQ52" s="95">
        <f>IFERROR(VLOOKUP($B52,'LOD 400 - COLO4'!B:S,18,FALSE),"N/A")</f>
        <v>0</v>
      </c>
      <c r="ER52" s="96">
        <f>IFERROR(__xludf.DUMMYFUNCTION("IFERROR(
  MAX(FILTER(EQ52, ISNUMBER(EQ52))),
  EQ52
)"),0.0)</f>
        <v>0</v>
      </c>
      <c r="ES52" s="79" t="str">
        <f>IFERROR(VLOOKUP($B52,'LOD 400 - SITE'!B:S,18,FALSE),"N/A")</f>
        <v>N/A</v>
      </c>
      <c r="ET52" s="80" t="str">
        <f>IFERROR(VLOOKUP($B52,'LOD 400 - SITE'!B:V,21,FALSE),"N/A")</f>
        <v>N/A</v>
      </c>
      <c r="EU52" s="97" t="str">
        <f>IFERROR(VLOOKUP($B52,'LOD 400 - SITE'!$B:Y,24,FALSE),"N/A")</f>
        <v>N/A</v>
      </c>
      <c r="EV52" s="80" t="str">
        <f>IFERROR(VLOOKUP($B52,'LOD 400 - SITE'!$B:AB,27,FALSE),"N/A")</f>
        <v>N/A</v>
      </c>
      <c r="EW52" s="81" t="str">
        <f>IFERROR(VLOOKUP($B52,'LOD 400 - SITE'!$B:AE,30,FALSE),"N/A")</f>
        <v>N/A</v>
      </c>
      <c r="EX52" s="87" t="str">
        <f>IFERROR(VLOOKUP($B52,'LOD 400 - SITE'!$B:AH,33,FALSE),"N/A")</f>
        <v>N/A</v>
      </c>
      <c r="EY52" s="87" t="str">
        <f>IFERROR(VLOOKUP($B52,'LOD 400 - SITE'!$B:AK,36,FALSE),"N/A")</f>
        <v>N/A</v>
      </c>
      <c r="EZ52" s="80" t="str">
        <f>IFERROR(VLOOKUP($B52,'LOD 400 - SITE'!$B:AN,39,FALSE),"N/A")</f>
        <v>N/A</v>
      </c>
      <c r="FA52" s="82" t="str">
        <f>IFERROR(VLOOKUP($B52,'LOD 400 - SITE'!$B:AQ,42,FALSE),"N/A")</f>
        <v>N/A</v>
      </c>
      <c r="FB52" s="88" t="str">
        <f>IFERROR(VLOOKUP($B52,'LOD 400 - SITE'!$B:AT,45,FALSE),"N/A")</f>
        <v>N/A</v>
      </c>
      <c r="FC52" s="84" t="str">
        <f>IFERROR(VLOOKUP($B52,'LOD 400 - SITE'!$B:AW,48,FALSE),"N/A")</f>
        <v>N/A</v>
      </c>
      <c r="FD52" s="84" t="str">
        <f>IFERROR(VLOOKUP($B52,'LOD 400 - SITE'!$B:AZ,51,FALSE),"N/A")</f>
        <v>N/A</v>
      </c>
      <c r="FE52" s="84" t="str">
        <f>IFERROR(VLOOKUP($B52,'LOD 400 - SITE'!$B:BC,54,FALSE),"N/A")</f>
        <v>N/A</v>
      </c>
      <c r="FF52" s="84" t="str">
        <f>IFERROR(VLOOKUP($B52,'LOD 400 - SITE'!$B:BF,57,FALSE),"N/A")</f>
        <v>N/A</v>
      </c>
      <c r="FG52" s="84" t="str">
        <f>IFERROR(VLOOKUP($B52,'LOD 400 - SITE'!$B:BI,60,FALSE),"N/A")</f>
        <v>N/A</v>
      </c>
      <c r="FH52" s="84" t="str">
        <f>IFERROR(VLOOKUP($B52,'LOD 400 - SITE'!$B:BL,63,FALSE),"N/A")</f>
        <v>N/A</v>
      </c>
      <c r="FI52" s="84" t="str">
        <f>IFERROR(VLOOKUP($B52,'LOD 400 - SITE'!$B:BO,66,FALSE),"N/A")</f>
        <v>N/A</v>
      </c>
      <c r="FJ52" s="84" t="str">
        <f>IFERROR(VLOOKUP($B52,'LOD 400 - SITE'!$B:BR,69,FALSE),"N/A")</f>
        <v>N/A</v>
      </c>
      <c r="FK52" s="84" t="str">
        <f>IFERROR(VLOOKUP($B52,'LOD 400 - SITE'!$B:BU,72,FALSE),"N/A")</f>
        <v>N/A</v>
      </c>
      <c r="FL52" s="84" t="str">
        <f>IFERROR(VLOOKUP($B52,'LOD 400 - SITE'!$B:BX,75,FALSE),"N/A")</f>
        <v>N/A</v>
      </c>
      <c r="FM52" s="84" t="str">
        <f>IFERROR(VLOOKUP($B52,'LOD 400 - SITE'!$B:CA,78,FALSE),"N/A")</f>
        <v>N/A</v>
      </c>
      <c r="FN52" s="85" t="str">
        <f>IFERROR(VLOOKUP($B52,'LOD 400 - SITE'!$B:CD,81,FALSE),"N/A")</f>
        <v>N/A</v>
      </c>
      <c r="FO52" s="84" t="str">
        <f>IFERROR(VLOOKUP($B52,'LOD 400 - SITE'!$B:CG,84,FALSE),"N/A")</f>
        <v>N/A</v>
      </c>
      <c r="FP52" s="85" t="str">
        <f>IFERROR(VLOOKUP($B52,'LOD 400 - SITE'!$B:CJ,87,FALSE),"N/A")</f>
        <v>N/A</v>
      </c>
      <c r="FQ52" s="84" t="str">
        <f>IFERROR(VLOOKUP($B52,'LOD 400 - SITE'!$B:CM,90,FALSE),"N/A")</f>
        <v>N/A</v>
      </c>
      <c r="FR52" s="84" t="str">
        <f>IFERROR(VLOOKUP($B52,'LOD 400 - SITE'!$B:CP,93,FALSE),"N/A")</f>
        <v>N/A</v>
      </c>
      <c r="FS52" s="84" t="str">
        <f>IFERROR(VLOOKUP($B52,'LOD 400 - SITE'!$B:CS,96,FALSE),"N/A")</f>
        <v>N/A</v>
      </c>
      <c r="FT52" s="84" t="str">
        <f>IFERROR(VLOOKUP($B52,'LOD 400 - SITE'!$B:CV,99,FALSE),"N/A")</f>
        <v>N/A</v>
      </c>
      <c r="FU52" s="84" t="str">
        <f>IFERROR(VLOOKUP($B52,'LOD 400 - SITE'!$B:CY,102,FALSE),"N/A")</f>
        <v>N/A</v>
      </c>
      <c r="FV52" s="84" t="str">
        <f>IFERROR(VLOOKUP($B52,'LOD 400 - SITE'!$B:DB,105,FALSE),"N/A")</f>
        <v>N/A</v>
      </c>
      <c r="FW52" s="84" t="str">
        <f>IFERROR(VLOOKUP($B52,'LOD 400 - SITE'!$B:DE,108,FALSE),"N/A")</f>
        <v>N/A</v>
      </c>
      <c r="FX52" s="84" t="str">
        <f>IFERROR(VLOOKUP($B52,'LOD 400 - SITE'!$B:DH,111,FALSE),"N/A")</f>
        <v>N/A</v>
      </c>
      <c r="FY52" s="84" t="str">
        <f>IFERROR(VLOOKUP($B52,'LOD 400 - SITE'!$B:DK,114,FALSE),"N/A")</f>
        <v>N/A</v>
      </c>
      <c r="FZ52" s="96" t="str">
        <f>IFERROR(__xludf.DUMMYFUNCTION("IFERROR(
  MAX(FILTER(ES52:FY52, ISNUMBER(ES52:FY52))),
  FY52
)"),"N/A")</f>
        <v>N/A</v>
      </c>
      <c r="GA52" s="80" t="str">
        <f>IFERROR(VLOOKUP($B52,'LOD 400 - UTLS'!B:S,18,FALSE),"N/A")</f>
        <v>N/A</v>
      </c>
      <c r="GB52" s="98" t="str">
        <f>IFERROR(VLOOKUP($B52,'LOD 400 - UTLS'!B:V,21,FALSE),"N/A")</f>
        <v>N/A</v>
      </c>
      <c r="GC52" s="81" t="str">
        <f>IFERROR(VLOOKUP($B52,'LOD 400 - UTLS'!B:Y,24,FALSE),"N/A")</f>
        <v>N/A</v>
      </c>
      <c r="GD52" s="87" t="str">
        <f>IFERROR(VLOOKUP($B52,'LOD 400 - UTLS'!$B:AB,27,FALSE),"N/A")</f>
        <v>N/A</v>
      </c>
      <c r="GE52" s="80" t="str">
        <f>IFERROR(VLOOKUP($B52,'LOD 400 - UTLS'!$B:AE,30,FALSE),"N/A")</f>
        <v>N/A</v>
      </c>
      <c r="GF52" s="82" t="str">
        <f>IFERROR(VLOOKUP($B52,'LOD 400 - UTLS'!$B:AH,33,FALSE),"N/A")</f>
        <v>N/A</v>
      </c>
      <c r="GG52" s="88" t="str">
        <f>IFERROR(VLOOKUP($B52,'LOD 400 - UTLS'!$B:AK,36,FALSE),"N/A")</f>
        <v>N/A</v>
      </c>
      <c r="GH52" s="84" t="str">
        <f>IFERROR(VLOOKUP($B52,'LOD 400 - UTLS'!$B:AN,39,FALSE),"N/A")</f>
        <v>N/A</v>
      </c>
      <c r="GI52" s="84" t="str">
        <f>IFERROR(VLOOKUP($B52,'LOD 400 - UTLS'!$B:AQ,42,FALSE),"N/A")</f>
        <v>N/A</v>
      </c>
      <c r="GJ52" s="84" t="str">
        <f>IFERROR(VLOOKUP($B52,'LOD 400 - UTLS'!$B:AT,45,FALSE),"N/A")</f>
        <v>N/A</v>
      </c>
      <c r="GK52" s="84" t="str">
        <f>IFERROR(VLOOKUP($B52,'LOD 400 - UTLS'!$B:AW,48,FALSE),"N/A")</f>
        <v>N/A</v>
      </c>
      <c r="GL52" s="84" t="str">
        <f>IFERROR(VLOOKUP($B52,'LOD 400 - UTLS'!$B:AZ,51,FALSE),"N/A")</f>
        <v>N/A</v>
      </c>
      <c r="GM52" s="84" t="str">
        <f>IFERROR(VLOOKUP($B52,'LOD 400 - UTLS'!$B:BC,54,FALSE),"N/A")</f>
        <v>N/A</v>
      </c>
      <c r="GN52" s="84" t="str">
        <f>IFERROR(VLOOKUP($B52,'LOD 400 - UTLS'!$B:BF,57,FALSE),"N/A")</f>
        <v>N/A</v>
      </c>
      <c r="GO52" s="84" t="str">
        <f>IFERROR(VLOOKUP($B52,'LOD 400 - UTLS'!$B:BI,60,FALSE),"N/A")</f>
        <v>N/A</v>
      </c>
      <c r="GP52" s="84" t="str">
        <f>IFERROR(VLOOKUP($B52,'LOD 400 - UTLS'!$B:BL,63,FALSE),"N/A")</f>
        <v>N/A</v>
      </c>
      <c r="GQ52" s="84" t="str">
        <f>IFERROR(VLOOKUP($B52,'LOD 400 - UTLS'!$B:BO,66,FALSE),"N/A")</f>
        <v>N/A</v>
      </c>
      <c r="GR52" s="84" t="str">
        <f>IFERROR(VLOOKUP($B52,'LOD 400 - UTLS'!$B:BR,69,FALSE),"N/A")</f>
        <v>N/A</v>
      </c>
      <c r="GS52" s="85" t="str">
        <f>IFERROR(VLOOKUP($B52,'LOD 400 - UTLS'!$B:BU,72,FALSE),"N/A")</f>
        <v>N/A</v>
      </c>
      <c r="GT52" s="84" t="str">
        <f>IFERROR(VLOOKUP($B52,'LOD 400 - UTLS'!$B:BX,75,FALSE),"N/A")</f>
        <v>N/A</v>
      </c>
      <c r="GU52" s="85" t="str">
        <f>IFERROR(VLOOKUP($B52,'LOD 400 - UTLS'!$B:CA,78,FALSE),"N/A")</f>
        <v>N/A</v>
      </c>
      <c r="GV52" s="84" t="str">
        <f>IFERROR(VLOOKUP($B52,'LOD 400 - UTLS'!$B:CD,81,FALSE),"N/A")</f>
        <v>N/A</v>
      </c>
      <c r="GW52" s="84" t="str">
        <f>IFERROR(VLOOKUP($B52,'LOD 400 - UTLS'!$B:CG,84,FALSE),"N/A")</f>
        <v>N/A</v>
      </c>
      <c r="GX52" s="84" t="str">
        <f>IFERROR(VLOOKUP($B52,'LOD 400 - UTLS'!$B:CJ,87,FALSE),"N/A")</f>
        <v>N/A</v>
      </c>
      <c r="GY52" s="84" t="str">
        <f>IFERROR(VLOOKUP($B52,'LOD 400 - UTLS'!$B:CM,90,FALSE),"N/A")</f>
        <v>N/A</v>
      </c>
      <c r="GZ52" s="84" t="str">
        <f>IFERROR(VLOOKUP($B52,'LOD 400 - UTLS'!$B:CP,93,FALSE),"N/A")</f>
        <v>N/A</v>
      </c>
      <c r="HA52" s="84" t="str">
        <f>IFERROR(VLOOKUP($B52,'LOD 400 - UTLS'!$B:CS,96,FALSE),"N/A")</f>
        <v>N/A</v>
      </c>
      <c r="HB52" s="84" t="str">
        <f>IFERROR(VLOOKUP($B52,'LOD 400 - UTLS'!$B:CV,99,FALSE),"N/A")</f>
        <v>N/A</v>
      </c>
      <c r="HC52" s="84" t="str">
        <f>IFERROR(VLOOKUP($B52,'LOD 400 - UTLS'!$B:CY,102,FALSE),"N/A")</f>
        <v>N/A</v>
      </c>
      <c r="HD52" s="84" t="str">
        <f>IFERROR(VLOOKUP($B52,'LOD 400 - UTLS'!$B:DB,105,FALSE),"N/A")</f>
        <v>N/A</v>
      </c>
      <c r="HE52" s="96" t="str">
        <f>IFERROR(__xludf.DUMMYFUNCTION("IFERROR(
  MAX(FILTER(GA52:HD52, ISNUMBER(GA52:HD52))),
  HD52
)"),"N/A")</f>
        <v>N/A</v>
      </c>
      <c r="HF52" s="99"/>
      <c r="HG52" s="99"/>
      <c r="HH52" s="99"/>
      <c r="HI52" s="99"/>
      <c r="HJ52" s="99"/>
      <c r="HK52" s="99"/>
    </row>
    <row r="53" ht="15.0" customHeight="1" outlineLevel="1">
      <c r="A53" s="53">
        <v>57.0</v>
      </c>
      <c r="B53" s="100" t="s">
        <v>191</v>
      </c>
      <c r="C53" s="100" t="s">
        <v>192</v>
      </c>
      <c r="D53" s="64" t="str">
        <f t="shared" si="8"/>
        <v>SITE</v>
      </c>
      <c r="E53" s="101" t="s">
        <v>154</v>
      </c>
      <c r="F53" s="102">
        <v>1112.0</v>
      </c>
      <c r="G53" s="103" t="s">
        <v>155</v>
      </c>
      <c r="H53" s="104">
        <v>1129.0</v>
      </c>
      <c r="I53" s="68" t="str">
        <f>IFERROR(VLOOKUP($C50:C108,'R22 RELATÓRIO ACC'!B:F,5,FALSE),"NOT PUBLISHED")</f>
        <v>V34</v>
      </c>
      <c r="J53" s="69" t="str">
        <f>IFERROR(VLOOKUP($C50:C108,'R22 RELATÓRIO ACC'!B:P,15,FALSE),"NOT PUBLISHED")</f>
        <v>05/05/2026</v>
      </c>
      <c r="K53" s="70" t="str">
        <f>IFERROR(VLOOKUP($B50:B108,'RELATÓRIO ACC'!B:F,5,FALSE),"NOT PUBLISHED")</f>
        <v>V3</v>
      </c>
      <c r="L53" s="71" t="str">
        <f>IFERROR(VLOOKUP($B50:B108,'RELATÓRIO ACC'!B:P,15,FALSE),"NOT PUBLISHED")</f>
        <v>03/07/2026</v>
      </c>
      <c r="M53" s="72" t="str">
        <f>IF(OR($D53="UTLS",$D53="GUAR",$D53="STIR",$D53="PUMP",$D53="SITE"),
   VLOOKUP($B53,'LOD 400 - SITE'!B:M,12,FALSE),
   VLOOKUP($B53,'LOD 400 - ADMN'!B:M,12,FALSE)
)</f>
        <v>V28</v>
      </c>
      <c r="N53" s="105" t="str">
        <f>IF(OR($D53="UTLS",$D53="GUAR",$D53="STIR",$D53="PUMP",$D53="SITE"),
   VLOOKUP($B53,'LOD 400 - SITE'!B:N,13,FALSE),
   VLOOKUP($B53,'LOD 400 - ADMN'!B:N,13,FALSE)
)</f>
        <v>23/12/2025</v>
      </c>
      <c r="O53" s="106" t="str">
        <f>IF(OR($D53="UTLS",$D53="GUAR",$D53="STIR",$D53="PUMP",$D53="SITE"),
   VLOOKUP($B53,'LOD 400 - SITE'!B:O,14,FALSE),
   VLOOKUP($B53,'LOD 400 - ADMN'!B:O,14,FALSE)
)</f>
        <v>R22</v>
      </c>
      <c r="P53" s="107" t="str">
        <f>IF(OR($D53="C345",$D53="C12A",$D53="DATA"),
   VLOOKUP($B53,'LOD 400 - COLO3'!B:M,12,FALSE),"N/A")</f>
        <v>N/A</v>
      </c>
      <c r="Q53" s="108" t="str">
        <f>IF(OR($D53="C345",$D53="C12A",$D53="DATA"),
   VLOOKUP($B53,'LOD 400 - COLO3'!B:N,13,FALSE),"N/A")</f>
        <v>N/A</v>
      </c>
      <c r="R53" s="75" t="str">
        <f>IF(OR($D53="C345",$D53="C12A",$D53="DATA"),
   VLOOKUP($B53,'LOD 400 - COLO3'!B:O,14,FALSE),"N/A")</f>
        <v>N/A</v>
      </c>
      <c r="S53" s="76" t="str">
        <f>IF(OR($D53="C345",$D53="C12A",$D53="DATA"),
   VLOOKUP($B53,'LOD 400 - COLO4'!B:N,12,FALSE),"N/A")</f>
        <v>N/A</v>
      </c>
      <c r="T53" s="76" t="str">
        <f>IF(OR($D53="C345",$D53="C12A",$D53="DATA"),
   VLOOKUP($B53,'LOD 400 - COLO4'!B:N,13,FALSE),"N/A")</f>
        <v>N/A</v>
      </c>
      <c r="U53" s="76" t="str">
        <f>IF(OR($D53="C345",$D53="C12A",$D53="DATA"),
   VLOOKUP($B53,'LOD 400 - COLO4'!B:N,13,FALSE),"N/A")</f>
        <v>N/A</v>
      </c>
      <c r="V53" s="77" t="str">
        <f>IF(OR($D53="UTLS",$D53="GUAR",$D53="STIR",$D53="PUMP",$D53="SITE"),
   VLOOKUP($B53,'LOD 400 - UTLS'!B:M,12,FALSE),"N/A")</f>
        <v>V28</v>
      </c>
      <c r="W53" s="78" t="str">
        <f>IF(OR($D53="UTLS",$D53="GUAR",$D53="STIR",$D53="PUMP",$D53="SITE"),
   VLOOKUP($B53,'LOD 400 - UTLS'!B:N,13,FALSE),"N/A")</f>
        <v>23/12/2025</v>
      </c>
      <c r="X53" s="108" t="str">
        <f>IF(OR($D53="UTLS",$D53="GUAR",$D53="STIR",$D53="PUMP",$D53="SITE"),
   VLOOKUP($B53,'LOD 400 - UTLS'!B:O,14,FALSE),"N/A")</f>
        <v>R22</v>
      </c>
      <c r="Y53" s="79" t="str">
        <f>IFERROR(VLOOKUP($B53,'LOD 400 - ADMN'!B:S,18,FALSE),"N/A")</f>
        <v>N/A</v>
      </c>
      <c r="Z53" s="79" t="str">
        <f>IFERROR(VLOOKUP($B53,'LOD 400 - ADMN'!B:V,21,FALSE),"N/A")</f>
        <v>N/A</v>
      </c>
      <c r="AA53" s="79" t="str">
        <f>IFERROR(VLOOKUP($B53,'LOD 400 - ADMN'!$B:Y,24,FALSE),"N/A")</f>
        <v>N/A</v>
      </c>
      <c r="AB53" s="80" t="str">
        <f>IFERROR(VLOOKUP($B53,'LOD 400 - ADMN'!$B:AB,27,FALSE),"N/A")</f>
        <v>N/A</v>
      </c>
      <c r="AC53" s="81" t="str">
        <f>IFERROR(VLOOKUP($B53,'LOD 400 - ADMN'!$B:AE,30,FALSE),"N/A")</f>
        <v>N/A</v>
      </c>
      <c r="AD53" s="81" t="str">
        <f>IFERROR(VLOOKUP($B53,'LOD 400 - ADMN'!$B:AH,33,FALSE),"N/A")</f>
        <v>N/A</v>
      </c>
      <c r="AE53" s="80" t="str">
        <f>IFERROR(VLOOKUP($B53,'LOD 400 - ADMN'!$B:AK,36,FALSE),"N/A")</f>
        <v>N/A</v>
      </c>
      <c r="AF53" s="82" t="str">
        <f>IFERROR(VLOOKUP($B53,'LOD 400 - ADMN'!$B:AN,39,FALSE),"N/A")</f>
        <v>N/A</v>
      </c>
      <c r="AG53" s="83" t="str">
        <f>IFERROR(VLOOKUP($B53,'LOD 400 - ADMN'!$B:AQ,42,FALSE),"N/A")</f>
        <v>N/A</v>
      </c>
      <c r="AH53" s="84" t="str">
        <f>IFERROR(VLOOKUP($B53,'LOD 400 - ADMN'!$B:AT,45,FALSE),"N/A")</f>
        <v>N/A</v>
      </c>
      <c r="AI53" s="85" t="str">
        <f>IFERROR(VLOOKUP($B53,'LOD 400 - ADMN'!$B:AW,48,FALSE),"N/A")</f>
        <v>N/A</v>
      </c>
      <c r="AJ53" s="85" t="str">
        <f>IFERROR(VLOOKUP($B53,'LOD 400 - ADMN'!$B:AZ,51,FALSE),"N/A")</f>
        <v>N/A</v>
      </c>
      <c r="AK53" s="84" t="str">
        <f>IFERROR(VLOOKUP($B53,'LOD 400 - ADMN'!$B:BC,54,FALSE),"N/A")</f>
        <v>N/A</v>
      </c>
      <c r="AL53" s="84" t="str">
        <f>IFERROR(VLOOKUP($B53,'LOD 400 - ADMN'!$B:BF,57,FALSE),"N/A")</f>
        <v>N/A</v>
      </c>
      <c r="AM53" s="84" t="str">
        <f>IFERROR(VLOOKUP($B53,'LOD 400 - ADMN'!$B:BI,60,FALSE),"N/A")</f>
        <v>N/A</v>
      </c>
      <c r="AN53" s="84" t="str">
        <f>IFERROR(VLOOKUP($B53,'LOD 400 - ADMN'!$B:BL,63,FALSE),"N/A")</f>
        <v>N/A</v>
      </c>
      <c r="AO53" s="84" t="str">
        <f>IFERROR(VLOOKUP($B53,'LOD 400 - ADMN'!$B:BO,66,FALSE),"N/A")</f>
        <v>N/A</v>
      </c>
      <c r="AP53" s="84" t="str">
        <f>IFERROR(VLOOKUP($B53,'LOD 400 - ADMN'!$B:BR,69,FALSE),"N/A")</f>
        <v>N/A</v>
      </c>
      <c r="AQ53" s="84" t="str">
        <f>IFERROR(VLOOKUP($B53,'LOD 400 - ADMN'!$B:BU,72,FALSE),"N/A")</f>
        <v>N/A</v>
      </c>
      <c r="AR53" s="84" t="str">
        <f>IFERROR(VLOOKUP($B53,'LOD 400 - ADMN'!$B:BX,75,FALSE),"N/A")</f>
        <v>N/A</v>
      </c>
      <c r="AS53" s="84" t="str">
        <f>IFERROR(VLOOKUP($B53,'LOD 400 - ADMN'!$B:CA,78,FALSE),"N/A")</f>
        <v>N/A</v>
      </c>
      <c r="AT53" s="84" t="str">
        <f>IFERROR(VLOOKUP($B53,'LOD 400 - ADMN'!$B:CD,81,FALSE),"N/A")</f>
        <v>N/A</v>
      </c>
      <c r="AU53" s="85" t="str">
        <f>IFERROR(VLOOKUP($B53,'LOD 400 - ADMN'!$B:CG,84,FALSE),"N/A")</f>
        <v>N/A</v>
      </c>
      <c r="AV53" s="84" t="str">
        <f>IFERROR(VLOOKUP($B53,'LOD 400 - ADMN'!$B:CJ,87,FALSE),"N/A")</f>
        <v>N/A</v>
      </c>
      <c r="AW53" s="85" t="str">
        <f>IFERROR(VLOOKUP($B53,'LOD 400 - ADMN'!$B:CM,90,FALSE),"N/A")</f>
        <v>N/A</v>
      </c>
      <c r="AX53" s="84" t="str">
        <f>IFERROR(VLOOKUP($B53,'LOD 400 - ADMN'!$B:CP,93,FALSE),"N/A")</f>
        <v>N/A</v>
      </c>
      <c r="AY53" s="84" t="str">
        <f>IFERROR(VLOOKUP($B53,'LOD 400 - ADMN'!$B:CS,96,FALSE),"N/A")</f>
        <v>N/A</v>
      </c>
      <c r="AZ53" s="84" t="str">
        <f>IFERROR(VLOOKUP($B53,'LOD 400 - ADMN'!$B:CV,99,FALSE),"N/A")</f>
        <v>N/A</v>
      </c>
      <c r="BA53" s="84" t="str">
        <f>IFERROR(VLOOKUP($B53,'LOD 400 - ADMN'!$B:CY,102,FALSE),"N/A")</f>
        <v>N/A</v>
      </c>
      <c r="BB53" s="84" t="str">
        <f>IFERROR(VLOOKUP($B53,'LOD 400 - ADMN'!$B:DB,105,FALSE),"N/A")</f>
        <v>N/A</v>
      </c>
      <c r="BC53" s="84" t="str">
        <f>IFERROR(VLOOKUP($B53,'LOD 400 - ADMN'!$B:DE,108,FALSE),"N/A")</f>
        <v>N/A</v>
      </c>
      <c r="BD53" s="84" t="str">
        <f>IFERROR(VLOOKUP($B53,'LOD 400 - ADMN'!$B:DH,111,FALSE),"N/A")</f>
        <v>N/A</v>
      </c>
      <c r="BE53" s="84" t="str">
        <f>IFERROR(VLOOKUP($B53,'LOD 400 - ADMN'!$B:DK,114,FALSE),"N/A")</f>
        <v>N/A</v>
      </c>
      <c r="BF53" s="84" t="str">
        <f>IFERROR(VLOOKUP($B53,'LOD 400 - ADMN'!$B:DN,117,FALSE),"N/A")</f>
        <v>N/A</v>
      </c>
      <c r="BG53" s="86" t="str">
        <f>IFERROR(__xludf.DUMMYFUNCTION("IFERROR(
  MAX(FILTER(Y53:BF53, ISNUMBER(Y53:BF53))),
  BF53
)"),"N/A")</f>
        <v>N/A</v>
      </c>
      <c r="BH53" s="79" t="str">
        <f>IFERROR(VLOOKUP($B53,'LOD 400 - COLO1'!B:S,18,FALSE),"N/A")</f>
        <v>N/A</v>
      </c>
      <c r="BI53" s="79" t="str">
        <f>IFERROR(VLOOKUP($B53,'LOD 400 - COLO1'!B:V,21,FALSE),"N/A")</f>
        <v>N/A</v>
      </c>
      <c r="BJ53" s="79" t="str">
        <f>IFERROR(VLOOKUP($B53,'LOD 400 - COLO1'!$B:Y,24,FALSE),"N/A")</f>
        <v>N/A</v>
      </c>
      <c r="BK53" s="87" t="str">
        <f>IFERROR(VLOOKUP($B53,'LOD 400 - COLO1'!$B:AB,27,FALSE),"N/A")</f>
        <v>N/A</v>
      </c>
      <c r="BL53" s="80" t="str">
        <f>IFERROR(VLOOKUP($B53,'LOD 400 - COLO1'!$B:AE,30,FALSE),"N/A")</f>
        <v>N/A</v>
      </c>
      <c r="BM53" s="81" t="str">
        <f>IFERROR(VLOOKUP($B53,'LOD 400 - COLO1'!$B:AH,33,FALSE),"N/A")</f>
        <v>N/A</v>
      </c>
      <c r="BN53" s="87" t="str">
        <f>IFERROR(VLOOKUP($B53,'LOD 400 - COLO1'!$B:AK,36,FALSE),"N/A")</f>
        <v>N/A</v>
      </c>
      <c r="BO53" s="83" t="str">
        <f>IFERROR(VLOOKUP($B53,'LOD 400 - COLO1'!$B:AN,39,FALSE),"N/A")</f>
        <v>N/A</v>
      </c>
      <c r="BP53" s="88" t="str">
        <f>IFERROR(VLOOKUP($B53,'LOD 400 - COLO1'!$B:AQ,42,FALSE),"N/A")</f>
        <v>N/A</v>
      </c>
      <c r="BQ53" s="84" t="str">
        <f>IFERROR(VLOOKUP($B53,'LOD 400 - COLO1'!$B:AT,45,FALSE),"N/A")</f>
        <v>N/A</v>
      </c>
      <c r="BR53" s="85" t="str">
        <f>IFERROR(VLOOKUP($B53,'LOD 400 - COLO1'!$B:AW,48,FALSE),"N/A")</f>
        <v>N/A</v>
      </c>
      <c r="BS53" s="84" t="str">
        <f>IFERROR(VLOOKUP($B53,'LOD 400 - COLO1'!$B:AZ,51,FALSE),"N/A")</f>
        <v>N/A</v>
      </c>
      <c r="BT53" s="84" t="str">
        <f>IFERROR(VLOOKUP($B53,'LOD 400 - COLO1'!$B:BC,54,FALSE),"N/A")</f>
        <v>N/A</v>
      </c>
      <c r="BU53" s="84" t="str">
        <f>IFERROR(VLOOKUP($B53,'LOD 400 - COLO1'!$B:BF,57,FALSE),"N/A")</f>
        <v>N/A</v>
      </c>
      <c r="BV53" s="84" t="str">
        <f>IFERROR(VLOOKUP($B53,'LOD 400 - COLO1'!$B:BI,60,FALSE),"N/A")</f>
        <v>N/A</v>
      </c>
      <c r="BW53" s="84" t="str">
        <f>IFERROR(VLOOKUP($B53,'LOD 400 - COLO1'!$B:BL,63,FALSE),"N/A")</f>
        <v>N/A</v>
      </c>
      <c r="BX53" s="84" t="str">
        <f>IFERROR(VLOOKUP($B53,'LOD 400 - COLO1'!$B:BO,66,FALSE),"N/A")</f>
        <v>N/A</v>
      </c>
      <c r="BY53" s="84" t="str">
        <f>IFERROR(VLOOKUP($B53,'LOD 400 - COLO1'!$B:BR,69,FALSE),"N/A")</f>
        <v>N/A</v>
      </c>
      <c r="BZ53" s="84" t="str">
        <f>IFERROR(VLOOKUP($B53,'LOD 400 - COLO1'!$B:BU,72,FALSE),"N/A")</f>
        <v>N/A</v>
      </c>
      <c r="CA53" s="84" t="str">
        <f>IFERROR(VLOOKUP($B53,'LOD 400 - COLO1'!$B:BX,75,FALSE),"N/A")</f>
        <v>N/A</v>
      </c>
      <c r="CB53" s="84" t="str">
        <f>IFERROR(VLOOKUP($B53,'LOD 400 - COLO1'!$B:CA,78,FALSE),"N/A")</f>
        <v>N/A</v>
      </c>
      <c r="CC53" s="84" t="str">
        <f>IFERROR(VLOOKUP($B53,'LOD 400 - COLO1'!$B:CD,81,FALSE),"N/A")</f>
        <v>N/A</v>
      </c>
      <c r="CD53" s="85" t="str">
        <f>IFERROR(VLOOKUP($B53,'LOD 400 - COLO1'!$B:CG,84,FALSE),"N/A")</f>
        <v>N/A</v>
      </c>
      <c r="CE53" s="84" t="str">
        <f>IFERROR(VLOOKUP($B53,'LOD 400 - COLO1'!$B:CJ,87,FALSE),"N/A")</f>
        <v>N/A</v>
      </c>
      <c r="CF53" s="85" t="str">
        <f>IFERROR(VLOOKUP($B53,'LOD 400 - COLO1'!$B:CM,90,FALSE),"N/A")</f>
        <v>N/A</v>
      </c>
      <c r="CG53" s="84" t="str">
        <f>IFERROR(VLOOKUP($B53,'LOD 400 - COLO1'!$B:CP,93,FALSE),"N/A")</f>
        <v>N/A</v>
      </c>
      <c r="CH53" s="84" t="str">
        <f>IFERROR(VLOOKUP($B53,'LOD 400 - COLO1'!$B:CS,96,FALSE),"N/A")</f>
        <v>N/A</v>
      </c>
      <c r="CI53" s="84" t="str">
        <f>IFERROR(VLOOKUP($B53,'LOD 400 - COLO1'!$B:CV,99,FALSE),"N/A")</f>
        <v>N/A</v>
      </c>
      <c r="CJ53" s="84" t="str">
        <f>IFERROR(VLOOKUP($B53,'LOD 400 - COLO1'!$B:CY,102,FALSE),"N/A")</f>
        <v>N/A</v>
      </c>
      <c r="CK53" s="84" t="str">
        <f>IFERROR(VLOOKUP($B53,'LOD 400 - COLO1'!$B:DB,105,FALSE),"N/A")</f>
        <v>N/A</v>
      </c>
      <c r="CL53" s="84" t="str">
        <f>IFERROR(VLOOKUP($B53,'LOD 400 - COLO1'!$B:DE,108,FALSE),"N/A")</f>
        <v>N/A</v>
      </c>
      <c r="CM53" s="84" t="str">
        <f>IFERROR(VLOOKUP($B53,'LOD 400 - COLO1'!$B:DH,111,FALSE),"N/A")</f>
        <v>N/A</v>
      </c>
      <c r="CN53" s="84" t="str">
        <f>IFERROR(VLOOKUP($B53,'LOD 400 - COLO1'!$B:DK,114,FALSE),"N/A")</f>
        <v>N/A</v>
      </c>
      <c r="CO53" s="84" t="str">
        <f>IFERROR(VLOOKUP($B53,'LOD 400 - COLO1'!$B:DN,117,FALSE),"N/A")</f>
        <v>N/A</v>
      </c>
      <c r="CP53" s="86" t="str">
        <f>IFERROR(__xludf.DUMMYFUNCTION("IFERROR(
  MAX(FILTER(BH53:CO53, ISNUMBER(BH53:CO53))),
  CO53
)"),"N/A")</f>
        <v>N/A</v>
      </c>
      <c r="CQ53" s="89" t="str">
        <f>IFERROR(VLOOKUP($B53,'LOD 400 - COLO2'!B:S,18,FALSE),"N/A")</f>
        <v>N/A</v>
      </c>
      <c r="CR53" s="79" t="str">
        <f>IFERROR(VLOOKUP($B53,'LOD 400 - COLO2'!B:V,21,FALSE),"N/A")</f>
        <v>N/A</v>
      </c>
      <c r="CS53" s="79" t="str">
        <f>IFERROR(VLOOKUP($B53,'LOD 400 - COLO2'!$B:Y,24,FALSE),"N/A")</f>
        <v>N/A</v>
      </c>
      <c r="CT53" s="80" t="str">
        <f>IFERROR(VLOOKUP($B53,'LOD 400 - COLO2'!$B:DQ,27,FALSE),"N/A")</f>
        <v>N/A</v>
      </c>
      <c r="CU53" s="90" t="str">
        <f>IFERROR(VLOOKUP($B53,'LOD 400 - COLO2'!$B:AE,30,FALSE),"N/A")</f>
        <v>N/A</v>
      </c>
      <c r="CV53" s="81" t="str">
        <f>IFERROR(VLOOKUP($B53,'LOD 400 - COLO2'!$B:AH,33,FALSE),"N/A")</f>
        <v>N/A</v>
      </c>
      <c r="CW53" s="90" t="str">
        <f>IFERROR(VLOOKUP($B53,'LOD 400 - COLO2'!$B:AK,36,FALSE),"N/A")</f>
        <v>N/A</v>
      </c>
      <c r="CX53" s="85" t="str">
        <f>IFERROR(VLOOKUP($B53,'LOD 400 - COLO2'!$B:AN,39,FALSE),"N/A")</f>
        <v>N/A</v>
      </c>
      <c r="CY53" s="88" t="str">
        <f>IFERROR(VLOOKUP($B53,'LOD 400 - COLO2'!$B:AQ,42,FALSE),"N/A")</f>
        <v>N/A</v>
      </c>
      <c r="CZ53" s="84" t="str">
        <f>IFERROR(VLOOKUP($B53,'LOD 400 - COLO2'!$B:AT,45,FALSE),"N/A")</f>
        <v>N/A</v>
      </c>
      <c r="DA53" s="85" t="str">
        <f>IFERROR(VLOOKUP($B53,'LOD 400 - COLO2'!$B:AW,48,FALSE),"N/A")</f>
        <v>N/A</v>
      </c>
      <c r="DB53" s="84" t="str">
        <f>IFERROR(VLOOKUP($B53,'LOD 400 - COLO2'!$B:AZ,51,FALSE),"N/A")</f>
        <v>N/A</v>
      </c>
      <c r="DC53" s="84" t="str">
        <f>IFERROR(VLOOKUP($B53,'LOD 400 - COLO2'!$B:BC,54,FALSE),"N/A")</f>
        <v>N/A</v>
      </c>
      <c r="DD53" s="84" t="str">
        <f>IFERROR(VLOOKUP($B53,'LOD 400 - COLO2'!$B:BF,57,FALSE),"N/A")</f>
        <v>N/A</v>
      </c>
      <c r="DE53" s="84" t="str">
        <f>IFERROR(VLOOKUP($B53,'LOD 400 - COLO2'!$B:BI,60,FALSE),"N/A")</f>
        <v>N/A</v>
      </c>
      <c r="DF53" s="84" t="str">
        <f>IFERROR(VLOOKUP($B53,'LOD 400 - COLO2'!$B:BL,63,FALSE),"N/A")</f>
        <v>N/A</v>
      </c>
      <c r="DG53" s="84" t="str">
        <f>IFERROR(VLOOKUP($B53,'LOD 400 - COLO2'!$B:BO,66,FALSE),"N/A")</f>
        <v>N/A</v>
      </c>
      <c r="DH53" s="84" t="str">
        <f>IFERROR(VLOOKUP($B53,'LOD 400 - COLO2'!$B:BR,69,FALSE),"N/A")</f>
        <v>N/A</v>
      </c>
      <c r="DI53" s="84" t="str">
        <f>IFERROR(VLOOKUP($B53,'LOD 400 - COLO2'!$B:BU,72,FALSE),"N/A")</f>
        <v>N/A</v>
      </c>
      <c r="DJ53" s="84" t="str">
        <f>IFERROR(VLOOKUP($B53,'LOD 400 - COLO2'!$B:BX,75,FALSE),"N/A")</f>
        <v>N/A</v>
      </c>
      <c r="DK53" s="84" t="str">
        <f>IFERROR(VLOOKUP($B53,'LOD 400 - COLO2'!$B:CA,78,FALSE),"N/A")</f>
        <v>N/A</v>
      </c>
      <c r="DL53" s="84" t="str">
        <f>IFERROR(VLOOKUP($B53,'LOD 400 - COLO2'!$B:CD,81,FALSE),"N/A")</f>
        <v>N/A</v>
      </c>
      <c r="DM53" s="85" t="str">
        <f>IFERROR(VLOOKUP($B53,'LOD 400 - COLO2'!$B:CG,84,FALSE),"N/A")</f>
        <v>N/A</v>
      </c>
      <c r="DN53" s="84" t="str">
        <f>IFERROR(VLOOKUP($B53,'LOD 400 - COLO2'!$B:CJ,87,FALSE),"N/A")</f>
        <v>N/A</v>
      </c>
      <c r="DO53" s="85" t="str">
        <f>IFERROR(VLOOKUP($B53,'LOD 400 - COLO2'!$B:CM,90,FALSE),"N/A")</f>
        <v>N/A</v>
      </c>
      <c r="DP53" s="84" t="str">
        <f>IFERROR(VLOOKUP($B53,'LOD 400 - COLO2'!$B:CP,93,FALSE),"N/A")</f>
        <v>N/A</v>
      </c>
      <c r="DQ53" s="84" t="str">
        <f>IFERROR(VLOOKUP($B53,'LOD 400 - COLO2'!$B:CS,96,FALSE),"N/A")</f>
        <v>N/A</v>
      </c>
      <c r="DR53" s="84" t="str">
        <f>IFERROR(VLOOKUP($B53,'LOD 400 - COLO2'!$B:CV,99,FALSE),"N/A")</f>
        <v>N/A</v>
      </c>
      <c r="DS53" s="84" t="str">
        <f>IFERROR(VLOOKUP($B53,'LOD 400 - COLO2'!$B:CY,102,FALSE),"N/A")</f>
        <v>N/A</v>
      </c>
      <c r="DT53" s="84" t="str">
        <f>IFERROR(VLOOKUP($B53,'LOD 400 - COLO2'!$B:DB,105,FALSE),"N/A")</f>
        <v>N/A</v>
      </c>
      <c r="DU53" s="84" t="str">
        <f>IFERROR(VLOOKUP($B53,'LOD 400 - COLO2'!$B:DE,108,FALSE),"N/A")</f>
        <v>N/A</v>
      </c>
      <c r="DV53" s="84" t="str">
        <f>IFERROR(VLOOKUP($B53,'LOD 400 - COLO2'!$B:DH,111,FALSE),"N/A")</f>
        <v>N/A</v>
      </c>
      <c r="DW53" s="84" t="str">
        <f>IFERROR(VLOOKUP($B53,'LOD 400 - COLO2'!$B:DK,114,FALSE),"N/A")</f>
        <v>N/A</v>
      </c>
      <c r="DX53" s="84" t="str">
        <f>IFERROR(VLOOKUP($B53,'LOD 400 - COLO2'!$B:DN,117,FALSE),"N/A")</f>
        <v>N/A</v>
      </c>
      <c r="DY53" s="91" t="str">
        <f>IFERROR(__xludf.DUMMYFUNCTION("IFERROR(
  MAX(FILTER(CQ53:DW53, ISNUMBER(CQ53:DW53))),
  DW53
)"),"N/A")</f>
        <v>N/A</v>
      </c>
      <c r="DZ53" s="92" t="str">
        <f>IFERROR(VLOOKUP($B53,'LOD 400 - COLO3'!B:S,18,FALSE),"N/A")</f>
        <v>N/A</v>
      </c>
      <c r="EA53" s="84" t="str">
        <f>IFERROR(VLOOKUP($B53,'LOD 400 - COLO3'!B:V,21,FALSE),"N/A")</f>
        <v>N/A</v>
      </c>
      <c r="EB53" s="84" t="str">
        <f>IFERROR(VLOOKUP($B53,'LOD 400 - COLO3'!B:Y,24,FALSE),"N/A")</f>
        <v>N/A</v>
      </c>
      <c r="EC53" s="84" t="str">
        <f>IFERROR(VLOOKUP($B53,'LOD 400 - COLO3'!B:AB,27,FALSE),"N/A")</f>
        <v>N/A</v>
      </c>
      <c r="ED53" s="85" t="str">
        <f>IFERROR(VLOOKUP($B53,'LOD 400 - COLO3'!B:AE,30,FALSE),"N/A")</f>
        <v>N/A</v>
      </c>
      <c r="EE53" s="84" t="str">
        <f>IFERROR(VLOOKUP($B53,'LOD 400 - COLO3'!B:AH,33,FALSE),"N/A")</f>
        <v>N/A</v>
      </c>
      <c r="EF53" s="84" t="str">
        <f>IFERROR(VLOOKUP($B53,'LOD 400 - COLO3'!B:AK,36,FALSE),"N/A")</f>
        <v>N/A</v>
      </c>
      <c r="EG53" s="109" t="str">
        <f>IFERROR(VLOOKUP($B53,'LOD 400 - COLO3'!B:AN,39,FALSE),"N/A")</f>
        <v>N/A</v>
      </c>
      <c r="EH53" s="94" t="str">
        <f>IFERROR(VLOOKUP($B53,'LOD 400 - COLO3'!B:AQ,42,FALSE),"N/A")</f>
        <v>N/A</v>
      </c>
      <c r="EI53" s="94" t="str">
        <f>IFERROR(VLOOKUP($B53,'LOD 400 - COLO3'!B:AT,45,FALSE),"N/A")</f>
        <v>N/A</v>
      </c>
      <c r="EJ53" s="94" t="str">
        <f>IFERROR(VLOOKUP($B53,'LOD 400 - COLO3'!B:AW,48,FALSE),"N/A")</f>
        <v>N/A</v>
      </c>
      <c r="EK53" s="94" t="str">
        <f>IFERROR(VLOOKUP($B53,'LOD 400 - COLO3'!B:AZ,51,FALSE),"N/A")</f>
        <v>N/A</v>
      </c>
      <c r="EL53" s="94" t="str">
        <f>IFERROR(VLOOKUP($B53,'LOD 400 - COLO3'!B:BC,54,FALSE),"N/A")</f>
        <v>N/A</v>
      </c>
      <c r="EM53" s="94" t="str">
        <f>IFERROR(VLOOKUP($B53,'LOD 400 - COLO3'!B:BF,57,FALSE),"N/A")</f>
        <v>N/A</v>
      </c>
      <c r="EN53" s="94" t="str">
        <f>IFERROR(VLOOKUP($B53,'LOD 400 - COLO3'!B:BI,60,FALSE),"N/A")</f>
        <v>N/A</v>
      </c>
      <c r="EO53" s="94" t="str">
        <f>IFERROR(VLOOKUP($B53,'LOD 400 - COLO3'!B:BL,63,FALSE),"N/A")</f>
        <v>N/A</v>
      </c>
      <c r="EP53" s="86" t="str">
        <f>IFERROR(__xludf.DUMMYFUNCTION("IFERROR(
  MAX(FILTER(DZ53:EO53, ISNUMBER(DZ53:EO53))),
  EO53
)"),"N/A")</f>
        <v>N/A</v>
      </c>
      <c r="EQ53" s="95" t="str">
        <f>IFERROR(VLOOKUP($B53,'LOD 400 - COLO4'!B:S,18,FALSE),"N/A")</f>
        <v>N/A</v>
      </c>
      <c r="ER53" s="96" t="str">
        <f>IFERROR(__xludf.DUMMYFUNCTION("IFERROR(
  MAX(FILTER(EQ53, ISNUMBER(EQ53))),
  EQ53
)"),"N/A")</f>
        <v>N/A</v>
      </c>
      <c r="ES53" s="79">
        <f>IFERROR(VLOOKUP($B53,'LOD 400 - SITE'!B:S,18,FALSE),"N/A")</f>
        <v>0.08</v>
      </c>
      <c r="ET53" s="80" t="str">
        <f>IFERROR(VLOOKUP($B53,'LOD 400 - SITE'!B:V,21,FALSE),"N/A")</f>
        <v>OUTDATED</v>
      </c>
      <c r="EU53" s="97">
        <f>IFERROR(VLOOKUP($B53,'LOD 400 - SITE'!$B:Y,24,FALSE),"N/A")</f>
        <v>0.2</v>
      </c>
      <c r="EV53" s="80">
        <f>IFERROR(VLOOKUP($B53,'LOD 400 - SITE'!$B:AB,27,FALSE),"N/A")</f>
        <v>0.5</v>
      </c>
      <c r="EW53" s="81">
        <f>IFERROR(VLOOKUP($B53,'LOD 400 - SITE'!$B:AE,30,FALSE),"N/A")</f>
        <v>0.72</v>
      </c>
      <c r="EX53" s="87" t="str">
        <f>IFERROR(VLOOKUP($B53,'LOD 400 - SITE'!$B:AH,33,FALSE),"N/A")</f>
        <v>OUTDATED</v>
      </c>
      <c r="EY53" s="87" t="str">
        <f>IFERROR(VLOOKUP($B53,'LOD 400 - SITE'!$B:AK,36,FALSE),"N/A")</f>
        <v>NEXT ROUND </v>
      </c>
      <c r="EZ53" s="80">
        <f>IFERROR(VLOOKUP($B53,'LOD 400 - SITE'!$B:AN,39,FALSE),"N/A")</f>
        <v>0.75</v>
      </c>
      <c r="FA53" s="82">
        <f>IFERROR(VLOOKUP($B53,'LOD 400 - SITE'!$B:AQ,42,FALSE),"N/A")</f>
        <v>1</v>
      </c>
      <c r="FB53" s="88">
        <f>IFERROR(VLOOKUP($B53,'LOD 400 - SITE'!$B:AT,45,FALSE),"N/A")</f>
        <v>1</v>
      </c>
      <c r="FC53" s="84">
        <f>IFERROR(VLOOKUP($B53,'LOD 400 - SITE'!$B:AW,48,FALSE),"N/A")</f>
        <v>1</v>
      </c>
      <c r="FD53" s="84">
        <f>IFERROR(VLOOKUP($B53,'LOD 400 - SITE'!$B:AZ,51,FALSE),"N/A")</f>
        <v>1</v>
      </c>
      <c r="FE53" s="84">
        <f>IFERROR(VLOOKUP($B53,'LOD 400 - SITE'!$B:BC,54,FALSE),"N/A")</f>
        <v>1</v>
      </c>
      <c r="FF53" s="84">
        <f>IFERROR(VLOOKUP($B53,'LOD 400 - SITE'!$B:BF,57,FALSE),"N/A")</f>
        <v>1</v>
      </c>
      <c r="FG53" s="84">
        <f>IFERROR(VLOOKUP($B53,'LOD 400 - SITE'!$B:BI,60,FALSE),"N/A")</f>
        <v>1</v>
      </c>
      <c r="FH53" s="84">
        <f>IFERROR(VLOOKUP($B53,'LOD 400 - SITE'!$B:BL,63,FALSE),"N/A")</f>
        <v>1</v>
      </c>
      <c r="FI53" s="84">
        <f>IFERROR(VLOOKUP($B53,'LOD 400 - SITE'!$B:BO,66,FALSE),"N/A")</f>
        <v>1</v>
      </c>
      <c r="FJ53" s="84">
        <f>IFERROR(VLOOKUP($B53,'LOD 400 - SITE'!$B:BR,69,FALSE),"N/A")</f>
        <v>1</v>
      </c>
      <c r="FK53" s="84">
        <f>IFERROR(VLOOKUP($B53,'LOD 400 - SITE'!$B:BU,72,FALSE),"N/A")</f>
        <v>1</v>
      </c>
      <c r="FL53" s="84">
        <f>IFERROR(VLOOKUP($B53,'LOD 400 - SITE'!$B:BX,75,FALSE),"N/A")</f>
        <v>1</v>
      </c>
      <c r="FM53" s="84">
        <f>IFERROR(VLOOKUP($B53,'LOD 400 - SITE'!$B:CA,78,FALSE),"N/A")</f>
        <v>1</v>
      </c>
      <c r="FN53" s="85">
        <f>IFERROR(VLOOKUP($B53,'LOD 400 - SITE'!$B:CD,81,FALSE),"N/A")</f>
        <v>1</v>
      </c>
      <c r="FO53" s="84">
        <f>IFERROR(VLOOKUP($B53,'LOD 400 - SITE'!$B:CG,84,FALSE),"N/A")</f>
        <v>1</v>
      </c>
      <c r="FP53" s="85">
        <f>IFERROR(VLOOKUP($B53,'LOD 400 - SITE'!$B:CJ,87,FALSE),"N/A")</f>
        <v>1</v>
      </c>
      <c r="FQ53" s="84">
        <f>IFERROR(VLOOKUP($B53,'LOD 400 - SITE'!$B:CM,90,FALSE),"N/A")</f>
        <v>1</v>
      </c>
      <c r="FR53" s="84">
        <f>IFERROR(VLOOKUP($B53,'LOD 400 - SITE'!$B:CP,93,FALSE),"N/A")</f>
        <v>1</v>
      </c>
      <c r="FS53" s="84">
        <f>IFERROR(VLOOKUP($B53,'LOD 400 - SITE'!$B:CS,96,FALSE),"N/A")</f>
        <v>1</v>
      </c>
      <c r="FT53" s="84">
        <f>IFERROR(VLOOKUP($B53,'LOD 400 - SITE'!$B:CV,99,FALSE),"N/A")</f>
        <v>1</v>
      </c>
      <c r="FU53" s="84">
        <f>IFERROR(VLOOKUP($B53,'LOD 400 - SITE'!$B:CY,102,FALSE),"N/A")</f>
        <v>1</v>
      </c>
      <c r="FV53" s="84">
        <f>IFERROR(VLOOKUP($B53,'LOD 400 - SITE'!$B:DB,105,FALSE),"N/A")</f>
        <v>1</v>
      </c>
      <c r="FW53" s="84">
        <f>IFERROR(VLOOKUP($B53,'LOD 400 - SITE'!$B:DE,108,FALSE),"N/A")</f>
        <v>1</v>
      </c>
      <c r="FX53" s="84">
        <f>IFERROR(VLOOKUP($B53,'LOD 400 - SITE'!$B:DH,111,FALSE),"N/A")</f>
        <v>1</v>
      </c>
      <c r="FY53" s="84">
        <f>IFERROR(VLOOKUP($B53,'LOD 400 - SITE'!$B:DK,114,FALSE),"N/A")</f>
        <v>1</v>
      </c>
      <c r="FZ53" s="96">
        <f>IFERROR(__xludf.DUMMYFUNCTION("IFERROR(
  MAX(FILTER(ES53:FY53, ISNUMBER(ES53:FY53))),
  FY53
)"),1.0)</f>
        <v>1</v>
      </c>
      <c r="GA53" s="80">
        <f>IFERROR(VLOOKUP($B53,'LOD 400 - UTLS'!B:S,18,FALSE),"N/A")</f>
        <v>0.11</v>
      </c>
      <c r="GB53" s="98">
        <f>IFERROR(VLOOKUP($B53,'LOD 400 - UTLS'!B:V,21,FALSE),"N/A")</f>
        <v>0.45</v>
      </c>
      <c r="GC53" s="81">
        <f>IFERROR(VLOOKUP($B53,'LOD 400 - UTLS'!B:Y,24,FALSE),"N/A")</f>
        <v>0.58</v>
      </c>
      <c r="GD53" s="87" t="str">
        <f>IFERROR(VLOOKUP($B53,'LOD 400 - UTLS'!$B:AB,27,FALSE),"N/A")</f>
        <v>NEXT ROUND</v>
      </c>
      <c r="GE53" s="80">
        <f>IFERROR(VLOOKUP($B53,'LOD 400 - UTLS'!$B:AE,30,FALSE),"N/A")</f>
        <v>0.73</v>
      </c>
      <c r="GF53" s="82">
        <f>IFERROR(VLOOKUP($B53,'LOD 400 - UTLS'!$B:AH,33,FALSE),"N/A")</f>
        <v>1</v>
      </c>
      <c r="GG53" s="88">
        <f>IFERROR(VLOOKUP($B53,'LOD 400 - UTLS'!$B:AK,36,FALSE),"N/A")</f>
        <v>1</v>
      </c>
      <c r="GH53" s="84">
        <f>IFERROR(VLOOKUP($B53,'LOD 400 - UTLS'!$B:AN,39,FALSE),"N/A")</f>
        <v>1</v>
      </c>
      <c r="GI53" s="84">
        <f>IFERROR(VLOOKUP($B53,'LOD 400 - UTLS'!$B:AQ,42,FALSE),"N/A")</f>
        <v>1</v>
      </c>
      <c r="GJ53" s="84">
        <f>IFERROR(VLOOKUP($B53,'LOD 400 - UTLS'!$B:AT,45,FALSE),"N/A")</f>
        <v>1</v>
      </c>
      <c r="GK53" s="84">
        <f>IFERROR(VLOOKUP($B53,'LOD 400 - UTLS'!$B:AW,48,FALSE),"N/A")</f>
        <v>1</v>
      </c>
      <c r="GL53" s="84">
        <f>IFERROR(VLOOKUP($B53,'LOD 400 - UTLS'!$B:AZ,51,FALSE),"N/A")</f>
        <v>1</v>
      </c>
      <c r="GM53" s="84">
        <f>IFERROR(VLOOKUP($B53,'LOD 400 - UTLS'!$B:BC,54,FALSE),"N/A")</f>
        <v>1</v>
      </c>
      <c r="GN53" s="84">
        <f>IFERROR(VLOOKUP($B53,'LOD 400 - UTLS'!$B:BF,57,FALSE),"N/A")</f>
        <v>1</v>
      </c>
      <c r="GO53" s="84">
        <f>IFERROR(VLOOKUP($B53,'LOD 400 - UTLS'!$B:BI,60,FALSE),"N/A")</f>
        <v>1</v>
      </c>
      <c r="GP53" s="84">
        <f>IFERROR(VLOOKUP($B53,'LOD 400 - UTLS'!$B:BL,63,FALSE),"N/A")</f>
        <v>1</v>
      </c>
      <c r="GQ53" s="84">
        <f>IFERROR(VLOOKUP($B53,'LOD 400 - UTLS'!$B:BO,66,FALSE),"N/A")</f>
        <v>1</v>
      </c>
      <c r="GR53" s="84">
        <f>IFERROR(VLOOKUP($B53,'LOD 400 - UTLS'!$B:BR,69,FALSE),"N/A")</f>
        <v>1</v>
      </c>
      <c r="GS53" s="85">
        <f>IFERROR(VLOOKUP($B53,'LOD 400 - UTLS'!$B:BU,72,FALSE),"N/A")</f>
        <v>1</v>
      </c>
      <c r="GT53" s="84">
        <f>IFERROR(VLOOKUP($B53,'LOD 400 - UTLS'!$B:BX,75,FALSE),"N/A")</f>
        <v>1</v>
      </c>
      <c r="GU53" s="85">
        <f>IFERROR(VLOOKUP($B53,'LOD 400 - UTLS'!$B:CA,78,FALSE),"N/A")</f>
        <v>1</v>
      </c>
      <c r="GV53" s="84">
        <f>IFERROR(VLOOKUP($B53,'LOD 400 - UTLS'!$B:CD,81,FALSE),"N/A")</f>
        <v>1</v>
      </c>
      <c r="GW53" s="84">
        <f>IFERROR(VLOOKUP($B53,'LOD 400 - UTLS'!$B:CG,84,FALSE),"N/A")</f>
        <v>1</v>
      </c>
      <c r="GX53" s="84">
        <f>IFERROR(VLOOKUP($B53,'LOD 400 - UTLS'!$B:CJ,87,FALSE),"N/A")</f>
        <v>1</v>
      </c>
      <c r="GY53" s="84">
        <f>IFERROR(VLOOKUP($B53,'LOD 400 - UTLS'!$B:CM,90,FALSE),"N/A")</f>
        <v>1</v>
      </c>
      <c r="GZ53" s="84">
        <f>IFERROR(VLOOKUP($B53,'LOD 400 - UTLS'!$B:CP,93,FALSE),"N/A")</f>
        <v>1</v>
      </c>
      <c r="HA53" s="84">
        <f>IFERROR(VLOOKUP($B53,'LOD 400 - UTLS'!$B:CS,96,FALSE),"N/A")</f>
        <v>1</v>
      </c>
      <c r="HB53" s="84">
        <f>IFERROR(VLOOKUP($B53,'LOD 400 - UTLS'!$B:CV,99,FALSE),"N/A")</f>
        <v>1</v>
      </c>
      <c r="HC53" s="84">
        <f>IFERROR(VLOOKUP($B53,'LOD 400 - UTLS'!$B:CY,102,FALSE),"N/A")</f>
        <v>1</v>
      </c>
      <c r="HD53" s="84">
        <f>IFERROR(VLOOKUP($B53,'LOD 400 - UTLS'!$B:DB,105,FALSE),"N/A")</f>
        <v>1</v>
      </c>
      <c r="HE53" s="96">
        <f>IFERROR(__xludf.DUMMYFUNCTION("IFERROR(
  MAX(FILTER(GA53:HD53, ISNUMBER(GA53:HD53))),
  HD53
)"),1.0)</f>
        <v>1</v>
      </c>
      <c r="HF53" s="99"/>
      <c r="HG53" s="99"/>
      <c r="HH53" s="99"/>
      <c r="HI53" s="99"/>
      <c r="HJ53" s="99"/>
      <c r="HK53" s="99"/>
    </row>
    <row r="54" ht="15.0" hidden="1" customHeight="1">
      <c r="A54" s="53">
        <v>58.0</v>
      </c>
      <c r="B54" s="146" t="s">
        <v>193</v>
      </c>
      <c r="C54" s="147"/>
      <c r="D54" s="148"/>
      <c r="E54" s="148"/>
      <c r="F54" s="148"/>
      <c r="G54" s="149"/>
      <c r="H54" s="148"/>
      <c r="I54" s="148"/>
      <c r="J54" s="150"/>
      <c r="K54" s="151"/>
      <c r="L54" s="166"/>
      <c r="M54" s="148"/>
      <c r="N54" s="152"/>
      <c r="O54" s="153"/>
      <c r="P54" s="154"/>
      <c r="Q54" s="155"/>
      <c r="R54" s="156"/>
      <c r="S54" s="157"/>
      <c r="T54" s="157"/>
      <c r="U54" s="158"/>
      <c r="V54" s="159"/>
      <c r="W54" s="148"/>
      <c r="X54" s="155"/>
      <c r="Y54" s="149"/>
      <c r="Z54" s="149"/>
      <c r="AA54" s="149"/>
      <c r="AB54" s="149"/>
      <c r="AC54" s="149"/>
      <c r="AD54" s="149"/>
      <c r="AE54" s="149"/>
      <c r="AF54" s="149"/>
      <c r="AG54" s="149"/>
      <c r="AH54" s="149"/>
      <c r="AI54" s="149"/>
      <c r="AJ54" s="149"/>
      <c r="AK54" s="149"/>
      <c r="AL54" s="149"/>
      <c r="AM54" s="149"/>
      <c r="AN54" s="149"/>
      <c r="AO54" s="149"/>
      <c r="AP54" s="149"/>
      <c r="AQ54" s="149"/>
      <c r="AR54" s="149"/>
      <c r="AS54" s="149"/>
      <c r="AT54" s="148"/>
      <c r="AU54" s="148"/>
      <c r="AV54" s="155"/>
      <c r="AW54" s="156"/>
      <c r="AX54" s="155"/>
      <c r="AY54" s="156"/>
      <c r="AZ54" s="156"/>
      <c r="BA54" s="156"/>
      <c r="BB54" s="156"/>
      <c r="BC54" s="156"/>
      <c r="BD54" s="156"/>
      <c r="BE54" s="156"/>
      <c r="BF54" s="156"/>
      <c r="BG54" s="160"/>
      <c r="BH54" s="149"/>
      <c r="BI54" s="149"/>
      <c r="BJ54" s="149"/>
      <c r="BK54" s="149"/>
      <c r="BL54" s="149"/>
      <c r="BM54" s="149"/>
      <c r="BN54" s="149"/>
      <c r="BO54" s="149"/>
      <c r="BP54" s="149"/>
      <c r="BQ54" s="149"/>
      <c r="BR54" s="149"/>
      <c r="BS54" s="149"/>
      <c r="BT54" s="149"/>
      <c r="BU54" s="149"/>
      <c r="BV54" s="149"/>
      <c r="BW54" s="149"/>
      <c r="BX54" s="149"/>
      <c r="BY54" s="149"/>
      <c r="BZ54" s="149"/>
      <c r="CA54" s="149"/>
      <c r="CB54" s="149"/>
      <c r="CC54" s="148"/>
      <c r="CD54" s="148"/>
      <c r="CE54" s="155"/>
      <c r="CF54" s="156"/>
      <c r="CG54" s="155"/>
      <c r="CH54" s="156"/>
      <c r="CI54" s="156"/>
      <c r="CJ54" s="156"/>
      <c r="CK54" s="156"/>
      <c r="CL54" s="156"/>
      <c r="CM54" s="156"/>
      <c r="CN54" s="156"/>
      <c r="CO54" s="156"/>
      <c r="CP54" s="160"/>
      <c r="CQ54" s="149"/>
      <c r="CR54" s="149"/>
      <c r="CS54" s="149"/>
      <c r="CT54" s="149"/>
      <c r="CU54" s="149"/>
      <c r="CV54" s="149"/>
      <c r="CW54" s="149"/>
      <c r="CX54" s="149"/>
      <c r="CY54" s="149"/>
      <c r="CZ54" s="149"/>
      <c r="DA54" s="149"/>
      <c r="DB54" s="149"/>
      <c r="DC54" s="149"/>
      <c r="DD54" s="149"/>
      <c r="DE54" s="149"/>
      <c r="DF54" s="149"/>
      <c r="DG54" s="149"/>
      <c r="DH54" s="149"/>
      <c r="DI54" s="149"/>
      <c r="DJ54" s="148"/>
      <c r="DK54" s="148"/>
      <c r="DL54" s="148"/>
      <c r="DM54" s="148"/>
      <c r="DN54" s="155"/>
      <c r="DO54" s="156"/>
      <c r="DP54" s="155"/>
      <c r="DQ54" s="156"/>
      <c r="DR54" s="156"/>
      <c r="DS54" s="156"/>
      <c r="DT54" s="156"/>
      <c r="DU54" s="156"/>
      <c r="DV54" s="156"/>
      <c r="DW54" s="156"/>
      <c r="DX54" s="156"/>
      <c r="DY54" s="148"/>
      <c r="DZ54" s="161"/>
      <c r="EA54" s="158"/>
      <c r="EB54" s="156"/>
      <c r="EC54" s="156"/>
      <c r="ED54" s="156"/>
      <c r="EE54" s="155"/>
      <c r="EF54" s="156"/>
      <c r="EG54" s="148"/>
      <c r="EH54" s="162"/>
      <c r="EI54" s="156"/>
      <c r="EJ54" s="156"/>
      <c r="EK54" s="156"/>
      <c r="EL54" s="156"/>
      <c r="EM54" s="156"/>
      <c r="EN54" s="156"/>
      <c r="EO54" s="156"/>
      <c r="EP54" s="163"/>
      <c r="EQ54" s="156"/>
      <c r="ER54" s="164"/>
      <c r="ES54" s="149"/>
      <c r="ET54" s="148"/>
      <c r="EU54" s="159"/>
      <c r="EV54" s="149"/>
      <c r="EW54" s="149"/>
      <c r="EX54" s="149"/>
      <c r="EY54" s="149"/>
      <c r="EZ54" s="149"/>
      <c r="FA54" s="149"/>
      <c r="FB54" s="149"/>
      <c r="FC54" s="149"/>
      <c r="FD54" s="149"/>
      <c r="FE54" s="149"/>
      <c r="FF54" s="149"/>
      <c r="FG54" s="149"/>
      <c r="FH54" s="149"/>
      <c r="FI54" s="149"/>
      <c r="FJ54" s="149"/>
      <c r="FK54" s="149"/>
      <c r="FL54" s="149"/>
      <c r="FM54" s="149"/>
      <c r="FN54" s="148"/>
      <c r="FO54" s="155"/>
      <c r="FP54" s="156"/>
      <c r="FQ54" s="155"/>
      <c r="FR54" s="156"/>
      <c r="FS54" s="156"/>
      <c r="FT54" s="156"/>
      <c r="FU54" s="156"/>
      <c r="FV54" s="156"/>
      <c r="FW54" s="156"/>
      <c r="FX54" s="156"/>
      <c r="FY54" s="156"/>
      <c r="FZ54" s="165"/>
      <c r="GA54" s="149"/>
      <c r="GB54" s="149"/>
      <c r="GC54" s="149"/>
      <c r="GD54" s="149"/>
      <c r="GE54" s="149"/>
      <c r="GF54" s="149"/>
      <c r="GG54" s="149"/>
      <c r="GH54" s="149"/>
      <c r="GI54" s="149"/>
      <c r="GJ54" s="149"/>
      <c r="GK54" s="149"/>
      <c r="GL54" s="149"/>
      <c r="GM54" s="149"/>
      <c r="GN54" s="149"/>
      <c r="GO54" s="149"/>
      <c r="GP54" s="149"/>
      <c r="GQ54" s="156"/>
      <c r="GR54" s="156"/>
      <c r="GS54" s="156"/>
      <c r="GT54" s="155"/>
      <c r="GU54" s="156"/>
      <c r="GV54" s="155"/>
      <c r="GW54" s="156"/>
      <c r="GX54" s="156"/>
      <c r="GY54" s="156"/>
      <c r="GZ54" s="156"/>
      <c r="HA54" s="156"/>
      <c r="HB54" s="156"/>
      <c r="HC54" s="156"/>
      <c r="HD54" s="156"/>
      <c r="HE54" s="164"/>
      <c r="HF54" s="99"/>
      <c r="HG54" s="99"/>
      <c r="HH54" s="99"/>
      <c r="HI54" s="99"/>
      <c r="HJ54" s="99"/>
      <c r="HK54" s="99"/>
    </row>
    <row r="55" ht="15.0" customHeight="1" outlineLevel="1">
      <c r="A55" s="53">
        <v>59.0</v>
      </c>
      <c r="B55" s="100" t="s">
        <v>194</v>
      </c>
      <c r="C55" s="100" t="s">
        <v>195</v>
      </c>
      <c r="D55" s="64" t="str">
        <f t="shared" ref="D55:D56" si="9">MID(B55,17,4)</f>
        <v>SITE</v>
      </c>
      <c r="E55" s="101" t="s">
        <v>196</v>
      </c>
      <c r="F55" s="102">
        <v>1115.0</v>
      </c>
      <c r="G55" s="103" t="s">
        <v>196</v>
      </c>
      <c r="H55" s="104">
        <v>1115.0</v>
      </c>
      <c r="I55" s="68" t="str">
        <f>IFERROR(VLOOKUP($C52:C108,'R22 RELATÓRIO ACC'!B:F,5,FALSE),"NOT PUBLISHED")</f>
        <v>V37</v>
      </c>
      <c r="J55" s="69" t="str">
        <f>IFERROR(VLOOKUP($C52:C108,'R22 RELATÓRIO ACC'!B:P,15,FALSE),"NOT PUBLISHED")</f>
        <v>10/04/2026</v>
      </c>
      <c r="K55" s="70" t="str">
        <f>IFERROR(VLOOKUP($B52:B108,'RELATÓRIO ACC'!B:F,5,FALSE),"NOT PUBLISHED")</f>
        <v>V1</v>
      </c>
      <c r="L55" s="71" t="str">
        <f>IFERROR(VLOOKUP($B52:B108,'RELATÓRIO ACC'!B:P,15,FALSE),"NOT PUBLISHED")</f>
        <v>20/05/2026</v>
      </c>
      <c r="M55" s="72" t="str">
        <f>IF(OR($D55="UTLS",$D55="GUAR",$D55="STIR",$D55="PUMP",$D55="SITE"),
   VLOOKUP($B55,'LOD 400 - SITE'!B:M,12,FALSE),
   VLOOKUP($B55,'LOD 400 - ADMN'!B:M,12,FALSE)
)</f>
        <v>V29</v>
      </c>
      <c r="N55" s="105" t="str">
        <f>IF(OR($D55="UTLS",$D55="GUAR",$D55="STIR",$D55="PUMP",$D55="SITE"),
   VLOOKUP($B55,'LOD 400 - SITE'!B:N,13,FALSE),
   VLOOKUP($B55,'LOD 400 - ADMN'!B:N,13,FALSE)
)</f>
        <v>06/11/2025</v>
      </c>
      <c r="O55" s="106" t="str">
        <f>IF(OR($D55="UTLS",$D55="GUAR",$D55="STIR",$D55="PUMP",$D55="SITE"),
   VLOOKUP($B55,'LOD 400 - SITE'!B:O,14,FALSE),
   VLOOKUP($B55,'LOD 400 - ADMN'!B:O,14,FALSE)
)</f>
        <v>R22</v>
      </c>
      <c r="P55" s="107" t="str">
        <f>IF(OR($D55="C345",$D55="C12A",$D55="DATA"),
   VLOOKUP($B55,'LOD 400 - COLO3'!B:M,12,FALSE),"N/A")</f>
        <v>N/A</v>
      </c>
      <c r="Q55" s="108" t="str">
        <f>IF(OR($D55="C345",$D55="C12A",$D55="DATA"),
   VLOOKUP($B55,'LOD 400 - COLO3'!B:N,13,FALSE),"N/A")</f>
        <v>N/A</v>
      </c>
      <c r="R55" s="75" t="str">
        <f>IF(OR($D55="C345",$D55="C12A",$D55="DATA"),
   VLOOKUP($B55,'LOD 400 - COLO3'!B:O,14,FALSE),"N/A")</f>
        <v>N/A</v>
      </c>
      <c r="S55" s="76" t="str">
        <f>IF(OR($D55="C345",$D55="C12A",$D55="DATA"),
   VLOOKUP($B55,'LOD 400 - COLO4'!B:N,12,FALSE),"N/A")</f>
        <v>N/A</v>
      </c>
      <c r="T55" s="76" t="str">
        <f>IF(OR($D55="C345",$D55="C12A",$D55="DATA"),
   VLOOKUP($B55,'LOD 400 - COLO4'!B:N,13,FALSE),"N/A")</f>
        <v>N/A</v>
      </c>
      <c r="U55" s="76" t="str">
        <f>IF(OR($D55="C345",$D55="C12A",$D55="DATA"),
   VLOOKUP($B55,'LOD 400 - COLO4'!B:N,13,FALSE),"N/A")</f>
        <v>N/A</v>
      </c>
      <c r="V55" s="77" t="str">
        <f>IF(OR($D55="UTLS",$D55="GUAR",$D55="STIR",$D55="PUMP",$D55="SITE"),
   VLOOKUP($B55,'LOD 400 - UTLS'!B:M,12,FALSE),"N/A")</f>
        <v>V27</v>
      </c>
      <c r="W55" s="78">
        <f>IF(OR($D55="UTLS",$D55="GUAR",$D55="STIR",$D55="PUMP",$D55="SITE"),
   VLOOKUP($B55,'LOD 400 - UTLS'!B:N,13,FALSE),"N/A")</f>
        <v>45943</v>
      </c>
      <c r="X55" s="108" t="str">
        <f>IF(OR($D55="UTLS",$D55="GUAR",$D55="STIR",$D55="PUMP",$D55="SITE"),
   VLOOKUP($B55,'LOD 400 - UTLS'!B:O,14,FALSE),"N/A")</f>
        <v>R22</v>
      </c>
      <c r="Y55" s="79" t="str">
        <f>IFERROR(VLOOKUP($B55,'LOD 400 - ADMN'!B:S,18,FALSE),"N/A")</f>
        <v>N/A</v>
      </c>
      <c r="Z55" s="79" t="str">
        <f>IFERROR(VLOOKUP($B55,'LOD 400 - ADMN'!B:V,21,FALSE),"N/A")</f>
        <v>N/A</v>
      </c>
      <c r="AA55" s="79" t="str">
        <f>IFERROR(VLOOKUP($B55,'LOD 400 - ADMN'!$B:Y,24,FALSE),"N/A")</f>
        <v>N/A</v>
      </c>
      <c r="AB55" s="80" t="str">
        <f>IFERROR(VLOOKUP($B55,'LOD 400 - ADMN'!$B:AB,27,FALSE),"N/A")</f>
        <v>N/A</v>
      </c>
      <c r="AC55" s="81" t="str">
        <f>IFERROR(VLOOKUP($B55,'LOD 400 - ADMN'!$B:AE,30,FALSE),"N/A")</f>
        <v>N/A</v>
      </c>
      <c r="AD55" s="81" t="str">
        <f>IFERROR(VLOOKUP($B55,'LOD 400 - ADMN'!$B:AH,33,FALSE),"N/A")</f>
        <v>N/A</v>
      </c>
      <c r="AE55" s="80" t="str">
        <f>IFERROR(VLOOKUP($B55,'LOD 400 - ADMN'!$B:AK,36,FALSE),"N/A")</f>
        <v>N/A</v>
      </c>
      <c r="AF55" s="82" t="str">
        <f>IFERROR(VLOOKUP($B55,'LOD 400 - ADMN'!$B:AN,39,FALSE),"N/A")</f>
        <v>N/A</v>
      </c>
      <c r="AG55" s="83" t="str">
        <f>IFERROR(VLOOKUP($B55,'LOD 400 - ADMN'!$B:AQ,42,FALSE),"N/A")</f>
        <v>N/A</v>
      </c>
      <c r="AH55" s="84" t="str">
        <f>IFERROR(VLOOKUP($B55,'LOD 400 - ADMN'!$B:AT,45,FALSE),"N/A")</f>
        <v>N/A</v>
      </c>
      <c r="AI55" s="85" t="str">
        <f>IFERROR(VLOOKUP($B55,'LOD 400 - ADMN'!$B:AW,48,FALSE),"N/A")</f>
        <v>N/A</v>
      </c>
      <c r="AJ55" s="85" t="str">
        <f>IFERROR(VLOOKUP($B55,'LOD 400 - ADMN'!$B:AZ,51,FALSE),"N/A")</f>
        <v>N/A</v>
      </c>
      <c r="AK55" s="84" t="str">
        <f>IFERROR(VLOOKUP($B55,'LOD 400 - ADMN'!$B:BC,54,FALSE),"N/A")</f>
        <v>N/A</v>
      </c>
      <c r="AL55" s="84" t="str">
        <f>IFERROR(VLOOKUP($B55,'LOD 400 - ADMN'!$B:BF,57,FALSE),"N/A")</f>
        <v>N/A</v>
      </c>
      <c r="AM55" s="84" t="str">
        <f>IFERROR(VLOOKUP($B55,'LOD 400 - ADMN'!$B:BI,60,FALSE),"N/A")</f>
        <v>N/A</v>
      </c>
      <c r="AN55" s="84" t="str">
        <f>IFERROR(VLOOKUP($B55,'LOD 400 - ADMN'!$B:BL,63,FALSE),"N/A")</f>
        <v>N/A</v>
      </c>
      <c r="AO55" s="84" t="str">
        <f>IFERROR(VLOOKUP($B55,'LOD 400 - ADMN'!$B:BO,66,FALSE),"N/A")</f>
        <v>N/A</v>
      </c>
      <c r="AP55" s="84" t="str">
        <f>IFERROR(VLOOKUP($B55,'LOD 400 - ADMN'!$B:BR,69,FALSE),"N/A")</f>
        <v>N/A</v>
      </c>
      <c r="AQ55" s="84" t="str">
        <f>IFERROR(VLOOKUP($B55,'LOD 400 - ADMN'!$B:BU,72,FALSE),"N/A")</f>
        <v>N/A</v>
      </c>
      <c r="AR55" s="84" t="str">
        <f>IFERROR(VLOOKUP($B55,'LOD 400 - ADMN'!$B:BX,75,FALSE),"N/A")</f>
        <v>N/A</v>
      </c>
      <c r="AS55" s="84" t="str">
        <f>IFERROR(VLOOKUP($B55,'LOD 400 - ADMN'!$B:CA,78,FALSE),"N/A")</f>
        <v>N/A</v>
      </c>
      <c r="AT55" s="84" t="str">
        <f>IFERROR(VLOOKUP($B55,'LOD 400 - ADMN'!$B:CD,81,FALSE),"N/A")</f>
        <v>N/A</v>
      </c>
      <c r="AU55" s="85" t="str">
        <f>IFERROR(VLOOKUP($B55,'LOD 400 - ADMN'!$B:CG,84,FALSE),"N/A")</f>
        <v>N/A</v>
      </c>
      <c r="AV55" s="84" t="str">
        <f>IFERROR(VLOOKUP($B55,'LOD 400 - ADMN'!$B:CJ,87,FALSE),"N/A")</f>
        <v>N/A</v>
      </c>
      <c r="AW55" s="85" t="str">
        <f>IFERROR(VLOOKUP($B55,'LOD 400 - ADMN'!$B:CM,90,FALSE),"N/A")</f>
        <v>N/A</v>
      </c>
      <c r="AX55" s="84" t="str">
        <f>IFERROR(VLOOKUP($B55,'LOD 400 - ADMN'!$B:CP,93,FALSE),"N/A")</f>
        <v>N/A</v>
      </c>
      <c r="AY55" s="84" t="str">
        <f>IFERROR(VLOOKUP($B55,'LOD 400 - ADMN'!$B:CS,96,FALSE),"N/A")</f>
        <v>N/A</v>
      </c>
      <c r="AZ55" s="84" t="str">
        <f>IFERROR(VLOOKUP($B55,'LOD 400 - ADMN'!$B:CV,99,FALSE),"N/A")</f>
        <v>N/A</v>
      </c>
      <c r="BA55" s="84" t="str">
        <f>IFERROR(VLOOKUP($B55,'LOD 400 - ADMN'!$B:CY,102,FALSE),"N/A")</f>
        <v>N/A</v>
      </c>
      <c r="BB55" s="84" t="str">
        <f>IFERROR(VLOOKUP($B55,'LOD 400 - ADMN'!$B:DB,105,FALSE),"N/A")</f>
        <v>N/A</v>
      </c>
      <c r="BC55" s="84" t="str">
        <f>IFERROR(VLOOKUP($B55,'LOD 400 - ADMN'!$B:DE,108,FALSE),"N/A")</f>
        <v>N/A</v>
      </c>
      <c r="BD55" s="84" t="str">
        <f>IFERROR(VLOOKUP($B55,'LOD 400 - ADMN'!$B:DH,111,FALSE),"N/A")</f>
        <v>N/A</v>
      </c>
      <c r="BE55" s="84" t="str">
        <f>IFERROR(VLOOKUP($B55,'LOD 400 - ADMN'!$B:DK,114,FALSE),"N/A")</f>
        <v>N/A</v>
      </c>
      <c r="BF55" s="84" t="str">
        <f>IFERROR(VLOOKUP($B55,'LOD 400 - ADMN'!$B:DN,117,FALSE),"N/A")</f>
        <v>N/A</v>
      </c>
      <c r="BG55" s="86" t="str">
        <f>IFERROR(__xludf.DUMMYFUNCTION("IFERROR(
  MAX(FILTER(Y55:BF55, ISNUMBER(Y55:BF55))),
  BF55
)"),"N/A")</f>
        <v>N/A</v>
      </c>
      <c r="BH55" s="79" t="str">
        <f>IFERROR(VLOOKUP($B55,'LOD 400 - COLO1'!B:S,18,FALSE),"N/A")</f>
        <v>N/A</v>
      </c>
      <c r="BI55" s="79" t="str">
        <f>IFERROR(VLOOKUP($B55,'LOD 400 - COLO1'!B:V,21,FALSE),"N/A")</f>
        <v>N/A</v>
      </c>
      <c r="BJ55" s="79" t="str">
        <f>IFERROR(VLOOKUP($B55,'LOD 400 - COLO1'!$B:Y,24,FALSE),"N/A")</f>
        <v>N/A</v>
      </c>
      <c r="BK55" s="87" t="str">
        <f>IFERROR(VLOOKUP($B55,'LOD 400 - COLO1'!$B:AB,27,FALSE),"N/A")</f>
        <v>N/A</v>
      </c>
      <c r="BL55" s="80" t="str">
        <f>IFERROR(VLOOKUP($B55,'LOD 400 - COLO1'!$B:AE,30,FALSE),"N/A")</f>
        <v>N/A</v>
      </c>
      <c r="BM55" s="81" t="str">
        <f>IFERROR(VLOOKUP($B55,'LOD 400 - COLO1'!$B:AH,33,FALSE),"N/A")</f>
        <v>N/A</v>
      </c>
      <c r="BN55" s="87" t="str">
        <f>IFERROR(VLOOKUP($B55,'LOD 400 - COLO1'!$B:AK,36,FALSE),"N/A")</f>
        <v>N/A</v>
      </c>
      <c r="BO55" s="83" t="str">
        <f>IFERROR(VLOOKUP($B55,'LOD 400 - COLO1'!$B:AN,39,FALSE),"N/A")</f>
        <v>N/A</v>
      </c>
      <c r="BP55" s="88" t="str">
        <f>IFERROR(VLOOKUP($B55,'LOD 400 - COLO1'!$B:AQ,42,FALSE),"N/A")</f>
        <v>N/A</v>
      </c>
      <c r="BQ55" s="84" t="str">
        <f>IFERROR(VLOOKUP($B55,'LOD 400 - COLO1'!$B:AT,45,FALSE),"N/A")</f>
        <v>N/A</v>
      </c>
      <c r="BR55" s="85" t="str">
        <f>IFERROR(VLOOKUP($B55,'LOD 400 - COLO1'!$B:AW,48,FALSE),"N/A")</f>
        <v>N/A</v>
      </c>
      <c r="BS55" s="84" t="str">
        <f>IFERROR(VLOOKUP($B55,'LOD 400 - COLO1'!$B:AZ,51,FALSE),"N/A")</f>
        <v>N/A</v>
      </c>
      <c r="BT55" s="84" t="str">
        <f>IFERROR(VLOOKUP($B55,'LOD 400 - COLO1'!$B:BC,54,FALSE),"N/A")</f>
        <v>N/A</v>
      </c>
      <c r="BU55" s="84" t="str">
        <f>IFERROR(VLOOKUP($B55,'LOD 400 - COLO1'!$B:BF,57,FALSE),"N/A")</f>
        <v>N/A</v>
      </c>
      <c r="BV55" s="84" t="str">
        <f>IFERROR(VLOOKUP($B55,'LOD 400 - COLO1'!$B:BI,60,FALSE),"N/A")</f>
        <v>N/A</v>
      </c>
      <c r="BW55" s="84" t="str">
        <f>IFERROR(VLOOKUP($B55,'LOD 400 - COLO1'!$B:BL,63,FALSE),"N/A")</f>
        <v>N/A</v>
      </c>
      <c r="BX55" s="84" t="str">
        <f>IFERROR(VLOOKUP($B55,'LOD 400 - COLO1'!$B:BO,66,FALSE),"N/A")</f>
        <v>N/A</v>
      </c>
      <c r="BY55" s="84" t="str">
        <f>IFERROR(VLOOKUP($B55,'LOD 400 - COLO1'!$B:BR,69,FALSE),"N/A")</f>
        <v>N/A</v>
      </c>
      <c r="BZ55" s="84" t="str">
        <f>IFERROR(VLOOKUP($B55,'LOD 400 - COLO1'!$B:BU,72,FALSE),"N/A")</f>
        <v>N/A</v>
      </c>
      <c r="CA55" s="84" t="str">
        <f>IFERROR(VLOOKUP($B55,'LOD 400 - COLO1'!$B:BX,75,FALSE),"N/A")</f>
        <v>N/A</v>
      </c>
      <c r="CB55" s="84" t="str">
        <f>IFERROR(VLOOKUP($B55,'LOD 400 - COLO1'!$B:CA,78,FALSE),"N/A")</f>
        <v>N/A</v>
      </c>
      <c r="CC55" s="84" t="str">
        <f>IFERROR(VLOOKUP($B55,'LOD 400 - COLO1'!$B:CD,81,FALSE),"N/A")</f>
        <v>N/A</v>
      </c>
      <c r="CD55" s="85" t="str">
        <f>IFERROR(VLOOKUP($B55,'LOD 400 - COLO1'!$B:CG,84,FALSE),"N/A")</f>
        <v>N/A</v>
      </c>
      <c r="CE55" s="84" t="str">
        <f>IFERROR(VLOOKUP($B55,'LOD 400 - COLO1'!$B:CJ,87,FALSE),"N/A")</f>
        <v>N/A</v>
      </c>
      <c r="CF55" s="85" t="str">
        <f>IFERROR(VLOOKUP($B55,'LOD 400 - COLO1'!$B:CM,90,FALSE),"N/A")</f>
        <v>N/A</v>
      </c>
      <c r="CG55" s="84" t="str">
        <f>IFERROR(VLOOKUP($B55,'LOD 400 - COLO1'!$B:CP,93,FALSE),"N/A")</f>
        <v>N/A</v>
      </c>
      <c r="CH55" s="84" t="str">
        <f>IFERROR(VLOOKUP($B55,'LOD 400 - COLO1'!$B:CS,96,FALSE),"N/A")</f>
        <v>N/A</v>
      </c>
      <c r="CI55" s="84" t="str">
        <f>IFERROR(VLOOKUP($B55,'LOD 400 - COLO1'!$B:CV,99,FALSE),"N/A")</f>
        <v>N/A</v>
      </c>
      <c r="CJ55" s="84" t="str">
        <f>IFERROR(VLOOKUP($B55,'LOD 400 - COLO1'!$B:CY,102,FALSE),"N/A")</f>
        <v>N/A</v>
      </c>
      <c r="CK55" s="84" t="str">
        <f>IFERROR(VLOOKUP($B55,'LOD 400 - COLO1'!$B:DB,105,FALSE),"N/A")</f>
        <v>N/A</v>
      </c>
      <c r="CL55" s="84" t="str">
        <f>IFERROR(VLOOKUP($B55,'LOD 400 - COLO1'!$B:DE,108,FALSE),"N/A")</f>
        <v>N/A</v>
      </c>
      <c r="CM55" s="84" t="str">
        <f>IFERROR(VLOOKUP($B55,'LOD 400 - COLO1'!$B:DH,111,FALSE),"N/A")</f>
        <v>N/A</v>
      </c>
      <c r="CN55" s="84" t="str">
        <f>IFERROR(VLOOKUP($B55,'LOD 400 - COLO1'!$B:DK,114,FALSE),"N/A")</f>
        <v>N/A</v>
      </c>
      <c r="CO55" s="84" t="str">
        <f>IFERROR(VLOOKUP($B55,'LOD 400 - COLO1'!$B:DN,117,FALSE),"N/A")</f>
        <v>N/A</v>
      </c>
      <c r="CP55" s="86" t="str">
        <f>IFERROR(__xludf.DUMMYFUNCTION("IFERROR(
  MAX(FILTER(BH55:CO55, ISNUMBER(BH55:CO55))),
  CO55
)"),"N/A")</f>
        <v>N/A</v>
      </c>
      <c r="CQ55" s="89" t="str">
        <f>IFERROR(VLOOKUP($B55,'LOD 400 - COLO2'!B:S,18,FALSE),"N/A")</f>
        <v>N/A</v>
      </c>
      <c r="CR55" s="79" t="str">
        <f>IFERROR(VLOOKUP($B55,'LOD 400 - COLO2'!B:V,21,FALSE),"N/A")</f>
        <v>N/A</v>
      </c>
      <c r="CS55" s="79" t="str">
        <f>IFERROR(VLOOKUP($B55,'LOD 400 - COLO2'!$B:Y,24,FALSE),"N/A")</f>
        <v>N/A</v>
      </c>
      <c r="CT55" s="80" t="str">
        <f>IFERROR(VLOOKUP($B55,'LOD 400 - COLO2'!$B:DQ,27,FALSE),"N/A")</f>
        <v>N/A</v>
      </c>
      <c r="CU55" s="90" t="str">
        <f>IFERROR(VLOOKUP($B55,'LOD 400 - COLO2'!$B:AE,30,FALSE),"N/A")</f>
        <v>N/A</v>
      </c>
      <c r="CV55" s="81" t="str">
        <f>IFERROR(VLOOKUP($B55,'LOD 400 - COLO2'!$B:AH,33,FALSE),"N/A")</f>
        <v>N/A</v>
      </c>
      <c r="CW55" s="90" t="str">
        <f>IFERROR(VLOOKUP($B55,'LOD 400 - COLO2'!$B:AK,36,FALSE),"N/A")</f>
        <v>N/A</v>
      </c>
      <c r="CX55" s="85" t="str">
        <f>IFERROR(VLOOKUP($B55,'LOD 400 - COLO2'!$B:AN,39,FALSE),"N/A")</f>
        <v>N/A</v>
      </c>
      <c r="CY55" s="88" t="str">
        <f>IFERROR(VLOOKUP($B55,'LOD 400 - COLO2'!$B:AQ,42,FALSE),"N/A")</f>
        <v>N/A</v>
      </c>
      <c r="CZ55" s="84" t="str">
        <f>IFERROR(VLOOKUP($B55,'LOD 400 - COLO2'!$B:AT,45,FALSE),"N/A")</f>
        <v>N/A</v>
      </c>
      <c r="DA55" s="85" t="str">
        <f>IFERROR(VLOOKUP($B55,'LOD 400 - COLO2'!$B:AW,48,FALSE),"N/A")</f>
        <v>N/A</v>
      </c>
      <c r="DB55" s="84" t="str">
        <f>IFERROR(VLOOKUP($B55,'LOD 400 - COLO2'!$B:AZ,51,FALSE),"N/A")</f>
        <v>N/A</v>
      </c>
      <c r="DC55" s="84" t="str">
        <f>IFERROR(VLOOKUP($B55,'LOD 400 - COLO2'!$B:BC,54,FALSE),"N/A")</f>
        <v>N/A</v>
      </c>
      <c r="DD55" s="84" t="str">
        <f>IFERROR(VLOOKUP($B55,'LOD 400 - COLO2'!$B:BF,57,FALSE),"N/A")</f>
        <v>N/A</v>
      </c>
      <c r="DE55" s="84" t="str">
        <f>IFERROR(VLOOKUP($B55,'LOD 400 - COLO2'!$B:BI,60,FALSE),"N/A")</f>
        <v>N/A</v>
      </c>
      <c r="DF55" s="84" t="str">
        <f>IFERROR(VLOOKUP($B55,'LOD 400 - COLO2'!$B:BL,63,FALSE),"N/A")</f>
        <v>N/A</v>
      </c>
      <c r="DG55" s="84" t="str">
        <f>IFERROR(VLOOKUP($B55,'LOD 400 - COLO2'!$B:BO,66,FALSE),"N/A")</f>
        <v>N/A</v>
      </c>
      <c r="DH55" s="84" t="str">
        <f>IFERROR(VLOOKUP($B55,'LOD 400 - COLO2'!$B:BR,69,FALSE),"N/A")</f>
        <v>N/A</v>
      </c>
      <c r="DI55" s="84" t="str">
        <f>IFERROR(VLOOKUP($B55,'LOD 400 - COLO2'!$B:BU,72,FALSE),"N/A")</f>
        <v>N/A</v>
      </c>
      <c r="DJ55" s="84" t="str">
        <f>IFERROR(VLOOKUP($B55,'LOD 400 - COLO2'!$B:BX,75,FALSE),"N/A")</f>
        <v>N/A</v>
      </c>
      <c r="DK55" s="84" t="str">
        <f>IFERROR(VLOOKUP($B55,'LOD 400 - COLO2'!$B:CA,78,FALSE),"N/A")</f>
        <v>N/A</v>
      </c>
      <c r="DL55" s="84" t="str">
        <f>IFERROR(VLOOKUP($B55,'LOD 400 - COLO2'!$B:CD,81,FALSE),"N/A")</f>
        <v>N/A</v>
      </c>
      <c r="DM55" s="85" t="str">
        <f>IFERROR(VLOOKUP($B55,'LOD 400 - COLO2'!$B:CG,84,FALSE),"N/A")</f>
        <v>N/A</v>
      </c>
      <c r="DN55" s="84" t="str">
        <f>IFERROR(VLOOKUP($B55,'LOD 400 - COLO2'!$B:CJ,87,FALSE),"N/A")</f>
        <v>N/A</v>
      </c>
      <c r="DO55" s="85" t="str">
        <f>IFERROR(VLOOKUP($B55,'LOD 400 - COLO2'!$B:CM,90,FALSE),"N/A")</f>
        <v>N/A</v>
      </c>
      <c r="DP55" s="84" t="str">
        <f>IFERROR(VLOOKUP($B55,'LOD 400 - COLO2'!$B:CP,93,FALSE),"N/A")</f>
        <v>N/A</v>
      </c>
      <c r="DQ55" s="84" t="str">
        <f>IFERROR(VLOOKUP($B55,'LOD 400 - COLO2'!$B:CS,96,FALSE),"N/A")</f>
        <v>N/A</v>
      </c>
      <c r="DR55" s="84" t="str">
        <f>IFERROR(VLOOKUP($B55,'LOD 400 - COLO2'!$B:CV,99,FALSE),"N/A")</f>
        <v>N/A</v>
      </c>
      <c r="DS55" s="84" t="str">
        <f>IFERROR(VLOOKUP($B55,'LOD 400 - COLO2'!$B:CY,102,FALSE),"N/A")</f>
        <v>N/A</v>
      </c>
      <c r="DT55" s="84" t="str">
        <f>IFERROR(VLOOKUP($B55,'LOD 400 - COLO2'!$B:DB,105,FALSE),"N/A")</f>
        <v>N/A</v>
      </c>
      <c r="DU55" s="84" t="str">
        <f>IFERROR(VLOOKUP($B55,'LOD 400 - COLO2'!$B:DE,108,FALSE),"N/A")</f>
        <v>N/A</v>
      </c>
      <c r="DV55" s="84" t="str">
        <f>IFERROR(VLOOKUP($B55,'LOD 400 - COLO2'!$B:DH,111,FALSE),"N/A")</f>
        <v>N/A</v>
      </c>
      <c r="DW55" s="84" t="str">
        <f>IFERROR(VLOOKUP($B55,'LOD 400 - COLO2'!$B:DK,114,FALSE),"N/A")</f>
        <v>N/A</v>
      </c>
      <c r="DX55" s="84" t="str">
        <f>IFERROR(VLOOKUP($B55,'LOD 400 - COLO2'!$B:DN,117,FALSE),"N/A")</f>
        <v>N/A</v>
      </c>
      <c r="DY55" s="91" t="str">
        <f>IFERROR(__xludf.DUMMYFUNCTION("IFERROR(
  MAX(FILTER(CQ55:DW55, ISNUMBER(CQ55:DW55))),
  DW55
)"),"N/A")</f>
        <v>N/A</v>
      </c>
      <c r="DZ55" s="92" t="str">
        <f>IFERROR(VLOOKUP($B55,'LOD 400 - COLO3'!B:S,18,FALSE),"N/A")</f>
        <v>N/A</v>
      </c>
      <c r="EA55" s="84" t="str">
        <f>IFERROR(VLOOKUP($B55,'LOD 400 - COLO3'!B:V,21,FALSE),"N/A")</f>
        <v>N/A</v>
      </c>
      <c r="EB55" s="84" t="str">
        <f>IFERROR(VLOOKUP($B55,'LOD 400 - COLO3'!B:Y,24,FALSE),"N/A")</f>
        <v>N/A</v>
      </c>
      <c r="EC55" s="84" t="str">
        <f>IFERROR(VLOOKUP($B55,'LOD 400 - COLO3'!B:AB,27,FALSE),"N/A")</f>
        <v>N/A</v>
      </c>
      <c r="ED55" s="85" t="str">
        <f>IFERROR(VLOOKUP($B55,'LOD 400 - COLO3'!B:AE,30,FALSE),"N/A")</f>
        <v>N/A</v>
      </c>
      <c r="EE55" s="84" t="str">
        <f>IFERROR(VLOOKUP($B55,'LOD 400 - COLO3'!B:AH,33,FALSE),"N/A")</f>
        <v>N/A</v>
      </c>
      <c r="EF55" s="84" t="str">
        <f>IFERROR(VLOOKUP($B55,'LOD 400 - COLO3'!B:AK,36,FALSE),"N/A")</f>
        <v>N/A</v>
      </c>
      <c r="EG55" s="109" t="str">
        <f>IFERROR(VLOOKUP($B55,'LOD 400 - COLO3'!B:AN,39,FALSE),"N/A")</f>
        <v>N/A</v>
      </c>
      <c r="EH55" s="94" t="str">
        <f>IFERROR(VLOOKUP($B55,'LOD 400 - COLO3'!B:AQ,42,FALSE),"N/A")</f>
        <v>N/A</v>
      </c>
      <c r="EI55" s="94" t="str">
        <f>IFERROR(VLOOKUP($B55,'LOD 400 - COLO3'!B:AT,45,FALSE),"N/A")</f>
        <v>N/A</v>
      </c>
      <c r="EJ55" s="94" t="str">
        <f>IFERROR(VLOOKUP($B55,'LOD 400 - COLO3'!B:AW,48,FALSE),"N/A")</f>
        <v>N/A</v>
      </c>
      <c r="EK55" s="94" t="str">
        <f>IFERROR(VLOOKUP($B55,'LOD 400 - COLO3'!B:AZ,51,FALSE),"N/A")</f>
        <v>N/A</v>
      </c>
      <c r="EL55" s="94" t="str">
        <f>IFERROR(VLOOKUP($B55,'LOD 400 - COLO3'!B:BC,54,FALSE),"N/A")</f>
        <v>N/A</v>
      </c>
      <c r="EM55" s="94" t="str">
        <f>IFERROR(VLOOKUP($B55,'LOD 400 - COLO3'!B:BF,57,FALSE),"N/A")</f>
        <v>N/A</v>
      </c>
      <c r="EN55" s="94" t="str">
        <f>IFERROR(VLOOKUP($B55,'LOD 400 - COLO3'!B:BI,60,FALSE),"N/A")</f>
        <v>N/A</v>
      </c>
      <c r="EO55" s="94" t="str">
        <f>IFERROR(VLOOKUP($B55,'LOD 400 - COLO3'!B:BL,63,FALSE),"N/A")</f>
        <v>N/A</v>
      </c>
      <c r="EP55" s="86" t="str">
        <f>IFERROR(__xludf.DUMMYFUNCTION("IFERROR(
  MAX(FILTER(DZ55:EO55, ISNUMBER(DZ55:EO55))),
  EO55
)"),"N/A")</f>
        <v>N/A</v>
      </c>
      <c r="EQ55" s="95" t="str">
        <f>IFERROR(VLOOKUP($B55,'LOD 400 - COLO4'!B:S,18,FALSE),"N/A")</f>
        <v>N/A</v>
      </c>
      <c r="ER55" s="96" t="str">
        <f>IFERROR(__xludf.DUMMYFUNCTION("IFERROR(
  MAX(FILTER(EQ55, ISNUMBER(EQ55))),
  EQ55
)"),"N/A")</f>
        <v>N/A</v>
      </c>
      <c r="ES55" s="79">
        <f>IFERROR(VLOOKUP($B55,'LOD 400 - SITE'!B:S,18,FALSE),"N/A")</f>
        <v>0.01</v>
      </c>
      <c r="ET55" s="80">
        <f>IFERROR(VLOOKUP($B55,'LOD 400 - SITE'!B:V,21,FALSE),"N/A")</f>
        <v>0.07</v>
      </c>
      <c r="EU55" s="97">
        <f>IFERROR(VLOOKUP($B55,'LOD 400 - SITE'!$B:Y,24,FALSE),"N/A")</f>
        <v>0.84</v>
      </c>
      <c r="EV55" s="80">
        <f>IFERROR(VLOOKUP($B55,'LOD 400 - SITE'!$B:AB,27,FALSE),"N/A")</f>
        <v>0.86</v>
      </c>
      <c r="EW55" s="81" t="str">
        <f>IFERROR(VLOOKUP($B55,'LOD 400 - SITE'!$B:AE,30,FALSE),"N/A")</f>
        <v>IMPROPER</v>
      </c>
      <c r="EX55" s="87">
        <f>IFERROR(VLOOKUP($B55,'LOD 400 - SITE'!$B:AH,33,FALSE),"N/A")</f>
        <v>1</v>
      </c>
      <c r="EY55" s="87">
        <f>IFERROR(VLOOKUP($B55,'LOD 400 - SITE'!$B:AK,36,FALSE),"N/A")</f>
        <v>1</v>
      </c>
      <c r="EZ55" s="80">
        <f>IFERROR(VLOOKUP($B55,'LOD 400 - SITE'!$B:AN,39,FALSE),"N/A")</f>
        <v>1</v>
      </c>
      <c r="FA55" s="82">
        <f>IFERROR(VLOOKUP($B55,'LOD 400 - SITE'!$B:AQ,42,FALSE),"N/A")</f>
        <v>1</v>
      </c>
      <c r="FB55" s="88">
        <f>IFERROR(VLOOKUP($B55,'LOD 400 - SITE'!$B:AT,45,FALSE),"N/A")</f>
        <v>1</v>
      </c>
      <c r="FC55" s="84">
        <f>IFERROR(VLOOKUP($B55,'LOD 400 - SITE'!$B:AW,48,FALSE),"N/A")</f>
        <v>1</v>
      </c>
      <c r="FD55" s="84">
        <f>IFERROR(VLOOKUP($B55,'LOD 400 - SITE'!$B:AZ,51,FALSE),"N/A")</f>
        <v>1</v>
      </c>
      <c r="FE55" s="84">
        <f>IFERROR(VLOOKUP($B55,'LOD 400 - SITE'!$B:BC,54,FALSE),"N/A")</f>
        <v>1</v>
      </c>
      <c r="FF55" s="84">
        <f>IFERROR(VLOOKUP($B55,'LOD 400 - SITE'!$B:BF,57,FALSE),"N/A")</f>
        <v>1</v>
      </c>
      <c r="FG55" s="84">
        <f>IFERROR(VLOOKUP($B55,'LOD 400 - SITE'!$B:BI,60,FALSE),"N/A")</f>
        <v>1</v>
      </c>
      <c r="FH55" s="84">
        <f>IFERROR(VLOOKUP($B55,'LOD 400 - SITE'!$B:BL,63,FALSE),"N/A")</f>
        <v>1</v>
      </c>
      <c r="FI55" s="84">
        <f>IFERROR(VLOOKUP($B55,'LOD 400 - SITE'!$B:BO,66,FALSE),"N/A")</f>
        <v>1</v>
      </c>
      <c r="FJ55" s="84">
        <f>IFERROR(VLOOKUP($B55,'LOD 400 - SITE'!$B:BR,69,FALSE),"N/A")</f>
        <v>1</v>
      </c>
      <c r="FK55" s="84">
        <f>IFERROR(VLOOKUP($B55,'LOD 400 - SITE'!$B:BU,72,FALSE),"N/A")</f>
        <v>1</v>
      </c>
      <c r="FL55" s="84">
        <f>IFERROR(VLOOKUP($B55,'LOD 400 - SITE'!$B:BX,75,FALSE),"N/A")</f>
        <v>1</v>
      </c>
      <c r="FM55" s="84">
        <f>IFERROR(VLOOKUP($B55,'LOD 400 - SITE'!$B:CA,78,FALSE),"N/A")</f>
        <v>1</v>
      </c>
      <c r="FN55" s="85">
        <f>IFERROR(VLOOKUP($B55,'LOD 400 - SITE'!$B:CD,81,FALSE),"N/A")</f>
        <v>1</v>
      </c>
      <c r="FO55" s="84">
        <f>IFERROR(VLOOKUP($B55,'LOD 400 - SITE'!$B:CG,84,FALSE),"N/A")</f>
        <v>1</v>
      </c>
      <c r="FP55" s="85">
        <f>IFERROR(VLOOKUP($B55,'LOD 400 - SITE'!$B:CJ,87,FALSE),"N/A")</f>
        <v>1</v>
      </c>
      <c r="FQ55" s="84">
        <f>IFERROR(VLOOKUP($B55,'LOD 400 - SITE'!$B:CM,90,FALSE),"N/A")</f>
        <v>1</v>
      </c>
      <c r="FR55" s="84">
        <f>IFERROR(VLOOKUP($B55,'LOD 400 - SITE'!$B:CP,93,FALSE),"N/A")</f>
        <v>1</v>
      </c>
      <c r="FS55" s="84">
        <f>IFERROR(VLOOKUP($B55,'LOD 400 - SITE'!$B:CS,96,FALSE),"N/A")</f>
        <v>1</v>
      </c>
      <c r="FT55" s="84">
        <f>IFERROR(VLOOKUP($B55,'LOD 400 - SITE'!$B:CV,99,FALSE),"N/A")</f>
        <v>1</v>
      </c>
      <c r="FU55" s="84">
        <f>IFERROR(VLOOKUP($B55,'LOD 400 - SITE'!$B:CY,102,FALSE),"N/A")</f>
        <v>1</v>
      </c>
      <c r="FV55" s="84">
        <f>IFERROR(VLOOKUP($B55,'LOD 400 - SITE'!$B:DB,105,FALSE),"N/A")</f>
        <v>1</v>
      </c>
      <c r="FW55" s="84">
        <f>IFERROR(VLOOKUP($B55,'LOD 400 - SITE'!$B:DE,108,FALSE),"N/A")</f>
        <v>1</v>
      </c>
      <c r="FX55" s="84">
        <f>IFERROR(VLOOKUP($B55,'LOD 400 - SITE'!$B:DH,111,FALSE),"N/A")</f>
        <v>1</v>
      </c>
      <c r="FY55" s="84">
        <f>IFERROR(VLOOKUP($B55,'LOD 400 - SITE'!$B:DK,114,FALSE),"N/A")</f>
        <v>1</v>
      </c>
      <c r="FZ55" s="96">
        <f>IFERROR(__xludf.DUMMYFUNCTION("IFERROR(
  MAX(FILTER(ES55:FY55, ISNUMBER(ES55:FY55))),
  FY55
)"),1.0)</f>
        <v>1</v>
      </c>
      <c r="GA55" s="80">
        <f>IFERROR(VLOOKUP($B55,'LOD 400 - UTLS'!B:S,18,FALSE),"N/A")</f>
        <v>0.87</v>
      </c>
      <c r="GB55" s="98">
        <f>IFERROR(VLOOKUP($B55,'LOD 400 - UTLS'!B:V,21,FALSE),"N/A")</f>
        <v>1</v>
      </c>
      <c r="GC55" s="81">
        <f>IFERROR(VLOOKUP($B55,'LOD 400 - UTLS'!B:Y,24,FALSE),"N/A")</f>
        <v>1</v>
      </c>
      <c r="GD55" s="87">
        <f>IFERROR(VLOOKUP($B55,'LOD 400 - UTLS'!$B:AB,27,FALSE),"N/A")</f>
        <v>1</v>
      </c>
      <c r="GE55" s="80">
        <f>IFERROR(VLOOKUP($B55,'LOD 400 - UTLS'!$B:AE,30,FALSE),"N/A")</f>
        <v>1</v>
      </c>
      <c r="GF55" s="82">
        <f>IFERROR(VLOOKUP($B55,'LOD 400 - UTLS'!$B:AH,33,FALSE),"N/A")</f>
        <v>1</v>
      </c>
      <c r="GG55" s="88">
        <f>IFERROR(VLOOKUP($B55,'LOD 400 - UTLS'!$B:AK,36,FALSE),"N/A")</f>
        <v>1</v>
      </c>
      <c r="GH55" s="84">
        <f>IFERROR(VLOOKUP($B55,'LOD 400 - UTLS'!$B:AN,39,FALSE),"N/A")</f>
        <v>1</v>
      </c>
      <c r="GI55" s="84">
        <f>IFERROR(VLOOKUP($B55,'LOD 400 - UTLS'!$B:AQ,42,FALSE),"N/A")</f>
        <v>1</v>
      </c>
      <c r="GJ55" s="84">
        <f>IFERROR(VLOOKUP($B55,'LOD 400 - UTLS'!$B:AT,45,FALSE),"N/A")</f>
        <v>1</v>
      </c>
      <c r="GK55" s="84">
        <f>IFERROR(VLOOKUP($B55,'LOD 400 - UTLS'!$B:AW,48,FALSE),"N/A")</f>
        <v>1</v>
      </c>
      <c r="GL55" s="84">
        <f>IFERROR(VLOOKUP($B55,'LOD 400 - UTLS'!$B:AZ,51,FALSE),"N/A")</f>
        <v>1</v>
      </c>
      <c r="GM55" s="84">
        <f>IFERROR(VLOOKUP($B55,'LOD 400 - UTLS'!$B:BC,54,FALSE),"N/A")</f>
        <v>1</v>
      </c>
      <c r="GN55" s="84">
        <f>IFERROR(VLOOKUP($B55,'LOD 400 - UTLS'!$B:BF,57,FALSE),"N/A")</f>
        <v>1</v>
      </c>
      <c r="GO55" s="84">
        <f>IFERROR(VLOOKUP($B55,'LOD 400 - UTLS'!$B:BI,60,FALSE),"N/A")</f>
        <v>1</v>
      </c>
      <c r="GP55" s="84">
        <f>IFERROR(VLOOKUP($B55,'LOD 400 - UTLS'!$B:BL,63,FALSE),"N/A")</f>
        <v>1</v>
      </c>
      <c r="GQ55" s="84">
        <f>IFERROR(VLOOKUP($B55,'LOD 400 - UTLS'!$B:BO,66,FALSE),"N/A")</f>
        <v>1</v>
      </c>
      <c r="GR55" s="84">
        <f>IFERROR(VLOOKUP($B55,'LOD 400 - UTLS'!$B:BR,69,FALSE),"N/A")</f>
        <v>1</v>
      </c>
      <c r="GS55" s="85">
        <f>IFERROR(VLOOKUP($B55,'LOD 400 - UTLS'!$B:BU,72,FALSE),"N/A")</f>
        <v>1</v>
      </c>
      <c r="GT55" s="84">
        <f>IFERROR(VLOOKUP($B55,'LOD 400 - UTLS'!$B:BX,75,FALSE),"N/A")</f>
        <v>1</v>
      </c>
      <c r="GU55" s="85">
        <f>IFERROR(VLOOKUP($B55,'LOD 400 - UTLS'!$B:CA,78,FALSE),"N/A")</f>
        <v>1</v>
      </c>
      <c r="GV55" s="84">
        <f>IFERROR(VLOOKUP($B55,'LOD 400 - UTLS'!$B:CD,81,FALSE),"N/A")</f>
        <v>1</v>
      </c>
      <c r="GW55" s="84">
        <f>IFERROR(VLOOKUP($B55,'LOD 400 - UTLS'!$B:CG,84,FALSE),"N/A")</f>
        <v>1</v>
      </c>
      <c r="GX55" s="84">
        <f>IFERROR(VLOOKUP($B55,'LOD 400 - UTLS'!$B:CJ,87,FALSE),"N/A")</f>
        <v>1</v>
      </c>
      <c r="GY55" s="84">
        <f>IFERROR(VLOOKUP($B55,'LOD 400 - UTLS'!$B:CM,90,FALSE),"N/A")</f>
        <v>1</v>
      </c>
      <c r="GZ55" s="84">
        <f>IFERROR(VLOOKUP($B55,'LOD 400 - UTLS'!$B:CP,93,FALSE),"N/A")</f>
        <v>1</v>
      </c>
      <c r="HA55" s="84">
        <f>IFERROR(VLOOKUP($B55,'LOD 400 - UTLS'!$B:CS,96,FALSE),"N/A")</f>
        <v>1</v>
      </c>
      <c r="HB55" s="84">
        <f>IFERROR(VLOOKUP($B55,'LOD 400 - UTLS'!$B:CV,99,FALSE),"N/A")</f>
        <v>1</v>
      </c>
      <c r="HC55" s="84">
        <f>IFERROR(VLOOKUP($B55,'LOD 400 - UTLS'!$B:CY,102,FALSE),"N/A")</f>
        <v>1</v>
      </c>
      <c r="HD55" s="84">
        <f>IFERROR(VLOOKUP($B55,'LOD 400 - UTLS'!$B:DB,105,FALSE),"N/A")</f>
        <v>1</v>
      </c>
      <c r="HE55" s="96">
        <f>IFERROR(__xludf.DUMMYFUNCTION("IFERROR(
  MAX(FILTER(GA55:HD55, ISNUMBER(GA55:HD55))),
  HD55
)"),1.0)</f>
        <v>1</v>
      </c>
      <c r="HF55" s="99"/>
      <c r="HG55" s="99"/>
      <c r="HH55" s="99"/>
      <c r="HI55" s="99"/>
      <c r="HJ55" s="99"/>
      <c r="HK55" s="99"/>
    </row>
    <row r="56" ht="15.0" customHeight="1" outlineLevel="1">
      <c r="A56" s="53">
        <v>60.0</v>
      </c>
      <c r="B56" s="100" t="s">
        <v>197</v>
      </c>
      <c r="C56" s="100" t="s">
        <v>198</v>
      </c>
      <c r="D56" s="64" t="str">
        <f t="shared" si="9"/>
        <v>DATA</v>
      </c>
      <c r="E56" s="101" t="s">
        <v>196</v>
      </c>
      <c r="F56" s="102">
        <v>1115.0</v>
      </c>
      <c r="G56" s="103" t="s">
        <v>196</v>
      </c>
      <c r="H56" s="104">
        <v>1115.0</v>
      </c>
      <c r="I56" s="68" t="str">
        <f>IFERROR(VLOOKUP($C53:C108,'R22 RELATÓRIO ACC'!B:F,5,FALSE),"NOT PUBLISHED")</f>
        <v>V40</v>
      </c>
      <c r="J56" s="69" t="str">
        <f>IFERROR(VLOOKUP($C53:C108,'R22 RELATÓRIO ACC'!B:P,15,FALSE),"NOT PUBLISHED")</f>
        <v>06/05/2026</v>
      </c>
      <c r="K56" s="70" t="str">
        <f>IFERROR(VLOOKUP($B53:B108,'RELATÓRIO ACC'!B:F,5,FALSE),"NOT PUBLISHED")</f>
        <v>V3</v>
      </c>
      <c r="L56" s="71" t="str">
        <f>IFERROR(VLOOKUP($B53:B108,'RELATÓRIO ACC'!B:P,15,FALSE),"NOT PUBLISHED")</f>
        <v>13/07/2026</v>
      </c>
      <c r="M56" s="72" t="str">
        <f>IF(OR($D56="UTLS",$D56="GUAR",$D56="STIR",$D56="PUMP",$D56="SITE"),
   VLOOKUP($B56,'LOD 400 - SITE'!B:M,12,FALSE),
   VLOOKUP($B56,'LOD 400 - ADMN'!B:M,12,FALSE)
)</f>
        <v>V29</v>
      </c>
      <c r="N56" s="105" t="str">
        <f>IF(OR($D56="UTLS",$D56="GUAR",$D56="STIR",$D56="PUMP",$D56="SITE"),
   VLOOKUP($B56,'LOD 400 - SITE'!B:N,13,FALSE),
   VLOOKUP($B56,'LOD 400 - ADMN'!B:N,13,FALSE)
)</f>
        <v>06/11/2025</v>
      </c>
      <c r="O56" s="106" t="str">
        <f>IF(OR($D56="UTLS",$D56="GUAR",$D56="STIR",$D56="PUMP",$D56="SITE"),
   VLOOKUP($B56,'LOD 400 - SITE'!B:O,14,FALSE),
   VLOOKUP($B56,'LOD 400 - ADMN'!B:O,14,FALSE)
)</f>
        <v>R22</v>
      </c>
      <c r="P56" s="107" t="str">
        <f>IF(OR($D56="C345",$D56="C12A",$D56="DATA"),
   VLOOKUP($B56,'LOD 400 - COLO3'!B:M,12,FALSE),"N/A")</f>
        <v>V37</v>
      </c>
      <c r="Q56" s="108">
        <f>IF(OR($D56="C345",$D56="C12A",$D56="DATA"),
   VLOOKUP($B56,'LOD 400 - COLO3'!B:N,13,FALSE),"N/A")</f>
        <v>46106</v>
      </c>
      <c r="R56" s="75" t="str">
        <f>IF(OR($D56="C345",$D56="C12A",$D56="DATA"),
   VLOOKUP($B56,'LOD 400 - COLO3'!B:O,14,FALSE),"N/A")</f>
        <v>R22</v>
      </c>
      <c r="S56" s="76" t="str">
        <f>IF(OR($D56="C345",$D56="C12A",$D56="DATA"),
   VLOOKUP($B56,'LOD 400 - COLO4'!B:N,12,FALSE),"N/A")</f>
        <v>N/A</v>
      </c>
      <c r="T56" s="76" t="str">
        <f>IF(OR($D56="C345",$D56="C12A",$D56="DATA"),
   VLOOKUP($B56,'LOD 400 - COLO4'!B:N,13,FALSE),"N/A")</f>
        <v>N/A</v>
      </c>
      <c r="U56" s="76" t="str">
        <f>IF(OR($D56="C345",$D56="C12A",$D56="DATA"),
   VLOOKUP($B56,'LOD 400 - COLO4'!B:N,13,FALSE),"N/A")</f>
        <v>N/A</v>
      </c>
      <c r="V56" s="77" t="str">
        <f>IF(OR($D56="UTLS",$D56="GUAR",$D56="STIR",$D56="PUMP",$D56="SITE"),
   VLOOKUP($B56,'LOD 400 - UTLS'!B:M,12,FALSE),"N/A")</f>
        <v>N/A</v>
      </c>
      <c r="W56" s="78" t="str">
        <f>IF(OR($D56="UTLS",$D56="GUAR",$D56="STIR",$D56="PUMP",$D56="SITE"),
   VLOOKUP($B56,'LOD 400 - UTLS'!B:N,13,FALSE),"N/A")</f>
        <v>N/A</v>
      </c>
      <c r="X56" s="108" t="str">
        <f>IF(OR($D56="UTLS",$D56="GUAR",$D56="STIR",$D56="PUMP",$D56="SITE"),
   VLOOKUP($B56,'LOD 400 - UTLS'!B:O,14,FALSE),"N/A")</f>
        <v>N/A</v>
      </c>
      <c r="Y56" s="79">
        <f>IFERROR(VLOOKUP($B56,'LOD 400 - ADMN'!B:S,18,FALSE),"N/A")</f>
        <v>0.01</v>
      </c>
      <c r="Z56" s="79">
        <f>IFERROR(VLOOKUP($B56,'LOD 400 - ADMN'!B:V,21,FALSE),"N/A")</f>
        <v>0.07</v>
      </c>
      <c r="AA56" s="79">
        <f>IFERROR(VLOOKUP($B56,'LOD 400 - ADMN'!$B:Y,24,FALSE),"N/A")</f>
        <v>0.8</v>
      </c>
      <c r="AB56" s="80" t="str">
        <f>IFERROR(VLOOKUP($B56,'LOD 400 - ADMN'!$B:AB,27,FALSE),"N/A")</f>
        <v>NEXT ROUND</v>
      </c>
      <c r="AC56" s="81">
        <f>IFERROR(VLOOKUP($B56,'LOD 400 - ADMN'!$B:AE,30,FALSE),"N/A")</f>
        <v>0.91</v>
      </c>
      <c r="AD56" s="81">
        <f>IFERROR(VLOOKUP($B56,'LOD 400 - ADMN'!$B:AH,33,FALSE),"N/A")</f>
        <v>1</v>
      </c>
      <c r="AE56" s="80">
        <f>IFERROR(VLOOKUP($B56,'LOD 400 - ADMN'!$B:AK,36,FALSE),"N/A")</f>
        <v>1</v>
      </c>
      <c r="AF56" s="82">
        <f>IFERROR(VLOOKUP($B56,'LOD 400 - ADMN'!$B:AN,39,FALSE),"N/A")</f>
        <v>1</v>
      </c>
      <c r="AG56" s="83">
        <f>IFERROR(VLOOKUP($B56,'LOD 400 - ADMN'!$B:AQ,42,FALSE),"N/A")</f>
        <v>1</v>
      </c>
      <c r="AH56" s="84">
        <f>IFERROR(VLOOKUP($B56,'LOD 400 - ADMN'!$B:AT,45,FALSE),"N/A")</f>
        <v>1</v>
      </c>
      <c r="AI56" s="85">
        <f>IFERROR(VLOOKUP($B56,'LOD 400 - ADMN'!$B:AW,48,FALSE),"N/A")</f>
        <v>1</v>
      </c>
      <c r="AJ56" s="85">
        <f>IFERROR(VLOOKUP($B56,'LOD 400 - ADMN'!$B:AZ,51,FALSE),"N/A")</f>
        <v>1</v>
      </c>
      <c r="AK56" s="84">
        <f>IFERROR(VLOOKUP($B56,'LOD 400 - ADMN'!$B:BC,54,FALSE),"N/A")</f>
        <v>1</v>
      </c>
      <c r="AL56" s="84">
        <f>IFERROR(VLOOKUP($B56,'LOD 400 - ADMN'!$B:BF,57,FALSE),"N/A")</f>
        <v>1</v>
      </c>
      <c r="AM56" s="84">
        <f>IFERROR(VLOOKUP($B56,'LOD 400 - ADMN'!$B:BI,60,FALSE),"N/A")</f>
        <v>1</v>
      </c>
      <c r="AN56" s="84">
        <f>IFERROR(VLOOKUP($B56,'LOD 400 - ADMN'!$B:BL,63,FALSE),"N/A")</f>
        <v>1</v>
      </c>
      <c r="AO56" s="84">
        <f>IFERROR(VLOOKUP($B56,'LOD 400 - ADMN'!$B:BO,66,FALSE),"N/A")</f>
        <v>1</v>
      </c>
      <c r="AP56" s="84">
        <f>IFERROR(VLOOKUP($B56,'LOD 400 - ADMN'!$B:BR,69,FALSE),"N/A")</f>
        <v>1</v>
      </c>
      <c r="AQ56" s="84">
        <f>IFERROR(VLOOKUP($B56,'LOD 400 - ADMN'!$B:BU,72,FALSE),"N/A")</f>
        <v>1</v>
      </c>
      <c r="AR56" s="84">
        <f>IFERROR(VLOOKUP($B56,'LOD 400 - ADMN'!$B:BX,75,FALSE),"N/A")</f>
        <v>1</v>
      </c>
      <c r="AS56" s="84">
        <f>IFERROR(VLOOKUP($B56,'LOD 400 - ADMN'!$B:CA,78,FALSE),"N/A")</f>
        <v>1</v>
      </c>
      <c r="AT56" s="84">
        <f>IFERROR(VLOOKUP($B56,'LOD 400 - ADMN'!$B:CD,81,FALSE),"N/A")</f>
        <v>1</v>
      </c>
      <c r="AU56" s="85">
        <f>IFERROR(VLOOKUP($B56,'LOD 400 - ADMN'!$B:CG,84,FALSE),"N/A")</f>
        <v>1</v>
      </c>
      <c r="AV56" s="84">
        <f>IFERROR(VLOOKUP($B56,'LOD 400 - ADMN'!$B:CJ,87,FALSE),"N/A")</f>
        <v>1</v>
      </c>
      <c r="AW56" s="85">
        <f>IFERROR(VLOOKUP($B56,'LOD 400 - ADMN'!$B:CM,90,FALSE),"N/A")</f>
        <v>1</v>
      </c>
      <c r="AX56" s="84">
        <f>IFERROR(VLOOKUP($B56,'LOD 400 - ADMN'!$B:CP,93,FALSE),"N/A")</f>
        <v>1</v>
      </c>
      <c r="AY56" s="84">
        <f>IFERROR(VLOOKUP($B56,'LOD 400 - ADMN'!$B:CS,96,FALSE),"N/A")</f>
        <v>1</v>
      </c>
      <c r="AZ56" s="84">
        <f>IFERROR(VLOOKUP($B56,'LOD 400 - ADMN'!$B:CV,99,FALSE),"N/A")</f>
        <v>1</v>
      </c>
      <c r="BA56" s="84">
        <f>IFERROR(VLOOKUP($B56,'LOD 400 - ADMN'!$B:CY,102,FALSE),"N/A")</f>
        <v>1</v>
      </c>
      <c r="BB56" s="84">
        <f>IFERROR(VLOOKUP($B56,'LOD 400 - ADMN'!$B:DB,105,FALSE),"N/A")</f>
        <v>1</v>
      </c>
      <c r="BC56" s="84">
        <f>IFERROR(VLOOKUP($B56,'LOD 400 - ADMN'!$B:DE,108,FALSE),"N/A")</f>
        <v>1</v>
      </c>
      <c r="BD56" s="84">
        <f>IFERROR(VLOOKUP($B56,'LOD 400 - ADMN'!$B:DH,111,FALSE),"N/A")</f>
        <v>1</v>
      </c>
      <c r="BE56" s="84">
        <f>IFERROR(VLOOKUP($B56,'LOD 400 - ADMN'!$B:DK,114,FALSE),"N/A")</f>
        <v>1</v>
      </c>
      <c r="BF56" s="84">
        <f>IFERROR(VLOOKUP($B56,'LOD 400 - ADMN'!$B:DN,117,FALSE),"N/A")</f>
        <v>1</v>
      </c>
      <c r="BG56" s="86">
        <f>IFERROR(__xludf.DUMMYFUNCTION("IFERROR(
  MAX(FILTER(Y56:BF56, ISNUMBER(Y56:BF56))),
  BF56
)"),1.0)</f>
        <v>1</v>
      </c>
      <c r="BH56" s="79">
        <f>IFERROR(VLOOKUP($B56,'LOD 400 - COLO1'!B:S,18,FALSE),"N/A")</f>
        <v>0.01</v>
      </c>
      <c r="BI56" s="79">
        <f>IFERROR(VLOOKUP($B56,'LOD 400 - COLO1'!B:V,21,FALSE),"N/A")</f>
        <v>0.07</v>
      </c>
      <c r="BJ56" s="79">
        <f>IFERROR(VLOOKUP($B56,'LOD 400 - COLO1'!$B:Y,24,FALSE),"N/A")</f>
        <v>0.8</v>
      </c>
      <c r="BK56" s="87" t="str">
        <f>IFERROR(VLOOKUP($B56,'LOD 400 - COLO1'!$B:AB,27,FALSE),"N/A")</f>
        <v>NEXT ROUND</v>
      </c>
      <c r="BL56" s="80">
        <f>IFERROR(VLOOKUP($B56,'LOD 400 - COLO1'!$B:AE,30,FALSE),"N/A")</f>
        <v>0.91</v>
      </c>
      <c r="BM56" s="81">
        <f>IFERROR(VLOOKUP($B56,'LOD 400 - COLO1'!$B:AH,33,FALSE),"N/A")</f>
        <v>1</v>
      </c>
      <c r="BN56" s="87">
        <f>IFERROR(VLOOKUP($B56,'LOD 400 - COLO1'!$B:AK,36,FALSE),"N/A")</f>
        <v>1</v>
      </c>
      <c r="BO56" s="83">
        <f>IFERROR(VLOOKUP($B56,'LOD 400 - COLO1'!$B:AN,39,FALSE),"N/A")</f>
        <v>1</v>
      </c>
      <c r="BP56" s="88">
        <f>IFERROR(VLOOKUP($B56,'LOD 400 - COLO1'!$B:AQ,42,FALSE),"N/A")</f>
        <v>1</v>
      </c>
      <c r="BQ56" s="84">
        <f>IFERROR(VLOOKUP($B56,'LOD 400 - COLO1'!$B:AT,45,FALSE),"N/A")</f>
        <v>1</v>
      </c>
      <c r="BR56" s="85">
        <f>IFERROR(VLOOKUP($B56,'LOD 400 - COLO1'!$B:AW,48,FALSE),"N/A")</f>
        <v>1</v>
      </c>
      <c r="BS56" s="84">
        <f>IFERROR(VLOOKUP($B56,'LOD 400 - COLO1'!$B:AZ,51,FALSE),"N/A")</f>
        <v>1</v>
      </c>
      <c r="BT56" s="84">
        <f>IFERROR(VLOOKUP($B56,'LOD 400 - COLO1'!$B:BC,54,FALSE),"N/A")</f>
        <v>1</v>
      </c>
      <c r="BU56" s="84">
        <f>IFERROR(VLOOKUP($B56,'LOD 400 - COLO1'!$B:BF,57,FALSE),"N/A")</f>
        <v>1</v>
      </c>
      <c r="BV56" s="84">
        <f>IFERROR(VLOOKUP($B56,'LOD 400 - COLO1'!$B:BI,60,FALSE),"N/A")</f>
        <v>1</v>
      </c>
      <c r="BW56" s="84">
        <f>IFERROR(VLOOKUP($B56,'LOD 400 - COLO1'!$B:BL,63,FALSE),"N/A")</f>
        <v>1</v>
      </c>
      <c r="BX56" s="84">
        <f>IFERROR(VLOOKUP($B56,'LOD 400 - COLO1'!$B:BO,66,FALSE),"N/A")</f>
        <v>1</v>
      </c>
      <c r="BY56" s="84">
        <f>IFERROR(VLOOKUP($B56,'LOD 400 - COLO1'!$B:BR,69,FALSE),"N/A")</f>
        <v>1</v>
      </c>
      <c r="BZ56" s="84">
        <f>IFERROR(VLOOKUP($B56,'LOD 400 - COLO1'!$B:BU,72,FALSE),"N/A")</f>
        <v>1</v>
      </c>
      <c r="CA56" s="84">
        <f>IFERROR(VLOOKUP($B56,'LOD 400 - COLO1'!$B:BX,75,FALSE),"N/A")</f>
        <v>1</v>
      </c>
      <c r="CB56" s="84">
        <f>IFERROR(VLOOKUP($B56,'LOD 400 - COLO1'!$B:CA,78,FALSE),"N/A")</f>
        <v>1</v>
      </c>
      <c r="CC56" s="84">
        <f>IFERROR(VLOOKUP($B56,'LOD 400 - COLO1'!$B:CD,81,FALSE),"N/A")</f>
        <v>1</v>
      </c>
      <c r="CD56" s="85">
        <f>IFERROR(VLOOKUP($B56,'LOD 400 - COLO1'!$B:CG,84,FALSE),"N/A")</f>
        <v>1</v>
      </c>
      <c r="CE56" s="84">
        <f>IFERROR(VLOOKUP($B56,'LOD 400 - COLO1'!$B:CJ,87,FALSE),"N/A")</f>
        <v>1</v>
      </c>
      <c r="CF56" s="85">
        <f>IFERROR(VLOOKUP($B56,'LOD 400 - COLO1'!$B:CM,90,FALSE),"N/A")</f>
        <v>1</v>
      </c>
      <c r="CG56" s="84">
        <f>IFERROR(VLOOKUP($B56,'LOD 400 - COLO1'!$B:CP,93,FALSE),"N/A")</f>
        <v>1</v>
      </c>
      <c r="CH56" s="84">
        <f>IFERROR(VLOOKUP($B56,'LOD 400 - COLO1'!$B:CS,96,FALSE),"N/A")</f>
        <v>1</v>
      </c>
      <c r="CI56" s="84">
        <f>IFERROR(VLOOKUP($B56,'LOD 400 - COLO1'!$B:CV,99,FALSE),"N/A")</f>
        <v>1</v>
      </c>
      <c r="CJ56" s="84">
        <f>IFERROR(VLOOKUP($B56,'LOD 400 - COLO1'!$B:CY,102,FALSE),"N/A")</f>
        <v>1</v>
      </c>
      <c r="CK56" s="84">
        <f>IFERROR(VLOOKUP($B56,'LOD 400 - COLO1'!$B:DB,105,FALSE),"N/A")</f>
        <v>1</v>
      </c>
      <c r="CL56" s="84">
        <f>IFERROR(VLOOKUP($B56,'LOD 400 - COLO1'!$B:DE,108,FALSE),"N/A")</f>
        <v>1</v>
      </c>
      <c r="CM56" s="84">
        <f>IFERROR(VLOOKUP($B56,'LOD 400 - COLO1'!$B:DH,111,FALSE),"N/A")</f>
        <v>1</v>
      </c>
      <c r="CN56" s="84">
        <f>IFERROR(VLOOKUP($B56,'LOD 400 - COLO1'!$B:DK,114,FALSE),"N/A")</f>
        <v>1</v>
      </c>
      <c r="CO56" s="84">
        <f>IFERROR(VLOOKUP($B56,'LOD 400 - COLO1'!$B:DN,117,FALSE),"N/A")</f>
        <v>1</v>
      </c>
      <c r="CP56" s="86">
        <f>IFERROR(__xludf.DUMMYFUNCTION("IFERROR(
  MAX(FILTER(BH56:CO56, ISNUMBER(BH56:CO56))),
  CO56
)"),1.0)</f>
        <v>1</v>
      </c>
      <c r="CQ56" s="89">
        <f>IFERROR(VLOOKUP($B56,'LOD 400 - COLO2'!B:S,18,FALSE),"N/A")</f>
        <v>0.01</v>
      </c>
      <c r="CR56" s="79">
        <f>IFERROR(VLOOKUP($B56,'LOD 400 - COLO2'!B:V,21,FALSE),"N/A")</f>
        <v>0.07</v>
      </c>
      <c r="CS56" s="79">
        <f>IFERROR(VLOOKUP($B56,'LOD 400 - COLO2'!$B:Y,24,FALSE),"N/A")</f>
        <v>0.82</v>
      </c>
      <c r="CT56" s="80" t="str">
        <f>IFERROR(VLOOKUP($B56,'LOD 400 - COLO2'!$B:DQ,27,FALSE),"N/A")</f>
        <v>NEXT ROUND</v>
      </c>
      <c r="CU56" s="90">
        <f>IFERROR(VLOOKUP($B56,'LOD 400 - COLO2'!$B:AE,30,FALSE),"N/A")</f>
        <v>0.91</v>
      </c>
      <c r="CV56" s="81">
        <f>IFERROR(VLOOKUP($B56,'LOD 400 - COLO2'!$B:AH,33,FALSE),"N/A")</f>
        <v>1</v>
      </c>
      <c r="CW56" s="90">
        <f>IFERROR(VLOOKUP($B56,'LOD 400 - COLO2'!$B:AK,36,FALSE),"N/A")</f>
        <v>1</v>
      </c>
      <c r="CX56" s="85">
        <f>IFERROR(VLOOKUP($B56,'LOD 400 - COLO2'!$B:AN,39,FALSE),"N/A")</f>
        <v>1</v>
      </c>
      <c r="CY56" s="88">
        <f>IFERROR(VLOOKUP($B56,'LOD 400 - COLO2'!$B:AQ,42,FALSE),"N/A")</f>
        <v>1</v>
      </c>
      <c r="CZ56" s="84">
        <f>IFERROR(VLOOKUP($B56,'LOD 400 - COLO2'!$B:AT,45,FALSE),"N/A")</f>
        <v>1</v>
      </c>
      <c r="DA56" s="85">
        <f>IFERROR(VLOOKUP($B56,'LOD 400 - COLO2'!$B:AW,48,FALSE),"N/A")</f>
        <v>1</v>
      </c>
      <c r="DB56" s="84">
        <f>IFERROR(VLOOKUP($B56,'LOD 400 - COLO2'!$B:AZ,51,FALSE),"N/A")</f>
        <v>1</v>
      </c>
      <c r="DC56" s="84">
        <f>IFERROR(VLOOKUP($B56,'LOD 400 - COLO2'!$B:BC,54,FALSE),"N/A")</f>
        <v>1</v>
      </c>
      <c r="DD56" s="84">
        <f>IFERROR(VLOOKUP($B56,'LOD 400 - COLO2'!$B:BF,57,FALSE),"N/A")</f>
        <v>1</v>
      </c>
      <c r="DE56" s="84">
        <f>IFERROR(VLOOKUP($B56,'LOD 400 - COLO2'!$B:BI,60,FALSE),"N/A")</f>
        <v>1</v>
      </c>
      <c r="DF56" s="84">
        <f>IFERROR(VLOOKUP($B56,'LOD 400 - COLO2'!$B:BL,63,FALSE),"N/A")</f>
        <v>1</v>
      </c>
      <c r="DG56" s="84">
        <f>IFERROR(VLOOKUP($B56,'LOD 400 - COLO2'!$B:BO,66,FALSE),"N/A")</f>
        <v>1</v>
      </c>
      <c r="DH56" s="84">
        <f>IFERROR(VLOOKUP($B56,'LOD 400 - COLO2'!$B:BR,69,FALSE),"N/A")</f>
        <v>1</v>
      </c>
      <c r="DI56" s="84">
        <f>IFERROR(VLOOKUP($B56,'LOD 400 - COLO2'!$B:BU,72,FALSE),"N/A")</f>
        <v>1</v>
      </c>
      <c r="DJ56" s="84">
        <f>IFERROR(VLOOKUP($B56,'LOD 400 - COLO2'!$B:BX,75,FALSE),"N/A")</f>
        <v>1</v>
      </c>
      <c r="DK56" s="84">
        <f>IFERROR(VLOOKUP($B56,'LOD 400 - COLO2'!$B:CA,78,FALSE),"N/A")</f>
        <v>1</v>
      </c>
      <c r="DL56" s="84">
        <f>IFERROR(VLOOKUP($B56,'LOD 400 - COLO2'!$B:CD,81,FALSE),"N/A")</f>
        <v>1</v>
      </c>
      <c r="DM56" s="85">
        <f>IFERROR(VLOOKUP($B56,'LOD 400 - COLO2'!$B:CG,84,FALSE),"N/A")</f>
        <v>1</v>
      </c>
      <c r="DN56" s="84">
        <f>IFERROR(VLOOKUP($B56,'LOD 400 - COLO2'!$B:CJ,87,FALSE),"N/A")</f>
        <v>1</v>
      </c>
      <c r="DO56" s="85">
        <f>IFERROR(VLOOKUP($B56,'LOD 400 - COLO2'!$B:CM,90,FALSE),"N/A")</f>
        <v>1</v>
      </c>
      <c r="DP56" s="84">
        <f>IFERROR(VLOOKUP($B56,'LOD 400 - COLO2'!$B:CP,93,FALSE),"N/A")</f>
        <v>1</v>
      </c>
      <c r="DQ56" s="84">
        <f>IFERROR(VLOOKUP($B56,'LOD 400 - COLO2'!$B:CS,96,FALSE),"N/A")</f>
        <v>1</v>
      </c>
      <c r="DR56" s="84">
        <f>IFERROR(VLOOKUP($B56,'LOD 400 - COLO2'!$B:CV,99,FALSE),"N/A")</f>
        <v>1</v>
      </c>
      <c r="DS56" s="84">
        <f>IFERROR(VLOOKUP($B56,'LOD 400 - COLO2'!$B:CY,102,FALSE),"N/A")</f>
        <v>1</v>
      </c>
      <c r="DT56" s="84">
        <f>IFERROR(VLOOKUP($B56,'LOD 400 - COLO2'!$B:DB,105,FALSE),"N/A")</f>
        <v>1</v>
      </c>
      <c r="DU56" s="84">
        <f>IFERROR(VLOOKUP($B56,'LOD 400 - COLO2'!$B:DE,108,FALSE),"N/A")</f>
        <v>1</v>
      </c>
      <c r="DV56" s="84">
        <f>IFERROR(VLOOKUP($B56,'LOD 400 - COLO2'!$B:DH,111,FALSE),"N/A")</f>
        <v>1</v>
      </c>
      <c r="DW56" s="84">
        <f>IFERROR(VLOOKUP($B56,'LOD 400 - COLO2'!$B:DK,114,FALSE),"N/A")</f>
        <v>1</v>
      </c>
      <c r="DX56" s="84">
        <f>IFERROR(VLOOKUP($B56,'LOD 400 - COLO2'!$B:DN,117,FALSE),"N/A")</f>
        <v>1</v>
      </c>
      <c r="DY56" s="91">
        <f>IFERROR(__xludf.DUMMYFUNCTION("IFERROR(
  MAX(FILTER(CQ56:DW56, ISNUMBER(CQ56:DW56))),
  DW56
)"),1.0)</f>
        <v>1</v>
      </c>
      <c r="DZ56" s="92">
        <f>IFERROR(VLOOKUP($B56,'LOD 400 - COLO3'!B:S,18,FALSE),"N/A")</f>
        <v>0</v>
      </c>
      <c r="EA56" s="84">
        <f>IFERROR(VLOOKUP($B56,'LOD 400 - COLO3'!B:V,21,FALSE),"N/A")</f>
        <v>1</v>
      </c>
      <c r="EB56" s="84">
        <f>IFERROR(VLOOKUP($B56,'LOD 400 - COLO3'!B:Y,24,FALSE),"N/A")</f>
        <v>1</v>
      </c>
      <c r="EC56" s="84">
        <f>IFERROR(VLOOKUP($B56,'LOD 400 - COLO3'!B:AB,27,FALSE),"N/A")</f>
        <v>1</v>
      </c>
      <c r="ED56" s="85">
        <f>IFERROR(VLOOKUP($B56,'LOD 400 - COLO3'!B:AE,30,FALSE),"N/A")</f>
        <v>1</v>
      </c>
      <c r="EE56" s="84">
        <f>IFERROR(VLOOKUP($B56,'LOD 400 - COLO3'!B:AH,33,FALSE),"N/A")</f>
        <v>1</v>
      </c>
      <c r="EF56" s="84">
        <f>IFERROR(VLOOKUP($B56,'LOD 400 - COLO3'!B:AK,36,FALSE),"N/A")</f>
        <v>1</v>
      </c>
      <c r="EG56" s="109">
        <f>IFERROR(VLOOKUP($B56,'LOD 400 - COLO3'!B:AN,39,FALSE),"N/A")</f>
        <v>1</v>
      </c>
      <c r="EH56" s="94">
        <f>IFERROR(VLOOKUP($B56,'LOD 400 - COLO3'!B:AQ,42,FALSE),"N/A")</f>
        <v>1</v>
      </c>
      <c r="EI56" s="94">
        <f>IFERROR(VLOOKUP($B56,'LOD 400 - COLO3'!B:AT,45,FALSE),"N/A")</f>
        <v>1</v>
      </c>
      <c r="EJ56" s="94">
        <f>IFERROR(VLOOKUP($B56,'LOD 400 - COLO3'!B:AW,48,FALSE),"N/A")</f>
        <v>1</v>
      </c>
      <c r="EK56" s="94">
        <f>IFERROR(VLOOKUP($B56,'LOD 400 - COLO3'!B:AZ,51,FALSE),"N/A")</f>
        <v>1</v>
      </c>
      <c r="EL56" s="94">
        <f>IFERROR(VLOOKUP($B56,'LOD 400 - COLO3'!B:BC,54,FALSE),"N/A")</f>
        <v>1</v>
      </c>
      <c r="EM56" s="94">
        <f>IFERROR(VLOOKUP($B56,'LOD 400 - COLO3'!B:BF,57,FALSE),"N/A")</f>
        <v>1</v>
      </c>
      <c r="EN56" s="94">
        <f>IFERROR(VLOOKUP($B56,'LOD 400 - COLO3'!B:BI,60,FALSE),"N/A")</f>
        <v>1</v>
      </c>
      <c r="EO56" s="94">
        <f>IFERROR(VLOOKUP($B56,'LOD 400 - COLO3'!B:BL,63,FALSE),"N/A")</f>
        <v>1</v>
      </c>
      <c r="EP56" s="86">
        <f>IFERROR(__xludf.DUMMYFUNCTION("IFERROR(
  MAX(FILTER(DZ56:EO56, ISNUMBER(DZ56:EO56))),
  EO56
)"),1.0)</f>
        <v>1</v>
      </c>
      <c r="EQ56" s="95">
        <f>IFERROR(VLOOKUP($B56,'LOD 400 - COLO4'!B:S,18,FALSE),"N/A")</f>
        <v>0</v>
      </c>
      <c r="ER56" s="96">
        <f>IFERROR(__xludf.DUMMYFUNCTION("IFERROR(
  MAX(FILTER(EQ56, ISNUMBER(EQ56))),
  EQ56
)"),0.0)</f>
        <v>0</v>
      </c>
      <c r="ES56" s="79" t="str">
        <f>IFERROR(VLOOKUP($B56,'LOD 400 - SITE'!B:S,18,FALSE),"N/A")</f>
        <v>N/A</v>
      </c>
      <c r="ET56" s="80" t="str">
        <f>IFERROR(VLOOKUP($B56,'LOD 400 - SITE'!B:V,21,FALSE),"N/A")</f>
        <v>N/A</v>
      </c>
      <c r="EU56" s="97" t="str">
        <f>IFERROR(VLOOKUP($B56,'LOD 400 - SITE'!$B:Y,24,FALSE),"N/A")</f>
        <v>N/A</v>
      </c>
      <c r="EV56" s="80" t="str">
        <f>IFERROR(VLOOKUP($B56,'LOD 400 - SITE'!$B:AB,27,FALSE),"N/A")</f>
        <v>N/A</v>
      </c>
      <c r="EW56" s="81" t="str">
        <f>IFERROR(VLOOKUP($B56,'LOD 400 - SITE'!$B:AE,30,FALSE),"N/A")</f>
        <v>N/A</v>
      </c>
      <c r="EX56" s="87" t="str">
        <f>IFERROR(VLOOKUP($B56,'LOD 400 - SITE'!$B:AH,33,FALSE),"N/A")</f>
        <v>N/A</v>
      </c>
      <c r="EY56" s="87" t="str">
        <f>IFERROR(VLOOKUP($B56,'LOD 400 - SITE'!$B:AK,36,FALSE),"N/A")</f>
        <v>N/A</v>
      </c>
      <c r="EZ56" s="80" t="str">
        <f>IFERROR(VLOOKUP($B56,'LOD 400 - SITE'!$B:AN,39,FALSE),"N/A")</f>
        <v>N/A</v>
      </c>
      <c r="FA56" s="82" t="str">
        <f>IFERROR(VLOOKUP($B56,'LOD 400 - SITE'!$B:AQ,42,FALSE),"N/A")</f>
        <v>N/A</v>
      </c>
      <c r="FB56" s="88" t="str">
        <f>IFERROR(VLOOKUP($B56,'LOD 400 - SITE'!$B:AT,45,FALSE),"N/A")</f>
        <v>N/A</v>
      </c>
      <c r="FC56" s="84" t="str">
        <f>IFERROR(VLOOKUP($B56,'LOD 400 - SITE'!$B:AW,48,FALSE),"N/A")</f>
        <v>N/A</v>
      </c>
      <c r="FD56" s="84" t="str">
        <f>IFERROR(VLOOKUP($B56,'LOD 400 - SITE'!$B:AZ,51,FALSE),"N/A")</f>
        <v>N/A</v>
      </c>
      <c r="FE56" s="84" t="str">
        <f>IFERROR(VLOOKUP($B56,'LOD 400 - SITE'!$B:BC,54,FALSE),"N/A")</f>
        <v>N/A</v>
      </c>
      <c r="FF56" s="84" t="str">
        <f>IFERROR(VLOOKUP($B56,'LOD 400 - SITE'!$B:BF,57,FALSE),"N/A")</f>
        <v>N/A</v>
      </c>
      <c r="FG56" s="84" t="str">
        <f>IFERROR(VLOOKUP($B56,'LOD 400 - SITE'!$B:BI,60,FALSE),"N/A")</f>
        <v>N/A</v>
      </c>
      <c r="FH56" s="84" t="str">
        <f>IFERROR(VLOOKUP($B56,'LOD 400 - SITE'!$B:BL,63,FALSE),"N/A")</f>
        <v>N/A</v>
      </c>
      <c r="FI56" s="84" t="str">
        <f>IFERROR(VLOOKUP($B56,'LOD 400 - SITE'!$B:BO,66,FALSE),"N/A")</f>
        <v>N/A</v>
      </c>
      <c r="FJ56" s="84" t="str">
        <f>IFERROR(VLOOKUP($B56,'LOD 400 - SITE'!$B:BR,69,FALSE),"N/A")</f>
        <v>N/A</v>
      </c>
      <c r="FK56" s="84" t="str">
        <f>IFERROR(VLOOKUP($B56,'LOD 400 - SITE'!$B:BU,72,FALSE),"N/A")</f>
        <v>N/A</v>
      </c>
      <c r="FL56" s="84" t="str">
        <f>IFERROR(VLOOKUP($B56,'LOD 400 - SITE'!$B:BX,75,FALSE),"N/A")</f>
        <v>N/A</v>
      </c>
      <c r="FM56" s="84" t="str">
        <f>IFERROR(VLOOKUP($B56,'LOD 400 - SITE'!$B:CA,78,FALSE),"N/A")</f>
        <v>N/A</v>
      </c>
      <c r="FN56" s="85" t="str">
        <f>IFERROR(VLOOKUP($B56,'LOD 400 - SITE'!$B:CD,81,FALSE),"N/A")</f>
        <v>N/A</v>
      </c>
      <c r="FO56" s="84" t="str">
        <f>IFERROR(VLOOKUP($B56,'LOD 400 - SITE'!$B:CG,84,FALSE),"N/A")</f>
        <v>N/A</v>
      </c>
      <c r="FP56" s="85" t="str">
        <f>IFERROR(VLOOKUP($B56,'LOD 400 - SITE'!$B:CJ,87,FALSE),"N/A")</f>
        <v>N/A</v>
      </c>
      <c r="FQ56" s="84" t="str">
        <f>IFERROR(VLOOKUP($B56,'LOD 400 - SITE'!$B:CM,90,FALSE),"N/A")</f>
        <v>N/A</v>
      </c>
      <c r="FR56" s="84" t="str">
        <f>IFERROR(VLOOKUP($B56,'LOD 400 - SITE'!$B:CP,93,FALSE),"N/A")</f>
        <v>N/A</v>
      </c>
      <c r="FS56" s="84" t="str">
        <f>IFERROR(VLOOKUP($B56,'LOD 400 - SITE'!$B:CS,96,FALSE),"N/A")</f>
        <v>N/A</v>
      </c>
      <c r="FT56" s="84" t="str">
        <f>IFERROR(VLOOKUP($B56,'LOD 400 - SITE'!$B:CV,99,FALSE),"N/A")</f>
        <v>N/A</v>
      </c>
      <c r="FU56" s="84" t="str">
        <f>IFERROR(VLOOKUP($B56,'LOD 400 - SITE'!$B:CY,102,FALSE),"N/A")</f>
        <v>N/A</v>
      </c>
      <c r="FV56" s="84" t="str">
        <f>IFERROR(VLOOKUP($B56,'LOD 400 - SITE'!$B:DB,105,FALSE),"N/A")</f>
        <v>N/A</v>
      </c>
      <c r="FW56" s="84" t="str">
        <f>IFERROR(VLOOKUP($B56,'LOD 400 - SITE'!$B:DE,108,FALSE),"N/A")</f>
        <v>N/A</v>
      </c>
      <c r="FX56" s="84" t="str">
        <f>IFERROR(VLOOKUP($B56,'LOD 400 - SITE'!$B:DH,111,FALSE),"N/A")</f>
        <v>N/A</v>
      </c>
      <c r="FY56" s="84" t="str">
        <f>IFERROR(VLOOKUP($B56,'LOD 400 - SITE'!$B:DK,114,FALSE),"N/A")</f>
        <v>N/A</v>
      </c>
      <c r="FZ56" s="96" t="str">
        <f>IFERROR(__xludf.DUMMYFUNCTION("IFERROR(
  MAX(FILTER(ES56:FY56, ISNUMBER(ES56:FY56))),
  FY56
)"),"N/A")</f>
        <v>N/A</v>
      </c>
      <c r="GA56" s="80" t="str">
        <f>IFERROR(VLOOKUP($B56,'LOD 400 - UTLS'!B:S,18,FALSE),"N/A")</f>
        <v>N/A</v>
      </c>
      <c r="GB56" s="98" t="str">
        <f>IFERROR(VLOOKUP($B56,'LOD 400 - UTLS'!B:V,21,FALSE),"N/A")</f>
        <v>N/A</v>
      </c>
      <c r="GC56" s="81" t="str">
        <f>IFERROR(VLOOKUP($B56,'LOD 400 - UTLS'!B:Y,24,FALSE),"N/A")</f>
        <v>N/A</v>
      </c>
      <c r="GD56" s="87" t="str">
        <f>IFERROR(VLOOKUP($B56,'LOD 400 - UTLS'!$B:AB,27,FALSE),"N/A")</f>
        <v>N/A</v>
      </c>
      <c r="GE56" s="80" t="str">
        <f>IFERROR(VLOOKUP($B56,'LOD 400 - UTLS'!$B:AE,30,FALSE),"N/A")</f>
        <v>N/A</v>
      </c>
      <c r="GF56" s="82" t="str">
        <f>IFERROR(VLOOKUP($B56,'LOD 400 - UTLS'!$B:AH,33,FALSE),"N/A")</f>
        <v>N/A</v>
      </c>
      <c r="GG56" s="88" t="str">
        <f>IFERROR(VLOOKUP($B56,'LOD 400 - UTLS'!$B:AK,36,FALSE),"N/A")</f>
        <v>N/A</v>
      </c>
      <c r="GH56" s="84" t="str">
        <f>IFERROR(VLOOKUP($B56,'LOD 400 - UTLS'!$B:AN,39,FALSE),"N/A")</f>
        <v>N/A</v>
      </c>
      <c r="GI56" s="84" t="str">
        <f>IFERROR(VLOOKUP($B56,'LOD 400 - UTLS'!$B:AQ,42,FALSE),"N/A")</f>
        <v>N/A</v>
      </c>
      <c r="GJ56" s="84" t="str">
        <f>IFERROR(VLOOKUP($B56,'LOD 400 - UTLS'!$B:AT,45,FALSE),"N/A")</f>
        <v>N/A</v>
      </c>
      <c r="GK56" s="84" t="str">
        <f>IFERROR(VLOOKUP($B56,'LOD 400 - UTLS'!$B:AW,48,FALSE),"N/A")</f>
        <v>N/A</v>
      </c>
      <c r="GL56" s="84" t="str">
        <f>IFERROR(VLOOKUP($B56,'LOD 400 - UTLS'!$B:AZ,51,FALSE),"N/A")</f>
        <v>N/A</v>
      </c>
      <c r="GM56" s="84" t="str">
        <f>IFERROR(VLOOKUP($B56,'LOD 400 - UTLS'!$B:BC,54,FALSE),"N/A")</f>
        <v>N/A</v>
      </c>
      <c r="GN56" s="84" t="str">
        <f>IFERROR(VLOOKUP($B56,'LOD 400 - UTLS'!$B:BF,57,FALSE),"N/A")</f>
        <v>N/A</v>
      </c>
      <c r="GO56" s="84" t="str">
        <f>IFERROR(VLOOKUP($B56,'LOD 400 - UTLS'!$B:BI,60,FALSE),"N/A")</f>
        <v>N/A</v>
      </c>
      <c r="GP56" s="84" t="str">
        <f>IFERROR(VLOOKUP($B56,'LOD 400 - UTLS'!$B:BL,63,FALSE),"N/A")</f>
        <v>N/A</v>
      </c>
      <c r="GQ56" s="84" t="str">
        <f>IFERROR(VLOOKUP($B56,'LOD 400 - UTLS'!$B:BO,66,FALSE),"N/A")</f>
        <v>N/A</v>
      </c>
      <c r="GR56" s="84" t="str">
        <f>IFERROR(VLOOKUP($B56,'LOD 400 - UTLS'!$B:BR,69,FALSE),"N/A")</f>
        <v>N/A</v>
      </c>
      <c r="GS56" s="85" t="str">
        <f>IFERROR(VLOOKUP($B56,'LOD 400 - UTLS'!$B:BU,72,FALSE),"N/A")</f>
        <v>N/A</v>
      </c>
      <c r="GT56" s="84" t="str">
        <f>IFERROR(VLOOKUP($B56,'LOD 400 - UTLS'!$B:BX,75,FALSE),"N/A")</f>
        <v>N/A</v>
      </c>
      <c r="GU56" s="85" t="str">
        <f>IFERROR(VLOOKUP($B56,'LOD 400 - UTLS'!$B:CA,78,FALSE),"N/A")</f>
        <v>N/A</v>
      </c>
      <c r="GV56" s="84" t="str">
        <f>IFERROR(VLOOKUP($B56,'LOD 400 - UTLS'!$B:CD,81,FALSE),"N/A")</f>
        <v>N/A</v>
      </c>
      <c r="GW56" s="84" t="str">
        <f>IFERROR(VLOOKUP($B56,'LOD 400 - UTLS'!$B:CG,84,FALSE),"N/A")</f>
        <v>N/A</v>
      </c>
      <c r="GX56" s="84" t="str">
        <f>IFERROR(VLOOKUP($B56,'LOD 400 - UTLS'!$B:CJ,87,FALSE),"N/A")</f>
        <v>N/A</v>
      </c>
      <c r="GY56" s="84" t="str">
        <f>IFERROR(VLOOKUP($B56,'LOD 400 - UTLS'!$B:CM,90,FALSE),"N/A")</f>
        <v>N/A</v>
      </c>
      <c r="GZ56" s="84" t="str">
        <f>IFERROR(VLOOKUP($B56,'LOD 400 - UTLS'!$B:CP,93,FALSE),"N/A")</f>
        <v>N/A</v>
      </c>
      <c r="HA56" s="84" t="str">
        <f>IFERROR(VLOOKUP($B56,'LOD 400 - UTLS'!$B:CS,96,FALSE),"N/A")</f>
        <v>N/A</v>
      </c>
      <c r="HB56" s="84" t="str">
        <f>IFERROR(VLOOKUP($B56,'LOD 400 - UTLS'!$B:CV,99,FALSE),"N/A")</f>
        <v>N/A</v>
      </c>
      <c r="HC56" s="84" t="str">
        <f>IFERROR(VLOOKUP($B56,'LOD 400 - UTLS'!$B:CY,102,FALSE),"N/A")</f>
        <v>N/A</v>
      </c>
      <c r="HD56" s="84" t="str">
        <f>IFERROR(VLOOKUP($B56,'LOD 400 - UTLS'!$B:DB,105,FALSE),"N/A")</f>
        <v>N/A</v>
      </c>
      <c r="HE56" s="96" t="str">
        <f>IFERROR(__xludf.DUMMYFUNCTION("IFERROR(
  MAX(FILTER(GA56:HD56, ISNUMBER(GA56:HD56))),
  HD56
)"),"N/A")</f>
        <v>N/A</v>
      </c>
      <c r="HF56" s="99"/>
      <c r="HG56" s="99"/>
      <c r="HH56" s="99"/>
      <c r="HI56" s="99"/>
      <c r="HJ56" s="99"/>
      <c r="HK56" s="99"/>
    </row>
    <row r="57" ht="15.0" customHeight="1" outlineLevel="1">
      <c r="A57" s="53">
        <v>61.0</v>
      </c>
      <c r="B57" s="100" t="s">
        <v>199</v>
      </c>
      <c r="C57" s="100" t="s">
        <v>199</v>
      </c>
      <c r="D57" s="186" t="s">
        <v>7</v>
      </c>
      <c r="E57" s="123" t="s">
        <v>200</v>
      </c>
      <c r="F57" s="104"/>
      <c r="G57" s="123" t="s">
        <v>200</v>
      </c>
      <c r="H57" s="104"/>
      <c r="I57" s="187" t="str">
        <f>IFERROR(VLOOKUP($C54:C108,'R22 RELATÓRIO ACC'!B:F,5,FALSE),"NOT PUBLISHED")</f>
        <v>V2</v>
      </c>
      <c r="J57" s="69" t="str">
        <f>IFERROR(VLOOKUP($C54:C108,'R22 RELATÓRIO ACC'!B:P,15,FALSE),"NOT PUBLISHED")</f>
        <v>07/05/2026</v>
      </c>
      <c r="K57" s="70" t="str">
        <f>IFERROR(VLOOKUP($B54:B108,'RELATÓRIO ACC'!B:F,5,FALSE),"NOT PUBLISHED")</f>
        <v>V5</v>
      </c>
      <c r="L57" s="71" t="str">
        <f>IFERROR(VLOOKUP($B54:B108,'RELATÓRIO ACC'!B:P,15,FALSE),"NOT PUBLISHED")</f>
        <v>08/07/2026</v>
      </c>
      <c r="M57" s="72" t="str">
        <f>IF(OR($D57="UTLS",$D57="GUAR",$D57="STIR",$D57="PUMP",$D57="SITE"),
   VLOOKUP($B57,'LOD 400 - SITE'!B:M,12,FALSE),
   VLOOKUP($B57,'LOD 400 - ADMN'!B:M,12,FALSE)
)</f>
        <v>V2</v>
      </c>
      <c r="N57" s="105">
        <f>IF(OR($D57="UTLS",$D57="GUAR",$D57="STIR",$D57="PUMP",$D57="SITE"),
   VLOOKUP($B57,'LOD 400 - SITE'!B:N,13,FALSE),
   VLOOKUP($B57,'LOD 400 - ADMN'!B:N,13,FALSE)
)</f>
        <v>46189</v>
      </c>
      <c r="O57" s="106" t="str">
        <f>IF(OR($D57="UTLS",$D57="GUAR",$D57="STIR",$D57="PUMP",$D57="SITE"),
   VLOOKUP($B57,'LOD 400 - SITE'!B:O,14,FALSE),
   VLOOKUP($B57,'LOD 400 - ADMN'!B:O,14,FALSE)
)</f>
        <v>R24</v>
      </c>
      <c r="P57" s="107" t="str">
        <f>IF(OR($D57="C345",$D57="C12A",$D57="DATA"),
   VLOOKUP($B57,'LOD 400 - COLO3'!B:M,12,FALSE),"N/A")</f>
        <v>N/A</v>
      </c>
      <c r="Q57" s="108" t="str">
        <f>IF(OR($D57="C345",$D57="C12A",$D57="DATA"),
   VLOOKUP($B57,'LOD 400 - COLO3'!B:N,13,FALSE),"N/A")</f>
        <v>N/A</v>
      </c>
      <c r="R57" s="75" t="str">
        <f>IF(OR($D57="C345",$D57="C12A",$D57="DATA"),
   VLOOKUP($B57,'LOD 400 - COLO3'!B:O,14,FALSE),"N/A")</f>
        <v>N/A</v>
      </c>
      <c r="S57" s="76" t="str">
        <f>IF(OR($D57="C345",$D57="C12A",$D57="DATA"),
   VLOOKUP($B57,'LOD 400 - COLO4'!B:N,12,FALSE),"N/A")</f>
        <v>N/A</v>
      </c>
      <c r="T57" s="76" t="str">
        <f>IF(OR($D57="C345",$D57="C12A",$D57="DATA"),
   VLOOKUP($B57,'LOD 400 - COLO4'!B:N,13,FALSE),"N/A")</f>
        <v>N/A</v>
      </c>
      <c r="U57" s="76" t="str">
        <f>IF(OR($D57="C345",$D57="C12A",$D57="DATA"),
   VLOOKUP($B57,'LOD 400 - COLO4'!B:N,13,FALSE),"N/A")</f>
        <v>N/A</v>
      </c>
      <c r="V57" s="77" t="str">
        <f>IF(OR($D57="UTLS",$D57="GUAR",$D57="STIR",$D57="PUMP",$D57="SITE"),
   VLOOKUP($B57,'LOD 400 - UTLS'!B:M,12,FALSE),"N/A")</f>
        <v>N/A</v>
      </c>
      <c r="W57" s="78" t="str">
        <f>IF(OR($D57="UTLS",$D57="GUAR",$D57="STIR",$D57="PUMP",$D57="SITE"),
   VLOOKUP($B57,'LOD 400 - UTLS'!B:N,13,FALSE),"N/A")</f>
        <v>N/A</v>
      </c>
      <c r="X57" s="108" t="str">
        <f>IF(OR($D57="UTLS",$D57="GUAR",$D57="STIR",$D57="PUMP",$D57="SITE"),
   VLOOKUP($B57,'LOD 400 - UTLS'!B:O,14,FALSE),"N/A")</f>
        <v>N/A</v>
      </c>
      <c r="Y57" s="79" t="str">
        <f>IFERROR(VLOOKUP($B57,'LOD 400 - ADMN'!B:S,18,FALSE),"N/A")</f>
        <v>N/A</v>
      </c>
      <c r="Z57" s="79" t="str">
        <f>IFERROR(VLOOKUP($B57,'LOD 400 - ADMN'!B:V,21,FALSE),"N/A")</f>
        <v>N/A</v>
      </c>
      <c r="AA57" s="79" t="str">
        <f>IFERROR(VLOOKUP($B57,'LOD 400 - ADMN'!$B:Y,24,FALSE),"N/A")</f>
        <v>N/A</v>
      </c>
      <c r="AB57" s="80" t="str">
        <f>IFERROR(VLOOKUP($B57,'LOD 400 - ADMN'!$B:AB,27,FALSE),"N/A")</f>
        <v>N/A</v>
      </c>
      <c r="AC57" s="81" t="str">
        <f>IFERROR(VLOOKUP($B57,'LOD 400 - ADMN'!$B:AE,30,FALSE),"N/A")</f>
        <v>N/A</v>
      </c>
      <c r="AD57" s="81" t="str">
        <f>IFERROR(VLOOKUP($B57,'LOD 400 - ADMN'!$B:AH,33,FALSE),"N/A")</f>
        <v>N/A</v>
      </c>
      <c r="AE57" s="80" t="str">
        <f>IFERROR(VLOOKUP($B57,'LOD 400 - ADMN'!$B:AK,36,FALSE),"N/A")</f>
        <v>N/A</v>
      </c>
      <c r="AF57" s="82" t="str">
        <f>IFERROR(VLOOKUP($B57,'LOD 400 - ADMN'!$B:AN,39,FALSE),"N/A")</f>
        <v>N/A</v>
      </c>
      <c r="AG57" s="83" t="str">
        <f>IFERROR(VLOOKUP($B57,'LOD 400 - ADMN'!$B:AQ,42,FALSE),"N/A")</f>
        <v>N/A</v>
      </c>
      <c r="AH57" s="84" t="str">
        <f>IFERROR(VLOOKUP($B57,'LOD 400 - ADMN'!$B:AT,45,FALSE),"N/A")</f>
        <v>N/A</v>
      </c>
      <c r="AI57" s="85" t="str">
        <f>IFERROR(VLOOKUP($B57,'LOD 400 - ADMN'!$B:AW,48,FALSE),"N/A")</f>
        <v>N/A</v>
      </c>
      <c r="AJ57" s="85" t="str">
        <f>IFERROR(VLOOKUP($B57,'LOD 400 - ADMN'!$B:AZ,51,FALSE),"N/A")</f>
        <v>N/A</v>
      </c>
      <c r="AK57" s="84" t="str">
        <f>IFERROR(VLOOKUP($B57,'LOD 400 - ADMN'!$B:BC,54,FALSE),"N/A")</f>
        <v>N/A</v>
      </c>
      <c r="AL57" s="84" t="str">
        <f>IFERROR(VLOOKUP($B57,'LOD 400 - ADMN'!$B:BF,57,FALSE),"N/A")</f>
        <v>N/A</v>
      </c>
      <c r="AM57" s="84" t="str">
        <f>IFERROR(VLOOKUP($B57,'LOD 400 - ADMN'!$B:BI,60,FALSE),"N/A")</f>
        <v>N/A</v>
      </c>
      <c r="AN57" s="84" t="str">
        <f>IFERROR(VLOOKUP($B57,'LOD 400 - ADMN'!$B:BL,63,FALSE),"N/A")</f>
        <v>N/A</v>
      </c>
      <c r="AO57" s="84" t="str">
        <f>IFERROR(VLOOKUP($B57,'LOD 400 - ADMN'!$B:BO,66,FALSE),"N/A")</f>
        <v>N/A</v>
      </c>
      <c r="AP57" s="84" t="str">
        <f>IFERROR(VLOOKUP($B57,'LOD 400 - ADMN'!$B:BR,69,FALSE),"N/A")</f>
        <v>N/A</v>
      </c>
      <c r="AQ57" s="84" t="str">
        <f>IFERROR(VLOOKUP($B57,'LOD 400 - ADMN'!$B:BU,72,FALSE),"N/A")</f>
        <v>N/A</v>
      </c>
      <c r="AR57" s="84" t="str">
        <f>IFERROR(VLOOKUP($B57,'LOD 400 - ADMN'!$B:BX,75,FALSE),"N/A")</f>
        <v>N/A</v>
      </c>
      <c r="AS57" s="84" t="str">
        <f>IFERROR(VLOOKUP($B57,'LOD 400 - ADMN'!$B:CA,78,FALSE),"N/A")</f>
        <v>N/A</v>
      </c>
      <c r="AT57" s="84" t="str">
        <f>IFERROR(VLOOKUP($B57,'LOD 400 - ADMN'!$B:CD,81,FALSE),"N/A")</f>
        <v>N/A</v>
      </c>
      <c r="AU57" s="85" t="str">
        <f>IFERROR(VLOOKUP($B57,'LOD 400 - ADMN'!$B:CG,84,FALSE),"N/A")</f>
        <v>N/A</v>
      </c>
      <c r="AV57" s="84" t="str">
        <f>IFERROR(VLOOKUP($B57,'LOD 400 - ADMN'!$B:CJ,87,FALSE),"N/A")</f>
        <v>N/A</v>
      </c>
      <c r="AW57" s="85" t="str">
        <f>IFERROR(VLOOKUP($B57,'LOD 400 - ADMN'!$B:CM,90,FALSE),"N/A")</f>
        <v>N/A</v>
      </c>
      <c r="AX57" s="84" t="str">
        <f>IFERROR(VLOOKUP($B57,'LOD 400 - ADMN'!$B:CP,93,FALSE),"N/A")</f>
        <v>N/A</v>
      </c>
      <c r="AY57" s="84" t="str">
        <f>IFERROR(VLOOKUP($B57,'LOD 400 - ADMN'!$B:CS,96,FALSE),"N/A")</f>
        <v>N/A</v>
      </c>
      <c r="AZ57" s="84" t="str">
        <f>IFERROR(VLOOKUP($B57,'LOD 400 - ADMN'!$B:CV,99,FALSE),"N/A")</f>
        <v>N/A</v>
      </c>
      <c r="BA57" s="84" t="str">
        <f>IFERROR(VLOOKUP($B57,'LOD 400 - ADMN'!$B:CY,102,FALSE),"N/A")</f>
        <v>N/A</v>
      </c>
      <c r="BB57" s="84" t="str">
        <f>IFERROR(VLOOKUP($B57,'LOD 400 - ADMN'!$B:DB,105,FALSE),"N/A")</f>
        <v>N/A</v>
      </c>
      <c r="BC57" s="84" t="str">
        <f>IFERROR(VLOOKUP($B57,'LOD 400 - ADMN'!$B:DE,108,FALSE),"N/A")</f>
        <v>N/A</v>
      </c>
      <c r="BD57" s="84" t="str">
        <f>IFERROR(VLOOKUP($B57,'LOD 400 - ADMN'!$B:DH,111,FALSE),"N/A")</f>
        <v>N/A</v>
      </c>
      <c r="BE57" s="84" t="str">
        <f>IFERROR(VLOOKUP($B57,'LOD 400 - ADMN'!$B:DK,114,FALSE),"N/A")</f>
        <v>N/A</v>
      </c>
      <c r="BF57" s="84" t="str">
        <f>IFERROR(VLOOKUP($B57,'LOD 400 - ADMN'!$B:DN,117,FALSE),"N/A")</f>
        <v>N/A</v>
      </c>
      <c r="BG57" s="86" t="str">
        <f>IFERROR(__xludf.DUMMYFUNCTION("IFERROR(
  MAX(FILTER(Y57:BF57, ISNUMBER(Y57:BF57))),
  BF57
)"),"N/A")</f>
        <v>N/A</v>
      </c>
      <c r="BH57" s="79" t="str">
        <f>IFERROR(VLOOKUP($B57,'LOD 400 - COLO1'!B:S,18,FALSE),"N/A")</f>
        <v>N/A</v>
      </c>
      <c r="BI57" s="79" t="str">
        <f>IFERROR(VLOOKUP($B57,'LOD 400 - COLO1'!B:V,21,FALSE),"N/A")</f>
        <v>N/A</v>
      </c>
      <c r="BJ57" s="79" t="str">
        <f>IFERROR(VLOOKUP($B57,'LOD 400 - COLO1'!$B:Y,24,FALSE),"N/A")</f>
        <v>N/A</v>
      </c>
      <c r="BK57" s="87" t="str">
        <f>IFERROR(VLOOKUP($B57,'LOD 400 - COLO1'!$B:AB,27,FALSE),"N/A")</f>
        <v>N/A</v>
      </c>
      <c r="BL57" s="80" t="str">
        <f>IFERROR(VLOOKUP($B57,'LOD 400 - COLO1'!$B:AE,30,FALSE),"N/A")</f>
        <v>N/A</v>
      </c>
      <c r="BM57" s="81" t="str">
        <f>IFERROR(VLOOKUP($B57,'LOD 400 - COLO1'!$B:AH,33,FALSE),"N/A")</f>
        <v>N/A</v>
      </c>
      <c r="BN57" s="87" t="str">
        <f>IFERROR(VLOOKUP($B57,'LOD 400 - COLO1'!$B:AK,36,FALSE),"N/A")</f>
        <v>N/A</v>
      </c>
      <c r="BO57" s="83" t="str">
        <f>IFERROR(VLOOKUP($B57,'LOD 400 - COLO1'!$B:AN,39,FALSE),"N/A")</f>
        <v>N/A</v>
      </c>
      <c r="BP57" s="88" t="str">
        <f>IFERROR(VLOOKUP($B57,'LOD 400 - COLO1'!$B:AQ,42,FALSE),"N/A")</f>
        <v>N/A</v>
      </c>
      <c r="BQ57" s="84" t="str">
        <f>IFERROR(VLOOKUP($B57,'LOD 400 - COLO1'!$B:AT,45,FALSE),"N/A")</f>
        <v>N/A</v>
      </c>
      <c r="BR57" s="85" t="str">
        <f>IFERROR(VLOOKUP($B57,'LOD 400 - COLO1'!$B:AW,48,FALSE),"N/A")</f>
        <v>N/A</v>
      </c>
      <c r="BS57" s="84" t="str">
        <f>IFERROR(VLOOKUP($B57,'LOD 400 - COLO1'!$B:AZ,51,FALSE),"N/A")</f>
        <v>N/A</v>
      </c>
      <c r="BT57" s="84" t="str">
        <f>IFERROR(VLOOKUP($B57,'LOD 400 - COLO1'!$B:BC,54,FALSE),"N/A")</f>
        <v>N/A</v>
      </c>
      <c r="BU57" s="84" t="str">
        <f>IFERROR(VLOOKUP($B57,'LOD 400 - COLO1'!$B:BF,57,FALSE),"N/A")</f>
        <v>N/A</v>
      </c>
      <c r="BV57" s="84" t="str">
        <f>IFERROR(VLOOKUP($B57,'LOD 400 - COLO1'!$B:BI,60,FALSE),"N/A")</f>
        <v>N/A</v>
      </c>
      <c r="BW57" s="84" t="str">
        <f>IFERROR(VLOOKUP($B57,'LOD 400 - COLO1'!$B:BL,63,FALSE),"N/A")</f>
        <v>N/A</v>
      </c>
      <c r="BX57" s="84" t="str">
        <f>IFERROR(VLOOKUP($B57,'LOD 400 - COLO1'!$B:BO,66,FALSE),"N/A")</f>
        <v>N/A</v>
      </c>
      <c r="BY57" s="84" t="str">
        <f>IFERROR(VLOOKUP($B57,'LOD 400 - COLO1'!$B:BR,69,FALSE),"N/A")</f>
        <v>N/A</v>
      </c>
      <c r="BZ57" s="84" t="str">
        <f>IFERROR(VLOOKUP($B57,'LOD 400 - COLO1'!$B:BU,72,FALSE),"N/A")</f>
        <v>N/A</v>
      </c>
      <c r="CA57" s="84" t="str">
        <f>IFERROR(VLOOKUP($B57,'LOD 400 - COLO1'!$B:BX,75,FALSE),"N/A")</f>
        <v>N/A</v>
      </c>
      <c r="CB57" s="84" t="str">
        <f>IFERROR(VLOOKUP($B57,'LOD 400 - COLO1'!$B:CA,78,FALSE),"N/A")</f>
        <v>N/A</v>
      </c>
      <c r="CC57" s="84" t="str">
        <f>IFERROR(VLOOKUP($B57,'LOD 400 - COLO1'!$B:CD,81,FALSE),"N/A")</f>
        <v>N/A</v>
      </c>
      <c r="CD57" s="85" t="str">
        <f>IFERROR(VLOOKUP($B57,'LOD 400 - COLO1'!$B:CG,84,FALSE),"N/A")</f>
        <v>N/A</v>
      </c>
      <c r="CE57" s="84" t="str">
        <f>IFERROR(VLOOKUP($B57,'LOD 400 - COLO1'!$B:CJ,87,FALSE),"N/A")</f>
        <v>N/A</v>
      </c>
      <c r="CF57" s="85" t="str">
        <f>IFERROR(VLOOKUP($B57,'LOD 400 - COLO1'!$B:CM,90,FALSE),"N/A")</f>
        <v>N/A</v>
      </c>
      <c r="CG57" s="84" t="str">
        <f>IFERROR(VLOOKUP($B57,'LOD 400 - COLO1'!$B:CP,93,FALSE),"N/A")</f>
        <v>N/A</v>
      </c>
      <c r="CH57" s="84" t="str">
        <f>IFERROR(VLOOKUP($B57,'LOD 400 - COLO1'!$B:CS,96,FALSE),"N/A")</f>
        <v>N/A</v>
      </c>
      <c r="CI57" s="84" t="str">
        <f>IFERROR(VLOOKUP($B57,'LOD 400 - COLO1'!$B:CV,99,FALSE),"N/A")</f>
        <v>N/A</v>
      </c>
      <c r="CJ57" s="84" t="str">
        <f>IFERROR(VLOOKUP($B57,'LOD 400 - COLO1'!$B:CY,102,FALSE),"N/A")</f>
        <v>N/A</v>
      </c>
      <c r="CK57" s="84" t="str">
        <f>IFERROR(VLOOKUP($B57,'LOD 400 - COLO1'!$B:DB,105,FALSE),"N/A")</f>
        <v>N/A</v>
      </c>
      <c r="CL57" s="84" t="str">
        <f>IFERROR(VLOOKUP($B57,'LOD 400 - COLO1'!$B:DE,108,FALSE),"N/A")</f>
        <v>N/A</v>
      </c>
      <c r="CM57" s="84" t="str">
        <f>IFERROR(VLOOKUP($B57,'LOD 400 - COLO1'!$B:DH,111,FALSE),"N/A")</f>
        <v>N/A</v>
      </c>
      <c r="CN57" s="84" t="str">
        <f>IFERROR(VLOOKUP($B57,'LOD 400 - COLO1'!$B:DK,114,FALSE),"N/A")</f>
        <v>N/A</v>
      </c>
      <c r="CO57" s="84" t="str">
        <f>IFERROR(VLOOKUP($B57,'LOD 400 - COLO1'!$B:DN,117,FALSE),"N/A")</f>
        <v>N/A</v>
      </c>
      <c r="CP57" s="86" t="str">
        <f>IFERROR(__xludf.DUMMYFUNCTION("IFERROR(
  MAX(FILTER(BH57:CO57, ISNUMBER(BH57:CO57))),
  CO57
)"),"N/A")</f>
        <v>N/A</v>
      </c>
      <c r="CQ57" s="89" t="str">
        <f>IFERROR(VLOOKUP($B57,'LOD 400 - COLO2'!B:S,18,FALSE),"N/A")</f>
        <v>N/A</v>
      </c>
      <c r="CR57" s="79" t="str">
        <f>IFERROR(VLOOKUP($B57,'LOD 400 - COLO2'!B:V,21,FALSE),"N/A")</f>
        <v>N/A</v>
      </c>
      <c r="CS57" s="79" t="str">
        <f>IFERROR(VLOOKUP($B57,'LOD 400 - COLO2'!$B:Y,24,FALSE),"N/A")</f>
        <v>N/A</v>
      </c>
      <c r="CT57" s="80" t="str">
        <f>IFERROR(VLOOKUP($B57,'LOD 400 - COLO2'!$B:DQ,27,FALSE),"N/A")</f>
        <v>N/A</v>
      </c>
      <c r="CU57" s="90" t="str">
        <f>IFERROR(VLOOKUP($B57,'LOD 400 - COLO2'!$B:AE,30,FALSE),"N/A")</f>
        <v>N/A</v>
      </c>
      <c r="CV57" s="81" t="str">
        <f>IFERROR(VLOOKUP($B57,'LOD 400 - COLO2'!$B:AH,33,FALSE),"N/A")</f>
        <v>N/A</v>
      </c>
      <c r="CW57" s="90" t="str">
        <f>IFERROR(VLOOKUP($B57,'LOD 400 - COLO2'!$B:AK,36,FALSE),"N/A")</f>
        <v>N/A</v>
      </c>
      <c r="CX57" s="85" t="str">
        <f>IFERROR(VLOOKUP($B57,'LOD 400 - COLO2'!$B:AN,39,FALSE),"N/A")</f>
        <v>N/A</v>
      </c>
      <c r="CY57" s="88" t="str">
        <f>IFERROR(VLOOKUP($B57,'LOD 400 - COLO2'!$B:AQ,42,FALSE),"N/A")</f>
        <v>N/A</v>
      </c>
      <c r="CZ57" s="84" t="str">
        <f>IFERROR(VLOOKUP($B57,'LOD 400 - COLO2'!$B:AT,45,FALSE),"N/A")</f>
        <v>N/A</v>
      </c>
      <c r="DA57" s="85" t="str">
        <f>IFERROR(VLOOKUP($B57,'LOD 400 - COLO2'!$B:AW,48,FALSE),"N/A")</f>
        <v>N/A</v>
      </c>
      <c r="DB57" s="84" t="str">
        <f>IFERROR(VLOOKUP($B57,'LOD 400 - COLO2'!$B:AZ,51,FALSE),"N/A")</f>
        <v>N/A</v>
      </c>
      <c r="DC57" s="84" t="str">
        <f>IFERROR(VLOOKUP($B57,'LOD 400 - COLO2'!$B:BC,54,FALSE),"N/A")</f>
        <v>N/A</v>
      </c>
      <c r="DD57" s="84" t="str">
        <f>IFERROR(VLOOKUP($B57,'LOD 400 - COLO2'!$B:BF,57,FALSE),"N/A")</f>
        <v>N/A</v>
      </c>
      <c r="DE57" s="84" t="str">
        <f>IFERROR(VLOOKUP($B57,'LOD 400 - COLO2'!$B:BI,60,FALSE),"N/A")</f>
        <v>N/A</v>
      </c>
      <c r="DF57" s="84" t="str">
        <f>IFERROR(VLOOKUP($B57,'LOD 400 - COLO2'!$B:BL,63,FALSE),"N/A")</f>
        <v>N/A</v>
      </c>
      <c r="DG57" s="84" t="str">
        <f>IFERROR(VLOOKUP($B57,'LOD 400 - COLO2'!$B:BO,66,FALSE),"N/A")</f>
        <v>N/A</v>
      </c>
      <c r="DH57" s="84" t="str">
        <f>IFERROR(VLOOKUP($B57,'LOD 400 - COLO2'!$B:BR,69,FALSE),"N/A")</f>
        <v>N/A</v>
      </c>
      <c r="DI57" s="84" t="str">
        <f>IFERROR(VLOOKUP($B57,'LOD 400 - COLO2'!$B:BU,72,FALSE),"N/A")</f>
        <v>N/A</v>
      </c>
      <c r="DJ57" s="84" t="str">
        <f>IFERROR(VLOOKUP($B57,'LOD 400 - COLO2'!$B:BX,75,FALSE),"N/A")</f>
        <v>N/A</v>
      </c>
      <c r="DK57" s="84" t="str">
        <f>IFERROR(VLOOKUP($B57,'LOD 400 - COLO2'!$B:CA,78,FALSE),"N/A")</f>
        <v>N/A</v>
      </c>
      <c r="DL57" s="84" t="str">
        <f>IFERROR(VLOOKUP($B57,'LOD 400 - COLO2'!$B:CD,81,FALSE),"N/A")</f>
        <v>N/A</v>
      </c>
      <c r="DM57" s="85" t="str">
        <f>IFERROR(VLOOKUP($B57,'LOD 400 - COLO2'!$B:CG,84,FALSE),"N/A")</f>
        <v>N/A</v>
      </c>
      <c r="DN57" s="84" t="str">
        <f>IFERROR(VLOOKUP($B57,'LOD 400 - COLO2'!$B:CJ,87,FALSE),"N/A")</f>
        <v>N/A</v>
      </c>
      <c r="DO57" s="85" t="str">
        <f>IFERROR(VLOOKUP($B57,'LOD 400 - COLO2'!$B:CM,90,FALSE),"N/A")</f>
        <v>N/A</v>
      </c>
      <c r="DP57" s="84" t="str">
        <f>IFERROR(VLOOKUP($B57,'LOD 400 - COLO2'!$B:CP,93,FALSE),"N/A")</f>
        <v>N/A</v>
      </c>
      <c r="DQ57" s="84" t="str">
        <f>IFERROR(VLOOKUP($B57,'LOD 400 - COLO2'!$B:CS,96,FALSE),"N/A")</f>
        <v>N/A</v>
      </c>
      <c r="DR57" s="84" t="str">
        <f>IFERROR(VLOOKUP($B57,'LOD 400 - COLO2'!$B:CV,99,FALSE),"N/A")</f>
        <v>N/A</v>
      </c>
      <c r="DS57" s="84" t="str">
        <f>IFERROR(VLOOKUP($B57,'LOD 400 - COLO2'!$B:CY,102,FALSE),"N/A")</f>
        <v>N/A</v>
      </c>
      <c r="DT57" s="84" t="str">
        <f>IFERROR(VLOOKUP($B57,'LOD 400 - COLO2'!$B:DB,105,FALSE),"N/A")</f>
        <v>N/A</v>
      </c>
      <c r="DU57" s="84" t="str">
        <f>IFERROR(VLOOKUP($B57,'LOD 400 - COLO2'!$B:DE,108,FALSE),"N/A")</f>
        <v>N/A</v>
      </c>
      <c r="DV57" s="84" t="str">
        <f>IFERROR(VLOOKUP($B57,'LOD 400 - COLO2'!$B:DH,111,FALSE),"N/A")</f>
        <v>N/A</v>
      </c>
      <c r="DW57" s="84" t="str">
        <f>IFERROR(VLOOKUP($B57,'LOD 400 - COLO2'!$B:DK,114,FALSE),"N/A")</f>
        <v>N/A</v>
      </c>
      <c r="DX57" s="84" t="str">
        <f>IFERROR(VLOOKUP($B57,'LOD 400 - COLO2'!$B:DN,117,FALSE),"N/A")</f>
        <v>N/A</v>
      </c>
      <c r="DY57" s="91" t="str">
        <f>IFERROR(__xludf.DUMMYFUNCTION("IFERROR(
  MAX(FILTER(CQ57:DW57, ISNUMBER(CQ57:DW57))),
  DW57
)"),"N/A")</f>
        <v>N/A</v>
      </c>
      <c r="DZ57" s="92" t="str">
        <f>IFERROR(VLOOKUP($B57,'LOD 400 - COLO3'!B:S,18,FALSE),"N/A")</f>
        <v>N/A</v>
      </c>
      <c r="EA57" s="84" t="str">
        <f>IFERROR(VLOOKUP($B57,'LOD 400 - COLO3'!B:V,21,FALSE),"N/A")</f>
        <v>N/A</v>
      </c>
      <c r="EB57" s="84" t="str">
        <f>IFERROR(VLOOKUP($B57,'LOD 400 - COLO3'!B:Y,24,FALSE),"N/A")</f>
        <v>N/A</v>
      </c>
      <c r="EC57" s="84" t="str">
        <f>IFERROR(VLOOKUP($B57,'LOD 400 - COLO3'!B:AB,27,FALSE),"N/A")</f>
        <v>N/A</v>
      </c>
      <c r="ED57" s="85" t="str">
        <f>IFERROR(VLOOKUP($B57,'LOD 400 - COLO3'!B:AE,30,FALSE),"N/A")</f>
        <v>N/A</v>
      </c>
      <c r="EE57" s="84" t="str">
        <f>IFERROR(VLOOKUP($B57,'LOD 400 - COLO3'!B:AH,33,FALSE),"N/A")</f>
        <v>N/A</v>
      </c>
      <c r="EF57" s="84" t="str">
        <f>IFERROR(VLOOKUP($B57,'LOD 400 - COLO3'!B:AK,36,FALSE),"N/A")</f>
        <v>N/A</v>
      </c>
      <c r="EG57" s="109" t="str">
        <f>IFERROR(VLOOKUP($B57,'LOD 400 - COLO3'!B:AN,39,FALSE),"N/A")</f>
        <v>N/A</v>
      </c>
      <c r="EH57" s="94" t="str">
        <f>IFERROR(VLOOKUP($B57,'LOD 400 - COLO3'!B:AQ,42,FALSE),"N/A")</f>
        <v>N/A</v>
      </c>
      <c r="EI57" s="94" t="str">
        <f>IFERROR(VLOOKUP($B57,'LOD 400 - COLO3'!B:AT,45,FALSE),"N/A")</f>
        <v>N/A</v>
      </c>
      <c r="EJ57" s="94" t="str">
        <f>IFERROR(VLOOKUP($B57,'LOD 400 - COLO3'!B:AW,48,FALSE),"N/A")</f>
        <v>N/A</v>
      </c>
      <c r="EK57" s="94" t="str">
        <f>IFERROR(VLOOKUP($B57,'LOD 400 - COLO3'!B:AZ,51,FALSE),"N/A")</f>
        <v>N/A</v>
      </c>
      <c r="EL57" s="94" t="str">
        <f>IFERROR(VLOOKUP($B57,'LOD 400 - COLO3'!B:BC,54,FALSE),"N/A")</f>
        <v>N/A</v>
      </c>
      <c r="EM57" s="94" t="str">
        <f>IFERROR(VLOOKUP($B57,'LOD 400 - COLO3'!B:BF,57,FALSE),"N/A")</f>
        <v>N/A</v>
      </c>
      <c r="EN57" s="94" t="str">
        <f>IFERROR(VLOOKUP($B57,'LOD 400 - COLO3'!B:BI,60,FALSE),"N/A")</f>
        <v>N/A</v>
      </c>
      <c r="EO57" s="94" t="str">
        <f>IFERROR(VLOOKUP($B57,'LOD 400 - COLO3'!B:BL,63,FALSE),"N/A")</f>
        <v>N/A</v>
      </c>
      <c r="EP57" s="86" t="str">
        <f>IFERROR(__xludf.DUMMYFUNCTION("IFERROR(
  MAX(FILTER(DZ57:EO57, ISNUMBER(DZ57:EO57))),
  EO57
)"),"N/A")</f>
        <v>N/A</v>
      </c>
      <c r="EQ57" s="95" t="str">
        <f>IFERROR(VLOOKUP($B57,'LOD 400 - COLO4'!B:S,18,FALSE),"N/A")</f>
        <v>N/A</v>
      </c>
      <c r="ER57" s="96" t="str">
        <f>IFERROR(__xludf.DUMMYFUNCTION("IFERROR(
  MAX(FILTER(EQ57, ISNUMBER(EQ57))),
  EQ57
)"),"N/A")</f>
        <v>N/A</v>
      </c>
      <c r="ES57" s="79" t="str">
        <f>IFERROR(VLOOKUP($B57,'LOD 400 - SITE'!B:S,18,FALSE),"N/A")</f>
        <v>NOT PUBLISHED</v>
      </c>
      <c r="ET57" s="80" t="str">
        <f>IFERROR(VLOOKUP($B57,'LOD 400 - SITE'!B:V,21,FALSE),"N/A")</f>
        <v>NOT PUBLISHED</v>
      </c>
      <c r="EU57" s="97" t="str">
        <f>IFERROR(VLOOKUP($B57,'LOD 400 - SITE'!$B:Y,24,FALSE),"N/A")</f>
        <v>NOT PUBLISHED</v>
      </c>
      <c r="EV57" s="80" t="str">
        <f>IFERROR(VLOOKUP($B57,'LOD 400 - SITE'!$B:AB,27,FALSE),"N/A")</f>
        <v>NOT PUBLISHED</v>
      </c>
      <c r="EW57" s="81" t="str">
        <f>IFERROR(VLOOKUP($B57,'LOD 400 - SITE'!$B:AE,30,FALSE),"N/A")</f>
        <v>NOT PUBLISHED</v>
      </c>
      <c r="EX57" s="87" t="str">
        <f>IFERROR(VLOOKUP($B57,'LOD 400 - SITE'!$B:AH,33,FALSE),"N/A")</f>
        <v>NOT PUBLISHED</v>
      </c>
      <c r="EY57" s="87" t="str">
        <f>IFERROR(VLOOKUP($B57,'LOD 400 - SITE'!$B:AK,36,FALSE),"N/A")</f>
        <v>NOT PUBLISHED</v>
      </c>
      <c r="EZ57" s="80" t="str">
        <f>IFERROR(VLOOKUP($B57,'LOD 400 - SITE'!$B:AN,39,FALSE),"N/A")</f>
        <v>NOT PUBLISHED</v>
      </c>
      <c r="FA57" s="82" t="str">
        <f>IFERROR(VLOOKUP($B57,'LOD 400 - SITE'!$B:AQ,42,FALSE),"N/A")</f>
        <v>NOT PUBLISHED</v>
      </c>
      <c r="FB57" s="88" t="str">
        <f>IFERROR(VLOOKUP($B57,'LOD 400 - SITE'!$B:AT,45,FALSE),"N/A")</f>
        <v>NOT PUBLISHED</v>
      </c>
      <c r="FC57" s="84" t="str">
        <f>IFERROR(VLOOKUP($B57,'LOD 400 - SITE'!$B:AW,48,FALSE),"N/A")</f>
        <v>NOT PUBLISHED</v>
      </c>
      <c r="FD57" s="84" t="str">
        <f>IFERROR(VLOOKUP($B57,'LOD 400 - SITE'!$B:AZ,51,FALSE),"N/A")</f>
        <v>NOT PUBLISHED</v>
      </c>
      <c r="FE57" s="84" t="str">
        <f>IFERROR(VLOOKUP($B57,'LOD 400 - SITE'!$B:BC,54,FALSE),"N/A")</f>
        <v>NOT PUBLISHED</v>
      </c>
      <c r="FF57" s="84" t="str">
        <f>IFERROR(VLOOKUP($B57,'LOD 400 - SITE'!$B:BF,57,FALSE),"N/A")</f>
        <v>NOT PUBLISHED</v>
      </c>
      <c r="FG57" s="84" t="str">
        <f>IFERROR(VLOOKUP($B57,'LOD 400 - SITE'!$B:BI,60,FALSE),"N/A")</f>
        <v>NOT PUBLISHED</v>
      </c>
      <c r="FH57" s="84" t="str">
        <f>IFERROR(VLOOKUP($B57,'LOD 400 - SITE'!$B:BL,63,FALSE),"N/A")</f>
        <v>NOT PUBLISHED</v>
      </c>
      <c r="FI57" s="84" t="str">
        <f>IFERROR(VLOOKUP($B57,'LOD 400 - SITE'!$B:BO,66,FALSE),"N/A")</f>
        <v>NOT PUBLISHED</v>
      </c>
      <c r="FJ57" s="84" t="str">
        <f>IFERROR(VLOOKUP($B57,'LOD 400 - SITE'!$B:BR,69,FALSE),"N/A")</f>
        <v>NOT PUBLISHED</v>
      </c>
      <c r="FK57" s="84" t="str">
        <f>IFERROR(VLOOKUP($B57,'LOD 400 - SITE'!$B:BU,72,FALSE),"N/A")</f>
        <v>NOT PUBLISHED</v>
      </c>
      <c r="FL57" s="84" t="str">
        <f>IFERROR(VLOOKUP($B57,'LOD 400 - SITE'!$B:BX,75,FALSE),"N/A")</f>
        <v>NOT PUBLISHED</v>
      </c>
      <c r="FM57" s="84">
        <f>IFERROR(VLOOKUP($B57,'LOD 400 - SITE'!$B:CA,78,FALSE),"N/A")</f>
        <v>0</v>
      </c>
      <c r="FN57" s="85">
        <f>IFERROR(VLOOKUP($B57,'LOD 400 - SITE'!$B:CD,81,FALSE),"N/A")</f>
        <v>0</v>
      </c>
      <c r="FO57" s="84" t="str">
        <f>IFERROR(VLOOKUP($B57,'LOD 400 - SITE'!$B:CG,84,FALSE),"N/A")</f>
        <v>NEXT ROUND</v>
      </c>
      <c r="FP57" s="85" t="str">
        <f>IFERROR(VLOOKUP($B57,'LOD 400 - SITE'!$B:CJ,87,FALSE),"N/A")</f>
        <v>NEXT ROUND</v>
      </c>
      <c r="FQ57" s="84" t="str">
        <f>IFERROR(VLOOKUP($B57,'LOD 400 - SITE'!$B:CM,90,FALSE),"N/A")</f>
        <v>NEXT ROUND </v>
      </c>
      <c r="FR57" s="84" t="str">
        <f>IFERROR(VLOOKUP($B57,'LOD 400 - SITE'!$B:CP,93,FALSE),"N/A")</f>
        <v>IMPROPER</v>
      </c>
      <c r="FS57" s="84" t="str">
        <f>IFERROR(VLOOKUP($B57,'LOD 400 - SITE'!$B:CS,96,FALSE),"N/A")</f>
        <v>OUTDATED</v>
      </c>
      <c r="FT57" s="84" t="str">
        <f>IFERROR(VLOOKUP($B57,'LOD 400 - SITE'!$B:CV,99,FALSE),"N/A")</f>
        <v>OUTDATED</v>
      </c>
      <c r="FU57" s="84" t="str">
        <f>IFERROR(VLOOKUP($B57,'LOD 400 - SITE'!$B:CY,102,FALSE),"N/A")</f>
        <v>NEXT ROUND</v>
      </c>
      <c r="FV57" s="84">
        <f>IFERROR(VLOOKUP($B57,'LOD 400 - SITE'!$B:DB,105,FALSE),"N/A")</f>
        <v>1</v>
      </c>
      <c r="FW57" s="84">
        <f>IFERROR(VLOOKUP($B57,'LOD 400 - SITE'!$B:DE,108,FALSE),"N/A")</f>
        <v>1</v>
      </c>
      <c r="FX57" s="84">
        <f>IFERROR(VLOOKUP($B57,'LOD 400 - SITE'!$B:DH,111,FALSE),"N/A")</f>
        <v>1</v>
      </c>
      <c r="FY57" s="84">
        <f>IFERROR(VLOOKUP($B57,'LOD 400 - SITE'!$B:DK,114,FALSE),"N/A")</f>
        <v>1</v>
      </c>
      <c r="FZ57" s="96">
        <f>IFERROR(__xludf.DUMMYFUNCTION("IFERROR(
  MAX(FILTER(ES57:FY57, ISNUMBER(ES57:FY57))),
  FY57
)"),1.0)</f>
        <v>1</v>
      </c>
      <c r="GA57" s="80" t="str">
        <f>IFERROR(VLOOKUP($B57,'LOD 400 - UTLS'!B:S,18,FALSE),"N/A")</f>
        <v>N/A</v>
      </c>
      <c r="GB57" s="98" t="str">
        <f>IFERROR(VLOOKUP($B57,'LOD 400 - UTLS'!B:V,21,FALSE),"N/A")</f>
        <v>N/A</v>
      </c>
      <c r="GC57" s="81" t="str">
        <f>IFERROR(VLOOKUP($B57,'LOD 400 - UTLS'!B:Y,24,FALSE),"N/A")</f>
        <v>N/A</v>
      </c>
      <c r="GD57" s="87" t="str">
        <f>IFERROR(VLOOKUP($B57,'LOD 400 - UTLS'!$B:AB,27,FALSE),"N/A")</f>
        <v>N/A</v>
      </c>
      <c r="GE57" s="80" t="str">
        <f>IFERROR(VLOOKUP($B57,'LOD 400 - UTLS'!$B:AE,30,FALSE),"N/A")</f>
        <v>N/A</v>
      </c>
      <c r="GF57" s="82" t="str">
        <f>IFERROR(VLOOKUP($B57,'LOD 400 - UTLS'!$B:AH,33,FALSE),"N/A")</f>
        <v>N/A</v>
      </c>
      <c r="GG57" s="88" t="str">
        <f>IFERROR(VLOOKUP($B57,'LOD 400 - UTLS'!$B:AK,36,FALSE),"N/A")</f>
        <v>N/A</v>
      </c>
      <c r="GH57" s="84" t="str">
        <f>IFERROR(VLOOKUP($B57,'LOD 400 - UTLS'!$B:AN,39,FALSE),"N/A")</f>
        <v>N/A</v>
      </c>
      <c r="GI57" s="84" t="str">
        <f>IFERROR(VLOOKUP($B57,'LOD 400 - UTLS'!$B:AQ,42,FALSE),"N/A")</f>
        <v>N/A</v>
      </c>
      <c r="GJ57" s="84" t="str">
        <f>IFERROR(VLOOKUP($B57,'LOD 400 - UTLS'!$B:AT,45,FALSE),"N/A")</f>
        <v>N/A</v>
      </c>
      <c r="GK57" s="84" t="str">
        <f>IFERROR(VLOOKUP($B57,'LOD 400 - UTLS'!$B:AW,48,FALSE),"N/A")</f>
        <v>N/A</v>
      </c>
      <c r="GL57" s="84" t="str">
        <f>IFERROR(VLOOKUP($B57,'LOD 400 - UTLS'!$B:AZ,51,FALSE),"N/A")</f>
        <v>N/A</v>
      </c>
      <c r="GM57" s="84" t="str">
        <f>IFERROR(VLOOKUP($B57,'LOD 400 - UTLS'!$B:BC,54,FALSE),"N/A")</f>
        <v>N/A</v>
      </c>
      <c r="GN57" s="84" t="str">
        <f>IFERROR(VLOOKUP($B57,'LOD 400 - UTLS'!$B:BF,57,FALSE),"N/A")</f>
        <v>N/A</v>
      </c>
      <c r="GO57" s="84" t="str">
        <f>IFERROR(VLOOKUP($B57,'LOD 400 - UTLS'!$B:BI,60,FALSE),"N/A")</f>
        <v>N/A</v>
      </c>
      <c r="GP57" s="84" t="str">
        <f>IFERROR(VLOOKUP($B57,'LOD 400 - UTLS'!$B:BL,63,FALSE),"N/A")</f>
        <v>N/A</v>
      </c>
      <c r="GQ57" s="84" t="str">
        <f>IFERROR(VLOOKUP($B57,'LOD 400 - UTLS'!$B:BO,66,FALSE),"N/A")</f>
        <v>N/A</v>
      </c>
      <c r="GR57" s="84" t="str">
        <f>IFERROR(VLOOKUP($B57,'LOD 400 - UTLS'!$B:BR,69,FALSE),"N/A")</f>
        <v>N/A</v>
      </c>
      <c r="GS57" s="85" t="str">
        <f>IFERROR(VLOOKUP($B57,'LOD 400 - UTLS'!$B:BU,72,FALSE),"N/A")</f>
        <v>N/A</v>
      </c>
      <c r="GT57" s="84" t="str">
        <f>IFERROR(VLOOKUP($B57,'LOD 400 - UTLS'!$B:BX,75,FALSE),"N/A")</f>
        <v>N/A</v>
      </c>
      <c r="GU57" s="85" t="str">
        <f>IFERROR(VLOOKUP($B57,'LOD 400 - UTLS'!$B:CA,78,FALSE),"N/A")</f>
        <v>N/A</v>
      </c>
      <c r="GV57" s="84" t="str">
        <f>IFERROR(VLOOKUP($B57,'LOD 400 - UTLS'!$B:CD,81,FALSE),"N/A")</f>
        <v>N/A</v>
      </c>
      <c r="GW57" s="84" t="str">
        <f>IFERROR(VLOOKUP($B57,'LOD 400 - UTLS'!$B:CG,84,FALSE),"N/A")</f>
        <v>N/A</v>
      </c>
      <c r="GX57" s="84" t="str">
        <f>IFERROR(VLOOKUP($B57,'LOD 400 - UTLS'!$B:CJ,87,FALSE),"N/A")</f>
        <v>N/A</v>
      </c>
      <c r="GY57" s="84" t="str">
        <f>IFERROR(VLOOKUP($B57,'LOD 400 - UTLS'!$B:CM,90,FALSE),"N/A")</f>
        <v>N/A</v>
      </c>
      <c r="GZ57" s="84" t="str">
        <f>IFERROR(VLOOKUP($B57,'LOD 400 - UTLS'!$B:CP,93,FALSE),"N/A")</f>
        <v>N/A</v>
      </c>
      <c r="HA57" s="84" t="str">
        <f>IFERROR(VLOOKUP($B57,'LOD 400 - UTLS'!$B:CS,96,FALSE),"N/A")</f>
        <v>N/A</v>
      </c>
      <c r="HB57" s="84" t="str">
        <f>IFERROR(VLOOKUP($B57,'LOD 400 - UTLS'!$B:CV,99,FALSE),"N/A")</f>
        <v>N/A</v>
      </c>
      <c r="HC57" s="84" t="str">
        <f>IFERROR(VLOOKUP($B57,'LOD 400 - UTLS'!$B:CY,102,FALSE),"N/A")</f>
        <v>N/A</v>
      </c>
      <c r="HD57" s="84" t="str">
        <f>IFERROR(VLOOKUP($B57,'LOD 400 - UTLS'!$B:DB,105,FALSE),"N/A")</f>
        <v>N/A</v>
      </c>
      <c r="HE57" s="96" t="str">
        <f>IFERROR(__xludf.DUMMYFUNCTION("IFERROR(
  MAX(FILTER(GA57:HD57, ISNUMBER(GA57:HD57))),
  HD57
)"),"N/A")</f>
        <v>N/A</v>
      </c>
      <c r="HF57" s="99"/>
      <c r="HG57" s="99"/>
      <c r="HH57" s="99"/>
      <c r="HI57" s="99"/>
      <c r="HJ57" s="99"/>
      <c r="HK57" s="99"/>
    </row>
    <row r="58" ht="15.0" hidden="1" customHeight="1">
      <c r="A58" s="53">
        <v>62.0</v>
      </c>
      <c r="B58" s="188" t="s">
        <v>201</v>
      </c>
      <c r="C58" s="189"/>
      <c r="D58" s="190"/>
      <c r="E58" s="190"/>
      <c r="F58" s="190"/>
      <c r="G58" s="191"/>
      <c r="H58" s="190"/>
      <c r="I58" s="190"/>
      <c r="J58" s="192"/>
      <c r="K58" s="193"/>
      <c r="L58" s="194"/>
      <c r="M58" s="190"/>
      <c r="N58" s="195"/>
      <c r="O58" s="196"/>
      <c r="P58" s="197"/>
      <c r="Q58" s="198"/>
      <c r="R58" s="199"/>
      <c r="S58" s="200"/>
      <c r="T58" s="200"/>
      <c r="U58" s="201"/>
      <c r="V58" s="202"/>
      <c r="W58" s="190"/>
      <c r="X58" s="198"/>
      <c r="Y58" s="191"/>
      <c r="Z58" s="191"/>
      <c r="AA58" s="191"/>
      <c r="AB58" s="191"/>
      <c r="AC58" s="191"/>
      <c r="AD58" s="191"/>
      <c r="AE58" s="191"/>
      <c r="AF58" s="191"/>
      <c r="AG58" s="191"/>
      <c r="AH58" s="191"/>
      <c r="AI58" s="191"/>
      <c r="AJ58" s="191"/>
      <c r="AK58" s="191"/>
      <c r="AL58" s="191"/>
      <c r="AM58" s="191"/>
      <c r="AN58" s="191"/>
      <c r="AO58" s="191"/>
      <c r="AP58" s="191"/>
      <c r="AQ58" s="191"/>
      <c r="AR58" s="191"/>
      <c r="AS58" s="191"/>
      <c r="AT58" s="190"/>
      <c r="AU58" s="190"/>
      <c r="AV58" s="198"/>
      <c r="AW58" s="199"/>
      <c r="AX58" s="198"/>
      <c r="AY58" s="199"/>
      <c r="AZ58" s="199"/>
      <c r="BA58" s="199"/>
      <c r="BB58" s="199"/>
      <c r="BC58" s="199"/>
      <c r="BD58" s="199"/>
      <c r="BE58" s="199"/>
      <c r="BF58" s="199"/>
      <c r="BG58" s="203"/>
      <c r="BH58" s="191"/>
      <c r="BI58" s="191"/>
      <c r="BJ58" s="191"/>
      <c r="BK58" s="191"/>
      <c r="BL58" s="191"/>
      <c r="BM58" s="191"/>
      <c r="BN58" s="191"/>
      <c r="BO58" s="191"/>
      <c r="BP58" s="191"/>
      <c r="BQ58" s="191"/>
      <c r="BR58" s="191"/>
      <c r="BS58" s="191"/>
      <c r="BT58" s="191"/>
      <c r="BU58" s="191"/>
      <c r="BV58" s="191"/>
      <c r="BW58" s="191"/>
      <c r="BX58" s="191"/>
      <c r="BY58" s="191"/>
      <c r="BZ58" s="191"/>
      <c r="CA58" s="191"/>
      <c r="CB58" s="191"/>
      <c r="CC58" s="190"/>
      <c r="CD58" s="190"/>
      <c r="CE58" s="198"/>
      <c r="CF58" s="199"/>
      <c r="CG58" s="198"/>
      <c r="CH58" s="199"/>
      <c r="CI58" s="199"/>
      <c r="CJ58" s="199"/>
      <c r="CK58" s="199"/>
      <c r="CL58" s="199"/>
      <c r="CM58" s="199"/>
      <c r="CN58" s="199"/>
      <c r="CO58" s="199"/>
      <c r="CP58" s="203"/>
      <c r="CQ58" s="191"/>
      <c r="CR58" s="191"/>
      <c r="CS58" s="191"/>
      <c r="CT58" s="191"/>
      <c r="CU58" s="191"/>
      <c r="CV58" s="191"/>
      <c r="CW58" s="191"/>
      <c r="CX58" s="191"/>
      <c r="CY58" s="191"/>
      <c r="CZ58" s="191"/>
      <c r="DA58" s="191"/>
      <c r="DB58" s="191"/>
      <c r="DC58" s="191"/>
      <c r="DD58" s="191"/>
      <c r="DE58" s="191"/>
      <c r="DF58" s="191"/>
      <c r="DG58" s="191"/>
      <c r="DH58" s="191"/>
      <c r="DI58" s="191"/>
      <c r="DJ58" s="190"/>
      <c r="DK58" s="190"/>
      <c r="DL58" s="190"/>
      <c r="DM58" s="190"/>
      <c r="DN58" s="198"/>
      <c r="DO58" s="199"/>
      <c r="DP58" s="198"/>
      <c r="DQ58" s="199"/>
      <c r="DR58" s="199"/>
      <c r="DS58" s="199"/>
      <c r="DT58" s="199"/>
      <c r="DU58" s="199"/>
      <c r="DV58" s="199"/>
      <c r="DW58" s="199"/>
      <c r="DX58" s="199"/>
      <c r="DY58" s="190"/>
      <c r="DZ58" s="204"/>
      <c r="EA58" s="201"/>
      <c r="EB58" s="199"/>
      <c r="EC58" s="199"/>
      <c r="ED58" s="199"/>
      <c r="EE58" s="198"/>
      <c r="EF58" s="199"/>
      <c r="EG58" s="190"/>
      <c r="EH58" s="205"/>
      <c r="EI58" s="199"/>
      <c r="EJ58" s="199"/>
      <c r="EK58" s="199"/>
      <c r="EL58" s="199"/>
      <c r="EM58" s="199"/>
      <c r="EN58" s="199"/>
      <c r="EO58" s="199"/>
      <c r="EP58" s="206"/>
      <c r="EQ58" s="199"/>
      <c r="ER58" s="207"/>
      <c r="ES58" s="191"/>
      <c r="ET58" s="190"/>
      <c r="EU58" s="202"/>
      <c r="EV58" s="191"/>
      <c r="EW58" s="191"/>
      <c r="EX58" s="191"/>
      <c r="EY58" s="191"/>
      <c r="EZ58" s="191"/>
      <c r="FA58" s="191"/>
      <c r="FB58" s="191"/>
      <c r="FC58" s="191"/>
      <c r="FD58" s="191"/>
      <c r="FE58" s="191"/>
      <c r="FF58" s="191"/>
      <c r="FG58" s="191"/>
      <c r="FH58" s="191"/>
      <c r="FI58" s="191"/>
      <c r="FJ58" s="191"/>
      <c r="FK58" s="191"/>
      <c r="FL58" s="191"/>
      <c r="FM58" s="191"/>
      <c r="FN58" s="190"/>
      <c r="FO58" s="198"/>
      <c r="FP58" s="199"/>
      <c r="FQ58" s="198"/>
      <c r="FR58" s="199"/>
      <c r="FS58" s="199"/>
      <c r="FT58" s="199"/>
      <c r="FU58" s="199"/>
      <c r="FV58" s="199"/>
      <c r="FW58" s="199"/>
      <c r="FX58" s="199"/>
      <c r="FY58" s="199"/>
      <c r="FZ58" s="208"/>
      <c r="GA58" s="191"/>
      <c r="GB58" s="191"/>
      <c r="GC58" s="191"/>
      <c r="GD58" s="191"/>
      <c r="GE58" s="191"/>
      <c r="GF58" s="191"/>
      <c r="GG58" s="191"/>
      <c r="GH58" s="191"/>
      <c r="GI58" s="191"/>
      <c r="GJ58" s="191"/>
      <c r="GK58" s="191"/>
      <c r="GL58" s="191"/>
      <c r="GM58" s="191"/>
      <c r="GN58" s="191"/>
      <c r="GO58" s="191"/>
      <c r="GP58" s="191"/>
      <c r="GQ58" s="199"/>
      <c r="GR58" s="199"/>
      <c r="GS58" s="199"/>
      <c r="GT58" s="198"/>
      <c r="GU58" s="199"/>
      <c r="GV58" s="198"/>
      <c r="GW58" s="199"/>
      <c r="GX58" s="199"/>
      <c r="GY58" s="199"/>
      <c r="GZ58" s="199"/>
      <c r="HA58" s="199"/>
      <c r="HB58" s="199"/>
      <c r="HC58" s="199"/>
      <c r="HD58" s="199"/>
      <c r="HE58" s="207"/>
      <c r="HF58" s="99"/>
      <c r="HG58" s="99"/>
      <c r="HH58" s="99"/>
      <c r="HI58" s="99"/>
      <c r="HJ58" s="99"/>
      <c r="HK58" s="99"/>
    </row>
    <row r="59" ht="15.0" customHeight="1" outlineLevel="1">
      <c r="A59" s="53">
        <v>63.0</v>
      </c>
      <c r="B59" s="100" t="s">
        <v>202</v>
      </c>
      <c r="C59" s="100" t="s">
        <v>203</v>
      </c>
      <c r="D59" s="64" t="str">
        <f t="shared" ref="D59:D60" si="10">MID(B59,17,4)</f>
        <v>SITE</v>
      </c>
      <c r="E59" s="101" t="s">
        <v>154</v>
      </c>
      <c r="F59" s="102">
        <v>1112.0</v>
      </c>
      <c r="G59" s="103" t="s">
        <v>155</v>
      </c>
      <c r="H59" s="104">
        <v>1129.0</v>
      </c>
      <c r="I59" s="68" t="str">
        <f>IFERROR(VLOOKUP($C56:C108,'R22 RELATÓRIO ACC'!B:F,5,FALSE),"NOT PUBLISHED")</f>
        <v>V33</v>
      </c>
      <c r="J59" s="69" t="str">
        <f>IFERROR(VLOOKUP($C56:C108,'R22 RELATÓRIO ACC'!B:P,15,FALSE),"NOT PUBLISHED")</f>
        <v>05/03/2026</v>
      </c>
      <c r="K59" s="70" t="str">
        <f>IFERROR(VLOOKUP($B55:B108,'RELATÓRIO ACC'!B:F,5,FALSE),"NOT PUBLISHED")</f>
        <v>V1</v>
      </c>
      <c r="L59" s="71" t="str">
        <f>IFERROR(VLOOKUP($B55:B108,'RELATÓRIO ACC'!B:P,15,FALSE),"NOT PUBLISHED")</f>
        <v>19/05/2026</v>
      </c>
      <c r="M59" s="72" t="str">
        <f>IF(OR($D59="UTLS",$D59="GUAR",$D59="STIR",$D59="PUMP",$D59="SITE"),
   VLOOKUP($B59,'LOD 400 - SITE'!B:M,12,FALSE),
   VLOOKUP($B59,'LOD 400 - ADMN'!B:M,12,FALSE)
)</f>
        <v>V29</v>
      </c>
      <c r="N59" s="105" t="str">
        <f>IF(OR($D59="UTLS",$D59="GUAR",$D59="STIR",$D59="PUMP",$D59="SITE"),
   VLOOKUP($B59,'LOD 400 - SITE'!B:N,13,FALSE),
   VLOOKUP($B59,'LOD 400 - ADMN'!B:N,13,FALSE)
)</f>
        <v>23/12/2025</v>
      </c>
      <c r="O59" s="106" t="str">
        <f>IF(OR($D59="UTLS",$D59="GUAR",$D59="STIR",$D59="PUMP",$D59="SITE"),
   VLOOKUP($B59,'LOD 400 - SITE'!B:O,14,FALSE),
   VLOOKUP($B59,'LOD 400 - ADMN'!B:O,14,FALSE)
)</f>
        <v>R22</v>
      </c>
      <c r="P59" s="107" t="str">
        <f>IF(OR($D59="C345",$D59="C12A",$D59="DATA"),
   VLOOKUP($B59,'LOD 400 - COLO3'!B:M,12,FALSE),"N/A")</f>
        <v>N/A</v>
      </c>
      <c r="Q59" s="108" t="str">
        <f>IF(OR($D59="C345",$D59="C12A",$D59="DATA"),
   VLOOKUP($B59,'LOD 400 - COLO3'!B:N,13,FALSE),"N/A")</f>
        <v>N/A</v>
      </c>
      <c r="R59" s="75" t="str">
        <f>IF(OR($D59="C345",$D59="C12A",$D59="DATA"),
   VLOOKUP($B59,'LOD 400 - COLO3'!B:O,14,FALSE),"N/A")</f>
        <v>N/A</v>
      </c>
      <c r="S59" s="76" t="str">
        <f>IF(OR($D59="C345",$D59="C12A",$D59="DATA"),
   VLOOKUP($B59,'LOD 400 - COLO4'!B:N,12,FALSE),"N/A")</f>
        <v>N/A</v>
      </c>
      <c r="T59" s="76" t="str">
        <f>IF(OR($D59="C345",$D59="C12A",$D59="DATA"),
   VLOOKUP($B59,'LOD 400 - COLO4'!B:N,13,FALSE),"N/A")</f>
        <v>N/A</v>
      </c>
      <c r="U59" s="76" t="str">
        <f>IF(OR($D59="C345",$D59="C12A",$D59="DATA"),
   VLOOKUP($B59,'LOD 400 - COLO4'!B:N,13,FALSE),"N/A")</f>
        <v>N/A</v>
      </c>
      <c r="V59" s="77" t="str">
        <f>IF(OR($D59="UTLS",$D59="GUAR",$D59="STIR",$D59="PUMP",$D59="SITE"),
   VLOOKUP($B59,'LOD 400 - UTLS'!B:M,12,FALSE),"N/A")</f>
        <v>V29</v>
      </c>
      <c r="W59" s="78" t="str">
        <f>IF(OR($D59="UTLS",$D59="GUAR",$D59="STIR",$D59="PUMP",$D59="SITE"),
   VLOOKUP($B59,'LOD 400 - UTLS'!B:N,13,FALSE),"N/A")</f>
        <v>23/12/2025</v>
      </c>
      <c r="X59" s="108" t="str">
        <f>IF(OR($D59="UTLS",$D59="GUAR",$D59="STIR",$D59="PUMP",$D59="SITE"),
   VLOOKUP($B59,'LOD 400 - UTLS'!B:O,14,FALSE),"N/A")</f>
        <v>R22</v>
      </c>
      <c r="Y59" s="79" t="str">
        <f>IFERROR(VLOOKUP($B59,'LOD 400 - ADMN'!B:S,18,FALSE),"N/A")</f>
        <v>N/A</v>
      </c>
      <c r="Z59" s="79" t="str">
        <f>IFERROR(VLOOKUP($B59,'LOD 400 - ADMN'!B:V,21,FALSE),"N/A")</f>
        <v>N/A</v>
      </c>
      <c r="AA59" s="79" t="str">
        <f>IFERROR(VLOOKUP($B59,'LOD 400 - ADMN'!$B:Y,24,FALSE),"N/A")</f>
        <v>N/A</v>
      </c>
      <c r="AB59" s="80" t="str">
        <f>IFERROR(VLOOKUP($B59,'LOD 400 - ADMN'!$B:AB,27,FALSE),"N/A")</f>
        <v>N/A</v>
      </c>
      <c r="AC59" s="81" t="str">
        <f>IFERROR(VLOOKUP($B59,'LOD 400 - ADMN'!$B:AE,30,FALSE),"N/A")</f>
        <v>N/A</v>
      </c>
      <c r="AD59" s="81" t="str">
        <f>IFERROR(VLOOKUP($B59,'LOD 400 - ADMN'!$B:AH,33,FALSE),"N/A")</f>
        <v>N/A</v>
      </c>
      <c r="AE59" s="80" t="str">
        <f>IFERROR(VLOOKUP($B59,'LOD 400 - ADMN'!$B:AK,36,FALSE),"N/A")</f>
        <v>N/A</v>
      </c>
      <c r="AF59" s="82" t="str">
        <f>IFERROR(VLOOKUP($B59,'LOD 400 - ADMN'!$B:AN,39,FALSE),"N/A")</f>
        <v>N/A</v>
      </c>
      <c r="AG59" s="83" t="str">
        <f>IFERROR(VLOOKUP($B59,'LOD 400 - ADMN'!$B:AQ,42,FALSE),"N/A")</f>
        <v>N/A</v>
      </c>
      <c r="AH59" s="84" t="str">
        <f>IFERROR(VLOOKUP($B59,'LOD 400 - ADMN'!$B:AT,45,FALSE),"N/A")</f>
        <v>N/A</v>
      </c>
      <c r="AI59" s="85" t="str">
        <f>IFERROR(VLOOKUP($B59,'LOD 400 - ADMN'!$B:AW,48,FALSE),"N/A")</f>
        <v>N/A</v>
      </c>
      <c r="AJ59" s="85" t="str">
        <f>IFERROR(VLOOKUP($B59,'LOD 400 - ADMN'!$B:AZ,51,FALSE),"N/A")</f>
        <v>N/A</v>
      </c>
      <c r="AK59" s="84" t="str">
        <f>IFERROR(VLOOKUP($B59,'LOD 400 - ADMN'!$B:BC,54,FALSE),"N/A")</f>
        <v>N/A</v>
      </c>
      <c r="AL59" s="84" t="str">
        <f>IFERROR(VLOOKUP($B59,'LOD 400 - ADMN'!$B:BF,57,FALSE),"N/A")</f>
        <v>N/A</v>
      </c>
      <c r="AM59" s="84" t="str">
        <f>IFERROR(VLOOKUP($B59,'LOD 400 - ADMN'!$B:BI,60,FALSE),"N/A")</f>
        <v>N/A</v>
      </c>
      <c r="AN59" s="84" t="str">
        <f>IFERROR(VLOOKUP($B59,'LOD 400 - ADMN'!$B:BL,63,FALSE),"N/A")</f>
        <v>N/A</v>
      </c>
      <c r="AO59" s="84" t="str">
        <f>IFERROR(VLOOKUP($B59,'LOD 400 - ADMN'!$B:BO,66,FALSE),"N/A")</f>
        <v>N/A</v>
      </c>
      <c r="AP59" s="84" t="str">
        <f>IFERROR(VLOOKUP($B59,'LOD 400 - ADMN'!$B:BR,69,FALSE),"N/A")</f>
        <v>N/A</v>
      </c>
      <c r="AQ59" s="84" t="str">
        <f>IFERROR(VLOOKUP($B59,'LOD 400 - ADMN'!$B:BU,72,FALSE),"N/A")</f>
        <v>N/A</v>
      </c>
      <c r="AR59" s="84" t="str">
        <f>IFERROR(VLOOKUP($B59,'LOD 400 - ADMN'!$B:BX,75,FALSE),"N/A")</f>
        <v>N/A</v>
      </c>
      <c r="AS59" s="84" t="str">
        <f>IFERROR(VLOOKUP($B59,'LOD 400 - ADMN'!$B:CA,78,FALSE),"N/A")</f>
        <v>N/A</v>
      </c>
      <c r="AT59" s="84" t="str">
        <f>IFERROR(VLOOKUP($B59,'LOD 400 - ADMN'!$B:CD,81,FALSE),"N/A")</f>
        <v>N/A</v>
      </c>
      <c r="AU59" s="85" t="str">
        <f>IFERROR(VLOOKUP($B59,'LOD 400 - ADMN'!$B:CG,84,FALSE),"N/A")</f>
        <v>N/A</v>
      </c>
      <c r="AV59" s="84" t="str">
        <f>IFERROR(VLOOKUP($B59,'LOD 400 - ADMN'!$B:CJ,87,FALSE),"N/A")</f>
        <v>N/A</v>
      </c>
      <c r="AW59" s="85" t="str">
        <f>IFERROR(VLOOKUP($B59,'LOD 400 - ADMN'!$B:CM,90,FALSE),"N/A")</f>
        <v>N/A</v>
      </c>
      <c r="AX59" s="84" t="str">
        <f>IFERROR(VLOOKUP($B59,'LOD 400 - ADMN'!$B:CP,93,FALSE),"N/A")</f>
        <v>N/A</v>
      </c>
      <c r="AY59" s="84" t="str">
        <f>IFERROR(VLOOKUP($B59,'LOD 400 - ADMN'!$B:CS,96,FALSE),"N/A")</f>
        <v>N/A</v>
      </c>
      <c r="AZ59" s="84" t="str">
        <f>IFERROR(VLOOKUP($B59,'LOD 400 - ADMN'!$B:CV,99,FALSE),"N/A")</f>
        <v>N/A</v>
      </c>
      <c r="BA59" s="84" t="str">
        <f>IFERROR(VLOOKUP($B59,'LOD 400 - ADMN'!$B:CY,102,FALSE),"N/A")</f>
        <v>N/A</v>
      </c>
      <c r="BB59" s="84" t="str">
        <f>IFERROR(VLOOKUP($B59,'LOD 400 - ADMN'!$B:DB,105,FALSE),"N/A")</f>
        <v>N/A</v>
      </c>
      <c r="BC59" s="84" t="str">
        <f>IFERROR(VLOOKUP($B59,'LOD 400 - ADMN'!$B:DE,108,FALSE),"N/A")</f>
        <v>N/A</v>
      </c>
      <c r="BD59" s="84" t="str">
        <f>IFERROR(VLOOKUP($B59,'LOD 400 - ADMN'!$B:DH,111,FALSE),"N/A")</f>
        <v>N/A</v>
      </c>
      <c r="BE59" s="84" t="str">
        <f>IFERROR(VLOOKUP($B59,'LOD 400 - ADMN'!$B:DK,114,FALSE),"N/A")</f>
        <v>N/A</v>
      </c>
      <c r="BF59" s="84" t="str">
        <f>IFERROR(VLOOKUP($B59,'LOD 400 - ADMN'!$B:DN,117,FALSE),"N/A")</f>
        <v>N/A</v>
      </c>
      <c r="BG59" s="86" t="str">
        <f>IFERROR(__xludf.DUMMYFUNCTION("IFERROR(
  MAX(FILTER(Y59:BF59, ISNUMBER(Y59:BF59))),
  BF59
)"),"N/A")</f>
        <v>N/A</v>
      </c>
      <c r="BH59" s="79" t="str">
        <f>IFERROR(VLOOKUP($B59,'LOD 400 - COLO1'!B:S,18,FALSE),"N/A")</f>
        <v>N/A</v>
      </c>
      <c r="BI59" s="79" t="str">
        <f>IFERROR(VLOOKUP($B59,'LOD 400 - COLO1'!B:V,21,FALSE),"N/A")</f>
        <v>N/A</v>
      </c>
      <c r="BJ59" s="79" t="str">
        <f>IFERROR(VLOOKUP($B59,'LOD 400 - COLO1'!$B:Y,24,FALSE),"N/A")</f>
        <v>N/A</v>
      </c>
      <c r="BK59" s="87" t="str">
        <f>IFERROR(VLOOKUP($B59,'LOD 400 - COLO1'!$B:AB,27,FALSE),"N/A")</f>
        <v>N/A</v>
      </c>
      <c r="BL59" s="80" t="str">
        <f>IFERROR(VLOOKUP($B59,'LOD 400 - COLO1'!$B:AE,30,FALSE),"N/A")</f>
        <v>N/A</v>
      </c>
      <c r="BM59" s="81" t="str">
        <f>IFERROR(VLOOKUP($B59,'LOD 400 - COLO1'!$B:AH,33,FALSE),"N/A")</f>
        <v>N/A</v>
      </c>
      <c r="BN59" s="87" t="str">
        <f>IFERROR(VLOOKUP($B59,'LOD 400 - COLO1'!$B:AK,36,FALSE),"N/A")</f>
        <v>N/A</v>
      </c>
      <c r="BO59" s="83" t="str">
        <f>IFERROR(VLOOKUP($B59,'LOD 400 - COLO1'!$B:AN,39,FALSE),"N/A")</f>
        <v>N/A</v>
      </c>
      <c r="BP59" s="88" t="str">
        <f>IFERROR(VLOOKUP($B59,'LOD 400 - COLO1'!$B:AQ,42,FALSE),"N/A")</f>
        <v>N/A</v>
      </c>
      <c r="BQ59" s="84" t="str">
        <f>IFERROR(VLOOKUP($B59,'LOD 400 - COLO1'!$B:AT,45,FALSE),"N/A")</f>
        <v>N/A</v>
      </c>
      <c r="BR59" s="85" t="str">
        <f>IFERROR(VLOOKUP($B59,'LOD 400 - COLO1'!$B:AW,48,FALSE),"N/A")</f>
        <v>N/A</v>
      </c>
      <c r="BS59" s="84" t="str">
        <f>IFERROR(VLOOKUP($B59,'LOD 400 - COLO1'!$B:AZ,51,FALSE),"N/A")</f>
        <v>N/A</v>
      </c>
      <c r="BT59" s="84" t="str">
        <f>IFERROR(VLOOKUP($B59,'LOD 400 - COLO1'!$B:BC,54,FALSE),"N/A")</f>
        <v>N/A</v>
      </c>
      <c r="BU59" s="84" t="str">
        <f>IFERROR(VLOOKUP($B59,'LOD 400 - COLO1'!$B:BF,57,FALSE),"N/A")</f>
        <v>N/A</v>
      </c>
      <c r="BV59" s="84" t="str">
        <f>IFERROR(VLOOKUP($B59,'LOD 400 - COLO1'!$B:BI,60,FALSE),"N/A")</f>
        <v>N/A</v>
      </c>
      <c r="BW59" s="84" t="str">
        <f>IFERROR(VLOOKUP($B59,'LOD 400 - COLO1'!$B:BL,63,FALSE),"N/A")</f>
        <v>N/A</v>
      </c>
      <c r="BX59" s="84" t="str">
        <f>IFERROR(VLOOKUP($B59,'LOD 400 - COLO1'!$B:BO,66,FALSE),"N/A")</f>
        <v>N/A</v>
      </c>
      <c r="BY59" s="84" t="str">
        <f>IFERROR(VLOOKUP($B59,'LOD 400 - COLO1'!$B:BR,69,FALSE),"N/A")</f>
        <v>N/A</v>
      </c>
      <c r="BZ59" s="84" t="str">
        <f>IFERROR(VLOOKUP($B59,'LOD 400 - COLO1'!$B:BU,72,FALSE),"N/A")</f>
        <v>N/A</v>
      </c>
      <c r="CA59" s="84" t="str">
        <f>IFERROR(VLOOKUP($B59,'LOD 400 - COLO1'!$B:BX,75,FALSE),"N/A")</f>
        <v>N/A</v>
      </c>
      <c r="CB59" s="84" t="str">
        <f>IFERROR(VLOOKUP($B59,'LOD 400 - COLO1'!$B:CA,78,FALSE),"N/A")</f>
        <v>N/A</v>
      </c>
      <c r="CC59" s="84" t="str">
        <f>IFERROR(VLOOKUP($B59,'LOD 400 - COLO1'!$B:CD,81,FALSE),"N/A")</f>
        <v>N/A</v>
      </c>
      <c r="CD59" s="85" t="str">
        <f>IFERROR(VLOOKUP($B59,'LOD 400 - COLO1'!$B:CG,84,FALSE),"N/A")</f>
        <v>N/A</v>
      </c>
      <c r="CE59" s="84" t="str">
        <f>IFERROR(VLOOKUP($B59,'LOD 400 - COLO1'!$B:CJ,87,FALSE),"N/A")</f>
        <v>N/A</v>
      </c>
      <c r="CF59" s="85" t="str">
        <f>IFERROR(VLOOKUP($B59,'LOD 400 - COLO1'!$B:CM,90,FALSE),"N/A")</f>
        <v>N/A</v>
      </c>
      <c r="CG59" s="84" t="str">
        <f>IFERROR(VLOOKUP($B59,'LOD 400 - COLO1'!$B:CP,93,FALSE),"N/A")</f>
        <v>N/A</v>
      </c>
      <c r="CH59" s="84" t="str">
        <f>IFERROR(VLOOKUP($B59,'LOD 400 - COLO1'!$B:CS,96,FALSE),"N/A")</f>
        <v>N/A</v>
      </c>
      <c r="CI59" s="84" t="str">
        <f>IFERROR(VLOOKUP($B59,'LOD 400 - COLO1'!$B:CV,99,FALSE),"N/A")</f>
        <v>N/A</v>
      </c>
      <c r="CJ59" s="84" t="str">
        <f>IFERROR(VLOOKUP($B59,'LOD 400 - COLO1'!$B:CY,102,FALSE),"N/A")</f>
        <v>N/A</v>
      </c>
      <c r="CK59" s="84" t="str">
        <f>IFERROR(VLOOKUP($B59,'LOD 400 - COLO1'!$B:DB,105,FALSE),"N/A")</f>
        <v>N/A</v>
      </c>
      <c r="CL59" s="84" t="str">
        <f>IFERROR(VLOOKUP($B59,'LOD 400 - COLO1'!$B:DE,108,FALSE),"N/A")</f>
        <v>N/A</v>
      </c>
      <c r="CM59" s="84" t="str">
        <f>IFERROR(VLOOKUP($B59,'LOD 400 - COLO1'!$B:DH,111,FALSE),"N/A")</f>
        <v>N/A</v>
      </c>
      <c r="CN59" s="84" t="str">
        <f>IFERROR(VLOOKUP($B59,'LOD 400 - COLO1'!$B:DK,114,FALSE),"N/A")</f>
        <v>N/A</v>
      </c>
      <c r="CO59" s="84" t="str">
        <f>IFERROR(VLOOKUP($B59,'LOD 400 - COLO1'!$B:DN,117,FALSE),"N/A")</f>
        <v>N/A</v>
      </c>
      <c r="CP59" s="86" t="str">
        <f>IFERROR(__xludf.DUMMYFUNCTION("IFERROR(
  MAX(FILTER(BH59:CO59, ISNUMBER(BH59:CO59))),
  CO59
)"),"N/A")</f>
        <v>N/A</v>
      </c>
      <c r="CQ59" s="89" t="str">
        <f>IFERROR(VLOOKUP($B59,'LOD 400 - COLO2'!B:S,18,FALSE),"N/A")</f>
        <v>N/A</v>
      </c>
      <c r="CR59" s="79" t="str">
        <f>IFERROR(VLOOKUP($B59,'LOD 400 - COLO2'!B:V,21,FALSE),"N/A")</f>
        <v>N/A</v>
      </c>
      <c r="CS59" s="79" t="str">
        <f>IFERROR(VLOOKUP($B59,'LOD 400 - COLO2'!$B:Y,24,FALSE),"N/A")</f>
        <v>N/A</v>
      </c>
      <c r="CT59" s="80" t="str">
        <f>IFERROR(VLOOKUP($B59,'LOD 400 - COLO2'!$B:DQ,27,FALSE),"N/A")</f>
        <v>N/A</v>
      </c>
      <c r="CU59" s="90" t="str">
        <f>IFERROR(VLOOKUP($B59,'LOD 400 - COLO2'!$B:AE,30,FALSE),"N/A")</f>
        <v>N/A</v>
      </c>
      <c r="CV59" s="81" t="str">
        <f>IFERROR(VLOOKUP($B59,'LOD 400 - COLO2'!$B:AH,33,FALSE),"N/A")</f>
        <v>N/A</v>
      </c>
      <c r="CW59" s="90" t="str">
        <f>IFERROR(VLOOKUP($B59,'LOD 400 - COLO2'!$B:AK,36,FALSE),"N/A")</f>
        <v>N/A</v>
      </c>
      <c r="CX59" s="85" t="str">
        <f>IFERROR(VLOOKUP($B59,'LOD 400 - COLO2'!$B:AN,39,FALSE),"N/A")</f>
        <v>N/A</v>
      </c>
      <c r="CY59" s="88" t="str">
        <f>IFERROR(VLOOKUP($B59,'LOD 400 - COLO2'!$B:AQ,42,FALSE),"N/A")</f>
        <v>N/A</v>
      </c>
      <c r="CZ59" s="84" t="str">
        <f>IFERROR(VLOOKUP($B59,'LOD 400 - COLO2'!$B:AT,45,FALSE),"N/A")</f>
        <v>N/A</v>
      </c>
      <c r="DA59" s="85" t="str">
        <f>IFERROR(VLOOKUP($B59,'LOD 400 - COLO2'!$B:AW,48,FALSE),"N/A")</f>
        <v>N/A</v>
      </c>
      <c r="DB59" s="84" t="str">
        <f>IFERROR(VLOOKUP($B59,'LOD 400 - COLO2'!$B:AZ,51,FALSE),"N/A")</f>
        <v>N/A</v>
      </c>
      <c r="DC59" s="84" t="str">
        <f>IFERROR(VLOOKUP($B59,'LOD 400 - COLO2'!$B:BC,54,FALSE),"N/A")</f>
        <v>N/A</v>
      </c>
      <c r="DD59" s="84" t="str">
        <f>IFERROR(VLOOKUP($B59,'LOD 400 - COLO2'!$B:BF,57,FALSE),"N/A")</f>
        <v>N/A</v>
      </c>
      <c r="DE59" s="84" t="str">
        <f>IFERROR(VLOOKUP($B59,'LOD 400 - COLO2'!$B:BI,60,FALSE),"N/A")</f>
        <v>N/A</v>
      </c>
      <c r="DF59" s="84" t="str">
        <f>IFERROR(VLOOKUP($B59,'LOD 400 - COLO2'!$B:BL,63,FALSE),"N/A")</f>
        <v>N/A</v>
      </c>
      <c r="DG59" s="84" t="str">
        <f>IFERROR(VLOOKUP($B59,'LOD 400 - COLO2'!$B:BO,66,FALSE),"N/A")</f>
        <v>N/A</v>
      </c>
      <c r="DH59" s="84" t="str">
        <f>IFERROR(VLOOKUP($B59,'LOD 400 - COLO2'!$B:BR,69,FALSE),"N/A")</f>
        <v>N/A</v>
      </c>
      <c r="DI59" s="84" t="str">
        <f>IFERROR(VLOOKUP($B59,'LOD 400 - COLO2'!$B:BU,72,FALSE),"N/A")</f>
        <v>N/A</v>
      </c>
      <c r="DJ59" s="84" t="str">
        <f>IFERROR(VLOOKUP($B59,'LOD 400 - COLO2'!$B:BX,75,FALSE),"N/A")</f>
        <v>N/A</v>
      </c>
      <c r="DK59" s="84" t="str">
        <f>IFERROR(VLOOKUP($B59,'LOD 400 - COLO2'!$B:CA,78,FALSE),"N/A")</f>
        <v>N/A</v>
      </c>
      <c r="DL59" s="84" t="str">
        <f>IFERROR(VLOOKUP($B59,'LOD 400 - COLO2'!$B:CD,81,FALSE),"N/A")</f>
        <v>N/A</v>
      </c>
      <c r="DM59" s="85" t="str">
        <f>IFERROR(VLOOKUP($B59,'LOD 400 - COLO2'!$B:CG,84,FALSE),"N/A")</f>
        <v>N/A</v>
      </c>
      <c r="DN59" s="84" t="str">
        <f>IFERROR(VLOOKUP($B59,'LOD 400 - COLO2'!$B:CJ,87,FALSE),"N/A")</f>
        <v>N/A</v>
      </c>
      <c r="DO59" s="85" t="str">
        <f>IFERROR(VLOOKUP($B59,'LOD 400 - COLO2'!$B:CM,90,FALSE),"N/A")</f>
        <v>N/A</v>
      </c>
      <c r="DP59" s="84" t="str">
        <f>IFERROR(VLOOKUP($B59,'LOD 400 - COLO2'!$B:CP,93,FALSE),"N/A")</f>
        <v>N/A</v>
      </c>
      <c r="DQ59" s="84" t="str">
        <f>IFERROR(VLOOKUP($B59,'LOD 400 - COLO2'!$B:CS,96,FALSE),"N/A")</f>
        <v>N/A</v>
      </c>
      <c r="DR59" s="84" t="str">
        <f>IFERROR(VLOOKUP($B59,'LOD 400 - COLO2'!$B:CV,99,FALSE),"N/A")</f>
        <v>N/A</v>
      </c>
      <c r="DS59" s="84" t="str">
        <f>IFERROR(VLOOKUP($B59,'LOD 400 - COLO2'!$B:CY,102,FALSE),"N/A")</f>
        <v>N/A</v>
      </c>
      <c r="DT59" s="84" t="str">
        <f>IFERROR(VLOOKUP($B59,'LOD 400 - COLO2'!$B:DB,105,FALSE),"N/A")</f>
        <v>N/A</v>
      </c>
      <c r="DU59" s="84" t="str">
        <f>IFERROR(VLOOKUP($B59,'LOD 400 - COLO2'!$B:DE,108,FALSE),"N/A")</f>
        <v>N/A</v>
      </c>
      <c r="DV59" s="84" t="str">
        <f>IFERROR(VLOOKUP($B59,'LOD 400 - COLO2'!$B:DH,111,FALSE),"N/A")</f>
        <v>N/A</v>
      </c>
      <c r="DW59" s="84" t="str">
        <f>IFERROR(VLOOKUP($B59,'LOD 400 - COLO2'!$B:DK,114,FALSE),"N/A")</f>
        <v>N/A</v>
      </c>
      <c r="DX59" s="84" t="str">
        <f>IFERROR(VLOOKUP($B59,'LOD 400 - COLO2'!$B:DN,117,FALSE),"N/A")</f>
        <v>N/A</v>
      </c>
      <c r="DY59" s="91" t="str">
        <f>IFERROR(__xludf.DUMMYFUNCTION("IFERROR(
  MAX(FILTER(CQ59:DW59, ISNUMBER(CQ59:DW59))),
  DW59
)"),"N/A")</f>
        <v>N/A</v>
      </c>
      <c r="DZ59" s="92" t="str">
        <f>IFERROR(VLOOKUP($B59,'LOD 400 - COLO3'!B:S,18,FALSE),"N/A")</f>
        <v>N/A</v>
      </c>
      <c r="EA59" s="84" t="str">
        <f>IFERROR(VLOOKUP($B59,'LOD 400 - COLO3'!B:V,21,FALSE),"N/A")</f>
        <v>N/A</v>
      </c>
      <c r="EB59" s="84" t="str">
        <f>IFERROR(VLOOKUP($B59,'LOD 400 - COLO3'!B:Y,24,FALSE),"N/A")</f>
        <v>N/A</v>
      </c>
      <c r="EC59" s="84" t="str">
        <f>IFERROR(VLOOKUP($B59,'LOD 400 - COLO3'!B:AB,27,FALSE),"N/A")</f>
        <v>N/A</v>
      </c>
      <c r="ED59" s="85" t="str">
        <f>IFERROR(VLOOKUP($B59,'LOD 400 - COLO3'!B:AE,30,FALSE),"N/A")</f>
        <v>N/A</v>
      </c>
      <c r="EE59" s="84" t="str">
        <f>IFERROR(VLOOKUP($B59,'LOD 400 - COLO3'!B:AH,33,FALSE),"N/A")</f>
        <v>N/A</v>
      </c>
      <c r="EF59" s="84" t="str">
        <f>IFERROR(VLOOKUP($B59,'LOD 400 - COLO3'!B:AK,36,FALSE),"N/A")</f>
        <v>N/A</v>
      </c>
      <c r="EG59" s="109" t="str">
        <f>IFERROR(VLOOKUP($B59,'LOD 400 - COLO3'!B:AN,39,FALSE),"N/A")</f>
        <v>N/A</v>
      </c>
      <c r="EH59" s="94" t="str">
        <f>IFERROR(VLOOKUP($B59,'LOD 400 - COLO3'!B:AQ,42,FALSE),"N/A")</f>
        <v>N/A</v>
      </c>
      <c r="EI59" s="94" t="str">
        <f>IFERROR(VLOOKUP($B59,'LOD 400 - COLO3'!B:AT,45,FALSE),"N/A")</f>
        <v>N/A</v>
      </c>
      <c r="EJ59" s="94" t="str">
        <f>IFERROR(VLOOKUP($B59,'LOD 400 - COLO3'!B:AW,48,FALSE),"N/A")</f>
        <v>N/A</v>
      </c>
      <c r="EK59" s="94" t="str">
        <f>IFERROR(VLOOKUP($B59,'LOD 400 - COLO3'!B:AZ,51,FALSE),"N/A")</f>
        <v>N/A</v>
      </c>
      <c r="EL59" s="94" t="str">
        <f>IFERROR(VLOOKUP($B59,'LOD 400 - COLO3'!B:BC,54,FALSE),"N/A")</f>
        <v>N/A</v>
      </c>
      <c r="EM59" s="94" t="str">
        <f>IFERROR(VLOOKUP($B59,'LOD 400 - COLO3'!B:BF,57,FALSE),"N/A")</f>
        <v>N/A</v>
      </c>
      <c r="EN59" s="94" t="str">
        <f>IFERROR(VLOOKUP($B59,'LOD 400 - COLO3'!B:BI,60,FALSE),"N/A")</f>
        <v>N/A</v>
      </c>
      <c r="EO59" s="94" t="str">
        <f>IFERROR(VLOOKUP($B59,'LOD 400 - COLO3'!B:BL,63,FALSE),"N/A")</f>
        <v>N/A</v>
      </c>
      <c r="EP59" s="86" t="str">
        <f>IFERROR(__xludf.DUMMYFUNCTION("IFERROR(
  MAX(FILTER(DZ59:EO59, ISNUMBER(DZ59:EO59))),
  EO59
)"),"N/A")</f>
        <v>N/A</v>
      </c>
      <c r="EQ59" s="95" t="str">
        <f>IFERROR(VLOOKUP($B59,'LOD 400 - COLO4'!B:S,18,FALSE),"N/A")</f>
        <v>N/A</v>
      </c>
      <c r="ER59" s="96" t="str">
        <f>IFERROR(__xludf.DUMMYFUNCTION("IFERROR(
  MAX(FILTER(EQ59, ISNUMBER(EQ59))),
  EQ59
)"),"N/A")</f>
        <v>N/A</v>
      </c>
      <c r="ES59" s="79" t="str">
        <f>IFERROR(VLOOKUP($B59,'LOD 400 - SITE'!B:S,18,FALSE),"N/A")</f>
        <v>OUTDATED</v>
      </c>
      <c r="ET59" s="80" t="str">
        <f>IFERROR(VLOOKUP($B59,'LOD 400 - SITE'!B:V,21,FALSE),"N/A")</f>
        <v>OUTDATED</v>
      </c>
      <c r="EU59" s="97">
        <f>IFERROR(VLOOKUP($B59,'LOD 400 - SITE'!$B:Y,24,FALSE),"N/A")</f>
        <v>0.06</v>
      </c>
      <c r="EV59" s="80" t="str">
        <f>IFERROR(VLOOKUP($B59,'LOD 400 - SITE'!$B:AB,27,FALSE),"N/A")</f>
        <v>IMPROPER</v>
      </c>
      <c r="EW59" s="81">
        <f>IFERROR(VLOOKUP($B59,'LOD 400 - SITE'!$B:AE,30,FALSE),"N/A")</f>
        <v>0.54</v>
      </c>
      <c r="EX59" s="87" t="str">
        <f>IFERROR(VLOOKUP($B59,'LOD 400 - SITE'!$B:AH,33,FALSE),"N/A")</f>
        <v>OUTDATED</v>
      </c>
      <c r="EY59" s="87">
        <f>IFERROR(VLOOKUP($B59,'LOD 400 - SITE'!$B:AK,36,FALSE),"N/A")</f>
        <v>0.6</v>
      </c>
      <c r="EZ59" s="80" t="str">
        <f>IFERROR(VLOOKUP($B59,'LOD 400 - SITE'!$B:AN,39,FALSE),"N/A")</f>
        <v>NEXT ROUND </v>
      </c>
      <c r="FA59" s="82">
        <f>IFERROR(VLOOKUP($B59,'LOD 400 - SITE'!$B:AQ,42,FALSE),"N/A")</f>
        <v>1</v>
      </c>
      <c r="FB59" s="88">
        <f>IFERROR(VLOOKUP($B59,'LOD 400 - SITE'!$B:AT,45,FALSE),"N/A")</f>
        <v>1</v>
      </c>
      <c r="FC59" s="84">
        <f>IFERROR(VLOOKUP($B59,'LOD 400 - SITE'!$B:AW,48,FALSE),"N/A")</f>
        <v>1</v>
      </c>
      <c r="FD59" s="84">
        <f>IFERROR(VLOOKUP($B59,'LOD 400 - SITE'!$B:AZ,51,FALSE),"N/A")</f>
        <v>1</v>
      </c>
      <c r="FE59" s="84">
        <f>IFERROR(VLOOKUP($B59,'LOD 400 - SITE'!$B:BC,54,FALSE),"N/A")</f>
        <v>1</v>
      </c>
      <c r="FF59" s="84">
        <f>IFERROR(VLOOKUP($B59,'LOD 400 - SITE'!$B:BF,57,FALSE),"N/A")</f>
        <v>1</v>
      </c>
      <c r="FG59" s="84">
        <f>IFERROR(VLOOKUP($B59,'LOD 400 - SITE'!$B:BI,60,FALSE),"N/A")</f>
        <v>1</v>
      </c>
      <c r="FH59" s="84">
        <f>IFERROR(VLOOKUP($B59,'LOD 400 - SITE'!$B:BL,63,FALSE),"N/A")</f>
        <v>1</v>
      </c>
      <c r="FI59" s="84">
        <f>IFERROR(VLOOKUP($B59,'LOD 400 - SITE'!$B:BO,66,FALSE),"N/A")</f>
        <v>1</v>
      </c>
      <c r="FJ59" s="84">
        <f>IFERROR(VLOOKUP($B59,'LOD 400 - SITE'!$B:BR,69,FALSE),"N/A")</f>
        <v>1</v>
      </c>
      <c r="FK59" s="84">
        <f>IFERROR(VLOOKUP($B59,'LOD 400 - SITE'!$B:BU,72,FALSE),"N/A")</f>
        <v>1</v>
      </c>
      <c r="FL59" s="84">
        <f>IFERROR(VLOOKUP($B59,'LOD 400 - SITE'!$B:BX,75,FALSE),"N/A")</f>
        <v>1</v>
      </c>
      <c r="FM59" s="84">
        <f>IFERROR(VLOOKUP($B59,'LOD 400 - SITE'!$B:CA,78,FALSE),"N/A")</f>
        <v>1</v>
      </c>
      <c r="FN59" s="85">
        <f>IFERROR(VLOOKUP($B59,'LOD 400 - SITE'!$B:CD,81,FALSE),"N/A")</f>
        <v>1</v>
      </c>
      <c r="FO59" s="84">
        <f>IFERROR(VLOOKUP($B59,'LOD 400 - SITE'!$B:CG,84,FALSE),"N/A")</f>
        <v>1</v>
      </c>
      <c r="FP59" s="85">
        <f>IFERROR(VLOOKUP($B59,'LOD 400 - SITE'!$B:CJ,87,FALSE),"N/A")</f>
        <v>1</v>
      </c>
      <c r="FQ59" s="84">
        <f>IFERROR(VLOOKUP($B59,'LOD 400 - SITE'!$B:CM,90,FALSE),"N/A")</f>
        <v>1</v>
      </c>
      <c r="FR59" s="84">
        <f>IFERROR(VLOOKUP($B59,'LOD 400 - SITE'!$B:CP,93,FALSE),"N/A")</f>
        <v>1</v>
      </c>
      <c r="FS59" s="84">
        <f>IFERROR(VLOOKUP($B59,'LOD 400 - SITE'!$B:CS,96,FALSE),"N/A")</f>
        <v>1</v>
      </c>
      <c r="FT59" s="84">
        <f>IFERROR(VLOOKUP($B59,'LOD 400 - SITE'!$B:CV,99,FALSE),"N/A")</f>
        <v>1</v>
      </c>
      <c r="FU59" s="84">
        <f>IFERROR(VLOOKUP($B59,'LOD 400 - SITE'!$B:CY,102,FALSE),"N/A")</f>
        <v>1</v>
      </c>
      <c r="FV59" s="84">
        <f>IFERROR(VLOOKUP($B59,'LOD 400 - SITE'!$B:DB,105,FALSE),"N/A")</f>
        <v>1</v>
      </c>
      <c r="FW59" s="84">
        <f>IFERROR(VLOOKUP($B59,'LOD 400 - SITE'!$B:DE,108,FALSE),"N/A")</f>
        <v>1</v>
      </c>
      <c r="FX59" s="84">
        <f>IFERROR(VLOOKUP($B59,'LOD 400 - SITE'!$B:DH,111,FALSE),"N/A")</f>
        <v>1</v>
      </c>
      <c r="FY59" s="84">
        <f>IFERROR(VLOOKUP($B59,'LOD 400 - SITE'!$B:DK,114,FALSE),"N/A")</f>
        <v>1</v>
      </c>
      <c r="FZ59" s="96">
        <f>IFERROR(__xludf.DUMMYFUNCTION("IFERROR(
  MAX(FILTER(ES59:FY59, ISNUMBER(ES59:FY59))),
  FY59
)"),1.0)</f>
        <v>1</v>
      </c>
      <c r="GA59" s="80" t="str">
        <f>IFERROR(VLOOKUP($B59,'LOD 400 - UTLS'!B:S,18,FALSE),"N/A")</f>
        <v>OUTDATED</v>
      </c>
      <c r="GB59" s="98">
        <f>IFERROR(VLOOKUP($B59,'LOD 400 - UTLS'!B:V,21,FALSE),"N/A")</f>
        <v>0.27</v>
      </c>
      <c r="GC59" s="81">
        <f>IFERROR(VLOOKUP($B59,'LOD 400 - UTLS'!B:Y,24,FALSE),"N/A")</f>
        <v>0.6</v>
      </c>
      <c r="GD59" s="87">
        <f>IFERROR(VLOOKUP($B59,'LOD 400 - UTLS'!$B:AB,27,FALSE),"N/A")</f>
        <v>0.72</v>
      </c>
      <c r="GE59" s="80" t="str">
        <f>IFERROR(VLOOKUP($B59,'LOD 400 - UTLS'!$B:AE,30,FALSE),"N/A")</f>
        <v>NEXT ROUND</v>
      </c>
      <c r="GF59" s="82">
        <f>IFERROR(VLOOKUP($B59,'LOD 400 - UTLS'!$B:AH,33,FALSE),"N/A")</f>
        <v>1</v>
      </c>
      <c r="GG59" s="88">
        <f>IFERROR(VLOOKUP($B59,'LOD 400 - UTLS'!$B:AK,36,FALSE),"N/A")</f>
        <v>1</v>
      </c>
      <c r="GH59" s="84">
        <f>IFERROR(VLOOKUP($B59,'LOD 400 - UTLS'!$B:AN,39,FALSE),"N/A")</f>
        <v>1</v>
      </c>
      <c r="GI59" s="84">
        <f>IFERROR(VLOOKUP($B59,'LOD 400 - UTLS'!$B:AQ,42,FALSE),"N/A")</f>
        <v>1</v>
      </c>
      <c r="GJ59" s="84">
        <f>IFERROR(VLOOKUP($B59,'LOD 400 - UTLS'!$B:AT,45,FALSE),"N/A")</f>
        <v>1</v>
      </c>
      <c r="GK59" s="84">
        <f>IFERROR(VLOOKUP($B59,'LOD 400 - UTLS'!$B:AW,48,FALSE),"N/A")</f>
        <v>1</v>
      </c>
      <c r="GL59" s="84">
        <f>IFERROR(VLOOKUP($B59,'LOD 400 - UTLS'!$B:AZ,51,FALSE),"N/A")</f>
        <v>1</v>
      </c>
      <c r="GM59" s="84">
        <f>IFERROR(VLOOKUP($B59,'LOD 400 - UTLS'!$B:BC,54,FALSE),"N/A")</f>
        <v>1</v>
      </c>
      <c r="GN59" s="84">
        <f>IFERROR(VLOOKUP($B59,'LOD 400 - UTLS'!$B:BF,57,FALSE),"N/A")</f>
        <v>1</v>
      </c>
      <c r="GO59" s="84">
        <f>IFERROR(VLOOKUP($B59,'LOD 400 - UTLS'!$B:BI,60,FALSE),"N/A")</f>
        <v>1</v>
      </c>
      <c r="GP59" s="84">
        <f>IFERROR(VLOOKUP($B59,'LOD 400 - UTLS'!$B:BL,63,FALSE),"N/A")</f>
        <v>1</v>
      </c>
      <c r="GQ59" s="84">
        <f>IFERROR(VLOOKUP($B59,'LOD 400 - UTLS'!$B:BO,66,FALSE),"N/A")</f>
        <v>1</v>
      </c>
      <c r="GR59" s="84">
        <f>IFERROR(VLOOKUP($B59,'LOD 400 - UTLS'!$B:BR,69,FALSE),"N/A")</f>
        <v>1</v>
      </c>
      <c r="GS59" s="85">
        <f>IFERROR(VLOOKUP($B59,'LOD 400 - UTLS'!$B:BU,72,FALSE),"N/A")</f>
        <v>1</v>
      </c>
      <c r="GT59" s="84">
        <f>IFERROR(VLOOKUP($B59,'LOD 400 - UTLS'!$B:BX,75,FALSE),"N/A")</f>
        <v>1</v>
      </c>
      <c r="GU59" s="85">
        <f>IFERROR(VLOOKUP($B59,'LOD 400 - UTLS'!$B:CA,78,FALSE),"N/A")</f>
        <v>1</v>
      </c>
      <c r="GV59" s="84">
        <f>IFERROR(VLOOKUP($B59,'LOD 400 - UTLS'!$B:CD,81,FALSE),"N/A")</f>
        <v>1</v>
      </c>
      <c r="GW59" s="84">
        <f>IFERROR(VLOOKUP($B59,'LOD 400 - UTLS'!$B:CG,84,FALSE),"N/A")</f>
        <v>1</v>
      </c>
      <c r="GX59" s="84">
        <f>IFERROR(VLOOKUP($B59,'LOD 400 - UTLS'!$B:CJ,87,FALSE),"N/A")</f>
        <v>1</v>
      </c>
      <c r="GY59" s="84">
        <f>IFERROR(VLOOKUP($B59,'LOD 400 - UTLS'!$B:CM,90,FALSE),"N/A")</f>
        <v>1</v>
      </c>
      <c r="GZ59" s="84">
        <f>IFERROR(VLOOKUP($B59,'LOD 400 - UTLS'!$B:CP,93,FALSE),"N/A")</f>
        <v>1</v>
      </c>
      <c r="HA59" s="84">
        <f>IFERROR(VLOOKUP($B59,'LOD 400 - UTLS'!$B:CS,96,FALSE),"N/A")</f>
        <v>1</v>
      </c>
      <c r="HB59" s="84">
        <f>IFERROR(VLOOKUP($B59,'LOD 400 - UTLS'!$B:CV,99,FALSE),"N/A")</f>
        <v>1</v>
      </c>
      <c r="HC59" s="84">
        <f>IFERROR(VLOOKUP($B59,'LOD 400 - UTLS'!$B:CY,102,FALSE),"N/A")</f>
        <v>1</v>
      </c>
      <c r="HD59" s="84">
        <f>IFERROR(VLOOKUP($B59,'LOD 400 - UTLS'!$B:DB,105,FALSE),"N/A")</f>
        <v>1</v>
      </c>
      <c r="HE59" s="96">
        <f>IFERROR(__xludf.DUMMYFUNCTION("IFERROR(
  MAX(FILTER(GA59:HD59, ISNUMBER(GA59:HD59))),
  HD59
)"),1.0)</f>
        <v>1</v>
      </c>
      <c r="HF59" s="99"/>
      <c r="HG59" s="99"/>
      <c r="HH59" s="99"/>
      <c r="HI59" s="99"/>
      <c r="HJ59" s="99"/>
      <c r="HK59" s="99"/>
    </row>
    <row r="60" ht="15.0" customHeight="1" outlineLevel="1">
      <c r="A60" s="53">
        <v>64.0</v>
      </c>
      <c r="B60" s="145" t="s">
        <v>204</v>
      </c>
      <c r="C60" s="145" t="s">
        <v>205</v>
      </c>
      <c r="D60" s="64" t="str">
        <f t="shared" si="10"/>
        <v>DATA</v>
      </c>
      <c r="E60" s="101" t="s">
        <v>154</v>
      </c>
      <c r="F60" s="102">
        <v>1112.0</v>
      </c>
      <c r="G60" s="103" t="s">
        <v>155</v>
      </c>
      <c r="H60" s="104">
        <v>1129.0</v>
      </c>
      <c r="I60" s="68" t="str">
        <f>IFERROR(VLOOKUP($C57:C108,'R22 RELATÓRIO ACC'!B:F,5,FALSE),"NOT PUBLISHED")</f>
        <v>V52</v>
      </c>
      <c r="J60" s="69" t="str">
        <f>IFERROR(VLOOKUP($C57:C108,'R22 RELATÓRIO ACC'!B:P,15,FALSE),"NOT PUBLISHED")</f>
        <v>30/04/2026</v>
      </c>
      <c r="K60" s="70" t="str">
        <f>IFERROR(VLOOKUP($B56:B108,'RELATÓRIO ACC'!B:F,5,FALSE),"NOT PUBLISHED")</f>
        <v>V4</v>
      </c>
      <c r="L60" s="71" t="str">
        <f>IFERROR(VLOOKUP($B56:B108,'RELATÓRIO ACC'!B:P,15,FALSE),"NOT PUBLISHED")</f>
        <v>06/07/2026</v>
      </c>
      <c r="M60" s="72" t="str">
        <f>IF(OR($D60="UTLS",$D60="GUAR",$D60="STIR",$D60="PUMP",$D60="SITE"),
   VLOOKUP($B60,'LOD 400 - SITE'!B:M,12,FALSE),
   VLOOKUP($B60,'LOD 400 - ADMN'!B:M,12,FALSE)
)</f>
        <v>V42</v>
      </c>
      <c r="N60" s="105" t="str">
        <f>IF(OR($D60="UTLS",$D60="GUAR",$D60="STIR",$D60="PUMP",$D60="SITE"),
   VLOOKUP($B60,'LOD 400 - SITE'!B:N,13,FALSE),
   VLOOKUP($B60,'LOD 400 - ADMN'!B:N,13,FALSE)
)</f>
        <v>23/12/2025</v>
      </c>
      <c r="O60" s="106" t="str">
        <f>IF(OR($D60="UTLS",$D60="GUAR",$D60="STIR",$D60="PUMP",$D60="SITE"),
   VLOOKUP($B60,'LOD 400 - SITE'!B:O,14,FALSE),
   VLOOKUP($B60,'LOD 400 - ADMN'!B:O,14,FALSE)
)</f>
        <v>R22</v>
      </c>
      <c r="P60" s="107" t="str">
        <f>IF(OR($D60="C345",$D60="C12A",$D60="DATA"),
   VLOOKUP($B60,'LOD 400 - COLO3'!B:M,12,FALSE),"N/A")</f>
        <v>V4</v>
      </c>
      <c r="Q60" s="108">
        <f>IF(OR($D60="C345",$D60="C12A",$D60="DATA"),
   VLOOKUP($B60,'LOD 400 - COLO3'!B:N,13,FALSE),"N/A")</f>
        <v>46209</v>
      </c>
      <c r="R60" s="75" t="str">
        <f>IF(OR($D60="C345",$D60="C12A",$D60="DATA"),
   VLOOKUP($B60,'LOD 400 - COLO3'!B:O,14,FALSE),"N/A")</f>
        <v>R24</v>
      </c>
      <c r="S60" s="76" t="str">
        <f>IF(OR($D60="C345",$D60="C12A",$D60="DATA"),
   VLOOKUP($B60,'LOD 400 - COLO4'!B:N,12,FALSE),"N/A")</f>
        <v>N/A</v>
      </c>
      <c r="T60" s="76" t="str">
        <f>IF(OR($D60="C345",$D60="C12A",$D60="DATA"),
   VLOOKUP($B60,'LOD 400 - COLO4'!B:N,13,FALSE),"N/A")</f>
        <v>N/A</v>
      </c>
      <c r="U60" s="76" t="str">
        <f>IF(OR($D60="C345",$D60="C12A",$D60="DATA"),
   VLOOKUP($B60,'LOD 400 - COLO4'!B:N,13,FALSE),"N/A")</f>
        <v>N/A</v>
      </c>
      <c r="V60" s="77" t="str">
        <f>IF(OR($D60="UTLS",$D60="GUAR",$D60="STIR",$D60="PUMP",$D60="SITE"),
   VLOOKUP($B60,'LOD 400 - UTLS'!B:M,12,FALSE),"N/A")</f>
        <v>N/A</v>
      </c>
      <c r="W60" s="78" t="str">
        <f>IF(OR($D60="UTLS",$D60="GUAR",$D60="STIR",$D60="PUMP",$D60="SITE"),
   VLOOKUP($B60,'LOD 400 - UTLS'!B:N,13,FALSE),"N/A")</f>
        <v>N/A</v>
      </c>
      <c r="X60" s="108" t="str">
        <f>IF(OR($D60="UTLS",$D60="GUAR",$D60="STIR",$D60="PUMP",$D60="SITE"),
   VLOOKUP($B60,'LOD 400 - UTLS'!B:O,14,FALSE),"N/A")</f>
        <v>N/A</v>
      </c>
      <c r="Y60" s="79">
        <f>IFERROR(VLOOKUP($B60,'LOD 400 - ADMN'!B:S,18,FALSE),"N/A")</f>
        <v>0.09</v>
      </c>
      <c r="Z60" s="79" t="str">
        <f>IFERROR(VLOOKUP($B60,'LOD 400 - ADMN'!B:V,21,FALSE),"N/A")</f>
        <v>OUTDATED</v>
      </c>
      <c r="AA60" s="79">
        <f>IFERROR(VLOOKUP($B60,'LOD 400 - ADMN'!$B:Y,24,FALSE),"N/A")</f>
        <v>0.14</v>
      </c>
      <c r="AB60" s="80" t="str">
        <f>IFERROR(VLOOKUP($B60,'LOD 400 - ADMN'!$B:AB,27,FALSE),"N/A")</f>
        <v>NEXT ROUND</v>
      </c>
      <c r="AC60" s="81">
        <f>IFERROR(VLOOKUP($B60,'LOD 400 - ADMN'!$B:AE,30,FALSE),"N/A")</f>
        <v>0.36</v>
      </c>
      <c r="AD60" s="81" t="str">
        <f>IFERROR(VLOOKUP($B60,'LOD 400 - ADMN'!$B:AH,33,FALSE),"N/A")</f>
        <v>IMPROPER</v>
      </c>
      <c r="AE60" s="80" t="str">
        <f>IFERROR(VLOOKUP($B60,'LOD 400 - ADMN'!$B:AK,36,FALSE),"N/A")</f>
        <v>NEXT ROUND</v>
      </c>
      <c r="AF60" s="82">
        <f>IFERROR(VLOOKUP($B60,'LOD 400 - ADMN'!$B:AN,39,FALSE),"N/A")</f>
        <v>0.45</v>
      </c>
      <c r="AG60" s="83">
        <f>IFERROR(VLOOKUP($B60,'LOD 400 - ADMN'!$B:AQ,42,FALSE),"N/A")</f>
        <v>0.96</v>
      </c>
      <c r="AH60" s="84">
        <f>IFERROR(VLOOKUP($B60,'LOD 400 - ADMN'!$B:AT,45,FALSE),"N/A")</f>
        <v>1</v>
      </c>
      <c r="AI60" s="85">
        <f>IFERROR(VLOOKUP($B60,'LOD 400 - ADMN'!$B:AW,48,FALSE),"N/A")</f>
        <v>1</v>
      </c>
      <c r="AJ60" s="85">
        <f>IFERROR(VLOOKUP($B60,'LOD 400 - ADMN'!$B:AZ,51,FALSE),"N/A")</f>
        <v>1</v>
      </c>
      <c r="AK60" s="84">
        <f>IFERROR(VLOOKUP($B60,'LOD 400 - ADMN'!$B:BC,54,FALSE),"N/A")</f>
        <v>1</v>
      </c>
      <c r="AL60" s="84">
        <f>IFERROR(VLOOKUP($B60,'LOD 400 - ADMN'!$B:BF,57,FALSE),"N/A")</f>
        <v>1</v>
      </c>
      <c r="AM60" s="84">
        <f>IFERROR(VLOOKUP($B60,'LOD 400 - ADMN'!$B:BI,60,FALSE),"N/A")</f>
        <v>1</v>
      </c>
      <c r="AN60" s="84">
        <f>IFERROR(VLOOKUP($B60,'LOD 400 - ADMN'!$B:BL,63,FALSE),"N/A")</f>
        <v>1</v>
      </c>
      <c r="AO60" s="84">
        <f>IFERROR(VLOOKUP($B60,'LOD 400 - ADMN'!$B:BO,66,FALSE),"N/A")</f>
        <v>1</v>
      </c>
      <c r="AP60" s="84">
        <f>IFERROR(VLOOKUP($B60,'LOD 400 - ADMN'!$B:BR,69,FALSE),"N/A")</f>
        <v>1</v>
      </c>
      <c r="AQ60" s="84">
        <f>IFERROR(VLOOKUP($B60,'LOD 400 - ADMN'!$B:BU,72,FALSE),"N/A")</f>
        <v>1</v>
      </c>
      <c r="AR60" s="84">
        <f>IFERROR(VLOOKUP($B60,'LOD 400 - ADMN'!$B:BX,75,FALSE),"N/A")</f>
        <v>1</v>
      </c>
      <c r="AS60" s="84">
        <f>IFERROR(VLOOKUP($B60,'LOD 400 - ADMN'!$B:CA,78,FALSE),"N/A")</f>
        <v>1</v>
      </c>
      <c r="AT60" s="84">
        <f>IFERROR(VLOOKUP($B60,'LOD 400 - ADMN'!$B:CD,81,FALSE),"N/A")</f>
        <v>1</v>
      </c>
      <c r="AU60" s="85">
        <f>IFERROR(VLOOKUP($B60,'LOD 400 - ADMN'!$B:CG,84,FALSE),"N/A")</f>
        <v>1</v>
      </c>
      <c r="AV60" s="84">
        <f>IFERROR(VLOOKUP($B60,'LOD 400 - ADMN'!$B:CJ,87,FALSE),"N/A")</f>
        <v>1</v>
      </c>
      <c r="AW60" s="85">
        <f>IFERROR(VLOOKUP($B60,'LOD 400 - ADMN'!$B:CM,90,FALSE),"N/A")</f>
        <v>1</v>
      </c>
      <c r="AX60" s="84">
        <f>IFERROR(VLOOKUP($B60,'LOD 400 - ADMN'!$B:CP,93,FALSE),"N/A")</f>
        <v>1</v>
      </c>
      <c r="AY60" s="84">
        <f>IFERROR(VLOOKUP($B60,'LOD 400 - ADMN'!$B:CS,96,FALSE),"N/A")</f>
        <v>1</v>
      </c>
      <c r="AZ60" s="84">
        <f>IFERROR(VLOOKUP($B60,'LOD 400 - ADMN'!$B:CV,99,FALSE),"N/A")</f>
        <v>1</v>
      </c>
      <c r="BA60" s="84">
        <f>IFERROR(VLOOKUP($B60,'LOD 400 - ADMN'!$B:CY,102,FALSE),"N/A")</f>
        <v>1</v>
      </c>
      <c r="BB60" s="84">
        <f>IFERROR(VLOOKUP($B60,'LOD 400 - ADMN'!$B:DB,105,FALSE),"N/A")</f>
        <v>1</v>
      </c>
      <c r="BC60" s="84">
        <f>IFERROR(VLOOKUP($B60,'LOD 400 - ADMN'!$B:DE,108,FALSE),"N/A")</f>
        <v>1</v>
      </c>
      <c r="BD60" s="84">
        <f>IFERROR(VLOOKUP($B60,'LOD 400 - ADMN'!$B:DH,111,FALSE),"N/A")</f>
        <v>1</v>
      </c>
      <c r="BE60" s="84">
        <f>IFERROR(VLOOKUP($B60,'LOD 400 - ADMN'!$B:DK,114,FALSE),"N/A")</f>
        <v>1</v>
      </c>
      <c r="BF60" s="84">
        <f>IFERROR(VLOOKUP($B60,'LOD 400 - ADMN'!$B:DN,117,FALSE),"N/A")</f>
        <v>1</v>
      </c>
      <c r="BG60" s="86">
        <f>IFERROR(__xludf.DUMMYFUNCTION("IFERROR(
  MAX(FILTER(Y60:BF60, ISNUMBER(Y60:BF60))),
  BF60
)"),1.0)</f>
        <v>1</v>
      </c>
      <c r="BH60" s="79">
        <f>IFERROR(VLOOKUP($B60,'LOD 400 - COLO1'!B:S,18,FALSE),"N/A")</f>
        <v>0.09</v>
      </c>
      <c r="BI60" s="79" t="str">
        <f>IFERROR(VLOOKUP($B60,'LOD 400 - COLO1'!B:V,21,FALSE),"N/A")</f>
        <v>OUTDATED</v>
      </c>
      <c r="BJ60" s="79">
        <f>IFERROR(VLOOKUP($B60,'LOD 400 - COLO1'!$B:Y,24,FALSE),"N/A")</f>
        <v>0.19</v>
      </c>
      <c r="BK60" s="87" t="str">
        <f>IFERROR(VLOOKUP($B60,'LOD 400 - COLO1'!$B:AB,27,FALSE),"N/A")</f>
        <v>NEXT ROUND</v>
      </c>
      <c r="BL60" s="80">
        <f>IFERROR(VLOOKUP($B60,'LOD 400 - COLO1'!$B:AE,30,FALSE),"N/A")</f>
        <v>0.38</v>
      </c>
      <c r="BM60" s="81" t="str">
        <f>IFERROR(VLOOKUP($B60,'LOD 400 - COLO1'!$B:AH,33,FALSE),"N/A")</f>
        <v>IMPROPER</v>
      </c>
      <c r="BN60" s="87" t="str">
        <f>IFERROR(VLOOKUP($B60,'LOD 400 - COLO1'!$B:AK,36,FALSE),"N/A")</f>
        <v>NEXT ROUND</v>
      </c>
      <c r="BO60" s="83">
        <f>IFERROR(VLOOKUP($B60,'LOD 400 - COLO1'!$B:AN,39,FALSE),"N/A")</f>
        <v>0.44</v>
      </c>
      <c r="BP60" s="88">
        <f>IFERROR(VLOOKUP($B60,'LOD 400 - COLO1'!$B:AQ,42,FALSE),"N/A")</f>
        <v>0.96</v>
      </c>
      <c r="BQ60" s="84">
        <f>IFERROR(VLOOKUP($B60,'LOD 400 - COLO1'!$B:AT,45,FALSE),"N/A")</f>
        <v>1</v>
      </c>
      <c r="BR60" s="85">
        <f>IFERROR(VLOOKUP($B60,'LOD 400 - COLO1'!$B:AW,48,FALSE),"N/A")</f>
        <v>1</v>
      </c>
      <c r="BS60" s="84">
        <f>IFERROR(VLOOKUP($B60,'LOD 400 - COLO1'!$B:AZ,51,FALSE),"N/A")</f>
        <v>1</v>
      </c>
      <c r="BT60" s="84">
        <f>IFERROR(VLOOKUP($B60,'LOD 400 - COLO1'!$B:BC,54,FALSE),"N/A")</f>
        <v>1</v>
      </c>
      <c r="BU60" s="84">
        <f>IFERROR(VLOOKUP($B60,'LOD 400 - COLO1'!$B:BF,57,FALSE),"N/A")</f>
        <v>1</v>
      </c>
      <c r="BV60" s="84">
        <f>IFERROR(VLOOKUP($B60,'LOD 400 - COLO1'!$B:BI,60,FALSE),"N/A")</f>
        <v>1</v>
      </c>
      <c r="BW60" s="84">
        <f>IFERROR(VLOOKUP($B60,'LOD 400 - COLO1'!$B:BL,63,FALSE),"N/A")</f>
        <v>1</v>
      </c>
      <c r="BX60" s="84">
        <f>IFERROR(VLOOKUP($B60,'LOD 400 - COLO1'!$B:BO,66,FALSE),"N/A")</f>
        <v>1</v>
      </c>
      <c r="BY60" s="84">
        <f>IFERROR(VLOOKUP($B60,'LOD 400 - COLO1'!$B:BR,69,FALSE),"N/A")</f>
        <v>1</v>
      </c>
      <c r="BZ60" s="84">
        <f>IFERROR(VLOOKUP($B60,'LOD 400 - COLO1'!$B:BU,72,FALSE),"N/A")</f>
        <v>1</v>
      </c>
      <c r="CA60" s="84">
        <f>IFERROR(VLOOKUP($B60,'LOD 400 - COLO1'!$B:BX,75,FALSE),"N/A")</f>
        <v>1</v>
      </c>
      <c r="CB60" s="84">
        <f>IFERROR(VLOOKUP($B60,'LOD 400 - COLO1'!$B:CA,78,FALSE),"N/A")</f>
        <v>1</v>
      </c>
      <c r="CC60" s="84">
        <f>IFERROR(VLOOKUP($B60,'LOD 400 - COLO1'!$B:CD,81,FALSE),"N/A")</f>
        <v>1</v>
      </c>
      <c r="CD60" s="85">
        <f>IFERROR(VLOOKUP($B60,'LOD 400 - COLO1'!$B:CG,84,FALSE),"N/A")</f>
        <v>1</v>
      </c>
      <c r="CE60" s="84">
        <f>IFERROR(VLOOKUP($B60,'LOD 400 - COLO1'!$B:CJ,87,FALSE),"N/A")</f>
        <v>1</v>
      </c>
      <c r="CF60" s="85">
        <f>IFERROR(VLOOKUP($B60,'LOD 400 - COLO1'!$B:CM,90,FALSE),"N/A")</f>
        <v>1</v>
      </c>
      <c r="CG60" s="84">
        <f>IFERROR(VLOOKUP($B60,'LOD 400 - COLO1'!$B:CP,93,FALSE),"N/A")</f>
        <v>1</v>
      </c>
      <c r="CH60" s="84">
        <f>IFERROR(VLOOKUP($B60,'LOD 400 - COLO1'!$B:CS,96,FALSE),"N/A")</f>
        <v>1</v>
      </c>
      <c r="CI60" s="84">
        <f>IFERROR(VLOOKUP($B60,'LOD 400 - COLO1'!$B:CV,99,FALSE),"N/A")</f>
        <v>1</v>
      </c>
      <c r="CJ60" s="84">
        <f>IFERROR(VLOOKUP($B60,'LOD 400 - COLO1'!$B:CY,102,FALSE),"N/A")</f>
        <v>1</v>
      </c>
      <c r="CK60" s="84">
        <f>IFERROR(VLOOKUP($B60,'LOD 400 - COLO1'!$B:DB,105,FALSE),"N/A")</f>
        <v>1</v>
      </c>
      <c r="CL60" s="84">
        <f>IFERROR(VLOOKUP($B60,'LOD 400 - COLO1'!$B:DE,108,FALSE),"N/A")</f>
        <v>1</v>
      </c>
      <c r="CM60" s="84">
        <f>IFERROR(VLOOKUP($B60,'LOD 400 - COLO1'!$B:DH,111,FALSE),"N/A")</f>
        <v>1</v>
      </c>
      <c r="CN60" s="84">
        <f>IFERROR(VLOOKUP($B60,'LOD 400 - COLO1'!$B:DK,114,FALSE),"N/A")</f>
        <v>1</v>
      </c>
      <c r="CO60" s="84">
        <f>IFERROR(VLOOKUP($B60,'LOD 400 - COLO1'!$B:DN,117,FALSE),"N/A")</f>
        <v>1</v>
      </c>
      <c r="CP60" s="86">
        <f>IFERROR(__xludf.DUMMYFUNCTION("IFERROR(
  MAX(FILTER(BH60:CO60, ISNUMBER(BH60:CO60))),
  CO60
)"),1.0)</f>
        <v>1</v>
      </c>
      <c r="CQ60" s="89">
        <f>IFERROR(VLOOKUP($B60,'LOD 400 - COLO2'!B:S,18,FALSE),"N/A")</f>
        <v>0.09</v>
      </c>
      <c r="CR60" s="79" t="str">
        <f>IFERROR(VLOOKUP($B60,'LOD 400 - COLO2'!B:V,21,FALSE),"N/A")</f>
        <v>OUTDATED</v>
      </c>
      <c r="CS60" s="79">
        <f>IFERROR(VLOOKUP($B60,'LOD 400 - COLO2'!$B:Y,24,FALSE),"N/A")</f>
        <v>0.19</v>
      </c>
      <c r="CT60" s="80" t="str">
        <f>IFERROR(VLOOKUP($B60,'LOD 400 - COLO2'!$B:DQ,27,FALSE),"N/A")</f>
        <v>NEXT ROUND</v>
      </c>
      <c r="CU60" s="90">
        <f>IFERROR(VLOOKUP($B60,'LOD 400 - COLO2'!$B:AE,30,FALSE),"N/A")</f>
        <v>0.38</v>
      </c>
      <c r="CV60" s="81" t="str">
        <f>IFERROR(VLOOKUP($B60,'LOD 400 - COLO2'!$B:AH,33,FALSE),"N/A")</f>
        <v>IMPROPER</v>
      </c>
      <c r="CW60" s="90" t="str">
        <f>IFERROR(VLOOKUP($B60,'LOD 400 - COLO2'!$B:AK,36,FALSE),"N/A")</f>
        <v>NEXT ROUND</v>
      </c>
      <c r="CX60" s="85">
        <f>IFERROR(VLOOKUP($B60,'LOD 400 - COLO2'!$B:AN,39,FALSE),"N/A")</f>
        <v>0.43</v>
      </c>
      <c r="CY60" s="88">
        <f>IFERROR(VLOOKUP($B60,'LOD 400 - COLO2'!$B:AQ,42,FALSE),"N/A")</f>
        <v>0.95</v>
      </c>
      <c r="CZ60" s="84">
        <f>IFERROR(VLOOKUP($B60,'LOD 400 - COLO2'!$B:AT,45,FALSE),"N/A")</f>
        <v>1</v>
      </c>
      <c r="DA60" s="85">
        <f>IFERROR(VLOOKUP($B60,'LOD 400 - COLO2'!$B:AW,48,FALSE),"N/A")</f>
        <v>1</v>
      </c>
      <c r="DB60" s="84">
        <f>IFERROR(VLOOKUP($B60,'LOD 400 - COLO2'!$B:AZ,51,FALSE),"N/A")</f>
        <v>1</v>
      </c>
      <c r="DC60" s="84">
        <f>IFERROR(VLOOKUP($B60,'LOD 400 - COLO2'!$B:BC,54,FALSE),"N/A")</f>
        <v>1</v>
      </c>
      <c r="DD60" s="84">
        <f>IFERROR(VLOOKUP($B60,'LOD 400 - COLO2'!$B:BF,57,FALSE),"N/A")</f>
        <v>1</v>
      </c>
      <c r="DE60" s="84">
        <f>IFERROR(VLOOKUP($B60,'LOD 400 - COLO2'!$B:BI,60,FALSE),"N/A")</f>
        <v>1</v>
      </c>
      <c r="DF60" s="84">
        <f>IFERROR(VLOOKUP($B60,'LOD 400 - COLO2'!$B:BL,63,FALSE),"N/A")</f>
        <v>1</v>
      </c>
      <c r="DG60" s="84">
        <f>IFERROR(VLOOKUP($B60,'LOD 400 - COLO2'!$B:BO,66,FALSE),"N/A")</f>
        <v>1</v>
      </c>
      <c r="DH60" s="84">
        <f>IFERROR(VLOOKUP($B60,'LOD 400 - COLO2'!$B:BR,69,FALSE),"N/A")</f>
        <v>1</v>
      </c>
      <c r="DI60" s="84">
        <f>IFERROR(VLOOKUP($B60,'LOD 400 - COLO2'!$B:BU,72,FALSE),"N/A")</f>
        <v>1</v>
      </c>
      <c r="DJ60" s="84">
        <f>IFERROR(VLOOKUP($B60,'LOD 400 - COLO2'!$B:BX,75,FALSE),"N/A")</f>
        <v>1</v>
      </c>
      <c r="DK60" s="84">
        <f>IFERROR(VLOOKUP($B60,'LOD 400 - COLO2'!$B:CA,78,FALSE),"N/A")</f>
        <v>1</v>
      </c>
      <c r="DL60" s="84">
        <f>IFERROR(VLOOKUP($B60,'LOD 400 - COLO2'!$B:CD,81,FALSE),"N/A")</f>
        <v>1</v>
      </c>
      <c r="DM60" s="85">
        <f>IFERROR(VLOOKUP($B60,'LOD 400 - COLO2'!$B:CG,84,FALSE),"N/A")</f>
        <v>1</v>
      </c>
      <c r="DN60" s="84">
        <f>IFERROR(VLOOKUP($B60,'LOD 400 - COLO2'!$B:CJ,87,FALSE),"N/A")</f>
        <v>1</v>
      </c>
      <c r="DO60" s="85">
        <f>IFERROR(VLOOKUP($B60,'LOD 400 - COLO2'!$B:CM,90,FALSE),"N/A")</f>
        <v>1</v>
      </c>
      <c r="DP60" s="84">
        <f>IFERROR(VLOOKUP($B60,'LOD 400 - COLO2'!$B:CP,93,FALSE),"N/A")</f>
        <v>1</v>
      </c>
      <c r="DQ60" s="84">
        <f>IFERROR(VLOOKUP($B60,'LOD 400 - COLO2'!$B:CS,96,FALSE),"N/A")</f>
        <v>1</v>
      </c>
      <c r="DR60" s="84">
        <f>IFERROR(VLOOKUP($B60,'LOD 400 - COLO2'!$B:CV,99,FALSE),"N/A")</f>
        <v>1</v>
      </c>
      <c r="DS60" s="84">
        <f>IFERROR(VLOOKUP($B60,'LOD 400 - COLO2'!$B:CY,102,FALSE),"N/A")</f>
        <v>1</v>
      </c>
      <c r="DT60" s="84">
        <f>IFERROR(VLOOKUP($B60,'LOD 400 - COLO2'!$B:DB,105,FALSE),"N/A")</f>
        <v>1</v>
      </c>
      <c r="DU60" s="84">
        <f>IFERROR(VLOOKUP($B60,'LOD 400 - COLO2'!$B:DE,108,FALSE),"N/A")</f>
        <v>1</v>
      </c>
      <c r="DV60" s="84">
        <f>IFERROR(VLOOKUP($B60,'LOD 400 - COLO2'!$B:DH,111,FALSE),"N/A")</f>
        <v>1</v>
      </c>
      <c r="DW60" s="84">
        <f>IFERROR(VLOOKUP($B60,'LOD 400 - COLO2'!$B:DK,114,FALSE),"N/A")</f>
        <v>1</v>
      </c>
      <c r="DX60" s="84">
        <f>IFERROR(VLOOKUP($B60,'LOD 400 - COLO2'!$B:DN,117,FALSE),"N/A")</f>
        <v>1</v>
      </c>
      <c r="DY60" s="91">
        <f>IFERROR(__xludf.DUMMYFUNCTION("IFERROR(
  MAX(FILTER(CQ60:DW60, ISNUMBER(CQ60:DW60))),
  DW60
)"),1.0)</f>
        <v>1</v>
      </c>
      <c r="DZ60" s="92">
        <f>IFERROR(VLOOKUP($B60,'LOD 400 - COLO3'!B:S,18,FALSE),"N/A")</f>
        <v>0</v>
      </c>
      <c r="EA60" s="84">
        <f>IFERROR(VLOOKUP($B60,'LOD 400 - COLO3'!B:V,21,FALSE),"N/A")</f>
        <v>0</v>
      </c>
      <c r="EB60" s="84">
        <f>IFERROR(VLOOKUP($B60,'LOD 400 - COLO3'!B:Y,24,FALSE),"N/A")</f>
        <v>0.8</v>
      </c>
      <c r="EC60" s="84" t="str">
        <f>IFERROR(VLOOKUP($B60,'LOD 400 - COLO3'!B:AB,27,FALSE),"N/A")</f>
        <v>OUTDATED</v>
      </c>
      <c r="ED60" s="85" t="str">
        <f>IFERROR(VLOOKUP($B60,'LOD 400 - COLO3'!B:AE,30,FALSE),"N/A")</f>
        <v>NEXT ROUND</v>
      </c>
      <c r="EE60" s="84" t="str">
        <f>IFERROR(VLOOKUP($B60,'LOD 400 - COLO3'!B:AH,33,FALSE),"N/A")</f>
        <v>NEXT ROUND</v>
      </c>
      <c r="EF60" s="84" t="str">
        <f>IFERROR(VLOOKUP($B60,'LOD 400 - COLO3'!B:AK,36,FALSE),"N/A")</f>
        <v>NEXT ROUND</v>
      </c>
      <c r="EG60" s="109" t="str">
        <f>IFERROR(VLOOKUP($B60,'LOD 400 - COLO3'!B:AN,39,FALSE),"N/A")</f>
        <v>NEXT ROUND</v>
      </c>
      <c r="EH60" s="94" t="str">
        <f>IFERROR(VLOOKUP($B60,'LOD 400 - COLO3'!B:AQ,42,FALSE),"N/A")</f>
        <v>NEXT ROUND</v>
      </c>
      <c r="EI60" s="94" t="str">
        <f>IFERROR(VLOOKUP($B60,'LOD 400 - COLO3'!B:AT,45,FALSE),"N/A")</f>
        <v>NEXT ROUND</v>
      </c>
      <c r="EJ60" s="94" t="str">
        <f>IFERROR(VLOOKUP($B60,'LOD 400 - COLO3'!B:AW,48,FALSE),"N/A")</f>
        <v>NEXT ROUND</v>
      </c>
      <c r="EK60" s="94">
        <f>IFERROR(VLOOKUP($B60,'LOD 400 - COLO3'!B:AZ,51,FALSE),"N/A")</f>
        <v>0.82</v>
      </c>
      <c r="EL60" s="94" t="str">
        <f>IFERROR(VLOOKUP($B60,'LOD 400 - COLO3'!B:BC,54,FALSE),"N/A")</f>
        <v>OUTDATED</v>
      </c>
      <c r="EM60" s="94" t="str">
        <f>IFERROR(VLOOKUP($B60,'LOD 400 - COLO3'!B:BF,57,FALSE),"N/A")</f>
        <v>OUTDATED</v>
      </c>
      <c r="EN60" s="94">
        <f>IFERROR(VLOOKUP($B60,'LOD 400 - COLO3'!B:BI,60,FALSE),"N/A")</f>
        <v>1</v>
      </c>
      <c r="EO60" s="94">
        <f>IFERROR(VLOOKUP($B60,'LOD 400 - COLO3'!B:BL,63,FALSE),"N/A")</f>
        <v>1</v>
      </c>
      <c r="EP60" s="86">
        <f>IFERROR(__xludf.DUMMYFUNCTION("IFERROR(
  MAX(FILTER(DZ60:EO60, ISNUMBER(DZ60:EO60))),
  EO60
)"),1.0)</f>
        <v>1</v>
      </c>
      <c r="EQ60" s="95">
        <f>IFERROR(VLOOKUP($B60,'LOD 400 - COLO4'!B:S,18,FALSE),"N/A")</f>
        <v>0</v>
      </c>
      <c r="ER60" s="96">
        <f>IFERROR(__xludf.DUMMYFUNCTION("IFERROR(
  MAX(FILTER(EQ60, ISNUMBER(EQ60))),
  EQ60
)"),0.0)</f>
        <v>0</v>
      </c>
      <c r="ES60" s="79" t="str">
        <f>IFERROR(VLOOKUP($B60,'LOD 400 - SITE'!B:S,18,FALSE),"N/A")</f>
        <v>N/A</v>
      </c>
      <c r="ET60" s="80" t="str">
        <f>IFERROR(VLOOKUP($B60,'LOD 400 - SITE'!B:V,21,FALSE),"N/A")</f>
        <v>N/A</v>
      </c>
      <c r="EU60" s="97" t="str">
        <f>IFERROR(VLOOKUP($B60,'LOD 400 - SITE'!$B:Y,24,FALSE),"N/A")</f>
        <v>N/A</v>
      </c>
      <c r="EV60" s="80" t="str">
        <f>IFERROR(VLOOKUP($B60,'LOD 400 - SITE'!$B:AB,27,FALSE),"N/A")</f>
        <v>N/A</v>
      </c>
      <c r="EW60" s="81" t="str">
        <f>IFERROR(VLOOKUP($B60,'LOD 400 - SITE'!$B:AE,30,FALSE),"N/A")</f>
        <v>N/A</v>
      </c>
      <c r="EX60" s="87" t="str">
        <f>IFERROR(VLOOKUP($B60,'LOD 400 - SITE'!$B:AH,33,FALSE),"N/A")</f>
        <v>N/A</v>
      </c>
      <c r="EY60" s="87" t="str">
        <f>IFERROR(VLOOKUP($B60,'LOD 400 - SITE'!$B:AK,36,FALSE),"N/A")</f>
        <v>N/A</v>
      </c>
      <c r="EZ60" s="80" t="str">
        <f>IFERROR(VLOOKUP($B60,'LOD 400 - SITE'!$B:AN,39,FALSE),"N/A")</f>
        <v>N/A</v>
      </c>
      <c r="FA60" s="82" t="str">
        <f>IFERROR(VLOOKUP($B60,'LOD 400 - SITE'!$B:AQ,42,FALSE),"N/A")</f>
        <v>N/A</v>
      </c>
      <c r="FB60" s="88" t="str">
        <f>IFERROR(VLOOKUP($B60,'LOD 400 - SITE'!$B:AT,45,FALSE),"N/A")</f>
        <v>N/A</v>
      </c>
      <c r="FC60" s="84" t="str">
        <f>IFERROR(VLOOKUP($B60,'LOD 400 - SITE'!$B:AW,48,FALSE),"N/A")</f>
        <v>N/A</v>
      </c>
      <c r="FD60" s="84" t="str">
        <f>IFERROR(VLOOKUP($B60,'LOD 400 - SITE'!$B:AZ,51,FALSE),"N/A")</f>
        <v>N/A</v>
      </c>
      <c r="FE60" s="84" t="str">
        <f>IFERROR(VLOOKUP($B60,'LOD 400 - SITE'!$B:BC,54,FALSE),"N/A")</f>
        <v>N/A</v>
      </c>
      <c r="FF60" s="84" t="str">
        <f>IFERROR(VLOOKUP($B60,'LOD 400 - SITE'!$B:BF,57,FALSE),"N/A")</f>
        <v>N/A</v>
      </c>
      <c r="FG60" s="84" t="str">
        <f>IFERROR(VLOOKUP($B60,'LOD 400 - SITE'!$B:BI,60,FALSE),"N/A")</f>
        <v>N/A</v>
      </c>
      <c r="FH60" s="84" t="str">
        <f>IFERROR(VLOOKUP($B60,'LOD 400 - SITE'!$B:BL,63,FALSE),"N/A")</f>
        <v>N/A</v>
      </c>
      <c r="FI60" s="84" t="str">
        <f>IFERROR(VLOOKUP($B60,'LOD 400 - SITE'!$B:BO,66,FALSE),"N/A")</f>
        <v>N/A</v>
      </c>
      <c r="FJ60" s="84" t="str">
        <f>IFERROR(VLOOKUP($B60,'LOD 400 - SITE'!$B:BR,69,FALSE),"N/A")</f>
        <v>N/A</v>
      </c>
      <c r="FK60" s="84" t="str">
        <f>IFERROR(VLOOKUP($B60,'LOD 400 - SITE'!$B:BU,72,FALSE),"N/A")</f>
        <v>N/A</v>
      </c>
      <c r="FL60" s="84" t="str">
        <f>IFERROR(VLOOKUP($B60,'LOD 400 - SITE'!$B:BX,75,FALSE),"N/A")</f>
        <v>N/A</v>
      </c>
      <c r="FM60" s="84" t="str">
        <f>IFERROR(VLOOKUP($B60,'LOD 400 - SITE'!$B:CA,78,FALSE),"N/A")</f>
        <v>N/A</v>
      </c>
      <c r="FN60" s="85" t="str">
        <f>IFERROR(VLOOKUP($B60,'LOD 400 - SITE'!$B:CD,81,FALSE),"N/A")</f>
        <v>N/A</v>
      </c>
      <c r="FO60" s="84" t="str">
        <f>IFERROR(VLOOKUP($B60,'LOD 400 - SITE'!$B:CG,84,FALSE),"N/A")</f>
        <v>N/A</v>
      </c>
      <c r="FP60" s="85" t="str">
        <f>IFERROR(VLOOKUP($B60,'LOD 400 - SITE'!$B:CJ,87,FALSE),"N/A")</f>
        <v>N/A</v>
      </c>
      <c r="FQ60" s="84" t="str">
        <f>IFERROR(VLOOKUP($B60,'LOD 400 - SITE'!$B:CM,90,FALSE),"N/A")</f>
        <v>N/A</v>
      </c>
      <c r="FR60" s="84" t="str">
        <f>IFERROR(VLOOKUP($B60,'LOD 400 - SITE'!$B:CP,93,FALSE),"N/A")</f>
        <v>N/A</v>
      </c>
      <c r="FS60" s="84" t="str">
        <f>IFERROR(VLOOKUP($B60,'LOD 400 - SITE'!$B:CS,96,FALSE),"N/A")</f>
        <v>N/A</v>
      </c>
      <c r="FT60" s="84" t="str">
        <f>IFERROR(VLOOKUP($B60,'LOD 400 - SITE'!$B:CV,99,FALSE),"N/A")</f>
        <v>N/A</v>
      </c>
      <c r="FU60" s="84" t="str">
        <f>IFERROR(VLOOKUP($B60,'LOD 400 - SITE'!$B:CY,102,FALSE),"N/A")</f>
        <v>N/A</v>
      </c>
      <c r="FV60" s="84" t="str">
        <f>IFERROR(VLOOKUP($B60,'LOD 400 - SITE'!$B:DB,105,FALSE),"N/A")</f>
        <v>N/A</v>
      </c>
      <c r="FW60" s="84" t="str">
        <f>IFERROR(VLOOKUP($B60,'LOD 400 - SITE'!$B:DE,108,FALSE),"N/A")</f>
        <v>N/A</v>
      </c>
      <c r="FX60" s="84" t="str">
        <f>IFERROR(VLOOKUP($B60,'LOD 400 - SITE'!$B:DH,111,FALSE),"N/A")</f>
        <v>N/A</v>
      </c>
      <c r="FY60" s="84" t="str">
        <f>IFERROR(VLOOKUP($B60,'LOD 400 - SITE'!$B:DK,114,FALSE),"N/A")</f>
        <v>N/A</v>
      </c>
      <c r="FZ60" s="96" t="str">
        <f>IFERROR(__xludf.DUMMYFUNCTION("IFERROR(
  MAX(FILTER(ES60:FY60, ISNUMBER(ES60:FY60))),
  FY60
)"),"N/A")</f>
        <v>N/A</v>
      </c>
      <c r="GA60" s="80" t="str">
        <f>IFERROR(VLOOKUP($B60,'LOD 400 - UTLS'!B:S,18,FALSE),"N/A")</f>
        <v>N/A</v>
      </c>
      <c r="GB60" s="98" t="str">
        <f>IFERROR(VLOOKUP($B60,'LOD 400 - UTLS'!B:V,21,FALSE),"N/A")</f>
        <v>N/A</v>
      </c>
      <c r="GC60" s="81" t="str">
        <f>IFERROR(VLOOKUP($B60,'LOD 400 - UTLS'!B:Y,24,FALSE),"N/A")</f>
        <v>N/A</v>
      </c>
      <c r="GD60" s="87" t="str">
        <f>IFERROR(VLOOKUP($B60,'LOD 400 - UTLS'!$B:AB,27,FALSE),"N/A")</f>
        <v>N/A</v>
      </c>
      <c r="GE60" s="80" t="str">
        <f>IFERROR(VLOOKUP($B60,'LOD 400 - UTLS'!$B:AE,30,FALSE),"N/A")</f>
        <v>N/A</v>
      </c>
      <c r="GF60" s="82" t="str">
        <f>IFERROR(VLOOKUP($B60,'LOD 400 - UTLS'!$B:AH,33,FALSE),"N/A")</f>
        <v>N/A</v>
      </c>
      <c r="GG60" s="88" t="str">
        <f>IFERROR(VLOOKUP($B60,'LOD 400 - UTLS'!$B:AK,36,FALSE),"N/A")</f>
        <v>N/A</v>
      </c>
      <c r="GH60" s="84" t="str">
        <f>IFERROR(VLOOKUP($B60,'LOD 400 - UTLS'!$B:AN,39,FALSE),"N/A")</f>
        <v>N/A</v>
      </c>
      <c r="GI60" s="84" t="str">
        <f>IFERROR(VLOOKUP($B60,'LOD 400 - UTLS'!$B:AQ,42,FALSE),"N/A")</f>
        <v>N/A</v>
      </c>
      <c r="GJ60" s="84" t="str">
        <f>IFERROR(VLOOKUP($B60,'LOD 400 - UTLS'!$B:AT,45,FALSE),"N/A")</f>
        <v>N/A</v>
      </c>
      <c r="GK60" s="84" t="str">
        <f>IFERROR(VLOOKUP($B60,'LOD 400 - UTLS'!$B:AW,48,FALSE),"N/A")</f>
        <v>N/A</v>
      </c>
      <c r="GL60" s="84" t="str">
        <f>IFERROR(VLOOKUP($B60,'LOD 400 - UTLS'!$B:AZ,51,FALSE),"N/A")</f>
        <v>N/A</v>
      </c>
      <c r="GM60" s="84" t="str">
        <f>IFERROR(VLOOKUP($B60,'LOD 400 - UTLS'!$B:BC,54,FALSE),"N/A")</f>
        <v>N/A</v>
      </c>
      <c r="GN60" s="84" t="str">
        <f>IFERROR(VLOOKUP($B60,'LOD 400 - UTLS'!$B:BF,57,FALSE),"N/A")</f>
        <v>N/A</v>
      </c>
      <c r="GO60" s="84" t="str">
        <f>IFERROR(VLOOKUP($B60,'LOD 400 - UTLS'!$B:BI,60,FALSE),"N/A")</f>
        <v>N/A</v>
      </c>
      <c r="GP60" s="84" t="str">
        <f>IFERROR(VLOOKUP($B60,'LOD 400 - UTLS'!$B:BL,63,FALSE),"N/A")</f>
        <v>N/A</v>
      </c>
      <c r="GQ60" s="84" t="str">
        <f>IFERROR(VLOOKUP($B60,'LOD 400 - UTLS'!$B:BO,66,FALSE),"N/A")</f>
        <v>N/A</v>
      </c>
      <c r="GR60" s="84" t="str">
        <f>IFERROR(VLOOKUP($B60,'LOD 400 - UTLS'!$B:BR,69,FALSE),"N/A")</f>
        <v>N/A</v>
      </c>
      <c r="GS60" s="85" t="str">
        <f>IFERROR(VLOOKUP($B60,'LOD 400 - UTLS'!$B:BU,72,FALSE),"N/A")</f>
        <v>N/A</v>
      </c>
      <c r="GT60" s="84" t="str">
        <f>IFERROR(VLOOKUP($B60,'LOD 400 - UTLS'!$B:BX,75,FALSE),"N/A")</f>
        <v>N/A</v>
      </c>
      <c r="GU60" s="85" t="str">
        <f>IFERROR(VLOOKUP($B60,'LOD 400 - UTLS'!$B:CA,78,FALSE),"N/A")</f>
        <v>N/A</v>
      </c>
      <c r="GV60" s="84" t="str">
        <f>IFERROR(VLOOKUP($B60,'LOD 400 - UTLS'!$B:CD,81,FALSE),"N/A")</f>
        <v>N/A</v>
      </c>
      <c r="GW60" s="84" t="str">
        <f>IFERROR(VLOOKUP($B60,'LOD 400 - UTLS'!$B:CG,84,FALSE),"N/A")</f>
        <v>N/A</v>
      </c>
      <c r="GX60" s="84" t="str">
        <f>IFERROR(VLOOKUP($B60,'LOD 400 - UTLS'!$B:CJ,87,FALSE),"N/A")</f>
        <v>N/A</v>
      </c>
      <c r="GY60" s="84" t="str">
        <f>IFERROR(VLOOKUP($B60,'LOD 400 - UTLS'!$B:CM,90,FALSE),"N/A")</f>
        <v>N/A</v>
      </c>
      <c r="GZ60" s="84" t="str">
        <f>IFERROR(VLOOKUP($B60,'LOD 400 - UTLS'!$B:CP,93,FALSE),"N/A")</f>
        <v>N/A</v>
      </c>
      <c r="HA60" s="84" t="str">
        <f>IFERROR(VLOOKUP($B60,'LOD 400 - UTLS'!$B:CS,96,FALSE),"N/A")</f>
        <v>N/A</v>
      </c>
      <c r="HB60" s="84" t="str">
        <f>IFERROR(VLOOKUP($B60,'LOD 400 - UTLS'!$B:CV,99,FALSE),"N/A")</f>
        <v>N/A</v>
      </c>
      <c r="HC60" s="84" t="str">
        <f>IFERROR(VLOOKUP($B60,'LOD 400 - UTLS'!$B:CY,102,FALSE),"N/A")</f>
        <v>N/A</v>
      </c>
      <c r="HD60" s="84" t="str">
        <f>IFERROR(VLOOKUP($B60,'LOD 400 - UTLS'!$B:DB,105,FALSE),"N/A")</f>
        <v>N/A</v>
      </c>
      <c r="HE60" s="96" t="str">
        <f>IFERROR(__xludf.DUMMYFUNCTION("IFERROR(
  MAX(FILTER(GA60:HD60, ISNUMBER(GA60:HD60))),
  HD60
)"),"N/A")</f>
        <v>N/A</v>
      </c>
      <c r="HF60" s="99"/>
      <c r="HG60" s="99"/>
      <c r="HH60" s="99"/>
      <c r="HI60" s="99"/>
      <c r="HJ60" s="99"/>
      <c r="HK60" s="99"/>
    </row>
    <row r="61" ht="15.0" hidden="1" customHeight="1" outlineLevel="1">
      <c r="A61" s="53">
        <v>65.0</v>
      </c>
      <c r="B61" s="209" t="s">
        <v>206</v>
      </c>
      <c r="C61" s="210"/>
      <c r="D61" s="211"/>
      <c r="E61" s="211"/>
      <c r="F61" s="211"/>
      <c r="G61" s="212"/>
      <c r="H61" s="211"/>
      <c r="I61" s="211"/>
      <c r="J61" s="213"/>
      <c r="K61" s="214"/>
      <c r="L61" s="212"/>
      <c r="M61" s="211"/>
      <c r="N61" s="215"/>
      <c r="O61" s="216"/>
      <c r="P61" s="217"/>
      <c r="Q61" s="218"/>
      <c r="R61" s="219"/>
      <c r="S61" s="220"/>
      <c r="T61" s="220"/>
      <c r="U61" s="221"/>
      <c r="V61" s="222"/>
      <c r="W61" s="211"/>
      <c r="X61" s="218"/>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1"/>
      <c r="AU61" s="211"/>
      <c r="AV61" s="218"/>
      <c r="AW61" s="219"/>
      <c r="AX61" s="218"/>
      <c r="AY61" s="219"/>
      <c r="AZ61" s="219"/>
      <c r="BA61" s="219"/>
      <c r="BB61" s="219"/>
      <c r="BC61" s="219"/>
      <c r="BD61" s="219"/>
      <c r="BE61" s="219"/>
      <c r="BF61" s="219"/>
      <c r="BG61" s="223"/>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1"/>
      <c r="CD61" s="211"/>
      <c r="CE61" s="218"/>
      <c r="CF61" s="219"/>
      <c r="CG61" s="218"/>
      <c r="CH61" s="219"/>
      <c r="CI61" s="219"/>
      <c r="CJ61" s="219"/>
      <c r="CK61" s="219"/>
      <c r="CL61" s="219"/>
      <c r="CM61" s="219"/>
      <c r="CN61" s="219"/>
      <c r="CO61" s="219"/>
      <c r="CP61" s="223"/>
      <c r="CQ61" s="212"/>
      <c r="CR61" s="212"/>
      <c r="CS61" s="212"/>
      <c r="CT61" s="212"/>
      <c r="CU61" s="212"/>
      <c r="CV61" s="212"/>
      <c r="CW61" s="212"/>
      <c r="CX61" s="212"/>
      <c r="CY61" s="212"/>
      <c r="CZ61" s="212"/>
      <c r="DA61" s="212"/>
      <c r="DB61" s="212"/>
      <c r="DC61" s="212"/>
      <c r="DD61" s="212"/>
      <c r="DE61" s="212"/>
      <c r="DF61" s="212"/>
      <c r="DG61" s="212"/>
      <c r="DH61" s="212"/>
      <c r="DI61" s="212"/>
      <c r="DJ61" s="211"/>
      <c r="DK61" s="211"/>
      <c r="DL61" s="211"/>
      <c r="DM61" s="211"/>
      <c r="DN61" s="218"/>
      <c r="DO61" s="219"/>
      <c r="DP61" s="218"/>
      <c r="DQ61" s="219"/>
      <c r="DR61" s="219"/>
      <c r="DS61" s="219"/>
      <c r="DT61" s="219"/>
      <c r="DU61" s="219"/>
      <c r="DV61" s="219"/>
      <c r="DW61" s="219"/>
      <c r="DX61" s="219"/>
      <c r="DY61" s="211"/>
      <c r="DZ61" s="224"/>
      <c r="EA61" s="221"/>
      <c r="EB61" s="219"/>
      <c r="EC61" s="219"/>
      <c r="ED61" s="219"/>
      <c r="EE61" s="218"/>
      <c r="EF61" s="219"/>
      <c r="EG61" s="211"/>
      <c r="EH61" s="225"/>
      <c r="EI61" s="219"/>
      <c r="EJ61" s="219"/>
      <c r="EK61" s="219"/>
      <c r="EL61" s="219"/>
      <c r="EM61" s="219"/>
      <c r="EN61" s="219"/>
      <c r="EO61" s="219"/>
      <c r="EP61" s="226"/>
      <c r="EQ61" s="219"/>
      <c r="ER61" s="227"/>
      <c r="ES61" s="212"/>
      <c r="ET61" s="211"/>
      <c r="EU61" s="222"/>
      <c r="EV61" s="212"/>
      <c r="EW61" s="212"/>
      <c r="EX61" s="212"/>
      <c r="EY61" s="212"/>
      <c r="EZ61" s="212"/>
      <c r="FA61" s="212"/>
      <c r="FB61" s="212"/>
      <c r="FC61" s="212"/>
      <c r="FD61" s="212"/>
      <c r="FE61" s="212"/>
      <c r="FF61" s="212"/>
      <c r="FG61" s="212"/>
      <c r="FH61" s="212"/>
      <c r="FI61" s="212"/>
      <c r="FJ61" s="212"/>
      <c r="FK61" s="212"/>
      <c r="FL61" s="212"/>
      <c r="FM61" s="212"/>
      <c r="FN61" s="211"/>
      <c r="FO61" s="218"/>
      <c r="FP61" s="219"/>
      <c r="FQ61" s="218"/>
      <c r="FR61" s="219"/>
      <c r="FS61" s="219"/>
      <c r="FT61" s="219"/>
      <c r="FU61" s="219"/>
      <c r="FV61" s="219"/>
      <c r="FW61" s="219"/>
      <c r="FX61" s="219"/>
      <c r="FY61" s="219"/>
      <c r="FZ61" s="228"/>
      <c r="GA61" s="212"/>
      <c r="GB61" s="212"/>
      <c r="GC61" s="212"/>
      <c r="GD61" s="212"/>
      <c r="GE61" s="212"/>
      <c r="GF61" s="212"/>
      <c r="GG61" s="212"/>
      <c r="GH61" s="212"/>
      <c r="GI61" s="212"/>
      <c r="GJ61" s="212"/>
      <c r="GK61" s="212"/>
      <c r="GL61" s="212"/>
      <c r="GM61" s="212"/>
      <c r="GN61" s="212"/>
      <c r="GO61" s="212"/>
      <c r="GP61" s="212"/>
      <c r="GQ61" s="219"/>
      <c r="GR61" s="219"/>
      <c r="GS61" s="219"/>
      <c r="GT61" s="218"/>
      <c r="GU61" s="219"/>
      <c r="GV61" s="218"/>
      <c r="GW61" s="219"/>
      <c r="GX61" s="219"/>
      <c r="GY61" s="219"/>
      <c r="GZ61" s="219"/>
      <c r="HA61" s="219"/>
      <c r="HB61" s="219"/>
      <c r="HC61" s="219"/>
      <c r="HD61" s="219"/>
      <c r="HE61" s="227"/>
      <c r="HF61" s="99"/>
      <c r="HG61" s="99"/>
      <c r="HH61" s="99"/>
      <c r="HI61" s="99"/>
      <c r="HJ61" s="99"/>
      <c r="HK61" s="99"/>
    </row>
    <row r="62" ht="15.0" customHeight="1" outlineLevel="1">
      <c r="A62" s="53">
        <v>66.0</v>
      </c>
      <c r="B62" s="100" t="s">
        <v>207</v>
      </c>
      <c r="C62" s="100" t="s">
        <v>208</v>
      </c>
      <c r="D62" s="64" t="str">
        <f t="shared" ref="D62:D63" si="11">MID(B62,17,4)</f>
        <v>DATA</v>
      </c>
      <c r="E62" s="101" t="s">
        <v>154</v>
      </c>
      <c r="F62" s="101" t="s">
        <v>154</v>
      </c>
      <c r="G62" s="229" t="s">
        <v>154</v>
      </c>
      <c r="H62" s="104"/>
      <c r="I62" s="68" t="str">
        <f>IFERROR(VLOOKUP($C59:C108,'R22 RELATÓRIO ACC'!B:F,5,FALSE),"NOT PUBLISHED")</f>
        <v>V13</v>
      </c>
      <c r="J62" s="69" t="str">
        <f>IFERROR(VLOOKUP($C59:C108,'R22 RELATÓRIO ACC'!B:P,15,FALSE),"NOT PUBLISHED")</f>
        <v>12/05/2026</v>
      </c>
      <c r="K62" s="70" t="str">
        <f>IFERROR(VLOOKUP($B59:B108,'RELATÓRIO ACC'!B:F,5,FALSE),"NOT PUBLISHED")</f>
        <v>V5</v>
      </c>
      <c r="L62" s="71" t="str">
        <f>IFERROR(VLOOKUP($B59:B108,'RELATÓRIO ACC'!B:P,15,FALSE),"NOT PUBLISHED")</f>
        <v>13/07/2026</v>
      </c>
      <c r="M62" s="72" t="str">
        <f>IF(OR($D62="UTLS",$D62="GUAR",$D62="STIR",$D62="PUMP",$D62="SITE"),
   VLOOKUP($B62,'LOD 400 - SITE'!B:M,12,FALSE),
   VLOOKUP($B62,'LOD 400 - ADMN'!B:M,12,FALSE)
)</f>
        <v>V5</v>
      </c>
      <c r="N62" s="105">
        <f>IF(OR($D62="UTLS",$D62="GUAR",$D62="STIR",$D62="PUMP",$D62="SITE"),
   VLOOKUP($B62,'LOD 400 - SITE'!B:N,13,FALSE),
   VLOOKUP($B62,'LOD 400 - ADMN'!B:N,13,FALSE)
)</f>
        <v>46008</v>
      </c>
      <c r="O62" s="106" t="str">
        <f>IF(OR($D62="UTLS",$D62="GUAR",$D62="STIR",$D62="PUMP",$D62="SITE"),
   VLOOKUP($B62,'LOD 400 - SITE'!B:O,14,FALSE),
   VLOOKUP($B62,'LOD 400 - ADMN'!B:O,14,FALSE)
)</f>
        <v>R22</v>
      </c>
      <c r="P62" s="107" t="str">
        <f>IF(OR($D62="C345",$D62="C12A",$D62="DATA"),
   VLOOKUP($B62,'LOD 400 - COLO3'!B:M,12,FALSE),"N/A")</f>
        <v>V4</v>
      </c>
      <c r="Q62" s="108">
        <f>IF(OR($D62="C345",$D62="C12A",$D62="DATA"),
   VLOOKUP($B62,'LOD 400 - COLO3'!B:N,13,FALSE),"N/A")</f>
        <v>46206</v>
      </c>
      <c r="R62" s="75" t="str">
        <f>IF(OR($D62="C345",$D62="C12A",$D62="DATA"),
   VLOOKUP($B62,'LOD 400 - COLO3'!B:O,14,FALSE),"N/A")</f>
        <v>R24</v>
      </c>
      <c r="S62" s="76" t="str">
        <f>IF(OR($D62="C345",$D62="C12A",$D62="DATA"),
   VLOOKUP($B62,'LOD 400 - COLO4'!B:N,12,FALSE),"N/A")</f>
        <v>N/A</v>
      </c>
      <c r="T62" s="76" t="str">
        <f>IF(OR($D62="C345",$D62="C12A",$D62="DATA"),
   VLOOKUP($B62,'LOD 400 - COLO4'!B:N,13,FALSE),"N/A")</f>
        <v>N/A</v>
      </c>
      <c r="U62" s="76" t="str">
        <f>IF(OR($D62="C345",$D62="C12A",$D62="DATA"),
   VLOOKUP($B62,'LOD 400 - COLO4'!B:N,13,FALSE),"N/A")</f>
        <v>N/A</v>
      </c>
      <c r="V62" s="77" t="str">
        <f>IF(OR($D62="UTLS",$D62="GUAR",$D62="STIR",$D62="PUMP",$D62="SITE"),
   VLOOKUP($B62,'LOD 400 - UTLS'!B:M,12,FALSE),"N/A")</f>
        <v>N/A</v>
      </c>
      <c r="W62" s="78" t="str">
        <f>IF(OR($D62="UTLS",$D62="GUAR",$D62="STIR",$D62="PUMP",$D62="SITE"),
   VLOOKUP($B62,'LOD 400 - UTLS'!B:N,13,FALSE),"N/A")</f>
        <v>N/A</v>
      </c>
      <c r="X62" s="108" t="str">
        <f>IF(OR($D62="UTLS",$D62="GUAR",$D62="STIR",$D62="PUMP",$D62="SITE"),
   VLOOKUP($B62,'LOD 400 - UTLS'!B:O,14,FALSE),"N/A")</f>
        <v>N/A</v>
      </c>
      <c r="Y62" s="79" t="str">
        <f>IFERROR(VLOOKUP($B62,'LOD 400 - ADMN'!B:S,18,FALSE),"N/A")</f>
        <v>NOT PUBLISHED</v>
      </c>
      <c r="Z62" s="79" t="str">
        <f>IFERROR(VLOOKUP($B62,'LOD 400 - ADMN'!B:V,21,FALSE),"N/A")</f>
        <v>NOT PUBLISHED</v>
      </c>
      <c r="AA62" s="79" t="str">
        <f>IFERROR(VLOOKUP($B62,'LOD 400 - ADMN'!$B:Y,24,FALSE),"N/A")</f>
        <v>NOT PUBLISHED</v>
      </c>
      <c r="AB62" s="80">
        <f>IFERROR(VLOOKUP($B62,'LOD 400 - ADMN'!$B:AB,27,FALSE),"N/A")</f>
        <v>0.01</v>
      </c>
      <c r="AC62" s="81" t="str">
        <f>IFERROR(VLOOKUP($B62,'LOD 400 - ADMN'!$B:AE,30,FALSE),"N/A")</f>
        <v>IMPROPER</v>
      </c>
      <c r="AD62" s="81">
        <f>IFERROR(VLOOKUP($B62,'LOD 400 - ADMN'!$B:AH,33,FALSE),"N/A")</f>
        <v>0.01</v>
      </c>
      <c r="AE62" s="80" t="str">
        <f>IFERROR(VLOOKUP($B62,'LOD 400 - ADMN'!$B:AK,36,FALSE),"N/A")</f>
        <v>OUTDATED</v>
      </c>
      <c r="AF62" s="82" t="str">
        <f>IFERROR(VLOOKUP($B62,'LOD 400 - ADMN'!$B:AN,39,FALSE),"N/A")</f>
        <v>NEXT ROUND</v>
      </c>
      <c r="AG62" s="83">
        <f>IFERROR(VLOOKUP($B62,'LOD 400 - ADMN'!$B:AQ,42,FALSE),"N/A")</f>
        <v>1</v>
      </c>
      <c r="AH62" s="84">
        <f>IFERROR(VLOOKUP($B62,'LOD 400 - ADMN'!$B:AT,45,FALSE),"N/A")</f>
        <v>1</v>
      </c>
      <c r="AI62" s="85">
        <f>IFERROR(VLOOKUP($B62,'LOD 400 - ADMN'!$B:AW,48,FALSE),"N/A")</f>
        <v>1</v>
      </c>
      <c r="AJ62" s="85">
        <f>IFERROR(VLOOKUP($B62,'LOD 400 - ADMN'!$B:AZ,51,FALSE),"N/A")</f>
        <v>1</v>
      </c>
      <c r="AK62" s="84">
        <f>IFERROR(VLOOKUP($B62,'LOD 400 - ADMN'!$B:BC,54,FALSE),"N/A")</f>
        <v>1</v>
      </c>
      <c r="AL62" s="84">
        <f>IFERROR(VLOOKUP($B62,'LOD 400 - ADMN'!$B:BF,57,FALSE),"N/A")</f>
        <v>1</v>
      </c>
      <c r="AM62" s="84">
        <f>IFERROR(VLOOKUP($B62,'LOD 400 - ADMN'!$B:BI,60,FALSE),"N/A")</f>
        <v>1</v>
      </c>
      <c r="AN62" s="84">
        <f>IFERROR(VLOOKUP($B62,'LOD 400 - ADMN'!$B:BL,63,FALSE),"N/A")</f>
        <v>1</v>
      </c>
      <c r="AO62" s="84">
        <f>IFERROR(VLOOKUP($B62,'LOD 400 - ADMN'!$B:BO,66,FALSE),"N/A")</f>
        <v>1</v>
      </c>
      <c r="AP62" s="84">
        <f>IFERROR(VLOOKUP($B62,'LOD 400 - ADMN'!$B:BR,69,FALSE),"N/A")</f>
        <v>1</v>
      </c>
      <c r="AQ62" s="84">
        <f>IFERROR(VLOOKUP($B62,'LOD 400 - ADMN'!$B:BU,72,FALSE),"N/A")</f>
        <v>1</v>
      </c>
      <c r="AR62" s="84">
        <f>IFERROR(VLOOKUP($B62,'LOD 400 - ADMN'!$B:BX,75,FALSE),"N/A")</f>
        <v>1</v>
      </c>
      <c r="AS62" s="84">
        <f>IFERROR(VLOOKUP($B62,'LOD 400 - ADMN'!$B:CA,78,FALSE),"N/A")</f>
        <v>1</v>
      </c>
      <c r="AT62" s="84">
        <f>IFERROR(VLOOKUP($B62,'LOD 400 - ADMN'!$B:CD,81,FALSE),"N/A")</f>
        <v>1</v>
      </c>
      <c r="AU62" s="85">
        <f>IFERROR(VLOOKUP($B62,'LOD 400 - ADMN'!$B:CG,84,FALSE),"N/A")</f>
        <v>1</v>
      </c>
      <c r="AV62" s="84">
        <f>IFERROR(VLOOKUP($B62,'LOD 400 - ADMN'!$B:CJ,87,FALSE),"N/A")</f>
        <v>1</v>
      </c>
      <c r="AW62" s="85">
        <f>IFERROR(VLOOKUP($B62,'LOD 400 - ADMN'!$B:CM,90,FALSE),"N/A")</f>
        <v>1</v>
      </c>
      <c r="AX62" s="84">
        <f>IFERROR(VLOOKUP($B62,'LOD 400 - ADMN'!$B:CP,93,FALSE),"N/A")</f>
        <v>1</v>
      </c>
      <c r="AY62" s="84">
        <f>IFERROR(VLOOKUP($B62,'LOD 400 - ADMN'!$B:CS,96,FALSE),"N/A")</f>
        <v>1</v>
      </c>
      <c r="AZ62" s="84">
        <f>IFERROR(VLOOKUP($B62,'LOD 400 - ADMN'!$B:CV,99,FALSE),"N/A")</f>
        <v>1</v>
      </c>
      <c r="BA62" s="84">
        <f>IFERROR(VLOOKUP($B62,'LOD 400 - ADMN'!$B:CY,102,FALSE),"N/A")</f>
        <v>1</v>
      </c>
      <c r="BB62" s="84">
        <f>IFERROR(VLOOKUP($B62,'LOD 400 - ADMN'!$B:DB,105,FALSE),"N/A")</f>
        <v>1</v>
      </c>
      <c r="BC62" s="84">
        <f>IFERROR(VLOOKUP($B62,'LOD 400 - ADMN'!$B:DE,108,FALSE),"N/A")</f>
        <v>1</v>
      </c>
      <c r="BD62" s="84">
        <f>IFERROR(VLOOKUP($B62,'LOD 400 - ADMN'!$B:DH,111,FALSE),"N/A")</f>
        <v>1</v>
      </c>
      <c r="BE62" s="84">
        <f>IFERROR(VLOOKUP($B62,'LOD 400 - ADMN'!$B:DK,114,FALSE),"N/A")</f>
        <v>1</v>
      </c>
      <c r="BF62" s="84">
        <f>IFERROR(VLOOKUP($B62,'LOD 400 - ADMN'!$B:DN,117,FALSE),"N/A")</f>
        <v>1</v>
      </c>
      <c r="BG62" s="86">
        <f>IFERROR(__xludf.DUMMYFUNCTION("IFERROR(
  MAX(FILTER(Y62:BF62, ISNUMBER(Y62:BF62))),
  BF62
)"),1.0)</f>
        <v>1</v>
      </c>
      <c r="BH62" s="79" t="str">
        <f>IFERROR(VLOOKUP($B62,'LOD 400 - COLO1'!B:S,18,FALSE),"N/A")</f>
        <v>NOT PUBLISHED</v>
      </c>
      <c r="BI62" s="79" t="str">
        <f>IFERROR(VLOOKUP($B62,'LOD 400 - COLO1'!B:V,21,FALSE),"N/A")</f>
        <v>NOT PUBLISHED</v>
      </c>
      <c r="BJ62" s="79" t="str">
        <f>IFERROR(VLOOKUP($B62,'LOD 400 - COLO1'!$B:Y,24,FALSE),"N/A")</f>
        <v>NOT PUBLISHED</v>
      </c>
      <c r="BK62" s="87">
        <f>IFERROR(VLOOKUP($B62,'LOD 400 - COLO1'!$B:AB,27,FALSE),"N/A")</f>
        <v>0.01</v>
      </c>
      <c r="BL62" s="80" t="str">
        <f>IFERROR(VLOOKUP($B62,'LOD 400 - COLO1'!$B:AE,30,FALSE),"N/A")</f>
        <v>IMPROPER</v>
      </c>
      <c r="BM62" s="81">
        <f>IFERROR(VLOOKUP($B62,'LOD 400 - COLO1'!$B:AH,33,FALSE),"N/A")</f>
        <v>0.01</v>
      </c>
      <c r="BN62" s="87" t="str">
        <f>IFERROR(VLOOKUP($B62,'LOD 400 - COLO1'!$B:AK,36,FALSE),"N/A")</f>
        <v>OUTDATED</v>
      </c>
      <c r="BO62" s="83" t="str">
        <f>IFERROR(VLOOKUP($B62,'LOD 400 - COLO1'!$B:AN,39,FALSE),"N/A")</f>
        <v>NEXT ROUND</v>
      </c>
      <c r="BP62" s="88">
        <f>IFERROR(VLOOKUP($B62,'LOD 400 - COLO1'!$B:AQ,42,FALSE),"N/A")</f>
        <v>1</v>
      </c>
      <c r="BQ62" s="84">
        <f>IFERROR(VLOOKUP($B62,'LOD 400 - COLO1'!$B:AT,45,FALSE),"N/A")</f>
        <v>1</v>
      </c>
      <c r="BR62" s="85">
        <f>IFERROR(VLOOKUP($B62,'LOD 400 - COLO1'!$B:AW,48,FALSE),"N/A")</f>
        <v>1</v>
      </c>
      <c r="BS62" s="84">
        <f>IFERROR(VLOOKUP($B62,'LOD 400 - COLO1'!$B:AZ,51,FALSE),"N/A")</f>
        <v>1</v>
      </c>
      <c r="BT62" s="84">
        <f>IFERROR(VLOOKUP($B62,'LOD 400 - COLO1'!$B:BC,54,FALSE),"N/A")</f>
        <v>1</v>
      </c>
      <c r="BU62" s="84">
        <f>IFERROR(VLOOKUP($B62,'LOD 400 - COLO1'!$B:BF,57,FALSE),"N/A")</f>
        <v>1</v>
      </c>
      <c r="BV62" s="84">
        <f>IFERROR(VLOOKUP($B62,'LOD 400 - COLO1'!$B:BI,60,FALSE),"N/A")</f>
        <v>1</v>
      </c>
      <c r="BW62" s="84">
        <f>IFERROR(VLOOKUP($B62,'LOD 400 - COLO1'!$B:BL,63,FALSE),"N/A")</f>
        <v>1</v>
      </c>
      <c r="BX62" s="84">
        <f>IFERROR(VLOOKUP($B62,'LOD 400 - COLO1'!$B:BO,66,FALSE),"N/A")</f>
        <v>1</v>
      </c>
      <c r="BY62" s="84">
        <f>IFERROR(VLOOKUP($B62,'LOD 400 - COLO1'!$B:BR,69,FALSE),"N/A")</f>
        <v>1</v>
      </c>
      <c r="BZ62" s="84">
        <f>IFERROR(VLOOKUP($B62,'LOD 400 - COLO1'!$B:BU,72,FALSE),"N/A")</f>
        <v>1</v>
      </c>
      <c r="CA62" s="84">
        <f>IFERROR(VLOOKUP($B62,'LOD 400 - COLO1'!$B:BX,75,FALSE),"N/A")</f>
        <v>1</v>
      </c>
      <c r="CB62" s="84">
        <f>IFERROR(VLOOKUP($B62,'LOD 400 - COLO1'!$B:CA,78,FALSE),"N/A")</f>
        <v>1</v>
      </c>
      <c r="CC62" s="84">
        <f>IFERROR(VLOOKUP($B62,'LOD 400 - COLO1'!$B:CD,81,FALSE),"N/A")</f>
        <v>1</v>
      </c>
      <c r="CD62" s="85">
        <f>IFERROR(VLOOKUP($B62,'LOD 400 - COLO1'!$B:CG,84,FALSE),"N/A")</f>
        <v>1</v>
      </c>
      <c r="CE62" s="84">
        <f>IFERROR(VLOOKUP($B62,'LOD 400 - COLO1'!$B:CJ,87,FALSE),"N/A")</f>
        <v>1</v>
      </c>
      <c r="CF62" s="85">
        <f>IFERROR(VLOOKUP($B62,'LOD 400 - COLO1'!$B:CM,90,FALSE),"N/A")</f>
        <v>1</v>
      </c>
      <c r="CG62" s="84">
        <f>IFERROR(VLOOKUP($B62,'LOD 400 - COLO1'!$B:CP,93,FALSE),"N/A")</f>
        <v>1</v>
      </c>
      <c r="CH62" s="84">
        <f>IFERROR(VLOOKUP($B62,'LOD 400 - COLO1'!$B:CS,96,FALSE),"N/A")</f>
        <v>1</v>
      </c>
      <c r="CI62" s="84">
        <f>IFERROR(VLOOKUP($B62,'LOD 400 - COLO1'!$B:CV,99,FALSE),"N/A")</f>
        <v>1</v>
      </c>
      <c r="CJ62" s="84">
        <f>IFERROR(VLOOKUP($B62,'LOD 400 - COLO1'!$B:CY,102,FALSE),"N/A")</f>
        <v>1</v>
      </c>
      <c r="CK62" s="84">
        <f>IFERROR(VLOOKUP($B62,'LOD 400 - COLO1'!$B:DB,105,FALSE),"N/A")</f>
        <v>1</v>
      </c>
      <c r="CL62" s="84">
        <f>IFERROR(VLOOKUP($B62,'LOD 400 - COLO1'!$B:DE,108,FALSE),"N/A")</f>
        <v>1</v>
      </c>
      <c r="CM62" s="84">
        <f>IFERROR(VLOOKUP($B62,'LOD 400 - COLO1'!$B:DH,111,FALSE),"N/A")</f>
        <v>1</v>
      </c>
      <c r="CN62" s="84">
        <f>IFERROR(VLOOKUP($B62,'LOD 400 - COLO1'!$B:DK,114,FALSE),"N/A")</f>
        <v>1</v>
      </c>
      <c r="CO62" s="84">
        <f>IFERROR(VLOOKUP($B62,'LOD 400 - COLO1'!$B:DN,117,FALSE),"N/A")</f>
        <v>1</v>
      </c>
      <c r="CP62" s="86">
        <f>IFERROR(__xludf.DUMMYFUNCTION("IFERROR(
  MAX(FILTER(BH62:CO62, ISNUMBER(BH62:CO62))),
  CO62
)"),1.0)</f>
        <v>1</v>
      </c>
      <c r="CQ62" s="89" t="str">
        <f>IFERROR(VLOOKUP($B62,'LOD 400 - COLO2'!B:S,18,FALSE),"N/A")</f>
        <v>NOT PUBLISHED</v>
      </c>
      <c r="CR62" s="79" t="str">
        <f>IFERROR(VLOOKUP($B62,'LOD 400 - COLO2'!B:V,21,FALSE),"N/A")</f>
        <v>NOT PUBLISHED</v>
      </c>
      <c r="CS62" s="79" t="str">
        <f>IFERROR(VLOOKUP($B62,'LOD 400 - COLO2'!$B:Y,24,FALSE),"N/A")</f>
        <v>NOT PUBLISHED</v>
      </c>
      <c r="CT62" s="80" t="str">
        <f>IFERROR(VLOOKUP($B62,'LOD 400 - COLO2'!$B:DQ,27,FALSE),"N/A")</f>
        <v>NOT PUBLISHED</v>
      </c>
      <c r="CU62" s="90" t="str">
        <f>IFERROR(VLOOKUP($B62,'LOD 400 - COLO2'!$B:AE,30,FALSE),"N/A")</f>
        <v>IMPROPER</v>
      </c>
      <c r="CV62" s="81">
        <f>IFERROR(VLOOKUP($B62,'LOD 400 - COLO2'!$B:AH,33,FALSE),"N/A")</f>
        <v>0.01</v>
      </c>
      <c r="CW62" s="90" t="str">
        <f>IFERROR(VLOOKUP($B62,'LOD 400 - COLO2'!$B:AK,36,FALSE),"N/A")</f>
        <v>OUTDATED</v>
      </c>
      <c r="CX62" s="85" t="str">
        <f>IFERROR(VLOOKUP($B62,'LOD 400 - COLO2'!$B:AN,39,FALSE),"N/A")</f>
        <v>NEXT ROUND</v>
      </c>
      <c r="CY62" s="88">
        <f>IFERROR(VLOOKUP($B62,'LOD 400 - COLO2'!$B:AQ,42,FALSE),"N/A")</f>
        <v>1</v>
      </c>
      <c r="CZ62" s="84">
        <f>IFERROR(VLOOKUP($B62,'LOD 400 - COLO2'!$B:AT,45,FALSE),"N/A")</f>
        <v>1</v>
      </c>
      <c r="DA62" s="85">
        <f>IFERROR(VLOOKUP($B62,'LOD 400 - COLO2'!$B:AW,48,FALSE),"N/A")</f>
        <v>1</v>
      </c>
      <c r="DB62" s="84">
        <f>IFERROR(VLOOKUP($B62,'LOD 400 - COLO2'!$B:AZ,51,FALSE),"N/A")</f>
        <v>1</v>
      </c>
      <c r="DC62" s="84">
        <f>IFERROR(VLOOKUP($B62,'LOD 400 - COLO2'!$B:BC,54,FALSE),"N/A")</f>
        <v>1</v>
      </c>
      <c r="DD62" s="84">
        <f>IFERROR(VLOOKUP($B62,'LOD 400 - COLO2'!$B:BF,57,FALSE),"N/A")</f>
        <v>1</v>
      </c>
      <c r="DE62" s="84">
        <f>IFERROR(VLOOKUP($B62,'LOD 400 - COLO2'!$B:BI,60,FALSE),"N/A")</f>
        <v>1</v>
      </c>
      <c r="DF62" s="84">
        <f>IFERROR(VLOOKUP($B62,'LOD 400 - COLO2'!$B:BL,63,FALSE),"N/A")</f>
        <v>1</v>
      </c>
      <c r="DG62" s="84">
        <f>IFERROR(VLOOKUP($B62,'LOD 400 - COLO2'!$B:BO,66,FALSE),"N/A")</f>
        <v>1</v>
      </c>
      <c r="DH62" s="84">
        <f>IFERROR(VLOOKUP($B62,'LOD 400 - COLO2'!$B:BR,69,FALSE),"N/A")</f>
        <v>1</v>
      </c>
      <c r="DI62" s="84">
        <f>IFERROR(VLOOKUP($B62,'LOD 400 - COLO2'!$B:BU,72,FALSE),"N/A")</f>
        <v>1</v>
      </c>
      <c r="DJ62" s="84">
        <f>IFERROR(VLOOKUP($B62,'LOD 400 - COLO2'!$B:BX,75,FALSE),"N/A")</f>
        <v>1</v>
      </c>
      <c r="DK62" s="84">
        <f>IFERROR(VLOOKUP($B62,'LOD 400 - COLO2'!$B:CA,78,FALSE),"N/A")</f>
        <v>1</v>
      </c>
      <c r="DL62" s="84">
        <f>IFERROR(VLOOKUP($B62,'LOD 400 - COLO2'!$B:CD,81,FALSE),"N/A")</f>
        <v>1</v>
      </c>
      <c r="DM62" s="85">
        <f>IFERROR(VLOOKUP($B62,'LOD 400 - COLO2'!$B:CG,84,FALSE),"N/A")</f>
        <v>1</v>
      </c>
      <c r="DN62" s="84">
        <f>IFERROR(VLOOKUP($B62,'LOD 400 - COLO2'!$B:CJ,87,FALSE),"N/A")</f>
        <v>1</v>
      </c>
      <c r="DO62" s="85">
        <f>IFERROR(VLOOKUP($B62,'LOD 400 - COLO2'!$B:CM,90,FALSE),"N/A")</f>
        <v>1</v>
      </c>
      <c r="DP62" s="84">
        <f>IFERROR(VLOOKUP($B62,'LOD 400 - COLO2'!$B:CP,93,FALSE),"N/A")</f>
        <v>1</v>
      </c>
      <c r="DQ62" s="84">
        <f>IFERROR(VLOOKUP($B62,'LOD 400 - COLO2'!$B:CS,96,FALSE),"N/A")</f>
        <v>1</v>
      </c>
      <c r="DR62" s="84">
        <f>IFERROR(VLOOKUP($B62,'LOD 400 - COLO2'!$B:CV,99,FALSE),"N/A")</f>
        <v>1</v>
      </c>
      <c r="DS62" s="84">
        <f>IFERROR(VLOOKUP($B62,'LOD 400 - COLO2'!$B:CY,102,FALSE),"N/A")</f>
        <v>1</v>
      </c>
      <c r="DT62" s="84">
        <f>IFERROR(VLOOKUP($B62,'LOD 400 - COLO2'!$B:DB,105,FALSE),"N/A")</f>
        <v>1</v>
      </c>
      <c r="DU62" s="84">
        <f>IFERROR(VLOOKUP($B62,'LOD 400 - COLO2'!$B:DE,108,FALSE),"N/A")</f>
        <v>1</v>
      </c>
      <c r="DV62" s="84">
        <f>IFERROR(VLOOKUP($B62,'LOD 400 - COLO2'!$B:DH,111,FALSE),"N/A")</f>
        <v>1</v>
      </c>
      <c r="DW62" s="84">
        <f>IFERROR(VLOOKUP($B62,'LOD 400 - COLO2'!$B:DK,114,FALSE),"N/A")</f>
        <v>1</v>
      </c>
      <c r="DX62" s="84">
        <f>IFERROR(VLOOKUP($B62,'LOD 400 - COLO2'!$B:DN,117,FALSE),"N/A")</f>
        <v>1</v>
      </c>
      <c r="DY62" s="91">
        <f>IFERROR(__xludf.DUMMYFUNCTION("IFERROR(
  MAX(FILTER(CQ62:DW62, ISNUMBER(CQ62:DW62))),
  DW62
)"),1.0)</f>
        <v>1</v>
      </c>
      <c r="DZ62" s="92">
        <f>IFERROR(VLOOKUP($B62,'LOD 400 - COLO3'!B:S,18,FALSE),"N/A")</f>
        <v>0</v>
      </c>
      <c r="EA62" s="84">
        <f>IFERROR(VLOOKUP($B62,'LOD 400 - COLO3'!B:V,21,FALSE),"N/A")</f>
        <v>0</v>
      </c>
      <c r="EB62" s="84">
        <f>IFERROR(VLOOKUP($B62,'LOD 400 - COLO3'!B:Y,24,FALSE),"N/A")</f>
        <v>0.21</v>
      </c>
      <c r="EC62" s="84">
        <f>IFERROR(VLOOKUP($B62,'LOD 400 - COLO3'!B:AB,27,FALSE),"N/A")</f>
        <v>0.51</v>
      </c>
      <c r="ED62" s="85" t="str">
        <f>IFERROR(VLOOKUP($B62,'LOD 400 - COLO3'!B:AE,30,FALSE),"N/A")</f>
        <v>NEXT ROUND</v>
      </c>
      <c r="EE62" s="84">
        <f>IFERROR(VLOOKUP($B62,'LOD 400 - COLO3'!B:AH,33,FALSE),"N/A")</f>
        <v>0.6</v>
      </c>
      <c r="EF62" s="84" t="str">
        <f>IFERROR(VLOOKUP($B62,'LOD 400 - COLO3'!B:AK,36,FALSE),"N/A")</f>
        <v>NEXT ROUND</v>
      </c>
      <c r="EG62" s="109" t="str">
        <f>IFERROR(VLOOKUP($B62,'LOD 400 - COLO3'!B:AN,39,FALSE),"N/A")</f>
        <v>NEXT ROUND</v>
      </c>
      <c r="EH62" s="94" t="str">
        <f>IFERROR(VLOOKUP($B62,'LOD 400 - COLO3'!B:AQ,42,FALSE),"N/A")</f>
        <v>NEXT ROUND</v>
      </c>
      <c r="EI62" s="94" t="str">
        <f>IFERROR(VLOOKUP($B62,'LOD 400 - COLO3'!B:AT,45,FALSE),"N/A")</f>
        <v>NEXT ROUND</v>
      </c>
      <c r="EJ62" s="94" t="str">
        <f>IFERROR(VLOOKUP($B62,'LOD 400 - COLO3'!B:AW,48,FALSE),"N/A")</f>
        <v>NEXT ROUND</v>
      </c>
      <c r="EK62" s="94">
        <f>IFERROR(VLOOKUP($B62,'LOD 400 - COLO3'!B:AZ,51,FALSE),"N/A")</f>
        <v>0.77</v>
      </c>
      <c r="EL62" s="94" t="str">
        <f>IFERROR(VLOOKUP($B62,'LOD 400 - COLO3'!B:BC,54,FALSE),"N/A")</f>
        <v>NEXT ROUND</v>
      </c>
      <c r="EM62" s="94">
        <f>IFERROR(VLOOKUP($B62,'LOD 400 - COLO3'!B:BF,57,FALSE),"N/A")</f>
        <v>0.98</v>
      </c>
      <c r="EN62" s="94">
        <f>IFERROR(VLOOKUP($B62,'LOD 400 - COLO3'!B:BI,60,FALSE),"N/A")</f>
        <v>1</v>
      </c>
      <c r="EO62" s="94">
        <f>IFERROR(VLOOKUP($B62,'LOD 400 - COLO3'!B:BL,63,FALSE),"N/A")</f>
        <v>1</v>
      </c>
      <c r="EP62" s="86">
        <f>IFERROR(__xludf.DUMMYFUNCTION("IFERROR(
  MAX(FILTER(DZ62:EO62, ISNUMBER(DZ62:EO62))),
  EO62
)"),1.0)</f>
        <v>1</v>
      </c>
      <c r="EQ62" s="95">
        <f>IFERROR(VLOOKUP($B62,'LOD 400 - COLO4'!B:S,18,FALSE),"N/A")</f>
        <v>0</v>
      </c>
      <c r="ER62" s="96">
        <f>IFERROR(__xludf.DUMMYFUNCTION("IFERROR(
  MAX(FILTER(EQ62, ISNUMBER(EQ62))),
  EQ62
)"),0.0)</f>
        <v>0</v>
      </c>
      <c r="ES62" s="79" t="str">
        <f>IFERROR(VLOOKUP($B62,'LOD 400 - SITE'!B:S,18,FALSE),"N/A")</f>
        <v>N/A</v>
      </c>
      <c r="ET62" s="80" t="str">
        <f>IFERROR(VLOOKUP($B62,'LOD 400 - SITE'!B:V,21,FALSE),"N/A")</f>
        <v>N/A</v>
      </c>
      <c r="EU62" s="97" t="str">
        <f>IFERROR(VLOOKUP($B62,'LOD 400 - SITE'!$B:Y,24,FALSE),"N/A")</f>
        <v>N/A</v>
      </c>
      <c r="EV62" s="80" t="str">
        <f>IFERROR(VLOOKUP($B62,'LOD 400 - SITE'!$B:AB,27,FALSE),"N/A")</f>
        <v>N/A</v>
      </c>
      <c r="EW62" s="81" t="str">
        <f>IFERROR(VLOOKUP($B62,'LOD 400 - SITE'!$B:AE,30,FALSE),"N/A")</f>
        <v>N/A</v>
      </c>
      <c r="EX62" s="87" t="str">
        <f>IFERROR(VLOOKUP($B62,'LOD 400 - SITE'!$B:AH,33,FALSE),"N/A")</f>
        <v>N/A</v>
      </c>
      <c r="EY62" s="87" t="str">
        <f>IFERROR(VLOOKUP($B62,'LOD 400 - SITE'!$B:AK,36,FALSE),"N/A")</f>
        <v>N/A</v>
      </c>
      <c r="EZ62" s="80" t="str">
        <f>IFERROR(VLOOKUP($B62,'LOD 400 - SITE'!$B:AN,39,FALSE),"N/A")</f>
        <v>N/A</v>
      </c>
      <c r="FA62" s="82" t="str">
        <f>IFERROR(VLOOKUP($B62,'LOD 400 - SITE'!$B:AQ,42,FALSE),"N/A")</f>
        <v>N/A</v>
      </c>
      <c r="FB62" s="88" t="str">
        <f>IFERROR(VLOOKUP($B62,'LOD 400 - SITE'!$B:AT,45,FALSE),"N/A")</f>
        <v>N/A</v>
      </c>
      <c r="FC62" s="84" t="str">
        <f>IFERROR(VLOOKUP($B62,'LOD 400 - SITE'!$B:AW,48,FALSE),"N/A")</f>
        <v>N/A</v>
      </c>
      <c r="FD62" s="84" t="str">
        <f>IFERROR(VLOOKUP($B62,'LOD 400 - SITE'!$B:AZ,51,FALSE),"N/A")</f>
        <v>N/A</v>
      </c>
      <c r="FE62" s="84" t="str">
        <f>IFERROR(VLOOKUP($B62,'LOD 400 - SITE'!$B:BC,54,FALSE),"N/A")</f>
        <v>N/A</v>
      </c>
      <c r="FF62" s="84" t="str">
        <f>IFERROR(VLOOKUP($B62,'LOD 400 - SITE'!$B:BF,57,FALSE),"N/A")</f>
        <v>N/A</v>
      </c>
      <c r="FG62" s="84" t="str">
        <f>IFERROR(VLOOKUP($B62,'LOD 400 - SITE'!$B:BI,60,FALSE),"N/A")</f>
        <v>N/A</v>
      </c>
      <c r="FH62" s="84" t="str">
        <f>IFERROR(VLOOKUP($B62,'LOD 400 - SITE'!$B:BL,63,FALSE),"N/A")</f>
        <v>N/A</v>
      </c>
      <c r="FI62" s="84" t="str">
        <f>IFERROR(VLOOKUP($B62,'LOD 400 - SITE'!$B:BO,66,FALSE),"N/A")</f>
        <v>N/A</v>
      </c>
      <c r="FJ62" s="84" t="str">
        <f>IFERROR(VLOOKUP($B62,'LOD 400 - SITE'!$B:BR,69,FALSE),"N/A")</f>
        <v>N/A</v>
      </c>
      <c r="FK62" s="84" t="str">
        <f>IFERROR(VLOOKUP($B62,'LOD 400 - SITE'!$B:BU,72,FALSE),"N/A")</f>
        <v>N/A</v>
      </c>
      <c r="FL62" s="84" t="str">
        <f>IFERROR(VLOOKUP($B62,'LOD 400 - SITE'!$B:BX,75,FALSE),"N/A")</f>
        <v>N/A</v>
      </c>
      <c r="FM62" s="84" t="str">
        <f>IFERROR(VLOOKUP($B62,'LOD 400 - SITE'!$B:CA,78,FALSE),"N/A")</f>
        <v>N/A</v>
      </c>
      <c r="FN62" s="85" t="str">
        <f>IFERROR(VLOOKUP($B62,'LOD 400 - SITE'!$B:CD,81,FALSE),"N/A")</f>
        <v>N/A</v>
      </c>
      <c r="FO62" s="84" t="str">
        <f>IFERROR(VLOOKUP($B62,'LOD 400 - SITE'!$B:CG,84,FALSE),"N/A")</f>
        <v>N/A</v>
      </c>
      <c r="FP62" s="85" t="str">
        <f>IFERROR(VLOOKUP($B62,'LOD 400 - SITE'!$B:CJ,87,FALSE),"N/A")</f>
        <v>N/A</v>
      </c>
      <c r="FQ62" s="84" t="str">
        <f>IFERROR(VLOOKUP($B62,'LOD 400 - SITE'!$B:CM,90,FALSE),"N/A")</f>
        <v>N/A</v>
      </c>
      <c r="FR62" s="84" t="str">
        <f>IFERROR(VLOOKUP($B62,'LOD 400 - SITE'!$B:CP,93,FALSE),"N/A")</f>
        <v>N/A</v>
      </c>
      <c r="FS62" s="84" t="str">
        <f>IFERROR(VLOOKUP($B62,'LOD 400 - SITE'!$B:CS,96,FALSE),"N/A")</f>
        <v>N/A</v>
      </c>
      <c r="FT62" s="84" t="str">
        <f>IFERROR(VLOOKUP($B62,'LOD 400 - SITE'!$B:CV,99,FALSE),"N/A")</f>
        <v>N/A</v>
      </c>
      <c r="FU62" s="84" t="str">
        <f>IFERROR(VLOOKUP($B62,'LOD 400 - SITE'!$B:CY,102,FALSE),"N/A")</f>
        <v>N/A</v>
      </c>
      <c r="FV62" s="84" t="str">
        <f>IFERROR(VLOOKUP($B62,'LOD 400 - SITE'!$B:DB,105,FALSE),"N/A")</f>
        <v>N/A</v>
      </c>
      <c r="FW62" s="84" t="str">
        <f>IFERROR(VLOOKUP($B62,'LOD 400 - SITE'!$B:DE,108,FALSE),"N/A")</f>
        <v>N/A</v>
      </c>
      <c r="FX62" s="84" t="str">
        <f>IFERROR(VLOOKUP($B62,'LOD 400 - SITE'!$B:DH,111,FALSE),"N/A")</f>
        <v>N/A</v>
      </c>
      <c r="FY62" s="84" t="str">
        <f>IFERROR(VLOOKUP($B62,'LOD 400 - SITE'!$B:DK,114,FALSE),"N/A")</f>
        <v>N/A</v>
      </c>
      <c r="FZ62" s="96" t="str">
        <f>IFERROR(__xludf.DUMMYFUNCTION("IFERROR(
  MAX(FILTER(ES62:FY62, ISNUMBER(ES62:FY62))),
  FY62
)"),"N/A")</f>
        <v>N/A</v>
      </c>
      <c r="GA62" s="80" t="str">
        <f>IFERROR(VLOOKUP($B62,'LOD 400 - UTLS'!B:S,18,FALSE),"N/A")</f>
        <v>N/A</v>
      </c>
      <c r="GB62" s="98" t="str">
        <f>IFERROR(VLOOKUP($B62,'LOD 400 - UTLS'!B:V,21,FALSE),"N/A")</f>
        <v>N/A</v>
      </c>
      <c r="GC62" s="81" t="str">
        <f>IFERROR(VLOOKUP($B62,'LOD 400 - UTLS'!B:Y,24,FALSE),"N/A")</f>
        <v>N/A</v>
      </c>
      <c r="GD62" s="87" t="str">
        <f>IFERROR(VLOOKUP($B62,'LOD 400 - UTLS'!$B:AB,27,FALSE),"N/A")</f>
        <v>N/A</v>
      </c>
      <c r="GE62" s="80" t="str">
        <f>IFERROR(VLOOKUP($B62,'LOD 400 - UTLS'!$B:AE,30,FALSE),"N/A")</f>
        <v>N/A</v>
      </c>
      <c r="GF62" s="82" t="str">
        <f>IFERROR(VLOOKUP($B62,'LOD 400 - UTLS'!$B:AH,33,FALSE),"N/A")</f>
        <v>N/A</v>
      </c>
      <c r="GG62" s="88" t="str">
        <f>IFERROR(VLOOKUP($B62,'LOD 400 - UTLS'!$B:AK,36,FALSE),"N/A")</f>
        <v>N/A</v>
      </c>
      <c r="GH62" s="84" t="str">
        <f>IFERROR(VLOOKUP($B62,'LOD 400 - UTLS'!$B:AN,39,FALSE),"N/A")</f>
        <v>N/A</v>
      </c>
      <c r="GI62" s="84" t="str">
        <f>IFERROR(VLOOKUP($B62,'LOD 400 - UTLS'!$B:AQ,42,FALSE),"N/A")</f>
        <v>N/A</v>
      </c>
      <c r="GJ62" s="84" t="str">
        <f>IFERROR(VLOOKUP($B62,'LOD 400 - UTLS'!$B:AT,45,FALSE),"N/A")</f>
        <v>N/A</v>
      </c>
      <c r="GK62" s="84" t="str">
        <f>IFERROR(VLOOKUP($B62,'LOD 400 - UTLS'!$B:AW,48,FALSE),"N/A")</f>
        <v>N/A</v>
      </c>
      <c r="GL62" s="84" t="str">
        <f>IFERROR(VLOOKUP($B62,'LOD 400 - UTLS'!$B:AZ,51,FALSE),"N/A")</f>
        <v>N/A</v>
      </c>
      <c r="GM62" s="84" t="str">
        <f>IFERROR(VLOOKUP($B62,'LOD 400 - UTLS'!$B:BC,54,FALSE),"N/A")</f>
        <v>N/A</v>
      </c>
      <c r="GN62" s="84" t="str">
        <f>IFERROR(VLOOKUP($B62,'LOD 400 - UTLS'!$B:BF,57,FALSE),"N/A")</f>
        <v>N/A</v>
      </c>
      <c r="GO62" s="84" t="str">
        <f>IFERROR(VLOOKUP($B62,'LOD 400 - UTLS'!$B:BI,60,FALSE),"N/A")</f>
        <v>N/A</v>
      </c>
      <c r="GP62" s="84" t="str">
        <f>IFERROR(VLOOKUP($B62,'LOD 400 - UTLS'!$B:BL,63,FALSE),"N/A")</f>
        <v>N/A</v>
      </c>
      <c r="GQ62" s="84" t="str">
        <f>IFERROR(VLOOKUP($B62,'LOD 400 - UTLS'!$B:BO,66,FALSE),"N/A")</f>
        <v>N/A</v>
      </c>
      <c r="GR62" s="84" t="str">
        <f>IFERROR(VLOOKUP($B62,'LOD 400 - UTLS'!$B:BR,69,FALSE),"N/A")</f>
        <v>N/A</v>
      </c>
      <c r="GS62" s="85" t="str">
        <f>IFERROR(VLOOKUP($B62,'LOD 400 - UTLS'!$B:BU,72,FALSE),"N/A")</f>
        <v>N/A</v>
      </c>
      <c r="GT62" s="84" t="str">
        <f>IFERROR(VLOOKUP($B62,'LOD 400 - UTLS'!$B:BX,75,FALSE),"N/A")</f>
        <v>N/A</v>
      </c>
      <c r="GU62" s="85" t="str">
        <f>IFERROR(VLOOKUP($B62,'LOD 400 - UTLS'!$B:CA,78,FALSE),"N/A")</f>
        <v>N/A</v>
      </c>
      <c r="GV62" s="84" t="str">
        <f>IFERROR(VLOOKUP($B62,'LOD 400 - UTLS'!$B:CD,81,FALSE),"N/A")</f>
        <v>N/A</v>
      </c>
      <c r="GW62" s="84" t="str">
        <f>IFERROR(VLOOKUP($B62,'LOD 400 - UTLS'!$B:CG,84,FALSE),"N/A")</f>
        <v>N/A</v>
      </c>
      <c r="GX62" s="84" t="str">
        <f>IFERROR(VLOOKUP($B62,'LOD 400 - UTLS'!$B:CJ,87,FALSE),"N/A")</f>
        <v>N/A</v>
      </c>
      <c r="GY62" s="84" t="str">
        <f>IFERROR(VLOOKUP($B62,'LOD 400 - UTLS'!$B:CM,90,FALSE),"N/A")</f>
        <v>N/A</v>
      </c>
      <c r="GZ62" s="84" t="str">
        <f>IFERROR(VLOOKUP($B62,'LOD 400 - UTLS'!$B:CP,93,FALSE),"N/A")</f>
        <v>N/A</v>
      </c>
      <c r="HA62" s="84" t="str">
        <f>IFERROR(VLOOKUP($B62,'LOD 400 - UTLS'!$B:CS,96,FALSE),"N/A")</f>
        <v>N/A</v>
      </c>
      <c r="HB62" s="84" t="str">
        <f>IFERROR(VLOOKUP($B62,'LOD 400 - UTLS'!$B:CV,99,FALSE),"N/A")</f>
        <v>N/A</v>
      </c>
      <c r="HC62" s="84" t="str">
        <f>IFERROR(VLOOKUP($B62,'LOD 400 - UTLS'!$B:CY,102,FALSE),"N/A")</f>
        <v>N/A</v>
      </c>
      <c r="HD62" s="84" t="str">
        <f>IFERROR(VLOOKUP($B62,'LOD 400 - UTLS'!$B:DB,105,FALSE),"N/A")</f>
        <v>N/A</v>
      </c>
      <c r="HE62" s="96" t="str">
        <f>IFERROR(__xludf.DUMMYFUNCTION("IFERROR(
  MAX(FILTER(GA62:HD62, ISNUMBER(GA62:HD62))),
  HD62
)"),"N/A")</f>
        <v>N/A</v>
      </c>
      <c r="HF62" s="99"/>
      <c r="HG62" s="99"/>
      <c r="HH62" s="99"/>
      <c r="HI62" s="99"/>
      <c r="HJ62" s="99"/>
      <c r="HK62" s="99"/>
    </row>
    <row r="63" ht="15.0" customHeight="1" outlineLevel="1">
      <c r="A63" s="53">
        <v>67.0</v>
      </c>
      <c r="B63" s="100" t="s">
        <v>209</v>
      </c>
      <c r="C63" s="100" t="s">
        <v>210</v>
      </c>
      <c r="D63" s="64" t="str">
        <f t="shared" si="11"/>
        <v>SITE</v>
      </c>
      <c r="E63" s="101" t="s">
        <v>154</v>
      </c>
      <c r="F63" s="101" t="s">
        <v>154</v>
      </c>
      <c r="G63" s="229" t="s">
        <v>154</v>
      </c>
      <c r="H63" s="104"/>
      <c r="I63" s="68" t="str">
        <f>IFERROR(VLOOKUP($C60:C108,'R22 RELATÓRIO ACC'!B:F,5,FALSE),"NOT PUBLISHED")</f>
        <v>V7</v>
      </c>
      <c r="J63" s="69" t="str">
        <f>IFERROR(VLOOKUP($C60:C108,'R22 RELATÓRIO ACC'!B:P,15,FALSE),"NOT PUBLISHED")</f>
        <v>08/12/2025</v>
      </c>
      <c r="K63" s="70" t="str">
        <f>IFERROR(VLOOKUP($B60:B108,'RELATÓRIO ACC'!B:F,5,FALSE),"NOT PUBLISHED")</f>
        <v>V2</v>
      </c>
      <c r="L63" s="71" t="str">
        <f>IFERROR(VLOOKUP($B60:B108,'RELATÓRIO ACC'!B:P,15,FALSE),"NOT PUBLISHED")</f>
        <v>03/07/2026</v>
      </c>
      <c r="M63" s="72" t="str">
        <f>IF(OR($D63="UTLS",$D63="GUAR",$D63="STIR",$D63="PUMP",$D63="SITE"),
   VLOOKUP($B63,'LOD 400 - SITE'!B:M,12,FALSE),
   VLOOKUP($B63,'LOD 400 - ADMN'!B:M,12,FALSE)
)</f>
        <v>V7</v>
      </c>
      <c r="N63" s="105" t="str">
        <f>IF(OR($D63="UTLS",$D63="GUAR",$D63="STIR",$D63="PUMP",$D63="SITE"),
   VLOOKUP($B63,'LOD 400 - SITE'!B:N,13,FALSE),
   VLOOKUP($B63,'LOD 400 - ADMN'!B:N,13,FALSE)
)</f>
        <v>08/12/2025</v>
      </c>
      <c r="O63" s="106" t="str">
        <f>IF(OR($D63="UTLS",$D63="GUAR",$D63="STIR",$D63="PUMP",$D63="SITE"),
   VLOOKUP($B63,'LOD 400 - SITE'!B:O,14,FALSE),
   VLOOKUP($B63,'LOD 400 - ADMN'!B:O,14,FALSE)
)</f>
        <v>R22</v>
      </c>
      <c r="P63" s="107" t="str">
        <f>IF(OR($D63="C345",$D63="C12A",$D63="DATA"),
   VLOOKUP($B63,'LOD 400 - COLO3'!B:M,12,FALSE),"N/A")</f>
        <v>N/A</v>
      </c>
      <c r="Q63" s="108" t="str">
        <f>IF(OR($D63="C345",$D63="C12A",$D63="DATA"),
   VLOOKUP($B63,'LOD 400 - COLO3'!B:N,13,FALSE),"N/A")</f>
        <v>N/A</v>
      </c>
      <c r="R63" s="75" t="str">
        <f>IF(OR($D63="C345",$D63="C12A",$D63="DATA"),
   VLOOKUP($B63,'LOD 400 - COLO3'!B:O,14,FALSE),"N/A")</f>
        <v>N/A</v>
      </c>
      <c r="S63" s="76" t="str">
        <f>IF(OR($D63="C345",$D63="C12A",$D63="DATA"),
   VLOOKUP($B63,'LOD 400 - COLO4'!B:N,12,FALSE),"N/A")</f>
        <v>N/A</v>
      </c>
      <c r="T63" s="76" t="str">
        <f>IF(OR($D63="C345",$D63="C12A",$D63="DATA"),
   VLOOKUP($B63,'LOD 400 - COLO4'!B:N,13,FALSE),"N/A")</f>
        <v>N/A</v>
      </c>
      <c r="U63" s="76" t="str">
        <f>IF(OR($D63="C345",$D63="C12A",$D63="DATA"),
   VLOOKUP($B63,'LOD 400 - COLO4'!B:N,13,FALSE),"N/A")</f>
        <v>N/A</v>
      </c>
      <c r="V63" s="77" t="str">
        <f>IF(OR($D63="UTLS",$D63="GUAR",$D63="STIR",$D63="PUMP",$D63="SITE"),
   VLOOKUP($B63,'LOD 400 - UTLS'!B:M,12,FALSE),"N/A")</f>
        <v>V7</v>
      </c>
      <c r="W63" s="78" t="str">
        <f>IF(OR($D63="UTLS",$D63="GUAR",$D63="STIR",$D63="PUMP",$D63="SITE"),
   VLOOKUP($B63,'LOD 400 - UTLS'!B:N,13,FALSE),"N/A")</f>
        <v>08/12/2025</v>
      </c>
      <c r="X63" s="108" t="str">
        <f>IF(OR($D63="UTLS",$D63="GUAR",$D63="STIR",$D63="PUMP",$D63="SITE"),
   VLOOKUP($B63,'LOD 400 - UTLS'!B:O,14,FALSE),"N/A")</f>
        <v>R22</v>
      </c>
      <c r="Y63" s="79" t="str">
        <f>IFERROR(VLOOKUP($B63,'LOD 400 - ADMN'!B:S,18,FALSE),"N/A")</f>
        <v>N/A</v>
      </c>
      <c r="Z63" s="79" t="str">
        <f>IFERROR(VLOOKUP($B63,'LOD 400 - ADMN'!B:V,21,FALSE),"N/A")</f>
        <v>N/A</v>
      </c>
      <c r="AA63" s="79" t="str">
        <f>IFERROR(VLOOKUP($B63,'LOD 400 - ADMN'!$B:Y,24,FALSE),"N/A")</f>
        <v>N/A</v>
      </c>
      <c r="AB63" s="80" t="str">
        <f>IFERROR(VLOOKUP($B63,'LOD 400 - ADMN'!$B:AB,27,FALSE),"N/A")</f>
        <v>N/A</v>
      </c>
      <c r="AC63" s="81" t="str">
        <f>IFERROR(VLOOKUP($B63,'LOD 400 - ADMN'!$B:AE,30,FALSE),"N/A")</f>
        <v>N/A</v>
      </c>
      <c r="AD63" s="81" t="str">
        <f>IFERROR(VLOOKUP($B63,'LOD 400 - ADMN'!$B:AH,33,FALSE),"N/A")</f>
        <v>N/A</v>
      </c>
      <c r="AE63" s="80" t="str">
        <f>IFERROR(VLOOKUP($B63,'LOD 400 - ADMN'!$B:AK,36,FALSE),"N/A")</f>
        <v>N/A</v>
      </c>
      <c r="AF63" s="82" t="str">
        <f>IFERROR(VLOOKUP($B63,'LOD 400 - ADMN'!$B:AN,39,FALSE),"N/A")</f>
        <v>N/A</v>
      </c>
      <c r="AG63" s="83" t="str">
        <f>IFERROR(VLOOKUP($B63,'LOD 400 - ADMN'!$B:AQ,42,FALSE),"N/A")</f>
        <v>N/A</v>
      </c>
      <c r="AH63" s="84" t="str">
        <f>IFERROR(VLOOKUP($B63,'LOD 400 - ADMN'!$B:AT,45,FALSE),"N/A")</f>
        <v>N/A</v>
      </c>
      <c r="AI63" s="85" t="str">
        <f>IFERROR(VLOOKUP($B63,'LOD 400 - ADMN'!$B:AW,48,FALSE),"N/A")</f>
        <v>N/A</v>
      </c>
      <c r="AJ63" s="85" t="str">
        <f>IFERROR(VLOOKUP($B63,'LOD 400 - ADMN'!$B:AZ,51,FALSE),"N/A")</f>
        <v>N/A</v>
      </c>
      <c r="AK63" s="84" t="str">
        <f>IFERROR(VLOOKUP($B63,'LOD 400 - ADMN'!$B:BC,54,FALSE),"N/A")</f>
        <v>N/A</v>
      </c>
      <c r="AL63" s="84" t="str">
        <f>IFERROR(VLOOKUP($B63,'LOD 400 - ADMN'!$B:BF,57,FALSE),"N/A")</f>
        <v>N/A</v>
      </c>
      <c r="AM63" s="84" t="str">
        <f>IFERROR(VLOOKUP($B63,'LOD 400 - ADMN'!$B:BI,60,FALSE),"N/A")</f>
        <v>N/A</v>
      </c>
      <c r="AN63" s="84" t="str">
        <f>IFERROR(VLOOKUP($B63,'LOD 400 - ADMN'!$B:BL,63,FALSE),"N/A")</f>
        <v>N/A</v>
      </c>
      <c r="AO63" s="84" t="str">
        <f>IFERROR(VLOOKUP($B63,'LOD 400 - ADMN'!$B:BO,66,FALSE),"N/A")</f>
        <v>N/A</v>
      </c>
      <c r="AP63" s="84" t="str">
        <f>IFERROR(VLOOKUP($B63,'LOD 400 - ADMN'!$B:BR,69,FALSE),"N/A")</f>
        <v>N/A</v>
      </c>
      <c r="AQ63" s="84" t="str">
        <f>IFERROR(VLOOKUP($B63,'LOD 400 - ADMN'!$B:BU,72,FALSE),"N/A")</f>
        <v>N/A</v>
      </c>
      <c r="AR63" s="84" t="str">
        <f>IFERROR(VLOOKUP($B63,'LOD 400 - ADMN'!$B:BX,75,FALSE),"N/A")</f>
        <v>N/A</v>
      </c>
      <c r="AS63" s="84" t="str">
        <f>IFERROR(VLOOKUP($B63,'LOD 400 - ADMN'!$B:CA,78,FALSE),"N/A")</f>
        <v>N/A</v>
      </c>
      <c r="AT63" s="84" t="str">
        <f>IFERROR(VLOOKUP($B63,'LOD 400 - ADMN'!$B:CD,81,FALSE),"N/A")</f>
        <v>N/A</v>
      </c>
      <c r="AU63" s="85" t="str">
        <f>IFERROR(VLOOKUP($B63,'LOD 400 - ADMN'!$B:CG,84,FALSE),"N/A")</f>
        <v>N/A</v>
      </c>
      <c r="AV63" s="84" t="str">
        <f>IFERROR(VLOOKUP($B63,'LOD 400 - ADMN'!$B:CJ,87,FALSE),"N/A")</f>
        <v>N/A</v>
      </c>
      <c r="AW63" s="85" t="str">
        <f>IFERROR(VLOOKUP($B63,'LOD 400 - ADMN'!$B:CM,90,FALSE),"N/A")</f>
        <v>N/A</v>
      </c>
      <c r="AX63" s="84" t="str">
        <f>IFERROR(VLOOKUP($B63,'LOD 400 - ADMN'!$B:CP,93,FALSE),"N/A")</f>
        <v>N/A</v>
      </c>
      <c r="AY63" s="84" t="str">
        <f>IFERROR(VLOOKUP($B63,'LOD 400 - ADMN'!$B:CS,96,FALSE),"N/A")</f>
        <v>N/A</v>
      </c>
      <c r="AZ63" s="84" t="str">
        <f>IFERROR(VLOOKUP($B63,'LOD 400 - ADMN'!$B:CV,99,FALSE),"N/A")</f>
        <v>N/A</v>
      </c>
      <c r="BA63" s="84" t="str">
        <f>IFERROR(VLOOKUP($B63,'LOD 400 - ADMN'!$B:CY,102,FALSE),"N/A")</f>
        <v>N/A</v>
      </c>
      <c r="BB63" s="84" t="str">
        <f>IFERROR(VLOOKUP($B63,'LOD 400 - ADMN'!$B:DB,105,FALSE),"N/A")</f>
        <v>N/A</v>
      </c>
      <c r="BC63" s="84" t="str">
        <f>IFERROR(VLOOKUP($B63,'LOD 400 - ADMN'!$B:DE,108,FALSE),"N/A")</f>
        <v>N/A</v>
      </c>
      <c r="BD63" s="84" t="str">
        <f>IFERROR(VLOOKUP($B63,'LOD 400 - ADMN'!$B:DH,111,FALSE),"N/A")</f>
        <v>N/A</v>
      </c>
      <c r="BE63" s="84" t="str">
        <f>IFERROR(VLOOKUP($B63,'LOD 400 - ADMN'!$B:DK,114,FALSE),"N/A")</f>
        <v>N/A</v>
      </c>
      <c r="BF63" s="84" t="str">
        <f>IFERROR(VLOOKUP($B63,'LOD 400 - ADMN'!$B:DN,117,FALSE),"N/A")</f>
        <v>N/A</v>
      </c>
      <c r="BG63" s="86" t="str">
        <f>IFERROR(__xludf.DUMMYFUNCTION("IFERROR(
  MAX(FILTER(Y63:BF63, ISNUMBER(Y63:BF63))),
  BF63
)"),"N/A")</f>
        <v>N/A</v>
      </c>
      <c r="BH63" s="79" t="str">
        <f>IFERROR(VLOOKUP($B63,'LOD 400 - COLO1'!B:S,18,FALSE),"N/A")</f>
        <v>N/A</v>
      </c>
      <c r="BI63" s="79" t="str">
        <f>IFERROR(VLOOKUP($B63,'LOD 400 - COLO1'!B:V,21,FALSE),"N/A")</f>
        <v>N/A</v>
      </c>
      <c r="BJ63" s="79" t="str">
        <f>IFERROR(VLOOKUP($B63,'LOD 400 - COLO1'!$B:Y,24,FALSE),"N/A")</f>
        <v>N/A</v>
      </c>
      <c r="BK63" s="87" t="str">
        <f>IFERROR(VLOOKUP($B63,'LOD 400 - COLO1'!$B:AB,27,FALSE),"N/A")</f>
        <v>N/A</v>
      </c>
      <c r="BL63" s="80" t="str">
        <f>IFERROR(VLOOKUP($B63,'LOD 400 - COLO1'!$B:AE,30,FALSE),"N/A")</f>
        <v>N/A</v>
      </c>
      <c r="BM63" s="81" t="str">
        <f>IFERROR(VLOOKUP($B63,'LOD 400 - COLO1'!$B:AH,33,FALSE),"N/A")</f>
        <v>N/A</v>
      </c>
      <c r="BN63" s="87" t="str">
        <f>IFERROR(VLOOKUP($B63,'LOD 400 - COLO1'!$B:AK,36,FALSE),"N/A")</f>
        <v>N/A</v>
      </c>
      <c r="BO63" s="83" t="str">
        <f>IFERROR(VLOOKUP($B63,'LOD 400 - COLO1'!$B:AN,39,FALSE),"N/A")</f>
        <v>N/A</v>
      </c>
      <c r="BP63" s="88" t="str">
        <f>IFERROR(VLOOKUP($B63,'LOD 400 - COLO1'!$B:AQ,42,FALSE),"N/A")</f>
        <v>N/A</v>
      </c>
      <c r="BQ63" s="84" t="str">
        <f>IFERROR(VLOOKUP($B63,'LOD 400 - COLO1'!$B:AT,45,FALSE),"N/A")</f>
        <v>N/A</v>
      </c>
      <c r="BR63" s="85" t="str">
        <f>IFERROR(VLOOKUP($B63,'LOD 400 - COLO1'!$B:AW,48,FALSE),"N/A")</f>
        <v>N/A</v>
      </c>
      <c r="BS63" s="84" t="str">
        <f>IFERROR(VLOOKUP($B63,'LOD 400 - COLO1'!$B:AZ,51,FALSE),"N/A")</f>
        <v>N/A</v>
      </c>
      <c r="BT63" s="84" t="str">
        <f>IFERROR(VLOOKUP($B63,'LOD 400 - COLO1'!$B:BC,54,FALSE),"N/A")</f>
        <v>N/A</v>
      </c>
      <c r="BU63" s="84" t="str">
        <f>IFERROR(VLOOKUP($B63,'LOD 400 - COLO1'!$B:BF,57,FALSE),"N/A")</f>
        <v>N/A</v>
      </c>
      <c r="BV63" s="84" t="str">
        <f>IFERROR(VLOOKUP($B63,'LOD 400 - COLO1'!$B:BI,60,FALSE),"N/A")</f>
        <v>N/A</v>
      </c>
      <c r="BW63" s="84" t="str">
        <f>IFERROR(VLOOKUP($B63,'LOD 400 - COLO1'!$B:BL,63,FALSE),"N/A")</f>
        <v>N/A</v>
      </c>
      <c r="BX63" s="84" t="str">
        <f>IFERROR(VLOOKUP($B63,'LOD 400 - COLO1'!$B:BO,66,FALSE),"N/A")</f>
        <v>N/A</v>
      </c>
      <c r="BY63" s="84" t="str">
        <f>IFERROR(VLOOKUP($B63,'LOD 400 - COLO1'!$B:BR,69,FALSE),"N/A")</f>
        <v>N/A</v>
      </c>
      <c r="BZ63" s="84" t="str">
        <f>IFERROR(VLOOKUP($B63,'LOD 400 - COLO1'!$B:BU,72,FALSE),"N/A")</f>
        <v>N/A</v>
      </c>
      <c r="CA63" s="84" t="str">
        <f>IFERROR(VLOOKUP($B63,'LOD 400 - COLO1'!$B:BX,75,FALSE),"N/A")</f>
        <v>N/A</v>
      </c>
      <c r="CB63" s="84" t="str">
        <f>IFERROR(VLOOKUP($B63,'LOD 400 - COLO1'!$B:CA,78,FALSE),"N/A")</f>
        <v>N/A</v>
      </c>
      <c r="CC63" s="84" t="str">
        <f>IFERROR(VLOOKUP($B63,'LOD 400 - COLO1'!$B:CD,81,FALSE),"N/A")</f>
        <v>N/A</v>
      </c>
      <c r="CD63" s="85" t="str">
        <f>IFERROR(VLOOKUP($B63,'LOD 400 - COLO1'!$B:CG,84,FALSE),"N/A")</f>
        <v>N/A</v>
      </c>
      <c r="CE63" s="84" t="str">
        <f>IFERROR(VLOOKUP($B63,'LOD 400 - COLO1'!$B:CJ,87,FALSE),"N/A")</f>
        <v>N/A</v>
      </c>
      <c r="CF63" s="85" t="str">
        <f>IFERROR(VLOOKUP($B63,'LOD 400 - COLO1'!$B:CM,90,FALSE),"N/A")</f>
        <v>N/A</v>
      </c>
      <c r="CG63" s="84" t="str">
        <f>IFERROR(VLOOKUP($B63,'LOD 400 - COLO1'!$B:CP,93,FALSE),"N/A")</f>
        <v>N/A</v>
      </c>
      <c r="CH63" s="84" t="str">
        <f>IFERROR(VLOOKUP($B63,'LOD 400 - COLO1'!$B:CS,96,FALSE),"N/A")</f>
        <v>N/A</v>
      </c>
      <c r="CI63" s="84" t="str">
        <f>IFERROR(VLOOKUP($B63,'LOD 400 - COLO1'!$B:CV,99,FALSE),"N/A")</f>
        <v>N/A</v>
      </c>
      <c r="CJ63" s="84" t="str">
        <f>IFERROR(VLOOKUP($B63,'LOD 400 - COLO1'!$B:CY,102,FALSE),"N/A")</f>
        <v>N/A</v>
      </c>
      <c r="CK63" s="84" t="str">
        <f>IFERROR(VLOOKUP($B63,'LOD 400 - COLO1'!$B:DB,105,FALSE),"N/A")</f>
        <v>N/A</v>
      </c>
      <c r="CL63" s="84" t="str">
        <f>IFERROR(VLOOKUP($B63,'LOD 400 - COLO1'!$B:DE,108,FALSE),"N/A")</f>
        <v>N/A</v>
      </c>
      <c r="CM63" s="84" t="str">
        <f>IFERROR(VLOOKUP($B63,'LOD 400 - COLO1'!$B:DH,111,FALSE),"N/A")</f>
        <v>N/A</v>
      </c>
      <c r="CN63" s="84" t="str">
        <f>IFERROR(VLOOKUP($B63,'LOD 400 - COLO1'!$B:DK,114,FALSE),"N/A")</f>
        <v>N/A</v>
      </c>
      <c r="CO63" s="84" t="str">
        <f>IFERROR(VLOOKUP($B63,'LOD 400 - COLO1'!$B:DN,117,FALSE),"N/A")</f>
        <v>N/A</v>
      </c>
      <c r="CP63" s="86" t="str">
        <f>IFERROR(__xludf.DUMMYFUNCTION("IFERROR(
  MAX(FILTER(BH63:CO63, ISNUMBER(BH63:CO63))),
  CO63
)"),"N/A")</f>
        <v>N/A</v>
      </c>
      <c r="CQ63" s="89" t="str">
        <f>IFERROR(VLOOKUP($B63,'LOD 400 - COLO2'!B:S,18,FALSE),"N/A")</f>
        <v>N/A</v>
      </c>
      <c r="CR63" s="79" t="str">
        <f>IFERROR(VLOOKUP($B63,'LOD 400 - COLO2'!B:V,21,FALSE),"N/A")</f>
        <v>N/A</v>
      </c>
      <c r="CS63" s="79" t="str">
        <f>IFERROR(VLOOKUP($B63,'LOD 400 - COLO2'!$B:Y,24,FALSE),"N/A")</f>
        <v>N/A</v>
      </c>
      <c r="CT63" s="80" t="str">
        <f>IFERROR(VLOOKUP($B63,'LOD 400 - COLO2'!$B:DQ,27,FALSE),"N/A")</f>
        <v>N/A</v>
      </c>
      <c r="CU63" s="90" t="str">
        <f>IFERROR(VLOOKUP($B63,'LOD 400 - COLO2'!$B:AE,30,FALSE),"N/A")</f>
        <v>N/A</v>
      </c>
      <c r="CV63" s="81" t="str">
        <f>IFERROR(VLOOKUP($B63,'LOD 400 - COLO2'!$B:AH,33,FALSE),"N/A")</f>
        <v>N/A</v>
      </c>
      <c r="CW63" s="90" t="str">
        <f>IFERROR(VLOOKUP($B63,'LOD 400 - COLO2'!$B:AK,36,FALSE),"N/A")</f>
        <v>N/A</v>
      </c>
      <c r="CX63" s="85" t="str">
        <f>IFERROR(VLOOKUP($B63,'LOD 400 - COLO2'!$B:AN,39,FALSE),"N/A")</f>
        <v>N/A</v>
      </c>
      <c r="CY63" s="88" t="str">
        <f>IFERROR(VLOOKUP($B63,'LOD 400 - COLO2'!$B:AQ,42,FALSE),"N/A")</f>
        <v>N/A</v>
      </c>
      <c r="CZ63" s="84" t="str">
        <f>IFERROR(VLOOKUP($B63,'LOD 400 - COLO2'!$B:AT,45,FALSE),"N/A")</f>
        <v>N/A</v>
      </c>
      <c r="DA63" s="85" t="str">
        <f>IFERROR(VLOOKUP($B63,'LOD 400 - COLO2'!$B:AW,48,FALSE),"N/A")</f>
        <v>N/A</v>
      </c>
      <c r="DB63" s="84" t="str">
        <f>IFERROR(VLOOKUP($B63,'LOD 400 - COLO2'!$B:AZ,51,FALSE),"N/A")</f>
        <v>N/A</v>
      </c>
      <c r="DC63" s="84" t="str">
        <f>IFERROR(VLOOKUP($B63,'LOD 400 - COLO2'!$B:BC,54,FALSE),"N/A")</f>
        <v>N/A</v>
      </c>
      <c r="DD63" s="84" t="str">
        <f>IFERROR(VLOOKUP($B63,'LOD 400 - COLO2'!$B:BF,57,FALSE),"N/A")</f>
        <v>N/A</v>
      </c>
      <c r="DE63" s="84" t="str">
        <f>IFERROR(VLOOKUP($B63,'LOD 400 - COLO2'!$B:BI,60,FALSE),"N/A")</f>
        <v>N/A</v>
      </c>
      <c r="DF63" s="84" t="str">
        <f>IFERROR(VLOOKUP($B63,'LOD 400 - COLO2'!$B:BL,63,FALSE),"N/A")</f>
        <v>N/A</v>
      </c>
      <c r="DG63" s="84" t="str">
        <f>IFERROR(VLOOKUP($B63,'LOD 400 - COLO2'!$B:BO,66,FALSE),"N/A")</f>
        <v>N/A</v>
      </c>
      <c r="DH63" s="84" t="str">
        <f>IFERROR(VLOOKUP($B63,'LOD 400 - COLO2'!$B:BR,69,FALSE),"N/A")</f>
        <v>N/A</v>
      </c>
      <c r="DI63" s="84" t="str">
        <f>IFERROR(VLOOKUP($B63,'LOD 400 - COLO2'!$B:BU,72,FALSE),"N/A")</f>
        <v>N/A</v>
      </c>
      <c r="DJ63" s="84" t="str">
        <f>IFERROR(VLOOKUP($B63,'LOD 400 - COLO2'!$B:BX,75,FALSE),"N/A")</f>
        <v>N/A</v>
      </c>
      <c r="DK63" s="84" t="str">
        <f>IFERROR(VLOOKUP($B63,'LOD 400 - COLO2'!$B:CA,78,FALSE),"N/A")</f>
        <v>N/A</v>
      </c>
      <c r="DL63" s="84" t="str">
        <f>IFERROR(VLOOKUP($B63,'LOD 400 - COLO2'!$B:CD,81,FALSE),"N/A")</f>
        <v>N/A</v>
      </c>
      <c r="DM63" s="85" t="str">
        <f>IFERROR(VLOOKUP($B63,'LOD 400 - COLO2'!$B:CG,84,FALSE),"N/A")</f>
        <v>N/A</v>
      </c>
      <c r="DN63" s="84" t="str">
        <f>IFERROR(VLOOKUP($B63,'LOD 400 - COLO2'!$B:CJ,87,FALSE),"N/A")</f>
        <v>N/A</v>
      </c>
      <c r="DO63" s="85" t="str">
        <f>IFERROR(VLOOKUP($B63,'LOD 400 - COLO2'!$B:CM,90,FALSE),"N/A")</f>
        <v>N/A</v>
      </c>
      <c r="DP63" s="84" t="str">
        <f>IFERROR(VLOOKUP($B63,'LOD 400 - COLO2'!$B:CP,93,FALSE),"N/A")</f>
        <v>N/A</v>
      </c>
      <c r="DQ63" s="84" t="str">
        <f>IFERROR(VLOOKUP($B63,'LOD 400 - COLO2'!$B:CS,96,FALSE),"N/A")</f>
        <v>N/A</v>
      </c>
      <c r="DR63" s="84" t="str">
        <f>IFERROR(VLOOKUP($B63,'LOD 400 - COLO2'!$B:CV,99,FALSE),"N/A")</f>
        <v>N/A</v>
      </c>
      <c r="DS63" s="84" t="str">
        <f>IFERROR(VLOOKUP($B63,'LOD 400 - COLO2'!$B:CY,102,FALSE),"N/A")</f>
        <v>N/A</v>
      </c>
      <c r="DT63" s="84" t="str">
        <f>IFERROR(VLOOKUP($B63,'LOD 400 - COLO2'!$B:DB,105,FALSE),"N/A")</f>
        <v>N/A</v>
      </c>
      <c r="DU63" s="84" t="str">
        <f>IFERROR(VLOOKUP($B63,'LOD 400 - COLO2'!$B:DE,108,FALSE),"N/A")</f>
        <v>N/A</v>
      </c>
      <c r="DV63" s="84" t="str">
        <f>IFERROR(VLOOKUP($B63,'LOD 400 - COLO2'!$B:DH,111,FALSE),"N/A")</f>
        <v>N/A</v>
      </c>
      <c r="DW63" s="84" t="str">
        <f>IFERROR(VLOOKUP($B63,'LOD 400 - COLO2'!$B:DK,114,FALSE),"N/A")</f>
        <v>N/A</v>
      </c>
      <c r="DX63" s="84" t="str">
        <f>IFERROR(VLOOKUP($B63,'LOD 400 - COLO2'!$B:DN,117,FALSE),"N/A")</f>
        <v>N/A</v>
      </c>
      <c r="DY63" s="91" t="str">
        <f>IFERROR(__xludf.DUMMYFUNCTION("IFERROR(
  MAX(FILTER(CQ63:DW63, ISNUMBER(CQ63:DW63))),
  DW63
)"),"N/A")</f>
        <v>N/A</v>
      </c>
      <c r="DZ63" s="92" t="str">
        <f>IFERROR(VLOOKUP($B63,'LOD 400 - COLO3'!B:S,18,FALSE),"N/A")</f>
        <v>N/A</v>
      </c>
      <c r="EA63" s="84" t="str">
        <f>IFERROR(VLOOKUP($B63,'LOD 400 - COLO3'!B:V,21,FALSE),"N/A")</f>
        <v>N/A</v>
      </c>
      <c r="EB63" s="84" t="str">
        <f>IFERROR(VLOOKUP($B63,'LOD 400 - COLO3'!B:Y,24,FALSE),"N/A")</f>
        <v>N/A</v>
      </c>
      <c r="EC63" s="84" t="str">
        <f>IFERROR(VLOOKUP($B63,'LOD 400 - COLO3'!B:AB,27,FALSE),"N/A")</f>
        <v>N/A</v>
      </c>
      <c r="ED63" s="85" t="str">
        <f>IFERROR(VLOOKUP($B63,'LOD 400 - COLO3'!B:AE,30,FALSE),"N/A")</f>
        <v>N/A</v>
      </c>
      <c r="EE63" s="84" t="str">
        <f>IFERROR(VLOOKUP($B63,'LOD 400 - COLO3'!B:AH,33,FALSE),"N/A")</f>
        <v>N/A</v>
      </c>
      <c r="EF63" s="84" t="str">
        <f>IFERROR(VLOOKUP($B63,'LOD 400 - COLO3'!B:AK,36,FALSE),"N/A")</f>
        <v>N/A</v>
      </c>
      <c r="EG63" s="109" t="str">
        <f>IFERROR(VLOOKUP($B63,'LOD 400 - COLO3'!B:AN,39,FALSE),"N/A")</f>
        <v>N/A</v>
      </c>
      <c r="EH63" s="94" t="str">
        <f>IFERROR(VLOOKUP($B63,'LOD 400 - COLO3'!B:AQ,42,FALSE),"N/A")</f>
        <v>N/A</v>
      </c>
      <c r="EI63" s="94" t="str">
        <f>IFERROR(VLOOKUP($B63,'LOD 400 - COLO3'!B:AT,45,FALSE),"N/A")</f>
        <v>N/A</v>
      </c>
      <c r="EJ63" s="94" t="str">
        <f>IFERROR(VLOOKUP($B63,'LOD 400 - COLO3'!B:AW,48,FALSE),"N/A")</f>
        <v>N/A</v>
      </c>
      <c r="EK63" s="94" t="str">
        <f>IFERROR(VLOOKUP($B63,'LOD 400 - COLO3'!B:AZ,51,FALSE),"N/A")</f>
        <v>N/A</v>
      </c>
      <c r="EL63" s="94" t="str">
        <f>IFERROR(VLOOKUP($B63,'LOD 400 - COLO3'!B:BC,54,FALSE),"N/A")</f>
        <v>N/A</v>
      </c>
      <c r="EM63" s="94" t="str">
        <f>IFERROR(VLOOKUP($B63,'LOD 400 - COLO3'!B:BF,57,FALSE),"N/A")</f>
        <v>N/A</v>
      </c>
      <c r="EN63" s="94" t="str">
        <f>IFERROR(VLOOKUP($B63,'LOD 400 - COLO3'!B:BI,60,FALSE),"N/A")</f>
        <v>N/A</v>
      </c>
      <c r="EO63" s="94" t="str">
        <f>IFERROR(VLOOKUP($B63,'LOD 400 - COLO3'!B:BL,63,FALSE),"N/A")</f>
        <v>N/A</v>
      </c>
      <c r="EP63" s="86" t="str">
        <f>IFERROR(__xludf.DUMMYFUNCTION("IFERROR(
  MAX(FILTER(DZ63:EO63, ISNUMBER(DZ63:EO63))),
  EO63
)"),"N/A")</f>
        <v>N/A</v>
      </c>
      <c r="EQ63" s="95" t="str">
        <f>IFERROR(VLOOKUP($B63,'LOD 400 - COLO4'!B:S,18,FALSE),"N/A")</f>
        <v>N/A</v>
      </c>
      <c r="ER63" s="96" t="str">
        <f>IFERROR(__xludf.DUMMYFUNCTION("IFERROR(
  MAX(FILTER(EQ63, ISNUMBER(EQ63))),
  EQ63
)"),"N/A")</f>
        <v>N/A</v>
      </c>
      <c r="ES63" s="79" t="str">
        <f>IFERROR(VLOOKUP($B63,'LOD 400 - SITE'!B:S,18,FALSE),"N/A")</f>
        <v>NOT PUBLISHED</v>
      </c>
      <c r="ET63" s="80" t="str">
        <f>IFERROR(VLOOKUP($B63,'LOD 400 - SITE'!B:V,21,FALSE),"N/A")</f>
        <v>N/A</v>
      </c>
      <c r="EU63" s="97" t="str">
        <f>IFERROR(VLOOKUP($B63,'LOD 400 - SITE'!$B:Y,24,FALSE),"N/A")</f>
        <v>NOT PUBLISHED</v>
      </c>
      <c r="EV63" s="80">
        <f>IFERROR(VLOOKUP($B63,'LOD 400 - SITE'!$B:AB,27,FALSE),"N/A")</f>
        <v>0.01</v>
      </c>
      <c r="EW63" s="81">
        <f>IFERROR(VLOOKUP($B63,'LOD 400 - SITE'!$B:AE,30,FALSE),"N/A")</f>
        <v>0.27</v>
      </c>
      <c r="EX63" s="87" t="str">
        <f>IFERROR(VLOOKUP($B63,'LOD 400 - SITE'!$B:AH,33,FALSE),"N/A")</f>
        <v>IMPROPER</v>
      </c>
      <c r="EY63" s="87" t="str">
        <f>IFERROR(VLOOKUP($B63,'LOD 400 - SITE'!$B:AK,36,FALSE),"N/A")</f>
        <v>IMPROPER</v>
      </c>
      <c r="EZ63" s="80" t="str">
        <f>IFERROR(VLOOKUP($B63,'LOD 400 - SITE'!$B:AN,39,FALSE),"N/A")</f>
        <v>NEXT ROUND </v>
      </c>
      <c r="FA63" s="82">
        <f>IFERROR(VLOOKUP($B63,'LOD 400 - SITE'!$B:AQ,42,FALSE),"N/A")</f>
        <v>1</v>
      </c>
      <c r="FB63" s="88">
        <f>IFERROR(VLOOKUP($B63,'LOD 400 - SITE'!$B:AT,45,FALSE),"N/A")</f>
        <v>1</v>
      </c>
      <c r="FC63" s="84">
        <f>IFERROR(VLOOKUP($B63,'LOD 400 - SITE'!$B:AW,48,FALSE),"N/A")</f>
        <v>1</v>
      </c>
      <c r="FD63" s="84">
        <f>IFERROR(VLOOKUP($B63,'LOD 400 - SITE'!$B:AZ,51,FALSE),"N/A")</f>
        <v>1</v>
      </c>
      <c r="FE63" s="84">
        <f>IFERROR(VLOOKUP($B63,'LOD 400 - SITE'!$B:BC,54,FALSE),"N/A")</f>
        <v>1</v>
      </c>
      <c r="FF63" s="84">
        <f>IFERROR(VLOOKUP($B63,'LOD 400 - SITE'!$B:BF,57,FALSE),"N/A")</f>
        <v>1</v>
      </c>
      <c r="FG63" s="84">
        <f>IFERROR(VLOOKUP($B63,'LOD 400 - SITE'!$B:BI,60,FALSE),"N/A")</f>
        <v>1</v>
      </c>
      <c r="FH63" s="84">
        <f>IFERROR(VLOOKUP($B63,'LOD 400 - SITE'!$B:BL,63,FALSE),"N/A")</f>
        <v>1</v>
      </c>
      <c r="FI63" s="84">
        <f>IFERROR(VLOOKUP($B63,'LOD 400 - SITE'!$B:BO,66,FALSE),"N/A")</f>
        <v>1</v>
      </c>
      <c r="FJ63" s="84">
        <f>IFERROR(VLOOKUP($B63,'LOD 400 - SITE'!$B:BR,69,FALSE),"N/A")</f>
        <v>1</v>
      </c>
      <c r="FK63" s="84">
        <f>IFERROR(VLOOKUP($B63,'LOD 400 - SITE'!$B:BU,72,FALSE),"N/A")</f>
        <v>1</v>
      </c>
      <c r="FL63" s="84">
        <f>IFERROR(VLOOKUP($B63,'LOD 400 - SITE'!$B:BX,75,FALSE),"N/A")</f>
        <v>1</v>
      </c>
      <c r="FM63" s="84">
        <f>IFERROR(VLOOKUP($B63,'LOD 400 - SITE'!$B:CA,78,FALSE),"N/A")</f>
        <v>1</v>
      </c>
      <c r="FN63" s="85">
        <f>IFERROR(VLOOKUP($B63,'LOD 400 - SITE'!$B:CD,81,FALSE),"N/A")</f>
        <v>1</v>
      </c>
      <c r="FO63" s="84">
        <f>IFERROR(VLOOKUP($B63,'LOD 400 - SITE'!$B:CG,84,FALSE),"N/A")</f>
        <v>1</v>
      </c>
      <c r="FP63" s="85">
        <f>IFERROR(VLOOKUP($B63,'LOD 400 - SITE'!$B:CJ,87,FALSE),"N/A")</f>
        <v>1</v>
      </c>
      <c r="FQ63" s="84">
        <f>IFERROR(VLOOKUP($B63,'LOD 400 - SITE'!$B:CM,90,FALSE),"N/A")</f>
        <v>1</v>
      </c>
      <c r="FR63" s="84">
        <f>IFERROR(VLOOKUP($B63,'LOD 400 - SITE'!$B:CP,93,FALSE),"N/A")</f>
        <v>1</v>
      </c>
      <c r="FS63" s="84">
        <f>IFERROR(VLOOKUP($B63,'LOD 400 - SITE'!$B:CS,96,FALSE),"N/A")</f>
        <v>1</v>
      </c>
      <c r="FT63" s="84">
        <f>IFERROR(VLOOKUP($B63,'LOD 400 - SITE'!$B:CV,99,FALSE),"N/A")</f>
        <v>1</v>
      </c>
      <c r="FU63" s="84">
        <f>IFERROR(VLOOKUP($B63,'LOD 400 - SITE'!$B:CY,102,FALSE),"N/A")</f>
        <v>1</v>
      </c>
      <c r="FV63" s="84">
        <f>IFERROR(VLOOKUP($B63,'LOD 400 - SITE'!$B:DB,105,FALSE),"N/A")</f>
        <v>1</v>
      </c>
      <c r="FW63" s="84">
        <f>IFERROR(VLOOKUP($B63,'LOD 400 - SITE'!$B:DE,108,FALSE),"N/A")</f>
        <v>1</v>
      </c>
      <c r="FX63" s="84">
        <f>IFERROR(VLOOKUP($B63,'LOD 400 - SITE'!$B:DH,111,FALSE),"N/A")</f>
        <v>1</v>
      </c>
      <c r="FY63" s="84">
        <f>IFERROR(VLOOKUP($B63,'LOD 400 - SITE'!$B:DK,114,FALSE),"N/A")</f>
        <v>1</v>
      </c>
      <c r="FZ63" s="96">
        <f>IFERROR(__xludf.DUMMYFUNCTION("IFERROR(
  MAX(FILTER(ES63:FY63, ISNUMBER(ES63:FY63))),
  FY63
)"),1.0)</f>
        <v>1</v>
      </c>
      <c r="GA63" s="80" t="str">
        <f>IFERROR(VLOOKUP($B63,'LOD 400 - UTLS'!B:S,18,FALSE),"N/A")</f>
        <v>N/A</v>
      </c>
      <c r="GB63" s="98">
        <f>IFERROR(VLOOKUP($B63,'LOD 400 - UTLS'!B:V,21,FALSE),"N/A")</f>
        <v>0.01</v>
      </c>
      <c r="GC63" s="81" t="str">
        <f>IFERROR(VLOOKUP($B63,'LOD 400 - UTLS'!B:Y,24,FALSE),"N/A")</f>
        <v>IMPROPER</v>
      </c>
      <c r="GD63" s="87" t="str">
        <f>IFERROR(VLOOKUP($B63,'LOD 400 - UTLS'!$B:AB,27,FALSE),"N/A")</f>
        <v>IMPROPER</v>
      </c>
      <c r="GE63" s="80" t="str">
        <f>IFERROR(VLOOKUP($B63,'LOD 400 - UTLS'!$B:AE,30,FALSE),"N/A")</f>
        <v>NEXT ROUND</v>
      </c>
      <c r="GF63" s="82">
        <f>IFERROR(VLOOKUP($B63,'LOD 400 - UTLS'!$B:AH,33,FALSE),"N/A")</f>
        <v>1</v>
      </c>
      <c r="GG63" s="88">
        <f>IFERROR(VLOOKUP($B63,'LOD 400 - UTLS'!$B:AK,36,FALSE),"N/A")</f>
        <v>1</v>
      </c>
      <c r="GH63" s="84">
        <f>IFERROR(VLOOKUP($B63,'LOD 400 - UTLS'!$B:AN,39,FALSE),"N/A")</f>
        <v>1</v>
      </c>
      <c r="GI63" s="84">
        <f>IFERROR(VLOOKUP($B63,'LOD 400 - UTLS'!$B:AQ,42,FALSE),"N/A")</f>
        <v>1</v>
      </c>
      <c r="GJ63" s="84">
        <f>IFERROR(VLOOKUP($B63,'LOD 400 - UTLS'!$B:AT,45,FALSE),"N/A")</f>
        <v>1</v>
      </c>
      <c r="GK63" s="84">
        <f>IFERROR(VLOOKUP($B63,'LOD 400 - UTLS'!$B:AW,48,FALSE),"N/A")</f>
        <v>1</v>
      </c>
      <c r="GL63" s="84">
        <f>IFERROR(VLOOKUP($B63,'LOD 400 - UTLS'!$B:AZ,51,FALSE),"N/A")</f>
        <v>1</v>
      </c>
      <c r="GM63" s="84">
        <f>IFERROR(VLOOKUP($B63,'LOD 400 - UTLS'!$B:BC,54,FALSE),"N/A")</f>
        <v>1</v>
      </c>
      <c r="GN63" s="84">
        <f>IFERROR(VLOOKUP($B63,'LOD 400 - UTLS'!$B:BF,57,FALSE),"N/A")</f>
        <v>1</v>
      </c>
      <c r="GO63" s="84">
        <f>IFERROR(VLOOKUP($B63,'LOD 400 - UTLS'!$B:BI,60,FALSE),"N/A")</f>
        <v>1</v>
      </c>
      <c r="GP63" s="84">
        <f>IFERROR(VLOOKUP($B63,'LOD 400 - UTLS'!$B:BL,63,FALSE),"N/A")</f>
        <v>1</v>
      </c>
      <c r="GQ63" s="84">
        <f>IFERROR(VLOOKUP($B63,'LOD 400 - UTLS'!$B:BO,66,FALSE),"N/A")</f>
        <v>1</v>
      </c>
      <c r="GR63" s="84">
        <f>IFERROR(VLOOKUP($B63,'LOD 400 - UTLS'!$B:BR,69,FALSE),"N/A")</f>
        <v>1</v>
      </c>
      <c r="GS63" s="85">
        <f>IFERROR(VLOOKUP($B63,'LOD 400 - UTLS'!$B:BU,72,FALSE),"N/A")</f>
        <v>1</v>
      </c>
      <c r="GT63" s="84">
        <f>IFERROR(VLOOKUP($B63,'LOD 400 - UTLS'!$B:BX,75,FALSE),"N/A")</f>
        <v>1</v>
      </c>
      <c r="GU63" s="85">
        <f>IFERROR(VLOOKUP($B63,'LOD 400 - UTLS'!$B:CA,78,FALSE),"N/A")</f>
        <v>1</v>
      </c>
      <c r="GV63" s="84">
        <f>IFERROR(VLOOKUP($B63,'LOD 400 - UTLS'!$B:CD,81,FALSE),"N/A")</f>
        <v>1</v>
      </c>
      <c r="GW63" s="84">
        <f>IFERROR(VLOOKUP($B63,'LOD 400 - UTLS'!$B:CG,84,FALSE),"N/A")</f>
        <v>1</v>
      </c>
      <c r="GX63" s="84">
        <f>IFERROR(VLOOKUP($B63,'LOD 400 - UTLS'!$B:CJ,87,FALSE),"N/A")</f>
        <v>1</v>
      </c>
      <c r="GY63" s="84">
        <f>IFERROR(VLOOKUP($B63,'LOD 400 - UTLS'!$B:CM,90,FALSE),"N/A")</f>
        <v>1</v>
      </c>
      <c r="GZ63" s="84">
        <f>IFERROR(VLOOKUP($B63,'LOD 400 - UTLS'!$B:CP,93,FALSE),"N/A")</f>
        <v>1</v>
      </c>
      <c r="HA63" s="84">
        <f>IFERROR(VLOOKUP($B63,'LOD 400 - UTLS'!$B:CS,96,FALSE),"N/A")</f>
        <v>1</v>
      </c>
      <c r="HB63" s="84">
        <f>IFERROR(VLOOKUP($B63,'LOD 400 - UTLS'!$B:CV,99,FALSE),"N/A")</f>
        <v>1</v>
      </c>
      <c r="HC63" s="84">
        <f>IFERROR(VLOOKUP($B63,'LOD 400 - UTLS'!$B:CY,102,FALSE),"N/A")</f>
        <v>1</v>
      </c>
      <c r="HD63" s="84">
        <f>IFERROR(VLOOKUP($B63,'LOD 400 - UTLS'!$B:DB,105,FALSE),"N/A")</f>
        <v>1</v>
      </c>
      <c r="HE63" s="96">
        <f>IFERROR(__xludf.DUMMYFUNCTION("IFERROR(
  MAX(FILTER(GA63:HD63, ISNUMBER(GA63:HD63))),
  HD63
)"),1.0)</f>
        <v>1</v>
      </c>
      <c r="HF63" s="99"/>
      <c r="HG63" s="99"/>
      <c r="HH63" s="99"/>
      <c r="HI63" s="99"/>
      <c r="HJ63" s="99"/>
      <c r="HK63" s="99"/>
    </row>
    <row r="64" ht="15.0" hidden="1" customHeight="1">
      <c r="A64" s="53">
        <v>68.0</v>
      </c>
      <c r="B64" s="209" t="s">
        <v>211</v>
      </c>
      <c r="C64" s="210"/>
      <c r="D64" s="211"/>
      <c r="E64" s="211"/>
      <c r="F64" s="211"/>
      <c r="G64" s="212"/>
      <c r="H64" s="211"/>
      <c r="I64" s="211"/>
      <c r="J64" s="213"/>
      <c r="K64" s="214"/>
      <c r="L64" s="212"/>
      <c r="M64" s="211"/>
      <c r="N64" s="215"/>
      <c r="O64" s="216"/>
      <c r="P64" s="217"/>
      <c r="Q64" s="218"/>
      <c r="R64" s="219"/>
      <c r="S64" s="220"/>
      <c r="T64" s="220"/>
      <c r="U64" s="221"/>
      <c r="V64" s="222"/>
      <c r="W64" s="211"/>
      <c r="X64" s="218"/>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1"/>
      <c r="AU64" s="211"/>
      <c r="AV64" s="218"/>
      <c r="AW64" s="219"/>
      <c r="AX64" s="218"/>
      <c r="AY64" s="219"/>
      <c r="AZ64" s="219"/>
      <c r="BA64" s="219"/>
      <c r="BB64" s="219"/>
      <c r="BC64" s="219"/>
      <c r="BD64" s="219"/>
      <c r="BE64" s="219"/>
      <c r="BF64" s="219"/>
      <c r="BG64" s="223"/>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1"/>
      <c r="CD64" s="211"/>
      <c r="CE64" s="218"/>
      <c r="CF64" s="219"/>
      <c r="CG64" s="218"/>
      <c r="CH64" s="219"/>
      <c r="CI64" s="219"/>
      <c r="CJ64" s="219"/>
      <c r="CK64" s="219"/>
      <c r="CL64" s="219"/>
      <c r="CM64" s="219"/>
      <c r="CN64" s="219"/>
      <c r="CO64" s="219"/>
      <c r="CP64" s="223"/>
      <c r="CQ64" s="212"/>
      <c r="CR64" s="212"/>
      <c r="CS64" s="212"/>
      <c r="CT64" s="212"/>
      <c r="CU64" s="212"/>
      <c r="CV64" s="212"/>
      <c r="CW64" s="212"/>
      <c r="CX64" s="212"/>
      <c r="CY64" s="212"/>
      <c r="CZ64" s="212"/>
      <c r="DA64" s="212"/>
      <c r="DB64" s="212"/>
      <c r="DC64" s="212"/>
      <c r="DD64" s="212"/>
      <c r="DE64" s="212"/>
      <c r="DF64" s="212"/>
      <c r="DG64" s="212"/>
      <c r="DH64" s="212"/>
      <c r="DI64" s="212"/>
      <c r="DJ64" s="211"/>
      <c r="DK64" s="211"/>
      <c r="DL64" s="211"/>
      <c r="DM64" s="211"/>
      <c r="DN64" s="218"/>
      <c r="DO64" s="219"/>
      <c r="DP64" s="218"/>
      <c r="DQ64" s="219"/>
      <c r="DR64" s="219"/>
      <c r="DS64" s="219"/>
      <c r="DT64" s="219"/>
      <c r="DU64" s="219"/>
      <c r="DV64" s="219"/>
      <c r="DW64" s="219"/>
      <c r="DX64" s="219"/>
      <c r="DY64" s="211"/>
      <c r="DZ64" s="224"/>
      <c r="EA64" s="221"/>
      <c r="EB64" s="219"/>
      <c r="EC64" s="219"/>
      <c r="ED64" s="219"/>
      <c r="EE64" s="218"/>
      <c r="EF64" s="219"/>
      <c r="EG64" s="211"/>
      <c r="EH64" s="225"/>
      <c r="EI64" s="219"/>
      <c r="EJ64" s="219"/>
      <c r="EK64" s="219"/>
      <c r="EL64" s="219"/>
      <c r="EM64" s="219"/>
      <c r="EN64" s="219"/>
      <c r="EO64" s="219"/>
      <c r="EP64" s="226"/>
      <c r="EQ64" s="219"/>
      <c r="ER64" s="227"/>
      <c r="ES64" s="212"/>
      <c r="ET64" s="211"/>
      <c r="EU64" s="222"/>
      <c r="EV64" s="212"/>
      <c r="EW64" s="212"/>
      <c r="EX64" s="212"/>
      <c r="EY64" s="212"/>
      <c r="EZ64" s="212"/>
      <c r="FA64" s="212"/>
      <c r="FB64" s="212"/>
      <c r="FC64" s="212"/>
      <c r="FD64" s="212"/>
      <c r="FE64" s="212"/>
      <c r="FF64" s="212"/>
      <c r="FG64" s="212"/>
      <c r="FH64" s="212"/>
      <c r="FI64" s="212"/>
      <c r="FJ64" s="212"/>
      <c r="FK64" s="212"/>
      <c r="FL64" s="212"/>
      <c r="FM64" s="212"/>
      <c r="FN64" s="211"/>
      <c r="FO64" s="218"/>
      <c r="FP64" s="219"/>
      <c r="FQ64" s="218"/>
      <c r="FR64" s="219"/>
      <c r="FS64" s="219"/>
      <c r="FT64" s="219"/>
      <c r="FU64" s="219"/>
      <c r="FV64" s="219"/>
      <c r="FW64" s="219"/>
      <c r="FX64" s="219"/>
      <c r="FY64" s="219"/>
      <c r="FZ64" s="228"/>
      <c r="GA64" s="212"/>
      <c r="GB64" s="212"/>
      <c r="GC64" s="212"/>
      <c r="GD64" s="212"/>
      <c r="GE64" s="212"/>
      <c r="GF64" s="212"/>
      <c r="GG64" s="212"/>
      <c r="GH64" s="212"/>
      <c r="GI64" s="212"/>
      <c r="GJ64" s="212"/>
      <c r="GK64" s="212"/>
      <c r="GL64" s="212"/>
      <c r="GM64" s="212"/>
      <c r="GN64" s="212"/>
      <c r="GO64" s="212"/>
      <c r="GP64" s="212"/>
      <c r="GQ64" s="219"/>
      <c r="GR64" s="219"/>
      <c r="GS64" s="219"/>
      <c r="GT64" s="218"/>
      <c r="GU64" s="219"/>
      <c r="GV64" s="218"/>
      <c r="GW64" s="219"/>
      <c r="GX64" s="219"/>
      <c r="GY64" s="219"/>
      <c r="GZ64" s="219"/>
      <c r="HA64" s="219"/>
      <c r="HB64" s="219"/>
      <c r="HC64" s="219"/>
      <c r="HD64" s="219"/>
      <c r="HE64" s="227"/>
      <c r="HF64" s="99"/>
      <c r="HG64" s="99"/>
      <c r="HH64" s="99"/>
      <c r="HI64" s="99"/>
      <c r="HJ64" s="99"/>
      <c r="HK64" s="99"/>
    </row>
    <row r="65" ht="15.0" customHeight="1" outlineLevel="1">
      <c r="A65" s="53">
        <v>69.0</v>
      </c>
      <c r="B65" s="100" t="s">
        <v>212</v>
      </c>
      <c r="C65" s="100" t="s">
        <v>213</v>
      </c>
      <c r="D65" s="64" t="str">
        <f>MID(B65,17,4)</f>
        <v>DATA</v>
      </c>
      <c r="E65" s="101" t="s">
        <v>214</v>
      </c>
      <c r="F65" s="102">
        <v>1116.0</v>
      </c>
      <c r="G65" s="103" t="s">
        <v>214</v>
      </c>
      <c r="H65" s="104">
        <v>1116.0</v>
      </c>
      <c r="I65" s="68" t="str">
        <f>IFERROR(VLOOKUP($C62:C108,'R22 RELATÓRIO ACC'!B:F,5,FALSE),"NOT PUBLISHED")</f>
        <v>V15</v>
      </c>
      <c r="J65" s="69" t="str">
        <f>IFERROR(VLOOKUP($C62:C108,'R22 RELATÓRIO ACC'!B:P,15,FALSE),"NOT PUBLISHED")</f>
        <v>15/04/2026</v>
      </c>
      <c r="K65" s="70" t="str">
        <f>IFERROR(VLOOKUP($B62:B108,'RELATÓRIO ACC'!B:F,5,FALSE),"NOT PUBLISHED")</f>
        <v>V2</v>
      </c>
      <c r="L65" s="71" t="str">
        <f>IFERROR(VLOOKUP($B62:B108,'RELATÓRIO ACC'!B:P,15,FALSE),"NOT PUBLISHED")</f>
        <v>02/06/2026</v>
      </c>
      <c r="M65" s="72" t="str">
        <f>IF(OR($D65="UTLS",$D65="GUAR",$D65="STIR",$D65="PUMP",$D65="SITE"),
   VLOOKUP($B65,'LOD 400 - SITE'!B:M,12,FALSE),
   VLOOKUP($B65,'LOD 400 - ADMN'!B:M,12,FALSE)
)</f>
        <v>V12</v>
      </c>
      <c r="N65" s="105">
        <f>IF(OR($D65="UTLS",$D65="GUAR",$D65="STIR",$D65="PUMP",$D65="SITE"),
   VLOOKUP($B65,'LOD 400 - SITE'!B:N,13,FALSE),
   VLOOKUP($B65,'LOD 400 - ADMN'!B:N,13,FALSE)
)</f>
        <v>46000</v>
      </c>
      <c r="O65" s="106" t="str">
        <f>IF(OR($D65="UTLS",$D65="GUAR",$D65="STIR",$D65="PUMP",$D65="SITE"),
   VLOOKUP($B65,'LOD 400 - SITE'!B:O,14,FALSE),
   VLOOKUP($B65,'LOD 400 - ADMN'!B:O,14,FALSE)
)</f>
        <v>R22</v>
      </c>
      <c r="P65" s="107" t="str">
        <f>IF(OR($D65="C345",$D65="C12A",$D65="DATA"),
   VLOOKUP($B65,'LOD 400 - COLO3'!B:M,12,FALSE),"N/A")</f>
        <v>V15</v>
      </c>
      <c r="Q65" s="108">
        <f>IF(OR($D65="C345",$D65="C12A",$D65="DATA"),
   VLOOKUP($B65,'LOD 400 - COLO3'!B:N,13,FALSE),"N/A")</f>
        <v>46127</v>
      </c>
      <c r="R65" s="75" t="str">
        <f>IF(OR($D65="C345",$D65="C12A",$D65="DATA"),
   VLOOKUP($B65,'LOD 400 - COLO3'!B:O,14,FALSE),"N/A")</f>
        <v>R22</v>
      </c>
      <c r="S65" s="76" t="str">
        <f>IF(OR($D65="C345",$D65="C12A",$D65="DATA"),
   VLOOKUP($B65,'LOD 400 - COLO4'!B:N,12,FALSE),"N/A")</f>
        <v>N/A</v>
      </c>
      <c r="T65" s="76" t="str">
        <f>IF(OR($D65="C345",$D65="C12A",$D65="DATA"),
   VLOOKUP($B65,'LOD 400 - COLO4'!B:N,13,FALSE),"N/A")</f>
        <v>N/A</v>
      </c>
      <c r="U65" s="76" t="str">
        <f>IF(OR($D65="C345",$D65="C12A",$D65="DATA"),
   VLOOKUP($B65,'LOD 400 - COLO4'!B:N,13,FALSE),"N/A")</f>
        <v>N/A</v>
      </c>
      <c r="V65" s="77" t="str">
        <f>IF(OR($D65="UTLS",$D65="GUAR",$D65="STIR",$D65="PUMP",$D65="SITE"),
   VLOOKUP($B65,'LOD 400 - UTLS'!B:M,12,FALSE),"N/A")</f>
        <v>N/A</v>
      </c>
      <c r="W65" s="78" t="str">
        <f>IF(OR($D65="UTLS",$D65="GUAR",$D65="STIR",$D65="PUMP",$D65="SITE"),
   VLOOKUP($B65,'LOD 400 - UTLS'!B:N,13,FALSE),"N/A")</f>
        <v>N/A</v>
      </c>
      <c r="X65" s="108" t="str">
        <f>IF(OR($D65="UTLS",$D65="GUAR",$D65="STIR",$D65="PUMP",$D65="SITE"),
   VLOOKUP($B65,'LOD 400 - UTLS'!B:O,14,FALSE),"N/A")</f>
        <v>N/A</v>
      </c>
      <c r="Y65" s="79">
        <f>IFERROR(VLOOKUP($B65,'LOD 400 - ADMN'!B:S,18,FALSE),"N/A")</f>
        <v>0.03</v>
      </c>
      <c r="Z65" s="79" t="str">
        <f>IFERROR(VLOOKUP($B65,'LOD 400 - ADMN'!B:V,21,FALSE),"N/A")</f>
        <v>OUTDATED</v>
      </c>
      <c r="AA65" s="79" t="str">
        <f>IFERROR(VLOOKUP($B65,'LOD 400 - ADMN'!$B:Y,24,FALSE),"N/A")</f>
        <v>OUTDATED</v>
      </c>
      <c r="AB65" s="80">
        <f>IFERROR(VLOOKUP($B65,'LOD 400 - ADMN'!$B:AB,27,FALSE),"N/A")</f>
        <v>0.53</v>
      </c>
      <c r="AC65" s="81">
        <f>IFERROR(VLOOKUP($B65,'LOD 400 - ADMN'!$B:AE,30,FALSE),"N/A")</f>
        <v>0.63</v>
      </c>
      <c r="AD65" s="81" t="str">
        <f>IFERROR(VLOOKUP($B65,'LOD 400 - ADMN'!$B:AH,33,FALSE),"N/A")</f>
        <v>NEXT ROUND</v>
      </c>
      <c r="AE65" s="80">
        <f>IFERROR(VLOOKUP($B65,'LOD 400 - ADMN'!$B:AK,36,FALSE),"N/A")</f>
        <v>0.89</v>
      </c>
      <c r="AF65" s="82" t="str">
        <f>IFERROR(VLOOKUP($B65,'LOD 400 - ADMN'!$B:AN,39,FALSE),"N/A")</f>
        <v>NEXT ROUND</v>
      </c>
      <c r="AG65" s="83">
        <f>IFERROR(VLOOKUP($B65,'LOD 400 - ADMN'!$B:AQ,42,FALSE),"N/A")</f>
        <v>1</v>
      </c>
      <c r="AH65" s="84">
        <f>IFERROR(VLOOKUP($B65,'LOD 400 - ADMN'!$B:AT,45,FALSE),"N/A")</f>
        <v>1</v>
      </c>
      <c r="AI65" s="85">
        <f>IFERROR(VLOOKUP($B65,'LOD 400 - ADMN'!$B:AW,48,FALSE),"N/A")</f>
        <v>1</v>
      </c>
      <c r="AJ65" s="85">
        <f>IFERROR(VLOOKUP($B65,'LOD 400 - ADMN'!$B:AZ,51,FALSE),"N/A")</f>
        <v>1</v>
      </c>
      <c r="AK65" s="84">
        <f>IFERROR(VLOOKUP($B65,'LOD 400 - ADMN'!$B:BC,54,FALSE),"N/A")</f>
        <v>1</v>
      </c>
      <c r="AL65" s="84">
        <f>IFERROR(VLOOKUP($B65,'LOD 400 - ADMN'!$B:BF,57,FALSE),"N/A")</f>
        <v>1</v>
      </c>
      <c r="AM65" s="84">
        <f>IFERROR(VLOOKUP($B65,'LOD 400 - ADMN'!$B:BI,60,FALSE),"N/A")</f>
        <v>1</v>
      </c>
      <c r="AN65" s="84">
        <f>IFERROR(VLOOKUP($B65,'LOD 400 - ADMN'!$B:BL,63,FALSE),"N/A")</f>
        <v>1</v>
      </c>
      <c r="AO65" s="84">
        <f>IFERROR(VLOOKUP($B65,'LOD 400 - ADMN'!$B:BO,66,FALSE),"N/A")</f>
        <v>1</v>
      </c>
      <c r="AP65" s="84">
        <f>IFERROR(VLOOKUP($B65,'LOD 400 - ADMN'!$B:BR,69,FALSE),"N/A")</f>
        <v>1</v>
      </c>
      <c r="AQ65" s="84">
        <f>IFERROR(VLOOKUP($B65,'LOD 400 - ADMN'!$B:BU,72,FALSE),"N/A")</f>
        <v>1</v>
      </c>
      <c r="AR65" s="84">
        <f>IFERROR(VLOOKUP($B65,'LOD 400 - ADMN'!$B:BX,75,FALSE),"N/A")</f>
        <v>1</v>
      </c>
      <c r="AS65" s="84">
        <f>IFERROR(VLOOKUP($B65,'LOD 400 - ADMN'!$B:CA,78,FALSE),"N/A")</f>
        <v>1</v>
      </c>
      <c r="AT65" s="84">
        <f>IFERROR(VLOOKUP($B65,'LOD 400 - ADMN'!$B:CD,81,FALSE),"N/A")</f>
        <v>1</v>
      </c>
      <c r="AU65" s="85">
        <f>IFERROR(VLOOKUP($B65,'LOD 400 - ADMN'!$B:CG,84,FALSE),"N/A")</f>
        <v>1</v>
      </c>
      <c r="AV65" s="84">
        <f>IFERROR(VLOOKUP($B65,'LOD 400 - ADMN'!$B:CJ,87,FALSE),"N/A")</f>
        <v>1</v>
      </c>
      <c r="AW65" s="85">
        <f>IFERROR(VLOOKUP($B65,'LOD 400 - ADMN'!$B:CM,90,FALSE),"N/A")</f>
        <v>1</v>
      </c>
      <c r="AX65" s="84">
        <f>IFERROR(VLOOKUP($B65,'LOD 400 - ADMN'!$B:CP,93,FALSE),"N/A")</f>
        <v>1</v>
      </c>
      <c r="AY65" s="84">
        <f>IFERROR(VLOOKUP($B65,'LOD 400 - ADMN'!$B:CS,96,FALSE),"N/A")</f>
        <v>1</v>
      </c>
      <c r="AZ65" s="84">
        <f>IFERROR(VLOOKUP($B65,'LOD 400 - ADMN'!$B:CV,99,FALSE),"N/A")</f>
        <v>1</v>
      </c>
      <c r="BA65" s="84">
        <f>IFERROR(VLOOKUP($B65,'LOD 400 - ADMN'!$B:CY,102,FALSE),"N/A")</f>
        <v>1</v>
      </c>
      <c r="BB65" s="84">
        <f>IFERROR(VLOOKUP($B65,'LOD 400 - ADMN'!$B:DB,105,FALSE),"N/A")</f>
        <v>1</v>
      </c>
      <c r="BC65" s="84">
        <f>IFERROR(VLOOKUP($B65,'LOD 400 - ADMN'!$B:DE,108,FALSE),"N/A")</f>
        <v>1</v>
      </c>
      <c r="BD65" s="84">
        <f>IFERROR(VLOOKUP($B65,'LOD 400 - ADMN'!$B:DH,111,FALSE),"N/A")</f>
        <v>1</v>
      </c>
      <c r="BE65" s="84">
        <f>IFERROR(VLOOKUP($B65,'LOD 400 - ADMN'!$B:DK,114,FALSE),"N/A")</f>
        <v>1</v>
      </c>
      <c r="BF65" s="84">
        <f>IFERROR(VLOOKUP($B65,'LOD 400 - ADMN'!$B:DN,117,FALSE),"N/A")</f>
        <v>1</v>
      </c>
      <c r="BG65" s="86">
        <f>IFERROR(__xludf.DUMMYFUNCTION("IFERROR(
  MAX(FILTER(Y65:BF65, ISNUMBER(Y65:BF65))),
  BF65
)"),1.0)</f>
        <v>1</v>
      </c>
      <c r="BH65" s="79">
        <f>IFERROR(VLOOKUP($B65,'LOD 400 - COLO1'!B:S,18,FALSE),"N/A")</f>
        <v>0.03</v>
      </c>
      <c r="BI65" s="79" t="str">
        <f>IFERROR(VLOOKUP($B65,'LOD 400 - COLO1'!B:V,21,FALSE),"N/A")</f>
        <v>OUTDATED</v>
      </c>
      <c r="BJ65" s="79" t="str">
        <f>IFERROR(VLOOKUP($B65,'LOD 400 - COLO1'!$B:Y,24,FALSE),"N/A")</f>
        <v>OUTDATED</v>
      </c>
      <c r="BK65" s="87">
        <f>IFERROR(VLOOKUP($B65,'LOD 400 - COLO1'!$B:AB,27,FALSE),"N/A")</f>
        <v>0.53</v>
      </c>
      <c r="BL65" s="80">
        <f>IFERROR(VLOOKUP($B65,'LOD 400 - COLO1'!$B:AE,30,FALSE),"N/A")</f>
        <v>0.63</v>
      </c>
      <c r="BM65" s="81" t="str">
        <f>IFERROR(VLOOKUP($B65,'LOD 400 - COLO1'!$B:AH,33,FALSE),"N/A")</f>
        <v>NEXT ROUND</v>
      </c>
      <c r="BN65" s="87">
        <f>IFERROR(VLOOKUP($B65,'LOD 400 - COLO1'!$B:AK,36,FALSE),"N/A")</f>
        <v>0.86</v>
      </c>
      <c r="BO65" s="83" t="str">
        <f>IFERROR(VLOOKUP($B65,'LOD 400 - COLO1'!$B:AN,39,FALSE),"N/A")</f>
        <v>NEXT ROUND</v>
      </c>
      <c r="BP65" s="88">
        <f>IFERROR(VLOOKUP($B65,'LOD 400 - COLO1'!$B:AQ,42,FALSE),"N/A")</f>
        <v>1</v>
      </c>
      <c r="BQ65" s="84">
        <f>IFERROR(VLOOKUP($B65,'LOD 400 - COLO1'!$B:AT,45,FALSE),"N/A")</f>
        <v>1</v>
      </c>
      <c r="BR65" s="85">
        <f>IFERROR(VLOOKUP($B65,'LOD 400 - COLO1'!$B:AW,48,FALSE),"N/A")</f>
        <v>1</v>
      </c>
      <c r="BS65" s="84">
        <f>IFERROR(VLOOKUP($B65,'LOD 400 - COLO1'!$B:AZ,51,FALSE),"N/A")</f>
        <v>1</v>
      </c>
      <c r="BT65" s="84">
        <f>IFERROR(VLOOKUP($B65,'LOD 400 - COLO1'!$B:BC,54,FALSE),"N/A")</f>
        <v>1</v>
      </c>
      <c r="BU65" s="84">
        <f>IFERROR(VLOOKUP($B65,'LOD 400 - COLO1'!$B:BF,57,FALSE),"N/A")</f>
        <v>1</v>
      </c>
      <c r="BV65" s="84">
        <f>IFERROR(VLOOKUP($B65,'LOD 400 - COLO1'!$B:BI,60,FALSE),"N/A")</f>
        <v>1</v>
      </c>
      <c r="BW65" s="84">
        <f>IFERROR(VLOOKUP($B65,'LOD 400 - COLO1'!$B:BL,63,FALSE),"N/A")</f>
        <v>1</v>
      </c>
      <c r="BX65" s="84">
        <f>IFERROR(VLOOKUP($B65,'LOD 400 - COLO1'!$B:BO,66,FALSE),"N/A")</f>
        <v>1</v>
      </c>
      <c r="BY65" s="84">
        <f>IFERROR(VLOOKUP($B65,'LOD 400 - COLO1'!$B:BR,69,FALSE),"N/A")</f>
        <v>1</v>
      </c>
      <c r="BZ65" s="84">
        <f>IFERROR(VLOOKUP($B65,'LOD 400 - COLO1'!$B:BU,72,FALSE),"N/A")</f>
        <v>1</v>
      </c>
      <c r="CA65" s="84">
        <f>IFERROR(VLOOKUP($B65,'LOD 400 - COLO1'!$B:BX,75,FALSE),"N/A")</f>
        <v>1</v>
      </c>
      <c r="CB65" s="84">
        <f>IFERROR(VLOOKUP($B65,'LOD 400 - COLO1'!$B:CA,78,FALSE),"N/A")</f>
        <v>1</v>
      </c>
      <c r="CC65" s="84">
        <f>IFERROR(VLOOKUP($B65,'LOD 400 - COLO1'!$B:CD,81,FALSE),"N/A")</f>
        <v>1</v>
      </c>
      <c r="CD65" s="85">
        <f>IFERROR(VLOOKUP($B65,'LOD 400 - COLO1'!$B:CG,84,FALSE),"N/A")</f>
        <v>1</v>
      </c>
      <c r="CE65" s="84">
        <f>IFERROR(VLOOKUP($B65,'LOD 400 - COLO1'!$B:CJ,87,FALSE),"N/A")</f>
        <v>1</v>
      </c>
      <c r="CF65" s="85">
        <f>IFERROR(VLOOKUP($B65,'LOD 400 - COLO1'!$B:CM,90,FALSE),"N/A")</f>
        <v>1</v>
      </c>
      <c r="CG65" s="84">
        <f>IFERROR(VLOOKUP($B65,'LOD 400 - COLO1'!$B:CP,93,FALSE),"N/A")</f>
        <v>1</v>
      </c>
      <c r="CH65" s="84">
        <f>IFERROR(VLOOKUP($B65,'LOD 400 - COLO1'!$B:CS,96,FALSE),"N/A")</f>
        <v>1</v>
      </c>
      <c r="CI65" s="84">
        <f>IFERROR(VLOOKUP($B65,'LOD 400 - COLO1'!$B:CV,99,FALSE),"N/A")</f>
        <v>1</v>
      </c>
      <c r="CJ65" s="84">
        <f>IFERROR(VLOOKUP($B65,'LOD 400 - COLO1'!$B:CY,102,FALSE),"N/A")</f>
        <v>1</v>
      </c>
      <c r="CK65" s="84">
        <f>IFERROR(VLOOKUP($B65,'LOD 400 - COLO1'!$B:DB,105,FALSE),"N/A")</f>
        <v>1</v>
      </c>
      <c r="CL65" s="84">
        <f>IFERROR(VLOOKUP($B65,'LOD 400 - COLO1'!$B:DE,108,FALSE),"N/A")</f>
        <v>1</v>
      </c>
      <c r="CM65" s="84">
        <f>IFERROR(VLOOKUP($B65,'LOD 400 - COLO1'!$B:DH,111,FALSE),"N/A")</f>
        <v>1</v>
      </c>
      <c r="CN65" s="84">
        <f>IFERROR(VLOOKUP($B65,'LOD 400 - COLO1'!$B:DK,114,FALSE),"N/A")</f>
        <v>1</v>
      </c>
      <c r="CO65" s="84">
        <f>IFERROR(VLOOKUP($B65,'LOD 400 - COLO1'!$B:DN,117,FALSE),"N/A")</f>
        <v>1</v>
      </c>
      <c r="CP65" s="86">
        <f>IFERROR(__xludf.DUMMYFUNCTION("IFERROR(
  MAX(FILTER(BH65:CO65, ISNUMBER(BH65:CO65))),
  CO65
)"),1.0)</f>
        <v>1</v>
      </c>
      <c r="CQ65" s="89">
        <f>IFERROR(VLOOKUP($B65,'LOD 400 - COLO2'!B:S,18,FALSE),"N/A")</f>
        <v>0.03</v>
      </c>
      <c r="CR65" s="79" t="str">
        <f>IFERROR(VLOOKUP($B65,'LOD 400 - COLO2'!B:V,21,FALSE),"N/A")</f>
        <v>OUTDATED</v>
      </c>
      <c r="CS65" s="79" t="str">
        <f>IFERROR(VLOOKUP($B65,'LOD 400 - COLO2'!$B:Y,24,FALSE),"N/A")</f>
        <v>OUTDATED</v>
      </c>
      <c r="CT65" s="80">
        <f>IFERROR(VLOOKUP($B65,'LOD 400 - COLO2'!$B:DQ,27,FALSE),"N/A")</f>
        <v>0.53</v>
      </c>
      <c r="CU65" s="90">
        <f>IFERROR(VLOOKUP($B65,'LOD 400 - COLO2'!$B:AE,30,FALSE),"N/A")</f>
        <v>0.63</v>
      </c>
      <c r="CV65" s="81" t="str">
        <f>IFERROR(VLOOKUP($B65,'LOD 400 - COLO2'!$B:AH,33,FALSE),"N/A")</f>
        <v>NEXT ROUND</v>
      </c>
      <c r="CW65" s="90">
        <f>IFERROR(VLOOKUP($B65,'LOD 400 - COLO2'!$B:AK,36,FALSE),"N/A")</f>
        <v>0.86</v>
      </c>
      <c r="CX65" s="85" t="str">
        <f>IFERROR(VLOOKUP($B65,'LOD 400 - COLO2'!$B:AN,39,FALSE),"N/A")</f>
        <v>NEXT ROUND</v>
      </c>
      <c r="CY65" s="88">
        <f>IFERROR(VLOOKUP($B65,'LOD 400 - COLO2'!$B:AQ,42,FALSE),"N/A")</f>
        <v>1</v>
      </c>
      <c r="CZ65" s="84">
        <f>IFERROR(VLOOKUP($B65,'LOD 400 - COLO2'!$B:AT,45,FALSE),"N/A")</f>
        <v>1</v>
      </c>
      <c r="DA65" s="85">
        <f>IFERROR(VLOOKUP($B65,'LOD 400 - COLO2'!$B:AW,48,FALSE),"N/A")</f>
        <v>1</v>
      </c>
      <c r="DB65" s="84">
        <f>IFERROR(VLOOKUP($B65,'LOD 400 - COLO2'!$B:AZ,51,FALSE),"N/A")</f>
        <v>1</v>
      </c>
      <c r="DC65" s="84">
        <f>IFERROR(VLOOKUP($B65,'LOD 400 - COLO2'!$B:BC,54,FALSE),"N/A")</f>
        <v>1</v>
      </c>
      <c r="DD65" s="84">
        <f>IFERROR(VLOOKUP($B65,'LOD 400 - COLO2'!$B:BF,57,FALSE),"N/A")</f>
        <v>1</v>
      </c>
      <c r="DE65" s="84">
        <f>IFERROR(VLOOKUP($B65,'LOD 400 - COLO2'!$B:BI,60,FALSE),"N/A")</f>
        <v>1</v>
      </c>
      <c r="DF65" s="84">
        <f>IFERROR(VLOOKUP($B65,'LOD 400 - COLO2'!$B:BL,63,FALSE),"N/A")</f>
        <v>1</v>
      </c>
      <c r="DG65" s="84">
        <f>IFERROR(VLOOKUP($B65,'LOD 400 - COLO2'!$B:BO,66,FALSE),"N/A")</f>
        <v>1</v>
      </c>
      <c r="DH65" s="84">
        <f>IFERROR(VLOOKUP($B65,'LOD 400 - COLO2'!$B:BR,69,FALSE),"N/A")</f>
        <v>1</v>
      </c>
      <c r="DI65" s="84">
        <f>IFERROR(VLOOKUP($B65,'LOD 400 - COLO2'!$B:BU,72,FALSE),"N/A")</f>
        <v>1</v>
      </c>
      <c r="DJ65" s="84">
        <f>IFERROR(VLOOKUP($B65,'LOD 400 - COLO2'!$B:BX,75,FALSE),"N/A")</f>
        <v>1</v>
      </c>
      <c r="DK65" s="84">
        <f>IFERROR(VLOOKUP($B65,'LOD 400 - COLO2'!$B:CA,78,FALSE),"N/A")</f>
        <v>1</v>
      </c>
      <c r="DL65" s="84">
        <f>IFERROR(VLOOKUP($B65,'LOD 400 - COLO2'!$B:CD,81,FALSE),"N/A")</f>
        <v>1</v>
      </c>
      <c r="DM65" s="85">
        <f>IFERROR(VLOOKUP($B65,'LOD 400 - COLO2'!$B:CG,84,FALSE),"N/A")</f>
        <v>1</v>
      </c>
      <c r="DN65" s="84">
        <f>IFERROR(VLOOKUP($B65,'LOD 400 - COLO2'!$B:CJ,87,FALSE),"N/A")</f>
        <v>1</v>
      </c>
      <c r="DO65" s="85">
        <f>IFERROR(VLOOKUP($B65,'LOD 400 - COLO2'!$B:CM,90,FALSE),"N/A")</f>
        <v>1</v>
      </c>
      <c r="DP65" s="84">
        <f>IFERROR(VLOOKUP($B65,'LOD 400 - COLO2'!$B:CP,93,FALSE),"N/A")</f>
        <v>1</v>
      </c>
      <c r="DQ65" s="84">
        <f>IFERROR(VLOOKUP($B65,'LOD 400 - COLO2'!$B:CS,96,FALSE),"N/A")</f>
        <v>1</v>
      </c>
      <c r="DR65" s="84">
        <f>IFERROR(VLOOKUP($B65,'LOD 400 - COLO2'!$B:CV,99,FALSE),"N/A")</f>
        <v>1</v>
      </c>
      <c r="DS65" s="84">
        <f>IFERROR(VLOOKUP($B65,'LOD 400 - COLO2'!$B:CY,102,FALSE),"N/A")</f>
        <v>1</v>
      </c>
      <c r="DT65" s="84">
        <f>IFERROR(VLOOKUP($B65,'LOD 400 - COLO2'!$B:DB,105,FALSE),"N/A")</f>
        <v>1</v>
      </c>
      <c r="DU65" s="84">
        <f>IFERROR(VLOOKUP($B65,'LOD 400 - COLO2'!$B:DE,108,FALSE),"N/A")</f>
        <v>1</v>
      </c>
      <c r="DV65" s="84">
        <f>IFERROR(VLOOKUP($B65,'LOD 400 - COLO2'!$B:DH,111,FALSE),"N/A")</f>
        <v>1</v>
      </c>
      <c r="DW65" s="84">
        <f>IFERROR(VLOOKUP($B65,'LOD 400 - COLO2'!$B:DK,114,FALSE),"N/A")</f>
        <v>1</v>
      </c>
      <c r="DX65" s="84">
        <f>IFERROR(VLOOKUP($B65,'LOD 400 - COLO2'!$B:DN,117,FALSE),"N/A")</f>
        <v>1</v>
      </c>
      <c r="DY65" s="91">
        <f>IFERROR(__xludf.DUMMYFUNCTION("IFERROR(
  MAX(FILTER(CQ65:DW65, ISNUMBER(CQ65:DW65))),
  DW65
)"),1.0)</f>
        <v>1</v>
      </c>
      <c r="DZ65" s="92">
        <f>IFERROR(VLOOKUP($B65,'LOD 400 - COLO3'!B:S,18,FALSE),"N/A")</f>
        <v>0</v>
      </c>
      <c r="EA65" s="84">
        <f>IFERROR(VLOOKUP($B65,'LOD 400 - COLO3'!B:V,21,FALSE),"N/A")</f>
        <v>0.97</v>
      </c>
      <c r="EB65" s="84" t="str">
        <f>IFERROR(VLOOKUP($B65,'LOD 400 - COLO3'!B:Y,24,FALSE),"N/A")</f>
        <v>NEXT ROUND</v>
      </c>
      <c r="EC65" s="84">
        <f>IFERROR(VLOOKUP($B65,'LOD 400 - COLO3'!B:AB,27,FALSE),"N/A")</f>
        <v>1</v>
      </c>
      <c r="ED65" s="85">
        <f>IFERROR(VLOOKUP($B65,'LOD 400 - COLO3'!B:AE,30,FALSE),"N/A")</f>
        <v>1</v>
      </c>
      <c r="EE65" s="84">
        <f>IFERROR(VLOOKUP($B65,'LOD 400 - COLO3'!B:AH,33,FALSE),"N/A")</f>
        <v>1</v>
      </c>
      <c r="EF65" s="84">
        <f>IFERROR(VLOOKUP($B65,'LOD 400 - COLO3'!B:AK,36,FALSE),"N/A")</f>
        <v>1</v>
      </c>
      <c r="EG65" s="109">
        <f>IFERROR(VLOOKUP($B65,'LOD 400 - COLO3'!B:AN,39,FALSE),"N/A")</f>
        <v>1</v>
      </c>
      <c r="EH65" s="94">
        <f>IFERROR(VLOOKUP($B65,'LOD 400 - COLO3'!B:AQ,42,FALSE),"N/A")</f>
        <v>1</v>
      </c>
      <c r="EI65" s="94">
        <f>IFERROR(VLOOKUP($B65,'LOD 400 - COLO3'!B:AT,45,FALSE),"N/A")</f>
        <v>1</v>
      </c>
      <c r="EJ65" s="94">
        <f>IFERROR(VLOOKUP($B65,'LOD 400 - COLO3'!B:AW,48,FALSE),"N/A")</f>
        <v>1</v>
      </c>
      <c r="EK65" s="94">
        <f>IFERROR(VLOOKUP($B65,'LOD 400 - COLO3'!B:AZ,51,FALSE),"N/A")</f>
        <v>1</v>
      </c>
      <c r="EL65" s="94">
        <f>IFERROR(VLOOKUP($B65,'LOD 400 - COLO3'!B:BC,54,FALSE),"N/A")</f>
        <v>1</v>
      </c>
      <c r="EM65" s="94">
        <f>IFERROR(VLOOKUP($B65,'LOD 400 - COLO3'!B:BF,57,FALSE),"N/A")</f>
        <v>1</v>
      </c>
      <c r="EN65" s="94">
        <f>IFERROR(VLOOKUP($B65,'LOD 400 - COLO3'!B:BI,60,FALSE),"N/A")</f>
        <v>1</v>
      </c>
      <c r="EO65" s="94">
        <f>IFERROR(VLOOKUP($B65,'LOD 400 - COLO3'!B:BL,63,FALSE),"N/A")</f>
        <v>1</v>
      </c>
      <c r="EP65" s="86">
        <f>IFERROR(__xludf.DUMMYFUNCTION("IFERROR(
  MAX(FILTER(DZ65:EO65, ISNUMBER(DZ65:EO65))),
  EO65
)"),1.0)</f>
        <v>1</v>
      </c>
      <c r="EQ65" s="95">
        <f>IFERROR(VLOOKUP($B65,'LOD 400 - COLO4'!B:S,18,FALSE),"N/A")</f>
        <v>0</v>
      </c>
      <c r="ER65" s="96">
        <f>IFERROR(__xludf.DUMMYFUNCTION("IFERROR(
  MAX(FILTER(EQ65, ISNUMBER(EQ65))),
  EQ65
)"),0.0)</f>
        <v>0</v>
      </c>
      <c r="ES65" s="79" t="str">
        <f>IFERROR(VLOOKUP($B65,'LOD 400 - SITE'!B:S,18,FALSE),"N/A")</f>
        <v>N/A</v>
      </c>
      <c r="ET65" s="80" t="str">
        <f>IFERROR(VLOOKUP($B65,'LOD 400 - SITE'!B:V,21,FALSE),"N/A")</f>
        <v>N/A</v>
      </c>
      <c r="EU65" s="97" t="str">
        <f>IFERROR(VLOOKUP($B65,'LOD 400 - SITE'!$B:Y,24,FALSE),"N/A")</f>
        <v>N/A</v>
      </c>
      <c r="EV65" s="80" t="str">
        <f>IFERROR(VLOOKUP($B65,'LOD 400 - SITE'!$B:AB,27,FALSE),"N/A")</f>
        <v>N/A</v>
      </c>
      <c r="EW65" s="81" t="str">
        <f>IFERROR(VLOOKUP($B65,'LOD 400 - SITE'!$B:AE,30,FALSE),"N/A")</f>
        <v>N/A</v>
      </c>
      <c r="EX65" s="87" t="str">
        <f>IFERROR(VLOOKUP($B65,'LOD 400 - SITE'!$B:AH,33,FALSE),"N/A")</f>
        <v>N/A</v>
      </c>
      <c r="EY65" s="87" t="str">
        <f>IFERROR(VLOOKUP($B65,'LOD 400 - SITE'!$B:AK,36,FALSE),"N/A")</f>
        <v>N/A</v>
      </c>
      <c r="EZ65" s="80" t="str">
        <f>IFERROR(VLOOKUP($B65,'LOD 400 - SITE'!$B:AN,39,FALSE),"N/A")</f>
        <v>N/A</v>
      </c>
      <c r="FA65" s="82" t="str">
        <f>IFERROR(VLOOKUP($B65,'LOD 400 - SITE'!$B:AQ,42,FALSE),"N/A")</f>
        <v>N/A</v>
      </c>
      <c r="FB65" s="88" t="str">
        <f>IFERROR(VLOOKUP($B65,'LOD 400 - SITE'!$B:AT,45,FALSE),"N/A")</f>
        <v>N/A</v>
      </c>
      <c r="FC65" s="84" t="str">
        <f>IFERROR(VLOOKUP($B65,'LOD 400 - SITE'!$B:AW,48,FALSE),"N/A")</f>
        <v>N/A</v>
      </c>
      <c r="FD65" s="84" t="str">
        <f>IFERROR(VLOOKUP($B65,'LOD 400 - SITE'!$B:AZ,51,FALSE),"N/A")</f>
        <v>N/A</v>
      </c>
      <c r="FE65" s="84" t="str">
        <f>IFERROR(VLOOKUP($B65,'LOD 400 - SITE'!$B:BC,54,FALSE),"N/A")</f>
        <v>N/A</v>
      </c>
      <c r="FF65" s="84" t="str">
        <f>IFERROR(VLOOKUP($B65,'LOD 400 - SITE'!$B:BF,57,FALSE),"N/A")</f>
        <v>N/A</v>
      </c>
      <c r="FG65" s="84" t="str">
        <f>IFERROR(VLOOKUP($B65,'LOD 400 - SITE'!$B:BI,60,FALSE),"N/A")</f>
        <v>N/A</v>
      </c>
      <c r="FH65" s="84" t="str">
        <f>IFERROR(VLOOKUP($B65,'LOD 400 - SITE'!$B:BL,63,FALSE),"N/A")</f>
        <v>N/A</v>
      </c>
      <c r="FI65" s="84" t="str">
        <f>IFERROR(VLOOKUP($B65,'LOD 400 - SITE'!$B:BO,66,FALSE),"N/A")</f>
        <v>N/A</v>
      </c>
      <c r="FJ65" s="84" t="str">
        <f>IFERROR(VLOOKUP($B65,'LOD 400 - SITE'!$B:BR,69,FALSE),"N/A")</f>
        <v>N/A</v>
      </c>
      <c r="FK65" s="84" t="str">
        <f>IFERROR(VLOOKUP($B65,'LOD 400 - SITE'!$B:BU,72,FALSE),"N/A")</f>
        <v>N/A</v>
      </c>
      <c r="FL65" s="84" t="str">
        <f>IFERROR(VLOOKUP($B65,'LOD 400 - SITE'!$B:BX,75,FALSE),"N/A")</f>
        <v>N/A</v>
      </c>
      <c r="FM65" s="84" t="str">
        <f>IFERROR(VLOOKUP($B65,'LOD 400 - SITE'!$B:CA,78,FALSE),"N/A")</f>
        <v>N/A</v>
      </c>
      <c r="FN65" s="85" t="str">
        <f>IFERROR(VLOOKUP($B65,'LOD 400 - SITE'!$B:CD,81,FALSE),"N/A")</f>
        <v>N/A</v>
      </c>
      <c r="FO65" s="84" t="str">
        <f>IFERROR(VLOOKUP($B65,'LOD 400 - SITE'!$B:CG,84,FALSE),"N/A")</f>
        <v>N/A</v>
      </c>
      <c r="FP65" s="85" t="str">
        <f>IFERROR(VLOOKUP($B65,'LOD 400 - SITE'!$B:CJ,87,FALSE),"N/A")</f>
        <v>N/A</v>
      </c>
      <c r="FQ65" s="84" t="str">
        <f>IFERROR(VLOOKUP($B65,'LOD 400 - SITE'!$B:CM,90,FALSE),"N/A")</f>
        <v>N/A</v>
      </c>
      <c r="FR65" s="84" t="str">
        <f>IFERROR(VLOOKUP($B65,'LOD 400 - SITE'!$B:CP,93,FALSE),"N/A")</f>
        <v>N/A</v>
      </c>
      <c r="FS65" s="84" t="str">
        <f>IFERROR(VLOOKUP($B65,'LOD 400 - SITE'!$B:CS,96,FALSE),"N/A")</f>
        <v>N/A</v>
      </c>
      <c r="FT65" s="84" t="str">
        <f>IFERROR(VLOOKUP($B65,'LOD 400 - SITE'!$B:CV,99,FALSE),"N/A")</f>
        <v>N/A</v>
      </c>
      <c r="FU65" s="84" t="str">
        <f>IFERROR(VLOOKUP($B65,'LOD 400 - SITE'!$B:CY,102,FALSE),"N/A")</f>
        <v>N/A</v>
      </c>
      <c r="FV65" s="84" t="str">
        <f>IFERROR(VLOOKUP($B65,'LOD 400 - SITE'!$B:DB,105,FALSE),"N/A")</f>
        <v>N/A</v>
      </c>
      <c r="FW65" s="84" t="str">
        <f>IFERROR(VLOOKUP($B65,'LOD 400 - SITE'!$B:DE,108,FALSE),"N/A")</f>
        <v>N/A</v>
      </c>
      <c r="FX65" s="84" t="str">
        <f>IFERROR(VLOOKUP($B65,'LOD 400 - SITE'!$B:DH,111,FALSE),"N/A")</f>
        <v>N/A</v>
      </c>
      <c r="FY65" s="84" t="str">
        <f>IFERROR(VLOOKUP($B65,'LOD 400 - SITE'!$B:DK,114,FALSE),"N/A")</f>
        <v>N/A</v>
      </c>
      <c r="FZ65" s="96" t="str">
        <f>IFERROR(__xludf.DUMMYFUNCTION("IFERROR(
  MAX(FILTER(ES65:FY65, ISNUMBER(ES65:FY65))),
  FY65
)"),"N/A")</f>
        <v>N/A</v>
      </c>
      <c r="GA65" s="80" t="str">
        <f>IFERROR(VLOOKUP($B65,'LOD 400 - UTLS'!B:S,18,FALSE),"N/A")</f>
        <v>N/A</v>
      </c>
      <c r="GB65" s="98" t="str">
        <f>IFERROR(VLOOKUP($B65,'LOD 400 - UTLS'!B:V,21,FALSE),"N/A")</f>
        <v>N/A</v>
      </c>
      <c r="GC65" s="81" t="str">
        <f>IFERROR(VLOOKUP($B65,'LOD 400 - UTLS'!B:Y,24,FALSE),"N/A")</f>
        <v>N/A</v>
      </c>
      <c r="GD65" s="87" t="str">
        <f>IFERROR(VLOOKUP($B65,'LOD 400 - UTLS'!$B:AB,27,FALSE),"N/A")</f>
        <v>N/A</v>
      </c>
      <c r="GE65" s="80" t="str">
        <f>IFERROR(VLOOKUP($B65,'LOD 400 - UTLS'!$B:AE,30,FALSE),"N/A")</f>
        <v>N/A</v>
      </c>
      <c r="GF65" s="82" t="str">
        <f>IFERROR(VLOOKUP($B65,'LOD 400 - UTLS'!$B:AH,33,FALSE),"N/A")</f>
        <v>N/A</v>
      </c>
      <c r="GG65" s="88" t="str">
        <f>IFERROR(VLOOKUP($B65,'LOD 400 - UTLS'!$B:AK,36,FALSE),"N/A")</f>
        <v>N/A</v>
      </c>
      <c r="GH65" s="84" t="str">
        <f>IFERROR(VLOOKUP($B65,'LOD 400 - UTLS'!$B:AN,39,FALSE),"N/A")</f>
        <v>N/A</v>
      </c>
      <c r="GI65" s="84" t="str">
        <f>IFERROR(VLOOKUP($B65,'LOD 400 - UTLS'!$B:AQ,42,FALSE),"N/A")</f>
        <v>N/A</v>
      </c>
      <c r="GJ65" s="84" t="str">
        <f>IFERROR(VLOOKUP($B65,'LOD 400 - UTLS'!$B:AT,45,FALSE),"N/A")</f>
        <v>N/A</v>
      </c>
      <c r="GK65" s="84" t="str">
        <f>IFERROR(VLOOKUP($B65,'LOD 400 - UTLS'!$B:AW,48,FALSE),"N/A")</f>
        <v>N/A</v>
      </c>
      <c r="GL65" s="84" t="str">
        <f>IFERROR(VLOOKUP($B65,'LOD 400 - UTLS'!$B:AZ,51,FALSE),"N/A")</f>
        <v>N/A</v>
      </c>
      <c r="GM65" s="84" t="str">
        <f>IFERROR(VLOOKUP($B65,'LOD 400 - UTLS'!$B:BC,54,FALSE),"N/A")</f>
        <v>N/A</v>
      </c>
      <c r="GN65" s="84" t="str">
        <f>IFERROR(VLOOKUP($B65,'LOD 400 - UTLS'!$B:BF,57,FALSE),"N/A")</f>
        <v>N/A</v>
      </c>
      <c r="GO65" s="84" t="str">
        <f>IFERROR(VLOOKUP($B65,'LOD 400 - UTLS'!$B:BI,60,FALSE),"N/A")</f>
        <v>N/A</v>
      </c>
      <c r="GP65" s="84" t="str">
        <f>IFERROR(VLOOKUP($B65,'LOD 400 - UTLS'!$B:BL,63,FALSE),"N/A")</f>
        <v>N/A</v>
      </c>
      <c r="GQ65" s="84" t="str">
        <f>IFERROR(VLOOKUP($B65,'LOD 400 - UTLS'!$B:BO,66,FALSE),"N/A")</f>
        <v>N/A</v>
      </c>
      <c r="GR65" s="84" t="str">
        <f>IFERROR(VLOOKUP($B65,'LOD 400 - UTLS'!$B:BR,69,FALSE),"N/A")</f>
        <v>N/A</v>
      </c>
      <c r="GS65" s="85" t="str">
        <f>IFERROR(VLOOKUP($B65,'LOD 400 - UTLS'!$B:BU,72,FALSE),"N/A")</f>
        <v>N/A</v>
      </c>
      <c r="GT65" s="84" t="str">
        <f>IFERROR(VLOOKUP($B65,'LOD 400 - UTLS'!$B:BX,75,FALSE),"N/A")</f>
        <v>N/A</v>
      </c>
      <c r="GU65" s="85" t="str">
        <f>IFERROR(VLOOKUP($B65,'LOD 400 - UTLS'!$B:CA,78,FALSE),"N/A")</f>
        <v>N/A</v>
      </c>
      <c r="GV65" s="84" t="str">
        <f>IFERROR(VLOOKUP($B65,'LOD 400 - UTLS'!$B:CD,81,FALSE),"N/A")</f>
        <v>N/A</v>
      </c>
      <c r="GW65" s="84" t="str">
        <f>IFERROR(VLOOKUP($B65,'LOD 400 - UTLS'!$B:CG,84,FALSE),"N/A")</f>
        <v>N/A</v>
      </c>
      <c r="GX65" s="84" t="str">
        <f>IFERROR(VLOOKUP($B65,'LOD 400 - UTLS'!$B:CJ,87,FALSE),"N/A")</f>
        <v>N/A</v>
      </c>
      <c r="GY65" s="84" t="str">
        <f>IFERROR(VLOOKUP($B65,'LOD 400 - UTLS'!$B:CM,90,FALSE),"N/A")</f>
        <v>N/A</v>
      </c>
      <c r="GZ65" s="84" t="str">
        <f>IFERROR(VLOOKUP($B65,'LOD 400 - UTLS'!$B:CP,93,FALSE),"N/A")</f>
        <v>N/A</v>
      </c>
      <c r="HA65" s="84" t="str">
        <f>IFERROR(VLOOKUP($B65,'LOD 400 - UTLS'!$B:CS,96,FALSE),"N/A")</f>
        <v>N/A</v>
      </c>
      <c r="HB65" s="84" t="str">
        <f>IFERROR(VLOOKUP($B65,'LOD 400 - UTLS'!$B:CV,99,FALSE),"N/A")</f>
        <v>N/A</v>
      </c>
      <c r="HC65" s="84" t="str">
        <f>IFERROR(VLOOKUP($B65,'LOD 400 - UTLS'!$B:CY,102,FALSE),"N/A")</f>
        <v>N/A</v>
      </c>
      <c r="HD65" s="84" t="str">
        <f>IFERROR(VLOOKUP($B65,'LOD 400 - UTLS'!$B:DB,105,FALSE),"N/A")</f>
        <v>N/A</v>
      </c>
      <c r="HE65" s="96" t="str">
        <f>IFERROR(__xludf.DUMMYFUNCTION("IFERROR(
  MAX(FILTER(GA65:HD65, ISNUMBER(GA65:HD65))),
  HD65
)"),"N/A")</f>
        <v>N/A</v>
      </c>
      <c r="HF65" s="99"/>
      <c r="HG65" s="99"/>
      <c r="HH65" s="99"/>
      <c r="HI65" s="99"/>
      <c r="HJ65" s="99"/>
      <c r="HK65" s="99"/>
    </row>
    <row r="66" ht="15.0" hidden="1" customHeight="1">
      <c r="A66" s="53">
        <v>70.0</v>
      </c>
      <c r="B66" s="230" t="s">
        <v>215</v>
      </c>
      <c r="C66" s="231"/>
      <c r="D66" s="232"/>
      <c r="E66" s="232"/>
      <c r="F66" s="232"/>
      <c r="G66" s="233"/>
      <c r="H66" s="232"/>
      <c r="I66" s="232"/>
      <c r="J66" s="234"/>
      <c r="K66" s="235"/>
      <c r="L66" s="233"/>
      <c r="M66" s="232"/>
      <c r="N66" s="236"/>
      <c r="O66" s="237"/>
      <c r="P66" s="238"/>
      <c r="Q66" s="239"/>
      <c r="R66" s="240"/>
      <c r="S66" s="241"/>
      <c r="T66" s="241"/>
      <c r="U66" s="242"/>
      <c r="V66" s="243"/>
      <c r="W66" s="232"/>
      <c r="X66" s="239"/>
      <c r="Y66" s="233"/>
      <c r="Z66" s="233"/>
      <c r="AA66" s="233"/>
      <c r="AB66" s="233"/>
      <c r="AC66" s="233"/>
      <c r="AD66" s="233"/>
      <c r="AE66" s="233"/>
      <c r="AF66" s="233"/>
      <c r="AG66" s="233"/>
      <c r="AH66" s="233"/>
      <c r="AI66" s="233"/>
      <c r="AJ66" s="233"/>
      <c r="AK66" s="233"/>
      <c r="AL66" s="233"/>
      <c r="AM66" s="233"/>
      <c r="AN66" s="233"/>
      <c r="AO66" s="233"/>
      <c r="AP66" s="233"/>
      <c r="AQ66" s="233"/>
      <c r="AR66" s="233"/>
      <c r="AS66" s="233"/>
      <c r="AT66" s="232"/>
      <c r="AU66" s="232"/>
      <c r="AV66" s="239"/>
      <c r="AW66" s="240"/>
      <c r="AX66" s="239"/>
      <c r="AY66" s="240"/>
      <c r="AZ66" s="240"/>
      <c r="BA66" s="240"/>
      <c r="BB66" s="240"/>
      <c r="BC66" s="240"/>
      <c r="BD66" s="240"/>
      <c r="BE66" s="240"/>
      <c r="BF66" s="240"/>
      <c r="BG66" s="244"/>
      <c r="BH66" s="233"/>
      <c r="BI66" s="233"/>
      <c r="BJ66" s="233"/>
      <c r="BK66" s="233"/>
      <c r="BL66" s="233"/>
      <c r="BM66" s="233"/>
      <c r="BN66" s="233"/>
      <c r="BO66" s="233"/>
      <c r="BP66" s="233"/>
      <c r="BQ66" s="233"/>
      <c r="BR66" s="233"/>
      <c r="BS66" s="233"/>
      <c r="BT66" s="233"/>
      <c r="BU66" s="233"/>
      <c r="BV66" s="233"/>
      <c r="BW66" s="233"/>
      <c r="BX66" s="233"/>
      <c r="BY66" s="233"/>
      <c r="BZ66" s="233"/>
      <c r="CA66" s="233"/>
      <c r="CB66" s="233"/>
      <c r="CC66" s="232"/>
      <c r="CD66" s="232"/>
      <c r="CE66" s="239"/>
      <c r="CF66" s="240"/>
      <c r="CG66" s="239"/>
      <c r="CH66" s="240"/>
      <c r="CI66" s="240"/>
      <c r="CJ66" s="240"/>
      <c r="CK66" s="240"/>
      <c r="CL66" s="240"/>
      <c r="CM66" s="240"/>
      <c r="CN66" s="240"/>
      <c r="CO66" s="240"/>
      <c r="CP66" s="244"/>
      <c r="CQ66" s="233"/>
      <c r="CR66" s="233"/>
      <c r="CS66" s="233"/>
      <c r="CT66" s="233"/>
      <c r="CU66" s="233"/>
      <c r="CV66" s="233"/>
      <c r="CW66" s="233"/>
      <c r="CX66" s="233"/>
      <c r="CY66" s="233"/>
      <c r="CZ66" s="233"/>
      <c r="DA66" s="233"/>
      <c r="DB66" s="233"/>
      <c r="DC66" s="233"/>
      <c r="DD66" s="233"/>
      <c r="DE66" s="233"/>
      <c r="DF66" s="233"/>
      <c r="DG66" s="233"/>
      <c r="DH66" s="233"/>
      <c r="DI66" s="233"/>
      <c r="DJ66" s="232"/>
      <c r="DK66" s="232"/>
      <c r="DL66" s="232"/>
      <c r="DM66" s="232"/>
      <c r="DN66" s="239"/>
      <c r="DO66" s="240"/>
      <c r="DP66" s="239"/>
      <c r="DQ66" s="240"/>
      <c r="DR66" s="240"/>
      <c r="DS66" s="240"/>
      <c r="DT66" s="240"/>
      <c r="DU66" s="240"/>
      <c r="DV66" s="240"/>
      <c r="DW66" s="240"/>
      <c r="DX66" s="240"/>
      <c r="DY66" s="232"/>
      <c r="DZ66" s="245"/>
      <c r="EA66" s="242"/>
      <c r="EB66" s="240"/>
      <c r="EC66" s="240"/>
      <c r="ED66" s="240"/>
      <c r="EE66" s="239"/>
      <c r="EF66" s="240"/>
      <c r="EG66" s="232"/>
      <c r="EH66" s="246"/>
      <c r="EI66" s="240"/>
      <c r="EJ66" s="240"/>
      <c r="EK66" s="240"/>
      <c r="EL66" s="240"/>
      <c r="EM66" s="240"/>
      <c r="EN66" s="240"/>
      <c r="EO66" s="240"/>
      <c r="EP66" s="247"/>
      <c r="EQ66" s="240"/>
      <c r="ER66" s="248"/>
      <c r="ES66" s="233"/>
      <c r="ET66" s="232"/>
      <c r="EU66" s="243"/>
      <c r="EV66" s="233"/>
      <c r="EW66" s="233"/>
      <c r="EX66" s="233"/>
      <c r="EY66" s="233"/>
      <c r="EZ66" s="233"/>
      <c r="FA66" s="233"/>
      <c r="FB66" s="233"/>
      <c r="FC66" s="233"/>
      <c r="FD66" s="233"/>
      <c r="FE66" s="233"/>
      <c r="FF66" s="233"/>
      <c r="FG66" s="233"/>
      <c r="FH66" s="233"/>
      <c r="FI66" s="233"/>
      <c r="FJ66" s="233"/>
      <c r="FK66" s="233"/>
      <c r="FL66" s="233"/>
      <c r="FM66" s="233"/>
      <c r="FN66" s="232"/>
      <c r="FO66" s="239"/>
      <c r="FP66" s="240"/>
      <c r="FQ66" s="239"/>
      <c r="FR66" s="240"/>
      <c r="FS66" s="240"/>
      <c r="FT66" s="240"/>
      <c r="FU66" s="240"/>
      <c r="FV66" s="240"/>
      <c r="FW66" s="240"/>
      <c r="FX66" s="240"/>
      <c r="FY66" s="240"/>
      <c r="FZ66" s="249"/>
      <c r="GA66" s="233"/>
      <c r="GB66" s="233"/>
      <c r="GC66" s="233"/>
      <c r="GD66" s="233"/>
      <c r="GE66" s="233"/>
      <c r="GF66" s="233"/>
      <c r="GG66" s="233"/>
      <c r="GH66" s="233"/>
      <c r="GI66" s="233"/>
      <c r="GJ66" s="233"/>
      <c r="GK66" s="240"/>
      <c r="GL66" s="91"/>
      <c r="GM66" s="91"/>
      <c r="GN66" s="91"/>
      <c r="GO66" s="91"/>
      <c r="GP66" s="91"/>
      <c r="GQ66" s="91"/>
      <c r="GR66" s="91"/>
      <c r="GS66" s="91"/>
      <c r="GT66" s="250"/>
      <c r="GU66" s="91"/>
      <c r="GV66" s="250"/>
      <c r="GW66" s="91"/>
      <c r="GX66" s="91"/>
      <c r="GY66" s="91"/>
      <c r="GZ66" s="91"/>
      <c r="HA66" s="91"/>
      <c r="HB66" s="91"/>
      <c r="HC66" s="91"/>
      <c r="HD66" s="91"/>
      <c r="HE66" s="96"/>
      <c r="HF66" s="99"/>
      <c r="HG66" s="99"/>
      <c r="HH66" s="99"/>
      <c r="HI66" s="99"/>
      <c r="HJ66" s="99"/>
      <c r="HK66" s="99"/>
    </row>
    <row r="67" ht="15.0" customHeight="1" outlineLevel="1">
      <c r="A67" s="53">
        <v>71.0</v>
      </c>
      <c r="B67" s="100" t="s">
        <v>216</v>
      </c>
      <c r="C67" s="100" t="s">
        <v>217</v>
      </c>
      <c r="D67" s="64" t="str">
        <f t="shared" ref="D67:D68" si="12">MID(B67,17,4)</f>
        <v>SITE</v>
      </c>
      <c r="E67" s="101" t="s">
        <v>154</v>
      </c>
      <c r="F67" s="102">
        <v>1112.0</v>
      </c>
      <c r="G67" s="103" t="s">
        <v>154</v>
      </c>
      <c r="H67" s="104">
        <v>1112.0</v>
      </c>
      <c r="I67" s="68" t="str">
        <f>IFERROR(VLOOKUP($C64:C108,'R22 RELATÓRIO ACC'!B:F,5,FALSE),"NOT PUBLISHED")</f>
        <v>V11</v>
      </c>
      <c r="J67" s="69" t="str">
        <f>IFERROR(VLOOKUP($C64:C108,'R22 RELATÓRIO ACC'!B:P,15,FALSE),"NOT PUBLISHED")</f>
        <v>08/05/2026</v>
      </c>
      <c r="K67" s="70" t="str">
        <f>IFERROR(VLOOKUP($B64:B108,'RELATÓRIO ACC'!B:F,5,FALSE),"NOT PUBLISHED")</f>
        <v>V3</v>
      </c>
      <c r="L67" s="71" t="str">
        <f>IFERROR(VLOOKUP($B64:B108,'RELATÓRIO ACC'!B:P,15,FALSE),"NOT PUBLISHED")</f>
        <v>10/07/2026</v>
      </c>
      <c r="M67" s="72" t="str">
        <f>IF(OR($D67="UTLS",$D67="GUAR",$D67="STIR",$D67="PUMP",$D67="SITE"),
   VLOOKUP($B67,'LOD 400 - SITE'!B:M,12,FALSE),
   VLOOKUP($B67,'LOD 400 - ADMN'!B:M,12,FALSE)
)</f>
        <v>V9</v>
      </c>
      <c r="N67" s="105">
        <f>IF(OR($D67="UTLS",$D67="GUAR",$D67="STIR",$D67="PUMP",$D67="SITE"),
   VLOOKUP($B67,'LOD 400 - SITE'!B:N,13,FALSE),
   VLOOKUP($B67,'LOD 400 - ADMN'!B:N,13,FALSE)
)</f>
        <v>46111</v>
      </c>
      <c r="O67" s="106" t="str">
        <f>IF(OR($D67="UTLS",$D67="GUAR",$D67="STIR",$D67="PUMP",$D67="SITE"),
   VLOOKUP($B67,'LOD 400 - SITE'!B:O,14,FALSE),
   VLOOKUP($B67,'LOD 400 - ADMN'!B:O,14,FALSE)
)</f>
        <v>R22</v>
      </c>
      <c r="P67" s="107" t="str">
        <f>IF(OR($D67="C345",$D67="C12A",$D67="DATA"),
   VLOOKUP($B67,'LOD 400 - COLO3'!B:M,12,FALSE),"N/A")</f>
        <v>N/A</v>
      </c>
      <c r="Q67" s="108" t="str">
        <f>IF(OR($D67="C345",$D67="C12A",$D67="DATA"),
   VLOOKUP($B67,'LOD 400 - COLO3'!B:N,13,FALSE),"N/A")</f>
        <v>N/A</v>
      </c>
      <c r="R67" s="75" t="str">
        <f>IF(OR($D67="C345",$D67="C12A",$D67="DATA"),
   VLOOKUP($B67,'LOD 400 - COLO3'!B:O,14,FALSE),"N/A")</f>
        <v>N/A</v>
      </c>
      <c r="S67" s="76" t="str">
        <f>IF(OR($D67="C345",$D67="C12A",$D67="DATA"),
   VLOOKUP($B67,'LOD 400 - COLO4'!B:N,12,FALSE),"N/A")</f>
        <v>N/A</v>
      </c>
      <c r="T67" s="76" t="str">
        <f>IF(OR($D67="C345",$D67="C12A",$D67="DATA"),
   VLOOKUP($B67,'LOD 400 - COLO4'!B:N,13,FALSE),"N/A")</f>
        <v>N/A</v>
      </c>
      <c r="U67" s="76" t="str">
        <f>IF(OR($D67="C345",$D67="C12A",$D67="DATA"),
   VLOOKUP($B67,'LOD 400 - COLO4'!B:N,13,FALSE),"N/A")</f>
        <v>N/A</v>
      </c>
      <c r="V67" s="77" t="str">
        <f>IF(OR($D67="UTLS",$D67="GUAR",$D67="STIR",$D67="PUMP",$D67="SITE"),
   VLOOKUP($B67,'LOD 400 - UTLS'!B:M,12,FALSE),"N/A")</f>
        <v>V9</v>
      </c>
      <c r="W67" s="78">
        <f>IF(OR($D67="UTLS",$D67="GUAR",$D67="STIR",$D67="PUMP",$D67="SITE"),
   VLOOKUP($B67,'LOD 400 - UTLS'!B:N,13,FALSE),"N/A")</f>
        <v>46111</v>
      </c>
      <c r="X67" s="108" t="str">
        <f>IF(OR($D67="UTLS",$D67="GUAR",$D67="STIR",$D67="PUMP",$D67="SITE"),
   VLOOKUP($B67,'LOD 400 - UTLS'!B:O,14,FALSE),"N/A")</f>
        <v>R22</v>
      </c>
      <c r="Y67" s="79" t="str">
        <f>IFERROR(VLOOKUP($B67,'LOD 400 - ADMN'!B:S,18,FALSE),"N/A")</f>
        <v>N/A</v>
      </c>
      <c r="Z67" s="79" t="str">
        <f>IFERROR(VLOOKUP($B67,'LOD 400 - ADMN'!B:V,21,FALSE),"N/A")</f>
        <v>N/A</v>
      </c>
      <c r="AA67" s="79" t="str">
        <f>IFERROR(VLOOKUP($B67,'LOD 400 - ADMN'!$B:Y,24,FALSE),"N/A")</f>
        <v>N/A</v>
      </c>
      <c r="AB67" s="80" t="str">
        <f>IFERROR(VLOOKUP($B67,'LOD 400 - ADMN'!$B:AB,27,FALSE),"N/A")</f>
        <v>N/A</v>
      </c>
      <c r="AC67" s="81" t="str">
        <f>IFERROR(VLOOKUP($B67,'LOD 400 - ADMN'!$B:AE,30,FALSE),"N/A")</f>
        <v>N/A</v>
      </c>
      <c r="AD67" s="81" t="str">
        <f>IFERROR(VLOOKUP($B67,'LOD 400 - ADMN'!$B:AH,33,FALSE),"N/A")</f>
        <v>N/A</v>
      </c>
      <c r="AE67" s="80" t="str">
        <f>IFERROR(VLOOKUP($B67,'LOD 400 - ADMN'!$B:AK,36,FALSE),"N/A")</f>
        <v>N/A</v>
      </c>
      <c r="AF67" s="82" t="str">
        <f>IFERROR(VLOOKUP($B67,'LOD 400 - ADMN'!$B:AN,39,FALSE),"N/A")</f>
        <v>N/A</v>
      </c>
      <c r="AG67" s="83" t="str">
        <f>IFERROR(VLOOKUP($B67,'LOD 400 - ADMN'!$B:AQ,42,FALSE),"N/A")</f>
        <v>N/A</v>
      </c>
      <c r="AH67" s="84" t="str">
        <f>IFERROR(VLOOKUP($B67,'LOD 400 - ADMN'!$B:AT,45,FALSE),"N/A")</f>
        <v>N/A</v>
      </c>
      <c r="AI67" s="85" t="str">
        <f>IFERROR(VLOOKUP($B67,'LOD 400 - ADMN'!$B:AW,48,FALSE),"N/A")</f>
        <v>N/A</v>
      </c>
      <c r="AJ67" s="85" t="str">
        <f>IFERROR(VLOOKUP($B67,'LOD 400 - ADMN'!$B:AZ,51,FALSE),"N/A")</f>
        <v>N/A</v>
      </c>
      <c r="AK67" s="84" t="str">
        <f>IFERROR(VLOOKUP($B67,'LOD 400 - ADMN'!$B:BC,54,FALSE),"N/A")</f>
        <v>N/A</v>
      </c>
      <c r="AL67" s="84" t="str">
        <f>IFERROR(VLOOKUP($B67,'LOD 400 - ADMN'!$B:BF,57,FALSE),"N/A")</f>
        <v>N/A</v>
      </c>
      <c r="AM67" s="84" t="str">
        <f>IFERROR(VLOOKUP($B67,'LOD 400 - ADMN'!$B:BI,60,FALSE),"N/A")</f>
        <v>N/A</v>
      </c>
      <c r="AN67" s="84" t="str">
        <f>IFERROR(VLOOKUP($B67,'LOD 400 - ADMN'!$B:BL,63,FALSE),"N/A")</f>
        <v>N/A</v>
      </c>
      <c r="AO67" s="84" t="str">
        <f>IFERROR(VLOOKUP($B67,'LOD 400 - ADMN'!$B:BO,66,FALSE),"N/A")</f>
        <v>N/A</v>
      </c>
      <c r="AP67" s="84" t="str">
        <f>IFERROR(VLOOKUP($B67,'LOD 400 - ADMN'!$B:BR,69,FALSE),"N/A")</f>
        <v>N/A</v>
      </c>
      <c r="AQ67" s="84" t="str">
        <f>IFERROR(VLOOKUP($B67,'LOD 400 - ADMN'!$B:BU,72,FALSE),"N/A")</f>
        <v>N/A</v>
      </c>
      <c r="AR67" s="84" t="str">
        <f>IFERROR(VLOOKUP($B67,'LOD 400 - ADMN'!$B:BX,75,FALSE),"N/A")</f>
        <v>N/A</v>
      </c>
      <c r="AS67" s="84" t="str">
        <f>IFERROR(VLOOKUP($B67,'LOD 400 - ADMN'!$B:CA,78,FALSE),"N/A")</f>
        <v>N/A</v>
      </c>
      <c r="AT67" s="84" t="str">
        <f>IFERROR(VLOOKUP($B67,'LOD 400 - ADMN'!$B:CD,81,FALSE),"N/A")</f>
        <v>N/A</v>
      </c>
      <c r="AU67" s="85" t="str">
        <f>IFERROR(VLOOKUP($B67,'LOD 400 - ADMN'!$B:CG,84,FALSE),"N/A")</f>
        <v>N/A</v>
      </c>
      <c r="AV67" s="84" t="str">
        <f>IFERROR(VLOOKUP($B67,'LOD 400 - ADMN'!$B:CJ,87,FALSE),"N/A")</f>
        <v>N/A</v>
      </c>
      <c r="AW67" s="85" t="str">
        <f>IFERROR(VLOOKUP($B67,'LOD 400 - ADMN'!$B:CM,90,FALSE),"N/A")</f>
        <v>N/A</v>
      </c>
      <c r="AX67" s="84" t="str">
        <f>IFERROR(VLOOKUP($B67,'LOD 400 - ADMN'!$B:CP,93,FALSE),"N/A")</f>
        <v>N/A</v>
      </c>
      <c r="AY67" s="84" t="str">
        <f>IFERROR(VLOOKUP($B67,'LOD 400 - ADMN'!$B:CS,96,FALSE),"N/A")</f>
        <v>N/A</v>
      </c>
      <c r="AZ67" s="84" t="str">
        <f>IFERROR(VLOOKUP($B67,'LOD 400 - ADMN'!$B:CV,99,FALSE),"N/A")</f>
        <v>N/A</v>
      </c>
      <c r="BA67" s="84" t="str">
        <f>IFERROR(VLOOKUP($B67,'LOD 400 - ADMN'!$B:CY,102,FALSE),"N/A")</f>
        <v>N/A</v>
      </c>
      <c r="BB67" s="84" t="str">
        <f>IFERROR(VLOOKUP($B67,'LOD 400 - ADMN'!$B:DB,105,FALSE),"N/A")</f>
        <v>N/A</v>
      </c>
      <c r="BC67" s="84" t="str">
        <f>IFERROR(VLOOKUP($B67,'LOD 400 - ADMN'!$B:DE,108,FALSE),"N/A")</f>
        <v>N/A</v>
      </c>
      <c r="BD67" s="84" t="str">
        <f>IFERROR(VLOOKUP($B67,'LOD 400 - ADMN'!$B:DH,111,FALSE),"N/A")</f>
        <v>N/A</v>
      </c>
      <c r="BE67" s="84" t="str">
        <f>IFERROR(VLOOKUP($B67,'LOD 400 - ADMN'!$B:DK,114,FALSE),"N/A")</f>
        <v>N/A</v>
      </c>
      <c r="BF67" s="84" t="str">
        <f>IFERROR(VLOOKUP($B67,'LOD 400 - ADMN'!$B:DN,117,FALSE),"N/A")</f>
        <v>N/A</v>
      </c>
      <c r="BG67" s="86" t="str">
        <f>IFERROR(__xludf.DUMMYFUNCTION("IFERROR(
  MAX(FILTER(Y67:BF67, ISNUMBER(Y67:BF67))),
  BF67
)"),"N/A")</f>
        <v>N/A</v>
      </c>
      <c r="BH67" s="79" t="str">
        <f>IFERROR(VLOOKUP($B67,'LOD 400 - COLO1'!B:S,18,FALSE),"N/A")</f>
        <v>N/A</v>
      </c>
      <c r="BI67" s="79" t="str">
        <f>IFERROR(VLOOKUP($B67,'LOD 400 - COLO1'!B:V,21,FALSE),"N/A")</f>
        <v>N/A</v>
      </c>
      <c r="BJ67" s="79" t="str">
        <f>IFERROR(VLOOKUP($B67,'LOD 400 - COLO1'!$B:Y,24,FALSE),"N/A")</f>
        <v>N/A</v>
      </c>
      <c r="BK67" s="87" t="str">
        <f>IFERROR(VLOOKUP($B67,'LOD 400 - COLO1'!$B:AB,27,FALSE),"N/A")</f>
        <v>N/A</v>
      </c>
      <c r="BL67" s="80" t="str">
        <f>IFERROR(VLOOKUP($B67,'LOD 400 - COLO1'!$B:AE,30,FALSE),"N/A")</f>
        <v>N/A</v>
      </c>
      <c r="BM67" s="81" t="str">
        <f>IFERROR(VLOOKUP($B67,'LOD 400 - COLO1'!$B:AH,33,FALSE),"N/A")</f>
        <v>N/A</v>
      </c>
      <c r="BN67" s="87" t="str">
        <f>IFERROR(VLOOKUP($B67,'LOD 400 - COLO1'!$B:AK,36,FALSE),"N/A")</f>
        <v>N/A</v>
      </c>
      <c r="BO67" s="83" t="str">
        <f>IFERROR(VLOOKUP($B67,'LOD 400 - COLO1'!$B:AN,39,FALSE),"N/A")</f>
        <v>N/A</v>
      </c>
      <c r="BP67" s="88" t="str">
        <f>IFERROR(VLOOKUP($B67,'LOD 400 - COLO1'!$B:AQ,42,FALSE),"N/A")</f>
        <v>N/A</v>
      </c>
      <c r="BQ67" s="84" t="str">
        <f>IFERROR(VLOOKUP($B67,'LOD 400 - COLO1'!$B:AT,45,FALSE),"N/A")</f>
        <v>N/A</v>
      </c>
      <c r="BR67" s="85" t="str">
        <f>IFERROR(VLOOKUP($B67,'LOD 400 - COLO1'!$B:AW,48,FALSE),"N/A")</f>
        <v>N/A</v>
      </c>
      <c r="BS67" s="84" t="str">
        <f>IFERROR(VLOOKUP($B67,'LOD 400 - COLO1'!$B:AZ,51,FALSE),"N/A")</f>
        <v>N/A</v>
      </c>
      <c r="BT67" s="84" t="str">
        <f>IFERROR(VLOOKUP($B67,'LOD 400 - COLO1'!$B:BC,54,FALSE),"N/A")</f>
        <v>N/A</v>
      </c>
      <c r="BU67" s="84" t="str">
        <f>IFERROR(VLOOKUP($B67,'LOD 400 - COLO1'!$B:BF,57,FALSE),"N/A")</f>
        <v>N/A</v>
      </c>
      <c r="BV67" s="84" t="str">
        <f>IFERROR(VLOOKUP($B67,'LOD 400 - COLO1'!$B:BI,60,FALSE),"N/A")</f>
        <v>N/A</v>
      </c>
      <c r="BW67" s="84" t="str">
        <f>IFERROR(VLOOKUP($B67,'LOD 400 - COLO1'!$B:BL,63,FALSE),"N/A")</f>
        <v>N/A</v>
      </c>
      <c r="BX67" s="84" t="str">
        <f>IFERROR(VLOOKUP($B67,'LOD 400 - COLO1'!$B:BO,66,FALSE),"N/A")</f>
        <v>N/A</v>
      </c>
      <c r="BY67" s="84" t="str">
        <f>IFERROR(VLOOKUP($B67,'LOD 400 - COLO1'!$B:BR,69,FALSE),"N/A")</f>
        <v>N/A</v>
      </c>
      <c r="BZ67" s="84" t="str">
        <f>IFERROR(VLOOKUP($B67,'LOD 400 - COLO1'!$B:BU,72,FALSE),"N/A")</f>
        <v>N/A</v>
      </c>
      <c r="CA67" s="84" t="str">
        <f>IFERROR(VLOOKUP($B67,'LOD 400 - COLO1'!$B:BX,75,FALSE),"N/A")</f>
        <v>N/A</v>
      </c>
      <c r="CB67" s="84" t="str">
        <f>IFERROR(VLOOKUP($B67,'LOD 400 - COLO1'!$B:CA,78,FALSE),"N/A")</f>
        <v>N/A</v>
      </c>
      <c r="CC67" s="84" t="str">
        <f>IFERROR(VLOOKUP($B67,'LOD 400 - COLO1'!$B:CD,81,FALSE),"N/A")</f>
        <v>N/A</v>
      </c>
      <c r="CD67" s="85" t="str">
        <f>IFERROR(VLOOKUP($B67,'LOD 400 - COLO1'!$B:CG,84,FALSE),"N/A")</f>
        <v>N/A</v>
      </c>
      <c r="CE67" s="84" t="str">
        <f>IFERROR(VLOOKUP($B67,'LOD 400 - COLO1'!$B:CJ,87,FALSE),"N/A")</f>
        <v>N/A</v>
      </c>
      <c r="CF67" s="85" t="str">
        <f>IFERROR(VLOOKUP($B67,'LOD 400 - COLO1'!$B:CM,90,FALSE),"N/A")</f>
        <v>N/A</v>
      </c>
      <c r="CG67" s="84" t="str">
        <f>IFERROR(VLOOKUP($B67,'LOD 400 - COLO1'!$B:CP,93,FALSE),"N/A")</f>
        <v>N/A</v>
      </c>
      <c r="CH67" s="84" t="str">
        <f>IFERROR(VLOOKUP($B67,'LOD 400 - COLO1'!$B:CS,96,FALSE),"N/A")</f>
        <v>N/A</v>
      </c>
      <c r="CI67" s="84" t="str">
        <f>IFERROR(VLOOKUP($B67,'LOD 400 - COLO1'!$B:CV,99,FALSE),"N/A")</f>
        <v>N/A</v>
      </c>
      <c r="CJ67" s="84" t="str">
        <f>IFERROR(VLOOKUP($B67,'LOD 400 - COLO1'!$B:CY,102,FALSE),"N/A")</f>
        <v>N/A</v>
      </c>
      <c r="CK67" s="84" t="str">
        <f>IFERROR(VLOOKUP($B67,'LOD 400 - COLO1'!$B:DB,105,FALSE),"N/A")</f>
        <v>N/A</v>
      </c>
      <c r="CL67" s="84" t="str">
        <f>IFERROR(VLOOKUP($B67,'LOD 400 - COLO1'!$B:DE,108,FALSE),"N/A")</f>
        <v>N/A</v>
      </c>
      <c r="CM67" s="84" t="str">
        <f>IFERROR(VLOOKUP($B67,'LOD 400 - COLO1'!$B:DH,111,FALSE),"N/A")</f>
        <v>N/A</v>
      </c>
      <c r="CN67" s="84" t="str">
        <f>IFERROR(VLOOKUP($B67,'LOD 400 - COLO1'!$B:DK,114,FALSE),"N/A")</f>
        <v>N/A</v>
      </c>
      <c r="CO67" s="84" t="str">
        <f>IFERROR(VLOOKUP($B67,'LOD 400 - COLO1'!$B:DN,117,FALSE),"N/A")</f>
        <v>N/A</v>
      </c>
      <c r="CP67" s="86" t="str">
        <f>IFERROR(__xludf.DUMMYFUNCTION("IFERROR(
  MAX(FILTER(BH67:CO67, ISNUMBER(BH67:CO67))),
  CO67
)"),"N/A")</f>
        <v>N/A</v>
      </c>
      <c r="CQ67" s="89" t="str">
        <f>IFERROR(VLOOKUP($B67,'LOD 400 - COLO2'!B:S,18,FALSE),"N/A")</f>
        <v>N/A</v>
      </c>
      <c r="CR67" s="79" t="str">
        <f>IFERROR(VLOOKUP($B67,'LOD 400 - COLO2'!B:V,21,FALSE),"N/A")</f>
        <v>N/A</v>
      </c>
      <c r="CS67" s="79" t="str">
        <f>IFERROR(VLOOKUP($B67,'LOD 400 - COLO2'!$B:Y,24,FALSE),"N/A")</f>
        <v>N/A</v>
      </c>
      <c r="CT67" s="80" t="str">
        <f>IFERROR(VLOOKUP($B67,'LOD 400 - COLO2'!$B:DQ,27,FALSE),"N/A")</f>
        <v>N/A</v>
      </c>
      <c r="CU67" s="90" t="str">
        <f>IFERROR(VLOOKUP($B67,'LOD 400 - COLO2'!$B:AE,30,FALSE),"N/A")</f>
        <v>N/A</v>
      </c>
      <c r="CV67" s="81" t="str">
        <f>IFERROR(VLOOKUP($B67,'LOD 400 - COLO2'!$B:AH,33,FALSE),"N/A")</f>
        <v>N/A</v>
      </c>
      <c r="CW67" s="90" t="str">
        <f>IFERROR(VLOOKUP($B67,'LOD 400 - COLO2'!$B:AK,36,FALSE),"N/A")</f>
        <v>N/A</v>
      </c>
      <c r="CX67" s="85" t="str">
        <f>IFERROR(VLOOKUP($B67,'LOD 400 - COLO2'!$B:AN,39,FALSE),"N/A")</f>
        <v>N/A</v>
      </c>
      <c r="CY67" s="88" t="str">
        <f>IFERROR(VLOOKUP($B67,'LOD 400 - COLO2'!$B:AQ,42,FALSE),"N/A")</f>
        <v>N/A</v>
      </c>
      <c r="CZ67" s="84" t="str">
        <f>IFERROR(VLOOKUP($B67,'LOD 400 - COLO2'!$B:AT,45,FALSE),"N/A")</f>
        <v>N/A</v>
      </c>
      <c r="DA67" s="85" t="str">
        <f>IFERROR(VLOOKUP($B67,'LOD 400 - COLO2'!$B:AW,48,FALSE),"N/A")</f>
        <v>N/A</v>
      </c>
      <c r="DB67" s="84" t="str">
        <f>IFERROR(VLOOKUP($B67,'LOD 400 - COLO2'!$B:AZ,51,FALSE),"N/A")</f>
        <v>N/A</v>
      </c>
      <c r="DC67" s="84" t="str">
        <f>IFERROR(VLOOKUP($B67,'LOD 400 - COLO2'!$B:BC,54,FALSE),"N/A")</f>
        <v>N/A</v>
      </c>
      <c r="DD67" s="84" t="str">
        <f>IFERROR(VLOOKUP($B67,'LOD 400 - COLO2'!$B:BF,57,FALSE),"N/A")</f>
        <v>N/A</v>
      </c>
      <c r="DE67" s="84" t="str">
        <f>IFERROR(VLOOKUP($B67,'LOD 400 - COLO2'!$B:BI,60,FALSE),"N/A")</f>
        <v>N/A</v>
      </c>
      <c r="DF67" s="84" t="str">
        <f>IFERROR(VLOOKUP($B67,'LOD 400 - COLO2'!$B:BL,63,FALSE),"N/A")</f>
        <v>N/A</v>
      </c>
      <c r="DG67" s="84" t="str">
        <f>IFERROR(VLOOKUP($B67,'LOD 400 - COLO2'!$B:BO,66,FALSE),"N/A")</f>
        <v>N/A</v>
      </c>
      <c r="DH67" s="84" t="str">
        <f>IFERROR(VLOOKUP($B67,'LOD 400 - COLO2'!$B:BR,69,FALSE),"N/A")</f>
        <v>N/A</v>
      </c>
      <c r="DI67" s="84" t="str">
        <f>IFERROR(VLOOKUP($B67,'LOD 400 - COLO2'!$B:BU,72,FALSE),"N/A")</f>
        <v>N/A</v>
      </c>
      <c r="DJ67" s="84" t="str">
        <f>IFERROR(VLOOKUP($B67,'LOD 400 - COLO2'!$B:BX,75,FALSE),"N/A")</f>
        <v>N/A</v>
      </c>
      <c r="DK67" s="84" t="str">
        <f>IFERROR(VLOOKUP($B67,'LOD 400 - COLO2'!$B:CA,78,FALSE),"N/A")</f>
        <v>N/A</v>
      </c>
      <c r="DL67" s="84" t="str">
        <f>IFERROR(VLOOKUP($B67,'LOD 400 - COLO2'!$B:CD,81,FALSE),"N/A")</f>
        <v>N/A</v>
      </c>
      <c r="DM67" s="85" t="str">
        <f>IFERROR(VLOOKUP($B67,'LOD 400 - COLO2'!$B:CG,84,FALSE),"N/A")</f>
        <v>N/A</v>
      </c>
      <c r="DN67" s="84" t="str">
        <f>IFERROR(VLOOKUP($B67,'LOD 400 - COLO2'!$B:CJ,87,FALSE),"N/A")</f>
        <v>N/A</v>
      </c>
      <c r="DO67" s="85" t="str">
        <f>IFERROR(VLOOKUP($B67,'LOD 400 - COLO2'!$B:CM,90,FALSE),"N/A")</f>
        <v>N/A</v>
      </c>
      <c r="DP67" s="84" t="str">
        <f>IFERROR(VLOOKUP($B67,'LOD 400 - COLO2'!$B:CP,93,FALSE),"N/A")</f>
        <v>N/A</v>
      </c>
      <c r="DQ67" s="84" t="str">
        <f>IFERROR(VLOOKUP($B67,'LOD 400 - COLO2'!$B:CS,96,FALSE),"N/A")</f>
        <v>N/A</v>
      </c>
      <c r="DR67" s="84" t="str">
        <f>IFERROR(VLOOKUP($B67,'LOD 400 - COLO2'!$B:CV,99,FALSE),"N/A")</f>
        <v>N/A</v>
      </c>
      <c r="DS67" s="84" t="str">
        <f>IFERROR(VLOOKUP($B67,'LOD 400 - COLO2'!$B:CY,102,FALSE),"N/A")</f>
        <v>N/A</v>
      </c>
      <c r="DT67" s="84" t="str">
        <f>IFERROR(VLOOKUP($B67,'LOD 400 - COLO2'!$B:DB,105,FALSE),"N/A")</f>
        <v>N/A</v>
      </c>
      <c r="DU67" s="84" t="str">
        <f>IFERROR(VLOOKUP($B67,'LOD 400 - COLO2'!$B:DE,108,FALSE),"N/A")</f>
        <v>N/A</v>
      </c>
      <c r="DV67" s="84" t="str">
        <f>IFERROR(VLOOKUP($B67,'LOD 400 - COLO2'!$B:DH,111,FALSE),"N/A")</f>
        <v>N/A</v>
      </c>
      <c r="DW67" s="84" t="str">
        <f>IFERROR(VLOOKUP($B67,'LOD 400 - COLO2'!$B:DK,114,FALSE),"N/A")</f>
        <v>N/A</v>
      </c>
      <c r="DX67" s="84" t="str">
        <f>IFERROR(VLOOKUP($B67,'LOD 400 - COLO2'!$B:DN,117,FALSE),"N/A")</f>
        <v>N/A</v>
      </c>
      <c r="DY67" s="91" t="str">
        <f>IFERROR(__xludf.DUMMYFUNCTION("IFERROR(
  MAX(FILTER(CQ67:DW67, ISNUMBER(CQ67:DW67))),
  DW67
)"),"N/A")</f>
        <v>N/A</v>
      </c>
      <c r="DZ67" s="92" t="str">
        <f>IFERROR(VLOOKUP($B67,'LOD 400 - COLO3'!B:S,18,FALSE),"N/A")</f>
        <v>N/A</v>
      </c>
      <c r="EA67" s="84" t="str">
        <f>IFERROR(VLOOKUP($B67,'LOD 400 - COLO3'!B:V,21,FALSE),"N/A")</f>
        <v>N/A</v>
      </c>
      <c r="EB67" s="84" t="str">
        <f>IFERROR(VLOOKUP($B67,'LOD 400 - COLO3'!B:Y,24,FALSE),"N/A")</f>
        <v>N/A</v>
      </c>
      <c r="EC67" s="84" t="str">
        <f>IFERROR(VLOOKUP($B67,'LOD 400 - COLO3'!B:AB,27,FALSE),"N/A")</f>
        <v>N/A</v>
      </c>
      <c r="ED67" s="85" t="str">
        <f>IFERROR(VLOOKUP($B67,'LOD 400 - COLO3'!B:AE,30,FALSE),"N/A")</f>
        <v>N/A</v>
      </c>
      <c r="EE67" s="84" t="str">
        <f>IFERROR(VLOOKUP($B67,'LOD 400 - COLO3'!B:AH,33,FALSE),"N/A")</f>
        <v>N/A</v>
      </c>
      <c r="EF67" s="84" t="str">
        <f>IFERROR(VLOOKUP($B67,'LOD 400 - COLO3'!B:AK,36,FALSE),"N/A")</f>
        <v>N/A</v>
      </c>
      <c r="EG67" s="109" t="str">
        <f>IFERROR(VLOOKUP($B67,'LOD 400 - COLO3'!B:AN,39,FALSE),"N/A")</f>
        <v>N/A</v>
      </c>
      <c r="EH67" s="94" t="str">
        <f>IFERROR(VLOOKUP($B67,'LOD 400 - COLO3'!B:AQ,42,FALSE),"N/A")</f>
        <v>N/A</v>
      </c>
      <c r="EI67" s="94" t="str">
        <f>IFERROR(VLOOKUP($B67,'LOD 400 - COLO3'!B:AT,45,FALSE),"N/A")</f>
        <v>N/A</v>
      </c>
      <c r="EJ67" s="94" t="str">
        <f>IFERROR(VLOOKUP($B67,'LOD 400 - COLO3'!B:AW,48,FALSE),"N/A")</f>
        <v>N/A</v>
      </c>
      <c r="EK67" s="94" t="str">
        <f>IFERROR(VLOOKUP($B67,'LOD 400 - COLO3'!B:AZ,51,FALSE),"N/A")</f>
        <v>N/A</v>
      </c>
      <c r="EL67" s="94" t="str">
        <f>IFERROR(VLOOKUP($B67,'LOD 400 - COLO3'!B:BC,54,FALSE),"N/A")</f>
        <v>N/A</v>
      </c>
      <c r="EM67" s="94" t="str">
        <f>IFERROR(VLOOKUP($B67,'LOD 400 - COLO3'!B:BF,57,FALSE),"N/A")</f>
        <v>N/A</v>
      </c>
      <c r="EN67" s="94" t="str">
        <f>IFERROR(VLOOKUP($B67,'LOD 400 - COLO3'!B:BI,60,FALSE),"N/A")</f>
        <v>N/A</v>
      </c>
      <c r="EO67" s="94" t="str">
        <f>IFERROR(VLOOKUP($B67,'LOD 400 - COLO3'!B:BL,63,FALSE),"N/A")</f>
        <v>N/A</v>
      </c>
      <c r="EP67" s="86" t="str">
        <f>IFERROR(__xludf.DUMMYFUNCTION("IFERROR(
  MAX(FILTER(DZ67:EO67, ISNUMBER(DZ67:EO67))),
  EO67
)"),"N/A")</f>
        <v>N/A</v>
      </c>
      <c r="EQ67" s="95" t="str">
        <f>IFERROR(VLOOKUP($B67,'LOD 400 - COLO4'!B:S,18,FALSE),"N/A")</f>
        <v>N/A</v>
      </c>
      <c r="ER67" s="96" t="str">
        <f>IFERROR(__xludf.DUMMYFUNCTION("IFERROR(
  MAX(FILTER(EQ67, ISNUMBER(EQ67))),
  EQ67
)"),"N/A")</f>
        <v>N/A</v>
      </c>
      <c r="ES67" s="79" t="str">
        <f>IFERROR(VLOOKUP($B67,'LOD 400 - SITE'!B:S,18,FALSE),"N/A")</f>
        <v>OUTDATED</v>
      </c>
      <c r="ET67" s="80" t="str">
        <f>IFERROR(VLOOKUP($B67,'LOD 400 - SITE'!B:V,21,FALSE),"N/A")</f>
        <v>OUTDATED</v>
      </c>
      <c r="EU67" s="97" t="str">
        <f>IFERROR(VLOOKUP($B67,'LOD 400 - SITE'!$B:Y,24,FALSE),"N/A")</f>
        <v>OUTDATED</v>
      </c>
      <c r="EV67" s="80" t="str">
        <f>IFERROR(VLOOKUP($B67,'LOD 400 - SITE'!$B:AB,27,FALSE),"N/A")</f>
        <v>OUTDATED</v>
      </c>
      <c r="EW67" s="81" t="str">
        <f>IFERROR(VLOOKUP($B67,'LOD 400 - SITE'!$B:AE,30,FALSE),"N/A")</f>
        <v>OUTDATED</v>
      </c>
      <c r="EX67" s="87" t="str">
        <f>IFERROR(VLOOKUP($B67,'LOD 400 - SITE'!$B:AH,33,FALSE),"N/A")</f>
        <v>OUTDATED</v>
      </c>
      <c r="EY67" s="87" t="str">
        <f>IFERROR(VLOOKUP($B67,'LOD 400 - SITE'!$B:AK,36,FALSE),"N/A")</f>
        <v>OUTDATED</v>
      </c>
      <c r="EZ67" s="80" t="str">
        <f>IFERROR(VLOOKUP($B67,'LOD 400 - SITE'!$B:AN,39,FALSE),"N/A")</f>
        <v>NEXT ROUND </v>
      </c>
      <c r="FA67" s="82" t="str">
        <f>IFERROR(VLOOKUP($B67,'LOD 400 - SITE'!$B:AQ,42,FALSE),"N/A")</f>
        <v>IMPROPER</v>
      </c>
      <c r="FB67" s="88" t="str">
        <f>IFERROR(VLOOKUP($B67,'LOD 400 - SITE'!$B:AT,45,FALSE),"N/A")</f>
        <v>OUTDATED</v>
      </c>
      <c r="FC67" s="84" t="str">
        <f>IFERROR(VLOOKUP($B67,'LOD 400 - SITE'!$B:AW,48,FALSE),"N/A")</f>
        <v>IMPROPER</v>
      </c>
      <c r="FD67" s="84" t="str">
        <f>IFERROR(VLOOKUP($B67,'LOD 400 - SITE'!$B:AZ,51,FALSE),"N/A")</f>
        <v>NEXT ROUND </v>
      </c>
      <c r="FE67" s="84">
        <f>IFERROR(VLOOKUP($B67,'LOD 400 - SITE'!$B:BC,54,FALSE),"N/A")</f>
        <v>0.08</v>
      </c>
      <c r="FF67" s="84" t="str">
        <f>IFERROR(VLOOKUP($B67,'LOD 400 - SITE'!$B:BF,57,FALSE),"N/A")</f>
        <v>OUTDATED</v>
      </c>
      <c r="FG67" s="84" t="str">
        <f>IFERROR(VLOOKUP($B67,'LOD 400 - SITE'!$B:BI,60,FALSE),"N/A")</f>
        <v>NEXT ROUND</v>
      </c>
      <c r="FH67" s="84" t="str">
        <f>IFERROR(VLOOKUP($B67,'LOD 400 - SITE'!$B:BL,63,FALSE),"N/A")</f>
        <v>NEXT ROUND</v>
      </c>
      <c r="FI67" s="84">
        <f>IFERROR(VLOOKUP($B67,'LOD 400 - SITE'!$B:BO,66,FALSE),"N/A")</f>
        <v>0.71</v>
      </c>
      <c r="FJ67" s="84" t="str">
        <f>IFERROR(VLOOKUP($B67,'LOD 400 - SITE'!$B:BR,69,FALSE),"N/A")</f>
        <v>NEXT ROUND </v>
      </c>
      <c r="FK67" s="84">
        <f>IFERROR(VLOOKUP($B67,'LOD 400 - SITE'!$B:BU,72,FALSE),"N/A")</f>
        <v>1</v>
      </c>
      <c r="FL67" s="84">
        <f>IFERROR(VLOOKUP($B67,'LOD 400 - SITE'!$B:BX,75,FALSE),"N/A")</f>
        <v>1</v>
      </c>
      <c r="FM67" s="84">
        <f>IFERROR(VLOOKUP($B67,'LOD 400 - SITE'!$B:CA,78,FALSE),"N/A")</f>
        <v>1</v>
      </c>
      <c r="FN67" s="85">
        <f>IFERROR(VLOOKUP($B67,'LOD 400 - SITE'!$B:CD,81,FALSE),"N/A")</f>
        <v>1</v>
      </c>
      <c r="FO67" s="84">
        <f>IFERROR(VLOOKUP($B67,'LOD 400 - SITE'!$B:CG,84,FALSE),"N/A")</f>
        <v>1</v>
      </c>
      <c r="FP67" s="85">
        <f>IFERROR(VLOOKUP($B67,'LOD 400 - SITE'!$B:CJ,87,FALSE),"N/A")</f>
        <v>1</v>
      </c>
      <c r="FQ67" s="84">
        <f>IFERROR(VLOOKUP($B67,'LOD 400 - SITE'!$B:CM,90,FALSE),"N/A")</f>
        <v>1</v>
      </c>
      <c r="FR67" s="84">
        <f>IFERROR(VLOOKUP($B67,'LOD 400 - SITE'!$B:CP,93,FALSE),"N/A")</f>
        <v>1</v>
      </c>
      <c r="FS67" s="84">
        <f>IFERROR(VLOOKUP($B67,'LOD 400 - SITE'!$B:CS,96,FALSE),"N/A")</f>
        <v>1</v>
      </c>
      <c r="FT67" s="84">
        <f>IFERROR(VLOOKUP($B67,'LOD 400 - SITE'!$B:CV,99,FALSE),"N/A")</f>
        <v>1</v>
      </c>
      <c r="FU67" s="84">
        <f>IFERROR(VLOOKUP($B67,'LOD 400 - SITE'!$B:CY,102,FALSE),"N/A")</f>
        <v>1</v>
      </c>
      <c r="FV67" s="84">
        <f>IFERROR(VLOOKUP($B67,'LOD 400 - SITE'!$B:DB,105,FALSE),"N/A")</f>
        <v>1</v>
      </c>
      <c r="FW67" s="84">
        <f>IFERROR(VLOOKUP($B67,'LOD 400 - SITE'!$B:DE,108,FALSE),"N/A")</f>
        <v>1</v>
      </c>
      <c r="FX67" s="84">
        <f>IFERROR(VLOOKUP($B67,'LOD 400 - SITE'!$B:DH,111,FALSE),"N/A")</f>
        <v>1</v>
      </c>
      <c r="FY67" s="84">
        <f>IFERROR(VLOOKUP($B67,'LOD 400 - SITE'!$B:DK,114,FALSE),"N/A")</f>
        <v>1</v>
      </c>
      <c r="FZ67" s="96">
        <f>IFERROR(__xludf.DUMMYFUNCTION("IFERROR(
  MAX(FILTER(ES67:FY67, ISNUMBER(ES67:FY67))),
  FY67
)"),1.0)</f>
        <v>1</v>
      </c>
      <c r="GA67" s="80" t="str">
        <f>IFERROR(VLOOKUP($B67,'LOD 400 - UTLS'!B:S,18,FALSE),"N/A")</f>
        <v>OUTDATED</v>
      </c>
      <c r="GB67" s="98" t="str">
        <f>IFERROR(VLOOKUP($B67,'LOD 400 - UTLS'!B:V,21,FALSE),"N/A")</f>
        <v>OUTDATED</v>
      </c>
      <c r="GC67" s="81" t="str">
        <f>IFERROR(VLOOKUP($B67,'LOD 400 - UTLS'!B:Y,24,FALSE),"N/A")</f>
        <v>OUTDATED</v>
      </c>
      <c r="GD67" s="87" t="str">
        <f>IFERROR(VLOOKUP($B67,'LOD 400 - UTLS'!$B:AB,27,FALSE),"N/A")</f>
        <v>OUTDATED</v>
      </c>
      <c r="GE67" s="80" t="str">
        <f>IFERROR(VLOOKUP($B67,'LOD 400 - UTLS'!$B:AE,30,FALSE),"N/A")</f>
        <v>NEXT ROUND</v>
      </c>
      <c r="GF67" s="82" t="str">
        <f>IFERROR(VLOOKUP($B67,'LOD 400 - UTLS'!$B:AH,33,FALSE),"N/A")</f>
        <v>IMPROPER</v>
      </c>
      <c r="GG67" s="88" t="str">
        <f>IFERROR(VLOOKUP($B67,'LOD 400 - UTLS'!$B:AK,36,FALSE),"N/A")</f>
        <v>OUTDATED</v>
      </c>
      <c r="GH67" s="84" t="str">
        <f>IFERROR(VLOOKUP($B67,'LOD 400 - UTLS'!$B:AN,39,FALSE),"N/A")</f>
        <v>IMPROPER</v>
      </c>
      <c r="GI67" s="84" t="str">
        <f>IFERROR(VLOOKUP($B67,'LOD 400 - UTLS'!$B:AQ,42,FALSE),"N/A")</f>
        <v>NEXT ROUND</v>
      </c>
      <c r="GJ67" s="84">
        <f>IFERROR(VLOOKUP($B67,'LOD 400 - UTLS'!$B:AT,45,FALSE),"N/A")</f>
        <v>0.08</v>
      </c>
      <c r="GK67" s="84" t="str">
        <f>IFERROR(VLOOKUP($B67,'LOD 400 - UTLS'!$B:AW,48,FALSE),"N/A")</f>
        <v>OUTDATED</v>
      </c>
      <c r="GL67" s="84" t="str">
        <f>IFERROR(VLOOKUP($B67,'LOD 400 - UTLS'!$B:AZ,51,FALSE),"N/A")</f>
        <v>NEXT ROUND</v>
      </c>
      <c r="GM67" s="84" t="str">
        <f>IFERROR(VLOOKUP($B67,'LOD 400 - UTLS'!$B:BC,54,FALSE),"N/A")</f>
        <v>NEXT ROUND</v>
      </c>
      <c r="GN67" s="84">
        <f>IFERROR(VLOOKUP($B67,'LOD 400 - UTLS'!$B:BF,57,FALSE),"N/A")</f>
        <v>0.39</v>
      </c>
      <c r="GO67" s="84" t="str">
        <f>IFERROR(VLOOKUP($B67,'LOD 400 - UTLS'!$B:BI,60,FALSE),"N/A")</f>
        <v>NEXT ROUND </v>
      </c>
      <c r="GP67" s="84">
        <f>IFERROR(VLOOKUP($B67,'LOD 400 - UTLS'!$B:BL,63,FALSE),"N/A")</f>
        <v>0.98</v>
      </c>
      <c r="GQ67" s="84">
        <f>IFERROR(VLOOKUP($B67,'LOD 400 - UTLS'!$B:BO,66,FALSE),"N/A")</f>
        <v>1</v>
      </c>
      <c r="GR67" s="84">
        <f>IFERROR(VLOOKUP($B67,'LOD 400 - UTLS'!$B:BR,69,FALSE),"N/A")</f>
        <v>1</v>
      </c>
      <c r="GS67" s="85">
        <f>IFERROR(VLOOKUP($B67,'LOD 400 - UTLS'!$B:BU,72,FALSE),"N/A")</f>
        <v>1</v>
      </c>
      <c r="GT67" s="84">
        <f>IFERROR(VLOOKUP($B67,'LOD 400 - UTLS'!$B:BX,75,FALSE),"N/A")</f>
        <v>1</v>
      </c>
      <c r="GU67" s="85">
        <f>IFERROR(VLOOKUP($B67,'LOD 400 - UTLS'!$B:CA,78,FALSE),"N/A")</f>
        <v>1</v>
      </c>
      <c r="GV67" s="84">
        <f>IFERROR(VLOOKUP($B67,'LOD 400 - UTLS'!$B:CD,81,FALSE),"N/A")</f>
        <v>1</v>
      </c>
      <c r="GW67" s="84">
        <f>IFERROR(VLOOKUP($B67,'LOD 400 - UTLS'!$B:CG,84,FALSE),"N/A")</f>
        <v>1</v>
      </c>
      <c r="GX67" s="84">
        <f>IFERROR(VLOOKUP($B67,'LOD 400 - UTLS'!$B:CJ,87,FALSE),"N/A")</f>
        <v>1</v>
      </c>
      <c r="GY67" s="84">
        <f>IFERROR(VLOOKUP($B67,'LOD 400 - UTLS'!$B:CM,90,FALSE),"N/A")</f>
        <v>1</v>
      </c>
      <c r="GZ67" s="84">
        <f>IFERROR(VLOOKUP($B67,'LOD 400 - UTLS'!$B:CP,93,FALSE),"N/A")</f>
        <v>1</v>
      </c>
      <c r="HA67" s="84">
        <f>IFERROR(VLOOKUP($B67,'LOD 400 - UTLS'!$B:CS,96,FALSE),"N/A")</f>
        <v>1</v>
      </c>
      <c r="HB67" s="84">
        <f>IFERROR(VLOOKUP($B67,'LOD 400 - UTLS'!$B:CV,99,FALSE),"N/A")</f>
        <v>1</v>
      </c>
      <c r="HC67" s="84">
        <f>IFERROR(VLOOKUP($B67,'LOD 400 - UTLS'!$B:CY,102,FALSE),"N/A")</f>
        <v>1</v>
      </c>
      <c r="HD67" s="84">
        <f>IFERROR(VLOOKUP($B67,'LOD 400 - UTLS'!$B:DB,105,FALSE),"N/A")</f>
        <v>1</v>
      </c>
      <c r="HE67" s="96">
        <f>IFERROR(__xludf.DUMMYFUNCTION("IFERROR(
  MAX(FILTER(GA67:HD67, ISNUMBER(GA67:HD67))),
  HD67
)"),1.0)</f>
        <v>1</v>
      </c>
      <c r="HF67" s="99"/>
      <c r="HG67" s="99"/>
      <c r="HH67" s="99"/>
      <c r="HI67" s="99"/>
      <c r="HJ67" s="99"/>
      <c r="HK67" s="99"/>
    </row>
    <row r="68" ht="15.0" customHeight="1" outlineLevel="1">
      <c r="A68" s="53">
        <v>72.0</v>
      </c>
      <c r="B68" s="100" t="s">
        <v>218</v>
      </c>
      <c r="C68" s="100" t="s">
        <v>219</v>
      </c>
      <c r="D68" s="64" t="str">
        <f t="shared" si="12"/>
        <v>DATA</v>
      </c>
      <c r="E68" s="101" t="s">
        <v>154</v>
      </c>
      <c r="F68" s="102">
        <v>1112.0</v>
      </c>
      <c r="G68" s="103" t="s">
        <v>154</v>
      </c>
      <c r="H68" s="104">
        <v>1112.0</v>
      </c>
      <c r="I68" s="68" t="str">
        <f>IFERROR(VLOOKUP($C65:C108,'R22 RELATÓRIO ACC'!B:F,5,FALSE),"NOT PUBLISHED")</f>
        <v>V24</v>
      </c>
      <c r="J68" s="69" t="str">
        <f>IFERROR(VLOOKUP($C65:C108,'R22 RELATÓRIO ACC'!B:P,15,FALSE),"NOT PUBLISHED")</f>
        <v>15/05/2026</v>
      </c>
      <c r="K68" s="70" t="str">
        <f>IFERROR(VLOOKUP($B65:B108,'RELATÓRIO ACC'!B:F,5,FALSE),"NOT PUBLISHED")</f>
        <v>V2</v>
      </c>
      <c r="L68" s="71" t="str">
        <f>IFERROR(VLOOKUP($B65:B108,'RELATÓRIO ACC'!B:P,15,FALSE),"NOT PUBLISHED")</f>
        <v>06/07/2026</v>
      </c>
      <c r="M68" s="72" t="str">
        <f>IF(OR($D68="UTLS",$D68="GUAR",$D68="STIR",$D68="PUMP",$D68="SITE"),
   VLOOKUP($B68,'LOD 400 - SITE'!B:M,12,FALSE),
   VLOOKUP($B68,'LOD 400 - ADMN'!B:M,12,FALSE)
)</f>
        <v>V21</v>
      </c>
      <c r="N68" s="105">
        <f>IF(OR($D68="UTLS",$D68="GUAR",$D68="STIR",$D68="PUMP",$D68="SITE"),
   VLOOKUP($B68,'LOD 400 - SITE'!B:N,13,FALSE),
   VLOOKUP($B68,'LOD 400 - ADMN'!B:N,13,FALSE)
)</f>
        <v>46129</v>
      </c>
      <c r="O68" s="106" t="str">
        <f>IF(OR($D68="UTLS",$D68="GUAR",$D68="STIR",$D68="PUMP",$D68="SITE"),
   VLOOKUP($B68,'LOD 400 - SITE'!B:O,14,FALSE),
   VLOOKUP($B68,'LOD 400 - ADMN'!B:O,14,FALSE)
)</f>
        <v>R22</v>
      </c>
      <c r="P68" s="107" t="str">
        <f>IF(OR($D68="C345",$D68="C12A",$D68="DATA"),
   VLOOKUP($B68,'LOD 400 - COLO3'!B:M,12,FALSE),"N/A")</f>
        <v>V2</v>
      </c>
      <c r="Q68" s="108">
        <f>IF(OR($D68="C345",$D68="C12A",$D68="DATA"),
   VLOOKUP($B68,'LOD 400 - COLO3'!B:N,13,FALSE),"N/A")</f>
        <v>46209</v>
      </c>
      <c r="R68" s="75" t="str">
        <f>IF(OR($D68="C345",$D68="C12A",$D68="DATA"),
   VLOOKUP($B68,'LOD 400 - COLO3'!B:O,14,FALSE),"N/A")</f>
        <v>R24</v>
      </c>
      <c r="S68" s="76" t="str">
        <f>IF(OR($D68="C345",$D68="C12A",$D68="DATA"),
   VLOOKUP($B68,'LOD 400 - COLO4'!B:N,12,FALSE),"N/A")</f>
        <v>N/A</v>
      </c>
      <c r="T68" s="76" t="str">
        <f>IF(OR($D68="C345",$D68="C12A",$D68="DATA"),
   VLOOKUP($B68,'LOD 400 - COLO4'!B:N,13,FALSE),"N/A")</f>
        <v>N/A</v>
      </c>
      <c r="U68" s="76" t="str">
        <f>IF(OR($D68="C345",$D68="C12A",$D68="DATA"),
   VLOOKUP($B68,'LOD 400 - COLO4'!B:N,13,FALSE),"N/A")</f>
        <v>N/A</v>
      </c>
      <c r="V68" s="77" t="str">
        <f>IF(OR($D68="UTLS",$D68="GUAR",$D68="STIR",$D68="PUMP",$D68="SITE"),
   VLOOKUP($B68,'LOD 400 - UTLS'!B:M,12,FALSE),"N/A")</f>
        <v>N/A</v>
      </c>
      <c r="W68" s="78" t="str">
        <f>IF(OR($D68="UTLS",$D68="GUAR",$D68="STIR",$D68="PUMP",$D68="SITE"),
   VLOOKUP($B68,'LOD 400 - UTLS'!B:N,13,FALSE),"N/A")</f>
        <v>N/A</v>
      </c>
      <c r="X68" s="108" t="str">
        <f>IF(OR($D68="UTLS",$D68="GUAR",$D68="STIR",$D68="PUMP",$D68="SITE"),
   VLOOKUP($B68,'LOD 400 - UTLS'!B:O,14,FALSE),"N/A")</f>
        <v>N/A</v>
      </c>
      <c r="Y68" s="79" t="str">
        <f>IFERROR(VLOOKUP($B68,'LOD 400 - ADMN'!B:S,18,FALSE),"N/A")</f>
        <v>OUTDATED</v>
      </c>
      <c r="Z68" s="79" t="str">
        <f>IFERROR(VLOOKUP($B68,'LOD 400 - ADMN'!B:V,21,FALSE),"N/A")</f>
        <v>OUTDATED</v>
      </c>
      <c r="AA68" s="79" t="str">
        <f>IFERROR(VLOOKUP($B68,'LOD 400 - ADMN'!$B:Y,24,FALSE),"N/A")</f>
        <v>OUTDATED</v>
      </c>
      <c r="AB68" s="80" t="str">
        <f>IFERROR(VLOOKUP($B68,'LOD 400 - ADMN'!$B:AB,27,FALSE),"N/A")</f>
        <v>OUTDATED</v>
      </c>
      <c r="AC68" s="81" t="str">
        <f>IFERROR(VLOOKUP($B68,'LOD 400 - ADMN'!$B:AE,30,FALSE),"N/A")</f>
        <v>OUTDATED</v>
      </c>
      <c r="AD68" s="81" t="str">
        <f>IFERROR(VLOOKUP($B68,'LOD 400 - ADMN'!$B:AH,33,FALSE),"N/A")</f>
        <v>NEXT ROUND</v>
      </c>
      <c r="AE68" s="80">
        <f>IFERROR(VLOOKUP($B68,'LOD 400 - ADMN'!$B:AK,36,FALSE),"N/A")</f>
        <v>0.07</v>
      </c>
      <c r="AF68" s="82" t="str">
        <f>IFERROR(VLOOKUP($B68,'LOD 400 - ADMN'!$B:AN,39,FALSE),"N/A")</f>
        <v>NEXT ROUND</v>
      </c>
      <c r="AG68" s="83" t="str">
        <f>IFERROR(VLOOKUP($B68,'LOD 400 - ADMN'!$B:AQ,42,FALSE),"N/A")</f>
        <v>IMPROPER</v>
      </c>
      <c r="AH68" s="84" t="str">
        <f>IFERROR(VLOOKUP($B68,'LOD 400 - ADMN'!$B:AT,45,FALSE),"N/A")</f>
        <v>IMPROPER</v>
      </c>
      <c r="AI68" s="85" t="str">
        <f>IFERROR(VLOOKUP($B68,'LOD 400 - ADMN'!$B:AW,48,FALSE),"N/A")</f>
        <v>OUTDATED</v>
      </c>
      <c r="AJ68" s="85" t="str">
        <f>IFERROR(VLOOKUP($B68,'LOD 400 - ADMN'!$B:AZ,51,FALSE),"N/A")</f>
        <v>IMPROPER</v>
      </c>
      <c r="AK68" s="84" t="str">
        <f>IFERROR(VLOOKUP($B68,'LOD 400 - ADMN'!$B:BC,54,FALSE),"N/A")</f>
        <v>NEXT ROUND</v>
      </c>
      <c r="AL68" s="84" t="str">
        <f>IFERROR(VLOOKUP($B68,'LOD 400 - ADMN'!$B:BF,57,FALSE),"N/A")</f>
        <v>NEXT ROUND</v>
      </c>
      <c r="AM68" s="84">
        <f>IFERROR(VLOOKUP($B68,'LOD 400 - ADMN'!$B:BI,60,FALSE),"N/A")</f>
        <v>0.16</v>
      </c>
      <c r="AN68" s="84">
        <f>IFERROR(VLOOKUP($B68,'LOD 400 - ADMN'!$B:BL,63,FALSE),"N/A")</f>
        <v>0.16</v>
      </c>
      <c r="AO68" s="84" t="str">
        <f>IFERROR(VLOOKUP($B68,'LOD 400 - ADMN'!$B:BO,66,FALSE),"N/A")</f>
        <v>OUTDATED</v>
      </c>
      <c r="AP68" s="84">
        <f>IFERROR(VLOOKUP($B68,'LOD 400 - ADMN'!$B:BR,69,FALSE),"N/A")</f>
        <v>0.53</v>
      </c>
      <c r="AQ68" s="84">
        <f>IFERROR(VLOOKUP($B68,'LOD 400 - ADMN'!$B:BU,72,FALSE),"N/A")</f>
        <v>0.84</v>
      </c>
      <c r="AR68" s="84" t="str">
        <f>IFERROR(VLOOKUP($B68,'LOD 400 - ADMN'!$B:BX,75,FALSE),"N/A")</f>
        <v>OUTDATED</v>
      </c>
      <c r="AS68" s="84" t="str">
        <f>IFERROR(VLOOKUP($B68,'LOD 400 - ADMN'!$B:CA,78,FALSE),"N/A")</f>
        <v>NEXT ROUND</v>
      </c>
      <c r="AT68" s="84">
        <f>IFERROR(VLOOKUP($B68,'LOD 400 - ADMN'!$B:CD,81,FALSE),"N/A")</f>
        <v>1</v>
      </c>
      <c r="AU68" s="85">
        <f>IFERROR(VLOOKUP($B68,'LOD 400 - ADMN'!$B:CG,84,FALSE),"N/A")</f>
        <v>1</v>
      </c>
      <c r="AV68" s="84">
        <f>IFERROR(VLOOKUP($B68,'LOD 400 - ADMN'!$B:CJ,87,FALSE),"N/A")</f>
        <v>1</v>
      </c>
      <c r="AW68" s="85">
        <f>IFERROR(VLOOKUP($B68,'LOD 400 - ADMN'!$B:CM,90,FALSE),"N/A")</f>
        <v>1</v>
      </c>
      <c r="AX68" s="84">
        <f>IFERROR(VLOOKUP($B68,'LOD 400 - ADMN'!$B:CP,93,FALSE),"N/A")</f>
        <v>1</v>
      </c>
      <c r="AY68" s="84">
        <f>IFERROR(VLOOKUP($B68,'LOD 400 - ADMN'!$B:CS,96,FALSE),"N/A")</f>
        <v>1</v>
      </c>
      <c r="AZ68" s="84">
        <f>IFERROR(VLOOKUP($B68,'LOD 400 - ADMN'!$B:CV,99,FALSE),"N/A")</f>
        <v>1</v>
      </c>
      <c r="BA68" s="84">
        <f>IFERROR(VLOOKUP($B68,'LOD 400 - ADMN'!$B:CY,102,FALSE),"N/A")</f>
        <v>1</v>
      </c>
      <c r="BB68" s="84">
        <f>IFERROR(VLOOKUP($B68,'LOD 400 - ADMN'!$B:DB,105,FALSE),"N/A")</f>
        <v>1</v>
      </c>
      <c r="BC68" s="84">
        <f>IFERROR(VLOOKUP($B68,'LOD 400 - ADMN'!$B:DE,108,FALSE),"N/A")</f>
        <v>1</v>
      </c>
      <c r="BD68" s="84">
        <f>IFERROR(VLOOKUP($B68,'LOD 400 - ADMN'!$B:DH,111,FALSE),"N/A")</f>
        <v>1</v>
      </c>
      <c r="BE68" s="84">
        <f>IFERROR(VLOOKUP($B68,'LOD 400 - ADMN'!$B:DK,114,FALSE),"N/A")</f>
        <v>1</v>
      </c>
      <c r="BF68" s="84">
        <f>IFERROR(VLOOKUP($B68,'LOD 400 - ADMN'!$B:DN,117,FALSE),"N/A")</f>
        <v>1</v>
      </c>
      <c r="BG68" s="86">
        <f>IFERROR(__xludf.DUMMYFUNCTION("IFERROR(
  MAX(FILTER(Y68:BF68, ISNUMBER(Y68:BF68))),
  BF68
)"),1.0)</f>
        <v>1</v>
      </c>
      <c r="BH68" s="79" t="str">
        <f>IFERROR(VLOOKUP($B68,'LOD 400 - COLO1'!B:S,18,FALSE),"N/A")</f>
        <v>OUTDATED</v>
      </c>
      <c r="BI68" s="79" t="str">
        <f>IFERROR(VLOOKUP($B68,'LOD 400 - COLO1'!B:V,21,FALSE),"N/A")</f>
        <v>OUTDATED</v>
      </c>
      <c r="BJ68" s="79" t="str">
        <f>IFERROR(VLOOKUP($B68,'LOD 400 - COLO1'!$B:Y,24,FALSE),"N/A")</f>
        <v>OUTDATED</v>
      </c>
      <c r="BK68" s="87" t="str">
        <f>IFERROR(VLOOKUP($B68,'LOD 400 - COLO1'!$B:AB,27,FALSE),"N/A")</f>
        <v>OUTDATED</v>
      </c>
      <c r="BL68" s="80" t="str">
        <f>IFERROR(VLOOKUP($B68,'LOD 400 - COLO1'!$B:AE,30,FALSE),"N/A")</f>
        <v>OUTDATED</v>
      </c>
      <c r="BM68" s="81" t="str">
        <f>IFERROR(VLOOKUP($B68,'LOD 400 - COLO1'!$B:AH,33,FALSE),"N/A")</f>
        <v>NEXT ROUND</v>
      </c>
      <c r="BN68" s="87">
        <f>IFERROR(VLOOKUP($B68,'LOD 400 - COLO1'!$B:AK,36,FALSE),"N/A")</f>
        <v>0.08</v>
      </c>
      <c r="BO68" s="83" t="str">
        <f>IFERROR(VLOOKUP($B68,'LOD 400 - COLO1'!$B:AN,39,FALSE),"N/A")</f>
        <v>NEXT ROUND</v>
      </c>
      <c r="BP68" s="88" t="str">
        <f>IFERROR(VLOOKUP($B68,'LOD 400 - COLO1'!$B:AQ,42,FALSE),"N/A")</f>
        <v>IMPROPER</v>
      </c>
      <c r="BQ68" s="84" t="str">
        <f>IFERROR(VLOOKUP($B68,'LOD 400 - COLO1'!$B:AT,45,FALSE),"N/A")</f>
        <v>IMPROPER</v>
      </c>
      <c r="BR68" s="85" t="str">
        <f>IFERROR(VLOOKUP($B68,'LOD 400 - COLO1'!$B:AW,48,FALSE),"N/A")</f>
        <v>OUTDATED</v>
      </c>
      <c r="BS68" s="84" t="str">
        <f>IFERROR(VLOOKUP($B68,'LOD 400 - COLO1'!$B:AZ,51,FALSE),"N/A")</f>
        <v>IMPROPER</v>
      </c>
      <c r="BT68" s="84" t="str">
        <f>IFERROR(VLOOKUP($B68,'LOD 400 - COLO1'!$B:BC,54,FALSE),"N/A")</f>
        <v>NEXT ROUND</v>
      </c>
      <c r="BU68" s="84" t="str">
        <f>IFERROR(VLOOKUP($B68,'LOD 400 - COLO1'!$B:BF,57,FALSE),"N/A")</f>
        <v>NEXT ROUND</v>
      </c>
      <c r="BV68" s="84">
        <f>IFERROR(VLOOKUP($B68,'LOD 400 - COLO1'!$B:BI,60,FALSE),"N/A")</f>
        <v>0.16</v>
      </c>
      <c r="BW68" s="84">
        <f>IFERROR(VLOOKUP($B68,'LOD 400 - COLO1'!$B:BL,63,FALSE),"N/A")</f>
        <v>0.16</v>
      </c>
      <c r="BX68" s="84" t="str">
        <f>IFERROR(VLOOKUP($B68,'LOD 400 - COLO1'!$B:BO,66,FALSE),"N/A")</f>
        <v>OUTDATED</v>
      </c>
      <c r="BY68" s="84">
        <f>IFERROR(VLOOKUP($B68,'LOD 400 - COLO1'!$B:BR,69,FALSE),"N/A")</f>
        <v>0.52</v>
      </c>
      <c r="BZ68" s="84" t="str">
        <f>IFERROR(VLOOKUP($B68,'LOD 400 - COLO1'!$B:BU,72,FALSE),"N/A")</f>
        <v>NEXT ROUND</v>
      </c>
      <c r="CA68" s="84">
        <f>IFERROR(VLOOKUP($B68,'LOD 400 - COLO1'!$B:BX,75,FALSE),"N/A")</f>
        <v>0.88</v>
      </c>
      <c r="CB68" s="84" t="str">
        <f>IFERROR(VLOOKUP($B68,'LOD 400 - COLO1'!$B:CA,78,FALSE),"N/A")</f>
        <v>NEXT ROUND</v>
      </c>
      <c r="CC68" s="84">
        <f>IFERROR(VLOOKUP($B68,'LOD 400 - COLO1'!$B:CD,81,FALSE),"N/A")</f>
        <v>1</v>
      </c>
      <c r="CD68" s="85">
        <f>IFERROR(VLOOKUP($B68,'LOD 400 - COLO1'!$B:CG,84,FALSE),"N/A")</f>
        <v>1</v>
      </c>
      <c r="CE68" s="84">
        <f>IFERROR(VLOOKUP($B68,'LOD 400 - COLO1'!$B:CJ,87,FALSE),"N/A")</f>
        <v>1</v>
      </c>
      <c r="CF68" s="85">
        <f>IFERROR(VLOOKUP($B68,'LOD 400 - COLO1'!$B:CM,90,FALSE),"N/A")</f>
        <v>1</v>
      </c>
      <c r="CG68" s="84">
        <f>IFERROR(VLOOKUP($B68,'LOD 400 - COLO1'!$B:CP,93,FALSE),"N/A")</f>
        <v>1</v>
      </c>
      <c r="CH68" s="84">
        <f>IFERROR(VLOOKUP($B68,'LOD 400 - COLO1'!$B:CS,96,FALSE),"N/A")</f>
        <v>1</v>
      </c>
      <c r="CI68" s="84">
        <f>IFERROR(VLOOKUP($B68,'LOD 400 - COLO1'!$B:CV,99,FALSE),"N/A")</f>
        <v>1</v>
      </c>
      <c r="CJ68" s="84">
        <f>IFERROR(VLOOKUP($B68,'LOD 400 - COLO1'!$B:CY,102,FALSE),"N/A")</f>
        <v>1</v>
      </c>
      <c r="CK68" s="84">
        <f>IFERROR(VLOOKUP($B68,'LOD 400 - COLO1'!$B:DB,105,FALSE),"N/A")</f>
        <v>1</v>
      </c>
      <c r="CL68" s="84">
        <f>IFERROR(VLOOKUP($B68,'LOD 400 - COLO1'!$B:DE,108,FALSE),"N/A")</f>
        <v>1</v>
      </c>
      <c r="CM68" s="84">
        <f>IFERROR(VLOOKUP($B68,'LOD 400 - COLO1'!$B:DH,111,FALSE),"N/A")</f>
        <v>1</v>
      </c>
      <c r="CN68" s="84">
        <f>IFERROR(VLOOKUP($B68,'LOD 400 - COLO1'!$B:DK,114,FALSE),"N/A")</f>
        <v>1</v>
      </c>
      <c r="CO68" s="84">
        <f>IFERROR(VLOOKUP($B68,'LOD 400 - COLO1'!$B:DN,117,FALSE),"N/A")</f>
        <v>1</v>
      </c>
      <c r="CP68" s="86">
        <f>IFERROR(__xludf.DUMMYFUNCTION("IFERROR(
  MAX(FILTER(BH68:CO68, ISNUMBER(BH68:CO68))),
  CO68
)"),1.0)</f>
        <v>1</v>
      </c>
      <c r="CQ68" s="89" t="str">
        <f>IFERROR(VLOOKUP($B68,'LOD 400 - COLO2'!B:S,18,FALSE),"N/A")</f>
        <v>OUTDATED</v>
      </c>
      <c r="CR68" s="79" t="str">
        <f>IFERROR(VLOOKUP($B68,'LOD 400 - COLO2'!B:V,21,FALSE),"N/A")</f>
        <v>OUTDATED</v>
      </c>
      <c r="CS68" s="79" t="str">
        <f>IFERROR(VLOOKUP($B68,'LOD 400 - COLO2'!$B:Y,24,FALSE),"N/A")</f>
        <v>OUTDATED</v>
      </c>
      <c r="CT68" s="80" t="str">
        <f>IFERROR(VLOOKUP($B68,'LOD 400 - COLO2'!$B:DQ,27,FALSE),"N/A")</f>
        <v>OUTDATED</v>
      </c>
      <c r="CU68" s="90" t="str">
        <f>IFERROR(VLOOKUP($B68,'LOD 400 - COLO2'!$B:AE,30,FALSE),"N/A")</f>
        <v>OUTDATED</v>
      </c>
      <c r="CV68" s="81" t="str">
        <f>IFERROR(VLOOKUP($B68,'LOD 400 - COLO2'!$B:AH,33,FALSE),"N/A")</f>
        <v>NEXT ROUND</v>
      </c>
      <c r="CW68" s="90">
        <f>IFERROR(VLOOKUP($B68,'LOD 400 - COLO2'!$B:AK,36,FALSE),"N/A")</f>
        <v>0.32</v>
      </c>
      <c r="CX68" s="85" t="str">
        <f>IFERROR(VLOOKUP($B68,'LOD 400 - COLO2'!$B:AN,39,FALSE),"N/A")</f>
        <v>NEXT ROUND</v>
      </c>
      <c r="CY68" s="88" t="str">
        <f>IFERROR(VLOOKUP($B68,'LOD 400 - COLO2'!$B:AQ,42,FALSE),"N/A")</f>
        <v>IMPROPER</v>
      </c>
      <c r="CZ68" s="84" t="str">
        <f>IFERROR(VLOOKUP($B68,'LOD 400 - COLO2'!$B:AT,45,FALSE),"N/A")</f>
        <v>IMPROPER</v>
      </c>
      <c r="DA68" s="85" t="str">
        <f>IFERROR(VLOOKUP($B68,'LOD 400 - COLO2'!$B:AW,48,FALSE),"N/A")</f>
        <v>OUTDATED</v>
      </c>
      <c r="DB68" s="84" t="str">
        <f>IFERROR(VLOOKUP($B68,'LOD 400 - COLO2'!$B:AZ,51,FALSE),"N/A")</f>
        <v>IMPROPER</v>
      </c>
      <c r="DC68" s="84" t="str">
        <f>IFERROR(VLOOKUP($B68,'LOD 400 - COLO2'!$B:BC,54,FALSE),"N/A")</f>
        <v>NEXT ROUND</v>
      </c>
      <c r="DD68" s="84" t="str">
        <f>IFERROR(VLOOKUP($B68,'LOD 400 - COLO2'!$B:BF,57,FALSE),"N/A")</f>
        <v>NEXT ROUND</v>
      </c>
      <c r="DE68" s="84">
        <f>IFERROR(VLOOKUP($B68,'LOD 400 - COLO2'!$B:BI,60,FALSE),"N/A")</f>
        <v>0.47</v>
      </c>
      <c r="DF68" s="84">
        <f>IFERROR(VLOOKUP($B68,'LOD 400 - COLO2'!$B:BL,63,FALSE),"N/A")</f>
        <v>0.47</v>
      </c>
      <c r="DG68" s="84" t="str">
        <f>IFERROR(VLOOKUP($B68,'LOD 400 - COLO2'!$B:BO,66,FALSE),"N/A")</f>
        <v>OUTDATED</v>
      </c>
      <c r="DH68" s="84">
        <f>IFERROR(VLOOKUP($B68,'LOD 400 - COLO2'!$B:BR,69,FALSE),"N/A")</f>
        <v>0.63</v>
      </c>
      <c r="DI68" s="84" t="str">
        <f>IFERROR(VLOOKUP($B68,'LOD 400 - COLO2'!$B:BU,72,FALSE),"N/A")</f>
        <v>NEXT ROUND</v>
      </c>
      <c r="DJ68" s="84">
        <f>IFERROR(VLOOKUP($B68,'LOD 400 - COLO2'!$B:BX,75,FALSE),"N/A")</f>
        <v>0.99</v>
      </c>
      <c r="DK68" s="84" t="str">
        <f>IFERROR(VLOOKUP($B68,'LOD 400 - COLO2'!$B:CA,78,FALSE),"N/A")</f>
        <v>NEXT ROUND</v>
      </c>
      <c r="DL68" s="84">
        <f>IFERROR(VLOOKUP($B68,'LOD 400 - COLO2'!$B:CD,81,FALSE),"N/A")</f>
        <v>0.99</v>
      </c>
      <c r="DM68" s="85" t="str">
        <f>IFERROR(VLOOKUP($B68,'LOD 400 - COLO2'!$B:CG,84,FALSE),"N/A")</f>
        <v>NEXT ROUND</v>
      </c>
      <c r="DN68" s="84">
        <f>IFERROR(VLOOKUP($B68,'LOD 400 - COLO2'!$B:CJ,87,FALSE),"N/A")</f>
        <v>1</v>
      </c>
      <c r="DO68" s="85">
        <f>IFERROR(VLOOKUP($B68,'LOD 400 - COLO2'!$B:CM,90,FALSE),"N/A")</f>
        <v>1</v>
      </c>
      <c r="DP68" s="84">
        <f>IFERROR(VLOOKUP($B68,'LOD 400 - COLO2'!$B:CP,93,FALSE),"N/A")</f>
        <v>1</v>
      </c>
      <c r="DQ68" s="84">
        <f>IFERROR(VLOOKUP($B68,'LOD 400 - COLO2'!$B:CS,96,FALSE),"N/A")</f>
        <v>1</v>
      </c>
      <c r="DR68" s="84">
        <f>IFERROR(VLOOKUP($B68,'LOD 400 - COLO2'!$B:CV,99,FALSE),"N/A")</f>
        <v>1</v>
      </c>
      <c r="DS68" s="84">
        <f>IFERROR(VLOOKUP($B68,'LOD 400 - COLO2'!$B:CY,102,FALSE),"N/A")</f>
        <v>1</v>
      </c>
      <c r="DT68" s="84">
        <f>IFERROR(VLOOKUP($B68,'LOD 400 - COLO2'!$B:DB,105,FALSE),"N/A")</f>
        <v>1</v>
      </c>
      <c r="DU68" s="84">
        <f>IFERROR(VLOOKUP($B68,'LOD 400 - COLO2'!$B:DE,108,FALSE),"N/A")</f>
        <v>1</v>
      </c>
      <c r="DV68" s="84">
        <f>IFERROR(VLOOKUP($B68,'LOD 400 - COLO2'!$B:DH,111,FALSE),"N/A")</f>
        <v>1</v>
      </c>
      <c r="DW68" s="84">
        <f>IFERROR(VLOOKUP($B68,'LOD 400 - COLO2'!$B:DK,114,FALSE),"N/A")</f>
        <v>1</v>
      </c>
      <c r="DX68" s="84">
        <f>IFERROR(VLOOKUP($B68,'LOD 400 - COLO2'!$B:DN,117,FALSE),"N/A")</f>
        <v>1</v>
      </c>
      <c r="DY68" s="91">
        <f>IFERROR(__xludf.DUMMYFUNCTION("IFERROR(
  MAX(FILTER(CQ68:DW68, ISNUMBER(CQ68:DW68))),
  DW68
)"),1.0)</f>
        <v>1</v>
      </c>
      <c r="DZ68" s="92">
        <f>IFERROR(VLOOKUP($B68,'LOD 400 - COLO3'!B:S,18,FALSE),"N/A")</f>
        <v>0</v>
      </c>
      <c r="EA68" s="84" t="str">
        <f>IFERROR(VLOOKUP($B68,'LOD 400 - COLO3'!B:V,21,FALSE),"N/A")</f>
        <v>IMPROPER</v>
      </c>
      <c r="EB68" s="84" t="str">
        <f>IFERROR(VLOOKUP($B68,'LOD 400 - COLO3'!B:Y,24,FALSE),"N/A")</f>
        <v>IMPROPER</v>
      </c>
      <c r="EC68" s="84" t="str">
        <f>IFERROR(VLOOKUP($B68,'LOD 400 - COLO3'!B:AB,27,FALSE),"N/A")</f>
        <v>IMPROPER</v>
      </c>
      <c r="ED68" s="85" t="str">
        <f>IFERROR(VLOOKUP($B68,'LOD 400 - COLO3'!B:AE,30,FALSE),"N/A")</f>
        <v>NEXT ROUND</v>
      </c>
      <c r="EE68" s="84" t="str">
        <f>IFERROR(VLOOKUP($B68,'LOD 400 - COLO3'!B:AH,33,FALSE),"N/A")</f>
        <v>NEXT ROUND</v>
      </c>
      <c r="EF68" s="84" t="str">
        <f>IFERROR(VLOOKUP($B68,'LOD 400 - COLO3'!B:AK,36,FALSE),"N/A")</f>
        <v>NEXT ROUND</v>
      </c>
      <c r="EG68" s="109" t="str">
        <f>IFERROR(VLOOKUP($B68,'LOD 400 - COLO3'!B:AN,39,FALSE),"N/A")</f>
        <v>IMPROPER</v>
      </c>
      <c r="EH68" s="94" t="str">
        <f>IFERROR(VLOOKUP($B68,'LOD 400 - COLO3'!B:AQ,42,FALSE),"N/A")</f>
        <v>IMPROPER</v>
      </c>
      <c r="EI68" s="94" t="str">
        <f>IFERROR(VLOOKUP($B68,'LOD 400 - COLO3'!B:AT,45,FALSE),"N/A")</f>
        <v>OUTDATED</v>
      </c>
      <c r="EJ68" s="94" t="str">
        <f>IFERROR(VLOOKUP($B68,'LOD 400 - COLO3'!B:AW,48,FALSE),"N/A")</f>
        <v>OUTDATED</v>
      </c>
      <c r="EK68" s="94" t="str">
        <f>IFERROR(VLOOKUP($B68,'LOD 400 - COLO3'!B:AZ,51,FALSE),"N/A")</f>
        <v>OUTDATED</v>
      </c>
      <c r="EL68" s="94" t="str">
        <f>IFERROR(VLOOKUP($B68,'LOD 400 - COLO3'!B:BC,54,FALSE),"N/A")</f>
        <v>OUTDATED</v>
      </c>
      <c r="EM68" s="94" t="str">
        <f>IFERROR(VLOOKUP($B68,'LOD 400 - COLO3'!B:BF,57,FALSE),"N/A")</f>
        <v>OUTDATED</v>
      </c>
      <c r="EN68" s="94" t="str">
        <f>IFERROR(VLOOKUP($B68,'LOD 400 - COLO3'!B:BI,60,FALSE),"N/A")</f>
        <v>NEXT ROUND</v>
      </c>
      <c r="EO68" s="94">
        <f>IFERROR(VLOOKUP($B68,'LOD 400 - COLO3'!B:BL,63,FALSE),"N/A")</f>
        <v>0.72</v>
      </c>
      <c r="EP68" s="86">
        <f>IFERROR(__xludf.DUMMYFUNCTION("IFERROR(
  MAX(FILTER(DZ68:EO68, ISNUMBER(DZ68:EO68))),
  EO68
)"),0.72)</f>
        <v>0.72</v>
      </c>
      <c r="EQ68" s="95">
        <f>IFERROR(VLOOKUP($B68,'LOD 400 - COLO4'!B:S,18,FALSE),"N/A")</f>
        <v>0</v>
      </c>
      <c r="ER68" s="96">
        <f>IFERROR(__xludf.DUMMYFUNCTION("IFERROR(
  MAX(FILTER(EQ68, ISNUMBER(EQ68))),
  EQ68
)"),0.0)</f>
        <v>0</v>
      </c>
      <c r="ES68" s="79" t="str">
        <f>IFERROR(VLOOKUP($B68,'LOD 400 - SITE'!B:S,18,FALSE),"N/A")</f>
        <v>N/A</v>
      </c>
      <c r="ET68" s="80" t="str">
        <f>IFERROR(VLOOKUP($B68,'LOD 400 - SITE'!B:V,21,FALSE),"N/A")</f>
        <v>N/A</v>
      </c>
      <c r="EU68" s="97" t="str">
        <f>IFERROR(VLOOKUP($B68,'LOD 400 - SITE'!$B:Y,24,FALSE),"N/A")</f>
        <v>N/A</v>
      </c>
      <c r="EV68" s="80" t="str">
        <f>IFERROR(VLOOKUP($B68,'LOD 400 - SITE'!$B:AB,27,FALSE),"N/A")</f>
        <v>N/A</v>
      </c>
      <c r="EW68" s="81" t="str">
        <f>IFERROR(VLOOKUP($B68,'LOD 400 - SITE'!$B:AE,30,FALSE),"N/A")</f>
        <v>N/A</v>
      </c>
      <c r="EX68" s="87" t="str">
        <f>IFERROR(VLOOKUP($B68,'LOD 400 - SITE'!$B:AH,33,FALSE),"N/A")</f>
        <v>N/A</v>
      </c>
      <c r="EY68" s="87" t="str">
        <f>IFERROR(VLOOKUP($B68,'LOD 400 - SITE'!$B:AK,36,FALSE),"N/A")</f>
        <v>N/A</v>
      </c>
      <c r="EZ68" s="80" t="str">
        <f>IFERROR(VLOOKUP($B68,'LOD 400 - SITE'!$B:AN,39,FALSE),"N/A")</f>
        <v>N/A</v>
      </c>
      <c r="FA68" s="82" t="str">
        <f>IFERROR(VLOOKUP($B68,'LOD 400 - SITE'!$B:AQ,42,FALSE),"N/A")</f>
        <v>N/A</v>
      </c>
      <c r="FB68" s="88" t="str">
        <f>IFERROR(VLOOKUP($B68,'LOD 400 - SITE'!$B:AT,45,FALSE),"N/A")</f>
        <v>N/A</v>
      </c>
      <c r="FC68" s="84" t="str">
        <f>IFERROR(VLOOKUP($B68,'LOD 400 - SITE'!$B:AW,48,FALSE),"N/A")</f>
        <v>N/A</v>
      </c>
      <c r="FD68" s="84" t="str">
        <f>IFERROR(VLOOKUP($B68,'LOD 400 - SITE'!$B:AZ,51,FALSE),"N/A")</f>
        <v>N/A</v>
      </c>
      <c r="FE68" s="84" t="str">
        <f>IFERROR(VLOOKUP($B68,'LOD 400 - SITE'!$B:BC,54,FALSE),"N/A")</f>
        <v>N/A</v>
      </c>
      <c r="FF68" s="84" t="str">
        <f>IFERROR(VLOOKUP($B68,'LOD 400 - SITE'!$B:BF,57,FALSE),"N/A")</f>
        <v>N/A</v>
      </c>
      <c r="FG68" s="84" t="str">
        <f>IFERROR(VLOOKUP($B68,'LOD 400 - SITE'!$B:BI,60,FALSE),"N/A")</f>
        <v>N/A</v>
      </c>
      <c r="FH68" s="84" t="str">
        <f>IFERROR(VLOOKUP($B68,'LOD 400 - SITE'!$B:BL,63,FALSE),"N/A")</f>
        <v>N/A</v>
      </c>
      <c r="FI68" s="84" t="str">
        <f>IFERROR(VLOOKUP($B68,'LOD 400 - SITE'!$B:BO,66,FALSE),"N/A")</f>
        <v>N/A</v>
      </c>
      <c r="FJ68" s="84" t="str">
        <f>IFERROR(VLOOKUP($B68,'LOD 400 - SITE'!$B:BR,69,FALSE),"N/A")</f>
        <v>N/A</v>
      </c>
      <c r="FK68" s="84" t="str">
        <f>IFERROR(VLOOKUP($B68,'LOD 400 - SITE'!$B:BU,72,FALSE),"N/A")</f>
        <v>N/A</v>
      </c>
      <c r="FL68" s="84" t="str">
        <f>IFERROR(VLOOKUP($B68,'LOD 400 - SITE'!$B:BX,75,FALSE),"N/A")</f>
        <v>N/A</v>
      </c>
      <c r="FM68" s="84" t="str">
        <f>IFERROR(VLOOKUP($B68,'LOD 400 - SITE'!$B:CA,78,FALSE),"N/A")</f>
        <v>N/A</v>
      </c>
      <c r="FN68" s="85" t="str">
        <f>IFERROR(VLOOKUP($B68,'LOD 400 - SITE'!$B:CD,81,FALSE),"N/A")</f>
        <v>N/A</v>
      </c>
      <c r="FO68" s="84" t="str">
        <f>IFERROR(VLOOKUP($B68,'LOD 400 - SITE'!$B:CG,84,FALSE),"N/A")</f>
        <v>N/A</v>
      </c>
      <c r="FP68" s="85" t="str">
        <f>IFERROR(VLOOKUP($B68,'LOD 400 - SITE'!$B:CJ,87,FALSE),"N/A")</f>
        <v>N/A</v>
      </c>
      <c r="FQ68" s="84" t="str">
        <f>IFERROR(VLOOKUP($B68,'LOD 400 - SITE'!$B:CM,90,FALSE),"N/A")</f>
        <v>N/A</v>
      </c>
      <c r="FR68" s="84" t="str">
        <f>IFERROR(VLOOKUP($B68,'LOD 400 - SITE'!$B:CP,93,FALSE),"N/A")</f>
        <v>N/A</v>
      </c>
      <c r="FS68" s="84" t="str">
        <f>IFERROR(VLOOKUP($B68,'LOD 400 - SITE'!$B:CS,96,FALSE),"N/A")</f>
        <v>N/A</v>
      </c>
      <c r="FT68" s="84" t="str">
        <f>IFERROR(VLOOKUP($B68,'LOD 400 - SITE'!$B:CV,99,FALSE),"N/A")</f>
        <v>N/A</v>
      </c>
      <c r="FU68" s="84" t="str">
        <f>IFERROR(VLOOKUP($B68,'LOD 400 - SITE'!$B:CY,102,FALSE),"N/A")</f>
        <v>N/A</v>
      </c>
      <c r="FV68" s="84" t="str">
        <f>IFERROR(VLOOKUP($B68,'LOD 400 - SITE'!$B:DB,105,FALSE),"N/A")</f>
        <v>N/A</v>
      </c>
      <c r="FW68" s="84" t="str">
        <f>IFERROR(VLOOKUP($B68,'LOD 400 - SITE'!$B:DE,108,FALSE),"N/A")</f>
        <v>N/A</v>
      </c>
      <c r="FX68" s="84" t="str">
        <f>IFERROR(VLOOKUP($B68,'LOD 400 - SITE'!$B:DH,111,FALSE),"N/A")</f>
        <v>N/A</v>
      </c>
      <c r="FY68" s="84" t="str">
        <f>IFERROR(VLOOKUP($B68,'LOD 400 - SITE'!$B:DK,114,FALSE),"N/A")</f>
        <v>N/A</v>
      </c>
      <c r="FZ68" s="96" t="str">
        <f>IFERROR(__xludf.DUMMYFUNCTION("IFERROR(
  MAX(FILTER(ES68:FY68, ISNUMBER(ES68:FY68))),
  FY68
)"),"N/A")</f>
        <v>N/A</v>
      </c>
      <c r="GA68" s="80" t="str">
        <f>IFERROR(VLOOKUP($B68,'LOD 400 - UTLS'!B:S,18,FALSE),"N/A")</f>
        <v>N/A</v>
      </c>
      <c r="GB68" s="98" t="str">
        <f>IFERROR(VLOOKUP($B68,'LOD 400 - UTLS'!B:V,21,FALSE),"N/A")</f>
        <v>N/A</v>
      </c>
      <c r="GC68" s="81" t="str">
        <f>IFERROR(VLOOKUP($B68,'LOD 400 - UTLS'!B:Y,24,FALSE),"N/A")</f>
        <v>N/A</v>
      </c>
      <c r="GD68" s="87" t="str">
        <f>IFERROR(VLOOKUP($B68,'LOD 400 - UTLS'!$B:AB,27,FALSE),"N/A")</f>
        <v>N/A</v>
      </c>
      <c r="GE68" s="80" t="str">
        <f>IFERROR(VLOOKUP($B68,'LOD 400 - UTLS'!$B:AE,30,FALSE),"N/A")</f>
        <v>N/A</v>
      </c>
      <c r="GF68" s="82" t="str">
        <f>IFERROR(VLOOKUP($B68,'LOD 400 - UTLS'!$B:AH,33,FALSE),"N/A")</f>
        <v>N/A</v>
      </c>
      <c r="GG68" s="88" t="str">
        <f>IFERROR(VLOOKUP($B68,'LOD 400 - UTLS'!$B:AK,36,FALSE),"N/A")</f>
        <v>N/A</v>
      </c>
      <c r="GH68" s="84" t="str">
        <f>IFERROR(VLOOKUP($B68,'LOD 400 - UTLS'!$B:AN,39,FALSE),"N/A")</f>
        <v>N/A</v>
      </c>
      <c r="GI68" s="84" t="str">
        <f>IFERROR(VLOOKUP($B68,'LOD 400 - UTLS'!$B:AQ,42,FALSE),"N/A")</f>
        <v>N/A</v>
      </c>
      <c r="GJ68" s="84" t="str">
        <f>IFERROR(VLOOKUP($B68,'LOD 400 - UTLS'!$B:AT,45,FALSE),"N/A")</f>
        <v>N/A</v>
      </c>
      <c r="GK68" s="84" t="str">
        <f>IFERROR(VLOOKUP($B68,'LOD 400 - UTLS'!$B:AW,48,FALSE),"N/A")</f>
        <v>N/A</v>
      </c>
      <c r="GL68" s="84" t="str">
        <f>IFERROR(VLOOKUP($B68,'LOD 400 - UTLS'!$B:AZ,51,FALSE),"N/A")</f>
        <v>N/A</v>
      </c>
      <c r="GM68" s="84" t="str">
        <f>IFERROR(VLOOKUP($B68,'LOD 400 - UTLS'!$B:BC,54,FALSE),"N/A")</f>
        <v>N/A</v>
      </c>
      <c r="GN68" s="84" t="str">
        <f>IFERROR(VLOOKUP($B68,'LOD 400 - UTLS'!$B:BF,57,FALSE),"N/A")</f>
        <v>N/A</v>
      </c>
      <c r="GO68" s="84" t="str">
        <f>IFERROR(VLOOKUP($B68,'LOD 400 - UTLS'!$B:BI,60,FALSE),"N/A")</f>
        <v>N/A</v>
      </c>
      <c r="GP68" s="84" t="str">
        <f>IFERROR(VLOOKUP($B68,'LOD 400 - UTLS'!$B:BL,63,FALSE),"N/A")</f>
        <v>N/A</v>
      </c>
      <c r="GQ68" s="84" t="str">
        <f>IFERROR(VLOOKUP($B68,'LOD 400 - UTLS'!$B:BO,66,FALSE),"N/A")</f>
        <v>N/A</v>
      </c>
      <c r="GR68" s="84" t="str">
        <f>IFERROR(VLOOKUP($B68,'LOD 400 - UTLS'!$B:BR,69,FALSE),"N/A")</f>
        <v>N/A</v>
      </c>
      <c r="GS68" s="85" t="str">
        <f>IFERROR(VLOOKUP($B68,'LOD 400 - UTLS'!$B:BU,72,FALSE),"N/A")</f>
        <v>N/A</v>
      </c>
      <c r="GT68" s="84" t="str">
        <f>IFERROR(VLOOKUP($B68,'LOD 400 - UTLS'!$B:BX,75,FALSE),"N/A")</f>
        <v>N/A</v>
      </c>
      <c r="GU68" s="85" t="str">
        <f>IFERROR(VLOOKUP($B68,'LOD 400 - UTLS'!$B:CA,78,FALSE),"N/A")</f>
        <v>N/A</v>
      </c>
      <c r="GV68" s="84" t="str">
        <f>IFERROR(VLOOKUP($B68,'LOD 400 - UTLS'!$B:CD,81,FALSE),"N/A")</f>
        <v>N/A</v>
      </c>
      <c r="GW68" s="84" t="str">
        <f>IFERROR(VLOOKUP($B68,'LOD 400 - UTLS'!$B:CG,84,FALSE),"N/A")</f>
        <v>N/A</v>
      </c>
      <c r="GX68" s="84" t="str">
        <f>IFERROR(VLOOKUP($B68,'LOD 400 - UTLS'!$B:CJ,87,FALSE),"N/A")</f>
        <v>N/A</v>
      </c>
      <c r="GY68" s="84" t="str">
        <f>IFERROR(VLOOKUP($B68,'LOD 400 - UTLS'!$B:CM,90,FALSE),"N/A")</f>
        <v>N/A</v>
      </c>
      <c r="GZ68" s="84" t="str">
        <f>IFERROR(VLOOKUP($B68,'LOD 400 - UTLS'!$B:CP,93,FALSE),"N/A")</f>
        <v>N/A</v>
      </c>
      <c r="HA68" s="84" t="str">
        <f>IFERROR(VLOOKUP($B68,'LOD 400 - UTLS'!$B:CS,96,FALSE),"N/A")</f>
        <v>N/A</v>
      </c>
      <c r="HB68" s="84" t="str">
        <f>IFERROR(VLOOKUP($B68,'LOD 400 - UTLS'!$B:CV,99,FALSE),"N/A")</f>
        <v>N/A</v>
      </c>
      <c r="HC68" s="84" t="str">
        <f>IFERROR(VLOOKUP($B68,'LOD 400 - UTLS'!$B:CY,102,FALSE),"N/A")</f>
        <v>N/A</v>
      </c>
      <c r="HD68" s="84" t="str">
        <f>IFERROR(VLOOKUP($B68,'LOD 400 - UTLS'!$B:DB,105,FALSE),"N/A")</f>
        <v>N/A</v>
      </c>
      <c r="HE68" s="96" t="str">
        <f>IFERROR(__xludf.DUMMYFUNCTION("IFERROR(
  MAX(FILTER(GA68:HD68, ISNUMBER(GA68:HD68))),
  HD68
)"),"N/A")</f>
        <v>N/A</v>
      </c>
      <c r="HF68" s="99"/>
      <c r="HG68" s="99"/>
      <c r="HH68" s="99"/>
      <c r="HI68" s="99"/>
      <c r="HJ68" s="99"/>
      <c r="HK68" s="99"/>
    </row>
    <row r="69" ht="15.0" hidden="1" customHeight="1">
      <c r="A69" s="53">
        <v>73.0</v>
      </c>
      <c r="B69" s="251" t="s">
        <v>220</v>
      </c>
      <c r="C69" s="252"/>
      <c r="D69" s="253"/>
      <c r="E69" s="253"/>
      <c r="F69" s="253"/>
      <c r="G69" s="254"/>
      <c r="H69" s="253"/>
      <c r="I69" s="253"/>
      <c r="J69" s="255"/>
      <c r="K69" s="256"/>
      <c r="L69" s="254"/>
      <c r="M69" s="253"/>
      <c r="N69" s="257"/>
      <c r="O69" s="258"/>
      <c r="P69" s="259"/>
      <c r="Q69" s="260"/>
      <c r="R69" s="261"/>
      <c r="S69" s="262"/>
      <c r="T69" s="262"/>
      <c r="U69" s="263"/>
      <c r="V69" s="264"/>
      <c r="W69" s="253"/>
      <c r="X69" s="260"/>
      <c r="Y69" s="254"/>
      <c r="Z69" s="254"/>
      <c r="AA69" s="254"/>
      <c r="AB69" s="254"/>
      <c r="AC69" s="254"/>
      <c r="AD69" s="254"/>
      <c r="AE69" s="254"/>
      <c r="AF69" s="254"/>
      <c r="AG69" s="254"/>
      <c r="AH69" s="254"/>
      <c r="AI69" s="254"/>
      <c r="AJ69" s="254"/>
      <c r="AK69" s="254"/>
      <c r="AL69" s="254"/>
      <c r="AM69" s="254"/>
      <c r="AN69" s="254"/>
      <c r="AO69" s="254"/>
      <c r="AP69" s="254"/>
      <c r="AQ69" s="254"/>
      <c r="AR69" s="254"/>
      <c r="AS69" s="254"/>
      <c r="AT69" s="253"/>
      <c r="AU69" s="253"/>
      <c r="AV69" s="260"/>
      <c r="AW69" s="261"/>
      <c r="AX69" s="260"/>
      <c r="AY69" s="261"/>
      <c r="AZ69" s="261"/>
      <c r="BA69" s="261"/>
      <c r="BB69" s="261"/>
      <c r="BC69" s="261"/>
      <c r="BD69" s="261"/>
      <c r="BE69" s="261"/>
      <c r="BF69" s="261"/>
      <c r="BG69" s="265"/>
      <c r="BH69" s="254"/>
      <c r="BI69" s="254"/>
      <c r="BJ69" s="254"/>
      <c r="BK69" s="254"/>
      <c r="BL69" s="254"/>
      <c r="BM69" s="254"/>
      <c r="BN69" s="254"/>
      <c r="BO69" s="254"/>
      <c r="BP69" s="254"/>
      <c r="BQ69" s="254"/>
      <c r="BR69" s="254"/>
      <c r="BS69" s="254"/>
      <c r="BT69" s="254"/>
      <c r="BU69" s="254"/>
      <c r="BV69" s="254"/>
      <c r="BW69" s="254"/>
      <c r="BX69" s="254"/>
      <c r="BY69" s="254"/>
      <c r="BZ69" s="254"/>
      <c r="CA69" s="254"/>
      <c r="CB69" s="254"/>
      <c r="CC69" s="253"/>
      <c r="CD69" s="253"/>
      <c r="CE69" s="260"/>
      <c r="CF69" s="261"/>
      <c r="CG69" s="260"/>
      <c r="CH69" s="261"/>
      <c r="CI69" s="261"/>
      <c r="CJ69" s="261"/>
      <c r="CK69" s="261"/>
      <c r="CL69" s="261"/>
      <c r="CM69" s="261"/>
      <c r="CN69" s="261"/>
      <c r="CO69" s="261"/>
      <c r="CP69" s="265"/>
      <c r="CQ69" s="254"/>
      <c r="CR69" s="254"/>
      <c r="CS69" s="254"/>
      <c r="CT69" s="254"/>
      <c r="CU69" s="254"/>
      <c r="CV69" s="254"/>
      <c r="CW69" s="254"/>
      <c r="CX69" s="254"/>
      <c r="CY69" s="254"/>
      <c r="CZ69" s="254"/>
      <c r="DA69" s="254"/>
      <c r="DB69" s="254"/>
      <c r="DC69" s="254"/>
      <c r="DD69" s="254"/>
      <c r="DE69" s="254"/>
      <c r="DF69" s="254"/>
      <c r="DG69" s="254"/>
      <c r="DH69" s="254"/>
      <c r="DI69" s="254"/>
      <c r="DJ69" s="253"/>
      <c r="DK69" s="253"/>
      <c r="DL69" s="253"/>
      <c r="DM69" s="253"/>
      <c r="DN69" s="260"/>
      <c r="DO69" s="261"/>
      <c r="DP69" s="260"/>
      <c r="DQ69" s="261"/>
      <c r="DR69" s="261"/>
      <c r="DS69" s="261"/>
      <c r="DT69" s="261"/>
      <c r="DU69" s="261"/>
      <c r="DV69" s="261"/>
      <c r="DW69" s="261"/>
      <c r="DX69" s="261"/>
      <c r="DY69" s="253"/>
      <c r="DZ69" s="266"/>
      <c r="EA69" s="263"/>
      <c r="EB69" s="261"/>
      <c r="EC69" s="261"/>
      <c r="ED69" s="261"/>
      <c r="EE69" s="260"/>
      <c r="EF69" s="261"/>
      <c r="EG69" s="253"/>
      <c r="EH69" s="267"/>
      <c r="EI69" s="261"/>
      <c r="EJ69" s="261"/>
      <c r="EK69" s="261"/>
      <c r="EL69" s="261"/>
      <c r="EM69" s="261"/>
      <c r="EN69" s="261"/>
      <c r="EO69" s="261"/>
      <c r="EP69" s="268"/>
      <c r="EQ69" s="261"/>
      <c r="ER69" s="269"/>
      <c r="ES69" s="254"/>
      <c r="ET69" s="253"/>
      <c r="EU69" s="264"/>
      <c r="EV69" s="254"/>
      <c r="EW69" s="254"/>
      <c r="EX69" s="254"/>
      <c r="EY69" s="254"/>
      <c r="EZ69" s="254"/>
      <c r="FA69" s="254"/>
      <c r="FB69" s="254"/>
      <c r="FC69" s="254"/>
      <c r="FD69" s="254"/>
      <c r="FE69" s="254"/>
      <c r="FF69" s="254"/>
      <c r="FG69" s="254"/>
      <c r="FH69" s="254"/>
      <c r="FI69" s="254"/>
      <c r="FJ69" s="254"/>
      <c r="FK69" s="254"/>
      <c r="FL69" s="254"/>
      <c r="FM69" s="254"/>
      <c r="FN69" s="253"/>
      <c r="FO69" s="260"/>
      <c r="FP69" s="261"/>
      <c r="FQ69" s="260"/>
      <c r="FR69" s="261"/>
      <c r="FS69" s="261"/>
      <c r="FT69" s="261"/>
      <c r="FU69" s="261"/>
      <c r="FV69" s="261"/>
      <c r="FW69" s="261"/>
      <c r="FX69" s="261"/>
      <c r="FY69" s="261"/>
      <c r="FZ69" s="270"/>
      <c r="GA69" s="254"/>
      <c r="GB69" s="254"/>
      <c r="GC69" s="254"/>
      <c r="GD69" s="254"/>
      <c r="GE69" s="254"/>
      <c r="GF69" s="254"/>
      <c r="GG69" s="254"/>
      <c r="GH69" s="254"/>
      <c r="GI69" s="254"/>
      <c r="GJ69" s="254"/>
      <c r="GK69" s="254"/>
      <c r="GL69" s="254"/>
      <c r="GM69" s="254"/>
      <c r="GN69" s="254"/>
      <c r="GO69" s="254"/>
      <c r="GP69" s="254"/>
      <c r="GQ69" s="261"/>
      <c r="GR69" s="261"/>
      <c r="GS69" s="261"/>
      <c r="GT69" s="260"/>
      <c r="GU69" s="261"/>
      <c r="GV69" s="260"/>
      <c r="GW69" s="261"/>
      <c r="GX69" s="261"/>
      <c r="GY69" s="261"/>
      <c r="GZ69" s="261"/>
      <c r="HA69" s="261"/>
      <c r="HB69" s="261"/>
      <c r="HC69" s="261"/>
      <c r="HD69" s="261"/>
      <c r="HE69" s="269"/>
      <c r="HF69" s="99"/>
      <c r="HG69" s="99"/>
      <c r="HH69" s="99"/>
      <c r="HI69" s="99"/>
      <c r="HJ69" s="99"/>
      <c r="HK69" s="99"/>
    </row>
    <row r="70" ht="15.0" customHeight="1" outlineLevel="1">
      <c r="A70" s="53">
        <v>74.0</v>
      </c>
      <c r="B70" s="100" t="s">
        <v>221</v>
      </c>
      <c r="C70" s="100" t="s">
        <v>222</v>
      </c>
      <c r="D70" s="64" t="str">
        <f t="shared" ref="D70:D72" si="13">MID(B70,17,4)</f>
        <v>SITE</v>
      </c>
      <c r="E70" s="101" t="s">
        <v>154</v>
      </c>
      <c r="F70" s="102">
        <v>1112.0</v>
      </c>
      <c r="G70" s="103" t="s">
        <v>154</v>
      </c>
      <c r="H70" s="104">
        <v>1112.0</v>
      </c>
      <c r="I70" s="68" t="str">
        <f>IFERROR(VLOOKUP($C67:C108,'R22 RELATÓRIO ACC'!B:F,5,FALSE),"NOT PUBLISHED")</f>
        <v>V16</v>
      </c>
      <c r="J70" s="69" t="str">
        <f>IFERROR(VLOOKUP($C67:C108,'R22 RELATÓRIO ACC'!B:P,15,FALSE),"NOT PUBLISHED")</f>
        <v>14/05/2026</v>
      </c>
      <c r="K70" s="70" t="str">
        <f>IFERROR(VLOOKUP($B67:B108,'RELATÓRIO ACC'!B:F,5,FALSE),"NOT PUBLISHED")</f>
        <v>V4</v>
      </c>
      <c r="L70" s="71" t="str">
        <f>IFERROR(VLOOKUP($B67:B108,'RELATÓRIO ACC'!B:P,15,FALSE),"NOT PUBLISHED")</f>
        <v>13/07/2026</v>
      </c>
      <c r="M70" s="72" t="str">
        <f>IF(OR($D70="UTLS",$D70="GUAR",$D70="STIR",$D70="PUMP",$D70="SITE"),
   VLOOKUP($B70,'LOD 400 - SITE'!B:M,12,FALSE),
   VLOOKUP($B70,'LOD 400 - ADMN'!B:M,12,FALSE)
)</f>
        <v>V14</v>
      </c>
      <c r="N70" s="105">
        <f>IF(OR($D70="UTLS",$D70="GUAR",$D70="STIR",$D70="PUMP",$D70="SITE"),
   VLOOKUP($B70,'LOD 400 - SITE'!B:N,13,FALSE),
   VLOOKUP($B70,'LOD 400 - ADMN'!B:N,13,FALSE)
)</f>
        <v>46126</v>
      </c>
      <c r="O70" s="106" t="str">
        <f>IF(OR($D70="UTLS",$D70="GUAR",$D70="STIR",$D70="PUMP",$D70="SITE"),
   VLOOKUP($B70,'LOD 400 - SITE'!B:O,14,FALSE),
   VLOOKUP($B70,'LOD 400 - ADMN'!B:O,14,FALSE)
)</f>
        <v>R22</v>
      </c>
      <c r="P70" s="107" t="str">
        <f>IF(OR($D70="C345",$D70="C12A",$D70="DATA"),
   VLOOKUP($B70,'LOD 400 - COLO3'!B:M,12,FALSE),"N/A")</f>
        <v>N/A</v>
      </c>
      <c r="Q70" s="108" t="str">
        <f>IF(OR($D70="C345",$D70="C12A",$D70="DATA"),
   VLOOKUP($B70,'LOD 400 - COLO3'!B:N,13,FALSE),"N/A")</f>
        <v>N/A</v>
      </c>
      <c r="R70" s="75" t="str">
        <f>IF(OR($D70="C345",$D70="C12A",$D70="DATA"),
   VLOOKUP($B70,'LOD 400 - COLO3'!B:O,14,FALSE),"N/A")</f>
        <v>N/A</v>
      </c>
      <c r="S70" s="76" t="str">
        <f>IF(OR($D70="C345",$D70="C12A",$D70="DATA"),
   VLOOKUP($B70,'LOD 400 - COLO4'!B:N,12,FALSE),"N/A")</f>
        <v>N/A</v>
      </c>
      <c r="T70" s="76" t="str">
        <f>IF(OR($D70="C345",$D70="C12A",$D70="DATA"),
   VLOOKUP($B70,'LOD 400 - COLO4'!B:N,13,FALSE),"N/A")</f>
        <v>N/A</v>
      </c>
      <c r="U70" s="76" t="str">
        <f>IF(OR($D70="C345",$D70="C12A",$D70="DATA"),
   VLOOKUP($B70,'LOD 400 - COLO4'!B:N,13,FALSE),"N/A")</f>
        <v>N/A</v>
      </c>
      <c r="V70" s="77" t="str">
        <f>IF(OR($D70="UTLS",$D70="GUAR",$D70="STIR",$D70="PUMP",$D70="SITE"),
   VLOOKUP($B70,'LOD 400 - UTLS'!B:M,12,FALSE),"N/A")</f>
        <v>V14</v>
      </c>
      <c r="W70" s="78">
        <f>IF(OR($D70="UTLS",$D70="GUAR",$D70="STIR",$D70="PUMP",$D70="SITE"),
   VLOOKUP($B70,'LOD 400 - UTLS'!B:N,13,FALSE),"N/A")</f>
        <v>42474</v>
      </c>
      <c r="X70" s="108" t="str">
        <f>IF(OR($D70="UTLS",$D70="GUAR",$D70="STIR",$D70="PUMP",$D70="SITE"),
   VLOOKUP($B70,'LOD 400 - UTLS'!B:O,14,FALSE),"N/A")</f>
        <v>R22</v>
      </c>
      <c r="Y70" s="79" t="str">
        <f>IFERROR(VLOOKUP($B70,'LOD 400 - ADMN'!B:S,18,FALSE),"N/A")</f>
        <v>N/A</v>
      </c>
      <c r="Z70" s="79" t="str">
        <f>IFERROR(VLOOKUP($B70,'LOD 400 - ADMN'!B:V,21,FALSE),"N/A")</f>
        <v>N/A</v>
      </c>
      <c r="AA70" s="79" t="str">
        <f>IFERROR(VLOOKUP($B70,'LOD 400 - ADMN'!$B:Y,24,FALSE),"N/A")</f>
        <v>N/A</v>
      </c>
      <c r="AB70" s="80" t="str">
        <f>IFERROR(VLOOKUP($B70,'LOD 400 - ADMN'!$B:AB,27,FALSE),"N/A")</f>
        <v>N/A</v>
      </c>
      <c r="AC70" s="81" t="str">
        <f>IFERROR(VLOOKUP($B70,'LOD 400 - ADMN'!$B:AE,30,FALSE),"N/A")</f>
        <v>N/A</v>
      </c>
      <c r="AD70" s="81" t="str">
        <f>IFERROR(VLOOKUP($B70,'LOD 400 - ADMN'!$B:AH,33,FALSE),"N/A")</f>
        <v>N/A</v>
      </c>
      <c r="AE70" s="80" t="str">
        <f>IFERROR(VLOOKUP($B70,'LOD 400 - ADMN'!$B:AK,36,FALSE),"N/A")</f>
        <v>N/A</v>
      </c>
      <c r="AF70" s="82" t="str">
        <f>IFERROR(VLOOKUP($B70,'LOD 400 - ADMN'!$B:AN,39,FALSE),"N/A")</f>
        <v>N/A</v>
      </c>
      <c r="AG70" s="83" t="str">
        <f>IFERROR(VLOOKUP($B70,'LOD 400 - ADMN'!$B:AQ,42,FALSE),"N/A")</f>
        <v>N/A</v>
      </c>
      <c r="AH70" s="84" t="str">
        <f>IFERROR(VLOOKUP($B70,'LOD 400 - ADMN'!$B:AT,45,FALSE),"N/A")</f>
        <v>N/A</v>
      </c>
      <c r="AI70" s="85" t="str">
        <f>IFERROR(VLOOKUP($B70,'LOD 400 - ADMN'!$B:AW,48,FALSE),"N/A")</f>
        <v>N/A</v>
      </c>
      <c r="AJ70" s="85" t="str">
        <f>IFERROR(VLOOKUP($B70,'LOD 400 - ADMN'!$B:AZ,51,FALSE),"N/A")</f>
        <v>N/A</v>
      </c>
      <c r="AK70" s="84" t="str">
        <f>IFERROR(VLOOKUP($B70,'LOD 400 - ADMN'!$B:BC,54,FALSE),"N/A")</f>
        <v>N/A</v>
      </c>
      <c r="AL70" s="84" t="str">
        <f>IFERROR(VLOOKUP($B70,'LOD 400 - ADMN'!$B:BF,57,FALSE),"N/A")</f>
        <v>N/A</v>
      </c>
      <c r="AM70" s="84" t="str">
        <f>IFERROR(VLOOKUP($B70,'LOD 400 - ADMN'!$B:BI,60,FALSE),"N/A")</f>
        <v>N/A</v>
      </c>
      <c r="AN70" s="84" t="str">
        <f>IFERROR(VLOOKUP($B70,'LOD 400 - ADMN'!$B:BL,63,FALSE),"N/A")</f>
        <v>N/A</v>
      </c>
      <c r="AO70" s="84" t="str">
        <f>IFERROR(VLOOKUP($B70,'LOD 400 - ADMN'!$B:BO,66,FALSE),"N/A")</f>
        <v>N/A</v>
      </c>
      <c r="AP70" s="84" t="str">
        <f>IFERROR(VLOOKUP($B70,'LOD 400 - ADMN'!$B:BR,69,FALSE),"N/A")</f>
        <v>N/A</v>
      </c>
      <c r="AQ70" s="84" t="str">
        <f>IFERROR(VLOOKUP($B70,'LOD 400 - ADMN'!$B:BU,72,FALSE),"N/A")</f>
        <v>N/A</v>
      </c>
      <c r="AR70" s="84" t="str">
        <f>IFERROR(VLOOKUP($B70,'LOD 400 - ADMN'!$B:BX,75,FALSE),"N/A")</f>
        <v>N/A</v>
      </c>
      <c r="AS70" s="84" t="str">
        <f>IFERROR(VLOOKUP($B70,'LOD 400 - ADMN'!$B:CA,78,FALSE),"N/A")</f>
        <v>N/A</v>
      </c>
      <c r="AT70" s="84" t="str">
        <f>IFERROR(VLOOKUP($B70,'LOD 400 - ADMN'!$B:CD,81,FALSE),"N/A")</f>
        <v>N/A</v>
      </c>
      <c r="AU70" s="85" t="str">
        <f>IFERROR(VLOOKUP($B70,'LOD 400 - ADMN'!$B:CG,84,FALSE),"N/A")</f>
        <v>N/A</v>
      </c>
      <c r="AV70" s="84" t="str">
        <f>IFERROR(VLOOKUP($B70,'LOD 400 - ADMN'!$B:CJ,87,FALSE),"N/A")</f>
        <v>N/A</v>
      </c>
      <c r="AW70" s="85" t="str">
        <f>IFERROR(VLOOKUP($B70,'LOD 400 - ADMN'!$B:CM,90,FALSE),"N/A")</f>
        <v>N/A</v>
      </c>
      <c r="AX70" s="84" t="str">
        <f>IFERROR(VLOOKUP($B70,'LOD 400 - ADMN'!$B:CP,93,FALSE),"N/A")</f>
        <v>N/A</v>
      </c>
      <c r="AY70" s="84" t="str">
        <f>IFERROR(VLOOKUP($B70,'LOD 400 - ADMN'!$B:CS,96,FALSE),"N/A")</f>
        <v>N/A</v>
      </c>
      <c r="AZ70" s="84" t="str">
        <f>IFERROR(VLOOKUP($B70,'LOD 400 - ADMN'!$B:CV,99,FALSE),"N/A")</f>
        <v>N/A</v>
      </c>
      <c r="BA70" s="84" t="str">
        <f>IFERROR(VLOOKUP($B70,'LOD 400 - ADMN'!$B:CY,102,FALSE),"N/A")</f>
        <v>N/A</v>
      </c>
      <c r="BB70" s="84" t="str">
        <f>IFERROR(VLOOKUP($B70,'LOD 400 - ADMN'!$B:DB,105,FALSE),"N/A")</f>
        <v>N/A</v>
      </c>
      <c r="BC70" s="84" t="str">
        <f>IFERROR(VLOOKUP($B70,'LOD 400 - ADMN'!$B:DE,108,FALSE),"N/A")</f>
        <v>N/A</v>
      </c>
      <c r="BD70" s="84" t="str">
        <f>IFERROR(VLOOKUP($B70,'LOD 400 - ADMN'!$B:DH,111,FALSE),"N/A")</f>
        <v>N/A</v>
      </c>
      <c r="BE70" s="84" t="str">
        <f>IFERROR(VLOOKUP($B70,'LOD 400 - ADMN'!$B:DK,114,FALSE),"N/A")</f>
        <v>N/A</v>
      </c>
      <c r="BF70" s="84" t="str">
        <f>IFERROR(VLOOKUP($B70,'LOD 400 - ADMN'!$B:DN,117,FALSE),"N/A")</f>
        <v>N/A</v>
      </c>
      <c r="BG70" s="86" t="str">
        <f>IFERROR(__xludf.DUMMYFUNCTION("IFERROR(
  MAX(FILTER(Y70:BF70, ISNUMBER(Y70:BF70))),
  BF70
)"),"N/A")</f>
        <v>N/A</v>
      </c>
      <c r="BH70" s="79" t="str">
        <f>IFERROR(VLOOKUP($B70,'LOD 400 - COLO1'!B:S,18,FALSE),"N/A")</f>
        <v>N/A</v>
      </c>
      <c r="BI70" s="79" t="str">
        <f>IFERROR(VLOOKUP($B70,'LOD 400 - COLO1'!B:V,21,FALSE),"N/A")</f>
        <v>N/A</v>
      </c>
      <c r="BJ70" s="79" t="str">
        <f>IFERROR(VLOOKUP($B70,'LOD 400 - COLO1'!$B:Y,24,FALSE),"N/A")</f>
        <v>N/A</v>
      </c>
      <c r="BK70" s="87" t="str">
        <f>IFERROR(VLOOKUP($B70,'LOD 400 - COLO1'!$B:AB,27,FALSE),"N/A")</f>
        <v>N/A</v>
      </c>
      <c r="BL70" s="80" t="str">
        <f>IFERROR(VLOOKUP($B70,'LOD 400 - COLO1'!$B:AE,30,FALSE),"N/A")</f>
        <v>N/A</v>
      </c>
      <c r="BM70" s="81" t="str">
        <f>IFERROR(VLOOKUP($B70,'LOD 400 - COLO1'!$B:AH,33,FALSE),"N/A")</f>
        <v>N/A</v>
      </c>
      <c r="BN70" s="87" t="str">
        <f>IFERROR(VLOOKUP($B70,'LOD 400 - COLO1'!$B:AK,36,FALSE),"N/A")</f>
        <v>N/A</v>
      </c>
      <c r="BO70" s="83" t="str">
        <f>IFERROR(VLOOKUP($B70,'LOD 400 - COLO1'!$B:AN,39,FALSE),"N/A")</f>
        <v>N/A</v>
      </c>
      <c r="BP70" s="88" t="str">
        <f>IFERROR(VLOOKUP($B70,'LOD 400 - COLO1'!$B:AQ,42,FALSE),"N/A")</f>
        <v>N/A</v>
      </c>
      <c r="BQ70" s="84" t="str">
        <f>IFERROR(VLOOKUP($B70,'LOD 400 - COLO1'!$B:AT,45,FALSE),"N/A")</f>
        <v>N/A</v>
      </c>
      <c r="BR70" s="85" t="str">
        <f>IFERROR(VLOOKUP($B70,'LOD 400 - COLO1'!$B:AW,48,FALSE),"N/A")</f>
        <v>N/A</v>
      </c>
      <c r="BS70" s="84" t="str">
        <f>IFERROR(VLOOKUP($B70,'LOD 400 - COLO1'!$B:AZ,51,FALSE),"N/A")</f>
        <v>N/A</v>
      </c>
      <c r="BT70" s="84" t="str">
        <f>IFERROR(VLOOKUP($B70,'LOD 400 - COLO1'!$B:BC,54,FALSE),"N/A")</f>
        <v>N/A</v>
      </c>
      <c r="BU70" s="84" t="str">
        <f>IFERROR(VLOOKUP($B70,'LOD 400 - COLO1'!$B:BF,57,FALSE),"N/A")</f>
        <v>N/A</v>
      </c>
      <c r="BV70" s="84" t="str">
        <f>IFERROR(VLOOKUP($B70,'LOD 400 - COLO1'!$B:BI,60,FALSE),"N/A")</f>
        <v>N/A</v>
      </c>
      <c r="BW70" s="84" t="str">
        <f>IFERROR(VLOOKUP($B70,'LOD 400 - COLO1'!$B:BL,63,FALSE),"N/A")</f>
        <v>N/A</v>
      </c>
      <c r="BX70" s="84" t="str">
        <f>IFERROR(VLOOKUP($B70,'LOD 400 - COLO1'!$B:BO,66,FALSE),"N/A")</f>
        <v>N/A</v>
      </c>
      <c r="BY70" s="84" t="str">
        <f>IFERROR(VLOOKUP($B70,'LOD 400 - COLO1'!$B:BR,69,FALSE),"N/A")</f>
        <v>N/A</v>
      </c>
      <c r="BZ70" s="84" t="str">
        <f>IFERROR(VLOOKUP($B70,'LOD 400 - COLO1'!$B:BU,72,FALSE),"N/A")</f>
        <v>N/A</v>
      </c>
      <c r="CA70" s="84" t="str">
        <f>IFERROR(VLOOKUP($B70,'LOD 400 - COLO1'!$B:BX,75,FALSE),"N/A")</f>
        <v>N/A</v>
      </c>
      <c r="CB70" s="84" t="str">
        <f>IFERROR(VLOOKUP($B70,'LOD 400 - COLO1'!$B:CA,78,FALSE),"N/A")</f>
        <v>N/A</v>
      </c>
      <c r="CC70" s="84" t="str">
        <f>IFERROR(VLOOKUP($B70,'LOD 400 - COLO1'!$B:CD,81,FALSE),"N/A")</f>
        <v>N/A</v>
      </c>
      <c r="CD70" s="85" t="str">
        <f>IFERROR(VLOOKUP($B70,'LOD 400 - COLO1'!$B:CG,84,FALSE),"N/A")</f>
        <v>N/A</v>
      </c>
      <c r="CE70" s="84" t="str">
        <f>IFERROR(VLOOKUP($B70,'LOD 400 - COLO1'!$B:CJ,87,FALSE),"N/A")</f>
        <v>N/A</v>
      </c>
      <c r="CF70" s="85" t="str">
        <f>IFERROR(VLOOKUP($B70,'LOD 400 - COLO1'!$B:CM,90,FALSE),"N/A")</f>
        <v>N/A</v>
      </c>
      <c r="CG70" s="84" t="str">
        <f>IFERROR(VLOOKUP($B70,'LOD 400 - COLO1'!$B:CP,93,FALSE),"N/A")</f>
        <v>N/A</v>
      </c>
      <c r="CH70" s="84" t="str">
        <f>IFERROR(VLOOKUP($B70,'LOD 400 - COLO1'!$B:CS,96,FALSE),"N/A")</f>
        <v>N/A</v>
      </c>
      <c r="CI70" s="84" t="str">
        <f>IFERROR(VLOOKUP($B70,'LOD 400 - COLO1'!$B:CV,99,FALSE),"N/A")</f>
        <v>N/A</v>
      </c>
      <c r="CJ70" s="84" t="str">
        <f>IFERROR(VLOOKUP($B70,'LOD 400 - COLO1'!$B:CY,102,FALSE),"N/A")</f>
        <v>N/A</v>
      </c>
      <c r="CK70" s="84" t="str">
        <f>IFERROR(VLOOKUP($B70,'LOD 400 - COLO1'!$B:DB,105,FALSE),"N/A")</f>
        <v>N/A</v>
      </c>
      <c r="CL70" s="84" t="str">
        <f>IFERROR(VLOOKUP($B70,'LOD 400 - COLO1'!$B:DE,108,FALSE),"N/A")</f>
        <v>N/A</v>
      </c>
      <c r="CM70" s="84" t="str">
        <f>IFERROR(VLOOKUP($B70,'LOD 400 - COLO1'!$B:DH,111,FALSE),"N/A")</f>
        <v>N/A</v>
      </c>
      <c r="CN70" s="84" t="str">
        <f>IFERROR(VLOOKUP($B70,'LOD 400 - COLO1'!$B:DK,114,FALSE),"N/A")</f>
        <v>N/A</v>
      </c>
      <c r="CO70" s="84" t="str">
        <f>IFERROR(VLOOKUP($B70,'LOD 400 - COLO1'!$B:DN,117,FALSE),"N/A")</f>
        <v>N/A</v>
      </c>
      <c r="CP70" s="86" t="str">
        <f>IFERROR(__xludf.DUMMYFUNCTION("IFERROR(
  MAX(FILTER(BH70:CO70, ISNUMBER(BH70:CO70))),
  CO70
)"),"N/A")</f>
        <v>N/A</v>
      </c>
      <c r="CQ70" s="89" t="str">
        <f>IFERROR(VLOOKUP($B70,'LOD 400 - COLO2'!B:S,18,FALSE),"N/A")</f>
        <v>N/A</v>
      </c>
      <c r="CR70" s="79" t="str">
        <f>IFERROR(VLOOKUP($B70,'LOD 400 - COLO2'!B:V,21,FALSE),"N/A")</f>
        <v>N/A</v>
      </c>
      <c r="CS70" s="79" t="str">
        <f>IFERROR(VLOOKUP($B70,'LOD 400 - COLO2'!$B:Y,24,FALSE),"N/A")</f>
        <v>N/A</v>
      </c>
      <c r="CT70" s="80" t="str">
        <f>IFERROR(VLOOKUP($B70,'LOD 400 - COLO2'!$B:DQ,27,FALSE),"N/A")</f>
        <v>N/A</v>
      </c>
      <c r="CU70" s="90" t="str">
        <f>IFERROR(VLOOKUP($B70,'LOD 400 - COLO2'!$B:AE,30,FALSE),"N/A")</f>
        <v>N/A</v>
      </c>
      <c r="CV70" s="81" t="str">
        <f>IFERROR(VLOOKUP($B70,'LOD 400 - COLO2'!$B:AH,33,FALSE),"N/A")</f>
        <v>N/A</v>
      </c>
      <c r="CW70" s="90" t="str">
        <f>IFERROR(VLOOKUP($B70,'LOD 400 - COLO2'!$B:AK,36,FALSE),"N/A")</f>
        <v>N/A</v>
      </c>
      <c r="CX70" s="85" t="str">
        <f>IFERROR(VLOOKUP($B70,'LOD 400 - COLO2'!$B:AN,39,FALSE),"N/A")</f>
        <v>N/A</v>
      </c>
      <c r="CY70" s="88" t="str">
        <f>IFERROR(VLOOKUP($B70,'LOD 400 - COLO2'!$B:AQ,42,FALSE),"N/A")</f>
        <v>N/A</v>
      </c>
      <c r="CZ70" s="84" t="str">
        <f>IFERROR(VLOOKUP($B70,'LOD 400 - COLO2'!$B:AT,45,FALSE),"N/A")</f>
        <v>N/A</v>
      </c>
      <c r="DA70" s="85" t="str">
        <f>IFERROR(VLOOKUP($B70,'LOD 400 - COLO2'!$B:AW,48,FALSE),"N/A")</f>
        <v>N/A</v>
      </c>
      <c r="DB70" s="84" t="str">
        <f>IFERROR(VLOOKUP($B70,'LOD 400 - COLO2'!$B:AZ,51,FALSE),"N/A")</f>
        <v>N/A</v>
      </c>
      <c r="DC70" s="84" t="str">
        <f>IFERROR(VLOOKUP($B70,'LOD 400 - COLO2'!$B:BC,54,FALSE),"N/A")</f>
        <v>N/A</v>
      </c>
      <c r="DD70" s="84" t="str">
        <f>IFERROR(VLOOKUP($B70,'LOD 400 - COLO2'!$B:BF,57,FALSE),"N/A")</f>
        <v>N/A</v>
      </c>
      <c r="DE70" s="84" t="str">
        <f>IFERROR(VLOOKUP($B70,'LOD 400 - COLO2'!$B:BI,60,FALSE),"N/A")</f>
        <v>N/A</v>
      </c>
      <c r="DF70" s="84" t="str">
        <f>IFERROR(VLOOKUP($B70,'LOD 400 - COLO2'!$B:BL,63,FALSE),"N/A")</f>
        <v>N/A</v>
      </c>
      <c r="DG70" s="84" t="str">
        <f>IFERROR(VLOOKUP($B70,'LOD 400 - COLO2'!$B:BO,66,FALSE),"N/A")</f>
        <v>N/A</v>
      </c>
      <c r="DH70" s="84" t="str">
        <f>IFERROR(VLOOKUP($B70,'LOD 400 - COLO2'!$B:BR,69,FALSE),"N/A")</f>
        <v>N/A</v>
      </c>
      <c r="DI70" s="84" t="str">
        <f>IFERROR(VLOOKUP($B70,'LOD 400 - COLO2'!$B:BU,72,FALSE),"N/A")</f>
        <v>N/A</v>
      </c>
      <c r="DJ70" s="84" t="str">
        <f>IFERROR(VLOOKUP($B70,'LOD 400 - COLO2'!$B:BX,75,FALSE),"N/A")</f>
        <v>N/A</v>
      </c>
      <c r="DK70" s="84" t="str">
        <f>IFERROR(VLOOKUP($B70,'LOD 400 - COLO2'!$B:CA,78,FALSE),"N/A")</f>
        <v>N/A</v>
      </c>
      <c r="DL70" s="84" t="str">
        <f>IFERROR(VLOOKUP($B70,'LOD 400 - COLO2'!$B:CD,81,FALSE),"N/A")</f>
        <v>N/A</v>
      </c>
      <c r="DM70" s="85" t="str">
        <f>IFERROR(VLOOKUP($B70,'LOD 400 - COLO2'!$B:CG,84,FALSE),"N/A")</f>
        <v>N/A</v>
      </c>
      <c r="DN70" s="84" t="str">
        <f>IFERROR(VLOOKUP($B70,'LOD 400 - COLO2'!$B:CJ,87,FALSE),"N/A")</f>
        <v>N/A</v>
      </c>
      <c r="DO70" s="85" t="str">
        <f>IFERROR(VLOOKUP($B70,'LOD 400 - COLO2'!$B:CM,90,FALSE),"N/A")</f>
        <v>N/A</v>
      </c>
      <c r="DP70" s="84" t="str">
        <f>IFERROR(VLOOKUP($B70,'LOD 400 - COLO2'!$B:CP,93,FALSE),"N/A")</f>
        <v>N/A</v>
      </c>
      <c r="DQ70" s="84" t="str">
        <f>IFERROR(VLOOKUP($B70,'LOD 400 - COLO2'!$B:CS,96,FALSE),"N/A")</f>
        <v>N/A</v>
      </c>
      <c r="DR70" s="84" t="str">
        <f>IFERROR(VLOOKUP($B70,'LOD 400 - COLO2'!$B:CV,99,FALSE),"N/A")</f>
        <v>N/A</v>
      </c>
      <c r="DS70" s="84" t="str">
        <f>IFERROR(VLOOKUP($B70,'LOD 400 - COLO2'!$B:CY,102,FALSE),"N/A")</f>
        <v>N/A</v>
      </c>
      <c r="DT70" s="84" t="str">
        <f>IFERROR(VLOOKUP($B70,'LOD 400 - COLO2'!$B:DB,105,FALSE),"N/A")</f>
        <v>N/A</v>
      </c>
      <c r="DU70" s="84" t="str">
        <f>IFERROR(VLOOKUP($B70,'LOD 400 - COLO2'!$B:DE,108,FALSE),"N/A")</f>
        <v>N/A</v>
      </c>
      <c r="DV70" s="84" t="str">
        <f>IFERROR(VLOOKUP($B70,'LOD 400 - COLO2'!$B:DH,111,FALSE),"N/A")</f>
        <v>N/A</v>
      </c>
      <c r="DW70" s="84" t="str">
        <f>IFERROR(VLOOKUP($B70,'LOD 400 - COLO2'!$B:DK,114,FALSE),"N/A")</f>
        <v>N/A</v>
      </c>
      <c r="DX70" s="84" t="str">
        <f>IFERROR(VLOOKUP($B70,'LOD 400 - COLO2'!$B:DN,117,FALSE),"N/A")</f>
        <v>N/A</v>
      </c>
      <c r="DY70" s="91" t="str">
        <f>IFERROR(__xludf.DUMMYFUNCTION("IFERROR(
  MAX(FILTER(CQ70:DW70, ISNUMBER(CQ70:DW70))),
  DW70
)"),"N/A")</f>
        <v>N/A</v>
      </c>
      <c r="DZ70" s="92" t="str">
        <f>IFERROR(VLOOKUP($B70,'LOD 400 - COLO3'!B:S,18,FALSE),"N/A")</f>
        <v>N/A</v>
      </c>
      <c r="EA70" s="84" t="str">
        <f>IFERROR(VLOOKUP($B70,'LOD 400 - COLO3'!B:V,21,FALSE),"N/A")</f>
        <v>N/A</v>
      </c>
      <c r="EB70" s="84" t="str">
        <f>IFERROR(VLOOKUP($B70,'LOD 400 - COLO3'!B:Y,24,FALSE),"N/A")</f>
        <v>N/A</v>
      </c>
      <c r="EC70" s="84" t="str">
        <f>IFERROR(VLOOKUP($B70,'LOD 400 - COLO3'!B:AB,27,FALSE),"N/A")</f>
        <v>N/A</v>
      </c>
      <c r="ED70" s="85" t="str">
        <f>IFERROR(VLOOKUP($B70,'LOD 400 - COLO3'!B:AE,30,FALSE),"N/A")</f>
        <v>N/A</v>
      </c>
      <c r="EE70" s="84" t="str">
        <f>IFERROR(VLOOKUP($B70,'LOD 400 - COLO3'!B:AH,33,FALSE),"N/A")</f>
        <v>N/A</v>
      </c>
      <c r="EF70" s="84" t="str">
        <f>IFERROR(VLOOKUP($B70,'LOD 400 - COLO3'!B:AK,36,FALSE),"N/A")</f>
        <v>N/A</v>
      </c>
      <c r="EG70" s="109" t="str">
        <f>IFERROR(VLOOKUP($B70,'LOD 400 - COLO3'!B:AN,39,FALSE),"N/A")</f>
        <v>N/A</v>
      </c>
      <c r="EH70" s="94" t="str">
        <f>IFERROR(VLOOKUP($B70,'LOD 400 - COLO3'!B:AQ,42,FALSE),"N/A")</f>
        <v>N/A</v>
      </c>
      <c r="EI70" s="94" t="str">
        <f>IFERROR(VLOOKUP($B70,'LOD 400 - COLO3'!B:AT,45,FALSE),"N/A")</f>
        <v>N/A</v>
      </c>
      <c r="EJ70" s="94" t="str">
        <f>IFERROR(VLOOKUP($B70,'LOD 400 - COLO3'!B:AW,48,FALSE),"N/A")</f>
        <v>N/A</v>
      </c>
      <c r="EK70" s="94" t="str">
        <f>IFERROR(VLOOKUP($B70,'LOD 400 - COLO3'!B:AZ,51,FALSE),"N/A")</f>
        <v>N/A</v>
      </c>
      <c r="EL70" s="94" t="str">
        <f>IFERROR(VLOOKUP($B70,'LOD 400 - COLO3'!B:BC,54,FALSE),"N/A")</f>
        <v>N/A</v>
      </c>
      <c r="EM70" s="94" t="str">
        <f>IFERROR(VLOOKUP($B70,'LOD 400 - COLO3'!B:BF,57,FALSE),"N/A")</f>
        <v>N/A</v>
      </c>
      <c r="EN70" s="94" t="str">
        <f>IFERROR(VLOOKUP($B70,'LOD 400 - COLO3'!B:BI,60,FALSE),"N/A")</f>
        <v>N/A</v>
      </c>
      <c r="EO70" s="94" t="str">
        <f>IFERROR(VLOOKUP($B70,'LOD 400 - COLO3'!B:BL,63,FALSE),"N/A")</f>
        <v>N/A</v>
      </c>
      <c r="EP70" s="86" t="str">
        <f>IFERROR(__xludf.DUMMYFUNCTION("IFERROR(
  MAX(FILTER(DZ70:EO70, ISNUMBER(DZ70:EO70))),
  EO70
)"),"N/A")</f>
        <v>N/A</v>
      </c>
      <c r="EQ70" s="95" t="str">
        <f>IFERROR(VLOOKUP($B70,'LOD 400 - COLO4'!B:S,18,FALSE),"N/A")</f>
        <v>N/A</v>
      </c>
      <c r="ER70" s="96" t="str">
        <f>IFERROR(__xludf.DUMMYFUNCTION("IFERROR(
  MAX(FILTER(EQ70, ISNUMBER(EQ70))),
  EQ70
)"),"N/A")</f>
        <v>N/A</v>
      </c>
      <c r="ES70" s="79">
        <f>IFERROR(VLOOKUP($B70,'LOD 400 - SITE'!B:S,18,FALSE),"N/A")</f>
        <v>0.03</v>
      </c>
      <c r="ET70" s="80" t="str">
        <f>IFERROR(VLOOKUP($B70,'LOD 400 - SITE'!B:V,21,FALSE),"N/A")</f>
        <v>OUTDATED</v>
      </c>
      <c r="EU70" s="97" t="str">
        <f>IFERROR(VLOOKUP($B70,'LOD 400 - SITE'!$B:Y,24,FALSE),"N/A")</f>
        <v>OUTDATED</v>
      </c>
      <c r="EV70" s="80" t="str">
        <f>IFERROR(VLOOKUP($B70,'LOD 400 - SITE'!$B:AB,27,FALSE),"N/A")</f>
        <v>IMPROPER</v>
      </c>
      <c r="EW70" s="81" t="str">
        <f>IFERROR(VLOOKUP($B70,'LOD 400 - SITE'!$B:AE,30,FALSE),"N/A")</f>
        <v>OUTDATED</v>
      </c>
      <c r="EX70" s="87" t="str">
        <f>IFERROR(VLOOKUP($B70,'LOD 400 - SITE'!$B:AH,33,FALSE),"N/A")</f>
        <v>OUTDATED</v>
      </c>
      <c r="EY70" s="87" t="str">
        <f>IFERROR(VLOOKUP($B70,'LOD 400 - SITE'!$B:AK,36,FALSE),"N/A")</f>
        <v>OUTDATED</v>
      </c>
      <c r="EZ70" s="80" t="str">
        <f>IFERROR(VLOOKUP($B70,'LOD 400 - SITE'!$B:AN,39,FALSE),"N/A")</f>
        <v>NEXT ROUND </v>
      </c>
      <c r="FA70" s="82" t="str">
        <f>IFERROR(VLOOKUP($B70,'LOD 400 - SITE'!$B:AQ,42,FALSE),"N/A")</f>
        <v>IMPROPER</v>
      </c>
      <c r="FB70" s="88" t="str">
        <f>IFERROR(VLOOKUP($B70,'LOD 400 - SITE'!$B:AT,45,FALSE),"N/A")</f>
        <v>OUTDATED</v>
      </c>
      <c r="FC70" s="84" t="str">
        <f>IFERROR(VLOOKUP($B70,'LOD 400 - SITE'!$B:AW,48,FALSE),"N/A")</f>
        <v>IMPROPER</v>
      </c>
      <c r="FD70" s="84" t="str">
        <f>IFERROR(VLOOKUP($B70,'LOD 400 - SITE'!$B:AZ,51,FALSE),"N/A")</f>
        <v>NEXT ROUND </v>
      </c>
      <c r="FE70" s="84">
        <f>IFERROR(VLOOKUP($B70,'LOD 400 - SITE'!$B:BC,54,FALSE),"N/A")</f>
        <v>0.03</v>
      </c>
      <c r="FF70" s="84" t="str">
        <f>IFERROR(VLOOKUP($B70,'LOD 400 - SITE'!$B:BF,57,FALSE),"N/A")</f>
        <v>OUTDATED</v>
      </c>
      <c r="FG70" s="84" t="str">
        <f>IFERROR(VLOOKUP($B70,'LOD 400 - SITE'!$B:BI,60,FALSE),"N/A")</f>
        <v>NEXT ROUND</v>
      </c>
      <c r="FH70" s="84" t="str">
        <f>IFERROR(VLOOKUP($B70,'LOD 400 - SITE'!$B:BL,63,FALSE),"N/A")</f>
        <v>NEXT ROUND</v>
      </c>
      <c r="FI70" s="84" t="str">
        <f>IFERROR(VLOOKUP($B70,'LOD 400 - SITE'!$B:BO,66,FALSE),"N/A")</f>
        <v>NEXT ROUND </v>
      </c>
      <c r="FJ70" s="84" t="str">
        <f>IFERROR(VLOOKUP($B70,'LOD 400 - SITE'!$B:BR,69,FALSE),"N/A")</f>
        <v>NEXT ROUND </v>
      </c>
      <c r="FK70" s="84">
        <f>IFERROR(VLOOKUP($B70,'LOD 400 - SITE'!$B:BU,72,FALSE),"N/A")</f>
        <v>0.74</v>
      </c>
      <c r="FL70" s="84" t="str">
        <f>IFERROR(VLOOKUP($B70,'LOD 400 - SITE'!$B:BX,75,FALSE),"N/A")</f>
        <v>NEXT ROUND </v>
      </c>
      <c r="FM70" s="84">
        <f>IFERROR(VLOOKUP($B70,'LOD 400 - SITE'!$B:CA,78,FALSE),"N/A")</f>
        <v>1</v>
      </c>
      <c r="FN70" s="85">
        <f>IFERROR(VLOOKUP($B70,'LOD 400 - SITE'!$B:CD,81,FALSE),"N/A")</f>
        <v>1</v>
      </c>
      <c r="FO70" s="84">
        <f>IFERROR(VLOOKUP($B70,'LOD 400 - SITE'!$B:CG,84,FALSE),"N/A")</f>
        <v>1</v>
      </c>
      <c r="FP70" s="85">
        <f>IFERROR(VLOOKUP($B70,'LOD 400 - SITE'!$B:CJ,87,FALSE),"N/A")</f>
        <v>1</v>
      </c>
      <c r="FQ70" s="84">
        <f>IFERROR(VLOOKUP($B70,'LOD 400 - SITE'!$B:CM,90,FALSE),"N/A")</f>
        <v>1</v>
      </c>
      <c r="FR70" s="84">
        <f>IFERROR(VLOOKUP($B70,'LOD 400 - SITE'!$B:CP,93,FALSE),"N/A")</f>
        <v>1</v>
      </c>
      <c r="FS70" s="84">
        <f>IFERROR(VLOOKUP($B70,'LOD 400 - SITE'!$B:CS,96,FALSE),"N/A")</f>
        <v>1</v>
      </c>
      <c r="FT70" s="84">
        <f>IFERROR(VLOOKUP($B70,'LOD 400 - SITE'!$B:CV,99,FALSE),"N/A")</f>
        <v>1</v>
      </c>
      <c r="FU70" s="84">
        <f>IFERROR(VLOOKUP($B70,'LOD 400 - SITE'!$B:CY,102,FALSE),"N/A")</f>
        <v>1</v>
      </c>
      <c r="FV70" s="84">
        <f>IFERROR(VLOOKUP($B70,'LOD 400 - SITE'!$B:DB,105,FALSE),"N/A")</f>
        <v>1</v>
      </c>
      <c r="FW70" s="84">
        <f>IFERROR(VLOOKUP($B70,'LOD 400 - SITE'!$B:DE,108,FALSE),"N/A")</f>
        <v>1</v>
      </c>
      <c r="FX70" s="84">
        <f>IFERROR(VLOOKUP($B70,'LOD 400 - SITE'!$B:DH,111,FALSE),"N/A")</f>
        <v>1</v>
      </c>
      <c r="FY70" s="84">
        <f>IFERROR(VLOOKUP($B70,'LOD 400 - SITE'!$B:DK,114,FALSE),"N/A")</f>
        <v>1</v>
      </c>
      <c r="FZ70" s="96">
        <f>IFERROR(__xludf.DUMMYFUNCTION("IFERROR(
  MAX(FILTER(ES70:FY70, ISNUMBER(ES70:FY70))),
  FY70
)"),1.0)</f>
        <v>1</v>
      </c>
      <c r="GA70" s="80">
        <f>IFERROR(VLOOKUP($B70,'LOD 400 - UTLS'!B:S,18,FALSE),"N/A")</f>
        <v>0.08</v>
      </c>
      <c r="GB70" s="98" t="str">
        <f>IFERROR(VLOOKUP($B70,'LOD 400 - UTLS'!B:V,21,FALSE),"N/A")</f>
        <v>IMPROPER</v>
      </c>
      <c r="GC70" s="81" t="str">
        <f>IFERROR(VLOOKUP($B70,'LOD 400 - UTLS'!B:Y,24,FALSE),"N/A")</f>
        <v>OUTDATED</v>
      </c>
      <c r="GD70" s="87" t="str">
        <f>IFERROR(VLOOKUP($B70,'LOD 400 - UTLS'!$B:AB,27,FALSE),"N/A")</f>
        <v>OUTDATED</v>
      </c>
      <c r="GE70" s="80" t="str">
        <f>IFERROR(VLOOKUP($B70,'LOD 400 - UTLS'!$B:AE,30,FALSE),"N/A")</f>
        <v>NEXT ROUND</v>
      </c>
      <c r="GF70" s="82" t="str">
        <f>IFERROR(VLOOKUP($B70,'LOD 400 - UTLS'!$B:AH,33,FALSE),"N/A")</f>
        <v>IMPROPER</v>
      </c>
      <c r="GG70" s="88" t="str">
        <f>IFERROR(VLOOKUP($B70,'LOD 400 - UTLS'!$B:AK,36,FALSE),"N/A")</f>
        <v>OUTDATED</v>
      </c>
      <c r="GH70" s="84" t="str">
        <f>IFERROR(VLOOKUP($B70,'LOD 400 - UTLS'!$B:AN,39,FALSE),"N/A")</f>
        <v>IMPROPER</v>
      </c>
      <c r="GI70" s="84" t="str">
        <f>IFERROR(VLOOKUP($B70,'LOD 400 - UTLS'!$B:AQ,42,FALSE),"N/A")</f>
        <v>NEXT ROUND</v>
      </c>
      <c r="GJ70" s="84">
        <f>IFERROR(VLOOKUP($B70,'LOD 400 - UTLS'!$B:AT,45,FALSE),"N/A")</f>
        <v>0.08</v>
      </c>
      <c r="GK70" s="84" t="str">
        <f>IFERROR(VLOOKUP($B70,'LOD 400 - UTLS'!$B:AW,48,FALSE),"N/A")</f>
        <v>OUTDATED</v>
      </c>
      <c r="GL70" s="84" t="str">
        <f>IFERROR(VLOOKUP($B70,'LOD 400 - UTLS'!$B:AZ,51,FALSE),"N/A")</f>
        <v>NEXT ROUND</v>
      </c>
      <c r="GM70" s="84" t="str">
        <f>IFERROR(VLOOKUP($B70,'LOD 400 - UTLS'!$B:BC,54,FALSE),"N/A")</f>
        <v>NEXT ROUND</v>
      </c>
      <c r="GN70" s="84" t="str">
        <f>IFERROR(VLOOKUP($B70,'LOD 400 - UTLS'!$B:BF,57,FALSE),"N/A")</f>
        <v>NEXT ROUND </v>
      </c>
      <c r="GO70" s="84" t="str">
        <f>IFERROR(VLOOKUP($B70,'LOD 400 - UTLS'!$B:BI,60,FALSE),"N/A")</f>
        <v>NEXT ROUND </v>
      </c>
      <c r="GP70" s="84" t="str">
        <f>IFERROR(VLOOKUP($B70,'LOD 400 - UTLS'!$B:BL,63,FALSE),"N/A")</f>
        <v>NEXT ROUND</v>
      </c>
      <c r="GQ70" s="84" t="str">
        <f>IFERROR(VLOOKUP($B70,'LOD 400 - UTLS'!$B:BO,66,FALSE),"N/A")</f>
        <v>NEXT ROUND</v>
      </c>
      <c r="GR70" s="84">
        <f>IFERROR(VLOOKUP($B70,'LOD 400 - UTLS'!$B:BR,69,FALSE),"N/A")</f>
        <v>1</v>
      </c>
      <c r="GS70" s="85">
        <f>IFERROR(VLOOKUP($B70,'LOD 400 - UTLS'!$B:BU,72,FALSE),"N/A")</f>
        <v>1</v>
      </c>
      <c r="GT70" s="84">
        <f>IFERROR(VLOOKUP($B70,'LOD 400 - UTLS'!$B:BX,75,FALSE),"N/A")</f>
        <v>1</v>
      </c>
      <c r="GU70" s="85">
        <f>IFERROR(VLOOKUP($B70,'LOD 400 - UTLS'!$B:CA,78,FALSE),"N/A")</f>
        <v>1</v>
      </c>
      <c r="GV70" s="84">
        <f>IFERROR(VLOOKUP($B70,'LOD 400 - UTLS'!$B:CD,81,FALSE),"N/A")</f>
        <v>1</v>
      </c>
      <c r="GW70" s="84">
        <f>IFERROR(VLOOKUP($B70,'LOD 400 - UTLS'!$B:CG,84,FALSE),"N/A")</f>
        <v>1</v>
      </c>
      <c r="GX70" s="84">
        <f>IFERROR(VLOOKUP($B70,'LOD 400 - UTLS'!$B:CJ,87,FALSE),"N/A")</f>
        <v>1</v>
      </c>
      <c r="GY70" s="84">
        <f>IFERROR(VLOOKUP($B70,'LOD 400 - UTLS'!$B:CM,90,FALSE),"N/A")</f>
        <v>1</v>
      </c>
      <c r="GZ70" s="84">
        <f>IFERROR(VLOOKUP($B70,'LOD 400 - UTLS'!$B:CP,93,FALSE),"N/A")</f>
        <v>1</v>
      </c>
      <c r="HA70" s="84">
        <f>IFERROR(VLOOKUP($B70,'LOD 400 - UTLS'!$B:CS,96,FALSE),"N/A")</f>
        <v>1</v>
      </c>
      <c r="HB70" s="84">
        <f>IFERROR(VLOOKUP($B70,'LOD 400 - UTLS'!$B:CV,99,FALSE),"N/A")</f>
        <v>1</v>
      </c>
      <c r="HC70" s="84">
        <f>IFERROR(VLOOKUP($B70,'LOD 400 - UTLS'!$B:CY,102,FALSE),"N/A")</f>
        <v>1</v>
      </c>
      <c r="HD70" s="84">
        <f>IFERROR(VLOOKUP($B70,'LOD 400 - UTLS'!$B:DB,105,FALSE),"N/A")</f>
        <v>1</v>
      </c>
      <c r="HE70" s="96">
        <f>IFERROR(__xludf.DUMMYFUNCTION("IFERROR(
  MAX(FILTER(GA70:HD70, ISNUMBER(GA70:HD70))),
  HD70
)"),1.0)</f>
        <v>1</v>
      </c>
      <c r="HF70" s="99"/>
      <c r="HG70" s="99"/>
      <c r="HH70" s="99"/>
      <c r="HI70" s="99"/>
      <c r="HJ70" s="99"/>
      <c r="HK70" s="99"/>
    </row>
    <row r="71" ht="15.0" customHeight="1" outlineLevel="1">
      <c r="A71" s="53">
        <v>75.0</v>
      </c>
      <c r="B71" s="100" t="s">
        <v>223</v>
      </c>
      <c r="C71" s="100" t="s">
        <v>224</v>
      </c>
      <c r="D71" s="64" t="str">
        <f t="shared" si="13"/>
        <v>DATA</v>
      </c>
      <c r="E71" s="101" t="s">
        <v>154</v>
      </c>
      <c r="F71" s="102">
        <v>1112.0</v>
      </c>
      <c r="G71" s="103" t="s">
        <v>154</v>
      </c>
      <c r="H71" s="104">
        <v>1112.0</v>
      </c>
      <c r="I71" s="68" t="str">
        <f>IFERROR(VLOOKUP($C68:C108,'R22 RELATÓRIO ACC'!B:F,5,FALSE),"NOT PUBLISHED")</f>
        <v>V17</v>
      </c>
      <c r="J71" s="69" t="str">
        <f>IFERROR(VLOOKUP($C68:C108,'R22 RELATÓRIO ACC'!B:P,15,FALSE),"NOT PUBLISHED")</f>
        <v>14/05/2026</v>
      </c>
      <c r="K71" s="70" t="str">
        <f>IFERROR(VLOOKUP($B68:B108,'RELATÓRIO ACC'!B:F,5,FALSE),"NOT PUBLISHED")</f>
        <v>V4</v>
      </c>
      <c r="L71" s="71" t="str">
        <f>IFERROR(VLOOKUP($B68:B108,'RELATÓRIO ACC'!B:P,15,FALSE),"NOT PUBLISHED")</f>
        <v>25/06/2026</v>
      </c>
      <c r="M71" s="72" t="str">
        <f>IF(OR($D71="UTLS",$D71="GUAR",$D71="STIR",$D71="PUMP",$D71="SITE"),
   VLOOKUP($B71,'LOD 400 - SITE'!B:M,12,FALSE),
   VLOOKUP($B71,'LOD 400 - ADMN'!B:M,12,FALSE)
)</f>
        <v>V15</v>
      </c>
      <c r="N71" s="105">
        <f>IF(OR($D71="UTLS",$D71="GUAR",$D71="STIR",$D71="PUMP",$D71="SITE"),
   VLOOKUP($B71,'LOD 400 - SITE'!B:N,13,FALSE),
   VLOOKUP($B71,'LOD 400 - ADMN'!B:N,13,FALSE)
)</f>
        <v>46126</v>
      </c>
      <c r="O71" s="106" t="str">
        <f>IF(OR($D71="UTLS",$D71="GUAR",$D71="STIR",$D71="PUMP",$D71="SITE"),
   VLOOKUP($B71,'LOD 400 - SITE'!B:O,14,FALSE),
   VLOOKUP($B71,'LOD 400 - ADMN'!B:O,14,FALSE)
)</f>
        <v>R22</v>
      </c>
      <c r="P71" s="107" t="str">
        <f>IF(OR($D71="C345",$D71="C12A",$D71="DATA"),
   VLOOKUP($B71,'LOD 400 - COLO3'!B:M,12,FALSE),"N/A")</f>
        <v>V2</v>
      </c>
      <c r="Q71" s="108">
        <f>IF(OR($D71="C345",$D71="C12A",$D71="DATA"),
   VLOOKUP($B71,'LOD 400 - COLO3'!B:N,13,FALSE),"N/A")</f>
        <v>46189</v>
      </c>
      <c r="R71" s="75" t="str">
        <f>IF(OR($D71="C345",$D71="C12A",$D71="DATA"),
   VLOOKUP($B71,'LOD 400 - COLO3'!B:O,14,FALSE),"N/A")</f>
        <v>R24</v>
      </c>
      <c r="S71" s="76" t="str">
        <f>IF(OR($D71="C345",$D71="C12A",$D71="DATA"),
   VLOOKUP($B71,'LOD 400 - COLO4'!B:N,12,FALSE),"N/A")</f>
        <v>N/A</v>
      </c>
      <c r="T71" s="76" t="str">
        <f>IF(OR($D71="C345",$D71="C12A",$D71="DATA"),
   VLOOKUP($B71,'LOD 400 - COLO4'!B:N,13,FALSE),"N/A")</f>
        <v>N/A</v>
      </c>
      <c r="U71" s="76" t="str">
        <f>IF(OR($D71="C345",$D71="C12A",$D71="DATA"),
   VLOOKUP($B71,'LOD 400 - COLO4'!B:N,13,FALSE),"N/A")</f>
        <v>N/A</v>
      </c>
      <c r="V71" s="77" t="str">
        <f>IF(OR($D71="UTLS",$D71="GUAR",$D71="STIR",$D71="PUMP",$D71="SITE"),
   VLOOKUP($B71,'LOD 400 - UTLS'!B:M,12,FALSE),"N/A")</f>
        <v>N/A</v>
      </c>
      <c r="W71" s="78" t="str">
        <f>IF(OR($D71="UTLS",$D71="GUAR",$D71="STIR",$D71="PUMP",$D71="SITE"),
   VLOOKUP($B71,'LOD 400 - UTLS'!B:N,13,FALSE),"N/A")</f>
        <v>N/A</v>
      </c>
      <c r="X71" s="108" t="str">
        <f>IF(OR($D71="UTLS",$D71="GUAR",$D71="STIR",$D71="PUMP",$D71="SITE"),
   VLOOKUP($B71,'LOD 400 - UTLS'!B:O,14,FALSE),"N/A")</f>
        <v>N/A</v>
      </c>
      <c r="Y71" s="79" t="str">
        <f>IFERROR(VLOOKUP($B71,'LOD 400 - ADMN'!B:S,18,FALSE),"N/A")</f>
        <v>OUTDATED</v>
      </c>
      <c r="Z71" s="79" t="str">
        <f>IFERROR(VLOOKUP($B71,'LOD 400 - ADMN'!B:V,21,FALSE),"N/A")</f>
        <v>OUTDATED</v>
      </c>
      <c r="AA71" s="79" t="str">
        <f>IFERROR(VLOOKUP($B71,'LOD 400 - ADMN'!$B:Y,24,FALSE),"N/A")</f>
        <v>OUTDATED</v>
      </c>
      <c r="AB71" s="80" t="str">
        <f>IFERROR(VLOOKUP($B71,'LOD 400 - ADMN'!$B:AB,27,FALSE),"N/A")</f>
        <v>OUTDATED</v>
      </c>
      <c r="AC71" s="81" t="str">
        <f>IFERROR(VLOOKUP($B71,'LOD 400 - ADMN'!$B:AE,30,FALSE),"N/A")</f>
        <v>OUTDATED</v>
      </c>
      <c r="AD71" s="81" t="str">
        <f>IFERROR(VLOOKUP($B71,'LOD 400 - ADMN'!$B:AH,33,FALSE),"N/A")</f>
        <v>NEXT ROUND</v>
      </c>
      <c r="AE71" s="80">
        <f>IFERROR(VLOOKUP($B71,'LOD 400 - ADMN'!$B:AK,36,FALSE),"N/A")</f>
        <v>0.05</v>
      </c>
      <c r="AF71" s="82" t="str">
        <f>IFERROR(VLOOKUP($B71,'LOD 400 - ADMN'!$B:AN,39,FALSE),"N/A")</f>
        <v>NEXT ROUND</v>
      </c>
      <c r="AG71" s="83" t="str">
        <f>IFERROR(VLOOKUP($B71,'LOD 400 - ADMN'!$B:AQ,42,FALSE),"N/A")</f>
        <v>IMPROPER</v>
      </c>
      <c r="AH71" s="84" t="str">
        <f>IFERROR(VLOOKUP($B71,'LOD 400 - ADMN'!$B:AT,45,FALSE),"N/A")</f>
        <v>IMPROPER</v>
      </c>
      <c r="AI71" s="85" t="str">
        <f>IFERROR(VLOOKUP($B71,'LOD 400 - ADMN'!$B:AW,48,FALSE),"N/A")</f>
        <v>OUTDATED</v>
      </c>
      <c r="AJ71" s="85" t="str">
        <f>IFERROR(VLOOKUP($B71,'LOD 400 - ADMN'!$B:AZ,51,FALSE),"N/A")</f>
        <v>IMPROPER</v>
      </c>
      <c r="AK71" s="84" t="str">
        <f>IFERROR(VLOOKUP($B71,'LOD 400 - ADMN'!$B:BC,54,FALSE),"N/A")</f>
        <v>NEXT ROUND</v>
      </c>
      <c r="AL71" s="84" t="str">
        <f>IFERROR(VLOOKUP($B71,'LOD 400 - ADMN'!$B:BF,57,FALSE),"N/A")</f>
        <v>NEXT ROUND</v>
      </c>
      <c r="AM71" s="84">
        <f>IFERROR(VLOOKUP($B71,'LOD 400 - ADMN'!$B:BI,60,FALSE),"N/A")</f>
        <v>0.23</v>
      </c>
      <c r="AN71" s="84">
        <f>IFERROR(VLOOKUP($B71,'LOD 400 - ADMN'!$B:BL,63,FALSE),"N/A")</f>
        <v>0.23</v>
      </c>
      <c r="AO71" s="84" t="str">
        <f>IFERROR(VLOOKUP($B71,'LOD 400 - ADMN'!$B:BO,66,FALSE),"N/A")</f>
        <v>OUTDATED</v>
      </c>
      <c r="AP71" s="84" t="str">
        <f>IFERROR(VLOOKUP($B71,'LOD 400 - ADMN'!$B:BR,69,FALSE),"N/A")</f>
        <v>OUTDATED</v>
      </c>
      <c r="AQ71" s="84">
        <f>IFERROR(VLOOKUP($B71,'LOD 400 - ADMN'!$B:BU,72,FALSE),"N/A")</f>
        <v>0.73</v>
      </c>
      <c r="AR71" s="84" t="str">
        <f>IFERROR(VLOOKUP($B71,'LOD 400 - ADMN'!$B:BX,75,FALSE),"N/A")</f>
        <v>OUTDATED</v>
      </c>
      <c r="AS71" s="84" t="str">
        <f>IFERROR(VLOOKUP($B71,'LOD 400 - ADMN'!$B:CA,78,FALSE),"N/A")</f>
        <v>NEXT ROUND</v>
      </c>
      <c r="AT71" s="84" t="str">
        <f>IFERROR(VLOOKUP($B71,'LOD 400 - ADMN'!$B:CD,81,FALSE),"N/A")</f>
        <v>NEXT ROUND</v>
      </c>
      <c r="AU71" s="85">
        <f>IFERROR(VLOOKUP($B71,'LOD 400 - ADMN'!$B:CG,84,FALSE),"N/A")</f>
        <v>1</v>
      </c>
      <c r="AV71" s="84">
        <f>IFERROR(VLOOKUP($B71,'LOD 400 - ADMN'!$B:CJ,87,FALSE),"N/A")</f>
        <v>1</v>
      </c>
      <c r="AW71" s="85">
        <f>IFERROR(VLOOKUP($B71,'LOD 400 - ADMN'!$B:CM,90,FALSE),"N/A")</f>
        <v>1</v>
      </c>
      <c r="AX71" s="84">
        <f>IFERROR(VLOOKUP($B71,'LOD 400 - ADMN'!$B:CP,93,FALSE),"N/A")</f>
        <v>1</v>
      </c>
      <c r="AY71" s="84">
        <f>IFERROR(VLOOKUP($B71,'LOD 400 - ADMN'!$B:CS,96,FALSE),"N/A")</f>
        <v>1</v>
      </c>
      <c r="AZ71" s="84">
        <f>IFERROR(VLOOKUP($B71,'LOD 400 - ADMN'!$B:CV,99,FALSE),"N/A")</f>
        <v>1</v>
      </c>
      <c r="BA71" s="84">
        <f>IFERROR(VLOOKUP($B71,'LOD 400 - ADMN'!$B:CY,102,FALSE),"N/A")</f>
        <v>1</v>
      </c>
      <c r="BB71" s="84">
        <f>IFERROR(VLOOKUP($B71,'LOD 400 - ADMN'!$B:DB,105,FALSE),"N/A")</f>
        <v>1</v>
      </c>
      <c r="BC71" s="84">
        <f>IFERROR(VLOOKUP($B71,'LOD 400 - ADMN'!$B:DE,108,FALSE),"N/A")</f>
        <v>1</v>
      </c>
      <c r="BD71" s="84">
        <f>IFERROR(VLOOKUP($B71,'LOD 400 - ADMN'!$B:DH,111,FALSE),"N/A")</f>
        <v>1</v>
      </c>
      <c r="BE71" s="84">
        <f>IFERROR(VLOOKUP($B71,'LOD 400 - ADMN'!$B:DK,114,FALSE),"N/A")</f>
        <v>1</v>
      </c>
      <c r="BF71" s="84">
        <f>IFERROR(VLOOKUP($B71,'LOD 400 - ADMN'!$B:DN,117,FALSE),"N/A")</f>
        <v>1</v>
      </c>
      <c r="BG71" s="86">
        <f>IFERROR(__xludf.DUMMYFUNCTION("IFERROR(
  MAX(FILTER(Y71:BF71, ISNUMBER(Y71:BF71))),
  BF71
)"),1.0)</f>
        <v>1</v>
      </c>
      <c r="BH71" s="79" t="str">
        <f>IFERROR(VLOOKUP($B71,'LOD 400 - COLO1'!B:S,18,FALSE),"N/A")</f>
        <v>OUTDATED</v>
      </c>
      <c r="BI71" s="79" t="str">
        <f>IFERROR(VLOOKUP($B71,'LOD 400 - COLO1'!B:V,21,FALSE),"N/A")</f>
        <v>OUTDATED</v>
      </c>
      <c r="BJ71" s="79" t="str">
        <f>IFERROR(VLOOKUP($B71,'LOD 400 - COLO1'!$B:Y,24,FALSE),"N/A")</f>
        <v>OUTDATED</v>
      </c>
      <c r="BK71" s="87" t="str">
        <f>IFERROR(VLOOKUP($B71,'LOD 400 - COLO1'!$B:AB,27,FALSE),"N/A")</f>
        <v>OUTDATED</v>
      </c>
      <c r="BL71" s="80" t="str">
        <f>IFERROR(VLOOKUP($B71,'LOD 400 - COLO1'!$B:AE,30,FALSE),"N/A")</f>
        <v>OUTDATED</v>
      </c>
      <c r="BM71" s="81" t="str">
        <f>IFERROR(VLOOKUP($B71,'LOD 400 - COLO1'!$B:AH,33,FALSE),"N/A")</f>
        <v>NEXT ROUND</v>
      </c>
      <c r="BN71" s="87">
        <f>IFERROR(VLOOKUP($B71,'LOD 400 - COLO1'!$B:AK,36,FALSE),"N/A")</f>
        <v>0.05</v>
      </c>
      <c r="BO71" s="83" t="str">
        <f>IFERROR(VLOOKUP($B71,'LOD 400 - COLO1'!$B:AN,39,FALSE),"N/A")</f>
        <v>NEXT ROUND</v>
      </c>
      <c r="BP71" s="88" t="str">
        <f>IFERROR(VLOOKUP($B71,'LOD 400 - COLO1'!$B:AQ,42,FALSE),"N/A")</f>
        <v>IMPROPER</v>
      </c>
      <c r="BQ71" s="84" t="str">
        <f>IFERROR(VLOOKUP($B71,'LOD 400 - COLO1'!$B:AT,45,FALSE),"N/A")</f>
        <v>IMPROPER</v>
      </c>
      <c r="BR71" s="85" t="str">
        <f>IFERROR(VLOOKUP($B71,'LOD 400 - COLO1'!$B:AW,48,FALSE),"N/A")</f>
        <v>OUTDATED</v>
      </c>
      <c r="BS71" s="84" t="str">
        <f>IFERROR(VLOOKUP($B71,'LOD 400 - COLO1'!$B:AZ,51,FALSE),"N/A")</f>
        <v>IMPROPER</v>
      </c>
      <c r="BT71" s="84" t="str">
        <f>IFERROR(VLOOKUP($B71,'LOD 400 - COLO1'!$B:BC,54,FALSE),"N/A")</f>
        <v>NEXT ROUND</v>
      </c>
      <c r="BU71" s="84" t="str">
        <f>IFERROR(VLOOKUP($B71,'LOD 400 - COLO1'!$B:BF,57,FALSE),"N/A")</f>
        <v>NEXT ROUND</v>
      </c>
      <c r="BV71" s="84">
        <f>IFERROR(VLOOKUP($B71,'LOD 400 - COLO1'!$B:BI,60,FALSE),"N/A")</f>
        <v>0.25</v>
      </c>
      <c r="BW71" s="84">
        <f>IFERROR(VLOOKUP($B71,'LOD 400 - COLO1'!$B:BL,63,FALSE),"N/A")</f>
        <v>0.25</v>
      </c>
      <c r="BX71" s="84" t="str">
        <f>IFERROR(VLOOKUP($B71,'LOD 400 - COLO1'!$B:BO,66,FALSE),"N/A")</f>
        <v>OUTDATED</v>
      </c>
      <c r="BY71" s="84" t="str">
        <f>IFERROR(VLOOKUP($B71,'LOD 400 - COLO1'!$B:BR,69,FALSE),"N/A")</f>
        <v>OUTDATED</v>
      </c>
      <c r="BZ71" s="84">
        <f>IFERROR(VLOOKUP($B71,'LOD 400 - COLO1'!$B:BU,72,FALSE),"N/A")</f>
        <v>0.63</v>
      </c>
      <c r="CA71" s="84" t="str">
        <f>IFERROR(VLOOKUP($B71,'LOD 400 - COLO1'!$B:BX,75,FALSE),"N/A")</f>
        <v>OUTDATED</v>
      </c>
      <c r="CB71" s="84" t="str">
        <f>IFERROR(VLOOKUP($B71,'LOD 400 - COLO1'!$B:CA,78,FALSE),"N/A")</f>
        <v>NEXT ROUND</v>
      </c>
      <c r="CC71" s="84" t="str">
        <f>IFERROR(VLOOKUP($B71,'LOD 400 - COLO1'!$B:CD,81,FALSE),"N/A")</f>
        <v>NEXT ROUND</v>
      </c>
      <c r="CD71" s="85">
        <f>IFERROR(VLOOKUP($B71,'LOD 400 - COLO1'!$B:CG,84,FALSE),"N/A")</f>
        <v>1</v>
      </c>
      <c r="CE71" s="84">
        <f>IFERROR(VLOOKUP($B71,'LOD 400 - COLO1'!$B:CJ,87,FALSE),"N/A")</f>
        <v>1</v>
      </c>
      <c r="CF71" s="85">
        <f>IFERROR(VLOOKUP($B71,'LOD 400 - COLO1'!$B:CM,90,FALSE),"N/A")</f>
        <v>1</v>
      </c>
      <c r="CG71" s="84">
        <f>IFERROR(VLOOKUP($B71,'LOD 400 - COLO1'!$B:CP,93,FALSE),"N/A")</f>
        <v>1</v>
      </c>
      <c r="CH71" s="84">
        <f>IFERROR(VLOOKUP($B71,'LOD 400 - COLO1'!$B:CS,96,FALSE),"N/A")</f>
        <v>1</v>
      </c>
      <c r="CI71" s="84">
        <f>IFERROR(VLOOKUP($B71,'LOD 400 - COLO1'!$B:CV,99,FALSE),"N/A")</f>
        <v>1</v>
      </c>
      <c r="CJ71" s="84">
        <f>IFERROR(VLOOKUP($B71,'LOD 400 - COLO1'!$B:CY,102,FALSE),"N/A")</f>
        <v>1</v>
      </c>
      <c r="CK71" s="84">
        <f>IFERROR(VLOOKUP($B71,'LOD 400 - COLO1'!$B:DB,105,FALSE),"N/A")</f>
        <v>1</v>
      </c>
      <c r="CL71" s="84">
        <f>IFERROR(VLOOKUP($B71,'LOD 400 - COLO1'!$B:DE,108,FALSE),"N/A")</f>
        <v>1</v>
      </c>
      <c r="CM71" s="84">
        <f>IFERROR(VLOOKUP($B71,'LOD 400 - COLO1'!$B:DH,111,FALSE),"N/A")</f>
        <v>1</v>
      </c>
      <c r="CN71" s="84">
        <f>IFERROR(VLOOKUP($B71,'LOD 400 - COLO1'!$B:DK,114,FALSE),"N/A")</f>
        <v>1</v>
      </c>
      <c r="CO71" s="84">
        <f>IFERROR(VLOOKUP($B71,'LOD 400 - COLO1'!$B:DN,117,FALSE),"N/A")</f>
        <v>1</v>
      </c>
      <c r="CP71" s="86">
        <f>IFERROR(__xludf.DUMMYFUNCTION("IFERROR(
  MAX(FILTER(BH71:CO71, ISNUMBER(BH71:CO71))),
  CO71
)"),1.0)</f>
        <v>1</v>
      </c>
      <c r="CQ71" s="89" t="str">
        <f>IFERROR(VLOOKUP($B71,'LOD 400 - COLO2'!B:S,18,FALSE),"N/A")</f>
        <v>OUTDATED</v>
      </c>
      <c r="CR71" s="79" t="str">
        <f>IFERROR(VLOOKUP($B71,'LOD 400 - COLO2'!B:V,21,FALSE),"N/A")</f>
        <v>OUTDATED</v>
      </c>
      <c r="CS71" s="79" t="str">
        <f>IFERROR(VLOOKUP($B71,'LOD 400 - COLO2'!$B:Y,24,FALSE),"N/A")</f>
        <v>OUTDATED</v>
      </c>
      <c r="CT71" s="80" t="str">
        <f>IFERROR(VLOOKUP($B71,'LOD 400 - COLO2'!$B:DQ,27,FALSE),"N/A")</f>
        <v>OUTDATED</v>
      </c>
      <c r="CU71" s="90" t="str">
        <f>IFERROR(VLOOKUP($B71,'LOD 400 - COLO2'!$B:AE,30,FALSE),"N/A")</f>
        <v>OUTDATED</v>
      </c>
      <c r="CV71" s="81" t="str">
        <f>IFERROR(VLOOKUP($B71,'LOD 400 - COLO2'!$B:AH,33,FALSE),"N/A")</f>
        <v>NEXT ROUND</v>
      </c>
      <c r="CW71" s="90">
        <f>IFERROR(VLOOKUP($B71,'LOD 400 - COLO2'!$B:AK,36,FALSE),"N/A")</f>
        <v>0.05</v>
      </c>
      <c r="CX71" s="85" t="str">
        <f>IFERROR(VLOOKUP($B71,'LOD 400 - COLO2'!$B:AN,39,FALSE),"N/A")</f>
        <v>NEXT ROUND</v>
      </c>
      <c r="CY71" s="88" t="str">
        <f>IFERROR(VLOOKUP($B71,'LOD 400 - COLO2'!$B:AQ,42,FALSE),"N/A")</f>
        <v>IMPROPER</v>
      </c>
      <c r="CZ71" s="84" t="str">
        <f>IFERROR(VLOOKUP($B71,'LOD 400 - COLO2'!$B:AT,45,FALSE),"N/A")</f>
        <v>IMPROPER</v>
      </c>
      <c r="DA71" s="85" t="str">
        <f>IFERROR(VLOOKUP($B71,'LOD 400 - COLO2'!$B:AW,48,FALSE),"N/A")</f>
        <v>OUTDATED</v>
      </c>
      <c r="DB71" s="84" t="str">
        <f>IFERROR(VLOOKUP($B71,'LOD 400 - COLO2'!$B:AZ,51,FALSE),"N/A")</f>
        <v>IMPROPER</v>
      </c>
      <c r="DC71" s="84" t="str">
        <f>IFERROR(VLOOKUP($B71,'LOD 400 - COLO2'!$B:BC,54,FALSE),"N/A")</f>
        <v>NEXT ROUND</v>
      </c>
      <c r="DD71" s="84" t="str">
        <f>IFERROR(VLOOKUP($B71,'LOD 400 - COLO2'!$B:BF,57,FALSE),"N/A")</f>
        <v>NEXT ROUND</v>
      </c>
      <c r="DE71" s="84">
        <f>IFERROR(VLOOKUP($B71,'LOD 400 - COLO2'!$B:BI,60,FALSE),"N/A")</f>
        <v>0.24</v>
      </c>
      <c r="DF71" s="84">
        <f>IFERROR(VLOOKUP($B71,'LOD 400 - COLO2'!$B:BL,63,FALSE),"N/A")</f>
        <v>0.24</v>
      </c>
      <c r="DG71" s="84" t="str">
        <f>IFERROR(VLOOKUP($B71,'LOD 400 - COLO2'!$B:BO,66,FALSE),"N/A")</f>
        <v>OUTDATED</v>
      </c>
      <c r="DH71" s="84" t="str">
        <f>IFERROR(VLOOKUP($B71,'LOD 400 - COLO2'!$B:BR,69,FALSE),"N/A")</f>
        <v>OUTDATED</v>
      </c>
      <c r="DI71" s="84">
        <f>IFERROR(VLOOKUP($B71,'LOD 400 - COLO2'!$B:BU,72,FALSE),"N/A")</f>
        <v>0.78</v>
      </c>
      <c r="DJ71" s="84" t="str">
        <f>IFERROR(VLOOKUP($B71,'LOD 400 - COLO2'!$B:BX,75,FALSE),"N/A")</f>
        <v>OUTDATED</v>
      </c>
      <c r="DK71" s="84" t="str">
        <f>IFERROR(VLOOKUP($B71,'LOD 400 - COLO2'!$B:CA,78,FALSE),"N/A")</f>
        <v>NEXT ROUND</v>
      </c>
      <c r="DL71" s="84" t="str">
        <f>IFERROR(VLOOKUP($B71,'LOD 400 - COLO2'!$B:CD,81,FALSE),"N/A")</f>
        <v>NEXT ROUND</v>
      </c>
      <c r="DM71" s="85">
        <f>IFERROR(VLOOKUP($B71,'LOD 400 - COLO2'!$B:CG,84,FALSE),"N/A")</f>
        <v>0.97</v>
      </c>
      <c r="DN71" s="84" t="str">
        <f>IFERROR(VLOOKUP($B71,'LOD 400 - COLO2'!$B:CJ,87,FALSE),"N/A")</f>
        <v>NEXT ROUND</v>
      </c>
      <c r="DO71" s="85" t="str">
        <f>IFERROR(VLOOKUP($B71,'LOD 400 - COLO2'!$B:CM,90,FALSE),"N/A")</f>
        <v>NEXT ROUND</v>
      </c>
      <c r="DP71" s="84">
        <f>IFERROR(VLOOKUP($B71,'LOD 400 - COLO2'!$B:CP,93,FALSE),"N/A")</f>
        <v>0.99</v>
      </c>
      <c r="DQ71" s="84" t="str">
        <f>IFERROR(VLOOKUP($B71,'LOD 400 - COLO2'!$B:CS,96,FALSE),"N/A")</f>
        <v>OUTDATED</v>
      </c>
      <c r="DR71" s="84" t="str">
        <f>IFERROR(VLOOKUP($B71,'LOD 400 - COLO2'!$B:CV,99,FALSE),"N/A")</f>
        <v>OUTDATED</v>
      </c>
      <c r="DS71" s="84" t="str">
        <f>IFERROR(VLOOKUP($B71,'LOD 400 - COLO2'!$B:CY,102,FALSE),"N/A")</f>
        <v>OUTDATED</v>
      </c>
      <c r="DT71" s="84" t="str">
        <f>IFERROR(VLOOKUP($B71,'LOD 400 - COLO2'!$B:DB,105,FALSE),"N/A")</f>
        <v>NEXT ROUND</v>
      </c>
      <c r="DU71" s="84">
        <f>IFERROR(VLOOKUP($B71,'LOD 400 - COLO2'!$B:DE,108,FALSE),"N/A")</f>
        <v>0.99</v>
      </c>
      <c r="DV71" s="84">
        <f>IFERROR(VLOOKUP($B71,'LOD 400 - COLO2'!$B:DH,111,FALSE),"N/A")</f>
        <v>1</v>
      </c>
      <c r="DW71" s="84">
        <f>IFERROR(VLOOKUP($B71,'LOD 400 - COLO2'!$B:DK,114,FALSE),"N/A")</f>
        <v>1</v>
      </c>
      <c r="DX71" s="84">
        <f>IFERROR(VLOOKUP($B71,'LOD 400 - COLO2'!$B:DN,117,FALSE),"N/A")</f>
        <v>1</v>
      </c>
      <c r="DY71" s="91">
        <f>IFERROR(__xludf.DUMMYFUNCTION("IFERROR(
  MAX(FILTER(CQ71:DW71, ISNUMBER(CQ71:DW71))),
  DW71
)"),1.0)</f>
        <v>1</v>
      </c>
      <c r="DZ71" s="92">
        <f>IFERROR(VLOOKUP($B71,'LOD 400 - COLO3'!B:S,18,FALSE),"N/A")</f>
        <v>0</v>
      </c>
      <c r="EA71" s="84">
        <f>IFERROR(VLOOKUP($B71,'LOD 400 - COLO3'!B:V,21,FALSE),"N/A")</f>
        <v>0</v>
      </c>
      <c r="EB71" s="84">
        <f>IFERROR(VLOOKUP($B71,'LOD 400 - COLO3'!B:Y,24,FALSE),"N/A")</f>
        <v>0.66</v>
      </c>
      <c r="EC71" s="84" t="str">
        <f>IFERROR(VLOOKUP($B71,'LOD 400 - COLO3'!B:AB,27,FALSE),"N/A")</f>
        <v>NEXT ROUND</v>
      </c>
      <c r="ED71" s="85" t="str">
        <f>IFERROR(VLOOKUP($B71,'LOD 400 - COLO3'!B:AE,30,FALSE),"N/A")</f>
        <v>NEXT ROUND</v>
      </c>
      <c r="EE71" s="84" t="str">
        <f>IFERROR(VLOOKUP($B71,'LOD 400 - COLO3'!B:AH,33,FALSE),"N/A")</f>
        <v>NEXT ROUND</v>
      </c>
      <c r="EF71" s="84" t="str">
        <f>IFERROR(VLOOKUP($B71,'LOD 400 - COLO3'!B:AK,36,FALSE),"N/A")</f>
        <v>NEXT ROUND</v>
      </c>
      <c r="EG71" s="109" t="str">
        <f>IFERROR(VLOOKUP($B71,'LOD 400 - COLO3'!B:AN,39,FALSE),"N/A")</f>
        <v>NEXT ROUND</v>
      </c>
      <c r="EH71" s="94">
        <f>IFERROR(VLOOKUP($B71,'LOD 400 - COLO3'!B:AQ,42,FALSE),"N/A")</f>
        <v>0.97</v>
      </c>
      <c r="EI71" s="94" t="str">
        <f>IFERROR(VLOOKUP($B71,'LOD 400 - COLO3'!B:AT,45,FALSE),"N/A")</f>
        <v>OUTDATED</v>
      </c>
      <c r="EJ71" s="94" t="str">
        <f>IFERROR(VLOOKUP($B71,'LOD 400 - COLO3'!B:AW,48,FALSE),"N/A")</f>
        <v>OUTDATED</v>
      </c>
      <c r="EK71" s="94">
        <f>IFERROR(VLOOKUP($B71,'LOD 400 - COLO3'!B:AZ,51,FALSE),"N/A")</f>
        <v>0.95</v>
      </c>
      <c r="EL71" s="94">
        <f>IFERROR(VLOOKUP($B71,'LOD 400 - COLO3'!B:BC,54,FALSE),"N/A")</f>
        <v>1</v>
      </c>
      <c r="EM71" s="94">
        <f>IFERROR(VLOOKUP($B71,'LOD 400 - COLO3'!B:BF,57,FALSE),"N/A")</f>
        <v>1</v>
      </c>
      <c r="EN71" s="94">
        <f>IFERROR(VLOOKUP($B71,'LOD 400 - COLO3'!B:BI,60,FALSE),"N/A")</f>
        <v>1</v>
      </c>
      <c r="EO71" s="94">
        <f>IFERROR(VLOOKUP($B71,'LOD 400 - COLO3'!B:BL,63,FALSE),"N/A")</f>
        <v>1</v>
      </c>
      <c r="EP71" s="86">
        <f>IFERROR(__xludf.DUMMYFUNCTION("IFERROR(
  MAX(FILTER(DZ71:EO71, ISNUMBER(DZ71:EO71))),
  EO71
)"),1.0)</f>
        <v>1</v>
      </c>
      <c r="EQ71" s="95">
        <f>IFERROR(VLOOKUP($B71,'LOD 400 - COLO4'!B:S,18,FALSE),"N/A")</f>
        <v>0</v>
      </c>
      <c r="ER71" s="96">
        <f>IFERROR(__xludf.DUMMYFUNCTION("IFERROR(
  MAX(FILTER(EQ71, ISNUMBER(EQ71))),
  EQ71
)"),0.0)</f>
        <v>0</v>
      </c>
      <c r="ES71" s="79" t="str">
        <f>IFERROR(VLOOKUP($B71,'LOD 400 - SITE'!B:S,18,FALSE),"N/A")</f>
        <v>N/A</v>
      </c>
      <c r="ET71" s="80" t="str">
        <f>IFERROR(VLOOKUP($B71,'LOD 400 - SITE'!B:V,21,FALSE),"N/A")</f>
        <v>N/A</v>
      </c>
      <c r="EU71" s="97" t="str">
        <f>IFERROR(VLOOKUP($B71,'LOD 400 - SITE'!$B:Y,24,FALSE),"N/A")</f>
        <v>N/A</v>
      </c>
      <c r="EV71" s="80" t="str">
        <f>IFERROR(VLOOKUP($B71,'LOD 400 - SITE'!$B:AB,27,FALSE),"N/A")</f>
        <v>N/A</v>
      </c>
      <c r="EW71" s="81" t="str">
        <f>IFERROR(VLOOKUP($B71,'LOD 400 - SITE'!$B:AE,30,FALSE),"N/A")</f>
        <v>N/A</v>
      </c>
      <c r="EX71" s="87" t="str">
        <f>IFERROR(VLOOKUP($B71,'LOD 400 - SITE'!$B:AH,33,FALSE),"N/A")</f>
        <v>N/A</v>
      </c>
      <c r="EY71" s="87" t="str">
        <f>IFERROR(VLOOKUP($B71,'LOD 400 - SITE'!$B:AK,36,FALSE),"N/A")</f>
        <v>N/A</v>
      </c>
      <c r="EZ71" s="80" t="str">
        <f>IFERROR(VLOOKUP($B71,'LOD 400 - SITE'!$B:AN,39,FALSE),"N/A")</f>
        <v>N/A</v>
      </c>
      <c r="FA71" s="82" t="str">
        <f>IFERROR(VLOOKUP($B71,'LOD 400 - SITE'!$B:AQ,42,FALSE),"N/A")</f>
        <v>N/A</v>
      </c>
      <c r="FB71" s="88" t="str">
        <f>IFERROR(VLOOKUP($B71,'LOD 400 - SITE'!$B:AT,45,FALSE),"N/A")</f>
        <v>N/A</v>
      </c>
      <c r="FC71" s="84" t="str">
        <f>IFERROR(VLOOKUP($B71,'LOD 400 - SITE'!$B:AW,48,FALSE),"N/A")</f>
        <v>N/A</v>
      </c>
      <c r="FD71" s="84" t="str">
        <f>IFERROR(VLOOKUP($B71,'LOD 400 - SITE'!$B:AZ,51,FALSE),"N/A")</f>
        <v>N/A</v>
      </c>
      <c r="FE71" s="84" t="str">
        <f>IFERROR(VLOOKUP($B71,'LOD 400 - SITE'!$B:BC,54,FALSE),"N/A")</f>
        <v>N/A</v>
      </c>
      <c r="FF71" s="84" t="str">
        <f>IFERROR(VLOOKUP($B71,'LOD 400 - SITE'!$B:BF,57,FALSE),"N/A")</f>
        <v>N/A</v>
      </c>
      <c r="FG71" s="84" t="str">
        <f>IFERROR(VLOOKUP($B71,'LOD 400 - SITE'!$B:BI,60,FALSE),"N/A")</f>
        <v>N/A</v>
      </c>
      <c r="FH71" s="84" t="str">
        <f>IFERROR(VLOOKUP($B71,'LOD 400 - SITE'!$B:BL,63,FALSE),"N/A")</f>
        <v>N/A</v>
      </c>
      <c r="FI71" s="84" t="str">
        <f>IFERROR(VLOOKUP($B71,'LOD 400 - SITE'!$B:BO,66,FALSE),"N/A")</f>
        <v>N/A</v>
      </c>
      <c r="FJ71" s="84" t="str">
        <f>IFERROR(VLOOKUP($B71,'LOD 400 - SITE'!$B:BR,69,FALSE),"N/A")</f>
        <v>N/A</v>
      </c>
      <c r="FK71" s="84" t="str">
        <f>IFERROR(VLOOKUP($B71,'LOD 400 - SITE'!$B:BU,72,FALSE),"N/A")</f>
        <v>N/A</v>
      </c>
      <c r="FL71" s="84" t="str">
        <f>IFERROR(VLOOKUP($B71,'LOD 400 - SITE'!$B:BX,75,FALSE),"N/A")</f>
        <v>N/A</v>
      </c>
      <c r="FM71" s="84" t="str">
        <f>IFERROR(VLOOKUP($B71,'LOD 400 - SITE'!$B:CA,78,FALSE),"N/A")</f>
        <v>N/A</v>
      </c>
      <c r="FN71" s="85" t="str">
        <f>IFERROR(VLOOKUP($B71,'LOD 400 - SITE'!$B:CD,81,FALSE),"N/A")</f>
        <v>N/A</v>
      </c>
      <c r="FO71" s="84" t="str">
        <f>IFERROR(VLOOKUP($B71,'LOD 400 - SITE'!$B:CG,84,FALSE),"N/A")</f>
        <v>N/A</v>
      </c>
      <c r="FP71" s="85" t="str">
        <f>IFERROR(VLOOKUP($B71,'LOD 400 - SITE'!$B:CJ,87,FALSE),"N/A")</f>
        <v>N/A</v>
      </c>
      <c r="FQ71" s="84" t="str">
        <f>IFERROR(VLOOKUP($B71,'LOD 400 - SITE'!$B:CM,90,FALSE),"N/A")</f>
        <v>N/A</v>
      </c>
      <c r="FR71" s="84" t="str">
        <f>IFERROR(VLOOKUP($B71,'LOD 400 - SITE'!$B:CP,93,FALSE),"N/A")</f>
        <v>N/A</v>
      </c>
      <c r="FS71" s="84" t="str">
        <f>IFERROR(VLOOKUP($B71,'LOD 400 - SITE'!$B:CS,96,FALSE),"N/A")</f>
        <v>N/A</v>
      </c>
      <c r="FT71" s="84" t="str">
        <f>IFERROR(VLOOKUP($B71,'LOD 400 - SITE'!$B:CV,99,FALSE),"N/A")</f>
        <v>N/A</v>
      </c>
      <c r="FU71" s="84" t="str">
        <f>IFERROR(VLOOKUP($B71,'LOD 400 - SITE'!$B:CY,102,FALSE),"N/A")</f>
        <v>N/A</v>
      </c>
      <c r="FV71" s="84" t="str">
        <f>IFERROR(VLOOKUP($B71,'LOD 400 - SITE'!$B:DB,105,FALSE),"N/A")</f>
        <v>N/A</v>
      </c>
      <c r="FW71" s="84" t="str">
        <f>IFERROR(VLOOKUP($B71,'LOD 400 - SITE'!$B:DE,108,FALSE),"N/A")</f>
        <v>N/A</v>
      </c>
      <c r="FX71" s="84" t="str">
        <f>IFERROR(VLOOKUP($B71,'LOD 400 - SITE'!$B:DH,111,FALSE),"N/A")</f>
        <v>N/A</v>
      </c>
      <c r="FY71" s="84" t="str">
        <f>IFERROR(VLOOKUP($B71,'LOD 400 - SITE'!$B:DK,114,FALSE),"N/A")</f>
        <v>N/A</v>
      </c>
      <c r="FZ71" s="96" t="str">
        <f>IFERROR(__xludf.DUMMYFUNCTION("IFERROR(
  MAX(FILTER(ES71:FY71, ISNUMBER(ES71:FY71))),
  FY71
)"),"N/A")</f>
        <v>N/A</v>
      </c>
      <c r="GA71" s="80" t="str">
        <f>IFERROR(VLOOKUP($B71,'LOD 400 - UTLS'!B:S,18,FALSE),"N/A")</f>
        <v>N/A</v>
      </c>
      <c r="GB71" s="98" t="str">
        <f>IFERROR(VLOOKUP($B71,'LOD 400 - UTLS'!B:V,21,FALSE),"N/A")</f>
        <v>N/A</v>
      </c>
      <c r="GC71" s="81" t="str">
        <f>IFERROR(VLOOKUP($B71,'LOD 400 - UTLS'!B:Y,24,FALSE),"N/A")</f>
        <v>N/A</v>
      </c>
      <c r="GD71" s="87" t="str">
        <f>IFERROR(VLOOKUP($B71,'LOD 400 - UTLS'!$B:AB,27,FALSE),"N/A")</f>
        <v>N/A</v>
      </c>
      <c r="GE71" s="80" t="str">
        <f>IFERROR(VLOOKUP($B71,'LOD 400 - UTLS'!$B:AE,30,FALSE),"N/A")</f>
        <v>N/A</v>
      </c>
      <c r="GF71" s="82" t="str">
        <f>IFERROR(VLOOKUP($B71,'LOD 400 - UTLS'!$B:AH,33,FALSE),"N/A")</f>
        <v>N/A</v>
      </c>
      <c r="GG71" s="88" t="str">
        <f>IFERROR(VLOOKUP($B71,'LOD 400 - UTLS'!$B:AK,36,FALSE),"N/A")</f>
        <v>N/A</v>
      </c>
      <c r="GH71" s="84" t="str">
        <f>IFERROR(VLOOKUP($B71,'LOD 400 - UTLS'!$B:AN,39,FALSE),"N/A")</f>
        <v>N/A</v>
      </c>
      <c r="GI71" s="84" t="str">
        <f>IFERROR(VLOOKUP($B71,'LOD 400 - UTLS'!$B:AQ,42,FALSE),"N/A")</f>
        <v>N/A</v>
      </c>
      <c r="GJ71" s="84" t="str">
        <f>IFERROR(VLOOKUP($B71,'LOD 400 - UTLS'!$B:AT,45,FALSE),"N/A")</f>
        <v>N/A</v>
      </c>
      <c r="GK71" s="84" t="str">
        <f>IFERROR(VLOOKUP($B71,'LOD 400 - UTLS'!$B:AW,48,FALSE),"N/A")</f>
        <v>N/A</v>
      </c>
      <c r="GL71" s="84" t="str">
        <f>IFERROR(VLOOKUP($B71,'LOD 400 - UTLS'!$B:AZ,51,FALSE),"N/A")</f>
        <v>N/A</v>
      </c>
      <c r="GM71" s="84" t="str">
        <f>IFERROR(VLOOKUP($B71,'LOD 400 - UTLS'!$B:BC,54,FALSE),"N/A")</f>
        <v>N/A</v>
      </c>
      <c r="GN71" s="84" t="str">
        <f>IFERROR(VLOOKUP($B71,'LOD 400 - UTLS'!$B:BF,57,FALSE),"N/A")</f>
        <v>N/A</v>
      </c>
      <c r="GO71" s="84" t="str">
        <f>IFERROR(VLOOKUP($B71,'LOD 400 - UTLS'!$B:BI,60,FALSE),"N/A")</f>
        <v>N/A</v>
      </c>
      <c r="GP71" s="84" t="str">
        <f>IFERROR(VLOOKUP($B71,'LOD 400 - UTLS'!$B:BL,63,FALSE),"N/A")</f>
        <v>N/A</v>
      </c>
      <c r="GQ71" s="84" t="str">
        <f>IFERROR(VLOOKUP($B71,'LOD 400 - UTLS'!$B:BO,66,FALSE),"N/A")</f>
        <v>N/A</v>
      </c>
      <c r="GR71" s="84" t="str">
        <f>IFERROR(VLOOKUP($B71,'LOD 400 - UTLS'!$B:BR,69,FALSE),"N/A")</f>
        <v>N/A</v>
      </c>
      <c r="GS71" s="85" t="str">
        <f>IFERROR(VLOOKUP($B71,'LOD 400 - UTLS'!$B:BU,72,FALSE),"N/A")</f>
        <v>N/A</v>
      </c>
      <c r="GT71" s="84" t="str">
        <f>IFERROR(VLOOKUP($B71,'LOD 400 - UTLS'!$B:BX,75,FALSE),"N/A")</f>
        <v>N/A</v>
      </c>
      <c r="GU71" s="85" t="str">
        <f>IFERROR(VLOOKUP($B71,'LOD 400 - UTLS'!$B:CA,78,FALSE),"N/A")</f>
        <v>N/A</v>
      </c>
      <c r="GV71" s="84" t="str">
        <f>IFERROR(VLOOKUP($B71,'LOD 400 - UTLS'!$B:CD,81,FALSE),"N/A")</f>
        <v>N/A</v>
      </c>
      <c r="GW71" s="84" t="str">
        <f>IFERROR(VLOOKUP($B71,'LOD 400 - UTLS'!$B:CG,84,FALSE),"N/A")</f>
        <v>N/A</v>
      </c>
      <c r="GX71" s="84" t="str">
        <f>IFERROR(VLOOKUP($B71,'LOD 400 - UTLS'!$B:CJ,87,FALSE),"N/A")</f>
        <v>N/A</v>
      </c>
      <c r="GY71" s="84" t="str">
        <f>IFERROR(VLOOKUP($B71,'LOD 400 - UTLS'!$B:CM,90,FALSE),"N/A")</f>
        <v>N/A</v>
      </c>
      <c r="GZ71" s="84" t="str">
        <f>IFERROR(VLOOKUP($B71,'LOD 400 - UTLS'!$B:CP,93,FALSE),"N/A")</f>
        <v>N/A</v>
      </c>
      <c r="HA71" s="84" t="str">
        <f>IFERROR(VLOOKUP($B71,'LOD 400 - UTLS'!$B:CS,96,FALSE),"N/A")</f>
        <v>N/A</v>
      </c>
      <c r="HB71" s="84" t="str">
        <f>IFERROR(VLOOKUP($B71,'LOD 400 - UTLS'!$B:CV,99,FALSE),"N/A")</f>
        <v>N/A</v>
      </c>
      <c r="HC71" s="84" t="str">
        <f>IFERROR(VLOOKUP($B71,'LOD 400 - UTLS'!$B:CY,102,FALSE),"N/A")</f>
        <v>N/A</v>
      </c>
      <c r="HD71" s="84" t="str">
        <f>IFERROR(VLOOKUP($B71,'LOD 400 - UTLS'!$B:DB,105,FALSE),"N/A")</f>
        <v>N/A</v>
      </c>
      <c r="HE71" s="96" t="str">
        <f>IFERROR(__xludf.DUMMYFUNCTION("IFERROR(
  MAX(FILTER(GA71:HD71, ISNUMBER(GA71:HD71))),
  HD71
)"),"N/A")</f>
        <v>N/A</v>
      </c>
      <c r="HF71" s="99"/>
      <c r="HG71" s="99"/>
      <c r="HH71" s="99"/>
      <c r="HI71" s="99"/>
      <c r="HJ71" s="99"/>
      <c r="HK71" s="99"/>
    </row>
    <row r="72" ht="15.0" customHeight="1" outlineLevel="1">
      <c r="A72" s="53">
        <v>76.0</v>
      </c>
      <c r="B72" s="100" t="s">
        <v>225</v>
      </c>
      <c r="C72" s="100" t="s">
        <v>226</v>
      </c>
      <c r="D72" s="64" t="str">
        <f t="shared" si="13"/>
        <v>UTLS</v>
      </c>
      <c r="E72" s="101" t="s">
        <v>227</v>
      </c>
      <c r="F72" s="102">
        <v>1117.0</v>
      </c>
      <c r="G72" s="103" t="s">
        <v>121</v>
      </c>
      <c r="H72" s="104">
        <v>1128.0</v>
      </c>
      <c r="I72" s="68" t="str">
        <f>IFERROR(VLOOKUP($C69:C108,'R22 RELATÓRIO ACC'!B:F,5,FALSE),"NOT PUBLISHED")</f>
        <v>V16</v>
      </c>
      <c r="J72" s="69" t="str">
        <f>IFERROR(VLOOKUP($C69:C108,'R22 RELATÓRIO ACC'!B:P,15,FALSE),"NOT PUBLISHED")</f>
        <v>06/03/2026</v>
      </c>
      <c r="K72" s="70" t="str">
        <f>IFERROR(VLOOKUP($B69:B108,'RELATÓRIO ACC'!B:F,5,FALSE),"NOT PUBLISHED")</f>
        <v>V5</v>
      </c>
      <c r="L72" s="71" t="str">
        <f>IFERROR(VLOOKUP($B69:B108,'RELATÓRIO ACC'!B:P,15,FALSE),"NOT PUBLISHED")</f>
        <v>08/07/2026</v>
      </c>
      <c r="M72" s="72" t="str">
        <f>IF(OR($D72="UTLS",$D72="GUAR",$D72="STIR",$D72="PUMP",$D72="SITE"),
   VLOOKUP($B72,'LOD 400 - SITE'!B:M,12,FALSE),
   VLOOKUP($B72,'LOD 400 - ADMN'!B:M,12,FALSE)
)</f>
        <v>N/A</v>
      </c>
      <c r="N72" s="105" t="str">
        <f>IF(OR($D72="UTLS",$D72="GUAR",$D72="STIR",$D72="PUMP",$D72="SITE"),
   VLOOKUP($B72,'LOD 400 - SITE'!B:N,13,FALSE),
   VLOOKUP($B72,'LOD 400 - ADMN'!B:N,13,FALSE)
)</f>
        <v>N/A</v>
      </c>
      <c r="O72" s="106" t="str">
        <f>IF(OR($D72="UTLS",$D72="GUAR",$D72="STIR",$D72="PUMP",$D72="SITE"),
   VLOOKUP($B72,'LOD 400 - SITE'!B:O,14,FALSE),
   VLOOKUP($B72,'LOD 400 - ADMN'!B:O,14,FALSE)
)</f>
        <v>N/A</v>
      </c>
      <c r="P72" s="107" t="str">
        <f>IF(OR($D72="C345",$D72="C12A",$D72="DATA"),
   VLOOKUP($B72,'LOD 400 - COLO3'!B:M,12,FALSE),"N/A")</f>
        <v>N/A</v>
      </c>
      <c r="Q72" s="108" t="str">
        <f>IF(OR($D72="C345",$D72="C12A",$D72="DATA"),
   VLOOKUP($B72,'LOD 400 - COLO3'!B:N,13,FALSE),"N/A")</f>
        <v>N/A</v>
      </c>
      <c r="R72" s="75" t="str">
        <f>IF(OR($D72="C345",$D72="C12A",$D72="DATA"),
   VLOOKUP($B72,'LOD 400 - COLO3'!B:O,14,FALSE),"N/A")</f>
        <v>N/A</v>
      </c>
      <c r="S72" s="76" t="str">
        <f>IF(OR($D72="C345",$D72="C12A",$D72="DATA"),
   VLOOKUP($B72,'LOD 400 - COLO4'!B:N,12,FALSE),"N/A")</f>
        <v>N/A</v>
      </c>
      <c r="T72" s="76" t="str">
        <f>IF(OR($D72="C345",$D72="C12A",$D72="DATA"),
   VLOOKUP($B72,'LOD 400 - COLO4'!B:N,13,FALSE),"N/A")</f>
        <v>N/A</v>
      </c>
      <c r="U72" s="76" t="str">
        <f>IF(OR($D72="C345",$D72="C12A",$D72="DATA"),
   VLOOKUP($B72,'LOD 400 - COLO4'!B:N,13,FALSE),"N/A")</f>
        <v>N/A</v>
      </c>
      <c r="V72" s="77" t="str">
        <f>IF(OR($D72="UTLS",$D72="GUAR",$D72="STIR",$D72="PUMP",$D72="SITE"),
   VLOOKUP($B72,'LOD 400 - UTLS'!B:M,12,FALSE),"N/A")</f>
        <v>V3</v>
      </c>
      <c r="W72" s="78">
        <f>IF(OR($D72="UTLS",$D72="GUAR",$D72="STIR",$D72="PUMP",$D72="SITE"),
   VLOOKUP($B72,'LOD 400 - UTLS'!B:N,13,FALSE),"N/A")</f>
        <v>46178</v>
      </c>
      <c r="X72" s="108" t="str">
        <f>IF(OR($D72="UTLS",$D72="GUAR",$D72="STIR",$D72="PUMP",$D72="SITE"),
   VLOOKUP($B72,'LOD 400 - UTLS'!B:O,14,FALSE),"N/A")</f>
        <v>R24</v>
      </c>
      <c r="Y72" s="79" t="str">
        <f>IFERROR(VLOOKUP($B72,'LOD 400 - ADMN'!B:S,18,FALSE),"N/A")</f>
        <v>N/A</v>
      </c>
      <c r="Z72" s="79" t="str">
        <f>IFERROR(VLOOKUP($B72,'LOD 400 - ADMN'!B:V,21,FALSE),"N/A")</f>
        <v>N/A</v>
      </c>
      <c r="AA72" s="79" t="str">
        <f>IFERROR(VLOOKUP($B72,'LOD 400 - ADMN'!$B:Y,24,FALSE),"N/A")</f>
        <v>N/A</v>
      </c>
      <c r="AB72" s="80" t="str">
        <f>IFERROR(VLOOKUP($B72,'LOD 400 - ADMN'!$B:AB,27,FALSE),"N/A")</f>
        <v>N/A</v>
      </c>
      <c r="AC72" s="81" t="str">
        <f>IFERROR(VLOOKUP($B72,'LOD 400 - ADMN'!$B:AE,30,FALSE),"N/A")</f>
        <v>N/A</v>
      </c>
      <c r="AD72" s="81" t="str">
        <f>IFERROR(VLOOKUP($B72,'LOD 400 - ADMN'!$B:AH,33,FALSE),"N/A")</f>
        <v>N/A</v>
      </c>
      <c r="AE72" s="80" t="str">
        <f>IFERROR(VLOOKUP($B72,'LOD 400 - ADMN'!$B:AK,36,FALSE),"N/A")</f>
        <v>N/A</v>
      </c>
      <c r="AF72" s="82" t="str">
        <f>IFERROR(VLOOKUP($B72,'LOD 400 - ADMN'!$B:AN,39,FALSE),"N/A")</f>
        <v>N/A</v>
      </c>
      <c r="AG72" s="83" t="str">
        <f>IFERROR(VLOOKUP($B72,'LOD 400 - ADMN'!$B:AQ,42,FALSE),"N/A")</f>
        <v>N/A</v>
      </c>
      <c r="AH72" s="84" t="str">
        <f>IFERROR(VLOOKUP($B72,'LOD 400 - ADMN'!$B:AT,45,FALSE),"N/A")</f>
        <v>N/A</v>
      </c>
      <c r="AI72" s="85" t="str">
        <f>IFERROR(VLOOKUP($B72,'LOD 400 - ADMN'!$B:AW,48,FALSE),"N/A")</f>
        <v>N/A</v>
      </c>
      <c r="AJ72" s="85" t="str">
        <f>IFERROR(VLOOKUP($B72,'LOD 400 - ADMN'!$B:AZ,51,FALSE),"N/A")</f>
        <v>N/A</v>
      </c>
      <c r="AK72" s="84" t="str">
        <f>IFERROR(VLOOKUP($B72,'LOD 400 - ADMN'!$B:BC,54,FALSE),"N/A")</f>
        <v>N/A</v>
      </c>
      <c r="AL72" s="84" t="str">
        <f>IFERROR(VLOOKUP($B72,'LOD 400 - ADMN'!$B:BF,57,FALSE),"N/A")</f>
        <v>N/A</v>
      </c>
      <c r="AM72" s="84" t="str">
        <f>IFERROR(VLOOKUP($B72,'LOD 400 - ADMN'!$B:BI,60,FALSE),"N/A")</f>
        <v>N/A</v>
      </c>
      <c r="AN72" s="84" t="str">
        <f>IFERROR(VLOOKUP($B72,'LOD 400 - ADMN'!$B:BL,63,FALSE),"N/A")</f>
        <v>N/A</v>
      </c>
      <c r="AO72" s="84" t="str">
        <f>IFERROR(VLOOKUP($B72,'LOD 400 - ADMN'!$B:BO,66,FALSE),"N/A")</f>
        <v>N/A</v>
      </c>
      <c r="AP72" s="84" t="str">
        <f>IFERROR(VLOOKUP($B72,'LOD 400 - ADMN'!$B:BR,69,FALSE),"N/A")</f>
        <v>N/A</v>
      </c>
      <c r="AQ72" s="84" t="str">
        <f>IFERROR(VLOOKUP($B72,'LOD 400 - ADMN'!$B:BU,72,FALSE),"N/A")</f>
        <v>N/A</v>
      </c>
      <c r="AR72" s="84" t="str">
        <f>IFERROR(VLOOKUP($B72,'LOD 400 - ADMN'!$B:BX,75,FALSE),"N/A")</f>
        <v>N/A</v>
      </c>
      <c r="AS72" s="84" t="str">
        <f>IFERROR(VLOOKUP($B72,'LOD 400 - ADMN'!$B:CA,78,FALSE),"N/A")</f>
        <v>N/A</v>
      </c>
      <c r="AT72" s="84" t="str">
        <f>IFERROR(VLOOKUP($B72,'LOD 400 - ADMN'!$B:CD,81,FALSE),"N/A")</f>
        <v>N/A</v>
      </c>
      <c r="AU72" s="85" t="str">
        <f>IFERROR(VLOOKUP($B72,'LOD 400 - ADMN'!$B:CG,84,FALSE),"N/A")</f>
        <v>N/A</v>
      </c>
      <c r="AV72" s="84" t="str">
        <f>IFERROR(VLOOKUP($B72,'LOD 400 - ADMN'!$B:CJ,87,FALSE),"N/A")</f>
        <v>N/A</v>
      </c>
      <c r="AW72" s="85" t="str">
        <f>IFERROR(VLOOKUP($B72,'LOD 400 - ADMN'!$B:CM,90,FALSE),"N/A")</f>
        <v>N/A</v>
      </c>
      <c r="AX72" s="84" t="str">
        <f>IFERROR(VLOOKUP($B72,'LOD 400 - ADMN'!$B:CP,93,FALSE),"N/A")</f>
        <v>N/A</v>
      </c>
      <c r="AY72" s="84" t="str">
        <f>IFERROR(VLOOKUP($B72,'LOD 400 - ADMN'!$B:CS,96,FALSE),"N/A")</f>
        <v>N/A</v>
      </c>
      <c r="AZ72" s="84" t="str">
        <f>IFERROR(VLOOKUP($B72,'LOD 400 - ADMN'!$B:CV,99,FALSE),"N/A")</f>
        <v>N/A</v>
      </c>
      <c r="BA72" s="84" t="str">
        <f>IFERROR(VLOOKUP($B72,'LOD 400 - ADMN'!$B:CY,102,FALSE),"N/A")</f>
        <v>N/A</v>
      </c>
      <c r="BB72" s="84" t="str">
        <f>IFERROR(VLOOKUP($B72,'LOD 400 - ADMN'!$B:DB,105,FALSE),"N/A")</f>
        <v>N/A</v>
      </c>
      <c r="BC72" s="84" t="str">
        <f>IFERROR(VLOOKUP($B72,'LOD 400 - ADMN'!$B:DE,108,FALSE),"N/A")</f>
        <v>N/A</v>
      </c>
      <c r="BD72" s="84" t="str">
        <f>IFERROR(VLOOKUP($B72,'LOD 400 - ADMN'!$B:DH,111,FALSE),"N/A")</f>
        <v>N/A</v>
      </c>
      <c r="BE72" s="84" t="str">
        <f>IFERROR(VLOOKUP($B72,'LOD 400 - ADMN'!$B:DK,114,FALSE),"N/A")</f>
        <v>N/A</v>
      </c>
      <c r="BF72" s="84" t="str">
        <f>IFERROR(VLOOKUP($B72,'LOD 400 - ADMN'!$B:DN,117,FALSE),"N/A")</f>
        <v>N/A</v>
      </c>
      <c r="BG72" s="86" t="str">
        <f>IFERROR(__xludf.DUMMYFUNCTION("IFERROR(
  MAX(FILTER(Y72:BF72, ISNUMBER(Y72:BF72))),
  BF72
)"),"N/A")</f>
        <v>N/A</v>
      </c>
      <c r="BH72" s="79" t="str">
        <f>IFERROR(VLOOKUP($B72,'LOD 400 - COLO1'!B:S,18,FALSE),"N/A")</f>
        <v>N/A</v>
      </c>
      <c r="BI72" s="79" t="str">
        <f>IFERROR(VLOOKUP($B72,'LOD 400 - COLO1'!B:V,21,FALSE),"N/A")</f>
        <v>N/A</v>
      </c>
      <c r="BJ72" s="79" t="str">
        <f>IFERROR(VLOOKUP($B72,'LOD 400 - COLO1'!$B:Y,24,FALSE),"N/A")</f>
        <v>N/A</v>
      </c>
      <c r="BK72" s="87" t="str">
        <f>IFERROR(VLOOKUP($B72,'LOD 400 - COLO1'!$B:AB,27,FALSE),"N/A")</f>
        <v>N/A</v>
      </c>
      <c r="BL72" s="80" t="str">
        <f>IFERROR(VLOOKUP($B72,'LOD 400 - COLO1'!$B:AE,30,FALSE),"N/A")</f>
        <v>N/A</v>
      </c>
      <c r="BM72" s="81" t="str">
        <f>IFERROR(VLOOKUP($B72,'LOD 400 - COLO1'!$B:AH,33,FALSE),"N/A")</f>
        <v>N/A</v>
      </c>
      <c r="BN72" s="87" t="str">
        <f>IFERROR(VLOOKUP($B72,'LOD 400 - COLO1'!$B:AK,36,FALSE),"N/A")</f>
        <v>N/A</v>
      </c>
      <c r="BO72" s="83" t="str">
        <f>IFERROR(VLOOKUP($B72,'LOD 400 - COLO1'!$B:AN,39,FALSE),"N/A")</f>
        <v>N/A</v>
      </c>
      <c r="BP72" s="88" t="str">
        <f>IFERROR(VLOOKUP($B72,'LOD 400 - COLO1'!$B:AQ,42,FALSE),"N/A")</f>
        <v>N/A</v>
      </c>
      <c r="BQ72" s="84" t="str">
        <f>IFERROR(VLOOKUP($B72,'LOD 400 - COLO1'!$B:AT,45,FALSE),"N/A")</f>
        <v>N/A</v>
      </c>
      <c r="BR72" s="85" t="str">
        <f>IFERROR(VLOOKUP($B72,'LOD 400 - COLO1'!$B:AW,48,FALSE),"N/A")</f>
        <v>N/A</v>
      </c>
      <c r="BS72" s="84" t="str">
        <f>IFERROR(VLOOKUP($B72,'LOD 400 - COLO1'!$B:AZ,51,FALSE),"N/A")</f>
        <v>N/A</v>
      </c>
      <c r="BT72" s="84" t="str">
        <f>IFERROR(VLOOKUP($B72,'LOD 400 - COLO1'!$B:BC,54,FALSE),"N/A")</f>
        <v>N/A</v>
      </c>
      <c r="BU72" s="84" t="str">
        <f>IFERROR(VLOOKUP($B72,'LOD 400 - COLO1'!$B:BF,57,FALSE),"N/A")</f>
        <v>N/A</v>
      </c>
      <c r="BV72" s="84" t="str">
        <f>IFERROR(VLOOKUP($B72,'LOD 400 - COLO1'!$B:BI,60,FALSE),"N/A")</f>
        <v>N/A</v>
      </c>
      <c r="BW72" s="84" t="str">
        <f>IFERROR(VLOOKUP($B72,'LOD 400 - COLO1'!$B:BL,63,FALSE),"N/A")</f>
        <v>N/A</v>
      </c>
      <c r="BX72" s="84" t="str">
        <f>IFERROR(VLOOKUP($B72,'LOD 400 - COLO1'!$B:BO,66,FALSE),"N/A")</f>
        <v>N/A</v>
      </c>
      <c r="BY72" s="84" t="str">
        <f>IFERROR(VLOOKUP($B72,'LOD 400 - COLO1'!$B:BR,69,FALSE),"N/A")</f>
        <v>N/A</v>
      </c>
      <c r="BZ72" s="84" t="str">
        <f>IFERROR(VLOOKUP($B72,'LOD 400 - COLO1'!$B:BU,72,FALSE),"N/A")</f>
        <v>N/A</v>
      </c>
      <c r="CA72" s="84" t="str">
        <f>IFERROR(VLOOKUP($B72,'LOD 400 - COLO1'!$B:BX,75,FALSE),"N/A")</f>
        <v>N/A</v>
      </c>
      <c r="CB72" s="84" t="str">
        <f>IFERROR(VLOOKUP($B72,'LOD 400 - COLO1'!$B:CA,78,FALSE),"N/A")</f>
        <v>N/A</v>
      </c>
      <c r="CC72" s="84" t="str">
        <f>IFERROR(VLOOKUP($B72,'LOD 400 - COLO1'!$B:CD,81,FALSE),"N/A")</f>
        <v>N/A</v>
      </c>
      <c r="CD72" s="85" t="str">
        <f>IFERROR(VLOOKUP($B72,'LOD 400 - COLO1'!$B:CG,84,FALSE),"N/A")</f>
        <v>N/A</v>
      </c>
      <c r="CE72" s="84" t="str">
        <f>IFERROR(VLOOKUP($B72,'LOD 400 - COLO1'!$B:CJ,87,FALSE),"N/A")</f>
        <v>N/A</v>
      </c>
      <c r="CF72" s="85" t="str">
        <f>IFERROR(VLOOKUP($B72,'LOD 400 - COLO1'!$B:CM,90,FALSE),"N/A")</f>
        <v>N/A</v>
      </c>
      <c r="CG72" s="84" t="str">
        <f>IFERROR(VLOOKUP($B72,'LOD 400 - COLO1'!$B:CP,93,FALSE),"N/A")</f>
        <v>N/A</v>
      </c>
      <c r="CH72" s="84" t="str">
        <f>IFERROR(VLOOKUP($B72,'LOD 400 - COLO1'!$B:CS,96,FALSE),"N/A")</f>
        <v>N/A</v>
      </c>
      <c r="CI72" s="84" t="str">
        <f>IFERROR(VLOOKUP($B72,'LOD 400 - COLO1'!$B:CV,99,FALSE),"N/A")</f>
        <v>N/A</v>
      </c>
      <c r="CJ72" s="84" t="str">
        <f>IFERROR(VLOOKUP($B72,'LOD 400 - COLO1'!$B:CY,102,FALSE),"N/A")</f>
        <v>N/A</v>
      </c>
      <c r="CK72" s="84" t="str">
        <f>IFERROR(VLOOKUP($B72,'LOD 400 - COLO1'!$B:DB,105,FALSE),"N/A")</f>
        <v>N/A</v>
      </c>
      <c r="CL72" s="84" t="str">
        <f>IFERROR(VLOOKUP($B72,'LOD 400 - COLO1'!$B:DE,108,FALSE),"N/A")</f>
        <v>N/A</v>
      </c>
      <c r="CM72" s="84" t="str">
        <f>IFERROR(VLOOKUP($B72,'LOD 400 - COLO1'!$B:DH,111,FALSE),"N/A")</f>
        <v>N/A</v>
      </c>
      <c r="CN72" s="84" t="str">
        <f>IFERROR(VLOOKUP($B72,'LOD 400 - COLO1'!$B:DK,114,FALSE),"N/A")</f>
        <v>N/A</v>
      </c>
      <c r="CO72" s="84" t="str">
        <f>IFERROR(VLOOKUP($B72,'LOD 400 - COLO1'!$B:DN,117,FALSE),"N/A")</f>
        <v>N/A</v>
      </c>
      <c r="CP72" s="86" t="str">
        <f>IFERROR(__xludf.DUMMYFUNCTION("IFERROR(
  MAX(FILTER(BH72:CO72, ISNUMBER(BH72:CO72))),
  CO72
)"),"N/A")</f>
        <v>N/A</v>
      </c>
      <c r="CQ72" s="89" t="str">
        <f>IFERROR(VLOOKUP($B72,'LOD 400 - COLO2'!B:S,18,FALSE),"N/A")</f>
        <v>N/A</v>
      </c>
      <c r="CR72" s="79" t="str">
        <f>IFERROR(VLOOKUP($B72,'LOD 400 - COLO2'!B:V,21,FALSE),"N/A")</f>
        <v>N/A</v>
      </c>
      <c r="CS72" s="79" t="str">
        <f>IFERROR(VLOOKUP($B72,'LOD 400 - COLO2'!$B:Y,24,FALSE),"N/A")</f>
        <v>N/A</v>
      </c>
      <c r="CT72" s="80" t="str">
        <f>IFERROR(VLOOKUP($B72,'LOD 400 - COLO2'!$B:DQ,27,FALSE),"N/A")</f>
        <v>N/A</v>
      </c>
      <c r="CU72" s="90" t="str">
        <f>IFERROR(VLOOKUP($B72,'LOD 400 - COLO2'!$B:AE,30,FALSE),"N/A")</f>
        <v>N/A</v>
      </c>
      <c r="CV72" s="81" t="str">
        <f>IFERROR(VLOOKUP($B72,'LOD 400 - COLO2'!$B:AH,33,FALSE),"N/A")</f>
        <v>N/A</v>
      </c>
      <c r="CW72" s="90" t="str">
        <f>IFERROR(VLOOKUP($B72,'LOD 400 - COLO2'!$B:AK,36,FALSE),"N/A")</f>
        <v>N/A</v>
      </c>
      <c r="CX72" s="85" t="str">
        <f>IFERROR(VLOOKUP($B72,'LOD 400 - COLO2'!$B:AN,39,FALSE),"N/A")</f>
        <v>N/A</v>
      </c>
      <c r="CY72" s="88" t="str">
        <f>IFERROR(VLOOKUP($B72,'LOD 400 - COLO2'!$B:AQ,42,FALSE),"N/A")</f>
        <v>N/A</v>
      </c>
      <c r="CZ72" s="84" t="str">
        <f>IFERROR(VLOOKUP($B72,'LOD 400 - COLO2'!$B:AT,45,FALSE),"N/A")</f>
        <v>N/A</v>
      </c>
      <c r="DA72" s="85" t="str">
        <f>IFERROR(VLOOKUP($B72,'LOD 400 - COLO2'!$B:AW,48,FALSE),"N/A")</f>
        <v>N/A</v>
      </c>
      <c r="DB72" s="84" t="str">
        <f>IFERROR(VLOOKUP($B72,'LOD 400 - COLO2'!$B:AZ,51,FALSE),"N/A")</f>
        <v>N/A</v>
      </c>
      <c r="DC72" s="84" t="str">
        <f>IFERROR(VLOOKUP($B72,'LOD 400 - COLO2'!$B:BC,54,FALSE),"N/A")</f>
        <v>N/A</v>
      </c>
      <c r="DD72" s="84" t="str">
        <f>IFERROR(VLOOKUP($B72,'LOD 400 - COLO2'!$B:BF,57,FALSE),"N/A")</f>
        <v>N/A</v>
      </c>
      <c r="DE72" s="84" t="str">
        <f>IFERROR(VLOOKUP($B72,'LOD 400 - COLO2'!$B:BI,60,FALSE),"N/A")</f>
        <v>N/A</v>
      </c>
      <c r="DF72" s="84" t="str">
        <f>IFERROR(VLOOKUP($B72,'LOD 400 - COLO2'!$B:BL,63,FALSE),"N/A")</f>
        <v>N/A</v>
      </c>
      <c r="DG72" s="84" t="str">
        <f>IFERROR(VLOOKUP($B72,'LOD 400 - COLO2'!$B:BO,66,FALSE),"N/A")</f>
        <v>N/A</v>
      </c>
      <c r="DH72" s="84" t="str">
        <f>IFERROR(VLOOKUP($B72,'LOD 400 - COLO2'!$B:BR,69,FALSE),"N/A")</f>
        <v>N/A</v>
      </c>
      <c r="DI72" s="84" t="str">
        <f>IFERROR(VLOOKUP($B72,'LOD 400 - COLO2'!$B:BU,72,FALSE),"N/A")</f>
        <v>N/A</v>
      </c>
      <c r="DJ72" s="84" t="str">
        <f>IFERROR(VLOOKUP($B72,'LOD 400 - COLO2'!$B:BX,75,FALSE),"N/A")</f>
        <v>N/A</v>
      </c>
      <c r="DK72" s="84" t="str">
        <f>IFERROR(VLOOKUP($B72,'LOD 400 - COLO2'!$B:CA,78,FALSE),"N/A")</f>
        <v>N/A</v>
      </c>
      <c r="DL72" s="84" t="str">
        <f>IFERROR(VLOOKUP($B72,'LOD 400 - COLO2'!$B:CD,81,FALSE),"N/A")</f>
        <v>N/A</v>
      </c>
      <c r="DM72" s="85" t="str">
        <f>IFERROR(VLOOKUP($B72,'LOD 400 - COLO2'!$B:CG,84,FALSE),"N/A")</f>
        <v>N/A</v>
      </c>
      <c r="DN72" s="84" t="str">
        <f>IFERROR(VLOOKUP($B72,'LOD 400 - COLO2'!$B:CJ,87,FALSE),"N/A")</f>
        <v>N/A</v>
      </c>
      <c r="DO72" s="85" t="str">
        <f>IFERROR(VLOOKUP($B72,'LOD 400 - COLO2'!$B:CM,90,FALSE),"N/A")</f>
        <v>N/A</v>
      </c>
      <c r="DP72" s="84" t="str">
        <f>IFERROR(VLOOKUP($B72,'LOD 400 - COLO2'!$B:CP,93,FALSE),"N/A")</f>
        <v>N/A</v>
      </c>
      <c r="DQ72" s="84" t="str">
        <f>IFERROR(VLOOKUP($B72,'LOD 400 - COLO2'!$B:CS,96,FALSE),"N/A")</f>
        <v>N/A</v>
      </c>
      <c r="DR72" s="84" t="str">
        <f>IFERROR(VLOOKUP($B72,'LOD 400 - COLO2'!$B:CV,99,FALSE),"N/A")</f>
        <v>N/A</v>
      </c>
      <c r="DS72" s="84" t="str">
        <f>IFERROR(VLOOKUP($B72,'LOD 400 - COLO2'!$B:CY,102,FALSE),"N/A")</f>
        <v>N/A</v>
      </c>
      <c r="DT72" s="84" t="str">
        <f>IFERROR(VLOOKUP($B72,'LOD 400 - COLO2'!$B:DB,105,FALSE),"N/A")</f>
        <v>N/A</v>
      </c>
      <c r="DU72" s="84" t="str">
        <f>IFERROR(VLOOKUP($B72,'LOD 400 - COLO2'!$B:DE,108,FALSE),"N/A")</f>
        <v>N/A</v>
      </c>
      <c r="DV72" s="84" t="str">
        <f>IFERROR(VLOOKUP($B72,'LOD 400 - COLO2'!$B:DH,111,FALSE),"N/A")</f>
        <v>N/A</v>
      </c>
      <c r="DW72" s="84" t="str">
        <f>IFERROR(VLOOKUP($B72,'LOD 400 - COLO2'!$B:DK,114,FALSE),"N/A")</f>
        <v>N/A</v>
      </c>
      <c r="DX72" s="84" t="str">
        <f>IFERROR(VLOOKUP($B72,'LOD 400 - COLO2'!$B:DN,117,FALSE),"N/A")</f>
        <v>N/A</v>
      </c>
      <c r="DY72" s="91" t="str">
        <f>IFERROR(__xludf.DUMMYFUNCTION("IFERROR(
  MAX(FILTER(CQ72:DW72, ISNUMBER(CQ72:DW72))),
  DW72
)"),"N/A")</f>
        <v>N/A</v>
      </c>
      <c r="DZ72" s="92" t="str">
        <f>IFERROR(VLOOKUP($B72,'LOD 400 - COLO3'!B:S,18,FALSE),"N/A")</f>
        <v>N/A</v>
      </c>
      <c r="EA72" s="84" t="str">
        <f>IFERROR(VLOOKUP($B72,'LOD 400 - COLO3'!B:V,21,FALSE),"N/A")</f>
        <v>N/A</v>
      </c>
      <c r="EB72" s="84" t="str">
        <f>IFERROR(VLOOKUP($B72,'LOD 400 - COLO3'!B:Y,24,FALSE),"N/A")</f>
        <v>N/A</v>
      </c>
      <c r="EC72" s="84" t="str">
        <f>IFERROR(VLOOKUP($B72,'LOD 400 - COLO3'!B:AB,27,FALSE),"N/A")</f>
        <v>N/A</v>
      </c>
      <c r="ED72" s="85" t="str">
        <f>IFERROR(VLOOKUP($B72,'LOD 400 - COLO3'!B:AE,30,FALSE),"N/A")</f>
        <v>N/A</v>
      </c>
      <c r="EE72" s="84" t="str">
        <f>IFERROR(VLOOKUP($B72,'LOD 400 - COLO3'!B:AH,33,FALSE),"N/A")</f>
        <v>N/A</v>
      </c>
      <c r="EF72" s="84" t="str">
        <f>IFERROR(VLOOKUP($B72,'LOD 400 - COLO3'!B:AK,36,FALSE),"N/A")</f>
        <v>N/A</v>
      </c>
      <c r="EG72" s="109" t="str">
        <f>IFERROR(VLOOKUP($B72,'LOD 400 - COLO3'!B:AN,39,FALSE),"N/A")</f>
        <v>N/A</v>
      </c>
      <c r="EH72" s="94" t="str">
        <f>IFERROR(VLOOKUP($B72,'LOD 400 - COLO3'!B:AQ,42,FALSE),"N/A")</f>
        <v>N/A</v>
      </c>
      <c r="EI72" s="94" t="str">
        <f>IFERROR(VLOOKUP($B72,'LOD 400 - COLO3'!B:AT,45,FALSE),"N/A")</f>
        <v>N/A</v>
      </c>
      <c r="EJ72" s="94" t="str">
        <f>IFERROR(VLOOKUP($B72,'LOD 400 - COLO3'!B:AW,48,FALSE),"N/A")</f>
        <v>N/A</v>
      </c>
      <c r="EK72" s="94" t="str">
        <f>IFERROR(VLOOKUP($B72,'LOD 400 - COLO3'!B:AZ,51,FALSE),"N/A")</f>
        <v>N/A</v>
      </c>
      <c r="EL72" s="94" t="str">
        <f>IFERROR(VLOOKUP($B72,'LOD 400 - COLO3'!B:BC,54,FALSE),"N/A")</f>
        <v>N/A</v>
      </c>
      <c r="EM72" s="94" t="str">
        <f>IFERROR(VLOOKUP($B72,'LOD 400 - COLO3'!B:BF,57,FALSE),"N/A")</f>
        <v>N/A</v>
      </c>
      <c r="EN72" s="94" t="str">
        <f>IFERROR(VLOOKUP($B72,'LOD 400 - COLO3'!B:BI,60,FALSE),"N/A")</f>
        <v>N/A</v>
      </c>
      <c r="EO72" s="94" t="str">
        <f>IFERROR(VLOOKUP($B72,'LOD 400 - COLO3'!B:BL,63,FALSE),"N/A")</f>
        <v>N/A</v>
      </c>
      <c r="EP72" s="86" t="str">
        <f>IFERROR(__xludf.DUMMYFUNCTION("IFERROR(
  MAX(FILTER(DZ72:EO72, ISNUMBER(DZ72:EO72))),
  EO72
)"),"N/A")</f>
        <v>N/A</v>
      </c>
      <c r="EQ72" s="95" t="str">
        <f>IFERROR(VLOOKUP($B72,'LOD 400 - COLO4'!B:S,18,FALSE),"N/A")</f>
        <v>N/A</v>
      </c>
      <c r="ER72" s="96" t="str">
        <f>IFERROR(__xludf.DUMMYFUNCTION("IFERROR(
  MAX(FILTER(EQ72, ISNUMBER(EQ72))),
  EQ72
)"),"N/A")</f>
        <v>N/A</v>
      </c>
      <c r="ES72" s="79" t="str">
        <f>IFERROR(VLOOKUP($B72,'LOD 400 - SITE'!B:S,18,FALSE),"N/A")</f>
        <v>N/A</v>
      </c>
      <c r="ET72" s="80" t="str">
        <f>IFERROR(VLOOKUP($B72,'LOD 400 - SITE'!B:V,21,FALSE),"N/A")</f>
        <v>N/A</v>
      </c>
      <c r="EU72" s="97" t="str">
        <f>IFERROR(VLOOKUP($B72,'LOD 400 - SITE'!$B:Y,24,FALSE),"N/A")</f>
        <v>N/A</v>
      </c>
      <c r="EV72" s="80" t="str">
        <f>IFERROR(VLOOKUP($B72,'LOD 400 - SITE'!$B:AB,27,FALSE),"N/A")</f>
        <v>N/A</v>
      </c>
      <c r="EW72" s="81" t="str">
        <f>IFERROR(VLOOKUP($B72,'LOD 400 - SITE'!$B:AE,30,FALSE),"N/A")</f>
        <v>N/A</v>
      </c>
      <c r="EX72" s="87" t="str">
        <f>IFERROR(VLOOKUP($B72,'LOD 400 - SITE'!$B:AH,33,FALSE),"N/A")</f>
        <v>N/A</v>
      </c>
      <c r="EY72" s="87" t="str">
        <f>IFERROR(VLOOKUP($B72,'LOD 400 - SITE'!$B:AK,36,FALSE),"N/A")</f>
        <v>N/A</v>
      </c>
      <c r="EZ72" s="80" t="str">
        <f>IFERROR(VLOOKUP($B72,'LOD 400 - SITE'!$B:AN,39,FALSE),"N/A")</f>
        <v>N/A</v>
      </c>
      <c r="FA72" s="82" t="str">
        <f>IFERROR(VLOOKUP($B72,'LOD 400 - SITE'!$B:AQ,42,FALSE),"N/A")</f>
        <v>N/A</v>
      </c>
      <c r="FB72" s="88" t="str">
        <f>IFERROR(VLOOKUP($B72,'LOD 400 - SITE'!$B:AT,45,FALSE),"N/A")</f>
        <v>N/A</v>
      </c>
      <c r="FC72" s="84" t="str">
        <f>IFERROR(VLOOKUP($B72,'LOD 400 - SITE'!$B:AW,48,FALSE),"N/A")</f>
        <v>N/A</v>
      </c>
      <c r="FD72" s="84" t="str">
        <f>IFERROR(VLOOKUP($B72,'LOD 400 - SITE'!$B:AZ,51,FALSE),"N/A")</f>
        <v>N/A</v>
      </c>
      <c r="FE72" s="84" t="str">
        <f>IFERROR(VLOOKUP($B72,'LOD 400 - SITE'!$B:BC,54,FALSE),"N/A")</f>
        <v>N/A</v>
      </c>
      <c r="FF72" s="84" t="str">
        <f>IFERROR(VLOOKUP($B72,'LOD 400 - SITE'!$B:BF,57,FALSE),"N/A")</f>
        <v>N/A</v>
      </c>
      <c r="FG72" s="84" t="str">
        <f>IFERROR(VLOOKUP($B72,'LOD 400 - SITE'!$B:BI,60,FALSE),"N/A")</f>
        <v>N/A</v>
      </c>
      <c r="FH72" s="84" t="str">
        <f>IFERROR(VLOOKUP($B72,'LOD 400 - SITE'!$B:BL,63,FALSE),"N/A")</f>
        <v>N/A</v>
      </c>
      <c r="FI72" s="84" t="str">
        <f>IFERROR(VLOOKUP($B72,'LOD 400 - SITE'!$B:BO,66,FALSE),"N/A")</f>
        <v>N/A</v>
      </c>
      <c r="FJ72" s="84" t="str">
        <f>IFERROR(VLOOKUP($B72,'LOD 400 - SITE'!$B:BR,69,FALSE),"N/A")</f>
        <v>N/A</v>
      </c>
      <c r="FK72" s="84" t="str">
        <f>IFERROR(VLOOKUP($B72,'LOD 400 - SITE'!$B:BU,72,FALSE),"N/A")</f>
        <v>N/A</v>
      </c>
      <c r="FL72" s="84" t="str">
        <f>IFERROR(VLOOKUP($B72,'LOD 400 - SITE'!$B:BX,75,FALSE),"N/A")</f>
        <v>N/A</v>
      </c>
      <c r="FM72" s="84" t="str">
        <f>IFERROR(VLOOKUP($B72,'LOD 400 - SITE'!$B:CA,78,FALSE),"N/A")</f>
        <v>N/A</v>
      </c>
      <c r="FN72" s="85" t="str">
        <f>IFERROR(VLOOKUP($B72,'LOD 400 - SITE'!$B:CD,81,FALSE),"N/A")</f>
        <v>N/A</v>
      </c>
      <c r="FO72" s="84" t="str">
        <f>IFERROR(VLOOKUP($B72,'LOD 400 - SITE'!$B:CG,84,FALSE),"N/A")</f>
        <v>N/A</v>
      </c>
      <c r="FP72" s="85" t="str">
        <f>IFERROR(VLOOKUP($B72,'LOD 400 - SITE'!$B:CJ,87,FALSE),"N/A")</f>
        <v>N/A</v>
      </c>
      <c r="FQ72" s="84" t="str">
        <f>IFERROR(VLOOKUP($B72,'LOD 400 - SITE'!$B:CM,90,FALSE),"N/A")</f>
        <v>N/A</v>
      </c>
      <c r="FR72" s="84" t="str">
        <f>IFERROR(VLOOKUP($B72,'LOD 400 - SITE'!$B:CP,93,FALSE),"N/A")</f>
        <v>N/A</v>
      </c>
      <c r="FS72" s="84" t="str">
        <f>IFERROR(VLOOKUP($B72,'LOD 400 - SITE'!$B:CS,96,FALSE),"N/A")</f>
        <v>N/A</v>
      </c>
      <c r="FT72" s="84" t="str">
        <f>IFERROR(VLOOKUP($B72,'LOD 400 - SITE'!$B:CV,99,FALSE),"N/A")</f>
        <v>N/A</v>
      </c>
      <c r="FU72" s="84" t="str">
        <f>IFERROR(VLOOKUP($B72,'LOD 400 - SITE'!$B:CY,102,FALSE),"N/A")</f>
        <v>N/A</v>
      </c>
      <c r="FV72" s="84" t="str">
        <f>IFERROR(VLOOKUP($B72,'LOD 400 - SITE'!$B:DB,105,FALSE),"N/A")</f>
        <v>N/A</v>
      </c>
      <c r="FW72" s="84" t="str">
        <f>IFERROR(VLOOKUP($B72,'LOD 400 - SITE'!$B:DE,108,FALSE),"N/A")</f>
        <v>N/A</v>
      </c>
      <c r="FX72" s="84" t="str">
        <f>IFERROR(VLOOKUP($B72,'LOD 400 - SITE'!$B:DH,111,FALSE),"N/A")</f>
        <v>N/A</v>
      </c>
      <c r="FY72" s="84" t="str">
        <f>IFERROR(VLOOKUP($B72,'LOD 400 - SITE'!$B:DK,114,FALSE),"N/A")</f>
        <v>N/A</v>
      </c>
      <c r="FZ72" s="96" t="str">
        <f>IFERROR(__xludf.DUMMYFUNCTION("IFERROR(
  MAX(FILTER(ES72:FY72, ISNUMBER(ES72:FY72))),
  FY72
)"),"N/A")</f>
        <v>N/A</v>
      </c>
      <c r="GA72" s="80" t="str">
        <f>IFERROR(VLOOKUP($B72,'LOD 400 - UTLS'!B:S,18,FALSE),"N/A")</f>
        <v>OUTDATED</v>
      </c>
      <c r="GB72" s="98" t="str">
        <f>IFERROR(VLOOKUP($B72,'LOD 400 - UTLS'!B:V,21,FALSE),"N/A")</f>
        <v>OUTDATED</v>
      </c>
      <c r="GC72" s="81" t="str">
        <f>IFERROR(VLOOKUP($B72,'LOD 400 - UTLS'!B:Y,24,FALSE),"N/A")</f>
        <v>NEXT ROUND</v>
      </c>
      <c r="GD72" s="87">
        <f>IFERROR(VLOOKUP($B72,'LOD 400 - UTLS'!$B:AB,27,FALSE),"N/A")</f>
        <v>0.11</v>
      </c>
      <c r="GE72" s="80">
        <f>IFERROR(VLOOKUP($B72,'LOD 400 - UTLS'!$B:AE,30,FALSE),"N/A")</f>
        <v>0.39</v>
      </c>
      <c r="GF72" s="82">
        <f>IFERROR(VLOOKUP($B72,'LOD 400 - UTLS'!$B:AH,33,FALSE),"N/A")</f>
        <v>0.39</v>
      </c>
      <c r="GG72" s="88" t="str">
        <f>IFERROR(VLOOKUP($B72,'LOD 400 - UTLS'!$B:AK,36,FALSE),"N/A")</f>
        <v>OUTDATED</v>
      </c>
      <c r="GH72" s="84" t="str">
        <f>IFERROR(VLOOKUP($B72,'LOD 400 - UTLS'!$B:AN,39,FALSE),"N/A")</f>
        <v>OUTDATED</v>
      </c>
      <c r="GI72" s="84" t="str">
        <f>IFERROR(VLOOKUP($B72,'LOD 400 - UTLS'!$B:AQ,42,FALSE),"N/A")</f>
        <v>OUTDATED</v>
      </c>
      <c r="GJ72" s="84" t="str">
        <f>IFERROR(VLOOKUP($B72,'LOD 400 - UTLS'!$B:AT,45,FALSE),"N/A")</f>
        <v>OUTDATED</v>
      </c>
      <c r="GK72" s="84" t="str">
        <f>IFERROR(VLOOKUP($B72,'LOD 400 - UTLS'!$B:AW,48,FALSE),"N/A")</f>
        <v>OUTDATED</v>
      </c>
      <c r="GL72" s="84" t="str">
        <f>IFERROR(VLOOKUP($B72,'LOD 400 - UTLS'!$B:AZ,51,FALSE),"N/A")</f>
        <v>NEXT ROUND</v>
      </c>
      <c r="GM72" s="84" t="str">
        <f>IFERROR(VLOOKUP($B72,'LOD 400 - UTLS'!$B:BC,54,FALSE),"N/A")</f>
        <v>NEXT ROUND</v>
      </c>
      <c r="GN72" s="84" t="str">
        <f>IFERROR(VLOOKUP($B72,'LOD 400 - UTLS'!$B:BF,57,FALSE),"N/A")</f>
        <v>NEXT ROUND </v>
      </c>
      <c r="GO72" s="84" t="str">
        <f>IFERROR(VLOOKUP($B72,'LOD 400 - UTLS'!$B:BI,60,FALSE),"N/A")</f>
        <v>NEXT ROUND </v>
      </c>
      <c r="GP72" s="84" t="str">
        <f>IFERROR(VLOOKUP($B72,'LOD 400 - UTLS'!$B:BL,63,FALSE),"N/A")</f>
        <v>NEXT ROUND</v>
      </c>
      <c r="GQ72" s="84" t="str">
        <f>IFERROR(VLOOKUP($B72,'LOD 400 - UTLS'!$B:BO,66,FALSE),"N/A")</f>
        <v>NEXT ROUND</v>
      </c>
      <c r="GR72" s="84" t="str">
        <f>IFERROR(VLOOKUP($B72,'LOD 400 - UTLS'!$B:BR,69,FALSE),"N/A")</f>
        <v>NEXT ROUND</v>
      </c>
      <c r="GS72" s="85" t="str">
        <f>IFERROR(VLOOKUP($B72,'LOD 400 - UTLS'!$B:BU,72,FALSE),"N/A")</f>
        <v>NEXT ROUND</v>
      </c>
      <c r="GT72" s="84" t="str">
        <f>IFERROR(VLOOKUP($B72,'LOD 400 - UTLS'!$B:BX,75,FALSE),"N/A")</f>
        <v>NEXT ROUND</v>
      </c>
      <c r="GU72" s="85" t="str">
        <f>IFERROR(VLOOKUP($B72,'LOD 400 - UTLS'!$B:CA,78,FALSE),"N/A")</f>
        <v>NEXT ROUND</v>
      </c>
      <c r="GV72" s="84">
        <f>IFERROR(VLOOKUP($B72,'LOD 400 - UTLS'!$B:CD,81,FALSE),"N/A")</f>
        <v>0.94</v>
      </c>
      <c r="GW72" s="84" t="str">
        <f>IFERROR(VLOOKUP($B72,'LOD 400 - UTLS'!$B:CG,84,FALSE),"N/A")</f>
        <v>OUTDATED</v>
      </c>
      <c r="GX72" s="84" t="str">
        <f>IFERROR(VLOOKUP($B72,'LOD 400 - UTLS'!$B:CJ,87,FALSE),"N/A")</f>
        <v>NEXT ROUND</v>
      </c>
      <c r="GY72" s="84" t="str">
        <f>IFERROR(VLOOKUP($B72,'LOD 400 - UTLS'!$B:CM,90,FALSE),"N/A")</f>
        <v>NEXT ROUND</v>
      </c>
      <c r="GZ72" s="84">
        <f>IFERROR(VLOOKUP($B72,'LOD 400 - UTLS'!$B:CP,93,FALSE),"N/A")</f>
        <v>1</v>
      </c>
      <c r="HA72" s="84">
        <f>IFERROR(VLOOKUP($B72,'LOD 400 - UTLS'!$B:CS,96,FALSE),"N/A")</f>
        <v>1</v>
      </c>
      <c r="HB72" s="84">
        <f>IFERROR(VLOOKUP($B72,'LOD 400 - UTLS'!$B:CV,99,FALSE),"N/A")</f>
        <v>1</v>
      </c>
      <c r="HC72" s="84">
        <f>IFERROR(VLOOKUP($B72,'LOD 400 - UTLS'!$B:CY,102,FALSE),"N/A")</f>
        <v>1</v>
      </c>
      <c r="HD72" s="84">
        <f>IFERROR(VLOOKUP($B72,'LOD 400 - UTLS'!$B:DB,105,FALSE),"N/A")</f>
        <v>1</v>
      </c>
      <c r="HE72" s="96">
        <f>IFERROR(__xludf.DUMMYFUNCTION("IFERROR(
  MAX(FILTER(GA72:HD72, ISNUMBER(GA72:HD72))),
  HD72
)"),1.0)</f>
        <v>1</v>
      </c>
      <c r="HF72" s="99"/>
      <c r="HG72" s="99"/>
      <c r="HH72" s="99"/>
      <c r="HI72" s="99"/>
      <c r="HJ72" s="99"/>
      <c r="HK72" s="99"/>
    </row>
    <row r="73" ht="15.0" hidden="1" customHeight="1">
      <c r="A73" s="53">
        <v>77.0</v>
      </c>
      <c r="B73" s="271" t="s">
        <v>228</v>
      </c>
      <c r="C73" s="272"/>
      <c r="D73" s="273"/>
      <c r="E73" s="273"/>
      <c r="F73" s="273"/>
      <c r="G73" s="274"/>
      <c r="H73" s="273"/>
      <c r="I73" s="273"/>
      <c r="J73" s="275"/>
      <c r="K73" s="276"/>
      <c r="L73" s="274"/>
      <c r="M73" s="273"/>
      <c r="N73" s="277"/>
      <c r="O73" s="278"/>
      <c r="P73" s="279"/>
      <c r="Q73" s="280"/>
      <c r="R73" s="281"/>
      <c r="S73" s="282"/>
      <c r="T73" s="282"/>
      <c r="U73" s="283"/>
      <c r="V73" s="284"/>
      <c r="W73" s="273"/>
      <c r="X73" s="280"/>
      <c r="Y73" s="274"/>
      <c r="Z73" s="274"/>
      <c r="AA73" s="274"/>
      <c r="AB73" s="274"/>
      <c r="AC73" s="274"/>
      <c r="AD73" s="274"/>
      <c r="AE73" s="274"/>
      <c r="AF73" s="274"/>
      <c r="AG73" s="274"/>
      <c r="AH73" s="274"/>
      <c r="AI73" s="274"/>
      <c r="AJ73" s="274"/>
      <c r="AK73" s="274"/>
      <c r="AL73" s="274"/>
      <c r="AM73" s="274"/>
      <c r="AN73" s="274"/>
      <c r="AO73" s="274"/>
      <c r="AP73" s="274"/>
      <c r="AQ73" s="274"/>
      <c r="AR73" s="274"/>
      <c r="AS73" s="274"/>
      <c r="AT73" s="273"/>
      <c r="AU73" s="273"/>
      <c r="AV73" s="280"/>
      <c r="AW73" s="281"/>
      <c r="AX73" s="280"/>
      <c r="AY73" s="281"/>
      <c r="AZ73" s="281"/>
      <c r="BA73" s="281"/>
      <c r="BB73" s="281"/>
      <c r="BC73" s="281"/>
      <c r="BD73" s="281"/>
      <c r="BE73" s="281"/>
      <c r="BF73" s="281"/>
      <c r="BG73" s="285"/>
      <c r="BH73" s="274"/>
      <c r="BI73" s="274"/>
      <c r="BJ73" s="274"/>
      <c r="BK73" s="274"/>
      <c r="BL73" s="274"/>
      <c r="BM73" s="274"/>
      <c r="BN73" s="274"/>
      <c r="BO73" s="274"/>
      <c r="BP73" s="274"/>
      <c r="BQ73" s="274"/>
      <c r="BR73" s="274"/>
      <c r="BS73" s="274"/>
      <c r="BT73" s="274"/>
      <c r="BU73" s="274"/>
      <c r="BV73" s="274"/>
      <c r="BW73" s="274"/>
      <c r="BX73" s="274"/>
      <c r="BY73" s="274"/>
      <c r="BZ73" s="274"/>
      <c r="CA73" s="274"/>
      <c r="CB73" s="274"/>
      <c r="CC73" s="273"/>
      <c r="CD73" s="273"/>
      <c r="CE73" s="280"/>
      <c r="CF73" s="281"/>
      <c r="CG73" s="280"/>
      <c r="CH73" s="281"/>
      <c r="CI73" s="281"/>
      <c r="CJ73" s="281"/>
      <c r="CK73" s="281"/>
      <c r="CL73" s="281"/>
      <c r="CM73" s="281"/>
      <c r="CN73" s="281"/>
      <c r="CO73" s="281"/>
      <c r="CP73" s="285"/>
      <c r="CQ73" s="274"/>
      <c r="CR73" s="274"/>
      <c r="CS73" s="274"/>
      <c r="CT73" s="274"/>
      <c r="CU73" s="274"/>
      <c r="CV73" s="274"/>
      <c r="CW73" s="274"/>
      <c r="CX73" s="274"/>
      <c r="CY73" s="274"/>
      <c r="CZ73" s="274"/>
      <c r="DA73" s="274"/>
      <c r="DB73" s="274"/>
      <c r="DC73" s="274"/>
      <c r="DD73" s="274"/>
      <c r="DE73" s="274"/>
      <c r="DF73" s="274"/>
      <c r="DG73" s="274"/>
      <c r="DH73" s="274"/>
      <c r="DI73" s="274"/>
      <c r="DJ73" s="273"/>
      <c r="DK73" s="273"/>
      <c r="DL73" s="273"/>
      <c r="DM73" s="273"/>
      <c r="DN73" s="280"/>
      <c r="DO73" s="281"/>
      <c r="DP73" s="280"/>
      <c r="DQ73" s="281"/>
      <c r="DR73" s="281"/>
      <c r="DS73" s="281"/>
      <c r="DT73" s="281"/>
      <c r="DU73" s="281"/>
      <c r="DV73" s="281"/>
      <c r="DW73" s="281"/>
      <c r="DX73" s="281"/>
      <c r="DY73" s="273"/>
      <c r="DZ73" s="286"/>
      <c r="EA73" s="283"/>
      <c r="EB73" s="281"/>
      <c r="EC73" s="281"/>
      <c r="ED73" s="281"/>
      <c r="EE73" s="280"/>
      <c r="EF73" s="281"/>
      <c r="EG73" s="273"/>
      <c r="EH73" s="287"/>
      <c r="EI73" s="281"/>
      <c r="EJ73" s="281"/>
      <c r="EK73" s="281"/>
      <c r="EL73" s="281"/>
      <c r="EM73" s="281"/>
      <c r="EN73" s="281"/>
      <c r="EO73" s="281"/>
      <c r="EP73" s="288"/>
      <c r="EQ73" s="281"/>
      <c r="ER73" s="289"/>
      <c r="ES73" s="274"/>
      <c r="ET73" s="273"/>
      <c r="EU73" s="284"/>
      <c r="EV73" s="274"/>
      <c r="EW73" s="274"/>
      <c r="EX73" s="274"/>
      <c r="EY73" s="274"/>
      <c r="EZ73" s="274"/>
      <c r="FA73" s="274"/>
      <c r="FB73" s="274"/>
      <c r="FC73" s="274"/>
      <c r="FD73" s="274"/>
      <c r="FE73" s="274"/>
      <c r="FF73" s="274"/>
      <c r="FG73" s="274"/>
      <c r="FH73" s="274"/>
      <c r="FI73" s="274"/>
      <c r="FJ73" s="274"/>
      <c r="FK73" s="274"/>
      <c r="FL73" s="274"/>
      <c r="FM73" s="274"/>
      <c r="FN73" s="273"/>
      <c r="FO73" s="280"/>
      <c r="FP73" s="281"/>
      <c r="FQ73" s="280"/>
      <c r="FR73" s="281"/>
      <c r="FS73" s="281"/>
      <c r="FT73" s="281"/>
      <c r="FU73" s="281"/>
      <c r="FV73" s="281"/>
      <c r="FW73" s="281"/>
      <c r="FX73" s="281"/>
      <c r="FY73" s="281"/>
      <c r="FZ73" s="290"/>
      <c r="GA73" s="274"/>
      <c r="GB73" s="274"/>
      <c r="GC73" s="274"/>
      <c r="GD73" s="274"/>
      <c r="GE73" s="274"/>
      <c r="GF73" s="274"/>
      <c r="GG73" s="274"/>
      <c r="GH73" s="274"/>
      <c r="GI73" s="274"/>
      <c r="GJ73" s="274"/>
      <c r="GK73" s="274"/>
      <c r="GL73" s="274"/>
      <c r="GM73" s="274"/>
      <c r="GN73" s="274"/>
      <c r="GO73" s="274"/>
      <c r="GP73" s="274"/>
      <c r="GQ73" s="281"/>
      <c r="GR73" s="281"/>
      <c r="GS73" s="281"/>
      <c r="GT73" s="280"/>
      <c r="GU73" s="281"/>
      <c r="GV73" s="280"/>
      <c r="GW73" s="281"/>
      <c r="GX73" s="281"/>
      <c r="GY73" s="281"/>
      <c r="GZ73" s="281"/>
      <c r="HA73" s="281"/>
      <c r="HB73" s="281"/>
      <c r="HC73" s="281"/>
      <c r="HD73" s="281"/>
      <c r="HE73" s="289"/>
      <c r="HF73" s="99"/>
      <c r="HG73" s="99"/>
      <c r="HH73" s="99"/>
      <c r="HI73" s="99"/>
      <c r="HJ73" s="99"/>
      <c r="HK73" s="99"/>
    </row>
    <row r="74" ht="15.0" customHeight="1" outlineLevel="1">
      <c r="A74" s="53">
        <v>78.0</v>
      </c>
      <c r="B74" s="100" t="s">
        <v>229</v>
      </c>
      <c r="C74" s="100" t="s">
        <v>230</v>
      </c>
      <c r="D74" s="64" t="str">
        <f t="shared" ref="D74:D79" si="14">MID(B74,17,4)</f>
        <v>SITE</v>
      </c>
      <c r="E74" s="101" t="s">
        <v>154</v>
      </c>
      <c r="F74" s="102">
        <v>1112.0</v>
      </c>
      <c r="G74" s="103" t="s">
        <v>155</v>
      </c>
      <c r="H74" s="104">
        <v>1129.0</v>
      </c>
      <c r="I74" s="68" t="str">
        <f>IFERROR(VLOOKUP($C71:C108,'R22 RELATÓRIO ACC'!B:F,5,FALSE),"NOT PUBLISHED")</f>
        <v>V27</v>
      </c>
      <c r="J74" s="69" t="str">
        <f>IFERROR(VLOOKUP($C71:C108,'R22 RELATÓRIO ACC'!B:P,15,FALSE),"NOT PUBLISHED")</f>
        <v>08/04/2026</v>
      </c>
      <c r="K74" s="70" t="str">
        <f>IFERROR(VLOOKUP($B71:B108,'RELATÓRIO ACC'!B:F,5,FALSE),"NOT PUBLISHED")</f>
        <v>V2</v>
      </c>
      <c r="L74" s="71" t="str">
        <f>IFERROR(VLOOKUP($B71:B108,'RELATÓRIO ACC'!B:P,15,FALSE),"NOT PUBLISHED")</f>
        <v>23/06/2026</v>
      </c>
      <c r="M74" s="72" t="str">
        <f>IF(OR($D74="UTLS",$D74="GUAR",$D74="STIR",$D74="PUMP",$D74="SITE"),
   VLOOKUP($B74,'LOD 400 - SITE'!B:M,12,FALSE),
   VLOOKUP($B74,'LOD 400 - ADMN'!B:M,12,FALSE)
)</f>
        <v>V21</v>
      </c>
      <c r="N74" s="105">
        <f>IF(OR($D74="UTLS",$D74="GUAR",$D74="STIR",$D74="PUMP",$D74="SITE"),
   VLOOKUP($B74,'LOD 400 - SITE'!B:N,13,FALSE),
   VLOOKUP($B74,'LOD 400 - ADMN'!B:N,13,FALSE)
)</f>
        <v>46014</v>
      </c>
      <c r="O74" s="106" t="str">
        <f>IF(OR($D74="UTLS",$D74="GUAR",$D74="STIR",$D74="PUMP",$D74="SITE"),
   VLOOKUP($B74,'LOD 400 - SITE'!B:O,14,FALSE),
   VLOOKUP($B74,'LOD 400 - ADMN'!B:O,14,FALSE)
)</f>
        <v>R22</v>
      </c>
      <c r="P74" s="107" t="str">
        <f>IF(OR($D74="C345",$D74="C12A",$D74="DATA"),
   VLOOKUP($B74,'LOD 400 - COLO3'!B:M,12,FALSE),"N/A")</f>
        <v>N/A</v>
      </c>
      <c r="Q74" s="108" t="str">
        <f>IF(OR($D74="C345",$D74="C12A",$D74="DATA"),
   VLOOKUP($B74,'LOD 400 - COLO3'!B:N,13,FALSE),"N/A")</f>
        <v>N/A</v>
      </c>
      <c r="R74" s="75" t="str">
        <f>IF(OR($D74="C345",$D74="C12A",$D74="DATA"),
   VLOOKUP($B74,'LOD 400 - COLO3'!B:O,14,FALSE),"N/A")</f>
        <v>N/A</v>
      </c>
      <c r="S74" s="76" t="str">
        <f>IF(OR($D74="C345",$D74="C12A",$D74="DATA"),
   VLOOKUP($B74,'LOD 400 - COLO4'!B:N,12,FALSE),"N/A")</f>
        <v>N/A</v>
      </c>
      <c r="T74" s="76" t="str">
        <f>IF(OR($D74="C345",$D74="C12A",$D74="DATA"),
   VLOOKUP($B74,'LOD 400 - COLO4'!B:N,13,FALSE),"N/A")</f>
        <v>N/A</v>
      </c>
      <c r="U74" s="76" t="str">
        <f>IF(OR($D74="C345",$D74="C12A",$D74="DATA"),
   VLOOKUP($B74,'LOD 400 - COLO4'!B:N,13,FALSE),"N/A")</f>
        <v>N/A</v>
      </c>
      <c r="V74" s="77" t="str">
        <f>IF(OR($D74="UTLS",$D74="GUAR",$D74="STIR",$D74="PUMP",$D74="SITE"),
   VLOOKUP($B74,'LOD 400 - UTLS'!B:M,12,FALSE),"N/A")</f>
        <v>V21</v>
      </c>
      <c r="W74" s="78" t="str">
        <f>IF(OR($D74="UTLS",$D74="GUAR",$D74="STIR",$D74="PUMP",$D74="SITE"),
   VLOOKUP($B74,'LOD 400 - UTLS'!B:N,13,FALSE),"N/A")</f>
        <v>23/12/2025</v>
      </c>
      <c r="X74" s="108" t="str">
        <f>IF(OR($D74="UTLS",$D74="GUAR",$D74="STIR",$D74="PUMP",$D74="SITE"),
   VLOOKUP($B74,'LOD 400 - UTLS'!B:O,14,FALSE),"N/A")</f>
        <v>R22</v>
      </c>
      <c r="Y74" s="79" t="str">
        <f>IFERROR(VLOOKUP($B74,'LOD 400 - ADMN'!B:S,18,FALSE),"N/A")</f>
        <v>N/A</v>
      </c>
      <c r="Z74" s="79" t="str">
        <f>IFERROR(VLOOKUP($B74,'LOD 400 - ADMN'!B:V,21,FALSE),"N/A")</f>
        <v>N/A</v>
      </c>
      <c r="AA74" s="79" t="str">
        <f>IFERROR(VLOOKUP($B74,'LOD 400 - ADMN'!$B:Y,24,FALSE),"N/A")</f>
        <v>N/A</v>
      </c>
      <c r="AB74" s="80" t="str">
        <f>IFERROR(VLOOKUP($B74,'LOD 400 - ADMN'!$B:AB,27,FALSE),"N/A")</f>
        <v>N/A</v>
      </c>
      <c r="AC74" s="81" t="str">
        <f>IFERROR(VLOOKUP($B74,'LOD 400 - ADMN'!$B:AE,30,FALSE),"N/A")</f>
        <v>N/A</v>
      </c>
      <c r="AD74" s="81" t="str">
        <f>IFERROR(VLOOKUP($B74,'LOD 400 - ADMN'!$B:AH,33,FALSE),"N/A")</f>
        <v>N/A</v>
      </c>
      <c r="AE74" s="80" t="str">
        <f>IFERROR(VLOOKUP($B74,'LOD 400 - ADMN'!$B:AK,36,FALSE),"N/A")</f>
        <v>N/A</v>
      </c>
      <c r="AF74" s="82" t="str">
        <f>IFERROR(VLOOKUP($B74,'LOD 400 - ADMN'!$B:AN,39,FALSE),"N/A")</f>
        <v>N/A</v>
      </c>
      <c r="AG74" s="83" t="str">
        <f>IFERROR(VLOOKUP($B74,'LOD 400 - ADMN'!$B:AQ,42,FALSE),"N/A")</f>
        <v>N/A</v>
      </c>
      <c r="AH74" s="84" t="str">
        <f>IFERROR(VLOOKUP($B74,'LOD 400 - ADMN'!$B:AT,45,FALSE),"N/A")</f>
        <v>N/A</v>
      </c>
      <c r="AI74" s="85" t="str">
        <f>IFERROR(VLOOKUP($B74,'LOD 400 - ADMN'!$B:AW,48,FALSE),"N/A")</f>
        <v>N/A</v>
      </c>
      <c r="AJ74" s="85" t="str">
        <f>IFERROR(VLOOKUP($B74,'LOD 400 - ADMN'!$B:AZ,51,FALSE),"N/A")</f>
        <v>N/A</v>
      </c>
      <c r="AK74" s="84" t="str">
        <f>IFERROR(VLOOKUP($B74,'LOD 400 - ADMN'!$B:BC,54,FALSE),"N/A")</f>
        <v>N/A</v>
      </c>
      <c r="AL74" s="84" t="str">
        <f>IFERROR(VLOOKUP($B74,'LOD 400 - ADMN'!$B:BF,57,FALSE),"N/A")</f>
        <v>N/A</v>
      </c>
      <c r="AM74" s="84" t="str">
        <f>IFERROR(VLOOKUP($B74,'LOD 400 - ADMN'!$B:BI,60,FALSE),"N/A")</f>
        <v>N/A</v>
      </c>
      <c r="AN74" s="84" t="str">
        <f>IFERROR(VLOOKUP($B74,'LOD 400 - ADMN'!$B:BL,63,FALSE),"N/A")</f>
        <v>N/A</v>
      </c>
      <c r="AO74" s="84" t="str">
        <f>IFERROR(VLOOKUP($B74,'LOD 400 - ADMN'!$B:BO,66,FALSE),"N/A")</f>
        <v>N/A</v>
      </c>
      <c r="AP74" s="84" t="str">
        <f>IFERROR(VLOOKUP($B74,'LOD 400 - ADMN'!$B:BR,69,FALSE),"N/A")</f>
        <v>N/A</v>
      </c>
      <c r="AQ74" s="84" t="str">
        <f>IFERROR(VLOOKUP($B74,'LOD 400 - ADMN'!$B:BU,72,FALSE),"N/A")</f>
        <v>N/A</v>
      </c>
      <c r="AR74" s="84" t="str">
        <f>IFERROR(VLOOKUP($B74,'LOD 400 - ADMN'!$B:BX,75,FALSE),"N/A")</f>
        <v>N/A</v>
      </c>
      <c r="AS74" s="84" t="str">
        <f>IFERROR(VLOOKUP($B74,'LOD 400 - ADMN'!$B:CA,78,FALSE),"N/A")</f>
        <v>N/A</v>
      </c>
      <c r="AT74" s="84" t="str">
        <f>IFERROR(VLOOKUP($B74,'LOD 400 - ADMN'!$B:CD,81,FALSE),"N/A")</f>
        <v>N/A</v>
      </c>
      <c r="AU74" s="85" t="str">
        <f>IFERROR(VLOOKUP($B74,'LOD 400 - ADMN'!$B:CG,84,FALSE),"N/A")</f>
        <v>N/A</v>
      </c>
      <c r="AV74" s="84" t="str">
        <f>IFERROR(VLOOKUP($B74,'LOD 400 - ADMN'!$B:CJ,87,FALSE),"N/A")</f>
        <v>N/A</v>
      </c>
      <c r="AW74" s="85" t="str">
        <f>IFERROR(VLOOKUP($B74,'LOD 400 - ADMN'!$B:CM,90,FALSE),"N/A")</f>
        <v>N/A</v>
      </c>
      <c r="AX74" s="84" t="str">
        <f>IFERROR(VLOOKUP($B74,'LOD 400 - ADMN'!$B:CP,93,FALSE),"N/A")</f>
        <v>N/A</v>
      </c>
      <c r="AY74" s="84" t="str">
        <f>IFERROR(VLOOKUP($B74,'LOD 400 - ADMN'!$B:CS,96,FALSE),"N/A")</f>
        <v>N/A</v>
      </c>
      <c r="AZ74" s="84" t="str">
        <f>IFERROR(VLOOKUP($B74,'LOD 400 - ADMN'!$B:CV,99,FALSE),"N/A")</f>
        <v>N/A</v>
      </c>
      <c r="BA74" s="84" t="str">
        <f>IFERROR(VLOOKUP($B74,'LOD 400 - ADMN'!$B:CY,102,FALSE),"N/A")</f>
        <v>N/A</v>
      </c>
      <c r="BB74" s="84" t="str">
        <f>IFERROR(VLOOKUP($B74,'LOD 400 - ADMN'!$B:DB,105,FALSE),"N/A")</f>
        <v>N/A</v>
      </c>
      <c r="BC74" s="84" t="str">
        <f>IFERROR(VLOOKUP($B74,'LOD 400 - ADMN'!$B:DE,108,FALSE),"N/A")</f>
        <v>N/A</v>
      </c>
      <c r="BD74" s="84" t="str">
        <f>IFERROR(VLOOKUP($B74,'LOD 400 - ADMN'!$B:DH,111,FALSE),"N/A")</f>
        <v>N/A</v>
      </c>
      <c r="BE74" s="84" t="str">
        <f>IFERROR(VLOOKUP($B74,'LOD 400 - ADMN'!$B:DK,114,FALSE),"N/A")</f>
        <v>N/A</v>
      </c>
      <c r="BF74" s="84" t="str">
        <f>IFERROR(VLOOKUP($B74,'LOD 400 - ADMN'!$B:DN,117,FALSE),"N/A")</f>
        <v>N/A</v>
      </c>
      <c r="BG74" s="86" t="str">
        <f>IFERROR(__xludf.DUMMYFUNCTION("IFERROR(
  MAX(FILTER(Y74:BF74, ISNUMBER(Y74:BF74))),
  BF74
)"),"N/A")</f>
        <v>N/A</v>
      </c>
      <c r="BH74" s="79" t="str">
        <f>IFERROR(VLOOKUP($B74,'LOD 400 - COLO1'!B:S,18,FALSE),"N/A")</f>
        <v>N/A</v>
      </c>
      <c r="BI74" s="79" t="str">
        <f>IFERROR(VLOOKUP($B74,'LOD 400 - COLO1'!B:V,21,FALSE),"N/A")</f>
        <v>N/A</v>
      </c>
      <c r="BJ74" s="79" t="str">
        <f>IFERROR(VLOOKUP($B74,'LOD 400 - COLO1'!$B:Y,24,FALSE),"N/A")</f>
        <v>N/A</v>
      </c>
      <c r="BK74" s="87" t="str">
        <f>IFERROR(VLOOKUP($B74,'LOD 400 - COLO1'!$B:AB,27,FALSE),"N/A")</f>
        <v>N/A</v>
      </c>
      <c r="BL74" s="80" t="str">
        <f>IFERROR(VLOOKUP($B74,'LOD 400 - COLO1'!$B:AE,30,FALSE),"N/A")</f>
        <v>N/A</v>
      </c>
      <c r="BM74" s="81" t="str">
        <f>IFERROR(VLOOKUP($B74,'LOD 400 - COLO1'!$B:AH,33,FALSE),"N/A")</f>
        <v>N/A</v>
      </c>
      <c r="BN74" s="87" t="str">
        <f>IFERROR(VLOOKUP($B74,'LOD 400 - COLO1'!$B:AK,36,FALSE),"N/A")</f>
        <v>N/A</v>
      </c>
      <c r="BO74" s="83" t="str">
        <f>IFERROR(VLOOKUP($B74,'LOD 400 - COLO1'!$B:AN,39,FALSE),"N/A")</f>
        <v>N/A</v>
      </c>
      <c r="BP74" s="88" t="str">
        <f>IFERROR(VLOOKUP($B74,'LOD 400 - COLO1'!$B:AQ,42,FALSE),"N/A")</f>
        <v>N/A</v>
      </c>
      <c r="BQ74" s="84" t="str">
        <f>IFERROR(VLOOKUP($B74,'LOD 400 - COLO1'!$B:AT,45,FALSE),"N/A")</f>
        <v>N/A</v>
      </c>
      <c r="BR74" s="85" t="str">
        <f>IFERROR(VLOOKUP($B74,'LOD 400 - COLO1'!$B:AW,48,FALSE),"N/A")</f>
        <v>N/A</v>
      </c>
      <c r="BS74" s="84" t="str">
        <f>IFERROR(VLOOKUP($B74,'LOD 400 - COLO1'!$B:AZ,51,FALSE),"N/A")</f>
        <v>N/A</v>
      </c>
      <c r="BT74" s="84" t="str">
        <f>IFERROR(VLOOKUP($B74,'LOD 400 - COLO1'!$B:BC,54,FALSE),"N/A")</f>
        <v>N/A</v>
      </c>
      <c r="BU74" s="84" t="str">
        <f>IFERROR(VLOOKUP($B74,'LOD 400 - COLO1'!$B:BF,57,FALSE),"N/A")</f>
        <v>N/A</v>
      </c>
      <c r="BV74" s="84" t="str">
        <f>IFERROR(VLOOKUP($B74,'LOD 400 - COLO1'!$B:BI,60,FALSE),"N/A")</f>
        <v>N/A</v>
      </c>
      <c r="BW74" s="84" t="str">
        <f>IFERROR(VLOOKUP($B74,'LOD 400 - COLO1'!$B:BL,63,FALSE),"N/A")</f>
        <v>N/A</v>
      </c>
      <c r="BX74" s="84" t="str">
        <f>IFERROR(VLOOKUP($B74,'LOD 400 - COLO1'!$B:BO,66,FALSE),"N/A")</f>
        <v>N/A</v>
      </c>
      <c r="BY74" s="84" t="str">
        <f>IFERROR(VLOOKUP($B74,'LOD 400 - COLO1'!$B:BR,69,FALSE),"N/A")</f>
        <v>N/A</v>
      </c>
      <c r="BZ74" s="84" t="str">
        <f>IFERROR(VLOOKUP($B74,'LOD 400 - COLO1'!$B:BU,72,FALSE),"N/A")</f>
        <v>N/A</v>
      </c>
      <c r="CA74" s="84" t="str">
        <f>IFERROR(VLOOKUP($B74,'LOD 400 - COLO1'!$B:BX,75,FALSE),"N/A")</f>
        <v>N/A</v>
      </c>
      <c r="CB74" s="84" t="str">
        <f>IFERROR(VLOOKUP($B74,'LOD 400 - COLO1'!$B:CA,78,FALSE),"N/A")</f>
        <v>N/A</v>
      </c>
      <c r="CC74" s="84" t="str">
        <f>IFERROR(VLOOKUP($B74,'LOD 400 - COLO1'!$B:CD,81,FALSE),"N/A")</f>
        <v>N/A</v>
      </c>
      <c r="CD74" s="85" t="str">
        <f>IFERROR(VLOOKUP($B74,'LOD 400 - COLO1'!$B:CG,84,FALSE),"N/A")</f>
        <v>N/A</v>
      </c>
      <c r="CE74" s="84" t="str">
        <f>IFERROR(VLOOKUP($B74,'LOD 400 - COLO1'!$B:CJ,87,FALSE),"N/A")</f>
        <v>N/A</v>
      </c>
      <c r="CF74" s="85" t="str">
        <f>IFERROR(VLOOKUP($B74,'LOD 400 - COLO1'!$B:CM,90,FALSE),"N/A")</f>
        <v>N/A</v>
      </c>
      <c r="CG74" s="84" t="str">
        <f>IFERROR(VLOOKUP($B74,'LOD 400 - COLO1'!$B:CP,93,FALSE),"N/A")</f>
        <v>N/A</v>
      </c>
      <c r="CH74" s="84" t="str">
        <f>IFERROR(VLOOKUP($B74,'LOD 400 - COLO1'!$B:CS,96,FALSE),"N/A")</f>
        <v>N/A</v>
      </c>
      <c r="CI74" s="84" t="str">
        <f>IFERROR(VLOOKUP($B74,'LOD 400 - COLO1'!$B:CV,99,FALSE),"N/A")</f>
        <v>N/A</v>
      </c>
      <c r="CJ74" s="84" t="str">
        <f>IFERROR(VLOOKUP($B74,'LOD 400 - COLO1'!$B:CY,102,FALSE),"N/A")</f>
        <v>N/A</v>
      </c>
      <c r="CK74" s="84" t="str">
        <f>IFERROR(VLOOKUP($B74,'LOD 400 - COLO1'!$B:DB,105,FALSE),"N/A")</f>
        <v>N/A</v>
      </c>
      <c r="CL74" s="84" t="str">
        <f>IFERROR(VLOOKUP($B74,'LOD 400 - COLO1'!$B:DE,108,FALSE),"N/A")</f>
        <v>N/A</v>
      </c>
      <c r="CM74" s="84" t="str">
        <f>IFERROR(VLOOKUP($B74,'LOD 400 - COLO1'!$B:DH,111,FALSE),"N/A")</f>
        <v>N/A</v>
      </c>
      <c r="CN74" s="84" t="str">
        <f>IFERROR(VLOOKUP($B74,'LOD 400 - COLO1'!$B:DK,114,FALSE),"N/A")</f>
        <v>N/A</v>
      </c>
      <c r="CO74" s="84" t="str">
        <f>IFERROR(VLOOKUP($B74,'LOD 400 - COLO1'!$B:DN,117,FALSE),"N/A")</f>
        <v>N/A</v>
      </c>
      <c r="CP74" s="86" t="str">
        <f>IFERROR(__xludf.DUMMYFUNCTION("IFERROR(
  MAX(FILTER(BH74:CO74, ISNUMBER(BH74:CO74))),
  CO74
)"),"N/A")</f>
        <v>N/A</v>
      </c>
      <c r="CQ74" s="89" t="str">
        <f>IFERROR(VLOOKUP($B74,'LOD 400 - COLO2'!B:S,18,FALSE),"N/A")</f>
        <v>N/A</v>
      </c>
      <c r="CR74" s="79" t="str">
        <f>IFERROR(VLOOKUP($B74,'LOD 400 - COLO2'!B:V,21,FALSE),"N/A")</f>
        <v>N/A</v>
      </c>
      <c r="CS74" s="79" t="str">
        <f>IFERROR(VLOOKUP($B74,'LOD 400 - COLO2'!$B:Y,24,FALSE),"N/A")</f>
        <v>N/A</v>
      </c>
      <c r="CT74" s="80" t="str">
        <f>IFERROR(VLOOKUP($B74,'LOD 400 - COLO2'!$B:DQ,27,FALSE),"N/A")</f>
        <v>N/A</v>
      </c>
      <c r="CU74" s="90" t="str">
        <f>IFERROR(VLOOKUP($B74,'LOD 400 - COLO2'!$B:AE,30,FALSE),"N/A")</f>
        <v>N/A</v>
      </c>
      <c r="CV74" s="81" t="str">
        <f>IFERROR(VLOOKUP($B74,'LOD 400 - COLO2'!$B:AH,33,FALSE),"N/A")</f>
        <v>N/A</v>
      </c>
      <c r="CW74" s="90" t="str">
        <f>IFERROR(VLOOKUP($B74,'LOD 400 - COLO2'!$B:AK,36,FALSE),"N/A")</f>
        <v>N/A</v>
      </c>
      <c r="CX74" s="85" t="str">
        <f>IFERROR(VLOOKUP($B74,'LOD 400 - COLO2'!$B:AN,39,FALSE),"N/A")</f>
        <v>N/A</v>
      </c>
      <c r="CY74" s="88" t="str">
        <f>IFERROR(VLOOKUP($B74,'LOD 400 - COLO2'!$B:AQ,42,FALSE),"N/A")</f>
        <v>N/A</v>
      </c>
      <c r="CZ74" s="84" t="str">
        <f>IFERROR(VLOOKUP($B74,'LOD 400 - COLO2'!$B:AT,45,FALSE),"N/A")</f>
        <v>N/A</v>
      </c>
      <c r="DA74" s="85" t="str">
        <f>IFERROR(VLOOKUP($B74,'LOD 400 - COLO2'!$B:AW,48,FALSE),"N/A")</f>
        <v>N/A</v>
      </c>
      <c r="DB74" s="84" t="str">
        <f>IFERROR(VLOOKUP($B74,'LOD 400 - COLO2'!$B:AZ,51,FALSE),"N/A")</f>
        <v>N/A</v>
      </c>
      <c r="DC74" s="84" t="str">
        <f>IFERROR(VLOOKUP($B74,'LOD 400 - COLO2'!$B:BC,54,FALSE),"N/A")</f>
        <v>N/A</v>
      </c>
      <c r="DD74" s="84" t="str">
        <f>IFERROR(VLOOKUP($B74,'LOD 400 - COLO2'!$B:BF,57,FALSE),"N/A")</f>
        <v>N/A</v>
      </c>
      <c r="DE74" s="84" t="str">
        <f>IFERROR(VLOOKUP($B74,'LOD 400 - COLO2'!$B:BI,60,FALSE),"N/A")</f>
        <v>N/A</v>
      </c>
      <c r="DF74" s="84" t="str">
        <f>IFERROR(VLOOKUP($B74,'LOD 400 - COLO2'!$B:BL,63,FALSE),"N/A")</f>
        <v>N/A</v>
      </c>
      <c r="DG74" s="84" t="str">
        <f>IFERROR(VLOOKUP($B74,'LOD 400 - COLO2'!$B:BO,66,FALSE),"N/A")</f>
        <v>N/A</v>
      </c>
      <c r="DH74" s="84" t="str">
        <f>IFERROR(VLOOKUP($B74,'LOD 400 - COLO2'!$B:BR,69,FALSE),"N/A")</f>
        <v>N/A</v>
      </c>
      <c r="DI74" s="84" t="str">
        <f>IFERROR(VLOOKUP($B74,'LOD 400 - COLO2'!$B:BU,72,FALSE),"N/A")</f>
        <v>N/A</v>
      </c>
      <c r="DJ74" s="84" t="str">
        <f>IFERROR(VLOOKUP($B74,'LOD 400 - COLO2'!$B:BX,75,FALSE),"N/A")</f>
        <v>N/A</v>
      </c>
      <c r="DK74" s="84" t="str">
        <f>IFERROR(VLOOKUP($B74,'LOD 400 - COLO2'!$B:CA,78,FALSE),"N/A")</f>
        <v>N/A</v>
      </c>
      <c r="DL74" s="84" t="str">
        <f>IFERROR(VLOOKUP($B74,'LOD 400 - COLO2'!$B:CD,81,FALSE),"N/A")</f>
        <v>N/A</v>
      </c>
      <c r="DM74" s="85" t="str">
        <f>IFERROR(VLOOKUP($B74,'LOD 400 - COLO2'!$B:CG,84,FALSE),"N/A")</f>
        <v>N/A</v>
      </c>
      <c r="DN74" s="84" t="str">
        <f>IFERROR(VLOOKUP($B74,'LOD 400 - COLO2'!$B:CJ,87,FALSE),"N/A")</f>
        <v>N/A</v>
      </c>
      <c r="DO74" s="85" t="str">
        <f>IFERROR(VLOOKUP($B74,'LOD 400 - COLO2'!$B:CM,90,FALSE),"N/A")</f>
        <v>N/A</v>
      </c>
      <c r="DP74" s="84" t="str">
        <f>IFERROR(VLOOKUP($B74,'LOD 400 - COLO2'!$B:CP,93,FALSE),"N/A")</f>
        <v>N/A</v>
      </c>
      <c r="DQ74" s="84" t="str">
        <f>IFERROR(VLOOKUP($B74,'LOD 400 - COLO2'!$B:CS,96,FALSE),"N/A")</f>
        <v>N/A</v>
      </c>
      <c r="DR74" s="84" t="str">
        <f>IFERROR(VLOOKUP($B74,'LOD 400 - COLO2'!$B:CV,99,FALSE),"N/A")</f>
        <v>N/A</v>
      </c>
      <c r="DS74" s="84" t="str">
        <f>IFERROR(VLOOKUP($B74,'LOD 400 - COLO2'!$B:CY,102,FALSE),"N/A")</f>
        <v>N/A</v>
      </c>
      <c r="DT74" s="84" t="str">
        <f>IFERROR(VLOOKUP($B74,'LOD 400 - COLO2'!$B:DB,105,FALSE),"N/A")</f>
        <v>N/A</v>
      </c>
      <c r="DU74" s="84" t="str">
        <f>IFERROR(VLOOKUP($B74,'LOD 400 - COLO2'!$B:DE,108,FALSE),"N/A")</f>
        <v>N/A</v>
      </c>
      <c r="DV74" s="84" t="str">
        <f>IFERROR(VLOOKUP($B74,'LOD 400 - COLO2'!$B:DH,111,FALSE),"N/A")</f>
        <v>N/A</v>
      </c>
      <c r="DW74" s="84" t="str">
        <f>IFERROR(VLOOKUP($B74,'LOD 400 - COLO2'!$B:DK,114,FALSE),"N/A")</f>
        <v>N/A</v>
      </c>
      <c r="DX74" s="84" t="str">
        <f>IFERROR(VLOOKUP($B74,'LOD 400 - COLO2'!$B:DN,117,FALSE),"N/A")</f>
        <v>N/A</v>
      </c>
      <c r="DY74" s="91" t="str">
        <f>IFERROR(__xludf.DUMMYFUNCTION("IFERROR(
  MAX(FILTER(CQ74:DW74, ISNUMBER(CQ74:DW74))),
  DW74
)"),"N/A")</f>
        <v>N/A</v>
      </c>
      <c r="DZ74" s="92" t="str">
        <f>IFERROR(VLOOKUP($B74,'LOD 400 - COLO3'!B:S,18,FALSE),"N/A")</f>
        <v>N/A</v>
      </c>
      <c r="EA74" s="84" t="str">
        <f>IFERROR(VLOOKUP($B74,'LOD 400 - COLO3'!B:V,21,FALSE),"N/A")</f>
        <v>N/A</v>
      </c>
      <c r="EB74" s="84" t="str">
        <f>IFERROR(VLOOKUP($B74,'LOD 400 - COLO3'!B:Y,24,FALSE),"N/A")</f>
        <v>N/A</v>
      </c>
      <c r="EC74" s="84" t="str">
        <f>IFERROR(VLOOKUP($B74,'LOD 400 - COLO3'!B:AB,27,FALSE),"N/A")</f>
        <v>N/A</v>
      </c>
      <c r="ED74" s="85" t="str">
        <f>IFERROR(VLOOKUP($B74,'LOD 400 - COLO3'!B:AE,30,FALSE),"N/A")</f>
        <v>N/A</v>
      </c>
      <c r="EE74" s="84" t="str">
        <f>IFERROR(VLOOKUP($B74,'LOD 400 - COLO3'!B:AH,33,FALSE),"N/A")</f>
        <v>N/A</v>
      </c>
      <c r="EF74" s="84" t="str">
        <f>IFERROR(VLOOKUP($B74,'LOD 400 - COLO3'!B:AK,36,FALSE),"N/A")</f>
        <v>N/A</v>
      </c>
      <c r="EG74" s="109" t="str">
        <f>IFERROR(VLOOKUP($B74,'LOD 400 - COLO3'!B:AN,39,FALSE),"N/A")</f>
        <v>N/A</v>
      </c>
      <c r="EH74" s="94" t="str">
        <f>IFERROR(VLOOKUP($B74,'LOD 400 - COLO3'!B:AQ,42,FALSE),"N/A")</f>
        <v>N/A</v>
      </c>
      <c r="EI74" s="94" t="str">
        <f>IFERROR(VLOOKUP($B74,'LOD 400 - COLO3'!B:AT,45,FALSE),"N/A")</f>
        <v>N/A</v>
      </c>
      <c r="EJ74" s="94" t="str">
        <f>IFERROR(VLOOKUP($B74,'LOD 400 - COLO3'!B:AW,48,FALSE),"N/A")</f>
        <v>N/A</v>
      </c>
      <c r="EK74" s="94" t="str">
        <f>IFERROR(VLOOKUP($B74,'LOD 400 - COLO3'!B:AZ,51,FALSE),"N/A")</f>
        <v>N/A</v>
      </c>
      <c r="EL74" s="94" t="str">
        <f>IFERROR(VLOOKUP($B74,'LOD 400 - COLO3'!B:BC,54,FALSE),"N/A")</f>
        <v>N/A</v>
      </c>
      <c r="EM74" s="94" t="str">
        <f>IFERROR(VLOOKUP($B74,'LOD 400 - COLO3'!B:BF,57,FALSE),"N/A")</f>
        <v>N/A</v>
      </c>
      <c r="EN74" s="94" t="str">
        <f>IFERROR(VLOOKUP($B74,'LOD 400 - COLO3'!B:BI,60,FALSE),"N/A")</f>
        <v>N/A</v>
      </c>
      <c r="EO74" s="94" t="str">
        <f>IFERROR(VLOOKUP($B74,'LOD 400 - COLO3'!B:BL,63,FALSE),"N/A")</f>
        <v>N/A</v>
      </c>
      <c r="EP74" s="86" t="str">
        <f>IFERROR(__xludf.DUMMYFUNCTION("IFERROR(
  MAX(FILTER(DZ74:EO74, ISNUMBER(DZ74:EO74))),
  EO74
)"),"N/A")</f>
        <v>N/A</v>
      </c>
      <c r="EQ74" s="95" t="str">
        <f>IFERROR(VLOOKUP($B74,'LOD 400 - COLO4'!B:S,18,FALSE),"N/A")</f>
        <v>N/A</v>
      </c>
      <c r="ER74" s="96" t="str">
        <f>IFERROR(__xludf.DUMMYFUNCTION("IFERROR(
  MAX(FILTER(EQ74, ISNUMBER(EQ74))),
  EQ74
)"),"N/A")</f>
        <v>N/A</v>
      </c>
      <c r="ES74" s="79" t="str">
        <f>IFERROR(VLOOKUP($B74,'LOD 400 - SITE'!B:S,18,FALSE),"N/A")</f>
        <v>OUTDATED</v>
      </c>
      <c r="ET74" s="80" t="str">
        <f>IFERROR(VLOOKUP($B74,'LOD 400 - SITE'!B:V,21,FALSE),"N/A")</f>
        <v>OUTDATED</v>
      </c>
      <c r="EU74" s="97">
        <f>IFERROR(VLOOKUP($B74,'LOD 400 - SITE'!$B:Y,24,FALSE),"N/A")</f>
        <v>0.17</v>
      </c>
      <c r="EV74" s="80" t="str">
        <f>IFERROR(VLOOKUP($B74,'LOD 400 - SITE'!$B:AB,27,FALSE),"N/A")</f>
        <v>IMPROPER</v>
      </c>
      <c r="EW74" s="81">
        <f>IFERROR(VLOOKUP($B74,'LOD 400 - SITE'!$B:AE,30,FALSE),"N/A")</f>
        <v>0.48</v>
      </c>
      <c r="EX74" s="87" t="str">
        <f>IFERROR(VLOOKUP($B74,'LOD 400 - SITE'!$B:AH,33,FALSE),"N/A")</f>
        <v>OUTDATED</v>
      </c>
      <c r="EY74" s="87" t="str">
        <f>IFERROR(VLOOKUP($B74,'LOD 400 - SITE'!$B:AK,36,FALSE),"N/A")</f>
        <v>NEXT ROUND </v>
      </c>
      <c r="EZ74" s="80">
        <f>IFERROR(VLOOKUP($B74,'LOD 400 - SITE'!$B:AN,39,FALSE),"N/A")</f>
        <v>0.55</v>
      </c>
      <c r="FA74" s="82">
        <f>IFERROR(VLOOKUP($B74,'LOD 400 - SITE'!$B:AQ,42,FALSE),"N/A")</f>
        <v>1</v>
      </c>
      <c r="FB74" s="88">
        <f>IFERROR(VLOOKUP($B74,'LOD 400 - SITE'!$B:AT,45,FALSE),"N/A")</f>
        <v>1</v>
      </c>
      <c r="FC74" s="84">
        <f>IFERROR(VLOOKUP($B74,'LOD 400 - SITE'!$B:AW,48,FALSE),"N/A")</f>
        <v>1</v>
      </c>
      <c r="FD74" s="84">
        <f>IFERROR(VLOOKUP($B74,'LOD 400 - SITE'!$B:AZ,51,FALSE),"N/A")</f>
        <v>1</v>
      </c>
      <c r="FE74" s="84">
        <f>IFERROR(VLOOKUP($B74,'LOD 400 - SITE'!$B:BC,54,FALSE),"N/A")</f>
        <v>1</v>
      </c>
      <c r="FF74" s="84">
        <f>IFERROR(VLOOKUP($B74,'LOD 400 - SITE'!$B:BF,57,FALSE),"N/A")</f>
        <v>1</v>
      </c>
      <c r="FG74" s="84">
        <f>IFERROR(VLOOKUP($B74,'LOD 400 - SITE'!$B:BI,60,FALSE),"N/A")</f>
        <v>1</v>
      </c>
      <c r="FH74" s="84">
        <f>IFERROR(VLOOKUP($B74,'LOD 400 - SITE'!$B:BL,63,FALSE),"N/A")</f>
        <v>1</v>
      </c>
      <c r="FI74" s="84">
        <f>IFERROR(VLOOKUP($B74,'LOD 400 - SITE'!$B:BO,66,FALSE),"N/A")</f>
        <v>1</v>
      </c>
      <c r="FJ74" s="84">
        <f>IFERROR(VLOOKUP($B74,'LOD 400 - SITE'!$B:BR,69,FALSE),"N/A")</f>
        <v>1</v>
      </c>
      <c r="FK74" s="84">
        <f>IFERROR(VLOOKUP($B74,'LOD 400 - SITE'!$B:BU,72,FALSE),"N/A")</f>
        <v>1</v>
      </c>
      <c r="FL74" s="84">
        <f>IFERROR(VLOOKUP($B74,'LOD 400 - SITE'!$B:BX,75,FALSE),"N/A")</f>
        <v>1</v>
      </c>
      <c r="FM74" s="84">
        <f>IFERROR(VLOOKUP($B74,'LOD 400 - SITE'!$B:CA,78,FALSE),"N/A")</f>
        <v>1</v>
      </c>
      <c r="FN74" s="85">
        <f>IFERROR(VLOOKUP($B74,'LOD 400 - SITE'!$B:CD,81,FALSE),"N/A")</f>
        <v>1</v>
      </c>
      <c r="FO74" s="84">
        <f>IFERROR(VLOOKUP($B74,'LOD 400 - SITE'!$B:CG,84,FALSE),"N/A")</f>
        <v>1</v>
      </c>
      <c r="FP74" s="85">
        <f>IFERROR(VLOOKUP($B74,'LOD 400 - SITE'!$B:CJ,87,FALSE),"N/A")</f>
        <v>1</v>
      </c>
      <c r="FQ74" s="84">
        <f>IFERROR(VLOOKUP($B74,'LOD 400 - SITE'!$B:CM,90,FALSE),"N/A")</f>
        <v>1</v>
      </c>
      <c r="FR74" s="84">
        <f>IFERROR(VLOOKUP($B74,'LOD 400 - SITE'!$B:CP,93,FALSE),"N/A")</f>
        <v>1</v>
      </c>
      <c r="FS74" s="84">
        <f>IFERROR(VLOOKUP($B74,'LOD 400 - SITE'!$B:CS,96,FALSE),"N/A")</f>
        <v>1</v>
      </c>
      <c r="FT74" s="84">
        <f>IFERROR(VLOOKUP($B74,'LOD 400 - SITE'!$B:CV,99,FALSE),"N/A")</f>
        <v>1</v>
      </c>
      <c r="FU74" s="84">
        <f>IFERROR(VLOOKUP($B74,'LOD 400 - SITE'!$B:CY,102,FALSE),"N/A")</f>
        <v>1</v>
      </c>
      <c r="FV74" s="84">
        <f>IFERROR(VLOOKUP($B74,'LOD 400 - SITE'!$B:DB,105,FALSE),"N/A")</f>
        <v>1</v>
      </c>
      <c r="FW74" s="84">
        <f>IFERROR(VLOOKUP($B74,'LOD 400 - SITE'!$B:DE,108,FALSE),"N/A")</f>
        <v>1</v>
      </c>
      <c r="FX74" s="84">
        <f>IFERROR(VLOOKUP($B74,'LOD 400 - SITE'!$B:DH,111,FALSE),"N/A")</f>
        <v>1</v>
      </c>
      <c r="FY74" s="84">
        <f>IFERROR(VLOOKUP($B74,'LOD 400 - SITE'!$B:DK,114,FALSE),"N/A")</f>
        <v>1</v>
      </c>
      <c r="FZ74" s="96">
        <f>IFERROR(__xludf.DUMMYFUNCTION("IFERROR(
  MAX(FILTER(ES74:FY74, ISNUMBER(ES74:FY74))),
  FY74
)"),1.0)</f>
        <v>1</v>
      </c>
      <c r="GA74" s="80" t="str">
        <f>IFERROR(VLOOKUP($B74,'LOD 400 - UTLS'!B:S,18,FALSE),"N/A")</f>
        <v>OUTDATED</v>
      </c>
      <c r="GB74" s="98">
        <f>IFERROR(VLOOKUP($B74,'LOD 400 - UTLS'!B:V,21,FALSE),"N/A")</f>
        <v>0.23</v>
      </c>
      <c r="GC74" s="81">
        <f>IFERROR(VLOOKUP($B74,'LOD 400 - UTLS'!B:Y,24,FALSE),"N/A")</f>
        <v>0.46</v>
      </c>
      <c r="GD74" s="87" t="str">
        <f>IFERROR(VLOOKUP($B74,'LOD 400 - UTLS'!$B:AB,27,FALSE),"N/A")</f>
        <v>NEXT ROUND</v>
      </c>
      <c r="GE74" s="80">
        <f>IFERROR(VLOOKUP($B74,'LOD 400 - UTLS'!$B:AE,30,FALSE),"N/A")</f>
        <v>0.54</v>
      </c>
      <c r="GF74" s="82">
        <f>IFERROR(VLOOKUP($B74,'LOD 400 - UTLS'!$B:AH,33,FALSE),"N/A")</f>
        <v>1</v>
      </c>
      <c r="GG74" s="88">
        <f>IFERROR(VLOOKUP($B74,'LOD 400 - UTLS'!$B:AK,36,FALSE),"N/A")</f>
        <v>1</v>
      </c>
      <c r="GH74" s="84">
        <f>IFERROR(VLOOKUP($B74,'LOD 400 - UTLS'!$B:AN,39,FALSE),"N/A")</f>
        <v>1</v>
      </c>
      <c r="GI74" s="84">
        <f>IFERROR(VLOOKUP($B74,'LOD 400 - UTLS'!$B:AQ,42,FALSE),"N/A")</f>
        <v>1</v>
      </c>
      <c r="GJ74" s="84">
        <f>IFERROR(VLOOKUP($B74,'LOD 400 - UTLS'!$B:AT,45,FALSE),"N/A")</f>
        <v>1</v>
      </c>
      <c r="GK74" s="84">
        <f>IFERROR(VLOOKUP($B74,'LOD 400 - UTLS'!$B:AW,48,FALSE),"N/A")</f>
        <v>1</v>
      </c>
      <c r="GL74" s="84">
        <f>IFERROR(VLOOKUP($B74,'LOD 400 - UTLS'!$B:AZ,51,FALSE),"N/A")</f>
        <v>1</v>
      </c>
      <c r="GM74" s="84">
        <f>IFERROR(VLOOKUP($B74,'LOD 400 - UTLS'!$B:BC,54,FALSE),"N/A")</f>
        <v>1</v>
      </c>
      <c r="GN74" s="84">
        <f>IFERROR(VLOOKUP($B74,'LOD 400 - UTLS'!$B:BF,57,FALSE),"N/A")</f>
        <v>1</v>
      </c>
      <c r="GO74" s="84">
        <f>IFERROR(VLOOKUP($B74,'LOD 400 - UTLS'!$B:BI,60,FALSE),"N/A")</f>
        <v>1</v>
      </c>
      <c r="GP74" s="84">
        <f>IFERROR(VLOOKUP($B74,'LOD 400 - UTLS'!$B:BL,63,FALSE),"N/A")</f>
        <v>1</v>
      </c>
      <c r="GQ74" s="84">
        <f>IFERROR(VLOOKUP($B74,'LOD 400 - UTLS'!$B:BO,66,FALSE),"N/A")</f>
        <v>1</v>
      </c>
      <c r="GR74" s="84">
        <f>IFERROR(VLOOKUP($B74,'LOD 400 - UTLS'!$B:BR,69,FALSE),"N/A")</f>
        <v>1</v>
      </c>
      <c r="GS74" s="85">
        <f>IFERROR(VLOOKUP($B74,'LOD 400 - UTLS'!$B:BU,72,FALSE),"N/A")</f>
        <v>1</v>
      </c>
      <c r="GT74" s="84">
        <f>IFERROR(VLOOKUP($B74,'LOD 400 - UTLS'!$B:BX,75,FALSE),"N/A")</f>
        <v>1</v>
      </c>
      <c r="GU74" s="85">
        <f>IFERROR(VLOOKUP($B74,'LOD 400 - UTLS'!$B:CA,78,FALSE),"N/A")</f>
        <v>1</v>
      </c>
      <c r="GV74" s="84">
        <f>IFERROR(VLOOKUP($B74,'LOD 400 - UTLS'!$B:CD,81,FALSE),"N/A")</f>
        <v>1</v>
      </c>
      <c r="GW74" s="84">
        <f>IFERROR(VLOOKUP($B74,'LOD 400 - UTLS'!$B:CG,84,FALSE),"N/A")</f>
        <v>1</v>
      </c>
      <c r="GX74" s="84">
        <f>IFERROR(VLOOKUP($B74,'LOD 400 - UTLS'!$B:CJ,87,FALSE),"N/A")</f>
        <v>1</v>
      </c>
      <c r="GY74" s="84">
        <f>IFERROR(VLOOKUP($B74,'LOD 400 - UTLS'!$B:CM,90,FALSE),"N/A")</f>
        <v>1</v>
      </c>
      <c r="GZ74" s="84">
        <f>IFERROR(VLOOKUP($B74,'LOD 400 - UTLS'!$B:CP,93,FALSE),"N/A")</f>
        <v>1</v>
      </c>
      <c r="HA74" s="84">
        <f>IFERROR(VLOOKUP($B74,'LOD 400 - UTLS'!$B:CS,96,FALSE),"N/A")</f>
        <v>1</v>
      </c>
      <c r="HB74" s="84">
        <f>IFERROR(VLOOKUP($B74,'LOD 400 - UTLS'!$B:CV,99,FALSE),"N/A")</f>
        <v>1</v>
      </c>
      <c r="HC74" s="84">
        <f>IFERROR(VLOOKUP($B74,'LOD 400 - UTLS'!$B:CY,102,FALSE),"N/A")</f>
        <v>1</v>
      </c>
      <c r="HD74" s="84">
        <f>IFERROR(VLOOKUP($B74,'LOD 400 - UTLS'!$B:DB,105,FALSE),"N/A")</f>
        <v>1</v>
      </c>
      <c r="HE74" s="96">
        <f>IFERROR(__xludf.DUMMYFUNCTION("IFERROR(
  MAX(FILTER(GA74:HD74, ISNUMBER(GA74:HD74))),
  HD74
)"),1.0)</f>
        <v>1</v>
      </c>
      <c r="HF74" s="99"/>
      <c r="HG74" s="99"/>
      <c r="HH74" s="99"/>
      <c r="HI74" s="99"/>
      <c r="HJ74" s="99"/>
      <c r="HK74" s="99"/>
    </row>
    <row r="75" ht="15.75" customHeight="1" outlineLevel="1">
      <c r="A75" s="53">
        <v>79.0</v>
      </c>
      <c r="B75" s="145" t="s">
        <v>231</v>
      </c>
      <c r="C75" s="145" t="s">
        <v>232</v>
      </c>
      <c r="D75" s="64" t="str">
        <f t="shared" si="14"/>
        <v>DATA</v>
      </c>
      <c r="E75" s="101" t="s">
        <v>154</v>
      </c>
      <c r="F75" s="102">
        <v>1112.0</v>
      </c>
      <c r="G75" s="103" t="s">
        <v>155</v>
      </c>
      <c r="H75" s="104">
        <v>1129.0</v>
      </c>
      <c r="I75" s="68" t="str">
        <f>IFERROR(VLOOKUP($C72:C108,'R22 RELATÓRIO ACC'!B:F,5,FALSE),"NOT PUBLISHED")</f>
        <v>V30</v>
      </c>
      <c r="J75" s="69" t="str">
        <f>IFERROR(VLOOKUP($C72:C108,'R22 RELATÓRIO ACC'!B:P,15,FALSE),"NOT PUBLISHED")</f>
        <v>24/03/2026</v>
      </c>
      <c r="K75" s="70" t="str">
        <f>IFERROR(VLOOKUP($B72:B108,'RELATÓRIO ACC'!B:F,5,FALSE),"NOT PUBLISHED")</f>
        <v>V2</v>
      </c>
      <c r="L75" s="71" t="str">
        <f>IFERROR(VLOOKUP($B72:B108,'RELATÓRIO ACC'!B:P,15,FALSE),"NOT PUBLISHED")</f>
        <v>13/07/2026</v>
      </c>
      <c r="M75" s="72" t="str">
        <f>IF(OR($D75="UTLS",$D75="GUAR",$D75="STIR",$D75="PUMP",$D75="SITE"),
   VLOOKUP($B75,'LOD 400 - SITE'!B:M,12,FALSE),
   VLOOKUP($B75,'LOD 400 - ADMN'!B:M,12,FALSE)
)</f>
        <v>V25</v>
      </c>
      <c r="N75" s="105">
        <f>IF(OR($D75="UTLS",$D75="GUAR",$D75="STIR",$D75="PUMP",$D75="SITE"),
   VLOOKUP($B75,'LOD 400 - SITE'!B:N,13,FALSE),
   VLOOKUP($B75,'LOD 400 - ADMN'!B:N,13,FALSE)
)</f>
        <v>46014</v>
      </c>
      <c r="O75" s="106" t="str">
        <f>IF(OR($D75="UTLS",$D75="GUAR",$D75="STIR",$D75="PUMP",$D75="SITE"),
   VLOOKUP($B75,'LOD 400 - SITE'!B:O,14,FALSE),
   VLOOKUP($B75,'LOD 400 - ADMN'!B:O,14,FALSE)
)</f>
        <v>R22</v>
      </c>
      <c r="P75" s="107" t="str">
        <f>IF(OR($D75="C345",$D75="C12A",$D75="DATA"),
   VLOOKUP($B75,'LOD 400 - COLO3'!B:M,12,FALSE),"N/A")</f>
        <v>V1</v>
      </c>
      <c r="Q75" s="108">
        <f>IF(OR($D75="C345",$D75="C12A",$D75="DATA"),
   VLOOKUP($B75,'LOD 400 - COLO3'!B:N,13,FALSE),"N/A")</f>
        <v>46161</v>
      </c>
      <c r="R75" s="75" t="str">
        <f>IF(OR($D75="C345",$D75="C12A",$D75="DATA"),
   VLOOKUP($B75,'LOD 400 - COLO3'!B:O,14,FALSE),"N/A")</f>
        <v>R24</v>
      </c>
      <c r="S75" s="76" t="str">
        <f>IF(OR($D75="C345",$D75="C12A",$D75="DATA"),
   VLOOKUP($B75,'LOD 400 - COLO4'!B:N,12,FALSE),"N/A")</f>
        <v>N/A</v>
      </c>
      <c r="T75" s="76" t="str">
        <f>IF(OR($D75="C345",$D75="C12A",$D75="DATA"),
   VLOOKUP($B75,'LOD 400 - COLO4'!B:N,13,FALSE),"N/A")</f>
        <v>N/A</v>
      </c>
      <c r="U75" s="76" t="str">
        <f>IF(OR($D75="C345",$D75="C12A",$D75="DATA"),
   VLOOKUP($B75,'LOD 400 - COLO4'!B:N,13,FALSE),"N/A")</f>
        <v>N/A</v>
      </c>
      <c r="V75" s="77" t="str">
        <f>IF(OR($D75="UTLS",$D75="GUAR",$D75="STIR",$D75="PUMP",$D75="SITE"),
   VLOOKUP($B75,'LOD 400 - UTLS'!B:M,12,FALSE),"N/A")</f>
        <v>N/A</v>
      </c>
      <c r="W75" s="78" t="str">
        <f>IF(OR($D75="UTLS",$D75="GUAR",$D75="STIR",$D75="PUMP",$D75="SITE"),
   VLOOKUP($B75,'LOD 400 - UTLS'!B:N,13,FALSE),"N/A")</f>
        <v>N/A</v>
      </c>
      <c r="X75" s="108" t="str">
        <f>IF(OR($D75="UTLS",$D75="GUAR",$D75="STIR",$D75="PUMP",$D75="SITE"),
   VLOOKUP($B75,'LOD 400 - UTLS'!B:O,14,FALSE),"N/A")</f>
        <v>N/A</v>
      </c>
      <c r="Y75" s="79" t="str">
        <f>IFERROR(VLOOKUP($B75,'LOD 400 - ADMN'!B:S,18,FALSE),"N/A")</f>
        <v>OUTDATED</v>
      </c>
      <c r="Z75" s="79" t="str">
        <f>IFERROR(VLOOKUP($B75,'LOD 400 - ADMN'!B:V,21,FALSE),"N/A")</f>
        <v>OUTDATED</v>
      </c>
      <c r="AA75" s="79">
        <f>IFERROR(VLOOKUP($B75,'LOD 400 - ADMN'!$B:Y,24,FALSE),"N/A")</f>
        <v>0.12</v>
      </c>
      <c r="AB75" s="80" t="str">
        <f>IFERROR(VLOOKUP($B75,'LOD 400 - ADMN'!$B:AB,27,FALSE),"N/A")</f>
        <v>OUTDATED</v>
      </c>
      <c r="AC75" s="81">
        <f>IFERROR(VLOOKUP($B75,'LOD 400 - ADMN'!$B:AE,30,FALSE),"N/A")</f>
        <v>0.2</v>
      </c>
      <c r="AD75" s="81" t="str">
        <f>IFERROR(VLOOKUP($B75,'LOD 400 - ADMN'!$B:AH,33,FALSE),"N/A")</f>
        <v>OUTDATED</v>
      </c>
      <c r="AE75" s="80" t="str">
        <f>IFERROR(VLOOKUP($B75,'LOD 400 - ADMN'!$B:AK,36,FALSE),"N/A")</f>
        <v>NEXT ROUND</v>
      </c>
      <c r="AF75" s="82">
        <f>IFERROR(VLOOKUP($B75,'LOD 400 - ADMN'!$B:AN,39,FALSE),"N/A")</f>
        <v>0.51</v>
      </c>
      <c r="AG75" s="83">
        <f>IFERROR(VLOOKUP($B75,'LOD 400 - ADMN'!$B:AQ,42,FALSE),"N/A")</f>
        <v>1</v>
      </c>
      <c r="AH75" s="84">
        <f>IFERROR(VLOOKUP($B75,'LOD 400 - ADMN'!$B:AT,45,FALSE),"N/A")</f>
        <v>1</v>
      </c>
      <c r="AI75" s="85">
        <f>IFERROR(VLOOKUP($B75,'LOD 400 - ADMN'!$B:AW,48,FALSE),"N/A")</f>
        <v>1</v>
      </c>
      <c r="AJ75" s="85">
        <f>IFERROR(VLOOKUP($B75,'LOD 400 - ADMN'!$B:AZ,51,FALSE),"N/A")</f>
        <v>1</v>
      </c>
      <c r="AK75" s="84">
        <f>IFERROR(VLOOKUP($B75,'LOD 400 - ADMN'!$B:BC,54,FALSE),"N/A")</f>
        <v>1</v>
      </c>
      <c r="AL75" s="84">
        <f>IFERROR(VLOOKUP($B75,'LOD 400 - ADMN'!$B:BF,57,FALSE),"N/A")</f>
        <v>1</v>
      </c>
      <c r="AM75" s="84">
        <f>IFERROR(VLOOKUP($B75,'LOD 400 - ADMN'!$B:BI,60,FALSE),"N/A")</f>
        <v>1</v>
      </c>
      <c r="AN75" s="84">
        <f>IFERROR(VLOOKUP($B75,'LOD 400 - ADMN'!$B:BL,63,FALSE),"N/A")</f>
        <v>1</v>
      </c>
      <c r="AO75" s="84">
        <f>IFERROR(VLOOKUP($B75,'LOD 400 - ADMN'!$B:BO,66,FALSE),"N/A")</f>
        <v>1</v>
      </c>
      <c r="AP75" s="84">
        <f>IFERROR(VLOOKUP($B75,'LOD 400 - ADMN'!$B:BR,69,FALSE),"N/A")</f>
        <v>1</v>
      </c>
      <c r="AQ75" s="84">
        <f>IFERROR(VLOOKUP($B75,'LOD 400 - ADMN'!$B:BU,72,FALSE),"N/A")</f>
        <v>1</v>
      </c>
      <c r="AR75" s="84">
        <f>IFERROR(VLOOKUP($B75,'LOD 400 - ADMN'!$B:BX,75,FALSE),"N/A")</f>
        <v>1</v>
      </c>
      <c r="AS75" s="84">
        <f>IFERROR(VLOOKUP($B75,'LOD 400 - ADMN'!$B:CA,78,FALSE),"N/A")</f>
        <v>1</v>
      </c>
      <c r="AT75" s="84">
        <f>IFERROR(VLOOKUP($B75,'LOD 400 - ADMN'!$B:CD,81,FALSE),"N/A")</f>
        <v>1</v>
      </c>
      <c r="AU75" s="85">
        <f>IFERROR(VLOOKUP($B75,'LOD 400 - ADMN'!$B:CG,84,FALSE),"N/A")</f>
        <v>1</v>
      </c>
      <c r="AV75" s="84">
        <f>IFERROR(VLOOKUP($B75,'LOD 400 - ADMN'!$B:CJ,87,FALSE),"N/A")</f>
        <v>1</v>
      </c>
      <c r="AW75" s="85">
        <f>IFERROR(VLOOKUP($B75,'LOD 400 - ADMN'!$B:CM,90,FALSE),"N/A")</f>
        <v>1</v>
      </c>
      <c r="AX75" s="84">
        <f>IFERROR(VLOOKUP($B75,'LOD 400 - ADMN'!$B:CP,93,FALSE),"N/A")</f>
        <v>1</v>
      </c>
      <c r="AY75" s="84">
        <f>IFERROR(VLOOKUP($B75,'LOD 400 - ADMN'!$B:CS,96,FALSE),"N/A")</f>
        <v>1</v>
      </c>
      <c r="AZ75" s="84">
        <f>IFERROR(VLOOKUP($B75,'LOD 400 - ADMN'!$B:CV,99,FALSE),"N/A")</f>
        <v>1</v>
      </c>
      <c r="BA75" s="84">
        <f>IFERROR(VLOOKUP($B75,'LOD 400 - ADMN'!$B:CY,102,FALSE),"N/A")</f>
        <v>1</v>
      </c>
      <c r="BB75" s="84">
        <f>IFERROR(VLOOKUP($B75,'LOD 400 - ADMN'!$B:DB,105,FALSE),"N/A")</f>
        <v>1</v>
      </c>
      <c r="BC75" s="84">
        <f>IFERROR(VLOOKUP($B75,'LOD 400 - ADMN'!$B:DE,108,FALSE),"N/A")</f>
        <v>1</v>
      </c>
      <c r="BD75" s="84">
        <f>IFERROR(VLOOKUP($B75,'LOD 400 - ADMN'!$B:DH,111,FALSE),"N/A")</f>
        <v>1</v>
      </c>
      <c r="BE75" s="84">
        <f>IFERROR(VLOOKUP($B75,'LOD 400 - ADMN'!$B:DK,114,FALSE),"N/A")</f>
        <v>1</v>
      </c>
      <c r="BF75" s="84">
        <f>IFERROR(VLOOKUP($B75,'LOD 400 - ADMN'!$B:DN,117,FALSE),"N/A")</f>
        <v>1</v>
      </c>
      <c r="BG75" s="86">
        <f>IFERROR(__xludf.DUMMYFUNCTION("IFERROR(
  MAX(FILTER(Y75:BF75, ISNUMBER(Y75:BF75))),
  BF75
)"),1.0)</f>
        <v>1</v>
      </c>
      <c r="BH75" s="79" t="str">
        <f>IFERROR(VLOOKUP($B75,'LOD 400 - COLO1'!B:S,18,FALSE),"N/A")</f>
        <v>OUTDATED</v>
      </c>
      <c r="BI75" s="79" t="str">
        <f>IFERROR(VLOOKUP($B75,'LOD 400 - COLO1'!B:V,21,FALSE),"N/A")</f>
        <v>OUTDATED</v>
      </c>
      <c r="BJ75" s="79">
        <f>IFERROR(VLOOKUP($B75,'LOD 400 - COLO1'!$B:Y,24,FALSE),"N/A")</f>
        <v>0.2</v>
      </c>
      <c r="BK75" s="87" t="str">
        <f>IFERROR(VLOOKUP($B75,'LOD 400 - COLO1'!$B:AB,27,FALSE),"N/A")</f>
        <v>OUTDATED</v>
      </c>
      <c r="BL75" s="80">
        <f>IFERROR(VLOOKUP($B75,'LOD 400 - COLO1'!$B:AE,30,FALSE),"N/A")</f>
        <v>0.25</v>
      </c>
      <c r="BM75" s="81" t="str">
        <f>IFERROR(VLOOKUP($B75,'LOD 400 - COLO1'!$B:AH,33,FALSE),"N/A")</f>
        <v>OUTDATED</v>
      </c>
      <c r="BN75" s="87" t="str">
        <f>IFERROR(VLOOKUP($B75,'LOD 400 - COLO1'!$B:AK,36,FALSE),"N/A")</f>
        <v>NEXT ROUND</v>
      </c>
      <c r="BO75" s="83">
        <f>IFERROR(VLOOKUP($B75,'LOD 400 - COLO1'!$B:AN,39,FALSE),"N/A")</f>
        <v>0.67</v>
      </c>
      <c r="BP75" s="88">
        <f>IFERROR(VLOOKUP($B75,'LOD 400 - COLO1'!$B:AQ,42,FALSE),"N/A")</f>
        <v>1</v>
      </c>
      <c r="BQ75" s="84">
        <f>IFERROR(VLOOKUP($B75,'LOD 400 - COLO1'!$B:AT,45,FALSE),"N/A")</f>
        <v>1</v>
      </c>
      <c r="BR75" s="85">
        <f>IFERROR(VLOOKUP($B75,'LOD 400 - COLO1'!$B:AW,48,FALSE),"N/A")</f>
        <v>1</v>
      </c>
      <c r="BS75" s="84">
        <f>IFERROR(VLOOKUP($B75,'LOD 400 - COLO1'!$B:AZ,51,FALSE),"N/A")</f>
        <v>1</v>
      </c>
      <c r="BT75" s="84">
        <f>IFERROR(VLOOKUP($B75,'LOD 400 - COLO1'!$B:BC,54,FALSE),"N/A")</f>
        <v>1</v>
      </c>
      <c r="BU75" s="84">
        <f>IFERROR(VLOOKUP($B75,'LOD 400 - COLO1'!$B:BF,57,FALSE),"N/A")</f>
        <v>1</v>
      </c>
      <c r="BV75" s="84">
        <f>IFERROR(VLOOKUP($B75,'LOD 400 - COLO1'!$B:BI,60,FALSE),"N/A")</f>
        <v>1</v>
      </c>
      <c r="BW75" s="84">
        <f>IFERROR(VLOOKUP($B75,'LOD 400 - COLO1'!$B:BL,63,FALSE),"N/A")</f>
        <v>1</v>
      </c>
      <c r="BX75" s="84">
        <f>IFERROR(VLOOKUP($B75,'LOD 400 - COLO1'!$B:BO,66,FALSE),"N/A")</f>
        <v>1</v>
      </c>
      <c r="BY75" s="84">
        <f>IFERROR(VLOOKUP($B75,'LOD 400 - COLO1'!$B:BR,69,FALSE),"N/A")</f>
        <v>1</v>
      </c>
      <c r="BZ75" s="84">
        <f>IFERROR(VLOOKUP($B75,'LOD 400 - COLO1'!$B:BU,72,FALSE),"N/A")</f>
        <v>1</v>
      </c>
      <c r="CA75" s="84">
        <f>IFERROR(VLOOKUP($B75,'LOD 400 - COLO1'!$B:BX,75,FALSE),"N/A")</f>
        <v>1</v>
      </c>
      <c r="CB75" s="84">
        <f>IFERROR(VLOOKUP($B75,'LOD 400 - COLO1'!$B:CA,78,FALSE),"N/A")</f>
        <v>1</v>
      </c>
      <c r="CC75" s="84">
        <f>IFERROR(VLOOKUP($B75,'LOD 400 - COLO1'!$B:CD,81,FALSE),"N/A")</f>
        <v>1</v>
      </c>
      <c r="CD75" s="85">
        <f>IFERROR(VLOOKUP($B75,'LOD 400 - COLO1'!$B:CG,84,FALSE),"N/A")</f>
        <v>1</v>
      </c>
      <c r="CE75" s="84">
        <f>IFERROR(VLOOKUP($B75,'LOD 400 - COLO1'!$B:CJ,87,FALSE),"N/A")</f>
        <v>1</v>
      </c>
      <c r="CF75" s="85">
        <f>IFERROR(VLOOKUP($B75,'LOD 400 - COLO1'!$B:CM,90,FALSE),"N/A")</f>
        <v>1</v>
      </c>
      <c r="CG75" s="84">
        <f>IFERROR(VLOOKUP($B75,'LOD 400 - COLO1'!$B:CP,93,FALSE),"N/A")</f>
        <v>1</v>
      </c>
      <c r="CH75" s="84">
        <f>IFERROR(VLOOKUP($B75,'LOD 400 - COLO1'!$B:CS,96,FALSE),"N/A")</f>
        <v>1</v>
      </c>
      <c r="CI75" s="84">
        <f>IFERROR(VLOOKUP($B75,'LOD 400 - COLO1'!$B:CV,99,FALSE),"N/A")</f>
        <v>1</v>
      </c>
      <c r="CJ75" s="84">
        <f>IFERROR(VLOOKUP($B75,'LOD 400 - COLO1'!$B:CY,102,FALSE),"N/A")</f>
        <v>1</v>
      </c>
      <c r="CK75" s="84">
        <f>IFERROR(VLOOKUP($B75,'LOD 400 - COLO1'!$B:DB,105,FALSE),"N/A")</f>
        <v>1</v>
      </c>
      <c r="CL75" s="84">
        <f>IFERROR(VLOOKUP($B75,'LOD 400 - COLO1'!$B:DE,108,FALSE),"N/A")</f>
        <v>1</v>
      </c>
      <c r="CM75" s="84">
        <f>IFERROR(VLOOKUP($B75,'LOD 400 - COLO1'!$B:DH,111,FALSE),"N/A")</f>
        <v>1</v>
      </c>
      <c r="CN75" s="84">
        <f>IFERROR(VLOOKUP($B75,'LOD 400 - COLO1'!$B:DK,114,FALSE),"N/A")</f>
        <v>1</v>
      </c>
      <c r="CO75" s="84">
        <f>IFERROR(VLOOKUP($B75,'LOD 400 - COLO1'!$B:DN,117,FALSE),"N/A")</f>
        <v>1</v>
      </c>
      <c r="CP75" s="86">
        <f>IFERROR(__xludf.DUMMYFUNCTION("IFERROR(
  MAX(FILTER(BH75:CO75, ISNUMBER(BH75:CO75))),
  CO75
)"),1.0)</f>
        <v>1</v>
      </c>
      <c r="CQ75" s="89" t="str">
        <f>IFERROR(VLOOKUP($B75,'LOD 400 - COLO2'!B:S,18,FALSE),"N/A")</f>
        <v>OUTDATED</v>
      </c>
      <c r="CR75" s="79" t="str">
        <f>IFERROR(VLOOKUP($B75,'LOD 400 - COLO2'!B:V,21,FALSE),"N/A")</f>
        <v>OUTDATED</v>
      </c>
      <c r="CS75" s="79">
        <f>IFERROR(VLOOKUP($B75,'LOD 400 - COLO2'!$B:Y,24,FALSE),"N/A")</f>
        <v>0.19</v>
      </c>
      <c r="CT75" s="80" t="str">
        <f>IFERROR(VLOOKUP($B75,'LOD 400 - COLO2'!$B:DQ,27,FALSE),"N/A")</f>
        <v>OUTDATED</v>
      </c>
      <c r="CU75" s="90">
        <f>IFERROR(VLOOKUP($B75,'LOD 400 - COLO2'!$B:AE,30,FALSE),"N/A")</f>
        <v>0.25</v>
      </c>
      <c r="CV75" s="81" t="str">
        <f>IFERROR(VLOOKUP($B75,'LOD 400 - COLO2'!$B:AH,33,FALSE),"N/A")</f>
        <v>OUTDATED</v>
      </c>
      <c r="CW75" s="90" t="str">
        <f>IFERROR(VLOOKUP($B75,'LOD 400 - COLO2'!$B:AK,36,FALSE),"N/A")</f>
        <v>NEXT ROUND</v>
      </c>
      <c r="CX75" s="85">
        <f>IFERROR(VLOOKUP($B75,'LOD 400 - COLO2'!$B:AN,39,FALSE),"N/A")</f>
        <v>0.57</v>
      </c>
      <c r="CY75" s="88">
        <f>IFERROR(VLOOKUP($B75,'LOD 400 - COLO2'!$B:AQ,42,FALSE),"N/A")</f>
        <v>1</v>
      </c>
      <c r="CZ75" s="84">
        <f>IFERROR(VLOOKUP($B75,'LOD 400 - COLO2'!$B:AT,45,FALSE),"N/A")</f>
        <v>1</v>
      </c>
      <c r="DA75" s="85">
        <f>IFERROR(VLOOKUP($B75,'LOD 400 - COLO2'!$B:AW,48,FALSE),"N/A")</f>
        <v>1</v>
      </c>
      <c r="DB75" s="84">
        <f>IFERROR(VLOOKUP($B75,'LOD 400 - COLO2'!$B:AZ,51,FALSE),"N/A")</f>
        <v>1</v>
      </c>
      <c r="DC75" s="84">
        <f>IFERROR(VLOOKUP($B75,'LOD 400 - COLO2'!$B:BC,54,FALSE),"N/A")</f>
        <v>1</v>
      </c>
      <c r="DD75" s="84">
        <f>IFERROR(VLOOKUP($B75,'LOD 400 - COLO2'!$B:BF,57,FALSE),"N/A")</f>
        <v>1</v>
      </c>
      <c r="DE75" s="84">
        <f>IFERROR(VLOOKUP($B75,'LOD 400 - COLO2'!$B:BI,60,FALSE),"N/A")</f>
        <v>1</v>
      </c>
      <c r="DF75" s="84">
        <f>IFERROR(VLOOKUP($B75,'LOD 400 - COLO2'!$B:BL,63,FALSE),"N/A")</f>
        <v>1</v>
      </c>
      <c r="DG75" s="84">
        <f>IFERROR(VLOOKUP($B75,'LOD 400 - COLO2'!$B:BO,66,FALSE),"N/A")</f>
        <v>1</v>
      </c>
      <c r="DH75" s="84">
        <f>IFERROR(VLOOKUP($B75,'LOD 400 - COLO2'!$B:BR,69,FALSE),"N/A")</f>
        <v>1</v>
      </c>
      <c r="DI75" s="84">
        <f>IFERROR(VLOOKUP($B75,'LOD 400 - COLO2'!$B:BU,72,FALSE),"N/A")</f>
        <v>1</v>
      </c>
      <c r="DJ75" s="84">
        <f>IFERROR(VLOOKUP($B75,'LOD 400 - COLO2'!$B:BX,75,FALSE),"N/A")</f>
        <v>1</v>
      </c>
      <c r="DK75" s="84">
        <f>IFERROR(VLOOKUP($B75,'LOD 400 - COLO2'!$B:CA,78,FALSE),"N/A")</f>
        <v>1</v>
      </c>
      <c r="DL75" s="84">
        <f>IFERROR(VLOOKUP($B75,'LOD 400 - COLO2'!$B:CD,81,FALSE),"N/A")</f>
        <v>1</v>
      </c>
      <c r="DM75" s="85">
        <f>IFERROR(VLOOKUP($B75,'LOD 400 - COLO2'!$B:CG,84,FALSE),"N/A")</f>
        <v>1</v>
      </c>
      <c r="DN75" s="84">
        <f>IFERROR(VLOOKUP($B75,'LOD 400 - COLO2'!$B:CJ,87,FALSE),"N/A")</f>
        <v>1</v>
      </c>
      <c r="DO75" s="85">
        <f>IFERROR(VLOOKUP($B75,'LOD 400 - COLO2'!$B:CM,90,FALSE),"N/A")</f>
        <v>1</v>
      </c>
      <c r="DP75" s="84">
        <f>IFERROR(VLOOKUP($B75,'LOD 400 - COLO2'!$B:CP,93,FALSE),"N/A")</f>
        <v>1</v>
      </c>
      <c r="DQ75" s="84">
        <f>IFERROR(VLOOKUP($B75,'LOD 400 - COLO2'!$B:CS,96,FALSE),"N/A")</f>
        <v>1</v>
      </c>
      <c r="DR75" s="84">
        <f>IFERROR(VLOOKUP($B75,'LOD 400 - COLO2'!$B:CV,99,FALSE),"N/A")</f>
        <v>1</v>
      </c>
      <c r="DS75" s="84">
        <f>IFERROR(VLOOKUP($B75,'LOD 400 - COLO2'!$B:CY,102,FALSE),"N/A")</f>
        <v>1</v>
      </c>
      <c r="DT75" s="84">
        <f>IFERROR(VLOOKUP($B75,'LOD 400 - COLO2'!$B:DB,105,FALSE),"N/A")</f>
        <v>1</v>
      </c>
      <c r="DU75" s="84">
        <f>IFERROR(VLOOKUP($B75,'LOD 400 - COLO2'!$B:DE,108,FALSE),"N/A")</f>
        <v>1</v>
      </c>
      <c r="DV75" s="84">
        <f>IFERROR(VLOOKUP($B75,'LOD 400 - COLO2'!$B:DH,111,FALSE),"N/A")</f>
        <v>1</v>
      </c>
      <c r="DW75" s="84">
        <f>IFERROR(VLOOKUP($B75,'LOD 400 - COLO2'!$B:DK,114,FALSE),"N/A")</f>
        <v>1</v>
      </c>
      <c r="DX75" s="84">
        <f>IFERROR(VLOOKUP($B75,'LOD 400 - COLO2'!$B:DN,117,FALSE),"N/A")</f>
        <v>1</v>
      </c>
      <c r="DY75" s="91">
        <f>IFERROR(__xludf.DUMMYFUNCTION("IFERROR(
  MAX(FILTER(CQ75:DW75, ISNUMBER(CQ75:DW75))),
  DW75
)"),1.0)</f>
        <v>1</v>
      </c>
      <c r="DZ75" s="92">
        <f>IFERROR(VLOOKUP($B75,'LOD 400 - COLO3'!B:S,18,FALSE),"N/A")</f>
        <v>0</v>
      </c>
      <c r="EA75" s="84">
        <f>IFERROR(VLOOKUP($B75,'LOD 400 - COLO3'!B:V,21,FALSE),"N/A")</f>
        <v>0</v>
      </c>
      <c r="EB75" s="84">
        <f>IFERROR(VLOOKUP($B75,'LOD 400 - COLO3'!B:Y,24,FALSE),"N/A")</f>
        <v>0.76</v>
      </c>
      <c r="EC75" s="84" t="str">
        <f>IFERROR(VLOOKUP($B75,'LOD 400 - COLO3'!B:AB,27,FALSE),"N/A")</f>
        <v>OUTDATED</v>
      </c>
      <c r="ED75" s="85" t="str">
        <f>IFERROR(VLOOKUP($B75,'LOD 400 - COLO3'!B:AE,30,FALSE),"N/A")</f>
        <v>OUTDATED</v>
      </c>
      <c r="EE75" s="84" t="str">
        <f>IFERROR(VLOOKUP($B75,'LOD 400 - COLO3'!B:AH,33,FALSE),"N/A")</f>
        <v>OUTDATED</v>
      </c>
      <c r="EF75" s="84" t="str">
        <f>IFERROR(VLOOKUP($B75,'LOD 400 - COLO3'!B:AK,36,FALSE),"N/A")</f>
        <v>OUTDATED</v>
      </c>
      <c r="EG75" s="109" t="str">
        <f>IFERROR(VLOOKUP($B75,'LOD 400 - COLO3'!B:AN,39,FALSE),"N/A")</f>
        <v>NEXT ROUND</v>
      </c>
      <c r="EH75" s="94" t="str">
        <f>IFERROR(VLOOKUP($B75,'LOD 400 - COLO3'!B:AQ,42,FALSE),"N/A")</f>
        <v>NEXT ROUND</v>
      </c>
      <c r="EI75" s="94" t="str">
        <f>IFERROR(VLOOKUP($B75,'LOD 400 - COLO3'!B:AT,45,FALSE),"N/A")</f>
        <v>NEXT ROUND</v>
      </c>
      <c r="EJ75" s="94" t="str">
        <f>IFERROR(VLOOKUP($B75,'LOD 400 - COLO3'!B:AW,48,FALSE),"N/A")</f>
        <v>NEXT ROUND</v>
      </c>
      <c r="EK75" s="94">
        <f>IFERROR(VLOOKUP($B75,'LOD 400 - COLO3'!B:AZ,51,FALSE),"N/A")</f>
        <v>0.87</v>
      </c>
      <c r="EL75" s="94" t="str">
        <f>IFERROR(VLOOKUP($B75,'LOD 400 - COLO3'!B:BC,54,FALSE),"N/A")</f>
        <v>OUTDATED</v>
      </c>
      <c r="EM75" s="94" t="str">
        <f>IFERROR(VLOOKUP($B75,'LOD 400 - COLO3'!B:BF,57,FALSE),"N/A")</f>
        <v>OUTDATED</v>
      </c>
      <c r="EN75" s="94">
        <f>IFERROR(VLOOKUP($B75,'LOD 400 - COLO3'!B:BI,60,FALSE),"N/A")</f>
        <v>1</v>
      </c>
      <c r="EO75" s="94">
        <f>IFERROR(VLOOKUP($B75,'LOD 400 - COLO3'!B:BL,63,FALSE),"N/A")</f>
        <v>1</v>
      </c>
      <c r="EP75" s="86">
        <f>IFERROR(__xludf.DUMMYFUNCTION("IFERROR(
  MAX(FILTER(DZ75:EO75, ISNUMBER(DZ75:EO75))),
  EO75
)"),1.0)</f>
        <v>1</v>
      </c>
      <c r="EQ75" s="95">
        <f>IFERROR(VLOOKUP($B75,'LOD 400 - COLO4'!B:S,18,FALSE),"N/A")</f>
        <v>0</v>
      </c>
      <c r="ER75" s="96">
        <f>IFERROR(__xludf.DUMMYFUNCTION("IFERROR(
  MAX(FILTER(EQ75, ISNUMBER(EQ75))),
  EQ75
)"),0.0)</f>
        <v>0</v>
      </c>
      <c r="ES75" s="79" t="str">
        <f>IFERROR(VLOOKUP($B75,'LOD 400 - SITE'!B:S,18,FALSE),"N/A")</f>
        <v>N/A</v>
      </c>
      <c r="ET75" s="80" t="str">
        <f>IFERROR(VLOOKUP($B75,'LOD 400 - SITE'!B:V,21,FALSE),"N/A")</f>
        <v>N/A</v>
      </c>
      <c r="EU75" s="97" t="str">
        <f>IFERROR(VLOOKUP($B75,'LOD 400 - SITE'!$B:Y,24,FALSE),"N/A")</f>
        <v>N/A</v>
      </c>
      <c r="EV75" s="80" t="str">
        <f>IFERROR(VLOOKUP($B75,'LOD 400 - SITE'!$B:AB,27,FALSE),"N/A")</f>
        <v>N/A</v>
      </c>
      <c r="EW75" s="81" t="str">
        <f>IFERROR(VLOOKUP($B75,'LOD 400 - SITE'!$B:AE,30,FALSE),"N/A")</f>
        <v>N/A</v>
      </c>
      <c r="EX75" s="87" t="str">
        <f>IFERROR(VLOOKUP($B75,'LOD 400 - SITE'!$B:AH,33,FALSE),"N/A")</f>
        <v>N/A</v>
      </c>
      <c r="EY75" s="87" t="str">
        <f>IFERROR(VLOOKUP($B75,'LOD 400 - SITE'!$B:AK,36,FALSE),"N/A")</f>
        <v>N/A</v>
      </c>
      <c r="EZ75" s="80" t="str">
        <f>IFERROR(VLOOKUP($B75,'LOD 400 - SITE'!$B:AN,39,FALSE),"N/A")</f>
        <v>N/A</v>
      </c>
      <c r="FA75" s="82" t="str">
        <f>IFERROR(VLOOKUP($B75,'LOD 400 - SITE'!$B:AQ,42,FALSE),"N/A")</f>
        <v>N/A</v>
      </c>
      <c r="FB75" s="88" t="str">
        <f>IFERROR(VLOOKUP($B75,'LOD 400 - SITE'!$B:AT,45,FALSE),"N/A")</f>
        <v>N/A</v>
      </c>
      <c r="FC75" s="84" t="str">
        <f>IFERROR(VLOOKUP($B75,'LOD 400 - SITE'!$B:AW,48,FALSE),"N/A")</f>
        <v>N/A</v>
      </c>
      <c r="FD75" s="84" t="str">
        <f>IFERROR(VLOOKUP($B75,'LOD 400 - SITE'!$B:AZ,51,FALSE),"N/A")</f>
        <v>N/A</v>
      </c>
      <c r="FE75" s="84" t="str">
        <f>IFERROR(VLOOKUP($B75,'LOD 400 - SITE'!$B:BC,54,FALSE),"N/A")</f>
        <v>N/A</v>
      </c>
      <c r="FF75" s="84" t="str">
        <f>IFERROR(VLOOKUP($B75,'LOD 400 - SITE'!$B:BF,57,FALSE),"N/A")</f>
        <v>N/A</v>
      </c>
      <c r="FG75" s="84" t="str">
        <f>IFERROR(VLOOKUP($B75,'LOD 400 - SITE'!$B:BI,60,FALSE),"N/A")</f>
        <v>N/A</v>
      </c>
      <c r="FH75" s="84" t="str">
        <f>IFERROR(VLOOKUP($B75,'LOD 400 - SITE'!$B:BL,63,FALSE),"N/A")</f>
        <v>N/A</v>
      </c>
      <c r="FI75" s="84" t="str">
        <f>IFERROR(VLOOKUP($B75,'LOD 400 - SITE'!$B:BO,66,FALSE),"N/A")</f>
        <v>N/A</v>
      </c>
      <c r="FJ75" s="84" t="str">
        <f>IFERROR(VLOOKUP($B75,'LOD 400 - SITE'!$B:BR,69,FALSE),"N/A")</f>
        <v>N/A</v>
      </c>
      <c r="FK75" s="84" t="str">
        <f>IFERROR(VLOOKUP($B75,'LOD 400 - SITE'!$B:BU,72,FALSE),"N/A")</f>
        <v>N/A</v>
      </c>
      <c r="FL75" s="84" t="str">
        <f>IFERROR(VLOOKUP($B75,'LOD 400 - SITE'!$B:BX,75,FALSE),"N/A")</f>
        <v>N/A</v>
      </c>
      <c r="FM75" s="84" t="str">
        <f>IFERROR(VLOOKUP($B75,'LOD 400 - SITE'!$B:CA,78,FALSE),"N/A")</f>
        <v>N/A</v>
      </c>
      <c r="FN75" s="85" t="str">
        <f>IFERROR(VLOOKUP($B75,'LOD 400 - SITE'!$B:CD,81,FALSE),"N/A")</f>
        <v>N/A</v>
      </c>
      <c r="FO75" s="84" t="str">
        <f>IFERROR(VLOOKUP($B75,'LOD 400 - SITE'!$B:CG,84,FALSE),"N/A")</f>
        <v>N/A</v>
      </c>
      <c r="FP75" s="85" t="str">
        <f>IFERROR(VLOOKUP($B75,'LOD 400 - SITE'!$B:CJ,87,FALSE),"N/A")</f>
        <v>N/A</v>
      </c>
      <c r="FQ75" s="84" t="str">
        <f>IFERROR(VLOOKUP($B75,'LOD 400 - SITE'!$B:CM,90,FALSE),"N/A")</f>
        <v>N/A</v>
      </c>
      <c r="FR75" s="84" t="str">
        <f>IFERROR(VLOOKUP($B75,'LOD 400 - SITE'!$B:CP,93,FALSE),"N/A")</f>
        <v>N/A</v>
      </c>
      <c r="FS75" s="84" t="str">
        <f>IFERROR(VLOOKUP($B75,'LOD 400 - SITE'!$B:CS,96,FALSE),"N/A")</f>
        <v>N/A</v>
      </c>
      <c r="FT75" s="84" t="str">
        <f>IFERROR(VLOOKUP($B75,'LOD 400 - SITE'!$B:CV,99,FALSE),"N/A")</f>
        <v>N/A</v>
      </c>
      <c r="FU75" s="84" t="str">
        <f>IFERROR(VLOOKUP($B75,'LOD 400 - SITE'!$B:CY,102,FALSE),"N/A")</f>
        <v>N/A</v>
      </c>
      <c r="FV75" s="84" t="str">
        <f>IFERROR(VLOOKUP($B75,'LOD 400 - SITE'!$B:DB,105,FALSE),"N/A")</f>
        <v>N/A</v>
      </c>
      <c r="FW75" s="84" t="str">
        <f>IFERROR(VLOOKUP($B75,'LOD 400 - SITE'!$B:DE,108,FALSE),"N/A")</f>
        <v>N/A</v>
      </c>
      <c r="FX75" s="84" t="str">
        <f>IFERROR(VLOOKUP($B75,'LOD 400 - SITE'!$B:DH,111,FALSE),"N/A")</f>
        <v>N/A</v>
      </c>
      <c r="FY75" s="84" t="str">
        <f>IFERROR(VLOOKUP($B75,'LOD 400 - SITE'!$B:DK,114,FALSE),"N/A")</f>
        <v>N/A</v>
      </c>
      <c r="FZ75" s="96" t="str">
        <f>IFERROR(__xludf.DUMMYFUNCTION("IFERROR(
  MAX(FILTER(ES75:FY75, ISNUMBER(ES75:FY75))),
  FY75
)"),"N/A")</f>
        <v>N/A</v>
      </c>
      <c r="GA75" s="80" t="str">
        <f>IFERROR(VLOOKUP($B75,'LOD 400 - UTLS'!B:S,18,FALSE),"N/A")</f>
        <v>N/A</v>
      </c>
      <c r="GB75" s="98" t="str">
        <f>IFERROR(VLOOKUP($B75,'LOD 400 - UTLS'!B:V,21,FALSE),"N/A")</f>
        <v>N/A</v>
      </c>
      <c r="GC75" s="81" t="str">
        <f>IFERROR(VLOOKUP($B75,'LOD 400 - UTLS'!B:Y,24,FALSE),"N/A")</f>
        <v>N/A</v>
      </c>
      <c r="GD75" s="87" t="str">
        <f>IFERROR(VLOOKUP($B75,'LOD 400 - UTLS'!$B:AB,27,FALSE),"N/A")</f>
        <v>N/A</v>
      </c>
      <c r="GE75" s="80" t="str">
        <f>IFERROR(VLOOKUP($B75,'LOD 400 - UTLS'!$B:AE,30,FALSE),"N/A")</f>
        <v>N/A</v>
      </c>
      <c r="GF75" s="82" t="str">
        <f>IFERROR(VLOOKUP($B75,'LOD 400 - UTLS'!$B:AH,33,FALSE),"N/A")</f>
        <v>N/A</v>
      </c>
      <c r="GG75" s="88" t="str">
        <f>IFERROR(VLOOKUP($B75,'LOD 400 - UTLS'!$B:AK,36,FALSE),"N/A")</f>
        <v>N/A</v>
      </c>
      <c r="GH75" s="84" t="str">
        <f>IFERROR(VLOOKUP($B75,'LOD 400 - UTLS'!$B:AN,39,FALSE),"N/A")</f>
        <v>N/A</v>
      </c>
      <c r="GI75" s="84" t="str">
        <f>IFERROR(VLOOKUP($B75,'LOD 400 - UTLS'!$B:AQ,42,FALSE),"N/A")</f>
        <v>N/A</v>
      </c>
      <c r="GJ75" s="84" t="str">
        <f>IFERROR(VLOOKUP($B75,'LOD 400 - UTLS'!$B:AT,45,FALSE),"N/A")</f>
        <v>N/A</v>
      </c>
      <c r="GK75" s="84" t="str">
        <f>IFERROR(VLOOKUP($B75,'LOD 400 - UTLS'!$B:AW,48,FALSE),"N/A")</f>
        <v>N/A</v>
      </c>
      <c r="GL75" s="84" t="str">
        <f>IFERROR(VLOOKUP($B75,'LOD 400 - UTLS'!$B:AZ,51,FALSE),"N/A")</f>
        <v>N/A</v>
      </c>
      <c r="GM75" s="84" t="str">
        <f>IFERROR(VLOOKUP($B75,'LOD 400 - UTLS'!$B:BC,54,FALSE),"N/A")</f>
        <v>N/A</v>
      </c>
      <c r="GN75" s="84" t="str">
        <f>IFERROR(VLOOKUP($B75,'LOD 400 - UTLS'!$B:BF,57,FALSE),"N/A")</f>
        <v>N/A</v>
      </c>
      <c r="GO75" s="84" t="str">
        <f>IFERROR(VLOOKUP($B75,'LOD 400 - UTLS'!$B:BI,60,FALSE),"N/A")</f>
        <v>N/A</v>
      </c>
      <c r="GP75" s="84" t="str">
        <f>IFERROR(VLOOKUP($B75,'LOD 400 - UTLS'!$B:BL,63,FALSE),"N/A")</f>
        <v>N/A</v>
      </c>
      <c r="GQ75" s="84" t="str">
        <f>IFERROR(VLOOKUP($B75,'LOD 400 - UTLS'!$B:BO,66,FALSE),"N/A")</f>
        <v>N/A</v>
      </c>
      <c r="GR75" s="84" t="str">
        <f>IFERROR(VLOOKUP($B75,'LOD 400 - UTLS'!$B:BR,69,FALSE),"N/A")</f>
        <v>N/A</v>
      </c>
      <c r="GS75" s="85" t="str">
        <f>IFERROR(VLOOKUP($B75,'LOD 400 - UTLS'!$B:BU,72,FALSE),"N/A")</f>
        <v>N/A</v>
      </c>
      <c r="GT75" s="84" t="str">
        <f>IFERROR(VLOOKUP($B75,'LOD 400 - UTLS'!$B:BX,75,FALSE),"N/A")</f>
        <v>N/A</v>
      </c>
      <c r="GU75" s="85" t="str">
        <f>IFERROR(VLOOKUP($B75,'LOD 400 - UTLS'!$B:CA,78,FALSE),"N/A")</f>
        <v>N/A</v>
      </c>
      <c r="GV75" s="84" t="str">
        <f>IFERROR(VLOOKUP($B75,'LOD 400 - UTLS'!$B:CD,81,FALSE),"N/A")</f>
        <v>N/A</v>
      </c>
      <c r="GW75" s="84" t="str">
        <f>IFERROR(VLOOKUP($B75,'LOD 400 - UTLS'!$B:CG,84,FALSE),"N/A")</f>
        <v>N/A</v>
      </c>
      <c r="GX75" s="84" t="str">
        <f>IFERROR(VLOOKUP($B75,'LOD 400 - UTLS'!$B:CJ,87,FALSE),"N/A")</f>
        <v>N/A</v>
      </c>
      <c r="GY75" s="84" t="str">
        <f>IFERROR(VLOOKUP($B75,'LOD 400 - UTLS'!$B:CM,90,FALSE),"N/A")</f>
        <v>N/A</v>
      </c>
      <c r="GZ75" s="84" t="str">
        <f>IFERROR(VLOOKUP($B75,'LOD 400 - UTLS'!$B:CP,93,FALSE),"N/A")</f>
        <v>N/A</v>
      </c>
      <c r="HA75" s="84" t="str">
        <f>IFERROR(VLOOKUP($B75,'LOD 400 - UTLS'!$B:CS,96,FALSE),"N/A")</f>
        <v>N/A</v>
      </c>
      <c r="HB75" s="84" t="str">
        <f>IFERROR(VLOOKUP($B75,'LOD 400 - UTLS'!$B:CV,99,FALSE),"N/A")</f>
        <v>N/A</v>
      </c>
      <c r="HC75" s="84" t="str">
        <f>IFERROR(VLOOKUP($B75,'LOD 400 - UTLS'!$B:CY,102,FALSE),"N/A")</f>
        <v>N/A</v>
      </c>
      <c r="HD75" s="84" t="str">
        <f>IFERROR(VLOOKUP($B75,'LOD 400 - UTLS'!$B:DB,105,FALSE),"N/A")</f>
        <v>N/A</v>
      </c>
      <c r="HE75" s="96" t="str">
        <f>IFERROR(__xludf.DUMMYFUNCTION("IFERROR(
  MAX(FILTER(GA75:HD75, ISNUMBER(GA75:HD75))),
  HD75
)"),"N/A")</f>
        <v>N/A</v>
      </c>
      <c r="HF75" s="99"/>
      <c r="HG75" s="99"/>
      <c r="HH75" s="99"/>
      <c r="HI75" s="99"/>
      <c r="HJ75" s="99"/>
      <c r="HK75" s="99"/>
    </row>
    <row r="76" ht="15.0" customHeight="1" outlineLevel="1">
      <c r="A76" s="53">
        <v>80.0</v>
      </c>
      <c r="B76" s="100" t="s">
        <v>233</v>
      </c>
      <c r="C76" s="100" t="s">
        <v>234</v>
      </c>
      <c r="D76" s="64" t="str">
        <f t="shared" si="14"/>
        <v>SITE</v>
      </c>
      <c r="E76" s="101" t="s">
        <v>154</v>
      </c>
      <c r="F76" s="102">
        <v>1112.0</v>
      </c>
      <c r="G76" s="103" t="s">
        <v>154</v>
      </c>
      <c r="H76" s="104">
        <v>1112.0</v>
      </c>
      <c r="I76" s="68" t="str">
        <f>IFERROR(VLOOKUP($C73:C108,'R22 RELATÓRIO ACC'!B:F,5,FALSE),"NOT PUBLISHED")</f>
        <v>V14</v>
      </c>
      <c r="J76" s="69" t="str">
        <f>IFERROR(VLOOKUP($C73:C108,'R22 RELATÓRIO ACC'!B:P,15,FALSE),"NOT PUBLISHED")</f>
        <v>03/03/2026</v>
      </c>
      <c r="K76" s="70" t="str">
        <f>IFERROR(VLOOKUP($B73:B108,'RELATÓRIO ACC'!B:F,5,FALSE),"NOT PUBLISHED")</f>
        <v>V4</v>
      </c>
      <c r="L76" s="71" t="str">
        <f>IFERROR(VLOOKUP($B73:B108,'RELATÓRIO ACC'!B:P,15,FALSE),"NOT PUBLISHED")</f>
        <v>13/07/2026</v>
      </c>
      <c r="M76" s="72" t="str">
        <f>IF(OR($D76="UTLS",$D76="GUAR",$D76="STIR",$D76="PUMP",$D76="SITE"),
   VLOOKUP($B76,'LOD 400 - SITE'!B:M,12,FALSE),
   VLOOKUP($B76,'LOD 400 - ADMN'!B:M,12,FALSE)
)</f>
        <v>V14</v>
      </c>
      <c r="N76" s="105" t="str">
        <f>IF(OR($D76="UTLS",$D76="GUAR",$D76="STIR",$D76="PUMP",$D76="SITE"),
   VLOOKUP($B76,'LOD 400 - SITE'!B:N,13,FALSE),
   VLOOKUP($B76,'LOD 400 - ADMN'!B:N,13,FALSE)
)</f>
        <v>03/03/2026</v>
      </c>
      <c r="O76" s="106" t="str">
        <f>IF(OR($D76="UTLS",$D76="GUAR",$D76="STIR",$D76="PUMP",$D76="SITE"),
   VLOOKUP($B76,'LOD 400 - SITE'!B:O,14,FALSE),
   VLOOKUP($B76,'LOD 400 - ADMN'!B:O,14,FALSE)
)</f>
        <v>R22</v>
      </c>
      <c r="P76" s="107" t="str">
        <f>IF(OR($D76="C345",$D76="C12A",$D76="DATA"),
   VLOOKUP($B76,'LOD 400 - COLO3'!B:M,12,FALSE),"N/A")</f>
        <v>N/A</v>
      </c>
      <c r="Q76" s="108" t="str">
        <f>IF(OR($D76="C345",$D76="C12A",$D76="DATA"),
   VLOOKUP($B76,'LOD 400 - COLO3'!B:N,13,FALSE),"N/A")</f>
        <v>N/A</v>
      </c>
      <c r="R76" s="75" t="str">
        <f>IF(OR($D76="C345",$D76="C12A",$D76="DATA"),
   VLOOKUP($B76,'LOD 400 - COLO3'!B:O,14,FALSE),"N/A")</f>
        <v>N/A</v>
      </c>
      <c r="S76" s="76" t="str">
        <f>IF(OR($D76="C345",$D76="C12A",$D76="DATA"),
   VLOOKUP($B76,'LOD 400 - COLO4'!B:N,12,FALSE),"N/A")</f>
        <v>N/A</v>
      </c>
      <c r="T76" s="76" t="str">
        <f>IF(OR($D76="C345",$D76="C12A",$D76="DATA"),
   VLOOKUP($B76,'LOD 400 - COLO4'!B:N,13,FALSE),"N/A")</f>
        <v>N/A</v>
      </c>
      <c r="U76" s="76" t="str">
        <f>IF(OR($D76="C345",$D76="C12A",$D76="DATA"),
   VLOOKUP($B76,'LOD 400 - COLO4'!B:N,13,FALSE),"N/A")</f>
        <v>N/A</v>
      </c>
      <c r="V76" s="77" t="str">
        <f>IF(OR($D76="UTLS",$D76="GUAR",$D76="STIR",$D76="PUMP",$D76="SITE"),
   VLOOKUP($B76,'LOD 400 - UTLS'!B:M,12,FALSE),"N/A")</f>
        <v>N/A</v>
      </c>
      <c r="W76" s="78" t="str">
        <f>IF(OR($D76="UTLS",$D76="GUAR",$D76="STIR",$D76="PUMP",$D76="SITE"),
   VLOOKUP($B76,'LOD 400 - UTLS'!B:N,13,FALSE),"N/A")</f>
        <v>N/A</v>
      </c>
      <c r="X76" s="108" t="str">
        <f>IF(OR($D76="UTLS",$D76="GUAR",$D76="STIR",$D76="PUMP",$D76="SITE"),
   VLOOKUP($B76,'LOD 400 - UTLS'!B:O,14,FALSE),"N/A")</f>
        <v>N/A</v>
      </c>
      <c r="Y76" s="79" t="str">
        <f>IFERROR(VLOOKUP($B76,'LOD 400 - ADMN'!B:S,18,FALSE),"N/A")</f>
        <v>N/A</v>
      </c>
      <c r="Z76" s="79" t="str">
        <f>IFERROR(VLOOKUP($B76,'LOD 400 - ADMN'!B:V,21,FALSE),"N/A")</f>
        <v>N/A</v>
      </c>
      <c r="AA76" s="79" t="str">
        <f>IFERROR(VLOOKUP($B76,'LOD 400 - ADMN'!$B:Y,24,FALSE),"N/A")</f>
        <v>N/A</v>
      </c>
      <c r="AB76" s="80" t="str">
        <f>IFERROR(VLOOKUP($B76,'LOD 400 - ADMN'!$B:AB,27,FALSE),"N/A")</f>
        <v>N/A</v>
      </c>
      <c r="AC76" s="81" t="str">
        <f>IFERROR(VLOOKUP($B76,'LOD 400 - ADMN'!$B:AE,30,FALSE),"N/A")</f>
        <v>N/A</v>
      </c>
      <c r="AD76" s="81" t="str">
        <f>IFERROR(VLOOKUP($B76,'LOD 400 - ADMN'!$B:AH,33,FALSE),"N/A")</f>
        <v>N/A</v>
      </c>
      <c r="AE76" s="80" t="str">
        <f>IFERROR(VLOOKUP($B76,'LOD 400 - ADMN'!$B:AK,36,FALSE),"N/A")</f>
        <v>N/A</v>
      </c>
      <c r="AF76" s="82" t="str">
        <f>IFERROR(VLOOKUP($B76,'LOD 400 - ADMN'!$B:AN,39,FALSE),"N/A")</f>
        <v>N/A</v>
      </c>
      <c r="AG76" s="83" t="str">
        <f>IFERROR(VLOOKUP($B76,'LOD 400 - ADMN'!$B:AQ,42,FALSE),"N/A")</f>
        <v>N/A</v>
      </c>
      <c r="AH76" s="84" t="str">
        <f>IFERROR(VLOOKUP($B76,'LOD 400 - ADMN'!$B:AT,45,FALSE),"N/A")</f>
        <v>N/A</v>
      </c>
      <c r="AI76" s="85" t="str">
        <f>IFERROR(VLOOKUP($B76,'LOD 400 - ADMN'!$B:AW,48,FALSE),"N/A")</f>
        <v>N/A</v>
      </c>
      <c r="AJ76" s="85" t="str">
        <f>IFERROR(VLOOKUP($B76,'LOD 400 - ADMN'!$B:AZ,51,FALSE),"N/A")</f>
        <v>N/A</v>
      </c>
      <c r="AK76" s="84" t="str">
        <f>IFERROR(VLOOKUP($B76,'LOD 400 - ADMN'!$B:BC,54,FALSE),"N/A")</f>
        <v>N/A</v>
      </c>
      <c r="AL76" s="84" t="str">
        <f>IFERROR(VLOOKUP($B76,'LOD 400 - ADMN'!$B:BF,57,FALSE),"N/A")</f>
        <v>N/A</v>
      </c>
      <c r="AM76" s="84" t="str">
        <f>IFERROR(VLOOKUP($B76,'LOD 400 - ADMN'!$B:BI,60,FALSE),"N/A")</f>
        <v>N/A</v>
      </c>
      <c r="AN76" s="84" t="str">
        <f>IFERROR(VLOOKUP($B76,'LOD 400 - ADMN'!$B:BL,63,FALSE),"N/A")</f>
        <v>N/A</v>
      </c>
      <c r="AO76" s="84" t="str">
        <f>IFERROR(VLOOKUP($B76,'LOD 400 - ADMN'!$B:BO,66,FALSE),"N/A")</f>
        <v>N/A</v>
      </c>
      <c r="AP76" s="84" t="str">
        <f>IFERROR(VLOOKUP($B76,'LOD 400 - ADMN'!$B:BR,69,FALSE),"N/A")</f>
        <v>N/A</v>
      </c>
      <c r="AQ76" s="84" t="str">
        <f>IFERROR(VLOOKUP($B76,'LOD 400 - ADMN'!$B:BU,72,FALSE),"N/A")</f>
        <v>N/A</v>
      </c>
      <c r="AR76" s="84" t="str">
        <f>IFERROR(VLOOKUP($B76,'LOD 400 - ADMN'!$B:BX,75,FALSE),"N/A")</f>
        <v>N/A</v>
      </c>
      <c r="AS76" s="84" t="str">
        <f>IFERROR(VLOOKUP($B76,'LOD 400 - ADMN'!$B:CA,78,FALSE),"N/A")</f>
        <v>N/A</v>
      </c>
      <c r="AT76" s="84" t="str">
        <f>IFERROR(VLOOKUP($B76,'LOD 400 - ADMN'!$B:CD,81,FALSE),"N/A")</f>
        <v>N/A</v>
      </c>
      <c r="AU76" s="85" t="str">
        <f>IFERROR(VLOOKUP($B76,'LOD 400 - ADMN'!$B:CG,84,FALSE),"N/A")</f>
        <v>N/A</v>
      </c>
      <c r="AV76" s="84" t="str">
        <f>IFERROR(VLOOKUP($B76,'LOD 400 - ADMN'!$B:CJ,87,FALSE),"N/A")</f>
        <v>N/A</v>
      </c>
      <c r="AW76" s="85" t="str">
        <f>IFERROR(VLOOKUP($B76,'LOD 400 - ADMN'!$B:CM,90,FALSE),"N/A")</f>
        <v>N/A</v>
      </c>
      <c r="AX76" s="84" t="str">
        <f>IFERROR(VLOOKUP($B76,'LOD 400 - ADMN'!$B:CP,93,FALSE),"N/A")</f>
        <v>N/A</v>
      </c>
      <c r="AY76" s="84" t="str">
        <f>IFERROR(VLOOKUP($B76,'LOD 400 - ADMN'!$B:CS,96,FALSE),"N/A")</f>
        <v>N/A</v>
      </c>
      <c r="AZ76" s="84" t="str">
        <f>IFERROR(VLOOKUP($B76,'LOD 400 - ADMN'!$B:CV,99,FALSE),"N/A")</f>
        <v>N/A</v>
      </c>
      <c r="BA76" s="84" t="str">
        <f>IFERROR(VLOOKUP($B76,'LOD 400 - ADMN'!$B:CY,102,FALSE),"N/A")</f>
        <v>N/A</v>
      </c>
      <c r="BB76" s="84" t="str">
        <f>IFERROR(VLOOKUP($B76,'LOD 400 - ADMN'!$B:DB,105,FALSE),"N/A")</f>
        <v>N/A</v>
      </c>
      <c r="BC76" s="84" t="str">
        <f>IFERROR(VLOOKUP($B76,'LOD 400 - ADMN'!$B:DE,108,FALSE),"N/A")</f>
        <v>N/A</v>
      </c>
      <c r="BD76" s="84" t="str">
        <f>IFERROR(VLOOKUP($B76,'LOD 400 - ADMN'!$B:DH,111,FALSE),"N/A")</f>
        <v>N/A</v>
      </c>
      <c r="BE76" s="84" t="str">
        <f>IFERROR(VLOOKUP($B76,'LOD 400 - ADMN'!$B:DK,114,FALSE),"N/A")</f>
        <v>N/A</v>
      </c>
      <c r="BF76" s="84" t="str">
        <f>IFERROR(VLOOKUP($B76,'LOD 400 - ADMN'!$B:DN,117,FALSE),"N/A")</f>
        <v>N/A</v>
      </c>
      <c r="BG76" s="86" t="str">
        <f>IFERROR(__xludf.DUMMYFUNCTION("IFERROR(
  MAX(FILTER(Y76:BF76, ISNUMBER(Y76:BF76))),
  BF76
)"),"N/A")</f>
        <v>N/A</v>
      </c>
      <c r="BH76" s="79" t="str">
        <f>IFERROR(VLOOKUP($B76,'LOD 400 - COLO1'!B:S,18,FALSE),"N/A")</f>
        <v>N/A</v>
      </c>
      <c r="BI76" s="79" t="str">
        <f>IFERROR(VLOOKUP($B76,'LOD 400 - COLO1'!B:V,21,FALSE),"N/A")</f>
        <v>N/A</v>
      </c>
      <c r="BJ76" s="79" t="str">
        <f>IFERROR(VLOOKUP($B76,'LOD 400 - COLO1'!$B:Y,24,FALSE),"N/A")</f>
        <v>N/A</v>
      </c>
      <c r="BK76" s="87" t="str">
        <f>IFERROR(VLOOKUP($B76,'LOD 400 - COLO1'!$B:AB,27,FALSE),"N/A")</f>
        <v>N/A</v>
      </c>
      <c r="BL76" s="80" t="str">
        <f>IFERROR(VLOOKUP($B76,'LOD 400 - COLO1'!$B:AE,30,FALSE),"N/A")</f>
        <v>N/A</v>
      </c>
      <c r="BM76" s="81" t="str">
        <f>IFERROR(VLOOKUP($B76,'LOD 400 - COLO1'!$B:AH,33,FALSE),"N/A")</f>
        <v>N/A</v>
      </c>
      <c r="BN76" s="87" t="str">
        <f>IFERROR(VLOOKUP($B76,'LOD 400 - COLO1'!$B:AK,36,FALSE),"N/A")</f>
        <v>N/A</v>
      </c>
      <c r="BO76" s="83" t="str">
        <f>IFERROR(VLOOKUP($B76,'LOD 400 - COLO1'!$B:AN,39,FALSE),"N/A")</f>
        <v>N/A</v>
      </c>
      <c r="BP76" s="88" t="str">
        <f>IFERROR(VLOOKUP($B76,'LOD 400 - COLO1'!$B:AQ,42,FALSE),"N/A")</f>
        <v>N/A</v>
      </c>
      <c r="BQ76" s="84" t="str">
        <f>IFERROR(VLOOKUP($B76,'LOD 400 - COLO1'!$B:AT,45,FALSE),"N/A")</f>
        <v>N/A</v>
      </c>
      <c r="BR76" s="85" t="str">
        <f>IFERROR(VLOOKUP($B76,'LOD 400 - COLO1'!$B:AW,48,FALSE),"N/A")</f>
        <v>N/A</v>
      </c>
      <c r="BS76" s="84" t="str">
        <f>IFERROR(VLOOKUP($B76,'LOD 400 - COLO1'!$B:AZ,51,FALSE),"N/A")</f>
        <v>N/A</v>
      </c>
      <c r="BT76" s="84" t="str">
        <f>IFERROR(VLOOKUP($B76,'LOD 400 - COLO1'!$B:BC,54,FALSE),"N/A")</f>
        <v>N/A</v>
      </c>
      <c r="BU76" s="84" t="str">
        <f>IFERROR(VLOOKUP($B76,'LOD 400 - COLO1'!$B:BF,57,FALSE),"N/A")</f>
        <v>N/A</v>
      </c>
      <c r="BV76" s="84" t="str">
        <f>IFERROR(VLOOKUP($B76,'LOD 400 - COLO1'!$B:BI,60,FALSE),"N/A")</f>
        <v>N/A</v>
      </c>
      <c r="BW76" s="84" t="str">
        <f>IFERROR(VLOOKUP($B76,'LOD 400 - COLO1'!$B:BL,63,FALSE),"N/A")</f>
        <v>N/A</v>
      </c>
      <c r="BX76" s="84" t="str">
        <f>IFERROR(VLOOKUP($B76,'LOD 400 - COLO1'!$B:BO,66,FALSE),"N/A")</f>
        <v>N/A</v>
      </c>
      <c r="BY76" s="84" t="str">
        <f>IFERROR(VLOOKUP($B76,'LOD 400 - COLO1'!$B:BR,69,FALSE),"N/A")</f>
        <v>N/A</v>
      </c>
      <c r="BZ76" s="84" t="str">
        <f>IFERROR(VLOOKUP($B76,'LOD 400 - COLO1'!$B:BU,72,FALSE),"N/A")</f>
        <v>N/A</v>
      </c>
      <c r="CA76" s="84" t="str">
        <f>IFERROR(VLOOKUP($B76,'LOD 400 - COLO1'!$B:BX,75,FALSE),"N/A")</f>
        <v>N/A</v>
      </c>
      <c r="CB76" s="84" t="str">
        <f>IFERROR(VLOOKUP($B76,'LOD 400 - COLO1'!$B:CA,78,FALSE),"N/A")</f>
        <v>N/A</v>
      </c>
      <c r="CC76" s="84" t="str">
        <f>IFERROR(VLOOKUP($B76,'LOD 400 - COLO1'!$B:CD,81,FALSE),"N/A")</f>
        <v>N/A</v>
      </c>
      <c r="CD76" s="85" t="str">
        <f>IFERROR(VLOOKUP($B76,'LOD 400 - COLO1'!$B:CG,84,FALSE),"N/A")</f>
        <v>N/A</v>
      </c>
      <c r="CE76" s="84" t="str">
        <f>IFERROR(VLOOKUP($B76,'LOD 400 - COLO1'!$B:CJ,87,FALSE),"N/A")</f>
        <v>N/A</v>
      </c>
      <c r="CF76" s="85" t="str">
        <f>IFERROR(VLOOKUP($B76,'LOD 400 - COLO1'!$B:CM,90,FALSE),"N/A")</f>
        <v>N/A</v>
      </c>
      <c r="CG76" s="84" t="str">
        <f>IFERROR(VLOOKUP($B76,'LOD 400 - COLO1'!$B:CP,93,FALSE),"N/A")</f>
        <v>N/A</v>
      </c>
      <c r="CH76" s="84" t="str">
        <f>IFERROR(VLOOKUP($B76,'LOD 400 - COLO1'!$B:CS,96,FALSE),"N/A")</f>
        <v>N/A</v>
      </c>
      <c r="CI76" s="84" t="str">
        <f>IFERROR(VLOOKUP($B76,'LOD 400 - COLO1'!$B:CV,99,FALSE),"N/A")</f>
        <v>N/A</v>
      </c>
      <c r="CJ76" s="84" t="str">
        <f>IFERROR(VLOOKUP($B76,'LOD 400 - COLO1'!$B:CY,102,FALSE),"N/A")</f>
        <v>N/A</v>
      </c>
      <c r="CK76" s="84" t="str">
        <f>IFERROR(VLOOKUP($B76,'LOD 400 - COLO1'!$B:DB,105,FALSE),"N/A")</f>
        <v>N/A</v>
      </c>
      <c r="CL76" s="84" t="str">
        <f>IFERROR(VLOOKUP($B76,'LOD 400 - COLO1'!$B:DE,108,FALSE),"N/A")</f>
        <v>N/A</v>
      </c>
      <c r="CM76" s="84" t="str">
        <f>IFERROR(VLOOKUP($B76,'LOD 400 - COLO1'!$B:DH,111,FALSE),"N/A")</f>
        <v>N/A</v>
      </c>
      <c r="CN76" s="84" t="str">
        <f>IFERROR(VLOOKUP($B76,'LOD 400 - COLO1'!$B:DK,114,FALSE),"N/A")</f>
        <v>N/A</v>
      </c>
      <c r="CO76" s="84" t="str">
        <f>IFERROR(VLOOKUP($B76,'LOD 400 - COLO1'!$B:DN,117,FALSE),"N/A")</f>
        <v>N/A</v>
      </c>
      <c r="CP76" s="86" t="str">
        <f>IFERROR(__xludf.DUMMYFUNCTION("IFERROR(
  MAX(FILTER(BH76:CO76, ISNUMBER(BH76:CO76))),
  CO76
)"),"N/A")</f>
        <v>N/A</v>
      </c>
      <c r="CQ76" s="89" t="str">
        <f>IFERROR(VLOOKUP($B76,'LOD 400 - COLO2'!B:S,18,FALSE),"N/A")</f>
        <v>N/A</v>
      </c>
      <c r="CR76" s="79" t="str">
        <f>IFERROR(VLOOKUP($B76,'LOD 400 - COLO2'!B:V,21,FALSE),"N/A")</f>
        <v>N/A</v>
      </c>
      <c r="CS76" s="79" t="str">
        <f>IFERROR(VLOOKUP($B76,'LOD 400 - COLO2'!$B:Y,24,FALSE),"N/A")</f>
        <v>N/A</v>
      </c>
      <c r="CT76" s="80" t="str">
        <f>IFERROR(VLOOKUP($B76,'LOD 400 - COLO2'!$B:DQ,27,FALSE),"N/A")</f>
        <v>N/A</v>
      </c>
      <c r="CU76" s="90" t="str">
        <f>IFERROR(VLOOKUP($B76,'LOD 400 - COLO2'!$B:AE,30,FALSE),"N/A")</f>
        <v>N/A</v>
      </c>
      <c r="CV76" s="81" t="str">
        <f>IFERROR(VLOOKUP($B76,'LOD 400 - COLO2'!$B:AH,33,FALSE),"N/A")</f>
        <v>N/A</v>
      </c>
      <c r="CW76" s="90" t="str">
        <f>IFERROR(VLOOKUP($B76,'LOD 400 - COLO2'!$B:AK,36,FALSE),"N/A")</f>
        <v>N/A</v>
      </c>
      <c r="CX76" s="85" t="str">
        <f>IFERROR(VLOOKUP($B76,'LOD 400 - COLO2'!$B:AN,39,FALSE),"N/A")</f>
        <v>N/A</v>
      </c>
      <c r="CY76" s="88" t="str">
        <f>IFERROR(VLOOKUP($B76,'LOD 400 - COLO2'!$B:AQ,42,FALSE),"N/A")</f>
        <v>N/A</v>
      </c>
      <c r="CZ76" s="84" t="str">
        <f>IFERROR(VLOOKUP($B76,'LOD 400 - COLO2'!$B:AT,45,FALSE),"N/A")</f>
        <v>N/A</v>
      </c>
      <c r="DA76" s="85" t="str">
        <f>IFERROR(VLOOKUP($B76,'LOD 400 - COLO2'!$B:AW,48,FALSE),"N/A")</f>
        <v>N/A</v>
      </c>
      <c r="DB76" s="84" t="str">
        <f>IFERROR(VLOOKUP($B76,'LOD 400 - COLO2'!$B:AZ,51,FALSE),"N/A")</f>
        <v>N/A</v>
      </c>
      <c r="DC76" s="84" t="str">
        <f>IFERROR(VLOOKUP($B76,'LOD 400 - COLO2'!$B:BC,54,FALSE),"N/A")</f>
        <v>N/A</v>
      </c>
      <c r="DD76" s="84" t="str">
        <f>IFERROR(VLOOKUP($B76,'LOD 400 - COLO2'!$B:BF,57,FALSE),"N/A")</f>
        <v>N/A</v>
      </c>
      <c r="DE76" s="84" t="str">
        <f>IFERROR(VLOOKUP($B76,'LOD 400 - COLO2'!$B:BI,60,FALSE),"N/A")</f>
        <v>N/A</v>
      </c>
      <c r="DF76" s="84" t="str">
        <f>IFERROR(VLOOKUP($B76,'LOD 400 - COLO2'!$B:BL,63,FALSE),"N/A")</f>
        <v>N/A</v>
      </c>
      <c r="DG76" s="84" t="str">
        <f>IFERROR(VLOOKUP($B76,'LOD 400 - COLO2'!$B:BO,66,FALSE),"N/A")</f>
        <v>N/A</v>
      </c>
      <c r="DH76" s="84" t="str">
        <f>IFERROR(VLOOKUP($B76,'LOD 400 - COLO2'!$B:BR,69,FALSE),"N/A")</f>
        <v>N/A</v>
      </c>
      <c r="DI76" s="84" t="str">
        <f>IFERROR(VLOOKUP($B76,'LOD 400 - COLO2'!$B:BU,72,FALSE),"N/A")</f>
        <v>N/A</v>
      </c>
      <c r="DJ76" s="84" t="str">
        <f>IFERROR(VLOOKUP($B76,'LOD 400 - COLO2'!$B:BX,75,FALSE),"N/A")</f>
        <v>N/A</v>
      </c>
      <c r="DK76" s="84" t="str">
        <f>IFERROR(VLOOKUP($B76,'LOD 400 - COLO2'!$B:CA,78,FALSE),"N/A")</f>
        <v>N/A</v>
      </c>
      <c r="DL76" s="84" t="str">
        <f>IFERROR(VLOOKUP($B76,'LOD 400 - COLO2'!$B:CD,81,FALSE),"N/A")</f>
        <v>N/A</v>
      </c>
      <c r="DM76" s="85" t="str">
        <f>IFERROR(VLOOKUP($B76,'LOD 400 - COLO2'!$B:CG,84,FALSE),"N/A")</f>
        <v>N/A</v>
      </c>
      <c r="DN76" s="84" t="str">
        <f>IFERROR(VLOOKUP($B76,'LOD 400 - COLO2'!$B:CJ,87,FALSE),"N/A")</f>
        <v>N/A</v>
      </c>
      <c r="DO76" s="85" t="str">
        <f>IFERROR(VLOOKUP($B76,'LOD 400 - COLO2'!$B:CM,90,FALSE),"N/A")</f>
        <v>N/A</v>
      </c>
      <c r="DP76" s="84" t="str">
        <f>IFERROR(VLOOKUP($B76,'LOD 400 - COLO2'!$B:CP,93,FALSE),"N/A")</f>
        <v>N/A</v>
      </c>
      <c r="DQ76" s="84" t="str">
        <f>IFERROR(VLOOKUP($B76,'LOD 400 - COLO2'!$B:CS,96,FALSE),"N/A")</f>
        <v>N/A</v>
      </c>
      <c r="DR76" s="84" t="str">
        <f>IFERROR(VLOOKUP($B76,'LOD 400 - COLO2'!$B:CV,99,FALSE),"N/A")</f>
        <v>N/A</v>
      </c>
      <c r="DS76" s="84" t="str">
        <f>IFERROR(VLOOKUP($B76,'LOD 400 - COLO2'!$B:CY,102,FALSE),"N/A")</f>
        <v>N/A</v>
      </c>
      <c r="DT76" s="84" t="str">
        <f>IFERROR(VLOOKUP($B76,'LOD 400 - COLO2'!$B:DB,105,FALSE),"N/A")</f>
        <v>N/A</v>
      </c>
      <c r="DU76" s="84" t="str">
        <f>IFERROR(VLOOKUP($B76,'LOD 400 - COLO2'!$B:DE,108,FALSE),"N/A")</f>
        <v>N/A</v>
      </c>
      <c r="DV76" s="84" t="str">
        <f>IFERROR(VLOOKUP($B76,'LOD 400 - COLO2'!$B:DH,111,FALSE),"N/A")</f>
        <v>N/A</v>
      </c>
      <c r="DW76" s="84" t="str">
        <f>IFERROR(VLOOKUP($B76,'LOD 400 - COLO2'!$B:DK,114,FALSE),"N/A")</f>
        <v>N/A</v>
      </c>
      <c r="DX76" s="84" t="str">
        <f>IFERROR(VLOOKUP($B76,'LOD 400 - COLO2'!$B:DN,117,FALSE),"N/A")</f>
        <v>N/A</v>
      </c>
      <c r="DY76" s="91" t="str">
        <f>IFERROR(__xludf.DUMMYFUNCTION("IFERROR(
  MAX(FILTER(CQ76:DW76, ISNUMBER(CQ76:DW76))),
  DW76
)"),"N/A")</f>
        <v>N/A</v>
      </c>
      <c r="DZ76" s="92" t="str">
        <f>IFERROR(VLOOKUP($B76,'LOD 400 - COLO3'!B:S,18,FALSE),"N/A")</f>
        <v>N/A</v>
      </c>
      <c r="EA76" s="84" t="str">
        <f>IFERROR(VLOOKUP($B76,'LOD 400 - COLO3'!B:V,21,FALSE),"N/A")</f>
        <v>N/A</v>
      </c>
      <c r="EB76" s="84" t="str">
        <f>IFERROR(VLOOKUP($B76,'LOD 400 - COLO3'!B:Y,24,FALSE),"N/A")</f>
        <v>N/A</v>
      </c>
      <c r="EC76" s="84" t="str">
        <f>IFERROR(VLOOKUP($B76,'LOD 400 - COLO3'!B:AB,27,FALSE),"N/A")</f>
        <v>N/A</v>
      </c>
      <c r="ED76" s="85" t="str">
        <f>IFERROR(VLOOKUP($B76,'LOD 400 - COLO3'!B:AE,30,FALSE),"N/A")</f>
        <v>N/A</v>
      </c>
      <c r="EE76" s="84" t="str">
        <f>IFERROR(VLOOKUP($B76,'LOD 400 - COLO3'!B:AH,33,FALSE),"N/A")</f>
        <v>N/A</v>
      </c>
      <c r="EF76" s="84" t="str">
        <f>IFERROR(VLOOKUP($B76,'LOD 400 - COLO3'!B:AK,36,FALSE),"N/A")</f>
        <v>N/A</v>
      </c>
      <c r="EG76" s="109" t="str">
        <f>IFERROR(VLOOKUP($B76,'LOD 400 - COLO3'!B:AN,39,FALSE),"N/A")</f>
        <v>N/A</v>
      </c>
      <c r="EH76" s="94" t="str">
        <f>IFERROR(VLOOKUP($B76,'LOD 400 - COLO3'!B:AQ,42,FALSE),"N/A")</f>
        <v>N/A</v>
      </c>
      <c r="EI76" s="94" t="str">
        <f>IFERROR(VLOOKUP($B76,'LOD 400 - COLO3'!B:AT,45,FALSE),"N/A")</f>
        <v>N/A</v>
      </c>
      <c r="EJ76" s="94" t="str">
        <f>IFERROR(VLOOKUP($B76,'LOD 400 - COLO3'!B:AW,48,FALSE),"N/A")</f>
        <v>N/A</v>
      </c>
      <c r="EK76" s="94" t="str">
        <f>IFERROR(VLOOKUP($B76,'LOD 400 - COLO3'!B:AZ,51,FALSE),"N/A")</f>
        <v>N/A</v>
      </c>
      <c r="EL76" s="94" t="str">
        <f>IFERROR(VLOOKUP($B76,'LOD 400 - COLO3'!B:BC,54,FALSE),"N/A")</f>
        <v>N/A</v>
      </c>
      <c r="EM76" s="94" t="str">
        <f>IFERROR(VLOOKUP($B76,'LOD 400 - COLO3'!B:BF,57,FALSE),"N/A")</f>
        <v>N/A</v>
      </c>
      <c r="EN76" s="94" t="str">
        <f>IFERROR(VLOOKUP($B76,'LOD 400 - COLO3'!B:BI,60,FALSE),"N/A")</f>
        <v>N/A</v>
      </c>
      <c r="EO76" s="94" t="str">
        <f>IFERROR(VLOOKUP($B76,'LOD 400 - COLO3'!B:BL,63,FALSE),"N/A")</f>
        <v>N/A</v>
      </c>
      <c r="EP76" s="86" t="str">
        <f>IFERROR(__xludf.DUMMYFUNCTION("IFERROR(
  MAX(FILTER(DZ76:EO76, ISNUMBER(DZ76:EO76))),
  EO76
)"),"N/A")</f>
        <v>N/A</v>
      </c>
      <c r="EQ76" s="95" t="str">
        <f>IFERROR(VLOOKUP($B76,'LOD 400 - COLO4'!B:S,18,FALSE),"N/A")</f>
        <v>N/A</v>
      </c>
      <c r="ER76" s="96" t="str">
        <f>IFERROR(__xludf.DUMMYFUNCTION("IFERROR(
  MAX(FILTER(EQ76, ISNUMBER(EQ76))),
  EQ76
)"),"N/A")</f>
        <v>N/A</v>
      </c>
      <c r="ES76" s="79">
        <f>IFERROR(VLOOKUP($B76,'LOD 400 - SITE'!B:S,18,FALSE),"N/A")</f>
        <v>0.07</v>
      </c>
      <c r="ET76" s="80" t="str">
        <f>IFERROR(VLOOKUP($B76,'LOD 400 - SITE'!B:V,21,FALSE),"N/A")</f>
        <v>OUTDATED</v>
      </c>
      <c r="EU76" s="97" t="str">
        <f>IFERROR(VLOOKUP($B76,'LOD 400 - SITE'!$B:Y,24,FALSE),"N/A")</f>
        <v>OUTDATED</v>
      </c>
      <c r="EV76" s="80" t="str">
        <f>IFERROR(VLOOKUP($B76,'LOD 400 - SITE'!$B:AB,27,FALSE),"N/A")</f>
        <v>OUTDATED</v>
      </c>
      <c r="EW76" s="81" t="str">
        <f>IFERROR(VLOOKUP($B76,'LOD 400 - SITE'!$B:AE,30,FALSE),"N/A")</f>
        <v>OUTDATED</v>
      </c>
      <c r="EX76" s="87" t="str">
        <f>IFERROR(VLOOKUP($B76,'LOD 400 - SITE'!$B:AH,33,FALSE),"N/A")</f>
        <v>NEXT ROUND </v>
      </c>
      <c r="EY76" s="87">
        <f>IFERROR(VLOOKUP($B76,'LOD 400 - SITE'!$B:AK,36,FALSE),"N/A")</f>
        <v>0.07</v>
      </c>
      <c r="EZ76" s="80" t="str">
        <f>IFERROR(VLOOKUP($B76,'LOD 400 - SITE'!$B:AN,39,FALSE),"N/A")</f>
        <v>NEXT ROUND </v>
      </c>
      <c r="FA76" s="82">
        <f>IFERROR(VLOOKUP($B76,'LOD 400 - SITE'!$B:AQ,42,FALSE),"N/A")</f>
        <v>0.43</v>
      </c>
      <c r="FB76" s="88">
        <f>IFERROR(VLOOKUP($B76,'LOD 400 - SITE'!$B:AT,45,FALSE),"N/A")</f>
        <v>0.53</v>
      </c>
      <c r="FC76" s="84">
        <f>IFERROR(VLOOKUP($B76,'LOD 400 - SITE'!$B:AW,48,FALSE),"N/A")</f>
        <v>0.53</v>
      </c>
      <c r="FD76" s="84">
        <f>IFERROR(VLOOKUP($B76,'LOD 400 - SITE'!$B:AZ,51,FALSE),"N/A")</f>
        <v>0.8</v>
      </c>
      <c r="FE76" s="84" t="str">
        <f>IFERROR(VLOOKUP($B76,'LOD 400 - SITE'!$B:BC,54,FALSE),"N/A")</f>
        <v>OUTDATED</v>
      </c>
      <c r="FF76" s="84" t="str">
        <f>IFERROR(VLOOKUP($B76,'LOD 400 - SITE'!$B:BF,57,FALSE),"N/A")</f>
        <v>OUTDATED</v>
      </c>
      <c r="FG76" s="84" t="str">
        <f>IFERROR(VLOOKUP($B76,'LOD 400 - SITE'!$B:BI,60,FALSE),"N/A")</f>
        <v>NEXT ROUND</v>
      </c>
      <c r="FH76" s="84">
        <f>IFERROR(VLOOKUP($B76,'LOD 400 - SITE'!$B:BL,63,FALSE),"N/A")</f>
        <v>1</v>
      </c>
      <c r="FI76" s="84">
        <f>IFERROR(VLOOKUP($B76,'LOD 400 - SITE'!$B:BO,66,FALSE),"N/A")</f>
        <v>1</v>
      </c>
      <c r="FJ76" s="84">
        <f>IFERROR(VLOOKUP($B76,'LOD 400 - SITE'!$B:BR,69,FALSE),"N/A")</f>
        <v>1</v>
      </c>
      <c r="FK76" s="84">
        <f>IFERROR(VLOOKUP($B76,'LOD 400 - SITE'!$B:BU,72,FALSE),"N/A")</f>
        <v>1</v>
      </c>
      <c r="FL76" s="84">
        <f>IFERROR(VLOOKUP($B76,'LOD 400 - SITE'!$B:BX,75,FALSE),"N/A")</f>
        <v>1</v>
      </c>
      <c r="FM76" s="84">
        <f>IFERROR(VLOOKUP($B76,'LOD 400 - SITE'!$B:CA,78,FALSE),"N/A")</f>
        <v>1</v>
      </c>
      <c r="FN76" s="85">
        <f>IFERROR(VLOOKUP($B76,'LOD 400 - SITE'!$B:CD,81,FALSE),"N/A")</f>
        <v>1</v>
      </c>
      <c r="FO76" s="84">
        <f>IFERROR(VLOOKUP($B76,'LOD 400 - SITE'!$B:CG,84,FALSE),"N/A")</f>
        <v>1</v>
      </c>
      <c r="FP76" s="85">
        <f>IFERROR(VLOOKUP($B76,'LOD 400 - SITE'!$B:CJ,87,FALSE),"N/A")</f>
        <v>1</v>
      </c>
      <c r="FQ76" s="84">
        <f>IFERROR(VLOOKUP($B76,'LOD 400 - SITE'!$B:CM,90,FALSE),"N/A")</f>
        <v>1</v>
      </c>
      <c r="FR76" s="84">
        <f>IFERROR(VLOOKUP($B76,'LOD 400 - SITE'!$B:CP,93,FALSE),"N/A")</f>
        <v>1</v>
      </c>
      <c r="FS76" s="84">
        <f>IFERROR(VLOOKUP($B76,'LOD 400 - SITE'!$B:CS,96,FALSE),"N/A")</f>
        <v>1</v>
      </c>
      <c r="FT76" s="84">
        <f>IFERROR(VLOOKUP($B76,'LOD 400 - SITE'!$B:CV,99,FALSE),"N/A")</f>
        <v>1</v>
      </c>
      <c r="FU76" s="84">
        <f>IFERROR(VLOOKUP($B76,'LOD 400 - SITE'!$B:CY,102,FALSE),"N/A")</f>
        <v>1</v>
      </c>
      <c r="FV76" s="84">
        <f>IFERROR(VLOOKUP($B76,'LOD 400 - SITE'!$B:DB,105,FALSE),"N/A")</f>
        <v>1</v>
      </c>
      <c r="FW76" s="84">
        <f>IFERROR(VLOOKUP($B76,'LOD 400 - SITE'!$B:DE,108,FALSE),"N/A")</f>
        <v>1</v>
      </c>
      <c r="FX76" s="84">
        <f>IFERROR(VLOOKUP($B76,'LOD 400 - SITE'!$B:DH,111,FALSE),"N/A")</f>
        <v>1</v>
      </c>
      <c r="FY76" s="84">
        <f>IFERROR(VLOOKUP($B76,'LOD 400 - SITE'!$B:DK,114,FALSE),"N/A")</f>
        <v>1</v>
      </c>
      <c r="FZ76" s="96">
        <f>IFERROR(__xludf.DUMMYFUNCTION("IFERROR(
  MAX(FILTER(ES76:FY76, ISNUMBER(ES76:FY76))),
  FY76
)"),1.0)</f>
        <v>1</v>
      </c>
      <c r="GA76" s="80" t="str">
        <f>IFERROR(VLOOKUP($B76,'LOD 400 - UTLS'!B:S,18,FALSE),"N/A")</f>
        <v>N/A</v>
      </c>
      <c r="GB76" s="98" t="str">
        <f>IFERROR(VLOOKUP($B76,'LOD 400 - UTLS'!B:V,21,FALSE),"N/A")</f>
        <v>N/A</v>
      </c>
      <c r="GC76" s="81" t="str">
        <f>IFERROR(VLOOKUP($B76,'LOD 400 - UTLS'!B:Y,24,FALSE),"N/A")</f>
        <v>N/A</v>
      </c>
      <c r="GD76" s="87" t="str">
        <f>IFERROR(VLOOKUP($B76,'LOD 400 - UTLS'!$B:AB,27,FALSE),"N/A")</f>
        <v>N/A</v>
      </c>
      <c r="GE76" s="80" t="str">
        <f>IFERROR(VLOOKUP($B76,'LOD 400 - UTLS'!$B:AE,30,FALSE),"N/A")</f>
        <v>N/A</v>
      </c>
      <c r="GF76" s="82" t="str">
        <f>IFERROR(VLOOKUP($B76,'LOD 400 - UTLS'!$B:AH,33,FALSE),"N/A")</f>
        <v>N/A</v>
      </c>
      <c r="GG76" s="88" t="str">
        <f>IFERROR(VLOOKUP($B76,'LOD 400 - UTLS'!$B:AK,36,FALSE),"N/A")</f>
        <v>N/A</v>
      </c>
      <c r="GH76" s="84" t="str">
        <f>IFERROR(VLOOKUP($B76,'LOD 400 - UTLS'!$B:AN,39,FALSE),"N/A")</f>
        <v>N/A</v>
      </c>
      <c r="GI76" s="84" t="str">
        <f>IFERROR(VLOOKUP($B76,'LOD 400 - UTLS'!$B:AQ,42,FALSE),"N/A")</f>
        <v>N/A</v>
      </c>
      <c r="GJ76" s="84" t="str">
        <f>IFERROR(VLOOKUP($B76,'LOD 400 - UTLS'!$B:AT,45,FALSE),"N/A")</f>
        <v>N/A</v>
      </c>
      <c r="GK76" s="84" t="str">
        <f>IFERROR(VLOOKUP($B76,'LOD 400 - UTLS'!$B:AW,48,FALSE),"N/A")</f>
        <v>N/A</v>
      </c>
      <c r="GL76" s="84" t="str">
        <f>IFERROR(VLOOKUP($B76,'LOD 400 - UTLS'!$B:AZ,51,FALSE),"N/A")</f>
        <v>N/A</v>
      </c>
      <c r="GM76" s="84" t="str">
        <f>IFERROR(VLOOKUP($B76,'LOD 400 - UTLS'!$B:BC,54,FALSE),"N/A")</f>
        <v>N/A</v>
      </c>
      <c r="GN76" s="84" t="str">
        <f>IFERROR(VLOOKUP($B76,'LOD 400 - UTLS'!$B:BF,57,FALSE),"N/A")</f>
        <v>N/A</v>
      </c>
      <c r="GO76" s="84" t="str">
        <f>IFERROR(VLOOKUP($B76,'LOD 400 - UTLS'!$B:BI,60,FALSE),"N/A")</f>
        <v>N/A</v>
      </c>
      <c r="GP76" s="84" t="str">
        <f>IFERROR(VLOOKUP($B76,'LOD 400 - UTLS'!$B:BL,63,FALSE),"N/A")</f>
        <v>N/A</v>
      </c>
      <c r="GQ76" s="84" t="str">
        <f>IFERROR(VLOOKUP($B76,'LOD 400 - UTLS'!$B:BO,66,FALSE),"N/A")</f>
        <v>N/A</v>
      </c>
      <c r="GR76" s="84" t="str">
        <f>IFERROR(VLOOKUP($B76,'LOD 400 - UTLS'!$B:BR,69,FALSE),"N/A")</f>
        <v>N/A</v>
      </c>
      <c r="GS76" s="85" t="str">
        <f>IFERROR(VLOOKUP($B76,'LOD 400 - UTLS'!$B:BU,72,FALSE),"N/A")</f>
        <v>N/A</v>
      </c>
      <c r="GT76" s="84" t="str">
        <f>IFERROR(VLOOKUP($B76,'LOD 400 - UTLS'!$B:BX,75,FALSE),"N/A")</f>
        <v>N/A</v>
      </c>
      <c r="GU76" s="85" t="str">
        <f>IFERROR(VLOOKUP($B76,'LOD 400 - UTLS'!$B:CA,78,FALSE),"N/A")</f>
        <v>N/A</v>
      </c>
      <c r="GV76" s="84" t="str">
        <f>IFERROR(VLOOKUP($B76,'LOD 400 - UTLS'!$B:CD,81,FALSE),"N/A")</f>
        <v>N/A</v>
      </c>
      <c r="GW76" s="84" t="str">
        <f>IFERROR(VLOOKUP($B76,'LOD 400 - UTLS'!$B:CG,84,FALSE),"N/A")</f>
        <v>N/A</v>
      </c>
      <c r="GX76" s="84" t="str">
        <f>IFERROR(VLOOKUP($B76,'LOD 400 - UTLS'!$B:CJ,87,FALSE),"N/A")</f>
        <v>N/A</v>
      </c>
      <c r="GY76" s="84" t="str">
        <f>IFERROR(VLOOKUP($B76,'LOD 400 - UTLS'!$B:CM,90,FALSE),"N/A")</f>
        <v>N/A</v>
      </c>
      <c r="GZ76" s="84" t="str">
        <f>IFERROR(VLOOKUP($B76,'LOD 400 - UTLS'!$B:CP,93,FALSE),"N/A")</f>
        <v>N/A</v>
      </c>
      <c r="HA76" s="84" t="str">
        <f>IFERROR(VLOOKUP($B76,'LOD 400 - UTLS'!$B:CS,96,FALSE),"N/A")</f>
        <v>N/A</v>
      </c>
      <c r="HB76" s="84" t="str">
        <f>IFERROR(VLOOKUP($B76,'LOD 400 - UTLS'!$B:CV,99,FALSE),"N/A")</f>
        <v>N/A</v>
      </c>
      <c r="HC76" s="84" t="str">
        <f>IFERROR(VLOOKUP($B76,'LOD 400 - UTLS'!$B:CY,102,FALSE),"N/A")</f>
        <v>N/A</v>
      </c>
      <c r="HD76" s="84" t="str">
        <f>IFERROR(VLOOKUP($B76,'LOD 400 - UTLS'!$B:DB,105,FALSE),"N/A")</f>
        <v>N/A</v>
      </c>
      <c r="HE76" s="96" t="str">
        <f>IFERROR(__xludf.DUMMYFUNCTION("IFERROR(
  MAX(FILTER(GA76:HD76, ISNUMBER(GA76:HD76))),
  HD76
)"),"N/A")</f>
        <v>N/A</v>
      </c>
      <c r="HF76" s="99"/>
      <c r="HG76" s="99"/>
      <c r="HH76" s="99"/>
      <c r="HI76" s="99"/>
      <c r="HJ76" s="99"/>
      <c r="HK76" s="99"/>
    </row>
    <row r="77" ht="15.0" customHeight="1" outlineLevel="1">
      <c r="A77" s="53">
        <v>81.0</v>
      </c>
      <c r="B77" s="100" t="s">
        <v>235</v>
      </c>
      <c r="C77" s="100" t="s">
        <v>236</v>
      </c>
      <c r="D77" s="64" t="str">
        <f t="shared" si="14"/>
        <v>SITE</v>
      </c>
      <c r="E77" s="101" t="s">
        <v>237</v>
      </c>
      <c r="F77" s="102">
        <v>1118.0</v>
      </c>
      <c r="G77" s="103" t="s">
        <v>237</v>
      </c>
      <c r="H77" s="104">
        <v>1118.0</v>
      </c>
      <c r="I77" s="68" t="str">
        <f>IFERROR(VLOOKUP($C74:C108,'R22 RELATÓRIO ACC'!B:F,5,FALSE),"NOT PUBLISHED")</f>
        <v>V46</v>
      </c>
      <c r="J77" s="69" t="str">
        <f>IFERROR(VLOOKUP($C74:C108,'R22 RELATÓRIO ACC'!B:P,15,FALSE),"NOT PUBLISHED")</f>
        <v>24/04/2026</v>
      </c>
      <c r="K77" s="70" t="str">
        <f>IFERROR(VLOOKUP($B74:B108,'RELATÓRIO ACC'!B:F,5,FALSE),"NOT PUBLISHED")</f>
        <v>V2</v>
      </c>
      <c r="L77" s="71" t="str">
        <f>IFERROR(VLOOKUP($B74:B108,'RELATÓRIO ACC'!B:P,15,FALSE),"NOT PUBLISHED")</f>
        <v>15/06/2026</v>
      </c>
      <c r="M77" s="72" t="str">
        <f>IF(OR($D77="UTLS",$D77="GUAR",$D77="STIR",$D77="PUMP",$D77="SITE"),
   VLOOKUP($B77,'LOD 400 - SITE'!B:M,12,FALSE),
   VLOOKUP($B77,'LOD 400 - ADMN'!B:M,12,FALSE)
)</f>
        <v>V38</v>
      </c>
      <c r="N77" s="105" t="str">
        <f>IF(OR($D77="UTLS",$D77="GUAR",$D77="STIR",$D77="PUMP",$D77="SITE"),
   VLOOKUP($B77,'LOD 400 - SITE'!B:N,13,FALSE),
   VLOOKUP($B77,'LOD 400 - ADMN'!B:N,13,FALSE)
)</f>
        <v>06/11/2025</v>
      </c>
      <c r="O77" s="106" t="str">
        <f>IF(OR($D77="UTLS",$D77="GUAR",$D77="STIR",$D77="PUMP",$D77="SITE"),
   VLOOKUP($B77,'LOD 400 - SITE'!B:O,14,FALSE),
   VLOOKUP($B77,'LOD 400 - ADMN'!B:O,14,FALSE)
)</f>
        <v>R22</v>
      </c>
      <c r="P77" s="107" t="str">
        <f>IF(OR($D77="C345",$D77="C12A",$D77="DATA"),
   VLOOKUP($B77,'LOD 400 - COLO3'!B:M,12,FALSE),"N/A")</f>
        <v>N/A</v>
      </c>
      <c r="Q77" s="108" t="str">
        <f>IF(OR($D77="C345",$D77="C12A",$D77="DATA"),
   VLOOKUP($B77,'LOD 400 - COLO3'!B:N,13,FALSE),"N/A")</f>
        <v>N/A</v>
      </c>
      <c r="R77" s="75" t="str">
        <f>IF(OR($D77="C345",$D77="C12A",$D77="DATA"),
   VLOOKUP($B77,'LOD 400 - COLO3'!B:O,14,FALSE),"N/A")</f>
        <v>N/A</v>
      </c>
      <c r="S77" s="76" t="str">
        <f>IF(OR($D77="C345",$D77="C12A",$D77="DATA"),
   VLOOKUP($B77,'LOD 400 - COLO4'!B:N,12,FALSE),"N/A")</f>
        <v>N/A</v>
      </c>
      <c r="T77" s="76" t="str">
        <f>IF(OR($D77="C345",$D77="C12A",$D77="DATA"),
   VLOOKUP($B77,'LOD 400 - COLO4'!B:N,13,FALSE),"N/A")</f>
        <v>N/A</v>
      </c>
      <c r="U77" s="76" t="str">
        <f>IF(OR($D77="C345",$D77="C12A",$D77="DATA"),
   VLOOKUP($B77,'LOD 400 - COLO4'!B:N,13,FALSE),"N/A")</f>
        <v>N/A</v>
      </c>
      <c r="V77" s="77" t="str">
        <f>IF(OR($D77="UTLS",$D77="GUAR",$D77="STIR",$D77="PUMP",$D77="SITE"),
   VLOOKUP($B77,'LOD 400 - UTLS'!B:M,12,FALSE),"N/A")</f>
        <v>V38</v>
      </c>
      <c r="W77" s="78" t="str">
        <f>IF(OR($D77="UTLS",$D77="GUAR",$D77="STIR",$D77="PUMP",$D77="SITE"),
   VLOOKUP($B77,'LOD 400 - UTLS'!B:N,13,FALSE),"N/A")</f>
        <v>06/11/2025</v>
      </c>
      <c r="X77" s="108" t="str">
        <f>IF(OR($D77="UTLS",$D77="GUAR",$D77="STIR",$D77="PUMP",$D77="SITE"),
   VLOOKUP($B77,'LOD 400 - UTLS'!B:O,14,FALSE),"N/A")</f>
        <v>R22</v>
      </c>
      <c r="Y77" s="79" t="str">
        <f>IFERROR(VLOOKUP($B77,'LOD 400 - ADMN'!B:S,18,FALSE),"N/A")</f>
        <v>N/A</v>
      </c>
      <c r="Z77" s="79" t="str">
        <f>IFERROR(VLOOKUP($B77,'LOD 400 - ADMN'!B:V,21,FALSE),"N/A")</f>
        <v>N/A</v>
      </c>
      <c r="AA77" s="79" t="str">
        <f>IFERROR(VLOOKUP($B77,'LOD 400 - ADMN'!$B:Y,24,FALSE),"N/A")</f>
        <v>N/A</v>
      </c>
      <c r="AB77" s="80" t="str">
        <f>IFERROR(VLOOKUP($B77,'LOD 400 - ADMN'!$B:AB,27,FALSE),"N/A")</f>
        <v>N/A</v>
      </c>
      <c r="AC77" s="81" t="str">
        <f>IFERROR(VLOOKUP($B77,'LOD 400 - ADMN'!$B:AE,30,FALSE),"N/A")</f>
        <v>N/A</v>
      </c>
      <c r="AD77" s="81" t="str">
        <f>IFERROR(VLOOKUP($B77,'LOD 400 - ADMN'!$B:AH,33,FALSE),"N/A")</f>
        <v>N/A</v>
      </c>
      <c r="AE77" s="80" t="str">
        <f>IFERROR(VLOOKUP($B77,'LOD 400 - ADMN'!$B:AK,36,FALSE),"N/A")</f>
        <v>N/A</v>
      </c>
      <c r="AF77" s="82" t="str">
        <f>IFERROR(VLOOKUP($B77,'LOD 400 - ADMN'!$B:AN,39,FALSE),"N/A")</f>
        <v>N/A</v>
      </c>
      <c r="AG77" s="83" t="str">
        <f>IFERROR(VLOOKUP($B77,'LOD 400 - ADMN'!$B:AQ,42,FALSE),"N/A")</f>
        <v>N/A</v>
      </c>
      <c r="AH77" s="84" t="str">
        <f>IFERROR(VLOOKUP($B77,'LOD 400 - ADMN'!$B:AT,45,FALSE),"N/A")</f>
        <v>N/A</v>
      </c>
      <c r="AI77" s="85" t="str">
        <f>IFERROR(VLOOKUP($B77,'LOD 400 - ADMN'!$B:AW,48,FALSE),"N/A")</f>
        <v>N/A</v>
      </c>
      <c r="AJ77" s="85" t="str">
        <f>IFERROR(VLOOKUP($B77,'LOD 400 - ADMN'!$B:AZ,51,FALSE),"N/A")</f>
        <v>N/A</v>
      </c>
      <c r="AK77" s="84" t="str">
        <f>IFERROR(VLOOKUP($B77,'LOD 400 - ADMN'!$B:BC,54,FALSE),"N/A")</f>
        <v>N/A</v>
      </c>
      <c r="AL77" s="84" t="str">
        <f>IFERROR(VLOOKUP($B77,'LOD 400 - ADMN'!$B:BF,57,FALSE),"N/A")</f>
        <v>N/A</v>
      </c>
      <c r="AM77" s="84" t="str">
        <f>IFERROR(VLOOKUP($B77,'LOD 400 - ADMN'!$B:BI,60,FALSE),"N/A")</f>
        <v>N/A</v>
      </c>
      <c r="AN77" s="84" t="str">
        <f>IFERROR(VLOOKUP($B77,'LOD 400 - ADMN'!$B:BL,63,FALSE),"N/A")</f>
        <v>N/A</v>
      </c>
      <c r="AO77" s="84" t="str">
        <f>IFERROR(VLOOKUP($B77,'LOD 400 - ADMN'!$B:BO,66,FALSE),"N/A")</f>
        <v>N/A</v>
      </c>
      <c r="AP77" s="84" t="str">
        <f>IFERROR(VLOOKUP($B77,'LOD 400 - ADMN'!$B:BR,69,FALSE),"N/A")</f>
        <v>N/A</v>
      </c>
      <c r="AQ77" s="84" t="str">
        <f>IFERROR(VLOOKUP($B77,'LOD 400 - ADMN'!$B:BU,72,FALSE),"N/A")</f>
        <v>N/A</v>
      </c>
      <c r="AR77" s="84" t="str">
        <f>IFERROR(VLOOKUP($B77,'LOD 400 - ADMN'!$B:BX,75,FALSE),"N/A")</f>
        <v>N/A</v>
      </c>
      <c r="AS77" s="84" t="str">
        <f>IFERROR(VLOOKUP($B77,'LOD 400 - ADMN'!$B:CA,78,FALSE),"N/A")</f>
        <v>N/A</v>
      </c>
      <c r="AT77" s="84" t="str">
        <f>IFERROR(VLOOKUP($B77,'LOD 400 - ADMN'!$B:CD,81,FALSE),"N/A")</f>
        <v>N/A</v>
      </c>
      <c r="AU77" s="85" t="str">
        <f>IFERROR(VLOOKUP($B77,'LOD 400 - ADMN'!$B:CG,84,FALSE),"N/A")</f>
        <v>N/A</v>
      </c>
      <c r="AV77" s="84" t="str">
        <f>IFERROR(VLOOKUP($B77,'LOD 400 - ADMN'!$B:CJ,87,FALSE),"N/A")</f>
        <v>N/A</v>
      </c>
      <c r="AW77" s="85" t="str">
        <f>IFERROR(VLOOKUP($B77,'LOD 400 - ADMN'!$B:CM,90,FALSE),"N/A")</f>
        <v>N/A</v>
      </c>
      <c r="AX77" s="84" t="str">
        <f>IFERROR(VLOOKUP($B77,'LOD 400 - ADMN'!$B:CP,93,FALSE),"N/A")</f>
        <v>N/A</v>
      </c>
      <c r="AY77" s="84" t="str">
        <f>IFERROR(VLOOKUP($B77,'LOD 400 - ADMN'!$B:CS,96,FALSE),"N/A")</f>
        <v>N/A</v>
      </c>
      <c r="AZ77" s="84" t="str">
        <f>IFERROR(VLOOKUP($B77,'LOD 400 - ADMN'!$B:CV,99,FALSE),"N/A")</f>
        <v>N/A</v>
      </c>
      <c r="BA77" s="84" t="str">
        <f>IFERROR(VLOOKUP($B77,'LOD 400 - ADMN'!$B:CY,102,FALSE),"N/A")</f>
        <v>N/A</v>
      </c>
      <c r="BB77" s="84" t="str">
        <f>IFERROR(VLOOKUP($B77,'LOD 400 - ADMN'!$B:DB,105,FALSE),"N/A")</f>
        <v>N/A</v>
      </c>
      <c r="BC77" s="84" t="str">
        <f>IFERROR(VLOOKUP($B77,'LOD 400 - ADMN'!$B:DE,108,FALSE),"N/A")</f>
        <v>N/A</v>
      </c>
      <c r="BD77" s="84" t="str">
        <f>IFERROR(VLOOKUP($B77,'LOD 400 - ADMN'!$B:DH,111,FALSE),"N/A")</f>
        <v>N/A</v>
      </c>
      <c r="BE77" s="84" t="str">
        <f>IFERROR(VLOOKUP($B77,'LOD 400 - ADMN'!$B:DK,114,FALSE),"N/A")</f>
        <v>N/A</v>
      </c>
      <c r="BF77" s="84" t="str">
        <f>IFERROR(VLOOKUP($B77,'LOD 400 - ADMN'!$B:DN,117,FALSE),"N/A")</f>
        <v>N/A</v>
      </c>
      <c r="BG77" s="86" t="str">
        <f>IFERROR(__xludf.DUMMYFUNCTION("IFERROR(
  MAX(FILTER(Y77:BF77, ISNUMBER(Y77:BF77))),
  BF77
)"),"N/A")</f>
        <v>N/A</v>
      </c>
      <c r="BH77" s="79" t="str">
        <f>IFERROR(VLOOKUP($B77,'LOD 400 - COLO1'!B:S,18,FALSE),"N/A")</f>
        <v>N/A</v>
      </c>
      <c r="BI77" s="79" t="str">
        <f>IFERROR(VLOOKUP($B77,'LOD 400 - COLO1'!B:V,21,FALSE),"N/A")</f>
        <v>N/A</v>
      </c>
      <c r="BJ77" s="79" t="str">
        <f>IFERROR(VLOOKUP($B77,'LOD 400 - COLO1'!$B:Y,24,FALSE),"N/A")</f>
        <v>N/A</v>
      </c>
      <c r="BK77" s="87" t="str">
        <f>IFERROR(VLOOKUP($B77,'LOD 400 - COLO1'!$B:AB,27,FALSE),"N/A")</f>
        <v>N/A</v>
      </c>
      <c r="BL77" s="80" t="str">
        <f>IFERROR(VLOOKUP($B77,'LOD 400 - COLO1'!$B:AE,30,FALSE),"N/A")</f>
        <v>N/A</v>
      </c>
      <c r="BM77" s="81" t="str">
        <f>IFERROR(VLOOKUP($B77,'LOD 400 - COLO1'!$B:AH,33,FALSE),"N/A")</f>
        <v>N/A</v>
      </c>
      <c r="BN77" s="87" t="str">
        <f>IFERROR(VLOOKUP($B77,'LOD 400 - COLO1'!$B:AK,36,FALSE),"N/A")</f>
        <v>N/A</v>
      </c>
      <c r="BO77" s="83" t="str">
        <f>IFERROR(VLOOKUP($B77,'LOD 400 - COLO1'!$B:AN,39,FALSE),"N/A")</f>
        <v>N/A</v>
      </c>
      <c r="BP77" s="88" t="str">
        <f>IFERROR(VLOOKUP($B77,'LOD 400 - COLO1'!$B:AQ,42,FALSE),"N/A")</f>
        <v>N/A</v>
      </c>
      <c r="BQ77" s="84" t="str">
        <f>IFERROR(VLOOKUP($B77,'LOD 400 - COLO1'!$B:AT,45,FALSE),"N/A")</f>
        <v>N/A</v>
      </c>
      <c r="BR77" s="85" t="str">
        <f>IFERROR(VLOOKUP($B77,'LOD 400 - COLO1'!$B:AW,48,FALSE),"N/A")</f>
        <v>N/A</v>
      </c>
      <c r="BS77" s="84" t="str">
        <f>IFERROR(VLOOKUP($B77,'LOD 400 - COLO1'!$B:AZ,51,FALSE),"N/A")</f>
        <v>N/A</v>
      </c>
      <c r="BT77" s="84" t="str">
        <f>IFERROR(VLOOKUP($B77,'LOD 400 - COLO1'!$B:BC,54,FALSE),"N/A")</f>
        <v>N/A</v>
      </c>
      <c r="BU77" s="84" t="str">
        <f>IFERROR(VLOOKUP($B77,'LOD 400 - COLO1'!$B:BF,57,FALSE),"N/A")</f>
        <v>N/A</v>
      </c>
      <c r="BV77" s="84" t="str">
        <f>IFERROR(VLOOKUP($B77,'LOD 400 - COLO1'!$B:BI,60,FALSE),"N/A")</f>
        <v>N/A</v>
      </c>
      <c r="BW77" s="84" t="str">
        <f>IFERROR(VLOOKUP($B77,'LOD 400 - COLO1'!$B:BL,63,FALSE),"N/A")</f>
        <v>N/A</v>
      </c>
      <c r="BX77" s="84" t="str">
        <f>IFERROR(VLOOKUP($B77,'LOD 400 - COLO1'!$B:BO,66,FALSE),"N/A")</f>
        <v>N/A</v>
      </c>
      <c r="BY77" s="84" t="str">
        <f>IFERROR(VLOOKUP($B77,'LOD 400 - COLO1'!$B:BR,69,FALSE),"N/A")</f>
        <v>N/A</v>
      </c>
      <c r="BZ77" s="84" t="str">
        <f>IFERROR(VLOOKUP($B77,'LOD 400 - COLO1'!$B:BU,72,FALSE),"N/A")</f>
        <v>N/A</v>
      </c>
      <c r="CA77" s="84" t="str">
        <f>IFERROR(VLOOKUP($B77,'LOD 400 - COLO1'!$B:BX,75,FALSE),"N/A")</f>
        <v>N/A</v>
      </c>
      <c r="CB77" s="84" t="str">
        <f>IFERROR(VLOOKUP($B77,'LOD 400 - COLO1'!$B:CA,78,FALSE),"N/A")</f>
        <v>N/A</v>
      </c>
      <c r="CC77" s="84" t="str">
        <f>IFERROR(VLOOKUP($B77,'LOD 400 - COLO1'!$B:CD,81,FALSE),"N/A")</f>
        <v>N/A</v>
      </c>
      <c r="CD77" s="85" t="str">
        <f>IFERROR(VLOOKUP($B77,'LOD 400 - COLO1'!$B:CG,84,FALSE),"N/A")</f>
        <v>N/A</v>
      </c>
      <c r="CE77" s="84" t="str">
        <f>IFERROR(VLOOKUP($B77,'LOD 400 - COLO1'!$B:CJ,87,FALSE),"N/A")</f>
        <v>N/A</v>
      </c>
      <c r="CF77" s="85" t="str">
        <f>IFERROR(VLOOKUP($B77,'LOD 400 - COLO1'!$B:CM,90,FALSE),"N/A")</f>
        <v>N/A</v>
      </c>
      <c r="CG77" s="84" t="str">
        <f>IFERROR(VLOOKUP($B77,'LOD 400 - COLO1'!$B:CP,93,FALSE),"N/A")</f>
        <v>N/A</v>
      </c>
      <c r="CH77" s="84" t="str">
        <f>IFERROR(VLOOKUP($B77,'LOD 400 - COLO1'!$B:CS,96,FALSE),"N/A")</f>
        <v>N/A</v>
      </c>
      <c r="CI77" s="84" t="str">
        <f>IFERROR(VLOOKUP($B77,'LOD 400 - COLO1'!$B:CV,99,FALSE),"N/A")</f>
        <v>N/A</v>
      </c>
      <c r="CJ77" s="84" t="str">
        <f>IFERROR(VLOOKUP($B77,'LOD 400 - COLO1'!$B:CY,102,FALSE),"N/A")</f>
        <v>N/A</v>
      </c>
      <c r="CK77" s="84" t="str">
        <f>IFERROR(VLOOKUP($B77,'LOD 400 - COLO1'!$B:DB,105,FALSE),"N/A")</f>
        <v>N/A</v>
      </c>
      <c r="CL77" s="84" t="str">
        <f>IFERROR(VLOOKUP($B77,'LOD 400 - COLO1'!$B:DE,108,FALSE),"N/A")</f>
        <v>N/A</v>
      </c>
      <c r="CM77" s="84" t="str">
        <f>IFERROR(VLOOKUP($B77,'LOD 400 - COLO1'!$B:DH,111,FALSE),"N/A")</f>
        <v>N/A</v>
      </c>
      <c r="CN77" s="84" t="str">
        <f>IFERROR(VLOOKUP($B77,'LOD 400 - COLO1'!$B:DK,114,FALSE),"N/A")</f>
        <v>N/A</v>
      </c>
      <c r="CO77" s="84" t="str">
        <f>IFERROR(VLOOKUP($B77,'LOD 400 - COLO1'!$B:DN,117,FALSE),"N/A")</f>
        <v>N/A</v>
      </c>
      <c r="CP77" s="86" t="str">
        <f>IFERROR(__xludf.DUMMYFUNCTION("IFERROR(
  MAX(FILTER(BH77:CO77, ISNUMBER(BH77:CO77))),
  CO77
)"),"N/A")</f>
        <v>N/A</v>
      </c>
      <c r="CQ77" s="89" t="str">
        <f>IFERROR(VLOOKUP($B77,'LOD 400 - COLO2'!B:S,18,FALSE),"N/A")</f>
        <v>N/A</v>
      </c>
      <c r="CR77" s="79" t="str">
        <f>IFERROR(VLOOKUP($B77,'LOD 400 - COLO2'!B:V,21,FALSE),"N/A")</f>
        <v>N/A</v>
      </c>
      <c r="CS77" s="79" t="str">
        <f>IFERROR(VLOOKUP($B77,'LOD 400 - COLO2'!$B:Y,24,FALSE),"N/A")</f>
        <v>N/A</v>
      </c>
      <c r="CT77" s="80" t="str">
        <f>IFERROR(VLOOKUP($B77,'LOD 400 - COLO2'!$B:DQ,27,FALSE),"N/A")</f>
        <v>N/A</v>
      </c>
      <c r="CU77" s="90" t="str">
        <f>IFERROR(VLOOKUP($B77,'LOD 400 - COLO2'!$B:AE,30,FALSE),"N/A")</f>
        <v>N/A</v>
      </c>
      <c r="CV77" s="81" t="str">
        <f>IFERROR(VLOOKUP($B77,'LOD 400 - COLO2'!$B:AH,33,FALSE),"N/A")</f>
        <v>N/A</v>
      </c>
      <c r="CW77" s="90" t="str">
        <f>IFERROR(VLOOKUP($B77,'LOD 400 - COLO2'!$B:AK,36,FALSE),"N/A")</f>
        <v>N/A</v>
      </c>
      <c r="CX77" s="85" t="str">
        <f>IFERROR(VLOOKUP($B77,'LOD 400 - COLO2'!$B:AN,39,FALSE),"N/A")</f>
        <v>N/A</v>
      </c>
      <c r="CY77" s="88" t="str">
        <f>IFERROR(VLOOKUP($B77,'LOD 400 - COLO2'!$B:AQ,42,FALSE),"N/A")</f>
        <v>N/A</v>
      </c>
      <c r="CZ77" s="84" t="str">
        <f>IFERROR(VLOOKUP($B77,'LOD 400 - COLO2'!$B:AT,45,FALSE),"N/A")</f>
        <v>N/A</v>
      </c>
      <c r="DA77" s="85" t="str">
        <f>IFERROR(VLOOKUP($B77,'LOD 400 - COLO2'!$B:AW,48,FALSE),"N/A")</f>
        <v>N/A</v>
      </c>
      <c r="DB77" s="84" t="str">
        <f>IFERROR(VLOOKUP($B77,'LOD 400 - COLO2'!$B:AZ,51,FALSE),"N/A")</f>
        <v>N/A</v>
      </c>
      <c r="DC77" s="84" t="str">
        <f>IFERROR(VLOOKUP($B77,'LOD 400 - COLO2'!$B:BC,54,FALSE),"N/A")</f>
        <v>N/A</v>
      </c>
      <c r="DD77" s="84" t="str">
        <f>IFERROR(VLOOKUP($B77,'LOD 400 - COLO2'!$B:BF,57,FALSE),"N/A")</f>
        <v>N/A</v>
      </c>
      <c r="DE77" s="84" t="str">
        <f>IFERROR(VLOOKUP($B77,'LOD 400 - COLO2'!$B:BI,60,FALSE),"N/A")</f>
        <v>N/A</v>
      </c>
      <c r="DF77" s="84" t="str">
        <f>IFERROR(VLOOKUP($B77,'LOD 400 - COLO2'!$B:BL,63,FALSE),"N/A")</f>
        <v>N/A</v>
      </c>
      <c r="DG77" s="84" t="str">
        <f>IFERROR(VLOOKUP($B77,'LOD 400 - COLO2'!$B:BO,66,FALSE),"N/A")</f>
        <v>N/A</v>
      </c>
      <c r="DH77" s="84" t="str">
        <f>IFERROR(VLOOKUP($B77,'LOD 400 - COLO2'!$B:BR,69,FALSE),"N/A")</f>
        <v>N/A</v>
      </c>
      <c r="DI77" s="84" t="str">
        <f>IFERROR(VLOOKUP($B77,'LOD 400 - COLO2'!$B:BU,72,FALSE),"N/A")</f>
        <v>N/A</v>
      </c>
      <c r="DJ77" s="84" t="str">
        <f>IFERROR(VLOOKUP($B77,'LOD 400 - COLO2'!$B:BX,75,FALSE),"N/A")</f>
        <v>N/A</v>
      </c>
      <c r="DK77" s="84" t="str">
        <f>IFERROR(VLOOKUP($B77,'LOD 400 - COLO2'!$B:CA,78,FALSE),"N/A")</f>
        <v>N/A</v>
      </c>
      <c r="DL77" s="84" t="str">
        <f>IFERROR(VLOOKUP($B77,'LOD 400 - COLO2'!$B:CD,81,FALSE),"N/A")</f>
        <v>N/A</v>
      </c>
      <c r="DM77" s="85" t="str">
        <f>IFERROR(VLOOKUP($B77,'LOD 400 - COLO2'!$B:CG,84,FALSE),"N/A")</f>
        <v>N/A</v>
      </c>
      <c r="DN77" s="84" t="str">
        <f>IFERROR(VLOOKUP($B77,'LOD 400 - COLO2'!$B:CJ,87,FALSE),"N/A")</f>
        <v>N/A</v>
      </c>
      <c r="DO77" s="85" t="str">
        <f>IFERROR(VLOOKUP($B77,'LOD 400 - COLO2'!$B:CM,90,FALSE),"N/A")</f>
        <v>N/A</v>
      </c>
      <c r="DP77" s="84" t="str">
        <f>IFERROR(VLOOKUP($B77,'LOD 400 - COLO2'!$B:CP,93,FALSE),"N/A")</f>
        <v>N/A</v>
      </c>
      <c r="DQ77" s="84" t="str">
        <f>IFERROR(VLOOKUP($B77,'LOD 400 - COLO2'!$B:CS,96,FALSE),"N/A")</f>
        <v>N/A</v>
      </c>
      <c r="DR77" s="84" t="str">
        <f>IFERROR(VLOOKUP($B77,'LOD 400 - COLO2'!$B:CV,99,FALSE),"N/A")</f>
        <v>N/A</v>
      </c>
      <c r="DS77" s="84" t="str">
        <f>IFERROR(VLOOKUP($B77,'LOD 400 - COLO2'!$B:CY,102,FALSE),"N/A")</f>
        <v>N/A</v>
      </c>
      <c r="DT77" s="84" t="str">
        <f>IFERROR(VLOOKUP($B77,'LOD 400 - COLO2'!$B:DB,105,FALSE),"N/A")</f>
        <v>N/A</v>
      </c>
      <c r="DU77" s="84" t="str">
        <f>IFERROR(VLOOKUP($B77,'LOD 400 - COLO2'!$B:DE,108,FALSE),"N/A")</f>
        <v>N/A</v>
      </c>
      <c r="DV77" s="84" t="str">
        <f>IFERROR(VLOOKUP($B77,'LOD 400 - COLO2'!$B:DH,111,FALSE),"N/A")</f>
        <v>N/A</v>
      </c>
      <c r="DW77" s="84" t="str">
        <f>IFERROR(VLOOKUP($B77,'LOD 400 - COLO2'!$B:DK,114,FALSE),"N/A")</f>
        <v>N/A</v>
      </c>
      <c r="DX77" s="84" t="str">
        <f>IFERROR(VLOOKUP($B77,'LOD 400 - COLO2'!$B:DN,117,FALSE),"N/A")</f>
        <v>N/A</v>
      </c>
      <c r="DY77" s="91" t="str">
        <f>IFERROR(__xludf.DUMMYFUNCTION("IFERROR(
  MAX(FILTER(CQ77:DW77, ISNUMBER(CQ77:DW77))),
  DW77
)"),"N/A")</f>
        <v>N/A</v>
      </c>
      <c r="DZ77" s="92" t="str">
        <f>IFERROR(VLOOKUP($B77,'LOD 400 - COLO3'!B:S,18,FALSE),"N/A")</f>
        <v>N/A</v>
      </c>
      <c r="EA77" s="84" t="str">
        <f>IFERROR(VLOOKUP($B77,'LOD 400 - COLO3'!B:V,21,FALSE),"N/A")</f>
        <v>N/A</v>
      </c>
      <c r="EB77" s="84" t="str">
        <f>IFERROR(VLOOKUP($B77,'LOD 400 - COLO3'!B:Y,24,FALSE),"N/A")</f>
        <v>N/A</v>
      </c>
      <c r="EC77" s="84" t="str">
        <f>IFERROR(VLOOKUP($B77,'LOD 400 - COLO3'!B:AB,27,FALSE),"N/A")</f>
        <v>N/A</v>
      </c>
      <c r="ED77" s="85" t="str">
        <f>IFERROR(VLOOKUP($B77,'LOD 400 - COLO3'!B:AE,30,FALSE),"N/A")</f>
        <v>N/A</v>
      </c>
      <c r="EE77" s="84" t="str">
        <f>IFERROR(VLOOKUP($B77,'LOD 400 - COLO3'!B:AH,33,FALSE),"N/A")</f>
        <v>N/A</v>
      </c>
      <c r="EF77" s="84" t="str">
        <f>IFERROR(VLOOKUP($B77,'LOD 400 - COLO3'!B:AK,36,FALSE),"N/A")</f>
        <v>N/A</v>
      </c>
      <c r="EG77" s="109" t="str">
        <f>IFERROR(VLOOKUP($B77,'LOD 400 - COLO3'!B:AN,39,FALSE),"N/A")</f>
        <v>N/A</v>
      </c>
      <c r="EH77" s="94" t="str">
        <f>IFERROR(VLOOKUP($B77,'LOD 400 - COLO3'!B:AQ,42,FALSE),"N/A")</f>
        <v>N/A</v>
      </c>
      <c r="EI77" s="94" t="str">
        <f>IFERROR(VLOOKUP($B77,'LOD 400 - COLO3'!B:AT,45,FALSE),"N/A")</f>
        <v>N/A</v>
      </c>
      <c r="EJ77" s="94" t="str">
        <f>IFERROR(VLOOKUP($B77,'LOD 400 - COLO3'!B:AW,48,FALSE),"N/A")</f>
        <v>N/A</v>
      </c>
      <c r="EK77" s="94" t="str">
        <f>IFERROR(VLOOKUP($B77,'LOD 400 - COLO3'!B:AZ,51,FALSE),"N/A")</f>
        <v>N/A</v>
      </c>
      <c r="EL77" s="94" t="str">
        <f>IFERROR(VLOOKUP($B77,'LOD 400 - COLO3'!B:BC,54,FALSE),"N/A")</f>
        <v>N/A</v>
      </c>
      <c r="EM77" s="94" t="str">
        <f>IFERROR(VLOOKUP($B77,'LOD 400 - COLO3'!B:BF,57,FALSE),"N/A")</f>
        <v>N/A</v>
      </c>
      <c r="EN77" s="94" t="str">
        <f>IFERROR(VLOOKUP($B77,'LOD 400 - COLO3'!B:BI,60,FALSE),"N/A")</f>
        <v>N/A</v>
      </c>
      <c r="EO77" s="94" t="str">
        <f>IFERROR(VLOOKUP($B77,'LOD 400 - COLO3'!B:BL,63,FALSE),"N/A")</f>
        <v>N/A</v>
      </c>
      <c r="EP77" s="86" t="str">
        <f>IFERROR(__xludf.DUMMYFUNCTION("IFERROR(
  MAX(FILTER(DZ77:EO77, ISNUMBER(DZ77:EO77))),
  EO77
)"),"N/A")</f>
        <v>N/A</v>
      </c>
      <c r="EQ77" s="95" t="str">
        <f>IFERROR(VLOOKUP($B77,'LOD 400 - COLO4'!B:S,18,FALSE),"N/A")</f>
        <v>N/A</v>
      </c>
      <c r="ER77" s="96" t="str">
        <f>IFERROR(__xludf.DUMMYFUNCTION("IFERROR(
  MAX(FILTER(EQ77, ISNUMBER(EQ77))),
  EQ77
)"),"N/A")</f>
        <v>N/A</v>
      </c>
      <c r="ES77" s="79">
        <f>IFERROR(VLOOKUP($B77,'LOD 400 - SITE'!B:S,18,FALSE),"N/A")</f>
        <v>0.04</v>
      </c>
      <c r="ET77" s="80" t="str">
        <f>IFERROR(VLOOKUP($B77,'LOD 400 - SITE'!B:V,21,FALSE),"N/A")</f>
        <v>OUTDATED</v>
      </c>
      <c r="EU77" s="97">
        <f>IFERROR(VLOOKUP($B77,'LOD 400 - SITE'!$B:Y,24,FALSE),"N/A")</f>
        <v>0.69</v>
      </c>
      <c r="EV77" s="80">
        <f>IFERROR(VLOOKUP($B77,'LOD 400 - SITE'!$B:AB,27,FALSE),"N/A")</f>
        <v>0.73</v>
      </c>
      <c r="EW77" s="81" t="str">
        <f>IFERROR(VLOOKUP($B77,'LOD 400 - SITE'!$B:AE,30,FALSE),"N/A")</f>
        <v>IMPROPER</v>
      </c>
      <c r="EX77" s="87">
        <f>IFERROR(VLOOKUP($B77,'LOD 400 - SITE'!$B:AH,33,FALSE),"N/A")</f>
        <v>1</v>
      </c>
      <c r="EY77" s="87">
        <f>IFERROR(VLOOKUP($B77,'LOD 400 - SITE'!$B:AK,36,FALSE),"N/A")</f>
        <v>1</v>
      </c>
      <c r="EZ77" s="80">
        <f>IFERROR(VLOOKUP($B77,'LOD 400 - SITE'!$B:AN,39,FALSE),"N/A")</f>
        <v>1</v>
      </c>
      <c r="FA77" s="82">
        <f>IFERROR(VLOOKUP($B77,'LOD 400 - SITE'!$B:AQ,42,FALSE),"N/A")</f>
        <v>1</v>
      </c>
      <c r="FB77" s="88">
        <f>IFERROR(VLOOKUP($B77,'LOD 400 - SITE'!$B:AT,45,FALSE),"N/A")</f>
        <v>1</v>
      </c>
      <c r="FC77" s="84">
        <f>IFERROR(VLOOKUP($B77,'LOD 400 - SITE'!$B:AW,48,FALSE),"N/A")</f>
        <v>1</v>
      </c>
      <c r="FD77" s="84">
        <f>IFERROR(VLOOKUP($B77,'LOD 400 - SITE'!$B:AZ,51,FALSE),"N/A")</f>
        <v>1</v>
      </c>
      <c r="FE77" s="84">
        <f>IFERROR(VLOOKUP($B77,'LOD 400 - SITE'!$B:BC,54,FALSE),"N/A")</f>
        <v>1</v>
      </c>
      <c r="FF77" s="84">
        <f>IFERROR(VLOOKUP($B77,'LOD 400 - SITE'!$B:BF,57,FALSE),"N/A")</f>
        <v>1</v>
      </c>
      <c r="FG77" s="84">
        <f>IFERROR(VLOOKUP($B77,'LOD 400 - SITE'!$B:BI,60,FALSE),"N/A")</f>
        <v>1</v>
      </c>
      <c r="FH77" s="84">
        <f>IFERROR(VLOOKUP($B77,'LOD 400 - SITE'!$B:BL,63,FALSE),"N/A")</f>
        <v>1</v>
      </c>
      <c r="FI77" s="84">
        <f>IFERROR(VLOOKUP($B77,'LOD 400 - SITE'!$B:BO,66,FALSE),"N/A")</f>
        <v>1</v>
      </c>
      <c r="FJ77" s="84">
        <f>IFERROR(VLOOKUP($B77,'LOD 400 - SITE'!$B:BR,69,FALSE),"N/A")</f>
        <v>1</v>
      </c>
      <c r="FK77" s="84">
        <f>IFERROR(VLOOKUP($B77,'LOD 400 - SITE'!$B:BU,72,FALSE),"N/A")</f>
        <v>1</v>
      </c>
      <c r="FL77" s="84">
        <f>IFERROR(VLOOKUP($B77,'LOD 400 - SITE'!$B:BX,75,FALSE),"N/A")</f>
        <v>1</v>
      </c>
      <c r="FM77" s="84">
        <f>IFERROR(VLOOKUP($B77,'LOD 400 - SITE'!$B:CA,78,FALSE),"N/A")</f>
        <v>1</v>
      </c>
      <c r="FN77" s="85">
        <f>IFERROR(VLOOKUP($B77,'LOD 400 - SITE'!$B:CD,81,FALSE),"N/A")</f>
        <v>1</v>
      </c>
      <c r="FO77" s="84">
        <f>IFERROR(VLOOKUP($B77,'LOD 400 - SITE'!$B:CG,84,FALSE),"N/A")</f>
        <v>1</v>
      </c>
      <c r="FP77" s="85">
        <f>IFERROR(VLOOKUP($B77,'LOD 400 - SITE'!$B:CJ,87,FALSE),"N/A")</f>
        <v>1</v>
      </c>
      <c r="FQ77" s="84">
        <f>IFERROR(VLOOKUP($B77,'LOD 400 - SITE'!$B:CM,90,FALSE),"N/A")</f>
        <v>1</v>
      </c>
      <c r="FR77" s="84">
        <f>IFERROR(VLOOKUP($B77,'LOD 400 - SITE'!$B:CP,93,FALSE),"N/A")</f>
        <v>1</v>
      </c>
      <c r="FS77" s="84">
        <f>IFERROR(VLOOKUP($B77,'LOD 400 - SITE'!$B:CS,96,FALSE),"N/A")</f>
        <v>1</v>
      </c>
      <c r="FT77" s="84">
        <f>IFERROR(VLOOKUP($B77,'LOD 400 - SITE'!$B:CV,99,FALSE),"N/A")</f>
        <v>1</v>
      </c>
      <c r="FU77" s="84">
        <f>IFERROR(VLOOKUP($B77,'LOD 400 - SITE'!$B:CY,102,FALSE),"N/A")</f>
        <v>1</v>
      </c>
      <c r="FV77" s="84">
        <f>IFERROR(VLOOKUP($B77,'LOD 400 - SITE'!$B:DB,105,FALSE),"N/A")</f>
        <v>1</v>
      </c>
      <c r="FW77" s="84">
        <f>IFERROR(VLOOKUP($B77,'LOD 400 - SITE'!$B:DE,108,FALSE),"N/A")</f>
        <v>1</v>
      </c>
      <c r="FX77" s="84">
        <f>IFERROR(VLOOKUP($B77,'LOD 400 - SITE'!$B:DH,111,FALSE),"N/A")</f>
        <v>1</v>
      </c>
      <c r="FY77" s="84">
        <f>IFERROR(VLOOKUP($B77,'LOD 400 - SITE'!$B:DK,114,FALSE),"N/A")</f>
        <v>1</v>
      </c>
      <c r="FZ77" s="96">
        <f>IFERROR(__xludf.DUMMYFUNCTION("IFERROR(
  MAX(FILTER(ES77:FY77, ISNUMBER(ES77:FY77))),
  FY77
)"),1.0)</f>
        <v>1</v>
      </c>
      <c r="GA77" s="80">
        <f>IFERROR(VLOOKUP($B77,'LOD 400 - UTLS'!B:S,18,FALSE),"N/A")</f>
        <v>0.36</v>
      </c>
      <c r="GB77" s="98">
        <f>IFERROR(VLOOKUP($B77,'LOD 400 - UTLS'!B:V,21,FALSE),"N/A")</f>
        <v>0.73</v>
      </c>
      <c r="GC77" s="81">
        <f>IFERROR(VLOOKUP($B77,'LOD 400 - UTLS'!B:Y,24,FALSE),"N/A")</f>
        <v>1</v>
      </c>
      <c r="GD77" s="87">
        <f>IFERROR(VLOOKUP($B77,'LOD 400 - UTLS'!$B:AB,27,FALSE),"N/A")</f>
        <v>1</v>
      </c>
      <c r="GE77" s="80">
        <f>IFERROR(VLOOKUP($B77,'LOD 400 - UTLS'!$B:AE,30,FALSE),"N/A")</f>
        <v>1</v>
      </c>
      <c r="GF77" s="82">
        <f>IFERROR(VLOOKUP($B77,'LOD 400 - UTLS'!$B:AH,33,FALSE),"N/A")</f>
        <v>1</v>
      </c>
      <c r="GG77" s="88">
        <f>IFERROR(VLOOKUP($B77,'LOD 400 - UTLS'!$B:AK,36,FALSE),"N/A")</f>
        <v>1</v>
      </c>
      <c r="GH77" s="84">
        <f>IFERROR(VLOOKUP($B77,'LOD 400 - UTLS'!$B:AN,39,FALSE),"N/A")</f>
        <v>1</v>
      </c>
      <c r="GI77" s="84">
        <f>IFERROR(VLOOKUP($B77,'LOD 400 - UTLS'!$B:AQ,42,FALSE),"N/A")</f>
        <v>1</v>
      </c>
      <c r="GJ77" s="84">
        <f>IFERROR(VLOOKUP($B77,'LOD 400 - UTLS'!$B:AT,45,FALSE),"N/A")</f>
        <v>1</v>
      </c>
      <c r="GK77" s="84">
        <f>IFERROR(VLOOKUP($B77,'LOD 400 - UTLS'!$B:AW,48,FALSE),"N/A")</f>
        <v>1</v>
      </c>
      <c r="GL77" s="84">
        <f>IFERROR(VLOOKUP($B77,'LOD 400 - UTLS'!$B:AZ,51,FALSE),"N/A")</f>
        <v>1</v>
      </c>
      <c r="GM77" s="84">
        <f>IFERROR(VLOOKUP($B77,'LOD 400 - UTLS'!$B:BC,54,FALSE),"N/A")</f>
        <v>1</v>
      </c>
      <c r="GN77" s="84">
        <f>IFERROR(VLOOKUP($B77,'LOD 400 - UTLS'!$B:BF,57,FALSE),"N/A")</f>
        <v>1</v>
      </c>
      <c r="GO77" s="84">
        <f>IFERROR(VLOOKUP($B77,'LOD 400 - UTLS'!$B:BI,60,FALSE),"N/A")</f>
        <v>1</v>
      </c>
      <c r="GP77" s="84">
        <f>IFERROR(VLOOKUP($B77,'LOD 400 - UTLS'!$B:BL,63,FALSE),"N/A")</f>
        <v>1</v>
      </c>
      <c r="GQ77" s="84">
        <f>IFERROR(VLOOKUP($B77,'LOD 400 - UTLS'!$B:BO,66,FALSE),"N/A")</f>
        <v>1</v>
      </c>
      <c r="GR77" s="84">
        <f>IFERROR(VLOOKUP($B77,'LOD 400 - UTLS'!$B:BR,69,FALSE),"N/A")</f>
        <v>1</v>
      </c>
      <c r="GS77" s="85">
        <f>IFERROR(VLOOKUP($B77,'LOD 400 - UTLS'!$B:BU,72,FALSE),"N/A")</f>
        <v>1</v>
      </c>
      <c r="GT77" s="84">
        <f>IFERROR(VLOOKUP($B77,'LOD 400 - UTLS'!$B:BX,75,FALSE),"N/A")</f>
        <v>1</v>
      </c>
      <c r="GU77" s="85">
        <f>IFERROR(VLOOKUP($B77,'LOD 400 - UTLS'!$B:CA,78,FALSE),"N/A")</f>
        <v>1</v>
      </c>
      <c r="GV77" s="84">
        <f>IFERROR(VLOOKUP($B77,'LOD 400 - UTLS'!$B:CD,81,FALSE),"N/A")</f>
        <v>1</v>
      </c>
      <c r="GW77" s="84">
        <f>IFERROR(VLOOKUP($B77,'LOD 400 - UTLS'!$B:CG,84,FALSE),"N/A")</f>
        <v>1</v>
      </c>
      <c r="GX77" s="84">
        <f>IFERROR(VLOOKUP($B77,'LOD 400 - UTLS'!$B:CJ,87,FALSE),"N/A")</f>
        <v>1</v>
      </c>
      <c r="GY77" s="84">
        <f>IFERROR(VLOOKUP($B77,'LOD 400 - UTLS'!$B:CM,90,FALSE),"N/A")</f>
        <v>1</v>
      </c>
      <c r="GZ77" s="84">
        <f>IFERROR(VLOOKUP($B77,'LOD 400 - UTLS'!$B:CP,93,FALSE),"N/A")</f>
        <v>1</v>
      </c>
      <c r="HA77" s="84">
        <f>IFERROR(VLOOKUP($B77,'LOD 400 - UTLS'!$B:CS,96,FALSE),"N/A")</f>
        <v>1</v>
      </c>
      <c r="HB77" s="84">
        <f>IFERROR(VLOOKUP($B77,'LOD 400 - UTLS'!$B:CV,99,FALSE),"N/A")</f>
        <v>1</v>
      </c>
      <c r="HC77" s="84">
        <f>IFERROR(VLOOKUP($B77,'LOD 400 - UTLS'!$B:CY,102,FALSE),"N/A")</f>
        <v>1</v>
      </c>
      <c r="HD77" s="84">
        <f>IFERROR(VLOOKUP($B77,'LOD 400 - UTLS'!$B:DB,105,FALSE),"N/A")</f>
        <v>1</v>
      </c>
      <c r="HE77" s="96">
        <f>IFERROR(__xludf.DUMMYFUNCTION("IFERROR(
  MAX(FILTER(GA77:HD77, ISNUMBER(GA77:HD77))),
  HD77
)"),1.0)</f>
        <v>1</v>
      </c>
      <c r="HF77" s="99"/>
      <c r="HG77" s="99"/>
      <c r="HH77" s="99"/>
      <c r="HI77" s="99"/>
      <c r="HJ77" s="99"/>
      <c r="HK77" s="99"/>
    </row>
    <row r="78" ht="15.0" customHeight="1" outlineLevel="1">
      <c r="A78" s="53">
        <v>82.0</v>
      </c>
      <c r="B78" s="145" t="s">
        <v>238</v>
      </c>
      <c r="C78" s="145" t="s">
        <v>239</v>
      </c>
      <c r="D78" s="64" t="str">
        <f t="shared" si="14"/>
        <v>DATA</v>
      </c>
      <c r="E78" s="101" t="s">
        <v>237</v>
      </c>
      <c r="F78" s="102">
        <v>1118.0</v>
      </c>
      <c r="G78" s="103" t="s">
        <v>237</v>
      </c>
      <c r="H78" s="104">
        <v>1118.0</v>
      </c>
      <c r="I78" s="68" t="str">
        <f>IFERROR(VLOOKUP($C75:C108,'R22 RELATÓRIO ACC'!B:F,5,FALSE),"NOT PUBLISHED")</f>
        <v>V39</v>
      </c>
      <c r="J78" s="69" t="str">
        <f>IFERROR(VLOOKUP($C75:C108,'R22 RELATÓRIO ACC'!B:P,15,FALSE),"NOT PUBLISHED")</f>
        <v>30/04/2026</v>
      </c>
      <c r="K78" s="70" t="str">
        <f>IFERROR(VLOOKUP($B75:B108,'RELATÓRIO ACC'!B:F,5,FALSE),"NOT PUBLISHED")</f>
        <v>V3</v>
      </c>
      <c r="L78" s="71" t="str">
        <f>IFERROR(VLOOKUP($B75:B108,'RELATÓRIO ACC'!B:P,15,FALSE),"NOT PUBLISHED")</f>
        <v>01/07/2026</v>
      </c>
      <c r="M78" s="72" t="str">
        <f>IF(OR($D78="UTLS",$D78="GUAR",$D78="STIR",$D78="PUMP",$D78="SITE"),
   VLOOKUP($B78,'LOD 400 - SITE'!B:M,12,FALSE),
   VLOOKUP($B78,'LOD 400 - ADMN'!B:M,12,FALSE)
)</f>
        <v>V33</v>
      </c>
      <c r="N78" s="105" t="str">
        <f>IF(OR($D78="UTLS",$D78="GUAR",$D78="STIR",$D78="PUMP",$D78="SITE"),
   VLOOKUP($B78,'LOD 400 - SITE'!B:N,13,FALSE),
   VLOOKUP($B78,'LOD 400 - ADMN'!B:N,13,FALSE)
)</f>
        <v>05/01/2026</v>
      </c>
      <c r="O78" s="106" t="str">
        <f>IF(OR($D78="UTLS",$D78="GUAR",$D78="STIR",$D78="PUMP",$D78="SITE"),
   VLOOKUP($B78,'LOD 400 - SITE'!B:O,14,FALSE),
   VLOOKUP($B78,'LOD 400 - ADMN'!B:O,14,FALSE)
)</f>
        <v>R22</v>
      </c>
      <c r="P78" s="107" t="str">
        <f>IF(OR($D78="C345",$D78="C12A",$D78="DATA"),
   VLOOKUP($B78,'LOD 400 - COLO3'!B:M,12,FALSE),"N/A")</f>
        <v>V3</v>
      </c>
      <c r="Q78" s="108">
        <f>IF(OR($D78="C345",$D78="C12A",$D78="DATA"),
   VLOOKUP($B78,'LOD 400 - COLO3'!B:N,13,FALSE),"N/A")</f>
        <v>46204</v>
      </c>
      <c r="R78" s="75" t="str">
        <f>IF(OR($D78="C345",$D78="C12A",$D78="DATA"),
   VLOOKUP($B78,'LOD 400 - COLO3'!B:O,14,FALSE),"N/A")</f>
        <v>R24</v>
      </c>
      <c r="S78" s="76" t="str">
        <f>IF(OR($D78="C345",$D78="C12A",$D78="DATA"),
   VLOOKUP($B78,'LOD 400 - COLO4'!B:N,12,FALSE),"N/A")</f>
        <v>N/A</v>
      </c>
      <c r="T78" s="76" t="str">
        <f>IF(OR($D78="C345",$D78="C12A",$D78="DATA"),
   VLOOKUP($B78,'LOD 400 - COLO4'!B:N,13,FALSE),"N/A")</f>
        <v>N/A</v>
      </c>
      <c r="U78" s="76" t="str">
        <f>IF(OR($D78="C345",$D78="C12A",$D78="DATA"),
   VLOOKUP($B78,'LOD 400 - COLO4'!B:N,13,FALSE),"N/A")</f>
        <v>N/A</v>
      </c>
      <c r="V78" s="77" t="str">
        <f>IF(OR($D78="UTLS",$D78="GUAR",$D78="STIR",$D78="PUMP",$D78="SITE"),
   VLOOKUP($B78,'LOD 400 - UTLS'!B:M,12,FALSE),"N/A")</f>
        <v>N/A</v>
      </c>
      <c r="W78" s="78" t="str">
        <f>IF(OR($D78="UTLS",$D78="GUAR",$D78="STIR",$D78="PUMP",$D78="SITE"),
   VLOOKUP($B78,'LOD 400 - UTLS'!B:N,13,FALSE),"N/A")</f>
        <v>N/A</v>
      </c>
      <c r="X78" s="108" t="str">
        <f>IF(OR($D78="UTLS",$D78="GUAR",$D78="STIR",$D78="PUMP",$D78="SITE"),
   VLOOKUP($B78,'LOD 400 - UTLS'!B:O,14,FALSE),"N/A")</f>
        <v>N/A</v>
      </c>
      <c r="Y78" s="79" t="str">
        <f>IFERROR(VLOOKUP($B78,'LOD 400 - ADMN'!B:S,18,FALSE),"N/A")</f>
        <v>OUTDATED</v>
      </c>
      <c r="Z78" s="79" t="str">
        <f>IFERROR(VLOOKUP($B78,'LOD 400 - ADMN'!B:V,21,FALSE),"N/A")</f>
        <v>OUTDATED</v>
      </c>
      <c r="AA78" s="79" t="str">
        <f>IFERROR(VLOOKUP($B78,'LOD 400 - ADMN'!$B:Y,24,FALSE),"N/A")</f>
        <v>OUTDATED</v>
      </c>
      <c r="AB78" s="80">
        <f>IFERROR(VLOOKUP($B78,'LOD 400 - ADMN'!$B:AB,27,FALSE),"N/A")</f>
        <v>0.27</v>
      </c>
      <c r="AC78" s="81" t="str">
        <f>IFERROR(VLOOKUP($B78,'LOD 400 - ADMN'!$B:AE,30,FALSE),"N/A")</f>
        <v>OUTDATED</v>
      </c>
      <c r="AD78" s="81" t="str">
        <f>IFERROR(VLOOKUP($B78,'LOD 400 - ADMN'!$B:AH,33,FALSE),"N/A")</f>
        <v>IMPROPER</v>
      </c>
      <c r="AE78" s="80" t="str">
        <f>IFERROR(VLOOKUP($B78,'LOD 400 - ADMN'!$B:AK,36,FALSE),"N/A")</f>
        <v>NEXT ROUND</v>
      </c>
      <c r="AF78" s="82">
        <f>IFERROR(VLOOKUP($B78,'LOD 400 - ADMN'!$B:AN,39,FALSE),"N/A")</f>
        <v>0.97</v>
      </c>
      <c r="AG78" s="83" t="str">
        <f>IFERROR(VLOOKUP($B78,'LOD 400 - ADMN'!$B:AQ,42,FALSE),"N/A")</f>
        <v>OUTDATED</v>
      </c>
      <c r="AH78" s="84">
        <f>IFERROR(VLOOKUP($B78,'LOD 400 - ADMN'!$B:AT,45,FALSE),"N/A")</f>
        <v>1</v>
      </c>
      <c r="AI78" s="85">
        <f>IFERROR(VLOOKUP($B78,'LOD 400 - ADMN'!$B:AW,48,FALSE),"N/A")</f>
        <v>1</v>
      </c>
      <c r="AJ78" s="85">
        <f>IFERROR(VLOOKUP($B78,'LOD 400 - ADMN'!$B:AZ,51,FALSE),"N/A")</f>
        <v>1</v>
      </c>
      <c r="AK78" s="84">
        <f>IFERROR(VLOOKUP($B78,'LOD 400 - ADMN'!$B:BC,54,FALSE),"N/A")</f>
        <v>1</v>
      </c>
      <c r="AL78" s="84">
        <f>IFERROR(VLOOKUP($B78,'LOD 400 - ADMN'!$B:BF,57,FALSE),"N/A")</f>
        <v>1</v>
      </c>
      <c r="AM78" s="84">
        <f>IFERROR(VLOOKUP($B78,'LOD 400 - ADMN'!$B:BI,60,FALSE),"N/A")</f>
        <v>1</v>
      </c>
      <c r="AN78" s="84">
        <f>IFERROR(VLOOKUP($B78,'LOD 400 - ADMN'!$B:BL,63,FALSE),"N/A")</f>
        <v>1</v>
      </c>
      <c r="AO78" s="84">
        <f>IFERROR(VLOOKUP($B78,'LOD 400 - ADMN'!$B:BO,66,FALSE),"N/A")</f>
        <v>1</v>
      </c>
      <c r="AP78" s="84">
        <f>IFERROR(VLOOKUP($B78,'LOD 400 - ADMN'!$B:BR,69,FALSE),"N/A")</f>
        <v>1</v>
      </c>
      <c r="AQ78" s="84">
        <f>IFERROR(VLOOKUP($B78,'LOD 400 - ADMN'!$B:BU,72,FALSE),"N/A")</f>
        <v>1</v>
      </c>
      <c r="AR78" s="84">
        <f>IFERROR(VLOOKUP($B78,'LOD 400 - ADMN'!$B:BX,75,FALSE),"N/A")</f>
        <v>1</v>
      </c>
      <c r="AS78" s="84">
        <f>IFERROR(VLOOKUP($B78,'LOD 400 - ADMN'!$B:CA,78,FALSE),"N/A")</f>
        <v>1</v>
      </c>
      <c r="AT78" s="84">
        <f>IFERROR(VLOOKUP($B78,'LOD 400 - ADMN'!$B:CD,81,FALSE),"N/A")</f>
        <v>1</v>
      </c>
      <c r="AU78" s="85">
        <f>IFERROR(VLOOKUP($B78,'LOD 400 - ADMN'!$B:CG,84,FALSE),"N/A")</f>
        <v>1</v>
      </c>
      <c r="AV78" s="84">
        <f>IFERROR(VLOOKUP($B78,'LOD 400 - ADMN'!$B:CJ,87,FALSE),"N/A")</f>
        <v>1</v>
      </c>
      <c r="AW78" s="85">
        <f>IFERROR(VLOOKUP($B78,'LOD 400 - ADMN'!$B:CM,90,FALSE),"N/A")</f>
        <v>1</v>
      </c>
      <c r="AX78" s="84">
        <f>IFERROR(VLOOKUP($B78,'LOD 400 - ADMN'!$B:CP,93,FALSE),"N/A")</f>
        <v>1</v>
      </c>
      <c r="AY78" s="84">
        <f>IFERROR(VLOOKUP($B78,'LOD 400 - ADMN'!$B:CS,96,FALSE),"N/A")</f>
        <v>1</v>
      </c>
      <c r="AZ78" s="84">
        <f>IFERROR(VLOOKUP($B78,'LOD 400 - ADMN'!$B:CV,99,FALSE),"N/A")</f>
        <v>1</v>
      </c>
      <c r="BA78" s="84">
        <f>IFERROR(VLOOKUP($B78,'LOD 400 - ADMN'!$B:CY,102,FALSE),"N/A")</f>
        <v>1</v>
      </c>
      <c r="BB78" s="84">
        <f>IFERROR(VLOOKUP($B78,'LOD 400 - ADMN'!$B:DB,105,FALSE),"N/A")</f>
        <v>1</v>
      </c>
      <c r="BC78" s="84">
        <f>IFERROR(VLOOKUP($B78,'LOD 400 - ADMN'!$B:DE,108,FALSE),"N/A")</f>
        <v>1</v>
      </c>
      <c r="BD78" s="84">
        <f>IFERROR(VLOOKUP($B78,'LOD 400 - ADMN'!$B:DH,111,FALSE),"N/A")</f>
        <v>1</v>
      </c>
      <c r="BE78" s="84">
        <f>IFERROR(VLOOKUP($B78,'LOD 400 - ADMN'!$B:DK,114,FALSE),"N/A")</f>
        <v>1</v>
      </c>
      <c r="BF78" s="84">
        <f>IFERROR(VLOOKUP($B78,'LOD 400 - ADMN'!$B:DN,117,FALSE),"N/A")</f>
        <v>1</v>
      </c>
      <c r="BG78" s="86">
        <f>IFERROR(__xludf.DUMMYFUNCTION("IFERROR(
  MAX(FILTER(Y78:BF78, ISNUMBER(Y78:BF78))),
  BF78
)"),1.0)</f>
        <v>1</v>
      </c>
      <c r="BH78" s="79" t="str">
        <f>IFERROR(VLOOKUP($B78,'LOD 400 - COLO1'!B:S,18,FALSE),"N/A")</f>
        <v>OUTDATED</v>
      </c>
      <c r="BI78" s="79" t="str">
        <f>IFERROR(VLOOKUP($B78,'LOD 400 - COLO1'!B:V,21,FALSE),"N/A")</f>
        <v>OUTDATED</v>
      </c>
      <c r="BJ78" s="79" t="str">
        <f>IFERROR(VLOOKUP($B78,'LOD 400 - COLO1'!$B:Y,24,FALSE),"N/A")</f>
        <v>OUTDATED</v>
      </c>
      <c r="BK78" s="87">
        <f>IFERROR(VLOOKUP($B78,'LOD 400 - COLO1'!$B:AB,27,FALSE),"N/A")</f>
        <v>0.27</v>
      </c>
      <c r="BL78" s="80" t="str">
        <f>IFERROR(VLOOKUP($B78,'LOD 400 - COLO1'!$B:AE,30,FALSE),"N/A")</f>
        <v>OUTDATED</v>
      </c>
      <c r="BM78" s="81" t="str">
        <f>IFERROR(VLOOKUP($B78,'LOD 400 - COLO1'!$B:AH,33,FALSE),"N/A")</f>
        <v>IMPROPER</v>
      </c>
      <c r="BN78" s="87" t="str">
        <f>IFERROR(VLOOKUP($B78,'LOD 400 - COLO1'!$B:AK,36,FALSE),"N/A")</f>
        <v>NEXT ROUND</v>
      </c>
      <c r="BO78" s="83">
        <f>IFERROR(VLOOKUP($B78,'LOD 400 - COLO1'!$B:AN,39,FALSE),"N/A")</f>
        <v>0.94</v>
      </c>
      <c r="BP78" s="88" t="str">
        <f>IFERROR(VLOOKUP($B78,'LOD 400 - COLO1'!$B:AQ,42,FALSE),"N/A")</f>
        <v>OUTDATED</v>
      </c>
      <c r="BQ78" s="84">
        <f>IFERROR(VLOOKUP($B78,'LOD 400 - COLO1'!$B:AT,45,FALSE),"N/A")</f>
        <v>0.98</v>
      </c>
      <c r="BR78" s="85">
        <f>IFERROR(VLOOKUP($B78,'LOD 400 - COLO1'!$B:AW,48,FALSE),"N/A")</f>
        <v>1</v>
      </c>
      <c r="BS78" s="84">
        <f>IFERROR(VLOOKUP($B78,'LOD 400 - COLO1'!$B:AZ,51,FALSE),"N/A")</f>
        <v>1</v>
      </c>
      <c r="BT78" s="84">
        <f>IFERROR(VLOOKUP($B78,'LOD 400 - COLO1'!$B:BC,54,FALSE),"N/A")</f>
        <v>1</v>
      </c>
      <c r="BU78" s="84">
        <f>IFERROR(VLOOKUP($B78,'LOD 400 - COLO1'!$B:BF,57,FALSE),"N/A")</f>
        <v>1</v>
      </c>
      <c r="BV78" s="84">
        <f>IFERROR(VLOOKUP($B78,'LOD 400 - COLO1'!$B:BI,60,FALSE),"N/A")</f>
        <v>1</v>
      </c>
      <c r="BW78" s="84">
        <f>IFERROR(VLOOKUP($B78,'LOD 400 - COLO1'!$B:BL,63,FALSE),"N/A")</f>
        <v>1</v>
      </c>
      <c r="BX78" s="84">
        <f>IFERROR(VLOOKUP($B78,'LOD 400 - COLO1'!$B:BO,66,FALSE),"N/A")</f>
        <v>1</v>
      </c>
      <c r="BY78" s="84">
        <f>IFERROR(VLOOKUP($B78,'LOD 400 - COLO1'!$B:BR,69,FALSE),"N/A")</f>
        <v>1</v>
      </c>
      <c r="BZ78" s="84">
        <f>IFERROR(VLOOKUP($B78,'LOD 400 - COLO1'!$B:BU,72,FALSE),"N/A")</f>
        <v>1</v>
      </c>
      <c r="CA78" s="84">
        <f>IFERROR(VLOOKUP($B78,'LOD 400 - COLO1'!$B:BX,75,FALSE),"N/A")</f>
        <v>1</v>
      </c>
      <c r="CB78" s="84">
        <f>IFERROR(VLOOKUP($B78,'LOD 400 - COLO1'!$B:CA,78,FALSE),"N/A")</f>
        <v>1</v>
      </c>
      <c r="CC78" s="84">
        <f>IFERROR(VLOOKUP($B78,'LOD 400 - COLO1'!$B:CD,81,FALSE),"N/A")</f>
        <v>1</v>
      </c>
      <c r="CD78" s="85">
        <f>IFERROR(VLOOKUP($B78,'LOD 400 - COLO1'!$B:CG,84,FALSE),"N/A")</f>
        <v>1</v>
      </c>
      <c r="CE78" s="84">
        <f>IFERROR(VLOOKUP($B78,'LOD 400 - COLO1'!$B:CJ,87,FALSE),"N/A")</f>
        <v>1</v>
      </c>
      <c r="CF78" s="85">
        <f>IFERROR(VLOOKUP($B78,'LOD 400 - COLO1'!$B:CM,90,FALSE),"N/A")</f>
        <v>1</v>
      </c>
      <c r="CG78" s="84">
        <f>IFERROR(VLOOKUP($B78,'LOD 400 - COLO1'!$B:CP,93,FALSE),"N/A")</f>
        <v>1</v>
      </c>
      <c r="CH78" s="84">
        <f>IFERROR(VLOOKUP($B78,'LOD 400 - COLO1'!$B:CS,96,FALSE),"N/A")</f>
        <v>1</v>
      </c>
      <c r="CI78" s="84">
        <f>IFERROR(VLOOKUP($B78,'LOD 400 - COLO1'!$B:CV,99,FALSE),"N/A")</f>
        <v>1</v>
      </c>
      <c r="CJ78" s="84">
        <f>IFERROR(VLOOKUP($B78,'LOD 400 - COLO1'!$B:CY,102,FALSE),"N/A")</f>
        <v>1</v>
      </c>
      <c r="CK78" s="84">
        <f>IFERROR(VLOOKUP($B78,'LOD 400 - COLO1'!$B:DB,105,FALSE),"N/A")</f>
        <v>1</v>
      </c>
      <c r="CL78" s="84">
        <f>IFERROR(VLOOKUP($B78,'LOD 400 - COLO1'!$B:DE,108,FALSE),"N/A")</f>
        <v>1</v>
      </c>
      <c r="CM78" s="84">
        <f>IFERROR(VLOOKUP($B78,'LOD 400 - COLO1'!$B:DH,111,FALSE),"N/A")</f>
        <v>1</v>
      </c>
      <c r="CN78" s="84">
        <f>IFERROR(VLOOKUP($B78,'LOD 400 - COLO1'!$B:DK,114,FALSE),"N/A")</f>
        <v>1</v>
      </c>
      <c r="CO78" s="84">
        <f>IFERROR(VLOOKUP($B78,'LOD 400 - COLO1'!$B:DN,117,FALSE),"N/A")</f>
        <v>1</v>
      </c>
      <c r="CP78" s="86">
        <f>IFERROR(__xludf.DUMMYFUNCTION("IFERROR(
  MAX(FILTER(BH78:CO78, ISNUMBER(BH78:CO78))),
  CO78
)"),1.0)</f>
        <v>1</v>
      </c>
      <c r="CQ78" s="89" t="str">
        <f>IFERROR(VLOOKUP($B78,'LOD 400 - COLO2'!B:S,18,FALSE),"N/A")</f>
        <v>OUTDATED</v>
      </c>
      <c r="CR78" s="79" t="str">
        <f>IFERROR(VLOOKUP($B78,'LOD 400 - COLO2'!B:V,21,FALSE),"N/A")</f>
        <v>OUTDATED</v>
      </c>
      <c r="CS78" s="79" t="str">
        <f>IFERROR(VLOOKUP($B78,'LOD 400 - COLO2'!$B:Y,24,FALSE),"N/A")</f>
        <v>OUTDATED</v>
      </c>
      <c r="CT78" s="80">
        <f>IFERROR(VLOOKUP($B78,'LOD 400 - COLO2'!$B:DQ,27,FALSE),"N/A")</f>
        <v>0.27</v>
      </c>
      <c r="CU78" s="90" t="str">
        <f>IFERROR(VLOOKUP($B78,'LOD 400 - COLO2'!$B:AE,30,FALSE),"N/A")</f>
        <v>OUTDATED</v>
      </c>
      <c r="CV78" s="81" t="str">
        <f>IFERROR(VLOOKUP($B78,'LOD 400 - COLO2'!$B:AH,33,FALSE),"N/A")</f>
        <v>IMPROPER</v>
      </c>
      <c r="CW78" s="90" t="str">
        <f>IFERROR(VLOOKUP($B78,'LOD 400 - COLO2'!$B:AK,36,FALSE),"N/A")</f>
        <v>NEXT ROUND</v>
      </c>
      <c r="CX78" s="85">
        <f>IFERROR(VLOOKUP($B78,'LOD 400 - COLO2'!$B:AN,39,FALSE),"N/A")</f>
        <v>0.94</v>
      </c>
      <c r="CY78" s="88" t="str">
        <f>IFERROR(VLOOKUP($B78,'LOD 400 - COLO2'!$B:AQ,42,FALSE),"N/A")</f>
        <v>OUTDATED</v>
      </c>
      <c r="CZ78" s="84">
        <f>IFERROR(VLOOKUP($B78,'LOD 400 - COLO2'!$B:AT,45,FALSE),"N/A")</f>
        <v>0.98</v>
      </c>
      <c r="DA78" s="85">
        <f>IFERROR(VLOOKUP($B78,'LOD 400 - COLO2'!$B:AW,48,FALSE),"N/A")</f>
        <v>1</v>
      </c>
      <c r="DB78" s="84">
        <f>IFERROR(VLOOKUP($B78,'LOD 400 - COLO2'!$B:AZ,51,FALSE),"N/A")</f>
        <v>1</v>
      </c>
      <c r="DC78" s="84">
        <f>IFERROR(VLOOKUP($B78,'LOD 400 - COLO2'!$B:BC,54,FALSE),"N/A")</f>
        <v>1</v>
      </c>
      <c r="DD78" s="84">
        <f>IFERROR(VLOOKUP($B78,'LOD 400 - COLO2'!$B:BF,57,FALSE),"N/A")</f>
        <v>1</v>
      </c>
      <c r="DE78" s="84">
        <f>IFERROR(VLOOKUP($B78,'LOD 400 - COLO2'!$B:BI,60,FALSE),"N/A")</f>
        <v>1</v>
      </c>
      <c r="DF78" s="84">
        <f>IFERROR(VLOOKUP($B78,'LOD 400 - COLO2'!$B:BL,63,FALSE),"N/A")</f>
        <v>1</v>
      </c>
      <c r="DG78" s="84">
        <f>IFERROR(VLOOKUP($B78,'LOD 400 - COLO2'!$B:BO,66,FALSE),"N/A")</f>
        <v>1</v>
      </c>
      <c r="DH78" s="84">
        <f>IFERROR(VLOOKUP($B78,'LOD 400 - COLO2'!$B:BR,69,FALSE),"N/A")</f>
        <v>1</v>
      </c>
      <c r="DI78" s="84">
        <f>IFERROR(VLOOKUP($B78,'LOD 400 - COLO2'!$B:BU,72,FALSE),"N/A")</f>
        <v>1</v>
      </c>
      <c r="DJ78" s="84">
        <f>IFERROR(VLOOKUP($B78,'LOD 400 - COLO2'!$B:BX,75,FALSE),"N/A")</f>
        <v>1</v>
      </c>
      <c r="DK78" s="84">
        <f>IFERROR(VLOOKUP($B78,'LOD 400 - COLO2'!$B:CA,78,FALSE),"N/A")</f>
        <v>1</v>
      </c>
      <c r="DL78" s="84">
        <f>IFERROR(VLOOKUP($B78,'LOD 400 - COLO2'!$B:CD,81,FALSE),"N/A")</f>
        <v>1</v>
      </c>
      <c r="DM78" s="85">
        <f>IFERROR(VLOOKUP($B78,'LOD 400 - COLO2'!$B:CG,84,FALSE),"N/A")</f>
        <v>1</v>
      </c>
      <c r="DN78" s="84">
        <f>IFERROR(VLOOKUP($B78,'LOD 400 - COLO2'!$B:CJ,87,FALSE),"N/A")</f>
        <v>1</v>
      </c>
      <c r="DO78" s="85">
        <f>IFERROR(VLOOKUP($B78,'LOD 400 - COLO2'!$B:CM,90,FALSE),"N/A")</f>
        <v>1</v>
      </c>
      <c r="DP78" s="84">
        <f>IFERROR(VLOOKUP($B78,'LOD 400 - COLO2'!$B:CP,93,FALSE),"N/A")</f>
        <v>1</v>
      </c>
      <c r="DQ78" s="84">
        <f>IFERROR(VLOOKUP($B78,'LOD 400 - COLO2'!$B:CS,96,FALSE),"N/A")</f>
        <v>1</v>
      </c>
      <c r="DR78" s="84">
        <f>IFERROR(VLOOKUP($B78,'LOD 400 - COLO2'!$B:CV,99,FALSE),"N/A")</f>
        <v>1</v>
      </c>
      <c r="DS78" s="84">
        <f>IFERROR(VLOOKUP($B78,'LOD 400 - COLO2'!$B:CY,102,FALSE),"N/A")</f>
        <v>1</v>
      </c>
      <c r="DT78" s="84">
        <f>IFERROR(VLOOKUP($B78,'LOD 400 - COLO2'!$B:DB,105,FALSE),"N/A")</f>
        <v>1</v>
      </c>
      <c r="DU78" s="84">
        <f>IFERROR(VLOOKUP($B78,'LOD 400 - COLO2'!$B:DE,108,FALSE),"N/A")</f>
        <v>1</v>
      </c>
      <c r="DV78" s="84">
        <f>IFERROR(VLOOKUP($B78,'LOD 400 - COLO2'!$B:DH,111,FALSE),"N/A")</f>
        <v>1</v>
      </c>
      <c r="DW78" s="84">
        <f>IFERROR(VLOOKUP($B78,'LOD 400 - COLO2'!$B:DK,114,FALSE),"N/A")</f>
        <v>1</v>
      </c>
      <c r="DX78" s="84">
        <f>IFERROR(VLOOKUP($B78,'LOD 400 - COLO2'!$B:DN,117,FALSE),"N/A")</f>
        <v>1</v>
      </c>
      <c r="DY78" s="91">
        <f>IFERROR(__xludf.DUMMYFUNCTION("IFERROR(
  MAX(FILTER(CQ78:DW78, ISNUMBER(CQ78:DW78))),
  DW78
)"),1.0)</f>
        <v>1</v>
      </c>
      <c r="DZ78" s="92">
        <f>IFERROR(VLOOKUP($B78,'LOD 400 - COLO3'!B:S,18,FALSE),"N/A")</f>
        <v>0</v>
      </c>
      <c r="EA78" s="84">
        <f>IFERROR(VLOOKUP($B78,'LOD 400 - COLO3'!B:V,21,FALSE),"N/A")</f>
        <v>0</v>
      </c>
      <c r="EB78" s="84">
        <f>IFERROR(VLOOKUP($B78,'LOD 400 - COLO3'!B:Y,24,FALSE),"N/A")</f>
        <v>0</v>
      </c>
      <c r="EC78" s="84">
        <f>IFERROR(VLOOKUP($B78,'LOD 400 - COLO3'!B:AB,27,FALSE),"N/A")</f>
        <v>0.8</v>
      </c>
      <c r="ED78" s="85" t="str">
        <f>IFERROR(VLOOKUP($B78,'LOD 400 - COLO3'!B:AE,30,FALSE),"N/A")</f>
        <v>NEXT ROUND</v>
      </c>
      <c r="EE78" s="84" t="str">
        <f>IFERROR(VLOOKUP($B78,'LOD 400 - COLO3'!B:AH,33,FALSE),"N/A")</f>
        <v>NEXT ROUND</v>
      </c>
      <c r="EF78" s="84" t="str">
        <f>IFERROR(VLOOKUP($B78,'LOD 400 - COLO3'!B:AK,36,FALSE),"N/A")</f>
        <v>NEXT ROUND</v>
      </c>
      <c r="EG78" s="109" t="str">
        <f>IFERROR(VLOOKUP($B78,'LOD 400 - COLO3'!B:AN,39,FALSE),"N/A")</f>
        <v>NEXT ROUND</v>
      </c>
      <c r="EH78" s="94" t="str">
        <f>IFERROR(VLOOKUP($B78,'LOD 400 - COLO3'!B:AQ,42,FALSE),"N/A")</f>
        <v>NEXT ROUND</v>
      </c>
      <c r="EI78" s="94" t="str">
        <f>IFERROR(VLOOKUP($B78,'LOD 400 - COLO3'!B:AT,45,FALSE),"N/A")</f>
        <v>NEXT ROUND</v>
      </c>
      <c r="EJ78" s="94" t="str">
        <f>IFERROR(VLOOKUP($B78,'LOD 400 - COLO3'!B:AW,48,FALSE),"N/A")</f>
        <v>NEXT ROUND</v>
      </c>
      <c r="EK78" s="94" t="str">
        <f>IFERROR(VLOOKUP($B78,'LOD 400 - COLO3'!B:AZ,51,FALSE),"N/A")</f>
        <v>NEXT ROUND</v>
      </c>
      <c r="EL78" s="94">
        <f>IFERROR(VLOOKUP($B78,'LOD 400 - COLO3'!B:BC,54,FALSE),"N/A")</f>
        <v>0.94</v>
      </c>
      <c r="EM78" s="94" t="str">
        <f>IFERROR(VLOOKUP($B78,'LOD 400 - COLO3'!B:BF,57,FALSE),"N/A")</f>
        <v>NEXT ROUND</v>
      </c>
      <c r="EN78" s="94">
        <f>IFERROR(VLOOKUP($B78,'LOD 400 - COLO3'!B:BI,60,FALSE),"N/A")</f>
        <v>1</v>
      </c>
      <c r="EO78" s="94">
        <f>IFERROR(VLOOKUP($B78,'LOD 400 - COLO3'!B:BL,63,FALSE),"N/A")</f>
        <v>1</v>
      </c>
      <c r="EP78" s="86">
        <f>IFERROR(__xludf.DUMMYFUNCTION("IFERROR(
  MAX(FILTER(DZ78:EO78, ISNUMBER(DZ78:EO78))),
  EO78
)"),1.0)</f>
        <v>1</v>
      </c>
      <c r="EQ78" s="95">
        <f>IFERROR(VLOOKUP($B78,'LOD 400 - COLO4'!B:S,18,FALSE),"N/A")</f>
        <v>0</v>
      </c>
      <c r="ER78" s="96">
        <f>IFERROR(__xludf.DUMMYFUNCTION("IFERROR(
  MAX(FILTER(EQ78, ISNUMBER(EQ78))),
  EQ78
)"),0.0)</f>
        <v>0</v>
      </c>
      <c r="ES78" s="79" t="str">
        <f>IFERROR(VLOOKUP($B78,'LOD 400 - SITE'!B:S,18,FALSE),"N/A")</f>
        <v>N/A</v>
      </c>
      <c r="ET78" s="80" t="str">
        <f>IFERROR(VLOOKUP($B78,'LOD 400 - SITE'!B:V,21,FALSE),"N/A")</f>
        <v>N/A</v>
      </c>
      <c r="EU78" s="97" t="str">
        <f>IFERROR(VLOOKUP($B78,'LOD 400 - SITE'!$B:Y,24,FALSE),"N/A")</f>
        <v>N/A</v>
      </c>
      <c r="EV78" s="80" t="str">
        <f>IFERROR(VLOOKUP($B78,'LOD 400 - SITE'!$B:AB,27,FALSE),"N/A")</f>
        <v>N/A</v>
      </c>
      <c r="EW78" s="81" t="str">
        <f>IFERROR(VLOOKUP($B78,'LOD 400 - SITE'!$B:AE,30,FALSE),"N/A")</f>
        <v>N/A</v>
      </c>
      <c r="EX78" s="87" t="str">
        <f>IFERROR(VLOOKUP($B78,'LOD 400 - SITE'!$B:AH,33,FALSE),"N/A")</f>
        <v>N/A</v>
      </c>
      <c r="EY78" s="87" t="str">
        <f>IFERROR(VLOOKUP($B78,'LOD 400 - SITE'!$B:AK,36,FALSE),"N/A")</f>
        <v>N/A</v>
      </c>
      <c r="EZ78" s="80" t="str">
        <f>IFERROR(VLOOKUP($B78,'LOD 400 - SITE'!$B:AN,39,FALSE),"N/A")</f>
        <v>N/A</v>
      </c>
      <c r="FA78" s="82" t="str">
        <f>IFERROR(VLOOKUP($B78,'LOD 400 - SITE'!$B:AQ,42,FALSE),"N/A")</f>
        <v>N/A</v>
      </c>
      <c r="FB78" s="88" t="str">
        <f>IFERROR(VLOOKUP($B78,'LOD 400 - SITE'!$B:AT,45,FALSE),"N/A")</f>
        <v>N/A</v>
      </c>
      <c r="FC78" s="84" t="str">
        <f>IFERROR(VLOOKUP($B78,'LOD 400 - SITE'!$B:AW,48,FALSE),"N/A")</f>
        <v>N/A</v>
      </c>
      <c r="FD78" s="84" t="str">
        <f>IFERROR(VLOOKUP($B78,'LOD 400 - SITE'!$B:AZ,51,FALSE),"N/A")</f>
        <v>N/A</v>
      </c>
      <c r="FE78" s="84" t="str">
        <f>IFERROR(VLOOKUP($B78,'LOD 400 - SITE'!$B:BC,54,FALSE),"N/A")</f>
        <v>N/A</v>
      </c>
      <c r="FF78" s="84" t="str">
        <f>IFERROR(VLOOKUP($B78,'LOD 400 - SITE'!$B:BF,57,FALSE),"N/A")</f>
        <v>N/A</v>
      </c>
      <c r="FG78" s="84" t="str">
        <f>IFERROR(VLOOKUP($B78,'LOD 400 - SITE'!$B:BI,60,FALSE),"N/A")</f>
        <v>N/A</v>
      </c>
      <c r="FH78" s="84" t="str">
        <f>IFERROR(VLOOKUP($B78,'LOD 400 - SITE'!$B:BL,63,FALSE),"N/A")</f>
        <v>N/A</v>
      </c>
      <c r="FI78" s="84" t="str">
        <f>IFERROR(VLOOKUP($B78,'LOD 400 - SITE'!$B:BO,66,FALSE),"N/A")</f>
        <v>N/A</v>
      </c>
      <c r="FJ78" s="84" t="str">
        <f>IFERROR(VLOOKUP($B78,'LOD 400 - SITE'!$B:BR,69,FALSE),"N/A")</f>
        <v>N/A</v>
      </c>
      <c r="FK78" s="84" t="str">
        <f>IFERROR(VLOOKUP($B78,'LOD 400 - SITE'!$B:BU,72,FALSE),"N/A")</f>
        <v>N/A</v>
      </c>
      <c r="FL78" s="84" t="str">
        <f>IFERROR(VLOOKUP($B78,'LOD 400 - SITE'!$B:BX,75,FALSE),"N/A")</f>
        <v>N/A</v>
      </c>
      <c r="FM78" s="84" t="str">
        <f>IFERROR(VLOOKUP($B78,'LOD 400 - SITE'!$B:CA,78,FALSE),"N/A")</f>
        <v>N/A</v>
      </c>
      <c r="FN78" s="85" t="str">
        <f>IFERROR(VLOOKUP($B78,'LOD 400 - SITE'!$B:CD,81,FALSE),"N/A")</f>
        <v>N/A</v>
      </c>
      <c r="FO78" s="84" t="str">
        <f>IFERROR(VLOOKUP($B78,'LOD 400 - SITE'!$B:CG,84,FALSE),"N/A")</f>
        <v>N/A</v>
      </c>
      <c r="FP78" s="85" t="str">
        <f>IFERROR(VLOOKUP($B78,'LOD 400 - SITE'!$B:CJ,87,FALSE),"N/A")</f>
        <v>N/A</v>
      </c>
      <c r="FQ78" s="84" t="str">
        <f>IFERROR(VLOOKUP($B78,'LOD 400 - SITE'!$B:CM,90,FALSE),"N/A")</f>
        <v>N/A</v>
      </c>
      <c r="FR78" s="84" t="str">
        <f>IFERROR(VLOOKUP($B78,'LOD 400 - SITE'!$B:CP,93,FALSE),"N/A")</f>
        <v>N/A</v>
      </c>
      <c r="FS78" s="84" t="str">
        <f>IFERROR(VLOOKUP($B78,'LOD 400 - SITE'!$B:CS,96,FALSE),"N/A")</f>
        <v>N/A</v>
      </c>
      <c r="FT78" s="84" t="str">
        <f>IFERROR(VLOOKUP($B78,'LOD 400 - SITE'!$B:CV,99,FALSE),"N/A")</f>
        <v>N/A</v>
      </c>
      <c r="FU78" s="84" t="str">
        <f>IFERROR(VLOOKUP($B78,'LOD 400 - SITE'!$B:CY,102,FALSE),"N/A")</f>
        <v>N/A</v>
      </c>
      <c r="FV78" s="84" t="str">
        <f>IFERROR(VLOOKUP($B78,'LOD 400 - SITE'!$B:DB,105,FALSE),"N/A")</f>
        <v>N/A</v>
      </c>
      <c r="FW78" s="84" t="str">
        <f>IFERROR(VLOOKUP($B78,'LOD 400 - SITE'!$B:DE,108,FALSE),"N/A")</f>
        <v>N/A</v>
      </c>
      <c r="FX78" s="84" t="str">
        <f>IFERROR(VLOOKUP($B78,'LOD 400 - SITE'!$B:DH,111,FALSE),"N/A")</f>
        <v>N/A</v>
      </c>
      <c r="FY78" s="84" t="str">
        <f>IFERROR(VLOOKUP($B78,'LOD 400 - SITE'!$B:DK,114,FALSE),"N/A")</f>
        <v>N/A</v>
      </c>
      <c r="FZ78" s="96" t="str">
        <f>IFERROR(__xludf.DUMMYFUNCTION("IFERROR(
  MAX(FILTER(ES78:FY78, ISNUMBER(ES78:FY78))),
  FY78
)"),"N/A")</f>
        <v>N/A</v>
      </c>
      <c r="GA78" s="80" t="str">
        <f>IFERROR(VLOOKUP($B78,'LOD 400 - UTLS'!B:S,18,FALSE),"N/A")</f>
        <v>N/A</v>
      </c>
      <c r="GB78" s="98" t="str">
        <f>IFERROR(VLOOKUP($B78,'LOD 400 - UTLS'!B:V,21,FALSE),"N/A")</f>
        <v>N/A</v>
      </c>
      <c r="GC78" s="81" t="str">
        <f>IFERROR(VLOOKUP($B78,'LOD 400 - UTLS'!B:Y,24,FALSE),"N/A")</f>
        <v>N/A</v>
      </c>
      <c r="GD78" s="87" t="str">
        <f>IFERROR(VLOOKUP($B78,'LOD 400 - UTLS'!$B:AB,27,FALSE),"N/A")</f>
        <v>N/A</v>
      </c>
      <c r="GE78" s="80" t="str">
        <f>IFERROR(VLOOKUP($B78,'LOD 400 - UTLS'!$B:AE,30,FALSE),"N/A")</f>
        <v>N/A</v>
      </c>
      <c r="GF78" s="82" t="str">
        <f>IFERROR(VLOOKUP($B78,'LOD 400 - UTLS'!$B:AH,33,FALSE),"N/A")</f>
        <v>N/A</v>
      </c>
      <c r="GG78" s="88" t="str">
        <f>IFERROR(VLOOKUP($B78,'LOD 400 - UTLS'!$B:AK,36,FALSE),"N/A")</f>
        <v>N/A</v>
      </c>
      <c r="GH78" s="84" t="str">
        <f>IFERROR(VLOOKUP($B78,'LOD 400 - UTLS'!$B:AN,39,FALSE),"N/A")</f>
        <v>N/A</v>
      </c>
      <c r="GI78" s="84" t="str">
        <f>IFERROR(VLOOKUP($B78,'LOD 400 - UTLS'!$B:AQ,42,FALSE),"N/A")</f>
        <v>N/A</v>
      </c>
      <c r="GJ78" s="84" t="str">
        <f>IFERROR(VLOOKUP($B78,'LOD 400 - UTLS'!$B:AT,45,FALSE),"N/A")</f>
        <v>N/A</v>
      </c>
      <c r="GK78" s="84" t="str">
        <f>IFERROR(VLOOKUP($B78,'LOD 400 - UTLS'!$B:AW,48,FALSE),"N/A")</f>
        <v>N/A</v>
      </c>
      <c r="GL78" s="84" t="str">
        <f>IFERROR(VLOOKUP($B78,'LOD 400 - UTLS'!$B:AZ,51,FALSE),"N/A")</f>
        <v>N/A</v>
      </c>
      <c r="GM78" s="84" t="str">
        <f>IFERROR(VLOOKUP($B78,'LOD 400 - UTLS'!$B:BC,54,FALSE),"N/A")</f>
        <v>N/A</v>
      </c>
      <c r="GN78" s="84" t="str">
        <f>IFERROR(VLOOKUP($B78,'LOD 400 - UTLS'!$B:BF,57,FALSE),"N/A")</f>
        <v>N/A</v>
      </c>
      <c r="GO78" s="84" t="str">
        <f>IFERROR(VLOOKUP($B78,'LOD 400 - UTLS'!$B:BI,60,FALSE),"N/A")</f>
        <v>N/A</v>
      </c>
      <c r="GP78" s="84" t="str">
        <f>IFERROR(VLOOKUP($B78,'LOD 400 - UTLS'!$B:BL,63,FALSE),"N/A")</f>
        <v>N/A</v>
      </c>
      <c r="GQ78" s="84" t="str">
        <f>IFERROR(VLOOKUP($B78,'LOD 400 - UTLS'!$B:BO,66,FALSE),"N/A")</f>
        <v>N/A</v>
      </c>
      <c r="GR78" s="84" t="str">
        <f>IFERROR(VLOOKUP($B78,'LOD 400 - UTLS'!$B:BR,69,FALSE),"N/A")</f>
        <v>N/A</v>
      </c>
      <c r="GS78" s="85" t="str">
        <f>IFERROR(VLOOKUP($B78,'LOD 400 - UTLS'!$B:BU,72,FALSE),"N/A")</f>
        <v>N/A</v>
      </c>
      <c r="GT78" s="84" t="str">
        <f>IFERROR(VLOOKUP($B78,'LOD 400 - UTLS'!$B:BX,75,FALSE),"N/A")</f>
        <v>N/A</v>
      </c>
      <c r="GU78" s="85" t="str">
        <f>IFERROR(VLOOKUP($B78,'LOD 400 - UTLS'!$B:CA,78,FALSE),"N/A")</f>
        <v>N/A</v>
      </c>
      <c r="GV78" s="84" t="str">
        <f>IFERROR(VLOOKUP($B78,'LOD 400 - UTLS'!$B:CD,81,FALSE),"N/A")</f>
        <v>N/A</v>
      </c>
      <c r="GW78" s="84" t="str">
        <f>IFERROR(VLOOKUP($B78,'LOD 400 - UTLS'!$B:CG,84,FALSE),"N/A")</f>
        <v>N/A</v>
      </c>
      <c r="GX78" s="84" t="str">
        <f>IFERROR(VLOOKUP($B78,'LOD 400 - UTLS'!$B:CJ,87,FALSE),"N/A")</f>
        <v>N/A</v>
      </c>
      <c r="GY78" s="84" t="str">
        <f>IFERROR(VLOOKUP($B78,'LOD 400 - UTLS'!$B:CM,90,FALSE),"N/A")</f>
        <v>N/A</v>
      </c>
      <c r="GZ78" s="84" t="str">
        <f>IFERROR(VLOOKUP($B78,'LOD 400 - UTLS'!$B:CP,93,FALSE),"N/A")</f>
        <v>N/A</v>
      </c>
      <c r="HA78" s="84" t="str">
        <f>IFERROR(VLOOKUP($B78,'LOD 400 - UTLS'!$B:CS,96,FALSE),"N/A")</f>
        <v>N/A</v>
      </c>
      <c r="HB78" s="84" t="str">
        <f>IFERROR(VLOOKUP($B78,'LOD 400 - UTLS'!$B:CV,99,FALSE),"N/A")</f>
        <v>N/A</v>
      </c>
      <c r="HC78" s="84" t="str">
        <f>IFERROR(VLOOKUP($B78,'LOD 400 - UTLS'!$B:CY,102,FALSE),"N/A")</f>
        <v>N/A</v>
      </c>
      <c r="HD78" s="84" t="str">
        <f>IFERROR(VLOOKUP($B78,'LOD 400 - UTLS'!$B:DB,105,FALSE),"N/A")</f>
        <v>N/A</v>
      </c>
      <c r="HE78" s="96" t="str">
        <f>IFERROR(__xludf.DUMMYFUNCTION("IFERROR(
  MAX(FILTER(GA78:HD78, ISNUMBER(GA78:HD78))),
  HD78
)"),"N/A")</f>
        <v>N/A</v>
      </c>
      <c r="HF78" s="99"/>
      <c r="HG78" s="99"/>
      <c r="HH78" s="99"/>
      <c r="HI78" s="99"/>
      <c r="HJ78" s="99"/>
      <c r="HK78" s="99"/>
    </row>
    <row r="79" ht="15.0" customHeight="1" outlineLevel="1">
      <c r="A79" s="53">
        <v>83.0</v>
      </c>
      <c r="B79" s="100" t="s">
        <v>240</v>
      </c>
      <c r="C79" s="100" t="s">
        <v>241</v>
      </c>
      <c r="D79" s="64" t="str">
        <f t="shared" si="14"/>
        <v>UTLS</v>
      </c>
      <c r="E79" s="101" t="s">
        <v>237</v>
      </c>
      <c r="F79" s="102">
        <v>1118.0</v>
      </c>
      <c r="G79" s="103" t="s">
        <v>237</v>
      </c>
      <c r="H79" s="104">
        <v>1118.0</v>
      </c>
      <c r="I79" s="68" t="str">
        <f>IFERROR(VLOOKUP($C76:C108,'R22 RELATÓRIO ACC'!B:F,5,FALSE),"NOT PUBLISHED")</f>
        <v>V28</v>
      </c>
      <c r="J79" s="69" t="str">
        <f>IFERROR(VLOOKUP($C76:C108,'R22 RELATÓRIO ACC'!B:P,15,FALSE),"NOT PUBLISHED")</f>
        <v>26/02/2026</v>
      </c>
      <c r="K79" s="70" t="str">
        <f>IFERROR(VLOOKUP($B76:B108,'RELATÓRIO ACC'!B:F,5,FALSE),"NOT PUBLISHED")</f>
        <v>V1</v>
      </c>
      <c r="L79" s="71" t="str">
        <f>IFERROR(VLOOKUP($B76:B108,'RELATÓRIO ACC'!B:P,15,FALSE),"NOT PUBLISHED")</f>
        <v>19/05/2026</v>
      </c>
      <c r="M79" s="72" t="str">
        <f>IF(OR($D79="UTLS",$D79="GUAR",$D79="STIR",$D79="PUMP",$D79="SITE"),
   VLOOKUP($B79,'LOD 400 - SITE'!B:M,12,FALSE),
   VLOOKUP($B79,'LOD 400 - ADMN'!B:M,12,FALSE)
)</f>
        <v>V25</v>
      </c>
      <c r="N79" s="105">
        <f>IF(OR($D79="UTLS",$D79="GUAR",$D79="STIR",$D79="PUMP",$D79="SITE"),
   VLOOKUP($B79,'LOD 400 - SITE'!B:N,13,FALSE),
   VLOOKUP($B79,'LOD 400 - ADMN'!B:N,13,FALSE)
)</f>
        <v>45987</v>
      </c>
      <c r="O79" s="106" t="str">
        <f>IF(OR($D79="UTLS",$D79="GUAR",$D79="STIR",$D79="PUMP",$D79="SITE"),
   VLOOKUP($B79,'LOD 400 - SITE'!B:O,14,FALSE),
   VLOOKUP($B79,'LOD 400 - ADMN'!B:O,14,FALSE)
)</f>
        <v>R22</v>
      </c>
      <c r="P79" s="107" t="str">
        <f>IF(OR($D79="C345",$D79="C12A",$D79="DATA"),
   VLOOKUP($B79,'LOD 400 - COLO3'!B:M,12,FALSE),"N/A")</f>
        <v>N/A</v>
      </c>
      <c r="Q79" s="108" t="str">
        <f>IF(OR($D79="C345",$D79="C12A",$D79="DATA"),
   VLOOKUP($B79,'LOD 400 - COLO3'!B:N,13,FALSE),"N/A")</f>
        <v>N/A</v>
      </c>
      <c r="R79" s="75" t="str">
        <f>IF(OR($D79="C345",$D79="C12A",$D79="DATA"),
   VLOOKUP($B79,'LOD 400 - COLO3'!B:O,14,FALSE),"N/A")</f>
        <v>N/A</v>
      </c>
      <c r="S79" s="76" t="str">
        <f>IF(OR($D79="C345",$D79="C12A",$D79="DATA"),
   VLOOKUP($B79,'LOD 400 - COLO4'!B:N,12,FALSE),"N/A")</f>
        <v>N/A</v>
      </c>
      <c r="T79" s="76" t="str">
        <f>IF(OR($D79="C345",$D79="C12A",$D79="DATA"),
   VLOOKUP($B79,'LOD 400 - COLO4'!B:N,13,FALSE),"N/A")</f>
        <v>N/A</v>
      </c>
      <c r="U79" s="76" t="str">
        <f>IF(OR($D79="C345",$D79="C12A",$D79="DATA"),
   VLOOKUP($B79,'LOD 400 - COLO4'!B:N,13,FALSE),"N/A")</f>
        <v>N/A</v>
      </c>
      <c r="V79" s="77" t="str">
        <f>IF(OR($D79="UTLS",$D79="GUAR",$D79="STIR",$D79="PUMP",$D79="SITE"),
   VLOOKUP($B79,'LOD 400 - UTLS'!B:M,12,FALSE),"N/A")</f>
        <v>V25</v>
      </c>
      <c r="W79" s="78">
        <f>IF(OR($D79="UTLS",$D79="GUAR",$D79="STIR",$D79="PUMP",$D79="SITE"),
   VLOOKUP($B79,'LOD 400 - UTLS'!B:N,13,FALSE),"N/A")</f>
        <v>45987</v>
      </c>
      <c r="X79" s="108" t="str">
        <f>IF(OR($D79="UTLS",$D79="GUAR",$D79="STIR",$D79="PUMP",$D79="SITE"),
   VLOOKUP($B79,'LOD 400 - UTLS'!B:O,14,FALSE),"N/A")</f>
        <v>R22</v>
      </c>
      <c r="Y79" s="79" t="str">
        <f>IFERROR(VLOOKUP($B79,'LOD 400 - ADMN'!B:S,18,FALSE),"N/A")</f>
        <v>N/A</v>
      </c>
      <c r="Z79" s="79" t="str">
        <f>IFERROR(VLOOKUP($B79,'LOD 400 - ADMN'!B:V,21,FALSE),"N/A")</f>
        <v>N/A</v>
      </c>
      <c r="AA79" s="79" t="str">
        <f>IFERROR(VLOOKUP($B79,'LOD 400 - ADMN'!$B:Y,24,FALSE),"N/A")</f>
        <v>N/A</v>
      </c>
      <c r="AB79" s="80" t="str">
        <f>IFERROR(VLOOKUP($B79,'LOD 400 - ADMN'!$B:AB,27,FALSE),"N/A")</f>
        <v>N/A</v>
      </c>
      <c r="AC79" s="81" t="str">
        <f>IFERROR(VLOOKUP($B79,'LOD 400 - ADMN'!$B:AE,30,FALSE),"N/A")</f>
        <v>N/A</v>
      </c>
      <c r="AD79" s="81" t="str">
        <f>IFERROR(VLOOKUP($B79,'LOD 400 - ADMN'!$B:AH,33,FALSE),"N/A")</f>
        <v>N/A</v>
      </c>
      <c r="AE79" s="80" t="str">
        <f>IFERROR(VLOOKUP($B79,'LOD 400 - ADMN'!$B:AK,36,FALSE),"N/A")</f>
        <v>N/A</v>
      </c>
      <c r="AF79" s="82" t="str">
        <f>IFERROR(VLOOKUP($B79,'LOD 400 - ADMN'!$B:AN,39,FALSE),"N/A")</f>
        <v>N/A</v>
      </c>
      <c r="AG79" s="83" t="str">
        <f>IFERROR(VLOOKUP($B79,'LOD 400 - ADMN'!$B:AQ,42,FALSE),"N/A")</f>
        <v>N/A</v>
      </c>
      <c r="AH79" s="84" t="str">
        <f>IFERROR(VLOOKUP($B79,'LOD 400 - ADMN'!$B:AT,45,FALSE),"N/A")</f>
        <v>N/A</v>
      </c>
      <c r="AI79" s="85" t="str">
        <f>IFERROR(VLOOKUP($B79,'LOD 400 - ADMN'!$B:AW,48,FALSE),"N/A")</f>
        <v>N/A</v>
      </c>
      <c r="AJ79" s="85" t="str">
        <f>IFERROR(VLOOKUP($B79,'LOD 400 - ADMN'!$B:AZ,51,FALSE),"N/A")</f>
        <v>N/A</v>
      </c>
      <c r="AK79" s="84" t="str">
        <f>IFERROR(VLOOKUP($B79,'LOD 400 - ADMN'!$B:BC,54,FALSE),"N/A")</f>
        <v>N/A</v>
      </c>
      <c r="AL79" s="84" t="str">
        <f>IFERROR(VLOOKUP($B79,'LOD 400 - ADMN'!$B:BF,57,FALSE),"N/A")</f>
        <v>N/A</v>
      </c>
      <c r="AM79" s="84" t="str">
        <f>IFERROR(VLOOKUP($B79,'LOD 400 - ADMN'!$B:BI,60,FALSE),"N/A")</f>
        <v>N/A</v>
      </c>
      <c r="AN79" s="84" t="str">
        <f>IFERROR(VLOOKUP($B79,'LOD 400 - ADMN'!$B:BL,63,FALSE),"N/A")</f>
        <v>N/A</v>
      </c>
      <c r="AO79" s="84" t="str">
        <f>IFERROR(VLOOKUP($B79,'LOD 400 - ADMN'!$B:BO,66,FALSE),"N/A")</f>
        <v>N/A</v>
      </c>
      <c r="AP79" s="84" t="str">
        <f>IFERROR(VLOOKUP($B79,'LOD 400 - ADMN'!$B:BR,69,FALSE),"N/A")</f>
        <v>N/A</v>
      </c>
      <c r="AQ79" s="84" t="str">
        <f>IFERROR(VLOOKUP($B79,'LOD 400 - ADMN'!$B:BU,72,FALSE),"N/A")</f>
        <v>N/A</v>
      </c>
      <c r="AR79" s="84" t="str">
        <f>IFERROR(VLOOKUP($B79,'LOD 400 - ADMN'!$B:BX,75,FALSE),"N/A")</f>
        <v>N/A</v>
      </c>
      <c r="AS79" s="84" t="str">
        <f>IFERROR(VLOOKUP($B79,'LOD 400 - ADMN'!$B:CA,78,FALSE),"N/A")</f>
        <v>N/A</v>
      </c>
      <c r="AT79" s="84" t="str">
        <f>IFERROR(VLOOKUP($B79,'LOD 400 - ADMN'!$B:CD,81,FALSE),"N/A")</f>
        <v>N/A</v>
      </c>
      <c r="AU79" s="85" t="str">
        <f>IFERROR(VLOOKUP($B79,'LOD 400 - ADMN'!$B:CG,84,FALSE),"N/A")</f>
        <v>N/A</v>
      </c>
      <c r="AV79" s="84" t="str">
        <f>IFERROR(VLOOKUP($B79,'LOD 400 - ADMN'!$B:CJ,87,FALSE),"N/A")</f>
        <v>N/A</v>
      </c>
      <c r="AW79" s="85" t="str">
        <f>IFERROR(VLOOKUP($B79,'LOD 400 - ADMN'!$B:CM,90,FALSE),"N/A")</f>
        <v>N/A</v>
      </c>
      <c r="AX79" s="84" t="str">
        <f>IFERROR(VLOOKUP($B79,'LOD 400 - ADMN'!$B:CP,93,FALSE),"N/A")</f>
        <v>N/A</v>
      </c>
      <c r="AY79" s="84" t="str">
        <f>IFERROR(VLOOKUP($B79,'LOD 400 - ADMN'!$B:CS,96,FALSE),"N/A")</f>
        <v>N/A</v>
      </c>
      <c r="AZ79" s="84" t="str">
        <f>IFERROR(VLOOKUP($B79,'LOD 400 - ADMN'!$B:CV,99,FALSE),"N/A")</f>
        <v>N/A</v>
      </c>
      <c r="BA79" s="84" t="str">
        <f>IFERROR(VLOOKUP($B79,'LOD 400 - ADMN'!$B:CY,102,FALSE),"N/A")</f>
        <v>N/A</v>
      </c>
      <c r="BB79" s="84" t="str">
        <f>IFERROR(VLOOKUP($B79,'LOD 400 - ADMN'!$B:DB,105,FALSE),"N/A")</f>
        <v>N/A</v>
      </c>
      <c r="BC79" s="84" t="str">
        <f>IFERROR(VLOOKUP($B79,'LOD 400 - ADMN'!$B:DE,108,FALSE),"N/A")</f>
        <v>N/A</v>
      </c>
      <c r="BD79" s="84" t="str">
        <f>IFERROR(VLOOKUP($B79,'LOD 400 - ADMN'!$B:DH,111,FALSE),"N/A")</f>
        <v>N/A</v>
      </c>
      <c r="BE79" s="84" t="str">
        <f>IFERROR(VLOOKUP($B79,'LOD 400 - ADMN'!$B:DK,114,FALSE),"N/A")</f>
        <v>N/A</v>
      </c>
      <c r="BF79" s="84" t="str">
        <f>IFERROR(VLOOKUP($B79,'LOD 400 - ADMN'!$B:DN,117,FALSE),"N/A")</f>
        <v>N/A</v>
      </c>
      <c r="BG79" s="86" t="str">
        <f>IFERROR(__xludf.DUMMYFUNCTION("IFERROR(
  MAX(FILTER(Y79:BF79, ISNUMBER(Y79:BF79))),
  BF79
)"),"N/A")</f>
        <v>N/A</v>
      </c>
      <c r="BH79" s="79" t="str">
        <f>IFERROR(VLOOKUP($B79,'LOD 400 - COLO1'!B:S,18,FALSE),"N/A")</f>
        <v>N/A</v>
      </c>
      <c r="BI79" s="79" t="str">
        <f>IFERROR(VLOOKUP($B79,'LOD 400 - COLO1'!B:V,21,FALSE),"N/A")</f>
        <v>N/A</v>
      </c>
      <c r="BJ79" s="79" t="str">
        <f>IFERROR(VLOOKUP($B79,'LOD 400 - COLO1'!$B:Y,24,FALSE),"N/A")</f>
        <v>N/A</v>
      </c>
      <c r="BK79" s="87" t="str">
        <f>IFERROR(VLOOKUP($B79,'LOD 400 - COLO1'!$B:AB,27,FALSE),"N/A")</f>
        <v>N/A</v>
      </c>
      <c r="BL79" s="80" t="str">
        <f>IFERROR(VLOOKUP($B79,'LOD 400 - COLO1'!$B:AE,30,FALSE),"N/A")</f>
        <v>N/A</v>
      </c>
      <c r="BM79" s="81" t="str">
        <f>IFERROR(VLOOKUP($B79,'LOD 400 - COLO1'!$B:AH,33,FALSE),"N/A")</f>
        <v>N/A</v>
      </c>
      <c r="BN79" s="87" t="str">
        <f>IFERROR(VLOOKUP($B79,'LOD 400 - COLO1'!$B:AK,36,FALSE),"N/A")</f>
        <v>N/A</v>
      </c>
      <c r="BO79" s="83" t="str">
        <f>IFERROR(VLOOKUP($B79,'LOD 400 - COLO1'!$B:AN,39,FALSE),"N/A")</f>
        <v>N/A</v>
      </c>
      <c r="BP79" s="88" t="str">
        <f>IFERROR(VLOOKUP($B79,'LOD 400 - COLO1'!$B:AQ,42,FALSE),"N/A")</f>
        <v>N/A</v>
      </c>
      <c r="BQ79" s="84" t="str">
        <f>IFERROR(VLOOKUP($B79,'LOD 400 - COLO1'!$B:AT,45,FALSE),"N/A")</f>
        <v>N/A</v>
      </c>
      <c r="BR79" s="85" t="str">
        <f>IFERROR(VLOOKUP($B79,'LOD 400 - COLO1'!$B:AW,48,FALSE),"N/A")</f>
        <v>N/A</v>
      </c>
      <c r="BS79" s="84" t="str">
        <f>IFERROR(VLOOKUP($B79,'LOD 400 - COLO1'!$B:AZ,51,FALSE),"N/A")</f>
        <v>N/A</v>
      </c>
      <c r="BT79" s="84" t="str">
        <f>IFERROR(VLOOKUP($B79,'LOD 400 - COLO1'!$B:BC,54,FALSE),"N/A")</f>
        <v>N/A</v>
      </c>
      <c r="BU79" s="84" t="str">
        <f>IFERROR(VLOOKUP($B79,'LOD 400 - COLO1'!$B:BF,57,FALSE),"N/A")</f>
        <v>N/A</v>
      </c>
      <c r="BV79" s="84" t="str">
        <f>IFERROR(VLOOKUP($B79,'LOD 400 - COLO1'!$B:BI,60,FALSE),"N/A")</f>
        <v>N/A</v>
      </c>
      <c r="BW79" s="84" t="str">
        <f>IFERROR(VLOOKUP($B79,'LOD 400 - COLO1'!$B:BL,63,FALSE),"N/A")</f>
        <v>N/A</v>
      </c>
      <c r="BX79" s="84" t="str">
        <f>IFERROR(VLOOKUP($B79,'LOD 400 - COLO1'!$B:BO,66,FALSE),"N/A")</f>
        <v>N/A</v>
      </c>
      <c r="BY79" s="84" t="str">
        <f>IFERROR(VLOOKUP($B79,'LOD 400 - COLO1'!$B:BR,69,FALSE),"N/A")</f>
        <v>N/A</v>
      </c>
      <c r="BZ79" s="84" t="str">
        <f>IFERROR(VLOOKUP($B79,'LOD 400 - COLO1'!$B:BU,72,FALSE),"N/A")</f>
        <v>N/A</v>
      </c>
      <c r="CA79" s="84" t="str">
        <f>IFERROR(VLOOKUP($B79,'LOD 400 - COLO1'!$B:BX,75,FALSE),"N/A")</f>
        <v>N/A</v>
      </c>
      <c r="CB79" s="84" t="str">
        <f>IFERROR(VLOOKUP($B79,'LOD 400 - COLO1'!$B:CA,78,FALSE),"N/A")</f>
        <v>N/A</v>
      </c>
      <c r="CC79" s="84" t="str">
        <f>IFERROR(VLOOKUP($B79,'LOD 400 - COLO1'!$B:CD,81,FALSE),"N/A")</f>
        <v>N/A</v>
      </c>
      <c r="CD79" s="85" t="str">
        <f>IFERROR(VLOOKUP($B79,'LOD 400 - COLO1'!$B:CG,84,FALSE),"N/A")</f>
        <v>N/A</v>
      </c>
      <c r="CE79" s="84" t="str">
        <f>IFERROR(VLOOKUP($B79,'LOD 400 - COLO1'!$B:CJ,87,FALSE),"N/A")</f>
        <v>N/A</v>
      </c>
      <c r="CF79" s="85" t="str">
        <f>IFERROR(VLOOKUP($B79,'LOD 400 - COLO1'!$B:CM,90,FALSE),"N/A")</f>
        <v>N/A</v>
      </c>
      <c r="CG79" s="84" t="str">
        <f>IFERROR(VLOOKUP($B79,'LOD 400 - COLO1'!$B:CP,93,FALSE),"N/A")</f>
        <v>N/A</v>
      </c>
      <c r="CH79" s="84" t="str">
        <f>IFERROR(VLOOKUP($B79,'LOD 400 - COLO1'!$B:CS,96,FALSE),"N/A")</f>
        <v>N/A</v>
      </c>
      <c r="CI79" s="84" t="str">
        <f>IFERROR(VLOOKUP($B79,'LOD 400 - COLO1'!$B:CV,99,FALSE),"N/A")</f>
        <v>N/A</v>
      </c>
      <c r="CJ79" s="84" t="str">
        <f>IFERROR(VLOOKUP($B79,'LOD 400 - COLO1'!$B:CY,102,FALSE),"N/A")</f>
        <v>N/A</v>
      </c>
      <c r="CK79" s="84" t="str">
        <f>IFERROR(VLOOKUP($B79,'LOD 400 - COLO1'!$B:DB,105,FALSE),"N/A")</f>
        <v>N/A</v>
      </c>
      <c r="CL79" s="84" t="str">
        <f>IFERROR(VLOOKUP($B79,'LOD 400 - COLO1'!$B:DE,108,FALSE),"N/A")</f>
        <v>N/A</v>
      </c>
      <c r="CM79" s="84" t="str">
        <f>IFERROR(VLOOKUP($B79,'LOD 400 - COLO1'!$B:DH,111,FALSE),"N/A")</f>
        <v>N/A</v>
      </c>
      <c r="CN79" s="84" t="str">
        <f>IFERROR(VLOOKUP($B79,'LOD 400 - COLO1'!$B:DK,114,FALSE),"N/A")</f>
        <v>N/A</v>
      </c>
      <c r="CO79" s="84" t="str">
        <f>IFERROR(VLOOKUP($B79,'LOD 400 - COLO1'!$B:DN,117,FALSE),"N/A")</f>
        <v>N/A</v>
      </c>
      <c r="CP79" s="86" t="str">
        <f>IFERROR(__xludf.DUMMYFUNCTION("IFERROR(
  MAX(FILTER(BH79:CO79, ISNUMBER(BH79:CO79))),
  CO79
)"),"N/A")</f>
        <v>N/A</v>
      </c>
      <c r="CQ79" s="89" t="str">
        <f>IFERROR(VLOOKUP($B79,'LOD 400 - COLO2'!B:S,18,FALSE),"N/A")</f>
        <v>N/A</v>
      </c>
      <c r="CR79" s="79" t="str">
        <f>IFERROR(VLOOKUP($B79,'LOD 400 - COLO2'!B:V,21,FALSE),"N/A")</f>
        <v>N/A</v>
      </c>
      <c r="CS79" s="79" t="str">
        <f>IFERROR(VLOOKUP($B79,'LOD 400 - COLO2'!$B:Y,24,FALSE),"N/A")</f>
        <v>N/A</v>
      </c>
      <c r="CT79" s="80" t="str">
        <f>IFERROR(VLOOKUP($B79,'LOD 400 - COLO2'!$B:DQ,27,FALSE),"N/A")</f>
        <v>N/A</v>
      </c>
      <c r="CU79" s="90" t="str">
        <f>IFERROR(VLOOKUP($B79,'LOD 400 - COLO2'!$B:AE,30,FALSE),"N/A")</f>
        <v>N/A</v>
      </c>
      <c r="CV79" s="81" t="str">
        <f>IFERROR(VLOOKUP($B79,'LOD 400 - COLO2'!$B:AH,33,FALSE),"N/A")</f>
        <v>N/A</v>
      </c>
      <c r="CW79" s="90" t="str">
        <f>IFERROR(VLOOKUP($B79,'LOD 400 - COLO2'!$B:AK,36,FALSE),"N/A")</f>
        <v>N/A</v>
      </c>
      <c r="CX79" s="85" t="str">
        <f>IFERROR(VLOOKUP($B79,'LOD 400 - COLO2'!$B:AN,39,FALSE),"N/A")</f>
        <v>N/A</v>
      </c>
      <c r="CY79" s="88" t="str">
        <f>IFERROR(VLOOKUP($B79,'LOD 400 - COLO2'!$B:AQ,42,FALSE),"N/A")</f>
        <v>N/A</v>
      </c>
      <c r="CZ79" s="84" t="str">
        <f>IFERROR(VLOOKUP($B79,'LOD 400 - COLO2'!$B:AT,45,FALSE),"N/A")</f>
        <v>N/A</v>
      </c>
      <c r="DA79" s="85" t="str">
        <f>IFERROR(VLOOKUP($B79,'LOD 400 - COLO2'!$B:AW,48,FALSE),"N/A")</f>
        <v>N/A</v>
      </c>
      <c r="DB79" s="84" t="str">
        <f>IFERROR(VLOOKUP($B79,'LOD 400 - COLO2'!$B:AZ,51,FALSE),"N/A")</f>
        <v>N/A</v>
      </c>
      <c r="DC79" s="84" t="str">
        <f>IFERROR(VLOOKUP($B79,'LOD 400 - COLO2'!$B:BC,54,FALSE),"N/A")</f>
        <v>N/A</v>
      </c>
      <c r="DD79" s="84" t="str">
        <f>IFERROR(VLOOKUP($B79,'LOD 400 - COLO2'!$B:BF,57,FALSE),"N/A")</f>
        <v>N/A</v>
      </c>
      <c r="DE79" s="84" t="str">
        <f>IFERROR(VLOOKUP($B79,'LOD 400 - COLO2'!$B:BI,60,FALSE),"N/A")</f>
        <v>N/A</v>
      </c>
      <c r="DF79" s="84" t="str">
        <f>IFERROR(VLOOKUP($B79,'LOD 400 - COLO2'!$B:BL,63,FALSE),"N/A")</f>
        <v>N/A</v>
      </c>
      <c r="DG79" s="84" t="str">
        <f>IFERROR(VLOOKUP($B79,'LOD 400 - COLO2'!$B:BO,66,FALSE),"N/A")</f>
        <v>N/A</v>
      </c>
      <c r="DH79" s="84" t="str">
        <f>IFERROR(VLOOKUP($B79,'LOD 400 - COLO2'!$B:BR,69,FALSE),"N/A")</f>
        <v>N/A</v>
      </c>
      <c r="DI79" s="84" t="str">
        <f>IFERROR(VLOOKUP($B79,'LOD 400 - COLO2'!$B:BU,72,FALSE),"N/A")</f>
        <v>N/A</v>
      </c>
      <c r="DJ79" s="84" t="str">
        <f>IFERROR(VLOOKUP($B79,'LOD 400 - COLO2'!$B:BX,75,FALSE),"N/A")</f>
        <v>N/A</v>
      </c>
      <c r="DK79" s="84" t="str">
        <f>IFERROR(VLOOKUP($B79,'LOD 400 - COLO2'!$B:CA,78,FALSE),"N/A")</f>
        <v>N/A</v>
      </c>
      <c r="DL79" s="84" t="str">
        <f>IFERROR(VLOOKUP($B79,'LOD 400 - COLO2'!$B:CD,81,FALSE),"N/A")</f>
        <v>N/A</v>
      </c>
      <c r="DM79" s="85" t="str">
        <f>IFERROR(VLOOKUP($B79,'LOD 400 - COLO2'!$B:CG,84,FALSE),"N/A")</f>
        <v>N/A</v>
      </c>
      <c r="DN79" s="84" t="str">
        <f>IFERROR(VLOOKUP($B79,'LOD 400 - COLO2'!$B:CJ,87,FALSE),"N/A")</f>
        <v>N/A</v>
      </c>
      <c r="DO79" s="85" t="str">
        <f>IFERROR(VLOOKUP($B79,'LOD 400 - COLO2'!$B:CM,90,FALSE),"N/A")</f>
        <v>N/A</v>
      </c>
      <c r="DP79" s="84" t="str">
        <f>IFERROR(VLOOKUP($B79,'LOD 400 - COLO2'!$B:CP,93,FALSE),"N/A")</f>
        <v>N/A</v>
      </c>
      <c r="DQ79" s="84" t="str">
        <f>IFERROR(VLOOKUP($B79,'LOD 400 - COLO2'!$B:CS,96,FALSE),"N/A")</f>
        <v>N/A</v>
      </c>
      <c r="DR79" s="84" t="str">
        <f>IFERROR(VLOOKUP($B79,'LOD 400 - COLO2'!$B:CV,99,FALSE),"N/A")</f>
        <v>N/A</v>
      </c>
      <c r="DS79" s="84" t="str">
        <f>IFERROR(VLOOKUP($B79,'LOD 400 - COLO2'!$B:CY,102,FALSE),"N/A")</f>
        <v>N/A</v>
      </c>
      <c r="DT79" s="84" t="str">
        <f>IFERROR(VLOOKUP($B79,'LOD 400 - COLO2'!$B:DB,105,FALSE),"N/A")</f>
        <v>N/A</v>
      </c>
      <c r="DU79" s="84" t="str">
        <f>IFERROR(VLOOKUP($B79,'LOD 400 - COLO2'!$B:DE,108,FALSE),"N/A")</f>
        <v>N/A</v>
      </c>
      <c r="DV79" s="84" t="str">
        <f>IFERROR(VLOOKUP($B79,'LOD 400 - COLO2'!$B:DH,111,FALSE),"N/A")</f>
        <v>N/A</v>
      </c>
      <c r="DW79" s="84" t="str">
        <f>IFERROR(VLOOKUP($B79,'LOD 400 - COLO2'!$B:DK,114,FALSE),"N/A")</f>
        <v>N/A</v>
      </c>
      <c r="DX79" s="84" t="str">
        <f>IFERROR(VLOOKUP($B79,'LOD 400 - COLO2'!$B:DN,117,FALSE),"N/A")</f>
        <v>N/A</v>
      </c>
      <c r="DY79" s="91" t="str">
        <f>IFERROR(__xludf.DUMMYFUNCTION("IFERROR(
  MAX(FILTER(CQ79:DW79, ISNUMBER(CQ79:DW79))),
  DW79
)"),"N/A")</f>
        <v>N/A</v>
      </c>
      <c r="DZ79" s="92" t="str">
        <f>IFERROR(VLOOKUP($B79,'LOD 400 - COLO3'!B:S,18,FALSE),"N/A")</f>
        <v>N/A</v>
      </c>
      <c r="EA79" s="84" t="str">
        <f>IFERROR(VLOOKUP($B79,'LOD 400 - COLO3'!B:V,21,FALSE),"N/A")</f>
        <v>N/A</v>
      </c>
      <c r="EB79" s="84" t="str">
        <f>IFERROR(VLOOKUP($B79,'LOD 400 - COLO3'!B:Y,24,FALSE),"N/A")</f>
        <v>N/A</v>
      </c>
      <c r="EC79" s="84" t="str">
        <f>IFERROR(VLOOKUP($B79,'LOD 400 - COLO3'!B:AB,27,FALSE),"N/A")</f>
        <v>N/A</v>
      </c>
      <c r="ED79" s="85" t="str">
        <f>IFERROR(VLOOKUP($B79,'LOD 400 - COLO3'!B:AE,30,FALSE),"N/A")</f>
        <v>N/A</v>
      </c>
      <c r="EE79" s="84" t="str">
        <f>IFERROR(VLOOKUP($B79,'LOD 400 - COLO3'!B:AH,33,FALSE),"N/A")</f>
        <v>N/A</v>
      </c>
      <c r="EF79" s="84" t="str">
        <f>IFERROR(VLOOKUP($B79,'LOD 400 - COLO3'!B:AK,36,FALSE),"N/A")</f>
        <v>N/A</v>
      </c>
      <c r="EG79" s="109" t="str">
        <f>IFERROR(VLOOKUP($B79,'LOD 400 - COLO3'!B:AN,39,FALSE),"N/A")</f>
        <v>N/A</v>
      </c>
      <c r="EH79" s="94" t="str">
        <f>IFERROR(VLOOKUP($B79,'LOD 400 - COLO3'!B:AQ,42,FALSE),"N/A")</f>
        <v>N/A</v>
      </c>
      <c r="EI79" s="94" t="str">
        <f>IFERROR(VLOOKUP($B79,'LOD 400 - COLO3'!B:AT,45,FALSE),"N/A")</f>
        <v>N/A</v>
      </c>
      <c r="EJ79" s="94" t="str">
        <f>IFERROR(VLOOKUP($B79,'LOD 400 - COLO3'!B:AW,48,FALSE),"N/A")</f>
        <v>N/A</v>
      </c>
      <c r="EK79" s="94" t="str">
        <f>IFERROR(VLOOKUP($B79,'LOD 400 - COLO3'!B:AZ,51,FALSE),"N/A")</f>
        <v>N/A</v>
      </c>
      <c r="EL79" s="94" t="str">
        <f>IFERROR(VLOOKUP($B79,'LOD 400 - COLO3'!B:BC,54,FALSE),"N/A")</f>
        <v>N/A</v>
      </c>
      <c r="EM79" s="94" t="str">
        <f>IFERROR(VLOOKUP($B79,'LOD 400 - COLO3'!B:BF,57,FALSE),"N/A")</f>
        <v>N/A</v>
      </c>
      <c r="EN79" s="94" t="str">
        <f>IFERROR(VLOOKUP($B79,'LOD 400 - COLO3'!B:BI,60,FALSE),"N/A")</f>
        <v>N/A</v>
      </c>
      <c r="EO79" s="94" t="str">
        <f>IFERROR(VLOOKUP($B79,'LOD 400 - COLO3'!B:BL,63,FALSE),"N/A")</f>
        <v>N/A</v>
      </c>
      <c r="EP79" s="86" t="str">
        <f>IFERROR(__xludf.DUMMYFUNCTION("IFERROR(
  MAX(FILTER(DZ79:EO79, ISNUMBER(DZ79:EO79))),
  EO79
)"),"N/A")</f>
        <v>N/A</v>
      </c>
      <c r="EQ79" s="95" t="str">
        <f>IFERROR(VLOOKUP($B79,'LOD 400 - COLO4'!B:S,18,FALSE),"N/A")</f>
        <v>N/A</v>
      </c>
      <c r="ER79" s="96" t="str">
        <f>IFERROR(__xludf.DUMMYFUNCTION("IFERROR(
  MAX(FILTER(EQ79, ISNUMBER(EQ79))),
  EQ79
)"),"N/A")</f>
        <v>N/A</v>
      </c>
      <c r="ES79" s="79" t="str">
        <f>IFERROR(VLOOKUP($B79,'LOD 400 - SITE'!B:S,18,FALSE),"N/A")</f>
        <v>OUTDATED</v>
      </c>
      <c r="ET79" s="80" t="str">
        <f>IFERROR(VLOOKUP($B79,'LOD 400 - SITE'!B:V,21,FALSE),"N/A")</f>
        <v>OUTDATED</v>
      </c>
      <c r="EU79" s="97" t="str">
        <f>IFERROR(VLOOKUP($B79,'LOD 400 - SITE'!$B:Y,24,FALSE),"N/A")</f>
        <v>OUTDATED</v>
      </c>
      <c r="EV79" s="80" t="str">
        <f>IFERROR(VLOOKUP($B79,'LOD 400 - SITE'!$B:AB,27,FALSE),"N/A")</f>
        <v>OUTDATED</v>
      </c>
      <c r="EW79" s="81">
        <f>IFERROR(VLOOKUP($B79,'LOD 400 - SITE'!$B:AE,30,FALSE),"N/A")</f>
        <v>0.61</v>
      </c>
      <c r="EX79" s="87" t="str">
        <f>IFERROR(VLOOKUP($B79,'LOD 400 - SITE'!$B:AH,33,FALSE),"N/A")</f>
        <v>NEXT ROUND </v>
      </c>
      <c r="EY79" s="87">
        <f>IFERROR(VLOOKUP($B79,'LOD 400 - SITE'!$B:AK,36,FALSE),"N/A")</f>
        <v>1</v>
      </c>
      <c r="EZ79" s="80">
        <f>IFERROR(VLOOKUP($B79,'LOD 400 - SITE'!$B:AN,39,FALSE),"N/A")</f>
        <v>1</v>
      </c>
      <c r="FA79" s="82">
        <f>IFERROR(VLOOKUP($B79,'LOD 400 - SITE'!$B:AQ,42,FALSE),"N/A")</f>
        <v>1</v>
      </c>
      <c r="FB79" s="88">
        <f>IFERROR(VLOOKUP($B79,'LOD 400 - SITE'!$B:AT,45,FALSE),"N/A")</f>
        <v>1</v>
      </c>
      <c r="FC79" s="84">
        <f>IFERROR(VLOOKUP($B79,'LOD 400 - SITE'!$B:AW,48,FALSE),"N/A")</f>
        <v>1</v>
      </c>
      <c r="FD79" s="84">
        <f>IFERROR(VLOOKUP($B79,'LOD 400 - SITE'!$B:AZ,51,FALSE),"N/A")</f>
        <v>1</v>
      </c>
      <c r="FE79" s="84">
        <f>IFERROR(VLOOKUP($B79,'LOD 400 - SITE'!$B:BC,54,FALSE),"N/A")</f>
        <v>1</v>
      </c>
      <c r="FF79" s="84">
        <f>IFERROR(VLOOKUP($B79,'LOD 400 - SITE'!$B:BF,57,FALSE),"N/A")</f>
        <v>1</v>
      </c>
      <c r="FG79" s="84">
        <f>IFERROR(VLOOKUP($B79,'LOD 400 - SITE'!$B:BI,60,FALSE),"N/A")</f>
        <v>1</v>
      </c>
      <c r="FH79" s="84">
        <f>IFERROR(VLOOKUP($B79,'LOD 400 - SITE'!$B:BL,63,FALSE),"N/A")</f>
        <v>1</v>
      </c>
      <c r="FI79" s="84">
        <f>IFERROR(VLOOKUP($B79,'LOD 400 - SITE'!$B:BO,66,FALSE),"N/A")</f>
        <v>1</v>
      </c>
      <c r="FJ79" s="84">
        <f>IFERROR(VLOOKUP($B79,'LOD 400 - SITE'!$B:BR,69,FALSE),"N/A")</f>
        <v>1</v>
      </c>
      <c r="FK79" s="84">
        <f>IFERROR(VLOOKUP($B79,'LOD 400 - SITE'!$B:BU,72,FALSE),"N/A")</f>
        <v>1</v>
      </c>
      <c r="FL79" s="84">
        <f>IFERROR(VLOOKUP($B79,'LOD 400 - SITE'!$B:BX,75,FALSE),"N/A")</f>
        <v>1</v>
      </c>
      <c r="FM79" s="84">
        <f>IFERROR(VLOOKUP($B79,'LOD 400 - SITE'!$B:CA,78,FALSE),"N/A")</f>
        <v>1</v>
      </c>
      <c r="FN79" s="85">
        <f>IFERROR(VLOOKUP($B79,'LOD 400 - SITE'!$B:CD,81,FALSE),"N/A")</f>
        <v>1</v>
      </c>
      <c r="FO79" s="84">
        <f>IFERROR(VLOOKUP($B79,'LOD 400 - SITE'!$B:CG,84,FALSE),"N/A")</f>
        <v>1</v>
      </c>
      <c r="FP79" s="85">
        <f>IFERROR(VLOOKUP($B79,'LOD 400 - SITE'!$B:CJ,87,FALSE),"N/A")</f>
        <v>1</v>
      </c>
      <c r="FQ79" s="84">
        <f>IFERROR(VLOOKUP($B79,'LOD 400 - SITE'!$B:CM,90,FALSE),"N/A")</f>
        <v>1</v>
      </c>
      <c r="FR79" s="84">
        <f>IFERROR(VLOOKUP($B79,'LOD 400 - SITE'!$B:CP,93,FALSE),"N/A")</f>
        <v>1</v>
      </c>
      <c r="FS79" s="84">
        <f>IFERROR(VLOOKUP($B79,'LOD 400 - SITE'!$B:CS,96,FALSE),"N/A")</f>
        <v>1</v>
      </c>
      <c r="FT79" s="84">
        <f>IFERROR(VLOOKUP($B79,'LOD 400 - SITE'!$B:CV,99,FALSE),"N/A")</f>
        <v>1</v>
      </c>
      <c r="FU79" s="84">
        <f>IFERROR(VLOOKUP($B79,'LOD 400 - SITE'!$B:CY,102,FALSE),"N/A")</f>
        <v>1</v>
      </c>
      <c r="FV79" s="84">
        <f>IFERROR(VLOOKUP($B79,'LOD 400 - SITE'!$B:DB,105,FALSE),"N/A")</f>
        <v>1</v>
      </c>
      <c r="FW79" s="84">
        <f>IFERROR(VLOOKUP($B79,'LOD 400 - SITE'!$B:DE,108,FALSE),"N/A")</f>
        <v>1</v>
      </c>
      <c r="FX79" s="84">
        <f>IFERROR(VLOOKUP($B79,'LOD 400 - SITE'!$B:DH,111,FALSE),"N/A")</f>
        <v>1</v>
      </c>
      <c r="FY79" s="84">
        <f>IFERROR(VLOOKUP($B79,'LOD 400 - SITE'!$B:DK,114,FALSE),"N/A")</f>
        <v>1</v>
      </c>
      <c r="FZ79" s="96">
        <f>IFERROR(__xludf.DUMMYFUNCTION("IFERROR(
  MAX(FILTER(ES79:FY79, ISNUMBER(ES79:FY79))),
  FY79
)"),1.0)</f>
        <v>1</v>
      </c>
      <c r="GA79" s="80" t="str">
        <f>IFERROR(VLOOKUP($B79,'LOD 400 - UTLS'!B:S,18,FALSE),"N/A")</f>
        <v>OUTDATED</v>
      </c>
      <c r="GB79" s="98" t="str">
        <f>IFERROR(VLOOKUP($B79,'LOD 400 - UTLS'!B:V,21,FALSE),"N/A")</f>
        <v>OUTDATED</v>
      </c>
      <c r="GC79" s="81">
        <f>IFERROR(VLOOKUP($B79,'LOD 400 - UTLS'!B:Y,24,FALSE),"N/A")</f>
        <v>0.94</v>
      </c>
      <c r="GD79" s="87">
        <f>IFERROR(VLOOKUP($B79,'LOD 400 - UTLS'!$B:AB,27,FALSE),"N/A")</f>
        <v>1</v>
      </c>
      <c r="GE79" s="80">
        <f>IFERROR(VLOOKUP($B79,'LOD 400 - UTLS'!$B:AE,30,FALSE),"N/A")</f>
        <v>1</v>
      </c>
      <c r="GF79" s="82">
        <f>IFERROR(VLOOKUP($B79,'LOD 400 - UTLS'!$B:AH,33,FALSE),"N/A")</f>
        <v>1</v>
      </c>
      <c r="GG79" s="88">
        <f>IFERROR(VLOOKUP($B79,'LOD 400 - UTLS'!$B:AK,36,FALSE),"N/A")</f>
        <v>1</v>
      </c>
      <c r="GH79" s="84">
        <f>IFERROR(VLOOKUP($B79,'LOD 400 - UTLS'!$B:AN,39,FALSE),"N/A")</f>
        <v>1</v>
      </c>
      <c r="GI79" s="84">
        <f>IFERROR(VLOOKUP($B79,'LOD 400 - UTLS'!$B:AQ,42,FALSE),"N/A")</f>
        <v>1</v>
      </c>
      <c r="GJ79" s="84">
        <f>IFERROR(VLOOKUP($B79,'LOD 400 - UTLS'!$B:AT,45,FALSE),"N/A")</f>
        <v>1</v>
      </c>
      <c r="GK79" s="84">
        <f>IFERROR(VLOOKUP($B79,'LOD 400 - UTLS'!$B:AW,48,FALSE),"N/A")</f>
        <v>1</v>
      </c>
      <c r="GL79" s="84">
        <f>IFERROR(VLOOKUP($B79,'LOD 400 - UTLS'!$B:AZ,51,FALSE),"N/A")</f>
        <v>1</v>
      </c>
      <c r="GM79" s="84">
        <f>IFERROR(VLOOKUP($B79,'LOD 400 - UTLS'!$B:BC,54,FALSE),"N/A")</f>
        <v>1</v>
      </c>
      <c r="GN79" s="84">
        <f>IFERROR(VLOOKUP($B79,'LOD 400 - UTLS'!$B:BF,57,FALSE),"N/A")</f>
        <v>1</v>
      </c>
      <c r="GO79" s="84">
        <f>IFERROR(VLOOKUP($B79,'LOD 400 - UTLS'!$B:BI,60,FALSE),"N/A")</f>
        <v>1</v>
      </c>
      <c r="GP79" s="84">
        <f>IFERROR(VLOOKUP($B79,'LOD 400 - UTLS'!$B:BL,63,FALSE),"N/A")</f>
        <v>1</v>
      </c>
      <c r="GQ79" s="84">
        <f>IFERROR(VLOOKUP($B79,'LOD 400 - UTLS'!$B:BO,66,FALSE),"N/A")</f>
        <v>1</v>
      </c>
      <c r="GR79" s="84">
        <f>IFERROR(VLOOKUP($B79,'LOD 400 - UTLS'!$B:BR,69,FALSE),"N/A")</f>
        <v>1</v>
      </c>
      <c r="GS79" s="85">
        <f>IFERROR(VLOOKUP($B79,'LOD 400 - UTLS'!$B:BU,72,FALSE),"N/A")</f>
        <v>1</v>
      </c>
      <c r="GT79" s="84">
        <f>IFERROR(VLOOKUP($B79,'LOD 400 - UTLS'!$B:BX,75,FALSE),"N/A")</f>
        <v>1</v>
      </c>
      <c r="GU79" s="85">
        <f>IFERROR(VLOOKUP($B79,'LOD 400 - UTLS'!$B:CA,78,FALSE),"N/A")</f>
        <v>1</v>
      </c>
      <c r="GV79" s="84">
        <f>IFERROR(VLOOKUP($B79,'LOD 400 - UTLS'!$B:CD,81,FALSE),"N/A")</f>
        <v>1</v>
      </c>
      <c r="GW79" s="84">
        <f>IFERROR(VLOOKUP($B79,'LOD 400 - UTLS'!$B:CG,84,FALSE),"N/A")</f>
        <v>1</v>
      </c>
      <c r="GX79" s="84">
        <f>IFERROR(VLOOKUP($B79,'LOD 400 - UTLS'!$B:CJ,87,FALSE),"N/A")</f>
        <v>1</v>
      </c>
      <c r="GY79" s="84">
        <f>IFERROR(VLOOKUP($B79,'LOD 400 - UTLS'!$B:CM,90,FALSE),"N/A")</f>
        <v>1</v>
      </c>
      <c r="GZ79" s="84">
        <f>IFERROR(VLOOKUP($B79,'LOD 400 - UTLS'!$B:CP,93,FALSE),"N/A")</f>
        <v>1</v>
      </c>
      <c r="HA79" s="84">
        <f>IFERROR(VLOOKUP($B79,'LOD 400 - UTLS'!$B:CS,96,FALSE),"N/A")</f>
        <v>1</v>
      </c>
      <c r="HB79" s="84">
        <f>IFERROR(VLOOKUP($B79,'LOD 400 - UTLS'!$B:CV,99,FALSE),"N/A")</f>
        <v>1</v>
      </c>
      <c r="HC79" s="84">
        <f>IFERROR(VLOOKUP($B79,'LOD 400 - UTLS'!$B:CY,102,FALSE),"N/A")</f>
        <v>1</v>
      </c>
      <c r="HD79" s="84">
        <f>IFERROR(VLOOKUP($B79,'LOD 400 - UTLS'!$B:DB,105,FALSE),"N/A")</f>
        <v>1</v>
      </c>
      <c r="HE79" s="96">
        <f>IFERROR(__xludf.DUMMYFUNCTION("IFERROR(
  MAX(FILTER(GA79:HD79, ISNUMBER(GA79:HD79))),
  HD79
)"),1.0)</f>
        <v>1</v>
      </c>
      <c r="HF79" s="99"/>
      <c r="HG79" s="99"/>
      <c r="HH79" s="99"/>
      <c r="HI79" s="99"/>
      <c r="HJ79" s="99"/>
      <c r="HK79" s="99"/>
    </row>
    <row r="80" ht="15.0" hidden="1" customHeight="1">
      <c r="A80" s="53">
        <v>84.0</v>
      </c>
      <c r="B80" s="291" t="s">
        <v>242</v>
      </c>
      <c r="C80" s="292"/>
      <c r="D80" s="293"/>
      <c r="E80" s="293"/>
      <c r="F80" s="293"/>
      <c r="G80" s="294"/>
      <c r="H80" s="293"/>
      <c r="I80" s="293"/>
      <c r="J80" s="295"/>
      <c r="K80" s="296"/>
      <c r="L80" s="297"/>
      <c r="M80" s="293"/>
      <c r="N80" s="298"/>
      <c r="O80" s="299"/>
      <c r="P80" s="300"/>
      <c r="Q80" s="301"/>
      <c r="R80" s="302"/>
      <c r="S80" s="303"/>
      <c r="T80" s="303"/>
      <c r="U80" s="304"/>
      <c r="V80" s="305"/>
      <c r="W80" s="293"/>
      <c r="X80" s="301"/>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3"/>
      <c r="AU80" s="293"/>
      <c r="AV80" s="301"/>
      <c r="AW80" s="302"/>
      <c r="AX80" s="301"/>
      <c r="AY80" s="302"/>
      <c r="AZ80" s="302"/>
      <c r="BA80" s="302"/>
      <c r="BB80" s="302"/>
      <c r="BC80" s="302"/>
      <c r="BD80" s="302"/>
      <c r="BE80" s="302"/>
      <c r="BF80" s="302"/>
      <c r="BG80" s="306"/>
      <c r="BH80" s="294"/>
      <c r="BI80" s="294"/>
      <c r="BJ80" s="294"/>
      <c r="BK80" s="294"/>
      <c r="BL80" s="294"/>
      <c r="BM80" s="294"/>
      <c r="BN80" s="294"/>
      <c r="BO80" s="294"/>
      <c r="BP80" s="294"/>
      <c r="BQ80" s="294"/>
      <c r="BR80" s="294"/>
      <c r="BS80" s="294"/>
      <c r="BT80" s="294"/>
      <c r="BU80" s="294"/>
      <c r="BV80" s="294"/>
      <c r="BW80" s="294"/>
      <c r="BX80" s="294"/>
      <c r="BY80" s="294"/>
      <c r="BZ80" s="294"/>
      <c r="CA80" s="294"/>
      <c r="CB80" s="294"/>
      <c r="CC80" s="293"/>
      <c r="CD80" s="293"/>
      <c r="CE80" s="301"/>
      <c r="CF80" s="302"/>
      <c r="CG80" s="301"/>
      <c r="CH80" s="302"/>
      <c r="CI80" s="302"/>
      <c r="CJ80" s="302"/>
      <c r="CK80" s="302"/>
      <c r="CL80" s="302"/>
      <c r="CM80" s="302"/>
      <c r="CN80" s="302"/>
      <c r="CO80" s="302"/>
      <c r="CP80" s="306"/>
      <c r="CQ80" s="294"/>
      <c r="CR80" s="294"/>
      <c r="CS80" s="294"/>
      <c r="CT80" s="294"/>
      <c r="CU80" s="294"/>
      <c r="CV80" s="294"/>
      <c r="CW80" s="294"/>
      <c r="CX80" s="294"/>
      <c r="CY80" s="294"/>
      <c r="CZ80" s="294"/>
      <c r="DA80" s="294"/>
      <c r="DB80" s="294"/>
      <c r="DC80" s="294"/>
      <c r="DD80" s="294"/>
      <c r="DE80" s="294"/>
      <c r="DF80" s="294"/>
      <c r="DG80" s="294"/>
      <c r="DH80" s="294"/>
      <c r="DI80" s="294"/>
      <c r="DJ80" s="293"/>
      <c r="DK80" s="293"/>
      <c r="DL80" s="293"/>
      <c r="DM80" s="293"/>
      <c r="DN80" s="301"/>
      <c r="DO80" s="302"/>
      <c r="DP80" s="301"/>
      <c r="DQ80" s="302"/>
      <c r="DR80" s="302"/>
      <c r="DS80" s="302"/>
      <c r="DT80" s="302"/>
      <c r="DU80" s="302"/>
      <c r="DV80" s="302"/>
      <c r="DW80" s="302"/>
      <c r="DX80" s="302"/>
      <c r="DY80" s="293"/>
      <c r="DZ80" s="307"/>
      <c r="EA80" s="304"/>
      <c r="EB80" s="302"/>
      <c r="EC80" s="302"/>
      <c r="ED80" s="302"/>
      <c r="EE80" s="301"/>
      <c r="EF80" s="302"/>
      <c r="EG80" s="293"/>
      <c r="EH80" s="308"/>
      <c r="EI80" s="302"/>
      <c r="EJ80" s="302"/>
      <c r="EK80" s="302"/>
      <c r="EL80" s="302"/>
      <c r="EM80" s="302"/>
      <c r="EN80" s="302"/>
      <c r="EO80" s="302"/>
      <c r="EP80" s="309"/>
      <c r="EQ80" s="302"/>
      <c r="ER80" s="310"/>
      <c r="ES80" s="294"/>
      <c r="ET80" s="293"/>
      <c r="EU80" s="305"/>
      <c r="EV80" s="294"/>
      <c r="EW80" s="294"/>
      <c r="EX80" s="294"/>
      <c r="EY80" s="294"/>
      <c r="EZ80" s="294"/>
      <c r="FA80" s="294"/>
      <c r="FB80" s="294"/>
      <c r="FC80" s="294"/>
      <c r="FD80" s="294"/>
      <c r="FE80" s="294"/>
      <c r="FF80" s="294"/>
      <c r="FG80" s="294"/>
      <c r="FH80" s="294"/>
      <c r="FI80" s="294"/>
      <c r="FJ80" s="294"/>
      <c r="FK80" s="294"/>
      <c r="FL80" s="294"/>
      <c r="FM80" s="294"/>
      <c r="FN80" s="293"/>
      <c r="FO80" s="301"/>
      <c r="FP80" s="302"/>
      <c r="FQ80" s="301"/>
      <c r="FR80" s="302"/>
      <c r="FS80" s="302"/>
      <c r="FT80" s="302"/>
      <c r="FU80" s="302"/>
      <c r="FV80" s="302"/>
      <c r="FW80" s="302"/>
      <c r="FX80" s="302"/>
      <c r="FY80" s="302"/>
      <c r="FZ80" s="311"/>
      <c r="GA80" s="294"/>
      <c r="GB80" s="294"/>
      <c r="GC80" s="294"/>
      <c r="GD80" s="294"/>
      <c r="GE80" s="294"/>
      <c r="GF80" s="294"/>
      <c r="GG80" s="294"/>
      <c r="GH80" s="294"/>
      <c r="GI80" s="294"/>
      <c r="GJ80" s="294"/>
      <c r="GK80" s="294"/>
      <c r="GL80" s="294"/>
      <c r="GM80" s="294"/>
      <c r="GN80" s="294"/>
      <c r="GO80" s="294"/>
      <c r="GP80" s="294"/>
      <c r="GQ80" s="302"/>
      <c r="GR80" s="302"/>
      <c r="GS80" s="302"/>
      <c r="GT80" s="301"/>
      <c r="GU80" s="302"/>
      <c r="GV80" s="301"/>
      <c r="GW80" s="302"/>
      <c r="GX80" s="302"/>
      <c r="GY80" s="302"/>
      <c r="GZ80" s="302"/>
      <c r="HA80" s="302"/>
      <c r="HB80" s="302"/>
      <c r="HC80" s="302"/>
      <c r="HD80" s="302"/>
      <c r="HE80" s="310"/>
      <c r="HF80" s="99"/>
      <c r="HG80" s="99"/>
      <c r="HH80" s="99"/>
      <c r="HI80" s="99"/>
      <c r="HJ80" s="99"/>
      <c r="HK80" s="99"/>
    </row>
    <row r="81" ht="15.0" customHeight="1" outlineLevel="1">
      <c r="A81" s="53">
        <v>85.0</v>
      </c>
      <c r="B81" s="100" t="s">
        <v>243</v>
      </c>
      <c r="C81" s="100" t="s">
        <v>244</v>
      </c>
      <c r="D81" s="64" t="str">
        <f t="shared" ref="D81:D82" si="15">MID(B81,17,4)</f>
        <v>DATA</v>
      </c>
      <c r="E81" s="101" t="s">
        <v>237</v>
      </c>
      <c r="F81" s="102">
        <v>1118.0</v>
      </c>
      <c r="G81" s="103" t="s">
        <v>237</v>
      </c>
      <c r="H81" s="104">
        <v>1118.0</v>
      </c>
      <c r="I81" s="68" t="str">
        <f>IFERROR(VLOOKUP($C78:C108,'R22 RELATÓRIO ACC'!B:F,5,FALSE),"NOT PUBLISHED")</f>
        <v>V59</v>
      </c>
      <c r="J81" s="69" t="str">
        <f>IFERROR(VLOOKUP($C78:C108,'R22 RELATÓRIO ACC'!B:P,15,FALSE),"NOT PUBLISHED")</f>
        <v>17/04/2026</v>
      </c>
      <c r="K81" s="70" t="str">
        <f>IFERROR(VLOOKUP($B78:B108,'RELATÓRIO ACC'!B:F,5,FALSE),"NOT PUBLISHED")</f>
        <v>V5</v>
      </c>
      <c r="L81" s="71" t="str">
        <f>IFERROR(VLOOKUP($B78:B108,'RELATÓRIO ACC'!B:P,15,FALSE),"NOT PUBLISHED")</f>
        <v>06/07/2026</v>
      </c>
      <c r="M81" s="72" t="str">
        <f>IF(OR($D81="UTLS",$D81="GUAR",$D81="STIR",$D81="PUMP",$D81="SITE"),
   VLOOKUP($B81,'LOD 400 - SITE'!B:M,12,FALSE),
   VLOOKUP($B81,'LOD 400 - ADMN'!B:M,12,FALSE)
)</f>
        <v>V53</v>
      </c>
      <c r="N81" s="105">
        <f>IF(OR($D81="UTLS",$D81="GUAR",$D81="STIR",$D81="PUMP",$D81="SITE"),
   VLOOKUP($B81,'LOD 400 - SITE'!B:N,13,FALSE),
   VLOOKUP($B81,'LOD 400 - ADMN'!B:N,13,FALSE)
)</f>
        <v>45995</v>
      </c>
      <c r="O81" s="106" t="str">
        <f>IF(OR($D81="UTLS",$D81="GUAR",$D81="STIR",$D81="PUMP",$D81="SITE"),
   VLOOKUP($B81,'LOD 400 - SITE'!B:O,14,FALSE),
   VLOOKUP($B81,'LOD 400 - ADMN'!B:O,14,FALSE)
)</f>
        <v>R22</v>
      </c>
      <c r="P81" s="107" t="str">
        <f>IF(OR($D81="C345",$D81="C12A",$D81="DATA"),
   VLOOKUP($B81,'LOD 400 - COLO3'!B:M,12,FALSE),"N/A")</f>
        <v>V2</v>
      </c>
      <c r="Q81" s="108">
        <f>IF(OR($D81="C345",$D81="C12A",$D81="DATA"),
   VLOOKUP($B81,'LOD 400 - COLO3'!B:N,13,FALSE),"N/A")</f>
        <v>46159</v>
      </c>
      <c r="R81" s="75" t="str">
        <f>IF(OR($D81="C345",$D81="C12A",$D81="DATA"),
   VLOOKUP($B81,'LOD 400 - COLO3'!B:O,14,FALSE),"N/A")</f>
        <v>R24</v>
      </c>
      <c r="S81" s="76" t="str">
        <f>IF(OR($D81="C345",$D81="C12A",$D81="DATA"),
   VLOOKUP($B81,'LOD 400 - COLO4'!B:N,12,FALSE),"N/A")</f>
        <v>N/A</v>
      </c>
      <c r="T81" s="76" t="str">
        <f>IF(OR($D81="C345",$D81="C12A",$D81="DATA"),
   VLOOKUP($B81,'LOD 400 - COLO4'!B:N,13,FALSE),"N/A")</f>
        <v>N/A</v>
      </c>
      <c r="U81" s="76" t="str">
        <f>IF(OR($D81="C345",$D81="C12A",$D81="DATA"),
   VLOOKUP($B81,'LOD 400 - COLO4'!B:N,13,FALSE),"N/A")</f>
        <v>N/A</v>
      </c>
      <c r="V81" s="77" t="str">
        <f>IF(OR($D81="UTLS",$D81="GUAR",$D81="STIR",$D81="PUMP",$D81="SITE"),
   VLOOKUP($B81,'LOD 400 - UTLS'!B:M,12,FALSE),"N/A")</f>
        <v>N/A</v>
      </c>
      <c r="W81" s="78" t="str">
        <f>IF(OR($D81="UTLS",$D81="GUAR",$D81="STIR",$D81="PUMP",$D81="SITE"),
   VLOOKUP($B81,'LOD 400 - UTLS'!B:N,13,FALSE),"N/A")</f>
        <v>N/A</v>
      </c>
      <c r="X81" s="108" t="str">
        <f>IF(OR($D81="UTLS",$D81="GUAR",$D81="STIR",$D81="PUMP",$D81="SITE"),
   VLOOKUP($B81,'LOD 400 - UTLS'!B:O,14,FALSE),"N/A")</f>
        <v>N/A</v>
      </c>
      <c r="Y81" s="79">
        <f>IFERROR(VLOOKUP($B81,'LOD 400 - ADMN'!B:S,18,FALSE),"N/A")</f>
        <v>0.11</v>
      </c>
      <c r="Z81" s="79">
        <f>IFERROR(VLOOKUP($B81,'LOD 400 - ADMN'!B:V,21,FALSE),"N/A")</f>
        <v>0.11</v>
      </c>
      <c r="AA81" s="79">
        <f>IFERROR(VLOOKUP($B81,'LOD 400 - ADMN'!$B:Y,24,FALSE),"N/A")</f>
        <v>0.19</v>
      </c>
      <c r="AB81" s="80" t="str">
        <f>IFERROR(VLOOKUP($B81,'LOD 400 - ADMN'!$B:AB,27,FALSE),"N/A")</f>
        <v>IMPROPER</v>
      </c>
      <c r="AC81" s="81">
        <f>IFERROR(VLOOKUP($B81,'LOD 400 - ADMN'!$B:AE,30,FALSE),"N/A")</f>
        <v>0.66</v>
      </c>
      <c r="AD81" s="81" t="str">
        <f>IFERROR(VLOOKUP($B81,'LOD 400 - ADMN'!$B:AH,33,FALSE),"N/A")</f>
        <v>NEXT ROUND</v>
      </c>
      <c r="AE81" s="80">
        <f>IFERROR(VLOOKUP($B81,'LOD 400 - ADMN'!$B:AK,36,FALSE),"N/A")</f>
        <v>0.98</v>
      </c>
      <c r="AF81" s="82">
        <f>IFERROR(VLOOKUP($B81,'LOD 400 - ADMN'!$B:AN,39,FALSE),"N/A")</f>
        <v>1</v>
      </c>
      <c r="AG81" s="83">
        <f>IFERROR(VLOOKUP($B81,'LOD 400 - ADMN'!$B:AQ,42,FALSE),"N/A")</f>
        <v>1</v>
      </c>
      <c r="AH81" s="84">
        <f>IFERROR(VLOOKUP($B81,'LOD 400 - ADMN'!$B:AT,45,FALSE),"N/A")</f>
        <v>1</v>
      </c>
      <c r="AI81" s="85">
        <f>IFERROR(VLOOKUP($B81,'LOD 400 - ADMN'!$B:AW,48,FALSE),"N/A")</f>
        <v>1</v>
      </c>
      <c r="AJ81" s="85">
        <f>IFERROR(VLOOKUP($B81,'LOD 400 - ADMN'!$B:AZ,51,FALSE),"N/A")</f>
        <v>1</v>
      </c>
      <c r="AK81" s="84">
        <f>IFERROR(VLOOKUP($B81,'LOD 400 - ADMN'!$B:BC,54,FALSE),"N/A")</f>
        <v>1</v>
      </c>
      <c r="AL81" s="84">
        <f>IFERROR(VLOOKUP($B81,'LOD 400 - ADMN'!$B:BF,57,FALSE),"N/A")</f>
        <v>1</v>
      </c>
      <c r="AM81" s="84">
        <f>IFERROR(VLOOKUP($B81,'LOD 400 - ADMN'!$B:BI,60,FALSE),"N/A")</f>
        <v>1</v>
      </c>
      <c r="AN81" s="84">
        <f>IFERROR(VLOOKUP($B81,'LOD 400 - ADMN'!$B:BL,63,FALSE),"N/A")</f>
        <v>1</v>
      </c>
      <c r="AO81" s="84">
        <f>IFERROR(VLOOKUP($B81,'LOD 400 - ADMN'!$B:BO,66,FALSE),"N/A")</f>
        <v>1</v>
      </c>
      <c r="AP81" s="84">
        <f>IFERROR(VLOOKUP($B81,'LOD 400 - ADMN'!$B:BR,69,FALSE),"N/A")</f>
        <v>1</v>
      </c>
      <c r="AQ81" s="84">
        <f>IFERROR(VLOOKUP($B81,'LOD 400 - ADMN'!$B:BU,72,FALSE),"N/A")</f>
        <v>1</v>
      </c>
      <c r="AR81" s="84">
        <f>IFERROR(VLOOKUP($B81,'LOD 400 - ADMN'!$B:BX,75,FALSE),"N/A")</f>
        <v>1</v>
      </c>
      <c r="AS81" s="84">
        <f>IFERROR(VLOOKUP($B81,'LOD 400 - ADMN'!$B:CA,78,FALSE),"N/A")</f>
        <v>1</v>
      </c>
      <c r="AT81" s="84">
        <f>IFERROR(VLOOKUP($B81,'LOD 400 - ADMN'!$B:CD,81,FALSE),"N/A")</f>
        <v>1</v>
      </c>
      <c r="AU81" s="85">
        <f>IFERROR(VLOOKUP($B81,'LOD 400 - ADMN'!$B:CG,84,FALSE),"N/A")</f>
        <v>1</v>
      </c>
      <c r="AV81" s="84">
        <f>IFERROR(VLOOKUP($B81,'LOD 400 - ADMN'!$B:CJ,87,FALSE),"N/A")</f>
        <v>1</v>
      </c>
      <c r="AW81" s="85">
        <f>IFERROR(VLOOKUP($B81,'LOD 400 - ADMN'!$B:CM,90,FALSE),"N/A")</f>
        <v>1</v>
      </c>
      <c r="AX81" s="84">
        <f>IFERROR(VLOOKUP($B81,'LOD 400 - ADMN'!$B:CP,93,FALSE),"N/A")</f>
        <v>1</v>
      </c>
      <c r="AY81" s="84">
        <f>IFERROR(VLOOKUP($B81,'LOD 400 - ADMN'!$B:CS,96,FALSE),"N/A")</f>
        <v>1</v>
      </c>
      <c r="AZ81" s="84">
        <f>IFERROR(VLOOKUP($B81,'LOD 400 - ADMN'!$B:CV,99,FALSE),"N/A")</f>
        <v>1</v>
      </c>
      <c r="BA81" s="84">
        <f>IFERROR(VLOOKUP($B81,'LOD 400 - ADMN'!$B:CY,102,FALSE),"N/A")</f>
        <v>1</v>
      </c>
      <c r="BB81" s="84">
        <f>IFERROR(VLOOKUP($B81,'LOD 400 - ADMN'!$B:DB,105,FALSE),"N/A")</f>
        <v>1</v>
      </c>
      <c r="BC81" s="84">
        <f>IFERROR(VLOOKUP($B81,'LOD 400 - ADMN'!$B:DE,108,FALSE),"N/A")</f>
        <v>1</v>
      </c>
      <c r="BD81" s="84">
        <f>IFERROR(VLOOKUP($B81,'LOD 400 - ADMN'!$B:DH,111,FALSE),"N/A")</f>
        <v>1</v>
      </c>
      <c r="BE81" s="84">
        <f>IFERROR(VLOOKUP($B81,'LOD 400 - ADMN'!$B:DK,114,FALSE),"N/A")</f>
        <v>1</v>
      </c>
      <c r="BF81" s="84">
        <f>IFERROR(VLOOKUP($B81,'LOD 400 - ADMN'!$B:DN,117,FALSE),"N/A")</f>
        <v>1</v>
      </c>
      <c r="BG81" s="86">
        <f>IFERROR(__xludf.DUMMYFUNCTION("IFERROR(
  MAX(FILTER(Y81:BF81, ISNUMBER(Y81:BF81))),
  BF81
)"),1.0)</f>
        <v>1</v>
      </c>
      <c r="BH81" s="79">
        <f>IFERROR(VLOOKUP($B81,'LOD 400 - COLO1'!B:S,18,FALSE),"N/A")</f>
        <v>0.1</v>
      </c>
      <c r="BI81" s="79">
        <f>IFERROR(VLOOKUP($B81,'LOD 400 - COLO1'!B:V,21,FALSE),"N/A")</f>
        <v>0.13</v>
      </c>
      <c r="BJ81" s="79">
        <f>IFERROR(VLOOKUP($B81,'LOD 400 - COLO1'!$B:Y,24,FALSE),"N/A")</f>
        <v>0.14</v>
      </c>
      <c r="BK81" s="87" t="str">
        <f>IFERROR(VLOOKUP($B81,'LOD 400 - COLO1'!$B:AB,27,FALSE),"N/A")</f>
        <v>IMPROPER</v>
      </c>
      <c r="BL81" s="80">
        <f>IFERROR(VLOOKUP($B81,'LOD 400 - COLO1'!$B:AE,30,FALSE),"N/A")</f>
        <v>0.7</v>
      </c>
      <c r="BM81" s="81" t="str">
        <f>IFERROR(VLOOKUP($B81,'LOD 400 - COLO1'!$B:AH,33,FALSE),"N/A")</f>
        <v>NEXT ROUND</v>
      </c>
      <c r="BN81" s="87">
        <f>IFERROR(VLOOKUP($B81,'LOD 400 - COLO1'!$B:AK,36,FALSE),"N/A")</f>
        <v>0.97</v>
      </c>
      <c r="BO81" s="83">
        <f>IFERROR(VLOOKUP($B81,'LOD 400 - COLO1'!$B:AN,39,FALSE),"N/A")</f>
        <v>1</v>
      </c>
      <c r="BP81" s="88">
        <f>IFERROR(VLOOKUP($B81,'LOD 400 - COLO1'!$B:AQ,42,FALSE),"N/A")</f>
        <v>1</v>
      </c>
      <c r="BQ81" s="84">
        <f>IFERROR(VLOOKUP($B81,'LOD 400 - COLO1'!$B:AT,45,FALSE),"N/A")</f>
        <v>1</v>
      </c>
      <c r="BR81" s="85">
        <f>IFERROR(VLOOKUP($B81,'LOD 400 - COLO1'!$B:AW,48,FALSE),"N/A")</f>
        <v>1</v>
      </c>
      <c r="BS81" s="84">
        <f>IFERROR(VLOOKUP($B81,'LOD 400 - COLO1'!$B:AZ,51,FALSE),"N/A")</f>
        <v>1</v>
      </c>
      <c r="BT81" s="84">
        <f>IFERROR(VLOOKUP($B81,'LOD 400 - COLO1'!$B:BC,54,FALSE),"N/A")</f>
        <v>1</v>
      </c>
      <c r="BU81" s="84">
        <f>IFERROR(VLOOKUP($B81,'LOD 400 - COLO1'!$B:BF,57,FALSE),"N/A")</f>
        <v>1</v>
      </c>
      <c r="BV81" s="84">
        <f>IFERROR(VLOOKUP($B81,'LOD 400 - COLO1'!$B:BI,60,FALSE),"N/A")</f>
        <v>1</v>
      </c>
      <c r="BW81" s="84">
        <f>IFERROR(VLOOKUP($B81,'LOD 400 - COLO1'!$B:BL,63,FALSE),"N/A")</f>
        <v>1</v>
      </c>
      <c r="BX81" s="84">
        <f>IFERROR(VLOOKUP($B81,'LOD 400 - COLO1'!$B:BO,66,FALSE),"N/A")</f>
        <v>1</v>
      </c>
      <c r="BY81" s="84">
        <f>IFERROR(VLOOKUP($B81,'LOD 400 - COLO1'!$B:BR,69,FALSE),"N/A")</f>
        <v>1</v>
      </c>
      <c r="BZ81" s="84">
        <f>IFERROR(VLOOKUP($B81,'LOD 400 - COLO1'!$B:BU,72,FALSE),"N/A")</f>
        <v>1</v>
      </c>
      <c r="CA81" s="84">
        <f>IFERROR(VLOOKUP($B81,'LOD 400 - COLO1'!$B:BX,75,FALSE),"N/A")</f>
        <v>1</v>
      </c>
      <c r="CB81" s="84">
        <f>IFERROR(VLOOKUP($B81,'LOD 400 - COLO1'!$B:CA,78,FALSE),"N/A")</f>
        <v>1</v>
      </c>
      <c r="CC81" s="84">
        <f>IFERROR(VLOOKUP($B81,'LOD 400 - COLO1'!$B:CD,81,FALSE),"N/A")</f>
        <v>1</v>
      </c>
      <c r="CD81" s="85">
        <f>IFERROR(VLOOKUP($B81,'LOD 400 - COLO1'!$B:CG,84,FALSE),"N/A")</f>
        <v>1</v>
      </c>
      <c r="CE81" s="84">
        <f>IFERROR(VLOOKUP($B81,'LOD 400 - COLO1'!$B:CJ,87,FALSE),"N/A")</f>
        <v>1</v>
      </c>
      <c r="CF81" s="85">
        <f>IFERROR(VLOOKUP($B81,'LOD 400 - COLO1'!$B:CM,90,FALSE),"N/A")</f>
        <v>1</v>
      </c>
      <c r="CG81" s="84">
        <f>IFERROR(VLOOKUP($B81,'LOD 400 - COLO1'!$B:CP,93,FALSE),"N/A")</f>
        <v>1</v>
      </c>
      <c r="CH81" s="84">
        <f>IFERROR(VLOOKUP($B81,'LOD 400 - COLO1'!$B:CS,96,FALSE),"N/A")</f>
        <v>1</v>
      </c>
      <c r="CI81" s="84">
        <f>IFERROR(VLOOKUP($B81,'LOD 400 - COLO1'!$B:CV,99,FALSE),"N/A")</f>
        <v>1</v>
      </c>
      <c r="CJ81" s="84">
        <f>IFERROR(VLOOKUP($B81,'LOD 400 - COLO1'!$B:CY,102,FALSE),"N/A")</f>
        <v>1</v>
      </c>
      <c r="CK81" s="84">
        <f>IFERROR(VLOOKUP($B81,'LOD 400 - COLO1'!$B:DB,105,FALSE),"N/A")</f>
        <v>1</v>
      </c>
      <c r="CL81" s="84">
        <f>IFERROR(VLOOKUP($B81,'LOD 400 - COLO1'!$B:DE,108,FALSE),"N/A")</f>
        <v>1</v>
      </c>
      <c r="CM81" s="84">
        <f>IFERROR(VLOOKUP($B81,'LOD 400 - COLO1'!$B:DH,111,FALSE),"N/A")</f>
        <v>1</v>
      </c>
      <c r="CN81" s="84">
        <f>IFERROR(VLOOKUP($B81,'LOD 400 - COLO1'!$B:DK,114,FALSE),"N/A")</f>
        <v>1</v>
      </c>
      <c r="CO81" s="84">
        <f>IFERROR(VLOOKUP($B81,'LOD 400 - COLO1'!$B:DN,117,FALSE),"N/A")</f>
        <v>1</v>
      </c>
      <c r="CP81" s="86">
        <f>IFERROR(__xludf.DUMMYFUNCTION("IFERROR(
  MAX(FILTER(BH81:CO81, ISNUMBER(BH81:CO81))),
  CO81
)"),1.0)</f>
        <v>1</v>
      </c>
      <c r="CQ81" s="89">
        <f>IFERROR(VLOOKUP($B81,'LOD 400 - COLO2'!B:S,18,FALSE),"N/A")</f>
        <v>0.1</v>
      </c>
      <c r="CR81" s="79">
        <f>IFERROR(VLOOKUP($B81,'LOD 400 - COLO2'!B:V,21,FALSE),"N/A")</f>
        <v>0.15</v>
      </c>
      <c r="CS81" s="79">
        <f>IFERROR(VLOOKUP($B81,'LOD 400 - COLO2'!$B:Y,24,FALSE),"N/A")</f>
        <v>0.11</v>
      </c>
      <c r="CT81" s="80" t="str">
        <f>IFERROR(VLOOKUP($B81,'LOD 400 - COLO2'!$B:DQ,27,FALSE),"N/A")</f>
        <v>IMPROPER</v>
      </c>
      <c r="CU81" s="90">
        <f>IFERROR(VLOOKUP($B81,'LOD 400 - COLO2'!$B:AE,30,FALSE),"N/A")</f>
        <v>0.65</v>
      </c>
      <c r="CV81" s="81" t="str">
        <f>IFERROR(VLOOKUP($B81,'LOD 400 - COLO2'!$B:AH,33,FALSE),"N/A")</f>
        <v>NEXT ROUND</v>
      </c>
      <c r="CW81" s="90">
        <f>IFERROR(VLOOKUP($B81,'LOD 400 - COLO2'!$B:AK,36,FALSE),"N/A")</f>
        <v>0.95</v>
      </c>
      <c r="CX81" s="85">
        <f>IFERROR(VLOOKUP($B81,'LOD 400 - COLO2'!$B:AN,39,FALSE),"N/A")</f>
        <v>1</v>
      </c>
      <c r="CY81" s="88">
        <f>IFERROR(VLOOKUP($B81,'LOD 400 - COLO2'!$B:AQ,42,FALSE),"N/A")</f>
        <v>1</v>
      </c>
      <c r="CZ81" s="84">
        <f>IFERROR(VLOOKUP($B81,'LOD 400 - COLO2'!$B:AT,45,FALSE),"N/A")</f>
        <v>1</v>
      </c>
      <c r="DA81" s="85">
        <f>IFERROR(VLOOKUP($B81,'LOD 400 - COLO2'!$B:AW,48,FALSE),"N/A")</f>
        <v>1</v>
      </c>
      <c r="DB81" s="84">
        <f>IFERROR(VLOOKUP($B81,'LOD 400 - COLO2'!$B:AZ,51,FALSE),"N/A")</f>
        <v>1</v>
      </c>
      <c r="DC81" s="84">
        <f>IFERROR(VLOOKUP($B81,'LOD 400 - COLO2'!$B:BC,54,FALSE),"N/A")</f>
        <v>1</v>
      </c>
      <c r="DD81" s="84">
        <f>IFERROR(VLOOKUP($B81,'LOD 400 - COLO2'!$B:BF,57,FALSE),"N/A")</f>
        <v>1</v>
      </c>
      <c r="DE81" s="84">
        <f>IFERROR(VLOOKUP($B81,'LOD 400 - COLO2'!$B:BI,60,FALSE),"N/A")</f>
        <v>1</v>
      </c>
      <c r="DF81" s="84">
        <f>IFERROR(VLOOKUP($B81,'LOD 400 - COLO2'!$B:BL,63,FALSE),"N/A")</f>
        <v>1</v>
      </c>
      <c r="DG81" s="84">
        <f>IFERROR(VLOOKUP($B81,'LOD 400 - COLO2'!$B:BO,66,FALSE),"N/A")</f>
        <v>1</v>
      </c>
      <c r="DH81" s="84">
        <f>IFERROR(VLOOKUP($B81,'LOD 400 - COLO2'!$B:BR,69,FALSE),"N/A")</f>
        <v>1</v>
      </c>
      <c r="DI81" s="84">
        <f>IFERROR(VLOOKUP($B81,'LOD 400 - COLO2'!$B:BU,72,FALSE),"N/A")</f>
        <v>1</v>
      </c>
      <c r="DJ81" s="84">
        <f>IFERROR(VLOOKUP($B81,'LOD 400 - COLO2'!$B:BX,75,FALSE),"N/A")</f>
        <v>1</v>
      </c>
      <c r="DK81" s="84">
        <f>IFERROR(VLOOKUP($B81,'LOD 400 - COLO2'!$B:CA,78,FALSE),"N/A")</f>
        <v>1</v>
      </c>
      <c r="DL81" s="84">
        <f>IFERROR(VLOOKUP($B81,'LOD 400 - COLO2'!$B:CD,81,FALSE),"N/A")</f>
        <v>1</v>
      </c>
      <c r="DM81" s="85">
        <f>IFERROR(VLOOKUP($B81,'LOD 400 - COLO2'!$B:CG,84,FALSE),"N/A")</f>
        <v>1</v>
      </c>
      <c r="DN81" s="84">
        <f>IFERROR(VLOOKUP($B81,'LOD 400 - COLO2'!$B:CJ,87,FALSE),"N/A")</f>
        <v>1</v>
      </c>
      <c r="DO81" s="85">
        <f>IFERROR(VLOOKUP($B81,'LOD 400 - COLO2'!$B:CM,90,FALSE),"N/A")</f>
        <v>1</v>
      </c>
      <c r="DP81" s="84">
        <f>IFERROR(VLOOKUP($B81,'LOD 400 - COLO2'!$B:CP,93,FALSE),"N/A")</f>
        <v>1</v>
      </c>
      <c r="DQ81" s="84">
        <f>IFERROR(VLOOKUP($B81,'LOD 400 - COLO2'!$B:CS,96,FALSE),"N/A")</f>
        <v>1</v>
      </c>
      <c r="DR81" s="84">
        <f>IFERROR(VLOOKUP($B81,'LOD 400 - COLO2'!$B:CV,99,FALSE),"N/A")</f>
        <v>1</v>
      </c>
      <c r="DS81" s="84">
        <f>IFERROR(VLOOKUP($B81,'LOD 400 - COLO2'!$B:CY,102,FALSE),"N/A")</f>
        <v>1</v>
      </c>
      <c r="DT81" s="84">
        <f>IFERROR(VLOOKUP($B81,'LOD 400 - COLO2'!$B:DB,105,FALSE),"N/A")</f>
        <v>1</v>
      </c>
      <c r="DU81" s="84">
        <f>IFERROR(VLOOKUP($B81,'LOD 400 - COLO2'!$B:DE,108,FALSE),"N/A")</f>
        <v>1</v>
      </c>
      <c r="DV81" s="84">
        <f>IFERROR(VLOOKUP($B81,'LOD 400 - COLO2'!$B:DH,111,FALSE),"N/A")</f>
        <v>1</v>
      </c>
      <c r="DW81" s="84">
        <f>IFERROR(VLOOKUP($B81,'LOD 400 - COLO2'!$B:DK,114,FALSE),"N/A")</f>
        <v>1</v>
      </c>
      <c r="DX81" s="84">
        <f>IFERROR(VLOOKUP($B81,'LOD 400 - COLO2'!$B:DN,117,FALSE),"N/A")</f>
        <v>1</v>
      </c>
      <c r="DY81" s="91">
        <f>IFERROR(__xludf.DUMMYFUNCTION("IFERROR(
  MAX(FILTER(CQ81:DW81, ISNUMBER(CQ81:DW81))),
  DW81
)"),1.0)</f>
        <v>1</v>
      </c>
      <c r="DZ81" s="92">
        <f>IFERROR(VLOOKUP($B81,'LOD 400 - COLO3'!B:S,18,FALSE),"N/A")</f>
        <v>0</v>
      </c>
      <c r="EA81" s="84">
        <f>IFERROR(VLOOKUP($B81,'LOD 400 - COLO3'!B:V,21,FALSE),"N/A")</f>
        <v>0</v>
      </c>
      <c r="EB81" s="84">
        <f>IFERROR(VLOOKUP($B81,'LOD 400 - COLO3'!B:Y,24,FALSE),"N/A")</f>
        <v>0.98</v>
      </c>
      <c r="EC81" s="84" t="str">
        <f>IFERROR(VLOOKUP($B81,'LOD 400 - COLO3'!B:AB,27,FALSE),"N/A")</f>
        <v>NEXT ROUND</v>
      </c>
      <c r="ED81" s="85" t="str">
        <f>IFERROR(VLOOKUP($B81,'LOD 400 - COLO3'!B:AE,30,FALSE),"N/A")</f>
        <v>NEXT ROUND</v>
      </c>
      <c r="EE81" s="84" t="str">
        <f>IFERROR(VLOOKUP($B81,'LOD 400 - COLO3'!B:AH,33,FALSE),"N/A")</f>
        <v>NEXT ROUND</v>
      </c>
      <c r="EF81" s="84" t="str">
        <f>IFERROR(VLOOKUP($B81,'LOD 400 - COLO3'!B:AK,36,FALSE),"N/A")</f>
        <v>NEXT ROUND</v>
      </c>
      <c r="EG81" s="109" t="str">
        <f>IFERROR(VLOOKUP($B81,'LOD 400 - COLO3'!B:AN,39,FALSE),"N/A")</f>
        <v>NEXT ROUND</v>
      </c>
      <c r="EH81" s="94" t="str">
        <f>IFERROR(VLOOKUP($B81,'LOD 400 - COLO3'!B:AQ,42,FALSE),"N/A")</f>
        <v>NEXT ROUND</v>
      </c>
      <c r="EI81" s="94" t="str">
        <f>IFERROR(VLOOKUP($B81,'LOD 400 - COLO3'!B:AT,45,FALSE),"N/A")</f>
        <v>NEXT ROUND</v>
      </c>
      <c r="EJ81" s="94" t="str">
        <f>IFERROR(VLOOKUP($B81,'LOD 400 - COLO3'!B:AW,48,FALSE),"N/A")</f>
        <v>NEXT ROUND</v>
      </c>
      <c r="EK81" s="94">
        <f>IFERROR(VLOOKUP($B81,'LOD 400 - COLO3'!B:AZ,51,FALSE),"N/A")</f>
        <v>1</v>
      </c>
      <c r="EL81" s="94">
        <f>IFERROR(VLOOKUP($B81,'LOD 400 - COLO3'!B:BC,54,FALSE),"N/A")</f>
        <v>1</v>
      </c>
      <c r="EM81" s="94">
        <f>IFERROR(VLOOKUP($B81,'LOD 400 - COLO3'!B:BF,57,FALSE),"N/A")</f>
        <v>1</v>
      </c>
      <c r="EN81" s="94">
        <f>IFERROR(VLOOKUP($B81,'LOD 400 - COLO3'!B:BI,60,FALSE),"N/A")</f>
        <v>1</v>
      </c>
      <c r="EO81" s="94">
        <f>IFERROR(VLOOKUP($B81,'LOD 400 - COLO3'!B:BL,63,FALSE),"N/A")</f>
        <v>1</v>
      </c>
      <c r="EP81" s="86">
        <f>IFERROR(__xludf.DUMMYFUNCTION("IFERROR(
  MAX(FILTER(DZ81:EO81, ISNUMBER(DZ81:EO81))),
  EO81
)"),1.0)</f>
        <v>1</v>
      </c>
      <c r="EQ81" s="95">
        <f>IFERROR(VLOOKUP($B81,'LOD 400 - COLO4'!B:S,18,FALSE),"N/A")</f>
        <v>0</v>
      </c>
      <c r="ER81" s="96">
        <f>IFERROR(__xludf.DUMMYFUNCTION("IFERROR(
  MAX(FILTER(EQ81, ISNUMBER(EQ81))),
  EQ81
)"),0.0)</f>
        <v>0</v>
      </c>
      <c r="ES81" s="79" t="str">
        <f>IFERROR(VLOOKUP($B81,'LOD 400 - SITE'!B:S,18,FALSE),"N/A")</f>
        <v>N/A</v>
      </c>
      <c r="ET81" s="80" t="str">
        <f>IFERROR(VLOOKUP($B81,'LOD 400 - SITE'!B:V,21,FALSE),"N/A")</f>
        <v>N/A</v>
      </c>
      <c r="EU81" s="97" t="str">
        <f>IFERROR(VLOOKUP($B81,'LOD 400 - SITE'!$B:Y,24,FALSE),"N/A")</f>
        <v>N/A</v>
      </c>
      <c r="EV81" s="80" t="str">
        <f>IFERROR(VLOOKUP($B81,'LOD 400 - SITE'!$B:AB,27,FALSE),"N/A")</f>
        <v>N/A</v>
      </c>
      <c r="EW81" s="81" t="str">
        <f>IFERROR(VLOOKUP($B81,'LOD 400 - SITE'!$B:AE,30,FALSE),"N/A")</f>
        <v>N/A</v>
      </c>
      <c r="EX81" s="87" t="str">
        <f>IFERROR(VLOOKUP($B81,'LOD 400 - SITE'!$B:AH,33,FALSE),"N/A")</f>
        <v>N/A</v>
      </c>
      <c r="EY81" s="87" t="str">
        <f>IFERROR(VLOOKUP($B81,'LOD 400 - SITE'!$B:AK,36,FALSE),"N/A")</f>
        <v>N/A</v>
      </c>
      <c r="EZ81" s="80" t="str">
        <f>IFERROR(VLOOKUP($B81,'LOD 400 - SITE'!$B:AN,39,FALSE),"N/A")</f>
        <v>N/A</v>
      </c>
      <c r="FA81" s="82" t="str">
        <f>IFERROR(VLOOKUP($B81,'LOD 400 - SITE'!$B:AQ,42,FALSE),"N/A")</f>
        <v>N/A</v>
      </c>
      <c r="FB81" s="88" t="str">
        <f>IFERROR(VLOOKUP($B81,'LOD 400 - SITE'!$B:AT,45,FALSE),"N/A")</f>
        <v>N/A</v>
      </c>
      <c r="FC81" s="84" t="str">
        <f>IFERROR(VLOOKUP($B81,'LOD 400 - SITE'!$B:AW,48,FALSE),"N/A")</f>
        <v>N/A</v>
      </c>
      <c r="FD81" s="84" t="str">
        <f>IFERROR(VLOOKUP($B81,'LOD 400 - SITE'!$B:AZ,51,FALSE),"N/A")</f>
        <v>N/A</v>
      </c>
      <c r="FE81" s="84" t="str">
        <f>IFERROR(VLOOKUP($B81,'LOD 400 - SITE'!$B:BC,54,FALSE),"N/A")</f>
        <v>N/A</v>
      </c>
      <c r="FF81" s="84" t="str">
        <f>IFERROR(VLOOKUP($B81,'LOD 400 - SITE'!$B:BF,57,FALSE),"N/A")</f>
        <v>N/A</v>
      </c>
      <c r="FG81" s="84" t="str">
        <f>IFERROR(VLOOKUP($B81,'LOD 400 - SITE'!$B:BI,60,FALSE),"N/A")</f>
        <v>N/A</v>
      </c>
      <c r="FH81" s="84" t="str">
        <f>IFERROR(VLOOKUP($B81,'LOD 400 - SITE'!$B:BL,63,FALSE),"N/A")</f>
        <v>N/A</v>
      </c>
      <c r="FI81" s="84" t="str">
        <f>IFERROR(VLOOKUP($B81,'LOD 400 - SITE'!$B:BO,66,FALSE),"N/A")</f>
        <v>N/A</v>
      </c>
      <c r="FJ81" s="84" t="str">
        <f>IFERROR(VLOOKUP($B81,'LOD 400 - SITE'!$B:BR,69,FALSE),"N/A")</f>
        <v>N/A</v>
      </c>
      <c r="FK81" s="84" t="str">
        <f>IFERROR(VLOOKUP($B81,'LOD 400 - SITE'!$B:BU,72,FALSE),"N/A")</f>
        <v>N/A</v>
      </c>
      <c r="FL81" s="84" t="str">
        <f>IFERROR(VLOOKUP($B81,'LOD 400 - SITE'!$B:BX,75,FALSE),"N/A")</f>
        <v>N/A</v>
      </c>
      <c r="FM81" s="84" t="str">
        <f>IFERROR(VLOOKUP($B81,'LOD 400 - SITE'!$B:CA,78,FALSE),"N/A")</f>
        <v>N/A</v>
      </c>
      <c r="FN81" s="85" t="str">
        <f>IFERROR(VLOOKUP($B81,'LOD 400 - SITE'!$B:CD,81,FALSE),"N/A")</f>
        <v>N/A</v>
      </c>
      <c r="FO81" s="84" t="str">
        <f>IFERROR(VLOOKUP($B81,'LOD 400 - SITE'!$B:CG,84,FALSE),"N/A")</f>
        <v>N/A</v>
      </c>
      <c r="FP81" s="85" t="str">
        <f>IFERROR(VLOOKUP($B81,'LOD 400 - SITE'!$B:CJ,87,FALSE),"N/A")</f>
        <v>N/A</v>
      </c>
      <c r="FQ81" s="84" t="str">
        <f>IFERROR(VLOOKUP($B81,'LOD 400 - SITE'!$B:CM,90,FALSE),"N/A")</f>
        <v>N/A</v>
      </c>
      <c r="FR81" s="84" t="str">
        <f>IFERROR(VLOOKUP($B81,'LOD 400 - SITE'!$B:CP,93,FALSE),"N/A")</f>
        <v>N/A</v>
      </c>
      <c r="FS81" s="84" t="str">
        <f>IFERROR(VLOOKUP($B81,'LOD 400 - SITE'!$B:CS,96,FALSE),"N/A")</f>
        <v>N/A</v>
      </c>
      <c r="FT81" s="84" t="str">
        <f>IFERROR(VLOOKUP($B81,'LOD 400 - SITE'!$B:CV,99,FALSE),"N/A")</f>
        <v>N/A</v>
      </c>
      <c r="FU81" s="84" t="str">
        <f>IFERROR(VLOOKUP($B81,'LOD 400 - SITE'!$B:CY,102,FALSE),"N/A")</f>
        <v>N/A</v>
      </c>
      <c r="FV81" s="84" t="str">
        <f>IFERROR(VLOOKUP($B81,'LOD 400 - SITE'!$B:DB,105,FALSE),"N/A")</f>
        <v>N/A</v>
      </c>
      <c r="FW81" s="84" t="str">
        <f>IFERROR(VLOOKUP($B81,'LOD 400 - SITE'!$B:DE,108,FALSE),"N/A")</f>
        <v>N/A</v>
      </c>
      <c r="FX81" s="84" t="str">
        <f>IFERROR(VLOOKUP($B81,'LOD 400 - SITE'!$B:DH,111,FALSE),"N/A")</f>
        <v>N/A</v>
      </c>
      <c r="FY81" s="84" t="str">
        <f>IFERROR(VLOOKUP($B81,'LOD 400 - SITE'!$B:DK,114,FALSE),"N/A")</f>
        <v>N/A</v>
      </c>
      <c r="FZ81" s="96" t="str">
        <f>IFERROR(__xludf.DUMMYFUNCTION("IFERROR(
  MAX(FILTER(ES81:FY81, ISNUMBER(ES81:FY81))),
  FY81
)"),"N/A")</f>
        <v>N/A</v>
      </c>
      <c r="GA81" s="80" t="str">
        <f>IFERROR(VLOOKUP($B81,'LOD 400 - UTLS'!B:S,18,FALSE),"N/A")</f>
        <v>N/A</v>
      </c>
      <c r="GB81" s="98" t="str">
        <f>IFERROR(VLOOKUP($B81,'LOD 400 - UTLS'!B:V,21,FALSE),"N/A")</f>
        <v>N/A</v>
      </c>
      <c r="GC81" s="81" t="str">
        <f>IFERROR(VLOOKUP($B81,'LOD 400 - UTLS'!B:Y,24,FALSE),"N/A")</f>
        <v>N/A</v>
      </c>
      <c r="GD81" s="87" t="str">
        <f>IFERROR(VLOOKUP($B81,'LOD 400 - UTLS'!$B:AB,27,FALSE),"N/A")</f>
        <v>N/A</v>
      </c>
      <c r="GE81" s="80" t="str">
        <f>IFERROR(VLOOKUP($B81,'LOD 400 - UTLS'!$B:AE,30,FALSE),"N/A")</f>
        <v>N/A</v>
      </c>
      <c r="GF81" s="82" t="str">
        <f>IFERROR(VLOOKUP($B81,'LOD 400 - UTLS'!$B:AH,33,FALSE),"N/A")</f>
        <v>N/A</v>
      </c>
      <c r="GG81" s="88" t="str">
        <f>IFERROR(VLOOKUP($B81,'LOD 400 - UTLS'!$B:AK,36,FALSE),"N/A")</f>
        <v>N/A</v>
      </c>
      <c r="GH81" s="84" t="str">
        <f>IFERROR(VLOOKUP($B81,'LOD 400 - UTLS'!$B:AN,39,FALSE),"N/A")</f>
        <v>N/A</v>
      </c>
      <c r="GI81" s="84" t="str">
        <f>IFERROR(VLOOKUP($B81,'LOD 400 - UTLS'!$B:AQ,42,FALSE),"N/A")</f>
        <v>N/A</v>
      </c>
      <c r="GJ81" s="84" t="str">
        <f>IFERROR(VLOOKUP($B81,'LOD 400 - UTLS'!$B:AT,45,FALSE),"N/A")</f>
        <v>N/A</v>
      </c>
      <c r="GK81" s="84" t="str">
        <f>IFERROR(VLOOKUP($B81,'LOD 400 - UTLS'!$B:AW,48,FALSE),"N/A")</f>
        <v>N/A</v>
      </c>
      <c r="GL81" s="84" t="str">
        <f>IFERROR(VLOOKUP($B81,'LOD 400 - UTLS'!$B:AZ,51,FALSE),"N/A")</f>
        <v>N/A</v>
      </c>
      <c r="GM81" s="84" t="str">
        <f>IFERROR(VLOOKUP($B81,'LOD 400 - UTLS'!$B:BC,54,FALSE),"N/A")</f>
        <v>N/A</v>
      </c>
      <c r="GN81" s="84" t="str">
        <f>IFERROR(VLOOKUP($B81,'LOD 400 - UTLS'!$B:BF,57,FALSE),"N/A")</f>
        <v>N/A</v>
      </c>
      <c r="GO81" s="84" t="str">
        <f>IFERROR(VLOOKUP($B81,'LOD 400 - UTLS'!$B:BI,60,FALSE),"N/A")</f>
        <v>N/A</v>
      </c>
      <c r="GP81" s="84" t="str">
        <f>IFERROR(VLOOKUP($B81,'LOD 400 - UTLS'!$B:BL,63,FALSE),"N/A")</f>
        <v>N/A</v>
      </c>
      <c r="GQ81" s="84" t="str">
        <f>IFERROR(VLOOKUP($B81,'LOD 400 - UTLS'!$B:BO,66,FALSE),"N/A")</f>
        <v>N/A</v>
      </c>
      <c r="GR81" s="84" t="str">
        <f>IFERROR(VLOOKUP($B81,'LOD 400 - UTLS'!$B:BR,69,FALSE),"N/A")</f>
        <v>N/A</v>
      </c>
      <c r="GS81" s="85" t="str">
        <f>IFERROR(VLOOKUP($B81,'LOD 400 - UTLS'!$B:BU,72,FALSE),"N/A")</f>
        <v>N/A</v>
      </c>
      <c r="GT81" s="84" t="str">
        <f>IFERROR(VLOOKUP($B81,'LOD 400 - UTLS'!$B:BX,75,FALSE),"N/A")</f>
        <v>N/A</v>
      </c>
      <c r="GU81" s="85" t="str">
        <f>IFERROR(VLOOKUP($B81,'LOD 400 - UTLS'!$B:CA,78,FALSE),"N/A")</f>
        <v>N/A</v>
      </c>
      <c r="GV81" s="84" t="str">
        <f>IFERROR(VLOOKUP($B81,'LOD 400 - UTLS'!$B:CD,81,FALSE),"N/A")</f>
        <v>N/A</v>
      </c>
      <c r="GW81" s="84" t="str">
        <f>IFERROR(VLOOKUP($B81,'LOD 400 - UTLS'!$B:CG,84,FALSE),"N/A")</f>
        <v>N/A</v>
      </c>
      <c r="GX81" s="84" t="str">
        <f>IFERROR(VLOOKUP($B81,'LOD 400 - UTLS'!$B:CJ,87,FALSE),"N/A")</f>
        <v>N/A</v>
      </c>
      <c r="GY81" s="84" t="str">
        <f>IFERROR(VLOOKUP($B81,'LOD 400 - UTLS'!$B:CM,90,FALSE),"N/A")</f>
        <v>N/A</v>
      </c>
      <c r="GZ81" s="84" t="str">
        <f>IFERROR(VLOOKUP($B81,'LOD 400 - UTLS'!$B:CP,93,FALSE),"N/A")</f>
        <v>N/A</v>
      </c>
      <c r="HA81" s="84" t="str">
        <f>IFERROR(VLOOKUP($B81,'LOD 400 - UTLS'!$B:CS,96,FALSE),"N/A")</f>
        <v>N/A</v>
      </c>
      <c r="HB81" s="84" t="str">
        <f>IFERROR(VLOOKUP($B81,'LOD 400 - UTLS'!$B:CV,99,FALSE),"N/A")</f>
        <v>N/A</v>
      </c>
      <c r="HC81" s="84" t="str">
        <f>IFERROR(VLOOKUP($B81,'LOD 400 - UTLS'!$B:CY,102,FALSE),"N/A")</f>
        <v>N/A</v>
      </c>
      <c r="HD81" s="84" t="str">
        <f>IFERROR(VLOOKUP($B81,'LOD 400 - UTLS'!$B:DB,105,FALSE),"N/A")</f>
        <v>N/A</v>
      </c>
      <c r="HE81" s="96" t="str">
        <f>IFERROR(__xludf.DUMMYFUNCTION("IFERROR(
  MAX(FILTER(GA81:HD81, ISNUMBER(GA81:HD81))),
  HD81
)"),"N/A")</f>
        <v>N/A</v>
      </c>
      <c r="HF81" s="99"/>
      <c r="HG81" s="99"/>
      <c r="HH81" s="99"/>
      <c r="HI81" s="99"/>
      <c r="HJ81" s="99"/>
      <c r="HK81" s="99"/>
    </row>
    <row r="82" ht="15.0" customHeight="1" outlineLevel="1">
      <c r="A82" s="53">
        <v>86.0</v>
      </c>
      <c r="B82" s="100" t="s">
        <v>245</v>
      </c>
      <c r="C82" s="100" t="s">
        <v>246</v>
      </c>
      <c r="D82" s="64" t="str">
        <f t="shared" si="15"/>
        <v>GUAR</v>
      </c>
      <c r="E82" s="101" t="s">
        <v>237</v>
      </c>
      <c r="F82" s="102">
        <v>1118.0</v>
      </c>
      <c r="G82" s="103" t="s">
        <v>237</v>
      </c>
      <c r="H82" s="104">
        <v>1118.0</v>
      </c>
      <c r="I82" s="68" t="str">
        <f>IFERROR(VLOOKUP($C79:C108,'R22 RELATÓRIO ACC'!B:F,5,FALSE),"NOT PUBLISHED")</f>
        <v>V23</v>
      </c>
      <c r="J82" s="69" t="str">
        <f>IFERROR(VLOOKUP($C79:C108,'R22 RELATÓRIO ACC'!B:P,15,FALSE),"NOT PUBLISHED")</f>
        <v>16/04/2026</v>
      </c>
      <c r="K82" s="70" t="str">
        <f>IFERROR(VLOOKUP($B79:B108,'RELATÓRIO ACC'!B:F,5,FALSE),"NOT PUBLISHED")</f>
        <v>V1</v>
      </c>
      <c r="L82" s="71" t="str">
        <f>IFERROR(VLOOKUP($B79:B108,'RELATÓRIO ACC'!B:P,15,FALSE),"NOT PUBLISHED")</f>
        <v>19/05/2026</v>
      </c>
      <c r="M82" s="72" t="str">
        <f>IF(OR($D82="UTLS",$D82="GUAR",$D82="STIR",$D82="PUMP",$D82="SITE"),
   VLOOKUP($B82,'LOD 400 - SITE'!B:M,12,FALSE),
   VLOOKUP($B82,'LOD 400 - ADMN'!B:M,12,FALSE)
)</f>
        <v>V17</v>
      </c>
      <c r="N82" s="105" t="str">
        <f>IF(OR($D82="UTLS",$D82="GUAR",$D82="STIR",$D82="PUMP",$D82="SITE"),
   VLOOKUP($B82,'LOD 400 - SITE'!B:N,13,FALSE),
   VLOOKUP($B82,'LOD 400 - ADMN'!B:N,13,FALSE)
)</f>
        <v>21/11/2025</v>
      </c>
      <c r="O82" s="106" t="str">
        <f>IF(OR($D82="UTLS",$D82="GUAR",$D82="STIR",$D82="PUMP",$D82="SITE"),
   VLOOKUP($B82,'LOD 400 - SITE'!B:O,14,FALSE),
   VLOOKUP($B82,'LOD 400 - ADMN'!B:O,14,FALSE)
)</f>
        <v>R22</v>
      </c>
      <c r="P82" s="107" t="str">
        <f>IF(OR($D82="C345",$D82="C12A",$D82="DATA"),
   VLOOKUP($B82,'LOD 400 - COLO3'!B:M,12,FALSE),"N/A")</f>
        <v>N/A</v>
      </c>
      <c r="Q82" s="108" t="str">
        <f>IF(OR($D82="C345",$D82="C12A",$D82="DATA"),
   VLOOKUP($B82,'LOD 400 - COLO3'!B:N,13,FALSE),"N/A")</f>
        <v>N/A</v>
      </c>
      <c r="R82" s="75" t="str">
        <f>IF(OR($D82="C345",$D82="C12A",$D82="DATA"),
   VLOOKUP($B82,'LOD 400 - COLO3'!B:O,14,FALSE),"N/A")</f>
        <v>N/A</v>
      </c>
      <c r="S82" s="76" t="str">
        <f>IF(OR($D82="C345",$D82="C12A",$D82="DATA"),
   VLOOKUP($B82,'LOD 400 - COLO4'!B:N,12,FALSE),"N/A")</f>
        <v>N/A</v>
      </c>
      <c r="T82" s="76" t="str">
        <f>IF(OR($D82="C345",$D82="C12A",$D82="DATA"),
   VLOOKUP($B82,'LOD 400 - COLO4'!B:N,13,FALSE),"N/A")</f>
        <v>N/A</v>
      </c>
      <c r="U82" s="76" t="str">
        <f>IF(OR($D82="C345",$D82="C12A",$D82="DATA"),
   VLOOKUP($B82,'LOD 400 - COLO4'!B:N,13,FALSE),"N/A")</f>
        <v>N/A</v>
      </c>
      <c r="V82" s="77" t="str">
        <f>IF(OR($D82="UTLS",$D82="GUAR",$D82="STIR",$D82="PUMP",$D82="SITE"),
   VLOOKUP($B82,'LOD 400 - UTLS'!B:M,12,FALSE),"N/A")</f>
        <v>N/A</v>
      </c>
      <c r="W82" s="78" t="str">
        <f>IF(OR($D82="UTLS",$D82="GUAR",$D82="STIR",$D82="PUMP",$D82="SITE"),
   VLOOKUP($B82,'LOD 400 - UTLS'!B:N,13,FALSE),"N/A")</f>
        <v>N/A</v>
      </c>
      <c r="X82" s="108" t="str">
        <f>IF(OR($D82="UTLS",$D82="GUAR",$D82="STIR",$D82="PUMP",$D82="SITE"),
   VLOOKUP($B82,'LOD 400 - UTLS'!B:O,14,FALSE),"N/A")</f>
        <v>N/A</v>
      </c>
      <c r="Y82" s="79" t="str">
        <f>IFERROR(VLOOKUP($B82,'LOD 400 - ADMN'!B:S,18,FALSE),"N/A")</f>
        <v>N/A</v>
      </c>
      <c r="Z82" s="79" t="str">
        <f>IFERROR(VLOOKUP($B82,'LOD 400 - ADMN'!B:V,21,FALSE),"N/A")</f>
        <v>N/A</v>
      </c>
      <c r="AA82" s="79" t="str">
        <f>IFERROR(VLOOKUP($B82,'LOD 400 - ADMN'!$B:Y,24,FALSE),"N/A")</f>
        <v>N/A</v>
      </c>
      <c r="AB82" s="80" t="str">
        <f>IFERROR(VLOOKUP($B82,'LOD 400 - ADMN'!$B:AB,27,FALSE),"N/A")</f>
        <v>N/A</v>
      </c>
      <c r="AC82" s="81" t="str">
        <f>IFERROR(VLOOKUP($B82,'LOD 400 - ADMN'!$B:AE,30,FALSE),"N/A")</f>
        <v>N/A</v>
      </c>
      <c r="AD82" s="81" t="str">
        <f>IFERROR(VLOOKUP($B82,'LOD 400 - ADMN'!$B:AH,33,FALSE),"N/A")</f>
        <v>N/A</v>
      </c>
      <c r="AE82" s="80" t="str">
        <f>IFERROR(VLOOKUP($B82,'LOD 400 - ADMN'!$B:AK,36,FALSE),"N/A")</f>
        <v>N/A</v>
      </c>
      <c r="AF82" s="82" t="str">
        <f>IFERROR(VLOOKUP($B82,'LOD 400 - ADMN'!$B:AN,39,FALSE),"N/A")</f>
        <v>N/A</v>
      </c>
      <c r="AG82" s="83" t="str">
        <f>IFERROR(VLOOKUP($B82,'LOD 400 - ADMN'!$B:AQ,42,FALSE),"N/A")</f>
        <v>N/A</v>
      </c>
      <c r="AH82" s="84" t="str">
        <f>IFERROR(VLOOKUP($B82,'LOD 400 - ADMN'!$B:AT,45,FALSE),"N/A")</f>
        <v>N/A</v>
      </c>
      <c r="AI82" s="85" t="str">
        <f>IFERROR(VLOOKUP($B82,'LOD 400 - ADMN'!$B:AW,48,FALSE),"N/A")</f>
        <v>N/A</v>
      </c>
      <c r="AJ82" s="85" t="str">
        <f>IFERROR(VLOOKUP($B82,'LOD 400 - ADMN'!$B:AZ,51,FALSE),"N/A")</f>
        <v>N/A</v>
      </c>
      <c r="AK82" s="84" t="str">
        <f>IFERROR(VLOOKUP($B82,'LOD 400 - ADMN'!$B:BC,54,FALSE),"N/A")</f>
        <v>N/A</v>
      </c>
      <c r="AL82" s="84" t="str">
        <f>IFERROR(VLOOKUP($B82,'LOD 400 - ADMN'!$B:BF,57,FALSE),"N/A")</f>
        <v>N/A</v>
      </c>
      <c r="AM82" s="84" t="str">
        <f>IFERROR(VLOOKUP($B82,'LOD 400 - ADMN'!$B:BI,60,FALSE),"N/A")</f>
        <v>N/A</v>
      </c>
      <c r="AN82" s="84" t="str">
        <f>IFERROR(VLOOKUP($B82,'LOD 400 - ADMN'!$B:BL,63,FALSE),"N/A")</f>
        <v>N/A</v>
      </c>
      <c r="AO82" s="84" t="str">
        <f>IFERROR(VLOOKUP($B82,'LOD 400 - ADMN'!$B:BO,66,FALSE),"N/A")</f>
        <v>N/A</v>
      </c>
      <c r="AP82" s="84" t="str">
        <f>IFERROR(VLOOKUP($B82,'LOD 400 - ADMN'!$B:BR,69,FALSE),"N/A")</f>
        <v>N/A</v>
      </c>
      <c r="AQ82" s="84" t="str">
        <f>IFERROR(VLOOKUP($B82,'LOD 400 - ADMN'!$B:BU,72,FALSE),"N/A")</f>
        <v>N/A</v>
      </c>
      <c r="AR82" s="84" t="str">
        <f>IFERROR(VLOOKUP($B82,'LOD 400 - ADMN'!$B:BX,75,FALSE),"N/A")</f>
        <v>N/A</v>
      </c>
      <c r="AS82" s="84" t="str">
        <f>IFERROR(VLOOKUP($B82,'LOD 400 - ADMN'!$B:CA,78,FALSE),"N/A")</f>
        <v>N/A</v>
      </c>
      <c r="AT82" s="84" t="str">
        <f>IFERROR(VLOOKUP($B82,'LOD 400 - ADMN'!$B:CD,81,FALSE),"N/A")</f>
        <v>N/A</v>
      </c>
      <c r="AU82" s="85" t="str">
        <f>IFERROR(VLOOKUP($B82,'LOD 400 - ADMN'!$B:CG,84,FALSE),"N/A")</f>
        <v>N/A</v>
      </c>
      <c r="AV82" s="84" t="str">
        <f>IFERROR(VLOOKUP($B82,'LOD 400 - ADMN'!$B:CJ,87,FALSE),"N/A")</f>
        <v>N/A</v>
      </c>
      <c r="AW82" s="85" t="str">
        <f>IFERROR(VLOOKUP($B82,'LOD 400 - ADMN'!$B:CM,90,FALSE),"N/A")</f>
        <v>N/A</v>
      </c>
      <c r="AX82" s="84" t="str">
        <f>IFERROR(VLOOKUP($B82,'LOD 400 - ADMN'!$B:CP,93,FALSE),"N/A")</f>
        <v>N/A</v>
      </c>
      <c r="AY82" s="84" t="str">
        <f>IFERROR(VLOOKUP($B82,'LOD 400 - ADMN'!$B:CS,96,FALSE),"N/A")</f>
        <v>N/A</v>
      </c>
      <c r="AZ82" s="84" t="str">
        <f>IFERROR(VLOOKUP($B82,'LOD 400 - ADMN'!$B:CV,99,FALSE),"N/A")</f>
        <v>N/A</v>
      </c>
      <c r="BA82" s="84" t="str">
        <f>IFERROR(VLOOKUP($B82,'LOD 400 - ADMN'!$B:CY,102,FALSE),"N/A")</f>
        <v>N/A</v>
      </c>
      <c r="BB82" s="84" t="str">
        <f>IFERROR(VLOOKUP($B82,'LOD 400 - ADMN'!$B:DB,105,FALSE),"N/A")</f>
        <v>N/A</v>
      </c>
      <c r="BC82" s="84" t="str">
        <f>IFERROR(VLOOKUP($B82,'LOD 400 - ADMN'!$B:DE,108,FALSE),"N/A")</f>
        <v>N/A</v>
      </c>
      <c r="BD82" s="84" t="str">
        <f>IFERROR(VLOOKUP($B82,'LOD 400 - ADMN'!$B:DH,111,FALSE),"N/A")</f>
        <v>N/A</v>
      </c>
      <c r="BE82" s="84" t="str">
        <f>IFERROR(VLOOKUP($B82,'LOD 400 - ADMN'!$B:DK,114,FALSE),"N/A")</f>
        <v>N/A</v>
      </c>
      <c r="BF82" s="84" t="str">
        <f>IFERROR(VLOOKUP($B82,'LOD 400 - ADMN'!$B:DN,117,FALSE),"N/A")</f>
        <v>N/A</v>
      </c>
      <c r="BG82" s="86" t="str">
        <f>IFERROR(__xludf.DUMMYFUNCTION("IFERROR(
  MAX(FILTER(Y82:BF82, ISNUMBER(Y82:BF82))),
  BF82
)"),"N/A")</f>
        <v>N/A</v>
      </c>
      <c r="BH82" s="79" t="str">
        <f>IFERROR(VLOOKUP($B82,'LOD 400 - COLO1'!B:S,18,FALSE),"N/A")</f>
        <v>N/A</v>
      </c>
      <c r="BI82" s="79" t="str">
        <f>IFERROR(VLOOKUP($B82,'LOD 400 - COLO1'!B:V,21,FALSE),"N/A")</f>
        <v>N/A</v>
      </c>
      <c r="BJ82" s="79" t="str">
        <f>IFERROR(VLOOKUP($B82,'LOD 400 - COLO1'!$B:Y,24,FALSE),"N/A")</f>
        <v>N/A</v>
      </c>
      <c r="BK82" s="87" t="str">
        <f>IFERROR(VLOOKUP($B82,'LOD 400 - COLO1'!$B:AB,27,FALSE),"N/A")</f>
        <v>N/A</v>
      </c>
      <c r="BL82" s="80" t="str">
        <f>IFERROR(VLOOKUP($B82,'LOD 400 - COLO1'!$B:AE,30,FALSE),"N/A")</f>
        <v>N/A</v>
      </c>
      <c r="BM82" s="81" t="str">
        <f>IFERROR(VLOOKUP($B82,'LOD 400 - COLO1'!$B:AH,33,FALSE),"N/A")</f>
        <v>N/A</v>
      </c>
      <c r="BN82" s="87" t="str">
        <f>IFERROR(VLOOKUP($B82,'LOD 400 - COLO1'!$B:AK,36,FALSE),"N/A")</f>
        <v>N/A</v>
      </c>
      <c r="BO82" s="83" t="str">
        <f>IFERROR(VLOOKUP($B82,'LOD 400 - COLO1'!$B:AN,39,FALSE),"N/A")</f>
        <v>N/A</v>
      </c>
      <c r="BP82" s="88" t="str">
        <f>IFERROR(VLOOKUP($B82,'LOD 400 - COLO1'!$B:AQ,42,FALSE),"N/A")</f>
        <v>N/A</v>
      </c>
      <c r="BQ82" s="84" t="str">
        <f>IFERROR(VLOOKUP($B82,'LOD 400 - COLO1'!$B:AT,45,FALSE),"N/A")</f>
        <v>N/A</v>
      </c>
      <c r="BR82" s="85" t="str">
        <f>IFERROR(VLOOKUP($B82,'LOD 400 - COLO1'!$B:AW,48,FALSE),"N/A")</f>
        <v>N/A</v>
      </c>
      <c r="BS82" s="84" t="str">
        <f>IFERROR(VLOOKUP($B82,'LOD 400 - COLO1'!$B:AZ,51,FALSE),"N/A")</f>
        <v>N/A</v>
      </c>
      <c r="BT82" s="84" t="str">
        <f>IFERROR(VLOOKUP($B82,'LOD 400 - COLO1'!$B:BC,54,FALSE),"N/A")</f>
        <v>N/A</v>
      </c>
      <c r="BU82" s="84" t="str">
        <f>IFERROR(VLOOKUP($B82,'LOD 400 - COLO1'!$B:BF,57,FALSE),"N/A")</f>
        <v>N/A</v>
      </c>
      <c r="BV82" s="84" t="str">
        <f>IFERROR(VLOOKUP($B82,'LOD 400 - COLO1'!$B:BI,60,FALSE),"N/A")</f>
        <v>N/A</v>
      </c>
      <c r="BW82" s="84" t="str">
        <f>IFERROR(VLOOKUP($B82,'LOD 400 - COLO1'!$B:BL,63,FALSE),"N/A")</f>
        <v>N/A</v>
      </c>
      <c r="BX82" s="84" t="str">
        <f>IFERROR(VLOOKUP($B82,'LOD 400 - COLO1'!$B:BO,66,FALSE),"N/A")</f>
        <v>N/A</v>
      </c>
      <c r="BY82" s="84" t="str">
        <f>IFERROR(VLOOKUP($B82,'LOD 400 - COLO1'!$B:BR,69,FALSE),"N/A")</f>
        <v>N/A</v>
      </c>
      <c r="BZ82" s="84" t="str">
        <f>IFERROR(VLOOKUP($B82,'LOD 400 - COLO1'!$B:BU,72,FALSE),"N/A")</f>
        <v>N/A</v>
      </c>
      <c r="CA82" s="84" t="str">
        <f>IFERROR(VLOOKUP($B82,'LOD 400 - COLO1'!$B:BX,75,FALSE),"N/A")</f>
        <v>N/A</v>
      </c>
      <c r="CB82" s="84" t="str">
        <f>IFERROR(VLOOKUP($B82,'LOD 400 - COLO1'!$B:CA,78,FALSE),"N/A")</f>
        <v>N/A</v>
      </c>
      <c r="CC82" s="84" t="str">
        <f>IFERROR(VLOOKUP($B82,'LOD 400 - COLO1'!$B:CD,81,FALSE),"N/A")</f>
        <v>N/A</v>
      </c>
      <c r="CD82" s="85" t="str">
        <f>IFERROR(VLOOKUP($B82,'LOD 400 - COLO1'!$B:CG,84,FALSE),"N/A")</f>
        <v>N/A</v>
      </c>
      <c r="CE82" s="84" t="str">
        <f>IFERROR(VLOOKUP($B82,'LOD 400 - COLO1'!$B:CJ,87,FALSE),"N/A")</f>
        <v>N/A</v>
      </c>
      <c r="CF82" s="85" t="str">
        <f>IFERROR(VLOOKUP($B82,'LOD 400 - COLO1'!$B:CM,90,FALSE),"N/A")</f>
        <v>N/A</v>
      </c>
      <c r="CG82" s="84" t="str">
        <f>IFERROR(VLOOKUP($B82,'LOD 400 - COLO1'!$B:CP,93,FALSE),"N/A")</f>
        <v>N/A</v>
      </c>
      <c r="CH82" s="84" t="str">
        <f>IFERROR(VLOOKUP($B82,'LOD 400 - COLO1'!$B:CS,96,FALSE),"N/A")</f>
        <v>N/A</v>
      </c>
      <c r="CI82" s="84" t="str">
        <f>IFERROR(VLOOKUP($B82,'LOD 400 - COLO1'!$B:CV,99,FALSE),"N/A")</f>
        <v>N/A</v>
      </c>
      <c r="CJ82" s="84" t="str">
        <f>IFERROR(VLOOKUP($B82,'LOD 400 - COLO1'!$B:CY,102,FALSE),"N/A")</f>
        <v>N/A</v>
      </c>
      <c r="CK82" s="84" t="str">
        <f>IFERROR(VLOOKUP($B82,'LOD 400 - COLO1'!$B:DB,105,FALSE),"N/A")</f>
        <v>N/A</v>
      </c>
      <c r="CL82" s="84" t="str">
        <f>IFERROR(VLOOKUP($B82,'LOD 400 - COLO1'!$B:DE,108,FALSE),"N/A")</f>
        <v>N/A</v>
      </c>
      <c r="CM82" s="84" t="str">
        <f>IFERROR(VLOOKUP($B82,'LOD 400 - COLO1'!$B:DH,111,FALSE),"N/A")</f>
        <v>N/A</v>
      </c>
      <c r="CN82" s="84" t="str">
        <f>IFERROR(VLOOKUP($B82,'LOD 400 - COLO1'!$B:DK,114,FALSE),"N/A")</f>
        <v>N/A</v>
      </c>
      <c r="CO82" s="84" t="str">
        <f>IFERROR(VLOOKUP($B82,'LOD 400 - COLO1'!$B:DN,117,FALSE),"N/A")</f>
        <v>N/A</v>
      </c>
      <c r="CP82" s="86" t="str">
        <f>IFERROR(__xludf.DUMMYFUNCTION("IFERROR(
  MAX(FILTER(BH82:CO82, ISNUMBER(BH82:CO82))),
  CO82
)"),"N/A")</f>
        <v>N/A</v>
      </c>
      <c r="CQ82" s="89" t="str">
        <f>IFERROR(VLOOKUP($B82,'LOD 400 - COLO2'!B:S,18,FALSE),"N/A")</f>
        <v>N/A</v>
      </c>
      <c r="CR82" s="79" t="str">
        <f>IFERROR(VLOOKUP($B82,'LOD 400 - COLO2'!B:V,21,FALSE),"N/A")</f>
        <v>N/A</v>
      </c>
      <c r="CS82" s="79" t="str">
        <f>IFERROR(VLOOKUP($B82,'LOD 400 - COLO2'!$B:Y,24,FALSE),"N/A")</f>
        <v>N/A</v>
      </c>
      <c r="CT82" s="80" t="str">
        <f>IFERROR(VLOOKUP($B82,'LOD 400 - COLO2'!$B:DQ,27,FALSE),"N/A")</f>
        <v>N/A</v>
      </c>
      <c r="CU82" s="90" t="str">
        <f>IFERROR(VLOOKUP($B82,'LOD 400 - COLO2'!$B:AE,30,FALSE),"N/A")</f>
        <v>N/A</v>
      </c>
      <c r="CV82" s="81" t="str">
        <f>IFERROR(VLOOKUP($B82,'LOD 400 - COLO2'!$B:AH,33,FALSE),"N/A")</f>
        <v>N/A</v>
      </c>
      <c r="CW82" s="90" t="str">
        <f>IFERROR(VLOOKUP($B82,'LOD 400 - COLO2'!$B:AK,36,FALSE),"N/A")</f>
        <v>N/A</v>
      </c>
      <c r="CX82" s="85" t="str">
        <f>IFERROR(VLOOKUP($B82,'LOD 400 - COLO2'!$B:AN,39,FALSE),"N/A")</f>
        <v>N/A</v>
      </c>
      <c r="CY82" s="88" t="str">
        <f>IFERROR(VLOOKUP($B82,'LOD 400 - COLO2'!$B:AQ,42,FALSE),"N/A")</f>
        <v>N/A</v>
      </c>
      <c r="CZ82" s="84" t="str">
        <f>IFERROR(VLOOKUP($B82,'LOD 400 - COLO2'!$B:AT,45,FALSE),"N/A")</f>
        <v>N/A</v>
      </c>
      <c r="DA82" s="85" t="str">
        <f>IFERROR(VLOOKUP($B82,'LOD 400 - COLO2'!$B:AW,48,FALSE),"N/A")</f>
        <v>N/A</v>
      </c>
      <c r="DB82" s="84" t="str">
        <f>IFERROR(VLOOKUP($B82,'LOD 400 - COLO2'!$B:AZ,51,FALSE),"N/A")</f>
        <v>N/A</v>
      </c>
      <c r="DC82" s="84" t="str">
        <f>IFERROR(VLOOKUP($B82,'LOD 400 - COLO2'!$B:BC,54,FALSE),"N/A")</f>
        <v>N/A</v>
      </c>
      <c r="DD82" s="84" t="str">
        <f>IFERROR(VLOOKUP($B82,'LOD 400 - COLO2'!$B:BF,57,FALSE),"N/A")</f>
        <v>N/A</v>
      </c>
      <c r="DE82" s="84" t="str">
        <f>IFERROR(VLOOKUP($B82,'LOD 400 - COLO2'!$B:BI,60,FALSE),"N/A")</f>
        <v>N/A</v>
      </c>
      <c r="DF82" s="84" t="str">
        <f>IFERROR(VLOOKUP($B82,'LOD 400 - COLO2'!$B:BL,63,FALSE),"N/A")</f>
        <v>N/A</v>
      </c>
      <c r="DG82" s="84" t="str">
        <f>IFERROR(VLOOKUP($B82,'LOD 400 - COLO2'!$B:BO,66,FALSE),"N/A")</f>
        <v>N/A</v>
      </c>
      <c r="DH82" s="84" t="str">
        <f>IFERROR(VLOOKUP($B82,'LOD 400 - COLO2'!$B:BR,69,FALSE),"N/A")</f>
        <v>N/A</v>
      </c>
      <c r="DI82" s="84" t="str">
        <f>IFERROR(VLOOKUP($B82,'LOD 400 - COLO2'!$B:BU,72,FALSE),"N/A")</f>
        <v>N/A</v>
      </c>
      <c r="DJ82" s="84" t="str">
        <f>IFERROR(VLOOKUP($B82,'LOD 400 - COLO2'!$B:BX,75,FALSE),"N/A")</f>
        <v>N/A</v>
      </c>
      <c r="DK82" s="84" t="str">
        <f>IFERROR(VLOOKUP($B82,'LOD 400 - COLO2'!$B:CA,78,FALSE),"N/A")</f>
        <v>N/A</v>
      </c>
      <c r="DL82" s="84" t="str">
        <f>IFERROR(VLOOKUP($B82,'LOD 400 - COLO2'!$B:CD,81,FALSE),"N/A")</f>
        <v>N/A</v>
      </c>
      <c r="DM82" s="85" t="str">
        <f>IFERROR(VLOOKUP($B82,'LOD 400 - COLO2'!$B:CG,84,FALSE),"N/A")</f>
        <v>N/A</v>
      </c>
      <c r="DN82" s="84" t="str">
        <f>IFERROR(VLOOKUP($B82,'LOD 400 - COLO2'!$B:CJ,87,FALSE),"N/A")</f>
        <v>N/A</v>
      </c>
      <c r="DO82" s="85" t="str">
        <f>IFERROR(VLOOKUP($B82,'LOD 400 - COLO2'!$B:CM,90,FALSE),"N/A")</f>
        <v>N/A</v>
      </c>
      <c r="DP82" s="84" t="str">
        <f>IFERROR(VLOOKUP($B82,'LOD 400 - COLO2'!$B:CP,93,FALSE),"N/A")</f>
        <v>N/A</v>
      </c>
      <c r="DQ82" s="84" t="str">
        <f>IFERROR(VLOOKUP($B82,'LOD 400 - COLO2'!$B:CS,96,FALSE),"N/A")</f>
        <v>N/A</v>
      </c>
      <c r="DR82" s="84" t="str">
        <f>IFERROR(VLOOKUP($B82,'LOD 400 - COLO2'!$B:CV,99,FALSE),"N/A")</f>
        <v>N/A</v>
      </c>
      <c r="DS82" s="84" t="str">
        <f>IFERROR(VLOOKUP($B82,'LOD 400 - COLO2'!$B:CY,102,FALSE),"N/A")</f>
        <v>N/A</v>
      </c>
      <c r="DT82" s="84" t="str">
        <f>IFERROR(VLOOKUP($B82,'LOD 400 - COLO2'!$B:DB,105,FALSE),"N/A")</f>
        <v>N/A</v>
      </c>
      <c r="DU82" s="84" t="str">
        <f>IFERROR(VLOOKUP($B82,'LOD 400 - COLO2'!$B:DE,108,FALSE),"N/A")</f>
        <v>N/A</v>
      </c>
      <c r="DV82" s="84" t="str">
        <f>IFERROR(VLOOKUP($B82,'LOD 400 - COLO2'!$B:DH,111,FALSE),"N/A")</f>
        <v>N/A</v>
      </c>
      <c r="DW82" s="84" t="str">
        <f>IFERROR(VLOOKUP($B82,'LOD 400 - COLO2'!$B:DK,114,FALSE),"N/A")</f>
        <v>N/A</v>
      </c>
      <c r="DX82" s="84" t="str">
        <f>IFERROR(VLOOKUP($B82,'LOD 400 - COLO2'!$B:DN,117,FALSE),"N/A")</f>
        <v>N/A</v>
      </c>
      <c r="DY82" s="91" t="str">
        <f>IFERROR(__xludf.DUMMYFUNCTION("IFERROR(
  MAX(FILTER(CQ82:DW82, ISNUMBER(CQ82:DW82))),
  DW82
)"),"N/A")</f>
        <v>N/A</v>
      </c>
      <c r="DZ82" s="92" t="str">
        <f>IFERROR(VLOOKUP($B82,'LOD 400 - COLO3'!B:S,18,FALSE),"N/A")</f>
        <v>N/A</v>
      </c>
      <c r="EA82" s="84" t="str">
        <f>IFERROR(VLOOKUP($B82,'LOD 400 - COLO3'!B:V,21,FALSE),"N/A")</f>
        <v>N/A</v>
      </c>
      <c r="EB82" s="84" t="str">
        <f>IFERROR(VLOOKUP($B82,'LOD 400 - COLO3'!B:Y,24,FALSE),"N/A")</f>
        <v>N/A</v>
      </c>
      <c r="EC82" s="84" t="str">
        <f>IFERROR(VLOOKUP($B82,'LOD 400 - COLO3'!B:AB,27,FALSE),"N/A")</f>
        <v>N/A</v>
      </c>
      <c r="ED82" s="85" t="str">
        <f>IFERROR(VLOOKUP($B82,'LOD 400 - COLO3'!B:AE,30,FALSE),"N/A")</f>
        <v>N/A</v>
      </c>
      <c r="EE82" s="84" t="str">
        <f>IFERROR(VLOOKUP($B82,'LOD 400 - COLO3'!B:AH,33,FALSE),"N/A")</f>
        <v>N/A</v>
      </c>
      <c r="EF82" s="84" t="str">
        <f>IFERROR(VLOOKUP($B82,'LOD 400 - COLO3'!B:AK,36,FALSE),"N/A")</f>
        <v>N/A</v>
      </c>
      <c r="EG82" s="109" t="str">
        <f>IFERROR(VLOOKUP($B82,'LOD 400 - COLO3'!B:AN,39,FALSE),"N/A")</f>
        <v>N/A</v>
      </c>
      <c r="EH82" s="94" t="str">
        <f>IFERROR(VLOOKUP($B82,'LOD 400 - COLO3'!B:AQ,42,FALSE),"N/A")</f>
        <v>N/A</v>
      </c>
      <c r="EI82" s="94" t="str">
        <f>IFERROR(VLOOKUP($B82,'LOD 400 - COLO3'!B:AT,45,FALSE),"N/A")</f>
        <v>N/A</v>
      </c>
      <c r="EJ82" s="94" t="str">
        <f>IFERROR(VLOOKUP($B82,'LOD 400 - COLO3'!B:AW,48,FALSE),"N/A")</f>
        <v>N/A</v>
      </c>
      <c r="EK82" s="94" t="str">
        <f>IFERROR(VLOOKUP($B82,'LOD 400 - COLO3'!B:AZ,51,FALSE),"N/A")</f>
        <v>N/A</v>
      </c>
      <c r="EL82" s="94" t="str">
        <f>IFERROR(VLOOKUP($B82,'LOD 400 - COLO3'!B:BC,54,FALSE),"N/A")</f>
        <v>N/A</v>
      </c>
      <c r="EM82" s="94" t="str">
        <f>IFERROR(VLOOKUP($B82,'LOD 400 - COLO3'!B:BF,57,FALSE),"N/A")</f>
        <v>N/A</v>
      </c>
      <c r="EN82" s="94" t="str">
        <f>IFERROR(VLOOKUP($B82,'LOD 400 - COLO3'!B:BI,60,FALSE),"N/A")</f>
        <v>N/A</v>
      </c>
      <c r="EO82" s="94" t="str">
        <f>IFERROR(VLOOKUP($B82,'LOD 400 - COLO3'!B:BL,63,FALSE),"N/A")</f>
        <v>N/A</v>
      </c>
      <c r="EP82" s="86" t="str">
        <f>IFERROR(__xludf.DUMMYFUNCTION("IFERROR(
  MAX(FILTER(DZ82:EO82, ISNUMBER(DZ82:EO82))),
  EO82
)"),"N/A")</f>
        <v>N/A</v>
      </c>
      <c r="EQ82" s="95" t="str">
        <f>IFERROR(VLOOKUP($B82,'LOD 400 - COLO4'!B:S,18,FALSE),"N/A")</f>
        <v>N/A</v>
      </c>
      <c r="ER82" s="96" t="str">
        <f>IFERROR(__xludf.DUMMYFUNCTION("IFERROR(
  MAX(FILTER(EQ82, ISNUMBER(EQ82))),
  EQ82
)"),"N/A")</f>
        <v>N/A</v>
      </c>
      <c r="ES82" s="79" t="str">
        <f>IFERROR(VLOOKUP($B82,'LOD 400 - SITE'!B:S,18,FALSE),"N/A")</f>
        <v>OUTDATED</v>
      </c>
      <c r="ET82" s="80" t="str">
        <f>IFERROR(VLOOKUP($B82,'LOD 400 - SITE'!B:V,21,FALSE),"N/A")</f>
        <v>OUTDATED</v>
      </c>
      <c r="EU82" s="97" t="str">
        <f>IFERROR(VLOOKUP($B82,'LOD 400 - SITE'!$B:Y,24,FALSE),"N/A")</f>
        <v>OUTDATED</v>
      </c>
      <c r="EV82" s="80">
        <f>IFERROR(VLOOKUP($B82,'LOD 400 - SITE'!$B:AB,27,FALSE),"N/A")</f>
        <v>0.79</v>
      </c>
      <c r="EW82" s="81" t="str">
        <f>IFERROR(VLOOKUP($B82,'LOD 400 - SITE'!$B:AE,30,FALSE),"N/A")</f>
        <v>OUTDATED</v>
      </c>
      <c r="EX82" s="87">
        <f>IFERROR(VLOOKUP($B82,'LOD 400 - SITE'!$B:AH,33,FALSE),"N/A")</f>
        <v>0.91</v>
      </c>
      <c r="EY82" s="87">
        <f>IFERROR(VLOOKUP($B82,'LOD 400 - SITE'!$B:AK,36,FALSE),"N/A")</f>
        <v>1</v>
      </c>
      <c r="EZ82" s="80">
        <f>IFERROR(VLOOKUP($B82,'LOD 400 - SITE'!$B:AN,39,FALSE),"N/A")</f>
        <v>1</v>
      </c>
      <c r="FA82" s="82">
        <f>IFERROR(VLOOKUP($B82,'LOD 400 - SITE'!$B:AQ,42,FALSE),"N/A")</f>
        <v>1</v>
      </c>
      <c r="FB82" s="88">
        <f>IFERROR(VLOOKUP($B82,'LOD 400 - SITE'!$B:AT,45,FALSE),"N/A")</f>
        <v>1</v>
      </c>
      <c r="FC82" s="84">
        <f>IFERROR(VLOOKUP($B82,'LOD 400 - SITE'!$B:AW,48,FALSE),"N/A")</f>
        <v>1</v>
      </c>
      <c r="FD82" s="84">
        <f>IFERROR(VLOOKUP($B82,'LOD 400 - SITE'!$B:AZ,51,FALSE),"N/A")</f>
        <v>1</v>
      </c>
      <c r="FE82" s="84">
        <f>IFERROR(VLOOKUP($B82,'LOD 400 - SITE'!$B:BC,54,FALSE),"N/A")</f>
        <v>1</v>
      </c>
      <c r="FF82" s="84">
        <f>IFERROR(VLOOKUP($B82,'LOD 400 - SITE'!$B:BF,57,FALSE),"N/A")</f>
        <v>1</v>
      </c>
      <c r="FG82" s="84">
        <f>IFERROR(VLOOKUP($B82,'LOD 400 - SITE'!$B:BI,60,FALSE),"N/A")</f>
        <v>1</v>
      </c>
      <c r="FH82" s="84">
        <f>IFERROR(VLOOKUP($B82,'LOD 400 - SITE'!$B:BL,63,FALSE),"N/A")</f>
        <v>1</v>
      </c>
      <c r="FI82" s="84">
        <f>IFERROR(VLOOKUP($B82,'LOD 400 - SITE'!$B:BO,66,FALSE),"N/A")</f>
        <v>1</v>
      </c>
      <c r="FJ82" s="84">
        <f>IFERROR(VLOOKUP($B82,'LOD 400 - SITE'!$B:BR,69,FALSE),"N/A")</f>
        <v>1</v>
      </c>
      <c r="FK82" s="84">
        <f>IFERROR(VLOOKUP($B82,'LOD 400 - SITE'!$B:BU,72,FALSE),"N/A")</f>
        <v>1</v>
      </c>
      <c r="FL82" s="84">
        <f>IFERROR(VLOOKUP($B82,'LOD 400 - SITE'!$B:BX,75,FALSE),"N/A")</f>
        <v>1</v>
      </c>
      <c r="FM82" s="84">
        <f>IFERROR(VLOOKUP($B82,'LOD 400 - SITE'!$B:CA,78,FALSE),"N/A")</f>
        <v>1</v>
      </c>
      <c r="FN82" s="85">
        <f>IFERROR(VLOOKUP($B82,'LOD 400 - SITE'!$B:CD,81,FALSE),"N/A")</f>
        <v>1</v>
      </c>
      <c r="FO82" s="84">
        <f>IFERROR(VLOOKUP($B82,'LOD 400 - SITE'!$B:CG,84,FALSE),"N/A")</f>
        <v>1</v>
      </c>
      <c r="FP82" s="85">
        <f>IFERROR(VLOOKUP($B82,'LOD 400 - SITE'!$B:CJ,87,FALSE),"N/A")</f>
        <v>1</v>
      </c>
      <c r="FQ82" s="84">
        <f>IFERROR(VLOOKUP($B82,'LOD 400 - SITE'!$B:CM,90,FALSE),"N/A")</f>
        <v>1</v>
      </c>
      <c r="FR82" s="84">
        <f>IFERROR(VLOOKUP($B82,'LOD 400 - SITE'!$B:CP,93,FALSE),"N/A")</f>
        <v>1</v>
      </c>
      <c r="FS82" s="84">
        <f>IFERROR(VLOOKUP($B82,'LOD 400 - SITE'!$B:CS,96,FALSE),"N/A")</f>
        <v>1</v>
      </c>
      <c r="FT82" s="84">
        <f>IFERROR(VLOOKUP($B82,'LOD 400 - SITE'!$B:CV,99,FALSE),"N/A")</f>
        <v>1</v>
      </c>
      <c r="FU82" s="84">
        <f>IFERROR(VLOOKUP($B82,'LOD 400 - SITE'!$B:CY,102,FALSE),"N/A")</f>
        <v>1</v>
      </c>
      <c r="FV82" s="84">
        <f>IFERROR(VLOOKUP($B82,'LOD 400 - SITE'!$B:DB,105,FALSE),"N/A")</f>
        <v>1</v>
      </c>
      <c r="FW82" s="84">
        <f>IFERROR(VLOOKUP($B82,'LOD 400 - SITE'!$B:DE,108,FALSE),"N/A")</f>
        <v>1</v>
      </c>
      <c r="FX82" s="84">
        <f>IFERROR(VLOOKUP($B82,'LOD 400 - SITE'!$B:DH,111,FALSE),"N/A")</f>
        <v>1</v>
      </c>
      <c r="FY82" s="84">
        <f>IFERROR(VLOOKUP($B82,'LOD 400 - SITE'!$B:DK,114,FALSE),"N/A")</f>
        <v>1</v>
      </c>
      <c r="FZ82" s="96">
        <f>IFERROR(__xludf.DUMMYFUNCTION("IFERROR(
  MAX(FILTER(ES82:FY82, ISNUMBER(ES82:FY82))),
  FY82
)"),1.0)</f>
        <v>1</v>
      </c>
      <c r="GA82" s="80" t="str">
        <f>IFERROR(VLOOKUP($B82,'LOD 400 - UTLS'!B:S,18,FALSE),"N/A")</f>
        <v>N/A</v>
      </c>
      <c r="GB82" s="98" t="str">
        <f>IFERROR(VLOOKUP($B82,'LOD 400 - UTLS'!B:V,21,FALSE),"N/A")</f>
        <v>N/A</v>
      </c>
      <c r="GC82" s="81" t="str">
        <f>IFERROR(VLOOKUP($B82,'LOD 400 - UTLS'!B:Y,24,FALSE),"N/A")</f>
        <v>N/A</v>
      </c>
      <c r="GD82" s="87" t="str">
        <f>IFERROR(VLOOKUP($B82,'LOD 400 - UTLS'!$B:AB,27,FALSE),"N/A")</f>
        <v>N/A</v>
      </c>
      <c r="GE82" s="80" t="str">
        <f>IFERROR(VLOOKUP($B82,'LOD 400 - UTLS'!$B:AE,30,FALSE),"N/A")</f>
        <v>N/A</v>
      </c>
      <c r="GF82" s="82" t="str">
        <f>IFERROR(VLOOKUP($B82,'LOD 400 - UTLS'!$B:AH,33,FALSE),"N/A")</f>
        <v>N/A</v>
      </c>
      <c r="GG82" s="88" t="str">
        <f>IFERROR(VLOOKUP($B82,'LOD 400 - UTLS'!$B:AK,36,FALSE),"N/A")</f>
        <v>N/A</v>
      </c>
      <c r="GH82" s="84" t="str">
        <f>IFERROR(VLOOKUP($B82,'LOD 400 - UTLS'!$B:AN,39,FALSE),"N/A")</f>
        <v>N/A</v>
      </c>
      <c r="GI82" s="84" t="str">
        <f>IFERROR(VLOOKUP($B82,'LOD 400 - UTLS'!$B:AQ,42,FALSE),"N/A")</f>
        <v>N/A</v>
      </c>
      <c r="GJ82" s="84" t="str">
        <f>IFERROR(VLOOKUP($B82,'LOD 400 - UTLS'!$B:AT,45,FALSE),"N/A")</f>
        <v>N/A</v>
      </c>
      <c r="GK82" s="84" t="str">
        <f>IFERROR(VLOOKUP($B82,'LOD 400 - UTLS'!$B:AW,48,FALSE),"N/A")</f>
        <v>N/A</v>
      </c>
      <c r="GL82" s="84" t="str">
        <f>IFERROR(VLOOKUP($B82,'LOD 400 - UTLS'!$B:AZ,51,FALSE),"N/A")</f>
        <v>N/A</v>
      </c>
      <c r="GM82" s="84" t="str">
        <f>IFERROR(VLOOKUP($B82,'LOD 400 - UTLS'!$B:BC,54,FALSE),"N/A")</f>
        <v>N/A</v>
      </c>
      <c r="GN82" s="84" t="str">
        <f>IFERROR(VLOOKUP($B82,'LOD 400 - UTLS'!$B:BF,57,FALSE),"N/A")</f>
        <v>N/A</v>
      </c>
      <c r="GO82" s="84" t="str">
        <f>IFERROR(VLOOKUP($B82,'LOD 400 - UTLS'!$B:BI,60,FALSE),"N/A")</f>
        <v>N/A</v>
      </c>
      <c r="GP82" s="84" t="str">
        <f>IFERROR(VLOOKUP($B82,'LOD 400 - UTLS'!$B:BL,63,FALSE),"N/A")</f>
        <v>N/A</v>
      </c>
      <c r="GQ82" s="84" t="str">
        <f>IFERROR(VLOOKUP($B82,'LOD 400 - UTLS'!$B:BO,66,FALSE),"N/A")</f>
        <v>N/A</v>
      </c>
      <c r="GR82" s="84" t="str">
        <f>IFERROR(VLOOKUP($B82,'LOD 400 - UTLS'!$B:BR,69,FALSE),"N/A")</f>
        <v>N/A</v>
      </c>
      <c r="GS82" s="85" t="str">
        <f>IFERROR(VLOOKUP($B82,'LOD 400 - UTLS'!$B:BU,72,FALSE),"N/A")</f>
        <v>N/A</v>
      </c>
      <c r="GT82" s="84" t="str">
        <f>IFERROR(VLOOKUP($B82,'LOD 400 - UTLS'!$B:BX,75,FALSE),"N/A")</f>
        <v>N/A</v>
      </c>
      <c r="GU82" s="85" t="str">
        <f>IFERROR(VLOOKUP($B82,'LOD 400 - UTLS'!$B:CA,78,FALSE),"N/A")</f>
        <v>N/A</v>
      </c>
      <c r="GV82" s="84" t="str">
        <f>IFERROR(VLOOKUP($B82,'LOD 400 - UTLS'!$B:CD,81,FALSE),"N/A")</f>
        <v>N/A</v>
      </c>
      <c r="GW82" s="84" t="str">
        <f>IFERROR(VLOOKUP($B82,'LOD 400 - UTLS'!$B:CG,84,FALSE),"N/A")</f>
        <v>N/A</v>
      </c>
      <c r="GX82" s="84" t="str">
        <f>IFERROR(VLOOKUP($B82,'LOD 400 - UTLS'!$B:CJ,87,FALSE),"N/A")</f>
        <v>N/A</v>
      </c>
      <c r="GY82" s="84" t="str">
        <f>IFERROR(VLOOKUP($B82,'LOD 400 - UTLS'!$B:CM,90,FALSE),"N/A")</f>
        <v>N/A</v>
      </c>
      <c r="GZ82" s="84" t="str">
        <f>IFERROR(VLOOKUP($B82,'LOD 400 - UTLS'!$B:CP,93,FALSE),"N/A")</f>
        <v>N/A</v>
      </c>
      <c r="HA82" s="84" t="str">
        <f>IFERROR(VLOOKUP($B82,'LOD 400 - UTLS'!$B:CS,96,FALSE),"N/A")</f>
        <v>N/A</v>
      </c>
      <c r="HB82" s="84" t="str">
        <f>IFERROR(VLOOKUP($B82,'LOD 400 - UTLS'!$B:CV,99,FALSE),"N/A")</f>
        <v>N/A</v>
      </c>
      <c r="HC82" s="84" t="str">
        <f>IFERROR(VLOOKUP($B82,'LOD 400 - UTLS'!$B:CY,102,FALSE),"N/A")</f>
        <v>N/A</v>
      </c>
      <c r="HD82" s="84" t="str">
        <f>IFERROR(VLOOKUP($B82,'LOD 400 - UTLS'!$B:DB,105,FALSE),"N/A")</f>
        <v>N/A</v>
      </c>
      <c r="HE82" s="96" t="str">
        <f>IFERROR(__xludf.DUMMYFUNCTION("IFERROR(
  MAX(FILTER(GA82:HD82, ISNUMBER(GA82:HD82))),
  HD82
)"),"N/A")</f>
        <v>N/A</v>
      </c>
      <c r="HF82" s="99"/>
      <c r="HG82" s="99"/>
      <c r="HH82" s="99"/>
      <c r="HI82" s="99"/>
      <c r="HJ82" s="99"/>
      <c r="HK82" s="99"/>
    </row>
    <row r="83" ht="15.0" hidden="1" customHeight="1">
      <c r="A83" s="53">
        <v>87.0</v>
      </c>
      <c r="B83" s="312" t="s">
        <v>247</v>
      </c>
      <c r="C83" s="313"/>
      <c r="D83" s="314"/>
      <c r="E83" s="314"/>
      <c r="F83" s="314"/>
      <c r="G83" s="315"/>
      <c r="H83" s="314"/>
      <c r="I83" s="314"/>
      <c r="J83" s="316"/>
      <c r="K83" s="317"/>
      <c r="L83" s="318"/>
      <c r="M83" s="314"/>
      <c r="N83" s="319"/>
      <c r="O83" s="320"/>
      <c r="P83" s="321"/>
      <c r="Q83" s="322"/>
      <c r="R83" s="323"/>
      <c r="S83" s="324"/>
      <c r="T83" s="324"/>
      <c r="U83" s="325"/>
      <c r="V83" s="326"/>
      <c r="W83" s="314"/>
      <c r="X83" s="322"/>
      <c r="Y83" s="315"/>
      <c r="Z83" s="315"/>
      <c r="AA83" s="315"/>
      <c r="AB83" s="315"/>
      <c r="AC83" s="315"/>
      <c r="AD83" s="315"/>
      <c r="AE83" s="315"/>
      <c r="AF83" s="315"/>
      <c r="AG83" s="315"/>
      <c r="AH83" s="315"/>
      <c r="AI83" s="315"/>
      <c r="AJ83" s="315"/>
      <c r="AK83" s="315"/>
      <c r="AL83" s="315"/>
      <c r="AM83" s="315"/>
      <c r="AN83" s="315"/>
      <c r="AO83" s="315"/>
      <c r="AP83" s="315"/>
      <c r="AQ83" s="315"/>
      <c r="AR83" s="315"/>
      <c r="AS83" s="315"/>
      <c r="AT83" s="314"/>
      <c r="AU83" s="314"/>
      <c r="AV83" s="322"/>
      <c r="AW83" s="323"/>
      <c r="AX83" s="322"/>
      <c r="AY83" s="323"/>
      <c r="AZ83" s="323"/>
      <c r="BA83" s="323"/>
      <c r="BB83" s="323"/>
      <c r="BC83" s="323"/>
      <c r="BD83" s="323"/>
      <c r="BE83" s="323"/>
      <c r="BF83" s="323"/>
      <c r="BG83" s="327"/>
      <c r="BH83" s="315"/>
      <c r="BI83" s="315"/>
      <c r="BJ83" s="315"/>
      <c r="BK83" s="315"/>
      <c r="BL83" s="315"/>
      <c r="BM83" s="315"/>
      <c r="BN83" s="315"/>
      <c r="BO83" s="315"/>
      <c r="BP83" s="315"/>
      <c r="BQ83" s="315"/>
      <c r="BR83" s="315"/>
      <c r="BS83" s="315"/>
      <c r="BT83" s="315"/>
      <c r="BU83" s="315"/>
      <c r="BV83" s="315"/>
      <c r="BW83" s="315"/>
      <c r="BX83" s="315"/>
      <c r="BY83" s="315"/>
      <c r="BZ83" s="315"/>
      <c r="CA83" s="315"/>
      <c r="CB83" s="315"/>
      <c r="CC83" s="314"/>
      <c r="CD83" s="314"/>
      <c r="CE83" s="322"/>
      <c r="CF83" s="323"/>
      <c r="CG83" s="322"/>
      <c r="CH83" s="323"/>
      <c r="CI83" s="323"/>
      <c r="CJ83" s="323"/>
      <c r="CK83" s="323"/>
      <c r="CL83" s="323"/>
      <c r="CM83" s="323"/>
      <c r="CN83" s="323"/>
      <c r="CO83" s="323"/>
      <c r="CP83" s="327"/>
      <c r="CQ83" s="315"/>
      <c r="CR83" s="315"/>
      <c r="CS83" s="315"/>
      <c r="CT83" s="315"/>
      <c r="CU83" s="315"/>
      <c r="CV83" s="315"/>
      <c r="CW83" s="315"/>
      <c r="CX83" s="315"/>
      <c r="CY83" s="315"/>
      <c r="CZ83" s="315"/>
      <c r="DA83" s="315"/>
      <c r="DB83" s="315"/>
      <c r="DC83" s="315"/>
      <c r="DD83" s="315"/>
      <c r="DE83" s="315"/>
      <c r="DF83" s="315"/>
      <c r="DG83" s="315"/>
      <c r="DH83" s="315"/>
      <c r="DI83" s="315"/>
      <c r="DJ83" s="314"/>
      <c r="DK83" s="314"/>
      <c r="DL83" s="314"/>
      <c r="DM83" s="314"/>
      <c r="DN83" s="322"/>
      <c r="DO83" s="323"/>
      <c r="DP83" s="322"/>
      <c r="DQ83" s="323"/>
      <c r="DR83" s="323"/>
      <c r="DS83" s="323"/>
      <c r="DT83" s="323"/>
      <c r="DU83" s="323"/>
      <c r="DV83" s="323"/>
      <c r="DW83" s="323"/>
      <c r="DX83" s="323"/>
      <c r="DY83" s="314"/>
      <c r="DZ83" s="328"/>
      <c r="EA83" s="325"/>
      <c r="EB83" s="323"/>
      <c r="EC83" s="323"/>
      <c r="ED83" s="323"/>
      <c r="EE83" s="322"/>
      <c r="EF83" s="323"/>
      <c r="EG83" s="314"/>
      <c r="EH83" s="329"/>
      <c r="EI83" s="323"/>
      <c r="EJ83" s="323"/>
      <c r="EK83" s="323"/>
      <c r="EL83" s="323"/>
      <c r="EM83" s="323"/>
      <c r="EN83" s="323"/>
      <c r="EO83" s="323"/>
      <c r="EP83" s="330"/>
      <c r="EQ83" s="323"/>
      <c r="ER83" s="331"/>
      <c r="ES83" s="315"/>
      <c r="ET83" s="314"/>
      <c r="EU83" s="326"/>
      <c r="EV83" s="315"/>
      <c r="EW83" s="315"/>
      <c r="EX83" s="315"/>
      <c r="EY83" s="315"/>
      <c r="EZ83" s="315"/>
      <c r="FA83" s="315"/>
      <c r="FB83" s="315"/>
      <c r="FC83" s="315"/>
      <c r="FD83" s="315"/>
      <c r="FE83" s="315"/>
      <c r="FF83" s="315"/>
      <c r="FG83" s="315"/>
      <c r="FH83" s="315"/>
      <c r="FI83" s="315"/>
      <c r="FJ83" s="315"/>
      <c r="FK83" s="315"/>
      <c r="FL83" s="315"/>
      <c r="FM83" s="315"/>
      <c r="FN83" s="314"/>
      <c r="FO83" s="322"/>
      <c r="FP83" s="323"/>
      <c r="FQ83" s="322"/>
      <c r="FR83" s="323"/>
      <c r="FS83" s="323"/>
      <c r="FT83" s="323"/>
      <c r="FU83" s="323"/>
      <c r="FV83" s="323"/>
      <c r="FW83" s="323"/>
      <c r="FX83" s="323"/>
      <c r="FY83" s="323"/>
      <c r="FZ83" s="332"/>
      <c r="GA83" s="315"/>
      <c r="GB83" s="315"/>
      <c r="GC83" s="315"/>
      <c r="GD83" s="315"/>
      <c r="GE83" s="315"/>
      <c r="GF83" s="315"/>
      <c r="GG83" s="315"/>
      <c r="GH83" s="315"/>
      <c r="GI83" s="315"/>
      <c r="GJ83" s="315"/>
      <c r="GK83" s="315"/>
      <c r="GL83" s="315"/>
      <c r="GM83" s="315"/>
      <c r="GN83" s="315"/>
      <c r="GO83" s="315"/>
      <c r="GP83" s="315"/>
      <c r="GQ83" s="323"/>
      <c r="GR83" s="323"/>
      <c r="GS83" s="323"/>
      <c r="GT83" s="322"/>
      <c r="GU83" s="323"/>
      <c r="GV83" s="322"/>
      <c r="GW83" s="323"/>
      <c r="GX83" s="323"/>
      <c r="GY83" s="323"/>
      <c r="GZ83" s="323"/>
      <c r="HA83" s="323"/>
      <c r="HB83" s="323"/>
      <c r="HC83" s="323"/>
      <c r="HD83" s="323"/>
      <c r="HE83" s="331"/>
      <c r="HF83" s="99"/>
      <c r="HG83" s="99"/>
      <c r="HH83" s="99"/>
      <c r="HI83" s="99"/>
      <c r="HJ83" s="99"/>
      <c r="HK83" s="99"/>
    </row>
    <row r="84" ht="15.0" customHeight="1" outlineLevel="1">
      <c r="A84" s="53">
        <v>88.0</v>
      </c>
      <c r="B84" s="100" t="s">
        <v>248</v>
      </c>
      <c r="C84" s="100" t="s">
        <v>249</v>
      </c>
      <c r="D84" s="64" t="str">
        <f>MID(B84,17,4)</f>
        <v>SITE</v>
      </c>
      <c r="E84" s="111" t="s">
        <v>250</v>
      </c>
      <c r="F84" s="115">
        <v>0.0</v>
      </c>
      <c r="G84" s="103" t="s">
        <v>105</v>
      </c>
      <c r="H84" s="116">
        <v>0.0</v>
      </c>
      <c r="I84" s="68" t="str">
        <f>IFERROR(VLOOKUP($C81:C108,'R22 RELATÓRIO ACC'!B:F,5,FALSE),"NOT PUBLISHED")</f>
        <v>NOT PUBLISHED</v>
      </c>
      <c r="J84" s="69" t="str">
        <f>IFERROR(VLOOKUP($C81:C108,'R22 RELATÓRIO ACC'!B:P,15,FALSE),"NOT PUBLISHED")</f>
        <v>NOT PUBLISHED</v>
      </c>
      <c r="K84" s="70" t="str">
        <f>IFERROR(VLOOKUP($B81:B108,'RELATÓRIO ACC'!B:F,5,FALSE),"NOT PUBLISHED")</f>
        <v>NOT PUBLISHED</v>
      </c>
      <c r="L84" s="71" t="str">
        <f>IFERROR(VLOOKUP($B81:B108,'RELATÓRIO ACC'!B:P,15,FALSE),"NOT PUBLISHED")</f>
        <v>NOT PUBLISHED</v>
      </c>
      <c r="M84" s="72" t="str">
        <f>IF(OR($D84="UTLS",$D84="GUAR",$D84="STIR",$D84="PUMP",$D84="SITE"),
   VLOOKUP($B84,'LOD 400 - SITE'!B:M,12,FALSE),
   VLOOKUP($B84,'LOD 400 - ADMN'!B:M,12,FALSE)
)</f>
        <v>NOT PUBLISHED</v>
      </c>
      <c r="N84" s="105" t="str">
        <f>IF(OR($D84="UTLS",$D84="GUAR",$D84="STIR",$D84="PUMP",$D84="SITE"),
   VLOOKUP($B84,'LOD 400 - SITE'!B:N,13,FALSE),
   VLOOKUP($B84,'LOD 400 - ADMN'!B:N,13,FALSE)
)</f>
        <v>NOT PUBLISHED</v>
      </c>
      <c r="O84" s="106" t="str">
        <f>IF(OR($D84="UTLS",$D84="GUAR",$D84="STIR",$D84="PUMP",$D84="SITE"),
   VLOOKUP($B84,'LOD 400 - SITE'!B:O,14,FALSE),
   VLOOKUP($B84,'LOD 400 - ADMN'!B:O,14,FALSE)
)</f>
        <v>NOT PUBLISHED</v>
      </c>
      <c r="P84" s="107" t="str">
        <f>IF(OR($D84="C345",$D84="C12A",$D84="DATA"),
   VLOOKUP($B84,'LOD 400 - COLO3'!B:M,12,FALSE),"N/A")</f>
        <v>N/A</v>
      </c>
      <c r="Q84" s="108" t="str">
        <f>IF(OR($D84="C345",$D84="C12A",$D84="DATA"),
   VLOOKUP($B84,'LOD 400 - COLO3'!B:N,13,FALSE),"N/A")</f>
        <v>N/A</v>
      </c>
      <c r="R84" s="75" t="str">
        <f>IF(OR($D84="C345",$D84="C12A",$D84="DATA"),
   VLOOKUP($B84,'LOD 400 - COLO3'!B:O,14,FALSE),"N/A")</f>
        <v>N/A</v>
      </c>
      <c r="S84" s="113" t="str">
        <f>IFERROR(VLOOKUP($B83:J108,'RELATÓRIO ACC'!J:N,5,FALSE),"NOT PUBLISHED")</f>
        <v>NOT PUBLISHED</v>
      </c>
      <c r="T84" s="113" t="str">
        <f>IFERROR(VLOOKUP($B83:K108,'RELATÓRIO ACC'!K:O,5,FALSE),"NOT PUBLISHED")</f>
        <v>NOT PUBLISHED</v>
      </c>
      <c r="U84" s="70" t="str">
        <f>IFERROR(VLOOKUP($B83:L108,'RELATÓRIO ACC'!L:P,5,FALSE),"NOT PUBLISHED")</f>
        <v>NOT PUBLISHED</v>
      </c>
      <c r="V84" s="77" t="str">
        <f>IF(OR($D84="UTLS",$D84="GUAR",$D84="STIR",$D84="PUMP",$D84="SITE"),
   VLOOKUP($B84,'LOD 400 - UTLS'!B:M,12,FALSE),"N/A")</f>
        <v>NOT PUBLISHED</v>
      </c>
      <c r="W84" s="78" t="str">
        <f>IF(OR($D84="UTLS",$D84="GUAR",$D84="STIR",$D84="PUMP",$D84="SITE"),
   VLOOKUP($B84,'LOD 400 - UTLS'!B:N,13,FALSE),"N/A")</f>
        <v>NOT PUBLISHED</v>
      </c>
      <c r="X84" s="108" t="str">
        <f>IF(OR($D84="UTLS",$D84="GUAR",$D84="STIR",$D84="PUMP",$D84="SITE"),
   VLOOKUP($B84,'LOD 400 - UTLS'!B:O,14,FALSE),"N/A")</f>
        <v>NOT PUBLISHED</v>
      </c>
      <c r="Y84" s="79" t="str">
        <f>IFERROR(VLOOKUP($B84,'LOD 400 - ADMN'!B:S,18,FALSE),"N/A")</f>
        <v>N/A</v>
      </c>
      <c r="Z84" s="79" t="str">
        <f>IFERROR(VLOOKUP($B84,'LOD 400 - ADMN'!B:V,21,FALSE),"N/A")</f>
        <v>N/A</v>
      </c>
      <c r="AA84" s="79" t="str">
        <f>IFERROR(VLOOKUP($B84,'LOD 400 - ADMN'!$B:Y,24,FALSE),"N/A")</f>
        <v>N/A</v>
      </c>
      <c r="AB84" s="80" t="str">
        <f>IFERROR(VLOOKUP($B84,'LOD 400 - ADMN'!$B:AB,27,FALSE),"N/A")</f>
        <v>N/A</v>
      </c>
      <c r="AC84" s="81" t="str">
        <f>IFERROR(VLOOKUP($B84,'LOD 400 - ADMN'!$B:AE,30,FALSE),"N/A")</f>
        <v>N/A</v>
      </c>
      <c r="AD84" s="81" t="str">
        <f>IFERROR(VLOOKUP($B84,'LOD 400 - ADMN'!$B:AH,33,FALSE),"N/A")</f>
        <v>N/A</v>
      </c>
      <c r="AE84" s="80" t="str">
        <f>IFERROR(VLOOKUP($B84,'LOD 400 - ADMN'!$B:AK,36,FALSE),"N/A")</f>
        <v>N/A</v>
      </c>
      <c r="AF84" s="82" t="str">
        <f>IFERROR(VLOOKUP($B84,'LOD 400 - ADMN'!$B:AN,39,FALSE),"N/A")</f>
        <v>N/A</v>
      </c>
      <c r="AG84" s="83" t="str">
        <f>IFERROR(VLOOKUP($B84,'LOD 400 - ADMN'!$B:AQ,42,FALSE),"N/A")</f>
        <v>N/A</v>
      </c>
      <c r="AH84" s="84" t="str">
        <f>IFERROR(VLOOKUP($B84,'LOD 400 - ADMN'!$B:AT,45,FALSE),"N/A")</f>
        <v>N/A</v>
      </c>
      <c r="AI84" s="85" t="str">
        <f>IFERROR(VLOOKUP($B84,'LOD 400 - ADMN'!$B:AW,48,FALSE),"N/A")</f>
        <v>N/A</v>
      </c>
      <c r="AJ84" s="85" t="str">
        <f>IFERROR(VLOOKUP($B84,'LOD 400 - ADMN'!$B:AZ,51,FALSE),"N/A")</f>
        <v>N/A</v>
      </c>
      <c r="AK84" s="84" t="str">
        <f>IFERROR(VLOOKUP($B84,'LOD 400 - ADMN'!$B:BC,54,FALSE),"N/A")</f>
        <v>N/A</v>
      </c>
      <c r="AL84" s="84" t="str">
        <f>IFERROR(VLOOKUP($B84,'LOD 400 - ADMN'!$B:BF,57,FALSE),"N/A")</f>
        <v>N/A</v>
      </c>
      <c r="AM84" s="84" t="str">
        <f>IFERROR(VLOOKUP($B84,'LOD 400 - ADMN'!$B:BI,60,FALSE),"N/A")</f>
        <v>N/A</v>
      </c>
      <c r="AN84" s="84" t="str">
        <f>IFERROR(VLOOKUP($B84,'LOD 400 - ADMN'!$B:BL,63,FALSE),"N/A")</f>
        <v>N/A</v>
      </c>
      <c r="AO84" s="84" t="str">
        <f>IFERROR(VLOOKUP($B84,'LOD 400 - ADMN'!$B:BO,66,FALSE),"N/A")</f>
        <v>N/A</v>
      </c>
      <c r="AP84" s="84" t="str">
        <f>IFERROR(VLOOKUP($B84,'LOD 400 - ADMN'!$B:BR,69,FALSE),"N/A")</f>
        <v>N/A</v>
      </c>
      <c r="AQ84" s="84" t="str">
        <f>IFERROR(VLOOKUP($B84,'LOD 400 - ADMN'!$B:BU,72,FALSE),"N/A")</f>
        <v>N/A</v>
      </c>
      <c r="AR84" s="84" t="str">
        <f>IFERROR(VLOOKUP($B84,'LOD 400 - ADMN'!$B:BX,75,FALSE),"N/A")</f>
        <v>N/A</v>
      </c>
      <c r="AS84" s="84" t="str">
        <f>IFERROR(VLOOKUP($B84,'LOD 400 - ADMN'!$B:CA,78,FALSE),"N/A")</f>
        <v>N/A</v>
      </c>
      <c r="AT84" s="84" t="str">
        <f>IFERROR(VLOOKUP($B84,'LOD 400 - ADMN'!$B:CD,81,FALSE),"N/A")</f>
        <v>N/A</v>
      </c>
      <c r="AU84" s="85" t="str">
        <f>IFERROR(VLOOKUP($B84,'LOD 400 - ADMN'!$B:CG,84,FALSE),"N/A")</f>
        <v>N/A</v>
      </c>
      <c r="AV84" s="84" t="str">
        <f>IFERROR(VLOOKUP($B84,'LOD 400 - ADMN'!$B:CJ,87,FALSE),"N/A")</f>
        <v>N/A</v>
      </c>
      <c r="AW84" s="85" t="str">
        <f>IFERROR(VLOOKUP($B84,'LOD 400 - ADMN'!$B:CM,90,FALSE),"N/A")</f>
        <v>N/A</v>
      </c>
      <c r="AX84" s="84" t="str">
        <f>IFERROR(VLOOKUP($B84,'LOD 400 - ADMN'!$B:CP,93,FALSE),"N/A")</f>
        <v>N/A</v>
      </c>
      <c r="AY84" s="84" t="str">
        <f>IFERROR(VLOOKUP($B84,'LOD 400 - ADMN'!$B:CS,96,FALSE),"N/A")</f>
        <v>N/A</v>
      </c>
      <c r="AZ84" s="84" t="str">
        <f>IFERROR(VLOOKUP($B84,'LOD 400 - ADMN'!$B:CV,99,FALSE),"N/A")</f>
        <v>N/A</v>
      </c>
      <c r="BA84" s="84" t="str">
        <f>IFERROR(VLOOKUP($B84,'LOD 400 - ADMN'!$B:CY,102,FALSE),"N/A")</f>
        <v>N/A</v>
      </c>
      <c r="BB84" s="84" t="str">
        <f>IFERROR(VLOOKUP($B84,'LOD 400 - ADMN'!$B:DB,105,FALSE),"N/A")</f>
        <v>N/A</v>
      </c>
      <c r="BC84" s="84" t="str">
        <f>IFERROR(VLOOKUP($B84,'LOD 400 - ADMN'!$B:DE,108,FALSE),"N/A")</f>
        <v>N/A</v>
      </c>
      <c r="BD84" s="84" t="str">
        <f>IFERROR(VLOOKUP($B84,'LOD 400 - ADMN'!$B:DH,111,FALSE),"N/A")</f>
        <v>N/A</v>
      </c>
      <c r="BE84" s="84" t="str">
        <f>IFERROR(VLOOKUP($B84,'LOD 400 - ADMN'!$B:DK,114,FALSE),"N/A")</f>
        <v>N/A</v>
      </c>
      <c r="BF84" s="84" t="str">
        <f>IFERROR(VLOOKUP($B84,'LOD 400 - ADMN'!$B:DN,117,FALSE),"N/A")</f>
        <v>N/A</v>
      </c>
      <c r="BG84" s="86" t="str">
        <f>IFERROR(__xludf.DUMMYFUNCTION("IFERROR(
  MAX(FILTER(Y84:BF84, ISNUMBER(Y84:BF84))),
  BF84
)"),"N/A")</f>
        <v>N/A</v>
      </c>
      <c r="BH84" s="79" t="str">
        <f>IFERROR(VLOOKUP($B84,'LOD 400 - COLO1'!B:S,18,FALSE),"N/A")</f>
        <v>N/A</v>
      </c>
      <c r="BI84" s="79" t="str">
        <f>IFERROR(VLOOKUP($B84,'LOD 400 - COLO1'!B:V,21,FALSE),"N/A")</f>
        <v>N/A</v>
      </c>
      <c r="BJ84" s="79" t="str">
        <f>IFERROR(VLOOKUP($B84,'LOD 400 - COLO1'!$B:Y,24,FALSE),"N/A")</f>
        <v>N/A</v>
      </c>
      <c r="BK84" s="87" t="str">
        <f>IFERROR(VLOOKUP($B84,'LOD 400 - COLO1'!$B:AB,27,FALSE),"N/A")</f>
        <v>N/A</v>
      </c>
      <c r="BL84" s="80" t="str">
        <f>IFERROR(VLOOKUP($B84,'LOD 400 - COLO1'!$B:AE,30,FALSE),"N/A")</f>
        <v>N/A</v>
      </c>
      <c r="BM84" s="81" t="str">
        <f>IFERROR(VLOOKUP($B84,'LOD 400 - COLO1'!$B:AH,33,FALSE),"N/A")</f>
        <v>N/A</v>
      </c>
      <c r="BN84" s="87" t="str">
        <f>IFERROR(VLOOKUP($B84,'LOD 400 - COLO1'!$B:AK,36,FALSE),"N/A")</f>
        <v>N/A</v>
      </c>
      <c r="BO84" s="83" t="str">
        <f>IFERROR(VLOOKUP($B84,'LOD 400 - COLO1'!$B:AN,39,FALSE),"N/A")</f>
        <v>N/A</v>
      </c>
      <c r="BP84" s="88" t="str">
        <f>IFERROR(VLOOKUP($B84,'LOD 400 - COLO1'!$B:AQ,42,FALSE),"N/A")</f>
        <v>N/A</v>
      </c>
      <c r="BQ84" s="84" t="str">
        <f>IFERROR(VLOOKUP($B84,'LOD 400 - COLO1'!$B:AT,45,FALSE),"N/A")</f>
        <v>N/A</v>
      </c>
      <c r="BR84" s="85" t="str">
        <f>IFERROR(VLOOKUP($B84,'LOD 400 - COLO1'!$B:AW,48,FALSE),"N/A")</f>
        <v>N/A</v>
      </c>
      <c r="BS84" s="84" t="str">
        <f>IFERROR(VLOOKUP($B84,'LOD 400 - COLO1'!$B:AZ,51,FALSE),"N/A")</f>
        <v>N/A</v>
      </c>
      <c r="BT84" s="84" t="str">
        <f>IFERROR(VLOOKUP($B84,'LOD 400 - COLO1'!$B:BC,54,FALSE),"N/A")</f>
        <v>N/A</v>
      </c>
      <c r="BU84" s="84" t="str">
        <f>IFERROR(VLOOKUP($B84,'LOD 400 - COLO1'!$B:BF,57,FALSE),"N/A")</f>
        <v>N/A</v>
      </c>
      <c r="BV84" s="84" t="str">
        <f>IFERROR(VLOOKUP($B84,'LOD 400 - COLO1'!$B:BI,60,FALSE),"N/A")</f>
        <v>N/A</v>
      </c>
      <c r="BW84" s="84" t="str">
        <f>IFERROR(VLOOKUP($B84,'LOD 400 - COLO1'!$B:BL,63,FALSE),"N/A")</f>
        <v>N/A</v>
      </c>
      <c r="BX84" s="84" t="str">
        <f>IFERROR(VLOOKUP($B84,'LOD 400 - COLO1'!$B:BO,66,FALSE),"N/A")</f>
        <v>N/A</v>
      </c>
      <c r="BY84" s="84" t="str">
        <f>IFERROR(VLOOKUP($B84,'LOD 400 - COLO1'!$B:BR,69,FALSE),"N/A")</f>
        <v>N/A</v>
      </c>
      <c r="BZ84" s="84" t="str">
        <f>IFERROR(VLOOKUP($B84,'LOD 400 - COLO1'!$B:BU,72,FALSE),"N/A")</f>
        <v>N/A</v>
      </c>
      <c r="CA84" s="84" t="str">
        <f>IFERROR(VLOOKUP($B84,'LOD 400 - COLO1'!$B:BX,75,FALSE),"N/A")</f>
        <v>N/A</v>
      </c>
      <c r="CB84" s="84" t="str">
        <f>IFERROR(VLOOKUP($B84,'LOD 400 - COLO1'!$B:CA,78,FALSE),"N/A")</f>
        <v>N/A</v>
      </c>
      <c r="CC84" s="84" t="str">
        <f>IFERROR(VLOOKUP($B84,'LOD 400 - COLO1'!$B:CD,81,FALSE),"N/A")</f>
        <v>N/A</v>
      </c>
      <c r="CD84" s="85" t="str">
        <f>IFERROR(VLOOKUP($B84,'LOD 400 - COLO1'!$B:CG,84,FALSE),"N/A")</f>
        <v>N/A</v>
      </c>
      <c r="CE84" s="84" t="str">
        <f>IFERROR(VLOOKUP($B84,'LOD 400 - COLO1'!$B:CJ,87,FALSE),"N/A")</f>
        <v>N/A</v>
      </c>
      <c r="CF84" s="85" t="str">
        <f>IFERROR(VLOOKUP($B84,'LOD 400 - COLO1'!$B:CM,90,FALSE),"N/A")</f>
        <v>N/A</v>
      </c>
      <c r="CG84" s="84" t="str">
        <f>IFERROR(VLOOKUP($B84,'LOD 400 - COLO1'!$B:CP,93,FALSE),"N/A")</f>
        <v>N/A</v>
      </c>
      <c r="CH84" s="84" t="str">
        <f>IFERROR(VLOOKUP($B84,'LOD 400 - COLO1'!$B:CS,96,FALSE),"N/A")</f>
        <v>N/A</v>
      </c>
      <c r="CI84" s="84" t="str">
        <f>IFERROR(VLOOKUP($B84,'LOD 400 - COLO1'!$B:CV,99,FALSE),"N/A")</f>
        <v>N/A</v>
      </c>
      <c r="CJ84" s="84" t="str">
        <f>IFERROR(VLOOKUP($B84,'LOD 400 - COLO1'!$B:CY,102,FALSE),"N/A")</f>
        <v>N/A</v>
      </c>
      <c r="CK84" s="84" t="str">
        <f>IFERROR(VLOOKUP($B84,'LOD 400 - COLO1'!$B:DB,105,FALSE),"N/A")</f>
        <v>N/A</v>
      </c>
      <c r="CL84" s="84" t="str">
        <f>IFERROR(VLOOKUP($B84,'LOD 400 - COLO1'!$B:DE,108,FALSE),"N/A")</f>
        <v>N/A</v>
      </c>
      <c r="CM84" s="84" t="str">
        <f>IFERROR(VLOOKUP($B84,'LOD 400 - COLO1'!$B:DH,111,FALSE),"N/A")</f>
        <v>N/A</v>
      </c>
      <c r="CN84" s="84" t="str">
        <f>IFERROR(VLOOKUP($B84,'LOD 400 - COLO1'!$B:DK,114,FALSE),"N/A")</f>
        <v>N/A</v>
      </c>
      <c r="CO84" s="84" t="str">
        <f>IFERROR(VLOOKUP($B84,'LOD 400 - COLO1'!$B:DN,117,FALSE),"N/A")</f>
        <v>N/A</v>
      </c>
      <c r="CP84" s="86" t="str">
        <f>IFERROR(__xludf.DUMMYFUNCTION("IFERROR(
  MAX(FILTER(BH84:CO84, ISNUMBER(BH84:CO84))),
  CO84
)"),"N/A")</f>
        <v>N/A</v>
      </c>
      <c r="CQ84" s="89" t="str">
        <f>IFERROR(VLOOKUP($B84,'LOD 400 - COLO2'!B:S,18,FALSE),"N/A")</f>
        <v>N/A</v>
      </c>
      <c r="CR84" s="79" t="str">
        <f>IFERROR(VLOOKUP($B84,'LOD 400 - COLO2'!B:V,21,FALSE),"N/A")</f>
        <v>N/A</v>
      </c>
      <c r="CS84" s="79" t="str">
        <f>IFERROR(VLOOKUP($B84,'LOD 400 - COLO2'!$B:Y,24,FALSE),"N/A")</f>
        <v>N/A</v>
      </c>
      <c r="CT84" s="80" t="str">
        <f>IFERROR(VLOOKUP($B84,'LOD 400 - COLO2'!$B:DQ,27,FALSE),"N/A")</f>
        <v>N/A</v>
      </c>
      <c r="CU84" s="90" t="str">
        <f>IFERROR(VLOOKUP($B84,'LOD 400 - COLO2'!$B:AE,30,FALSE),"N/A")</f>
        <v>N/A</v>
      </c>
      <c r="CV84" s="81" t="str">
        <f>IFERROR(VLOOKUP($B84,'LOD 400 - COLO2'!$B:AH,33,FALSE),"N/A")</f>
        <v>N/A</v>
      </c>
      <c r="CW84" s="90" t="str">
        <f>IFERROR(VLOOKUP($B84,'LOD 400 - COLO2'!$B:AK,36,FALSE),"N/A")</f>
        <v>N/A</v>
      </c>
      <c r="CX84" s="85" t="str">
        <f>IFERROR(VLOOKUP($B84,'LOD 400 - COLO2'!$B:AN,39,FALSE),"N/A")</f>
        <v>N/A</v>
      </c>
      <c r="CY84" s="88" t="str">
        <f>IFERROR(VLOOKUP($B84,'LOD 400 - COLO2'!$B:AQ,42,FALSE),"N/A")</f>
        <v>N/A</v>
      </c>
      <c r="CZ84" s="84" t="str">
        <f>IFERROR(VLOOKUP($B84,'LOD 400 - COLO2'!$B:AT,45,FALSE),"N/A")</f>
        <v>N/A</v>
      </c>
      <c r="DA84" s="85" t="str">
        <f>IFERROR(VLOOKUP($B84,'LOD 400 - COLO2'!$B:AW,48,FALSE),"N/A")</f>
        <v>N/A</v>
      </c>
      <c r="DB84" s="84" t="str">
        <f>IFERROR(VLOOKUP($B84,'LOD 400 - COLO2'!$B:AZ,51,FALSE),"N/A")</f>
        <v>N/A</v>
      </c>
      <c r="DC84" s="84" t="str">
        <f>IFERROR(VLOOKUP($B84,'LOD 400 - COLO2'!$B:BC,54,FALSE),"N/A")</f>
        <v>N/A</v>
      </c>
      <c r="DD84" s="84" t="str">
        <f>IFERROR(VLOOKUP($B84,'LOD 400 - COLO2'!$B:BF,57,FALSE),"N/A")</f>
        <v>N/A</v>
      </c>
      <c r="DE84" s="84" t="str">
        <f>IFERROR(VLOOKUP($B84,'LOD 400 - COLO2'!$B:BI,60,FALSE),"N/A")</f>
        <v>N/A</v>
      </c>
      <c r="DF84" s="84" t="str">
        <f>IFERROR(VLOOKUP($B84,'LOD 400 - COLO2'!$B:BL,63,FALSE),"N/A")</f>
        <v>N/A</v>
      </c>
      <c r="DG84" s="84" t="str">
        <f>IFERROR(VLOOKUP($B84,'LOD 400 - COLO2'!$B:BO,66,FALSE),"N/A")</f>
        <v>N/A</v>
      </c>
      <c r="DH84" s="84" t="str">
        <f>IFERROR(VLOOKUP($B84,'LOD 400 - COLO2'!$B:BR,69,FALSE),"N/A")</f>
        <v>N/A</v>
      </c>
      <c r="DI84" s="84" t="str">
        <f>IFERROR(VLOOKUP($B84,'LOD 400 - COLO2'!$B:BU,72,FALSE),"N/A")</f>
        <v>N/A</v>
      </c>
      <c r="DJ84" s="84" t="str">
        <f>IFERROR(VLOOKUP($B84,'LOD 400 - COLO2'!$B:BX,75,FALSE),"N/A")</f>
        <v>N/A</v>
      </c>
      <c r="DK84" s="84" t="str">
        <f>IFERROR(VLOOKUP($B84,'LOD 400 - COLO2'!$B:CA,78,FALSE),"N/A")</f>
        <v>N/A</v>
      </c>
      <c r="DL84" s="84" t="str">
        <f>IFERROR(VLOOKUP($B84,'LOD 400 - COLO2'!$B:CD,81,FALSE),"N/A")</f>
        <v>N/A</v>
      </c>
      <c r="DM84" s="85" t="str">
        <f>IFERROR(VLOOKUP($B84,'LOD 400 - COLO2'!$B:CG,84,FALSE),"N/A")</f>
        <v>N/A</v>
      </c>
      <c r="DN84" s="84" t="str">
        <f>IFERROR(VLOOKUP($B84,'LOD 400 - COLO2'!$B:CJ,87,FALSE),"N/A")</f>
        <v>N/A</v>
      </c>
      <c r="DO84" s="85" t="str">
        <f>IFERROR(VLOOKUP($B84,'LOD 400 - COLO2'!$B:CM,90,FALSE),"N/A")</f>
        <v>N/A</v>
      </c>
      <c r="DP84" s="84" t="str">
        <f>IFERROR(VLOOKUP($B84,'LOD 400 - COLO2'!$B:CP,93,FALSE),"N/A")</f>
        <v>N/A</v>
      </c>
      <c r="DQ84" s="84" t="str">
        <f>IFERROR(VLOOKUP($B84,'LOD 400 - COLO2'!$B:CS,96,FALSE),"N/A")</f>
        <v>N/A</v>
      </c>
      <c r="DR84" s="84" t="str">
        <f>IFERROR(VLOOKUP($B84,'LOD 400 - COLO2'!$B:CV,99,FALSE),"N/A")</f>
        <v>N/A</v>
      </c>
      <c r="DS84" s="84" t="str">
        <f>IFERROR(VLOOKUP($B84,'LOD 400 - COLO2'!$B:CY,102,FALSE),"N/A")</f>
        <v>N/A</v>
      </c>
      <c r="DT84" s="84" t="str">
        <f>IFERROR(VLOOKUP($B84,'LOD 400 - COLO2'!$B:DB,105,FALSE),"N/A")</f>
        <v>N/A</v>
      </c>
      <c r="DU84" s="84" t="str">
        <f>IFERROR(VLOOKUP($B84,'LOD 400 - COLO2'!$B:DE,108,FALSE),"N/A")</f>
        <v>N/A</v>
      </c>
      <c r="DV84" s="84" t="str">
        <f>IFERROR(VLOOKUP($B84,'LOD 400 - COLO2'!$B:DH,111,FALSE),"N/A")</f>
        <v>N/A</v>
      </c>
      <c r="DW84" s="84" t="str">
        <f>IFERROR(VLOOKUP($B84,'LOD 400 - COLO2'!$B:DK,114,FALSE),"N/A")</f>
        <v>N/A</v>
      </c>
      <c r="DX84" s="84" t="str">
        <f>IFERROR(VLOOKUP($B84,'LOD 400 - COLO2'!$B:DN,117,FALSE),"N/A")</f>
        <v>N/A</v>
      </c>
      <c r="DY84" s="91" t="str">
        <f>IFERROR(__xludf.DUMMYFUNCTION("IFERROR(
  MAX(FILTER(CQ84:DW84, ISNUMBER(CQ84:DW84))),
  DW84
)"),"N/A")</f>
        <v>N/A</v>
      </c>
      <c r="DZ84" s="92" t="str">
        <f>IFERROR(VLOOKUP($B84,'LOD 400 - COLO3'!B:S,18,FALSE),"N/A")</f>
        <v>N/A</v>
      </c>
      <c r="EA84" s="84" t="str">
        <f>IFERROR(VLOOKUP($B84,'LOD 400 - COLO3'!B:V,21,FALSE),"N/A")</f>
        <v>N/A</v>
      </c>
      <c r="EB84" s="84" t="str">
        <f>IFERROR(VLOOKUP($B84,'LOD 400 - COLO3'!B:Y,24,FALSE),"N/A")</f>
        <v>N/A</v>
      </c>
      <c r="EC84" s="84" t="str">
        <f>IFERROR(VLOOKUP($B84,'LOD 400 - COLO3'!B:AB,27,FALSE),"N/A")</f>
        <v>N/A</v>
      </c>
      <c r="ED84" s="85" t="str">
        <f>IFERROR(VLOOKUP($B84,'LOD 400 - COLO3'!B:AE,30,FALSE),"N/A")</f>
        <v>N/A</v>
      </c>
      <c r="EE84" s="84" t="str">
        <f>IFERROR(VLOOKUP($B84,'LOD 400 - COLO3'!B:AH,33,FALSE),"N/A")</f>
        <v>N/A</v>
      </c>
      <c r="EF84" s="84" t="str">
        <f>IFERROR(VLOOKUP($B84,'LOD 400 - COLO3'!B:AK,36,FALSE),"N/A")</f>
        <v>N/A</v>
      </c>
      <c r="EG84" s="109" t="str">
        <f>IFERROR(VLOOKUP($B84,'LOD 400 - COLO3'!B:AN,39,FALSE),"N/A")</f>
        <v>N/A</v>
      </c>
      <c r="EH84" s="94" t="str">
        <f>IFERROR(VLOOKUP($B84,'LOD 400 - COLO3'!B:AQ,42,FALSE),"N/A")</f>
        <v>N/A</v>
      </c>
      <c r="EI84" s="94" t="str">
        <f>IFERROR(VLOOKUP($B84,'LOD 400 - COLO3'!B:AT,45,FALSE),"N/A")</f>
        <v>N/A</v>
      </c>
      <c r="EJ84" s="94" t="str">
        <f>IFERROR(VLOOKUP($B84,'LOD 400 - COLO3'!B:AW,48,FALSE),"N/A")</f>
        <v>N/A</v>
      </c>
      <c r="EK84" s="94" t="str">
        <f>IFERROR(VLOOKUP($B84,'LOD 400 - COLO3'!B:AZ,51,FALSE),"N/A")</f>
        <v>N/A</v>
      </c>
      <c r="EL84" s="94" t="str">
        <f>IFERROR(VLOOKUP($B84,'LOD 400 - COLO3'!B:BC,54,FALSE),"N/A")</f>
        <v>N/A</v>
      </c>
      <c r="EM84" s="94" t="str">
        <f>IFERROR(VLOOKUP($B84,'LOD 400 - COLO3'!B:BF,57,FALSE),"N/A")</f>
        <v>N/A</v>
      </c>
      <c r="EN84" s="94" t="str">
        <f>IFERROR(VLOOKUP($B84,'LOD 400 - COLO3'!B:BI,60,FALSE),"N/A")</f>
        <v>N/A</v>
      </c>
      <c r="EO84" s="94" t="str">
        <f>IFERROR(VLOOKUP($B84,'LOD 400 - COLO3'!B:BL,63,FALSE),"N/A")</f>
        <v>N/A</v>
      </c>
      <c r="EP84" s="86" t="str">
        <f>IFERROR(__xludf.DUMMYFUNCTION("IFERROR(
  MAX(FILTER(DZ84:EO84, ISNUMBER(DZ84:EO84))),
  EO84
)"),"N/A")</f>
        <v>N/A</v>
      </c>
      <c r="EQ84" s="95" t="str">
        <f>IFERROR(VLOOKUP($B84,'LOD 400 - COLO4'!B:S,18,FALSE),"N/A")</f>
        <v>N/A</v>
      </c>
      <c r="ER84" s="96" t="str">
        <f>IFERROR(__xludf.DUMMYFUNCTION("IFERROR(
  MAX(FILTER(EQ84, ISNUMBER(EQ84))),
  EQ84
)"),"N/A")</f>
        <v>N/A</v>
      </c>
      <c r="ES84" s="79" t="str">
        <f>IFERROR(VLOOKUP($B84,'LOD 400 - SITE'!B:S,18,FALSE),"N/A")</f>
        <v>NOT PUBLISHED</v>
      </c>
      <c r="ET84" s="80" t="str">
        <f>IFERROR(VLOOKUP($B84,'LOD 400 - SITE'!B:V,21,FALSE),"N/A")</f>
        <v>NOT PUBLISHED</v>
      </c>
      <c r="EU84" s="97" t="str">
        <f>IFERROR(VLOOKUP($B84,'LOD 400 - SITE'!$B:Y,24,FALSE),"N/A")</f>
        <v>NOT PUBLISHED</v>
      </c>
      <c r="EV84" s="80" t="str">
        <f>IFERROR(VLOOKUP($B84,'LOD 400 - SITE'!$B:AB,27,FALSE),"N/A")</f>
        <v>NOT PUBLISHED</v>
      </c>
      <c r="EW84" s="81" t="str">
        <f>IFERROR(VLOOKUP($B84,'LOD 400 - SITE'!$B:AE,30,FALSE),"N/A")</f>
        <v>NOT PUBLISHED</v>
      </c>
      <c r="EX84" s="87" t="str">
        <f>IFERROR(VLOOKUP($B84,'LOD 400 - SITE'!$B:AH,33,FALSE),"N/A")</f>
        <v>NOT PUBLISHED</v>
      </c>
      <c r="EY84" s="87" t="str">
        <f>IFERROR(VLOOKUP($B84,'LOD 400 - SITE'!$B:AK,36,FALSE),"N/A")</f>
        <v>NOT PUBLISHED</v>
      </c>
      <c r="EZ84" s="80" t="str">
        <f>IFERROR(VLOOKUP($B84,'LOD 400 - SITE'!$B:AN,39,FALSE),"N/A")</f>
        <v>NOT PUBLISHED</v>
      </c>
      <c r="FA84" s="82" t="str">
        <f>IFERROR(VLOOKUP($B84,'LOD 400 - SITE'!$B:AQ,42,FALSE),"N/A")</f>
        <v>NOT PUBLISHED</v>
      </c>
      <c r="FB84" s="88" t="str">
        <f>IFERROR(VLOOKUP($B84,'LOD 400 - SITE'!$B:AT,45,FALSE),"N/A")</f>
        <v>NOT PUBLISHED</v>
      </c>
      <c r="FC84" s="84" t="str">
        <f>IFERROR(VLOOKUP($B84,'LOD 400 - SITE'!$B:AW,48,FALSE),"N/A")</f>
        <v>NOT PUBLISHED</v>
      </c>
      <c r="FD84" s="84" t="str">
        <f>IFERROR(VLOOKUP($B84,'LOD 400 - SITE'!$B:AZ,51,FALSE),"N/A")</f>
        <v>NOT PUBLISHED</v>
      </c>
      <c r="FE84" s="84" t="str">
        <f>IFERROR(VLOOKUP($B84,'LOD 400 - SITE'!$B:BC,54,FALSE),"N/A")</f>
        <v>NOT PUBLISHED</v>
      </c>
      <c r="FF84" s="84" t="str">
        <f>IFERROR(VLOOKUP($B84,'LOD 400 - SITE'!$B:BF,57,FALSE),"N/A")</f>
        <v>NOT PUBLISHED</v>
      </c>
      <c r="FG84" s="84" t="str">
        <f>IFERROR(VLOOKUP($B84,'LOD 400 - SITE'!$B:BI,60,FALSE),"N/A")</f>
        <v>NOT PUBLISHED</v>
      </c>
      <c r="FH84" s="84" t="str">
        <f>IFERROR(VLOOKUP($B84,'LOD 400 - SITE'!$B:BL,63,FALSE),"N/A")</f>
        <v>NOT PUBLISHED</v>
      </c>
      <c r="FI84" s="84" t="str">
        <f>IFERROR(VLOOKUP($B84,'LOD 400 - SITE'!$B:BO,66,FALSE),"N/A")</f>
        <v>NOT PUBLISHED</v>
      </c>
      <c r="FJ84" s="84" t="str">
        <f>IFERROR(VLOOKUP($B84,'LOD 400 - SITE'!$B:BR,69,FALSE),"N/A")</f>
        <v>NOT PUBLISHED</v>
      </c>
      <c r="FK84" s="84" t="str">
        <f>IFERROR(VLOOKUP($B84,'LOD 400 - SITE'!$B:BU,72,FALSE),"N/A")</f>
        <v>NOT PUBLISHED</v>
      </c>
      <c r="FL84" s="84" t="str">
        <f>IFERROR(VLOOKUP($B84,'LOD 400 - SITE'!$B:BX,75,FALSE),"N/A")</f>
        <v>NOT PUBLISHED</v>
      </c>
      <c r="FM84" s="84" t="str">
        <f>IFERROR(VLOOKUP($B84,'LOD 400 - SITE'!$B:CA,78,FALSE),"N/A")</f>
        <v>NOT PUBLISHED</v>
      </c>
      <c r="FN84" s="85" t="str">
        <f>IFERROR(VLOOKUP($B84,'LOD 400 - SITE'!$B:CD,81,FALSE),"N/A")</f>
        <v>NOT PUBLISHED</v>
      </c>
      <c r="FO84" s="84" t="str">
        <f>IFERROR(VLOOKUP($B84,'LOD 400 - SITE'!$B:CG,84,FALSE),"N/A")</f>
        <v>NOT PUBLISHED</v>
      </c>
      <c r="FP84" s="85" t="str">
        <f>IFERROR(VLOOKUP($B84,'LOD 400 - SITE'!$B:CJ,87,FALSE),"N/A")</f>
        <v>NOT PUBLISHED</v>
      </c>
      <c r="FQ84" s="84" t="str">
        <f>IFERROR(VLOOKUP($B84,'LOD 400 - SITE'!$B:CM,90,FALSE),"N/A")</f>
        <v>NOT PUBLISHED</v>
      </c>
      <c r="FR84" s="84" t="str">
        <f>IFERROR(VLOOKUP($B84,'LOD 400 - SITE'!$B:CP,93,FALSE),"N/A")</f>
        <v>NOT PUBLISHED</v>
      </c>
      <c r="FS84" s="84" t="str">
        <f>IFERROR(VLOOKUP($B84,'LOD 400 - SITE'!$B:CS,96,FALSE),"N/A")</f>
        <v>NOT PUBLISHED</v>
      </c>
      <c r="FT84" s="84" t="str">
        <f>IFERROR(VLOOKUP($B84,'LOD 400 - SITE'!$B:CV,99,FALSE),"N/A")</f>
        <v>NOT PUBLISHED</v>
      </c>
      <c r="FU84" s="84" t="str">
        <f>IFERROR(VLOOKUP($B84,'LOD 400 - SITE'!$B:CY,102,FALSE),"N/A")</f>
        <v>NOT PUBLISHED</v>
      </c>
      <c r="FV84" s="84" t="str">
        <f>IFERROR(VLOOKUP($B84,'LOD 400 - SITE'!$B:DB,105,FALSE),"N/A")</f>
        <v>NOT PUBLISHED</v>
      </c>
      <c r="FW84" s="84" t="str">
        <f>IFERROR(VLOOKUP($B84,'LOD 400 - SITE'!$B:DE,108,FALSE),"N/A")</f>
        <v>NOT PUBLISHED</v>
      </c>
      <c r="FX84" s="84" t="str">
        <f>IFERROR(VLOOKUP($B84,'LOD 400 - SITE'!$B:DH,111,FALSE),"N/A")</f>
        <v>NOT PUBLISHED</v>
      </c>
      <c r="FY84" s="84" t="str">
        <f>IFERROR(VLOOKUP($B84,'LOD 400 - SITE'!$B:DK,114,FALSE),"N/A")</f>
        <v>NOT PUBLISHED</v>
      </c>
      <c r="FZ84" s="96" t="str">
        <f>IFERROR(__xludf.DUMMYFUNCTION("IFERROR(
  MAX(FILTER(ES84:FY84, ISNUMBER(ES84:FY84))),
  FY84
)"),"NOT PUBLISHED")</f>
        <v>NOT PUBLISHED</v>
      </c>
      <c r="GA84" s="80" t="str">
        <f>IFERROR(VLOOKUP($B84,'LOD 400 - UTLS'!B:S,18,FALSE),"N/A")</f>
        <v>NOT PUBLISHED</v>
      </c>
      <c r="GB84" s="98" t="str">
        <f>IFERROR(VLOOKUP($B84,'LOD 400 - UTLS'!B:V,21,FALSE),"N/A")</f>
        <v>NOT PUBLISHED</v>
      </c>
      <c r="GC84" s="81" t="str">
        <f>IFERROR(VLOOKUP($B84,'LOD 400 - UTLS'!B:Y,24,FALSE),"N/A")</f>
        <v>NOT PUBLISHED</v>
      </c>
      <c r="GD84" s="87" t="str">
        <f>IFERROR(VLOOKUP($B84,'LOD 400 - UTLS'!$B:AB,27,FALSE),"N/A")</f>
        <v>NOT PUBLISHED</v>
      </c>
      <c r="GE84" s="80" t="str">
        <f>IFERROR(VLOOKUP($B84,'LOD 400 - UTLS'!$B:AE,30,FALSE),"N/A")</f>
        <v>NOT PUBLISHED</v>
      </c>
      <c r="GF84" s="82" t="str">
        <f>IFERROR(VLOOKUP($B84,'LOD 400 - UTLS'!$B:AH,33,FALSE),"N/A")</f>
        <v>NOT PUBLISHED</v>
      </c>
      <c r="GG84" s="88" t="str">
        <f>IFERROR(VLOOKUP($B84,'LOD 400 - UTLS'!$B:AK,36,FALSE),"N/A")</f>
        <v>NOT PUBLISHED</v>
      </c>
      <c r="GH84" s="84" t="str">
        <f>IFERROR(VLOOKUP($B84,'LOD 400 - UTLS'!$B:AN,39,FALSE),"N/A")</f>
        <v>NOT PUBLISHED</v>
      </c>
      <c r="GI84" s="84" t="str">
        <f>IFERROR(VLOOKUP($B84,'LOD 400 - UTLS'!$B:AQ,42,FALSE),"N/A")</f>
        <v>NOT PUBLISHED</v>
      </c>
      <c r="GJ84" s="84" t="str">
        <f>IFERROR(VLOOKUP($B84,'LOD 400 - UTLS'!$B:AT,45,FALSE),"N/A")</f>
        <v>NOT PUBLISHED</v>
      </c>
      <c r="GK84" s="84" t="str">
        <f>IFERROR(VLOOKUP($B84,'LOD 400 - UTLS'!$B:AW,48,FALSE),"N/A")</f>
        <v>NOT PUBLISHED</v>
      </c>
      <c r="GL84" s="84" t="str">
        <f>IFERROR(VLOOKUP($B84,'LOD 400 - UTLS'!$B:AZ,51,FALSE),"N/A")</f>
        <v>NOT PUBLISHED</v>
      </c>
      <c r="GM84" s="84" t="str">
        <f>IFERROR(VLOOKUP($B84,'LOD 400 - UTLS'!$B:BC,54,FALSE),"N/A")</f>
        <v>NOT PUBLISHED</v>
      </c>
      <c r="GN84" s="84" t="str">
        <f>IFERROR(VLOOKUP($B84,'LOD 400 - UTLS'!$B:BF,57,FALSE),"N/A")</f>
        <v>NOT PUBLISHED</v>
      </c>
      <c r="GO84" s="84" t="str">
        <f>IFERROR(VLOOKUP($B84,'LOD 400 - UTLS'!$B:BI,60,FALSE),"N/A")</f>
        <v>NOT PUBLISHED</v>
      </c>
      <c r="GP84" s="84" t="str">
        <f>IFERROR(VLOOKUP($B84,'LOD 400 - UTLS'!$B:BL,63,FALSE),"N/A")</f>
        <v>NOT PUBLISHED</v>
      </c>
      <c r="GQ84" s="84" t="str">
        <f>IFERROR(VLOOKUP($B84,'LOD 400 - UTLS'!$B:BO,66,FALSE),"N/A")</f>
        <v>NOT PUBLISHED</v>
      </c>
      <c r="GR84" s="84" t="str">
        <f>IFERROR(VLOOKUP($B84,'LOD 400 - UTLS'!$B:BR,69,FALSE),"N/A")</f>
        <v>NOT PUBLISHED</v>
      </c>
      <c r="GS84" s="85" t="str">
        <f>IFERROR(VLOOKUP($B84,'LOD 400 - UTLS'!$B:BU,72,FALSE),"N/A")</f>
        <v>NOT PUBLISHED</v>
      </c>
      <c r="GT84" s="84" t="str">
        <f>IFERROR(VLOOKUP($B84,'LOD 400 - UTLS'!$B:BX,75,FALSE),"N/A")</f>
        <v>NOT PUBLISHED</v>
      </c>
      <c r="GU84" s="85" t="str">
        <f>IFERROR(VLOOKUP($B84,'LOD 400 - UTLS'!$B:CA,78,FALSE),"N/A")</f>
        <v>NOT PUBLISHED</v>
      </c>
      <c r="GV84" s="84" t="str">
        <f>IFERROR(VLOOKUP($B84,'LOD 400 - UTLS'!$B:CD,81,FALSE),"N/A")</f>
        <v>NOT PUBLISHED</v>
      </c>
      <c r="GW84" s="84" t="str">
        <f>IFERROR(VLOOKUP($B84,'LOD 400 - UTLS'!$B:CG,84,FALSE),"N/A")</f>
        <v>NOT PUBLISHED</v>
      </c>
      <c r="GX84" s="84" t="str">
        <f>IFERROR(VLOOKUP($B84,'LOD 400 - UTLS'!$B:CJ,87,FALSE),"N/A")</f>
        <v>NOT PUBLISHED</v>
      </c>
      <c r="GY84" s="84" t="str">
        <f>IFERROR(VLOOKUP($B84,'LOD 400 - UTLS'!$B:CM,90,FALSE),"N/A")</f>
        <v>NOT PUBLISHED</v>
      </c>
      <c r="GZ84" s="84" t="str">
        <f>IFERROR(VLOOKUP($B84,'LOD 400 - UTLS'!$B:CP,93,FALSE),"N/A")</f>
        <v>NOT PUBLISHED</v>
      </c>
      <c r="HA84" s="84" t="str">
        <f>IFERROR(VLOOKUP($B84,'LOD 400 - UTLS'!$B:CS,96,FALSE),"N/A")</f>
        <v>NOT PUBLISHED</v>
      </c>
      <c r="HB84" s="84" t="str">
        <f>IFERROR(VLOOKUP($B84,'LOD 400 - UTLS'!$B:CV,99,FALSE),"N/A")</f>
        <v>NOT PUBLISHED</v>
      </c>
      <c r="HC84" s="84" t="str">
        <f>IFERROR(VLOOKUP($B84,'LOD 400 - UTLS'!$B:CY,102,FALSE),"N/A")</f>
        <v>NOT PUBLISHED</v>
      </c>
      <c r="HD84" s="84" t="str">
        <f>IFERROR(VLOOKUP($B84,'LOD 400 - UTLS'!$B:DB,105,FALSE),"N/A")</f>
        <v>NOT PUBLISHED</v>
      </c>
      <c r="HE84" s="96" t="str">
        <f>IFERROR(__xludf.DUMMYFUNCTION("IFERROR(
  MAX(FILTER(GA84:HD84, ISNUMBER(GA84:HD84))),
  HD84
)"),"NOT PUBLISHED")</f>
        <v>NOT PUBLISHED</v>
      </c>
      <c r="HF84" s="99"/>
      <c r="HG84" s="99"/>
      <c r="HH84" s="99"/>
      <c r="HI84" s="99"/>
      <c r="HJ84" s="99"/>
      <c r="HK84" s="99"/>
    </row>
    <row r="85" ht="15.0" hidden="1" customHeight="1">
      <c r="A85" s="53">
        <v>89.0</v>
      </c>
      <c r="B85" s="333" t="s">
        <v>251</v>
      </c>
      <c r="C85" s="334"/>
      <c r="D85" s="335"/>
      <c r="E85" s="335"/>
      <c r="F85" s="335"/>
      <c r="G85" s="336"/>
      <c r="H85" s="335"/>
      <c r="I85" s="335"/>
      <c r="J85" s="337"/>
      <c r="K85" s="338"/>
      <c r="L85" s="336"/>
      <c r="M85" s="335"/>
      <c r="N85" s="339"/>
      <c r="O85" s="340"/>
      <c r="P85" s="341"/>
      <c r="Q85" s="342"/>
      <c r="R85" s="343"/>
      <c r="S85" s="344"/>
      <c r="T85" s="344"/>
      <c r="U85" s="345"/>
      <c r="V85" s="346"/>
      <c r="W85" s="335"/>
      <c r="X85" s="342"/>
      <c r="Y85" s="336"/>
      <c r="Z85" s="336"/>
      <c r="AA85" s="336"/>
      <c r="AB85" s="336"/>
      <c r="AC85" s="336"/>
      <c r="AD85" s="336"/>
      <c r="AE85" s="336"/>
      <c r="AF85" s="336"/>
      <c r="AG85" s="336"/>
      <c r="AH85" s="336"/>
      <c r="AI85" s="336"/>
      <c r="AJ85" s="336"/>
      <c r="AK85" s="336"/>
      <c r="AL85" s="336"/>
      <c r="AM85" s="336"/>
      <c r="AN85" s="336"/>
      <c r="AO85" s="336"/>
      <c r="AP85" s="336"/>
      <c r="AQ85" s="336"/>
      <c r="AR85" s="336"/>
      <c r="AS85" s="336"/>
      <c r="AT85" s="335"/>
      <c r="AU85" s="335"/>
      <c r="AV85" s="342"/>
      <c r="AW85" s="343"/>
      <c r="AX85" s="342"/>
      <c r="AY85" s="343"/>
      <c r="AZ85" s="343"/>
      <c r="BA85" s="343"/>
      <c r="BB85" s="343"/>
      <c r="BC85" s="343"/>
      <c r="BD85" s="343"/>
      <c r="BE85" s="343"/>
      <c r="BF85" s="343"/>
      <c r="BG85" s="347"/>
      <c r="BH85" s="336"/>
      <c r="BI85" s="336"/>
      <c r="BJ85" s="336"/>
      <c r="BK85" s="336"/>
      <c r="BL85" s="336"/>
      <c r="BM85" s="336"/>
      <c r="BN85" s="336"/>
      <c r="BO85" s="336"/>
      <c r="BP85" s="336"/>
      <c r="BQ85" s="336"/>
      <c r="BR85" s="336"/>
      <c r="BS85" s="336"/>
      <c r="BT85" s="336"/>
      <c r="BU85" s="336"/>
      <c r="BV85" s="336"/>
      <c r="BW85" s="336"/>
      <c r="BX85" s="336"/>
      <c r="BY85" s="336"/>
      <c r="BZ85" s="336"/>
      <c r="CA85" s="336"/>
      <c r="CB85" s="336"/>
      <c r="CC85" s="335"/>
      <c r="CD85" s="335"/>
      <c r="CE85" s="342"/>
      <c r="CF85" s="343"/>
      <c r="CG85" s="342"/>
      <c r="CH85" s="343"/>
      <c r="CI85" s="343"/>
      <c r="CJ85" s="343"/>
      <c r="CK85" s="343"/>
      <c r="CL85" s="343"/>
      <c r="CM85" s="343"/>
      <c r="CN85" s="343"/>
      <c r="CO85" s="343"/>
      <c r="CP85" s="347"/>
      <c r="CQ85" s="336"/>
      <c r="CR85" s="336"/>
      <c r="CS85" s="336"/>
      <c r="CT85" s="336"/>
      <c r="CU85" s="336"/>
      <c r="CV85" s="336"/>
      <c r="CW85" s="336"/>
      <c r="CX85" s="336"/>
      <c r="CY85" s="336"/>
      <c r="CZ85" s="336"/>
      <c r="DA85" s="336"/>
      <c r="DB85" s="336"/>
      <c r="DC85" s="336"/>
      <c r="DD85" s="336"/>
      <c r="DE85" s="336"/>
      <c r="DF85" s="336"/>
      <c r="DG85" s="336"/>
      <c r="DH85" s="336"/>
      <c r="DI85" s="336"/>
      <c r="DJ85" s="335"/>
      <c r="DK85" s="335"/>
      <c r="DL85" s="335"/>
      <c r="DM85" s="335"/>
      <c r="DN85" s="342"/>
      <c r="DO85" s="343"/>
      <c r="DP85" s="342"/>
      <c r="DQ85" s="343"/>
      <c r="DR85" s="343"/>
      <c r="DS85" s="343"/>
      <c r="DT85" s="343"/>
      <c r="DU85" s="343"/>
      <c r="DV85" s="343"/>
      <c r="DW85" s="343"/>
      <c r="DX85" s="343"/>
      <c r="DY85" s="335"/>
      <c r="DZ85" s="348"/>
      <c r="EA85" s="345"/>
      <c r="EB85" s="343"/>
      <c r="EC85" s="343"/>
      <c r="ED85" s="343"/>
      <c r="EE85" s="342"/>
      <c r="EF85" s="343"/>
      <c r="EG85" s="335"/>
      <c r="EH85" s="349"/>
      <c r="EI85" s="343"/>
      <c r="EJ85" s="343"/>
      <c r="EK85" s="343"/>
      <c r="EL85" s="343"/>
      <c r="EM85" s="343"/>
      <c r="EN85" s="343"/>
      <c r="EO85" s="343"/>
      <c r="EP85" s="350"/>
      <c r="EQ85" s="343"/>
      <c r="ER85" s="351"/>
      <c r="ES85" s="336"/>
      <c r="ET85" s="335"/>
      <c r="EU85" s="346"/>
      <c r="EV85" s="336"/>
      <c r="EW85" s="336"/>
      <c r="EX85" s="336"/>
      <c r="EY85" s="336"/>
      <c r="EZ85" s="336"/>
      <c r="FA85" s="336"/>
      <c r="FB85" s="336"/>
      <c r="FC85" s="336"/>
      <c r="FD85" s="336"/>
      <c r="FE85" s="336"/>
      <c r="FF85" s="336"/>
      <c r="FG85" s="336"/>
      <c r="FH85" s="336"/>
      <c r="FI85" s="336"/>
      <c r="FJ85" s="336"/>
      <c r="FK85" s="336"/>
      <c r="FL85" s="336"/>
      <c r="FM85" s="336"/>
      <c r="FN85" s="335"/>
      <c r="FO85" s="342"/>
      <c r="FP85" s="343"/>
      <c r="FQ85" s="342"/>
      <c r="FR85" s="343"/>
      <c r="FS85" s="343"/>
      <c r="FT85" s="343"/>
      <c r="FU85" s="343"/>
      <c r="FV85" s="343"/>
      <c r="FW85" s="343"/>
      <c r="FX85" s="343"/>
      <c r="FY85" s="343"/>
      <c r="FZ85" s="352"/>
      <c r="GA85" s="336"/>
      <c r="GB85" s="336"/>
      <c r="GC85" s="336"/>
      <c r="GD85" s="336"/>
      <c r="GE85" s="336"/>
      <c r="GF85" s="336"/>
      <c r="GG85" s="336"/>
      <c r="GH85" s="336"/>
      <c r="GI85" s="336"/>
      <c r="GJ85" s="336"/>
      <c r="GK85" s="336"/>
      <c r="GL85" s="336"/>
      <c r="GM85" s="336"/>
      <c r="GN85" s="336"/>
      <c r="GO85" s="336"/>
      <c r="GP85" s="336"/>
      <c r="GQ85" s="343"/>
      <c r="GR85" s="343"/>
      <c r="GS85" s="343"/>
      <c r="GT85" s="342"/>
      <c r="GU85" s="343"/>
      <c r="GV85" s="342"/>
      <c r="GW85" s="343"/>
      <c r="GX85" s="343"/>
      <c r="GY85" s="343"/>
      <c r="GZ85" s="343"/>
      <c r="HA85" s="343"/>
      <c r="HB85" s="343"/>
      <c r="HC85" s="343"/>
      <c r="HD85" s="343"/>
      <c r="HE85" s="351"/>
      <c r="HF85" s="99"/>
      <c r="HG85" s="99"/>
      <c r="HH85" s="99"/>
      <c r="HI85" s="99"/>
      <c r="HJ85" s="99"/>
      <c r="HK85" s="99"/>
    </row>
    <row r="86" ht="15.0" customHeight="1" outlineLevel="1">
      <c r="A86" s="53">
        <v>90.0</v>
      </c>
      <c r="B86" s="100" t="s">
        <v>252</v>
      </c>
      <c r="C86" s="100" t="s">
        <v>253</v>
      </c>
      <c r="D86" s="64" t="str">
        <f t="shared" ref="D86:D90" si="16">MID(B86,17,4)</f>
        <v>SITE</v>
      </c>
      <c r="E86" s="101" t="s">
        <v>254</v>
      </c>
      <c r="F86" s="102">
        <v>1119.0</v>
      </c>
      <c r="G86" s="114" t="s">
        <v>121</v>
      </c>
      <c r="H86" s="116">
        <v>0.0</v>
      </c>
      <c r="I86" s="68" t="str">
        <f>IFERROR(VLOOKUP($C83:C108,'R22 RELATÓRIO ACC'!B:F,5,FALSE),"NOT PUBLISHED")</f>
        <v>V20</v>
      </c>
      <c r="J86" s="69" t="str">
        <f>IFERROR(VLOOKUP($C83:C108,'R22 RELATÓRIO ACC'!B:P,15,FALSE),"NOT PUBLISHED")</f>
        <v>06/05/2026</v>
      </c>
      <c r="K86" s="70" t="str">
        <f>IFERROR(VLOOKUP($B83:B108,'RELATÓRIO ACC'!B:F,5,FALSE),"NOT PUBLISHED")</f>
        <v>V4</v>
      </c>
      <c r="L86" s="71" t="str">
        <f>IFERROR(VLOOKUP($B83:B108,'RELATÓRIO ACC'!B:P,15,FALSE),"NOT PUBLISHED")</f>
        <v>11/06/2026</v>
      </c>
      <c r="M86" s="72" t="str">
        <f>IF(OR($D86="UTLS",$D86="GUAR",$D86="STIR",$D86="PUMP",$D86="SITE"),
   VLOOKUP($B86,'LOD 400 - SITE'!B:M,12,FALSE),
   VLOOKUP($B86,'LOD 400 - ADMN'!B:M,12,FALSE)
)</f>
        <v>V15</v>
      </c>
      <c r="N86" s="105">
        <f>IF(OR($D86="UTLS",$D86="GUAR",$D86="STIR",$D86="PUMP",$D86="SITE"),
   VLOOKUP($B86,'LOD 400 - SITE'!B:N,13,FALSE),
   VLOOKUP($B86,'LOD 400 - ADMN'!B:N,13,FALSE)
)</f>
        <v>46114</v>
      </c>
      <c r="O86" s="106" t="str">
        <f>IF(OR($D86="UTLS",$D86="GUAR",$D86="STIR",$D86="PUMP",$D86="SITE"),
   VLOOKUP($B86,'LOD 400 - SITE'!B:O,14,FALSE),
   VLOOKUP($B86,'LOD 400 - ADMN'!B:O,14,FALSE)
)</f>
        <v>R22</v>
      </c>
      <c r="P86" s="107" t="str">
        <f>IF(OR($D86="C345",$D86="C12A",$D86="DATA"),
   VLOOKUP($B86,'LOD 400 - COLO3'!B:M,12,FALSE),"N/A")</f>
        <v>N/A</v>
      </c>
      <c r="Q86" s="108" t="str">
        <f>IF(OR($D86="C345",$D86="C12A",$D86="DATA"),
   VLOOKUP($B86,'LOD 400 - COLO3'!B:N,13,FALSE),"N/A")</f>
        <v>N/A</v>
      </c>
      <c r="R86" s="75" t="str">
        <f>IF(OR($D86="C345",$D86="C12A",$D86="DATA"),
   VLOOKUP($B86,'LOD 400 - COLO3'!B:O,14,FALSE),"N/A")</f>
        <v>N/A</v>
      </c>
      <c r="S86" s="76" t="str">
        <f>IF(OR($D86="C345",$D86="C12A",$D86="DATA"),
   VLOOKUP($B86,'LOD 400 - COLO4'!B:N,12,FALSE),"N/A")</f>
        <v>N/A</v>
      </c>
      <c r="T86" s="76" t="str">
        <f>IF(OR($D86="C345",$D86="C12A",$D86="DATA"),
   VLOOKUP($B86,'LOD 400 - COLO4'!B:N,13,FALSE),"N/A")</f>
        <v>N/A</v>
      </c>
      <c r="U86" s="76" t="str">
        <f>IF(OR($D86="C345",$D86="C12A",$D86="DATA"),
   VLOOKUP($B86,'LOD 400 - COLO4'!B:N,13,FALSE),"N/A")</f>
        <v>N/A</v>
      </c>
      <c r="V86" s="77" t="str">
        <f>IF(OR($D86="UTLS",$D86="GUAR",$D86="STIR",$D86="PUMP",$D86="SITE"),
   VLOOKUP($B86,'LOD 400 - UTLS'!B:M,12,FALSE),"N/A")</f>
        <v>V15</v>
      </c>
      <c r="W86" s="78">
        <f>IF(OR($D86="UTLS",$D86="GUAR",$D86="STIR",$D86="PUMP",$D86="SITE"),
   VLOOKUP($B86,'LOD 400 - UTLS'!B:N,13,FALSE),"N/A")</f>
        <v>46114</v>
      </c>
      <c r="X86" s="108" t="str">
        <f>IF(OR($D86="UTLS",$D86="GUAR",$D86="STIR",$D86="PUMP",$D86="SITE"),
   VLOOKUP($B86,'LOD 400 - UTLS'!B:O,14,FALSE),"N/A")</f>
        <v>R22</v>
      </c>
      <c r="Y86" s="79" t="str">
        <f>IFERROR(VLOOKUP($B86,'LOD 400 - ADMN'!B:S,18,FALSE),"N/A")</f>
        <v>N/A</v>
      </c>
      <c r="Z86" s="79" t="str">
        <f>IFERROR(VLOOKUP($B86,'LOD 400 - ADMN'!B:V,21,FALSE),"N/A")</f>
        <v>N/A</v>
      </c>
      <c r="AA86" s="79" t="str">
        <f>IFERROR(VLOOKUP($B86,'LOD 400 - ADMN'!$B:Y,24,FALSE),"N/A")</f>
        <v>N/A</v>
      </c>
      <c r="AB86" s="80" t="str">
        <f>IFERROR(VLOOKUP($B86,'LOD 400 - ADMN'!$B:AB,27,FALSE),"N/A")</f>
        <v>N/A</v>
      </c>
      <c r="AC86" s="81" t="str">
        <f>IFERROR(VLOOKUP($B86,'LOD 400 - ADMN'!$B:AE,30,FALSE),"N/A")</f>
        <v>N/A</v>
      </c>
      <c r="AD86" s="81" t="str">
        <f>IFERROR(VLOOKUP($B86,'LOD 400 - ADMN'!$B:AH,33,FALSE),"N/A")</f>
        <v>N/A</v>
      </c>
      <c r="AE86" s="80" t="str">
        <f>IFERROR(VLOOKUP($B86,'LOD 400 - ADMN'!$B:AK,36,FALSE),"N/A")</f>
        <v>N/A</v>
      </c>
      <c r="AF86" s="82" t="str">
        <f>IFERROR(VLOOKUP($B86,'LOD 400 - ADMN'!$B:AN,39,FALSE),"N/A")</f>
        <v>N/A</v>
      </c>
      <c r="AG86" s="83" t="str">
        <f>IFERROR(VLOOKUP($B86,'LOD 400 - ADMN'!$B:AQ,42,FALSE),"N/A")</f>
        <v>N/A</v>
      </c>
      <c r="AH86" s="84" t="str">
        <f>IFERROR(VLOOKUP($B86,'LOD 400 - ADMN'!$B:AT,45,FALSE),"N/A")</f>
        <v>N/A</v>
      </c>
      <c r="AI86" s="85" t="str">
        <f>IFERROR(VLOOKUP($B86,'LOD 400 - ADMN'!$B:AW,48,FALSE),"N/A")</f>
        <v>N/A</v>
      </c>
      <c r="AJ86" s="85" t="str">
        <f>IFERROR(VLOOKUP($B86,'LOD 400 - ADMN'!$B:AZ,51,FALSE),"N/A")</f>
        <v>N/A</v>
      </c>
      <c r="AK86" s="84" t="str">
        <f>IFERROR(VLOOKUP($B86,'LOD 400 - ADMN'!$B:BC,54,FALSE),"N/A")</f>
        <v>N/A</v>
      </c>
      <c r="AL86" s="84" t="str">
        <f>IFERROR(VLOOKUP($B86,'LOD 400 - ADMN'!$B:BF,57,FALSE),"N/A")</f>
        <v>N/A</v>
      </c>
      <c r="AM86" s="84" t="str">
        <f>IFERROR(VLOOKUP($B86,'LOD 400 - ADMN'!$B:BI,60,FALSE),"N/A")</f>
        <v>N/A</v>
      </c>
      <c r="AN86" s="84" t="str">
        <f>IFERROR(VLOOKUP($B86,'LOD 400 - ADMN'!$B:BL,63,FALSE),"N/A")</f>
        <v>N/A</v>
      </c>
      <c r="AO86" s="84" t="str">
        <f>IFERROR(VLOOKUP($B86,'LOD 400 - ADMN'!$B:BO,66,FALSE),"N/A")</f>
        <v>N/A</v>
      </c>
      <c r="AP86" s="84" t="str">
        <f>IFERROR(VLOOKUP($B86,'LOD 400 - ADMN'!$B:BR,69,FALSE),"N/A")</f>
        <v>N/A</v>
      </c>
      <c r="AQ86" s="84" t="str">
        <f>IFERROR(VLOOKUP($B86,'LOD 400 - ADMN'!$B:BU,72,FALSE),"N/A")</f>
        <v>N/A</v>
      </c>
      <c r="AR86" s="84" t="str">
        <f>IFERROR(VLOOKUP($B86,'LOD 400 - ADMN'!$B:BX,75,FALSE),"N/A")</f>
        <v>N/A</v>
      </c>
      <c r="AS86" s="84" t="str">
        <f>IFERROR(VLOOKUP($B86,'LOD 400 - ADMN'!$B:CA,78,FALSE),"N/A")</f>
        <v>N/A</v>
      </c>
      <c r="AT86" s="84" t="str">
        <f>IFERROR(VLOOKUP($B86,'LOD 400 - ADMN'!$B:CD,81,FALSE),"N/A")</f>
        <v>N/A</v>
      </c>
      <c r="AU86" s="85" t="str">
        <f>IFERROR(VLOOKUP($B86,'LOD 400 - ADMN'!$B:CG,84,FALSE),"N/A")</f>
        <v>N/A</v>
      </c>
      <c r="AV86" s="84" t="str">
        <f>IFERROR(VLOOKUP($B86,'LOD 400 - ADMN'!$B:CJ,87,FALSE),"N/A")</f>
        <v>N/A</v>
      </c>
      <c r="AW86" s="85" t="str">
        <f>IFERROR(VLOOKUP($B86,'LOD 400 - ADMN'!$B:CM,90,FALSE),"N/A")</f>
        <v>N/A</v>
      </c>
      <c r="AX86" s="84" t="str">
        <f>IFERROR(VLOOKUP($B86,'LOD 400 - ADMN'!$B:CP,93,FALSE),"N/A")</f>
        <v>N/A</v>
      </c>
      <c r="AY86" s="84" t="str">
        <f>IFERROR(VLOOKUP($B86,'LOD 400 - ADMN'!$B:CS,96,FALSE),"N/A")</f>
        <v>N/A</v>
      </c>
      <c r="AZ86" s="84" t="str">
        <f>IFERROR(VLOOKUP($B86,'LOD 400 - ADMN'!$B:CV,99,FALSE),"N/A")</f>
        <v>N/A</v>
      </c>
      <c r="BA86" s="84" t="str">
        <f>IFERROR(VLOOKUP($B86,'LOD 400 - ADMN'!$B:CY,102,FALSE),"N/A")</f>
        <v>N/A</v>
      </c>
      <c r="BB86" s="84" t="str">
        <f>IFERROR(VLOOKUP($B86,'LOD 400 - ADMN'!$B:DB,105,FALSE),"N/A")</f>
        <v>N/A</v>
      </c>
      <c r="BC86" s="84" t="str">
        <f>IFERROR(VLOOKUP($B86,'LOD 400 - ADMN'!$B:DE,108,FALSE),"N/A")</f>
        <v>N/A</v>
      </c>
      <c r="BD86" s="84" t="str">
        <f>IFERROR(VLOOKUP($B86,'LOD 400 - ADMN'!$B:DH,111,FALSE),"N/A")</f>
        <v>N/A</v>
      </c>
      <c r="BE86" s="84" t="str">
        <f>IFERROR(VLOOKUP($B86,'LOD 400 - ADMN'!$B:DK,114,FALSE),"N/A")</f>
        <v>N/A</v>
      </c>
      <c r="BF86" s="84" t="str">
        <f>IFERROR(VLOOKUP($B86,'LOD 400 - ADMN'!$B:DN,117,FALSE),"N/A")</f>
        <v>N/A</v>
      </c>
      <c r="BG86" s="86" t="str">
        <f>IFERROR(__xludf.DUMMYFUNCTION("IFERROR(
  MAX(FILTER(Y86:BF86, ISNUMBER(Y86:BF86))),
  BF86
)"),"N/A")</f>
        <v>N/A</v>
      </c>
      <c r="BH86" s="79" t="str">
        <f>IFERROR(VLOOKUP($B86,'LOD 400 - COLO1'!B:S,18,FALSE),"N/A")</f>
        <v>N/A</v>
      </c>
      <c r="BI86" s="79" t="str">
        <f>IFERROR(VLOOKUP($B86,'LOD 400 - COLO1'!B:V,21,FALSE),"N/A")</f>
        <v>N/A</v>
      </c>
      <c r="BJ86" s="79" t="str">
        <f>IFERROR(VLOOKUP($B86,'LOD 400 - COLO1'!$B:Y,24,FALSE),"N/A")</f>
        <v>N/A</v>
      </c>
      <c r="BK86" s="87" t="str">
        <f>IFERROR(VLOOKUP($B86,'LOD 400 - COLO1'!$B:AB,27,FALSE),"N/A")</f>
        <v>N/A</v>
      </c>
      <c r="BL86" s="80" t="str">
        <f>IFERROR(VLOOKUP($B86,'LOD 400 - COLO1'!$B:AE,30,FALSE),"N/A")</f>
        <v>N/A</v>
      </c>
      <c r="BM86" s="81" t="str">
        <f>IFERROR(VLOOKUP($B86,'LOD 400 - COLO1'!$B:AH,33,FALSE),"N/A")</f>
        <v>N/A</v>
      </c>
      <c r="BN86" s="87" t="str">
        <f>IFERROR(VLOOKUP($B86,'LOD 400 - COLO1'!$B:AK,36,FALSE),"N/A")</f>
        <v>N/A</v>
      </c>
      <c r="BO86" s="83" t="str">
        <f>IFERROR(VLOOKUP($B86,'LOD 400 - COLO1'!$B:AN,39,FALSE),"N/A")</f>
        <v>N/A</v>
      </c>
      <c r="BP86" s="88" t="str">
        <f>IFERROR(VLOOKUP($B86,'LOD 400 - COLO1'!$B:AQ,42,FALSE),"N/A")</f>
        <v>N/A</v>
      </c>
      <c r="BQ86" s="84" t="str">
        <f>IFERROR(VLOOKUP($B86,'LOD 400 - COLO1'!$B:AT,45,FALSE),"N/A")</f>
        <v>N/A</v>
      </c>
      <c r="BR86" s="85" t="str">
        <f>IFERROR(VLOOKUP($B86,'LOD 400 - COLO1'!$B:AW,48,FALSE),"N/A")</f>
        <v>N/A</v>
      </c>
      <c r="BS86" s="84" t="str">
        <f>IFERROR(VLOOKUP($B86,'LOD 400 - COLO1'!$B:AZ,51,FALSE),"N/A")</f>
        <v>N/A</v>
      </c>
      <c r="BT86" s="84" t="str">
        <f>IFERROR(VLOOKUP($B86,'LOD 400 - COLO1'!$B:BC,54,FALSE),"N/A")</f>
        <v>N/A</v>
      </c>
      <c r="BU86" s="84" t="str">
        <f>IFERROR(VLOOKUP($B86,'LOD 400 - COLO1'!$B:BF,57,FALSE),"N/A")</f>
        <v>N/A</v>
      </c>
      <c r="BV86" s="84" t="str">
        <f>IFERROR(VLOOKUP($B86,'LOD 400 - COLO1'!$B:BI,60,FALSE),"N/A")</f>
        <v>N/A</v>
      </c>
      <c r="BW86" s="84" t="str">
        <f>IFERROR(VLOOKUP($B86,'LOD 400 - COLO1'!$B:BL,63,FALSE),"N/A")</f>
        <v>N/A</v>
      </c>
      <c r="BX86" s="84" t="str">
        <f>IFERROR(VLOOKUP($B86,'LOD 400 - COLO1'!$B:BO,66,FALSE),"N/A")</f>
        <v>N/A</v>
      </c>
      <c r="BY86" s="84" t="str">
        <f>IFERROR(VLOOKUP($B86,'LOD 400 - COLO1'!$B:BR,69,FALSE),"N/A")</f>
        <v>N/A</v>
      </c>
      <c r="BZ86" s="84" t="str">
        <f>IFERROR(VLOOKUP($B86,'LOD 400 - COLO1'!$B:BU,72,FALSE),"N/A")</f>
        <v>N/A</v>
      </c>
      <c r="CA86" s="84" t="str">
        <f>IFERROR(VLOOKUP($B86,'LOD 400 - COLO1'!$B:BX,75,FALSE),"N/A")</f>
        <v>N/A</v>
      </c>
      <c r="CB86" s="84" t="str">
        <f>IFERROR(VLOOKUP($B86,'LOD 400 - COLO1'!$B:CA,78,FALSE),"N/A")</f>
        <v>N/A</v>
      </c>
      <c r="CC86" s="84" t="str">
        <f>IFERROR(VLOOKUP($B86,'LOD 400 - COLO1'!$B:CD,81,FALSE),"N/A")</f>
        <v>N/A</v>
      </c>
      <c r="CD86" s="85" t="str">
        <f>IFERROR(VLOOKUP($B86,'LOD 400 - COLO1'!$B:CG,84,FALSE),"N/A")</f>
        <v>N/A</v>
      </c>
      <c r="CE86" s="84" t="str">
        <f>IFERROR(VLOOKUP($B86,'LOD 400 - COLO1'!$B:CJ,87,FALSE),"N/A")</f>
        <v>N/A</v>
      </c>
      <c r="CF86" s="85" t="str">
        <f>IFERROR(VLOOKUP($B86,'LOD 400 - COLO1'!$B:CM,90,FALSE),"N/A")</f>
        <v>N/A</v>
      </c>
      <c r="CG86" s="84" t="str">
        <f>IFERROR(VLOOKUP($B86,'LOD 400 - COLO1'!$B:CP,93,FALSE),"N/A")</f>
        <v>N/A</v>
      </c>
      <c r="CH86" s="84" t="str">
        <f>IFERROR(VLOOKUP($B86,'LOD 400 - COLO1'!$B:CS,96,FALSE),"N/A")</f>
        <v>N/A</v>
      </c>
      <c r="CI86" s="84" t="str">
        <f>IFERROR(VLOOKUP($B86,'LOD 400 - COLO1'!$B:CV,99,FALSE),"N/A")</f>
        <v>N/A</v>
      </c>
      <c r="CJ86" s="84" t="str">
        <f>IFERROR(VLOOKUP($B86,'LOD 400 - COLO1'!$B:CY,102,FALSE),"N/A")</f>
        <v>N/A</v>
      </c>
      <c r="CK86" s="84" t="str">
        <f>IFERROR(VLOOKUP($B86,'LOD 400 - COLO1'!$B:DB,105,FALSE),"N/A")</f>
        <v>N/A</v>
      </c>
      <c r="CL86" s="84" t="str">
        <f>IFERROR(VLOOKUP($B86,'LOD 400 - COLO1'!$B:DE,108,FALSE),"N/A")</f>
        <v>N/A</v>
      </c>
      <c r="CM86" s="84" t="str">
        <f>IFERROR(VLOOKUP($B86,'LOD 400 - COLO1'!$B:DH,111,FALSE),"N/A")</f>
        <v>N/A</v>
      </c>
      <c r="CN86" s="84" t="str">
        <f>IFERROR(VLOOKUP($B86,'LOD 400 - COLO1'!$B:DK,114,FALSE),"N/A")</f>
        <v>N/A</v>
      </c>
      <c r="CO86" s="84" t="str">
        <f>IFERROR(VLOOKUP($B86,'LOD 400 - COLO1'!$B:DN,117,FALSE),"N/A")</f>
        <v>N/A</v>
      </c>
      <c r="CP86" s="86" t="str">
        <f>IFERROR(__xludf.DUMMYFUNCTION("IFERROR(
  MAX(FILTER(BH86:CO86, ISNUMBER(BH86:CO86))),
  CO86
)"),"N/A")</f>
        <v>N/A</v>
      </c>
      <c r="CQ86" s="89" t="str">
        <f>IFERROR(VLOOKUP($B86,'LOD 400 - COLO2'!B:S,18,FALSE),"N/A")</f>
        <v>N/A</v>
      </c>
      <c r="CR86" s="79" t="str">
        <f>IFERROR(VLOOKUP($B86,'LOD 400 - COLO2'!B:V,21,FALSE),"N/A")</f>
        <v>N/A</v>
      </c>
      <c r="CS86" s="79" t="str">
        <f>IFERROR(VLOOKUP($B86,'LOD 400 - COLO2'!$B:Y,24,FALSE),"N/A")</f>
        <v>N/A</v>
      </c>
      <c r="CT86" s="80" t="str">
        <f>IFERROR(VLOOKUP($B86,'LOD 400 - COLO2'!$B:DQ,27,FALSE),"N/A")</f>
        <v>N/A</v>
      </c>
      <c r="CU86" s="90" t="str">
        <f>IFERROR(VLOOKUP($B86,'LOD 400 - COLO2'!$B:AE,30,FALSE),"N/A")</f>
        <v>N/A</v>
      </c>
      <c r="CV86" s="81" t="str">
        <f>IFERROR(VLOOKUP($B86,'LOD 400 - COLO2'!$B:AH,33,FALSE),"N/A")</f>
        <v>N/A</v>
      </c>
      <c r="CW86" s="90" t="str">
        <f>IFERROR(VLOOKUP($B86,'LOD 400 - COLO2'!$B:AK,36,FALSE),"N/A")</f>
        <v>N/A</v>
      </c>
      <c r="CX86" s="85" t="str">
        <f>IFERROR(VLOOKUP($B86,'LOD 400 - COLO2'!$B:AN,39,FALSE),"N/A")</f>
        <v>N/A</v>
      </c>
      <c r="CY86" s="88" t="str">
        <f>IFERROR(VLOOKUP($B86,'LOD 400 - COLO2'!$B:AQ,42,FALSE),"N/A")</f>
        <v>N/A</v>
      </c>
      <c r="CZ86" s="84" t="str">
        <f>IFERROR(VLOOKUP($B86,'LOD 400 - COLO2'!$B:AT,45,FALSE),"N/A")</f>
        <v>N/A</v>
      </c>
      <c r="DA86" s="85" t="str">
        <f>IFERROR(VLOOKUP($B86,'LOD 400 - COLO2'!$B:AW,48,FALSE),"N/A")</f>
        <v>N/A</v>
      </c>
      <c r="DB86" s="84" t="str">
        <f>IFERROR(VLOOKUP($B86,'LOD 400 - COLO2'!$B:AZ,51,FALSE),"N/A")</f>
        <v>N/A</v>
      </c>
      <c r="DC86" s="84" t="str">
        <f>IFERROR(VLOOKUP($B86,'LOD 400 - COLO2'!$B:BC,54,FALSE),"N/A")</f>
        <v>N/A</v>
      </c>
      <c r="DD86" s="84" t="str">
        <f>IFERROR(VLOOKUP($B86,'LOD 400 - COLO2'!$B:BF,57,FALSE),"N/A")</f>
        <v>N/A</v>
      </c>
      <c r="DE86" s="84" t="str">
        <f>IFERROR(VLOOKUP($B86,'LOD 400 - COLO2'!$B:BI,60,FALSE),"N/A")</f>
        <v>N/A</v>
      </c>
      <c r="DF86" s="84" t="str">
        <f>IFERROR(VLOOKUP($B86,'LOD 400 - COLO2'!$B:BL,63,FALSE),"N/A")</f>
        <v>N/A</v>
      </c>
      <c r="DG86" s="84" t="str">
        <f>IFERROR(VLOOKUP($B86,'LOD 400 - COLO2'!$B:BO,66,FALSE),"N/A")</f>
        <v>N/A</v>
      </c>
      <c r="DH86" s="84" t="str">
        <f>IFERROR(VLOOKUP($B86,'LOD 400 - COLO2'!$B:BR,69,FALSE),"N/A")</f>
        <v>N/A</v>
      </c>
      <c r="DI86" s="84" t="str">
        <f>IFERROR(VLOOKUP($B86,'LOD 400 - COLO2'!$B:BU,72,FALSE),"N/A")</f>
        <v>N/A</v>
      </c>
      <c r="DJ86" s="84" t="str">
        <f>IFERROR(VLOOKUP($B86,'LOD 400 - COLO2'!$B:BX,75,FALSE),"N/A")</f>
        <v>N/A</v>
      </c>
      <c r="DK86" s="84" t="str">
        <f>IFERROR(VLOOKUP($B86,'LOD 400 - COLO2'!$B:CA,78,FALSE),"N/A")</f>
        <v>N/A</v>
      </c>
      <c r="DL86" s="84" t="str">
        <f>IFERROR(VLOOKUP($B86,'LOD 400 - COLO2'!$B:CD,81,FALSE),"N/A")</f>
        <v>N/A</v>
      </c>
      <c r="DM86" s="85" t="str">
        <f>IFERROR(VLOOKUP($B86,'LOD 400 - COLO2'!$B:CG,84,FALSE),"N/A")</f>
        <v>N/A</v>
      </c>
      <c r="DN86" s="84" t="str">
        <f>IFERROR(VLOOKUP($B86,'LOD 400 - COLO2'!$B:CJ,87,FALSE),"N/A")</f>
        <v>N/A</v>
      </c>
      <c r="DO86" s="85" t="str">
        <f>IFERROR(VLOOKUP($B86,'LOD 400 - COLO2'!$B:CM,90,FALSE),"N/A")</f>
        <v>N/A</v>
      </c>
      <c r="DP86" s="84" t="str">
        <f>IFERROR(VLOOKUP($B86,'LOD 400 - COLO2'!$B:CP,93,FALSE),"N/A")</f>
        <v>N/A</v>
      </c>
      <c r="DQ86" s="84" t="str">
        <f>IFERROR(VLOOKUP($B86,'LOD 400 - COLO2'!$B:CS,96,FALSE),"N/A")</f>
        <v>N/A</v>
      </c>
      <c r="DR86" s="84" t="str">
        <f>IFERROR(VLOOKUP($B86,'LOD 400 - COLO2'!$B:CV,99,FALSE),"N/A")</f>
        <v>N/A</v>
      </c>
      <c r="DS86" s="84" t="str">
        <f>IFERROR(VLOOKUP($B86,'LOD 400 - COLO2'!$B:CY,102,FALSE),"N/A")</f>
        <v>N/A</v>
      </c>
      <c r="DT86" s="84" t="str">
        <f>IFERROR(VLOOKUP($B86,'LOD 400 - COLO2'!$B:DB,105,FALSE),"N/A")</f>
        <v>N/A</v>
      </c>
      <c r="DU86" s="84" t="str">
        <f>IFERROR(VLOOKUP($B86,'LOD 400 - COLO2'!$B:DE,108,FALSE),"N/A")</f>
        <v>N/A</v>
      </c>
      <c r="DV86" s="84" t="str">
        <f>IFERROR(VLOOKUP($B86,'LOD 400 - COLO2'!$B:DH,111,FALSE),"N/A")</f>
        <v>N/A</v>
      </c>
      <c r="DW86" s="84" t="str">
        <f>IFERROR(VLOOKUP($B86,'LOD 400 - COLO2'!$B:DK,114,FALSE),"N/A")</f>
        <v>N/A</v>
      </c>
      <c r="DX86" s="84" t="str">
        <f>IFERROR(VLOOKUP($B86,'LOD 400 - COLO2'!$B:DN,117,FALSE),"N/A")</f>
        <v>N/A</v>
      </c>
      <c r="DY86" s="91" t="str">
        <f>IFERROR(__xludf.DUMMYFUNCTION("IFERROR(
  MAX(FILTER(CQ86:DW86, ISNUMBER(CQ86:DW86))),
  DW86
)"),"N/A")</f>
        <v>N/A</v>
      </c>
      <c r="DZ86" s="92" t="str">
        <f>IFERROR(VLOOKUP($B86,'LOD 400 - COLO3'!B:S,18,FALSE),"N/A")</f>
        <v>N/A</v>
      </c>
      <c r="EA86" s="84" t="str">
        <f>IFERROR(VLOOKUP($B86,'LOD 400 - COLO3'!B:V,21,FALSE),"N/A")</f>
        <v>N/A</v>
      </c>
      <c r="EB86" s="84" t="str">
        <f>IFERROR(VLOOKUP($B86,'LOD 400 - COLO3'!B:Y,24,FALSE),"N/A")</f>
        <v>N/A</v>
      </c>
      <c r="EC86" s="84" t="str">
        <f>IFERROR(VLOOKUP($B86,'LOD 400 - COLO3'!B:AB,27,FALSE),"N/A")</f>
        <v>N/A</v>
      </c>
      <c r="ED86" s="85" t="str">
        <f>IFERROR(VLOOKUP($B86,'LOD 400 - COLO3'!B:AE,30,FALSE),"N/A")</f>
        <v>N/A</v>
      </c>
      <c r="EE86" s="84" t="str">
        <f>IFERROR(VLOOKUP($B86,'LOD 400 - COLO3'!B:AH,33,FALSE),"N/A")</f>
        <v>N/A</v>
      </c>
      <c r="EF86" s="84" t="str">
        <f>IFERROR(VLOOKUP($B86,'LOD 400 - COLO3'!B:AK,36,FALSE),"N/A")</f>
        <v>N/A</v>
      </c>
      <c r="EG86" s="109" t="str">
        <f>IFERROR(VLOOKUP($B86,'LOD 400 - COLO3'!B:AN,39,FALSE),"N/A")</f>
        <v>N/A</v>
      </c>
      <c r="EH86" s="94" t="str">
        <f>IFERROR(VLOOKUP($B86,'LOD 400 - COLO3'!B:AQ,42,FALSE),"N/A")</f>
        <v>N/A</v>
      </c>
      <c r="EI86" s="94" t="str">
        <f>IFERROR(VLOOKUP($B86,'LOD 400 - COLO3'!B:AT,45,FALSE),"N/A")</f>
        <v>N/A</v>
      </c>
      <c r="EJ86" s="94" t="str">
        <f>IFERROR(VLOOKUP($B86,'LOD 400 - COLO3'!B:AW,48,FALSE),"N/A")</f>
        <v>N/A</v>
      </c>
      <c r="EK86" s="94" t="str">
        <f>IFERROR(VLOOKUP($B86,'LOD 400 - COLO3'!B:AZ,51,FALSE),"N/A")</f>
        <v>N/A</v>
      </c>
      <c r="EL86" s="94" t="str">
        <f>IFERROR(VLOOKUP($B86,'LOD 400 - COLO3'!B:BC,54,FALSE),"N/A")</f>
        <v>N/A</v>
      </c>
      <c r="EM86" s="94" t="str">
        <f>IFERROR(VLOOKUP($B86,'LOD 400 - COLO3'!B:BF,57,FALSE),"N/A")</f>
        <v>N/A</v>
      </c>
      <c r="EN86" s="94" t="str">
        <f>IFERROR(VLOOKUP($B86,'LOD 400 - COLO3'!B:BI,60,FALSE),"N/A")</f>
        <v>N/A</v>
      </c>
      <c r="EO86" s="94" t="str">
        <f>IFERROR(VLOOKUP($B86,'LOD 400 - COLO3'!B:BL,63,FALSE),"N/A")</f>
        <v>N/A</v>
      </c>
      <c r="EP86" s="86" t="str">
        <f>IFERROR(__xludf.DUMMYFUNCTION("IFERROR(
  MAX(FILTER(DZ86:EO86, ISNUMBER(DZ86:EO86))),
  EO86
)"),"N/A")</f>
        <v>N/A</v>
      </c>
      <c r="EQ86" s="95" t="str">
        <f>IFERROR(VLOOKUP($B86,'LOD 400 - COLO4'!B:S,18,FALSE),"N/A")</f>
        <v>N/A</v>
      </c>
      <c r="ER86" s="96" t="str">
        <f>IFERROR(__xludf.DUMMYFUNCTION("IFERROR(
  MAX(FILTER(EQ86, ISNUMBER(EQ86))),
  EQ86
)"),"N/A")</f>
        <v>N/A</v>
      </c>
      <c r="ES86" s="79">
        <f>IFERROR(VLOOKUP($B86,'LOD 400 - SITE'!B:S,18,FALSE),"N/A")</f>
        <v>0.03</v>
      </c>
      <c r="ET86" s="80" t="str">
        <f>IFERROR(VLOOKUP($B86,'LOD 400 - SITE'!B:V,21,FALSE),"N/A")</f>
        <v>OUTDATED</v>
      </c>
      <c r="EU86" s="97">
        <f>IFERROR(VLOOKUP($B86,'LOD 400 - SITE'!$B:Y,24,FALSE),"N/A")</f>
        <v>0.03</v>
      </c>
      <c r="EV86" s="80" t="str">
        <f>IFERROR(VLOOKUP($B86,'LOD 400 - SITE'!$B:AB,27,FALSE),"N/A")</f>
        <v>OUTDATED</v>
      </c>
      <c r="EW86" s="81" t="str">
        <f>IFERROR(VLOOKUP($B86,'LOD 400 - SITE'!$B:AE,30,FALSE),"N/A")</f>
        <v>OUTDATED</v>
      </c>
      <c r="EX86" s="87">
        <f>IFERROR(VLOOKUP($B86,'LOD 400 - SITE'!$B:AH,33,FALSE),"N/A")</f>
        <v>0.24</v>
      </c>
      <c r="EY86" s="87" t="str">
        <f>IFERROR(VLOOKUP($B86,'LOD 400 - SITE'!$B:AK,36,FALSE),"N/A")</f>
        <v>OUTDATED</v>
      </c>
      <c r="EZ86" s="80" t="str">
        <f>IFERROR(VLOOKUP($B86,'LOD 400 - SITE'!$B:AN,39,FALSE),"N/A")</f>
        <v>IMPROPER</v>
      </c>
      <c r="FA86" s="82">
        <f>IFERROR(VLOOKUP($B86,'LOD 400 - SITE'!$B:AQ,42,FALSE),"N/A")</f>
        <v>0.24</v>
      </c>
      <c r="FB86" s="88" t="str">
        <f>IFERROR(VLOOKUP($B86,'LOD 400 - SITE'!$B:AT,45,FALSE),"N/A")</f>
        <v>IMPROPER</v>
      </c>
      <c r="FC86" s="84" t="str">
        <f>IFERROR(VLOOKUP($B86,'LOD 400 - SITE'!$B:AW,48,FALSE),"N/A")</f>
        <v>IMPROPER</v>
      </c>
      <c r="FD86" s="84" t="str">
        <f>IFERROR(VLOOKUP($B86,'LOD 400 - SITE'!$B:AZ,51,FALSE),"N/A")</f>
        <v>IMPROPER</v>
      </c>
      <c r="FE86" s="84" t="str">
        <f>IFERROR(VLOOKUP($B86,'LOD 400 - SITE'!$B:BC,54,FALSE),"N/A")</f>
        <v>OUTDATED</v>
      </c>
      <c r="FF86" s="84" t="str">
        <f>IFERROR(VLOOKUP($B86,'LOD 400 - SITE'!$B:BF,57,FALSE),"N/A")</f>
        <v>OUTDATED</v>
      </c>
      <c r="FG86" s="84" t="str">
        <f>IFERROR(VLOOKUP($B86,'LOD 400 - SITE'!$B:BI,60,FALSE),"N/A")</f>
        <v>NEXT ROUND</v>
      </c>
      <c r="FH86" s="84" t="str">
        <f>IFERROR(VLOOKUP($B86,'LOD 400 - SITE'!$B:BL,63,FALSE),"N/A")</f>
        <v>NEXT ROUND</v>
      </c>
      <c r="FI86" s="84" t="str">
        <f>IFERROR(VLOOKUP($B86,'LOD 400 - SITE'!$B:BO,66,FALSE),"N/A")</f>
        <v>NEXT ROUND </v>
      </c>
      <c r="FJ86" s="84">
        <f>IFERROR(VLOOKUP($B86,'LOD 400 - SITE'!$B:BR,69,FALSE),"N/A")</f>
        <v>0.92</v>
      </c>
      <c r="FK86" s="84">
        <f>IFERROR(VLOOKUP($B86,'LOD 400 - SITE'!$B:BU,72,FALSE),"N/A")</f>
        <v>1</v>
      </c>
      <c r="FL86" s="84">
        <f>IFERROR(VLOOKUP($B86,'LOD 400 - SITE'!$B:BX,75,FALSE),"N/A")</f>
        <v>1</v>
      </c>
      <c r="FM86" s="84">
        <f>IFERROR(VLOOKUP($B86,'LOD 400 - SITE'!$B:CA,78,FALSE),"N/A")</f>
        <v>1</v>
      </c>
      <c r="FN86" s="85">
        <f>IFERROR(VLOOKUP($B86,'LOD 400 - SITE'!$B:CD,81,FALSE),"N/A")</f>
        <v>1</v>
      </c>
      <c r="FO86" s="84">
        <f>IFERROR(VLOOKUP($B86,'LOD 400 - SITE'!$B:CG,84,FALSE),"N/A")</f>
        <v>1</v>
      </c>
      <c r="FP86" s="85">
        <f>IFERROR(VLOOKUP($B86,'LOD 400 - SITE'!$B:CJ,87,FALSE),"N/A")</f>
        <v>1</v>
      </c>
      <c r="FQ86" s="84">
        <f>IFERROR(VLOOKUP($B86,'LOD 400 - SITE'!$B:CM,90,FALSE),"N/A")</f>
        <v>1</v>
      </c>
      <c r="FR86" s="84">
        <f>IFERROR(VLOOKUP($B86,'LOD 400 - SITE'!$B:CP,93,FALSE),"N/A")</f>
        <v>1</v>
      </c>
      <c r="FS86" s="84">
        <f>IFERROR(VLOOKUP($B86,'LOD 400 - SITE'!$B:CS,96,FALSE),"N/A")</f>
        <v>1</v>
      </c>
      <c r="FT86" s="84">
        <f>IFERROR(VLOOKUP($B86,'LOD 400 - SITE'!$B:CV,99,FALSE),"N/A")</f>
        <v>1</v>
      </c>
      <c r="FU86" s="84">
        <f>IFERROR(VLOOKUP($B86,'LOD 400 - SITE'!$B:CY,102,FALSE),"N/A")</f>
        <v>1</v>
      </c>
      <c r="FV86" s="84">
        <f>IFERROR(VLOOKUP($B86,'LOD 400 - SITE'!$B:DB,105,FALSE),"N/A")</f>
        <v>1</v>
      </c>
      <c r="FW86" s="84">
        <f>IFERROR(VLOOKUP($B86,'LOD 400 - SITE'!$B:DE,108,FALSE),"N/A")</f>
        <v>1</v>
      </c>
      <c r="FX86" s="84">
        <f>IFERROR(VLOOKUP($B86,'LOD 400 - SITE'!$B:DH,111,FALSE),"N/A")</f>
        <v>1</v>
      </c>
      <c r="FY86" s="84">
        <f>IFERROR(VLOOKUP($B86,'LOD 400 - SITE'!$B:DK,114,FALSE),"N/A")</f>
        <v>1</v>
      </c>
      <c r="FZ86" s="96">
        <f>IFERROR(__xludf.DUMMYFUNCTION("IFERROR(
  MAX(FILTER(ES86:FY86, ISNUMBER(ES86:FY86))),
  FY86
)"),1.0)</f>
        <v>1</v>
      </c>
      <c r="GA86" s="80" t="str">
        <f>IFERROR(VLOOKUP($B86,'LOD 400 - UTLS'!B:S,18,FALSE),"N/A")</f>
        <v>OUTDATED</v>
      </c>
      <c r="GB86" s="98" t="str">
        <f>IFERROR(VLOOKUP($B86,'LOD 400 - UTLS'!B:V,21,FALSE),"N/A")</f>
        <v>OUTDATED</v>
      </c>
      <c r="GC86" s="81">
        <f>IFERROR(VLOOKUP($B86,'LOD 400 - UTLS'!B:Y,24,FALSE),"N/A")</f>
        <v>0.25</v>
      </c>
      <c r="GD86" s="87" t="str">
        <f>IFERROR(VLOOKUP($B86,'LOD 400 - UTLS'!$B:AB,27,FALSE),"N/A")</f>
        <v>OUTDATED</v>
      </c>
      <c r="GE86" s="80" t="str">
        <f>IFERROR(VLOOKUP($B86,'LOD 400 - UTLS'!$B:AE,30,FALSE),"N/A")</f>
        <v>IMPROPER</v>
      </c>
      <c r="GF86" s="82">
        <f>IFERROR(VLOOKUP($B86,'LOD 400 - UTLS'!$B:AH,33,FALSE),"N/A")</f>
        <v>0.25</v>
      </c>
      <c r="GG86" s="88" t="str">
        <f>IFERROR(VLOOKUP($B86,'LOD 400 - UTLS'!$B:AK,36,FALSE),"N/A")</f>
        <v>IMPROPER</v>
      </c>
      <c r="GH86" s="84" t="str">
        <f>IFERROR(VLOOKUP($B86,'LOD 400 - UTLS'!$B:AN,39,FALSE),"N/A")</f>
        <v>IMPROPER</v>
      </c>
      <c r="GI86" s="84" t="str">
        <f>IFERROR(VLOOKUP($B86,'LOD 400 - UTLS'!$B:AQ,42,FALSE),"N/A")</f>
        <v>IMPROPER</v>
      </c>
      <c r="GJ86" s="84" t="str">
        <f>IFERROR(VLOOKUP($B86,'LOD 400 - UTLS'!$B:AT,45,FALSE),"N/A")</f>
        <v>IMPROPER</v>
      </c>
      <c r="GK86" s="84" t="str">
        <f>IFERROR(VLOOKUP($B86,'LOD 400 - UTLS'!$B:AW,48,FALSE),"N/A")</f>
        <v>OUTDATED</v>
      </c>
      <c r="GL86" s="84" t="str">
        <f>IFERROR(VLOOKUP($B86,'LOD 400 - UTLS'!$B:AZ,51,FALSE),"N/A")</f>
        <v>NEXT ROUND</v>
      </c>
      <c r="GM86" s="84" t="str">
        <f>IFERROR(VLOOKUP($B86,'LOD 400 - UTLS'!$B:BC,54,FALSE),"N/A")</f>
        <v>NEXT ROUND</v>
      </c>
      <c r="GN86" s="84" t="str">
        <f>IFERROR(VLOOKUP($B86,'LOD 400 - UTLS'!$B:BF,57,FALSE),"N/A")</f>
        <v>NEXT ROUND </v>
      </c>
      <c r="GO86" s="84">
        <f>IFERROR(VLOOKUP($B86,'LOD 400 - UTLS'!$B:BI,60,FALSE),"N/A")</f>
        <v>0.92</v>
      </c>
      <c r="GP86" s="84">
        <f>IFERROR(VLOOKUP($B86,'LOD 400 - UTLS'!$B:BL,63,FALSE),"N/A")</f>
        <v>1</v>
      </c>
      <c r="GQ86" s="84">
        <f>IFERROR(VLOOKUP($B86,'LOD 400 - UTLS'!$B:BO,66,FALSE),"N/A")</f>
        <v>1</v>
      </c>
      <c r="GR86" s="84">
        <f>IFERROR(VLOOKUP($B86,'LOD 400 - UTLS'!$B:BR,69,FALSE),"N/A")</f>
        <v>1</v>
      </c>
      <c r="GS86" s="85">
        <f>IFERROR(VLOOKUP($B86,'LOD 400 - UTLS'!$B:BU,72,FALSE),"N/A")</f>
        <v>1</v>
      </c>
      <c r="GT86" s="84">
        <f>IFERROR(VLOOKUP($B86,'LOD 400 - UTLS'!$B:BX,75,FALSE),"N/A")</f>
        <v>1</v>
      </c>
      <c r="GU86" s="85">
        <f>IFERROR(VLOOKUP($B86,'LOD 400 - UTLS'!$B:CA,78,FALSE),"N/A")</f>
        <v>1</v>
      </c>
      <c r="GV86" s="84">
        <f>IFERROR(VLOOKUP($B86,'LOD 400 - UTLS'!$B:CD,81,FALSE),"N/A")</f>
        <v>1</v>
      </c>
      <c r="GW86" s="84">
        <f>IFERROR(VLOOKUP($B86,'LOD 400 - UTLS'!$B:CG,84,FALSE),"N/A")</f>
        <v>1</v>
      </c>
      <c r="GX86" s="84">
        <f>IFERROR(VLOOKUP($B86,'LOD 400 - UTLS'!$B:CJ,87,FALSE),"N/A")</f>
        <v>1</v>
      </c>
      <c r="GY86" s="84">
        <f>IFERROR(VLOOKUP($B86,'LOD 400 - UTLS'!$B:CM,90,FALSE),"N/A")</f>
        <v>1</v>
      </c>
      <c r="GZ86" s="84">
        <f>IFERROR(VLOOKUP($B86,'LOD 400 - UTLS'!$B:CP,93,FALSE),"N/A")</f>
        <v>1</v>
      </c>
      <c r="HA86" s="84">
        <f>IFERROR(VLOOKUP($B86,'LOD 400 - UTLS'!$B:CS,96,FALSE),"N/A")</f>
        <v>1</v>
      </c>
      <c r="HB86" s="84">
        <f>IFERROR(VLOOKUP($B86,'LOD 400 - UTLS'!$B:CV,99,FALSE),"N/A")</f>
        <v>1</v>
      </c>
      <c r="HC86" s="84">
        <f>IFERROR(VLOOKUP($B86,'LOD 400 - UTLS'!$B:CY,102,FALSE),"N/A")</f>
        <v>1</v>
      </c>
      <c r="HD86" s="84">
        <f>IFERROR(VLOOKUP($B86,'LOD 400 - UTLS'!$B:DB,105,FALSE),"N/A")</f>
        <v>1</v>
      </c>
      <c r="HE86" s="96">
        <f>IFERROR(__xludf.DUMMYFUNCTION("IFERROR(
  MAX(FILTER(GA86:HD86, ISNUMBER(GA86:HD86))),
  HD86
)"),1.0)</f>
        <v>1</v>
      </c>
      <c r="HF86" s="99"/>
      <c r="HG86" s="99"/>
      <c r="HH86" s="99"/>
      <c r="HI86" s="99"/>
      <c r="HJ86" s="99"/>
      <c r="HK86" s="99"/>
    </row>
    <row r="87" ht="15.0" customHeight="1" outlineLevel="1">
      <c r="A87" s="53">
        <v>91.0</v>
      </c>
      <c r="B87" s="100" t="s">
        <v>255</v>
      </c>
      <c r="C87" s="100" t="s">
        <v>256</v>
      </c>
      <c r="D87" s="64" t="str">
        <f t="shared" si="16"/>
        <v>SITE</v>
      </c>
      <c r="E87" s="101" t="s">
        <v>254</v>
      </c>
      <c r="F87" s="102">
        <v>1119.0</v>
      </c>
      <c r="G87" s="114" t="s">
        <v>121</v>
      </c>
      <c r="H87" s="116">
        <v>0.0</v>
      </c>
      <c r="I87" s="68" t="str">
        <f>IFERROR(VLOOKUP($C84:C108,'R22 RELATÓRIO ACC'!B:F,5,FALSE),"NOT PUBLISHED")</f>
        <v>V18</v>
      </c>
      <c r="J87" s="69" t="str">
        <f>IFERROR(VLOOKUP($C84:C108,'R22 RELATÓRIO ACC'!B:P,15,FALSE),"NOT PUBLISHED")</f>
        <v>08/04/2026</v>
      </c>
      <c r="K87" s="70" t="str">
        <f>IFERROR(VLOOKUP($B84:B108,'RELATÓRIO ACC'!B:F,5,FALSE),"NOT PUBLISHED")</f>
        <v>V6</v>
      </c>
      <c r="L87" s="71" t="str">
        <f>IFERROR(VLOOKUP($B84:B108,'RELATÓRIO ACC'!B:P,15,FALSE),"NOT PUBLISHED")</f>
        <v>24/06/2026</v>
      </c>
      <c r="M87" s="72" t="str">
        <f>IF(OR($D87="UTLS",$D87="GUAR",$D87="STIR",$D87="PUMP",$D87="SITE"),
   VLOOKUP($B87,'LOD 400 - SITE'!B:M,12,FALSE),
   VLOOKUP($B87,'LOD 400 - ADMN'!B:M,12,FALSE)
)</f>
        <v>V12</v>
      </c>
      <c r="N87" s="105">
        <f>IF(OR($D87="UTLS",$D87="GUAR",$D87="STIR",$D87="PUMP",$D87="SITE"),
   VLOOKUP($B87,'LOD 400 - SITE'!B:N,13,FALSE),
   VLOOKUP($B87,'LOD 400 - ADMN'!B:N,13,FALSE)
)</f>
        <v>46055</v>
      </c>
      <c r="O87" s="106" t="str">
        <f>IF(OR($D87="UTLS",$D87="GUAR",$D87="STIR",$D87="PUMP",$D87="SITE"),
   VLOOKUP($B87,'LOD 400 - SITE'!B:O,14,FALSE),
   VLOOKUP($B87,'LOD 400 - ADMN'!B:O,14,FALSE)
)</f>
        <v>R22</v>
      </c>
      <c r="P87" s="107" t="str">
        <f>IF(OR($D87="C345",$D87="C12A",$D87="DATA"),
   VLOOKUP($B87,'LOD 400 - COLO3'!B:M,12,FALSE),"N/A")</f>
        <v>N/A</v>
      </c>
      <c r="Q87" s="108" t="str">
        <f>IF(OR($D87="C345",$D87="C12A",$D87="DATA"),
   VLOOKUP($B87,'LOD 400 - COLO3'!B:N,13,FALSE),"N/A")</f>
        <v>N/A</v>
      </c>
      <c r="R87" s="75" t="str">
        <f>IF(OR($D87="C345",$D87="C12A",$D87="DATA"),
   VLOOKUP($B87,'LOD 400 - COLO3'!B:O,14,FALSE),"N/A")</f>
        <v>N/A</v>
      </c>
      <c r="S87" s="76" t="str">
        <f>IF(OR($D87="C345",$D87="C12A",$D87="DATA"),
   VLOOKUP($B87,'LOD 400 - COLO4'!B:N,12,FALSE),"N/A")</f>
        <v>N/A</v>
      </c>
      <c r="T87" s="76" t="str">
        <f>IF(OR($D87="C345",$D87="C12A",$D87="DATA"),
   VLOOKUP($B87,'LOD 400 - COLO4'!B:N,13,FALSE),"N/A")</f>
        <v>N/A</v>
      </c>
      <c r="U87" s="76" t="str">
        <f>IF(OR($D87="C345",$D87="C12A",$D87="DATA"),
   VLOOKUP($B87,'LOD 400 - COLO4'!B:N,13,FALSE),"N/A")</f>
        <v>N/A</v>
      </c>
      <c r="V87" s="77" t="str">
        <f>IF(OR($D87="UTLS",$D87="GUAR",$D87="STIR",$D87="PUMP",$D87="SITE"),
   VLOOKUP($B87,'LOD 400 - UTLS'!B:M,12,FALSE),"N/A")</f>
        <v>V12</v>
      </c>
      <c r="W87" s="78" t="str">
        <f>IF(OR($D87="UTLS",$D87="GUAR",$D87="STIR",$D87="PUMP",$D87="SITE"),
   VLOOKUP($B87,'LOD 400 - UTLS'!B:N,13,FALSE),"N/A")</f>
        <v>02/02/2026</v>
      </c>
      <c r="X87" s="108" t="str">
        <f>IF(OR($D87="UTLS",$D87="GUAR",$D87="STIR",$D87="PUMP",$D87="SITE"),
   VLOOKUP($B87,'LOD 400 - UTLS'!B:O,14,FALSE),"N/A")</f>
        <v>R22</v>
      </c>
      <c r="Y87" s="79" t="str">
        <f>IFERROR(VLOOKUP($B87,'LOD 400 - ADMN'!B:S,18,FALSE),"N/A")</f>
        <v>N/A</v>
      </c>
      <c r="Z87" s="79" t="str">
        <f>IFERROR(VLOOKUP($B87,'LOD 400 - ADMN'!B:V,21,FALSE),"N/A")</f>
        <v>N/A</v>
      </c>
      <c r="AA87" s="79" t="str">
        <f>IFERROR(VLOOKUP($B87,'LOD 400 - ADMN'!$B:Y,24,FALSE),"N/A")</f>
        <v>N/A</v>
      </c>
      <c r="AB87" s="80" t="str">
        <f>IFERROR(VLOOKUP($B87,'LOD 400 - ADMN'!$B:AB,27,FALSE),"N/A")</f>
        <v>N/A</v>
      </c>
      <c r="AC87" s="81" t="str">
        <f>IFERROR(VLOOKUP($B87,'LOD 400 - ADMN'!$B:AE,30,FALSE),"N/A")</f>
        <v>N/A</v>
      </c>
      <c r="AD87" s="81" t="str">
        <f>IFERROR(VLOOKUP($B87,'LOD 400 - ADMN'!$B:AH,33,FALSE),"N/A")</f>
        <v>N/A</v>
      </c>
      <c r="AE87" s="80" t="str">
        <f>IFERROR(VLOOKUP($B87,'LOD 400 - ADMN'!$B:AK,36,FALSE),"N/A")</f>
        <v>N/A</v>
      </c>
      <c r="AF87" s="82" t="str">
        <f>IFERROR(VLOOKUP($B87,'LOD 400 - ADMN'!$B:AN,39,FALSE),"N/A")</f>
        <v>N/A</v>
      </c>
      <c r="AG87" s="83" t="str">
        <f>IFERROR(VLOOKUP($B87,'LOD 400 - ADMN'!$B:AQ,42,FALSE),"N/A")</f>
        <v>N/A</v>
      </c>
      <c r="AH87" s="84" t="str">
        <f>IFERROR(VLOOKUP($B87,'LOD 400 - ADMN'!$B:AT,45,FALSE),"N/A")</f>
        <v>N/A</v>
      </c>
      <c r="AI87" s="85" t="str">
        <f>IFERROR(VLOOKUP($B87,'LOD 400 - ADMN'!$B:AW,48,FALSE),"N/A")</f>
        <v>N/A</v>
      </c>
      <c r="AJ87" s="85" t="str">
        <f>IFERROR(VLOOKUP($B87,'LOD 400 - ADMN'!$B:AZ,51,FALSE),"N/A")</f>
        <v>N/A</v>
      </c>
      <c r="AK87" s="84" t="str">
        <f>IFERROR(VLOOKUP($B87,'LOD 400 - ADMN'!$B:BC,54,FALSE),"N/A")</f>
        <v>N/A</v>
      </c>
      <c r="AL87" s="84" t="str">
        <f>IFERROR(VLOOKUP($B87,'LOD 400 - ADMN'!$B:BF,57,FALSE),"N/A")</f>
        <v>N/A</v>
      </c>
      <c r="AM87" s="84" t="str">
        <f>IFERROR(VLOOKUP($B87,'LOD 400 - ADMN'!$B:BI,60,FALSE),"N/A")</f>
        <v>N/A</v>
      </c>
      <c r="AN87" s="84" t="str">
        <f>IFERROR(VLOOKUP($B87,'LOD 400 - ADMN'!$B:BL,63,FALSE),"N/A")</f>
        <v>N/A</v>
      </c>
      <c r="AO87" s="84" t="str">
        <f>IFERROR(VLOOKUP($B87,'LOD 400 - ADMN'!$B:BO,66,FALSE),"N/A")</f>
        <v>N/A</v>
      </c>
      <c r="AP87" s="84" t="str">
        <f>IFERROR(VLOOKUP($B87,'LOD 400 - ADMN'!$B:BR,69,FALSE),"N/A")</f>
        <v>N/A</v>
      </c>
      <c r="AQ87" s="84" t="str">
        <f>IFERROR(VLOOKUP($B87,'LOD 400 - ADMN'!$B:BU,72,FALSE),"N/A")</f>
        <v>N/A</v>
      </c>
      <c r="AR87" s="84" t="str">
        <f>IFERROR(VLOOKUP($B87,'LOD 400 - ADMN'!$B:BX,75,FALSE),"N/A")</f>
        <v>N/A</v>
      </c>
      <c r="AS87" s="84" t="str">
        <f>IFERROR(VLOOKUP($B87,'LOD 400 - ADMN'!$B:CA,78,FALSE),"N/A")</f>
        <v>N/A</v>
      </c>
      <c r="AT87" s="84" t="str">
        <f>IFERROR(VLOOKUP($B87,'LOD 400 - ADMN'!$B:CD,81,FALSE),"N/A")</f>
        <v>N/A</v>
      </c>
      <c r="AU87" s="85" t="str">
        <f>IFERROR(VLOOKUP($B87,'LOD 400 - ADMN'!$B:CG,84,FALSE),"N/A")</f>
        <v>N/A</v>
      </c>
      <c r="AV87" s="84" t="str">
        <f>IFERROR(VLOOKUP($B87,'LOD 400 - ADMN'!$B:CJ,87,FALSE),"N/A")</f>
        <v>N/A</v>
      </c>
      <c r="AW87" s="85" t="str">
        <f>IFERROR(VLOOKUP($B87,'LOD 400 - ADMN'!$B:CM,90,FALSE),"N/A")</f>
        <v>N/A</v>
      </c>
      <c r="AX87" s="84" t="str">
        <f>IFERROR(VLOOKUP($B87,'LOD 400 - ADMN'!$B:CP,93,FALSE),"N/A")</f>
        <v>N/A</v>
      </c>
      <c r="AY87" s="84" t="str">
        <f>IFERROR(VLOOKUP($B87,'LOD 400 - ADMN'!$B:CS,96,FALSE),"N/A")</f>
        <v>N/A</v>
      </c>
      <c r="AZ87" s="84" t="str">
        <f>IFERROR(VLOOKUP($B87,'LOD 400 - ADMN'!$B:CV,99,FALSE),"N/A")</f>
        <v>N/A</v>
      </c>
      <c r="BA87" s="84" t="str">
        <f>IFERROR(VLOOKUP($B87,'LOD 400 - ADMN'!$B:CY,102,FALSE),"N/A")</f>
        <v>N/A</v>
      </c>
      <c r="BB87" s="84" t="str">
        <f>IFERROR(VLOOKUP($B87,'LOD 400 - ADMN'!$B:DB,105,FALSE),"N/A")</f>
        <v>N/A</v>
      </c>
      <c r="BC87" s="84" t="str">
        <f>IFERROR(VLOOKUP($B87,'LOD 400 - ADMN'!$B:DE,108,FALSE),"N/A")</f>
        <v>N/A</v>
      </c>
      <c r="BD87" s="84" t="str">
        <f>IFERROR(VLOOKUP($B87,'LOD 400 - ADMN'!$B:DH,111,FALSE),"N/A")</f>
        <v>N/A</v>
      </c>
      <c r="BE87" s="84" t="str">
        <f>IFERROR(VLOOKUP($B87,'LOD 400 - ADMN'!$B:DK,114,FALSE),"N/A")</f>
        <v>N/A</v>
      </c>
      <c r="BF87" s="84" t="str">
        <f>IFERROR(VLOOKUP($B87,'LOD 400 - ADMN'!$B:DN,117,FALSE),"N/A")</f>
        <v>N/A</v>
      </c>
      <c r="BG87" s="86" t="str">
        <f>IFERROR(__xludf.DUMMYFUNCTION("IFERROR(
  MAX(FILTER(Y87:BF87, ISNUMBER(Y87:BF87))),
  BF87
)"),"N/A")</f>
        <v>N/A</v>
      </c>
      <c r="BH87" s="79" t="str">
        <f>IFERROR(VLOOKUP($B87,'LOD 400 - COLO1'!B:S,18,FALSE),"N/A")</f>
        <v>N/A</v>
      </c>
      <c r="BI87" s="79" t="str">
        <f>IFERROR(VLOOKUP($B87,'LOD 400 - COLO1'!B:V,21,FALSE),"N/A")</f>
        <v>N/A</v>
      </c>
      <c r="BJ87" s="79" t="str">
        <f>IFERROR(VLOOKUP($B87,'LOD 400 - COLO1'!$B:Y,24,FALSE),"N/A")</f>
        <v>N/A</v>
      </c>
      <c r="BK87" s="87" t="str">
        <f>IFERROR(VLOOKUP($B87,'LOD 400 - COLO1'!$B:AB,27,FALSE),"N/A")</f>
        <v>N/A</v>
      </c>
      <c r="BL87" s="80" t="str">
        <f>IFERROR(VLOOKUP($B87,'LOD 400 - COLO1'!$B:AE,30,FALSE),"N/A")</f>
        <v>N/A</v>
      </c>
      <c r="BM87" s="81" t="str">
        <f>IFERROR(VLOOKUP($B87,'LOD 400 - COLO1'!$B:AH,33,FALSE),"N/A")</f>
        <v>N/A</v>
      </c>
      <c r="BN87" s="87" t="str">
        <f>IFERROR(VLOOKUP($B87,'LOD 400 - COLO1'!$B:AK,36,FALSE),"N/A")</f>
        <v>N/A</v>
      </c>
      <c r="BO87" s="83" t="str">
        <f>IFERROR(VLOOKUP($B87,'LOD 400 - COLO1'!$B:AN,39,FALSE),"N/A")</f>
        <v>N/A</v>
      </c>
      <c r="BP87" s="88" t="str">
        <f>IFERROR(VLOOKUP($B87,'LOD 400 - COLO1'!$B:AQ,42,FALSE),"N/A")</f>
        <v>N/A</v>
      </c>
      <c r="BQ87" s="84" t="str">
        <f>IFERROR(VLOOKUP($B87,'LOD 400 - COLO1'!$B:AT,45,FALSE),"N/A")</f>
        <v>N/A</v>
      </c>
      <c r="BR87" s="85" t="str">
        <f>IFERROR(VLOOKUP($B87,'LOD 400 - COLO1'!$B:AW,48,FALSE),"N/A")</f>
        <v>N/A</v>
      </c>
      <c r="BS87" s="84" t="str">
        <f>IFERROR(VLOOKUP($B87,'LOD 400 - COLO1'!$B:AZ,51,FALSE),"N/A")</f>
        <v>N/A</v>
      </c>
      <c r="BT87" s="84" t="str">
        <f>IFERROR(VLOOKUP($B87,'LOD 400 - COLO1'!$B:BC,54,FALSE),"N/A")</f>
        <v>N/A</v>
      </c>
      <c r="BU87" s="84" t="str">
        <f>IFERROR(VLOOKUP($B87,'LOD 400 - COLO1'!$B:BF,57,FALSE),"N/A")</f>
        <v>N/A</v>
      </c>
      <c r="BV87" s="84" t="str">
        <f>IFERROR(VLOOKUP($B87,'LOD 400 - COLO1'!$B:BI,60,FALSE),"N/A")</f>
        <v>N/A</v>
      </c>
      <c r="BW87" s="84" t="str">
        <f>IFERROR(VLOOKUP($B87,'LOD 400 - COLO1'!$B:BL,63,FALSE),"N/A")</f>
        <v>N/A</v>
      </c>
      <c r="BX87" s="84" t="str">
        <f>IFERROR(VLOOKUP($B87,'LOD 400 - COLO1'!$B:BO,66,FALSE),"N/A")</f>
        <v>N/A</v>
      </c>
      <c r="BY87" s="84" t="str">
        <f>IFERROR(VLOOKUP($B87,'LOD 400 - COLO1'!$B:BR,69,FALSE),"N/A")</f>
        <v>N/A</v>
      </c>
      <c r="BZ87" s="84" t="str">
        <f>IFERROR(VLOOKUP($B87,'LOD 400 - COLO1'!$B:BU,72,FALSE),"N/A")</f>
        <v>N/A</v>
      </c>
      <c r="CA87" s="84" t="str">
        <f>IFERROR(VLOOKUP($B87,'LOD 400 - COLO1'!$B:BX,75,FALSE),"N/A")</f>
        <v>N/A</v>
      </c>
      <c r="CB87" s="84" t="str">
        <f>IFERROR(VLOOKUP($B87,'LOD 400 - COLO1'!$B:CA,78,FALSE),"N/A")</f>
        <v>N/A</v>
      </c>
      <c r="CC87" s="84" t="str">
        <f>IFERROR(VLOOKUP($B87,'LOD 400 - COLO1'!$B:CD,81,FALSE),"N/A")</f>
        <v>N/A</v>
      </c>
      <c r="CD87" s="85" t="str">
        <f>IFERROR(VLOOKUP($B87,'LOD 400 - COLO1'!$B:CG,84,FALSE),"N/A")</f>
        <v>N/A</v>
      </c>
      <c r="CE87" s="84" t="str">
        <f>IFERROR(VLOOKUP($B87,'LOD 400 - COLO1'!$B:CJ,87,FALSE),"N/A")</f>
        <v>N/A</v>
      </c>
      <c r="CF87" s="85" t="str">
        <f>IFERROR(VLOOKUP($B87,'LOD 400 - COLO1'!$B:CM,90,FALSE),"N/A")</f>
        <v>N/A</v>
      </c>
      <c r="CG87" s="84" t="str">
        <f>IFERROR(VLOOKUP($B87,'LOD 400 - COLO1'!$B:CP,93,FALSE),"N/A")</f>
        <v>N/A</v>
      </c>
      <c r="CH87" s="84" t="str">
        <f>IFERROR(VLOOKUP($B87,'LOD 400 - COLO1'!$B:CS,96,FALSE),"N/A")</f>
        <v>N/A</v>
      </c>
      <c r="CI87" s="84" t="str">
        <f>IFERROR(VLOOKUP($B87,'LOD 400 - COLO1'!$B:CV,99,FALSE),"N/A")</f>
        <v>N/A</v>
      </c>
      <c r="CJ87" s="84" t="str">
        <f>IFERROR(VLOOKUP($B87,'LOD 400 - COLO1'!$B:CY,102,FALSE),"N/A")</f>
        <v>N/A</v>
      </c>
      <c r="CK87" s="84" t="str">
        <f>IFERROR(VLOOKUP($B87,'LOD 400 - COLO1'!$B:DB,105,FALSE),"N/A")</f>
        <v>N/A</v>
      </c>
      <c r="CL87" s="84" t="str">
        <f>IFERROR(VLOOKUP($B87,'LOD 400 - COLO1'!$B:DE,108,FALSE),"N/A")</f>
        <v>N/A</v>
      </c>
      <c r="CM87" s="84" t="str">
        <f>IFERROR(VLOOKUP($B87,'LOD 400 - COLO1'!$B:DH,111,FALSE),"N/A")</f>
        <v>N/A</v>
      </c>
      <c r="CN87" s="84" t="str">
        <f>IFERROR(VLOOKUP($B87,'LOD 400 - COLO1'!$B:DK,114,FALSE),"N/A")</f>
        <v>N/A</v>
      </c>
      <c r="CO87" s="84" t="str">
        <f>IFERROR(VLOOKUP($B87,'LOD 400 - COLO1'!$B:DN,117,FALSE),"N/A")</f>
        <v>N/A</v>
      </c>
      <c r="CP87" s="86" t="str">
        <f>IFERROR(__xludf.DUMMYFUNCTION("IFERROR(
  MAX(FILTER(BH87:CO87, ISNUMBER(BH87:CO87))),
  CO87
)"),"N/A")</f>
        <v>N/A</v>
      </c>
      <c r="CQ87" s="89" t="str">
        <f>IFERROR(VLOOKUP($B87,'LOD 400 - COLO2'!B:S,18,FALSE),"N/A")</f>
        <v>N/A</v>
      </c>
      <c r="CR87" s="79" t="str">
        <f>IFERROR(VLOOKUP($B87,'LOD 400 - COLO2'!B:V,21,FALSE),"N/A")</f>
        <v>N/A</v>
      </c>
      <c r="CS87" s="79" t="str">
        <f>IFERROR(VLOOKUP($B87,'LOD 400 - COLO2'!$B:Y,24,FALSE),"N/A")</f>
        <v>N/A</v>
      </c>
      <c r="CT87" s="80" t="str">
        <f>IFERROR(VLOOKUP($B87,'LOD 400 - COLO2'!$B:DQ,27,FALSE),"N/A")</f>
        <v>N/A</v>
      </c>
      <c r="CU87" s="90" t="str">
        <f>IFERROR(VLOOKUP($B87,'LOD 400 - COLO2'!$B:AE,30,FALSE),"N/A")</f>
        <v>N/A</v>
      </c>
      <c r="CV87" s="81" t="str">
        <f>IFERROR(VLOOKUP($B87,'LOD 400 - COLO2'!$B:AH,33,FALSE),"N/A")</f>
        <v>N/A</v>
      </c>
      <c r="CW87" s="90" t="str">
        <f>IFERROR(VLOOKUP($B87,'LOD 400 - COLO2'!$B:AK,36,FALSE),"N/A")</f>
        <v>N/A</v>
      </c>
      <c r="CX87" s="85" t="str">
        <f>IFERROR(VLOOKUP($B87,'LOD 400 - COLO2'!$B:AN,39,FALSE),"N/A")</f>
        <v>N/A</v>
      </c>
      <c r="CY87" s="88" t="str">
        <f>IFERROR(VLOOKUP($B87,'LOD 400 - COLO2'!$B:AQ,42,FALSE),"N/A")</f>
        <v>N/A</v>
      </c>
      <c r="CZ87" s="84" t="str">
        <f>IFERROR(VLOOKUP($B87,'LOD 400 - COLO2'!$B:AT,45,FALSE),"N/A")</f>
        <v>N/A</v>
      </c>
      <c r="DA87" s="85" t="str">
        <f>IFERROR(VLOOKUP($B87,'LOD 400 - COLO2'!$B:AW,48,FALSE),"N/A")</f>
        <v>N/A</v>
      </c>
      <c r="DB87" s="84" t="str">
        <f>IFERROR(VLOOKUP($B87,'LOD 400 - COLO2'!$B:AZ,51,FALSE),"N/A")</f>
        <v>N/A</v>
      </c>
      <c r="DC87" s="84" t="str">
        <f>IFERROR(VLOOKUP($B87,'LOD 400 - COLO2'!$B:BC,54,FALSE),"N/A")</f>
        <v>N/A</v>
      </c>
      <c r="DD87" s="84" t="str">
        <f>IFERROR(VLOOKUP($B87,'LOD 400 - COLO2'!$B:BF,57,FALSE),"N/A")</f>
        <v>N/A</v>
      </c>
      <c r="DE87" s="84" t="str">
        <f>IFERROR(VLOOKUP($B87,'LOD 400 - COLO2'!$B:BI,60,FALSE),"N/A")</f>
        <v>N/A</v>
      </c>
      <c r="DF87" s="84" t="str">
        <f>IFERROR(VLOOKUP($B87,'LOD 400 - COLO2'!$B:BL,63,FALSE),"N/A")</f>
        <v>N/A</v>
      </c>
      <c r="DG87" s="84" t="str">
        <f>IFERROR(VLOOKUP($B87,'LOD 400 - COLO2'!$B:BO,66,FALSE),"N/A")</f>
        <v>N/A</v>
      </c>
      <c r="DH87" s="84" t="str">
        <f>IFERROR(VLOOKUP($B87,'LOD 400 - COLO2'!$B:BR,69,FALSE),"N/A")</f>
        <v>N/A</v>
      </c>
      <c r="DI87" s="84" t="str">
        <f>IFERROR(VLOOKUP($B87,'LOD 400 - COLO2'!$B:BU,72,FALSE),"N/A")</f>
        <v>N/A</v>
      </c>
      <c r="DJ87" s="84" t="str">
        <f>IFERROR(VLOOKUP($B87,'LOD 400 - COLO2'!$B:BX,75,FALSE),"N/A")</f>
        <v>N/A</v>
      </c>
      <c r="DK87" s="84" t="str">
        <f>IFERROR(VLOOKUP($B87,'LOD 400 - COLO2'!$B:CA,78,FALSE),"N/A")</f>
        <v>N/A</v>
      </c>
      <c r="DL87" s="84" t="str">
        <f>IFERROR(VLOOKUP($B87,'LOD 400 - COLO2'!$B:CD,81,FALSE),"N/A")</f>
        <v>N/A</v>
      </c>
      <c r="DM87" s="85" t="str">
        <f>IFERROR(VLOOKUP($B87,'LOD 400 - COLO2'!$B:CG,84,FALSE),"N/A")</f>
        <v>N/A</v>
      </c>
      <c r="DN87" s="84" t="str">
        <f>IFERROR(VLOOKUP($B87,'LOD 400 - COLO2'!$B:CJ,87,FALSE),"N/A")</f>
        <v>N/A</v>
      </c>
      <c r="DO87" s="85" t="str">
        <f>IFERROR(VLOOKUP($B87,'LOD 400 - COLO2'!$B:CM,90,FALSE),"N/A")</f>
        <v>N/A</v>
      </c>
      <c r="DP87" s="84" t="str">
        <f>IFERROR(VLOOKUP($B87,'LOD 400 - COLO2'!$B:CP,93,FALSE),"N/A")</f>
        <v>N/A</v>
      </c>
      <c r="DQ87" s="84" t="str">
        <f>IFERROR(VLOOKUP($B87,'LOD 400 - COLO2'!$B:CS,96,FALSE),"N/A")</f>
        <v>N/A</v>
      </c>
      <c r="DR87" s="84" t="str">
        <f>IFERROR(VLOOKUP($B87,'LOD 400 - COLO2'!$B:CV,99,FALSE),"N/A")</f>
        <v>N/A</v>
      </c>
      <c r="DS87" s="84" t="str">
        <f>IFERROR(VLOOKUP($B87,'LOD 400 - COLO2'!$B:CY,102,FALSE),"N/A")</f>
        <v>N/A</v>
      </c>
      <c r="DT87" s="84" t="str">
        <f>IFERROR(VLOOKUP($B87,'LOD 400 - COLO2'!$B:DB,105,FALSE),"N/A")</f>
        <v>N/A</v>
      </c>
      <c r="DU87" s="84" t="str">
        <f>IFERROR(VLOOKUP($B87,'LOD 400 - COLO2'!$B:DE,108,FALSE),"N/A")</f>
        <v>N/A</v>
      </c>
      <c r="DV87" s="84" t="str">
        <f>IFERROR(VLOOKUP($B87,'LOD 400 - COLO2'!$B:DH,111,FALSE),"N/A")</f>
        <v>N/A</v>
      </c>
      <c r="DW87" s="84" t="str">
        <f>IFERROR(VLOOKUP($B87,'LOD 400 - COLO2'!$B:DK,114,FALSE),"N/A")</f>
        <v>N/A</v>
      </c>
      <c r="DX87" s="84" t="str">
        <f>IFERROR(VLOOKUP($B87,'LOD 400 - COLO2'!$B:DN,117,FALSE),"N/A")</f>
        <v>N/A</v>
      </c>
      <c r="DY87" s="91" t="str">
        <f>IFERROR(__xludf.DUMMYFUNCTION("IFERROR(
  MAX(FILTER(CQ87:DW87, ISNUMBER(CQ87:DW87))),
  DW87
)"),"N/A")</f>
        <v>N/A</v>
      </c>
      <c r="DZ87" s="92" t="str">
        <f>IFERROR(VLOOKUP($B87,'LOD 400 - COLO3'!B:S,18,FALSE),"N/A")</f>
        <v>N/A</v>
      </c>
      <c r="EA87" s="84" t="str">
        <f>IFERROR(VLOOKUP($B87,'LOD 400 - COLO3'!B:V,21,FALSE),"N/A")</f>
        <v>N/A</v>
      </c>
      <c r="EB87" s="84" t="str">
        <f>IFERROR(VLOOKUP($B87,'LOD 400 - COLO3'!B:Y,24,FALSE),"N/A")</f>
        <v>N/A</v>
      </c>
      <c r="EC87" s="84" t="str">
        <f>IFERROR(VLOOKUP($B87,'LOD 400 - COLO3'!B:AB,27,FALSE),"N/A")</f>
        <v>N/A</v>
      </c>
      <c r="ED87" s="85" t="str">
        <f>IFERROR(VLOOKUP($B87,'LOD 400 - COLO3'!B:AE,30,FALSE),"N/A")</f>
        <v>N/A</v>
      </c>
      <c r="EE87" s="84" t="str">
        <f>IFERROR(VLOOKUP($B87,'LOD 400 - COLO3'!B:AH,33,FALSE),"N/A")</f>
        <v>N/A</v>
      </c>
      <c r="EF87" s="84" t="str">
        <f>IFERROR(VLOOKUP($B87,'LOD 400 - COLO3'!B:AK,36,FALSE),"N/A")</f>
        <v>N/A</v>
      </c>
      <c r="EG87" s="109" t="str">
        <f>IFERROR(VLOOKUP($B87,'LOD 400 - COLO3'!B:AN,39,FALSE),"N/A")</f>
        <v>N/A</v>
      </c>
      <c r="EH87" s="94" t="str">
        <f>IFERROR(VLOOKUP($B87,'LOD 400 - COLO3'!B:AQ,42,FALSE),"N/A")</f>
        <v>N/A</v>
      </c>
      <c r="EI87" s="353" t="s">
        <v>257</v>
      </c>
      <c r="EJ87" s="94" t="str">
        <f>IFERROR(VLOOKUP($B87,'LOD 400 - COLO3'!B:AW,48,FALSE),"N/A")</f>
        <v>N/A</v>
      </c>
      <c r="EK87" s="94" t="str">
        <f>IFERROR(VLOOKUP($B87,'LOD 400 - COLO3'!B:AZ,51,FALSE),"N/A")</f>
        <v>N/A</v>
      </c>
      <c r="EL87" s="94" t="str">
        <f>IFERROR(VLOOKUP($B87,'LOD 400 - COLO3'!B:BC,54,FALSE),"N/A")</f>
        <v>N/A</v>
      </c>
      <c r="EM87" s="94" t="str">
        <f>IFERROR(VLOOKUP($B87,'LOD 400 - COLO3'!B:BF,57,FALSE),"N/A")</f>
        <v>N/A</v>
      </c>
      <c r="EN87" s="94" t="str">
        <f>IFERROR(VLOOKUP($B87,'LOD 400 - COLO3'!B:BI,60,FALSE),"N/A")</f>
        <v>N/A</v>
      </c>
      <c r="EO87" s="94" t="str">
        <f>IFERROR(VLOOKUP($B87,'LOD 400 - COLO3'!B:BL,63,FALSE),"N/A")</f>
        <v>N/A</v>
      </c>
      <c r="EP87" s="86" t="str">
        <f>IFERROR(__xludf.DUMMYFUNCTION("IFERROR(
  MAX(FILTER(DZ87:EO87, ISNUMBER(DZ87:EO87))),
  EO87
)"),"N/A")</f>
        <v>N/A</v>
      </c>
      <c r="EQ87" s="95" t="str">
        <f>IFERROR(VLOOKUP($B87,'LOD 400 - COLO4'!B:S,18,FALSE),"N/A")</f>
        <v>N/A</v>
      </c>
      <c r="ER87" s="96" t="str">
        <f>IFERROR(__xludf.DUMMYFUNCTION("IFERROR(
  MAX(FILTER(EQ87, ISNUMBER(EQ87))),
  EQ87
)"),"N/A")</f>
        <v>N/A</v>
      </c>
      <c r="ES87" s="79" t="str">
        <f>IFERROR(VLOOKUP($B87,'LOD 400 - SITE'!B:S,18,FALSE),"N/A")</f>
        <v>NOT PUBLISHED</v>
      </c>
      <c r="ET87" s="80" t="str">
        <f>IFERROR(VLOOKUP($B87,'LOD 400 - SITE'!B:V,21,FALSE),"N/A")</f>
        <v>NOT PUBLISHED</v>
      </c>
      <c r="EU87" s="97" t="str">
        <f>IFERROR(VLOOKUP($B87,'LOD 400 - SITE'!$B:Y,24,FALSE),"N/A")</f>
        <v>NOT PUBLISHED</v>
      </c>
      <c r="EV87" s="80" t="str">
        <f>IFERROR(VLOOKUP($B87,'LOD 400 - SITE'!$B:AB,27,FALSE),"N/A")</f>
        <v>NOT PUBLISHED</v>
      </c>
      <c r="EW87" s="81" t="str">
        <f>IFERROR(VLOOKUP($B87,'LOD 400 - SITE'!$B:AE,30,FALSE),"N/A")</f>
        <v>NOT PUBLISHED</v>
      </c>
      <c r="EX87" s="87" t="str">
        <f>IFERROR(VLOOKUP($B87,'LOD 400 - SITE'!$B:AH,33,FALSE),"N/A")</f>
        <v>NOT PUBLISHED</v>
      </c>
      <c r="EY87" s="87" t="str">
        <f>IFERROR(VLOOKUP($B87,'LOD 400 - SITE'!$B:AK,36,FALSE),"N/A")</f>
        <v>NOT PUBLISHED</v>
      </c>
      <c r="EZ87" s="80" t="str">
        <f>IFERROR(VLOOKUP($B87,'LOD 400 - SITE'!$B:AN,39,FALSE),"N/A")</f>
        <v>NOT PUBLISHED</v>
      </c>
      <c r="FA87" s="82" t="str">
        <f>IFERROR(VLOOKUP($B87,'LOD 400 - SITE'!$B:AQ,42,FALSE),"N/A")</f>
        <v>NOT PUBLISHED</v>
      </c>
      <c r="FB87" s="88" t="str">
        <f>IFERROR(VLOOKUP($B87,'LOD 400 - SITE'!$B:AT,45,FALSE),"N/A")</f>
        <v>NOT PUBLISHED</v>
      </c>
      <c r="FC87" s="84" t="str">
        <f>IFERROR(VLOOKUP($B87,'LOD 400 - SITE'!$B:AW,48,FALSE),"N/A")</f>
        <v>NOT PUBLISHED</v>
      </c>
      <c r="FD87" s="84">
        <f>IFERROR(VLOOKUP($B87,'LOD 400 - SITE'!$B:AZ,51,FALSE),"N/A")</f>
        <v>1</v>
      </c>
      <c r="FE87" s="84">
        <f>IFERROR(VLOOKUP($B87,'LOD 400 - SITE'!$B:BC,54,FALSE),"N/A")</f>
        <v>1</v>
      </c>
      <c r="FF87" s="84">
        <f>IFERROR(VLOOKUP($B87,'LOD 400 - SITE'!$B:BF,57,FALSE),"N/A")</f>
        <v>1</v>
      </c>
      <c r="FG87" s="84">
        <f>IFERROR(VLOOKUP($B87,'LOD 400 - SITE'!$B:BI,60,FALSE),"N/A")</f>
        <v>1</v>
      </c>
      <c r="FH87" s="84">
        <f>IFERROR(VLOOKUP($B87,'LOD 400 - SITE'!$B:BL,63,FALSE),"N/A")</f>
        <v>1</v>
      </c>
      <c r="FI87" s="84">
        <f>IFERROR(VLOOKUP($B87,'LOD 400 - SITE'!$B:BO,66,FALSE),"N/A")</f>
        <v>1</v>
      </c>
      <c r="FJ87" s="84">
        <f>IFERROR(VLOOKUP($B87,'LOD 400 - SITE'!$B:BR,69,FALSE),"N/A")</f>
        <v>1</v>
      </c>
      <c r="FK87" s="84">
        <f>IFERROR(VLOOKUP($B87,'LOD 400 - SITE'!$B:BU,72,FALSE),"N/A")</f>
        <v>1</v>
      </c>
      <c r="FL87" s="84">
        <f>IFERROR(VLOOKUP($B87,'LOD 400 - SITE'!$B:BX,75,FALSE),"N/A")</f>
        <v>1</v>
      </c>
      <c r="FM87" s="84">
        <f>IFERROR(VLOOKUP($B87,'LOD 400 - SITE'!$B:CA,78,FALSE),"N/A")</f>
        <v>1</v>
      </c>
      <c r="FN87" s="85">
        <f>IFERROR(VLOOKUP($B87,'LOD 400 - SITE'!$B:CD,81,FALSE),"N/A")</f>
        <v>1</v>
      </c>
      <c r="FO87" s="84">
        <f>IFERROR(VLOOKUP($B87,'LOD 400 - SITE'!$B:CG,84,FALSE),"N/A")</f>
        <v>1</v>
      </c>
      <c r="FP87" s="85">
        <f>IFERROR(VLOOKUP($B87,'LOD 400 - SITE'!$B:CJ,87,FALSE),"N/A")</f>
        <v>1</v>
      </c>
      <c r="FQ87" s="84">
        <f>IFERROR(VLOOKUP($B87,'LOD 400 - SITE'!$B:CM,90,FALSE),"N/A")</f>
        <v>1</v>
      </c>
      <c r="FR87" s="84">
        <f>IFERROR(VLOOKUP($B87,'LOD 400 - SITE'!$B:CP,93,FALSE),"N/A")</f>
        <v>1</v>
      </c>
      <c r="FS87" s="84">
        <f>IFERROR(VLOOKUP($B87,'LOD 400 - SITE'!$B:CS,96,FALSE),"N/A")</f>
        <v>1</v>
      </c>
      <c r="FT87" s="84">
        <f>IFERROR(VLOOKUP($B87,'LOD 400 - SITE'!$B:CV,99,FALSE),"N/A")</f>
        <v>1</v>
      </c>
      <c r="FU87" s="84">
        <f>IFERROR(VLOOKUP($B87,'LOD 400 - SITE'!$B:CY,102,FALSE),"N/A")</f>
        <v>1</v>
      </c>
      <c r="FV87" s="84">
        <f>IFERROR(VLOOKUP($B87,'LOD 400 - SITE'!$B:DB,105,FALSE),"N/A")</f>
        <v>1</v>
      </c>
      <c r="FW87" s="84">
        <f>IFERROR(VLOOKUP($B87,'LOD 400 - SITE'!$B:DE,108,FALSE),"N/A")</f>
        <v>1</v>
      </c>
      <c r="FX87" s="84">
        <f>IFERROR(VLOOKUP($B87,'LOD 400 - SITE'!$B:DH,111,FALSE),"N/A")</f>
        <v>1</v>
      </c>
      <c r="FY87" s="84">
        <f>IFERROR(VLOOKUP($B87,'LOD 400 - SITE'!$B:DK,114,FALSE),"N/A")</f>
        <v>1</v>
      </c>
      <c r="FZ87" s="96">
        <f>IFERROR(__xludf.DUMMYFUNCTION("IFERROR(
  MAX(FILTER(ES87:FY87, ISNUMBER(ES87:FY87))),
  FY87
)"),1.0)</f>
        <v>1</v>
      </c>
      <c r="GA87" s="80" t="str">
        <f>IFERROR(VLOOKUP($B87,'LOD 400 - UTLS'!B:S,18,FALSE),"N/A")</f>
        <v>NOT PUBLISHED</v>
      </c>
      <c r="GB87" s="98">
        <f>IFERROR(VLOOKUP($B87,'LOD 400 - UTLS'!B:V,21,FALSE),"N/A")</f>
        <v>1</v>
      </c>
      <c r="GC87" s="81">
        <f>IFERROR(VLOOKUP($B87,'LOD 400 - UTLS'!B:Y,24,FALSE),"N/A")</f>
        <v>1</v>
      </c>
      <c r="GD87" s="87">
        <f>IFERROR(VLOOKUP($B87,'LOD 400 - UTLS'!$B:AB,27,FALSE),"N/A")</f>
        <v>1</v>
      </c>
      <c r="GE87" s="80">
        <f>IFERROR(VLOOKUP($B87,'LOD 400 - UTLS'!$B:AE,30,FALSE),"N/A")</f>
        <v>1</v>
      </c>
      <c r="GF87" s="82">
        <f>IFERROR(VLOOKUP($B87,'LOD 400 - UTLS'!$B:AH,33,FALSE),"N/A")</f>
        <v>1</v>
      </c>
      <c r="GG87" s="88">
        <f>IFERROR(VLOOKUP($B87,'LOD 400 - UTLS'!$B:AK,36,FALSE),"N/A")</f>
        <v>1</v>
      </c>
      <c r="GH87" s="84">
        <f>IFERROR(VLOOKUP($B87,'LOD 400 - UTLS'!$B:AN,39,FALSE),"N/A")</f>
        <v>1</v>
      </c>
      <c r="GI87" s="84">
        <f>IFERROR(VLOOKUP($B87,'LOD 400 - UTLS'!$B:AQ,42,FALSE),"N/A")</f>
        <v>1</v>
      </c>
      <c r="GJ87" s="84">
        <f>IFERROR(VLOOKUP($B87,'LOD 400 - UTLS'!$B:AT,45,FALSE),"N/A")</f>
        <v>1</v>
      </c>
      <c r="GK87" s="84">
        <f>IFERROR(VLOOKUP($B87,'LOD 400 - UTLS'!$B:AW,48,FALSE),"N/A")</f>
        <v>1</v>
      </c>
      <c r="GL87" s="84">
        <f>IFERROR(VLOOKUP($B87,'LOD 400 - UTLS'!$B:AZ,51,FALSE),"N/A")</f>
        <v>1</v>
      </c>
      <c r="GM87" s="84">
        <f>IFERROR(VLOOKUP($B87,'LOD 400 - UTLS'!$B:BC,54,FALSE),"N/A")</f>
        <v>1</v>
      </c>
      <c r="GN87" s="84">
        <f>IFERROR(VLOOKUP($B87,'LOD 400 - UTLS'!$B:BF,57,FALSE),"N/A")</f>
        <v>1</v>
      </c>
      <c r="GO87" s="84">
        <f>IFERROR(VLOOKUP($B87,'LOD 400 - UTLS'!$B:BI,60,FALSE),"N/A")</f>
        <v>1</v>
      </c>
      <c r="GP87" s="84">
        <f>IFERROR(VLOOKUP($B87,'LOD 400 - UTLS'!$B:BL,63,FALSE),"N/A")</f>
        <v>1</v>
      </c>
      <c r="GQ87" s="84">
        <f>IFERROR(VLOOKUP($B87,'LOD 400 - UTLS'!$B:BO,66,FALSE),"N/A")</f>
        <v>1</v>
      </c>
      <c r="GR87" s="84">
        <f>IFERROR(VLOOKUP($B87,'LOD 400 - UTLS'!$B:BR,69,FALSE),"N/A")</f>
        <v>1</v>
      </c>
      <c r="GS87" s="85">
        <f>IFERROR(VLOOKUP($B87,'LOD 400 - UTLS'!$B:BU,72,FALSE),"N/A")</f>
        <v>1</v>
      </c>
      <c r="GT87" s="84">
        <f>IFERROR(VLOOKUP($B87,'LOD 400 - UTLS'!$B:BX,75,FALSE),"N/A")</f>
        <v>1</v>
      </c>
      <c r="GU87" s="85">
        <f>IFERROR(VLOOKUP($B87,'LOD 400 - UTLS'!$B:CA,78,FALSE),"N/A")</f>
        <v>1</v>
      </c>
      <c r="GV87" s="84">
        <f>IFERROR(VLOOKUP($B87,'LOD 400 - UTLS'!$B:CD,81,FALSE),"N/A")</f>
        <v>1</v>
      </c>
      <c r="GW87" s="84">
        <f>IFERROR(VLOOKUP($B87,'LOD 400 - UTLS'!$B:CG,84,FALSE),"N/A")</f>
        <v>1</v>
      </c>
      <c r="GX87" s="84">
        <f>IFERROR(VLOOKUP($B87,'LOD 400 - UTLS'!$B:CJ,87,FALSE),"N/A")</f>
        <v>1</v>
      </c>
      <c r="GY87" s="84">
        <f>IFERROR(VLOOKUP($B87,'LOD 400 - UTLS'!$B:CM,90,FALSE),"N/A")</f>
        <v>1</v>
      </c>
      <c r="GZ87" s="84">
        <f>IFERROR(VLOOKUP($B87,'LOD 400 - UTLS'!$B:CP,93,FALSE),"N/A")</f>
        <v>1</v>
      </c>
      <c r="HA87" s="84">
        <f>IFERROR(VLOOKUP($B87,'LOD 400 - UTLS'!$B:CS,96,FALSE),"N/A")</f>
        <v>1</v>
      </c>
      <c r="HB87" s="84">
        <f>IFERROR(VLOOKUP($B87,'LOD 400 - UTLS'!$B:CV,99,FALSE),"N/A")</f>
        <v>1</v>
      </c>
      <c r="HC87" s="84">
        <f>IFERROR(VLOOKUP($B87,'LOD 400 - UTLS'!$B:CY,102,FALSE),"N/A")</f>
        <v>1</v>
      </c>
      <c r="HD87" s="84">
        <f>IFERROR(VLOOKUP($B87,'LOD 400 - UTLS'!$B:DB,105,FALSE),"N/A")</f>
        <v>1</v>
      </c>
      <c r="HE87" s="96">
        <f>IFERROR(__xludf.DUMMYFUNCTION("IFERROR(
  MAX(FILTER(GA87:HD87, ISNUMBER(GA87:HD87))),
  HD87
)"),1.0)</f>
        <v>1</v>
      </c>
      <c r="HF87" s="99"/>
      <c r="HG87" s="99"/>
      <c r="HH87" s="99"/>
      <c r="HI87" s="99"/>
      <c r="HJ87" s="99"/>
      <c r="HK87" s="99"/>
    </row>
    <row r="88" ht="15.0" customHeight="1" outlineLevel="1">
      <c r="A88" s="53">
        <v>92.0</v>
      </c>
      <c r="B88" s="100" t="s">
        <v>258</v>
      </c>
      <c r="C88" s="100" t="s">
        <v>259</v>
      </c>
      <c r="D88" s="64" t="str">
        <f t="shared" si="16"/>
        <v>SITE</v>
      </c>
      <c r="E88" s="101" t="s">
        <v>254</v>
      </c>
      <c r="F88" s="102">
        <v>1119.0</v>
      </c>
      <c r="G88" s="114" t="s">
        <v>121</v>
      </c>
      <c r="H88" s="116">
        <v>0.0</v>
      </c>
      <c r="I88" s="68" t="str">
        <f>IFERROR(VLOOKUP($C85:C108,'R22 RELATÓRIO ACC'!B:F,5,FALSE),"NOT PUBLISHED")</f>
        <v>V18</v>
      </c>
      <c r="J88" s="69" t="str">
        <f>IFERROR(VLOOKUP($C85:C108,'R22 RELATÓRIO ACC'!B:P,15,FALSE),"NOT PUBLISHED")</f>
        <v>30/04/2026</v>
      </c>
      <c r="K88" s="70" t="str">
        <f>IFERROR(VLOOKUP($B85:B108,'RELATÓRIO ACC'!B:F,5,FALSE),"NOT PUBLISHED")</f>
        <v>V2</v>
      </c>
      <c r="L88" s="71" t="str">
        <f>IFERROR(VLOOKUP($B85:B108,'RELATÓRIO ACC'!B:P,15,FALSE),"NOT PUBLISHED")</f>
        <v>20/05/2026</v>
      </c>
      <c r="M88" s="72" t="str">
        <f>IF(OR($D88="UTLS",$D88="GUAR",$D88="STIR",$D88="PUMP",$D88="SITE"),
   VLOOKUP($B88,'LOD 400 - SITE'!B:M,12,FALSE),
   VLOOKUP($B88,'LOD 400 - ADMN'!B:M,12,FALSE)
)</f>
        <v>V16</v>
      </c>
      <c r="N88" s="105">
        <f>IF(OR($D88="UTLS",$D88="GUAR",$D88="STIR",$D88="PUMP",$D88="SITE"),
   VLOOKUP($B88,'LOD 400 - SITE'!B:N,13,FALSE),
   VLOOKUP($B88,'LOD 400 - ADMN'!B:N,13,FALSE)
)</f>
        <v>46114</v>
      </c>
      <c r="O88" s="106" t="str">
        <f>IF(OR($D88="UTLS",$D88="GUAR",$D88="STIR",$D88="PUMP",$D88="SITE"),
   VLOOKUP($B88,'LOD 400 - SITE'!B:O,14,FALSE),
   VLOOKUP($B88,'LOD 400 - ADMN'!B:O,14,FALSE)
)</f>
        <v>R22</v>
      </c>
      <c r="P88" s="107" t="str">
        <f>IF(OR($D88="C345",$D88="C12A",$D88="DATA"),
   VLOOKUP($B88,'LOD 400 - COLO3'!B:M,12,FALSE),"N/A")</f>
        <v>N/A</v>
      </c>
      <c r="Q88" s="108" t="str">
        <f>IF(OR($D88="C345",$D88="C12A",$D88="DATA"),
   VLOOKUP($B88,'LOD 400 - COLO3'!B:N,13,FALSE),"N/A")</f>
        <v>N/A</v>
      </c>
      <c r="R88" s="75" t="str">
        <f>IF(OR($D88="C345",$D88="C12A",$D88="DATA"),
   VLOOKUP($B88,'LOD 400 - COLO3'!B:O,14,FALSE),"N/A")</f>
        <v>N/A</v>
      </c>
      <c r="S88" s="76" t="str">
        <f>IF(OR($D88="C345",$D88="C12A",$D88="DATA"),
   VLOOKUP($B88,'LOD 400 - COLO4'!B:N,12,FALSE),"N/A")</f>
        <v>N/A</v>
      </c>
      <c r="T88" s="76" t="str">
        <f>IF(OR($D88="C345",$D88="C12A",$D88="DATA"),
   VLOOKUP($B88,'LOD 400 - COLO4'!B:N,13,FALSE),"N/A")</f>
        <v>N/A</v>
      </c>
      <c r="U88" s="76" t="str">
        <f>IF(OR($D88="C345",$D88="C12A",$D88="DATA"),
   VLOOKUP($B88,'LOD 400 - COLO4'!B:N,13,FALSE),"N/A")</f>
        <v>N/A</v>
      </c>
      <c r="V88" s="77" t="str">
        <f>IF(OR($D88="UTLS",$D88="GUAR",$D88="STIR",$D88="PUMP",$D88="SITE"),
   VLOOKUP($B88,'LOD 400 - UTLS'!B:M,12,FALSE),"N/A")</f>
        <v>V16</v>
      </c>
      <c r="W88" s="78" t="str">
        <f>IF(OR($D88="UTLS",$D88="GUAR",$D88="STIR",$D88="PUMP",$D88="SITE"),
   VLOOKUP($B88,'LOD 400 - UTLS'!B:N,13,FALSE),"N/A")</f>
        <v>02/02/2026</v>
      </c>
      <c r="X88" s="108" t="str">
        <f>IF(OR($D88="UTLS",$D88="GUAR",$D88="STIR",$D88="PUMP",$D88="SITE"),
   VLOOKUP($B88,'LOD 400 - UTLS'!B:O,14,FALSE),"N/A")</f>
        <v>R22</v>
      </c>
      <c r="Y88" s="79" t="str">
        <f>IFERROR(VLOOKUP($B88,'LOD 400 - ADMN'!B:S,18,FALSE),"N/A")</f>
        <v>N/A</v>
      </c>
      <c r="Z88" s="79" t="str">
        <f>IFERROR(VLOOKUP($B88,'LOD 400 - ADMN'!B:V,21,FALSE),"N/A")</f>
        <v>N/A</v>
      </c>
      <c r="AA88" s="79" t="str">
        <f>IFERROR(VLOOKUP($B88,'LOD 400 - ADMN'!$B:Y,24,FALSE),"N/A")</f>
        <v>N/A</v>
      </c>
      <c r="AB88" s="80" t="str">
        <f>IFERROR(VLOOKUP($B88,'LOD 400 - ADMN'!$B:AB,27,FALSE),"N/A")</f>
        <v>N/A</v>
      </c>
      <c r="AC88" s="81" t="str">
        <f>IFERROR(VLOOKUP($B88,'LOD 400 - ADMN'!$B:AE,30,FALSE),"N/A")</f>
        <v>N/A</v>
      </c>
      <c r="AD88" s="81" t="str">
        <f>IFERROR(VLOOKUP($B88,'LOD 400 - ADMN'!$B:AH,33,FALSE),"N/A")</f>
        <v>N/A</v>
      </c>
      <c r="AE88" s="80" t="str">
        <f>IFERROR(VLOOKUP($B88,'LOD 400 - ADMN'!$B:AK,36,FALSE),"N/A")</f>
        <v>N/A</v>
      </c>
      <c r="AF88" s="82" t="str">
        <f>IFERROR(VLOOKUP($B88,'LOD 400 - ADMN'!$B:AN,39,FALSE),"N/A")</f>
        <v>N/A</v>
      </c>
      <c r="AG88" s="83" t="str">
        <f>IFERROR(VLOOKUP($B88,'LOD 400 - ADMN'!$B:AQ,42,FALSE),"N/A")</f>
        <v>N/A</v>
      </c>
      <c r="AH88" s="84" t="str">
        <f>IFERROR(VLOOKUP($B88,'LOD 400 - ADMN'!$B:AT,45,FALSE),"N/A")</f>
        <v>N/A</v>
      </c>
      <c r="AI88" s="85" t="str">
        <f>IFERROR(VLOOKUP($B88,'LOD 400 - ADMN'!$B:AW,48,FALSE),"N/A")</f>
        <v>N/A</v>
      </c>
      <c r="AJ88" s="85" t="str">
        <f>IFERROR(VLOOKUP($B88,'LOD 400 - ADMN'!$B:AZ,51,FALSE),"N/A")</f>
        <v>N/A</v>
      </c>
      <c r="AK88" s="84" t="str">
        <f>IFERROR(VLOOKUP($B88,'LOD 400 - ADMN'!$B:BC,54,FALSE),"N/A")</f>
        <v>N/A</v>
      </c>
      <c r="AL88" s="84" t="str">
        <f>IFERROR(VLOOKUP($B88,'LOD 400 - ADMN'!$B:BF,57,FALSE),"N/A")</f>
        <v>N/A</v>
      </c>
      <c r="AM88" s="84" t="str">
        <f>IFERROR(VLOOKUP($B88,'LOD 400 - ADMN'!$B:BI,60,FALSE),"N/A")</f>
        <v>N/A</v>
      </c>
      <c r="AN88" s="84" t="str">
        <f>IFERROR(VLOOKUP($B88,'LOD 400 - ADMN'!$B:BL,63,FALSE),"N/A")</f>
        <v>N/A</v>
      </c>
      <c r="AO88" s="84" t="str">
        <f>IFERROR(VLOOKUP($B88,'LOD 400 - ADMN'!$B:BO,66,FALSE),"N/A")</f>
        <v>N/A</v>
      </c>
      <c r="AP88" s="84" t="str">
        <f>IFERROR(VLOOKUP($B88,'LOD 400 - ADMN'!$B:BR,69,FALSE),"N/A")</f>
        <v>N/A</v>
      </c>
      <c r="AQ88" s="84" t="str">
        <f>IFERROR(VLOOKUP($B88,'LOD 400 - ADMN'!$B:BU,72,FALSE),"N/A")</f>
        <v>N/A</v>
      </c>
      <c r="AR88" s="84" t="str">
        <f>IFERROR(VLOOKUP($B88,'LOD 400 - ADMN'!$B:BX,75,FALSE),"N/A")</f>
        <v>N/A</v>
      </c>
      <c r="AS88" s="84" t="str">
        <f>IFERROR(VLOOKUP($B88,'LOD 400 - ADMN'!$B:CA,78,FALSE),"N/A")</f>
        <v>N/A</v>
      </c>
      <c r="AT88" s="84" t="str">
        <f>IFERROR(VLOOKUP($B88,'LOD 400 - ADMN'!$B:CD,81,FALSE),"N/A")</f>
        <v>N/A</v>
      </c>
      <c r="AU88" s="85" t="str">
        <f>IFERROR(VLOOKUP($B88,'LOD 400 - ADMN'!$B:CG,84,FALSE),"N/A")</f>
        <v>N/A</v>
      </c>
      <c r="AV88" s="84" t="str">
        <f>IFERROR(VLOOKUP($B88,'LOD 400 - ADMN'!$B:CJ,87,FALSE),"N/A")</f>
        <v>N/A</v>
      </c>
      <c r="AW88" s="85" t="str">
        <f>IFERROR(VLOOKUP($B88,'LOD 400 - ADMN'!$B:CM,90,FALSE),"N/A")</f>
        <v>N/A</v>
      </c>
      <c r="AX88" s="84" t="str">
        <f>IFERROR(VLOOKUP($B88,'LOD 400 - ADMN'!$B:CP,93,FALSE),"N/A")</f>
        <v>N/A</v>
      </c>
      <c r="AY88" s="84" t="str">
        <f>IFERROR(VLOOKUP($B88,'LOD 400 - ADMN'!$B:CS,96,FALSE),"N/A")</f>
        <v>N/A</v>
      </c>
      <c r="AZ88" s="84" t="str">
        <f>IFERROR(VLOOKUP($B88,'LOD 400 - ADMN'!$B:CV,99,FALSE),"N/A")</f>
        <v>N/A</v>
      </c>
      <c r="BA88" s="84" t="str">
        <f>IFERROR(VLOOKUP($B88,'LOD 400 - ADMN'!$B:CY,102,FALSE),"N/A")</f>
        <v>N/A</v>
      </c>
      <c r="BB88" s="84" t="str">
        <f>IFERROR(VLOOKUP($B88,'LOD 400 - ADMN'!$B:DB,105,FALSE),"N/A")</f>
        <v>N/A</v>
      </c>
      <c r="BC88" s="84" t="str">
        <f>IFERROR(VLOOKUP($B88,'LOD 400 - ADMN'!$B:DE,108,FALSE),"N/A")</f>
        <v>N/A</v>
      </c>
      <c r="BD88" s="84" t="str">
        <f>IFERROR(VLOOKUP($B88,'LOD 400 - ADMN'!$B:DH,111,FALSE),"N/A")</f>
        <v>N/A</v>
      </c>
      <c r="BE88" s="84" t="str">
        <f>IFERROR(VLOOKUP($B88,'LOD 400 - ADMN'!$B:DK,114,FALSE),"N/A")</f>
        <v>N/A</v>
      </c>
      <c r="BF88" s="84" t="str">
        <f>IFERROR(VLOOKUP($B88,'LOD 400 - ADMN'!$B:DN,117,FALSE),"N/A")</f>
        <v>N/A</v>
      </c>
      <c r="BG88" s="86" t="str">
        <f>IFERROR(__xludf.DUMMYFUNCTION("IFERROR(
  MAX(FILTER(Y88:BF88, ISNUMBER(Y88:BF88))),
  BF88
)"),"N/A")</f>
        <v>N/A</v>
      </c>
      <c r="BH88" s="79" t="str">
        <f>IFERROR(VLOOKUP($B88,'LOD 400 - COLO1'!B:S,18,FALSE),"N/A")</f>
        <v>N/A</v>
      </c>
      <c r="BI88" s="79" t="str">
        <f>IFERROR(VLOOKUP($B88,'LOD 400 - COLO1'!B:V,21,FALSE),"N/A")</f>
        <v>N/A</v>
      </c>
      <c r="BJ88" s="79" t="str">
        <f>IFERROR(VLOOKUP($B88,'LOD 400 - COLO1'!$B:Y,24,FALSE),"N/A")</f>
        <v>N/A</v>
      </c>
      <c r="BK88" s="87" t="str">
        <f>IFERROR(VLOOKUP($B88,'LOD 400 - COLO1'!$B:AB,27,FALSE),"N/A")</f>
        <v>N/A</v>
      </c>
      <c r="BL88" s="80" t="str">
        <f>IFERROR(VLOOKUP($B88,'LOD 400 - COLO1'!$B:AE,30,FALSE),"N/A")</f>
        <v>N/A</v>
      </c>
      <c r="BM88" s="81" t="str">
        <f>IFERROR(VLOOKUP($B88,'LOD 400 - COLO1'!$B:AH,33,FALSE),"N/A")</f>
        <v>N/A</v>
      </c>
      <c r="BN88" s="87" t="str">
        <f>IFERROR(VLOOKUP($B88,'LOD 400 - COLO1'!$B:AK,36,FALSE),"N/A")</f>
        <v>N/A</v>
      </c>
      <c r="BO88" s="83" t="str">
        <f>IFERROR(VLOOKUP($B88,'LOD 400 - COLO1'!$B:AN,39,FALSE),"N/A")</f>
        <v>N/A</v>
      </c>
      <c r="BP88" s="88" t="str">
        <f>IFERROR(VLOOKUP($B88,'LOD 400 - COLO1'!$B:AQ,42,FALSE),"N/A")</f>
        <v>N/A</v>
      </c>
      <c r="BQ88" s="84" t="str">
        <f>IFERROR(VLOOKUP($B88,'LOD 400 - COLO1'!$B:AT,45,FALSE),"N/A")</f>
        <v>N/A</v>
      </c>
      <c r="BR88" s="85" t="str">
        <f>IFERROR(VLOOKUP($B88,'LOD 400 - COLO1'!$B:AW,48,FALSE),"N/A")</f>
        <v>N/A</v>
      </c>
      <c r="BS88" s="84" t="str">
        <f>IFERROR(VLOOKUP($B88,'LOD 400 - COLO1'!$B:AZ,51,FALSE),"N/A")</f>
        <v>N/A</v>
      </c>
      <c r="BT88" s="84" t="str">
        <f>IFERROR(VLOOKUP($B88,'LOD 400 - COLO1'!$B:BC,54,FALSE),"N/A")</f>
        <v>N/A</v>
      </c>
      <c r="BU88" s="84" t="str">
        <f>IFERROR(VLOOKUP($B88,'LOD 400 - COLO1'!$B:BF,57,FALSE),"N/A")</f>
        <v>N/A</v>
      </c>
      <c r="BV88" s="84" t="str">
        <f>IFERROR(VLOOKUP($B88,'LOD 400 - COLO1'!$B:BI,60,FALSE),"N/A")</f>
        <v>N/A</v>
      </c>
      <c r="BW88" s="84" t="str">
        <f>IFERROR(VLOOKUP($B88,'LOD 400 - COLO1'!$B:BL,63,FALSE),"N/A")</f>
        <v>N/A</v>
      </c>
      <c r="BX88" s="84" t="str">
        <f>IFERROR(VLOOKUP($B88,'LOD 400 - COLO1'!$B:BO,66,FALSE),"N/A")</f>
        <v>N/A</v>
      </c>
      <c r="BY88" s="84" t="str">
        <f>IFERROR(VLOOKUP($B88,'LOD 400 - COLO1'!$B:BR,69,FALSE),"N/A")</f>
        <v>N/A</v>
      </c>
      <c r="BZ88" s="84" t="str">
        <f>IFERROR(VLOOKUP($B88,'LOD 400 - COLO1'!$B:BU,72,FALSE),"N/A")</f>
        <v>N/A</v>
      </c>
      <c r="CA88" s="84" t="str">
        <f>IFERROR(VLOOKUP($B88,'LOD 400 - COLO1'!$B:BX,75,FALSE),"N/A")</f>
        <v>N/A</v>
      </c>
      <c r="CB88" s="84" t="str">
        <f>IFERROR(VLOOKUP($B88,'LOD 400 - COLO1'!$B:CA,78,FALSE),"N/A")</f>
        <v>N/A</v>
      </c>
      <c r="CC88" s="84" t="str">
        <f>IFERROR(VLOOKUP($B88,'LOD 400 - COLO1'!$B:CD,81,FALSE),"N/A")</f>
        <v>N/A</v>
      </c>
      <c r="CD88" s="85" t="str">
        <f>IFERROR(VLOOKUP($B88,'LOD 400 - COLO1'!$B:CG,84,FALSE),"N/A")</f>
        <v>N/A</v>
      </c>
      <c r="CE88" s="84" t="str">
        <f>IFERROR(VLOOKUP($B88,'LOD 400 - COLO1'!$B:CJ,87,FALSE),"N/A")</f>
        <v>N/A</v>
      </c>
      <c r="CF88" s="85" t="str">
        <f>IFERROR(VLOOKUP($B88,'LOD 400 - COLO1'!$B:CM,90,FALSE),"N/A")</f>
        <v>N/A</v>
      </c>
      <c r="CG88" s="84" t="str">
        <f>IFERROR(VLOOKUP($B88,'LOD 400 - COLO1'!$B:CP,93,FALSE),"N/A")</f>
        <v>N/A</v>
      </c>
      <c r="CH88" s="84" t="str">
        <f>IFERROR(VLOOKUP($B88,'LOD 400 - COLO1'!$B:CS,96,FALSE),"N/A")</f>
        <v>N/A</v>
      </c>
      <c r="CI88" s="84" t="str">
        <f>IFERROR(VLOOKUP($B88,'LOD 400 - COLO1'!$B:CV,99,FALSE),"N/A")</f>
        <v>N/A</v>
      </c>
      <c r="CJ88" s="84" t="str">
        <f>IFERROR(VLOOKUP($B88,'LOD 400 - COLO1'!$B:CY,102,FALSE),"N/A")</f>
        <v>N/A</v>
      </c>
      <c r="CK88" s="84" t="str">
        <f>IFERROR(VLOOKUP($B88,'LOD 400 - COLO1'!$B:DB,105,FALSE),"N/A")</f>
        <v>N/A</v>
      </c>
      <c r="CL88" s="84" t="str">
        <f>IFERROR(VLOOKUP($B88,'LOD 400 - COLO1'!$B:DE,108,FALSE),"N/A")</f>
        <v>N/A</v>
      </c>
      <c r="CM88" s="84" t="str">
        <f>IFERROR(VLOOKUP($B88,'LOD 400 - COLO1'!$B:DH,111,FALSE),"N/A")</f>
        <v>N/A</v>
      </c>
      <c r="CN88" s="84" t="str">
        <f>IFERROR(VLOOKUP($B88,'LOD 400 - COLO1'!$B:DK,114,FALSE),"N/A")</f>
        <v>N/A</v>
      </c>
      <c r="CO88" s="84" t="str">
        <f>IFERROR(VLOOKUP($B88,'LOD 400 - COLO1'!$B:DN,117,FALSE),"N/A")</f>
        <v>N/A</v>
      </c>
      <c r="CP88" s="86" t="str">
        <f>IFERROR(__xludf.DUMMYFUNCTION("IFERROR(
  MAX(FILTER(BH88:CO88, ISNUMBER(BH88:CO88))),
  CO88
)"),"N/A")</f>
        <v>N/A</v>
      </c>
      <c r="CQ88" s="89" t="str">
        <f>IFERROR(VLOOKUP($B88,'LOD 400 - COLO2'!B:S,18,FALSE),"N/A")</f>
        <v>N/A</v>
      </c>
      <c r="CR88" s="79" t="str">
        <f>IFERROR(VLOOKUP($B88,'LOD 400 - COLO2'!B:V,21,FALSE),"N/A")</f>
        <v>N/A</v>
      </c>
      <c r="CS88" s="79" t="str">
        <f>IFERROR(VLOOKUP($B88,'LOD 400 - COLO2'!$B:Y,24,FALSE),"N/A")</f>
        <v>N/A</v>
      </c>
      <c r="CT88" s="80" t="str">
        <f>IFERROR(VLOOKUP($B88,'LOD 400 - COLO2'!$B:DQ,27,FALSE),"N/A")</f>
        <v>N/A</v>
      </c>
      <c r="CU88" s="90" t="str">
        <f>IFERROR(VLOOKUP($B88,'LOD 400 - COLO2'!$B:AE,30,FALSE),"N/A")</f>
        <v>N/A</v>
      </c>
      <c r="CV88" s="81" t="str">
        <f>IFERROR(VLOOKUP($B88,'LOD 400 - COLO2'!$B:AH,33,FALSE),"N/A")</f>
        <v>N/A</v>
      </c>
      <c r="CW88" s="90" t="str">
        <f>IFERROR(VLOOKUP($B88,'LOD 400 - COLO2'!$B:AK,36,FALSE),"N/A")</f>
        <v>N/A</v>
      </c>
      <c r="CX88" s="85" t="str">
        <f>IFERROR(VLOOKUP($B88,'LOD 400 - COLO2'!$B:AN,39,FALSE),"N/A")</f>
        <v>N/A</v>
      </c>
      <c r="CY88" s="88" t="str">
        <f>IFERROR(VLOOKUP($B88,'LOD 400 - COLO2'!$B:AQ,42,FALSE),"N/A")</f>
        <v>N/A</v>
      </c>
      <c r="CZ88" s="84" t="str">
        <f>IFERROR(VLOOKUP($B88,'LOD 400 - COLO2'!$B:AT,45,FALSE),"N/A")</f>
        <v>N/A</v>
      </c>
      <c r="DA88" s="85" t="str">
        <f>IFERROR(VLOOKUP($B88,'LOD 400 - COLO2'!$B:AW,48,FALSE),"N/A")</f>
        <v>N/A</v>
      </c>
      <c r="DB88" s="84" t="str">
        <f>IFERROR(VLOOKUP($B88,'LOD 400 - COLO2'!$B:AZ,51,FALSE),"N/A")</f>
        <v>N/A</v>
      </c>
      <c r="DC88" s="84" t="str">
        <f>IFERROR(VLOOKUP($B88,'LOD 400 - COLO2'!$B:BC,54,FALSE),"N/A")</f>
        <v>N/A</v>
      </c>
      <c r="DD88" s="84" t="str">
        <f>IFERROR(VLOOKUP($B88,'LOD 400 - COLO2'!$B:BF,57,FALSE),"N/A")</f>
        <v>N/A</v>
      </c>
      <c r="DE88" s="84" t="str">
        <f>IFERROR(VLOOKUP($B88,'LOD 400 - COLO2'!$B:BI,60,FALSE),"N/A")</f>
        <v>N/A</v>
      </c>
      <c r="DF88" s="84" t="str">
        <f>IFERROR(VLOOKUP($B88,'LOD 400 - COLO2'!$B:BL,63,FALSE),"N/A")</f>
        <v>N/A</v>
      </c>
      <c r="DG88" s="84" t="str">
        <f>IFERROR(VLOOKUP($B88,'LOD 400 - COLO2'!$B:BO,66,FALSE),"N/A")</f>
        <v>N/A</v>
      </c>
      <c r="DH88" s="84" t="str">
        <f>IFERROR(VLOOKUP($B88,'LOD 400 - COLO2'!$B:BR,69,FALSE),"N/A")</f>
        <v>N/A</v>
      </c>
      <c r="DI88" s="84" t="str">
        <f>IFERROR(VLOOKUP($B88,'LOD 400 - COLO2'!$B:BU,72,FALSE),"N/A")</f>
        <v>N/A</v>
      </c>
      <c r="DJ88" s="84" t="str">
        <f>IFERROR(VLOOKUP($B88,'LOD 400 - COLO2'!$B:BX,75,FALSE),"N/A")</f>
        <v>N/A</v>
      </c>
      <c r="DK88" s="84" t="str">
        <f>IFERROR(VLOOKUP($B88,'LOD 400 - COLO2'!$B:CA,78,FALSE),"N/A")</f>
        <v>N/A</v>
      </c>
      <c r="DL88" s="84" t="str">
        <f>IFERROR(VLOOKUP($B88,'LOD 400 - COLO2'!$B:CD,81,FALSE),"N/A")</f>
        <v>N/A</v>
      </c>
      <c r="DM88" s="85" t="str">
        <f>IFERROR(VLOOKUP($B88,'LOD 400 - COLO2'!$B:CG,84,FALSE),"N/A")</f>
        <v>N/A</v>
      </c>
      <c r="DN88" s="84" t="str">
        <f>IFERROR(VLOOKUP($B88,'LOD 400 - COLO2'!$B:CJ,87,FALSE),"N/A")</f>
        <v>N/A</v>
      </c>
      <c r="DO88" s="85" t="str">
        <f>IFERROR(VLOOKUP($B88,'LOD 400 - COLO2'!$B:CM,90,FALSE),"N/A")</f>
        <v>N/A</v>
      </c>
      <c r="DP88" s="84" t="str">
        <f>IFERROR(VLOOKUP($B88,'LOD 400 - COLO2'!$B:CP,93,FALSE),"N/A")</f>
        <v>N/A</v>
      </c>
      <c r="DQ88" s="84" t="str">
        <f>IFERROR(VLOOKUP($B88,'LOD 400 - COLO2'!$B:CS,96,FALSE),"N/A")</f>
        <v>N/A</v>
      </c>
      <c r="DR88" s="84" t="str">
        <f>IFERROR(VLOOKUP($B88,'LOD 400 - COLO2'!$B:CV,99,FALSE),"N/A")</f>
        <v>N/A</v>
      </c>
      <c r="DS88" s="84" t="str">
        <f>IFERROR(VLOOKUP($B88,'LOD 400 - COLO2'!$B:CY,102,FALSE),"N/A")</f>
        <v>N/A</v>
      </c>
      <c r="DT88" s="84" t="str">
        <f>IFERROR(VLOOKUP($B88,'LOD 400 - COLO2'!$B:DB,105,FALSE),"N/A")</f>
        <v>N/A</v>
      </c>
      <c r="DU88" s="84" t="str">
        <f>IFERROR(VLOOKUP($B88,'LOD 400 - COLO2'!$B:DE,108,FALSE),"N/A")</f>
        <v>N/A</v>
      </c>
      <c r="DV88" s="84" t="str">
        <f>IFERROR(VLOOKUP($B88,'LOD 400 - COLO2'!$B:DH,111,FALSE),"N/A")</f>
        <v>N/A</v>
      </c>
      <c r="DW88" s="84" t="str">
        <f>IFERROR(VLOOKUP($B88,'LOD 400 - COLO2'!$B:DK,114,FALSE),"N/A")</f>
        <v>N/A</v>
      </c>
      <c r="DX88" s="84" t="str">
        <f>IFERROR(VLOOKUP($B88,'LOD 400 - COLO2'!$B:DN,117,FALSE),"N/A")</f>
        <v>N/A</v>
      </c>
      <c r="DY88" s="91" t="str">
        <f>IFERROR(__xludf.DUMMYFUNCTION("IFERROR(
  MAX(FILTER(CQ88:DW88, ISNUMBER(CQ88:DW88))),
  DW88
)"),"N/A")</f>
        <v>N/A</v>
      </c>
      <c r="DZ88" s="92" t="str">
        <f>IFERROR(VLOOKUP($B88,'LOD 400 - COLO3'!B:S,18,FALSE),"N/A")</f>
        <v>N/A</v>
      </c>
      <c r="EA88" s="84" t="str">
        <f>IFERROR(VLOOKUP($B88,'LOD 400 - COLO3'!B:V,21,FALSE),"N/A")</f>
        <v>N/A</v>
      </c>
      <c r="EB88" s="84" t="str">
        <f>IFERROR(VLOOKUP($B88,'LOD 400 - COLO3'!B:Y,24,FALSE),"N/A")</f>
        <v>N/A</v>
      </c>
      <c r="EC88" s="84" t="str">
        <f>IFERROR(VLOOKUP($B88,'LOD 400 - COLO3'!B:AB,27,FALSE),"N/A")</f>
        <v>N/A</v>
      </c>
      <c r="ED88" s="85" t="str">
        <f>IFERROR(VLOOKUP($B88,'LOD 400 - COLO3'!B:AE,30,FALSE),"N/A")</f>
        <v>N/A</v>
      </c>
      <c r="EE88" s="84" t="str">
        <f>IFERROR(VLOOKUP($B88,'LOD 400 - COLO3'!B:AH,33,FALSE),"N/A")</f>
        <v>N/A</v>
      </c>
      <c r="EF88" s="84" t="str">
        <f>IFERROR(VLOOKUP($B88,'LOD 400 - COLO3'!B:AK,36,FALSE),"N/A")</f>
        <v>N/A</v>
      </c>
      <c r="EG88" s="109" t="str">
        <f>IFERROR(VLOOKUP($B88,'LOD 400 - COLO3'!B:AN,39,FALSE),"N/A")</f>
        <v>N/A</v>
      </c>
      <c r="EH88" s="94" t="str">
        <f>IFERROR(VLOOKUP($B88,'LOD 400 - COLO3'!B:AQ,42,FALSE),"N/A")</f>
        <v>N/A</v>
      </c>
      <c r="EI88" s="94" t="str">
        <f>IFERROR(VLOOKUP($B88,'LOD 400 - COLO3'!B:AT,45,FALSE),"N/A")</f>
        <v>N/A</v>
      </c>
      <c r="EJ88" s="94" t="str">
        <f>IFERROR(VLOOKUP($B88,'LOD 400 - COLO3'!B:AW,48,FALSE),"N/A")</f>
        <v>N/A</v>
      </c>
      <c r="EK88" s="94" t="str">
        <f>IFERROR(VLOOKUP($B88,'LOD 400 - COLO3'!B:AZ,51,FALSE),"N/A")</f>
        <v>N/A</v>
      </c>
      <c r="EL88" s="94" t="str">
        <f>IFERROR(VLOOKUP($B88,'LOD 400 - COLO3'!B:BC,54,FALSE),"N/A")</f>
        <v>N/A</v>
      </c>
      <c r="EM88" s="94" t="str">
        <f>IFERROR(VLOOKUP($B88,'LOD 400 - COLO3'!B:BF,57,FALSE),"N/A")</f>
        <v>N/A</v>
      </c>
      <c r="EN88" s="94" t="str">
        <f>IFERROR(VLOOKUP($B88,'LOD 400 - COLO3'!B:BI,60,FALSE),"N/A")</f>
        <v>N/A</v>
      </c>
      <c r="EO88" s="94" t="str">
        <f>IFERROR(VLOOKUP($B88,'LOD 400 - COLO3'!B:BL,63,FALSE),"N/A")</f>
        <v>N/A</v>
      </c>
      <c r="EP88" s="86" t="str">
        <f>IFERROR(__xludf.DUMMYFUNCTION("IFERROR(
  MAX(FILTER(DZ88:EO88, ISNUMBER(DZ88:EO88))),
  EO88
)"),"N/A")</f>
        <v>N/A</v>
      </c>
      <c r="EQ88" s="95" t="str">
        <f>IFERROR(VLOOKUP($B88,'LOD 400 - COLO4'!B:S,18,FALSE),"N/A")</f>
        <v>N/A</v>
      </c>
      <c r="ER88" s="96" t="str">
        <f>IFERROR(__xludf.DUMMYFUNCTION("IFERROR(
  MAX(FILTER(EQ88, ISNUMBER(EQ88))),
  EQ88
)"),"N/A")</f>
        <v>N/A</v>
      </c>
      <c r="ES88" s="79">
        <f>IFERROR(VLOOKUP($B88,'LOD 400 - SITE'!B:S,18,FALSE),"N/A")</f>
        <v>0.13</v>
      </c>
      <c r="ET88" s="80" t="str">
        <f>IFERROR(VLOOKUP($B88,'LOD 400 - SITE'!B:V,21,FALSE),"N/A")</f>
        <v>OUTDATED</v>
      </c>
      <c r="EU88" s="97">
        <f>IFERROR(VLOOKUP($B88,'LOD 400 - SITE'!$B:Y,24,FALSE),"N/A")</f>
        <v>0.13</v>
      </c>
      <c r="EV88" s="80" t="str">
        <f>IFERROR(VLOOKUP($B88,'LOD 400 - SITE'!$B:AB,27,FALSE),"N/A")</f>
        <v>OUTDATED</v>
      </c>
      <c r="EW88" s="81" t="str">
        <f>IFERROR(VLOOKUP($B88,'LOD 400 - SITE'!$B:AE,30,FALSE),"N/A")</f>
        <v>IMPROPER</v>
      </c>
      <c r="EX88" s="87">
        <f>IFERROR(VLOOKUP($B88,'LOD 400 - SITE'!$B:AH,33,FALSE),"N/A")</f>
        <v>0.38</v>
      </c>
      <c r="EY88" s="87" t="str">
        <f>IFERROR(VLOOKUP($B88,'LOD 400 - SITE'!$B:AK,36,FALSE),"N/A")</f>
        <v>OUTDATED</v>
      </c>
      <c r="EZ88" s="80" t="str">
        <f>IFERROR(VLOOKUP($B88,'LOD 400 - SITE'!$B:AN,39,FALSE),"N/A")</f>
        <v>IMPROPER</v>
      </c>
      <c r="FA88" s="82">
        <f>IFERROR(VLOOKUP($B88,'LOD 400 - SITE'!$B:AQ,42,FALSE),"N/A")</f>
        <v>0.38</v>
      </c>
      <c r="FB88" s="88" t="str">
        <f>IFERROR(VLOOKUP($B88,'LOD 400 - SITE'!$B:AT,45,FALSE),"N/A")</f>
        <v>IMPROPER</v>
      </c>
      <c r="FC88" s="84" t="str">
        <f>IFERROR(VLOOKUP($B88,'LOD 400 - SITE'!$B:AW,48,FALSE),"N/A")</f>
        <v>IMPROPER</v>
      </c>
      <c r="FD88" s="84" t="str">
        <f>IFERROR(VLOOKUP($B88,'LOD 400 - SITE'!$B:AZ,51,FALSE),"N/A")</f>
        <v>OUTDATED</v>
      </c>
      <c r="FE88" s="84" t="str">
        <f>IFERROR(VLOOKUP($B88,'LOD 400 - SITE'!$B:BC,54,FALSE),"N/A")</f>
        <v>OUTDATED</v>
      </c>
      <c r="FF88" s="84" t="str">
        <f>IFERROR(VLOOKUP($B88,'LOD 400 - SITE'!$B:BF,57,FALSE),"N/A")</f>
        <v>OUTDATED</v>
      </c>
      <c r="FG88" s="84" t="str">
        <f>IFERROR(VLOOKUP($B88,'LOD 400 - SITE'!$B:BI,60,FALSE),"N/A")</f>
        <v>NEXT ROUND</v>
      </c>
      <c r="FH88" s="84" t="str">
        <f>IFERROR(VLOOKUP($B88,'LOD 400 - SITE'!$B:BL,63,FALSE),"N/A")</f>
        <v>NEXT ROUND</v>
      </c>
      <c r="FI88" s="84">
        <f>IFERROR(VLOOKUP($B88,'LOD 400 - SITE'!$B:BO,66,FALSE),"N/A")</f>
        <v>0.92</v>
      </c>
      <c r="FJ88" s="84" t="str">
        <f>IFERROR(VLOOKUP($B88,'LOD 400 - SITE'!$B:BR,69,FALSE),"N/A")</f>
        <v>NEXT ROUND </v>
      </c>
      <c r="FK88" s="84">
        <f>IFERROR(VLOOKUP($B88,'LOD 400 - SITE'!$B:BU,72,FALSE),"N/A")</f>
        <v>1</v>
      </c>
      <c r="FL88" s="84">
        <f>IFERROR(VLOOKUP($B88,'LOD 400 - SITE'!$B:BX,75,FALSE),"N/A")</f>
        <v>1</v>
      </c>
      <c r="FM88" s="84">
        <f>IFERROR(VLOOKUP($B88,'LOD 400 - SITE'!$B:CA,78,FALSE),"N/A")</f>
        <v>1</v>
      </c>
      <c r="FN88" s="85">
        <f>IFERROR(VLOOKUP($B88,'LOD 400 - SITE'!$B:CD,81,FALSE),"N/A")</f>
        <v>1</v>
      </c>
      <c r="FO88" s="84">
        <f>IFERROR(VLOOKUP($B88,'LOD 400 - SITE'!$B:CG,84,FALSE),"N/A")</f>
        <v>1</v>
      </c>
      <c r="FP88" s="85">
        <f>IFERROR(VLOOKUP($B88,'LOD 400 - SITE'!$B:CJ,87,FALSE),"N/A")</f>
        <v>1</v>
      </c>
      <c r="FQ88" s="84">
        <f>IFERROR(VLOOKUP($B88,'LOD 400 - SITE'!$B:CM,90,FALSE),"N/A")</f>
        <v>1</v>
      </c>
      <c r="FR88" s="84">
        <f>IFERROR(VLOOKUP($B88,'LOD 400 - SITE'!$B:CP,93,FALSE),"N/A")</f>
        <v>1</v>
      </c>
      <c r="FS88" s="84">
        <f>IFERROR(VLOOKUP($B88,'LOD 400 - SITE'!$B:CS,96,FALSE),"N/A")</f>
        <v>1</v>
      </c>
      <c r="FT88" s="84">
        <f>IFERROR(VLOOKUP($B88,'LOD 400 - SITE'!$B:CV,99,FALSE),"N/A")</f>
        <v>1</v>
      </c>
      <c r="FU88" s="84">
        <f>IFERROR(VLOOKUP($B88,'LOD 400 - SITE'!$B:CY,102,FALSE),"N/A")</f>
        <v>1</v>
      </c>
      <c r="FV88" s="84">
        <f>IFERROR(VLOOKUP($B88,'LOD 400 - SITE'!$B:DB,105,FALSE),"N/A")</f>
        <v>1</v>
      </c>
      <c r="FW88" s="84">
        <f>IFERROR(VLOOKUP($B88,'LOD 400 - SITE'!$B:DE,108,FALSE),"N/A")</f>
        <v>1</v>
      </c>
      <c r="FX88" s="84">
        <f>IFERROR(VLOOKUP($B88,'LOD 400 - SITE'!$B:DH,111,FALSE),"N/A")</f>
        <v>1</v>
      </c>
      <c r="FY88" s="84">
        <f>IFERROR(VLOOKUP($B88,'LOD 400 - SITE'!$B:DK,114,FALSE),"N/A")</f>
        <v>1</v>
      </c>
      <c r="FZ88" s="96">
        <f>IFERROR(__xludf.DUMMYFUNCTION("IFERROR(
  MAX(FILTER(ES88:FY88, ISNUMBER(ES88:FY88))),
  FY88
)"),1.0)</f>
        <v>1</v>
      </c>
      <c r="GA88" s="80">
        <f>IFERROR(VLOOKUP($B88,'LOD 400 - UTLS'!B:S,18,FALSE),"N/A")</f>
        <v>0.15</v>
      </c>
      <c r="GB88" s="98" t="str">
        <f>IFERROR(VLOOKUP($B88,'LOD 400 - UTLS'!B:V,21,FALSE),"N/A")</f>
        <v>NEXT ROUND</v>
      </c>
      <c r="GC88" s="81">
        <f>IFERROR(VLOOKUP($B88,'LOD 400 - UTLS'!B:Y,24,FALSE),"N/A")</f>
        <v>0.38</v>
      </c>
      <c r="GD88" s="87" t="str">
        <f>IFERROR(VLOOKUP($B88,'LOD 400 - UTLS'!$B:AB,27,FALSE),"N/A")</f>
        <v>OUTDATED</v>
      </c>
      <c r="GE88" s="80" t="str">
        <f>IFERROR(VLOOKUP($B88,'LOD 400 - UTLS'!$B:AE,30,FALSE),"N/A")</f>
        <v>IMPROPER</v>
      </c>
      <c r="GF88" s="82">
        <f>IFERROR(VLOOKUP($B88,'LOD 400 - UTLS'!$B:AH,33,FALSE),"N/A")</f>
        <v>0.38</v>
      </c>
      <c r="GG88" s="88" t="str">
        <f>IFERROR(VLOOKUP($B88,'LOD 400 - UTLS'!$B:AK,36,FALSE),"N/A")</f>
        <v>IMPROPER</v>
      </c>
      <c r="GH88" s="84" t="str">
        <f>IFERROR(VLOOKUP($B88,'LOD 400 - UTLS'!$B:AN,39,FALSE),"N/A")</f>
        <v>IMPROPER</v>
      </c>
      <c r="GI88" s="84" t="str">
        <f>IFERROR(VLOOKUP($B88,'LOD 400 - UTLS'!$B:AQ,42,FALSE),"N/A")</f>
        <v>OUTDATED</v>
      </c>
      <c r="GJ88" s="84" t="str">
        <f>IFERROR(VLOOKUP($B88,'LOD 400 - UTLS'!$B:AT,45,FALSE),"N/A")</f>
        <v>OUTDATED</v>
      </c>
      <c r="GK88" s="84" t="str">
        <f>IFERROR(VLOOKUP($B88,'LOD 400 - UTLS'!$B:AW,48,FALSE),"N/A")</f>
        <v>OUTDATED</v>
      </c>
      <c r="GL88" s="84" t="str">
        <f>IFERROR(VLOOKUP($B88,'LOD 400 - UTLS'!$B:AZ,51,FALSE),"N/A")</f>
        <v>NEXT ROUND</v>
      </c>
      <c r="GM88" s="84" t="str">
        <f>IFERROR(VLOOKUP($B88,'LOD 400 - UTLS'!$B:BC,54,FALSE),"N/A")</f>
        <v>NEXT ROUND</v>
      </c>
      <c r="GN88" s="84" t="str">
        <f>IFERROR(VLOOKUP($B88,'LOD 400 - UTLS'!$B:BF,57,FALSE),"N/A")</f>
        <v>NEXT ROUND </v>
      </c>
      <c r="GO88" s="84" t="str">
        <f>IFERROR(VLOOKUP($B88,'LOD 400 - UTLS'!$B:BI,60,FALSE),"N/A")</f>
        <v>NEXT ROUND </v>
      </c>
      <c r="GP88" s="84">
        <f>IFERROR(VLOOKUP($B88,'LOD 400 - UTLS'!$B:BL,63,FALSE),"N/A")</f>
        <v>1</v>
      </c>
      <c r="GQ88" s="84">
        <f>IFERROR(VLOOKUP($B88,'LOD 400 - UTLS'!$B:BO,66,FALSE),"N/A")</f>
        <v>1</v>
      </c>
      <c r="GR88" s="84">
        <f>IFERROR(VLOOKUP($B88,'LOD 400 - UTLS'!$B:BR,69,FALSE),"N/A")</f>
        <v>1</v>
      </c>
      <c r="GS88" s="85">
        <f>IFERROR(VLOOKUP($B88,'LOD 400 - UTLS'!$B:BU,72,FALSE),"N/A")</f>
        <v>1</v>
      </c>
      <c r="GT88" s="84">
        <f>IFERROR(VLOOKUP($B88,'LOD 400 - UTLS'!$B:BX,75,FALSE),"N/A")</f>
        <v>1</v>
      </c>
      <c r="GU88" s="85">
        <f>IFERROR(VLOOKUP($B88,'LOD 400 - UTLS'!$B:CA,78,FALSE),"N/A")</f>
        <v>1</v>
      </c>
      <c r="GV88" s="84">
        <f>IFERROR(VLOOKUP($B88,'LOD 400 - UTLS'!$B:CD,81,FALSE),"N/A")</f>
        <v>1</v>
      </c>
      <c r="GW88" s="84">
        <f>IFERROR(VLOOKUP($B88,'LOD 400 - UTLS'!$B:CG,84,FALSE),"N/A")</f>
        <v>1</v>
      </c>
      <c r="GX88" s="84">
        <f>IFERROR(VLOOKUP($B88,'LOD 400 - UTLS'!$B:CJ,87,FALSE),"N/A")</f>
        <v>1</v>
      </c>
      <c r="GY88" s="84">
        <f>IFERROR(VLOOKUP($B88,'LOD 400 - UTLS'!$B:CM,90,FALSE),"N/A")</f>
        <v>1</v>
      </c>
      <c r="GZ88" s="84">
        <f>IFERROR(VLOOKUP($B88,'LOD 400 - UTLS'!$B:CP,93,FALSE),"N/A")</f>
        <v>1</v>
      </c>
      <c r="HA88" s="84">
        <f>IFERROR(VLOOKUP($B88,'LOD 400 - UTLS'!$B:CS,96,FALSE),"N/A")</f>
        <v>1</v>
      </c>
      <c r="HB88" s="84">
        <f>IFERROR(VLOOKUP($B88,'LOD 400 - UTLS'!$B:CV,99,FALSE),"N/A")</f>
        <v>1</v>
      </c>
      <c r="HC88" s="84">
        <f>IFERROR(VLOOKUP($B88,'LOD 400 - UTLS'!$B:CY,102,FALSE),"N/A")</f>
        <v>1</v>
      </c>
      <c r="HD88" s="84">
        <f>IFERROR(VLOOKUP($B88,'LOD 400 - UTLS'!$B:DB,105,FALSE),"N/A")</f>
        <v>1</v>
      </c>
      <c r="HE88" s="96">
        <f>IFERROR(__xludf.DUMMYFUNCTION("IFERROR(
  MAX(FILTER(GA88:HD88, ISNUMBER(GA88:HD88))),
  HD88
)"),1.0)</f>
        <v>1</v>
      </c>
      <c r="HF88" s="99"/>
      <c r="HG88" s="99"/>
      <c r="HH88" s="99"/>
      <c r="HI88" s="99"/>
      <c r="HJ88" s="99"/>
      <c r="HK88" s="99"/>
    </row>
    <row r="89" ht="15.0" customHeight="1" outlineLevel="1">
      <c r="A89" s="53">
        <v>93.0</v>
      </c>
      <c r="B89" s="100" t="s">
        <v>260</v>
      </c>
      <c r="C89" s="100" t="s">
        <v>261</v>
      </c>
      <c r="D89" s="64" t="str">
        <f t="shared" si="16"/>
        <v>SITE</v>
      </c>
      <c r="E89" s="101" t="s">
        <v>105</v>
      </c>
      <c r="F89" s="115">
        <v>0.0</v>
      </c>
      <c r="G89" s="103" t="s">
        <v>105</v>
      </c>
      <c r="H89" s="116">
        <v>0.0</v>
      </c>
      <c r="I89" s="68" t="str">
        <f>IFERROR(VLOOKUP($C86:C108,'R22 RELATÓRIO ACC'!B:F,5,FALSE),"NOT PUBLISHED")</f>
        <v>NOT PUBLISHED</v>
      </c>
      <c r="J89" s="69" t="str">
        <f>IFERROR(VLOOKUP($C86:C108,'R22 RELATÓRIO ACC'!B:P,15,FALSE),"NOT PUBLISHED")</f>
        <v>NOT PUBLISHED</v>
      </c>
      <c r="K89" s="70" t="str">
        <f>IFERROR(VLOOKUP($B86:B108,'RELATÓRIO ACC'!B:F,5,FALSE),"NOT PUBLISHED")</f>
        <v>NOT PUBLISHED</v>
      </c>
      <c r="L89" s="71" t="str">
        <f>IFERROR(VLOOKUP($B86:B108,'RELATÓRIO ACC'!B:P,15,FALSE),"NOT PUBLISHED")</f>
        <v>NOT PUBLISHED</v>
      </c>
      <c r="M89" s="72" t="str">
        <f>IF(OR($D89="UTLS",$D89="GUAR",$D89="STIR",$D89="PUMP",$D89="SITE"),
   VLOOKUP($B89,'LOD 400 - SITE'!B:M,12,FALSE),
   VLOOKUP($B89,'LOD 400 - ADMN'!B:M,12,FALSE)
)</f>
        <v>NOT PUBLISHED</v>
      </c>
      <c r="N89" s="105" t="str">
        <f>IF(OR($D89="UTLS",$D89="GUAR",$D89="STIR",$D89="PUMP",$D89="SITE"),
   VLOOKUP($B89,'LOD 400 - SITE'!B:N,13,FALSE),
   VLOOKUP($B89,'LOD 400 - ADMN'!B:N,13,FALSE)
)</f>
        <v>NOT PUBLISHED</v>
      </c>
      <c r="O89" s="106" t="str">
        <f>IF(OR($D89="UTLS",$D89="GUAR",$D89="STIR",$D89="PUMP",$D89="SITE"),
   VLOOKUP($B89,'LOD 400 - SITE'!B:O,14,FALSE),
   VLOOKUP($B89,'LOD 400 - ADMN'!B:O,14,FALSE)
)</f>
        <v>NOT PUBLISHED</v>
      </c>
      <c r="P89" s="107" t="str">
        <f>IF(OR($D89="C345",$D89="C12A",$D89="DATA"),
   VLOOKUP($B89,'LOD 400 - COLO3'!B:M,12,FALSE),"N/A")</f>
        <v>N/A</v>
      </c>
      <c r="Q89" s="108" t="str">
        <f>IF(OR($D89="C345",$D89="C12A",$D89="DATA"),
   VLOOKUP($B89,'LOD 400 - COLO3'!B:N,13,FALSE),"N/A")</f>
        <v>N/A</v>
      </c>
      <c r="R89" s="75" t="str">
        <f>IF(OR($D89="C345",$D89="C12A",$D89="DATA"),
   VLOOKUP($B89,'LOD 400 - COLO3'!B:O,14,FALSE),"N/A")</f>
        <v>N/A</v>
      </c>
      <c r="S89" s="113" t="str">
        <f>IFERROR(VLOOKUP($B88:J108,'RELATÓRIO ACC'!J:N,5,FALSE),"NOT PUBLISHED")</f>
        <v>NOT PUBLISHED</v>
      </c>
      <c r="T89" s="113" t="str">
        <f>IFERROR(VLOOKUP($B88:K108,'RELATÓRIO ACC'!K:O,5,FALSE),"NOT PUBLISHED")</f>
        <v>NOT PUBLISHED</v>
      </c>
      <c r="U89" s="70" t="str">
        <f>IFERROR(VLOOKUP($B88:L108,'RELATÓRIO ACC'!L:P,5,FALSE),"NOT PUBLISHED")</f>
        <v>NOT PUBLISHED</v>
      </c>
      <c r="V89" s="77" t="str">
        <f>IF(OR($D89="UTLS",$D89="GUAR",$D89="STIR",$D89="PUMP",$D89="SITE"),
   VLOOKUP($B89,'LOD 400 - UTLS'!B:M,12,FALSE),"N/A")</f>
        <v>NOT PUBLISHED</v>
      </c>
      <c r="W89" s="78" t="str">
        <f>IF(OR($D89="UTLS",$D89="GUAR",$D89="STIR",$D89="PUMP",$D89="SITE"),
   VLOOKUP($B89,'LOD 400 - UTLS'!B:N,13,FALSE),"N/A")</f>
        <v>NOT PUBLISHED</v>
      </c>
      <c r="X89" s="108" t="str">
        <f>IF(OR($D89="UTLS",$D89="GUAR",$D89="STIR",$D89="PUMP",$D89="SITE"),
   VLOOKUP($B89,'LOD 400 - UTLS'!B:O,14,FALSE),"N/A")</f>
        <v>NOT PUBLISHED</v>
      </c>
      <c r="Y89" s="79" t="str">
        <f>IFERROR(VLOOKUP($B89,'LOD 400 - ADMN'!B:S,18,FALSE),"N/A")</f>
        <v>N/A</v>
      </c>
      <c r="Z89" s="79" t="str">
        <f>IFERROR(VLOOKUP($B89,'LOD 400 - ADMN'!B:V,21,FALSE),"N/A")</f>
        <v>N/A</v>
      </c>
      <c r="AA89" s="79" t="str">
        <f>IFERROR(VLOOKUP($B89,'LOD 400 - ADMN'!$B:Y,24,FALSE),"N/A")</f>
        <v>N/A</v>
      </c>
      <c r="AB89" s="80" t="str">
        <f>IFERROR(VLOOKUP($B89,'LOD 400 - ADMN'!$B:AB,27,FALSE),"N/A")</f>
        <v>N/A</v>
      </c>
      <c r="AC89" s="81" t="str">
        <f>IFERROR(VLOOKUP($B89,'LOD 400 - ADMN'!$B:AE,30,FALSE),"N/A")</f>
        <v>N/A</v>
      </c>
      <c r="AD89" s="81" t="str">
        <f>IFERROR(VLOOKUP($B89,'LOD 400 - ADMN'!$B:AH,33,FALSE),"N/A")</f>
        <v>N/A</v>
      </c>
      <c r="AE89" s="80" t="str">
        <f>IFERROR(VLOOKUP($B89,'LOD 400 - ADMN'!$B:AK,36,FALSE),"N/A")</f>
        <v>N/A</v>
      </c>
      <c r="AF89" s="82" t="str">
        <f>IFERROR(VLOOKUP($B89,'LOD 400 - ADMN'!$B:AN,39,FALSE),"N/A")</f>
        <v>N/A</v>
      </c>
      <c r="AG89" s="83" t="str">
        <f>IFERROR(VLOOKUP($B89,'LOD 400 - ADMN'!$B:AQ,42,FALSE),"N/A")</f>
        <v>N/A</v>
      </c>
      <c r="AH89" s="84" t="str">
        <f>IFERROR(VLOOKUP($B89,'LOD 400 - ADMN'!$B:AT,45,FALSE),"N/A")</f>
        <v>N/A</v>
      </c>
      <c r="AI89" s="85" t="str">
        <f>IFERROR(VLOOKUP($B89,'LOD 400 - ADMN'!$B:AW,48,FALSE),"N/A")</f>
        <v>N/A</v>
      </c>
      <c r="AJ89" s="85" t="str">
        <f>IFERROR(VLOOKUP($B89,'LOD 400 - ADMN'!$B:AZ,51,FALSE),"N/A")</f>
        <v>N/A</v>
      </c>
      <c r="AK89" s="84" t="str">
        <f>IFERROR(VLOOKUP($B89,'LOD 400 - ADMN'!$B:BC,54,FALSE),"N/A")</f>
        <v>N/A</v>
      </c>
      <c r="AL89" s="84" t="str">
        <f>IFERROR(VLOOKUP($B89,'LOD 400 - ADMN'!$B:BF,57,FALSE),"N/A")</f>
        <v>N/A</v>
      </c>
      <c r="AM89" s="84" t="str">
        <f>IFERROR(VLOOKUP($B89,'LOD 400 - ADMN'!$B:BI,60,FALSE),"N/A")</f>
        <v>N/A</v>
      </c>
      <c r="AN89" s="84" t="str">
        <f>IFERROR(VLOOKUP($B89,'LOD 400 - ADMN'!$B:BL,63,FALSE),"N/A")</f>
        <v>N/A</v>
      </c>
      <c r="AO89" s="84" t="str">
        <f>IFERROR(VLOOKUP($B89,'LOD 400 - ADMN'!$B:BO,66,FALSE),"N/A")</f>
        <v>N/A</v>
      </c>
      <c r="AP89" s="84" t="str">
        <f>IFERROR(VLOOKUP($B89,'LOD 400 - ADMN'!$B:BR,69,FALSE),"N/A")</f>
        <v>N/A</v>
      </c>
      <c r="AQ89" s="84" t="str">
        <f>IFERROR(VLOOKUP($B89,'LOD 400 - ADMN'!$B:BU,72,FALSE),"N/A")</f>
        <v>N/A</v>
      </c>
      <c r="AR89" s="84" t="str">
        <f>IFERROR(VLOOKUP($B89,'LOD 400 - ADMN'!$B:BX,75,FALSE),"N/A")</f>
        <v>N/A</v>
      </c>
      <c r="AS89" s="84" t="str">
        <f>IFERROR(VLOOKUP($B89,'LOD 400 - ADMN'!$B:CA,78,FALSE),"N/A")</f>
        <v>N/A</v>
      </c>
      <c r="AT89" s="84" t="str">
        <f>IFERROR(VLOOKUP($B89,'LOD 400 - ADMN'!$B:CD,81,FALSE),"N/A")</f>
        <v>N/A</v>
      </c>
      <c r="AU89" s="85" t="str">
        <f>IFERROR(VLOOKUP($B89,'LOD 400 - ADMN'!$B:CG,84,FALSE),"N/A")</f>
        <v>N/A</v>
      </c>
      <c r="AV89" s="84" t="str">
        <f>IFERROR(VLOOKUP($B89,'LOD 400 - ADMN'!$B:CJ,87,FALSE),"N/A")</f>
        <v>N/A</v>
      </c>
      <c r="AW89" s="85" t="str">
        <f>IFERROR(VLOOKUP($B89,'LOD 400 - ADMN'!$B:CM,90,FALSE),"N/A")</f>
        <v>N/A</v>
      </c>
      <c r="AX89" s="84" t="str">
        <f>IFERROR(VLOOKUP($B89,'LOD 400 - ADMN'!$B:CP,93,FALSE),"N/A")</f>
        <v>N/A</v>
      </c>
      <c r="AY89" s="84" t="str">
        <f>IFERROR(VLOOKUP($B89,'LOD 400 - ADMN'!$B:CS,96,FALSE),"N/A")</f>
        <v>N/A</v>
      </c>
      <c r="AZ89" s="84" t="str">
        <f>IFERROR(VLOOKUP($B89,'LOD 400 - ADMN'!$B:CV,99,FALSE),"N/A")</f>
        <v>N/A</v>
      </c>
      <c r="BA89" s="84" t="str">
        <f>IFERROR(VLOOKUP($B89,'LOD 400 - ADMN'!$B:CY,102,FALSE),"N/A")</f>
        <v>N/A</v>
      </c>
      <c r="BB89" s="84" t="str">
        <f>IFERROR(VLOOKUP($B89,'LOD 400 - ADMN'!$B:DB,105,FALSE),"N/A")</f>
        <v>N/A</v>
      </c>
      <c r="BC89" s="84" t="str">
        <f>IFERROR(VLOOKUP($B89,'LOD 400 - ADMN'!$B:DE,108,FALSE),"N/A")</f>
        <v>N/A</v>
      </c>
      <c r="BD89" s="84" t="str">
        <f>IFERROR(VLOOKUP($B89,'LOD 400 - ADMN'!$B:DH,111,FALSE),"N/A")</f>
        <v>N/A</v>
      </c>
      <c r="BE89" s="84" t="str">
        <f>IFERROR(VLOOKUP($B89,'LOD 400 - ADMN'!$B:DK,114,FALSE),"N/A")</f>
        <v>N/A</v>
      </c>
      <c r="BF89" s="84" t="str">
        <f>IFERROR(VLOOKUP($B89,'LOD 400 - ADMN'!$B:DN,117,FALSE),"N/A")</f>
        <v>N/A</v>
      </c>
      <c r="BG89" s="86" t="str">
        <f>IFERROR(__xludf.DUMMYFUNCTION("IFERROR(
  MAX(FILTER(Y89:BF89, ISNUMBER(Y89:BF89))),
  BF89
)"),"N/A")</f>
        <v>N/A</v>
      </c>
      <c r="BH89" s="79" t="str">
        <f>IFERROR(VLOOKUP($B89,'LOD 400 - COLO1'!B:S,18,FALSE),"N/A")</f>
        <v>N/A</v>
      </c>
      <c r="BI89" s="79" t="str">
        <f>IFERROR(VLOOKUP($B89,'LOD 400 - COLO1'!B:V,21,FALSE),"N/A")</f>
        <v>N/A</v>
      </c>
      <c r="BJ89" s="79" t="str">
        <f>IFERROR(VLOOKUP($B89,'LOD 400 - COLO1'!$B:Y,24,FALSE),"N/A")</f>
        <v>N/A</v>
      </c>
      <c r="BK89" s="87" t="str">
        <f>IFERROR(VLOOKUP($B89,'LOD 400 - COLO1'!$B:AB,27,FALSE),"N/A")</f>
        <v>N/A</v>
      </c>
      <c r="BL89" s="80" t="str">
        <f>IFERROR(VLOOKUP($B89,'LOD 400 - COLO1'!$B:AE,30,FALSE),"N/A")</f>
        <v>N/A</v>
      </c>
      <c r="BM89" s="81" t="str">
        <f>IFERROR(VLOOKUP($B89,'LOD 400 - COLO1'!$B:AH,33,FALSE),"N/A")</f>
        <v>N/A</v>
      </c>
      <c r="BN89" s="87" t="str">
        <f>IFERROR(VLOOKUP($B89,'LOD 400 - COLO1'!$B:AK,36,FALSE),"N/A")</f>
        <v>N/A</v>
      </c>
      <c r="BO89" s="83" t="str">
        <f>IFERROR(VLOOKUP($B89,'LOD 400 - COLO1'!$B:AN,39,FALSE),"N/A")</f>
        <v>N/A</v>
      </c>
      <c r="BP89" s="88" t="str">
        <f>IFERROR(VLOOKUP($B89,'LOD 400 - COLO1'!$B:AQ,42,FALSE),"N/A")</f>
        <v>N/A</v>
      </c>
      <c r="BQ89" s="84" t="str">
        <f>IFERROR(VLOOKUP($B89,'LOD 400 - COLO1'!$B:AT,45,FALSE),"N/A")</f>
        <v>N/A</v>
      </c>
      <c r="BR89" s="85" t="str">
        <f>IFERROR(VLOOKUP($B89,'LOD 400 - COLO1'!$B:AW,48,FALSE),"N/A")</f>
        <v>N/A</v>
      </c>
      <c r="BS89" s="84" t="str">
        <f>IFERROR(VLOOKUP($B89,'LOD 400 - COLO1'!$B:AZ,51,FALSE),"N/A")</f>
        <v>N/A</v>
      </c>
      <c r="BT89" s="84" t="str">
        <f>IFERROR(VLOOKUP($B89,'LOD 400 - COLO1'!$B:BC,54,FALSE),"N/A")</f>
        <v>N/A</v>
      </c>
      <c r="BU89" s="84" t="str">
        <f>IFERROR(VLOOKUP($B89,'LOD 400 - COLO1'!$B:BF,57,FALSE),"N/A")</f>
        <v>N/A</v>
      </c>
      <c r="BV89" s="84" t="str">
        <f>IFERROR(VLOOKUP($B89,'LOD 400 - COLO1'!$B:BI,60,FALSE),"N/A")</f>
        <v>N/A</v>
      </c>
      <c r="BW89" s="84" t="str">
        <f>IFERROR(VLOOKUP($B89,'LOD 400 - COLO1'!$B:BL,63,FALSE),"N/A")</f>
        <v>N/A</v>
      </c>
      <c r="BX89" s="84" t="str">
        <f>IFERROR(VLOOKUP($B89,'LOD 400 - COLO1'!$B:BO,66,FALSE),"N/A")</f>
        <v>N/A</v>
      </c>
      <c r="BY89" s="84" t="str">
        <f>IFERROR(VLOOKUP($B89,'LOD 400 - COLO1'!$B:BR,69,FALSE),"N/A")</f>
        <v>N/A</v>
      </c>
      <c r="BZ89" s="84" t="str">
        <f>IFERROR(VLOOKUP($B89,'LOD 400 - COLO1'!$B:BU,72,FALSE),"N/A")</f>
        <v>N/A</v>
      </c>
      <c r="CA89" s="84" t="str">
        <f>IFERROR(VLOOKUP($B89,'LOD 400 - COLO1'!$B:BX,75,FALSE),"N/A")</f>
        <v>N/A</v>
      </c>
      <c r="CB89" s="84" t="str">
        <f>IFERROR(VLOOKUP($B89,'LOD 400 - COLO1'!$B:CA,78,FALSE),"N/A")</f>
        <v>N/A</v>
      </c>
      <c r="CC89" s="84" t="str">
        <f>IFERROR(VLOOKUP($B89,'LOD 400 - COLO1'!$B:CD,81,FALSE),"N/A")</f>
        <v>N/A</v>
      </c>
      <c r="CD89" s="85" t="str">
        <f>IFERROR(VLOOKUP($B89,'LOD 400 - COLO1'!$B:CG,84,FALSE),"N/A")</f>
        <v>N/A</v>
      </c>
      <c r="CE89" s="84" t="str">
        <f>IFERROR(VLOOKUP($B89,'LOD 400 - COLO1'!$B:CJ,87,FALSE),"N/A")</f>
        <v>N/A</v>
      </c>
      <c r="CF89" s="85" t="str">
        <f>IFERROR(VLOOKUP($B89,'LOD 400 - COLO1'!$B:CM,90,FALSE),"N/A")</f>
        <v>N/A</v>
      </c>
      <c r="CG89" s="84" t="str">
        <f>IFERROR(VLOOKUP($B89,'LOD 400 - COLO1'!$B:CP,93,FALSE),"N/A")</f>
        <v>N/A</v>
      </c>
      <c r="CH89" s="84" t="str">
        <f>IFERROR(VLOOKUP($B89,'LOD 400 - COLO1'!$B:CS,96,FALSE),"N/A")</f>
        <v>N/A</v>
      </c>
      <c r="CI89" s="84" t="str">
        <f>IFERROR(VLOOKUP($B89,'LOD 400 - COLO1'!$B:CV,99,FALSE),"N/A")</f>
        <v>N/A</v>
      </c>
      <c r="CJ89" s="84" t="str">
        <f>IFERROR(VLOOKUP($B89,'LOD 400 - COLO1'!$B:CY,102,FALSE),"N/A")</f>
        <v>N/A</v>
      </c>
      <c r="CK89" s="84" t="str">
        <f>IFERROR(VLOOKUP($B89,'LOD 400 - COLO1'!$B:DB,105,FALSE),"N/A")</f>
        <v>N/A</v>
      </c>
      <c r="CL89" s="84" t="str">
        <f>IFERROR(VLOOKUP($B89,'LOD 400 - COLO1'!$B:DE,108,FALSE),"N/A")</f>
        <v>N/A</v>
      </c>
      <c r="CM89" s="84" t="str">
        <f>IFERROR(VLOOKUP($B89,'LOD 400 - COLO1'!$B:DH,111,FALSE),"N/A")</f>
        <v>N/A</v>
      </c>
      <c r="CN89" s="84" t="str">
        <f>IFERROR(VLOOKUP($B89,'LOD 400 - COLO1'!$B:DK,114,FALSE),"N/A")</f>
        <v>N/A</v>
      </c>
      <c r="CO89" s="84" t="str">
        <f>IFERROR(VLOOKUP($B89,'LOD 400 - COLO1'!$B:DN,117,FALSE),"N/A")</f>
        <v>N/A</v>
      </c>
      <c r="CP89" s="86" t="str">
        <f>IFERROR(__xludf.DUMMYFUNCTION("IFERROR(
  MAX(FILTER(BH89:CO89, ISNUMBER(BH89:CO89))),
  CO89
)"),"N/A")</f>
        <v>N/A</v>
      </c>
      <c r="CQ89" s="89" t="str">
        <f>IFERROR(VLOOKUP($B89,'LOD 400 - COLO2'!B:S,18,FALSE),"N/A")</f>
        <v>N/A</v>
      </c>
      <c r="CR89" s="79" t="str">
        <f>IFERROR(VLOOKUP($B89,'LOD 400 - COLO2'!B:V,21,FALSE),"N/A")</f>
        <v>N/A</v>
      </c>
      <c r="CS89" s="79" t="str">
        <f>IFERROR(VLOOKUP($B89,'LOD 400 - COLO2'!$B:Y,24,FALSE),"N/A")</f>
        <v>N/A</v>
      </c>
      <c r="CT89" s="80" t="str">
        <f>IFERROR(VLOOKUP($B89,'LOD 400 - COLO2'!$B:DQ,27,FALSE),"N/A")</f>
        <v>N/A</v>
      </c>
      <c r="CU89" s="90" t="str">
        <f>IFERROR(VLOOKUP($B89,'LOD 400 - COLO2'!$B:AE,30,FALSE),"N/A")</f>
        <v>N/A</v>
      </c>
      <c r="CV89" s="81" t="str">
        <f>IFERROR(VLOOKUP($B89,'LOD 400 - COLO2'!$B:AH,33,FALSE),"N/A")</f>
        <v>N/A</v>
      </c>
      <c r="CW89" s="90" t="str">
        <f>IFERROR(VLOOKUP($B89,'LOD 400 - COLO2'!$B:AK,36,FALSE),"N/A")</f>
        <v>N/A</v>
      </c>
      <c r="CX89" s="85" t="str">
        <f>IFERROR(VLOOKUP($B89,'LOD 400 - COLO2'!$B:AN,39,FALSE),"N/A")</f>
        <v>N/A</v>
      </c>
      <c r="CY89" s="88" t="str">
        <f>IFERROR(VLOOKUP($B89,'LOD 400 - COLO2'!$B:AQ,42,FALSE),"N/A")</f>
        <v>N/A</v>
      </c>
      <c r="CZ89" s="84" t="str">
        <f>IFERROR(VLOOKUP($B89,'LOD 400 - COLO2'!$B:AT,45,FALSE),"N/A")</f>
        <v>N/A</v>
      </c>
      <c r="DA89" s="85" t="str">
        <f>IFERROR(VLOOKUP($B89,'LOD 400 - COLO2'!$B:AW,48,FALSE),"N/A")</f>
        <v>N/A</v>
      </c>
      <c r="DB89" s="84" t="str">
        <f>IFERROR(VLOOKUP($B89,'LOD 400 - COLO2'!$B:AZ,51,FALSE),"N/A")</f>
        <v>N/A</v>
      </c>
      <c r="DC89" s="84" t="str">
        <f>IFERROR(VLOOKUP($B89,'LOD 400 - COLO2'!$B:BC,54,FALSE),"N/A")</f>
        <v>N/A</v>
      </c>
      <c r="DD89" s="84" t="str">
        <f>IFERROR(VLOOKUP($B89,'LOD 400 - COLO2'!$B:BF,57,FALSE),"N/A")</f>
        <v>N/A</v>
      </c>
      <c r="DE89" s="84" t="str">
        <f>IFERROR(VLOOKUP($B89,'LOD 400 - COLO2'!$B:BI,60,FALSE),"N/A")</f>
        <v>N/A</v>
      </c>
      <c r="DF89" s="84" t="str">
        <f>IFERROR(VLOOKUP($B89,'LOD 400 - COLO2'!$B:BL,63,FALSE),"N/A")</f>
        <v>N/A</v>
      </c>
      <c r="DG89" s="84" t="str">
        <f>IFERROR(VLOOKUP($B89,'LOD 400 - COLO2'!$B:BO,66,FALSE),"N/A")</f>
        <v>N/A</v>
      </c>
      <c r="DH89" s="84" t="str">
        <f>IFERROR(VLOOKUP($B89,'LOD 400 - COLO2'!$B:BR,69,FALSE),"N/A")</f>
        <v>N/A</v>
      </c>
      <c r="DI89" s="84" t="str">
        <f>IFERROR(VLOOKUP($B89,'LOD 400 - COLO2'!$B:BU,72,FALSE),"N/A")</f>
        <v>N/A</v>
      </c>
      <c r="DJ89" s="84" t="str">
        <f>IFERROR(VLOOKUP($B89,'LOD 400 - COLO2'!$B:BX,75,FALSE),"N/A")</f>
        <v>N/A</v>
      </c>
      <c r="DK89" s="84" t="str">
        <f>IFERROR(VLOOKUP($B89,'LOD 400 - COLO2'!$B:CA,78,FALSE),"N/A")</f>
        <v>N/A</v>
      </c>
      <c r="DL89" s="84" t="str">
        <f>IFERROR(VLOOKUP($B89,'LOD 400 - COLO2'!$B:CD,81,FALSE),"N/A")</f>
        <v>N/A</v>
      </c>
      <c r="DM89" s="85" t="str">
        <f>IFERROR(VLOOKUP($B89,'LOD 400 - COLO2'!$B:CG,84,FALSE),"N/A")</f>
        <v>N/A</v>
      </c>
      <c r="DN89" s="84" t="str">
        <f>IFERROR(VLOOKUP($B89,'LOD 400 - COLO2'!$B:CJ,87,FALSE),"N/A")</f>
        <v>N/A</v>
      </c>
      <c r="DO89" s="85" t="str">
        <f>IFERROR(VLOOKUP($B89,'LOD 400 - COLO2'!$B:CM,90,FALSE),"N/A")</f>
        <v>N/A</v>
      </c>
      <c r="DP89" s="84" t="str">
        <f>IFERROR(VLOOKUP($B89,'LOD 400 - COLO2'!$B:CP,93,FALSE),"N/A")</f>
        <v>N/A</v>
      </c>
      <c r="DQ89" s="84" t="str">
        <f>IFERROR(VLOOKUP($B89,'LOD 400 - COLO2'!$B:CS,96,FALSE),"N/A")</f>
        <v>N/A</v>
      </c>
      <c r="DR89" s="84" t="str">
        <f>IFERROR(VLOOKUP($B89,'LOD 400 - COLO2'!$B:CV,99,FALSE),"N/A")</f>
        <v>N/A</v>
      </c>
      <c r="DS89" s="84" t="str">
        <f>IFERROR(VLOOKUP($B89,'LOD 400 - COLO2'!$B:CY,102,FALSE),"N/A")</f>
        <v>N/A</v>
      </c>
      <c r="DT89" s="84" t="str">
        <f>IFERROR(VLOOKUP($B89,'LOD 400 - COLO2'!$B:DB,105,FALSE),"N/A")</f>
        <v>N/A</v>
      </c>
      <c r="DU89" s="84" t="str">
        <f>IFERROR(VLOOKUP($B89,'LOD 400 - COLO2'!$B:DE,108,FALSE),"N/A")</f>
        <v>N/A</v>
      </c>
      <c r="DV89" s="84" t="str">
        <f>IFERROR(VLOOKUP($B89,'LOD 400 - COLO2'!$B:DH,111,FALSE),"N/A")</f>
        <v>N/A</v>
      </c>
      <c r="DW89" s="84" t="str">
        <f>IFERROR(VLOOKUP($B89,'LOD 400 - COLO2'!$B:DK,114,FALSE),"N/A")</f>
        <v>N/A</v>
      </c>
      <c r="DX89" s="84" t="str">
        <f>IFERROR(VLOOKUP($B89,'LOD 400 - COLO2'!$B:DN,117,FALSE),"N/A")</f>
        <v>N/A</v>
      </c>
      <c r="DY89" s="91" t="str">
        <f>IFERROR(__xludf.DUMMYFUNCTION("IFERROR(
  MAX(FILTER(CQ89:DW89, ISNUMBER(CQ89:DW89))),
  DW89
)"),"N/A")</f>
        <v>N/A</v>
      </c>
      <c r="DZ89" s="92" t="str">
        <f>IFERROR(VLOOKUP($B89,'LOD 400 - COLO3'!B:S,18,FALSE),"N/A")</f>
        <v>N/A</v>
      </c>
      <c r="EA89" s="84" t="str">
        <f>IFERROR(VLOOKUP($B89,'LOD 400 - COLO3'!B:V,21,FALSE),"N/A")</f>
        <v>N/A</v>
      </c>
      <c r="EB89" s="84" t="str">
        <f>IFERROR(VLOOKUP($B89,'LOD 400 - COLO3'!B:Y,24,FALSE),"N/A")</f>
        <v>N/A</v>
      </c>
      <c r="EC89" s="84" t="str">
        <f>IFERROR(VLOOKUP($B89,'LOD 400 - COLO3'!B:AB,27,FALSE),"N/A")</f>
        <v>N/A</v>
      </c>
      <c r="ED89" s="85" t="str">
        <f>IFERROR(VLOOKUP($B89,'LOD 400 - COLO3'!B:AE,30,FALSE),"N/A")</f>
        <v>N/A</v>
      </c>
      <c r="EE89" s="84" t="str">
        <f>IFERROR(VLOOKUP($B89,'LOD 400 - COLO3'!B:AH,33,FALSE),"N/A")</f>
        <v>N/A</v>
      </c>
      <c r="EF89" s="84" t="str">
        <f>IFERROR(VLOOKUP($B89,'LOD 400 - COLO3'!B:AK,36,FALSE),"N/A")</f>
        <v>N/A</v>
      </c>
      <c r="EG89" s="109" t="str">
        <f>IFERROR(VLOOKUP($B89,'LOD 400 - COLO3'!B:AN,39,FALSE),"N/A")</f>
        <v>N/A</v>
      </c>
      <c r="EH89" s="94" t="str">
        <f>IFERROR(VLOOKUP($B89,'LOD 400 - COLO3'!B:AQ,42,FALSE),"N/A")</f>
        <v>N/A</v>
      </c>
      <c r="EI89" s="94" t="str">
        <f>IFERROR(VLOOKUP($B89,'LOD 400 - COLO3'!B:AT,45,FALSE),"N/A")</f>
        <v>N/A</v>
      </c>
      <c r="EJ89" s="94" t="str">
        <f>IFERROR(VLOOKUP($B89,'LOD 400 - COLO3'!B:AW,48,FALSE),"N/A")</f>
        <v>N/A</v>
      </c>
      <c r="EK89" s="94" t="str">
        <f>IFERROR(VLOOKUP($B89,'LOD 400 - COLO3'!B:AZ,51,FALSE),"N/A")</f>
        <v>N/A</v>
      </c>
      <c r="EL89" s="94" t="str">
        <f>IFERROR(VLOOKUP($B89,'LOD 400 - COLO3'!B:BC,54,FALSE),"N/A")</f>
        <v>N/A</v>
      </c>
      <c r="EM89" s="94" t="str">
        <f>IFERROR(VLOOKUP($B89,'LOD 400 - COLO3'!B:BF,57,FALSE),"N/A")</f>
        <v>N/A</v>
      </c>
      <c r="EN89" s="94" t="str">
        <f>IFERROR(VLOOKUP($B89,'LOD 400 - COLO3'!B:BI,60,FALSE),"N/A")</f>
        <v>N/A</v>
      </c>
      <c r="EO89" s="94" t="str">
        <f>IFERROR(VLOOKUP($B89,'LOD 400 - COLO3'!B:BL,63,FALSE),"N/A")</f>
        <v>N/A</v>
      </c>
      <c r="EP89" s="86" t="str">
        <f>IFERROR(__xludf.DUMMYFUNCTION("IFERROR(
  MAX(FILTER(DZ89:EO89, ISNUMBER(DZ89:EO89))),
  EO89
)"),"N/A")</f>
        <v>N/A</v>
      </c>
      <c r="EQ89" s="95" t="str">
        <f>IFERROR(VLOOKUP($B89,'LOD 400 - COLO4'!B:S,18,FALSE),"N/A")</f>
        <v>N/A</v>
      </c>
      <c r="ER89" s="96" t="str">
        <f>IFERROR(__xludf.DUMMYFUNCTION("IFERROR(
  MAX(FILTER(EQ89, ISNUMBER(EQ89))),
  EQ89
)"),"N/A")</f>
        <v>N/A</v>
      </c>
      <c r="ES89" s="79" t="str">
        <f>IFERROR(VLOOKUP($B89,'LOD 400 - SITE'!B:S,18,FALSE),"N/A")</f>
        <v>NOT PUBLISHED</v>
      </c>
      <c r="ET89" s="80" t="str">
        <f>IFERROR(VLOOKUP($B89,'LOD 400 - SITE'!B:V,21,FALSE),"N/A")</f>
        <v>NOT PUBLISHED</v>
      </c>
      <c r="EU89" s="97" t="str">
        <f>IFERROR(VLOOKUP($B89,'LOD 400 - SITE'!$B:Y,24,FALSE),"N/A")</f>
        <v>NOT PUBLISHED</v>
      </c>
      <c r="EV89" s="80" t="str">
        <f>IFERROR(VLOOKUP($B89,'LOD 400 - SITE'!$B:AB,27,FALSE),"N/A")</f>
        <v>NOT PUBLISHED</v>
      </c>
      <c r="EW89" s="81" t="str">
        <f>IFERROR(VLOOKUP($B89,'LOD 400 - SITE'!$B:AE,30,FALSE),"N/A")</f>
        <v>NOT PUBLISHED</v>
      </c>
      <c r="EX89" s="87" t="str">
        <f>IFERROR(VLOOKUP($B89,'LOD 400 - SITE'!$B:AH,33,FALSE),"N/A")</f>
        <v>NOT PUBLISHED</v>
      </c>
      <c r="EY89" s="87" t="str">
        <f>IFERROR(VLOOKUP($B89,'LOD 400 - SITE'!$B:AK,36,FALSE),"N/A")</f>
        <v>NOT PUBLISHED</v>
      </c>
      <c r="EZ89" s="80" t="str">
        <f>IFERROR(VLOOKUP($B89,'LOD 400 - SITE'!$B:AN,39,FALSE),"N/A")</f>
        <v>NOT PUBLISHED</v>
      </c>
      <c r="FA89" s="82" t="str">
        <f>IFERROR(VLOOKUP($B89,'LOD 400 - SITE'!$B:AQ,42,FALSE),"N/A")</f>
        <v>NOT PUBLISHED</v>
      </c>
      <c r="FB89" s="88" t="str">
        <f>IFERROR(VLOOKUP($B89,'LOD 400 - SITE'!$B:AT,45,FALSE),"N/A")</f>
        <v>NOT PUBLISHED</v>
      </c>
      <c r="FC89" s="84" t="str">
        <f>IFERROR(VLOOKUP($B89,'LOD 400 - SITE'!$B:AW,48,FALSE),"N/A")</f>
        <v>NOT PUBLISHED</v>
      </c>
      <c r="FD89" s="84" t="str">
        <f>IFERROR(VLOOKUP($B89,'LOD 400 - SITE'!$B:AZ,51,FALSE),"N/A")</f>
        <v>NOT PUBLISHED</v>
      </c>
      <c r="FE89" s="84" t="str">
        <f>IFERROR(VLOOKUP($B89,'LOD 400 - SITE'!$B:BC,54,FALSE),"N/A")</f>
        <v>NOT PUBLISHED</v>
      </c>
      <c r="FF89" s="84" t="str">
        <f>IFERROR(VLOOKUP($B89,'LOD 400 - SITE'!$B:BF,57,FALSE),"N/A")</f>
        <v>NOT PUBLISHED</v>
      </c>
      <c r="FG89" s="84" t="str">
        <f>IFERROR(VLOOKUP($B89,'LOD 400 - SITE'!$B:BI,60,FALSE),"N/A")</f>
        <v>NOT PUBLISHED</v>
      </c>
      <c r="FH89" s="84" t="str">
        <f>IFERROR(VLOOKUP($B89,'LOD 400 - SITE'!$B:BL,63,FALSE),"N/A")</f>
        <v>NOT PUBLISHED</v>
      </c>
      <c r="FI89" s="84" t="str">
        <f>IFERROR(VLOOKUP($B89,'LOD 400 - SITE'!$B:BO,66,FALSE),"N/A")</f>
        <v>NOT PUBLISHED</v>
      </c>
      <c r="FJ89" s="84" t="str">
        <f>IFERROR(VLOOKUP($B89,'LOD 400 - SITE'!$B:BR,69,FALSE),"N/A")</f>
        <v>NOT PUBLISHED</v>
      </c>
      <c r="FK89" s="84" t="str">
        <f>IFERROR(VLOOKUP($B89,'LOD 400 - SITE'!$B:BU,72,FALSE),"N/A")</f>
        <v>NOT PUBLISHED</v>
      </c>
      <c r="FL89" s="84" t="str">
        <f>IFERROR(VLOOKUP($B89,'LOD 400 - SITE'!$B:BX,75,FALSE),"N/A")</f>
        <v>NOT PUBLISHED</v>
      </c>
      <c r="FM89" s="84" t="str">
        <f>IFERROR(VLOOKUP($B89,'LOD 400 - SITE'!$B:CA,78,FALSE),"N/A")</f>
        <v>NOT PUBLISHED</v>
      </c>
      <c r="FN89" s="85" t="str">
        <f>IFERROR(VLOOKUP($B89,'LOD 400 - SITE'!$B:CD,81,FALSE),"N/A")</f>
        <v>NOT PUBLISHED</v>
      </c>
      <c r="FO89" s="84" t="str">
        <f>IFERROR(VLOOKUP($B89,'LOD 400 - SITE'!$B:CG,84,FALSE),"N/A")</f>
        <v>NOT PUBLISHED</v>
      </c>
      <c r="FP89" s="85" t="str">
        <f>IFERROR(VLOOKUP($B89,'LOD 400 - SITE'!$B:CJ,87,FALSE),"N/A")</f>
        <v>NOT PUBLISHED</v>
      </c>
      <c r="FQ89" s="84" t="str">
        <f>IFERROR(VLOOKUP($B89,'LOD 400 - SITE'!$B:CM,90,FALSE),"N/A")</f>
        <v>NOT PUBLISHED</v>
      </c>
      <c r="FR89" s="84" t="str">
        <f>IFERROR(VLOOKUP($B89,'LOD 400 - SITE'!$B:CP,93,FALSE),"N/A")</f>
        <v>NOT PUBLISHED</v>
      </c>
      <c r="FS89" s="84" t="str">
        <f>IFERROR(VLOOKUP($B89,'LOD 400 - SITE'!$B:CS,96,FALSE),"N/A")</f>
        <v>NOT PUBLISHED</v>
      </c>
      <c r="FT89" s="84" t="str">
        <f>IFERROR(VLOOKUP($B89,'LOD 400 - SITE'!$B:CV,99,FALSE),"N/A")</f>
        <v>NOT PUBLISHED</v>
      </c>
      <c r="FU89" s="84" t="str">
        <f>IFERROR(VLOOKUP($B89,'LOD 400 - SITE'!$B:CY,102,FALSE),"N/A")</f>
        <v>NOT PUBLISHED</v>
      </c>
      <c r="FV89" s="84" t="str">
        <f>IFERROR(VLOOKUP($B89,'LOD 400 - SITE'!$B:DB,105,FALSE),"N/A")</f>
        <v>NOT PUBLISHED</v>
      </c>
      <c r="FW89" s="84" t="str">
        <f>IFERROR(VLOOKUP($B89,'LOD 400 - SITE'!$B:DE,108,FALSE),"N/A")</f>
        <v>NOT PUBLISHED</v>
      </c>
      <c r="FX89" s="84" t="str">
        <f>IFERROR(VLOOKUP($B89,'LOD 400 - SITE'!$B:DH,111,FALSE),"N/A")</f>
        <v>NOT PUBLISHED</v>
      </c>
      <c r="FY89" s="84" t="str">
        <f>IFERROR(VLOOKUP($B89,'LOD 400 - SITE'!$B:DK,114,FALSE),"N/A")</f>
        <v>NOT PUBLISHED</v>
      </c>
      <c r="FZ89" s="96" t="str">
        <f>IFERROR(__xludf.DUMMYFUNCTION("IFERROR(
  MAX(FILTER(ES89:FY89, ISNUMBER(ES89:FY89))),
  FY89
)"),"NOT PUBLISHED")</f>
        <v>NOT PUBLISHED</v>
      </c>
      <c r="GA89" s="80" t="str">
        <f>IFERROR(VLOOKUP($B89,'LOD 400 - UTLS'!B:S,18,FALSE),"N/A")</f>
        <v>NOT PUBLISHED</v>
      </c>
      <c r="GB89" s="98" t="str">
        <f>IFERROR(VLOOKUP($B89,'LOD 400 - UTLS'!B:V,21,FALSE),"N/A")</f>
        <v>NOT PUBLISHED</v>
      </c>
      <c r="GC89" s="81" t="str">
        <f>IFERROR(VLOOKUP($B89,'LOD 400 - UTLS'!B:Y,24,FALSE),"N/A")</f>
        <v>NOT PUBLISHED</v>
      </c>
      <c r="GD89" s="87" t="str">
        <f>IFERROR(VLOOKUP($B89,'LOD 400 - UTLS'!$B:AB,27,FALSE),"N/A")</f>
        <v>NOT PUBLISHED</v>
      </c>
      <c r="GE89" s="80" t="str">
        <f>IFERROR(VLOOKUP($B89,'LOD 400 - UTLS'!$B:AE,30,FALSE),"N/A")</f>
        <v>NOT PUBLISHED</v>
      </c>
      <c r="GF89" s="82" t="str">
        <f>IFERROR(VLOOKUP($B89,'LOD 400 - UTLS'!$B:AH,33,FALSE),"N/A")</f>
        <v>NOT PUBLISHED</v>
      </c>
      <c r="GG89" s="88" t="str">
        <f>IFERROR(VLOOKUP($B89,'LOD 400 - UTLS'!$B:AK,36,FALSE),"N/A")</f>
        <v>NOT PUBLISHED</v>
      </c>
      <c r="GH89" s="84" t="str">
        <f>IFERROR(VLOOKUP($B89,'LOD 400 - UTLS'!$B:AN,39,FALSE),"N/A")</f>
        <v>NOT PUBLISHED</v>
      </c>
      <c r="GI89" s="84" t="str">
        <f>IFERROR(VLOOKUP($B89,'LOD 400 - UTLS'!$B:AQ,42,FALSE),"N/A")</f>
        <v>NOT PUBLISHED</v>
      </c>
      <c r="GJ89" s="84" t="str">
        <f>IFERROR(VLOOKUP($B89,'LOD 400 - UTLS'!$B:AT,45,FALSE),"N/A")</f>
        <v>NOT PUBLISHED</v>
      </c>
      <c r="GK89" s="84" t="str">
        <f>IFERROR(VLOOKUP($B89,'LOD 400 - UTLS'!$B:AW,48,FALSE),"N/A")</f>
        <v>NOT PUBLISHED</v>
      </c>
      <c r="GL89" s="84" t="str">
        <f>IFERROR(VLOOKUP($B89,'LOD 400 - UTLS'!$B:AZ,51,FALSE),"N/A")</f>
        <v>NOT PUBLISHED</v>
      </c>
      <c r="GM89" s="84" t="str">
        <f>IFERROR(VLOOKUP($B89,'LOD 400 - UTLS'!$B:BC,54,FALSE),"N/A")</f>
        <v>NOT PUBLISHED</v>
      </c>
      <c r="GN89" s="84" t="str">
        <f>IFERROR(VLOOKUP($B89,'LOD 400 - UTLS'!$B:BF,57,FALSE),"N/A")</f>
        <v>NOT PUBLISHED</v>
      </c>
      <c r="GO89" s="84" t="str">
        <f>IFERROR(VLOOKUP($B89,'LOD 400 - UTLS'!$B:BI,60,FALSE),"N/A")</f>
        <v>NOT PUBLISHED</v>
      </c>
      <c r="GP89" s="84" t="str">
        <f>IFERROR(VLOOKUP($B89,'LOD 400 - UTLS'!$B:BL,63,FALSE),"N/A")</f>
        <v>NOT PUBLISHED</v>
      </c>
      <c r="GQ89" s="84" t="str">
        <f>IFERROR(VLOOKUP($B89,'LOD 400 - UTLS'!$B:BO,66,FALSE),"N/A")</f>
        <v>NOT PUBLISHED</v>
      </c>
      <c r="GR89" s="84" t="str">
        <f>IFERROR(VLOOKUP($B89,'LOD 400 - UTLS'!$B:BR,69,FALSE),"N/A")</f>
        <v>NOT PUBLISHED</v>
      </c>
      <c r="GS89" s="85" t="str">
        <f>IFERROR(VLOOKUP($B89,'LOD 400 - UTLS'!$B:BU,72,FALSE),"N/A")</f>
        <v>NOT PUBLISHED</v>
      </c>
      <c r="GT89" s="84" t="str">
        <f>IFERROR(VLOOKUP($B89,'LOD 400 - UTLS'!$B:BX,75,FALSE),"N/A")</f>
        <v>NOT PUBLISHED</v>
      </c>
      <c r="GU89" s="85" t="str">
        <f>IFERROR(VLOOKUP($B89,'LOD 400 - UTLS'!$B:CA,78,FALSE),"N/A")</f>
        <v>NOT PUBLISHED</v>
      </c>
      <c r="GV89" s="84" t="str">
        <f>IFERROR(VLOOKUP($B89,'LOD 400 - UTLS'!$B:CD,81,FALSE),"N/A")</f>
        <v>NOT PUBLISHED</v>
      </c>
      <c r="GW89" s="84" t="str">
        <f>IFERROR(VLOOKUP($B89,'LOD 400 - UTLS'!$B:CG,84,FALSE),"N/A")</f>
        <v>NOT PUBLISHED</v>
      </c>
      <c r="GX89" s="84" t="str">
        <f>IFERROR(VLOOKUP($B89,'LOD 400 - UTLS'!$B:CJ,87,FALSE),"N/A")</f>
        <v>NOT PUBLISHED</v>
      </c>
      <c r="GY89" s="84" t="str">
        <f>IFERROR(VLOOKUP($B89,'LOD 400 - UTLS'!$B:CM,90,FALSE),"N/A")</f>
        <v>NOT PUBLISHED</v>
      </c>
      <c r="GZ89" s="84" t="str">
        <f>IFERROR(VLOOKUP($B89,'LOD 400 - UTLS'!$B:CP,93,FALSE),"N/A")</f>
        <v>NOT PUBLISHED</v>
      </c>
      <c r="HA89" s="84" t="str">
        <f>IFERROR(VLOOKUP($B89,'LOD 400 - UTLS'!$B:CS,96,FALSE),"N/A")</f>
        <v>NOT PUBLISHED</v>
      </c>
      <c r="HB89" s="84" t="str">
        <f>IFERROR(VLOOKUP($B89,'LOD 400 - UTLS'!$B:CV,99,FALSE),"N/A")</f>
        <v>NOT PUBLISHED</v>
      </c>
      <c r="HC89" s="84" t="str">
        <f>IFERROR(VLOOKUP($B89,'LOD 400 - UTLS'!$B:CY,102,FALSE),"N/A")</f>
        <v>NOT PUBLISHED</v>
      </c>
      <c r="HD89" s="84" t="str">
        <f>IFERROR(VLOOKUP($B89,'LOD 400 - UTLS'!$B:DB,105,FALSE),"N/A")</f>
        <v>NOT PUBLISHED</v>
      </c>
      <c r="HE89" s="96" t="str">
        <f>IFERROR(__xludf.DUMMYFUNCTION("IFERROR(
  MAX(FILTER(GA89:HD89, ISNUMBER(GA89:HD89))),
  HD89
)"),"NOT PUBLISHED")</f>
        <v>NOT PUBLISHED</v>
      </c>
      <c r="HF89" s="99"/>
      <c r="HG89" s="99"/>
      <c r="HH89" s="99"/>
      <c r="HI89" s="99"/>
      <c r="HJ89" s="99"/>
      <c r="HK89" s="99"/>
    </row>
    <row r="90" ht="15.0" customHeight="1" outlineLevel="1">
      <c r="A90" s="53">
        <v>94.0</v>
      </c>
      <c r="B90" s="100" t="s">
        <v>262</v>
      </c>
      <c r="C90" s="100" t="s">
        <v>263</v>
      </c>
      <c r="D90" s="64" t="str">
        <f t="shared" si="16"/>
        <v>SITE</v>
      </c>
      <c r="E90" s="111" t="s">
        <v>264</v>
      </c>
      <c r="F90" s="115">
        <v>0.0</v>
      </c>
      <c r="G90" s="114" t="s">
        <v>265</v>
      </c>
      <c r="H90" s="116">
        <v>0.0</v>
      </c>
      <c r="I90" s="68" t="str">
        <f>IFERROR(VLOOKUP($C87:C108,'R22 RELATÓRIO ACC'!B:F,5,FALSE),"NOT PUBLISHED")</f>
        <v>V11</v>
      </c>
      <c r="J90" s="69" t="str">
        <f>IFERROR(VLOOKUP($C87:C108,'R22 RELATÓRIO ACC'!B:P,15,FALSE),"NOT PUBLISHED")</f>
        <v>21/03/2026</v>
      </c>
      <c r="K90" s="70" t="str">
        <f>IFERROR(VLOOKUP($B87:B108,'RELATÓRIO ACC'!B:F,5,FALSE),"NOT PUBLISHED")</f>
        <v>V1</v>
      </c>
      <c r="L90" s="71" t="str">
        <f>IFERROR(VLOOKUP($B87:B108,'RELATÓRIO ACC'!B:P,15,FALSE),"NOT PUBLISHED")</f>
        <v>18/05/2026</v>
      </c>
      <c r="M90" s="72" t="str">
        <f>IF(OR($D90="UTLS",$D90="GUAR",$D90="STIR",$D90="PUMP",$D90="SITE"),
   VLOOKUP($B90,'LOD 400 - SITE'!B:M,12,FALSE),
   VLOOKUP($B90,'LOD 400 - ADMN'!B:M,12,FALSE)
)</f>
        <v>V9</v>
      </c>
      <c r="N90" s="105">
        <f>IF(OR($D90="UTLS",$D90="GUAR",$D90="STIR",$D90="PUMP",$D90="SITE"),
   VLOOKUP($B90,'LOD 400 - SITE'!B:N,13,FALSE),
   VLOOKUP($B90,'LOD 400 - ADMN'!B:N,13,FALSE)
)</f>
        <v>45986</v>
      </c>
      <c r="O90" s="106" t="str">
        <f>IF(OR($D90="UTLS",$D90="GUAR",$D90="STIR",$D90="PUMP",$D90="SITE"),
   VLOOKUP($B90,'LOD 400 - SITE'!B:O,14,FALSE),
   VLOOKUP($B90,'LOD 400 - ADMN'!B:O,14,FALSE)
)</f>
        <v>R22</v>
      </c>
      <c r="P90" s="107" t="str">
        <f>IF(OR($D90="C345",$D90="C12A",$D90="DATA"),
   VLOOKUP($B90,'LOD 400 - COLO3'!B:M,12,FALSE),"N/A")</f>
        <v>N/A</v>
      </c>
      <c r="Q90" s="108" t="str">
        <f>IF(OR($D90="C345",$D90="C12A",$D90="DATA"),
   VLOOKUP($B90,'LOD 400 - COLO3'!B:N,13,FALSE),"N/A")</f>
        <v>N/A</v>
      </c>
      <c r="R90" s="75" t="str">
        <f>IF(OR($D90="C345",$D90="C12A",$D90="DATA"),
   VLOOKUP($B90,'LOD 400 - COLO3'!B:O,14,FALSE),"N/A")</f>
        <v>N/A</v>
      </c>
      <c r="S90" s="76" t="str">
        <f>IF(OR($D90="C345",$D90="C12A",$D90="DATA"),
   VLOOKUP($B90,'LOD 400 - COLO4'!B:N,12,FALSE),"N/A")</f>
        <v>N/A</v>
      </c>
      <c r="T90" s="76" t="str">
        <f>IF(OR($D90="C345",$D90="C12A",$D90="DATA"),
   VLOOKUP($B90,'LOD 400 - COLO4'!B:N,13,FALSE),"N/A")</f>
        <v>N/A</v>
      </c>
      <c r="U90" s="76" t="str">
        <f>IF(OR($D90="C345",$D90="C12A",$D90="DATA"),
   VLOOKUP($B90,'LOD 400 - COLO4'!B:N,13,FALSE),"N/A")</f>
        <v>N/A</v>
      </c>
      <c r="V90" s="77" t="str">
        <f>IF(OR($D90="UTLS",$D90="GUAR",$D90="STIR",$D90="PUMP",$D90="SITE"),
   VLOOKUP($B90,'LOD 400 - UTLS'!B:M,12,FALSE),"N/A")</f>
        <v>N/A</v>
      </c>
      <c r="W90" s="78" t="str">
        <f>IF(OR($D90="UTLS",$D90="GUAR",$D90="STIR",$D90="PUMP",$D90="SITE"),
   VLOOKUP($B90,'LOD 400 - UTLS'!B:N,13,FALSE),"N/A")</f>
        <v>N/A</v>
      </c>
      <c r="X90" s="108" t="str">
        <f>IF(OR($D90="UTLS",$D90="GUAR",$D90="STIR",$D90="PUMP",$D90="SITE"),
   VLOOKUP($B90,'LOD 400 - UTLS'!B:O,14,FALSE),"N/A")</f>
        <v>N/A</v>
      </c>
      <c r="Y90" s="79" t="str">
        <f>IFERROR(VLOOKUP($B90,'LOD 400 - ADMN'!B:S,18,FALSE),"N/A")</f>
        <v>N/A</v>
      </c>
      <c r="Z90" s="79" t="str">
        <f>IFERROR(VLOOKUP($B90,'LOD 400 - ADMN'!B:V,21,FALSE),"N/A")</f>
        <v>N/A</v>
      </c>
      <c r="AA90" s="79" t="str">
        <f>IFERROR(VLOOKUP($B90,'LOD 400 - ADMN'!$B:Y,24,FALSE),"N/A")</f>
        <v>N/A</v>
      </c>
      <c r="AB90" s="80" t="str">
        <f>IFERROR(VLOOKUP($B90,'LOD 400 - ADMN'!$B:AB,27,FALSE),"N/A")</f>
        <v>N/A</v>
      </c>
      <c r="AC90" s="81" t="str">
        <f>IFERROR(VLOOKUP($B90,'LOD 400 - ADMN'!$B:AE,30,FALSE),"N/A")</f>
        <v>N/A</v>
      </c>
      <c r="AD90" s="81" t="str">
        <f>IFERROR(VLOOKUP($B90,'LOD 400 - ADMN'!$B:AH,33,FALSE),"N/A")</f>
        <v>N/A</v>
      </c>
      <c r="AE90" s="80" t="str">
        <f>IFERROR(VLOOKUP($B90,'LOD 400 - ADMN'!$B:AK,36,FALSE),"N/A")</f>
        <v>N/A</v>
      </c>
      <c r="AF90" s="82" t="str">
        <f>IFERROR(VLOOKUP($B90,'LOD 400 - ADMN'!$B:AN,39,FALSE),"N/A")</f>
        <v>N/A</v>
      </c>
      <c r="AG90" s="83" t="str">
        <f>IFERROR(VLOOKUP($B90,'LOD 400 - ADMN'!$B:AQ,42,FALSE),"N/A")</f>
        <v>N/A</v>
      </c>
      <c r="AH90" s="84" t="str">
        <f>IFERROR(VLOOKUP($B90,'LOD 400 - ADMN'!$B:AT,45,FALSE),"N/A")</f>
        <v>N/A</v>
      </c>
      <c r="AI90" s="85" t="str">
        <f>IFERROR(VLOOKUP($B90,'LOD 400 - ADMN'!$B:AW,48,FALSE),"N/A")</f>
        <v>N/A</v>
      </c>
      <c r="AJ90" s="85" t="str">
        <f>IFERROR(VLOOKUP($B90,'LOD 400 - ADMN'!$B:AZ,51,FALSE),"N/A")</f>
        <v>N/A</v>
      </c>
      <c r="AK90" s="84" t="str">
        <f>IFERROR(VLOOKUP($B90,'LOD 400 - ADMN'!$B:BC,54,FALSE),"N/A")</f>
        <v>N/A</v>
      </c>
      <c r="AL90" s="84" t="str">
        <f>IFERROR(VLOOKUP($B90,'LOD 400 - ADMN'!$B:BF,57,FALSE),"N/A")</f>
        <v>N/A</v>
      </c>
      <c r="AM90" s="84" t="str">
        <f>IFERROR(VLOOKUP($B90,'LOD 400 - ADMN'!$B:BI,60,FALSE),"N/A")</f>
        <v>N/A</v>
      </c>
      <c r="AN90" s="84" t="str">
        <f>IFERROR(VLOOKUP($B90,'LOD 400 - ADMN'!$B:BL,63,FALSE),"N/A")</f>
        <v>N/A</v>
      </c>
      <c r="AO90" s="84" t="str">
        <f>IFERROR(VLOOKUP($B90,'LOD 400 - ADMN'!$B:BO,66,FALSE),"N/A")</f>
        <v>N/A</v>
      </c>
      <c r="AP90" s="84" t="str">
        <f>IFERROR(VLOOKUP($B90,'LOD 400 - ADMN'!$B:BR,69,FALSE),"N/A")</f>
        <v>N/A</v>
      </c>
      <c r="AQ90" s="84" t="str">
        <f>IFERROR(VLOOKUP($B90,'LOD 400 - ADMN'!$B:BU,72,FALSE),"N/A")</f>
        <v>N/A</v>
      </c>
      <c r="AR90" s="84" t="str">
        <f>IFERROR(VLOOKUP($B90,'LOD 400 - ADMN'!$B:BX,75,FALSE),"N/A")</f>
        <v>N/A</v>
      </c>
      <c r="AS90" s="84" t="str">
        <f>IFERROR(VLOOKUP($B90,'LOD 400 - ADMN'!$B:CA,78,FALSE),"N/A")</f>
        <v>N/A</v>
      </c>
      <c r="AT90" s="84" t="str">
        <f>IFERROR(VLOOKUP($B90,'LOD 400 - ADMN'!$B:CD,81,FALSE),"N/A")</f>
        <v>N/A</v>
      </c>
      <c r="AU90" s="85" t="str">
        <f>IFERROR(VLOOKUP($B90,'LOD 400 - ADMN'!$B:CG,84,FALSE),"N/A")</f>
        <v>N/A</v>
      </c>
      <c r="AV90" s="84" t="str">
        <f>IFERROR(VLOOKUP($B90,'LOD 400 - ADMN'!$B:CJ,87,FALSE),"N/A")</f>
        <v>N/A</v>
      </c>
      <c r="AW90" s="85" t="str">
        <f>IFERROR(VLOOKUP($B90,'LOD 400 - ADMN'!$B:CM,90,FALSE),"N/A")</f>
        <v>N/A</v>
      </c>
      <c r="AX90" s="84" t="str">
        <f>IFERROR(VLOOKUP($B90,'LOD 400 - ADMN'!$B:CP,93,FALSE),"N/A")</f>
        <v>N/A</v>
      </c>
      <c r="AY90" s="84" t="str">
        <f>IFERROR(VLOOKUP($B90,'LOD 400 - ADMN'!$B:CS,96,FALSE),"N/A")</f>
        <v>N/A</v>
      </c>
      <c r="AZ90" s="84" t="str">
        <f>IFERROR(VLOOKUP($B90,'LOD 400 - ADMN'!$B:CV,99,FALSE),"N/A")</f>
        <v>N/A</v>
      </c>
      <c r="BA90" s="84" t="str">
        <f>IFERROR(VLOOKUP($B90,'LOD 400 - ADMN'!$B:CY,102,FALSE),"N/A")</f>
        <v>N/A</v>
      </c>
      <c r="BB90" s="84" t="str">
        <f>IFERROR(VLOOKUP($B90,'LOD 400 - ADMN'!$B:DB,105,FALSE),"N/A")</f>
        <v>N/A</v>
      </c>
      <c r="BC90" s="84" t="str">
        <f>IFERROR(VLOOKUP($B90,'LOD 400 - ADMN'!$B:DE,108,FALSE),"N/A")</f>
        <v>N/A</v>
      </c>
      <c r="BD90" s="84" t="str">
        <f>IFERROR(VLOOKUP($B90,'LOD 400 - ADMN'!$B:DH,111,FALSE),"N/A")</f>
        <v>N/A</v>
      </c>
      <c r="BE90" s="84" t="str">
        <f>IFERROR(VLOOKUP($B90,'LOD 400 - ADMN'!$B:DK,114,FALSE),"N/A")</f>
        <v>N/A</v>
      </c>
      <c r="BF90" s="84" t="str">
        <f>IFERROR(VLOOKUP($B90,'LOD 400 - ADMN'!$B:DN,117,FALSE),"N/A")</f>
        <v>N/A</v>
      </c>
      <c r="BG90" s="86" t="str">
        <f>IFERROR(__xludf.DUMMYFUNCTION("IFERROR(
  MAX(FILTER(Y90:BF90, ISNUMBER(Y90:BF90))),
  BF90
)"),"N/A")</f>
        <v>N/A</v>
      </c>
      <c r="BH90" s="79" t="str">
        <f>IFERROR(VLOOKUP($B90,'LOD 400 - COLO1'!B:S,18,FALSE),"N/A")</f>
        <v>N/A</v>
      </c>
      <c r="BI90" s="79" t="str">
        <f>IFERROR(VLOOKUP($B90,'LOD 400 - COLO1'!B:V,21,FALSE),"N/A")</f>
        <v>N/A</v>
      </c>
      <c r="BJ90" s="79" t="str">
        <f>IFERROR(VLOOKUP($B90,'LOD 400 - COLO1'!$B:Y,24,FALSE),"N/A")</f>
        <v>N/A</v>
      </c>
      <c r="BK90" s="87" t="str">
        <f>IFERROR(VLOOKUP($B90,'LOD 400 - COLO1'!$B:AB,27,FALSE),"N/A")</f>
        <v>N/A</v>
      </c>
      <c r="BL90" s="80" t="str">
        <f>IFERROR(VLOOKUP($B90,'LOD 400 - COLO1'!$B:AE,30,FALSE),"N/A")</f>
        <v>N/A</v>
      </c>
      <c r="BM90" s="81" t="str">
        <f>IFERROR(VLOOKUP($B90,'LOD 400 - COLO1'!$B:AH,33,FALSE),"N/A")</f>
        <v>N/A</v>
      </c>
      <c r="BN90" s="87" t="str">
        <f>IFERROR(VLOOKUP($B90,'LOD 400 - COLO1'!$B:AK,36,FALSE),"N/A")</f>
        <v>N/A</v>
      </c>
      <c r="BO90" s="83" t="str">
        <f>IFERROR(VLOOKUP($B90,'LOD 400 - COLO1'!$B:AN,39,FALSE),"N/A")</f>
        <v>N/A</v>
      </c>
      <c r="BP90" s="88" t="str">
        <f>IFERROR(VLOOKUP($B90,'LOD 400 - COLO1'!$B:AQ,42,FALSE),"N/A")</f>
        <v>N/A</v>
      </c>
      <c r="BQ90" s="84" t="str">
        <f>IFERROR(VLOOKUP($B90,'LOD 400 - COLO1'!$B:AT,45,FALSE),"N/A")</f>
        <v>N/A</v>
      </c>
      <c r="BR90" s="85" t="str">
        <f>IFERROR(VLOOKUP($B90,'LOD 400 - COLO1'!$B:AW,48,FALSE),"N/A")</f>
        <v>N/A</v>
      </c>
      <c r="BS90" s="84" t="str">
        <f>IFERROR(VLOOKUP($B90,'LOD 400 - COLO1'!$B:AZ,51,FALSE),"N/A")</f>
        <v>N/A</v>
      </c>
      <c r="BT90" s="84" t="str">
        <f>IFERROR(VLOOKUP($B90,'LOD 400 - COLO1'!$B:BC,54,FALSE),"N/A")</f>
        <v>N/A</v>
      </c>
      <c r="BU90" s="84" t="str">
        <f>IFERROR(VLOOKUP($B90,'LOD 400 - COLO1'!$B:BF,57,FALSE),"N/A")</f>
        <v>N/A</v>
      </c>
      <c r="BV90" s="84" t="str">
        <f>IFERROR(VLOOKUP($B90,'LOD 400 - COLO1'!$B:BI,60,FALSE),"N/A")</f>
        <v>N/A</v>
      </c>
      <c r="BW90" s="84" t="str">
        <f>IFERROR(VLOOKUP($B90,'LOD 400 - COLO1'!$B:BL,63,FALSE),"N/A")</f>
        <v>N/A</v>
      </c>
      <c r="BX90" s="84" t="str">
        <f>IFERROR(VLOOKUP($B90,'LOD 400 - COLO1'!$B:BO,66,FALSE),"N/A")</f>
        <v>N/A</v>
      </c>
      <c r="BY90" s="84" t="str">
        <f>IFERROR(VLOOKUP($B90,'LOD 400 - COLO1'!$B:BR,69,FALSE),"N/A")</f>
        <v>N/A</v>
      </c>
      <c r="BZ90" s="84" t="str">
        <f>IFERROR(VLOOKUP($B90,'LOD 400 - COLO1'!$B:BU,72,FALSE),"N/A")</f>
        <v>N/A</v>
      </c>
      <c r="CA90" s="84" t="str">
        <f>IFERROR(VLOOKUP($B90,'LOD 400 - COLO1'!$B:BX,75,FALSE),"N/A")</f>
        <v>N/A</v>
      </c>
      <c r="CB90" s="84" t="str">
        <f>IFERROR(VLOOKUP($B90,'LOD 400 - COLO1'!$B:CA,78,FALSE),"N/A")</f>
        <v>N/A</v>
      </c>
      <c r="CC90" s="84" t="str">
        <f>IFERROR(VLOOKUP($B90,'LOD 400 - COLO1'!$B:CD,81,FALSE),"N/A")</f>
        <v>N/A</v>
      </c>
      <c r="CD90" s="85" t="str">
        <f>IFERROR(VLOOKUP($B90,'LOD 400 - COLO1'!$B:CG,84,FALSE),"N/A")</f>
        <v>N/A</v>
      </c>
      <c r="CE90" s="84" t="str">
        <f>IFERROR(VLOOKUP($B90,'LOD 400 - COLO1'!$B:CJ,87,FALSE),"N/A")</f>
        <v>N/A</v>
      </c>
      <c r="CF90" s="85" t="str">
        <f>IFERROR(VLOOKUP($B90,'LOD 400 - COLO1'!$B:CM,90,FALSE),"N/A")</f>
        <v>N/A</v>
      </c>
      <c r="CG90" s="84" t="str">
        <f>IFERROR(VLOOKUP($B90,'LOD 400 - COLO1'!$B:CP,93,FALSE),"N/A")</f>
        <v>N/A</v>
      </c>
      <c r="CH90" s="84" t="str">
        <f>IFERROR(VLOOKUP($B90,'LOD 400 - COLO1'!$B:CS,96,FALSE),"N/A")</f>
        <v>N/A</v>
      </c>
      <c r="CI90" s="84" t="str">
        <f>IFERROR(VLOOKUP($B90,'LOD 400 - COLO1'!$B:CV,99,FALSE),"N/A")</f>
        <v>N/A</v>
      </c>
      <c r="CJ90" s="84" t="str">
        <f>IFERROR(VLOOKUP($B90,'LOD 400 - COLO1'!$B:CY,102,FALSE),"N/A")</f>
        <v>N/A</v>
      </c>
      <c r="CK90" s="84" t="str">
        <f>IFERROR(VLOOKUP($B90,'LOD 400 - COLO1'!$B:DB,105,FALSE),"N/A")</f>
        <v>N/A</v>
      </c>
      <c r="CL90" s="84" t="str">
        <f>IFERROR(VLOOKUP($B90,'LOD 400 - COLO1'!$B:DE,108,FALSE),"N/A")</f>
        <v>N/A</v>
      </c>
      <c r="CM90" s="84" t="str">
        <f>IFERROR(VLOOKUP($B90,'LOD 400 - COLO1'!$B:DH,111,FALSE),"N/A")</f>
        <v>N/A</v>
      </c>
      <c r="CN90" s="84" t="str">
        <f>IFERROR(VLOOKUP($B90,'LOD 400 - COLO1'!$B:DK,114,FALSE),"N/A")</f>
        <v>N/A</v>
      </c>
      <c r="CO90" s="84" t="str">
        <f>IFERROR(VLOOKUP($B90,'LOD 400 - COLO1'!$B:DN,117,FALSE),"N/A")</f>
        <v>N/A</v>
      </c>
      <c r="CP90" s="86" t="str">
        <f>IFERROR(__xludf.DUMMYFUNCTION("IFERROR(
  MAX(FILTER(BH90:CO90, ISNUMBER(BH90:CO90))),
  CO90
)"),"N/A")</f>
        <v>N/A</v>
      </c>
      <c r="CQ90" s="89" t="str">
        <f>IFERROR(VLOOKUP($B90,'LOD 400 - COLO2'!B:S,18,FALSE),"N/A")</f>
        <v>N/A</v>
      </c>
      <c r="CR90" s="79" t="str">
        <f>IFERROR(VLOOKUP($B90,'LOD 400 - COLO2'!B:V,21,FALSE),"N/A")</f>
        <v>N/A</v>
      </c>
      <c r="CS90" s="79" t="str">
        <f>IFERROR(VLOOKUP($B90,'LOD 400 - COLO2'!$B:Y,24,FALSE),"N/A")</f>
        <v>N/A</v>
      </c>
      <c r="CT90" s="80" t="str">
        <f>IFERROR(VLOOKUP($B90,'LOD 400 - COLO2'!$B:DQ,27,FALSE),"N/A")</f>
        <v>N/A</v>
      </c>
      <c r="CU90" s="90" t="str">
        <f>IFERROR(VLOOKUP($B90,'LOD 400 - COLO2'!$B:AE,30,FALSE),"N/A")</f>
        <v>N/A</v>
      </c>
      <c r="CV90" s="81" t="str">
        <f>IFERROR(VLOOKUP($B90,'LOD 400 - COLO2'!$B:AH,33,FALSE),"N/A")</f>
        <v>N/A</v>
      </c>
      <c r="CW90" s="90" t="str">
        <f>IFERROR(VLOOKUP($B90,'LOD 400 - COLO2'!$B:AK,36,FALSE),"N/A")</f>
        <v>N/A</v>
      </c>
      <c r="CX90" s="85" t="str">
        <f>IFERROR(VLOOKUP($B90,'LOD 400 - COLO2'!$B:AN,39,FALSE),"N/A")</f>
        <v>N/A</v>
      </c>
      <c r="CY90" s="88" t="str">
        <f>IFERROR(VLOOKUP($B90,'LOD 400 - COLO2'!$B:AQ,42,FALSE),"N/A")</f>
        <v>N/A</v>
      </c>
      <c r="CZ90" s="84" t="str">
        <f>IFERROR(VLOOKUP($B90,'LOD 400 - COLO2'!$B:AT,45,FALSE),"N/A")</f>
        <v>N/A</v>
      </c>
      <c r="DA90" s="85" t="str">
        <f>IFERROR(VLOOKUP($B90,'LOD 400 - COLO2'!$B:AW,48,FALSE),"N/A")</f>
        <v>N/A</v>
      </c>
      <c r="DB90" s="84" t="str">
        <f>IFERROR(VLOOKUP($B90,'LOD 400 - COLO2'!$B:AZ,51,FALSE),"N/A")</f>
        <v>N/A</v>
      </c>
      <c r="DC90" s="84" t="str">
        <f>IFERROR(VLOOKUP($B90,'LOD 400 - COLO2'!$B:BC,54,FALSE),"N/A")</f>
        <v>N/A</v>
      </c>
      <c r="DD90" s="84" t="str">
        <f>IFERROR(VLOOKUP($B90,'LOD 400 - COLO2'!$B:BF,57,FALSE),"N/A")</f>
        <v>N/A</v>
      </c>
      <c r="DE90" s="84" t="str">
        <f>IFERROR(VLOOKUP($B90,'LOD 400 - COLO2'!$B:BI,60,FALSE),"N/A")</f>
        <v>N/A</v>
      </c>
      <c r="DF90" s="84" t="str">
        <f>IFERROR(VLOOKUP($B90,'LOD 400 - COLO2'!$B:BL,63,FALSE),"N/A")</f>
        <v>N/A</v>
      </c>
      <c r="DG90" s="84" t="str">
        <f>IFERROR(VLOOKUP($B90,'LOD 400 - COLO2'!$B:BO,66,FALSE),"N/A")</f>
        <v>N/A</v>
      </c>
      <c r="DH90" s="84" t="str">
        <f>IFERROR(VLOOKUP($B90,'LOD 400 - COLO2'!$B:BR,69,FALSE),"N/A")</f>
        <v>N/A</v>
      </c>
      <c r="DI90" s="84" t="str">
        <f>IFERROR(VLOOKUP($B90,'LOD 400 - COLO2'!$B:BU,72,FALSE),"N/A")</f>
        <v>N/A</v>
      </c>
      <c r="DJ90" s="84" t="str">
        <f>IFERROR(VLOOKUP($B90,'LOD 400 - COLO2'!$B:BX,75,FALSE),"N/A")</f>
        <v>N/A</v>
      </c>
      <c r="DK90" s="84" t="str">
        <f>IFERROR(VLOOKUP($B90,'LOD 400 - COLO2'!$B:CA,78,FALSE),"N/A")</f>
        <v>N/A</v>
      </c>
      <c r="DL90" s="84" t="str">
        <f>IFERROR(VLOOKUP($B90,'LOD 400 - COLO2'!$B:CD,81,FALSE),"N/A")</f>
        <v>N/A</v>
      </c>
      <c r="DM90" s="85" t="str">
        <f>IFERROR(VLOOKUP($B90,'LOD 400 - COLO2'!$B:CG,84,FALSE),"N/A")</f>
        <v>N/A</v>
      </c>
      <c r="DN90" s="84" t="str">
        <f>IFERROR(VLOOKUP($B90,'LOD 400 - COLO2'!$B:CJ,87,FALSE),"N/A")</f>
        <v>N/A</v>
      </c>
      <c r="DO90" s="85" t="str">
        <f>IFERROR(VLOOKUP($B90,'LOD 400 - COLO2'!$B:CM,90,FALSE),"N/A")</f>
        <v>N/A</v>
      </c>
      <c r="DP90" s="84" t="str">
        <f>IFERROR(VLOOKUP($B90,'LOD 400 - COLO2'!$B:CP,93,FALSE),"N/A")</f>
        <v>N/A</v>
      </c>
      <c r="DQ90" s="84" t="str">
        <f>IFERROR(VLOOKUP($B90,'LOD 400 - COLO2'!$B:CS,96,FALSE),"N/A")</f>
        <v>N/A</v>
      </c>
      <c r="DR90" s="84" t="str">
        <f>IFERROR(VLOOKUP($B90,'LOD 400 - COLO2'!$B:CV,99,FALSE),"N/A")</f>
        <v>N/A</v>
      </c>
      <c r="DS90" s="84" t="str">
        <f>IFERROR(VLOOKUP($B90,'LOD 400 - COLO2'!$B:CY,102,FALSE),"N/A")</f>
        <v>N/A</v>
      </c>
      <c r="DT90" s="84" t="str">
        <f>IFERROR(VLOOKUP($B90,'LOD 400 - COLO2'!$B:DB,105,FALSE),"N/A")</f>
        <v>N/A</v>
      </c>
      <c r="DU90" s="84" t="str">
        <f>IFERROR(VLOOKUP($B90,'LOD 400 - COLO2'!$B:DE,108,FALSE),"N/A")</f>
        <v>N/A</v>
      </c>
      <c r="DV90" s="84" t="str">
        <f>IFERROR(VLOOKUP($B90,'LOD 400 - COLO2'!$B:DH,111,FALSE),"N/A")</f>
        <v>N/A</v>
      </c>
      <c r="DW90" s="84" t="str">
        <f>IFERROR(VLOOKUP($B90,'LOD 400 - COLO2'!$B:DK,114,FALSE),"N/A")</f>
        <v>N/A</v>
      </c>
      <c r="DX90" s="84" t="str">
        <f>IFERROR(VLOOKUP($B90,'LOD 400 - COLO2'!$B:DN,117,FALSE),"N/A")</f>
        <v>N/A</v>
      </c>
      <c r="DY90" s="91" t="str">
        <f>IFERROR(__xludf.DUMMYFUNCTION("IFERROR(
  MAX(FILTER(CQ90:DW90, ISNUMBER(CQ90:DW90))),
  DW90
)"),"N/A")</f>
        <v>N/A</v>
      </c>
      <c r="DZ90" s="92" t="str">
        <f>IFERROR(VLOOKUP($B90,'LOD 400 - COLO3'!B:S,18,FALSE),"N/A")</f>
        <v>N/A</v>
      </c>
      <c r="EA90" s="84" t="str">
        <f>IFERROR(VLOOKUP($B90,'LOD 400 - COLO3'!B:V,21,FALSE),"N/A")</f>
        <v>N/A</v>
      </c>
      <c r="EB90" s="84" t="str">
        <f>IFERROR(VLOOKUP($B90,'LOD 400 - COLO3'!B:Y,24,FALSE),"N/A")</f>
        <v>N/A</v>
      </c>
      <c r="EC90" s="84" t="str">
        <f>IFERROR(VLOOKUP($B90,'LOD 400 - COLO3'!B:AB,27,FALSE),"N/A")</f>
        <v>N/A</v>
      </c>
      <c r="ED90" s="85" t="str">
        <f>IFERROR(VLOOKUP($B90,'LOD 400 - COLO3'!B:AE,30,FALSE),"N/A")</f>
        <v>N/A</v>
      </c>
      <c r="EE90" s="84" t="str">
        <f>IFERROR(VLOOKUP($B90,'LOD 400 - COLO3'!B:AH,33,FALSE),"N/A")</f>
        <v>N/A</v>
      </c>
      <c r="EF90" s="84" t="str">
        <f>IFERROR(VLOOKUP($B90,'LOD 400 - COLO3'!B:AK,36,FALSE),"N/A")</f>
        <v>N/A</v>
      </c>
      <c r="EG90" s="109" t="str">
        <f>IFERROR(VLOOKUP($B90,'LOD 400 - COLO3'!B:AN,39,FALSE),"N/A")</f>
        <v>N/A</v>
      </c>
      <c r="EH90" s="94" t="str">
        <f>IFERROR(VLOOKUP($B90,'LOD 400 - COLO3'!B:AQ,42,FALSE),"N/A")</f>
        <v>N/A</v>
      </c>
      <c r="EI90" s="94" t="str">
        <f>IFERROR(VLOOKUP($B90,'LOD 400 - COLO3'!B:AT,45,FALSE),"N/A")</f>
        <v>N/A</v>
      </c>
      <c r="EJ90" s="94" t="str">
        <f>IFERROR(VLOOKUP($B90,'LOD 400 - COLO3'!B:AW,48,FALSE),"N/A")</f>
        <v>N/A</v>
      </c>
      <c r="EK90" s="94" t="str">
        <f>IFERROR(VLOOKUP($B90,'LOD 400 - COLO3'!B:AZ,51,FALSE),"N/A")</f>
        <v>N/A</v>
      </c>
      <c r="EL90" s="94" t="str">
        <f>IFERROR(VLOOKUP($B90,'LOD 400 - COLO3'!B:BC,54,FALSE),"N/A")</f>
        <v>N/A</v>
      </c>
      <c r="EM90" s="94" t="str">
        <f>IFERROR(VLOOKUP($B90,'LOD 400 - COLO3'!B:BF,57,FALSE),"N/A")</f>
        <v>N/A</v>
      </c>
      <c r="EN90" s="94" t="str">
        <f>IFERROR(VLOOKUP($B90,'LOD 400 - COLO3'!B:BI,60,FALSE),"N/A")</f>
        <v>N/A</v>
      </c>
      <c r="EO90" s="94" t="str">
        <f>IFERROR(VLOOKUP($B90,'LOD 400 - COLO3'!B:BL,63,FALSE),"N/A")</f>
        <v>N/A</v>
      </c>
      <c r="EP90" s="86" t="str">
        <f>IFERROR(__xludf.DUMMYFUNCTION("IFERROR(
  MAX(FILTER(DZ90:EO90, ISNUMBER(DZ90:EO90))),
  EO90
)"),"N/A")</f>
        <v>N/A</v>
      </c>
      <c r="EQ90" s="95" t="str">
        <f>IFERROR(VLOOKUP($B90,'LOD 400 - COLO4'!B:S,18,FALSE),"N/A")</f>
        <v>N/A</v>
      </c>
      <c r="ER90" s="96" t="str">
        <f>IFERROR(__xludf.DUMMYFUNCTION("IFERROR(
  MAX(FILTER(EQ90, ISNUMBER(EQ90))),
  EQ90
)"),"N/A")</f>
        <v>N/A</v>
      </c>
      <c r="ES90" s="79" t="str">
        <f>IFERROR(VLOOKUP($B90,'LOD 400 - SITE'!B:S,18,FALSE),"N/A")</f>
        <v>OUTDATED</v>
      </c>
      <c r="ET90" s="80" t="str">
        <f>IFERROR(VLOOKUP($B90,'LOD 400 - SITE'!B:V,21,FALSE),"N/A")</f>
        <v>OUTDATED</v>
      </c>
      <c r="EU90" s="97" t="str">
        <f>IFERROR(VLOOKUP($B90,'LOD 400 - SITE'!$B:Y,24,FALSE),"N/A")</f>
        <v>OUTDATED</v>
      </c>
      <c r="EV90" s="80" t="str">
        <f>IFERROR(VLOOKUP($B90,'LOD 400 - SITE'!$B:AB,27,FALSE),"N/A")</f>
        <v>OUTDATED</v>
      </c>
      <c r="EW90" s="81">
        <f>IFERROR(VLOOKUP($B90,'LOD 400 - SITE'!$B:AE,30,FALSE),"N/A")</f>
        <v>0.76</v>
      </c>
      <c r="EX90" s="87" t="str">
        <f>IFERROR(VLOOKUP($B90,'LOD 400 - SITE'!$B:AH,33,FALSE),"N/A")</f>
        <v>OUTDATED</v>
      </c>
      <c r="EY90" s="87" t="str">
        <f>IFERROR(VLOOKUP($B90,'LOD 400 - SITE'!$B:AK,36,FALSE),"N/A")</f>
        <v>NEXT ROUND </v>
      </c>
      <c r="EZ90" s="80">
        <f>IFERROR(VLOOKUP($B90,'LOD 400 - SITE'!$B:AN,39,FALSE),"N/A")</f>
        <v>1</v>
      </c>
      <c r="FA90" s="82">
        <f>IFERROR(VLOOKUP($B90,'LOD 400 - SITE'!$B:AQ,42,FALSE),"N/A")</f>
        <v>1</v>
      </c>
      <c r="FB90" s="88">
        <f>IFERROR(VLOOKUP($B90,'LOD 400 - SITE'!$B:AT,45,FALSE),"N/A")</f>
        <v>1</v>
      </c>
      <c r="FC90" s="84">
        <f>IFERROR(VLOOKUP($B90,'LOD 400 - SITE'!$B:AW,48,FALSE),"N/A")</f>
        <v>1</v>
      </c>
      <c r="FD90" s="84">
        <f>IFERROR(VLOOKUP($B90,'LOD 400 - SITE'!$B:AZ,51,FALSE),"N/A")</f>
        <v>1</v>
      </c>
      <c r="FE90" s="84">
        <f>IFERROR(VLOOKUP($B90,'LOD 400 - SITE'!$B:BC,54,FALSE),"N/A")</f>
        <v>1</v>
      </c>
      <c r="FF90" s="84">
        <f>IFERROR(VLOOKUP($B90,'LOD 400 - SITE'!$B:BF,57,FALSE),"N/A")</f>
        <v>1</v>
      </c>
      <c r="FG90" s="84">
        <f>IFERROR(VLOOKUP($B90,'LOD 400 - SITE'!$B:BI,60,FALSE),"N/A")</f>
        <v>1</v>
      </c>
      <c r="FH90" s="84">
        <f>IFERROR(VLOOKUP($B90,'LOD 400 - SITE'!$B:BL,63,FALSE),"N/A")</f>
        <v>1</v>
      </c>
      <c r="FI90" s="84">
        <f>IFERROR(VLOOKUP($B90,'LOD 400 - SITE'!$B:BO,66,FALSE),"N/A")</f>
        <v>1</v>
      </c>
      <c r="FJ90" s="84">
        <f>IFERROR(VLOOKUP($B90,'LOD 400 - SITE'!$B:BR,69,FALSE),"N/A")</f>
        <v>1</v>
      </c>
      <c r="FK90" s="84">
        <f>IFERROR(VLOOKUP($B90,'LOD 400 - SITE'!$B:BU,72,FALSE),"N/A")</f>
        <v>1</v>
      </c>
      <c r="FL90" s="84">
        <f>IFERROR(VLOOKUP($B90,'LOD 400 - SITE'!$B:BX,75,FALSE),"N/A")</f>
        <v>1</v>
      </c>
      <c r="FM90" s="84">
        <f>IFERROR(VLOOKUP($B90,'LOD 400 - SITE'!$B:CA,78,FALSE),"N/A")</f>
        <v>1</v>
      </c>
      <c r="FN90" s="85">
        <f>IFERROR(VLOOKUP($B90,'LOD 400 - SITE'!$B:CD,81,FALSE),"N/A")</f>
        <v>1</v>
      </c>
      <c r="FO90" s="84">
        <f>IFERROR(VLOOKUP($B90,'LOD 400 - SITE'!$B:CG,84,FALSE),"N/A")</f>
        <v>1</v>
      </c>
      <c r="FP90" s="85">
        <f>IFERROR(VLOOKUP($B90,'LOD 400 - SITE'!$B:CJ,87,FALSE),"N/A")</f>
        <v>1</v>
      </c>
      <c r="FQ90" s="84">
        <f>IFERROR(VLOOKUP($B90,'LOD 400 - SITE'!$B:CM,90,FALSE),"N/A")</f>
        <v>1</v>
      </c>
      <c r="FR90" s="84">
        <f>IFERROR(VLOOKUP($B90,'LOD 400 - SITE'!$B:CP,93,FALSE),"N/A")</f>
        <v>1</v>
      </c>
      <c r="FS90" s="84">
        <f>IFERROR(VLOOKUP($B90,'LOD 400 - SITE'!$B:CS,96,FALSE),"N/A")</f>
        <v>1</v>
      </c>
      <c r="FT90" s="84">
        <f>IFERROR(VLOOKUP($B90,'LOD 400 - SITE'!$B:CV,99,FALSE),"N/A")</f>
        <v>1</v>
      </c>
      <c r="FU90" s="84">
        <f>IFERROR(VLOOKUP($B90,'LOD 400 - SITE'!$B:CY,102,FALSE),"N/A")</f>
        <v>1</v>
      </c>
      <c r="FV90" s="84">
        <f>IFERROR(VLOOKUP($B90,'LOD 400 - SITE'!$B:DB,105,FALSE),"N/A")</f>
        <v>1</v>
      </c>
      <c r="FW90" s="84">
        <f>IFERROR(VLOOKUP($B90,'LOD 400 - SITE'!$B:DE,108,FALSE),"N/A")</f>
        <v>1</v>
      </c>
      <c r="FX90" s="84">
        <f>IFERROR(VLOOKUP($B90,'LOD 400 - SITE'!$B:DH,111,FALSE),"N/A")</f>
        <v>1</v>
      </c>
      <c r="FY90" s="84">
        <f>IFERROR(VLOOKUP($B90,'LOD 400 - SITE'!$B:DK,114,FALSE),"N/A")</f>
        <v>1</v>
      </c>
      <c r="FZ90" s="96">
        <f>IFERROR(__xludf.DUMMYFUNCTION("IFERROR(
  MAX(FILTER(ES90:FY90, ISNUMBER(ES90:FY90))),
  FY90
)"),1.0)</f>
        <v>1</v>
      </c>
      <c r="GA90" s="80" t="str">
        <f>IFERROR(VLOOKUP($B90,'LOD 400 - UTLS'!B:S,18,FALSE),"N/A")</f>
        <v>N/A</v>
      </c>
      <c r="GB90" s="98" t="str">
        <f>IFERROR(VLOOKUP($B90,'LOD 400 - UTLS'!B:V,21,FALSE),"N/A")</f>
        <v>N/A</v>
      </c>
      <c r="GC90" s="81" t="str">
        <f>IFERROR(VLOOKUP($B90,'LOD 400 - UTLS'!B:Y,24,FALSE),"N/A")</f>
        <v>N/A</v>
      </c>
      <c r="GD90" s="87" t="str">
        <f>IFERROR(VLOOKUP($B90,'LOD 400 - UTLS'!$B:AB,27,FALSE),"N/A")</f>
        <v>N/A</v>
      </c>
      <c r="GE90" s="80" t="str">
        <f>IFERROR(VLOOKUP($B90,'LOD 400 - UTLS'!$B:AE,30,FALSE),"N/A")</f>
        <v>N/A</v>
      </c>
      <c r="GF90" s="82" t="str">
        <f>IFERROR(VLOOKUP($B90,'LOD 400 - UTLS'!$B:AH,33,FALSE),"N/A")</f>
        <v>N/A</v>
      </c>
      <c r="GG90" s="88" t="str">
        <f>IFERROR(VLOOKUP($B90,'LOD 400 - UTLS'!$B:AK,36,FALSE),"N/A")</f>
        <v>N/A</v>
      </c>
      <c r="GH90" s="84" t="str">
        <f>IFERROR(VLOOKUP($B90,'LOD 400 - UTLS'!$B:AN,39,FALSE),"N/A")</f>
        <v>N/A</v>
      </c>
      <c r="GI90" s="84" t="str">
        <f>IFERROR(VLOOKUP($B90,'LOD 400 - UTLS'!$B:AQ,42,FALSE),"N/A")</f>
        <v>N/A</v>
      </c>
      <c r="GJ90" s="84" t="str">
        <f>IFERROR(VLOOKUP($B90,'LOD 400 - UTLS'!$B:AT,45,FALSE),"N/A")</f>
        <v>N/A</v>
      </c>
      <c r="GK90" s="84" t="str">
        <f>IFERROR(VLOOKUP($B90,'LOD 400 - UTLS'!$B:AW,48,FALSE),"N/A")</f>
        <v>N/A</v>
      </c>
      <c r="GL90" s="84" t="str">
        <f>IFERROR(VLOOKUP($B90,'LOD 400 - UTLS'!$B:AZ,51,FALSE),"N/A")</f>
        <v>N/A</v>
      </c>
      <c r="GM90" s="84" t="str">
        <f>IFERROR(VLOOKUP($B90,'LOD 400 - UTLS'!$B:BC,54,FALSE),"N/A")</f>
        <v>N/A</v>
      </c>
      <c r="GN90" s="84" t="str">
        <f>IFERROR(VLOOKUP($B90,'LOD 400 - UTLS'!$B:BF,57,FALSE),"N/A")</f>
        <v>N/A</v>
      </c>
      <c r="GO90" s="84" t="str">
        <f>IFERROR(VLOOKUP($B90,'LOD 400 - UTLS'!$B:BI,60,FALSE),"N/A")</f>
        <v>N/A</v>
      </c>
      <c r="GP90" s="84" t="str">
        <f>IFERROR(VLOOKUP($B90,'LOD 400 - UTLS'!$B:BL,63,FALSE),"N/A")</f>
        <v>N/A</v>
      </c>
      <c r="GQ90" s="84" t="str">
        <f>IFERROR(VLOOKUP($B90,'LOD 400 - UTLS'!$B:BO,66,FALSE),"N/A")</f>
        <v>N/A</v>
      </c>
      <c r="GR90" s="84" t="str">
        <f>IFERROR(VLOOKUP($B90,'LOD 400 - UTLS'!$B:BR,69,FALSE),"N/A")</f>
        <v>N/A</v>
      </c>
      <c r="GS90" s="85" t="str">
        <f>IFERROR(VLOOKUP($B90,'LOD 400 - UTLS'!$B:BU,72,FALSE),"N/A")</f>
        <v>N/A</v>
      </c>
      <c r="GT90" s="84" t="str">
        <f>IFERROR(VLOOKUP($B90,'LOD 400 - UTLS'!$B:BX,75,FALSE),"N/A")</f>
        <v>N/A</v>
      </c>
      <c r="GU90" s="85" t="str">
        <f>IFERROR(VLOOKUP($B90,'LOD 400 - UTLS'!$B:CA,78,FALSE),"N/A")</f>
        <v>N/A</v>
      </c>
      <c r="GV90" s="84" t="str">
        <f>IFERROR(VLOOKUP($B90,'LOD 400 - UTLS'!$B:CD,81,FALSE),"N/A")</f>
        <v>N/A</v>
      </c>
      <c r="GW90" s="84" t="str">
        <f>IFERROR(VLOOKUP($B90,'LOD 400 - UTLS'!$B:CG,84,FALSE),"N/A")</f>
        <v>N/A</v>
      </c>
      <c r="GX90" s="84" t="str">
        <f>IFERROR(VLOOKUP($B90,'LOD 400 - UTLS'!$B:CJ,87,FALSE),"N/A")</f>
        <v>N/A</v>
      </c>
      <c r="GY90" s="84" t="str">
        <f>IFERROR(VLOOKUP($B90,'LOD 400 - UTLS'!$B:CM,90,FALSE),"N/A")</f>
        <v>N/A</v>
      </c>
      <c r="GZ90" s="84" t="str">
        <f>IFERROR(VLOOKUP($B90,'LOD 400 - UTLS'!$B:CP,93,FALSE),"N/A")</f>
        <v>N/A</v>
      </c>
      <c r="HA90" s="84" t="str">
        <f>IFERROR(VLOOKUP($B90,'LOD 400 - UTLS'!$B:CS,96,FALSE),"N/A")</f>
        <v>N/A</v>
      </c>
      <c r="HB90" s="84" t="str">
        <f>IFERROR(VLOOKUP($B90,'LOD 400 - UTLS'!$B:CV,99,FALSE),"N/A")</f>
        <v>N/A</v>
      </c>
      <c r="HC90" s="84" t="str">
        <f>IFERROR(VLOOKUP($B90,'LOD 400 - UTLS'!$B:CY,102,FALSE),"N/A")</f>
        <v>N/A</v>
      </c>
      <c r="HD90" s="84" t="str">
        <f>IFERROR(VLOOKUP($B90,'LOD 400 - UTLS'!$B:DB,105,FALSE),"N/A")</f>
        <v>N/A</v>
      </c>
      <c r="HE90" s="96" t="str">
        <f>IFERROR(__xludf.DUMMYFUNCTION("IFERROR(
  MAX(FILTER(GA90:HD90, ISNUMBER(GA90:HD90))),
  HD90
)"),"N/A")</f>
        <v>N/A</v>
      </c>
      <c r="HF90" s="99"/>
      <c r="HG90" s="99"/>
      <c r="HH90" s="99"/>
      <c r="HI90" s="99"/>
      <c r="HJ90" s="99"/>
      <c r="HK90" s="99"/>
    </row>
    <row r="91" ht="15.0" hidden="1" customHeight="1">
      <c r="A91" s="53">
        <v>95.0</v>
      </c>
      <c r="B91" s="354" t="s">
        <v>266</v>
      </c>
      <c r="C91" s="355"/>
      <c r="D91" s="356"/>
      <c r="E91" s="356"/>
      <c r="F91" s="356"/>
      <c r="G91" s="357"/>
      <c r="H91" s="356"/>
      <c r="I91" s="356"/>
      <c r="J91" s="358"/>
      <c r="K91" s="359"/>
      <c r="L91" s="357"/>
      <c r="M91" s="356"/>
      <c r="N91" s="360"/>
      <c r="O91" s="361"/>
      <c r="P91" s="362"/>
      <c r="Q91" s="363"/>
      <c r="R91" s="364"/>
      <c r="S91" s="365"/>
      <c r="T91" s="365"/>
      <c r="U91" s="366"/>
      <c r="V91" s="367"/>
      <c r="W91" s="356"/>
      <c r="X91" s="363"/>
      <c r="Y91" s="357"/>
      <c r="Z91" s="357"/>
      <c r="AA91" s="357"/>
      <c r="AB91" s="357"/>
      <c r="AC91" s="357"/>
      <c r="AD91" s="357"/>
      <c r="AE91" s="357"/>
      <c r="AF91" s="357"/>
      <c r="AG91" s="357"/>
      <c r="AH91" s="357"/>
      <c r="AI91" s="357"/>
      <c r="AJ91" s="357"/>
      <c r="AK91" s="357"/>
      <c r="AL91" s="357"/>
      <c r="AM91" s="357"/>
      <c r="AN91" s="357"/>
      <c r="AO91" s="357"/>
      <c r="AP91" s="357"/>
      <c r="AQ91" s="357"/>
      <c r="AR91" s="357"/>
      <c r="AS91" s="357"/>
      <c r="AT91" s="356"/>
      <c r="AU91" s="356"/>
      <c r="AV91" s="363"/>
      <c r="AW91" s="364"/>
      <c r="AX91" s="363"/>
      <c r="AY91" s="364"/>
      <c r="AZ91" s="364"/>
      <c r="BA91" s="364"/>
      <c r="BB91" s="364"/>
      <c r="BC91" s="364"/>
      <c r="BD91" s="364"/>
      <c r="BE91" s="364"/>
      <c r="BF91" s="364"/>
      <c r="BG91" s="368"/>
      <c r="BH91" s="357"/>
      <c r="BI91" s="357"/>
      <c r="BJ91" s="357"/>
      <c r="BK91" s="357"/>
      <c r="BL91" s="357"/>
      <c r="BM91" s="357"/>
      <c r="BN91" s="357"/>
      <c r="BO91" s="357"/>
      <c r="BP91" s="357"/>
      <c r="BQ91" s="357"/>
      <c r="BR91" s="357"/>
      <c r="BS91" s="357"/>
      <c r="BT91" s="357"/>
      <c r="BU91" s="357"/>
      <c r="BV91" s="357"/>
      <c r="BW91" s="357"/>
      <c r="BX91" s="357"/>
      <c r="BY91" s="357"/>
      <c r="BZ91" s="357"/>
      <c r="CA91" s="357"/>
      <c r="CB91" s="357"/>
      <c r="CC91" s="356"/>
      <c r="CD91" s="356"/>
      <c r="CE91" s="363"/>
      <c r="CF91" s="364"/>
      <c r="CG91" s="363"/>
      <c r="CH91" s="364"/>
      <c r="CI91" s="364"/>
      <c r="CJ91" s="364"/>
      <c r="CK91" s="364"/>
      <c r="CL91" s="364"/>
      <c r="CM91" s="364"/>
      <c r="CN91" s="364"/>
      <c r="CO91" s="364"/>
      <c r="CP91" s="368"/>
      <c r="CQ91" s="357"/>
      <c r="CR91" s="357"/>
      <c r="CS91" s="357"/>
      <c r="CT91" s="357"/>
      <c r="CU91" s="357"/>
      <c r="CV91" s="357"/>
      <c r="CW91" s="357"/>
      <c r="CX91" s="357"/>
      <c r="CY91" s="357"/>
      <c r="CZ91" s="357"/>
      <c r="DA91" s="357"/>
      <c r="DB91" s="357"/>
      <c r="DC91" s="357"/>
      <c r="DD91" s="357"/>
      <c r="DE91" s="357"/>
      <c r="DF91" s="357"/>
      <c r="DG91" s="357"/>
      <c r="DH91" s="357"/>
      <c r="DI91" s="357"/>
      <c r="DJ91" s="356"/>
      <c r="DK91" s="356"/>
      <c r="DL91" s="356"/>
      <c r="DM91" s="356"/>
      <c r="DN91" s="363"/>
      <c r="DO91" s="364"/>
      <c r="DP91" s="363"/>
      <c r="DQ91" s="364"/>
      <c r="DR91" s="364"/>
      <c r="DS91" s="364"/>
      <c r="DT91" s="364"/>
      <c r="DU91" s="364"/>
      <c r="DV91" s="364"/>
      <c r="DW91" s="364"/>
      <c r="DX91" s="364"/>
      <c r="DY91" s="356"/>
      <c r="DZ91" s="369"/>
      <c r="EA91" s="366"/>
      <c r="EB91" s="364"/>
      <c r="EC91" s="364"/>
      <c r="ED91" s="364"/>
      <c r="EE91" s="363"/>
      <c r="EF91" s="364"/>
      <c r="EG91" s="356"/>
      <c r="EH91" s="370"/>
      <c r="EI91" s="364"/>
      <c r="EJ91" s="364"/>
      <c r="EK91" s="364"/>
      <c r="EL91" s="364"/>
      <c r="EM91" s="364"/>
      <c r="EN91" s="364"/>
      <c r="EO91" s="364"/>
      <c r="EP91" s="371"/>
      <c r="EQ91" s="364"/>
      <c r="ER91" s="372"/>
      <c r="ES91" s="357"/>
      <c r="ET91" s="356"/>
      <c r="EU91" s="367"/>
      <c r="EV91" s="357"/>
      <c r="EW91" s="357"/>
      <c r="EX91" s="357"/>
      <c r="EY91" s="357"/>
      <c r="EZ91" s="357"/>
      <c r="FA91" s="357"/>
      <c r="FB91" s="357"/>
      <c r="FC91" s="357"/>
      <c r="FD91" s="357"/>
      <c r="FE91" s="357"/>
      <c r="FF91" s="357"/>
      <c r="FG91" s="357"/>
      <c r="FH91" s="357"/>
      <c r="FI91" s="357"/>
      <c r="FJ91" s="357"/>
      <c r="FK91" s="357"/>
      <c r="FL91" s="357"/>
      <c r="FM91" s="357"/>
      <c r="FN91" s="356"/>
      <c r="FO91" s="363"/>
      <c r="FP91" s="364"/>
      <c r="FQ91" s="363"/>
      <c r="FR91" s="364"/>
      <c r="FS91" s="364"/>
      <c r="FT91" s="364"/>
      <c r="FU91" s="364"/>
      <c r="FV91" s="364"/>
      <c r="FW91" s="364"/>
      <c r="FX91" s="364"/>
      <c r="FY91" s="364"/>
      <c r="FZ91" s="373"/>
      <c r="GA91" s="357"/>
      <c r="GB91" s="357"/>
      <c r="GC91" s="357"/>
      <c r="GD91" s="357"/>
      <c r="GE91" s="357"/>
      <c r="GF91" s="357"/>
      <c r="GG91" s="357"/>
      <c r="GH91" s="357"/>
      <c r="GI91" s="357"/>
      <c r="GJ91" s="357"/>
      <c r="GK91" s="357"/>
      <c r="GL91" s="357"/>
      <c r="GM91" s="357"/>
      <c r="GN91" s="357"/>
      <c r="GO91" s="357"/>
      <c r="GP91" s="357"/>
      <c r="GQ91" s="364"/>
      <c r="GR91" s="364"/>
      <c r="GS91" s="364"/>
      <c r="GT91" s="363"/>
      <c r="GU91" s="364"/>
      <c r="GV91" s="363"/>
      <c r="GW91" s="364"/>
      <c r="GX91" s="364"/>
      <c r="GY91" s="364"/>
      <c r="GZ91" s="364"/>
      <c r="HA91" s="364"/>
      <c r="HB91" s="364"/>
      <c r="HC91" s="364"/>
      <c r="HD91" s="364"/>
      <c r="HE91" s="372"/>
      <c r="HF91" s="99"/>
      <c r="HG91" s="99"/>
      <c r="HH91" s="99"/>
      <c r="HI91" s="99"/>
      <c r="HJ91" s="99"/>
      <c r="HK91" s="99"/>
    </row>
    <row r="92" ht="15.0" customHeight="1" outlineLevel="1">
      <c r="A92" s="53">
        <v>96.0</v>
      </c>
      <c r="B92" s="100" t="s">
        <v>267</v>
      </c>
      <c r="C92" s="100" t="s">
        <v>268</v>
      </c>
      <c r="D92" s="64" t="str">
        <f t="shared" ref="D92:D108" si="17">MID(B92,17,4)</f>
        <v>DATA</v>
      </c>
      <c r="E92" s="101" t="s">
        <v>269</v>
      </c>
      <c r="F92" s="104"/>
      <c r="G92" s="114" t="s">
        <v>270</v>
      </c>
      <c r="H92" s="116"/>
      <c r="I92" s="68" t="str">
        <f>IFERROR(VLOOKUP($C89:C108,'R22 RELATÓRIO ACC'!B:F,5,FALSE),"NOT PUBLISHED")</f>
        <v>V10</v>
      </c>
      <c r="J92" s="69" t="str">
        <f>IFERROR(VLOOKUP($C89:C108,'R22 RELATÓRIO ACC'!B:P,15,FALSE),"NOT PUBLISHED")</f>
        <v>22/04/2026</v>
      </c>
      <c r="K92" s="70" t="str">
        <f>IFERROR(VLOOKUP($B89:B108,'RELATÓRIO ACC'!B:F,5,FALSE),"NOT PUBLISHED")</f>
        <v>V1</v>
      </c>
      <c r="L92" s="71" t="str">
        <f>IFERROR(VLOOKUP($B89:B108,'RELATÓRIO ACC'!B:P,15,FALSE),"NOT PUBLISHED")</f>
        <v>15/05/2026</v>
      </c>
      <c r="M92" s="72" t="str">
        <f>IF(OR($D92="UTLS",$D92="GUAR",$D92="STIR",$D92="PUMP",$D92="SITE"),
   VLOOKUP($B92,'LOD 400 - SITE'!B:M,12,FALSE),
   VLOOKUP($B92,'LOD 400 - ADMN'!B:M,12,FALSE)
)</f>
        <v>V7</v>
      </c>
      <c r="N92" s="105">
        <f>IF(OR($D92="UTLS",$D92="GUAR",$D92="STIR",$D92="PUMP",$D92="SITE"),
   VLOOKUP($B92,'LOD 400 - SITE'!B:N,13,FALSE),
   VLOOKUP($B92,'LOD 400 - ADMN'!B:N,13,FALSE)
)</f>
        <v>46001</v>
      </c>
      <c r="O92" s="106" t="str">
        <f>IF(OR($D92="UTLS",$D92="GUAR",$D92="STIR",$D92="PUMP",$D92="SITE"),
   VLOOKUP($B92,'LOD 400 - SITE'!B:O,14,FALSE),
   VLOOKUP($B92,'LOD 400 - ADMN'!B:O,14,FALSE)
)</f>
        <v>R22</v>
      </c>
      <c r="P92" s="107" t="str">
        <f>IF(OR($D92="C345",$D92="C12A",$D92="DATA"),
   VLOOKUP($B92,'LOD 400 - COLO3'!B:M,12,FALSE),"N/A")</f>
        <v>V9</v>
      </c>
      <c r="Q92" s="108" t="str">
        <f>IF(OR($D92="C345",$D92="C12A",$D92="DATA"),
   VLOOKUP($B92,'LOD 400 - COLO3'!B:N,13,FALSE),"N/A")</f>
        <v>13/03/2026</v>
      </c>
      <c r="R92" s="75" t="str">
        <f>IF(OR($D92="C345",$D92="C12A",$D92="DATA"),
   VLOOKUP($B92,'LOD 400 - COLO3'!B:O,14,FALSE),"N/A")</f>
        <v>R22</v>
      </c>
      <c r="S92" s="76" t="str">
        <f>IF(OR($D92="C345",$D92="C12A",$D92="DATA"),
   VLOOKUP($B92,'LOD 400 - COLO4'!B:N,12,FALSE),"N/A")</f>
        <v>N/A</v>
      </c>
      <c r="T92" s="76" t="str">
        <f>IF(OR($D92="C345",$D92="C12A",$D92="DATA"),
   VLOOKUP($B92,'LOD 400 - COLO4'!B:N,13,FALSE),"N/A")</f>
        <v>N/A</v>
      </c>
      <c r="U92" s="76" t="str">
        <f>IF(OR($D92="C345",$D92="C12A",$D92="DATA"),
   VLOOKUP($B92,'LOD 400 - COLO4'!B:N,13,FALSE),"N/A")</f>
        <v>N/A</v>
      </c>
      <c r="V92" s="77" t="str">
        <f>IF(OR($D92="UTLS",$D92="GUAR",$D92="STIR",$D92="PUMP",$D92="SITE"),
   VLOOKUP($B92,'LOD 400 - UTLS'!B:M,12,FALSE),"N/A")</f>
        <v>N/A</v>
      </c>
      <c r="W92" s="78" t="str">
        <f>IF(OR($D92="UTLS",$D92="GUAR",$D92="STIR",$D92="PUMP",$D92="SITE"),
   VLOOKUP($B92,'LOD 400 - UTLS'!B:N,13,FALSE),"N/A")</f>
        <v>N/A</v>
      </c>
      <c r="X92" s="108" t="str">
        <f>IF(OR($D92="UTLS",$D92="GUAR",$D92="STIR",$D92="PUMP",$D92="SITE"),
   VLOOKUP($B92,'LOD 400 - UTLS'!B:O,14,FALSE),"N/A")</f>
        <v>N/A</v>
      </c>
      <c r="Y92" s="79">
        <f>IFERROR(VLOOKUP($B92,'LOD 400 - ADMN'!B:S,18,FALSE),"N/A")</f>
        <v>0.01</v>
      </c>
      <c r="Z92" s="79" t="str">
        <f>IFERROR(VLOOKUP($B92,'LOD 400 - ADMN'!B:V,21,FALSE),"N/A")</f>
        <v>OUTDATED</v>
      </c>
      <c r="AA92" s="79">
        <f>IFERROR(VLOOKUP($B92,'LOD 400 - ADMN'!$B:Y,24,FALSE),"N/A")</f>
        <v>0.18</v>
      </c>
      <c r="AB92" s="80" t="str">
        <f>IFERROR(VLOOKUP($B92,'LOD 400 - ADMN'!$B:AB,27,FALSE),"N/A")</f>
        <v>NEXT ROUND</v>
      </c>
      <c r="AC92" s="81" t="str">
        <f>IFERROR(VLOOKUP($B92,'LOD 400 - ADMN'!$B:AE,30,FALSE),"N/A")</f>
        <v>IMPROPER</v>
      </c>
      <c r="AD92" s="81" t="str">
        <f>IFERROR(VLOOKUP($B92,'LOD 400 - ADMN'!$B:AH,33,FALSE),"N/A")</f>
        <v>NEXT ROUND</v>
      </c>
      <c r="AE92" s="80">
        <f>IFERROR(VLOOKUP($B92,'LOD 400 - ADMN'!$B:AK,36,FALSE),"N/A")</f>
        <v>0.82</v>
      </c>
      <c r="AF92" s="82" t="str">
        <f>IFERROR(VLOOKUP($B92,'LOD 400 - ADMN'!$B:AN,39,FALSE),"N/A")</f>
        <v>NEXT ROUND</v>
      </c>
      <c r="AG92" s="83">
        <f>IFERROR(VLOOKUP($B92,'LOD 400 - ADMN'!$B:AQ,42,FALSE),"N/A")</f>
        <v>1</v>
      </c>
      <c r="AH92" s="84">
        <f>IFERROR(VLOOKUP($B92,'LOD 400 - ADMN'!$B:AT,45,FALSE),"N/A")</f>
        <v>1</v>
      </c>
      <c r="AI92" s="85">
        <f>IFERROR(VLOOKUP($B92,'LOD 400 - ADMN'!$B:AW,48,FALSE),"N/A")</f>
        <v>1</v>
      </c>
      <c r="AJ92" s="85">
        <f>IFERROR(VLOOKUP($B92,'LOD 400 - ADMN'!$B:AZ,51,FALSE),"N/A")</f>
        <v>1</v>
      </c>
      <c r="AK92" s="84">
        <f>IFERROR(VLOOKUP($B92,'LOD 400 - ADMN'!$B:BC,54,FALSE),"N/A")</f>
        <v>1</v>
      </c>
      <c r="AL92" s="84">
        <f>IFERROR(VLOOKUP($B92,'LOD 400 - ADMN'!$B:BF,57,FALSE),"N/A")</f>
        <v>1</v>
      </c>
      <c r="AM92" s="84">
        <f>IFERROR(VLOOKUP($B92,'LOD 400 - ADMN'!$B:BI,60,FALSE),"N/A")</f>
        <v>1</v>
      </c>
      <c r="AN92" s="84">
        <f>IFERROR(VLOOKUP($B92,'LOD 400 - ADMN'!$B:BL,63,FALSE),"N/A")</f>
        <v>1</v>
      </c>
      <c r="AO92" s="84">
        <f>IFERROR(VLOOKUP($B92,'LOD 400 - ADMN'!$B:BO,66,FALSE),"N/A")</f>
        <v>1</v>
      </c>
      <c r="AP92" s="84">
        <f>IFERROR(VLOOKUP($B92,'LOD 400 - ADMN'!$B:BR,69,FALSE),"N/A")</f>
        <v>1</v>
      </c>
      <c r="AQ92" s="84">
        <f>IFERROR(VLOOKUP($B92,'LOD 400 - ADMN'!$B:BU,72,FALSE),"N/A")</f>
        <v>1</v>
      </c>
      <c r="AR92" s="84">
        <f>IFERROR(VLOOKUP($B92,'LOD 400 - ADMN'!$B:BX,75,FALSE),"N/A")</f>
        <v>1</v>
      </c>
      <c r="AS92" s="84">
        <f>IFERROR(VLOOKUP($B92,'LOD 400 - ADMN'!$B:CA,78,FALSE),"N/A")</f>
        <v>1</v>
      </c>
      <c r="AT92" s="84">
        <f>IFERROR(VLOOKUP($B92,'LOD 400 - ADMN'!$B:CD,81,FALSE),"N/A")</f>
        <v>1</v>
      </c>
      <c r="AU92" s="85">
        <f>IFERROR(VLOOKUP($B92,'LOD 400 - ADMN'!$B:CG,84,FALSE),"N/A")</f>
        <v>1</v>
      </c>
      <c r="AV92" s="84">
        <f>IFERROR(VLOOKUP($B92,'LOD 400 - ADMN'!$B:CJ,87,FALSE),"N/A")</f>
        <v>1</v>
      </c>
      <c r="AW92" s="85">
        <f>IFERROR(VLOOKUP($B92,'LOD 400 - ADMN'!$B:CM,90,FALSE),"N/A")</f>
        <v>1</v>
      </c>
      <c r="AX92" s="84">
        <f>IFERROR(VLOOKUP($B92,'LOD 400 - ADMN'!$B:CP,93,FALSE),"N/A")</f>
        <v>1</v>
      </c>
      <c r="AY92" s="84">
        <f>IFERROR(VLOOKUP($B92,'LOD 400 - ADMN'!$B:CS,96,FALSE),"N/A")</f>
        <v>1</v>
      </c>
      <c r="AZ92" s="84">
        <f>IFERROR(VLOOKUP($B92,'LOD 400 - ADMN'!$B:CV,99,FALSE),"N/A")</f>
        <v>1</v>
      </c>
      <c r="BA92" s="84">
        <f>IFERROR(VLOOKUP($B92,'LOD 400 - ADMN'!$B:CY,102,FALSE),"N/A")</f>
        <v>1</v>
      </c>
      <c r="BB92" s="84">
        <f>IFERROR(VLOOKUP($B92,'LOD 400 - ADMN'!$B:DB,105,FALSE),"N/A")</f>
        <v>1</v>
      </c>
      <c r="BC92" s="84">
        <f>IFERROR(VLOOKUP($B92,'LOD 400 - ADMN'!$B:DE,108,FALSE),"N/A")</f>
        <v>1</v>
      </c>
      <c r="BD92" s="84">
        <f>IFERROR(VLOOKUP($B92,'LOD 400 - ADMN'!$B:DH,111,FALSE),"N/A")</f>
        <v>1</v>
      </c>
      <c r="BE92" s="84">
        <f>IFERROR(VLOOKUP($B92,'LOD 400 - ADMN'!$B:DK,114,FALSE),"N/A")</f>
        <v>1</v>
      </c>
      <c r="BF92" s="84">
        <f>IFERROR(VLOOKUP($B92,'LOD 400 - ADMN'!$B:DN,117,FALSE),"N/A")</f>
        <v>1</v>
      </c>
      <c r="BG92" s="86">
        <f>IFERROR(__xludf.DUMMYFUNCTION("IFERROR(
  MAX(FILTER(Y92:BF92, ISNUMBER(Y92:BF92))),
  BF92
)"),1.0)</f>
        <v>1</v>
      </c>
      <c r="BH92" s="79">
        <f>IFERROR(VLOOKUP($B92,'LOD 400 - COLO1'!B:S,18,FALSE),"N/A")</f>
        <v>0.01</v>
      </c>
      <c r="BI92" s="79" t="str">
        <f>IFERROR(VLOOKUP($B92,'LOD 400 - COLO1'!B:V,21,FALSE),"N/A")</f>
        <v>OUTDATED</v>
      </c>
      <c r="BJ92" s="79">
        <f>IFERROR(VLOOKUP($B92,'LOD 400 - COLO1'!$B:Y,24,FALSE),"N/A")</f>
        <v>0.22</v>
      </c>
      <c r="BK92" s="87" t="str">
        <f>IFERROR(VLOOKUP($B92,'LOD 400 - COLO1'!$B:AB,27,FALSE),"N/A")</f>
        <v>NEXT ROUND</v>
      </c>
      <c r="BL92" s="80" t="str">
        <f>IFERROR(VLOOKUP($B92,'LOD 400 - COLO1'!$B:AE,30,FALSE),"N/A")</f>
        <v>IMPROPER</v>
      </c>
      <c r="BM92" s="81" t="str">
        <f>IFERROR(VLOOKUP($B92,'LOD 400 - COLO1'!$B:AH,33,FALSE),"N/A")</f>
        <v>NEXT ROUND</v>
      </c>
      <c r="BN92" s="87">
        <f>IFERROR(VLOOKUP($B92,'LOD 400 - COLO1'!$B:AK,36,FALSE),"N/A")</f>
        <v>0.81</v>
      </c>
      <c r="BO92" s="83" t="str">
        <f>IFERROR(VLOOKUP($B92,'LOD 400 - COLO1'!$B:AN,39,FALSE),"N/A")</f>
        <v>NEXT ROUND</v>
      </c>
      <c r="BP92" s="88">
        <f>IFERROR(VLOOKUP($B92,'LOD 400 - COLO1'!$B:AQ,42,FALSE),"N/A")</f>
        <v>1</v>
      </c>
      <c r="BQ92" s="84">
        <f>IFERROR(VLOOKUP($B92,'LOD 400 - COLO1'!$B:AT,45,FALSE),"N/A")</f>
        <v>1</v>
      </c>
      <c r="BR92" s="85">
        <f>IFERROR(VLOOKUP($B92,'LOD 400 - COLO1'!$B:AW,48,FALSE),"N/A")</f>
        <v>1</v>
      </c>
      <c r="BS92" s="84">
        <f>IFERROR(VLOOKUP($B92,'LOD 400 - COLO1'!$B:AZ,51,FALSE),"N/A")</f>
        <v>1</v>
      </c>
      <c r="BT92" s="84">
        <f>IFERROR(VLOOKUP($B92,'LOD 400 - COLO1'!$B:BC,54,FALSE),"N/A")</f>
        <v>1</v>
      </c>
      <c r="BU92" s="84">
        <f>IFERROR(VLOOKUP($B92,'LOD 400 - COLO1'!$B:BF,57,FALSE),"N/A")</f>
        <v>1</v>
      </c>
      <c r="BV92" s="84">
        <f>IFERROR(VLOOKUP($B92,'LOD 400 - COLO1'!$B:BI,60,FALSE),"N/A")</f>
        <v>1</v>
      </c>
      <c r="BW92" s="84">
        <f>IFERROR(VLOOKUP($B92,'LOD 400 - COLO1'!$B:BL,63,FALSE),"N/A")</f>
        <v>1</v>
      </c>
      <c r="BX92" s="84">
        <f>IFERROR(VLOOKUP($B92,'LOD 400 - COLO1'!$B:BO,66,FALSE),"N/A")</f>
        <v>1</v>
      </c>
      <c r="BY92" s="84">
        <f>IFERROR(VLOOKUP($B92,'LOD 400 - COLO1'!$B:BR,69,FALSE),"N/A")</f>
        <v>1</v>
      </c>
      <c r="BZ92" s="84">
        <f>IFERROR(VLOOKUP($B92,'LOD 400 - COLO1'!$B:BU,72,FALSE),"N/A")</f>
        <v>1</v>
      </c>
      <c r="CA92" s="84">
        <f>IFERROR(VLOOKUP($B92,'LOD 400 - COLO1'!$B:BX,75,FALSE),"N/A")</f>
        <v>1</v>
      </c>
      <c r="CB92" s="84">
        <f>IFERROR(VLOOKUP($B92,'LOD 400 - COLO1'!$B:CA,78,FALSE),"N/A")</f>
        <v>1</v>
      </c>
      <c r="CC92" s="84">
        <f>IFERROR(VLOOKUP($B92,'LOD 400 - COLO1'!$B:CD,81,FALSE),"N/A")</f>
        <v>1</v>
      </c>
      <c r="CD92" s="85">
        <f>IFERROR(VLOOKUP($B92,'LOD 400 - COLO1'!$B:CG,84,FALSE),"N/A")</f>
        <v>1</v>
      </c>
      <c r="CE92" s="84">
        <f>IFERROR(VLOOKUP($B92,'LOD 400 - COLO1'!$B:CJ,87,FALSE),"N/A")</f>
        <v>1</v>
      </c>
      <c r="CF92" s="85">
        <f>IFERROR(VLOOKUP($B92,'LOD 400 - COLO1'!$B:CM,90,FALSE),"N/A")</f>
        <v>1</v>
      </c>
      <c r="CG92" s="84">
        <f>IFERROR(VLOOKUP($B92,'LOD 400 - COLO1'!$B:CP,93,FALSE),"N/A")</f>
        <v>1</v>
      </c>
      <c r="CH92" s="84">
        <f>IFERROR(VLOOKUP($B92,'LOD 400 - COLO1'!$B:CS,96,FALSE),"N/A")</f>
        <v>1</v>
      </c>
      <c r="CI92" s="84">
        <f>IFERROR(VLOOKUP($B92,'LOD 400 - COLO1'!$B:CV,99,FALSE),"N/A")</f>
        <v>1</v>
      </c>
      <c r="CJ92" s="84">
        <f>IFERROR(VLOOKUP($B92,'LOD 400 - COLO1'!$B:CY,102,FALSE),"N/A")</f>
        <v>1</v>
      </c>
      <c r="CK92" s="84">
        <f>IFERROR(VLOOKUP($B92,'LOD 400 - COLO1'!$B:DB,105,FALSE),"N/A")</f>
        <v>1</v>
      </c>
      <c r="CL92" s="84">
        <f>IFERROR(VLOOKUP($B92,'LOD 400 - COLO1'!$B:DE,108,FALSE),"N/A")</f>
        <v>1</v>
      </c>
      <c r="CM92" s="84">
        <f>IFERROR(VLOOKUP($B92,'LOD 400 - COLO1'!$B:DH,111,FALSE),"N/A")</f>
        <v>1</v>
      </c>
      <c r="CN92" s="84">
        <f>IFERROR(VLOOKUP($B92,'LOD 400 - COLO1'!$B:DK,114,FALSE),"N/A")</f>
        <v>1</v>
      </c>
      <c r="CO92" s="84">
        <f>IFERROR(VLOOKUP($B92,'LOD 400 - COLO1'!$B:DN,117,FALSE),"N/A")</f>
        <v>1</v>
      </c>
      <c r="CP92" s="86">
        <f>IFERROR(__xludf.DUMMYFUNCTION("IFERROR(
  MAX(FILTER(BH92:CO92, ISNUMBER(BH92:CO92))),
  CO92
)"),1.0)</f>
        <v>1</v>
      </c>
      <c r="CQ92" s="89">
        <f>IFERROR(VLOOKUP($B92,'LOD 400 - COLO2'!B:S,18,FALSE),"N/A")</f>
        <v>0.01</v>
      </c>
      <c r="CR92" s="79" t="str">
        <f>IFERROR(VLOOKUP($B92,'LOD 400 - COLO2'!B:V,21,FALSE),"N/A")</f>
        <v>OUTDATED</v>
      </c>
      <c r="CS92" s="79">
        <f>IFERROR(VLOOKUP($B92,'LOD 400 - COLO2'!$B:Y,24,FALSE),"N/A")</f>
        <v>0.22</v>
      </c>
      <c r="CT92" s="80" t="str">
        <f>IFERROR(VLOOKUP($B92,'LOD 400 - COLO2'!$B:DQ,27,FALSE),"N/A")</f>
        <v>NEXT ROUND</v>
      </c>
      <c r="CU92" s="90" t="str">
        <f>IFERROR(VLOOKUP($B92,'LOD 400 - COLO2'!$B:AE,30,FALSE),"N/A")</f>
        <v>IMPROPER</v>
      </c>
      <c r="CV92" s="81" t="str">
        <f>IFERROR(VLOOKUP($B92,'LOD 400 - COLO2'!$B:AH,33,FALSE),"N/A")</f>
        <v>NEXT ROUND</v>
      </c>
      <c r="CW92" s="90">
        <f>IFERROR(VLOOKUP($B92,'LOD 400 - COLO2'!$B:AK,36,FALSE),"N/A")</f>
        <v>0.81</v>
      </c>
      <c r="CX92" s="85" t="str">
        <f>IFERROR(VLOOKUP($B92,'LOD 400 - COLO2'!$B:AN,39,FALSE),"N/A")</f>
        <v>NEXT ROUND</v>
      </c>
      <c r="CY92" s="88">
        <f>IFERROR(VLOOKUP($B92,'LOD 400 - COLO2'!$B:AQ,42,FALSE),"N/A")</f>
        <v>1</v>
      </c>
      <c r="CZ92" s="84">
        <f>IFERROR(VLOOKUP($B92,'LOD 400 - COLO2'!$B:AT,45,FALSE),"N/A")</f>
        <v>1</v>
      </c>
      <c r="DA92" s="85">
        <f>IFERROR(VLOOKUP($B92,'LOD 400 - COLO2'!$B:AW,48,FALSE),"N/A")</f>
        <v>1</v>
      </c>
      <c r="DB92" s="84">
        <f>IFERROR(VLOOKUP($B92,'LOD 400 - COLO2'!$B:AZ,51,FALSE),"N/A")</f>
        <v>1</v>
      </c>
      <c r="DC92" s="84">
        <f>IFERROR(VLOOKUP($B92,'LOD 400 - COLO2'!$B:BC,54,FALSE),"N/A")</f>
        <v>1</v>
      </c>
      <c r="DD92" s="84">
        <f>IFERROR(VLOOKUP($B92,'LOD 400 - COLO2'!$B:BF,57,FALSE),"N/A")</f>
        <v>1</v>
      </c>
      <c r="DE92" s="84">
        <f>IFERROR(VLOOKUP($B92,'LOD 400 - COLO2'!$B:BI,60,FALSE),"N/A")</f>
        <v>1</v>
      </c>
      <c r="DF92" s="84">
        <f>IFERROR(VLOOKUP($B92,'LOD 400 - COLO2'!$B:BL,63,FALSE),"N/A")</f>
        <v>1</v>
      </c>
      <c r="DG92" s="84">
        <f>IFERROR(VLOOKUP($B92,'LOD 400 - COLO2'!$B:BO,66,FALSE),"N/A")</f>
        <v>1</v>
      </c>
      <c r="DH92" s="84">
        <f>IFERROR(VLOOKUP($B92,'LOD 400 - COLO2'!$B:BR,69,FALSE),"N/A")</f>
        <v>1</v>
      </c>
      <c r="DI92" s="84">
        <f>IFERROR(VLOOKUP($B92,'LOD 400 - COLO2'!$B:BU,72,FALSE),"N/A")</f>
        <v>1</v>
      </c>
      <c r="DJ92" s="84">
        <f>IFERROR(VLOOKUP($B92,'LOD 400 - COLO2'!$B:BX,75,FALSE),"N/A")</f>
        <v>1</v>
      </c>
      <c r="DK92" s="84">
        <f>IFERROR(VLOOKUP($B92,'LOD 400 - COLO2'!$B:CA,78,FALSE),"N/A")</f>
        <v>1</v>
      </c>
      <c r="DL92" s="84">
        <f>IFERROR(VLOOKUP($B92,'LOD 400 - COLO2'!$B:CD,81,FALSE),"N/A")</f>
        <v>1</v>
      </c>
      <c r="DM92" s="85">
        <f>IFERROR(VLOOKUP($B92,'LOD 400 - COLO2'!$B:CG,84,FALSE),"N/A")</f>
        <v>1</v>
      </c>
      <c r="DN92" s="84">
        <f>IFERROR(VLOOKUP($B92,'LOD 400 - COLO2'!$B:CJ,87,FALSE),"N/A")</f>
        <v>1</v>
      </c>
      <c r="DO92" s="85">
        <f>IFERROR(VLOOKUP($B92,'LOD 400 - COLO2'!$B:CM,90,FALSE),"N/A")</f>
        <v>1</v>
      </c>
      <c r="DP92" s="84">
        <f>IFERROR(VLOOKUP($B92,'LOD 400 - COLO2'!$B:CP,93,FALSE),"N/A")</f>
        <v>1</v>
      </c>
      <c r="DQ92" s="84">
        <f>IFERROR(VLOOKUP($B92,'LOD 400 - COLO2'!$B:CS,96,FALSE),"N/A")</f>
        <v>1</v>
      </c>
      <c r="DR92" s="84">
        <f>IFERROR(VLOOKUP($B92,'LOD 400 - COLO2'!$B:CV,99,FALSE),"N/A")</f>
        <v>1</v>
      </c>
      <c r="DS92" s="84">
        <f>IFERROR(VLOOKUP($B92,'LOD 400 - COLO2'!$B:CY,102,FALSE),"N/A")</f>
        <v>1</v>
      </c>
      <c r="DT92" s="84">
        <f>IFERROR(VLOOKUP($B92,'LOD 400 - COLO2'!$B:DB,105,FALSE),"N/A")</f>
        <v>1</v>
      </c>
      <c r="DU92" s="84">
        <f>IFERROR(VLOOKUP($B92,'LOD 400 - COLO2'!$B:DE,108,FALSE),"N/A")</f>
        <v>1</v>
      </c>
      <c r="DV92" s="84">
        <f>IFERROR(VLOOKUP($B92,'LOD 400 - COLO2'!$B:DH,111,FALSE),"N/A")</f>
        <v>1</v>
      </c>
      <c r="DW92" s="84">
        <f>IFERROR(VLOOKUP($B92,'LOD 400 - COLO2'!$B:DK,114,FALSE),"N/A")</f>
        <v>1</v>
      </c>
      <c r="DX92" s="84">
        <f>IFERROR(VLOOKUP($B92,'LOD 400 - COLO2'!$B:DN,117,FALSE),"N/A")</f>
        <v>1</v>
      </c>
      <c r="DY92" s="91">
        <f>IFERROR(__xludf.DUMMYFUNCTION("IFERROR(
  MAX(FILTER(CQ92:DW92, ISNUMBER(CQ92:DW92))),
  DW92
)"),1.0)</f>
        <v>1</v>
      </c>
      <c r="DZ92" s="92">
        <f>IFERROR(VLOOKUP($B92,'LOD 400 - COLO3'!B:S,18,FALSE),"N/A")</f>
        <v>0</v>
      </c>
      <c r="EA92" s="84">
        <f>IFERROR(VLOOKUP($B92,'LOD 400 - COLO3'!B:V,21,FALSE),"N/A")</f>
        <v>0</v>
      </c>
      <c r="EB92" s="84">
        <f>IFERROR(VLOOKUP($B92,'LOD 400 - COLO3'!B:Y,24,FALSE),"N/A")</f>
        <v>1</v>
      </c>
      <c r="EC92" s="84">
        <f>IFERROR(VLOOKUP($B92,'LOD 400 - COLO3'!B:AB,27,FALSE),"N/A")</f>
        <v>1</v>
      </c>
      <c r="ED92" s="85">
        <f>IFERROR(VLOOKUP($B92,'LOD 400 - COLO3'!B:AE,30,FALSE),"N/A")</f>
        <v>1</v>
      </c>
      <c r="EE92" s="84">
        <f>IFERROR(VLOOKUP($B92,'LOD 400 - COLO3'!B:AH,33,FALSE),"N/A")</f>
        <v>1</v>
      </c>
      <c r="EF92" s="84">
        <f>IFERROR(VLOOKUP($B92,'LOD 400 - COLO3'!B:AK,36,FALSE),"N/A")</f>
        <v>1</v>
      </c>
      <c r="EG92" s="109">
        <f>IFERROR(VLOOKUP($B92,'LOD 400 - COLO3'!B:AN,39,FALSE),"N/A")</f>
        <v>1</v>
      </c>
      <c r="EH92" s="94">
        <f>IFERROR(VLOOKUP($B92,'LOD 400 - COLO3'!B:AQ,42,FALSE),"N/A")</f>
        <v>1</v>
      </c>
      <c r="EI92" s="94">
        <f>IFERROR(VLOOKUP($B92,'LOD 400 - COLO3'!B:AT,45,FALSE),"N/A")</f>
        <v>1</v>
      </c>
      <c r="EJ92" s="94">
        <f>IFERROR(VLOOKUP($B92,'LOD 400 - COLO3'!B:AW,48,FALSE),"N/A")</f>
        <v>1</v>
      </c>
      <c r="EK92" s="94">
        <f>IFERROR(VLOOKUP($B92,'LOD 400 - COLO3'!B:AZ,51,FALSE),"N/A")</f>
        <v>1</v>
      </c>
      <c r="EL92" s="94">
        <f>IFERROR(VLOOKUP($B92,'LOD 400 - COLO3'!B:BC,54,FALSE),"N/A")</f>
        <v>1</v>
      </c>
      <c r="EM92" s="94">
        <f>IFERROR(VLOOKUP($B92,'LOD 400 - COLO3'!B:BF,57,FALSE),"N/A")</f>
        <v>1</v>
      </c>
      <c r="EN92" s="94">
        <f>IFERROR(VLOOKUP($B92,'LOD 400 - COLO3'!B:BI,60,FALSE),"N/A")</f>
        <v>1</v>
      </c>
      <c r="EO92" s="94">
        <f>IFERROR(VLOOKUP($B92,'LOD 400 - COLO3'!B:BL,63,FALSE),"N/A")</f>
        <v>1</v>
      </c>
      <c r="EP92" s="86">
        <f>IFERROR(__xludf.DUMMYFUNCTION("IFERROR(
  MAX(FILTER(DZ92:EO92, ISNUMBER(DZ92:EO92))),
  EO92
)"),1.0)</f>
        <v>1</v>
      </c>
      <c r="EQ92" s="95">
        <f>IFERROR(VLOOKUP($B92,'LOD 400 - COLO4'!B:S,18,FALSE),"N/A")</f>
        <v>0</v>
      </c>
      <c r="ER92" s="96">
        <f>IFERROR(__xludf.DUMMYFUNCTION("IFERROR(
  MAX(FILTER(EQ92, ISNUMBER(EQ92))),
  EQ92
)"),0.0)</f>
        <v>0</v>
      </c>
      <c r="ES92" s="79" t="str">
        <f>IFERROR(VLOOKUP($B92,'LOD 400 - SITE'!B:S,18,FALSE),"N/A")</f>
        <v>N/A</v>
      </c>
      <c r="ET92" s="80" t="str">
        <f>IFERROR(VLOOKUP($B92,'LOD 400 - SITE'!B:V,21,FALSE),"N/A")</f>
        <v>N/A</v>
      </c>
      <c r="EU92" s="97" t="str">
        <f>IFERROR(VLOOKUP($B92,'LOD 400 - SITE'!$B:Y,24,FALSE),"N/A")</f>
        <v>N/A</v>
      </c>
      <c r="EV92" s="80" t="str">
        <f>IFERROR(VLOOKUP($B92,'LOD 400 - SITE'!$B:AB,27,FALSE),"N/A")</f>
        <v>N/A</v>
      </c>
      <c r="EW92" s="81" t="str">
        <f>IFERROR(VLOOKUP($B92,'LOD 400 - SITE'!$B:AE,30,FALSE),"N/A")</f>
        <v>N/A</v>
      </c>
      <c r="EX92" s="87" t="str">
        <f>IFERROR(VLOOKUP($B92,'LOD 400 - SITE'!$B:AH,33,FALSE),"N/A")</f>
        <v>N/A</v>
      </c>
      <c r="EY92" s="87" t="str">
        <f>IFERROR(VLOOKUP($B92,'LOD 400 - SITE'!$B:AK,36,FALSE),"N/A")</f>
        <v>N/A</v>
      </c>
      <c r="EZ92" s="80" t="str">
        <f>IFERROR(VLOOKUP($B92,'LOD 400 - SITE'!$B:AN,39,FALSE),"N/A")</f>
        <v>N/A</v>
      </c>
      <c r="FA92" s="82" t="str">
        <f>IFERROR(VLOOKUP($B92,'LOD 400 - SITE'!$B:AQ,42,FALSE),"N/A")</f>
        <v>N/A</v>
      </c>
      <c r="FB92" s="88" t="str">
        <f>IFERROR(VLOOKUP($B92,'LOD 400 - SITE'!$B:AT,45,FALSE),"N/A")</f>
        <v>N/A</v>
      </c>
      <c r="FC92" s="84" t="str">
        <f>IFERROR(VLOOKUP($B92,'LOD 400 - SITE'!$B:AW,48,FALSE),"N/A")</f>
        <v>N/A</v>
      </c>
      <c r="FD92" s="84" t="str">
        <f>IFERROR(VLOOKUP($B92,'LOD 400 - SITE'!$B:AZ,51,FALSE),"N/A")</f>
        <v>N/A</v>
      </c>
      <c r="FE92" s="84" t="str">
        <f>IFERROR(VLOOKUP($B92,'LOD 400 - SITE'!$B:BC,54,FALSE),"N/A")</f>
        <v>N/A</v>
      </c>
      <c r="FF92" s="84" t="str">
        <f>IFERROR(VLOOKUP($B92,'LOD 400 - SITE'!$B:BF,57,FALSE),"N/A")</f>
        <v>N/A</v>
      </c>
      <c r="FG92" s="84" t="str">
        <f>IFERROR(VLOOKUP($B92,'LOD 400 - SITE'!$B:BI,60,FALSE),"N/A")</f>
        <v>N/A</v>
      </c>
      <c r="FH92" s="84" t="str">
        <f>IFERROR(VLOOKUP($B92,'LOD 400 - SITE'!$B:BL,63,FALSE),"N/A")</f>
        <v>N/A</v>
      </c>
      <c r="FI92" s="84" t="str">
        <f>IFERROR(VLOOKUP($B92,'LOD 400 - SITE'!$B:BO,66,FALSE),"N/A")</f>
        <v>N/A</v>
      </c>
      <c r="FJ92" s="84" t="str">
        <f>IFERROR(VLOOKUP($B92,'LOD 400 - SITE'!$B:BR,69,FALSE),"N/A")</f>
        <v>N/A</v>
      </c>
      <c r="FK92" s="84" t="str">
        <f>IFERROR(VLOOKUP($B92,'LOD 400 - SITE'!$B:BU,72,FALSE),"N/A")</f>
        <v>N/A</v>
      </c>
      <c r="FL92" s="84" t="str">
        <f>IFERROR(VLOOKUP($B92,'LOD 400 - SITE'!$B:BX,75,FALSE),"N/A")</f>
        <v>N/A</v>
      </c>
      <c r="FM92" s="84" t="str">
        <f>IFERROR(VLOOKUP($B92,'LOD 400 - SITE'!$B:CA,78,FALSE),"N/A")</f>
        <v>N/A</v>
      </c>
      <c r="FN92" s="85" t="str">
        <f>IFERROR(VLOOKUP($B92,'LOD 400 - SITE'!$B:CD,81,FALSE),"N/A")</f>
        <v>N/A</v>
      </c>
      <c r="FO92" s="84" t="str">
        <f>IFERROR(VLOOKUP($B92,'LOD 400 - SITE'!$B:CG,84,FALSE),"N/A")</f>
        <v>N/A</v>
      </c>
      <c r="FP92" s="85" t="str">
        <f>IFERROR(VLOOKUP($B92,'LOD 400 - SITE'!$B:CJ,87,FALSE),"N/A")</f>
        <v>N/A</v>
      </c>
      <c r="FQ92" s="84" t="str">
        <f>IFERROR(VLOOKUP($B92,'LOD 400 - SITE'!$B:CM,90,FALSE),"N/A")</f>
        <v>N/A</v>
      </c>
      <c r="FR92" s="84" t="str">
        <f>IFERROR(VLOOKUP($B92,'LOD 400 - SITE'!$B:CP,93,FALSE),"N/A")</f>
        <v>N/A</v>
      </c>
      <c r="FS92" s="84" t="str">
        <f>IFERROR(VLOOKUP($B92,'LOD 400 - SITE'!$B:CS,96,FALSE),"N/A")</f>
        <v>N/A</v>
      </c>
      <c r="FT92" s="84" t="str">
        <f>IFERROR(VLOOKUP($B92,'LOD 400 - SITE'!$B:CV,99,FALSE),"N/A")</f>
        <v>N/A</v>
      </c>
      <c r="FU92" s="84" t="str">
        <f>IFERROR(VLOOKUP($B92,'LOD 400 - SITE'!$B:CY,102,FALSE),"N/A")</f>
        <v>N/A</v>
      </c>
      <c r="FV92" s="84" t="str">
        <f>IFERROR(VLOOKUP($B92,'LOD 400 - SITE'!$B:DB,105,FALSE),"N/A")</f>
        <v>N/A</v>
      </c>
      <c r="FW92" s="84" t="str">
        <f>IFERROR(VLOOKUP($B92,'LOD 400 - SITE'!$B:DE,108,FALSE),"N/A")</f>
        <v>N/A</v>
      </c>
      <c r="FX92" s="84" t="str">
        <f>IFERROR(VLOOKUP($B92,'LOD 400 - SITE'!$B:DH,111,FALSE),"N/A")</f>
        <v>N/A</v>
      </c>
      <c r="FY92" s="84" t="str">
        <f>IFERROR(VLOOKUP($B92,'LOD 400 - SITE'!$B:DK,114,FALSE),"N/A")</f>
        <v>N/A</v>
      </c>
      <c r="FZ92" s="96" t="str">
        <f>IFERROR(__xludf.DUMMYFUNCTION("IFERROR(
  MAX(FILTER(ES92:FY92, ISNUMBER(ES92:FY92))),
  FY92
)"),"N/A")</f>
        <v>N/A</v>
      </c>
      <c r="GA92" s="80" t="str">
        <f>IFERROR(VLOOKUP($B92,'LOD 400 - UTLS'!B:S,18,FALSE),"N/A")</f>
        <v>N/A</v>
      </c>
      <c r="GB92" s="98" t="str">
        <f>IFERROR(VLOOKUP($B92,'LOD 400 - UTLS'!B:V,21,FALSE),"N/A")</f>
        <v>N/A</v>
      </c>
      <c r="GC92" s="81" t="str">
        <f>IFERROR(VLOOKUP($B92,'LOD 400 - UTLS'!B:Y,24,FALSE),"N/A")</f>
        <v>N/A</v>
      </c>
      <c r="GD92" s="87" t="str">
        <f>IFERROR(VLOOKUP($B92,'LOD 400 - UTLS'!$B:AB,27,FALSE),"N/A")</f>
        <v>N/A</v>
      </c>
      <c r="GE92" s="80" t="str">
        <f>IFERROR(VLOOKUP($B92,'LOD 400 - UTLS'!$B:AE,30,FALSE),"N/A")</f>
        <v>N/A</v>
      </c>
      <c r="GF92" s="82" t="str">
        <f>IFERROR(VLOOKUP($B92,'LOD 400 - UTLS'!$B:AH,33,FALSE),"N/A")</f>
        <v>N/A</v>
      </c>
      <c r="GG92" s="88" t="str">
        <f>IFERROR(VLOOKUP($B92,'LOD 400 - UTLS'!$B:AK,36,FALSE),"N/A")</f>
        <v>N/A</v>
      </c>
      <c r="GH92" s="84" t="str">
        <f>IFERROR(VLOOKUP($B92,'LOD 400 - UTLS'!$B:AN,39,FALSE),"N/A")</f>
        <v>N/A</v>
      </c>
      <c r="GI92" s="84" t="str">
        <f>IFERROR(VLOOKUP($B92,'LOD 400 - UTLS'!$B:AQ,42,FALSE),"N/A")</f>
        <v>N/A</v>
      </c>
      <c r="GJ92" s="84" t="str">
        <f>IFERROR(VLOOKUP($B92,'LOD 400 - UTLS'!$B:AT,45,FALSE),"N/A")</f>
        <v>N/A</v>
      </c>
      <c r="GK92" s="84" t="str">
        <f>IFERROR(VLOOKUP($B92,'LOD 400 - UTLS'!$B:AW,48,FALSE),"N/A")</f>
        <v>N/A</v>
      </c>
      <c r="GL92" s="84" t="str">
        <f>IFERROR(VLOOKUP($B92,'LOD 400 - UTLS'!$B:AZ,51,FALSE),"N/A")</f>
        <v>N/A</v>
      </c>
      <c r="GM92" s="84" t="str">
        <f>IFERROR(VLOOKUP($B92,'LOD 400 - UTLS'!$B:BC,54,FALSE),"N/A")</f>
        <v>N/A</v>
      </c>
      <c r="GN92" s="84" t="str">
        <f>IFERROR(VLOOKUP($B92,'LOD 400 - UTLS'!$B:BF,57,FALSE),"N/A")</f>
        <v>N/A</v>
      </c>
      <c r="GO92" s="84" t="str">
        <f>IFERROR(VLOOKUP($B92,'LOD 400 - UTLS'!$B:BI,60,FALSE),"N/A")</f>
        <v>N/A</v>
      </c>
      <c r="GP92" s="84" t="str">
        <f>IFERROR(VLOOKUP($B92,'LOD 400 - UTLS'!$B:BL,63,FALSE),"N/A")</f>
        <v>N/A</v>
      </c>
      <c r="GQ92" s="84" t="str">
        <f>IFERROR(VLOOKUP($B92,'LOD 400 - UTLS'!$B:BO,66,FALSE),"N/A")</f>
        <v>N/A</v>
      </c>
      <c r="GR92" s="84" t="str">
        <f>IFERROR(VLOOKUP($B92,'LOD 400 - UTLS'!$B:BR,69,FALSE),"N/A")</f>
        <v>N/A</v>
      </c>
      <c r="GS92" s="85" t="str">
        <f>IFERROR(VLOOKUP($B92,'LOD 400 - UTLS'!$B:BU,72,FALSE),"N/A")</f>
        <v>N/A</v>
      </c>
      <c r="GT92" s="84" t="str">
        <f>IFERROR(VLOOKUP($B92,'LOD 400 - UTLS'!$B:BX,75,FALSE),"N/A")</f>
        <v>N/A</v>
      </c>
      <c r="GU92" s="85" t="str">
        <f>IFERROR(VLOOKUP($B92,'LOD 400 - UTLS'!$B:CA,78,FALSE),"N/A")</f>
        <v>N/A</v>
      </c>
      <c r="GV92" s="84" t="str">
        <f>IFERROR(VLOOKUP($B92,'LOD 400 - UTLS'!$B:CD,81,FALSE),"N/A")</f>
        <v>N/A</v>
      </c>
      <c r="GW92" s="84" t="str">
        <f>IFERROR(VLOOKUP($B92,'LOD 400 - UTLS'!$B:CG,84,FALSE),"N/A")</f>
        <v>N/A</v>
      </c>
      <c r="GX92" s="84" t="str">
        <f>IFERROR(VLOOKUP($B92,'LOD 400 - UTLS'!$B:CJ,87,FALSE),"N/A")</f>
        <v>N/A</v>
      </c>
      <c r="GY92" s="84" t="str">
        <f>IFERROR(VLOOKUP($B92,'LOD 400 - UTLS'!$B:CM,90,FALSE),"N/A")</f>
        <v>N/A</v>
      </c>
      <c r="GZ92" s="84" t="str">
        <f>IFERROR(VLOOKUP($B92,'LOD 400 - UTLS'!$B:CP,93,FALSE),"N/A")</f>
        <v>N/A</v>
      </c>
      <c r="HA92" s="84" t="str">
        <f>IFERROR(VLOOKUP($B92,'LOD 400 - UTLS'!$B:CS,96,FALSE),"N/A")</f>
        <v>N/A</v>
      </c>
      <c r="HB92" s="84" t="str">
        <f>IFERROR(VLOOKUP($B92,'LOD 400 - UTLS'!$B:CV,99,FALSE),"N/A")</f>
        <v>N/A</v>
      </c>
      <c r="HC92" s="84" t="str">
        <f>IFERROR(VLOOKUP($B92,'LOD 400 - UTLS'!$B:CY,102,FALSE),"N/A")</f>
        <v>N/A</v>
      </c>
      <c r="HD92" s="84" t="str">
        <f>IFERROR(VLOOKUP($B92,'LOD 400 - UTLS'!$B:DB,105,FALSE),"N/A")</f>
        <v>N/A</v>
      </c>
      <c r="HE92" s="96" t="str">
        <f>IFERROR(__xludf.DUMMYFUNCTION("IFERROR(
  MAX(FILTER(GA92:HD92, ISNUMBER(GA92:HD92))),
  HD92
)"),"N/A")</f>
        <v>N/A</v>
      </c>
      <c r="HF92" s="99"/>
      <c r="HG92" s="99"/>
      <c r="HH92" s="99"/>
      <c r="HI92" s="99"/>
      <c r="HJ92" s="99"/>
      <c r="HK92" s="99"/>
    </row>
    <row r="93" ht="15.0" customHeight="1" outlineLevel="1">
      <c r="A93" s="53">
        <v>97.0</v>
      </c>
      <c r="B93" s="100" t="s">
        <v>271</v>
      </c>
      <c r="C93" s="100" t="s">
        <v>272</v>
      </c>
      <c r="D93" s="64" t="str">
        <f t="shared" si="17"/>
        <v>SITE</v>
      </c>
      <c r="E93" s="101" t="s">
        <v>269</v>
      </c>
      <c r="F93" s="102">
        <v>1120.0</v>
      </c>
      <c r="G93" s="114" t="s">
        <v>270</v>
      </c>
      <c r="H93" s="116">
        <v>0.0</v>
      </c>
      <c r="I93" s="68" t="str">
        <f>IFERROR(VLOOKUP($C90:C108,'R22 RELATÓRIO ACC'!B:F,5,FALSE),"NOT PUBLISHED")</f>
        <v>V17</v>
      </c>
      <c r="J93" s="69" t="str">
        <f>IFERROR(VLOOKUP($C90:C108,'R22 RELATÓRIO ACC'!B:P,15,FALSE),"NOT PUBLISHED")</f>
        <v>12/05/2026</v>
      </c>
      <c r="K93" s="70" t="str">
        <f>IFERROR(VLOOKUP($B90:B108,'RELATÓRIO ACC'!B:F,5,FALSE),"NOT PUBLISHED")</f>
        <v>V1</v>
      </c>
      <c r="L93" s="71" t="str">
        <f>IFERROR(VLOOKUP($B90:B108,'RELATÓRIO ACC'!B:P,15,FALSE),"NOT PUBLISHED")</f>
        <v>15/05/2026</v>
      </c>
      <c r="M93" s="72" t="str">
        <f>IF(OR($D93="UTLS",$D93="GUAR",$D93="STIR",$D93="PUMP",$D93="SITE"),
   VLOOKUP($B93,'LOD 400 - SITE'!B:M,12,FALSE),
   VLOOKUP($B93,'LOD 400 - ADMN'!B:M,12,FALSE)
)</f>
        <v>V10</v>
      </c>
      <c r="N93" s="105">
        <f>IF(OR($D93="UTLS",$D93="GUAR",$D93="STIR",$D93="PUMP",$D93="SITE"),
   VLOOKUP($B93,'LOD 400 - SITE'!B:N,13,FALSE),
   VLOOKUP($B93,'LOD 400 - ADMN'!B:N,13,FALSE)
)</f>
        <v>46045</v>
      </c>
      <c r="O93" s="106" t="str">
        <f>IF(OR($D93="UTLS",$D93="GUAR",$D93="STIR",$D93="PUMP",$D93="SITE"),
   VLOOKUP($B93,'LOD 400 - SITE'!B:O,14,FALSE),
   VLOOKUP($B93,'LOD 400 - ADMN'!B:O,14,FALSE)
)</f>
        <v>R22</v>
      </c>
      <c r="P93" s="107" t="str">
        <f>IF(OR($D93="C345",$D93="C12A",$D93="DATA"),
   VLOOKUP($B93,'LOD 400 - COLO3'!B:M,12,FALSE),"N/A")</f>
        <v>N/A</v>
      </c>
      <c r="Q93" s="108" t="str">
        <f>IF(OR($D93="C345",$D93="C12A",$D93="DATA"),
   VLOOKUP($B93,'LOD 400 - COLO3'!B:N,13,FALSE),"N/A")</f>
        <v>N/A</v>
      </c>
      <c r="R93" s="75" t="str">
        <f>IF(OR($D93="C345",$D93="C12A",$D93="DATA"),
   VLOOKUP($B93,'LOD 400 - COLO3'!B:O,14,FALSE),"N/A")</f>
        <v>N/A</v>
      </c>
      <c r="S93" s="76" t="str">
        <f>IF(OR($D93="C345",$D93="C12A",$D93="DATA"),
   VLOOKUP($B93,'LOD 400 - COLO4'!B:N,12,FALSE),"N/A")</f>
        <v>N/A</v>
      </c>
      <c r="T93" s="76" t="str">
        <f>IF(OR($D93="C345",$D93="C12A",$D93="DATA"),
   VLOOKUP($B93,'LOD 400 - COLO4'!B:N,13,FALSE),"N/A")</f>
        <v>N/A</v>
      </c>
      <c r="U93" s="76" t="str">
        <f>IF(OR($D93="C345",$D93="C12A",$D93="DATA"),
   VLOOKUP($B93,'LOD 400 - COLO4'!B:N,13,FALSE),"N/A")</f>
        <v>N/A</v>
      </c>
      <c r="V93" s="77" t="str">
        <f>IF(OR($D93="UTLS",$D93="GUAR",$D93="STIR",$D93="PUMP",$D93="SITE"),
   VLOOKUP($B93,'LOD 400 - UTLS'!B:M,12,FALSE),"N/A")</f>
        <v>V10</v>
      </c>
      <c r="W93" s="78">
        <f>IF(OR($D93="UTLS",$D93="GUAR",$D93="STIR",$D93="PUMP",$D93="SITE"),
   VLOOKUP($B93,'LOD 400 - UTLS'!B:N,13,FALSE),"N/A")</f>
        <v>46045</v>
      </c>
      <c r="X93" s="108" t="str">
        <f>IF(OR($D93="UTLS",$D93="GUAR",$D93="STIR",$D93="PUMP",$D93="SITE"),
   VLOOKUP($B93,'LOD 400 - UTLS'!B:O,14,FALSE),"N/A")</f>
        <v>R22</v>
      </c>
      <c r="Y93" s="79" t="str">
        <f>IFERROR(VLOOKUP($B93,'LOD 400 - ADMN'!B:S,18,FALSE),"N/A")</f>
        <v>N/A</v>
      </c>
      <c r="Z93" s="79" t="str">
        <f>IFERROR(VLOOKUP($B93,'LOD 400 - ADMN'!B:V,21,FALSE),"N/A")</f>
        <v>N/A</v>
      </c>
      <c r="AA93" s="79" t="str">
        <f>IFERROR(VLOOKUP($B93,'LOD 400 - ADMN'!$B:Y,24,FALSE),"N/A")</f>
        <v>N/A</v>
      </c>
      <c r="AB93" s="80" t="str">
        <f>IFERROR(VLOOKUP($B93,'LOD 400 - ADMN'!$B:AB,27,FALSE),"N/A")</f>
        <v>N/A</v>
      </c>
      <c r="AC93" s="81" t="str">
        <f>IFERROR(VLOOKUP($B93,'LOD 400 - ADMN'!$B:AE,30,FALSE),"N/A")</f>
        <v>N/A</v>
      </c>
      <c r="AD93" s="81" t="str">
        <f>IFERROR(VLOOKUP($B93,'LOD 400 - ADMN'!$B:AH,33,FALSE),"N/A")</f>
        <v>N/A</v>
      </c>
      <c r="AE93" s="80" t="str">
        <f>IFERROR(VLOOKUP($B93,'LOD 400 - ADMN'!$B:AK,36,FALSE),"N/A")</f>
        <v>N/A</v>
      </c>
      <c r="AF93" s="82" t="str">
        <f>IFERROR(VLOOKUP($B93,'LOD 400 - ADMN'!$B:AN,39,FALSE),"N/A")</f>
        <v>N/A</v>
      </c>
      <c r="AG93" s="83" t="str">
        <f>IFERROR(VLOOKUP($B93,'LOD 400 - ADMN'!$B:AQ,42,FALSE),"N/A")</f>
        <v>N/A</v>
      </c>
      <c r="AH93" s="84" t="str">
        <f>IFERROR(VLOOKUP($B93,'LOD 400 - ADMN'!$B:AT,45,FALSE),"N/A")</f>
        <v>N/A</v>
      </c>
      <c r="AI93" s="85" t="str">
        <f>IFERROR(VLOOKUP($B93,'LOD 400 - ADMN'!$B:AW,48,FALSE),"N/A")</f>
        <v>N/A</v>
      </c>
      <c r="AJ93" s="85" t="str">
        <f>IFERROR(VLOOKUP($B93,'LOD 400 - ADMN'!$B:AZ,51,FALSE),"N/A")</f>
        <v>N/A</v>
      </c>
      <c r="AK93" s="84" t="str">
        <f>IFERROR(VLOOKUP($B93,'LOD 400 - ADMN'!$B:BC,54,FALSE),"N/A")</f>
        <v>N/A</v>
      </c>
      <c r="AL93" s="84" t="str">
        <f>IFERROR(VLOOKUP($B93,'LOD 400 - ADMN'!$B:BF,57,FALSE),"N/A")</f>
        <v>N/A</v>
      </c>
      <c r="AM93" s="84" t="str">
        <f>IFERROR(VLOOKUP($B93,'LOD 400 - ADMN'!$B:BI,60,FALSE),"N/A")</f>
        <v>N/A</v>
      </c>
      <c r="AN93" s="84" t="str">
        <f>IFERROR(VLOOKUP($B93,'LOD 400 - ADMN'!$B:BL,63,FALSE),"N/A")</f>
        <v>N/A</v>
      </c>
      <c r="AO93" s="84" t="str">
        <f>IFERROR(VLOOKUP($B93,'LOD 400 - ADMN'!$B:BO,66,FALSE),"N/A")</f>
        <v>N/A</v>
      </c>
      <c r="AP93" s="84" t="str">
        <f>IFERROR(VLOOKUP($B93,'LOD 400 - ADMN'!$B:BR,69,FALSE),"N/A")</f>
        <v>N/A</v>
      </c>
      <c r="AQ93" s="84" t="str">
        <f>IFERROR(VLOOKUP($B93,'LOD 400 - ADMN'!$B:BU,72,FALSE),"N/A")</f>
        <v>N/A</v>
      </c>
      <c r="AR93" s="84" t="str">
        <f>IFERROR(VLOOKUP($B93,'LOD 400 - ADMN'!$B:BX,75,FALSE),"N/A")</f>
        <v>N/A</v>
      </c>
      <c r="AS93" s="84" t="str">
        <f>IFERROR(VLOOKUP($B93,'LOD 400 - ADMN'!$B:CA,78,FALSE),"N/A")</f>
        <v>N/A</v>
      </c>
      <c r="AT93" s="84" t="str">
        <f>IFERROR(VLOOKUP($B93,'LOD 400 - ADMN'!$B:CD,81,FALSE),"N/A")</f>
        <v>N/A</v>
      </c>
      <c r="AU93" s="85" t="str">
        <f>IFERROR(VLOOKUP($B93,'LOD 400 - ADMN'!$B:CG,84,FALSE),"N/A")</f>
        <v>N/A</v>
      </c>
      <c r="AV93" s="84" t="str">
        <f>IFERROR(VLOOKUP($B93,'LOD 400 - ADMN'!$B:CJ,87,FALSE),"N/A")</f>
        <v>N/A</v>
      </c>
      <c r="AW93" s="85" t="str">
        <f>IFERROR(VLOOKUP($B93,'LOD 400 - ADMN'!$B:CM,90,FALSE),"N/A")</f>
        <v>N/A</v>
      </c>
      <c r="AX93" s="84" t="str">
        <f>IFERROR(VLOOKUP($B93,'LOD 400 - ADMN'!$B:CP,93,FALSE),"N/A")</f>
        <v>N/A</v>
      </c>
      <c r="AY93" s="84" t="str">
        <f>IFERROR(VLOOKUP($B93,'LOD 400 - ADMN'!$B:CS,96,FALSE),"N/A")</f>
        <v>N/A</v>
      </c>
      <c r="AZ93" s="84" t="str">
        <f>IFERROR(VLOOKUP($B93,'LOD 400 - ADMN'!$B:CV,99,FALSE),"N/A")</f>
        <v>N/A</v>
      </c>
      <c r="BA93" s="84" t="str">
        <f>IFERROR(VLOOKUP($B93,'LOD 400 - ADMN'!$B:CY,102,FALSE),"N/A")</f>
        <v>N/A</v>
      </c>
      <c r="BB93" s="84" t="str">
        <f>IFERROR(VLOOKUP($B93,'LOD 400 - ADMN'!$B:DB,105,FALSE),"N/A")</f>
        <v>N/A</v>
      </c>
      <c r="BC93" s="84" t="str">
        <f>IFERROR(VLOOKUP($B93,'LOD 400 - ADMN'!$B:DE,108,FALSE),"N/A")</f>
        <v>N/A</v>
      </c>
      <c r="BD93" s="84" t="str">
        <f>IFERROR(VLOOKUP($B93,'LOD 400 - ADMN'!$B:DH,111,FALSE),"N/A")</f>
        <v>N/A</v>
      </c>
      <c r="BE93" s="84" t="str">
        <f>IFERROR(VLOOKUP($B93,'LOD 400 - ADMN'!$B:DK,114,FALSE),"N/A")</f>
        <v>N/A</v>
      </c>
      <c r="BF93" s="84" t="str">
        <f>IFERROR(VLOOKUP($B93,'LOD 400 - ADMN'!$B:DN,117,FALSE),"N/A")</f>
        <v>N/A</v>
      </c>
      <c r="BG93" s="86" t="str">
        <f>IFERROR(__xludf.DUMMYFUNCTION("IFERROR(
  MAX(FILTER(Y93:BF93, ISNUMBER(Y93:BF93))),
  BF93
)"),"N/A")</f>
        <v>N/A</v>
      </c>
      <c r="BH93" s="79" t="str">
        <f>IFERROR(VLOOKUP($B93,'LOD 400 - COLO1'!B:S,18,FALSE),"N/A")</f>
        <v>N/A</v>
      </c>
      <c r="BI93" s="79" t="str">
        <f>IFERROR(VLOOKUP($B93,'LOD 400 - COLO1'!B:V,21,FALSE),"N/A")</f>
        <v>N/A</v>
      </c>
      <c r="BJ93" s="79" t="str">
        <f>IFERROR(VLOOKUP($B93,'LOD 400 - COLO1'!$B:Y,24,FALSE),"N/A")</f>
        <v>N/A</v>
      </c>
      <c r="BK93" s="87" t="str">
        <f>IFERROR(VLOOKUP($B93,'LOD 400 - COLO1'!$B:AB,27,FALSE),"N/A")</f>
        <v>N/A</v>
      </c>
      <c r="BL93" s="80" t="str">
        <f>IFERROR(VLOOKUP($B93,'LOD 400 - COLO1'!$B:AE,30,FALSE),"N/A")</f>
        <v>N/A</v>
      </c>
      <c r="BM93" s="81" t="str">
        <f>IFERROR(VLOOKUP($B93,'LOD 400 - COLO1'!$B:AH,33,FALSE),"N/A")</f>
        <v>N/A</v>
      </c>
      <c r="BN93" s="87" t="str">
        <f>IFERROR(VLOOKUP($B93,'LOD 400 - COLO1'!$B:AK,36,FALSE),"N/A")</f>
        <v>N/A</v>
      </c>
      <c r="BO93" s="83" t="str">
        <f>IFERROR(VLOOKUP($B93,'LOD 400 - COLO1'!$B:AN,39,FALSE),"N/A")</f>
        <v>N/A</v>
      </c>
      <c r="BP93" s="88" t="str">
        <f>IFERROR(VLOOKUP($B93,'LOD 400 - COLO1'!$B:AQ,42,FALSE),"N/A")</f>
        <v>N/A</v>
      </c>
      <c r="BQ93" s="84" t="str">
        <f>IFERROR(VLOOKUP($B93,'LOD 400 - COLO1'!$B:AT,45,FALSE),"N/A")</f>
        <v>N/A</v>
      </c>
      <c r="BR93" s="85" t="str">
        <f>IFERROR(VLOOKUP($B93,'LOD 400 - COLO1'!$B:AW,48,FALSE),"N/A")</f>
        <v>N/A</v>
      </c>
      <c r="BS93" s="84" t="str">
        <f>IFERROR(VLOOKUP($B93,'LOD 400 - COLO1'!$B:AZ,51,FALSE),"N/A")</f>
        <v>N/A</v>
      </c>
      <c r="BT93" s="84" t="str">
        <f>IFERROR(VLOOKUP($B93,'LOD 400 - COLO1'!$B:BC,54,FALSE),"N/A")</f>
        <v>N/A</v>
      </c>
      <c r="BU93" s="84" t="str">
        <f>IFERROR(VLOOKUP($B93,'LOD 400 - COLO1'!$B:BF,57,FALSE),"N/A")</f>
        <v>N/A</v>
      </c>
      <c r="BV93" s="84" t="str">
        <f>IFERROR(VLOOKUP($B93,'LOD 400 - COLO1'!$B:BI,60,FALSE),"N/A")</f>
        <v>N/A</v>
      </c>
      <c r="BW93" s="84" t="str">
        <f>IFERROR(VLOOKUP($B93,'LOD 400 - COLO1'!$B:BL,63,FALSE),"N/A")</f>
        <v>N/A</v>
      </c>
      <c r="BX93" s="84" t="str">
        <f>IFERROR(VLOOKUP($B93,'LOD 400 - COLO1'!$B:BO,66,FALSE),"N/A")</f>
        <v>N/A</v>
      </c>
      <c r="BY93" s="84" t="str">
        <f>IFERROR(VLOOKUP($B93,'LOD 400 - COLO1'!$B:BR,69,FALSE),"N/A")</f>
        <v>N/A</v>
      </c>
      <c r="BZ93" s="84" t="str">
        <f>IFERROR(VLOOKUP($B93,'LOD 400 - COLO1'!$B:BU,72,FALSE),"N/A")</f>
        <v>N/A</v>
      </c>
      <c r="CA93" s="84" t="str">
        <f>IFERROR(VLOOKUP($B93,'LOD 400 - COLO1'!$B:BX,75,FALSE),"N/A")</f>
        <v>N/A</v>
      </c>
      <c r="CB93" s="84" t="str">
        <f>IFERROR(VLOOKUP($B93,'LOD 400 - COLO1'!$B:CA,78,FALSE),"N/A")</f>
        <v>N/A</v>
      </c>
      <c r="CC93" s="84" t="str">
        <f>IFERROR(VLOOKUP($B93,'LOD 400 - COLO1'!$B:CD,81,FALSE),"N/A")</f>
        <v>N/A</v>
      </c>
      <c r="CD93" s="85" t="str">
        <f>IFERROR(VLOOKUP($B93,'LOD 400 - COLO1'!$B:CG,84,FALSE),"N/A")</f>
        <v>N/A</v>
      </c>
      <c r="CE93" s="84" t="str">
        <f>IFERROR(VLOOKUP($B93,'LOD 400 - COLO1'!$B:CJ,87,FALSE),"N/A")</f>
        <v>N/A</v>
      </c>
      <c r="CF93" s="85" t="str">
        <f>IFERROR(VLOOKUP($B93,'LOD 400 - COLO1'!$B:CM,90,FALSE),"N/A")</f>
        <v>N/A</v>
      </c>
      <c r="CG93" s="84" t="str">
        <f>IFERROR(VLOOKUP($B93,'LOD 400 - COLO1'!$B:CP,93,FALSE),"N/A")</f>
        <v>N/A</v>
      </c>
      <c r="CH93" s="84" t="str">
        <f>IFERROR(VLOOKUP($B93,'LOD 400 - COLO1'!$B:CS,96,FALSE),"N/A")</f>
        <v>N/A</v>
      </c>
      <c r="CI93" s="84" t="str">
        <f>IFERROR(VLOOKUP($B93,'LOD 400 - COLO1'!$B:CV,99,FALSE),"N/A")</f>
        <v>N/A</v>
      </c>
      <c r="CJ93" s="84" t="str">
        <f>IFERROR(VLOOKUP($B93,'LOD 400 - COLO1'!$B:CY,102,FALSE),"N/A")</f>
        <v>N/A</v>
      </c>
      <c r="CK93" s="84" t="str">
        <f>IFERROR(VLOOKUP($B93,'LOD 400 - COLO1'!$B:DB,105,FALSE),"N/A")</f>
        <v>N/A</v>
      </c>
      <c r="CL93" s="84" t="str">
        <f>IFERROR(VLOOKUP($B93,'LOD 400 - COLO1'!$B:DE,108,FALSE),"N/A")</f>
        <v>N/A</v>
      </c>
      <c r="CM93" s="84" t="str">
        <f>IFERROR(VLOOKUP($B93,'LOD 400 - COLO1'!$B:DH,111,FALSE),"N/A")</f>
        <v>N/A</v>
      </c>
      <c r="CN93" s="84" t="str">
        <f>IFERROR(VLOOKUP($B93,'LOD 400 - COLO1'!$B:DK,114,FALSE),"N/A")</f>
        <v>N/A</v>
      </c>
      <c r="CO93" s="84" t="str">
        <f>IFERROR(VLOOKUP($B93,'LOD 400 - COLO1'!$B:DN,117,FALSE),"N/A")</f>
        <v>N/A</v>
      </c>
      <c r="CP93" s="86" t="str">
        <f>IFERROR(__xludf.DUMMYFUNCTION("IFERROR(
  MAX(FILTER(BH93:CO93, ISNUMBER(BH93:CO93))),
  CO93
)"),"N/A")</f>
        <v>N/A</v>
      </c>
      <c r="CQ93" s="89" t="str">
        <f>IFERROR(VLOOKUP($B93,'LOD 400 - COLO2'!B:S,18,FALSE),"N/A")</f>
        <v>N/A</v>
      </c>
      <c r="CR93" s="79" t="str">
        <f>IFERROR(VLOOKUP($B93,'LOD 400 - COLO2'!B:V,21,FALSE),"N/A")</f>
        <v>N/A</v>
      </c>
      <c r="CS93" s="79" t="str">
        <f>IFERROR(VLOOKUP($B93,'LOD 400 - COLO2'!$B:Y,24,FALSE),"N/A")</f>
        <v>N/A</v>
      </c>
      <c r="CT93" s="80" t="str">
        <f>IFERROR(VLOOKUP($B93,'LOD 400 - COLO2'!$B:DQ,27,FALSE),"N/A")</f>
        <v>N/A</v>
      </c>
      <c r="CU93" s="90" t="str">
        <f>IFERROR(VLOOKUP($B93,'LOD 400 - COLO2'!$B:AE,30,FALSE),"N/A")</f>
        <v>N/A</v>
      </c>
      <c r="CV93" s="81" t="str">
        <f>IFERROR(VLOOKUP($B93,'LOD 400 - COLO2'!$B:AH,33,FALSE),"N/A")</f>
        <v>N/A</v>
      </c>
      <c r="CW93" s="90" t="str">
        <f>IFERROR(VLOOKUP($B93,'LOD 400 - COLO2'!$B:AK,36,FALSE),"N/A")</f>
        <v>N/A</v>
      </c>
      <c r="CX93" s="85" t="str">
        <f>IFERROR(VLOOKUP($B93,'LOD 400 - COLO2'!$B:AN,39,FALSE),"N/A")</f>
        <v>N/A</v>
      </c>
      <c r="CY93" s="88" t="str">
        <f>IFERROR(VLOOKUP($B93,'LOD 400 - COLO2'!$B:AQ,42,FALSE),"N/A")</f>
        <v>N/A</v>
      </c>
      <c r="CZ93" s="84" t="str">
        <f>IFERROR(VLOOKUP($B93,'LOD 400 - COLO2'!$B:AT,45,FALSE),"N/A")</f>
        <v>N/A</v>
      </c>
      <c r="DA93" s="85" t="str">
        <f>IFERROR(VLOOKUP($B93,'LOD 400 - COLO2'!$B:AW,48,FALSE),"N/A")</f>
        <v>N/A</v>
      </c>
      <c r="DB93" s="84" t="str">
        <f>IFERROR(VLOOKUP($B93,'LOD 400 - COLO2'!$B:AZ,51,FALSE),"N/A")</f>
        <v>N/A</v>
      </c>
      <c r="DC93" s="84" t="str">
        <f>IFERROR(VLOOKUP($B93,'LOD 400 - COLO2'!$B:BC,54,FALSE),"N/A")</f>
        <v>N/A</v>
      </c>
      <c r="DD93" s="84" t="str">
        <f>IFERROR(VLOOKUP($B93,'LOD 400 - COLO2'!$B:BF,57,FALSE),"N/A")</f>
        <v>N/A</v>
      </c>
      <c r="DE93" s="84" t="str">
        <f>IFERROR(VLOOKUP($B93,'LOD 400 - COLO2'!$B:BI,60,FALSE),"N/A")</f>
        <v>N/A</v>
      </c>
      <c r="DF93" s="84" t="str">
        <f>IFERROR(VLOOKUP($B93,'LOD 400 - COLO2'!$B:BL,63,FALSE),"N/A")</f>
        <v>N/A</v>
      </c>
      <c r="DG93" s="84" t="str">
        <f>IFERROR(VLOOKUP($B93,'LOD 400 - COLO2'!$B:BO,66,FALSE),"N/A")</f>
        <v>N/A</v>
      </c>
      <c r="DH93" s="84" t="str">
        <f>IFERROR(VLOOKUP($B93,'LOD 400 - COLO2'!$B:BR,69,FALSE),"N/A")</f>
        <v>N/A</v>
      </c>
      <c r="DI93" s="84" t="str">
        <f>IFERROR(VLOOKUP($B93,'LOD 400 - COLO2'!$B:BU,72,FALSE),"N/A")</f>
        <v>N/A</v>
      </c>
      <c r="DJ93" s="84" t="str">
        <f>IFERROR(VLOOKUP($B93,'LOD 400 - COLO2'!$B:BX,75,FALSE),"N/A")</f>
        <v>N/A</v>
      </c>
      <c r="DK93" s="84" t="str">
        <f>IFERROR(VLOOKUP($B93,'LOD 400 - COLO2'!$B:CA,78,FALSE),"N/A")</f>
        <v>N/A</v>
      </c>
      <c r="DL93" s="84" t="str">
        <f>IFERROR(VLOOKUP($B93,'LOD 400 - COLO2'!$B:CD,81,FALSE),"N/A")</f>
        <v>N/A</v>
      </c>
      <c r="DM93" s="85" t="str">
        <f>IFERROR(VLOOKUP($B93,'LOD 400 - COLO2'!$B:CG,84,FALSE),"N/A")</f>
        <v>N/A</v>
      </c>
      <c r="DN93" s="84" t="str">
        <f>IFERROR(VLOOKUP($B93,'LOD 400 - COLO2'!$B:CJ,87,FALSE),"N/A")</f>
        <v>N/A</v>
      </c>
      <c r="DO93" s="85" t="str">
        <f>IFERROR(VLOOKUP($B93,'LOD 400 - COLO2'!$B:CM,90,FALSE),"N/A")</f>
        <v>N/A</v>
      </c>
      <c r="DP93" s="84" t="str">
        <f>IFERROR(VLOOKUP($B93,'LOD 400 - COLO2'!$B:CP,93,FALSE),"N/A")</f>
        <v>N/A</v>
      </c>
      <c r="DQ93" s="84" t="str">
        <f>IFERROR(VLOOKUP($B93,'LOD 400 - COLO2'!$B:CS,96,FALSE),"N/A")</f>
        <v>N/A</v>
      </c>
      <c r="DR93" s="84" t="str">
        <f>IFERROR(VLOOKUP($B93,'LOD 400 - COLO2'!$B:CV,99,FALSE),"N/A")</f>
        <v>N/A</v>
      </c>
      <c r="DS93" s="84" t="str">
        <f>IFERROR(VLOOKUP($B93,'LOD 400 - COLO2'!$B:CY,102,FALSE),"N/A")</f>
        <v>N/A</v>
      </c>
      <c r="DT93" s="84" t="str">
        <f>IFERROR(VLOOKUP($B93,'LOD 400 - COLO2'!$B:DB,105,FALSE),"N/A")</f>
        <v>N/A</v>
      </c>
      <c r="DU93" s="84" t="str">
        <f>IFERROR(VLOOKUP($B93,'LOD 400 - COLO2'!$B:DE,108,FALSE),"N/A")</f>
        <v>N/A</v>
      </c>
      <c r="DV93" s="84" t="str">
        <f>IFERROR(VLOOKUP($B93,'LOD 400 - COLO2'!$B:DH,111,FALSE),"N/A")</f>
        <v>N/A</v>
      </c>
      <c r="DW93" s="84" t="str">
        <f>IFERROR(VLOOKUP($B93,'LOD 400 - COLO2'!$B:DK,114,FALSE),"N/A")</f>
        <v>N/A</v>
      </c>
      <c r="DX93" s="84" t="str">
        <f>IFERROR(VLOOKUP($B93,'LOD 400 - COLO2'!$B:DN,117,FALSE),"N/A")</f>
        <v>N/A</v>
      </c>
      <c r="DY93" s="91" t="str">
        <f>IFERROR(__xludf.DUMMYFUNCTION("IFERROR(
  MAX(FILTER(CQ93:DW93, ISNUMBER(CQ93:DW93))),
  DW93
)"),"N/A")</f>
        <v>N/A</v>
      </c>
      <c r="DZ93" s="92" t="str">
        <f>IFERROR(VLOOKUP($B93,'LOD 400 - COLO3'!B:S,18,FALSE),"N/A")</f>
        <v>N/A</v>
      </c>
      <c r="EA93" s="84" t="str">
        <f>IFERROR(VLOOKUP($B93,'LOD 400 - COLO3'!B:V,21,FALSE),"N/A")</f>
        <v>N/A</v>
      </c>
      <c r="EB93" s="84" t="str">
        <f>IFERROR(VLOOKUP($B93,'LOD 400 - COLO3'!B:Y,24,FALSE),"N/A")</f>
        <v>N/A</v>
      </c>
      <c r="EC93" s="84" t="str">
        <f>IFERROR(VLOOKUP($B93,'LOD 400 - COLO3'!B:AB,27,FALSE),"N/A")</f>
        <v>N/A</v>
      </c>
      <c r="ED93" s="85" t="str">
        <f>IFERROR(VLOOKUP($B93,'LOD 400 - COLO3'!B:AE,30,FALSE),"N/A")</f>
        <v>N/A</v>
      </c>
      <c r="EE93" s="84" t="str">
        <f>IFERROR(VLOOKUP($B93,'LOD 400 - COLO3'!B:AH,33,FALSE),"N/A")</f>
        <v>N/A</v>
      </c>
      <c r="EF93" s="84" t="str">
        <f>IFERROR(VLOOKUP($B93,'LOD 400 - COLO3'!B:AK,36,FALSE),"N/A")</f>
        <v>N/A</v>
      </c>
      <c r="EG93" s="109" t="str">
        <f>IFERROR(VLOOKUP($B93,'LOD 400 - COLO3'!B:AN,39,FALSE),"N/A")</f>
        <v>N/A</v>
      </c>
      <c r="EH93" s="94" t="str">
        <f>IFERROR(VLOOKUP($B93,'LOD 400 - COLO3'!B:AQ,42,FALSE),"N/A")</f>
        <v>N/A</v>
      </c>
      <c r="EI93" s="94" t="str">
        <f>IFERROR(VLOOKUP($B93,'LOD 400 - COLO3'!B:AT,45,FALSE),"N/A")</f>
        <v>N/A</v>
      </c>
      <c r="EJ93" s="94" t="str">
        <f>IFERROR(VLOOKUP($B93,'LOD 400 - COLO3'!B:AW,48,FALSE),"N/A")</f>
        <v>N/A</v>
      </c>
      <c r="EK93" s="94" t="str">
        <f>IFERROR(VLOOKUP($B93,'LOD 400 - COLO3'!B:AZ,51,FALSE),"N/A")</f>
        <v>N/A</v>
      </c>
      <c r="EL93" s="94" t="str">
        <f>IFERROR(VLOOKUP($B93,'LOD 400 - COLO3'!B:BC,54,FALSE),"N/A")</f>
        <v>N/A</v>
      </c>
      <c r="EM93" s="94" t="str">
        <f>IFERROR(VLOOKUP($B93,'LOD 400 - COLO3'!B:BF,57,FALSE),"N/A")</f>
        <v>N/A</v>
      </c>
      <c r="EN93" s="94" t="str">
        <f>IFERROR(VLOOKUP($B93,'LOD 400 - COLO3'!B:BI,60,FALSE),"N/A")</f>
        <v>N/A</v>
      </c>
      <c r="EO93" s="94" t="str">
        <f>IFERROR(VLOOKUP($B93,'LOD 400 - COLO3'!B:BL,63,FALSE),"N/A")</f>
        <v>N/A</v>
      </c>
      <c r="EP93" s="86" t="str">
        <f>IFERROR(__xludf.DUMMYFUNCTION("IFERROR(
  MAX(FILTER(DZ93:EO93, ISNUMBER(DZ93:EO93))),
  EO93
)"),"N/A")</f>
        <v>N/A</v>
      </c>
      <c r="EQ93" s="95" t="str">
        <f>IFERROR(VLOOKUP($B93,'LOD 400 - COLO4'!B:S,18,FALSE),"N/A")</f>
        <v>N/A</v>
      </c>
      <c r="ER93" s="96" t="str">
        <f>IFERROR(__xludf.DUMMYFUNCTION("IFERROR(
  MAX(FILTER(EQ93, ISNUMBER(EQ93))),
  EQ93
)"),"N/A")</f>
        <v>N/A</v>
      </c>
      <c r="ES93" s="79">
        <f>IFERROR(VLOOKUP($B93,'LOD 400 - SITE'!B:S,18,FALSE),"N/A")</f>
        <v>0.01</v>
      </c>
      <c r="ET93" s="80" t="str">
        <f>IFERROR(VLOOKUP($B93,'LOD 400 - SITE'!B:V,21,FALSE),"N/A")</f>
        <v>OUTDATED</v>
      </c>
      <c r="EU93" s="97">
        <f>IFERROR(VLOOKUP($B93,'LOD 400 - SITE'!$B:Y,24,FALSE),"N/A")</f>
        <v>0.01</v>
      </c>
      <c r="EV93" s="80" t="str">
        <f>IFERROR(VLOOKUP($B93,'LOD 400 - SITE'!$B:AB,27,FALSE),"N/A")</f>
        <v>NEXT ROUND </v>
      </c>
      <c r="EW93" s="81">
        <f>IFERROR(VLOOKUP($B93,'LOD 400 - SITE'!$B:AE,30,FALSE),"N/A")</f>
        <v>0.56</v>
      </c>
      <c r="EX93" s="87" t="str">
        <f>IFERROR(VLOOKUP($B93,'LOD 400 - SITE'!$B:AH,33,FALSE),"N/A")</f>
        <v>NEXT ROUND </v>
      </c>
      <c r="EY93" s="87">
        <f>IFERROR(VLOOKUP($B93,'LOD 400 - SITE'!$B:AK,36,FALSE),"N/A")</f>
        <v>0.67</v>
      </c>
      <c r="EZ93" s="80" t="str">
        <f>IFERROR(VLOOKUP($B93,'LOD 400 - SITE'!$B:AN,39,FALSE),"N/A")</f>
        <v>NEXT ROUND </v>
      </c>
      <c r="FA93" s="82">
        <f>IFERROR(VLOOKUP($B93,'LOD 400 - SITE'!$B:AQ,42,FALSE),"N/A")</f>
        <v>0.94</v>
      </c>
      <c r="FB93" s="88">
        <f>IFERROR(VLOOKUP($B93,'LOD 400 - SITE'!$B:AT,45,FALSE),"N/A")</f>
        <v>1</v>
      </c>
      <c r="FC93" s="84">
        <f>IFERROR(VLOOKUP($B93,'LOD 400 - SITE'!$B:AW,48,FALSE),"N/A")</f>
        <v>1</v>
      </c>
      <c r="FD93" s="84">
        <f>IFERROR(VLOOKUP($B93,'LOD 400 - SITE'!$B:AZ,51,FALSE),"N/A")</f>
        <v>1</v>
      </c>
      <c r="FE93" s="84">
        <f>IFERROR(VLOOKUP($B93,'LOD 400 - SITE'!$B:BC,54,FALSE),"N/A")</f>
        <v>1</v>
      </c>
      <c r="FF93" s="84">
        <f>IFERROR(VLOOKUP($B93,'LOD 400 - SITE'!$B:BF,57,FALSE),"N/A")</f>
        <v>1</v>
      </c>
      <c r="FG93" s="84">
        <f>IFERROR(VLOOKUP($B93,'LOD 400 - SITE'!$B:BI,60,FALSE),"N/A")</f>
        <v>1</v>
      </c>
      <c r="FH93" s="84">
        <f>IFERROR(VLOOKUP($B93,'LOD 400 - SITE'!$B:BL,63,FALSE),"N/A")</f>
        <v>1</v>
      </c>
      <c r="FI93" s="84">
        <f>IFERROR(VLOOKUP($B93,'LOD 400 - SITE'!$B:BO,66,FALSE),"N/A")</f>
        <v>1</v>
      </c>
      <c r="FJ93" s="84">
        <f>IFERROR(VLOOKUP($B93,'LOD 400 - SITE'!$B:BR,69,FALSE),"N/A")</f>
        <v>1</v>
      </c>
      <c r="FK93" s="84">
        <f>IFERROR(VLOOKUP($B93,'LOD 400 - SITE'!$B:BU,72,FALSE),"N/A")</f>
        <v>1</v>
      </c>
      <c r="FL93" s="84">
        <f>IFERROR(VLOOKUP($B93,'LOD 400 - SITE'!$B:BX,75,FALSE),"N/A")</f>
        <v>1</v>
      </c>
      <c r="FM93" s="84">
        <f>IFERROR(VLOOKUP($B93,'LOD 400 - SITE'!$B:CA,78,FALSE),"N/A")</f>
        <v>1</v>
      </c>
      <c r="FN93" s="85">
        <f>IFERROR(VLOOKUP($B93,'LOD 400 - SITE'!$B:CD,81,FALSE),"N/A")</f>
        <v>1</v>
      </c>
      <c r="FO93" s="84">
        <f>IFERROR(VLOOKUP($B93,'LOD 400 - SITE'!$B:CG,84,FALSE),"N/A")</f>
        <v>1</v>
      </c>
      <c r="FP93" s="85">
        <f>IFERROR(VLOOKUP($B93,'LOD 400 - SITE'!$B:CJ,87,FALSE),"N/A")</f>
        <v>1</v>
      </c>
      <c r="FQ93" s="84">
        <f>IFERROR(VLOOKUP($B93,'LOD 400 - SITE'!$B:CM,90,FALSE),"N/A")</f>
        <v>1</v>
      </c>
      <c r="FR93" s="84">
        <f>IFERROR(VLOOKUP($B93,'LOD 400 - SITE'!$B:CP,93,FALSE),"N/A")</f>
        <v>1</v>
      </c>
      <c r="FS93" s="84">
        <f>IFERROR(VLOOKUP($B93,'LOD 400 - SITE'!$B:CS,96,FALSE),"N/A")</f>
        <v>1</v>
      </c>
      <c r="FT93" s="84">
        <f>IFERROR(VLOOKUP($B93,'LOD 400 - SITE'!$B:CV,99,FALSE),"N/A")</f>
        <v>1</v>
      </c>
      <c r="FU93" s="84">
        <f>IFERROR(VLOOKUP($B93,'LOD 400 - SITE'!$B:CY,102,FALSE),"N/A")</f>
        <v>1</v>
      </c>
      <c r="FV93" s="84">
        <f>IFERROR(VLOOKUP($B93,'LOD 400 - SITE'!$B:DB,105,FALSE),"N/A")</f>
        <v>1</v>
      </c>
      <c r="FW93" s="84">
        <f>IFERROR(VLOOKUP($B93,'LOD 400 - SITE'!$B:DE,108,FALSE),"N/A")</f>
        <v>1</v>
      </c>
      <c r="FX93" s="84">
        <f>IFERROR(VLOOKUP($B93,'LOD 400 - SITE'!$B:DH,111,FALSE),"N/A")</f>
        <v>1</v>
      </c>
      <c r="FY93" s="84">
        <f>IFERROR(VLOOKUP($B93,'LOD 400 - SITE'!$B:DK,114,FALSE),"N/A")</f>
        <v>1</v>
      </c>
      <c r="FZ93" s="96">
        <f>IFERROR(__xludf.DUMMYFUNCTION("IFERROR(
  MAX(FILTER(ES93:FY93, ISNUMBER(ES93:FY93))),
  FY93
)"),1.0)</f>
        <v>1</v>
      </c>
      <c r="GA93" s="80">
        <f>IFERROR(VLOOKUP($B93,'LOD 400 - UTLS'!B:S,18,FALSE),"N/A")</f>
        <v>0.03</v>
      </c>
      <c r="GB93" s="98" t="str">
        <f>IFERROR(VLOOKUP($B93,'LOD 400 - UTLS'!B:V,21,FALSE),"N/A")</f>
        <v>NEXT ROUND</v>
      </c>
      <c r="GC93" s="81">
        <f>IFERROR(VLOOKUP($B93,'LOD 400 - UTLS'!B:Y,24,FALSE),"N/A")</f>
        <v>0.66</v>
      </c>
      <c r="GD93" s="87">
        <f>IFERROR(VLOOKUP($B93,'LOD 400 - UTLS'!$B:AB,27,FALSE),"N/A")</f>
        <v>0.69</v>
      </c>
      <c r="GE93" s="80" t="str">
        <f>IFERROR(VLOOKUP($B93,'LOD 400 - UTLS'!$B:AE,30,FALSE),"N/A")</f>
        <v>NEXT ROUND</v>
      </c>
      <c r="GF93" s="82">
        <f>IFERROR(VLOOKUP($B93,'LOD 400 - UTLS'!$B:AH,33,FALSE),"N/A")</f>
        <v>0.93</v>
      </c>
      <c r="GG93" s="88">
        <f>IFERROR(VLOOKUP($B93,'LOD 400 - UTLS'!$B:AK,36,FALSE),"N/A")</f>
        <v>1</v>
      </c>
      <c r="GH93" s="84">
        <f>IFERROR(VLOOKUP($B93,'LOD 400 - UTLS'!$B:AN,39,FALSE),"N/A")</f>
        <v>1</v>
      </c>
      <c r="GI93" s="84">
        <f>IFERROR(VLOOKUP($B93,'LOD 400 - UTLS'!$B:AQ,42,FALSE),"N/A")</f>
        <v>1</v>
      </c>
      <c r="GJ93" s="84">
        <f>IFERROR(VLOOKUP($B93,'LOD 400 - UTLS'!$B:AT,45,FALSE),"N/A")</f>
        <v>1</v>
      </c>
      <c r="GK93" s="84">
        <f>IFERROR(VLOOKUP($B93,'LOD 400 - UTLS'!$B:AW,48,FALSE),"N/A")</f>
        <v>1</v>
      </c>
      <c r="GL93" s="84">
        <f>IFERROR(VLOOKUP($B93,'LOD 400 - UTLS'!$B:AZ,51,FALSE),"N/A")</f>
        <v>1</v>
      </c>
      <c r="GM93" s="84">
        <f>IFERROR(VLOOKUP($B93,'LOD 400 - UTLS'!$B:BC,54,FALSE),"N/A")</f>
        <v>1</v>
      </c>
      <c r="GN93" s="84">
        <f>IFERROR(VLOOKUP($B93,'LOD 400 - UTLS'!$B:BF,57,FALSE),"N/A")</f>
        <v>1</v>
      </c>
      <c r="GO93" s="84">
        <f>IFERROR(VLOOKUP($B93,'LOD 400 - UTLS'!$B:BI,60,FALSE),"N/A")</f>
        <v>1</v>
      </c>
      <c r="GP93" s="84">
        <f>IFERROR(VLOOKUP($B93,'LOD 400 - UTLS'!$B:BL,63,FALSE),"N/A")</f>
        <v>1</v>
      </c>
      <c r="GQ93" s="84">
        <f>IFERROR(VLOOKUP($B93,'LOD 400 - UTLS'!$B:BO,66,FALSE),"N/A")</f>
        <v>1</v>
      </c>
      <c r="GR93" s="84">
        <f>IFERROR(VLOOKUP($B93,'LOD 400 - UTLS'!$B:BR,69,FALSE),"N/A")</f>
        <v>1</v>
      </c>
      <c r="GS93" s="85">
        <f>IFERROR(VLOOKUP($B93,'LOD 400 - UTLS'!$B:BU,72,FALSE),"N/A")</f>
        <v>1</v>
      </c>
      <c r="GT93" s="84">
        <f>IFERROR(VLOOKUP($B93,'LOD 400 - UTLS'!$B:BX,75,FALSE),"N/A")</f>
        <v>1</v>
      </c>
      <c r="GU93" s="85">
        <f>IFERROR(VLOOKUP($B93,'LOD 400 - UTLS'!$B:CA,78,FALSE),"N/A")</f>
        <v>1</v>
      </c>
      <c r="GV93" s="84">
        <f>IFERROR(VLOOKUP($B93,'LOD 400 - UTLS'!$B:CD,81,FALSE),"N/A")</f>
        <v>1</v>
      </c>
      <c r="GW93" s="84">
        <f>IFERROR(VLOOKUP($B93,'LOD 400 - UTLS'!$B:CG,84,FALSE),"N/A")</f>
        <v>1</v>
      </c>
      <c r="GX93" s="84">
        <f>IFERROR(VLOOKUP($B93,'LOD 400 - UTLS'!$B:CJ,87,FALSE),"N/A")</f>
        <v>1</v>
      </c>
      <c r="GY93" s="84">
        <f>IFERROR(VLOOKUP($B93,'LOD 400 - UTLS'!$B:CM,90,FALSE),"N/A")</f>
        <v>1</v>
      </c>
      <c r="GZ93" s="84">
        <f>IFERROR(VLOOKUP($B93,'LOD 400 - UTLS'!$B:CP,93,FALSE),"N/A")</f>
        <v>1</v>
      </c>
      <c r="HA93" s="84">
        <f>IFERROR(VLOOKUP($B93,'LOD 400 - UTLS'!$B:CS,96,FALSE),"N/A")</f>
        <v>1</v>
      </c>
      <c r="HB93" s="84">
        <f>IFERROR(VLOOKUP($B93,'LOD 400 - UTLS'!$B:CV,99,FALSE),"N/A")</f>
        <v>1</v>
      </c>
      <c r="HC93" s="84">
        <f>IFERROR(VLOOKUP($B93,'LOD 400 - UTLS'!$B:CY,102,FALSE),"N/A")</f>
        <v>1</v>
      </c>
      <c r="HD93" s="84">
        <f>IFERROR(VLOOKUP($B93,'LOD 400 - UTLS'!$B:DB,105,FALSE),"N/A")</f>
        <v>1</v>
      </c>
      <c r="HE93" s="96">
        <f>IFERROR(__xludf.DUMMYFUNCTION("IFERROR(
  MAX(FILTER(GA93:HD93, ISNUMBER(GA93:HD93))),
  HD93
)"),1.0)</f>
        <v>1</v>
      </c>
      <c r="HF93" s="99"/>
      <c r="HG93" s="99"/>
      <c r="HH93" s="99"/>
      <c r="HI93" s="99"/>
      <c r="HJ93" s="99"/>
      <c r="HK93" s="99"/>
    </row>
    <row r="94" ht="15.0" customHeight="1" outlineLevel="1">
      <c r="A94" s="53">
        <v>98.0</v>
      </c>
      <c r="B94" s="100" t="s">
        <v>273</v>
      </c>
      <c r="C94" s="100" t="s">
        <v>274</v>
      </c>
      <c r="D94" s="64" t="str">
        <f t="shared" si="17"/>
        <v>DATA</v>
      </c>
      <c r="E94" s="111" t="s">
        <v>275</v>
      </c>
      <c r="F94" s="102"/>
      <c r="G94" s="114" t="s">
        <v>270</v>
      </c>
      <c r="H94" s="116"/>
      <c r="I94" s="68" t="str">
        <f>IFERROR(VLOOKUP($C91:C108,'R22 RELATÓRIO ACC'!B:F,5,FALSE),"NOT PUBLISHED")</f>
        <v>V11</v>
      </c>
      <c r="J94" s="69" t="str">
        <f>IFERROR(VLOOKUP($C91:C108,'R22 RELATÓRIO ACC'!B:P,15,FALSE),"NOT PUBLISHED")</f>
        <v>28/04/2026</v>
      </c>
      <c r="K94" s="70" t="str">
        <f>IFERROR(VLOOKUP($B91:B108,'RELATÓRIO ACC'!B:F,5,FALSE),"NOT PUBLISHED")</f>
        <v>V1</v>
      </c>
      <c r="L94" s="71" t="str">
        <f>IFERROR(VLOOKUP($B91:B108,'RELATÓRIO ACC'!B:P,15,FALSE),"NOT PUBLISHED")</f>
        <v>15/05/2026</v>
      </c>
      <c r="M94" s="72" t="str">
        <f>IF(OR($D94="UTLS",$D94="GUAR",$D94="STIR",$D94="PUMP",$D94="SITE"),
   VLOOKUP($B94,'LOD 400 - SITE'!B:M,12,FALSE),
   VLOOKUP($B94,'LOD 400 - ADMN'!B:M,12,FALSE)
)</f>
        <v>V8</v>
      </c>
      <c r="N94" s="105" t="str">
        <f>IF(OR($D94="UTLS",$D94="GUAR",$D94="STIR",$D94="PUMP",$D94="SITE"),
   VLOOKUP($B94,'LOD 400 - SITE'!B:N,13,FALSE),
   VLOOKUP($B94,'LOD 400 - ADMN'!B:N,13,FALSE)
)</f>
        <v>16/01/2026</v>
      </c>
      <c r="O94" s="106" t="str">
        <f>IF(OR($D94="UTLS",$D94="GUAR",$D94="STIR",$D94="PUMP",$D94="SITE"),
   VLOOKUP($B94,'LOD 400 - SITE'!B:O,14,FALSE),
   VLOOKUP($B94,'LOD 400 - ADMN'!B:O,14,FALSE)
)</f>
        <v>R22</v>
      </c>
      <c r="P94" s="107" t="str">
        <f>IF(OR($D94="C345",$D94="C12A",$D94="DATA"),
   VLOOKUP($B94,'LOD 400 - COLO3'!B:M,12,FALSE),"N/A")</f>
        <v>V11</v>
      </c>
      <c r="Q94" s="108">
        <f>IF(OR($D94="C345",$D94="C12A",$D94="DATA"),
   VLOOKUP($B94,'LOD 400 - COLO3'!B:N,13,FALSE),"N/A")</f>
        <v>46140</v>
      </c>
      <c r="R94" s="75" t="str">
        <f>IF(OR($D94="C345",$D94="C12A",$D94="DATA"),
   VLOOKUP($B94,'LOD 400 - COLO3'!B:O,14,FALSE),"N/A")</f>
        <v>R22</v>
      </c>
      <c r="S94" s="76" t="str">
        <f>IF(OR($D94="C345",$D94="C12A",$D94="DATA"),
   VLOOKUP($B94,'LOD 400 - COLO4'!B:N,12,FALSE),"N/A")</f>
        <v>N/A</v>
      </c>
      <c r="T94" s="76" t="str">
        <f>IF(OR($D94="C345",$D94="C12A",$D94="DATA"),
   VLOOKUP($B94,'LOD 400 - COLO4'!B:N,13,FALSE),"N/A")</f>
        <v>N/A</v>
      </c>
      <c r="U94" s="76" t="str">
        <f>IF(OR($D94="C345",$D94="C12A",$D94="DATA"),
   VLOOKUP($B94,'LOD 400 - COLO4'!B:N,13,FALSE),"N/A")</f>
        <v>N/A</v>
      </c>
      <c r="V94" s="77" t="str">
        <f>IF(OR($D94="UTLS",$D94="GUAR",$D94="STIR",$D94="PUMP",$D94="SITE"),
   VLOOKUP($B94,'LOD 400 - UTLS'!B:M,12,FALSE),"N/A")</f>
        <v>N/A</v>
      </c>
      <c r="W94" s="78" t="str">
        <f>IF(OR($D94="UTLS",$D94="GUAR",$D94="STIR",$D94="PUMP",$D94="SITE"),
   VLOOKUP($B94,'LOD 400 - UTLS'!B:N,13,FALSE),"N/A")</f>
        <v>N/A</v>
      </c>
      <c r="X94" s="108" t="str">
        <f>IF(OR($D94="UTLS",$D94="GUAR",$D94="STIR",$D94="PUMP",$D94="SITE"),
   VLOOKUP($B94,'LOD 400 - UTLS'!B:O,14,FALSE),"N/A")</f>
        <v>N/A</v>
      </c>
      <c r="Y94" s="79">
        <f>IFERROR(VLOOKUP($B94,'LOD 400 - ADMN'!B:S,18,FALSE),"N/A")</f>
        <v>0.01</v>
      </c>
      <c r="Z94" s="79" t="str">
        <f>IFERROR(VLOOKUP($B94,'LOD 400 - ADMN'!B:V,21,FALSE),"N/A")</f>
        <v>OUTDATED</v>
      </c>
      <c r="AA94" s="79">
        <f>IFERROR(VLOOKUP($B94,'LOD 400 - ADMN'!$B:Y,24,FALSE),"N/A")</f>
        <v>0.21</v>
      </c>
      <c r="AB94" s="80" t="str">
        <f>IFERROR(VLOOKUP($B94,'LOD 400 - ADMN'!$B:AB,27,FALSE),"N/A")</f>
        <v>NEXT ROUND</v>
      </c>
      <c r="AC94" s="81" t="str">
        <f>IFERROR(VLOOKUP($B94,'LOD 400 - ADMN'!$B:AE,30,FALSE),"N/A")</f>
        <v>IMPROPER</v>
      </c>
      <c r="AD94" s="81" t="str">
        <f>IFERROR(VLOOKUP($B94,'LOD 400 - ADMN'!$B:AH,33,FALSE),"N/A")</f>
        <v>NEXT ROUND</v>
      </c>
      <c r="AE94" s="80">
        <f>IFERROR(VLOOKUP($B94,'LOD 400 - ADMN'!$B:AK,36,FALSE),"N/A")</f>
        <v>0.79</v>
      </c>
      <c r="AF94" s="82" t="str">
        <f>IFERROR(VLOOKUP($B94,'LOD 400 - ADMN'!$B:AN,39,FALSE),"N/A")</f>
        <v>NEXT ROUND</v>
      </c>
      <c r="AG94" s="83">
        <f>IFERROR(VLOOKUP($B94,'LOD 400 - ADMN'!$B:AQ,42,FALSE),"N/A")</f>
        <v>0.86</v>
      </c>
      <c r="AH94" s="84" t="str">
        <f>IFERROR(VLOOKUP($B94,'LOD 400 - ADMN'!$B:AT,45,FALSE),"N/A")</f>
        <v>NEXT ROUND</v>
      </c>
      <c r="AI94" s="85">
        <f>IFERROR(VLOOKUP($B94,'LOD 400 - ADMN'!$B:AW,48,FALSE),"N/A")</f>
        <v>1</v>
      </c>
      <c r="AJ94" s="85">
        <f>IFERROR(VLOOKUP($B94,'LOD 400 - ADMN'!$B:AZ,51,FALSE),"N/A")</f>
        <v>1</v>
      </c>
      <c r="AK94" s="84">
        <f>IFERROR(VLOOKUP($B94,'LOD 400 - ADMN'!$B:BC,54,FALSE),"N/A")</f>
        <v>1</v>
      </c>
      <c r="AL94" s="84">
        <f>IFERROR(VLOOKUP($B94,'LOD 400 - ADMN'!$B:BF,57,FALSE),"N/A")</f>
        <v>1</v>
      </c>
      <c r="AM94" s="84">
        <f>IFERROR(VLOOKUP($B94,'LOD 400 - ADMN'!$B:BI,60,FALSE),"N/A")</f>
        <v>1</v>
      </c>
      <c r="AN94" s="84">
        <f>IFERROR(VLOOKUP($B94,'LOD 400 - ADMN'!$B:BL,63,FALSE),"N/A")</f>
        <v>1</v>
      </c>
      <c r="AO94" s="84">
        <f>IFERROR(VLOOKUP($B94,'LOD 400 - ADMN'!$B:BO,66,FALSE),"N/A")</f>
        <v>1</v>
      </c>
      <c r="AP94" s="84">
        <f>IFERROR(VLOOKUP($B94,'LOD 400 - ADMN'!$B:BR,69,FALSE),"N/A")</f>
        <v>1</v>
      </c>
      <c r="AQ94" s="84">
        <f>IFERROR(VLOOKUP($B94,'LOD 400 - ADMN'!$B:BU,72,FALSE),"N/A")</f>
        <v>1</v>
      </c>
      <c r="AR94" s="84">
        <f>IFERROR(VLOOKUP($B94,'LOD 400 - ADMN'!$B:BX,75,FALSE),"N/A")</f>
        <v>1</v>
      </c>
      <c r="AS94" s="84">
        <f>IFERROR(VLOOKUP($B94,'LOD 400 - ADMN'!$B:CA,78,FALSE),"N/A")</f>
        <v>1</v>
      </c>
      <c r="AT94" s="84">
        <f>IFERROR(VLOOKUP($B94,'LOD 400 - ADMN'!$B:CD,81,FALSE),"N/A")</f>
        <v>1</v>
      </c>
      <c r="AU94" s="85">
        <f>IFERROR(VLOOKUP($B94,'LOD 400 - ADMN'!$B:CG,84,FALSE),"N/A")</f>
        <v>1</v>
      </c>
      <c r="AV94" s="84">
        <f>IFERROR(VLOOKUP($B94,'LOD 400 - ADMN'!$B:CJ,87,FALSE),"N/A")</f>
        <v>1</v>
      </c>
      <c r="AW94" s="85">
        <f>IFERROR(VLOOKUP($B94,'LOD 400 - ADMN'!$B:CM,90,FALSE),"N/A")</f>
        <v>1</v>
      </c>
      <c r="AX94" s="84">
        <f>IFERROR(VLOOKUP($B94,'LOD 400 - ADMN'!$B:CP,93,FALSE),"N/A")</f>
        <v>1</v>
      </c>
      <c r="AY94" s="84">
        <f>IFERROR(VLOOKUP($B94,'LOD 400 - ADMN'!$B:CS,96,FALSE),"N/A")</f>
        <v>1</v>
      </c>
      <c r="AZ94" s="84">
        <f>IFERROR(VLOOKUP($B94,'LOD 400 - ADMN'!$B:CV,99,FALSE),"N/A")</f>
        <v>1</v>
      </c>
      <c r="BA94" s="84">
        <f>IFERROR(VLOOKUP($B94,'LOD 400 - ADMN'!$B:CY,102,FALSE),"N/A")</f>
        <v>1</v>
      </c>
      <c r="BB94" s="84">
        <f>IFERROR(VLOOKUP($B94,'LOD 400 - ADMN'!$B:DB,105,FALSE),"N/A")</f>
        <v>1</v>
      </c>
      <c r="BC94" s="84">
        <f>IFERROR(VLOOKUP($B94,'LOD 400 - ADMN'!$B:DE,108,FALSE),"N/A")</f>
        <v>1</v>
      </c>
      <c r="BD94" s="84">
        <f>IFERROR(VLOOKUP($B94,'LOD 400 - ADMN'!$B:DH,111,FALSE),"N/A")</f>
        <v>1</v>
      </c>
      <c r="BE94" s="84">
        <f>IFERROR(VLOOKUP($B94,'LOD 400 - ADMN'!$B:DK,114,FALSE),"N/A")</f>
        <v>1</v>
      </c>
      <c r="BF94" s="84">
        <f>IFERROR(VLOOKUP($B94,'LOD 400 - ADMN'!$B:DN,117,FALSE),"N/A")</f>
        <v>1</v>
      </c>
      <c r="BG94" s="86">
        <f>IFERROR(__xludf.DUMMYFUNCTION("IFERROR(
  MAX(FILTER(Y94:BF94, ISNUMBER(Y94:BF94))),
  BF94
)"),1.0)</f>
        <v>1</v>
      </c>
      <c r="BH94" s="79">
        <f>IFERROR(VLOOKUP($B94,'LOD 400 - COLO1'!B:S,18,FALSE),"N/A")</f>
        <v>0.01</v>
      </c>
      <c r="BI94" s="79" t="str">
        <f>IFERROR(VLOOKUP($B94,'LOD 400 - COLO1'!B:V,21,FALSE),"N/A")</f>
        <v>OUTDATED</v>
      </c>
      <c r="BJ94" s="79">
        <f>IFERROR(VLOOKUP($B94,'LOD 400 - COLO1'!$B:Y,24,FALSE),"N/A")</f>
        <v>0.21</v>
      </c>
      <c r="BK94" s="87" t="str">
        <f>IFERROR(VLOOKUP($B94,'LOD 400 - COLO1'!$B:AB,27,FALSE),"N/A")</f>
        <v>NEXT ROUND</v>
      </c>
      <c r="BL94" s="80" t="str">
        <f>IFERROR(VLOOKUP($B94,'LOD 400 - COLO1'!$B:AE,30,FALSE),"N/A")</f>
        <v>IMPROPER</v>
      </c>
      <c r="BM94" s="81" t="str">
        <f>IFERROR(VLOOKUP($B94,'LOD 400 - COLO1'!$B:AH,33,FALSE),"N/A")</f>
        <v>NEXT ROUND</v>
      </c>
      <c r="BN94" s="87">
        <f>IFERROR(VLOOKUP($B94,'LOD 400 - COLO1'!$B:AK,36,FALSE),"N/A")</f>
        <v>0.79</v>
      </c>
      <c r="BO94" s="83" t="str">
        <f>IFERROR(VLOOKUP($B94,'LOD 400 - COLO1'!$B:AN,39,FALSE),"N/A")</f>
        <v>NEXT ROUND</v>
      </c>
      <c r="BP94" s="88">
        <f>IFERROR(VLOOKUP($B94,'LOD 400 - COLO1'!$B:AQ,42,FALSE),"N/A")</f>
        <v>0.86</v>
      </c>
      <c r="BQ94" s="84" t="str">
        <f>IFERROR(VLOOKUP($B94,'LOD 400 - COLO1'!$B:AT,45,FALSE),"N/A")</f>
        <v>NEXT ROUND</v>
      </c>
      <c r="BR94" s="85">
        <f>IFERROR(VLOOKUP($B94,'LOD 400 - COLO1'!$B:AW,48,FALSE),"N/A")</f>
        <v>1</v>
      </c>
      <c r="BS94" s="84">
        <f>IFERROR(VLOOKUP($B94,'LOD 400 - COLO1'!$B:AZ,51,FALSE),"N/A")</f>
        <v>1</v>
      </c>
      <c r="BT94" s="84">
        <f>IFERROR(VLOOKUP($B94,'LOD 400 - COLO1'!$B:BC,54,FALSE),"N/A")</f>
        <v>1</v>
      </c>
      <c r="BU94" s="84">
        <f>IFERROR(VLOOKUP($B94,'LOD 400 - COLO1'!$B:BF,57,FALSE),"N/A")</f>
        <v>1</v>
      </c>
      <c r="BV94" s="84">
        <f>IFERROR(VLOOKUP($B94,'LOD 400 - COLO1'!$B:BI,60,FALSE),"N/A")</f>
        <v>1</v>
      </c>
      <c r="BW94" s="84">
        <f>IFERROR(VLOOKUP($B94,'LOD 400 - COLO1'!$B:BL,63,FALSE),"N/A")</f>
        <v>1</v>
      </c>
      <c r="BX94" s="84">
        <f>IFERROR(VLOOKUP($B94,'LOD 400 - COLO1'!$B:BO,66,FALSE),"N/A")</f>
        <v>1</v>
      </c>
      <c r="BY94" s="84">
        <f>IFERROR(VLOOKUP($B94,'LOD 400 - COLO1'!$B:BR,69,FALSE),"N/A")</f>
        <v>1</v>
      </c>
      <c r="BZ94" s="84">
        <f>IFERROR(VLOOKUP($B94,'LOD 400 - COLO1'!$B:BU,72,FALSE),"N/A")</f>
        <v>1</v>
      </c>
      <c r="CA94" s="84">
        <f>IFERROR(VLOOKUP($B94,'LOD 400 - COLO1'!$B:BX,75,FALSE),"N/A")</f>
        <v>1</v>
      </c>
      <c r="CB94" s="84">
        <f>IFERROR(VLOOKUP($B94,'LOD 400 - COLO1'!$B:CA,78,FALSE),"N/A")</f>
        <v>1</v>
      </c>
      <c r="CC94" s="84">
        <f>IFERROR(VLOOKUP($B94,'LOD 400 - COLO1'!$B:CD,81,FALSE),"N/A")</f>
        <v>1</v>
      </c>
      <c r="CD94" s="85">
        <f>IFERROR(VLOOKUP($B94,'LOD 400 - COLO1'!$B:CG,84,FALSE),"N/A")</f>
        <v>1</v>
      </c>
      <c r="CE94" s="84">
        <f>IFERROR(VLOOKUP($B94,'LOD 400 - COLO1'!$B:CJ,87,FALSE),"N/A")</f>
        <v>1</v>
      </c>
      <c r="CF94" s="85">
        <f>IFERROR(VLOOKUP($B94,'LOD 400 - COLO1'!$B:CM,90,FALSE),"N/A")</f>
        <v>1</v>
      </c>
      <c r="CG94" s="84">
        <f>IFERROR(VLOOKUP($B94,'LOD 400 - COLO1'!$B:CP,93,FALSE),"N/A")</f>
        <v>1</v>
      </c>
      <c r="CH94" s="84">
        <f>IFERROR(VLOOKUP($B94,'LOD 400 - COLO1'!$B:CS,96,FALSE),"N/A")</f>
        <v>1</v>
      </c>
      <c r="CI94" s="84">
        <f>IFERROR(VLOOKUP($B94,'LOD 400 - COLO1'!$B:CV,99,FALSE),"N/A")</f>
        <v>1</v>
      </c>
      <c r="CJ94" s="84">
        <f>IFERROR(VLOOKUP($B94,'LOD 400 - COLO1'!$B:CY,102,FALSE),"N/A")</f>
        <v>1</v>
      </c>
      <c r="CK94" s="84">
        <f>IFERROR(VLOOKUP($B94,'LOD 400 - COLO1'!$B:DB,105,FALSE),"N/A")</f>
        <v>1</v>
      </c>
      <c r="CL94" s="84">
        <f>IFERROR(VLOOKUP($B94,'LOD 400 - COLO1'!$B:DE,108,FALSE),"N/A")</f>
        <v>1</v>
      </c>
      <c r="CM94" s="84">
        <f>IFERROR(VLOOKUP($B94,'LOD 400 - COLO1'!$B:DH,111,FALSE),"N/A")</f>
        <v>1</v>
      </c>
      <c r="CN94" s="84">
        <f>IFERROR(VLOOKUP($B94,'LOD 400 - COLO1'!$B:DK,114,FALSE),"N/A")</f>
        <v>1</v>
      </c>
      <c r="CO94" s="84">
        <f>IFERROR(VLOOKUP($B94,'LOD 400 - COLO1'!$B:DN,117,FALSE),"N/A")</f>
        <v>1</v>
      </c>
      <c r="CP94" s="86">
        <f>IFERROR(__xludf.DUMMYFUNCTION("IFERROR(
  MAX(FILTER(BH94:CO94, ISNUMBER(BH94:CO94))),
  CO94
)"),1.0)</f>
        <v>1</v>
      </c>
      <c r="CQ94" s="89">
        <f>IFERROR(VLOOKUP($B94,'LOD 400 - COLO2'!B:S,18,FALSE),"N/A")</f>
        <v>0.01</v>
      </c>
      <c r="CR94" s="79" t="str">
        <f>IFERROR(VLOOKUP($B94,'LOD 400 - COLO2'!B:V,21,FALSE),"N/A")</f>
        <v>OUTDATED</v>
      </c>
      <c r="CS94" s="79">
        <f>IFERROR(VLOOKUP($B94,'LOD 400 - COLO2'!$B:Y,24,FALSE),"N/A")</f>
        <v>0.21</v>
      </c>
      <c r="CT94" s="80" t="str">
        <f>IFERROR(VLOOKUP($B94,'LOD 400 - COLO2'!$B:DQ,27,FALSE),"N/A")</f>
        <v>NEXT ROUND</v>
      </c>
      <c r="CU94" s="90" t="str">
        <f>IFERROR(VLOOKUP($B94,'LOD 400 - COLO2'!$B:AE,30,FALSE),"N/A")</f>
        <v>IMPROPER</v>
      </c>
      <c r="CV94" s="81" t="str">
        <f>IFERROR(VLOOKUP($B94,'LOD 400 - COLO2'!$B:AH,33,FALSE),"N/A")</f>
        <v>NEXT ROUND</v>
      </c>
      <c r="CW94" s="90">
        <f>IFERROR(VLOOKUP($B94,'LOD 400 - COLO2'!$B:AK,36,FALSE),"N/A")</f>
        <v>0.79</v>
      </c>
      <c r="CX94" s="85" t="str">
        <f>IFERROR(VLOOKUP($B94,'LOD 400 - COLO2'!$B:AN,39,FALSE),"N/A")</f>
        <v>NEXT ROUND</v>
      </c>
      <c r="CY94" s="88">
        <f>IFERROR(VLOOKUP($B94,'LOD 400 - COLO2'!$B:AQ,42,FALSE),"N/A")</f>
        <v>0.86</v>
      </c>
      <c r="CZ94" s="84" t="str">
        <f>IFERROR(VLOOKUP($B94,'LOD 400 - COLO2'!$B:AT,45,FALSE),"N/A")</f>
        <v>NEXT ROUND</v>
      </c>
      <c r="DA94" s="85">
        <f>IFERROR(VLOOKUP($B94,'LOD 400 - COLO2'!$B:AW,48,FALSE),"N/A")</f>
        <v>1</v>
      </c>
      <c r="DB94" s="84">
        <f>IFERROR(VLOOKUP($B94,'LOD 400 - COLO2'!$B:AZ,51,FALSE),"N/A")</f>
        <v>1</v>
      </c>
      <c r="DC94" s="84">
        <f>IFERROR(VLOOKUP($B94,'LOD 400 - COLO2'!$B:BC,54,FALSE),"N/A")</f>
        <v>1</v>
      </c>
      <c r="DD94" s="84">
        <f>IFERROR(VLOOKUP($B94,'LOD 400 - COLO2'!$B:BF,57,FALSE),"N/A")</f>
        <v>1</v>
      </c>
      <c r="DE94" s="84">
        <f>IFERROR(VLOOKUP($B94,'LOD 400 - COLO2'!$B:BI,60,FALSE),"N/A")</f>
        <v>1</v>
      </c>
      <c r="DF94" s="84">
        <f>IFERROR(VLOOKUP($B94,'LOD 400 - COLO2'!$B:BL,63,FALSE),"N/A")</f>
        <v>1</v>
      </c>
      <c r="DG94" s="84">
        <f>IFERROR(VLOOKUP($B94,'LOD 400 - COLO2'!$B:BO,66,FALSE),"N/A")</f>
        <v>1</v>
      </c>
      <c r="DH94" s="84">
        <f>IFERROR(VLOOKUP($B94,'LOD 400 - COLO2'!$B:BR,69,FALSE),"N/A")</f>
        <v>1</v>
      </c>
      <c r="DI94" s="84">
        <f>IFERROR(VLOOKUP($B94,'LOD 400 - COLO2'!$B:BU,72,FALSE),"N/A")</f>
        <v>1</v>
      </c>
      <c r="DJ94" s="84">
        <f>IFERROR(VLOOKUP($B94,'LOD 400 - COLO2'!$B:BX,75,FALSE),"N/A")</f>
        <v>1</v>
      </c>
      <c r="DK94" s="84">
        <f>IFERROR(VLOOKUP($B94,'LOD 400 - COLO2'!$B:CA,78,FALSE),"N/A")</f>
        <v>1</v>
      </c>
      <c r="DL94" s="84">
        <f>IFERROR(VLOOKUP($B94,'LOD 400 - COLO2'!$B:CD,81,FALSE),"N/A")</f>
        <v>1</v>
      </c>
      <c r="DM94" s="85">
        <f>IFERROR(VLOOKUP($B94,'LOD 400 - COLO2'!$B:CG,84,FALSE),"N/A")</f>
        <v>1</v>
      </c>
      <c r="DN94" s="84">
        <f>IFERROR(VLOOKUP($B94,'LOD 400 - COLO2'!$B:CJ,87,FALSE),"N/A")</f>
        <v>1</v>
      </c>
      <c r="DO94" s="85">
        <f>IFERROR(VLOOKUP($B94,'LOD 400 - COLO2'!$B:CM,90,FALSE),"N/A")</f>
        <v>1</v>
      </c>
      <c r="DP94" s="84">
        <f>IFERROR(VLOOKUP($B94,'LOD 400 - COLO2'!$B:CP,93,FALSE),"N/A")</f>
        <v>1</v>
      </c>
      <c r="DQ94" s="84">
        <f>IFERROR(VLOOKUP($B94,'LOD 400 - COLO2'!$B:CS,96,FALSE),"N/A")</f>
        <v>1</v>
      </c>
      <c r="DR94" s="84">
        <f>IFERROR(VLOOKUP($B94,'LOD 400 - COLO2'!$B:CV,99,FALSE),"N/A")</f>
        <v>1</v>
      </c>
      <c r="DS94" s="84">
        <f>IFERROR(VLOOKUP($B94,'LOD 400 - COLO2'!$B:CY,102,FALSE),"N/A")</f>
        <v>1</v>
      </c>
      <c r="DT94" s="84">
        <f>IFERROR(VLOOKUP($B94,'LOD 400 - COLO2'!$B:DB,105,FALSE),"N/A")</f>
        <v>1</v>
      </c>
      <c r="DU94" s="84">
        <f>IFERROR(VLOOKUP($B94,'LOD 400 - COLO2'!$B:DE,108,FALSE),"N/A")</f>
        <v>1</v>
      </c>
      <c r="DV94" s="84">
        <f>IFERROR(VLOOKUP($B94,'LOD 400 - COLO2'!$B:DH,111,FALSE),"N/A")</f>
        <v>1</v>
      </c>
      <c r="DW94" s="84">
        <f>IFERROR(VLOOKUP($B94,'LOD 400 - COLO2'!$B:DK,114,FALSE),"N/A")</f>
        <v>1</v>
      </c>
      <c r="DX94" s="84">
        <f>IFERROR(VLOOKUP($B94,'LOD 400 - COLO2'!$B:DN,117,FALSE),"N/A")</f>
        <v>1</v>
      </c>
      <c r="DY94" s="91">
        <f>IFERROR(__xludf.DUMMYFUNCTION("IFERROR(
  MAX(FILTER(CQ94:DW94, ISNUMBER(CQ94:DW94))),
  DW94
)"),1.0)</f>
        <v>1</v>
      </c>
      <c r="DZ94" s="92">
        <f>IFERROR(VLOOKUP($B94,'LOD 400 - COLO3'!B:S,18,FALSE),"N/A")</f>
        <v>0</v>
      </c>
      <c r="EA94" s="84">
        <f>IFERROR(VLOOKUP($B94,'LOD 400 - COLO3'!B:V,21,FALSE),"N/A")</f>
        <v>0</v>
      </c>
      <c r="EB94" s="84">
        <f>IFERROR(VLOOKUP($B94,'LOD 400 - COLO3'!B:Y,24,FALSE),"N/A")</f>
        <v>0</v>
      </c>
      <c r="EC94" s="84">
        <f>IFERROR(VLOOKUP($B94,'LOD 400 - COLO3'!B:AB,27,FALSE),"N/A")</f>
        <v>0</v>
      </c>
      <c r="ED94" s="85">
        <f>IFERROR(VLOOKUP($B94,'LOD 400 - COLO3'!B:AE,30,FALSE),"N/A")</f>
        <v>1</v>
      </c>
      <c r="EE94" s="84">
        <f>IFERROR(VLOOKUP($B94,'LOD 400 - COLO3'!B:AH,33,FALSE),"N/A")</f>
        <v>1</v>
      </c>
      <c r="EF94" s="84">
        <f>IFERROR(VLOOKUP($B94,'LOD 400 - COLO3'!B:AK,36,FALSE),"N/A")</f>
        <v>1</v>
      </c>
      <c r="EG94" s="109">
        <f>IFERROR(VLOOKUP($B94,'LOD 400 - COLO3'!B:AN,39,FALSE),"N/A")</f>
        <v>1</v>
      </c>
      <c r="EH94" s="94">
        <f>IFERROR(VLOOKUP($B94,'LOD 400 - COLO3'!B:AQ,42,FALSE),"N/A")</f>
        <v>1</v>
      </c>
      <c r="EI94" s="94">
        <f>IFERROR(VLOOKUP($B94,'LOD 400 - COLO3'!B:AT,45,FALSE),"N/A")</f>
        <v>1</v>
      </c>
      <c r="EJ94" s="94">
        <f>IFERROR(VLOOKUP($B94,'LOD 400 - COLO3'!B:AW,48,FALSE),"N/A")</f>
        <v>1</v>
      </c>
      <c r="EK94" s="94">
        <f>IFERROR(VLOOKUP($B94,'LOD 400 - COLO3'!B:AZ,51,FALSE),"N/A")</f>
        <v>1</v>
      </c>
      <c r="EL94" s="94">
        <f>IFERROR(VLOOKUP($B94,'LOD 400 - COLO3'!B:BC,54,FALSE),"N/A")</f>
        <v>1</v>
      </c>
      <c r="EM94" s="94">
        <f>IFERROR(VLOOKUP($B94,'LOD 400 - COLO3'!B:BF,57,FALSE),"N/A")</f>
        <v>1</v>
      </c>
      <c r="EN94" s="94">
        <f>IFERROR(VLOOKUP($B94,'LOD 400 - COLO3'!B:BI,60,FALSE),"N/A")</f>
        <v>1</v>
      </c>
      <c r="EO94" s="94">
        <f>IFERROR(VLOOKUP($B94,'LOD 400 - COLO3'!B:BL,63,FALSE),"N/A")</f>
        <v>1</v>
      </c>
      <c r="EP94" s="86">
        <f>IFERROR(__xludf.DUMMYFUNCTION("IFERROR(
  MAX(FILTER(DZ94:EO94, ISNUMBER(DZ94:EO94))),
  EO94
)"),1.0)</f>
        <v>1</v>
      </c>
      <c r="EQ94" s="95">
        <f>IFERROR(VLOOKUP($B94,'LOD 400 - COLO4'!B:S,18,FALSE),"N/A")</f>
        <v>0</v>
      </c>
      <c r="ER94" s="96">
        <f>IFERROR(__xludf.DUMMYFUNCTION("IFERROR(
  MAX(FILTER(EQ94, ISNUMBER(EQ94))),
  EQ94
)"),0.0)</f>
        <v>0</v>
      </c>
      <c r="ES94" s="79" t="str">
        <f>IFERROR(VLOOKUP($B94,'LOD 400 - SITE'!B:S,18,FALSE),"N/A")</f>
        <v>N/A</v>
      </c>
      <c r="ET94" s="80" t="str">
        <f>IFERROR(VLOOKUP($B94,'LOD 400 - SITE'!B:V,21,FALSE),"N/A")</f>
        <v>N/A</v>
      </c>
      <c r="EU94" s="97" t="str">
        <f>IFERROR(VLOOKUP($B94,'LOD 400 - SITE'!$B:Y,24,FALSE),"N/A")</f>
        <v>N/A</v>
      </c>
      <c r="EV94" s="80" t="str">
        <f>IFERROR(VLOOKUP($B94,'LOD 400 - SITE'!$B:AB,27,FALSE),"N/A")</f>
        <v>N/A</v>
      </c>
      <c r="EW94" s="81" t="str">
        <f>IFERROR(VLOOKUP($B94,'LOD 400 - SITE'!$B:AE,30,FALSE),"N/A")</f>
        <v>N/A</v>
      </c>
      <c r="EX94" s="87" t="str">
        <f>IFERROR(VLOOKUP($B94,'LOD 400 - SITE'!$B:AH,33,FALSE),"N/A")</f>
        <v>N/A</v>
      </c>
      <c r="EY94" s="87" t="str">
        <f>IFERROR(VLOOKUP($B94,'LOD 400 - SITE'!$B:AK,36,FALSE),"N/A")</f>
        <v>N/A</v>
      </c>
      <c r="EZ94" s="80" t="str">
        <f>IFERROR(VLOOKUP($B94,'LOD 400 - SITE'!$B:AN,39,FALSE),"N/A")</f>
        <v>N/A</v>
      </c>
      <c r="FA94" s="82" t="str">
        <f>IFERROR(VLOOKUP($B94,'LOD 400 - SITE'!$B:AQ,42,FALSE),"N/A")</f>
        <v>N/A</v>
      </c>
      <c r="FB94" s="88" t="str">
        <f>IFERROR(VLOOKUP($B94,'LOD 400 - SITE'!$B:AT,45,FALSE),"N/A")</f>
        <v>N/A</v>
      </c>
      <c r="FC94" s="84" t="str">
        <f>IFERROR(VLOOKUP($B94,'LOD 400 - SITE'!$B:AW,48,FALSE),"N/A")</f>
        <v>N/A</v>
      </c>
      <c r="FD94" s="84" t="str">
        <f>IFERROR(VLOOKUP($B94,'LOD 400 - SITE'!$B:AZ,51,FALSE),"N/A")</f>
        <v>N/A</v>
      </c>
      <c r="FE94" s="84" t="str">
        <f>IFERROR(VLOOKUP($B94,'LOD 400 - SITE'!$B:BC,54,FALSE),"N/A")</f>
        <v>N/A</v>
      </c>
      <c r="FF94" s="84" t="str">
        <f>IFERROR(VLOOKUP($B94,'LOD 400 - SITE'!$B:BF,57,FALSE),"N/A")</f>
        <v>N/A</v>
      </c>
      <c r="FG94" s="84" t="str">
        <f>IFERROR(VLOOKUP($B94,'LOD 400 - SITE'!$B:BI,60,FALSE),"N/A")</f>
        <v>N/A</v>
      </c>
      <c r="FH94" s="84" t="str">
        <f>IFERROR(VLOOKUP($B94,'LOD 400 - SITE'!$B:BL,63,FALSE),"N/A")</f>
        <v>N/A</v>
      </c>
      <c r="FI94" s="84" t="str">
        <f>IFERROR(VLOOKUP($B94,'LOD 400 - SITE'!$B:BO,66,FALSE),"N/A")</f>
        <v>N/A</v>
      </c>
      <c r="FJ94" s="84" t="str">
        <f>IFERROR(VLOOKUP($B94,'LOD 400 - SITE'!$B:BR,69,FALSE),"N/A")</f>
        <v>N/A</v>
      </c>
      <c r="FK94" s="84" t="str">
        <f>IFERROR(VLOOKUP($B94,'LOD 400 - SITE'!$B:BU,72,FALSE),"N/A")</f>
        <v>N/A</v>
      </c>
      <c r="FL94" s="84" t="str">
        <f>IFERROR(VLOOKUP($B94,'LOD 400 - SITE'!$B:BX,75,FALSE),"N/A")</f>
        <v>N/A</v>
      </c>
      <c r="FM94" s="84" t="str">
        <f>IFERROR(VLOOKUP($B94,'LOD 400 - SITE'!$B:CA,78,FALSE),"N/A")</f>
        <v>N/A</v>
      </c>
      <c r="FN94" s="85" t="str">
        <f>IFERROR(VLOOKUP($B94,'LOD 400 - SITE'!$B:CD,81,FALSE),"N/A")</f>
        <v>N/A</v>
      </c>
      <c r="FO94" s="84" t="str">
        <f>IFERROR(VLOOKUP($B94,'LOD 400 - SITE'!$B:CG,84,FALSE),"N/A")</f>
        <v>N/A</v>
      </c>
      <c r="FP94" s="85" t="str">
        <f>IFERROR(VLOOKUP($B94,'LOD 400 - SITE'!$B:CJ,87,FALSE),"N/A")</f>
        <v>N/A</v>
      </c>
      <c r="FQ94" s="84" t="str">
        <f>IFERROR(VLOOKUP($B94,'LOD 400 - SITE'!$B:CM,90,FALSE),"N/A")</f>
        <v>N/A</v>
      </c>
      <c r="FR94" s="84" t="str">
        <f>IFERROR(VLOOKUP($B94,'LOD 400 - SITE'!$B:CP,93,FALSE),"N/A")</f>
        <v>N/A</v>
      </c>
      <c r="FS94" s="84" t="str">
        <f>IFERROR(VLOOKUP($B94,'LOD 400 - SITE'!$B:CS,96,FALSE),"N/A")</f>
        <v>N/A</v>
      </c>
      <c r="FT94" s="84" t="str">
        <f>IFERROR(VLOOKUP($B94,'LOD 400 - SITE'!$B:CV,99,FALSE),"N/A")</f>
        <v>N/A</v>
      </c>
      <c r="FU94" s="84" t="str">
        <f>IFERROR(VLOOKUP($B94,'LOD 400 - SITE'!$B:CY,102,FALSE),"N/A")</f>
        <v>N/A</v>
      </c>
      <c r="FV94" s="84" t="str">
        <f>IFERROR(VLOOKUP($B94,'LOD 400 - SITE'!$B:DB,105,FALSE),"N/A")</f>
        <v>N/A</v>
      </c>
      <c r="FW94" s="84" t="str">
        <f>IFERROR(VLOOKUP($B94,'LOD 400 - SITE'!$B:DE,108,FALSE),"N/A")</f>
        <v>N/A</v>
      </c>
      <c r="FX94" s="84" t="str">
        <f>IFERROR(VLOOKUP($B94,'LOD 400 - SITE'!$B:DH,111,FALSE),"N/A")</f>
        <v>N/A</v>
      </c>
      <c r="FY94" s="84" t="str">
        <f>IFERROR(VLOOKUP($B94,'LOD 400 - SITE'!$B:DK,114,FALSE),"N/A")</f>
        <v>N/A</v>
      </c>
      <c r="FZ94" s="96" t="str">
        <f>IFERROR(__xludf.DUMMYFUNCTION("IFERROR(
  MAX(FILTER(ES94:FY94, ISNUMBER(ES94:FY94))),
  FY94
)"),"N/A")</f>
        <v>N/A</v>
      </c>
      <c r="GA94" s="80" t="str">
        <f>IFERROR(VLOOKUP($B94,'LOD 400 - UTLS'!B:S,18,FALSE),"N/A")</f>
        <v>N/A</v>
      </c>
      <c r="GB94" s="98" t="str">
        <f>IFERROR(VLOOKUP($B94,'LOD 400 - UTLS'!B:V,21,FALSE),"N/A")</f>
        <v>N/A</v>
      </c>
      <c r="GC94" s="81" t="str">
        <f>IFERROR(VLOOKUP($B94,'LOD 400 - UTLS'!B:Y,24,FALSE),"N/A")</f>
        <v>N/A</v>
      </c>
      <c r="GD94" s="87" t="str">
        <f>IFERROR(VLOOKUP($B94,'LOD 400 - UTLS'!$B:AB,27,FALSE),"N/A")</f>
        <v>N/A</v>
      </c>
      <c r="GE94" s="80" t="str">
        <f>IFERROR(VLOOKUP($B94,'LOD 400 - UTLS'!$B:AE,30,FALSE),"N/A")</f>
        <v>N/A</v>
      </c>
      <c r="GF94" s="82" t="str">
        <f>IFERROR(VLOOKUP($B94,'LOD 400 - UTLS'!$B:AH,33,FALSE),"N/A")</f>
        <v>N/A</v>
      </c>
      <c r="GG94" s="88" t="str">
        <f>IFERROR(VLOOKUP($B94,'LOD 400 - UTLS'!$B:AK,36,FALSE),"N/A")</f>
        <v>N/A</v>
      </c>
      <c r="GH94" s="84" t="str">
        <f>IFERROR(VLOOKUP($B94,'LOD 400 - UTLS'!$B:AN,39,FALSE),"N/A")</f>
        <v>N/A</v>
      </c>
      <c r="GI94" s="84" t="str">
        <f>IFERROR(VLOOKUP($B94,'LOD 400 - UTLS'!$B:AQ,42,FALSE),"N/A")</f>
        <v>N/A</v>
      </c>
      <c r="GJ94" s="84" t="str">
        <f>IFERROR(VLOOKUP($B94,'LOD 400 - UTLS'!$B:AT,45,FALSE),"N/A")</f>
        <v>N/A</v>
      </c>
      <c r="GK94" s="84" t="str">
        <f>IFERROR(VLOOKUP($B94,'LOD 400 - UTLS'!$B:AW,48,FALSE),"N/A")</f>
        <v>N/A</v>
      </c>
      <c r="GL94" s="84" t="str">
        <f>IFERROR(VLOOKUP($B94,'LOD 400 - UTLS'!$B:AZ,51,FALSE),"N/A")</f>
        <v>N/A</v>
      </c>
      <c r="GM94" s="84" t="str">
        <f>IFERROR(VLOOKUP($B94,'LOD 400 - UTLS'!$B:BC,54,FALSE),"N/A")</f>
        <v>N/A</v>
      </c>
      <c r="GN94" s="84" t="str">
        <f>IFERROR(VLOOKUP($B94,'LOD 400 - UTLS'!$B:BF,57,FALSE),"N/A")</f>
        <v>N/A</v>
      </c>
      <c r="GO94" s="84" t="str">
        <f>IFERROR(VLOOKUP($B94,'LOD 400 - UTLS'!$B:BI,60,FALSE),"N/A")</f>
        <v>N/A</v>
      </c>
      <c r="GP94" s="84" t="str">
        <f>IFERROR(VLOOKUP($B94,'LOD 400 - UTLS'!$B:BL,63,FALSE),"N/A")</f>
        <v>N/A</v>
      </c>
      <c r="GQ94" s="84" t="str">
        <f>IFERROR(VLOOKUP($B94,'LOD 400 - UTLS'!$B:BO,66,FALSE),"N/A")</f>
        <v>N/A</v>
      </c>
      <c r="GR94" s="84" t="str">
        <f>IFERROR(VLOOKUP($B94,'LOD 400 - UTLS'!$B:BR,69,FALSE),"N/A")</f>
        <v>N/A</v>
      </c>
      <c r="GS94" s="85" t="str">
        <f>IFERROR(VLOOKUP($B94,'LOD 400 - UTLS'!$B:BU,72,FALSE),"N/A")</f>
        <v>N/A</v>
      </c>
      <c r="GT94" s="84" t="str">
        <f>IFERROR(VLOOKUP($B94,'LOD 400 - UTLS'!$B:BX,75,FALSE),"N/A")</f>
        <v>N/A</v>
      </c>
      <c r="GU94" s="85" t="str">
        <f>IFERROR(VLOOKUP($B94,'LOD 400 - UTLS'!$B:CA,78,FALSE),"N/A")</f>
        <v>N/A</v>
      </c>
      <c r="GV94" s="84" t="str">
        <f>IFERROR(VLOOKUP($B94,'LOD 400 - UTLS'!$B:CD,81,FALSE),"N/A")</f>
        <v>N/A</v>
      </c>
      <c r="GW94" s="84" t="str">
        <f>IFERROR(VLOOKUP($B94,'LOD 400 - UTLS'!$B:CG,84,FALSE),"N/A")</f>
        <v>N/A</v>
      </c>
      <c r="GX94" s="84" t="str">
        <f>IFERROR(VLOOKUP($B94,'LOD 400 - UTLS'!$B:CJ,87,FALSE),"N/A")</f>
        <v>N/A</v>
      </c>
      <c r="GY94" s="84" t="str">
        <f>IFERROR(VLOOKUP($B94,'LOD 400 - UTLS'!$B:CM,90,FALSE),"N/A")</f>
        <v>N/A</v>
      </c>
      <c r="GZ94" s="84" t="str">
        <f>IFERROR(VLOOKUP($B94,'LOD 400 - UTLS'!$B:CP,93,FALSE),"N/A")</f>
        <v>N/A</v>
      </c>
      <c r="HA94" s="84" t="str">
        <f>IFERROR(VLOOKUP($B94,'LOD 400 - UTLS'!$B:CS,96,FALSE),"N/A")</f>
        <v>N/A</v>
      </c>
      <c r="HB94" s="84" t="str">
        <f>IFERROR(VLOOKUP($B94,'LOD 400 - UTLS'!$B:CV,99,FALSE),"N/A")</f>
        <v>N/A</v>
      </c>
      <c r="HC94" s="84" t="str">
        <f>IFERROR(VLOOKUP($B94,'LOD 400 - UTLS'!$B:CY,102,FALSE),"N/A")</f>
        <v>N/A</v>
      </c>
      <c r="HD94" s="84" t="str">
        <f>IFERROR(VLOOKUP($B94,'LOD 400 - UTLS'!$B:DB,105,FALSE),"N/A")</f>
        <v>N/A</v>
      </c>
      <c r="HE94" s="96" t="str">
        <f>IFERROR(__xludf.DUMMYFUNCTION("IFERROR(
  MAX(FILTER(GA94:HD94, ISNUMBER(GA94:HD94))),
  HD94
)"),"N/A")</f>
        <v>N/A</v>
      </c>
      <c r="HF94" s="99"/>
      <c r="HG94" s="99"/>
      <c r="HH94" s="99"/>
      <c r="HI94" s="99"/>
      <c r="HJ94" s="99"/>
      <c r="HK94" s="99"/>
    </row>
    <row r="95" ht="15.0" customHeight="1" outlineLevel="1">
      <c r="A95" s="53">
        <v>99.0</v>
      </c>
      <c r="B95" s="100" t="s">
        <v>276</v>
      </c>
      <c r="C95" s="100" t="s">
        <v>277</v>
      </c>
      <c r="D95" s="64" t="str">
        <f t="shared" si="17"/>
        <v>SITE</v>
      </c>
      <c r="E95" s="111" t="s">
        <v>275</v>
      </c>
      <c r="F95" s="102"/>
      <c r="G95" s="114" t="s">
        <v>270</v>
      </c>
      <c r="H95" s="116"/>
      <c r="I95" s="68" t="str">
        <f>IFERROR(VLOOKUP($C92:C108,'R22 RELATÓRIO ACC'!B:F,5,FALSE),"NOT PUBLISHED")</f>
        <v>V13</v>
      </c>
      <c r="J95" s="69" t="str">
        <f>IFERROR(VLOOKUP($C92:C108,'R22 RELATÓRIO ACC'!B:P,15,FALSE),"NOT PUBLISHED")</f>
        <v>12/05/2026</v>
      </c>
      <c r="K95" s="70" t="str">
        <f>IFERROR(VLOOKUP($B92:B108,'RELATÓRIO ACC'!B:F,5,FALSE),"NOT PUBLISHED")</f>
        <v>V1</v>
      </c>
      <c r="L95" s="71" t="str">
        <f>IFERROR(VLOOKUP($B92:B108,'RELATÓRIO ACC'!B:P,15,FALSE),"NOT PUBLISHED")</f>
        <v>15/05/2026</v>
      </c>
      <c r="M95" s="72" t="str">
        <f>IF(OR($D95="UTLS",$D95="GUAR",$D95="STIR",$D95="PUMP",$D95="SITE"),
   VLOOKUP($B95,'LOD 400 - SITE'!B:M,12,FALSE),
   VLOOKUP($B95,'LOD 400 - ADMN'!B:M,12,FALSE)
)</f>
        <v>V8</v>
      </c>
      <c r="N95" s="105">
        <f>IF(OR($D95="UTLS",$D95="GUAR",$D95="STIR",$D95="PUMP",$D95="SITE"),
   VLOOKUP($B95,'LOD 400 - SITE'!B:N,13,FALSE),
   VLOOKUP($B95,'LOD 400 - ADMN'!B:N,13,FALSE)
)</f>
        <v>46038</v>
      </c>
      <c r="O95" s="106" t="str">
        <f>IF(OR($D95="UTLS",$D95="GUAR",$D95="STIR",$D95="PUMP",$D95="SITE"),
   VLOOKUP($B95,'LOD 400 - SITE'!B:O,14,FALSE),
   VLOOKUP($B95,'LOD 400 - ADMN'!B:O,14,FALSE)
)</f>
        <v>R22</v>
      </c>
      <c r="P95" s="107" t="str">
        <f>IF(OR($D95="C345",$D95="C12A",$D95="DATA"),
   VLOOKUP($B95,'LOD 400 - COLO3'!B:M,12,FALSE),"N/A")</f>
        <v>N/A</v>
      </c>
      <c r="Q95" s="108" t="str">
        <f>IF(OR($D95="C345",$D95="C12A",$D95="DATA"),
   VLOOKUP($B95,'LOD 400 - COLO3'!B:N,13,FALSE),"N/A")</f>
        <v>N/A</v>
      </c>
      <c r="R95" s="75" t="str">
        <f>IF(OR($D95="C345",$D95="C12A",$D95="DATA"),
   VLOOKUP($B95,'LOD 400 - COLO3'!B:O,14,FALSE),"N/A")</f>
        <v>N/A</v>
      </c>
      <c r="S95" s="76" t="str">
        <f>IF(OR($D95="C345",$D95="C12A",$D95="DATA"),
   VLOOKUP($B95,'LOD 400 - COLO4'!B:N,12,FALSE),"N/A")</f>
        <v>N/A</v>
      </c>
      <c r="T95" s="76" t="str">
        <f>IF(OR($D95="C345",$D95="C12A",$D95="DATA"),
   VLOOKUP($B95,'LOD 400 - COLO4'!B:N,13,FALSE),"N/A")</f>
        <v>N/A</v>
      </c>
      <c r="U95" s="76" t="str">
        <f>IF(OR($D95="C345",$D95="C12A",$D95="DATA"),
   VLOOKUP($B95,'LOD 400 - COLO4'!B:N,13,FALSE),"N/A")</f>
        <v>N/A</v>
      </c>
      <c r="V95" s="77" t="str">
        <f>IF(OR($D95="UTLS",$D95="GUAR",$D95="STIR",$D95="PUMP",$D95="SITE"),
   VLOOKUP($B95,'LOD 400 - UTLS'!B:M,12,FALSE),"N/A")</f>
        <v>V8</v>
      </c>
      <c r="W95" s="78">
        <f>IF(OR($D95="UTLS",$D95="GUAR",$D95="STIR",$D95="PUMP",$D95="SITE"),
   VLOOKUP($B95,'LOD 400 - UTLS'!B:N,13,FALSE),"N/A")</f>
        <v>46038</v>
      </c>
      <c r="X95" s="108" t="str">
        <f>IF(OR($D95="UTLS",$D95="GUAR",$D95="STIR",$D95="PUMP",$D95="SITE"),
   VLOOKUP($B95,'LOD 400 - UTLS'!B:O,14,FALSE),"N/A")</f>
        <v>R22</v>
      </c>
      <c r="Y95" s="79" t="str">
        <f>IFERROR(VLOOKUP($B95,'LOD 400 - ADMN'!B:S,18,FALSE),"N/A")</f>
        <v>N/A</v>
      </c>
      <c r="Z95" s="79" t="str">
        <f>IFERROR(VLOOKUP($B95,'LOD 400 - ADMN'!B:V,21,FALSE),"N/A")</f>
        <v>N/A</v>
      </c>
      <c r="AA95" s="79" t="str">
        <f>IFERROR(VLOOKUP($B95,'LOD 400 - ADMN'!$B:Y,24,FALSE),"N/A")</f>
        <v>N/A</v>
      </c>
      <c r="AB95" s="80" t="str">
        <f>IFERROR(VLOOKUP($B95,'LOD 400 - ADMN'!$B:AB,27,FALSE),"N/A")</f>
        <v>N/A</v>
      </c>
      <c r="AC95" s="81" t="str">
        <f>IFERROR(VLOOKUP($B95,'LOD 400 - ADMN'!$B:AE,30,FALSE),"N/A")</f>
        <v>N/A</v>
      </c>
      <c r="AD95" s="81" t="str">
        <f>IFERROR(VLOOKUP($B95,'LOD 400 - ADMN'!$B:AH,33,FALSE),"N/A")</f>
        <v>N/A</v>
      </c>
      <c r="AE95" s="80" t="str">
        <f>IFERROR(VLOOKUP($B95,'LOD 400 - ADMN'!$B:AK,36,FALSE),"N/A")</f>
        <v>N/A</v>
      </c>
      <c r="AF95" s="82" t="str">
        <f>IFERROR(VLOOKUP($B95,'LOD 400 - ADMN'!$B:AN,39,FALSE),"N/A")</f>
        <v>N/A</v>
      </c>
      <c r="AG95" s="83" t="str">
        <f>IFERROR(VLOOKUP($B95,'LOD 400 - ADMN'!$B:AQ,42,FALSE),"N/A")</f>
        <v>N/A</v>
      </c>
      <c r="AH95" s="84" t="str">
        <f>IFERROR(VLOOKUP($B95,'LOD 400 - ADMN'!$B:AT,45,FALSE),"N/A")</f>
        <v>N/A</v>
      </c>
      <c r="AI95" s="85" t="str">
        <f>IFERROR(VLOOKUP($B95,'LOD 400 - ADMN'!$B:AW,48,FALSE),"N/A")</f>
        <v>N/A</v>
      </c>
      <c r="AJ95" s="85" t="str">
        <f>IFERROR(VLOOKUP($B95,'LOD 400 - ADMN'!$B:AZ,51,FALSE),"N/A")</f>
        <v>N/A</v>
      </c>
      <c r="AK95" s="84" t="str">
        <f>IFERROR(VLOOKUP($B95,'LOD 400 - ADMN'!$B:BC,54,FALSE),"N/A")</f>
        <v>N/A</v>
      </c>
      <c r="AL95" s="84" t="str">
        <f>IFERROR(VLOOKUP($B95,'LOD 400 - ADMN'!$B:BF,57,FALSE),"N/A")</f>
        <v>N/A</v>
      </c>
      <c r="AM95" s="84" t="str">
        <f>IFERROR(VLOOKUP($B95,'LOD 400 - ADMN'!$B:BI,60,FALSE),"N/A")</f>
        <v>N/A</v>
      </c>
      <c r="AN95" s="84" t="str">
        <f>IFERROR(VLOOKUP($B95,'LOD 400 - ADMN'!$B:BL,63,FALSE),"N/A")</f>
        <v>N/A</v>
      </c>
      <c r="AO95" s="84" t="str">
        <f>IFERROR(VLOOKUP($B95,'LOD 400 - ADMN'!$B:BO,66,FALSE),"N/A")</f>
        <v>N/A</v>
      </c>
      <c r="AP95" s="84" t="str">
        <f>IFERROR(VLOOKUP($B95,'LOD 400 - ADMN'!$B:BR,69,FALSE),"N/A")</f>
        <v>N/A</v>
      </c>
      <c r="AQ95" s="84" t="str">
        <f>IFERROR(VLOOKUP($B95,'LOD 400 - ADMN'!$B:BU,72,FALSE),"N/A")</f>
        <v>N/A</v>
      </c>
      <c r="AR95" s="84" t="str">
        <f>IFERROR(VLOOKUP($B95,'LOD 400 - ADMN'!$B:BX,75,FALSE),"N/A")</f>
        <v>N/A</v>
      </c>
      <c r="AS95" s="84" t="str">
        <f>IFERROR(VLOOKUP($B95,'LOD 400 - ADMN'!$B:CA,78,FALSE),"N/A")</f>
        <v>N/A</v>
      </c>
      <c r="AT95" s="84" t="str">
        <f>IFERROR(VLOOKUP($B95,'LOD 400 - ADMN'!$B:CD,81,FALSE),"N/A")</f>
        <v>N/A</v>
      </c>
      <c r="AU95" s="85" t="str">
        <f>IFERROR(VLOOKUP($B95,'LOD 400 - ADMN'!$B:CG,84,FALSE),"N/A")</f>
        <v>N/A</v>
      </c>
      <c r="AV95" s="84" t="str">
        <f>IFERROR(VLOOKUP($B95,'LOD 400 - ADMN'!$B:CJ,87,FALSE),"N/A")</f>
        <v>N/A</v>
      </c>
      <c r="AW95" s="85" t="str">
        <f>IFERROR(VLOOKUP($B95,'LOD 400 - ADMN'!$B:CM,90,FALSE),"N/A")</f>
        <v>N/A</v>
      </c>
      <c r="AX95" s="84" t="str">
        <f>IFERROR(VLOOKUP($B95,'LOD 400 - ADMN'!$B:CP,93,FALSE),"N/A")</f>
        <v>N/A</v>
      </c>
      <c r="AY95" s="84" t="str">
        <f>IFERROR(VLOOKUP($B95,'LOD 400 - ADMN'!$B:CS,96,FALSE),"N/A")</f>
        <v>N/A</v>
      </c>
      <c r="AZ95" s="84" t="str">
        <f>IFERROR(VLOOKUP($B95,'LOD 400 - ADMN'!$B:CV,99,FALSE),"N/A")</f>
        <v>N/A</v>
      </c>
      <c r="BA95" s="84" t="str">
        <f>IFERROR(VLOOKUP($B95,'LOD 400 - ADMN'!$B:CY,102,FALSE),"N/A")</f>
        <v>N/A</v>
      </c>
      <c r="BB95" s="84" t="str">
        <f>IFERROR(VLOOKUP($B95,'LOD 400 - ADMN'!$B:DB,105,FALSE),"N/A")</f>
        <v>N/A</v>
      </c>
      <c r="BC95" s="84" t="str">
        <f>IFERROR(VLOOKUP($B95,'LOD 400 - ADMN'!$B:DE,108,FALSE),"N/A")</f>
        <v>N/A</v>
      </c>
      <c r="BD95" s="84" t="str">
        <f>IFERROR(VLOOKUP($B95,'LOD 400 - ADMN'!$B:DH,111,FALSE),"N/A")</f>
        <v>N/A</v>
      </c>
      <c r="BE95" s="84" t="str">
        <f>IFERROR(VLOOKUP($B95,'LOD 400 - ADMN'!$B:DK,114,FALSE),"N/A")</f>
        <v>N/A</v>
      </c>
      <c r="BF95" s="84" t="str">
        <f>IFERROR(VLOOKUP($B95,'LOD 400 - ADMN'!$B:DN,117,FALSE),"N/A")</f>
        <v>N/A</v>
      </c>
      <c r="BG95" s="86" t="str">
        <f>IFERROR(__xludf.DUMMYFUNCTION("IFERROR(
  MAX(FILTER(Y95:BF95, ISNUMBER(Y95:BF95))),
  BF95
)"),"N/A")</f>
        <v>N/A</v>
      </c>
      <c r="BH95" s="79" t="str">
        <f>IFERROR(VLOOKUP($B95,'LOD 400 - COLO1'!B:S,18,FALSE),"N/A")</f>
        <v>N/A</v>
      </c>
      <c r="BI95" s="79" t="str">
        <f>IFERROR(VLOOKUP($B95,'LOD 400 - COLO1'!B:V,21,FALSE),"N/A")</f>
        <v>N/A</v>
      </c>
      <c r="BJ95" s="79" t="str">
        <f>IFERROR(VLOOKUP($B95,'LOD 400 - COLO1'!$B:Y,24,FALSE),"N/A")</f>
        <v>N/A</v>
      </c>
      <c r="BK95" s="87" t="str">
        <f>IFERROR(VLOOKUP($B95,'LOD 400 - COLO1'!$B:AB,27,FALSE),"N/A")</f>
        <v>N/A</v>
      </c>
      <c r="BL95" s="80" t="str">
        <f>IFERROR(VLOOKUP($B95,'LOD 400 - COLO1'!$B:AE,30,FALSE),"N/A")</f>
        <v>N/A</v>
      </c>
      <c r="BM95" s="81" t="str">
        <f>IFERROR(VLOOKUP($B95,'LOD 400 - COLO1'!$B:AH,33,FALSE),"N/A")</f>
        <v>N/A</v>
      </c>
      <c r="BN95" s="87" t="str">
        <f>IFERROR(VLOOKUP($B95,'LOD 400 - COLO1'!$B:AK,36,FALSE),"N/A")</f>
        <v>N/A</v>
      </c>
      <c r="BO95" s="83" t="str">
        <f>IFERROR(VLOOKUP($B95,'LOD 400 - COLO1'!$B:AN,39,FALSE),"N/A")</f>
        <v>N/A</v>
      </c>
      <c r="BP95" s="88" t="str">
        <f>IFERROR(VLOOKUP($B95,'LOD 400 - COLO1'!$B:AQ,42,FALSE),"N/A")</f>
        <v>N/A</v>
      </c>
      <c r="BQ95" s="84" t="str">
        <f>IFERROR(VLOOKUP($B95,'LOD 400 - COLO1'!$B:AT,45,FALSE),"N/A")</f>
        <v>N/A</v>
      </c>
      <c r="BR95" s="85" t="str">
        <f>IFERROR(VLOOKUP($B95,'LOD 400 - COLO1'!$B:AW,48,FALSE),"N/A")</f>
        <v>N/A</v>
      </c>
      <c r="BS95" s="84" t="str">
        <f>IFERROR(VLOOKUP($B95,'LOD 400 - COLO1'!$B:AZ,51,FALSE),"N/A")</f>
        <v>N/A</v>
      </c>
      <c r="BT95" s="84" t="str">
        <f>IFERROR(VLOOKUP($B95,'LOD 400 - COLO1'!$B:BC,54,FALSE),"N/A")</f>
        <v>N/A</v>
      </c>
      <c r="BU95" s="84" t="str">
        <f>IFERROR(VLOOKUP($B95,'LOD 400 - COLO1'!$B:BF,57,FALSE),"N/A")</f>
        <v>N/A</v>
      </c>
      <c r="BV95" s="84" t="str">
        <f>IFERROR(VLOOKUP($B95,'LOD 400 - COLO1'!$B:BI,60,FALSE),"N/A")</f>
        <v>N/A</v>
      </c>
      <c r="BW95" s="84" t="str">
        <f>IFERROR(VLOOKUP($B95,'LOD 400 - COLO1'!$B:BL,63,FALSE),"N/A")</f>
        <v>N/A</v>
      </c>
      <c r="BX95" s="84" t="str">
        <f>IFERROR(VLOOKUP($B95,'LOD 400 - COLO1'!$B:BO,66,FALSE),"N/A")</f>
        <v>N/A</v>
      </c>
      <c r="BY95" s="84" t="str">
        <f>IFERROR(VLOOKUP($B95,'LOD 400 - COLO1'!$B:BR,69,FALSE),"N/A")</f>
        <v>N/A</v>
      </c>
      <c r="BZ95" s="84" t="str">
        <f>IFERROR(VLOOKUP($B95,'LOD 400 - COLO1'!$B:BU,72,FALSE),"N/A")</f>
        <v>N/A</v>
      </c>
      <c r="CA95" s="84" t="str">
        <f>IFERROR(VLOOKUP($B95,'LOD 400 - COLO1'!$B:BX,75,FALSE),"N/A")</f>
        <v>N/A</v>
      </c>
      <c r="CB95" s="84" t="str">
        <f>IFERROR(VLOOKUP($B95,'LOD 400 - COLO1'!$B:CA,78,FALSE),"N/A")</f>
        <v>N/A</v>
      </c>
      <c r="CC95" s="84" t="str">
        <f>IFERROR(VLOOKUP($B95,'LOD 400 - COLO1'!$B:CD,81,FALSE),"N/A")</f>
        <v>N/A</v>
      </c>
      <c r="CD95" s="85" t="str">
        <f>IFERROR(VLOOKUP($B95,'LOD 400 - COLO1'!$B:CG,84,FALSE),"N/A")</f>
        <v>N/A</v>
      </c>
      <c r="CE95" s="84" t="str">
        <f>IFERROR(VLOOKUP($B95,'LOD 400 - COLO1'!$B:CJ,87,FALSE),"N/A")</f>
        <v>N/A</v>
      </c>
      <c r="CF95" s="85" t="str">
        <f>IFERROR(VLOOKUP($B95,'LOD 400 - COLO1'!$B:CM,90,FALSE),"N/A")</f>
        <v>N/A</v>
      </c>
      <c r="CG95" s="84" t="str">
        <f>IFERROR(VLOOKUP($B95,'LOD 400 - COLO1'!$B:CP,93,FALSE),"N/A")</f>
        <v>N/A</v>
      </c>
      <c r="CH95" s="84" t="str">
        <f>IFERROR(VLOOKUP($B95,'LOD 400 - COLO1'!$B:CS,96,FALSE),"N/A")</f>
        <v>N/A</v>
      </c>
      <c r="CI95" s="84" t="str">
        <f>IFERROR(VLOOKUP($B95,'LOD 400 - COLO1'!$B:CV,99,FALSE),"N/A")</f>
        <v>N/A</v>
      </c>
      <c r="CJ95" s="84" t="str">
        <f>IFERROR(VLOOKUP($B95,'LOD 400 - COLO1'!$B:CY,102,FALSE),"N/A")</f>
        <v>N/A</v>
      </c>
      <c r="CK95" s="84" t="str">
        <f>IFERROR(VLOOKUP($B95,'LOD 400 - COLO1'!$B:DB,105,FALSE),"N/A")</f>
        <v>N/A</v>
      </c>
      <c r="CL95" s="84" t="str">
        <f>IFERROR(VLOOKUP($B95,'LOD 400 - COLO1'!$B:DE,108,FALSE),"N/A")</f>
        <v>N/A</v>
      </c>
      <c r="CM95" s="84" t="str">
        <f>IFERROR(VLOOKUP($B95,'LOD 400 - COLO1'!$B:DH,111,FALSE),"N/A")</f>
        <v>N/A</v>
      </c>
      <c r="CN95" s="84" t="str">
        <f>IFERROR(VLOOKUP($B95,'LOD 400 - COLO1'!$B:DK,114,FALSE),"N/A")</f>
        <v>N/A</v>
      </c>
      <c r="CO95" s="84" t="str">
        <f>IFERROR(VLOOKUP($B95,'LOD 400 - COLO1'!$B:DN,117,FALSE),"N/A")</f>
        <v>N/A</v>
      </c>
      <c r="CP95" s="86" t="str">
        <f>IFERROR(__xludf.DUMMYFUNCTION("IFERROR(
  MAX(FILTER(BH95:CO95, ISNUMBER(BH95:CO95))),
  CO95
)"),"N/A")</f>
        <v>N/A</v>
      </c>
      <c r="CQ95" s="89" t="str">
        <f>IFERROR(VLOOKUP($B95,'LOD 400 - COLO2'!B:S,18,FALSE),"N/A")</f>
        <v>N/A</v>
      </c>
      <c r="CR95" s="79" t="str">
        <f>IFERROR(VLOOKUP($B95,'LOD 400 - COLO2'!B:V,21,FALSE),"N/A")</f>
        <v>N/A</v>
      </c>
      <c r="CS95" s="79" t="str">
        <f>IFERROR(VLOOKUP($B95,'LOD 400 - COLO2'!$B:Y,24,FALSE),"N/A")</f>
        <v>N/A</v>
      </c>
      <c r="CT95" s="80" t="str">
        <f>IFERROR(VLOOKUP($B95,'LOD 400 - COLO2'!$B:DQ,27,FALSE),"N/A")</f>
        <v>N/A</v>
      </c>
      <c r="CU95" s="90" t="str">
        <f>IFERROR(VLOOKUP($B95,'LOD 400 - COLO2'!$B:AE,30,FALSE),"N/A")</f>
        <v>N/A</v>
      </c>
      <c r="CV95" s="81" t="str">
        <f>IFERROR(VLOOKUP($B95,'LOD 400 - COLO2'!$B:AH,33,FALSE),"N/A")</f>
        <v>N/A</v>
      </c>
      <c r="CW95" s="90" t="str">
        <f>IFERROR(VLOOKUP($B95,'LOD 400 - COLO2'!$B:AK,36,FALSE),"N/A")</f>
        <v>N/A</v>
      </c>
      <c r="CX95" s="85" t="str">
        <f>IFERROR(VLOOKUP($B95,'LOD 400 - COLO2'!$B:AN,39,FALSE),"N/A")</f>
        <v>N/A</v>
      </c>
      <c r="CY95" s="88" t="str">
        <f>IFERROR(VLOOKUP($B95,'LOD 400 - COLO2'!$B:AQ,42,FALSE),"N/A")</f>
        <v>N/A</v>
      </c>
      <c r="CZ95" s="84" t="str">
        <f>IFERROR(VLOOKUP($B95,'LOD 400 - COLO2'!$B:AT,45,FALSE),"N/A")</f>
        <v>N/A</v>
      </c>
      <c r="DA95" s="85" t="str">
        <f>IFERROR(VLOOKUP($B95,'LOD 400 - COLO2'!$B:AW,48,FALSE),"N/A")</f>
        <v>N/A</v>
      </c>
      <c r="DB95" s="84" t="str">
        <f>IFERROR(VLOOKUP($B95,'LOD 400 - COLO2'!$B:AZ,51,FALSE),"N/A")</f>
        <v>N/A</v>
      </c>
      <c r="DC95" s="84" t="str">
        <f>IFERROR(VLOOKUP($B95,'LOD 400 - COLO2'!$B:BC,54,FALSE),"N/A")</f>
        <v>N/A</v>
      </c>
      <c r="DD95" s="84" t="str">
        <f>IFERROR(VLOOKUP($B95,'LOD 400 - COLO2'!$B:BF,57,FALSE),"N/A")</f>
        <v>N/A</v>
      </c>
      <c r="DE95" s="84" t="str">
        <f>IFERROR(VLOOKUP($B95,'LOD 400 - COLO2'!$B:BI,60,FALSE),"N/A")</f>
        <v>N/A</v>
      </c>
      <c r="DF95" s="84" t="str">
        <f>IFERROR(VLOOKUP($B95,'LOD 400 - COLO2'!$B:BL,63,FALSE),"N/A")</f>
        <v>N/A</v>
      </c>
      <c r="DG95" s="84" t="str">
        <f>IFERROR(VLOOKUP($B95,'LOD 400 - COLO2'!$B:BO,66,FALSE),"N/A")</f>
        <v>N/A</v>
      </c>
      <c r="DH95" s="84" t="str">
        <f>IFERROR(VLOOKUP($B95,'LOD 400 - COLO2'!$B:BR,69,FALSE),"N/A")</f>
        <v>N/A</v>
      </c>
      <c r="DI95" s="84" t="str">
        <f>IFERROR(VLOOKUP($B95,'LOD 400 - COLO2'!$B:BU,72,FALSE),"N/A")</f>
        <v>N/A</v>
      </c>
      <c r="DJ95" s="84" t="str">
        <f>IFERROR(VLOOKUP($B95,'LOD 400 - COLO2'!$B:BX,75,FALSE),"N/A")</f>
        <v>N/A</v>
      </c>
      <c r="DK95" s="84" t="str">
        <f>IFERROR(VLOOKUP($B95,'LOD 400 - COLO2'!$B:CA,78,FALSE),"N/A")</f>
        <v>N/A</v>
      </c>
      <c r="DL95" s="84" t="str">
        <f>IFERROR(VLOOKUP($B95,'LOD 400 - COLO2'!$B:CD,81,FALSE),"N/A")</f>
        <v>N/A</v>
      </c>
      <c r="DM95" s="85" t="str">
        <f>IFERROR(VLOOKUP($B95,'LOD 400 - COLO2'!$B:CG,84,FALSE),"N/A")</f>
        <v>N/A</v>
      </c>
      <c r="DN95" s="84" t="str">
        <f>IFERROR(VLOOKUP($B95,'LOD 400 - COLO2'!$B:CJ,87,FALSE),"N/A")</f>
        <v>N/A</v>
      </c>
      <c r="DO95" s="85" t="str">
        <f>IFERROR(VLOOKUP($B95,'LOD 400 - COLO2'!$B:CM,90,FALSE),"N/A")</f>
        <v>N/A</v>
      </c>
      <c r="DP95" s="84" t="str">
        <f>IFERROR(VLOOKUP($B95,'LOD 400 - COLO2'!$B:CP,93,FALSE),"N/A")</f>
        <v>N/A</v>
      </c>
      <c r="DQ95" s="84" t="str">
        <f>IFERROR(VLOOKUP($B95,'LOD 400 - COLO2'!$B:CS,96,FALSE),"N/A")</f>
        <v>N/A</v>
      </c>
      <c r="DR95" s="84" t="str">
        <f>IFERROR(VLOOKUP($B95,'LOD 400 - COLO2'!$B:CV,99,FALSE),"N/A")</f>
        <v>N/A</v>
      </c>
      <c r="DS95" s="84" t="str">
        <f>IFERROR(VLOOKUP($B95,'LOD 400 - COLO2'!$B:CY,102,FALSE),"N/A")</f>
        <v>N/A</v>
      </c>
      <c r="DT95" s="84" t="str">
        <f>IFERROR(VLOOKUP($B95,'LOD 400 - COLO2'!$B:DB,105,FALSE),"N/A")</f>
        <v>N/A</v>
      </c>
      <c r="DU95" s="84" t="str">
        <f>IFERROR(VLOOKUP($B95,'LOD 400 - COLO2'!$B:DE,108,FALSE),"N/A")</f>
        <v>N/A</v>
      </c>
      <c r="DV95" s="84" t="str">
        <f>IFERROR(VLOOKUP($B95,'LOD 400 - COLO2'!$B:DH,111,FALSE),"N/A")</f>
        <v>N/A</v>
      </c>
      <c r="DW95" s="84" t="str">
        <f>IFERROR(VLOOKUP($B95,'LOD 400 - COLO2'!$B:DK,114,FALSE),"N/A")</f>
        <v>N/A</v>
      </c>
      <c r="DX95" s="84" t="str">
        <f>IFERROR(VLOOKUP($B95,'LOD 400 - COLO2'!$B:DN,117,FALSE),"N/A")</f>
        <v>N/A</v>
      </c>
      <c r="DY95" s="91" t="str">
        <f>IFERROR(__xludf.DUMMYFUNCTION("IFERROR(
  MAX(FILTER(CQ95:DW95, ISNUMBER(CQ95:DW95))),
  DW95
)"),"N/A")</f>
        <v>N/A</v>
      </c>
      <c r="DZ95" s="92" t="str">
        <f>IFERROR(VLOOKUP($B95,'LOD 400 - COLO3'!B:S,18,FALSE),"N/A")</f>
        <v>N/A</v>
      </c>
      <c r="EA95" s="84" t="str">
        <f>IFERROR(VLOOKUP($B95,'LOD 400 - COLO3'!B:V,21,FALSE),"N/A")</f>
        <v>N/A</v>
      </c>
      <c r="EB95" s="84" t="str">
        <f>IFERROR(VLOOKUP($B95,'LOD 400 - COLO3'!B:Y,24,FALSE),"N/A")</f>
        <v>N/A</v>
      </c>
      <c r="EC95" s="84" t="str">
        <f>IFERROR(VLOOKUP($B95,'LOD 400 - COLO3'!B:AB,27,FALSE),"N/A")</f>
        <v>N/A</v>
      </c>
      <c r="ED95" s="85" t="str">
        <f>IFERROR(VLOOKUP($B95,'LOD 400 - COLO3'!B:AE,30,FALSE),"N/A")</f>
        <v>N/A</v>
      </c>
      <c r="EE95" s="84" t="str">
        <f>IFERROR(VLOOKUP($B95,'LOD 400 - COLO3'!B:AH,33,FALSE),"N/A")</f>
        <v>N/A</v>
      </c>
      <c r="EF95" s="84" t="str">
        <f>IFERROR(VLOOKUP($B95,'LOD 400 - COLO3'!B:AK,36,FALSE),"N/A")</f>
        <v>N/A</v>
      </c>
      <c r="EG95" s="109" t="str">
        <f>IFERROR(VLOOKUP($B95,'LOD 400 - COLO3'!B:AN,39,FALSE),"N/A")</f>
        <v>N/A</v>
      </c>
      <c r="EH95" s="94" t="str">
        <f>IFERROR(VLOOKUP($B95,'LOD 400 - COLO3'!B:AQ,42,FALSE),"N/A")</f>
        <v>N/A</v>
      </c>
      <c r="EI95" s="94" t="str">
        <f>IFERROR(VLOOKUP($B95,'LOD 400 - COLO3'!B:AT,45,FALSE),"N/A")</f>
        <v>N/A</v>
      </c>
      <c r="EJ95" s="94" t="str">
        <f>IFERROR(VLOOKUP($B95,'LOD 400 - COLO3'!B:AW,48,FALSE),"N/A")</f>
        <v>N/A</v>
      </c>
      <c r="EK95" s="94" t="str">
        <f>IFERROR(VLOOKUP($B95,'LOD 400 - COLO3'!B:AZ,51,FALSE),"N/A")</f>
        <v>N/A</v>
      </c>
      <c r="EL95" s="94" t="str">
        <f>IFERROR(VLOOKUP($B95,'LOD 400 - COLO3'!B:BC,54,FALSE),"N/A")</f>
        <v>N/A</v>
      </c>
      <c r="EM95" s="94" t="str">
        <f>IFERROR(VLOOKUP($B95,'LOD 400 - COLO3'!B:BF,57,FALSE),"N/A")</f>
        <v>N/A</v>
      </c>
      <c r="EN95" s="94" t="str">
        <f>IFERROR(VLOOKUP($B95,'LOD 400 - COLO3'!B:BI,60,FALSE),"N/A")</f>
        <v>N/A</v>
      </c>
      <c r="EO95" s="94" t="str">
        <f>IFERROR(VLOOKUP($B95,'LOD 400 - COLO3'!B:BL,63,FALSE),"N/A")</f>
        <v>N/A</v>
      </c>
      <c r="EP95" s="86" t="str">
        <f>IFERROR(__xludf.DUMMYFUNCTION("IFERROR(
  MAX(FILTER(DZ95:EO95, ISNUMBER(DZ95:EO95))),
  EO95
)"),"N/A")</f>
        <v>N/A</v>
      </c>
      <c r="EQ95" s="95" t="str">
        <f>IFERROR(VLOOKUP($B95,'LOD 400 - COLO4'!B:S,18,FALSE),"N/A")</f>
        <v>N/A</v>
      </c>
      <c r="ER95" s="96" t="str">
        <f>IFERROR(__xludf.DUMMYFUNCTION("IFERROR(
  MAX(FILTER(EQ95, ISNUMBER(EQ95))),
  EQ95
)"),"N/A")</f>
        <v>N/A</v>
      </c>
      <c r="ES95" s="79">
        <f>IFERROR(VLOOKUP($B95,'LOD 400 - SITE'!B:S,18,FALSE),"N/A")</f>
        <v>0.01</v>
      </c>
      <c r="ET95" s="80" t="str">
        <f>IFERROR(VLOOKUP($B95,'LOD 400 - SITE'!B:V,21,FALSE),"N/A")</f>
        <v>OUTDATED</v>
      </c>
      <c r="EU95" s="97">
        <f>IFERROR(VLOOKUP($B95,'LOD 400 - SITE'!$B:Y,24,FALSE),"N/A")</f>
        <v>0.01</v>
      </c>
      <c r="EV95" s="80" t="str">
        <f>IFERROR(VLOOKUP($B95,'LOD 400 - SITE'!$B:AB,27,FALSE),"N/A")</f>
        <v>NEXT ROUND </v>
      </c>
      <c r="EW95" s="81">
        <f>IFERROR(VLOOKUP($B95,'LOD 400 - SITE'!$B:AE,30,FALSE),"N/A")</f>
        <v>0.62</v>
      </c>
      <c r="EX95" s="87" t="str">
        <f>IFERROR(VLOOKUP($B95,'LOD 400 - SITE'!$B:AH,33,FALSE),"N/A")</f>
        <v>NEXT ROUND </v>
      </c>
      <c r="EY95" s="87">
        <f>IFERROR(VLOOKUP($B95,'LOD 400 - SITE'!$B:AK,36,FALSE),"N/A")</f>
        <v>0.77</v>
      </c>
      <c r="EZ95" s="80" t="str">
        <f>IFERROR(VLOOKUP($B95,'LOD 400 - SITE'!$B:AN,39,FALSE),"N/A")</f>
        <v>NEXT ROUND </v>
      </c>
      <c r="FA95" s="82">
        <f>IFERROR(VLOOKUP($B95,'LOD 400 - SITE'!$B:AQ,42,FALSE),"N/A")</f>
        <v>1</v>
      </c>
      <c r="FB95" s="88">
        <f>IFERROR(VLOOKUP($B95,'LOD 400 - SITE'!$B:AT,45,FALSE),"N/A")</f>
        <v>1</v>
      </c>
      <c r="FC95" s="84">
        <f>IFERROR(VLOOKUP($B95,'LOD 400 - SITE'!$B:AW,48,FALSE),"N/A")</f>
        <v>1</v>
      </c>
      <c r="FD95" s="84">
        <f>IFERROR(VLOOKUP($B95,'LOD 400 - SITE'!$B:AZ,51,FALSE),"N/A")</f>
        <v>1</v>
      </c>
      <c r="FE95" s="84">
        <f>IFERROR(VLOOKUP($B95,'LOD 400 - SITE'!$B:BC,54,FALSE),"N/A")</f>
        <v>1</v>
      </c>
      <c r="FF95" s="84">
        <f>IFERROR(VLOOKUP($B95,'LOD 400 - SITE'!$B:BF,57,FALSE),"N/A")</f>
        <v>1</v>
      </c>
      <c r="FG95" s="84">
        <f>IFERROR(VLOOKUP($B95,'LOD 400 - SITE'!$B:BI,60,FALSE),"N/A")</f>
        <v>1</v>
      </c>
      <c r="FH95" s="84">
        <f>IFERROR(VLOOKUP($B95,'LOD 400 - SITE'!$B:BL,63,FALSE),"N/A")</f>
        <v>1</v>
      </c>
      <c r="FI95" s="84">
        <f>IFERROR(VLOOKUP($B95,'LOD 400 - SITE'!$B:BO,66,FALSE),"N/A")</f>
        <v>1</v>
      </c>
      <c r="FJ95" s="84">
        <f>IFERROR(VLOOKUP($B95,'LOD 400 - SITE'!$B:BR,69,FALSE),"N/A")</f>
        <v>1</v>
      </c>
      <c r="FK95" s="84">
        <f>IFERROR(VLOOKUP($B95,'LOD 400 - SITE'!$B:BU,72,FALSE),"N/A")</f>
        <v>1</v>
      </c>
      <c r="FL95" s="84">
        <f>IFERROR(VLOOKUP($B95,'LOD 400 - SITE'!$B:BX,75,FALSE),"N/A")</f>
        <v>1</v>
      </c>
      <c r="FM95" s="84">
        <f>IFERROR(VLOOKUP($B95,'LOD 400 - SITE'!$B:CA,78,FALSE),"N/A")</f>
        <v>1</v>
      </c>
      <c r="FN95" s="85">
        <f>IFERROR(VLOOKUP($B95,'LOD 400 - SITE'!$B:CD,81,FALSE),"N/A")</f>
        <v>1</v>
      </c>
      <c r="FO95" s="84">
        <f>IFERROR(VLOOKUP($B95,'LOD 400 - SITE'!$B:CG,84,FALSE),"N/A")</f>
        <v>1</v>
      </c>
      <c r="FP95" s="85">
        <f>IFERROR(VLOOKUP($B95,'LOD 400 - SITE'!$B:CJ,87,FALSE),"N/A")</f>
        <v>1</v>
      </c>
      <c r="FQ95" s="84">
        <f>IFERROR(VLOOKUP($B95,'LOD 400 - SITE'!$B:CM,90,FALSE),"N/A")</f>
        <v>1</v>
      </c>
      <c r="FR95" s="84">
        <f>IFERROR(VLOOKUP($B95,'LOD 400 - SITE'!$B:CP,93,FALSE),"N/A")</f>
        <v>1</v>
      </c>
      <c r="FS95" s="84">
        <f>IFERROR(VLOOKUP($B95,'LOD 400 - SITE'!$B:CS,96,FALSE),"N/A")</f>
        <v>1</v>
      </c>
      <c r="FT95" s="84">
        <f>IFERROR(VLOOKUP($B95,'LOD 400 - SITE'!$B:CV,99,FALSE),"N/A")</f>
        <v>1</v>
      </c>
      <c r="FU95" s="84">
        <f>IFERROR(VLOOKUP($B95,'LOD 400 - SITE'!$B:CY,102,FALSE),"N/A")</f>
        <v>1</v>
      </c>
      <c r="FV95" s="84">
        <f>IFERROR(VLOOKUP($B95,'LOD 400 - SITE'!$B:DB,105,FALSE),"N/A")</f>
        <v>1</v>
      </c>
      <c r="FW95" s="84">
        <f>IFERROR(VLOOKUP($B95,'LOD 400 - SITE'!$B:DE,108,FALSE),"N/A")</f>
        <v>1</v>
      </c>
      <c r="FX95" s="84">
        <f>IFERROR(VLOOKUP($B95,'LOD 400 - SITE'!$B:DH,111,FALSE),"N/A")</f>
        <v>1</v>
      </c>
      <c r="FY95" s="84">
        <f>IFERROR(VLOOKUP($B95,'LOD 400 - SITE'!$B:DK,114,FALSE),"N/A")</f>
        <v>1</v>
      </c>
      <c r="FZ95" s="96">
        <f>IFERROR(__xludf.DUMMYFUNCTION("IFERROR(
  MAX(FILTER(ES95:FY95, ISNUMBER(ES95:FY95))),
  FY95
)"),1.0)</f>
        <v>1</v>
      </c>
      <c r="GA95" s="80">
        <f>IFERROR(VLOOKUP($B95,'LOD 400 - UTLS'!B:S,18,FALSE),"N/A")</f>
        <v>0.01</v>
      </c>
      <c r="GB95" s="98" t="str">
        <f>IFERROR(VLOOKUP($B95,'LOD 400 - UTLS'!B:V,21,FALSE),"N/A")</f>
        <v>NEXT ROUND</v>
      </c>
      <c r="GC95" s="81">
        <f>IFERROR(VLOOKUP($B95,'LOD 400 - UTLS'!B:Y,24,FALSE),"N/A")</f>
        <v>0.77</v>
      </c>
      <c r="GD95" s="87" t="str">
        <f>IFERROR(VLOOKUP($B95,'LOD 400 - UTLS'!$B:AB,27,FALSE),"N/A")</f>
        <v>IMPROPER</v>
      </c>
      <c r="GE95" s="80" t="str">
        <f>IFERROR(VLOOKUP($B95,'LOD 400 - UTLS'!$B:AE,30,FALSE),"N/A")</f>
        <v>NEXT ROUND</v>
      </c>
      <c r="GF95" s="82">
        <f>IFERROR(VLOOKUP($B95,'LOD 400 - UTLS'!$B:AH,33,FALSE),"N/A")</f>
        <v>1</v>
      </c>
      <c r="GG95" s="88">
        <f>IFERROR(VLOOKUP($B95,'LOD 400 - UTLS'!$B:AK,36,FALSE),"N/A")</f>
        <v>1</v>
      </c>
      <c r="GH95" s="84">
        <f>IFERROR(VLOOKUP($B95,'LOD 400 - UTLS'!$B:AN,39,FALSE),"N/A")</f>
        <v>1</v>
      </c>
      <c r="GI95" s="84">
        <f>IFERROR(VLOOKUP($B95,'LOD 400 - UTLS'!$B:AQ,42,FALSE),"N/A")</f>
        <v>1</v>
      </c>
      <c r="GJ95" s="84">
        <f>IFERROR(VLOOKUP($B95,'LOD 400 - UTLS'!$B:AT,45,FALSE),"N/A")</f>
        <v>1</v>
      </c>
      <c r="GK95" s="84">
        <f>IFERROR(VLOOKUP($B95,'LOD 400 - UTLS'!$B:AW,48,FALSE),"N/A")</f>
        <v>1</v>
      </c>
      <c r="GL95" s="84">
        <f>IFERROR(VLOOKUP($B95,'LOD 400 - UTLS'!$B:AZ,51,FALSE),"N/A")</f>
        <v>1</v>
      </c>
      <c r="GM95" s="84">
        <f>IFERROR(VLOOKUP($B95,'LOD 400 - UTLS'!$B:BC,54,FALSE),"N/A")</f>
        <v>1</v>
      </c>
      <c r="GN95" s="84">
        <f>IFERROR(VLOOKUP($B95,'LOD 400 - UTLS'!$B:BF,57,FALSE),"N/A")</f>
        <v>1</v>
      </c>
      <c r="GO95" s="84">
        <f>IFERROR(VLOOKUP($B95,'LOD 400 - UTLS'!$B:BI,60,FALSE),"N/A")</f>
        <v>1</v>
      </c>
      <c r="GP95" s="84">
        <f>IFERROR(VLOOKUP($B95,'LOD 400 - UTLS'!$B:BL,63,FALSE),"N/A")</f>
        <v>1</v>
      </c>
      <c r="GQ95" s="84">
        <f>IFERROR(VLOOKUP($B95,'LOD 400 - UTLS'!$B:BO,66,FALSE),"N/A")</f>
        <v>1</v>
      </c>
      <c r="GR95" s="84">
        <f>IFERROR(VLOOKUP($B95,'LOD 400 - UTLS'!$B:BR,69,FALSE),"N/A")</f>
        <v>1</v>
      </c>
      <c r="GS95" s="85">
        <f>IFERROR(VLOOKUP($B95,'LOD 400 - UTLS'!$B:BU,72,FALSE),"N/A")</f>
        <v>1</v>
      </c>
      <c r="GT95" s="84">
        <f>IFERROR(VLOOKUP($B95,'LOD 400 - UTLS'!$B:BX,75,FALSE),"N/A")</f>
        <v>1</v>
      </c>
      <c r="GU95" s="85">
        <f>IFERROR(VLOOKUP($B95,'LOD 400 - UTLS'!$B:CA,78,FALSE),"N/A")</f>
        <v>1</v>
      </c>
      <c r="GV95" s="84">
        <f>IFERROR(VLOOKUP($B95,'LOD 400 - UTLS'!$B:CD,81,FALSE),"N/A")</f>
        <v>1</v>
      </c>
      <c r="GW95" s="84">
        <f>IFERROR(VLOOKUP($B95,'LOD 400 - UTLS'!$B:CG,84,FALSE),"N/A")</f>
        <v>1</v>
      </c>
      <c r="GX95" s="84">
        <f>IFERROR(VLOOKUP($B95,'LOD 400 - UTLS'!$B:CJ,87,FALSE),"N/A")</f>
        <v>1</v>
      </c>
      <c r="GY95" s="84">
        <f>IFERROR(VLOOKUP($B95,'LOD 400 - UTLS'!$B:CM,90,FALSE),"N/A")</f>
        <v>1</v>
      </c>
      <c r="GZ95" s="84">
        <f>IFERROR(VLOOKUP($B95,'LOD 400 - UTLS'!$B:CP,93,FALSE),"N/A")</f>
        <v>1</v>
      </c>
      <c r="HA95" s="84">
        <f>IFERROR(VLOOKUP($B95,'LOD 400 - UTLS'!$B:CS,96,FALSE),"N/A")</f>
        <v>1</v>
      </c>
      <c r="HB95" s="84">
        <f>IFERROR(VLOOKUP($B95,'LOD 400 - UTLS'!$B:CV,99,FALSE),"N/A")</f>
        <v>1</v>
      </c>
      <c r="HC95" s="84">
        <f>IFERROR(VLOOKUP($B95,'LOD 400 - UTLS'!$B:CY,102,FALSE),"N/A")</f>
        <v>1</v>
      </c>
      <c r="HD95" s="84">
        <f>IFERROR(VLOOKUP($B95,'LOD 400 - UTLS'!$B:DB,105,FALSE),"N/A")</f>
        <v>1</v>
      </c>
      <c r="HE95" s="96">
        <f>IFERROR(__xludf.DUMMYFUNCTION("IFERROR(
  MAX(FILTER(GA95:HD95, ISNUMBER(GA95:HD95))),
  HD95
)"),1.0)</f>
        <v>1</v>
      </c>
      <c r="HF95" s="99"/>
      <c r="HG95" s="99"/>
      <c r="HH95" s="99"/>
      <c r="HI95" s="99"/>
      <c r="HJ95" s="99"/>
      <c r="HK95" s="99"/>
    </row>
    <row r="96" ht="15.0" customHeight="1" outlineLevel="1">
      <c r="A96" s="53">
        <v>100.0</v>
      </c>
      <c r="B96" s="100" t="s">
        <v>278</v>
      </c>
      <c r="C96" s="100" t="s">
        <v>279</v>
      </c>
      <c r="D96" s="64" t="str">
        <f t="shared" si="17"/>
        <v>DATA</v>
      </c>
      <c r="E96" s="374" t="s">
        <v>280</v>
      </c>
      <c r="F96" s="374" t="s">
        <v>280</v>
      </c>
      <c r="G96" s="374" t="s">
        <v>280</v>
      </c>
      <c r="H96" s="116">
        <v>0.0</v>
      </c>
      <c r="I96" s="187" t="str">
        <f>IFERROR(VLOOKUP($C93:C108,'R22 RELATÓRIO ACC'!B:F,5,FALSE),"NOT PUBLISHED")</f>
        <v>V1</v>
      </c>
      <c r="J96" s="69" t="str">
        <f>IFERROR(VLOOKUP($C93:C108,'R22 RELATÓRIO ACC'!B:P,15,FALSE),"NOT PUBLISHED")</f>
        <v>05/05/2026</v>
      </c>
      <c r="K96" s="70" t="str">
        <f>IFERROR(VLOOKUP($B93:B108,'RELATÓRIO ACC'!B:F,5,FALSE),"NOT PUBLISHED")</f>
        <v>V3</v>
      </c>
      <c r="L96" s="71" t="str">
        <f>IFERROR(VLOOKUP($B93:B108,'RELATÓRIO ACC'!B:P,15,FALSE),"NOT PUBLISHED")</f>
        <v>20/06/2026</v>
      </c>
      <c r="M96" s="72" t="str">
        <f>IF(OR($D96="UTLS",$D96="GUAR",$D96="STIR",$D96="PUMP",$D96="SITE"),
   VLOOKUP($B96,'LOD 400 - SITE'!B:M,12,FALSE),
   VLOOKUP($B96,'LOD 400 - ADMN'!B:M,12,FALSE)
)</f>
        <v>V2</v>
      </c>
      <c r="N96" s="105">
        <f>IF(OR($D96="UTLS",$D96="GUAR",$D96="STIR",$D96="PUMP",$D96="SITE"),
   VLOOKUP($B96,'LOD 400 - SITE'!B:N,13,FALSE),
   VLOOKUP($B96,'LOD 400 - ADMN'!B:N,13,FALSE)
)</f>
        <v>46168</v>
      </c>
      <c r="O96" s="106" t="str">
        <f>IF(OR($D96="UTLS",$D96="GUAR",$D96="STIR",$D96="PUMP",$D96="SITE"),
   VLOOKUP($B96,'LOD 400 - SITE'!B:O,14,FALSE),
   VLOOKUP($B96,'LOD 400 - ADMN'!B:O,14,FALSE)
)</f>
        <v>R24</v>
      </c>
      <c r="P96" s="107" t="str">
        <f>IF(OR($D96="C345",$D96="C12A",$D96="DATA"),
   VLOOKUP($B96,'LOD 400 - COLO3'!B:M,12,FALSE),"N/A")</f>
        <v>V3</v>
      </c>
      <c r="Q96" s="108">
        <f>IF(OR($D96="C345",$D96="C12A",$D96="DATA"),
   VLOOKUP($B96,'LOD 400 - COLO3'!B:N,13,FALSE),"N/A")</f>
        <v>46193</v>
      </c>
      <c r="R96" s="75" t="str">
        <f>IF(OR($D96="C345",$D96="C12A",$D96="DATA"),
   VLOOKUP($B96,'LOD 400 - COLO3'!B:O,14,FALSE),"N/A")</f>
        <v>R22</v>
      </c>
      <c r="S96" s="76" t="str">
        <f>IF(OR($D96="C345",$D96="C12A",$D96="DATA"),
   VLOOKUP($B96,'LOD 400 - COLO4'!B:N,12,FALSE),"N/A")</f>
        <v>N/A</v>
      </c>
      <c r="T96" s="76" t="str">
        <f>IF(OR($D96="C345",$D96="C12A",$D96="DATA"),
   VLOOKUP($B96,'LOD 400 - COLO4'!B:N,13,FALSE),"N/A")</f>
        <v>N/A</v>
      </c>
      <c r="U96" s="76" t="str">
        <f>IF(OR($D96="C345",$D96="C12A",$D96="DATA"),
   VLOOKUP($B96,'LOD 400 - COLO4'!B:N,13,FALSE),"N/A")</f>
        <v>N/A</v>
      </c>
      <c r="V96" s="77" t="str">
        <f>IF(OR($D96="UTLS",$D96="GUAR",$D96="STIR",$D96="PUMP",$D96="SITE"),
   VLOOKUP($B96,'LOD 400 - UTLS'!B:M,12,FALSE),"N/A")</f>
        <v>N/A</v>
      </c>
      <c r="W96" s="78" t="str">
        <f>IF(OR($D96="UTLS",$D96="GUAR",$D96="STIR",$D96="PUMP",$D96="SITE"),
   VLOOKUP($B96,'LOD 400 - UTLS'!B:N,13,FALSE),"N/A")</f>
        <v>N/A</v>
      </c>
      <c r="X96" s="108" t="str">
        <f>IF(OR($D96="UTLS",$D96="GUAR",$D96="STIR",$D96="PUMP",$D96="SITE"),
   VLOOKUP($B96,'LOD 400 - UTLS'!B:O,14,FALSE),"N/A")</f>
        <v>N/A</v>
      </c>
      <c r="Y96" s="79" t="str">
        <f>IFERROR(VLOOKUP($B96,'LOD 400 - ADMN'!B:S,18,FALSE),"N/A")</f>
        <v>NOT PUBLISHED</v>
      </c>
      <c r="Z96" s="79" t="str">
        <f>IFERROR(VLOOKUP($B96,'LOD 400 - ADMN'!B:V,21,FALSE),"N/A")</f>
        <v>NOT PUBLISHED</v>
      </c>
      <c r="AA96" s="79" t="str">
        <f>IFERROR(VLOOKUP($B96,'LOD 400 - ADMN'!$B:Y,24,FALSE),"N/A")</f>
        <v>NOT PUBLISHED</v>
      </c>
      <c r="AB96" s="80" t="str">
        <f>IFERROR(VLOOKUP($B96,'LOD 400 - ADMN'!$B:AB,27,FALSE),"N/A")</f>
        <v>NOT PUBLISHED</v>
      </c>
      <c r="AC96" s="81" t="str">
        <f>IFERROR(VLOOKUP($B96,'LOD 400 - ADMN'!$B:AE,30,FALSE),"N/A")</f>
        <v>NOT PUBLISHED</v>
      </c>
      <c r="AD96" s="81" t="str">
        <f>IFERROR(VLOOKUP($B96,'LOD 400 - ADMN'!$B:AH,33,FALSE),"N/A")</f>
        <v>NOT PUBLISHED</v>
      </c>
      <c r="AE96" s="80" t="str">
        <f>IFERROR(VLOOKUP($B96,'LOD 400 - ADMN'!$B:AK,36,FALSE),"N/A")</f>
        <v>NOT PUBLISHED</v>
      </c>
      <c r="AF96" s="82" t="str">
        <f>IFERROR(VLOOKUP($B96,'LOD 400 - ADMN'!$B:AN,39,FALSE),"N/A")</f>
        <v>NOT PUBLISHED</v>
      </c>
      <c r="AG96" s="83" t="str">
        <f>IFERROR(VLOOKUP($B96,'LOD 400 - ADMN'!$B:AQ,42,FALSE),"N/A")</f>
        <v>NOT PUBLISHED</v>
      </c>
      <c r="AH96" s="84" t="str">
        <f>IFERROR(VLOOKUP($B96,'LOD 400 - ADMN'!$B:AT,45,FALSE),"N/A")</f>
        <v>NOT PUBLISHED</v>
      </c>
      <c r="AI96" s="85" t="str">
        <f>IFERROR(VLOOKUP($B96,'LOD 400 - ADMN'!$B:AW,48,FALSE),"N/A")</f>
        <v>NOT PUBLISHED</v>
      </c>
      <c r="AJ96" s="85" t="str">
        <f>IFERROR(VLOOKUP($B96,'LOD 400 - ADMN'!$B:AZ,51,FALSE),"N/A")</f>
        <v>NOT PUBLISHED</v>
      </c>
      <c r="AK96" s="84" t="str">
        <f>IFERROR(VLOOKUP($B96,'LOD 400 - ADMN'!$B:BC,54,FALSE),"N/A")</f>
        <v>NOT PUBLISHED</v>
      </c>
      <c r="AL96" s="84" t="str">
        <f>IFERROR(VLOOKUP($B96,'LOD 400 - ADMN'!$B:BF,57,FALSE),"N/A")</f>
        <v>NOT PUBLISHED</v>
      </c>
      <c r="AM96" s="84" t="str">
        <f>IFERROR(VLOOKUP($B96,'LOD 400 - ADMN'!$B:BI,60,FALSE),"N/A")</f>
        <v>NOT PUBLISHED</v>
      </c>
      <c r="AN96" s="84" t="str">
        <f>IFERROR(VLOOKUP($B96,'LOD 400 - ADMN'!$B:BL,63,FALSE),"N/A")</f>
        <v>NOT PUBLISHED</v>
      </c>
      <c r="AO96" s="84" t="str">
        <f>IFERROR(VLOOKUP($B96,'LOD 400 - ADMN'!$B:BO,66,FALSE),"N/A")</f>
        <v>NOT PUBLISHED</v>
      </c>
      <c r="AP96" s="84" t="str">
        <f>IFERROR(VLOOKUP($B96,'LOD 400 - ADMN'!$B:BR,69,FALSE),"N/A")</f>
        <v>NOT PUBLISHED</v>
      </c>
      <c r="AQ96" s="84" t="str">
        <f>IFERROR(VLOOKUP($B96,'LOD 400 - ADMN'!$B:BU,72,FALSE),"N/A")</f>
        <v>NOT PUBLISHED</v>
      </c>
      <c r="AR96" s="84" t="str">
        <f>IFERROR(VLOOKUP($B96,'LOD 400 - ADMN'!$B:BX,75,FALSE),"N/A")</f>
        <v>NOT PUBLISHED</v>
      </c>
      <c r="AS96" s="84" t="str">
        <f>IFERROR(VLOOKUP($B96,'LOD 400 - ADMN'!$B:CA,78,FALSE),"N/A")</f>
        <v>NOT PUBLISHED</v>
      </c>
      <c r="AT96" s="84" t="str">
        <f>IFERROR(VLOOKUP($B96,'LOD 400 - ADMN'!$B:CD,81,FALSE),"N/A")</f>
        <v>NOT PUBLISHED</v>
      </c>
      <c r="AU96" s="85" t="str">
        <f>IFERROR(VLOOKUP($B96,'LOD 400 - ADMN'!$B:CG,84,FALSE),"N/A")</f>
        <v>NOT PUBLISHED</v>
      </c>
      <c r="AV96" s="84" t="str">
        <f>IFERROR(VLOOKUP($B96,'LOD 400 - ADMN'!$B:CJ,87,FALSE),"N/A")</f>
        <v>NOT PUBLISHED</v>
      </c>
      <c r="AW96" s="85" t="str">
        <f>IFERROR(VLOOKUP($B96,'LOD 400 - ADMN'!$B:CM,90,FALSE),"N/A")</f>
        <v>N/A</v>
      </c>
      <c r="AX96" s="84" t="str">
        <f>IFERROR(VLOOKUP($B96,'LOD 400 - ADMN'!$B:CP,93,FALSE),"N/A")</f>
        <v>N/A</v>
      </c>
      <c r="AY96" s="84" t="str">
        <f>IFERROR(VLOOKUP($B96,'LOD 400 - ADMN'!$B:CS,96,FALSE),"N/A")</f>
        <v>N/A</v>
      </c>
      <c r="AZ96" s="84">
        <f>IFERROR(VLOOKUP($B96,'LOD 400 - ADMN'!$B:CV,99,FALSE),"N/A")</f>
        <v>0</v>
      </c>
      <c r="BA96" s="84" t="str">
        <f>IFERROR(VLOOKUP($B96,'LOD 400 - ADMN'!$B:CY,102,FALSE),"N/A")</f>
        <v>NEXT ROUND</v>
      </c>
      <c r="BB96" s="84">
        <f>IFERROR(VLOOKUP($B96,'LOD 400 - ADMN'!$B:DB,105,FALSE),"N/A")</f>
        <v>0.01</v>
      </c>
      <c r="BC96" s="84" t="str">
        <f>IFERROR(VLOOKUP($B96,'LOD 400 - ADMN'!$B:DE,108,FALSE),"N/A")</f>
        <v>NEXT ROUND</v>
      </c>
      <c r="BD96" s="84" t="str">
        <f>IFERROR(VLOOKUP($B96,'LOD 400 - ADMN'!$B:DH,111,FALSE),"N/A")</f>
        <v>NEXT ROUND</v>
      </c>
      <c r="BE96" s="84" t="str">
        <f>IFERROR(VLOOKUP($B96,'LOD 400 - ADMN'!$B:DK,114,FALSE),"N/A")</f>
        <v>NEXT ROUND</v>
      </c>
      <c r="BF96" s="84" t="str">
        <f>IFERROR(VLOOKUP($B96,'LOD 400 - ADMN'!$B:DN,117,FALSE),"N/A")</f>
        <v>ANALYSING</v>
      </c>
      <c r="BG96" s="86">
        <f>IFERROR(__xludf.DUMMYFUNCTION("IFERROR(
  MAX(FILTER(Y96:BF96, ISNUMBER(Y96:BF96))),
  BF96
)"),0.01)</f>
        <v>0.01</v>
      </c>
      <c r="BH96" s="79" t="str">
        <f>IFERROR(VLOOKUP($B96,'LOD 400 - COLO1'!B:S,18,FALSE),"N/A")</f>
        <v>NOT PUBLISHED</v>
      </c>
      <c r="BI96" s="79" t="str">
        <f>IFERROR(VLOOKUP($B96,'LOD 400 - COLO1'!B:V,21,FALSE),"N/A")</f>
        <v>NOT PUBLISHED</v>
      </c>
      <c r="BJ96" s="79" t="str">
        <f>IFERROR(VLOOKUP($B96,'LOD 400 - COLO1'!$B:Y,24,FALSE),"N/A")</f>
        <v>NOT PUBLISHED</v>
      </c>
      <c r="BK96" s="87" t="str">
        <f>IFERROR(VLOOKUP($B96,'LOD 400 - COLO1'!$B:AB,27,FALSE),"N/A")</f>
        <v>NOT PUBLISHED</v>
      </c>
      <c r="BL96" s="80" t="str">
        <f>IFERROR(VLOOKUP($B96,'LOD 400 - COLO1'!$B:AE,30,FALSE),"N/A")</f>
        <v>NOT PUBLISHED</v>
      </c>
      <c r="BM96" s="81" t="str">
        <f>IFERROR(VLOOKUP($B96,'LOD 400 - COLO1'!$B:AH,33,FALSE),"N/A")</f>
        <v>NOT PUBLISHED</v>
      </c>
      <c r="BN96" s="87" t="str">
        <f>IFERROR(VLOOKUP($B96,'LOD 400 - COLO1'!$B:AK,36,FALSE),"N/A")</f>
        <v>NOT PUBLISHED</v>
      </c>
      <c r="BO96" s="83" t="str">
        <f>IFERROR(VLOOKUP($B96,'LOD 400 - COLO1'!$B:AN,39,FALSE),"N/A")</f>
        <v>NOT PUBLISHED</v>
      </c>
      <c r="BP96" s="88" t="str">
        <f>IFERROR(VLOOKUP($B96,'LOD 400 - COLO1'!$B:AQ,42,FALSE),"N/A")</f>
        <v>NOT PUBLISHED</v>
      </c>
      <c r="BQ96" s="84" t="str">
        <f>IFERROR(VLOOKUP($B96,'LOD 400 - COLO1'!$B:AT,45,FALSE),"N/A")</f>
        <v>NOT PUBLISHED</v>
      </c>
      <c r="BR96" s="85" t="str">
        <f>IFERROR(VLOOKUP($B96,'LOD 400 - COLO1'!$B:AW,48,FALSE),"N/A")</f>
        <v>NOT PUBLISHED</v>
      </c>
      <c r="BS96" s="84" t="str">
        <f>IFERROR(VLOOKUP($B96,'LOD 400 - COLO1'!$B:AZ,51,FALSE),"N/A")</f>
        <v>NOT PUBLISHED</v>
      </c>
      <c r="BT96" s="84" t="str">
        <f>IFERROR(VLOOKUP($B96,'LOD 400 - COLO1'!$B:BC,54,FALSE),"N/A")</f>
        <v>NOT PUBLISHED</v>
      </c>
      <c r="BU96" s="84" t="str">
        <f>IFERROR(VLOOKUP($B96,'LOD 400 - COLO1'!$B:BF,57,FALSE),"N/A")</f>
        <v>NOT PUBLISHED</v>
      </c>
      <c r="BV96" s="84" t="str">
        <f>IFERROR(VLOOKUP($B96,'LOD 400 - COLO1'!$B:BI,60,FALSE),"N/A")</f>
        <v>NOT PUBLISHED</v>
      </c>
      <c r="BW96" s="84" t="str">
        <f>IFERROR(VLOOKUP($B96,'LOD 400 - COLO1'!$B:BL,63,FALSE),"N/A")</f>
        <v>NOT PUBLISHED</v>
      </c>
      <c r="BX96" s="84" t="str">
        <f>IFERROR(VLOOKUP($B96,'LOD 400 - COLO1'!$B:BO,66,FALSE),"N/A")</f>
        <v>NOT PUBLISHED</v>
      </c>
      <c r="BY96" s="84" t="str">
        <f>IFERROR(VLOOKUP($B96,'LOD 400 - COLO1'!$B:BR,69,FALSE),"N/A")</f>
        <v>NOT PUBLISHED</v>
      </c>
      <c r="BZ96" s="84" t="str">
        <f>IFERROR(VLOOKUP($B96,'LOD 400 - COLO1'!$B:BU,72,FALSE),"N/A")</f>
        <v>NOT PUBLISHED</v>
      </c>
      <c r="CA96" s="84" t="str">
        <f>IFERROR(VLOOKUP($B96,'LOD 400 - COLO1'!$B:BX,75,FALSE),"N/A")</f>
        <v>NOT PUBLISHED</v>
      </c>
      <c r="CB96" s="84" t="str">
        <f>IFERROR(VLOOKUP($B96,'LOD 400 - COLO1'!$B:CA,78,FALSE),"N/A")</f>
        <v>NOT PUBLISHED</v>
      </c>
      <c r="CC96" s="84" t="str">
        <f>IFERROR(VLOOKUP($B96,'LOD 400 - COLO1'!$B:CD,81,FALSE),"N/A")</f>
        <v>NOT PUBLISHED</v>
      </c>
      <c r="CD96" s="85" t="str">
        <f>IFERROR(VLOOKUP($B96,'LOD 400 - COLO1'!$B:CG,84,FALSE),"N/A")</f>
        <v>NOT PUBLISHED</v>
      </c>
      <c r="CE96" s="84" t="str">
        <f>IFERROR(VLOOKUP($B96,'LOD 400 - COLO1'!$B:CJ,87,FALSE),"N/A")</f>
        <v>NOT PUBLISHED</v>
      </c>
      <c r="CF96" s="85" t="str">
        <f>IFERROR(VLOOKUP($B96,'LOD 400 - COLO1'!$B:CM,90,FALSE),"N/A")</f>
        <v>N/A</v>
      </c>
      <c r="CG96" s="84" t="str">
        <f>IFERROR(VLOOKUP($B96,'LOD 400 - COLO1'!$B:CP,93,FALSE),"N/A")</f>
        <v>N/A</v>
      </c>
      <c r="CH96" s="84" t="str">
        <f>IFERROR(VLOOKUP($B96,'LOD 400 - COLO1'!$B:CS,96,FALSE),"N/A")</f>
        <v>N/A</v>
      </c>
      <c r="CI96" s="84">
        <f>IFERROR(VLOOKUP($B96,'LOD 400 - COLO1'!$B:CV,99,FALSE),"N/A")</f>
        <v>0</v>
      </c>
      <c r="CJ96" s="84" t="str">
        <f>IFERROR(VLOOKUP($B96,'LOD 400 - COLO1'!$B:CY,102,FALSE),"N/A")</f>
        <v>NEXT ROUND</v>
      </c>
      <c r="CK96" s="84" t="str">
        <f>IFERROR(VLOOKUP($B96,'LOD 400 - COLO1'!$B:DB,105,FALSE),"N/A")</f>
        <v>NEXT ROUND</v>
      </c>
      <c r="CL96" s="84">
        <f>IFERROR(VLOOKUP($B96,'LOD 400 - COLO1'!$B:DE,108,FALSE),"N/A")</f>
        <v>0.01</v>
      </c>
      <c r="CM96" s="84" t="str">
        <f>IFERROR(VLOOKUP($B96,'LOD 400 - COLO1'!$B:DH,111,FALSE),"N/A")</f>
        <v>OUTDATED</v>
      </c>
      <c r="CN96" s="84" t="str">
        <f>IFERROR(VLOOKUP($B96,'LOD 400 - COLO1'!$B:DK,114,FALSE),"N/A")</f>
        <v>OUTDATED</v>
      </c>
      <c r="CO96" s="84" t="str">
        <f>IFERROR(VLOOKUP($B96,'LOD 400 - COLO1'!$B:DN,117,FALSE),"N/A")</f>
        <v>OUTDATED</v>
      </c>
      <c r="CP96" s="86">
        <f>IFERROR(__xludf.DUMMYFUNCTION("IFERROR(
  MAX(FILTER(BH96:CO96, ISNUMBER(BH96:CO96))),
  CO96
)"),0.01)</f>
        <v>0.01</v>
      </c>
      <c r="CQ96" s="89" t="str">
        <f>IFERROR(VLOOKUP($B96,'LOD 400 - COLO2'!B:S,18,FALSE),"N/A")</f>
        <v>NOT PUBLISHED</v>
      </c>
      <c r="CR96" s="79" t="str">
        <f>IFERROR(VLOOKUP($B96,'LOD 400 - COLO2'!B:V,21,FALSE),"N/A")</f>
        <v>NOT PUBLISHED</v>
      </c>
      <c r="CS96" s="79" t="str">
        <f>IFERROR(VLOOKUP($B96,'LOD 400 - COLO2'!$B:Y,24,FALSE),"N/A")</f>
        <v>NOT PUBLISHED</v>
      </c>
      <c r="CT96" s="80" t="str">
        <f>IFERROR(VLOOKUP($B96,'LOD 400 - COLO2'!$B:DQ,27,FALSE),"N/A")</f>
        <v>NOT PUBLISHED</v>
      </c>
      <c r="CU96" s="90" t="str">
        <f>IFERROR(VLOOKUP($B96,'LOD 400 - COLO2'!$B:AE,30,FALSE),"N/A")</f>
        <v>NOT PUBLISHED</v>
      </c>
      <c r="CV96" s="81" t="str">
        <f>IFERROR(VLOOKUP($B96,'LOD 400 - COLO2'!$B:AH,33,FALSE),"N/A")</f>
        <v>NOT PUBLISHED</v>
      </c>
      <c r="CW96" s="90" t="str">
        <f>IFERROR(VLOOKUP($B96,'LOD 400 - COLO2'!$B:AK,36,FALSE),"N/A")</f>
        <v>NOT PUBLISHED</v>
      </c>
      <c r="CX96" s="85" t="str">
        <f>IFERROR(VLOOKUP($B96,'LOD 400 - COLO2'!$B:AN,39,FALSE),"N/A")</f>
        <v>NOT PUBLISHED</v>
      </c>
      <c r="CY96" s="88" t="str">
        <f>IFERROR(VLOOKUP($B96,'LOD 400 - COLO2'!$B:AQ,42,FALSE),"N/A")</f>
        <v>NOT PUBLISHED</v>
      </c>
      <c r="CZ96" s="84" t="str">
        <f>IFERROR(VLOOKUP($B96,'LOD 400 - COLO2'!$B:AT,45,FALSE),"N/A")</f>
        <v>NOT PUBLISHED</v>
      </c>
      <c r="DA96" s="85" t="str">
        <f>IFERROR(VLOOKUP($B96,'LOD 400 - COLO2'!$B:AW,48,FALSE),"N/A")</f>
        <v>NOT PUBLISHED</v>
      </c>
      <c r="DB96" s="84" t="str">
        <f>IFERROR(VLOOKUP($B96,'LOD 400 - COLO2'!$B:AZ,51,FALSE),"N/A")</f>
        <v>NOT PUBLISHED</v>
      </c>
      <c r="DC96" s="84" t="str">
        <f>IFERROR(VLOOKUP($B96,'LOD 400 - COLO2'!$B:BC,54,FALSE),"N/A")</f>
        <v>NOT PUBLISHED</v>
      </c>
      <c r="DD96" s="84" t="str">
        <f>IFERROR(VLOOKUP($B96,'LOD 400 - COLO2'!$B:BF,57,FALSE),"N/A")</f>
        <v>NOT PUBLISHED</v>
      </c>
      <c r="DE96" s="84" t="str">
        <f>IFERROR(VLOOKUP($B96,'LOD 400 - COLO2'!$B:BI,60,FALSE),"N/A")</f>
        <v>NOT PUBLISHED</v>
      </c>
      <c r="DF96" s="84" t="str">
        <f>IFERROR(VLOOKUP($B96,'LOD 400 - COLO2'!$B:BL,63,FALSE),"N/A")</f>
        <v>NOT PUBLISHED</v>
      </c>
      <c r="DG96" s="84" t="str">
        <f>IFERROR(VLOOKUP($B96,'LOD 400 - COLO2'!$B:BO,66,FALSE),"N/A")</f>
        <v>NOT PUBLISHED</v>
      </c>
      <c r="DH96" s="84" t="str">
        <f>IFERROR(VLOOKUP($B96,'LOD 400 - COLO2'!$B:BR,69,FALSE),"N/A")</f>
        <v>NOT PUBLISHED</v>
      </c>
      <c r="DI96" s="84" t="str">
        <f>IFERROR(VLOOKUP($B96,'LOD 400 - COLO2'!$B:BU,72,FALSE),"N/A")</f>
        <v>NOT PUBLISHED</v>
      </c>
      <c r="DJ96" s="84" t="str">
        <f>IFERROR(VLOOKUP($B96,'LOD 400 - COLO2'!$B:BX,75,FALSE),"N/A")</f>
        <v>NOT PUBLISHED</v>
      </c>
      <c r="DK96" s="84" t="str">
        <f>IFERROR(VLOOKUP($B96,'LOD 400 - COLO2'!$B:CA,78,FALSE),"N/A")</f>
        <v>NOT PUBLISHED</v>
      </c>
      <c r="DL96" s="84" t="str">
        <f>IFERROR(VLOOKUP($B96,'LOD 400 - COLO2'!$B:CD,81,FALSE),"N/A")</f>
        <v>NOT PUBLISHED</v>
      </c>
      <c r="DM96" s="85" t="str">
        <f>IFERROR(VLOOKUP($B96,'LOD 400 - COLO2'!$B:CG,84,FALSE),"N/A")</f>
        <v>NOT PUBLISHED</v>
      </c>
      <c r="DN96" s="84" t="str">
        <f>IFERROR(VLOOKUP($B96,'LOD 400 - COLO2'!$B:CJ,87,FALSE),"N/A")</f>
        <v>NOT PUBLISHED</v>
      </c>
      <c r="DO96" s="85" t="str">
        <f>IFERROR(VLOOKUP($B96,'LOD 400 - COLO2'!$B:CM,90,FALSE),"N/A")</f>
        <v>N/A</v>
      </c>
      <c r="DP96" s="84" t="str">
        <f>IFERROR(VLOOKUP($B96,'LOD 400 - COLO2'!$B:CP,93,FALSE),"N/A")</f>
        <v>N/A</v>
      </c>
      <c r="DQ96" s="84" t="str">
        <f>IFERROR(VLOOKUP($B96,'LOD 400 - COLO2'!$B:CS,96,FALSE),"N/A")</f>
        <v>N/A</v>
      </c>
      <c r="DR96" s="84">
        <f>IFERROR(VLOOKUP($B96,'LOD 400 - COLO2'!$B:CV,99,FALSE),"N/A")</f>
        <v>0</v>
      </c>
      <c r="DS96" s="84" t="str">
        <f>IFERROR(VLOOKUP($B96,'LOD 400 - COLO2'!$B:CY,102,FALSE),"N/A")</f>
        <v>NEXT ROUND</v>
      </c>
      <c r="DT96" s="84" t="str">
        <f>IFERROR(VLOOKUP($B96,'LOD 400 - COLO2'!$B:DB,105,FALSE),"N/A")</f>
        <v>NEXT ROUND</v>
      </c>
      <c r="DU96" s="84">
        <f>IFERROR(VLOOKUP($B96,'LOD 400 - COLO2'!$B:DE,108,FALSE),"N/A")</f>
        <v>0.01</v>
      </c>
      <c r="DV96" s="84" t="str">
        <f>IFERROR(VLOOKUP($B96,'LOD 400 - COLO2'!$B:DH,111,FALSE),"N/A")</f>
        <v>OUTDATED</v>
      </c>
      <c r="DW96" s="84" t="str">
        <f>IFERROR(VLOOKUP($B96,'LOD 400 - COLO2'!$B:DK,114,FALSE),"N/A")</f>
        <v>OUTDATED</v>
      </c>
      <c r="DX96" s="84" t="str">
        <f>IFERROR(VLOOKUP($B96,'LOD 400 - COLO2'!$B:DN,117,FALSE),"N/A")</f>
        <v>OUTDATED</v>
      </c>
      <c r="DY96" s="91">
        <f>IFERROR(__xludf.DUMMYFUNCTION("IFERROR(
  MAX(FILTER(CQ96:DW96, ISNUMBER(CQ96:DW96))),
  DW96
)"),0.01)</f>
        <v>0.01</v>
      </c>
      <c r="DZ96" s="92" t="str">
        <f>IFERROR(VLOOKUP($B96,'LOD 400 - COLO3'!B:S,18,FALSE),"N/A")</f>
        <v>NOT PUBLISHED</v>
      </c>
      <c r="EA96" s="84" t="str">
        <f>IFERROR(VLOOKUP($B96,'LOD 400 - COLO3'!B:V,21,FALSE),"N/A")</f>
        <v>NOT PUBLISHED</v>
      </c>
      <c r="EB96" s="84" t="str">
        <f>IFERROR(VLOOKUP($B96,'LOD 400 - COLO3'!B:Y,24,FALSE),"N/A")</f>
        <v>NOT PUBLISHED</v>
      </c>
      <c r="EC96" s="84" t="str">
        <f>IFERROR(VLOOKUP($B96,'LOD 400 - COLO3'!B:AB,27,FALSE),"N/A")</f>
        <v>NOT PUBLISHED</v>
      </c>
      <c r="ED96" s="85" t="str">
        <f>IFERROR(VLOOKUP($B96,'LOD 400 - COLO3'!B:AE,30,FALSE),"N/A")</f>
        <v>NOT PUBLISHED</v>
      </c>
      <c r="EE96" s="84" t="str">
        <f>IFERROR(VLOOKUP($B96,'LOD 400 - COLO3'!B:AH,33,FALSE),"N/A")</f>
        <v>NOT PUBLISHED</v>
      </c>
      <c r="EF96" s="84" t="str">
        <f>IFERROR(VLOOKUP($B96,'LOD 400 - COLO3'!B:AK,36,FALSE),"N/A")</f>
        <v>N/A</v>
      </c>
      <c r="EG96" s="109" t="str">
        <f>IFERROR(VLOOKUP($B96,'LOD 400 - COLO3'!B:AN,39,FALSE),"N/A")</f>
        <v>N/A</v>
      </c>
      <c r="EH96" s="94" t="str">
        <f>IFERROR(VLOOKUP($B96,'LOD 400 - COLO3'!B:AQ,42,FALSE),"N/A")</f>
        <v>N/A</v>
      </c>
      <c r="EI96" s="94">
        <f>IFERROR(VLOOKUP($B96,'LOD 400 - COLO3'!B:AT,45,FALSE),"N/A")</f>
        <v>0</v>
      </c>
      <c r="EJ96" s="94" t="str">
        <f>IFERROR(VLOOKUP($B96,'LOD 400 - COLO3'!B:AW,48,FALSE),"N/A")</f>
        <v>NEXT ROUND</v>
      </c>
      <c r="EK96" s="94" t="str">
        <f>IFERROR(VLOOKUP($B96,'LOD 400 - COLO3'!B:AZ,51,FALSE),"N/A")</f>
        <v>NEXT ROUND</v>
      </c>
      <c r="EL96" s="94">
        <f>IFERROR(VLOOKUP($B96,'LOD 400 - COLO3'!B:BC,54,FALSE),"N/A")</f>
        <v>0.01</v>
      </c>
      <c r="EM96" s="94" t="str">
        <f>IFERROR(VLOOKUP($B96,'LOD 400 - COLO3'!B:BF,57,FALSE),"N/A")</f>
        <v>OUTDATED</v>
      </c>
      <c r="EN96" s="94" t="str">
        <f>IFERROR(VLOOKUP($B96,'LOD 400 - COLO3'!B:BI,60,FALSE),"N/A")</f>
        <v>OUTDATED</v>
      </c>
      <c r="EO96" s="94" t="str">
        <f>IFERROR(VLOOKUP($B96,'LOD 400 - COLO3'!B:BL,63,FALSE),"N/A")</f>
        <v>OUTDATED</v>
      </c>
      <c r="EP96" s="86">
        <f>IFERROR(__xludf.DUMMYFUNCTION("IFERROR(
  MAX(FILTER(DZ96:EO96, ISNUMBER(DZ96:EO96))),
  EO96
)"),0.01)</f>
        <v>0.01</v>
      </c>
      <c r="EQ96" s="95">
        <f>IFERROR(VLOOKUP($B96,'LOD 400 - COLO4'!B:S,18,FALSE),"N/A")</f>
        <v>0</v>
      </c>
      <c r="ER96" s="96">
        <f>IFERROR(__xludf.DUMMYFUNCTION("IFERROR(
  MAX(FILTER(EQ96, ISNUMBER(EQ96))),
  EQ96
)"),0.0)</f>
        <v>0</v>
      </c>
      <c r="ES96" s="79" t="str">
        <f>IFERROR(VLOOKUP($B96,'LOD 400 - SITE'!B:S,18,FALSE),"N/A")</f>
        <v>N/A</v>
      </c>
      <c r="ET96" s="80" t="str">
        <f>IFERROR(VLOOKUP($B96,'LOD 400 - SITE'!B:V,21,FALSE),"N/A")</f>
        <v>N/A</v>
      </c>
      <c r="EU96" s="97" t="str">
        <f>IFERROR(VLOOKUP($B96,'LOD 400 - SITE'!$B:Y,24,FALSE),"N/A")</f>
        <v>N/A</v>
      </c>
      <c r="EV96" s="80" t="str">
        <f>IFERROR(VLOOKUP($B96,'LOD 400 - SITE'!$B:AB,27,FALSE),"N/A")</f>
        <v>N/A</v>
      </c>
      <c r="EW96" s="81" t="str">
        <f>IFERROR(VLOOKUP($B96,'LOD 400 - SITE'!$B:AE,30,FALSE),"N/A")</f>
        <v>N/A</v>
      </c>
      <c r="EX96" s="87" t="str">
        <f>IFERROR(VLOOKUP($B96,'LOD 400 - SITE'!$B:AH,33,FALSE),"N/A")</f>
        <v>N/A</v>
      </c>
      <c r="EY96" s="87" t="str">
        <f>IFERROR(VLOOKUP($B96,'LOD 400 - SITE'!$B:AK,36,FALSE),"N/A")</f>
        <v>N/A</v>
      </c>
      <c r="EZ96" s="80" t="str">
        <f>IFERROR(VLOOKUP($B96,'LOD 400 - SITE'!$B:AN,39,FALSE),"N/A")</f>
        <v>N/A</v>
      </c>
      <c r="FA96" s="82" t="str">
        <f>IFERROR(VLOOKUP($B96,'LOD 400 - SITE'!$B:AQ,42,FALSE),"N/A")</f>
        <v>N/A</v>
      </c>
      <c r="FB96" s="88" t="str">
        <f>IFERROR(VLOOKUP($B96,'LOD 400 - SITE'!$B:AT,45,FALSE),"N/A")</f>
        <v>N/A</v>
      </c>
      <c r="FC96" s="84" t="str">
        <f>IFERROR(VLOOKUP($B96,'LOD 400 - SITE'!$B:AW,48,FALSE),"N/A")</f>
        <v>N/A</v>
      </c>
      <c r="FD96" s="84" t="str">
        <f>IFERROR(VLOOKUP($B96,'LOD 400 - SITE'!$B:AZ,51,FALSE),"N/A")</f>
        <v>N/A</v>
      </c>
      <c r="FE96" s="84" t="str">
        <f>IFERROR(VLOOKUP($B96,'LOD 400 - SITE'!$B:BC,54,FALSE),"N/A")</f>
        <v>N/A</v>
      </c>
      <c r="FF96" s="84" t="str">
        <f>IFERROR(VLOOKUP($B96,'LOD 400 - SITE'!$B:BF,57,FALSE),"N/A")</f>
        <v>N/A</v>
      </c>
      <c r="FG96" s="84" t="str">
        <f>IFERROR(VLOOKUP($B96,'LOD 400 - SITE'!$B:BI,60,FALSE),"N/A")</f>
        <v>N/A</v>
      </c>
      <c r="FH96" s="84" t="str">
        <f>IFERROR(VLOOKUP($B96,'LOD 400 - SITE'!$B:BL,63,FALSE),"N/A")</f>
        <v>N/A</v>
      </c>
      <c r="FI96" s="84" t="str">
        <f>IFERROR(VLOOKUP($B96,'LOD 400 - SITE'!$B:BO,66,FALSE),"N/A")</f>
        <v>N/A</v>
      </c>
      <c r="FJ96" s="84" t="str">
        <f>IFERROR(VLOOKUP($B96,'LOD 400 - SITE'!$B:BR,69,FALSE),"N/A")</f>
        <v>N/A</v>
      </c>
      <c r="FK96" s="84" t="str">
        <f>IFERROR(VLOOKUP($B96,'LOD 400 - SITE'!$B:BU,72,FALSE),"N/A")</f>
        <v>N/A</v>
      </c>
      <c r="FL96" s="84" t="str">
        <f>IFERROR(VLOOKUP($B96,'LOD 400 - SITE'!$B:BX,75,FALSE),"N/A")</f>
        <v>N/A</v>
      </c>
      <c r="FM96" s="84" t="str">
        <f>IFERROR(VLOOKUP($B96,'LOD 400 - SITE'!$B:CA,78,FALSE),"N/A")</f>
        <v>N/A</v>
      </c>
      <c r="FN96" s="85" t="str">
        <f>IFERROR(VLOOKUP($B96,'LOD 400 - SITE'!$B:CD,81,FALSE),"N/A")</f>
        <v>N/A</v>
      </c>
      <c r="FO96" s="84" t="str">
        <f>IFERROR(VLOOKUP($B96,'LOD 400 - SITE'!$B:CG,84,FALSE),"N/A")</f>
        <v>N/A</v>
      </c>
      <c r="FP96" s="85" t="str">
        <f>IFERROR(VLOOKUP($B96,'LOD 400 - SITE'!$B:CJ,87,FALSE),"N/A")</f>
        <v>N/A</v>
      </c>
      <c r="FQ96" s="84" t="str">
        <f>IFERROR(VLOOKUP($B96,'LOD 400 - SITE'!$B:CM,90,FALSE),"N/A")</f>
        <v>N/A</v>
      </c>
      <c r="FR96" s="84" t="str">
        <f>IFERROR(VLOOKUP($B96,'LOD 400 - SITE'!$B:CP,93,FALSE),"N/A")</f>
        <v>N/A</v>
      </c>
      <c r="FS96" s="84" t="str">
        <f>IFERROR(VLOOKUP($B96,'LOD 400 - SITE'!$B:CS,96,FALSE),"N/A")</f>
        <v>N/A</v>
      </c>
      <c r="FT96" s="84" t="str">
        <f>IFERROR(VLOOKUP($B96,'LOD 400 - SITE'!$B:CV,99,FALSE),"N/A")</f>
        <v>N/A</v>
      </c>
      <c r="FU96" s="84" t="str">
        <f>IFERROR(VLOOKUP($B96,'LOD 400 - SITE'!$B:CY,102,FALSE),"N/A")</f>
        <v>N/A</v>
      </c>
      <c r="FV96" s="84" t="str">
        <f>IFERROR(VLOOKUP($B96,'LOD 400 - SITE'!$B:DB,105,FALSE),"N/A")</f>
        <v>N/A</v>
      </c>
      <c r="FW96" s="84" t="str">
        <f>IFERROR(VLOOKUP($B96,'LOD 400 - SITE'!$B:DE,108,FALSE),"N/A")</f>
        <v>N/A</v>
      </c>
      <c r="FX96" s="84" t="str">
        <f>IFERROR(VLOOKUP($B96,'LOD 400 - SITE'!$B:DH,111,FALSE),"N/A")</f>
        <v>N/A</v>
      </c>
      <c r="FY96" s="84" t="str">
        <f>IFERROR(VLOOKUP($B96,'LOD 400 - SITE'!$B:DK,114,FALSE),"N/A")</f>
        <v>N/A</v>
      </c>
      <c r="FZ96" s="96" t="str">
        <f>IFERROR(__xludf.DUMMYFUNCTION("IFERROR(
  MAX(FILTER(ES96:FY96, ISNUMBER(ES96:FY96))),
  FY96
)"),"N/A")</f>
        <v>N/A</v>
      </c>
      <c r="GA96" s="80" t="str">
        <f>IFERROR(VLOOKUP($B96,'LOD 400 - UTLS'!B:S,18,FALSE),"N/A")</f>
        <v>N/A</v>
      </c>
      <c r="GB96" s="98" t="str">
        <f>IFERROR(VLOOKUP($B96,'LOD 400 - UTLS'!B:V,21,FALSE),"N/A")</f>
        <v>N/A</v>
      </c>
      <c r="GC96" s="81" t="str">
        <f>IFERROR(VLOOKUP($B96,'LOD 400 - UTLS'!B:Y,24,FALSE),"N/A")</f>
        <v>N/A</v>
      </c>
      <c r="GD96" s="87" t="str">
        <f>IFERROR(VLOOKUP($B96,'LOD 400 - UTLS'!$B:AB,27,FALSE),"N/A")</f>
        <v>N/A</v>
      </c>
      <c r="GE96" s="80" t="str">
        <f>IFERROR(VLOOKUP($B96,'LOD 400 - UTLS'!$B:AE,30,FALSE),"N/A")</f>
        <v>N/A</v>
      </c>
      <c r="GF96" s="82" t="str">
        <f>IFERROR(VLOOKUP($B96,'LOD 400 - UTLS'!$B:AH,33,FALSE),"N/A")</f>
        <v>N/A</v>
      </c>
      <c r="GG96" s="88" t="str">
        <f>IFERROR(VLOOKUP($B96,'LOD 400 - UTLS'!$B:AK,36,FALSE),"N/A")</f>
        <v>N/A</v>
      </c>
      <c r="GH96" s="84" t="str">
        <f>IFERROR(VLOOKUP($B96,'LOD 400 - UTLS'!$B:AN,39,FALSE),"N/A")</f>
        <v>N/A</v>
      </c>
      <c r="GI96" s="84" t="str">
        <f>IFERROR(VLOOKUP($B96,'LOD 400 - UTLS'!$B:AQ,42,FALSE),"N/A")</f>
        <v>N/A</v>
      </c>
      <c r="GJ96" s="84" t="str">
        <f>IFERROR(VLOOKUP($B96,'LOD 400 - UTLS'!$B:AT,45,FALSE),"N/A")</f>
        <v>N/A</v>
      </c>
      <c r="GK96" s="84" t="str">
        <f>IFERROR(VLOOKUP($B96,'LOD 400 - UTLS'!$B:AW,48,FALSE),"N/A")</f>
        <v>N/A</v>
      </c>
      <c r="GL96" s="84" t="str">
        <f>IFERROR(VLOOKUP($B96,'LOD 400 - UTLS'!$B:AZ,51,FALSE),"N/A")</f>
        <v>N/A</v>
      </c>
      <c r="GM96" s="84" t="str">
        <f>IFERROR(VLOOKUP($B96,'LOD 400 - UTLS'!$B:BC,54,FALSE),"N/A")</f>
        <v>N/A</v>
      </c>
      <c r="GN96" s="84" t="str">
        <f>IFERROR(VLOOKUP($B96,'LOD 400 - UTLS'!$B:BF,57,FALSE),"N/A")</f>
        <v>N/A</v>
      </c>
      <c r="GO96" s="84" t="str">
        <f>IFERROR(VLOOKUP($B96,'LOD 400 - UTLS'!$B:BI,60,FALSE),"N/A")</f>
        <v>N/A</v>
      </c>
      <c r="GP96" s="84" t="str">
        <f>IFERROR(VLOOKUP($B96,'LOD 400 - UTLS'!$B:BL,63,FALSE),"N/A")</f>
        <v>N/A</v>
      </c>
      <c r="GQ96" s="84" t="str">
        <f>IFERROR(VLOOKUP($B96,'LOD 400 - UTLS'!$B:BO,66,FALSE),"N/A")</f>
        <v>N/A</v>
      </c>
      <c r="GR96" s="84" t="str">
        <f>IFERROR(VLOOKUP($B96,'LOD 400 - UTLS'!$B:BR,69,FALSE),"N/A")</f>
        <v>N/A</v>
      </c>
      <c r="GS96" s="85" t="str">
        <f>IFERROR(VLOOKUP($B96,'LOD 400 - UTLS'!$B:BU,72,FALSE),"N/A")</f>
        <v>N/A</v>
      </c>
      <c r="GT96" s="84" t="str">
        <f>IFERROR(VLOOKUP($B96,'LOD 400 - UTLS'!$B:BX,75,FALSE),"N/A")</f>
        <v>N/A</v>
      </c>
      <c r="GU96" s="85" t="str">
        <f>IFERROR(VLOOKUP($B96,'LOD 400 - UTLS'!$B:CA,78,FALSE),"N/A")</f>
        <v>N/A</v>
      </c>
      <c r="GV96" s="84" t="str">
        <f>IFERROR(VLOOKUP($B96,'LOD 400 - UTLS'!$B:CD,81,FALSE),"N/A")</f>
        <v>N/A</v>
      </c>
      <c r="GW96" s="84" t="str">
        <f>IFERROR(VLOOKUP($B96,'LOD 400 - UTLS'!$B:CG,84,FALSE),"N/A")</f>
        <v>N/A</v>
      </c>
      <c r="GX96" s="84" t="str">
        <f>IFERROR(VLOOKUP($B96,'LOD 400 - UTLS'!$B:CJ,87,FALSE),"N/A")</f>
        <v>N/A</v>
      </c>
      <c r="GY96" s="84" t="str">
        <f>IFERROR(VLOOKUP($B96,'LOD 400 - UTLS'!$B:CM,90,FALSE),"N/A")</f>
        <v>N/A</v>
      </c>
      <c r="GZ96" s="84" t="str">
        <f>IFERROR(VLOOKUP($B96,'LOD 400 - UTLS'!$B:CP,93,FALSE),"N/A")</f>
        <v>N/A</v>
      </c>
      <c r="HA96" s="84" t="str">
        <f>IFERROR(VLOOKUP($B96,'LOD 400 - UTLS'!$B:CS,96,FALSE),"N/A")</f>
        <v>N/A</v>
      </c>
      <c r="HB96" s="84" t="str">
        <f>IFERROR(VLOOKUP($B96,'LOD 400 - UTLS'!$B:CV,99,FALSE),"N/A")</f>
        <v>N/A</v>
      </c>
      <c r="HC96" s="84" t="str">
        <f>IFERROR(VLOOKUP($B96,'LOD 400 - UTLS'!$B:CY,102,FALSE),"N/A")</f>
        <v>N/A</v>
      </c>
      <c r="HD96" s="84" t="str">
        <f>IFERROR(VLOOKUP($B96,'LOD 400 - UTLS'!$B:DB,105,FALSE),"N/A")</f>
        <v>N/A</v>
      </c>
      <c r="HE96" s="96" t="str">
        <f>IFERROR(__xludf.DUMMYFUNCTION("IFERROR(
  MAX(FILTER(GA96:HD96, ISNUMBER(GA96:HD96))),
  HD96
)"),"N/A")</f>
        <v>N/A</v>
      </c>
      <c r="HF96" s="99"/>
      <c r="HG96" s="99"/>
      <c r="HH96" s="99"/>
      <c r="HI96" s="99"/>
      <c r="HJ96" s="99"/>
      <c r="HK96" s="99"/>
    </row>
    <row r="97" ht="15.0" customHeight="1" outlineLevel="1">
      <c r="A97" s="53">
        <v>101.0</v>
      </c>
      <c r="B97" s="100" t="s">
        <v>281</v>
      </c>
      <c r="C97" s="100" t="s">
        <v>282</v>
      </c>
      <c r="D97" s="64" t="str">
        <f t="shared" si="17"/>
        <v>SITE</v>
      </c>
      <c r="E97" s="375" t="s">
        <v>280</v>
      </c>
      <c r="F97" s="375" t="s">
        <v>280</v>
      </c>
      <c r="G97" s="375" t="s">
        <v>280</v>
      </c>
      <c r="H97" s="116"/>
      <c r="I97" s="187" t="str">
        <f>IFERROR(VLOOKUP($C94:C108,'R22 RELATÓRIO ACC'!B:F,5,FALSE),"NOT PUBLISHED")</f>
        <v>V1</v>
      </c>
      <c r="J97" s="69" t="str">
        <f>IFERROR(VLOOKUP($C94:C108,'R22 RELATÓRIO ACC'!B:P,15,FALSE),"NOT PUBLISHED")</f>
        <v>05/05/2026</v>
      </c>
      <c r="K97" s="70" t="str">
        <f>IFERROR(VLOOKUP($B94:B108,'RELATÓRIO ACC'!B:F,5,FALSE),"NOT PUBLISHED")</f>
        <v>V2</v>
      </c>
      <c r="L97" s="71" t="str">
        <f>IFERROR(VLOOKUP($B94:B108,'RELATÓRIO ACC'!B:P,15,FALSE),"NOT PUBLISHED")</f>
        <v>26/05/2026</v>
      </c>
      <c r="M97" s="72" t="str">
        <f>IF(OR($D97="UTLS",$D97="GUAR",$D97="STIR",$D97="PUMP",$D97="SITE"),
   VLOOKUP($B97,'LOD 400 - SITE'!B:M,12,FALSE),
   VLOOKUP($B97,'LOD 400 - ADMN'!B:M,12,FALSE)
)</f>
        <v>V2</v>
      </c>
      <c r="N97" s="105">
        <f>IF(OR($D97="UTLS",$D97="GUAR",$D97="STIR",$D97="PUMP",$D97="SITE"),
   VLOOKUP($B97,'LOD 400 - SITE'!B:N,13,FALSE),
   VLOOKUP($B97,'LOD 400 - ADMN'!B:N,13,FALSE)
)</f>
        <v>46168</v>
      </c>
      <c r="O97" s="106" t="str">
        <f>IF(OR($D97="UTLS",$D97="GUAR",$D97="STIR",$D97="PUMP",$D97="SITE"),
   VLOOKUP($B97,'LOD 400 - SITE'!B:O,14,FALSE),
   VLOOKUP($B97,'LOD 400 - ADMN'!B:O,14,FALSE)
)</f>
        <v>R24</v>
      </c>
      <c r="P97" s="107" t="str">
        <f>IF(OR($D97="C345",$D97="C12A",$D97="DATA"),
   VLOOKUP($B97,'LOD 400 - COLO3'!B:M,12,FALSE),"N/A")</f>
        <v>N/A</v>
      </c>
      <c r="Q97" s="108" t="str">
        <f>IF(OR($D97="C345",$D97="C12A",$D97="DATA"),
   VLOOKUP($B97,'LOD 400 - COLO3'!B:N,13,FALSE),"N/A")</f>
        <v>N/A</v>
      </c>
      <c r="R97" s="75" t="str">
        <f>IF(OR($D97="C345",$D97="C12A",$D97="DATA"),
   VLOOKUP($B97,'LOD 400 - COLO3'!B:O,14,FALSE),"N/A")</f>
        <v>N/A</v>
      </c>
      <c r="S97" s="76" t="str">
        <f>IF(OR($D97="C345",$D97="C12A",$D97="DATA"),
   VLOOKUP($B97,'LOD 400 - COLO4'!B:N,12,FALSE),"N/A")</f>
        <v>N/A</v>
      </c>
      <c r="T97" s="76" t="str">
        <f>IF(OR($D97="C345",$D97="C12A",$D97="DATA"),
   VLOOKUP($B97,'LOD 400 - COLO4'!B:N,13,FALSE),"N/A")</f>
        <v>N/A</v>
      </c>
      <c r="U97" s="76" t="str">
        <f>IF(OR($D97="C345",$D97="C12A",$D97="DATA"),
   VLOOKUP($B97,'LOD 400 - COLO4'!B:N,13,FALSE),"N/A")</f>
        <v>N/A</v>
      </c>
      <c r="V97" s="77" t="str">
        <f>IF(OR($D97="UTLS",$D97="GUAR",$D97="STIR",$D97="PUMP",$D97="SITE"),
   VLOOKUP($B97,'LOD 400 - UTLS'!B:M,12,FALSE),"N/A")</f>
        <v>V2</v>
      </c>
      <c r="W97" s="78">
        <f>IF(OR($D97="UTLS",$D97="GUAR",$D97="STIR",$D97="PUMP",$D97="SITE"),
   VLOOKUP($B97,'LOD 400 - UTLS'!B:N,13,FALSE),"N/A")</f>
        <v>46168</v>
      </c>
      <c r="X97" s="108" t="str">
        <f>IF(OR($D97="UTLS",$D97="GUAR",$D97="STIR",$D97="PUMP",$D97="SITE"),
   VLOOKUP($B97,'LOD 400 - UTLS'!B:O,14,FALSE),"N/A")</f>
        <v>R24</v>
      </c>
      <c r="Y97" s="79" t="str">
        <f>IFERROR(VLOOKUP($B97,'LOD 400 - ADMN'!B:S,18,FALSE),"N/A")</f>
        <v>N/A</v>
      </c>
      <c r="Z97" s="79" t="str">
        <f>IFERROR(VLOOKUP($B97,'LOD 400 - ADMN'!B:V,21,FALSE),"N/A")</f>
        <v>N/A</v>
      </c>
      <c r="AA97" s="79" t="str">
        <f>IFERROR(VLOOKUP($B97,'LOD 400 - ADMN'!$B:Y,24,FALSE),"N/A")</f>
        <v>N/A</v>
      </c>
      <c r="AB97" s="80" t="str">
        <f>IFERROR(VLOOKUP($B97,'LOD 400 - ADMN'!$B:AB,27,FALSE),"N/A")</f>
        <v>N/A</v>
      </c>
      <c r="AC97" s="81" t="str">
        <f>IFERROR(VLOOKUP($B97,'LOD 400 - ADMN'!$B:AE,30,FALSE),"N/A")</f>
        <v>N/A</v>
      </c>
      <c r="AD97" s="81" t="str">
        <f>IFERROR(VLOOKUP($B97,'LOD 400 - ADMN'!$B:AH,33,FALSE),"N/A")</f>
        <v>N/A</v>
      </c>
      <c r="AE97" s="80" t="str">
        <f>IFERROR(VLOOKUP($B97,'LOD 400 - ADMN'!$B:AK,36,FALSE),"N/A")</f>
        <v>N/A</v>
      </c>
      <c r="AF97" s="82" t="str">
        <f>IFERROR(VLOOKUP($B97,'LOD 400 - ADMN'!$B:AN,39,FALSE),"N/A")</f>
        <v>N/A</v>
      </c>
      <c r="AG97" s="83" t="str">
        <f>IFERROR(VLOOKUP($B97,'LOD 400 - ADMN'!$B:AQ,42,FALSE),"N/A")</f>
        <v>N/A</v>
      </c>
      <c r="AH97" s="84" t="str">
        <f>IFERROR(VLOOKUP($B97,'LOD 400 - ADMN'!$B:AT,45,FALSE),"N/A")</f>
        <v>N/A</v>
      </c>
      <c r="AI97" s="85" t="str">
        <f>IFERROR(VLOOKUP($B97,'LOD 400 - ADMN'!$B:AW,48,FALSE),"N/A")</f>
        <v>N/A</v>
      </c>
      <c r="AJ97" s="85" t="str">
        <f>IFERROR(VLOOKUP($B97,'LOD 400 - ADMN'!$B:AZ,51,FALSE),"N/A")</f>
        <v>N/A</v>
      </c>
      <c r="AK97" s="84" t="str">
        <f>IFERROR(VLOOKUP($B97,'LOD 400 - ADMN'!$B:BC,54,FALSE),"N/A")</f>
        <v>N/A</v>
      </c>
      <c r="AL97" s="84" t="str">
        <f>IFERROR(VLOOKUP($B97,'LOD 400 - ADMN'!$B:BF,57,FALSE),"N/A")</f>
        <v>N/A</v>
      </c>
      <c r="AM97" s="84" t="str">
        <f>IFERROR(VLOOKUP($B97,'LOD 400 - ADMN'!$B:BI,60,FALSE),"N/A")</f>
        <v>N/A</v>
      </c>
      <c r="AN97" s="84" t="str">
        <f>IFERROR(VLOOKUP($B97,'LOD 400 - ADMN'!$B:BL,63,FALSE),"N/A")</f>
        <v>N/A</v>
      </c>
      <c r="AO97" s="84" t="str">
        <f>IFERROR(VLOOKUP($B97,'LOD 400 - ADMN'!$B:BO,66,FALSE),"N/A")</f>
        <v>N/A</v>
      </c>
      <c r="AP97" s="84" t="str">
        <f>IFERROR(VLOOKUP($B97,'LOD 400 - ADMN'!$B:BR,69,FALSE),"N/A")</f>
        <v>N/A</v>
      </c>
      <c r="AQ97" s="84" t="str">
        <f>IFERROR(VLOOKUP($B97,'LOD 400 - ADMN'!$B:BU,72,FALSE),"N/A")</f>
        <v>N/A</v>
      </c>
      <c r="AR97" s="84" t="str">
        <f>IFERROR(VLOOKUP($B97,'LOD 400 - ADMN'!$B:BX,75,FALSE),"N/A")</f>
        <v>N/A</v>
      </c>
      <c r="AS97" s="84" t="str">
        <f>IFERROR(VLOOKUP($B97,'LOD 400 - ADMN'!$B:CA,78,FALSE),"N/A")</f>
        <v>N/A</v>
      </c>
      <c r="AT97" s="84" t="str">
        <f>IFERROR(VLOOKUP($B97,'LOD 400 - ADMN'!$B:CD,81,FALSE),"N/A")</f>
        <v>N/A</v>
      </c>
      <c r="AU97" s="85" t="str">
        <f>IFERROR(VLOOKUP($B97,'LOD 400 - ADMN'!$B:CG,84,FALSE),"N/A")</f>
        <v>N/A</v>
      </c>
      <c r="AV97" s="84" t="str">
        <f>IFERROR(VLOOKUP($B97,'LOD 400 - ADMN'!$B:CJ,87,FALSE),"N/A")</f>
        <v>N/A</v>
      </c>
      <c r="AW97" s="85" t="str">
        <f>IFERROR(VLOOKUP($B97,'LOD 400 - ADMN'!$B:CM,90,FALSE),"N/A")</f>
        <v>N/A</v>
      </c>
      <c r="AX97" s="84" t="str">
        <f>IFERROR(VLOOKUP($B97,'LOD 400 - ADMN'!$B:CP,93,FALSE),"N/A")</f>
        <v>N/A</v>
      </c>
      <c r="AY97" s="84" t="str">
        <f>IFERROR(VLOOKUP($B97,'LOD 400 - ADMN'!$B:CS,96,FALSE),"N/A")</f>
        <v>N/A</v>
      </c>
      <c r="AZ97" s="84" t="str">
        <f>IFERROR(VLOOKUP($B97,'LOD 400 - ADMN'!$B:CV,99,FALSE),"N/A")</f>
        <v>N/A</v>
      </c>
      <c r="BA97" s="84" t="str">
        <f>IFERROR(VLOOKUP($B97,'LOD 400 - ADMN'!$B:CY,102,FALSE),"N/A")</f>
        <v>N/A</v>
      </c>
      <c r="BB97" s="84" t="str">
        <f>IFERROR(VLOOKUP($B97,'LOD 400 - ADMN'!$B:DB,105,FALSE),"N/A")</f>
        <v>N/A</v>
      </c>
      <c r="BC97" s="84" t="str">
        <f>IFERROR(VLOOKUP($B97,'LOD 400 - ADMN'!$B:DE,108,FALSE),"N/A")</f>
        <v>N/A</v>
      </c>
      <c r="BD97" s="84" t="str">
        <f>IFERROR(VLOOKUP($B97,'LOD 400 - ADMN'!$B:DH,111,FALSE),"N/A")</f>
        <v>N/A</v>
      </c>
      <c r="BE97" s="84" t="str">
        <f>IFERROR(VLOOKUP($B97,'LOD 400 - ADMN'!$B:DK,114,FALSE),"N/A")</f>
        <v>N/A</v>
      </c>
      <c r="BF97" s="84" t="str">
        <f>IFERROR(VLOOKUP($B97,'LOD 400 - ADMN'!$B:DN,117,FALSE),"N/A")</f>
        <v>N/A</v>
      </c>
      <c r="BG97" s="86" t="str">
        <f>IFERROR(__xludf.DUMMYFUNCTION("IFERROR(
  MAX(FILTER(Y97:BF97, ISNUMBER(Y97:BF97))),
  BF97
)"),"N/A")</f>
        <v>N/A</v>
      </c>
      <c r="BH97" s="79" t="str">
        <f>IFERROR(VLOOKUP($B97,'LOD 400 - COLO1'!B:S,18,FALSE),"N/A")</f>
        <v>N/A</v>
      </c>
      <c r="BI97" s="79" t="str">
        <f>IFERROR(VLOOKUP($B97,'LOD 400 - COLO1'!B:V,21,FALSE),"N/A")</f>
        <v>N/A</v>
      </c>
      <c r="BJ97" s="79" t="str">
        <f>IFERROR(VLOOKUP($B97,'LOD 400 - COLO1'!$B:Y,24,FALSE),"N/A")</f>
        <v>N/A</v>
      </c>
      <c r="BK97" s="87" t="str">
        <f>IFERROR(VLOOKUP($B97,'LOD 400 - COLO1'!$B:AB,27,FALSE),"N/A")</f>
        <v>N/A</v>
      </c>
      <c r="BL97" s="80" t="str">
        <f>IFERROR(VLOOKUP($B97,'LOD 400 - COLO1'!$B:AE,30,FALSE),"N/A")</f>
        <v>N/A</v>
      </c>
      <c r="BM97" s="81" t="str">
        <f>IFERROR(VLOOKUP($B97,'LOD 400 - COLO1'!$B:AH,33,FALSE),"N/A")</f>
        <v>N/A</v>
      </c>
      <c r="BN97" s="87" t="str">
        <f>IFERROR(VLOOKUP($B97,'LOD 400 - COLO1'!$B:AK,36,FALSE),"N/A")</f>
        <v>N/A</v>
      </c>
      <c r="BO97" s="83" t="str">
        <f>IFERROR(VLOOKUP($B97,'LOD 400 - COLO1'!$B:AN,39,FALSE),"N/A")</f>
        <v>N/A</v>
      </c>
      <c r="BP97" s="88" t="str">
        <f>IFERROR(VLOOKUP($B97,'LOD 400 - COLO1'!$B:AQ,42,FALSE),"N/A")</f>
        <v>N/A</v>
      </c>
      <c r="BQ97" s="84" t="str">
        <f>IFERROR(VLOOKUP($B97,'LOD 400 - COLO1'!$B:AT,45,FALSE),"N/A")</f>
        <v>N/A</v>
      </c>
      <c r="BR97" s="85" t="str">
        <f>IFERROR(VLOOKUP($B97,'LOD 400 - COLO1'!$B:AW,48,FALSE),"N/A")</f>
        <v>N/A</v>
      </c>
      <c r="BS97" s="84" t="str">
        <f>IFERROR(VLOOKUP($B97,'LOD 400 - COLO1'!$B:AZ,51,FALSE),"N/A")</f>
        <v>N/A</v>
      </c>
      <c r="BT97" s="84" t="str">
        <f>IFERROR(VLOOKUP($B97,'LOD 400 - COLO1'!$B:BC,54,FALSE),"N/A")</f>
        <v>N/A</v>
      </c>
      <c r="BU97" s="84" t="str">
        <f>IFERROR(VLOOKUP($B97,'LOD 400 - COLO1'!$B:BF,57,FALSE),"N/A")</f>
        <v>N/A</v>
      </c>
      <c r="BV97" s="84" t="str">
        <f>IFERROR(VLOOKUP($B97,'LOD 400 - COLO1'!$B:BI,60,FALSE),"N/A")</f>
        <v>N/A</v>
      </c>
      <c r="BW97" s="84" t="str">
        <f>IFERROR(VLOOKUP($B97,'LOD 400 - COLO1'!$B:BL,63,FALSE),"N/A")</f>
        <v>N/A</v>
      </c>
      <c r="BX97" s="84" t="str">
        <f>IFERROR(VLOOKUP($B97,'LOD 400 - COLO1'!$B:BO,66,FALSE),"N/A")</f>
        <v>N/A</v>
      </c>
      <c r="BY97" s="84" t="str">
        <f>IFERROR(VLOOKUP($B97,'LOD 400 - COLO1'!$B:BR,69,FALSE),"N/A")</f>
        <v>N/A</v>
      </c>
      <c r="BZ97" s="84" t="str">
        <f>IFERROR(VLOOKUP($B97,'LOD 400 - COLO1'!$B:BU,72,FALSE),"N/A")</f>
        <v>N/A</v>
      </c>
      <c r="CA97" s="84" t="str">
        <f>IFERROR(VLOOKUP($B97,'LOD 400 - COLO1'!$B:BX,75,FALSE),"N/A")</f>
        <v>N/A</v>
      </c>
      <c r="CB97" s="84" t="str">
        <f>IFERROR(VLOOKUP($B97,'LOD 400 - COLO1'!$B:CA,78,FALSE),"N/A")</f>
        <v>N/A</v>
      </c>
      <c r="CC97" s="84" t="str">
        <f>IFERROR(VLOOKUP($B97,'LOD 400 - COLO1'!$B:CD,81,FALSE),"N/A")</f>
        <v>N/A</v>
      </c>
      <c r="CD97" s="85" t="str">
        <f>IFERROR(VLOOKUP($B97,'LOD 400 - COLO1'!$B:CG,84,FALSE),"N/A")</f>
        <v>N/A</v>
      </c>
      <c r="CE97" s="84" t="str">
        <f>IFERROR(VLOOKUP($B97,'LOD 400 - COLO1'!$B:CJ,87,FALSE),"N/A")</f>
        <v>N/A</v>
      </c>
      <c r="CF97" s="85" t="str">
        <f>IFERROR(VLOOKUP($B97,'LOD 400 - COLO1'!$B:CM,90,FALSE),"N/A")</f>
        <v>N/A</v>
      </c>
      <c r="CG97" s="84" t="str">
        <f>IFERROR(VLOOKUP($B97,'LOD 400 - COLO1'!$B:CP,93,FALSE),"N/A")</f>
        <v>N/A</v>
      </c>
      <c r="CH97" s="84" t="str">
        <f>IFERROR(VLOOKUP($B97,'LOD 400 - COLO1'!$B:CS,96,FALSE),"N/A")</f>
        <v>N/A</v>
      </c>
      <c r="CI97" s="84" t="str">
        <f>IFERROR(VLOOKUP($B97,'LOD 400 - COLO1'!$B:CV,99,FALSE),"N/A")</f>
        <v>N/A</v>
      </c>
      <c r="CJ97" s="84" t="str">
        <f>IFERROR(VLOOKUP($B97,'LOD 400 - COLO1'!$B:CY,102,FALSE),"N/A")</f>
        <v>N/A</v>
      </c>
      <c r="CK97" s="84" t="str">
        <f>IFERROR(VLOOKUP($B97,'LOD 400 - COLO1'!$B:DB,105,FALSE),"N/A")</f>
        <v>N/A</v>
      </c>
      <c r="CL97" s="84" t="str">
        <f>IFERROR(VLOOKUP($B97,'LOD 400 - COLO1'!$B:DE,108,FALSE),"N/A")</f>
        <v>N/A</v>
      </c>
      <c r="CM97" s="84" t="str">
        <f>IFERROR(VLOOKUP($B97,'LOD 400 - COLO1'!$B:DH,111,FALSE),"N/A")</f>
        <v>N/A</v>
      </c>
      <c r="CN97" s="84" t="str">
        <f>IFERROR(VLOOKUP($B97,'LOD 400 - COLO1'!$B:DK,114,FALSE),"N/A")</f>
        <v>N/A</v>
      </c>
      <c r="CO97" s="84" t="str">
        <f>IFERROR(VLOOKUP($B97,'LOD 400 - COLO1'!$B:DN,117,FALSE),"N/A")</f>
        <v>N/A</v>
      </c>
      <c r="CP97" s="86" t="str">
        <f>IFERROR(__xludf.DUMMYFUNCTION("IFERROR(
  MAX(FILTER(BH97:CO97, ISNUMBER(BH97:CO97))),
  CO97
)"),"N/A")</f>
        <v>N/A</v>
      </c>
      <c r="CQ97" s="89" t="str">
        <f>IFERROR(VLOOKUP($B97,'LOD 400 - COLO2'!B:S,18,FALSE),"N/A")</f>
        <v>N/A</v>
      </c>
      <c r="CR97" s="79" t="str">
        <f>IFERROR(VLOOKUP($B97,'LOD 400 - COLO2'!B:V,21,FALSE),"N/A")</f>
        <v>N/A</v>
      </c>
      <c r="CS97" s="79" t="str">
        <f>IFERROR(VLOOKUP($B97,'LOD 400 - COLO2'!$B:Y,24,FALSE),"N/A")</f>
        <v>N/A</v>
      </c>
      <c r="CT97" s="80" t="str">
        <f>IFERROR(VLOOKUP($B97,'LOD 400 - COLO2'!$B:DQ,27,FALSE),"N/A")</f>
        <v>N/A</v>
      </c>
      <c r="CU97" s="90" t="str">
        <f>IFERROR(VLOOKUP($B97,'LOD 400 - COLO2'!$B:AE,30,FALSE),"N/A")</f>
        <v>N/A</v>
      </c>
      <c r="CV97" s="81" t="str">
        <f>IFERROR(VLOOKUP($B97,'LOD 400 - COLO2'!$B:AH,33,FALSE),"N/A")</f>
        <v>N/A</v>
      </c>
      <c r="CW97" s="90" t="str">
        <f>IFERROR(VLOOKUP($B97,'LOD 400 - COLO2'!$B:AK,36,FALSE),"N/A")</f>
        <v>N/A</v>
      </c>
      <c r="CX97" s="85" t="str">
        <f>IFERROR(VLOOKUP($B97,'LOD 400 - COLO2'!$B:AN,39,FALSE),"N/A")</f>
        <v>N/A</v>
      </c>
      <c r="CY97" s="88" t="str">
        <f>IFERROR(VLOOKUP($B97,'LOD 400 - COLO2'!$B:AQ,42,FALSE),"N/A")</f>
        <v>N/A</v>
      </c>
      <c r="CZ97" s="84" t="str">
        <f>IFERROR(VLOOKUP($B97,'LOD 400 - COLO2'!$B:AT,45,FALSE),"N/A")</f>
        <v>N/A</v>
      </c>
      <c r="DA97" s="85" t="str">
        <f>IFERROR(VLOOKUP($B97,'LOD 400 - COLO2'!$B:AW,48,FALSE),"N/A")</f>
        <v>N/A</v>
      </c>
      <c r="DB97" s="84" t="str">
        <f>IFERROR(VLOOKUP($B97,'LOD 400 - COLO2'!$B:AZ,51,FALSE),"N/A")</f>
        <v>N/A</v>
      </c>
      <c r="DC97" s="84" t="str">
        <f>IFERROR(VLOOKUP($B97,'LOD 400 - COLO2'!$B:BC,54,FALSE),"N/A")</f>
        <v>N/A</v>
      </c>
      <c r="DD97" s="84" t="str">
        <f>IFERROR(VLOOKUP($B97,'LOD 400 - COLO2'!$B:BF,57,FALSE),"N/A")</f>
        <v>N/A</v>
      </c>
      <c r="DE97" s="84" t="str">
        <f>IFERROR(VLOOKUP($B97,'LOD 400 - COLO2'!$B:BI,60,FALSE),"N/A")</f>
        <v>N/A</v>
      </c>
      <c r="DF97" s="84" t="str">
        <f>IFERROR(VLOOKUP($B97,'LOD 400 - COLO2'!$B:BL,63,FALSE),"N/A")</f>
        <v>N/A</v>
      </c>
      <c r="DG97" s="84" t="str">
        <f>IFERROR(VLOOKUP($B97,'LOD 400 - COLO2'!$B:BO,66,FALSE),"N/A")</f>
        <v>N/A</v>
      </c>
      <c r="DH97" s="84" t="str">
        <f>IFERROR(VLOOKUP($B97,'LOD 400 - COLO2'!$B:BR,69,FALSE),"N/A")</f>
        <v>N/A</v>
      </c>
      <c r="DI97" s="84" t="str">
        <f>IFERROR(VLOOKUP($B97,'LOD 400 - COLO2'!$B:BU,72,FALSE),"N/A")</f>
        <v>N/A</v>
      </c>
      <c r="DJ97" s="84" t="str">
        <f>IFERROR(VLOOKUP($B97,'LOD 400 - COLO2'!$B:BX,75,FALSE),"N/A")</f>
        <v>N/A</v>
      </c>
      <c r="DK97" s="84" t="str">
        <f>IFERROR(VLOOKUP($B97,'LOD 400 - COLO2'!$B:CA,78,FALSE),"N/A")</f>
        <v>N/A</v>
      </c>
      <c r="DL97" s="84" t="str">
        <f>IFERROR(VLOOKUP($B97,'LOD 400 - COLO2'!$B:CD,81,FALSE),"N/A")</f>
        <v>N/A</v>
      </c>
      <c r="DM97" s="85" t="str">
        <f>IFERROR(VLOOKUP($B97,'LOD 400 - COLO2'!$B:CG,84,FALSE),"N/A")</f>
        <v>N/A</v>
      </c>
      <c r="DN97" s="84" t="str">
        <f>IFERROR(VLOOKUP($B97,'LOD 400 - COLO2'!$B:CJ,87,FALSE),"N/A")</f>
        <v>N/A</v>
      </c>
      <c r="DO97" s="85" t="str">
        <f>IFERROR(VLOOKUP($B97,'LOD 400 - COLO2'!$B:CM,90,FALSE),"N/A")</f>
        <v>N/A</v>
      </c>
      <c r="DP97" s="84" t="str">
        <f>IFERROR(VLOOKUP($B97,'LOD 400 - COLO2'!$B:CP,93,FALSE),"N/A")</f>
        <v>N/A</v>
      </c>
      <c r="DQ97" s="84" t="str">
        <f>IFERROR(VLOOKUP($B97,'LOD 400 - COLO2'!$B:CS,96,FALSE),"N/A")</f>
        <v>N/A</v>
      </c>
      <c r="DR97" s="84" t="str">
        <f>IFERROR(VLOOKUP($B97,'LOD 400 - COLO2'!$B:CV,99,FALSE),"N/A")</f>
        <v>N/A</v>
      </c>
      <c r="DS97" s="84" t="str">
        <f>IFERROR(VLOOKUP($B97,'LOD 400 - COLO2'!$B:CY,102,FALSE),"N/A")</f>
        <v>N/A</v>
      </c>
      <c r="DT97" s="84" t="str">
        <f>IFERROR(VLOOKUP($B97,'LOD 400 - COLO2'!$B:DB,105,FALSE),"N/A")</f>
        <v>N/A</v>
      </c>
      <c r="DU97" s="84" t="str">
        <f>IFERROR(VLOOKUP($B97,'LOD 400 - COLO2'!$B:DE,108,FALSE),"N/A")</f>
        <v>N/A</v>
      </c>
      <c r="DV97" s="84" t="str">
        <f>IFERROR(VLOOKUP($B97,'LOD 400 - COLO2'!$B:DH,111,FALSE),"N/A")</f>
        <v>N/A</v>
      </c>
      <c r="DW97" s="84" t="str">
        <f>IFERROR(VLOOKUP($B97,'LOD 400 - COLO2'!$B:DK,114,FALSE),"N/A")</f>
        <v>N/A</v>
      </c>
      <c r="DX97" s="84" t="str">
        <f>IFERROR(VLOOKUP($B97,'LOD 400 - COLO2'!$B:DN,117,FALSE),"N/A")</f>
        <v>N/A</v>
      </c>
      <c r="DY97" s="91" t="str">
        <f>IFERROR(__xludf.DUMMYFUNCTION("IFERROR(
  MAX(FILTER(CQ97:DW97, ISNUMBER(CQ97:DW97))),
  DW97
)"),"N/A")</f>
        <v>N/A</v>
      </c>
      <c r="DZ97" s="92" t="str">
        <f>IFERROR(VLOOKUP($B97,'LOD 400 - COLO3'!B:S,18,FALSE),"N/A")</f>
        <v>N/A</v>
      </c>
      <c r="EA97" s="84" t="str">
        <f>IFERROR(VLOOKUP($B97,'LOD 400 - COLO3'!B:V,21,FALSE),"N/A")</f>
        <v>N/A</v>
      </c>
      <c r="EB97" s="84" t="str">
        <f>IFERROR(VLOOKUP($B97,'LOD 400 - COLO3'!B:Y,24,FALSE),"N/A")</f>
        <v>N/A</v>
      </c>
      <c r="EC97" s="84" t="str">
        <f>IFERROR(VLOOKUP($B97,'LOD 400 - COLO3'!B:AB,27,FALSE),"N/A")</f>
        <v>N/A</v>
      </c>
      <c r="ED97" s="85" t="str">
        <f>IFERROR(VLOOKUP($B97,'LOD 400 - COLO3'!B:AE,30,FALSE),"N/A")</f>
        <v>N/A</v>
      </c>
      <c r="EE97" s="84" t="str">
        <f>IFERROR(VLOOKUP($B97,'LOD 400 - COLO3'!B:AH,33,FALSE),"N/A")</f>
        <v>N/A</v>
      </c>
      <c r="EF97" s="84" t="str">
        <f>IFERROR(VLOOKUP($B97,'LOD 400 - COLO3'!B:AK,36,FALSE),"N/A")</f>
        <v>N/A</v>
      </c>
      <c r="EG97" s="109" t="str">
        <f>IFERROR(VLOOKUP($B97,'LOD 400 - COLO3'!B:AN,39,FALSE),"N/A")</f>
        <v>N/A</v>
      </c>
      <c r="EH97" s="94" t="str">
        <f>IFERROR(VLOOKUP($B97,'LOD 400 - COLO3'!B:AQ,42,FALSE),"N/A")</f>
        <v>N/A</v>
      </c>
      <c r="EI97" s="94" t="str">
        <f>IFERROR(VLOOKUP($B97,'LOD 400 - COLO3'!B:AT,45,FALSE),"N/A")</f>
        <v>N/A</v>
      </c>
      <c r="EJ97" s="94" t="str">
        <f>IFERROR(VLOOKUP($B97,'LOD 400 - COLO3'!B:AW,48,FALSE),"N/A")</f>
        <v>N/A</v>
      </c>
      <c r="EK97" s="94" t="str">
        <f>IFERROR(VLOOKUP($B97,'LOD 400 - COLO3'!B:AZ,51,FALSE),"N/A")</f>
        <v>N/A</v>
      </c>
      <c r="EL97" s="94" t="str">
        <f>IFERROR(VLOOKUP($B97,'LOD 400 - COLO3'!B:BC,54,FALSE),"N/A")</f>
        <v>N/A</v>
      </c>
      <c r="EM97" s="94" t="str">
        <f>IFERROR(VLOOKUP($B97,'LOD 400 - COLO3'!B:BF,57,FALSE),"N/A")</f>
        <v>N/A</v>
      </c>
      <c r="EN97" s="94" t="str">
        <f>IFERROR(VLOOKUP($B97,'LOD 400 - COLO3'!B:BI,60,FALSE),"N/A")</f>
        <v>N/A</v>
      </c>
      <c r="EO97" s="94" t="str">
        <f>IFERROR(VLOOKUP($B97,'LOD 400 - COLO3'!B:BL,63,FALSE),"N/A")</f>
        <v>N/A</v>
      </c>
      <c r="EP97" s="86" t="str">
        <f>IFERROR(__xludf.DUMMYFUNCTION("IFERROR(
  MAX(FILTER(DZ97:EO97, ISNUMBER(DZ97:EO97))),
  EO97
)"),"N/A")</f>
        <v>N/A</v>
      </c>
      <c r="EQ97" s="95" t="str">
        <f>IFERROR(VLOOKUP($B97,'LOD 400 - COLO4'!B:S,18,FALSE),"N/A")</f>
        <v>N/A</v>
      </c>
      <c r="ER97" s="96" t="str">
        <f>IFERROR(__xludf.DUMMYFUNCTION("IFERROR(
  MAX(FILTER(EQ97, ISNUMBER(EQ97))),
  EQ97
)"),"N/A")</f>
        <v>N/A</v>
      </c>
      <c r="ES97" s="79" t="str">
        <f>IFERROR(VLOOKUP($B97,'LOD 400 - SITE'!B:S,18,FALSE),"N/A")</f>
        <v>NOT PUBLISHED</v>
      </c>
      <c r="ET97" s="80" t="str">
        <f>IFERROR(VLOOKUP($B97,'LOD 400 - SITE'!B:V,21,FALSE),"N/A")</f>
        <v>NOT PUBLISHED</v>
      </c>
      <c r="EU97" s="97" t="str">
        <f>IFERROR(VLOOKUP($B97,'LOD 400 - SITE'!$B:Y,24,FALSE),"N/A")</f>
        <v>NOT PUBLISHED</v>
      </c>
      <c r="EV97" s="80" t="str">
        <f>IFERROR(VLOOKUP($B97,'LOD 400 - SITE'!$B:AB,27,FALSE),"N/A")</f>
        <v>NOT PUBLISHED</v>
      </c>
      <c r="EW97" s="81" t="str">
        <f>IFERROR(VLOOKUP($B97,'LOD 400 - SITE'!$B:AE,30,FALSE),"N/A")</f>
        <v>NOT PUBLISHED</v>
      </c>
      <c r="EX97" s="87" t="str">
        <f>IFERROR(VLOOKUP($B97,'LOD 400 - SITE'!$B:AH,33,FALSE),"N/A")</f>
        <v>NOT PUBLISHED</v>
      </c>
      <c r="EY97" s="87" t="str">
        <f>IFERROR(VLOOKUP($B97,'LOD 400 - SITE'!$B:AK,36,FALSE),"N/A")</f>
        <v>NOT PUBLISHED</v>
      </c>
      <c r="EZ97" s="80" t="str">
        <f>IFERROR(VLOOKUP($B97,'LOD 400 - SITE'!$B:AN,39,FALSE),"N/A")</f>
        <v>NOT PUBLISHED</v>
      </c>
      <c r="FA97" s="82" t="str">
        <f>IFERROR(VLOOKUP($B97,'LOD 400 - SITE'!$B:AQ,42,FALSE),"N/A")</f>
        <v>NOT PUBLISHED</v>
      </c>
      <c r="FB97" s="88" t="str">
        <f>IFERROR(VLOOKUP($B97,'LOD 400 - SITE'!$B:AT,45,FALSE),"N/A")</f>
        <v>NOT PUBLISHED</v>
      </c>
      <c r="FC97" s="84" t="str">
        <f>IFERROR(VLOOKUP($B97,'LOD 400 - SITE'!$B:AW,48,FALSE),"N/A")</f>
        <v>NOT PUBLISHED</v>
      </c>
      <c r="FD97" s="84" t="str">
        <f>IFERROR(VLOOKUP($B97,'LOD 400 - SITE'!$B:AZ,51,FALSE),"N/A")</f>
        <v>NOT PUBLISHED</v>
      </c>
      <c r="FE97" s="84" t="str">
        <f>IFERROR(VLOOKUP($B97,'LOD 400 - SITE'!$B:BC,54,FALSE),"N/A")</f>
        <v>NOT PUBLISHED</v>
      </c>
      <c r="FF97" s="84" t="str">
        <f>IFERROR(VLOOKUP($B97,'LOD 400 - SITE'!$B:BF,57,FALSE),"N/A")</f>
        <v>NOT PUBLISHED</v>
      </c>
      <c r="FG97" s="84" t="str">
        <f>IFERROR(VLOOKUP($B97,'LOD 400 - SITE'!$B:BI,60,FALSE),"N/A")</f>
        <v>NOT PUBLISHED</v>
      </c>
      <c r="FH97" s="84" t="str">
        <f>IFERROR(VLOOKUP($B97,'LOD 400 - SITE'!$B:BL,63,FALSE),"N/A")</f>
        <v>NOT PUBLISHED</v>
      </c>
      <c r="FI97" s="84" t="str">
        <f>IFERROR(VLOOKUP($B97,'LOD 400 - SITE'!$B:BO,66,FALSE),"N/A")</f>
        <v>NOT PUBLISHED</v>
      </c>
      <c r="FJ97" s="84" t="str">
        <f>IFERROR(VLOOKUP($B97,'LOD 400 - SITE'!$B:BR,69,FALSE),"N/A")</f>
        <v>NOT PUBLISHED</v>
      </c>
      <c r="FK97" s="84" t="str">
        <f>IFERROR(VLOOKUP($B97,'LOD 400 - SITE'!$B:BU,72,FALSE),"N/A")</f>
        <v>NOT PUBLISHED</v>
      </c>
      <c r="FL97" s="84" t="str">
        <f>IFERROR(VLOOKUP($B97,'LOD 400 - SITE'!$B:BX,75,FALSE),"N/A")</f>
        <v>NOT PUBLISHED</v>
      </c>
      <c r="FM97" s="84" t="str">
        <f>IFERROR(VLOOKUP($B97,'LOD 400 - SITE'!$B:CA,78,FALSE),"N/A")</f>
        <v>NOT PUBLISHED</v>
      </c>
      <c r="FN97" s="85" t="str">
        <f>IFERROR(VLOOKUP($B97,'LOD 400 - SITE'!$B:CD,81,FALSE),"N/A")</f>
        <v>NOT PUBLISHED</v>
      </c>
      <c r="FO97" s="84" t="str">
        <f>IFERROR(VLOOKUP($B97,'LOD 400 - SITE'!$B:CG,84,FALSE),"N/A")</f>
        <v>NOT PUBLISHED</v>
      </c>
      <c r="FP97" s="85" t="str">
        <f>IFERROR(VLOOKUP($B97,'LOD 400 - SITE'!$B:CJ,87,FALSE),"N/A")</f>
        <v>N/A</v>
      </c>
      <c r="FQ97" s="84" t="str">
        <f>IFERROR(VLOOKUP($B97,'LOD 400 - SITE'!$B:CM,90,FALSE),"N/A")</f>
        <v>N/A</v>
      </c>
      <c r="FR97" s="84" t="str">
        <f>IFERROR(VLOOKUP($B97,'LOD 400 - SITE'!$B:CP,93,FALSE),"N/A")</f>
        <v>N/A</v>
      </c>
      <c r="FS97" s="84">
        <f>IFERROR(VLOOKUP($B97,'LOD 400 - SITE'!$B:CS,96,FALSE),"N/A")</f>
        <v>0</v>
      </c>
      <c r="FT97" s="84" t="str">
        <f>IFERROR(VLOOKUP($B97,'LOD 400 - SITE'!$B:CV,99,FALSE),"N/A")</f>
        <v>NEXT ROUND</v>
      </c>
      <c r="FU97" s="84" t="str">
        <f>IFERROR(VLOOKUP($B97,'LOD 400 - SITE'!$B:CY,102,FALSE),"N/A")</f>
        <v>NEXT ROUND</v>
      </c>
      <c r="FV97" s="84">
        <f>IFERROR(VLOOKUP($B97,'LOD 400 - SITE'!$B:DB,105,FALSE),"N/A")</f>
        <v>0.01</v>
      </c>
      <c r="FW97" s="84" t="str">
        <f>IFERROR(VLOOKUP($B97,'LOD 400 - SITE'!$B:DE,108,FALSE),"N/A")</f>
        <v>OUTDATED</v>
      </c>
      <c r="FX97" s="84" t="str">
        <f>IFERROR(VLOOKUP($B97,'LOD 400 - SITE'!$B:DH,111,FALSE),"N/A")</f>
        <v>OUTDATED</v>
      </c>
      <c r="FY97" s="84" t="str">
        <f>IFERROR(VLOOKUP($B97,'LOD 400 - SITE'!$B:DK,114,FALSE),"N/A")</f>
        <v>OUTDATED</v>
      </c>
      <c r="FZ97" s="96">
        <f>IFERROR(__xludf.DUMMYFUNCTION("IFERROR(
  MAX(FILTER(ES97:FY97, ISNUMBER(ES97:FY97))),
  FY97
)"),0.01)</f>
        <v>0.01</v>
      </c>
      <c r="GA97" s="80" t="str">
        <f>IFERROR(VLOOKUP($B97,'LOD 400 - UTLS'!B:S,18,FALSE),"N/A")</f>
        <v>NOT PUBLISHED</v>
      </c>
      <c r="GB97" s="98" t="str">
        <f>IFERROR(VLOOKUP($B97,'LOD 400 - UTLS'!B:V,21,FALSE),"N/A")</f>
        <v>NOT PUBLISHED</v>
      </c>
      <c r="GC97" s="81" t="str">
        <f>IFERROR(VLOOKUP($B97,'LOD 400 - UTLS'!B:Y,24,FALSE),"N/A")</f>
        <v>NOT PUBLISHED</v>
      </c>
      <c r="GD97" s="87" t="str">
        <f>IFERROR(VLOOKUP($B97,'LOD 400 - UTLS'!$B:AB,27,FALSE),"N/A")</f>
        <v>NOT PUBLISHED</v>
      </c>
      <c r="GE97" s="80" t="str">
        <f>IFERROR(VLOOKUP($B97,'LOD 400 - UTLS'!$B:AE,30,FALSE),"N/A")</f>
        <v>NOT PUBLISHED</v>
      </c>
      <c r="GF97" s="82" t="str">
        <f>IFERROR(VLOOKUP($B97,'LOD 400 - UTLS'!$B:AH,33,FALSE),"N/A")</f>
        <v>NOT PUBLISHED</v>
      </c>
      <c r="GG97" s="88" t="str">
        <f>IFERROR(VLOOKUP($B97,'LOD 400 - UTLS'!$B:AK,36,FALSE),"N/A")</f>
        <v>NOT PUBLISHED</v>
      </c>
      <c r="GH97" s="84" t="str">
        <f>IFERROR(VLOOKUP($B97,'LOD 400 - UTLS'!$B:AN,39,FALSE),"N/A")</f>
        <v>NOT PUBLISHED</v>
      </c>
      <c r="GI97" s="84" t="str">
        <f>IFERROR(VLOOKUP($B97,'LOD 400 - UTLS'!$B:AQ,42,FALSE),"N/A")</f>
        <v>NOT PUBLISHED</v>
      </c>
      <c r="GJ97" s="84" t="str">
        <f>IFERROR(VLOOKUP($B97,'LOD 400 - UTLS'!$B:AT,45,FALSE),"N/A")</f>
        <v>NOT PUBLISHED</v>
      </c>
      <c r="GK97" s="84" t="str">
        <f>IFERROR(VLOOKUP($B97,'LOD 400 - UTLS'!$B:AW,48,FALSE),"N/A")</f>
        <v>NOT PUBLISHED</v>
      </c>
      <c r="GL97" s="84" t="str">
        <f>IFERROR(VLOOKUP($B97,'LOD 400 - UTLS'!$B:AZ,51,FALSE),"N/A")</f>
        <v>NOT PUBLISHED</v>
      </c>
      <c r="GM97" s="84" t="str">
        <f>IFERROR(VLOOKUP($B97,'LOD 400 - UTLS'!$B:BC,54,FALSE),"N/A")</f>
        <v>NOT PUBLISHED</v>
      </c>
      <c r="GN97" s="84" t="str">
        <f>IFERROR(VLOOKUP($B97,'LOD 400 - UTLS'!$B:BF,57,FALSE),"N/A")</f>
        <v>NOT PUBLISHED</v>
      </c>
      <c r="GO97" s="84" t="str">
        <f>IFERROR(VLOOKUP($B97,'LOD 400 - UTLS'!$B:BI,60,FALSE),"N/A")</f>
        <v>NOT PUBLISHED</v>
      </c>
      <c r="GP97" s="84" t="str">
        <f>IFERROR(VLOOKUP($B97,'LOD 400 - UTLS'!$B:BL,63,FALSE),"N/A")</f>
        <v>NOT PUBLISHED</v>
      </c>
      <c r="GQ97" s="84" t="str">
        <f>IFERROR(VLOOKUP($B97,'LOD 400 - UTLS'!$B:BO,66,FALSE),"N/A")</f>
        <v>NOT PUBLISHED</v>
      </c>
      <c r="GR97" s="84" t="str">
        <f>IFERROR(VLOOKUP($B97,'LOD 400 - UTLS'!$B:BR,69,FALSE),"N/A")</f>
        <v>NOT PUBLISHED</v>
      </c>
      <c r="GS97" s="85" t="str">
        <f>IFERROR(VLOOKUP($B97,'LOD 400 - UTLS'!$B:BU,72,FALSE),"N/A")</f>
        <v>NOT PUBLISHED</v>
      </c>
      <c r="GT97" s="84" t="str">
        <f>IFERROR(VLOOKUP($B97,'LOD 400 - UTLS'!$B:BX,75,FALSE),"N/A")</f>
        <v>NOT PUBLISHED</v>
      </c>
      <c r="GU97" s="85" t="str">
        <f>IFERROR(VLOOKUP($B97,'LOD 400 - UTLS'!$B:CA,78,FALSE),"N/A")</f>
        <v>N/A</v>
      </c>
      <c r="GV97" s="84" t="str">
        <f>IFERROR(VLOOKUP($B97,'LOD 400 - UTLS'!$B:CD,81,FALSE),"N/A")</f>
        <v>N/A</v>
      </c>
      <c r="GW97" s="84" t="str">
        <f>IFERROR(VLOOKUP($B97,'LOD 400 - UTLS'!$B:CG,84,FALSE),"N/A")</f>
        <v>N/A</v>
      </c>
      <c r="GX97" s="84">
        <f>IFERROR(VLOOKUP($B97,'LOD 400 - UTLS'!$B:CJ,87,FALSE),"N/A")</f>
        <v>0</v>
      </c>
      <c r="GY97" s="84" t="str">
        <f>IFERROR(VLOOKUP($B97,'LOD 400 - UTLS'!$B:CM,90,FALSE),"N/A")</f>
        <v>NEXT ROUND</v>
      </c>
      <c r="GZ97" s="84" t="str">
        <f>IFERROR(VLOOKUP($B97,'LOD 400 - UTLS'!$B:CP,93,FALSE),"N/A")</f>
        <v>NEXT ROUND</v>
      </c>
      <c r="HA97" s="84">
        <f>IFERROR(VLOOKUP($B97,'LOD 400 - UTLS'!$B:CS,96,FALSE),"N/A")</f>
        <v>0.01</v>
      </c>
      <c r="HB97" s="84" t="str">
        <f>IFERROR(VLOOKUP($B97,'LOD 400 - UTLS'!$B:CV,99,FALSE),"N/A")</f>
        <v>OUTDATED</v>
      </c>
      <c r="HC97" s="84" t="str">
        <f>IFERROR(VLOOKUP($B97,'LOD 400 - UTLS'!$B:CY,102,FALSE),"N/A")</f>
        <v>OUTDATED</v>
      </c>
      <c r="HD97" s="84" t="str">
        <f>IFERROR(VLOOKUP($B97,'LOD 400 - UTLS'!$B:DB,105,FALSE),"N/A")</f>
        <v>OUTDATED</v>
      </c>
      <c r="HE97" s="96">
        <f>IFERROR(__xludf.DUMMYFUNCTION("IFERROR(
  MAX(FILTER(GA97:HD97, ISNUMBER(GA97:HD97))),
  HD97
)"),0.01)</f>
        <v>0.01</v>
      </c>
      <c r="HF97" s="99"/>
      <c r="HG97" s="99"/>
      <c r="HH97" s="99"/>
      <c r="HI97" s="99"/>
      <c r="HJ97" s="99"/>
      <c r="HK97" s="99"/>
    </row>
    <row r="98" ht="15.0" customHeight="1" outlineLevel="1">
      <c r="A98" s="53">
        <v>102.0</v>
      </c>
      <c r="B98" s="100" t="s">
        <v>283</v>
      </c>
      <c r="C98" s="100" t="s">
        <v>284</v>
      </c>
      <c r="D98" s="64" t="str">
        <f t="shared" si="17"/>
        <v>SITE</v>
      </c>
      <c r="E98" s="111" t="s">
        <v>91</v>
      </c>
      <c r="F98" s="102">
        <v>1104.0</v>
      </c>
      <c r="G98" s="103" t="s">
        <v>92</v>
      </c>
      <c r="H98" s="104">
        <v>1127.0</v>
      </c>
      <c r="I98" s="68" t="str">
        <f>IFERROR(VLOOKUP($C95:C108,'R22 RELATÓRIO ACC'!B:F,5,FALSE),"NOT PUBLISHED")</f>
        <v>NOT PUBLISHED</v>
      </c>
      <c r="J98" s="69" t="str">
        <f>IFERROR(VLOOKUP($C95:C108,'R22 RELATÓRIO ACC'!B:P,15,FALSE),"NOT PUBLISHED")</f>
        <v>NOT PUBLISHED</v>
      </c>
      <c r="K98" s="70" t="str">
        <f>IFERROR(VLOOKUP($B95:B108,'RELATÓRIO ACC'!B:F,5,FALSE),"NOT PUBLISHED")</f>
        <v>NOT PUBLISHED</v>
      </c>
      <c r="L98" s="71" t="str">
        <f>IFERROR(VLOOKUP($B95:B108,'RELATÓRIO ACC'!B:P,15,FALSE),"NOT PUBLISHED")</f>
        <v>NOT PUBLISHED</v>
      </c>
      <c r="M98" s="72" t="str">
        <f>IF(OR($D98="UTLS",$D98="GUAR",$D98="STIR",$D98="PUMP",$D98="SITE"),
   VLOOKUP($B98,'LOD 400 - SITE'!B:M,12,FALSE),
   VLOOKUP($B98,'LOD 400 - ADMN'!B:M,12,FALSE)
)</f>
        <v>NOT PUBLISHED</v>
      </c>
      <c r="N98" s="105" t="str">
        <f>IF(OR($D98="UTLS",$D98="GUAR",$D98="STIR",$D98="PUMP",$D98="SITE"),
   VLOOKUP($B98,'LOD 400 - SITE'!B:N,13,FALSE),
   VLOOKUP($B98,'LOD 400 - ADMN'!B:N,13,FALSE)
)</f>
        <v>NOT PUBLISHED</v>
      </c>
      <c r="O98" s="106" t="str">
        <f>IF(OR($D98="UTLS",$D98="GUAR",$D98="STIR",$D98="PUMP",$D98="SITE"),
   VLOOKUP($B98,'LOD 400 - SITE'!B:O,14,FALSE),
   VLOOKUP($B98,'LOD 400 - ADMN'!B:O,14,FALSE)
)</f>
        <v>NOT PUBLISHED</v>
      </c>
      <c r="P98" s="107" t="str">
        <f>IF(OR($D98="C345",$D98="C12A",$D98="DATA"),
   VLOOKUP($B98,'LOD 400 - COLO3'!B:M,12,FALSE),"N/A")</f>
        <v>N/A</v>
      </c>
      <c r="Q98" s="108" t="str">
        <f>IF(OR($D98="C345",$D98="C12A",$D98="DATA"),
   VLOOKUP($B98,'LOD 400 - COLO3'!B:N,13,FALSE),"N/A")</f>
        <v>N/A</v>
      </c>
      <c r="R98" s="75" t="str">
        <f>IF(OR($D98="C345",$D98="C12A",$D98="DATA"),
   VLOOKUP($B98,'LOD 400 - COLO3'!B:O,14,FALSE),"N/A")</f>
        <v>N/A</v>
      </c>
      <c r="S98" s="76" t="str">
        <f>IF(OR($D98="C345",$D98="C12A",$D98="DATA"),
   VLOOKUP($B98,'LOD 400 - COLO4'!B:N,12,FALSE),"N/A")</f>
        <v>N/A</v>
      </c>
      <c r="T98" s="76" t="str">
        <f>IF(OR($D98="C345",$D98="C12A",$D98="DATA"),
   VLOOKUP($B98,'LOD 400 - COLO4'!B:N,13,FALSE),"N/A")</f>
        <v>N/A</v>
      </c>
      <c r="U98" s="76" t="str">
        <f>IF(OR($D98="C345",$D98="C12A",$D98="DATA"),
   VLOOKUP($B98,'LOD 400 - COLO4'!B:N,13,FALSE),"N/A")</f>
        <v>N/A</v>
      </c>
      <c r="V98" s="77" t="str">
        <f>IF(OR($D98="UTLS",$D98="GUAR",$D98="STIR",$D98="PUMP",$D98="SITE"),
   VLOOKUP($B98,'LOD 400 - UTLS'!B:M,12,FALSE),"N/A")</f>
        <v>NOT PUBLISHED</v>
      </c>
      <c r="W98" s="78" t="str">
        <f>IF(OR($D98="UTLS",$D98="GUAR",$D98="STIR",$D98="PUMP",$D98="SITE"),
   VLOOKUP($B98,'LOD 400 - UTLS'!B:N,13,FALSE),"N/A")</f>
        <v>NOT PUBLISHED</v>
      </c>
      <c r="X98" s="108" t="str">
        <f>IF(OR($D98="UTLS",$D98="GUAR",$D98="STIR",$D98="PUMP",$D98="SITE"),
   VLOOKUP($B98,'LOD 400 - UTLS'!B:O,14,FALSE),"N/A")</f>
        <v>NOT PUBLISHED</v>
      </c>
      <c r="Y98" s="79" t="str">
        <f>IFERROR(VLOOKUP($B98,'LOD 400 - ADMN'!B:S,18,FALSE),"N/A")</f>
        <v>N/A</v>
      </c>
      <c r="Z98" s="79" t="str">
        <f>IFERROR(VLOOKUP($B98,'LOD 400 - ADMN'!B:V,21,FALSE),"N/A")</f>
        <v>N/A</v>
      </c>
      <c r="AA98" s="79" t="str">
        <f>IFERROR(VLOOKUP($B98,'LOD 400 - ADMN'!$B:Y,24,FALSE),"N/A")</f>
        <v>N/A</v>
      </c>
      <c r="AB98" s="80" t="str">
        <f>IFERROR(VLOOKUP($B98,'LOD 400 - ADMN'!$B:AB,27,FALSE),"N/A")</f>
        <v>N/A</v>
      </c>
      <c r="AC98" s="81" t="str">
        <f>IFERROR(VLOOKUP($B98,'LOD 400 - ADMN'!$B:AE,30,FALSE),"N/A")</f>
        <v>N/A</v>
      </c>
      <c r="AD98" s="81" t="str">
        <f>IFERROR(VLOOKUP($B98,'LOD 400 - ADMN'!$B:AH,33,FALSE),"N/A")</f>
        <v>N/A</v>
      </c>
      <c r="AE98" s="80" t="str">
        <f>IFERROR(VLOOKUP($B98,'LOD 400 - ADMN'!$B:AK,36,FALSE),"N/A")</f>
        <v>N/A</v>
      </c>
      <c r="AF98" s="82" t="str">
        <f>IFERROR(VLOOKUP($B98,'LOD 400 - ADMN'!$B:AN,39,FALSE),"N/A")</f>
        <v>N/A</v>
      </c>
      <c r="AG98" s="83" t="str">
        <f>IFERROR(VLOOKUP($B98,'LOD 400 - ADMN'!$B:AQ,42,FALSE),"N/A")</f>
        <v>N/A</v>
      </c>
      <c r="AH98" s="84" t="str">
        <f>IFERROR(VLOOKUP($B98,'LOD 400 - ADMN'!$B:AT,45,FALSE),"N/A")</f>
        <v>N/A</v>
      </c>
      <c r="AI98" s="85" t="str">
        <f>IFERROR(VLOOKUP($B98,'LOD 400 - ADMN'!$B:AW,48,FALSE),"N/A")</f>
        <v>N/A</v>
      </c>
      <c r="AJ98" s="85" t="str">
        <f>IFERROR(VLOOKUP($B98,'LOD 400 - ADMN'!$B:AZ,51,FALSE),"N/A")</f>
        <v>N/A</v>
      </c>
      <c r="AK98" s="84" t="str">
        <f>IFERROR(VLOOKUP($B98,'LOD 400 - ADMN'!$B:BC,54,FALSE),"N/A")</f>
        <v>N/A</v>
      </c>
      <c r="AL98" s="84" t="str">
        <f>IFERROR(VLOOKUP($B98,'LOD 400 - ADMN'!$B:BF,57,FALSE),"N/A")</f>
        <v>N/A</v>
      </c>
      <c r="AM98" s="84" t="str">
        <f>IFERROR(VLOOKUP($B98,'LOD 400 - ADMN'!$B:BI,60,FALSE),"N/A")</f>
        <v>N/A</v>
      </c>
      <c r="AN98" s="84" t="str">
        <f>IFERROR(VLOOKUP($B98,'LOD 400 - ADMN'!$B:BL,63,FALSE),"N/A")</f>
        <v>N/A</v>
      </c>
      <c r="AO98" s="84" t="str">
        <f>IFERROR(VLOOKUP($B98,'LOD 400 - ADMN'!$B:BO,66,FALSE),"N/A")</f>
        <v>N/A</v>
      </c>
      <c r="AP98" s="84" t="str">
        <f>IFERROR(VLOOKUP($B98,'LOD 400 - ADMN'!$B:BR,69,FALSE),"N/A")</f>
        <v>N/A</v>
      </c>
      <c r="AQ98" s="84" t="str">
        <f>IFERROR(VLOOKUP($B98,'LOD 400 - ADMN'!$B:BU,72,FALSE),"N/A")</f>
        <v>N/A</v>
      </c>
      <c r="AR98" s="84" t="str">
        <f>IFERROR(VLOOKUP($B98,'LOD 400 - ADMN'!$B:BX,75,FALSE),"N/A")</f>
        <v>N/A</v>
      </c>
      <c r="AS98" s="84" t="str">
        <f>IFERROR(VLOOKUP($B98,'LOD 400 - ADMN'!$B:CA,78,FALSE),"N/A")</f>
        <v>N/A</v>
      </c>
      <c r="AT98" s="84" t="str">
        <f>IFERROR(VLOOKUP($B98,'LOD 400 - ADMN'!$B:CD,81,FALSE),"N/A")</f>
        <v>N/A</v>
      </c>
      <c r="AU98" s="85" t="str">
        <f>IFERROR(VLOOKUP($B98,'LOD 400 - ADMN'!$B:CG,84,FALSE),"N/A")</f>
        <v>N/A</v>
      </c>
      <c r="AV98" s="84" t="str">
        <f>IFERROR(VLOOKUP($B98,'LOD 400 - ADMN'!$B:CJ,87,FALSE),"N/A")</f>
        <v>N/A</v>
      </c>
      <c r="AW98" s="85" t="str">
        <f>IFERROR(VLOOKUP($B98,'LOD 400 - ADMN'!$B:CM,90,FALSE),"N/A")</f>
        <v>N/A</v>
      </c>
      <c r="AX98" s="84" t="str">
        <f>IFERROR(VLOOKUP($B98,'LOD 400 - ADMN'!$B:CP,93,FALSE),"N/A")</f>
        <v>N/A</v>
      </c>
      <c r="AY98" s="84" t="str">
        <f>IFERROR(VLOOKUP($B98,'LOD 400 - ADMN'!$B:CS,96,FALSE),"N/A")</f>
        <v>N/A</v>
      </c>
      <c r="AZ98" s="84" t="str">
        <f>IFERROR(VLOOKUP($B98,'LOD 400 - ADMN'!$B:CV,99,FALSE),"N/A")</f>
        <v>N/A</v>
      </c>
      <c r="BA98" s="84" t="str">
        <f>IFERROR(VLOOKUP($B98,'LOD 400 - ADMN'!$B:CY,102,FALSE),"N/A")</f>
        <v>N/A</v>
      </c>
      <c r="BB98" s="84" t="str">
        <f>IFERROR(VLOOKUP($B98,'LOD 400 - ADMN'!$B:DB,105,FALSE),"N/A")</f>
        <v>N/A</v>
      </c>
      <c r="BC98" s="84" t="str">
        <f>IFERROR(VLOOKUP($B98,'LOD 400 - ADMN'!$B:DE,108,FALSE),"N/A")</f>
        <v>N/A</v>
      </c>
      <c r="BD98" s="84" t="str">
        <f>IFERROR(VLOOKUP($B98,'LOD 400 - ADMN'!$B:DH,111,FALSE),"N/A")</f>
        <v>N/A</v>
      </c>
      <c r="BE98" s="84" t="str">
        <f>IFERROR(VLOOKUP($B98,'LOD 400 - ADMN'!$B:DK,114,FALSE),"N/A")</f>
        <v>N/A</v>
      </c>
      <c r="BF98" s="84" t="str">
        <f>IFERROR(VLOOKUP($B98,'LOD 400 - ADMN'!$B:DN,117,FALSE),"N/A")</f>
        <v>N/A</v>
      </c>
      <c r="BG98" s="86" t="str">
        <f>IFERROR(__xludf.DUMMYFUNCTION("IFERROR(
  MAX(FILTER(Y98:BF98, ISNUMBER(Y98:BF98))),
  BF98
)"),"N/A")</f>
        <v>N/A</v>
      </c>
      <c r="BH98" s="79" t="str">
        <f>IFERROR(VLOOKUP($B98,'LOD 400 - COLO1'!B:S,18,FALSE),"N/A")</f>
        <v>N/A</v>
      </c>
      <c r="BI98" s="79" t="str">
        <f>IFERROR(VLOOKUP($B98,'LOD 400 - COLO1'!B:V,21,FALSE),"N/A")</f>
        <v>N/A</v>
      </c>
      <c r="BJ98" s="79" t="str">
        <f>IFERROR(VLOOKUP($B98,'LOD 400 - COLO1'!$B:Y,24,FALSE),"N/A")</f>
        <v>N/A</v>
      </c>
      <c r="BK98" s="87" t="str">
        <f>IFERROR(VLOOKUP($B98,'LOD 400 - COLO1'!$B:AB,27,FALSE),"N/A")</f>
        <v>N/A</v>
      </c>
      <c r="BL98" s="80" t="str">
        <f>IFERROR(VLOOKUP($B98,'LOD 400 - COLO1'!$B:AE,30,FALSE),"N/A")</f>
        <v>N/A</v>
      </c>
      <c r="BM98" s="81" t="str">
        <f>IFERROR(VLOOKUP($B98,'LOD 400 - COLO1'!$B:AH,33,FALSE),"N/A")</f>
        <v>N/A</v>
      </c>
      <c r="BN98" s="87" t="str">
        <f>IFERROR(VLOOKUP($B98,'LOD 400 - COLO1'!$B:AK,36,FALSE),"N/A")</f>
        <v>N/A</v>
      </c>
      <c r="BO98" s="83" t="str">
        <f>IFERROR(VLOOKUP($B98,'LOD 400 - COLO1'!$B:AN,39,FALSE),"N/A")</f>
        <v>N/A</v>
      </c>
      <c r="BP98" s="88" t="str">
        <f>IFERROR(VLOOKUP($B98,'LOD 400 - COLO1'!$B:AQ,42,FALSE),"N/A")</f>
        <v>N/A</v>
      </c>
      <c r="BQ98" s="84" t="str">
        <f>IFERROR(VLOOKUP($B98,'LOD 400 - COLO1'!$B:AT,45,FALSE),"N/A")</f>
        <v>N/A</v>
      </c>
      <c r="BR98" s="85" t="str">
        <f>IFERROR(VLOOKUP($B98,'LOD 400 - COLO1'!$B:AW,48,FALSE),"N/A")</f>
        <v>N/A</v>
      </c>
      <c r="BS98" s="84" t="str">
        <f>IFERROR(VLOOKUP($B98,'LOD 400 - COLO1'!$B:AZ,51,FALSE),"N/A")</f>
        <v>N/A</v>
      </c>
      <c r="BT98" s="84" t="str">
        <f>IFERROR(VLOOKUP($B98,'LOD 400 - COLO1'!$B:BC,54,FALSE),"N/A")</f>
        <v>N/A</v>
      </c>
      <c r="BU98" s="84" t="str">
        <f>IFERROR(VLOOKUP($B98,'LOD 400 - COLO1'!$B:BF,57,FALSE),"N/A")</f>
        <v>N/A</v>
      </c>
      <c r="BV98" s="84" t="str">
        <f>IFERROR(VLOOKUP($B98,'LOD 400 - COLO1'!$B:BI,60,FALSE),"N/A")</f>
        <v>N/A</v>
      </c>
      <c r="BW98" s="84" t="str">
        <f>IFERROR(VLOOKUP($B98,'LOD 400 - COLO1'!$B:BL,63,FALSE),"N/A")</f>
        <v>N/A</v>
      </c>
      <c r="BX98" s="84" t="str">
        <f>IFERROR(VLOOKUP($B98,'LOD 400 - COLO1'!$B:BO,66,FALSE),"N/A")</f>
        <v>N/A</v>
      </c>
      <c r="BY98" s="84" t="str">
        <f>IFERROR(VLOOKUP($B98,'LOD 400 - COLO1'!$B:BR,69,FALSE),"N/A")</f>
        <v>N/A</v>
      </c>
      <c r="BZ98" s="84" t="str">
        <f>IFERROR(VLOOKUP($B98,'LOD 400 - COLO1'!$B:BU,72,FALSE),"N/A")</f>
        <v>N/A</v>
      </c>
      <c r="CA98" s="84" t="str">
        <f>IFERROR(VLOOKUP($B98,'LOD 400 - COLO1'!$B:BX,75,FALSE),"N/A")</f>
        <v>N/A</v>
      </c>
      <c r="CB98" s="84" t="str">
        <f>IFERROR(VLOOKUP($B98,'LOD 400 - COLO1'!$B:CA,78,FALSE),"N/A")</f>
        <v>N/A</v>
      </c>
      <c r="CC98" s="84" t="str">
        <f>IFERROR(VLOOKUP($B98,'LOD 400 - COLO1'!$B:CD,81,FALSE),"N/A")</f>
        <v>N/A</v>
      </c>
      <c r="CD98" s="85" t="str">
        <f>IFERROR(VLOOKUP($B98,'LOD 400 - COLO1'!$B:CG,84,FALSE),"N/A")</f>
        <v>N/A</v>
      </c>
      <c r="CE98" s="84" t="str">
        <f>IFERROR(VLOOKUP($B98,'LOD 400 - COLO1'!$B:CJ,87,FALSE),"N/A")</f>
        <v>N/A</v>
      </c>
      <c r="CF98" s="85" t="str">
        <f>IFERROR(VLOOKUP($B98,'LOD 400 - COLO1'!$B:CM,90,FALSE),"N/A")</f>
        <v>N/A</v>
      </c>
      <c r="CG98" s="84" t="str">
        <f>IFERROR(VLOOKUP($B98,'LOD 400 - COLO1'!$B:CP,93,FALSE),"N/A")</f>
        <v>N/A</v>
      </c>
      <c r="CH98" s="84" t="str">
        <f>IFERROR(VLOOKUP($B98,'LOD 400 - COLO1'!$B:CS,96,FALSE),"N/A")</f>
        <v>N/A</v>
      </c>
      <c r="CI98" s="84" t="str">
        <f>IFERROR(VLOOKUP($B98,'LOD 400 - COLO1'!$B:CV,99,FALSE),"N/A")</f>
        <v>N/A</v>
      </c>
      <c r="CJ98" s="84" t="str">
        <f>IFERROR(VLOOKUP($B98,'LOD 400 - COLO1'!$B:CY,102,FALSE),"N/A")</f>
        <v>N/A</v>
      </c>
      <c r="CK98" s="84" t="str">
        <f>IFERROR(VLOOKUP($B98,'LOD 400 - COLO1'!$B:DB,105,FALSE),"N/A")</f>
        <v>N/A</v>
      </c>
      <c r="CL98" s="84" t="str">
        <f>IFERROR(VLOOKUP($B98,'LOD 400 - COLO1'!$B:DE,108,FALSE),"N/A")</f>
        <v>N/A</v>
      </c>
      <c r="CM98" s="84" t="str">
        <f>IFERROR(VLOOKUP($B98,'LOD 400 - COLO1'!$B:DH,111,FALSE),"N/A")</f>
        <v>N/A</v>
      </c>
      <c r="CN98" s="84" t="str">
        <f>IFERROR(VLOOKUP($B98,'LOD 400 - COLO1'!$B:DK,114,FALSE),"N/A")</f>
        <v>N/A</v>
      </c>
      <c r="CO98" s="84" t="str">
        <f>IFERROR(VLOOKUP($B98,'LOD 400 - COLO1'!$B:DN,117,FALSE),"N/A")</f>
        <v>N/A</v>
      </c>
      <c r="CP98" s="86" t="str">
        <f>IFERROR(__xludf.DUMMYFUNCTION("IFERROR(
  MAX(FILTER(BH98:CO98, ISNUMBER(BH98:CO98))),
  CO98
)"),"N/A")</f>
        <v>N/A</v>
      </c>
      <c r="CQ98" s="89" t="str">
        <f>IFERROR(VLOOKUP($B98,'LOD 400 - COLO2'!B:S,18,FALSE),"N/A")</f>
        <v>N/A</v>
      </c>
      <c r="CR98" s="79" t="str">
        <f>IFERROR(VLOOKUP($B98,'LOD 400 - COLO2'!B:V,21,FALSE),"N/A")</f>
        <v>N/A</v>
      </c>
      <c r="CS98" s="79" t="str">
        <f>IFERROR(VLOOKUP($B98,'LOD 400 - COLO2'!$B:Y,24,FALSE),"N/A")</f>
        <v>N/A</v>
      </c>
      <c r="CT98" s="80" t="str">
        <f>IFERROR(VLOOKUP($B98,'LOD 400 - COLO2'!$B:DQ,27,FALSE),"N/A")</f>
        <v>N/A</v>
      </c>
      <c r="CU98" s="90" t="str">
        <f>IFERROR(VLOOKUP($B98,'LOD 400 - COLO2'!$B:AE,30,FALSE),"N/A")</f>
        <v>N/A</v>
      </c>
      <c r="CV98" s="81" t="str">
        <f>IFERROR(VLOOKUP($B98,'LOD 400 - COLO2'!$B:AH,33,FALSE),"N/A")</f>
        <v>N/A</v>
      </c>
      <c r="CW98" s="90" t="str">
        <f>IFERROR(VLOOKUP($B98,'LOD 400 - COLO2'!$B:AK,36,FALSE),"N/A")</f>
        <v>N/A</v>
      </c>
      <c r="CX98" s="85" t="str">
        <f>IFERROR(VLOOKUP($B98,'LOD 400 - COLO2'!$B:AN,39,FALSE),"N/A")</f>
        <v>N/A</v>
      </c>
      <c r="CY98" s="88" t="str">
        <f>IFERROR(VLOOKUP($B98,'LOD 400 - COLO2'!$B:AQ,42,FALSE),"N/A")</f>
        <v>N/A</v>
      </c>
      <c r="CZ98" s="84" t="str">
        <f>IFERROR(VLOOKUP($B98,'LOD 400 - COLO2'!$B:AT,45,FALSE),"N/A")</f>
        <v>N/A</v>
      </c>
      <c r="DA98" s="85" t="str">
        <f>IFERROR(VLOOKUP($B98,'LOD 400 - COLO2'!$B:AW,48,FALSE),"N/A")</f>
        <v>N/A</v>
      </c>
      <c r="DB98" s="84" t="str">
        <f>IFERROR(VLOOKUP($B98,'LOD 400 - COLO2'!$B:AZ,51,FALSE),"N/A")</f>
        <v>N/A</v>
      </c>
      <c r="DC98" s="84" t="str">
        <f>IFERROR(VLOOKUP($B98,'LOD 400 - COLO2'!$B:BC,54,FALSE),"N/A")</f>
        <v>N/A</v>
      </c>
      <c r="DD98" s="84" t="str">
        <f>IFERROR(VLOOKUP($B98,'LOD 400 - COLO2'!$B:BF,57,FALSE),"N/A")</f>
        <v>N/A</v>
      </c>
      <c r="DE98" s="84" t="str">
        <f>IFERROR(VLOOKUP($B98,'LOD 400 - COLO2'!$B:BI,60,FALSE),"N/A")</f>
        <v>N/A</v>
      </c>
      <c r="DF98" s="84" t="str">
        <f>IFERROR(VLOOKUP($B98,'LOD 400 - COLO2'!$B:BL,63,FALSE),"N/A")</f>
        <v>N/A</v>
      </c>
      <c r="DG98" s="84" t="str">
        <f>IFERROR(VLOOKUP($B98,'LOD 400 - COLO2'!$B:BO,66,FALSE),"N/A")</f>
        <v>N/A</v>
      </c>
      <c r="DH98" s="84" t="str">
        <f>IFERROR(VLOOKUP($B98,'LOD 400 - COLO2'!$B:BR,69,FALSE),"N/A")</f>
        <v>N/A</v>
      </c>
      <c r="DI98" s="84" t="str">
        <f>IFERROR(VLOOKUP($B98,'LOD 400 - COLO2'!$B:BU,72,FALSE),"N/A")</f>
        <v>N/A</v>
      </c>
      <c r="DJ98" s="84" t="str">
        <f>IFERROR(VLOOKUP($B98,'LOD 400 - COLO2'!$B:BX,75,FALSE),"N/A")</f>
        <v>N/A</v>
      </c>
      <c r="DK98" s="84" t="str">
        <f>IFERROR(VLOOKUP($B98,'LOD 400 - COLO2'!$B:CA,78,FALSE),"N/A")</f>
        <v>N/A</v>
      </c>
      <c r="DL98" s="84" t="str">
        <f>IFERROR(VLOOKUP($B98,'LOD 400 - COLO2'!$B:CD,81,FALSE),"N/A")</f>
        <v>N/A</v>
      </c>
      <c r="DM98" s="85" t="str">
        <f>IFERROR(VLOOKUP($B98,'LOD 400 - COLO2'!$B:CG,84,FALSE),"N/A")</f>
        <v>N/A</v>
      </c>
      <c r="DN98" s="84" t="str">
        <f>IFERROR(VLOOKUP($B98,'LOD 400 - COLO2'!$B:CJ,87,FALSE),"N/A")</f>
        <v>N/A</v>
      </c>
      <c r="DO98" s="85" t="str">
        <f>IFERROR(VLOOKUP($B98,'LOD 400 - COLO2'!$B:CM,90,FALSE),"N/A")</f>
        <v>N/A</v>
      </c>
      <c r="DP98" s="84" t="str">
        <f>IFERROR(VLOOKUP($B98,'LOD 400 - COLO2'!$B:CP,93,FALSE),"N/A")</f>
        <v>N/A</v>
      </c>
      <c r="DQ98" s="84" t="str">
        <f>IFERROR(VLOOKUP($B98,'LOD 400 - COLO2'!$B:CS,96,FALSE),"N/A")</f>
        <v>N/A</v>
      </c>
      <c r="DR98" s="84" t="str">
        <f>IFERROR(VLOOKUP($B98,'LOD 400 - COLO2'!$B:CV,99,FALSE),"N/A")</f>
        <v>N/A</v>
      </c>
      <c r="DS98" s="84" t="str">
        <f>IFERROR(VLOOKUP($B98,'LOD 400 - COLO2'!$B:CY,102,FALSE),"N/A")</f>
        <v>N/A</v>
      </c>
      <c r="DT98" s="84" t="str">
        <f>IFERROR(VLOOKUP($B98,'LOD 400 - COLO2'!$B:DB,105,FALSE),"N/A")</f>
        <v>N/A</v>
      </c>
      <c r="DU98" s="84" t="str">
        <f>IFERROR(VLOOKUP($B98,'LOD 400 - COLO2'!$B:DE,108,FALSE),"N/A")</f>
        <v>N/A</v>
      </c>
      <c r="DV98" s="84" t="str">
        <f>IFERROR(VLOOKUP($B98,'LOD 400 - COLO2'!$B:DH,111,FALSE),"N/A")</f>
        <v>N/A</v>
      </c>
      <c r="DW98" s="84" t="str">
        <f>IFERROR(VLOOKUP($B98,'LOD 400 - COLO2'!$B:DK,114,FALSE),"N/A")</f>
        <v>N/A</v>
      </c>
      <c r="DX98" s="84" t="str">
        <f>IFERROR(VLOOKUP($B98,'LOD 400 - COLO2'!$B:DN,117,FALSE),"N/A")</f>
        <v>N/A</v>
      </c>
      <c r="DY98" s="91" t="str">
        <f>IFERROR(__xludf.DUMMYFUNCTION("IFERROR(
  MAX(FILTER(CQ98:DW98, ISNUMBER(CQ98:DW98))),
  DW98
)"),"N/A")</f>
        <v>N/A</v>
      </c>
      <c r="DZ98" s="92" t="str">
        <f>IFERROR(VLOOKUP($B98,'LOD 400 - COLO3'!B:S,18,FALSE),"N/A")</f>
        <v>N/A</v>
      </c>
      <c r="EA98" s="84" t="str">
        <f>IFERROR(VLOOKUP($B98,'LOD 400 - COLO3'!B:V,21,FALSE),"N/A")</f>
        <v>N/A</v>
      </c>
      <c r="EB98" s="84" t="str">
        <f>IFERROR(VLOOKUP($B98,'LOD 400 - COLO3'!B:Y,24,FALSE),"N/A")</f>
        <v>N/A</v>
      </c>
      <c r="EC98" s="84" t="str">
        <f>IFERROR(VLOOKUP($B98,'LOD 400 - COLO3'!B:AB,27,FALSE),"N/A")</f>
        <v>N/A</v>
      </c>
      <c r="ED98" s="85" t="str">
        <f>IFERROR(VLOOKUP($B98,'LOD 400 - COLO3'!B:AE,30,FALSE),"N/A")</f>
        <v>N/A</v>
      </c>
      <c r="EE98" s="84" t="str">
        <f>IFERROR(VLOOKUP($B98,'LOD 400 - COLO3'!B:AH,33,FALSE),"N/A")</f>
        <v>N/A</v>
      </c>
      <c r="EF98" s="84" t="str">
        <f>IFERROR(VLOOKUP($B98,'LOD 400 - COLO3'!B:AK,36,FALSE),"N/A")</f>
        <v>N/A</v>
      </c>
      <c r="EG98" s="109" t="str">
        <f>IFERROR(VLOOKUP($B98,'LOD 400 - COLO3'!B:AN,39,FALSE),"N/A")</f>
        <v>N/A</v>
      </c>
      <c r="EH98" s="94" t="str">
        <f>IFERROR(VLOOKUP($B98,'LOD 400 - COLO3'!B:AQ,42,FALSE),"N/A")</f>
        <v>N/A</v>
      </c>
      <c r="EI98" s="94" t="str">
        <f>IFERROR(VLOOKUP($B98,'LOD 400 - COLO3'!B:AT,45,FALSE),"N/A")</f>
        <v>N/A</v>
      </c>
      <c r="EJ98" s="94" t="str">
        <f>IFERROR(VLOOKUP($B98,'LOD 400 - COLO3'!B:AW,48,FALSE),"N/A")</f>
        <v>N/A</v>
      </c>
      <c r="EK98" s="94" t="str">
        <f>IFERROR(VLOOKUP($B98,'LOD 400 - COLO3'!B:AZ,51,FALSE),"N/A")</f>
        <v>N/A</v>
      </c>
      <c r="EL98" s="94" t="str">
        <f>IFERROR(VLOOKUP($B98,'LOD 400 - COLO3'!B:BC,54,FALSE),"N/A")</f>
        <v>N/A</v>
      </c>
      <c r="EM98" s="94" t="str">
        <f>IFERROR(VLOOKUP($B98,'LOD 400 - COLO3'!B:BF,57,FALSE),"N/A")</f>
        <v>N/A</v>
      </c>
      <c r="EN98" s="94" t="str">
        <f>IFERROR(VLOOKUP($B98,'LOD 400 - COLO3'!B:BI,60,FALSE),"N/A")</f>
        <v>N/A</v>
      </c>
      <c r="EO98" s="94" t="str">
        <f>IFERROR(VLOOKUP($B98,'LOD 400 - COLO3'!B:BL,63,FALSE),"N/A")</f>
        <v>N/A</v>
      </c>
      <c r="EP98" s="86" t="str">
        <f>IFERROR(__xludf.DUMMYFUNCTION("IFERROR(
  MAX(FILTER(DZ98:EO98, ISNUMBER(DZ98:EO98))),
  EO98
)"),"N/A")</f>
        <v>N/A</v>
      </c>
      <c r="EQ98" s="95" t="str">
        <f>IFERROR(VLOOKUP($B98,'LOD 400 - COLO4'!B:S,18,FALSE),"N/A")</f>
        <v>N/A</v>
      </c>
      <c r="ER98" s="96" t="str">
        <f>IFERROR(__xludf.DUMMYFUNCTION("IFERROR(
  MAX(FILTER(EQ98, ISNUMBER(EQ98))),
  EQ98
)"),"N/A")</f>
        <v>N/A</v>
      </c>
      <c r="ES98" s="79" t="str">
        <f>IFERROR(VLOOKUP($B98,'LOD 400 - SITE'!B:S,18,FALSE),"N/A")</f>
        <v>NOT PUBLISHED</v>
      </c>
      <c r="ET98" s="80" t="str">
        <f>IFERROR(VLOOKUP($B98,'LOD 400 - SITE'!B:V,21,FALSE),"N/A")</f>
        <v>NOT PUBLISHED</v>
      </c>
      <c r="EU98" s="97" t="str">
        <f>IFERROR(VLOOKUP($B98,'LOD 400 - SITE'!$B:Y,24,FALSE),"N/A")</f>
        <v>NOT PUBLISHED</v>
      </c>
      <c r="EV98" s="80" t="str">
        <f>IFERROR(VLOOKUP($B98,'LOD 400 - SITE'!$B:AB,27,FALSE),"N/A")</f>
        <v>NOT PUBLISHED</v>
      </c>
      <c r="EW98" s="81" t="str">
        <f>IFERROR(VLOOKUP($B98,'LOD 400 - SITE'!$B:AE,30,FALSE),"N/A")</f>
        <v>NOT PUBLISHED</v>
      </c>
      <c r="EX98" s="87" t="str">
        <f>IFERROR(VLOOKUP($B98,'LOD 400 - SITE'!$B:AH,33,FALSE),"N/A")</f>
        <v>NOT PUBLISHED</v>
      </c>
      <c r="EY98" s="87" t="str">
        <f>IFERROR(VLOOKUP($B98,'LOD 400 - SITE'!$B:AK,36,FALSE),"N/A")</f>
        <v>NOT PUBLISHED</v>
      </c>
      <c r="EZ98" s="80" t="str">
        <f>IFERROR(VLOOKUP($B98,'LOD 400 - SITE'!$B:AN,39,FALSE),"N/A")</f>
        <v>NOT PUBLISHED</v>
      </c>
      <c r="FA98" s="82" t="str">
        <f>IFERROR(VLOOKUP($B98,'LOD 400 - SITE'!$B:AQ,42,FALSE),"N/A")</f>
        <v>NOT PUBLISHED</v>
      </c>
      <c r="FB98" s="88" t="str">
        <f>IFERROR(VLOOKUP($B98,'LOD 400 - SITE'!$B:AT,45,FALSE),"N/A")</f>
        <v>NOT PUBLISHED</v>
      </c>
      <c r="FC98" s="84" t="str">
        <f>IFERROR(VLOOKUP($B98,'LOD 400 - SITE'!$B:AW,48,FALSE),"N/A")</f>
        <v>NOT PUBLISHED</v>
      </c>
      <c r="FD98" s="84" t="str">
        <f>IFERROR(VLOOKUP($B98,'LOD 400 - SITE'!$B:AZ,51,FALSE),"N/A")</f>
        <v>NOT PUBLISHED</v>
      </c>
      <c r="FE98" s="84" t="str">
        <f>IFERROR(VLOOKUP($B98,'LOD 400 - SITE'!$B:BC,54,FALSE),"N/A")</f>
        <v>NOT PUBLISHED</v>
      </c>
      <c r="FF98" s="84" t="str">
        <f>IFERROR(VLOOKUP($B98,'LOD 400 - SITE'!$B:BF,57,FALSE),"N/A")</f>
        <v>NOT PUBLISHED</v>
      </c>
      <c r="FG98" s="84" t="str">
        <f>IFERROR(VLOOKUP($B98,'LOD 400 - SITE'!$B:BI,60,FALSE),"N/A")</f>
        <v>NOT PUBLISHED</v>
      </c>
      <c r="FH98" s="84" t="str">
        <f>IFERROR(VLOOKUP($B98,'LOD 400 - SITE'!$B:BL,63,FALSE),"N/A")</f>
        <v>NOT PUBLISHED</v>
      </c>
      <c r="FI98" s="84" t="str">
        <f>IFERROR(VLOOKUP($B98,'LOD 400 - SITE'!$B:BO,66,FALSE),"N/A")</f>
        <v>NOT PUBLISHED</v>
      </c>
      <c r="FJ98" s="84" t="str">
        <f>IFERROR(VLOOKUP($B98,'LOD 400 - SITE'!$B:BR,69,FALSE),"N/A")</f>
        <v>NOT PUBLISHED</v>
      </c>
      <c r="FK98" s="84" t="str">
        <f>IFERROR(VLOOKUP($B98,'LOD 400 - SITE'!$B:BU,72,FALSE),"N/A")</f>
        <v>NOT PUBLISHED</v>
      </c>
      <c r="FL98" s="84" t="str">
        <f>IFERROR(VLOOKUP($B98,'LOD 400 - SITE'!$B:BX,75,FALSE),"N/A")</f>
        <v>NOT PUBLISHED</v>
      </c>
      <c r="FM98" s="84" t="str">
        <f>IFERROR(VLOOKUP($B98,'LOD 400 - SITE'!$B:CA,78,FALSE),"N/A")</f>
        <v>NOT PUBLISHED</v>
      </c>
      <c r="FN98" s="85" t="str">
        <f>IFERROR(VLOOKUP($B98,'LOD 400 - SITE'!$B:CD,81,FALSE),"N/A")</f>
        <v>NOT PUBLISHED</v>
      </c>
      <c r="FO98" s="84" t="str">
        <f>IFERROR(VLOOKUP($B98,'LOD 400 - SITE'!$B:CG,84,FALSE),"N/A")</f>
        <v>NOT PUBLISHED</v>
      </c>
      <c r="FP98" s="85" t="str">
        <f>IFERROR(VLOOKUP($B98,'LOD 400 - SITE'!$B:CJ,87,FALSE),"N/A")</f>
        <v>NOT PUBLISHED</v>
      </c>
      <c r="FQ98" s="84" t="str">
        <f>IFERROR(VLOOKUP($B98,'LOD 400 - SITE'!$B:CM,90,FALSE),"N/A")</f>
        <v>NOT PUBLISHED</v>
      </c>
      <c r="FR98" s="84" t="str">
        <f>IFERROR(VLOOKUP($B98,'LOD 400 - SITE'!$B:CP,93,FALSE),"N/A")</f>
        <v>NOT PUBLISHED</v>
      </c>
      <c r="FS98" s="84" t="str">
        <f>IFERROR(VLOOKUP($B98,'LOD 400 - SITE'!$B:CS,96,FALSE),"N/A")</f>
        <v>NOT PUBLISHED</v>
      </c>
      <c r="FT98" s="84" t="str">
        <f>IFERROR(VLOOKUP($B98,'LOD 400 - SITE'!$B:CV,99,FALSE),"N/A")</f>
        <v>NOT PUBLISHED</v>
      </c>
      <c r="FU98" s="84" t="str">
        <f>IFERROR(VLOOKUP($B98,'LOD 400 - SITE'!$B:CY,102,FALSE),"N/A")</f>
        <v>NOT PUBLISHED</v>
      </c>
      <c r="FV98" s="84" t="str">
        <f>IFERROR(VLOOKUP($B98,'LOD 400 - SITE'!$B:DB,105,FALSE),"N/A")</f>
        <v>NOT PUBLISHED</v>
      </c>
      <c r="FW98" s="84" t="str">
        <f>IFERROR(VLOOKUP($B98,'LOD 400 - SITE'!$B:DE,108,FALSE),"N/A")</f>
        <v>NOT PUBLISHED</v>
      </c>
      <c r="FX98" s="84" t="str">
        <f>IFERROR(VLOOKUP($B98,'LOD 400 - SITE'!$B:DH,111,FALSE),"N/A")</f>
        <v>NOT PUBLISHED</v>
      </c>
      <c r="FY98" s="84" t="str">
        <f>IFERROR(VLOOKUP($B98,'LOD 400 - SITE'!$B:DK,114,FALSE),"N/A")</f>
        <v>NOT PUBLISHED</v>
      </c>
      <c r="FZ98" s="96" t="str">
        <f>IFERROR(__xludf.DUMMYFUNCTION("IFERROR(
  MAX(FILTER(ES98:FY98, ISNUMBER(ES98:FY98))),
  FY98
)"),"NOT PUBLISHED")</f>
        <v>NOT PUBLISHED</v>
      </c>
      <c r="GA98" s="80" t="str">
        <f>IFERROR(VLOOKUP($B98,'LOD 400 - UTLS'!B:S,18,FALSE),"N/A")</f>
        <v>NOT PUBLISHED</v>
      </c>
      <c r="GB98" s="98" t="str">
        <f>IFERROR(VLOOKUP($B98,'LOD 400 - UTLS'!B:V,21,FALSE),"N/A")</f>
        <v>NOT PUBLISHED</v>
      </c>
      <c r="GC98" s="81" t="str">
        <f>IFERROR(VLOOKUP($B98,'LOD 400 - UTLS'!B:Y,24,FALSE),"N/A")</f>
        <v>NOT PUBLISHED</v>
      </c>
      <c r="GD98" s="87" t="str">
        <f>IFERROR(VLOOKUP($B98,'LOD 400 - UTLS'!$B:AB,27,FALSE),"N/A")</f>
        <v>NOT PUBLISHED</v>
      </c>
      <c r="GE98" s="80" t="str">
        <f>IFERROR(VLOOKUP($B98,'LOD 400 - UTLS'!$B:AE,30,FALSE),"N/A")</f>
        <v>NOT PUBLISHED</v>
      </c>
      <c r="GF98" s="82" t="str">
        <f>IFERROR(VLOOKUP($B98,'LOD 400 - UTLS'!$B:AH,33,FALSE),"N/A")</f>
        <v>NOT PUBLISHED</v>
      </c>
      <c r="GG98" s="88" t="str">
        <f>IFERROR(VLOOKUP($B98,'LOD 400 - UTLS'!$B:AK,36,FALSE),"N/A")</f>
        <v>NOT PUBLISHED</v>
      </c>
      <c r="GH98" s="84" t="str">
        <f>IFERROR(VLOOKUP($B98,'LOD 400 - UTLS'!$B:AN,39,FALSE),"N/A")</f>
        <v>NOT PUBLISHED</v>
      </c>
      <c r="GI98" s="84" t="str">
        <f>IFERROR(VLOOKUP($B98,'LOD 400 - UTLS'!$B:AQ,42,FALSE),"N/A")</f>
        <v>NOT PUBLISHED</v>
      </c>
      <c r="GJ98" s="84" t="str">
        <f>IFERROR(VLOOKUP($B98,'LOD 400 - UTLS'!$B:AT,45,FALSE),"N/A")</f>
        <v>NOT PUBLISHED</v>
      </c>
      <c r="GK98" s="84" t="str">
        <f>IFERROR(VLOOKUP($B98,'LOD 400 - UTLS'!$B:AW,48,FALSE),"N/A")</f>
        <v>NOT PUBLISHED</v>
      </c>
      <c r="GL98" s="84" t="str">
        <f>IFERROR(VLOOKUP($B98,'LOD 400 - UTLS'!$B:AZ,51,FALSE),"N/A")</f>
        <v>NOT PUBLISHED</v>
      </c>
      <c r="GM98" s="84" t="str">
        <f>IFERROR(VLOOKUP($B98,'LOD 400 - UTLS'!$B:BC,54,FALSE),"N/A")</f>
        <v>NOT PUBLISHED</v>
      </c>
      <c r="GN98" s="84" t="str">
        <f>IFERROR(VLOOKUP($B98,'LOD 400 - UTLS'!$B:BF,57,FALSE),"N/A")</f>
        <v>NOT PUBLISHED</v>
      </c>
      <c r="GO98" s="84" t="str">
        <f>IFERROR(VLOOKUP($B98,'LOD 400 - UTLS'!$B:BI,60,FALSE),"N/A")</f>
        <v>NOT PUBLISHED</v>
      </c>
      <c r="GP98" s="84" t="str">
        <f>IFERROR(VLOOKUP($B98,'LOD 400 - UTLS'!$B:BL,63,FALSE),"N/A")</f>
        <v>NOT PUBLISHED</v>
      </c>
      <c r="GQ98" s="84" t="str">
        <f>IFERROR(VLOOKUP($B98,'LOD 400 - UTLS'!$B:BO,66,FALSE),"N/A")</f>
        <v>NOT PUBLISHED</v>
      </c>
      <c r="GR98" s="84" t="str">
        <f>IFERROR(VLOOKUP($B98,'LOD 400 - UTLS'!$B:BR,69,FALSE),"N/A")</f>
        <v>NOT PUBLISHED</v>
      </c>
      <c r="GS98" s="85" t="str">
        <f>IFERROR(VLOOKUP($B98,'LOD 400 - UTLS'!$B:BU,72,FALSE),"N/A")</f>
        <v>NOT PUBLISHED</v>
      </c>
      <c r="GT98" s="84" t="str">
        <f>IFERROR(VLOOKUP($B98,'LOD 400 - UTLS'!$B:BX,75,FALSE),"N/A")</f>
        <v>NOT PUBLISHED</v>
      </c>
      <c r="GU98" s="85" t="str">
        <f>IFERROR(VLOOKUP($B98,'LOD 400 - UTLS'!$B:CA,78,FALSE),"N/A")</f>
        <v>NOT PUBLISHED</v>
      </c>
      <c r="GV98" s="84" t="str">
        <f>IFERROR(VLOOKUP($B98,'LOD 400 - UTLS'!$B:CD,81,FALSE),"N/A")</f>
        <v>NOT PUBLISHED</v>
      </c>
      <c r="GW98" s="84" t="str">
        <f>IFERROR(VLOOKUP($B98,'LOD 400 - UTLS'!$B:CG,84,FALSE),"N/A")</f>
        <v>NOT PUBLISHED</v>
      </c>
      <c r="GX98" s="84" t="str">
        <f>IFERROR(VLOOKUP($B98,'LOD 400 - UTLS'!$B:CJ,87,FALSE),"N/A")</f>
        <v>NOT PUBLISHED</v>
      </c>
      <c r="GY98" s="84" t="str">
        <f>IFERROR(VLOOKUP($B98,'LOD 400 - UTLS'!$B:CM,90,FALSE),"N/A")</f>
        <v>NOT PUBLISHED</v>
      </c>
      <c r="GZ98" s="84" t="str">
        <f>IFERROR(VLOOKUP($B98,'LOD 400 - UTLS'!$B:CP,93,FALSE),"N/A")</f>
        <v>NOT PUBLISHED</v>
      </c>
      <c r="HA98" s="84" t="str">
        <f>IFERROR(VLOOKUP($B98,'LOD 400 - UTLS'!$B:CS,96,FALSE),"N/A")</f>
        <v>NOT PUBLISHED</v>
      </c>
      <c r="HB98" s="84" t="str">
        <f>IFERROR(VLOOKUP($B98,'LOD 400 - UTLS'!$B:CV,99,FALSE),"N/A")</f>
        <v>NOT PUBLISHED</v>
      </c>
      <c r="HC98" s="84" t="str">
        <f>IFERROR(VLOOKUP($B98,'LOD 400 - UTLS'!$B:CY,102,FALSE),"N/A")</f>
        <v>NOT PUBLISHED</v>
      </c>
      <c r="HD98" s="84" t="str">
        <f>IFERROR(VLOOKUP($B98,'LOD 400 - UTLS'!$B:DB,105,FALSE),"N/A")</f>
        <v>NOT PUBLISHED</v>
      </c>
      <c r="HE98" s="96" t="str">
        <f>IFERROR(__xludf.DUMMYFUNCTION("IFERROR(
  MAX(FILTER(GA98:HD98, ISNUMBER(GA98:HD98))),
  HD98
)"),"NOT PUBLISHED")</f>
        <v>NOT PUBLISHED</v>
      </c>
      <c r="HF98" s="99"/>
      <c r="HG98" s="99"/>
      <c r="HH98" s="99"/>
      <c r="HI98" s="99"/>
      <c r="HJ98" s="99"/>
      <c r="HK98" s="99"/>
    </row>
    <row r="99" ht="15.0" customHeight="1" outlineLevel="1">
      <c r="A99" s="53">
        <v>103.0</v>
      </c>
      <c r="B99" s="100" t="s">
        <v>285</v>
      </c>
      <c r="C99" s="100" t="s">
        <v>286</v>
      </c>
      <c r="D99" s="64" t="str">
        <f t="shared" si="17"/>
        <v>SITE</v>
      </c>
      <c r="E99" s="111" t="s">
        <v>287</v>
      </c>
      <c r="F99" s="102">
        <v>1124.0</v>
      </c>
      <c r="G99" s="103" t="s">
        <v>105</v>
      </c>
      <c r="H99" s="116">
        <v>0.0</v>
      </c>
      <c r="I99" s="68" t="str">
        <f>IFERROR(VLOOKUP($C96:C108,'R22 RELATÓRIO ACC'!B:F,5,FALSE),"NOT PUBLISHED")</f>
        <v>NOT PUBLISHED</v>
      </c>
      <c r="J99" s="69" t="str">
        <f>IFERROR(VLOOKUP($C96:C108,'R22 RELATÓRIO ACC'!B:P,15,FALSE),"NOT PUBLISHED")</f>
        <v>NOT PUBLISHED</v>
      </c>
      <c r="K99" s="70" t="str">
        <f>IFERROR(VLOOKUP($B96:B108,'RELATÓRIO ACC'!B:F,5,FALSE),"NOT PUBLISHED")</f>
        <v>NOT PUBLISHED</v>
      </c>
      <c r="L99" s="71" t="str">
        <f>IFERROR(VLOOKUP($B96:B108,'RELATÓRIO ACC'!B:P,15,FALSE),"NOT PUBLISHED")</f>
        <v>NOT PUBLISHED</v>
      </c>
      <c r="M99" s="72" t="str">
        <f>IF(OR($D99="UTLS",$D99="GUAR",$D99="STIR",$D99="PUMP",$D99="SITE"),
   VLOOKUP($B99,'LOD 400 - SITE'!B:M,12,FALSE),
   VLOOKUP($B99,'LOD 400 - ADMN'!B:M,12,FALSE)
)</f>
        <v>NOT PUBLISHED</v>
      </c>
      <c r="N99" s="105" t="str">
        <f>IF(OR($D99="UTLS",$D99="GUAR",$D99="STIR",$D99="PUMP",$D99="SITE"),
   VLOOKUP($B99,'LOD 400 - SITE'!B:N,13,FALSE),
   VLOOKUP($B99,'LOD 400 - ADMN'!B:N,13,FALSE)
)</f>
        <v>NOT PUBLISHED</v>
      </c>
      <c r="O99" s="106" t="str">
        <f>IF(OR($D99="UTLS",$D99="GUAR",$D99="STIR",$D99="PUMP",$D99="SITE"),
   VLOOKUP($B99,'LOD 400 - SITE'!B:O,14,FALSE),
   VLOOKUP($B99,'LOD 400 - ADMN'!B:O,14,FALSE)
)</f>
        <v>NOT PUBLISHED</v>
      </c>
      <c r="P99" s="107" t="str">
        <f>IF(OR($D99="C345",$D99="C12A",$D99="DATA"),
   VLOOKUP($B99,'LOD 400 - COLO3'!B:M,12,FALSE),"N/A")</f>
        <v>N/A</v>
      </c>
      <c r="Q99" s="108" t="str">
        <f>IF(OR($D99="C345",$D99="C12A",$D99="DATA"),
   VLOOKUP($B99,'LOD 400 - COLO3'!B:N,13,FALSE),"N/A")</f>
        <v>N/A</v>
      </c>
      <c r="R99" s="75" t="str">
        <f>IF(OR($D99="C345",$D99="C12A",$D99="DATA"),
   VLOOKUP($B99,'LOD 400 - COLO3'!B:O,14,FALSE),"N/A")</f>
        <v>N/A</v>
      </c>
      <c r="S99" s="76" t="str">
        <f>IF(OR($D99="C345",$D99="C12A",$D99="DATA"),
   VLOOKUP($B99,'LOD 400 - COLO4'!B:N,12,FALSE),"N/A")</f>
        <v>N/A</v>
      </c>
      <c r="T99" s="76" t="str">
        <f>IF(OR($D99="C345",$D99="C12A",$D99="DATA"),
   VLOOKUP($B99,'LOD 400 - COLO4'!B:N,13,FALSE),"N/A")</f>
        <v>N/A</v>
      </c>
      <c r="U99" s="76" t="str">
        <f>IF(OR($D99="C345",$D99="C12A",$D99="DATA"),
   VLOOKUP($B99,'LOD 400 - COLO4'!B:N,13,FALSE),"N/A")</f>
        <v>N/A</v>
      </c>
      <c r="V99" s="77" t="str">
        <f>IF(OR($D99="UTLS",$D99="GUAR",$D99="STIR",$D99="PUMP",$D99="SITE"),
   VLOOKUP($B99,'LOD 400 - UTLS'!B:M,12,FALSE),"N/A")</f>
        <v>NOT PUBLISHED</v>
      </c>
      <c r="W99" s="78" t="str">
        <f>IF(OR($D99="UTLS",$D99="GUAR",$D99="STIR",$D99="PUMP",$D99="SITE"),
   VLOOKUP($B99,'LOD 400 - UTLS'!B:N,13,FALSE),"N/A")</f>
        <v>NOT PUBLISHED</v>
      </c>
      <c r="X99" s="108" t="str">
        <f>IF(OR($D99="UTLS",$D99="GUAR",$D99="STIR",$D99="PUMP",$D99="SITE"),
   VLOOKUP($B99,'LOD 400 - UTLS'!B:O,14,FALSE),"N/A")</f>
        <v>NOT PUBLISHED</v>
      </c>
      <c r="Y99" s="79" t="str">
        <f>IFERROR(VLOOKUP($B99,'LOD 400 - ADMN'!B:S,18,FALSE),"N/A")</f>
        <v>N/A</v>
      </c>
      <c r="Z99" s="79" t="str">
        <f>IFERROR(VLOOKUP($B99,'LOD 400 - ADMN'!B:V,21,FALSE),"N/A")</f>
        <v>N/A</v>
      </c>
      <c r="AA99" s="79" t="str">
        <f>IFERROR(VLOOKUP($B99,'LOD 400 - ADMN'!$B:Y,24,FALSE),"N/A")</f>
        <v>N/A</v>
      </c>
      <c r="AB99" s="80" t="str">
        <f>IFERROR(VLOOKUP($B99,'LOD 400 - ADMN'!$B:AB,27,FALSE),"N/A")</f>
        <v>N/A</v>
      </c>
      <c r="AC99" s="81" t="str">
        <f>IFERROR(VLOOKUP($B99,'LOD 400 - ADMN'!$B:AE,30,FALSE),"N/A")</f>
        <v>N/A</v>
      </c>
      <c r="AD99" s="81" t="str">
        <f>IFERROR(VLOOKUP($B99,'LOD 400 - ADMN'!$B:AH,33,FALSE),"N/A")</f>
        <v>N/A</v>
      </c>
      <c r="AE99" s="80" t="str">
        <f>IFERROR(VLOOKUP($B99,'LOD 400 - ADMN'!$B:AK,36,FALSE),"N/A")</f>
        <v>N/A</v>
      </c>
      <c r="AF99" s="82" t="str">
        <f>IFERROR(VLOOKUP($B99,'LOD 400 - ADMN'!$B:AN,39,FALSE),"N/A")</f>
        <v>N/A</v>
      </c>
      <c r="AG99" s="83" t="str">
        <f>IFERROR(VLOOKUP($B99,'LOD 400 - ADMN'!$B:AQ,42,FALSE),"N/A")</f>
        <v>N/A</v>
      </c>
      <c r="AH99" s="84" t="str">
        <f>IFERROR(VLOOKUP($B99,'LOD 400 - ADMN'!$B:AT,45,FALSE),"N/A")</f>
        <v>N/A</v>
      </c>
      <c r="AI99" s="85" t="str">
        <f>IFERROR(VLOOKUP($B99,'LOD 400 - ADMN'!$B:AW,48,FALSE),"N/A")</f>
        <v>N/A</v>
      </c>
      <c r="AJ99" s="85" t="str">
        <f>IFERROR(VLOOKUP($B99,'LOD 400 - ADMN'!$B:AZ,51,FALSE),"N/A")</f>
        <v>N/A</v>
      </c>
      <c r="AK99" s="84" t="str">
        <f>IFERROR(VLOOKUP($B99,'LOD 400 - ADMN'!$B:BC,54,FALSE),"N/A")</f>
        <v>N/A</v>
      </c>
      <c r="AL99" s="84" t="str">
        <f>IFERROR(VLOOKUP($B99,'LOD 400 - ADMN'!$B:BF,57,FALSE),"N/A")</f>
        <v>N/A</v>
      </c>
      <c r="AM99" s="84" t="str">
        <f>IFERROR(VLOOKUP($B99,'LOD 400 - ADMN'!$B:BI,60,FALSE),"N/A")</f>
        <v>N/A</v>
      </c>
      <c r="AN99" s="84" t="str">
        <f>IFERROR(VLOOKUP($B99,'LOD 400 - ADMN'!$B:BL,63,FALSE),"N/A")</f>
        <v>N/A</v>
      </c>
      <c r="AO99" s="84" t="str">
        <f>IFERROR(VLOOKUP($B99,'LOD 400 - ADMN'!$B:BO,66,FALSE),"N/A")</f>
        <v>N/A</v>
      </c>
      <c r="AP99" s="84" t="str">
        <f>IFERROR(VLOOKUP($B99,'LOD 400 - ADMN'!$B:BR,69,FALSE),"N/A")</f>
        <v>N/A</v>
      </c>
      <c r="AQ99" s="84" t="str">
        <f>IFERROR(VLOOKUP($B99,'LOD 400 - ADMN'!$B:BU,72,FALSE),"N/A")</f>
        <v>N/A</v>
      </c>
      <c r="AR99" s="84" t="str">
        <f>IFERROR(VLOOKUP($B99,'LOD 400 - ADMN'!$B:BX,75,FALSE),"N/A")</f>
        <v>N/A</v>
      </c>
      <c r="AS99" s="84" t="str">
        <f>IFERROR(VLOOKUP($B99,'LOD 400 - ADMN'!$B:CA,78,FALSE),"N/A")</f>
        <v>N/A</v>
      </c>
      <c r="AT99" s="84" t="str">
        <f>IFERROR(VLOOKUP($B99,'LOD 400 - ADMN'!$B:CD,81,FALSE),"N/A")</f>
        <v>N/A</v>
      </c>
      <c r="AU99" s="85" t="str">
        <f>IFERROR(VLOOKUP($B99,'LOD 400 - ADMN'!$B:CG,84,FALSE),"N/A")</f>
        <v>N/A</v>
      </c>
      <c r="AV99" s="84" t="str">
        <f>IFERROR(VLOOKUP($B99,'LOD 400 - ADMN'!$B:CJ,87,FALSE),"N/A")</f>
        <v>N/A</v>
      </c>
      <c r="AW99" s="85" t="str">
        <f>IFERROR(VLOOKUP($B99,'LOD 400 - ADMN'!$B:CM,90,FALSE),"N/A")</f>
        <v>N/A</v>
      </c>
      <c r="AX99" s="84" t="str">
        <f>IFERROR(VLOOKUP($B99,'LOD 400 - ADMN'!$B:CP,93,FALSE),"N/A")</f>
        <v>N/A</v>
      </c>
      <c r="AY99" s="84" t="str">
        <f>IFERROR(VLOOKUP($B99,'LOD 400 - ADMN'!$B:CS,96,FALSE),"N/A")</f>
        <v>N/A</v>
      </c>
      <c r="AZ99" s="84" t="str">
        <f>IFERROR(VLOOKUP($B99,'LOD 400 - ADMN'!$B:CV,99,FALSE),"N/A")</f>
        <v>N/A</v>
      </c>
      <c r="BA99" s="84" t="str">
        <f>IFERROR(VLOOKUP($B99,'LOD 400 - ADMN'!$B:CY,102,FALSE),"N/A")</f>
        <v>N/A</v>
      </c>
      <c r="BB99" s="84" t="str">
        <f>IFERROR(VLOOKUP($B99,'LOD 400 - ADMN'!$B:DB,105,FALSE),"N/A")</f>
        <v>N/A</v>
      </c>
      <c r="BC99" s="84" t="str">
        <f>IFERROR(VLOOKUP($B99,'LOD 400 - ADMN'!$B:DE,108,FALSE),"N/A")</f>
        <v>N/A</v>
      </c>
      <c r="BD99" s="84" t="str">
        <f>IFERROR(VLOOKUP($B99,'LOD 400 - ADMN'!$B:DH,111,FALSE),"N/A")</f>
        <v>N/A</v>
      </c>
      <c r="BE99" s="84" t="str">
        <f>IFERROR(VLOOKUP($B99,'LOD 400 - ADMN'!$B:DK,114,FALSE),"N/A")</f>
        <v>N/A</v>
      </c>
      <c r="BF99" s="84" t="str">
        <f>IFERROR(VLOOKUP($B99,'LOD 400 - ADMN'!$B:DN,117,FALSE),"N/A")</f>
        <v>N/A</v>
      </c>
      <c r="BG99" s="86" t="str">
        <f>IFERROR(__xludf.DUMMYFUNCTION("IFERROR(
  MAX(FILTER(Y99:BF99, ISNUMBER(Y99:BF99))),
  BF99
)"),"N/A")</f>
        <v>N/A</v>
      </c>
      <c r="BH99" s="79" t="str">
        <f>IFERROR(VLOOKUP($B99,'LOD 400 - COLO1'!B:S,18,FALSE),"N/A")</f>
        <v>N/A</v>
      </c>
      <c r="BI99" s="79" t="str">
        <f>IFERROR(VLOOKUP($B99,'LOD 400 - COLO1'!B:V,21,FALSE),"N/A")</f>
        <v>N/A</v>
      </c>
      <c r="BJ99" s="79" t="str">
        <f>IFERROR(VLOOKUP($B99,'LOD 400 - COLO1'!$B:Y,24,FALSE),"N/A")</f>
        <v>N/A</v>
      </c>
      <c r="BK99" s="87" t="str">
        <f>IFERROR(VLOOKUP($B99,'LOD 400 - COLO1'!$B:AB,27,FALSE),"N/A")</f>
        <v>N/A</v>
      </c>
      <c r="BL99" s="80" t="str">
        <f>IFERROR(VLOOKUP($B99,'LOD 400 - COLO1'!$B:AE,30,FALSE),"N/A")</f>
        <v>N/A</v>
      </c>
      <c r="BM99" s="81" t="str">
        <f>IFERROR(VLOOKUP($B99,'LOD 400 - COLO1'!$B:AH,33,FALSE),"N/A")</f>
        <v>N/A</v>
      </c>
      <c r="BN99" s="87" t="str">
        <f>IFERROR(VLOOKUP($B99,'LOD 400 - COLO1'!$B:AK,36,FALSE),"N/A")</f>
        <v>N/A</v>
      </c>
      <c r="BO99" s="83" t="str">
        <f>IFERROR(VLOOKUP($B99,'LOD 400 - COLO1'!$B:AN,39,FALSE),"N/A")</f>
        <v>N/A</v>
      </c>
      <c r="BP99" s="88" t="str">
        <f>IFERROR(VLOOKUP($B99,'LOD 400 - COLO1'!$B:AQ,42,FALSE),"N/A")</f>
        <v>N/A</v>
      </c>
      <c r="BQ99" s="84" t="str">
        <f>IFERROR(VLOOKUP($B99,'LOD 400 - COLO1'!$B:AT,45,FALSE),"N/A")</f>
        <v>N/A</v>
      </c>
      <c r="BR99" s="85" t="str">
        <f>IFERROR(VLOOKUP($B99,'LOD 400 - COLO1'!$B:AW,48,FALSE),"N/A")</f>
        <v>N/A</v>
      </c>
      <c r="BS99" s="84" t="str">
        <f>IFERROR(VLOOKUP($B99,'LOD 400 - COLO1'!$B:AZ,51,FALSE),"N/A")</f>
        <v>N/A</v>
      </c>
      <c r="BT99" s="84" t="str">
        <f>IFERROR(VLOOKUP($B99,'LOD 400 - COLO1'!$B:BC,54,FALSE),"N/A")</f>
        <v>N/A</v>
      </c>
      <c r="BU99" s="84" t="str">
        <f>IFERROR(VLOOKUP($B99,'LOD 400 - COLO1'!$B:BF,57,FALSE),"N/A")</f>
        <v>N/A</v>
      </c>
      <c r="BV99" s="84" t="str">
        <f>IFERROR(VLOOKUP($B99,'LOD 400 - COLO1'!$B:BI,60,FALSE),"N/A")</f>
        <v>N/A</v>
      </c>
      <c r="BW99" s="84" t="str">
        <f>IFERROR(VLOOKUP($B99,'LOD 400 - COLO1'!$B:BL,63,FALSE),"N/A")</f>
        <v>N/A</v>
      </c>
      <c r="BX99" s="84" t="str">
        <f>IFERROR(VLOOKUP($B99,'LOD 400 - COLO1'!$B:BO,66,FALSE),"N/A")</f>
        <v>N/A</v>
      </c>
      <c r="BY99" s="84" t="str">
        <f>IFERROR(VLOOKUP($B99,'LOD 400 - COLO1'!$B:BR,69,FALSE),"N/A")</f>
        <v>N/A</v>
      </c>
      <c r="BZ99" s="84" t="str">
        <f>IFERROR(VLOOKUP($B99,'LOD 400 - COLO1'!$B:BU,72,FALSE),"N/A")</f>
        <v>N/A</v>
      </c>
      <c r="CA99" s="84" t="str">
        <f>IFERROR(VLOOKUP($B99,'LOD 400 - COLO1'!$B:BX,75,FALSE),"N/A")</f>
        <v>N/A</v>
      </c>
      <c r="CB99" s="84" t="str">
        <f>IFERROR(VLOOKUP($B99,'LOD 400 - COLO1'!$B:CA,78,FALSE),"N/A")</f>
        <v>N/A</v>
      </c>
      <c r="CC99" s="84" t="str">
        <f>IFERROR(VLOOKUP($B99,'LOD 400 - COLO1'!$B:CD,81,FALSE),"N/A")</f>
        <v>N/A</v>
      </c>
      <c r="CD99" s="85" t="str">
        <f>IFERROR(VLOOKUP($B99,'LOD 400 - COLO1'!$B:CG,84,FALSE),"N/A")</f>
        <v>N/A</v>
      </c>
      <c r="CE99" s="84" t="str">
        <f>IFERROR(VLOOKUP($B99,'LOD 400 - COLO1'!$B:CJ,87,FALSE),"N/A")</f>
        <v>N/A</v>
      </c>
      <c r="CF99" s="85" t="str">
        <f>IFERROR(VLOOKUP($B99,'LOD 400 - COLO1'!$B:CM,90,FALSE),"N/A")</f>
        <v>N/A</v>
      </c>
      <c r="CG99" s="84" t="str">
        <f>IFERROR(VLOOKUP($B99,'LOD 400 - COLO1'!$B:CP,93,FALSE),"N/A")</f>
        <v>N/A</v>
      </c>
      <c r="CH99" s="84" t="str">
        <f>IFERROR(VLOOKUP($B99,'LOD 400 - COLO1'!$B:CS,96,FALSE),"N/A")</f>
        <v>N/A</v>
      </c>
      <c r="CI99" s="84" t="str">
        <f>IFERROR(VLOOKUP($B99,'LOD 400 - COLO1'!$B:CV,99,FALSE),"N/A")</f>
        <v>N/A</v>
      </c>
      <c r="CJ99" s="84" t="str">
        <f>IFERROR(VLOOKUP($B99,'LOD 400 - COLO1'!$B:CY,102,FALSE),"N/A")</f>
        <v>N/A</v>
      </c>
      <c r="CK99" s="84" t="str">
        <f>IFERROR(VLOOKUP($B99,'LOD 400 - COLO1'!$B:DB,105,FALSE),"N/A")</f>
        <v>N/A</v>
      </c>
      <c r="CL99" s="84" t="str">
        <f>IFERROR(VLOOKUP($B99,'LOD 400 - COLO1'!$B:DE,108,FALSE),"N/A")</f>
        <v>N/A</v>
      </c>
      <c r="CM99" s="84" t="str">
        <f>IFERROR(VLOOKUP($B99,'LOD 400 - COLO1'!$B:DH,111,FALSE),"N/A")</f>
        <v>N/A</v>
      </c>
      <c r="CN99" s="84" t="str">
        <f>IFERROR(VLOOKUP($B99,'LOD 400 - COLO1'!$B:DK,114,FALSE),"N/A")</f>
        <v>N/A</v>
      </c>
      <c r="CO99" s="84" t="str">
        <f>IFERROR(VLOOKUP($B99,'LOD 400 - COLO1'!$B:DN,117,FALSE),"N/A")</f>
        <v>N/A</v>
      </c>
      <c r="CP99" s="86" t="str">
        <f>IFERROR(__xludf.DUMMYFUNCTION("IFERROR(
  MAX(FILTER(BH99:CO99, ISNUMBER(BH99:CO99))),
  CO99
)"),"N/A")</f>
        <v>N/A</v>
      </c>
      <c r="CQ99" s="89" t="str">
        <f>IFERROR(VLOOKUP($B99,'LOD 400 - COLO2'!B:S,18,FALSE),"N/A")</f>
        <v>N/A</v>
      </c>
      <c r="CR99" s="79" t="str">
        <f>IFERROR(VLOOKUP($B99,'LOD 400 - COLO2'!B:V,21,FALSE),"N/A")</f>
        <v>N/A</v>
      </c>
      <c r="CS99" s="79" t="str">
        <f>IFERROR(VLOOKUP($B99,'LOD 400 - COLO2'!$B:Y,24,FALSE),"N/A")</f>
        <v>N/A</v>
      </c>
      <c r="CT99" s="80" t="str">
        <f>IFERROR(VLOOKUP($B99,'LOD 400 - COLO2'!$B:DQ,27,FALSE),"N/A")</f>
        <v>N/A</v>
      </c>
      <c r="CU99" s="90" t="str">
        <f>IFERROR(VLOOKUP($B99,'LOD 400 - COLO2'!$B:AE,30,FALSE),"N/A")</f>
        <v>N/A</v>
      </c>
      <c r="CV99" s="81" t="str">
        <f>IFERROR(VLOOKUP($B99,'LOD 400 - COLO2'!$B:AH,33,FALSE),"N/A")</f>
        <v>N/A</v>
      </c>
      <c r="CW99" s="90" t="str">
        <f>IFERROR(VLOOKUP($B99,'LOD 400 - COLO2'!$B:AK,36,FALSE),"N/A")</f>
        <v>N/A</v>
      </c>
      <c r="CX99" s="85" t="str">
        <f>IFERROR(VLOOKUP($B99,'LOD 400 - COLO2'!$B:AN,39,FALSE),"N/A")</f>
        <v>N/A</v>
      </c>
      <c r="CY99" s="88" t="str">
        <f>IFERROR(VLOOKUP($B99,'LOD 400 - COLO2'!$B:AQ,42,FALSE),"N/A")</f>
        <v>N/A</v>
      </c>
      <c r="CZ99" s="84" t="str">
        <f>IFERROR(VLOOKUP($B99,'LOD 400 - COLO2'!$B:AT,45,FALSE),"N/A")</f>
        <v>N/A</v>
      </c>
      <c r="DA99" s="85" t="str">
        <f>IFERROR(VLOOKUP($B99,'LOD 400 - COLO2'!$B:AW,48,FALSE),"N/A")</f>
        <v>N/A</v>
      </c>
      <c r="DB99" s="84" t="str">
        <f>IFERROR(VLOOKUP($B99,'LOD 400 - COLO2'!$B:AZ,51,FALSE),"N/A")</f>
        <v>N/A</v>
      </c>
      <c r="DC99" s="84" t="str">
        <f>IFERROR(VLOOKUP($B99,'LOD 400 - COLO2'!$B:BC,54,FALSE),"N/A")</f>
        <v>N/A</v>
      </c>
      <c r="DD99" s="84" t="str">
        <f>IFERROR(VLOOKUP($B99,'LOD 400 - COLO2'!$B:BF,57,FALSE),"N/A")</f>
        <v>N/A</v>
      </c>
      <c r="DE99" s="84" t="str">
        <f>IFERROR(VLOOKUP($B99,'LOD 400 - COLO2'!$B:BI,60,FALSE),"N/A")</f>
        <v>N/A</v>
      </c>
      <c r="DF99" s="84" t="str">
        <f>IFERROR(VLOOKUP($B99,'LOD 400 - COLO2'!$B:BL,63,FALSE),"N/A")</f>
        <v>N/A</v>
      </c>
      <c r="DG99" s="84" t="str">
        <f>IFERROR(VLOOKUP($B99,'LOD 400 - COLO2'!$B:BO,66,FALSE),"N/A")</f>
        <v>N/A</v>
      </c>
      <c r="DH99" s="84" t="str">
        <f>IFERROR(VLOOKUP($B99,'LOD 400 - COLO2'!$B:BR,69,FALSE),"N/A")</f>
        <v>N/A</v>
      </c>
      <c r="DI99" s="84" t="str">
        <f>IFERROR(VLOOKUP($B99,'LOD 400 - COLO2'!$B:BU,72,FALSE),"N/A")</f>
        <v>N/A</v>
      </c>
      <c r="DJ99" s="84" t="str">
        <f>IFERROR(VLOOKUP($B99,'LOD 400 - COLO2'!$B:BX,75,FALSE),"N/A")</f>
        <v>N/A</v>
      </c>
      <c r="DK99" s="84" t="str">
        <f>IFERROR(VLOOKUP($B99,'LOD 400 - COLO2'!$B:CA,78,FALSE),"N/A")</f>
        <v>N/A</v>
      </c>
      <c r="DL99" s="84" t="str">
        <f>IFERROR(VLOOKUP($B99,'LOD 400 - COLO2'!$B:CD,81,FALSE),"N/A")</f>
        <v>N/A</v>
      </c>
      <c r="DM99" s="85" t="str">
        <f>IFERROR(VLOOKUP($B99,'LOD 400 - COLO2'!$B:CG,84,FALSE),"N/A")</f>
        <v>N/A</v>
      </c>
      <c r="DN99" s="84" t="str">
        <f>IFERROR(VLOOKUP($B99,'LOD 400 - COLO2'!$B:CJ,87,FALSE),"N/A")</f>
        <v>N/A</v>
      </c>
      <c r="DO99" s="85" t="str">
        <f>IFERROR(VLOOKUP($B99,'LOD 400 - COLO2'!$B:CM,90,FALSE),"N/A")</f>
        <v>N/A</v>
      </c>
      <c r="DP99" s="84" t="str">
        <f>IFERROR(VLOOKUP($B99,'LOD 400 - COLO2'!$B:CP,93,FALSE),"N/A")</f>
        <v>N/A</v>
      </c>
      <c r="DQ99" s="84" t="str">
        <f>IFERROR(VLOOKUP($B99,'LOD 400 - COLO2'!$B:CS,96,FALSE),"N/A")</f>
        <v>N/A</v>
      </c>
      <c r="DR99" s="84" t="str">
        <f>IFERROR(VLOOKUP($B99,'LOD 400 - COLO2'!$B:CV,99,FALSE),"N/A")</f>
        <v>N/A</v>
      </c>
      <c r="DS99" s="84" t="str">
        <f>IFERROR(VLOOKUP($B99,'LOD 400 - COLO2'!$B:CY,102,FALSE),"N/A")</f>
        <v>N/A</v>
      </c>
      <c r="DT99" s="84" t="str">
        <f>IFERROR(VLOOKUP($B99,'LOD 400 - COLO2'!$B:DB,105,FALSE),"N/A")</f>
        <v>N/A</v>
      </c>
      <c r="DU99" s="84" t="str">
        <f>IFERROR(VLOOKUP($B99,'LOD 400 - COLO2'!$B:DE,108,FALSE),"N/A")</f>
        <v>N/A</v>
      </c>
      <c r="DV99" s="84" t="str">
        <f>IFERROR(VLOOKUP($B99,'LOD 400 - COLO2'!$B:DH,111,FALSE),"N/A")</f>
        <v>N/A</v>
      </c>
      <c r="DW99" s="84" t="str">
        <f>IFERROR(VLOOKUP($B99,'LOD 400 - COLO2'!$B:DK,114,FALSE),"N/A")</f>
        <v>N/A</v>
      </c>
      <c r="DX99" s="84" t="str">
        <f>IFERROR(VLOOKUP($B99,'LOD 400 - COLO2'!$B:DN,117,FALSE),"N/A")</f>
        <v>N/A</v>
      </c>
      <c r="DY99" s="91" t="str">
        <f>IFERROR(__xludf.DUMMYFUNCTION("IFERROR(
  MAX(FILTER(CQ99:DW99, ISNUMBER(CQ99:DW99))),
  DW99
)"),"N/A")</f>
        <v>N/A</v>
      </c>
      <c r="DZ99" s="92" t="str">
        <f>IFERROR(VLOOKUP($B99,'LOD 400 - COLO3'!B:S,18,FALSE),"N/A")</f>
        <v>N/A</v>
      </c>
      <c r="EA99" s="84" t="str">
        <f>IFERROR(VLOOKUP($B99,'LOD 400 - COLO3'!B:V,21,FALSE),"N/A")</f>
        <v>N/A</v>
      </c>
      <c r="EB99" s="84" t="str">
        <f>IFERROR(VLOOKUP($B99,'LOD 400 - COLO3'!B:Y,24,FALSE),"N/A")</f>
        <v>N/A</v>
      </c>
      <c r="EC99" s="84" t="str">
        <f>IFERROR(VLOOKUP($B99,'LOD 400 - COLO3'!B:AB,27,FALSE),"N/A")</f>
        <v>N/A</v>
      </c>
      <c r="ED99" s="85" t="str">
        <f>IFERROR(VLOOKUP($B99,'LOD 400 - COLO3'!B:AE,30,FALSE),"N/A")</f>
        <v>N/A</v>
      </c>
      <c r="EE99" s="84" t="str">
        <f>IFERROR(VLOOKUP($B99,'LOD 400 - COLO3'!B:AH,33,FALSE),"N/A")</f>
        <v>N/A</v>
      </c>
      <c r="EF99" s="84" t="str">
        <f>IFERROR(VLOOKUP($B99,'LOD 400 - COLO3'!B:AK,36,FALSE),"N/A")</f>
        <v>N/A</v>
      </c>
      <c r="EG99" s="109" t="str">
        <f>IFERROR(VLOOKUP($B99,'LOD 400 - COLO3'!B:AN,39,FALSE),"N/A")</f>
        <v>N/A</v>
      </c>
      <c r="EH99" s="94" t="str">
        <f>IFERROR(VLOOKUP($B99,'LOD 400 - COLO3'!B:AQ,42,FALSE),"N/A")</f>
        <v>N/A</v>
      </c>
      <c r="EI99" s="94" t="str">
        <f>IFERROR(VLOOKUP($B99,'LOD 400 - COLO3'!B:AT,45,FALSE),"N/A")</f>
        <v>N/A</v>
      </c>
      <c r="EJ99" s="94" t="str">
        <f>IFERROR(VLOOKUP($B99,'LOD 400 - COLO3'!B:AW,48,FALSE),"N/A")</f>
        <v>N/A</v>
      </c>
      <c r="EK99" s="94" t="str">
        <f>IFERROR(VLOOKUP($B99,'LOD 400 - COLO3'!B:AZ,51,FALSE),"N/A")</f>
        <v>N/A</v>
      </c>
      <c r="EL99" s="94" t="str">
        <f>IFERROR(VLOOKUP($B99,'LOD 400 - COLO3'!B:BC,54,FALSE),"N/A")</f>
        <v>N/A</v>
      </c>
      <c r="EM99" s="94" t="str">
        <f>IFERROR(VLOOKUP($B99,'LOD 400 - COLO3'!B:BF,57,FALSE),"N/A")</f>
        <v>N/A</v>
      </c>
      <c r="EN99" s="94" t="str">
        <f>IFERROR(VLOOKUP($B99,'LOD 400 - COLO3'!B:BI,60,FALSE),"N/A")</f>
        <v>N/A</v>
      </c>
      <c r="EO99" s="94" t="str">
        <f>IFERROR(VLOOKUP($B99,'LOD 400 - COLO3'!B:BL,63,FALSE),"N/A")</f>
        <v>N/A</v>
      </c>
      <c r="EP99" s="86" t="str">
        <f>IFERROR(__xludf.DUMMYFUNCTION("IFERROR(
  MAX(FILTER(DZ99:EO99, ISNUMBER(DZ99:EO99))),
  EO99
)"),"N/A")</f>
        <v>N/A</v>
      </c>
      <c r="EQ99" s="95" t="str">
        <f>IFERROR(VLOOKUP($B99,'LOD 400 - COLO4'!B:S,18,FALSE),"N/A")</f>
        <v>N/A</v>
      </c>
      <c r="ER99" s="96" t="str">
        <f>IFERROR(__xludf.DUMMYFUNCTION("IFERROR(
  MAX(FILTER(EQ99, ISNUMBER(EQ99))),
  EQ99
)"),"N/A")</f>
        <v>N/A</v>
      </c>
      <c r="ES99" s="79" t="str">
        <f>IFERROR(VLOOKUP($B99,'LOD 400 - SITE'!B:S,18,FALSE),"N/A")</f>
        <v>NOT PUBLISHED</v>
      </c>
      <c r="ET99" s="80" t="str">
        <f>IFERROR(VLOOKUP($B99,'LOD 400 - SITE'!B:V,21,FALSE),"N/A")</f>
        <v>NOT PUBLISHED</v>
      </c>
      <c r="EU99" s="97" t="str">
        <f>IFERROR(VLOOKUP($B99,'LOD 400 - SITE'!$B:Y,24,FALSE),"N/A")</f>
        <v>NOT PUBLISHED</v>
      </c>
      <c r="EV99" s="80" t="str">
        <f>IFERROR(VLOOKUP($B99,'LOD 400 - SITE'!$B:AB,27,FALSE),"N/A")</f>
        <v>NOT PUBLISHED</v>
      </c>
      <c r="EW99" s="81" t="str">
        <f>IFERROR(VLOOKUP($B99,'LOD 400 - SITE'!$B:AE,30,FALSE),"N/A")</f>
        <v>NOT PUBLISHED</v>
      </c>
      <c r="EX99" s="87" t="str">
        <f>IFERROR(VLOOKUP($B99,'LOD 400 - SITE'!$B:AH,33,FALSE),"N/A")</f>
        <v>NOT PUBLISHED</v>
      </c>
      <c r="EY99" s="87" t="str">
        <f>IFERROR(VLOOKUP($B99,'LOD 400 - SITE'!$B:AK,36,FALSE),"N/A")</f>
        <v>NOT PUBLISHED</v>
      </c>
      <c r="EZ99" s="80" t="str">
        <f>IFERROR(VLOOKUP($B99,'LOD 400 - SITE'!$B:AN,39,FALSE),"N/A")</f>
        <v>NOT PUBLISHED</v>
      </c>
      <c r="FA99" s="82" t="str">
        <f>IFERROR(VLOOKUP($B99,'LOD 400 - SITE'!$B:AQ,42,FALSE),"N/A")</f>
        <v>NOT PUBLISHED</v>
      </c>
      <c r="FB99" s="88" t="str">
        <f>IFERROR(VLOOKUP($B99,'LOD 400 - SITE'!$B:AT,45,FALSE),"N/A")</f>
        <v>NOT PUBLISHED</v>
      </c>
      <c r="FC99" s="84" t="str">
        <f>IFERROR(VLOOKUP($B99,'LOD 400 - SITE'!$B:AW,48,FALSE),"N/A")</f>
        <v>NOT PUBLISHED</v>
      </c>
      <c r="FD99" s="84" t="str">
        <f>IFERROR(VLOOKUP($B99,'LOD 400 - SITE'!$B:AZ,51,FALSE),"N/A")</f>
        <v>NOT PUBLISHED</v>
      </c>
      <c r="FE99" s="84" t="str">
        <f>IFERROR(VLOOKUP($B99,'LOD 400 - SITE'!$B:BC,54,FALSE),"N/A")</f>
        <v>NOT PUBLISHED</v>
      </c>
      <c r="FF99" s="84" t="str">
        <f>IFERROR(VLOOKUP($B99,'LOD 400 - SITE'!$B:BF,57,FALSE),"N/A")</f>
        <v>NOT PUBLISHED</v>
      </c>
      <c r="FG99" s="84" t="str">
        <f>IFERROR(VLOOKUP($B99,'LOD 400 - SITE'!$B:BI,60,FALSE),"N/A")</f>
        <v>NOT PUBLISHED</v>
      </c>
      <c r="FH99" s="84" t="str">
        <f>IFERROR(VLOOKUP($B99,'LOD 400 - SITE'!$B:BL,63,FALSE),"N/A")</f>
        <v>NOT PUBLISHED</v>
      </c>
      <c r="FI99" s="84" t="str">
        <f>IFERROR(VLOOKUP($B99,'LOD 400 - SITE'!$B:BO,66,FALSE),"N/A")</f>
        <v>NOT PUBLISHED</v>
      </c>
      <c r="FJ99" s="84" t="str">
        <f>IFERROR(VLOOKUP($B99,'LOD 400 - SITE'!$B:BR,69,FALSE),"N/A")</f>
        <v>NOT PUBLISHED</v>
      </c>
      <c r="FK99" s="84" t="str">
        <f>IFERROR(VLOOKUP($B99,'LOD 400 - SITE'!$B:BU,72,FALSE),"N/A")</f>
        <v>NOT PUBLISHED</v>
      </c>
      <c r="FL99" s="84" t="str">
        <f>IFERROR(VLOOKUP($B99,'LOD 400 - SITE'!$B:BX,75,FALSE),"N/A")</f>
        <v>NOT PUBLISHED</v>
      </c>
      <c r="FM99" s="84" t="str">
        <f>IFERROR(VLOOKUP($B99,'LOD 400 - SITE'!$B:CA,78,FALSE),"N/A")</f>
        <v>NOT PUBLISHED</v>
      </c>
      <c r="FN99" s="85" t="str">
        <f>IFERROR(VLOOKUP($B99,'LOD 400 - SITE'!$B:CD,81,FALSE),"N/A")</f>
        <v>NOT PUBLISHED</v>
      </c>
      <c r="FO99" s="84" t="str">
        <f>IFERROR(VLOOKUP($B99,'LOD 400 - SITE'!$B:CG,84,FALSE),"N/A")</f>
        <v>NOT PUBLISHED</v>
      </c>
      <c r="FP99" s="85" t="str">
        <f>IFERROR(VLOOKUP($B99,'LOD 400 - SITE'!$B:CJ,87,FALSE),"N/A")</f>
        <v>NOT PUBLISHED</v>
      </c>
      <c r="FQ99" s="84" t="str">
        <f>IFERROR(VLOOKUP($B99,'LOD 400 - SITE'!$B:CM,90,FALSE),"N/A")</f>
        <v>NOT PUBLISHED</v>
      </c>
      <c r="FR99" s="84" t="str">
        <f>IFERROR(VLOOKUP($B99,'LOD 400 - SITE'!$B:CP,93,FALSE),"N/A")</f>
        <v>NOT PUBLISHED</v>
      </c>
      <c r="FS99" s="84" t="str">
        <f>IFERROR(VLOOKUP($B99,'LOD 400 - SITE'!$B:CS,96,FALSE),"N/A")</f>
        <v>NOT PUBLISHED</v>
      </c>
      <c r="FT99" s="84" t="str">
        <f>IFERROR(VLOOKUP($B99,'LOD 400 - SITE'!$B:CV,99,FALSE),"N/A")</f>
        <v>NOT PUBLISHED</v>
      </c>
      <c r="FU99" s="84" t="str">
        <f>IFERROR(VLOOKUP($B99,'LOD 400 - SITE'!$B:CY,102,FALSE),"N/A")</f>
        <v>NOT PUBLISHED</v>
      </c>
      <c r="FV99" s="84" t="str">
        <f>IFERROR(VLOOKUP($B99,'LOD 400 - SITE'!$B:DB,105,FALSE),"N/A")</f>
        <v>NOT PUBLISHED</v>
      </c>
      <c r="FW99" s="84" t="str">
        <f>IFERROR(VLOOKUP($B99,'LOD 400 - SITE'!$B:DE,108,FALSE),"N/A")</f>
        <v>NOT PUBLISHED</v>
      </c>
      <c r="FX99" s="84" t="str">
        <f>IFERROR(VLOOKUP($B99,'LOD 400 - SITE'!$B:DH,111,FALSE),"N/A")</f>
        <v>NOT PUBLISHED</v>
      </c>
      <c r="FY99" s="84" t="str">
        <f>IFERROR(VLOOKUP($B99,'LOD 400 - SITE'!$B:DK,114,FALSE),"N/A")</f>
        <v>NOT PUBLISHED</v>
      </c>
      <c r="FZ99" s="96" t="str">
        <f>IFERROR(__xludf.DUMMYFUNCTION("IFERROR(
  MAX(FILTER(ES99:FY99, ISNUMBER(ES99:FY99))),
  FY99
)"),"NOT PUBLISHED")</f>
        <v>NOT PUBLISHED</v>
      </c>
      <c r="GA99" s="80" t="str">
        <f>IFERROR(VLOOKUP($B99,'LOD 400 - UTLS'!B:S,18,FALSE),"N/A")</f>
        <v>NOT PUBLISHED</v>
      </c>
      <c r="GB99" s="98" t="str">
        <f>IFERROR(VLOOKUP($B99,'LOD 400 - UTLS'!B:V,21,FALSE),"N/A")</f>
        <v>NOT PUBLISHED</v>
      </c>
      <c r="GC99" s="81" t="str">
        <f>IFERROR(VLOOKUP($B99,'LOD 400 - UTLS'!B:Y,24,FALSE),"N/A")</f>
        <v>NOT PUBLISHED</v>
      </c>
      <c r="GD99" s="87" t="str">
        <f>IFERROR(VLOOKUP($B99,'LOD 400 - UTLS'!$B:AB,27,FALSE),"N/A")</f>
        <v>NOT PUBLISHED</v>
      </c>
      <c r="GE99" s="80" t="str">
        <f>IFERROR(VLOOKUP($B99,'LOD 400 - UTLS'!$B:AE,30,FALSE),"N/A")</f>
        <v>NOT PUBLISHED</v>
      </c>
      <c r="GF99" s="82" t="str">
        <f>IFERROR(VLOOKUP($B99,'LOD 400 - UTLS'!$B:AH,33,FALSE),"N/A")</f>
        <v>NOT PUBLISHED</v>
      </c>
      <c r="GG99" s="88" t="str">
        <f>IFERROR(VLOOKUP($B99,'LOD 400 - UTLS'!$B:AK,36,FALSE),"N/A")</f>
        <v>NOT PUBLISHED</v>
      </c>
      <c r="GH99" s="84" t="str">
        <f>IFERROR(VLOOKUP($B99,'LOD 400 - UTLS'!$B:AN,39,FALSE),"N/A")</f>
        <v>NOT PUBLISHED</v>
      </c>
      <c r="GI99" s="84" t="str">
        <f>IFERROR(VLOOKUP($B99,'LOD 400 - UTLS'!$B:AQ,42,FALSE),"N/A")</f>
        <v>NOT PUBLISHED</v>
      </c>
      <c r="GJ99" s="84" t="str">
        <f>IFERROR(VLOOKUP($B99,'LOD 400 - UTLS'!$B:AT,45,FALSE),"N/A")</f>
        <v>NOT PUBLISHED</v>
      </c>
      <c r="GK99" s="84" t="str">
        <f>IFERROR(VLOOKUP($B99,'LOD 400 - UTLS'!$B:AW,48,FALSE),"N/A")</f>
        <v>NOT PUBLISHED</v>
      </c>
      <c r="GL99" s="84" t="str">
        <f>IFERROR(VLOOKUP($B99,'LOD 400 - UTLS'!$B:AZ,51,FALSE),"N/A")</f>
        <v>NOT PUBLISHED</v>
      </c>
      <c r="GM99" s="84" t="str">
        <f>IFERROR(VLOOKUP($B99,'LOD 400 - UTLS'!$B:BC,54,FALSE),"N/A")</f>
        <v>NOT PUBLISHED</v>
      </c>
      <c r="GN99" s="84" t="str">
        <f>IFERROR(VLOOKUP($B99,'LOD 400 - UTLS'!$B:BF,57,FALSE),"N/A")</f>
        <v>NOT PUBLISHED</v>
      </c>
      <c r="GO99" s="84" t="str">
        <f>IFERROR(VLOOKUP($B99,'LOD 400 - UTLS'!$B:BI,60,FALSE),"N/A")</f>
        <v>NOT PUBLISHED</v>
      </c>
      <c r="GP99" s="84" t="str">
        <f>IFERROR(VLOOKUP($B99,'LOD 400 - UTLS'!$B:BL,63,FALSE),"N/A")</f>
        <v>NOT PUBLISHED</v>
      </c>
      <c r="GQ99" s="84" t="str">
        <f>IFERROR(VLOOKUP($B99,'LOD 400 - UTLS'!$B:BO,66,FALSE),"N/A")</f>
        <v>NOT PUBLISHED</v>
      </c>
      <c r="GR99" s="84" t="str">
        <f>IFERROR(VLOOKUP($B99,'LOD 400 - UTLS'!$B:BR,69,FALSE),"N/A")</f>
        <v>NOT PUBLISHED</v>
      </c>
      <c r="GS99" s="85" t="str">
        <f>IFERROR(VLOOKUP($B99,'LOD 400 - UTLS'!$B:BU,72,FALSE),"N/A")</f>
        <v>NOT PUBLISHED</v>
      </c>
      <c r="GT99" s="84" t="str">
        <f>IFERROR(VLOOKUP($B99,'LOD 400 - UTLS'!$B:BX,75,FALSE),"N/A")</f>
        <v>NOT PUBLISHED</v>
      </c>
      <c r="GU99" s="85" t="str">
        <f>IFERROR(VLOOKUP($B99,'LOD 400 - UTLS'!$B:CA,78,FALSE),"N/A")</f>
        <v>NOT PUBLISHED</v>
      </c>
      <c r="GV99" s="84" t="str">
        <f>IFERROR(VLOOKUP($B99,'LOD 400 - UTLS'!$B:CD,81,FALSE),"N/A")</f>
        <v>NOT PUBLISHED</v>
      </c>
      <c r="GW99" s="84" t="str">
        <f>IFERROR(VLOOKUP($B99,'LOD 400 - UTLS'!$B:CG,84,FALSE),"N/A")</f>
        <v>NOT PUBLISHED</v>
      </c>
      <c r="GX99" s="84" t="str">
        <f>IFERROR(VLOOKUP($B99,'LOD 400 - UTLS'!$B:CJ,87,FALSE),"N/A")</f>
        <v>NOT PUBLISHED</v>
      </c>
      <c r="GY99" s="84" t="str">
        <f>IFERROR(VLOOKUP($B99,'LOD 400 - UTLS'!$B:CM,90,FALSE),"N/A")</f>
        <v>NOT PUBLISHED</v>
      </c>
      <c r="GZ99" s="84" t="str">
        <f>IFERROR(VLOOKUP($B99,'LOD 400 - UTLS'!$B:CP,93,FALSE),"N/A")</f>
        <v>NOT PUBLISHED</v>
      </c>
      <c r="HA99" s="84" t="str">
        <f>IFERROR(VLOOKUP($B99,'LOD 400 - UTLS'!$B:CS,96,FALSE),"N/A")</f>
        <v>NOT PUBLISHED</v>
      </c>
      <c r="HB99" s="84" t="str">
        <f>IFERROR(VLOOKUP($B99,'LOD 400 - UTLS'!$B:CV,99,FALSE),"N/A")</f>
        <v>NOT PUBLISHED</v>
      </c>
      <c r="HC99" s="84" t="str">
        <f>IFERROR(VLOOKUP($B99,'LOD 400 - UTLS'!$B:CY,102,FALSE),"N/A")</f>
        <v>NOT PUBLISHED</v>
      </c>
      <c r="HD99" s="84" t="str">
        <f>IFERROR(VLOOKUP($B99,'LOD 400 - UTLS'!$B:DB,105,FALSE),"N/A")</f>
        <v>NOT PUBLISHED</v>
      </c>
      <c r="HE99" s="96" t="str">
        <f>IFERROR(__xludf.DUMMYFUNCTION("IFERROR(
  MAX(FILTER(GA99:HD99, ISNUMBER(GA99:HD99))),
  HD99
)"),"NOT PUBLISHED")</f>
        <v>NOT PUBLISHED</v>
      </c>
      <c r="HF99" s="99"/>
      <c r="HG99" s="99"/>
      <c r="HH99" s="99"/>
      <c r="HI99" s="99"/>
      <c r="HJ99" s="99"/>
      <c r="HK99" s="99"/>
    </row>
    <row r="100" ht="15.0" customHeight="1" outlineLevel="1">
      <c r="A100" s="53">
        <v>104.0</v>
      </c>
      <c r="B100" s="100" t="s">
        <v>288</v>
      </c>
      <c r="C100" s="100" t="s">
        <v>288</v>
      </c>
      <c r="D100" s="64" t="str">
        <f t="shared" si="17"/>
        <v>ADMN</v>
      </c>
      <c r="E100" s="101" t="s">
        <v>289</v>
      </c>
      <c r="F100" s="102">
        <v>1125.0</v>
      </c>
      <c r="G100" s="103" t="s">
        <v>289</v>
      </c>
      <c r="H100" s="104">
        <v>1125.0</v>
      </c>
      <c r="I100" s="68" t="str">
        <f>IFERROR(VLOOKUP($C97:C108,'R22 RELATÓRIO ACC'!B:F,5,FALSE),"NOT PUBLISHED")</f>
        <v>V8</v>
      </c>
      <c r="J100" s="69" t="str">
        <f>IFERROR(VLOOKUP($C97:C108,'R22 RELATÓRIO ACC'!B:P,15,FALSE),"NOT PUBLISHED")</f>
        <v>07/11/2025</v>
      </c>
      <c r="K100" s="70" t="str">
        <f>IFERROR(VLOOKUP($B97:B108,'RELATÓRIO ACC'!B:F,5,FALSE),"NOT PUBLISHED")</f>
        <v>V1</v>
      </c>
      <c r="L100" s="71" t="str">
        <f>IFERROR(VLOOKUP($B97:B108,'RELATÓRIO ACC'!B:P,15,FALSE),"NOT PUBLISHED")</f>
        <v>21/05/2026</v>
      </c>
      <c r="M100" s="72" t="str">
        <f>IF(OR($D100="UTLS",$D100="GUAR",$D100="STIR",$D100="PUMP",$D100="SITE"),
   VLOOKUP($B100,'LOD 400 - SITE'!B:M,12,FALSE),
   VLOOKUP($B100,'LOD 400 - ADMN'!B:M,12,FALSE)
)</f>
        <v>V8</v>
      </c>
      <c r="N100" s="105" t="str">
        <f>IF(OR($D100="UTLS",$D100="GUAR",$D100="STIR",$D100="PUMP",$D100="SITE"),
   VLOOKUP($B100,'LOD 400 - SITE'!B:N,13,FALSE),
   VLOOKUP($B100,'LOD 400 - ADMN'!B:N,13,FALSE)
)</f>
        <v>07/11/2025</v>
      </c>
      <c r="O100" s="106" t="str">
        <f>IF(OR($D100="UTLS",$D100="GUAR",$D100="STIR",$D100="PUMP",$D100="SITE"),
   VLOOKUP($B100,'LOD 400 - SITE'!B:O,14,FALSE),
   VLOOKUP($B100,'LOD 400 - ADMN'!B:O,14,FALSE)
)</f>
        <v>R22</v>
      </c>
      <c r="P100" s="107" t="str">
        <f>IF(OR($D100="C345",$D100="C12A",$D100="DATA"),
   VLOOKUP($B100,'LOD 400 - COLO3'!B:M,12,FALSE),"N/A")</f>
        <v>N/A</v>
      </c>
      <c r="Q100" s="108" t="str">
        <f>IF(OR($D100="C345",$D100="C12A",$D100="DATA"),
   VLOOKUP($B100,'LOD 400 - COLO3'!B:N,13,FALSE),"N/A")</f>
        <v>N/A</v>
      </c>
      <c r="R100" s="75" t="str">
        <f>IF(OR($D100="C345",$D100="C12A",$D100="DATA"),
   VLOOKUP($B100,'LOD 400 - COLO3'!B:O,14,FALSE),"N/A")</f>
        <v>N/A</v>
      </c>
      <c r="S100" s="76" t="str">
        <f>IF(OR($D100="C345",$D100="C12A",$D100="DATA"),
   VLOOKUP($B100,'LOD 400 - COLO4'!B:N,12,FALSE),"N/A")</f>
        <v>N/A</v>
      </c>
      <c r="T100" s="76" t="str">
        <f>IF(OR($D100="C345",$D100="C12A",$D100="DATA"),
   VLOOKUP($B100,'LOD 400 - COLO4'!B:N,13,FALSE),"N/A")</f>
        <v>N/A</v>
      </c>
      <c r="U100" s="76" t="str">
        <f>IF(OR($D100="C345",$D100="C12A",$D100="DATA"),
   VLOOKUP($B100,'LOD 400 - COLO4'!B:N,13,FALSE),"N/A")</f>
        <v>N/A</v>
      </c>
      <c r="V100" s="77" t="str">
        <f>IF(OR($D100="UTLS",$D100="GUAR",$D100="STIR",$D100="PUMP",$D100="SITE"),
   VLOOKUP($B100,'LOD 400 - UTLS'!B:M,12,FALSE),"N/A")</f>
        <v>N/A</v>
      </c>
      <c r="W100" s="78" t="str">
        <f>IF(OR($D100="UTLS",$D100="GUAR",$D100="STIR",$D100="PUMP",$D100="SITE"),
   VLOOKUP($B100,'LOD 400 - UTLS'!B:N,13,FALSE),"N/A")</f>
        <v>N/A</v>
      </c>
      <c r="X100" s="108" t="str">
        <f>IF(OR($D100="UTLS",$D100="GUAR",$D100="STIR",$D100="PUMP",$D100="SITE"),
   VLOOKUP($B100,'LOD 400 - UTLS'!B:O,14,FALSE),"N/A")</f>
        <v>N/A</v>
      </c>
      <c r="Y100" s="79" t="str">
        <f>IFERROR(VLOOKUP($B100,'LOD 400 - ADMN'!B:S,18,FALSE),"N/A")</f>
        <v>OUTDATED</v>
      </c>
      <c r="Z100" s="79" t="str">
        <f>IFERROR(VLOOKUP($B100,'LOD 400 - ADMN'!B:V,21,FALSE),"N/A")</f>
        <v>OUTDATED</v>
      </c>
      <c r="AA100" s="79" t="str">
        <f>IFERROR(VLOOKUP($B100,'LOD 400 - ADMN'!$B:Y,24,FALSE),"N/A")</f>
        <v>OUTDATED</v>
      </c>
      <c r="AB100" s="80" t="str">
        <f>IFERROR(VLOOKUP($B100,'LOD 400 - ADMN'!$B:AB,27,FALSE),"N/A")</f>
        <v>OUTDATED</v>
      </c>
      <c r="AC100" s="81" t="str">
        <f>IFERROR(VLOOKUP($B100,'LOD 400 - ADMN'!$B:AE,30,FALSE),"N/A")</f>
        <v>OUTDATED</v>
      </c>
      <c r="AD100" s="81">
        <f>IFERROR(VLOOKUP($B100,'LOD 400 - ADMN'!$B:AH,33,FALSE),"N/A")</f>
        <v>1</v>
      </c>
      <c r="AE100" s="80">
        <f>IFERROR(VLOOKUP($B100,'LOD 400 - ADMN'!$B:AK,36,FALSE),"N/A")</f>
        <v>1</v>
      </c>
      <c r="AF100" s="82">
        <f>IFERROR(VLOOKUP($B100,'LOD 400 - ADMN'!$B:AN,39,FALSE),"N/A")</f>
        <v>1</v>
      </c>
      <c r="AG100" s="83">
        <f>IFERROR(VLOOKUP($B100,'LOD 400 - ADMN'!$B:AQ,42,FALSE),"N/A")</f>
        <v>1</v>
      </c>
      <c r="AH100" s="84">
        <f>IFERROR(VLOOKUP($B100,'LOD 400 - ADMN'!$B:AT,45,FALSE),"N/A")</f>
        <v>1</v>
      </c>
      <c r="AI100" s="85">
        <f>IFERROR(VLOOKUP($B100,'LOD 400 - ADMN'!$B:AW,48,FALSE),"N/A")</f>
        <v>1</v>
      </c>
      <c r="AJ100" s="85">
        <f>IFERROR(VLOOKUP($B100,'LOD 400 - ADMN'!$B:AZ,51,FALSE),"N/A")</f>
        <v>1</v>
      </c>
      <c r="AK100" s="84">
        <f>IFERROR(VLOOKUP($B100,'LOD 400 - ADMN'!$B:BC,54,FALSE),"N/A")</f>
        <v>1</v>
      </c>
      <c r="AL100" s="84">
        <f>IFERROR(VLOOKUP($B100,'LOD 400 - ADMN'!$B:BF,57,FALSE),"N/A")</f>
        <v>1</v>
      </c>
      <c r="AM100" s="84">
        <f>IFERROR(VLOOKUP($B100,'LOD 400 - ADMN'!$B:BI,60,FALSE),"N/A")</f>
        <v>1</v>
      </c>
      <c r="AN100" s="84">
        <f>IFERROR(VLOOKUP($B100,'LOD 400 - ADMN'!$B:BL,63,FALSE),"N/A")</f>
        <v>1</v>
      </c>
      <c r="AO100" s="84">
        <f>IFERROR(VLOOKUP($B100,'LOD 400 - ADMN'!$B:BO,66,FALSE),"N/A")</f>
        <v>1</v>
      </c>
      <c r="AP100" s="84">
        <f>IFERROR(VLOOKUP($B100,'LOD 400 - ADMN'!$B:BR,69,FALSE),"N/A")</f>
        <v>1</v>
      </c>
      <c r="AQ100" s="84">
        <f>IFERROR(VLOOKUP($B100,'LOD 400 - ADMN'!$B:BU,72,FALSE),"N/A")</f>
        <v>1</v>
      </c>
      <c r="AR100" s="84">
        <f>IFERROR(VLOOKUP($B100,'LOD 400 - ADMN'!$B:BX,75,FALSE),"N/A")</f>
        <v>1</v>
      </c>
      <c r="AS100" s="84">
        <f>IFERROR(VLOOKUP($B100,'LOD 400 - ADMN'!$B:CA,78,FALSE),"N/A")</f>
        <v>1</v>
      </c>
      <c r="AT100" s="84">
        <f>IFERROR(VLOOKUP($B100,'LOD 400 - ADMN'!$B:CD,81,FALSE),"N/A")</f>
        <v>1</v>
      </c>
      <c r="AU100" s="85">
        <f>IFERROR(VLOOKUP($B100,'LOD 400 - ADMN'!$B:CG,84,FALSE),"N/A")</f>
        <v>1</v>
      </c>
      <c r="AV100" s="84">
        <f>IFERROR(VLOOKUP($B100,'LOD 400 - ADMN'!$B:CJ,87,FALSE),"N/A")</f>
        <v>1</v>
      </c>
      <c r="AW100" s="85">
        <f>IFERROR(VLOOKUP($B100,'LOD 400 - ADMN'!$B:CM,90,FALSE),"N/A")</f>
        <v>1</v>
      </c>
      <c r="AX100" s="84">
        <f>IFERROR(VLOOKUP($B100,'LOD 400 - ADMN'!$B:CP,93,FALSE),"N/A")</f>
        <v>1</v>
      </c>
      <c r="AY100" s="84">
        <f>IFERROR(VLOOKUP($B100,'LOD 400 - ADMN'!$B:CS,96,FALSE),"N/A")</f>
        <v>1</v>
      </c>
      <c r="AZ100" s="84">
        <f>IFERROR(VLOOKUP($B100,'LOD 400 - ADMN'!$B:CV,99,FALSE),"N/A")</f>
        <v>1</v>
      </c>
      <c r="BA100" s="84">
        <f>IFERROR(VLOOKUP($B100,'LOD 400 - ADMN'!$B:CY,102,FALSE),"N/A")</f>
        <v>1</v>
      </c>
      <c r="BB100" s="84">
        <f>IFERROR(VLOOKUP($B100,'LOD 400 - ADMN'!$B:DB,105,FALSE),"N/A")</f>
        <v>1</v>
      </c>
      <c r="BC100" s="84">
        <f>IFERROR(VLOOKUP($B100,'LOD 400 - ADMN'!$B:DE,108,FALSE),"N/A")</f>
        <v>1</v>
      </c>
      <c r="BD100" s="84">
        <f>IFERROR(VLOOKUP($B100,'LOD 400 - ADMN'!$B:DH,111,FALSE),"N/A")</f>
        <v>1</v>
      </c>
      <c r="BE100" s="84">
        <f>IFERROR(VLOOKUP($B100,'LOD 400 - ADMN'!$B:DK,114,FALSE),"N/A")</f>
        <v>1</v>
      </c>
      <c r="BF100" s="84">
        <f>IFERROR(VLOOKUP($B100,'LOD 400 - ADMN'!$B:DN,117,FALSE),"N/A")</f>
        <v>1</v>
      </c>
      <c r="BG100" s="86">
        <f>IFERROR(__xludf.DUMMYFUNCTION("IFERROR(
  MAX(FILTER(Y100:BF100, ISNUMBER(Y100:BF100))),
  BF100
)"),1.0)</f>
        <v>1</v>
      </c>
      <c r="BH100" s="79" t="str">
        <f>IFERROR(VLOOKUP($B100,'LOD 400 - COLO1'!B:S,18,FALSE),"N/A")</f>
        <v>N/A</v>
      </c>
      <c r="BI100" s="79" t="str">
        <f>IFERROR(VLOOKUP($B100,'LOD 400 - COLO1'!B:V,21,FALSE),"N/A")</f>
        <v>N/A</v>
      </c>
      <c r="BJ100" s="79" t="str">
        <f>IFERROR(VLOOKUP($B100,'LOD 400 - COLO1'!$B:Y,24,FALSE),"N/A")</f>
        <v>N/A</v>
      </c>
      <c r="BK100" s="87" t="str">
        <f>IFERROR(VLOOKUP($B100,'LOD 400 - COLO1'!$B:AB,27,FALSE),"N/A")</f>
        <v>N/A</v>
      </c>
      <c r="BL100" s="80" t="str">
        <f>IFERROR(VLOOKUP($B100,'LOD 400 - COLO1'!$B:AE,30,FALSE),"N/A")</f>
        <v>N/A</v>
      </c>
      <c r="BM100" s="81" t="str">
        <f>IFERROR(VLOOKUP($B100,'LOD 400 - COLO1'!$B:AH,33,FALSE),"N/A")</f>
        <v>N/A</v>
      </c>
      <c r="BN100" s="87" t="str">
        <f>IFERROR(VLOOKUP($B100,'LOD 400 - COLO1'!$B:AK,36,FALSE),"N/A")</f>
        <v>N/A</v>
      </c>
      <c r="BO100" s="83" t="str">
        <f>IFERROR(VLOOKUP($B100,'LOD 400 - COLO1'!$B:AN,39,FALSE),"N/A")</f>
        <v>N/A</v>
      </c>
      <c r="BP100" s="88" t="str">
        <f>IFERROR(VLOOKUP($B100,'LOD 400 - COLO1'!$B:AQ,42,FALSE),"N/A")</f>
        <v>N/A</v>
      </c>
      <c r="BQ100" s="84" t="str">
        <f>IFERROR(VLOOKUP($B100,'LOD 400 - COLO1'!$B:AT,45,FALSE),"N/A")</f>
        <v>N/A</v>
      </c>
      <c r="BR100" s="85" t="str">
        <f>IFERROR(VLOOKUP($B100,'LOD 400 - COLO1'!$B:AW,48,FALSE),"N/A")</f>
        <v>N/A</v>
      </c>
      <c r="BS100" s="84" t="str">
        <f>IFERROR(VLOOKUP($B100,'LOD 400 - COLO1'!$B:AZ,51,FALSE),"N/A")</f>
        <v>N/A</v>
      </c>
      <c r="BT100" s="84" t="str">
        <f>IFERROR(VLOOKUP($B100,'LOD 400 - COLO1'!$B:BC,54,FALSE),"N/A")</f>
        <v>N/A</v>
      </c>
      <c r="BU100" s="84" t="str">
        <f>IFERROR(VLOOKUP($B100,'LOD 400 - COLO1'!$B:BF,57,FALSE),"N/A")</f>
        <v>N/A</v>
      </c>
      <c r="BV100" s="84" t="str">
        <f>IFERROR(VLOOKUP($B100,'LOD 400 - COLO1'!$B:BI,60,FALSE),"N/A")</f>
        <v>N/A</v>
      </c>
      <c r="BW100" s="84" t="str">
        <f>IFERROR(VLOOKUP($B100,'LOD 400 - COLO1'!$B:BL,63,FALSE),"N/A")</f>
        <v>N/A</v>
      </c>
      <c r="BX100" s="84" t="str">
        <f>IFERROR(VLOOKUP($B100,'LOD 400 - COLO1'!$B:BO,66,FALSE),"N/A")</f>
        <v>N/A</v>
      </c>
      <c r="BY100" s="84" t="str">
        <f>IFERROR(VLOOKUP($B100,'LOD 400 - COLO1'!$B:BR,69,FALSE),"N/A")</f>
        <v>N/A</v>
      </c>
      <c r="BZ100" s="84" t="str">
        <f>IFERROR(VLOOKUP($B100,'LOD 400 - COLO1'!$B:BU,72,FALSE),"N/A")</f>
        <v>N/A</v>
      </c>
      <c r="CA100" s="84" t="str">
        <f>IFERROR(VLOOKUP($B100,'LOD 400 - COLO1'!$B:BX,75,FALSE),"N/A")</f>
        <v>N/A</v>
      </c>
      <c r="CB100" s="84" t="str">
        <f>IFERROR(VLOOKUP($B100,'LOD 400 - COLO1'!$B:CA,78,FALSE),"N/A")</f>
        <v>N/A</v>
      </c>
      <c r="CC100" s="84" t="str">
        <f>IFERROR(VLOOKUP($B100,'LOD 400 - COLO1'!$B:CD,81,FALSE),"N/A")</f>
        <v>N/A</v>
      </c>
      <c r="CD100" s="85" t="str">
        <f>IFERROR(VLOOKUP($B100,'LOD 400 - COLO1'!$B:CG,84,FALSE),"N/A")</f>
        <v>N/A</v>
      </c>
      <c r="CE100" s="84" t="str">
        <f>IFERROR(VLOOKUP($B100,'LOD 400 - COLO1'!$B:CJ,87,FALSE),"N/A")</f>
        <v>N/A</v>
      </c>
      <c r="CF100" s="85" t="str">
        <f>IFERROR(VLOOKUP($B100,'LOD 400 - COLO1'!$B:CM,90,FALSE),"N/A")</f>
        <v>N/A</v>
      </c>
      <c r="CG100" s="84" t="str">
        <f>IFERROR(VLOOKUP($B100,'LOD 400 - COLO1'!$B:CP,93,FALSE),"N/A")</f>
        <v>N/A</v>
      </c>
      <c r="CH100" s="84" t="str">
        <f>IFERROR(VLOOKUP($B100,'LOD 400 - COLO1'!$B:CS,96,FALSE),"N/A")</f>
        <v>N/A</v>
      </c>
      <c r="CI100" s="84" t="str">
        <f>IFERROR(VLOOKUP($B100,'LOD 400 - COLO1'!$B:CV,99,FALSE),"N/A")</f>
        <v>N/A</v>
      </c>
      <c r="CJ100" s="84" t="str">
        <f>IFERROR(VLOOKUP($B100,'LOD 400 - COLO1'!$B:CY,102,FALSE),"N/A")</f>
        <v>N/A</v>
      </c>
      <c r="CK100" s="84" t="str">
        <f>IFERROR(VLOOKUP($B100,'LOD 400 - COLO1'!$B:DB,105,FALSE),"N/A")</f>
        <v>N/A</v>
      </c>
      <c r="CL100" s="84" t="str">
        <f>IFERROR(VLOOKUP($B100,'LOD 400 - COLO1'!$B:DE,108,FALSE),"N/A")</f>
        <v>N/A</v>
      </c>
      <c r="CM100" s="84" t="str">
        <f>IFERROR(VLOOKUP($B100,'LOD 400 - COLO1'!$B:DH,111,FALSE),"N/A")</f>
        <v>N/A</v>
      </c>
      <c r="CN100" s="84" t="str">
        <f>IFERROR(VLOOKUP($B100,'LOD 400 - COLO1'!$B:DK,114,FALSE),"N/A")</f>
        <v>N/A</v>
      </c>
      <c r="CO100" s="84" t="str">
        <f>IFERROR(VLOOKUP($B100,'LOD 400 - COLO1'!$B:DN,117,FALSE),"N/A")</f>
        <v>N/A</v>
      </c>
      <c r="CP100" s="86" t="str">
        <f>IFERROR(__xludf.DUMMYFUNCTION("IFERROR(
  MAX(FILTER(BH100:CO100, ISNUMBER(BH100:CO100))),
  CO100
)"),"N/A")</f>
        <v>N/A</v>
      </c>
      <c r="CQ100" s="89" t="str">
        <f>IFERROR(VLOOKUP($B100,'LOD 400 - COLO2'!B:S,18,FALSE),"N/A")</f>
        <v>N/A</v>
      </c>
      <c r="CR100" s="79" t="str">
        <f>IFERROR(VLOOKUP($B100,'LOD 400 - COLO2'!B:V,21,FALSE),"N/A")</f>
        <v>N/A</v>
      </c>
      <c r="CS100" s="79" t="str">
        <f>IFERROR(VLOOKUP($B100,'LOD 400 - COLO2'!$B:Y,24,FALSE),"N/A")</f>
        <v>N/A</v>
      </c>
      <c r="CT100" s="80" t="str">
        <f>IFERROR(VLOOKUP($B100,'LOD 400 - COLO2'!$B:DQ,27,FALSE),"N/A")</f>
        <v>N/A</v>
      </c>
      <c r="CU100" s="90" t="str">
        <f>IFERROR(VLOOKUP($B100,'LOD 400 - COLO2'!$B:AE,30,FALSE),"N/A")</f>
        <v>N/A</v>
      </c>
      <c r="CV100" s="81" t="str">
        <f>IFERROR(VLOOKUP($B100,'LOD 400 - COLO2'!$B:AH,33,FALSE),"N/A")</f>
        <v>N/A</v>
      </c>
      <c r="CW100" s="90" t="str">
        <f>IFERROR(VLOOKUP($B100,'LOD 400 - COLO2'!$B:AK,36,FALSE),"N/A")</f>
        <v>N/A</v>
      </c>
      <c r="CX100" s="85" t="str">
        <f>IFERROR(VLOOKUP($B100,'LOD 400 - COLO2'!$B:AN,39,FALSE),"N/A")</f>
        <v>N/A</v>
      </c>
      <c r="CY100" s="88" t="str">
        <f>IFERROR(VLOOKUP($B100,'LOD 400 - COLO2'!$B:AQ,42,FALSE),"N/A")</f>
        <v>N/A</v>
      </c>
      <c r="CZ100" s="84" t="str">
        <f>IFERROR(VLOOKUP($B100,'LOD 400 - COLO2'!$B:AT,45,FALSE),"N/A")</f>
        <v>N/A</v>
      </c>
      <c r="DA100" s="85" t="str">
        <f>IFERROR(VLOOKUP($B100,'LOD 400 - COLO2'!$B:AW,48,FALSE),"N/A")</f>
        <v>N/A</v>
      </c>
      <c r="DB100" s="84" t="str">
        <f>IFERROR(VLOOKUP($B100,'LOD 400 - COLO2'!$B:AZ,51,FALSE),"N/A")</f>
        <v>N/A</v>
      </c>
      <c r="DC100" s="84" t="str">
        <f>IFERROR(VLOOKUP($B100,'LOD 400 - COLO2'!$B:BC,54,FALSE),"N/A")</f>
        <v>N/A</v>
      </c>
      <c r="DD100" s="84" t="str">
        <f>IFERROR(VLOOKUP($B100,'LOD 400 - COLO2'!$B:BF,57,FALSE),"N/A")</f>
        <v>N/A</v>
      </c>
      <c r="DE100" s="84" t="str">
        <f>IFERROR(VLOOKUP($B100,'LOD 400 - COLO2'!$B:BI,60,FALSE),"N/A")</f>
        <v>N/A</v>
      </c>
      <c r="DF100" s="84" t="str">
        <f>IFERROR(VLOOKUP($B100,'LOD 400 - COLO2'!$B:BL,63,FALSE),"N/A")</f>
        <v>N/A</v>
      </c>
      <c r="DG100" s="84" t="str">
        <f>IFERROR(VLOOKUP($B100,'LOD 400 - COLO2'!$B:BO,66,FALSE),"N/A")</f>
        <v>N/A</v>
      </c>
      <c r="DH100" s="84" t="str">
        <f>IFERROR(VLOOKUP($B100,'LOD 400 - COLO2'!$B:BR,69,FALSE),"N/A")</f>
        <v>N/A</v>
      </c>
      <c r="DI100" s="84" t="str">
        <f>IFERROR(VLOOKUP($B100,'LOD 400 - COLO2'!$B:BU,72,FALSE),"N/A")</f>
        <v>N/A</v>
      </c>
      <c r="DJ100" s="84" t="str">
        <f>IFERROR(VLOOKUP($B100,'LOD 400 - COLO2'!$B:BX,75,FALSE),"N/A")</f>
        <v>N/A</v>
      </c>
      <c r="DK100" s="84" t="str">
        <f>IFERROR(VLOOKUP($B100,'LOD 400 - COLO2'!$B:CA,78,FALSE),"N/A")</f>
        <v>N/A</v>
      </c>
      <c r="DL100" s="84" t="str">
        <f>IFERROR(VLOOKUP($B100,'LOD 400 - COLO2'!$B:CD,81,FALSE),"N/A")</f>
        <v>N/A</v>
      </c>
      <c r="DM100" s="85" t="str">
        <f>IFERROR(VLOOKUP($B100,'LOD 400 - COLO2'!$B:CG,84,FALSE),"N/A")</f>
        <v>N/A</v>
      </c>
      <c r="DN100" s="84" t="str">
        <f>IFERROR(VLOOKUP($B100,'LOD 400 - COLO2'!$B:CJ,87,FALSE),"N/A")</f>
        <v>N/A</v>
      </c>
      <c r="DO100" s="85" t="str">
        <f>IFERROR(VLOOKUP($B100,'LOD 400 - COLO2'!$B:CM,90,FALSE),"N/A")</f>
        <v>N/A</v>
      </c>
      <c r="DP100" s="84" t="str">
        <f>IFERROR(VLOOKUP($B100,'LOD 400 - COLO2'!$B:CP,93,FALSE),"N/A")</f>
        <v>N/A</v>
      </c>
      <c r="DQ100" s="84" t="str">
        <f>IFERROR(VLOOKUP($B100,'LOD 400 - COLO2'!$B:CS,96,FALSE),"N/A")</f>
        <v>N/A</v>
      </c>
      <c r="DR100" s="84" t="str">
        <f>IFERROR(VLOOKUP($B100,'LOD 400 - COLO2'!$B:CV,99,FALSE),"N/A")</f>
        <v>N/A</v>
      </c>
      <c r="DS100" s="84" t="str">
        <f>IFERROR(VLOOKUP($B100,'LOD 400 - COLO2'!$B:CY,102,FALSE),"N/A")</f>
        <v>N/A</v>
      </c>
      <c r="DT100" s="84" t="str">
        <f>IFERROR(VLOOKUP($B100,'LOD 400 - COLO2'!$B:DB,105,FALSE),"N/A")</f>
        <v>N/A</v>
      </c>
      <c r="DU100" s="84" t="str">
        <f>IFERROR(VLOOKUP($B100,'LOD 400 - COLO2'!$B:DE,108,FALSE),"N/A")</f>
        <v>N/A</v>
      </c>
      <c r="DV100" s="84" t="str">
        <f>IFERROR(VLOOKUP($B100,'LOD 400 - COLO2'!$B:DH,111,FALSE),"N/A")</f>
        <v>N/A</v>
      </c>
      <c r="DW100" s="84" t="str">
        <f>IFERROR(VLOOKUP($B100,'LOD 400 - COLO2'!$B:DK,114,FALSE),"N/A")</f>
        <v>N/A</v>
      </c>
      <c r="DX100" s="84" t="str">
        <f>IFERROR(VLOOKUP($B100,'LOD 400 - COLO2'!$B:DN,117,FALSE),"N/A")</f>
        <v>N/A</v>
      </c>
      <c r="DY100" s="91" t="str">
        <f>IFERROR(__xludf.DUMMYFUNCTION("IFERROR(
  MAX(FILTER(CQ100:DW100, ISNUMBER(CQ100:DW100))),
  DW100
)"),"N/A")</f>
        <v>N/A</v>
      </c>
      <c r="DZ100" s="92" t="str">
        <f>IFERROR(VLOOKUP($B100,'LOD 400 - COLO3'!B:S,18,FALSE),"N/A")</f>
        <v>N/A</v>
      </c>
      <c r="EA100" s="84" t="str">
        <f>IFERROR(VLOOKUP($B100,'LOD 400 - COLO3'!B:V,21,FALSE),"N/A")</f>
        <v>N/A</v>
      </c>
      <c r="EB100" s="84" t="str">
        <f>IFERROR(VLOOKUP($B100,'LOD 400 - COLO3'!B:Y,24,FALSE),"N/A")</f>
        <v>N/A</v>
      </c>
      <c r="EC100" s="84" t="str">
        <f>IFERROR(VLOOKUP($B100,'LOD 400 - COLO3'!B:AB,27,FALSE),"N/A")</f>
        <v>N/A</v>
      </c>
      <c r="ED100" s="85" t="str">
        <f>IFERROR(VLOOKUP($B100,'LOD 400 - COLO3'!B:AE,30,FALSE),"N/A")</f>
        <v>N/A</v>
      </c>
      <c r="EE100" s="84" t="str">
        <f>IFERROR(VLOOKUP($B100,'LOD 400 - COLO3'!B:AH,33,FALSE),"N/A")</f>
        <v>N/A</v>
      </c>
      <c r="EF100" s="84" t="str">
        <f>IFERROR(VLOOKUP($B100,'LOD 400 - COLO3'!B:AK,36,FALSE),"N/A")</f>
        <v>N/A</v>
      </c>
      <c r="EG100" s="109" t="str">
        <f>IFERROR(VLOOKUP($B100,'LOD 400 - COLO3'!B:AN,39,FALSE),"N/A")</f>
        <v>N/A</v>
      </c>
      <c r="EH100" s="94" t="str">
        <f>IFERROR(VLOOKUP($B100,'LOD 400 - COLO3'!B:AQ,42,FALSE),"N/A")</f>
        <v>N/A</v>
      </c>
      <c r="EI100" s="94" t="str">
        <f>IFERROR(VLOOKUP($B100,'LOD 400 - COLO3'!B:AT,45,FALSE),"N/A")</f>
        <v>N/A</v>
      </c>
      <c r="EJ100" s="94" t="str">
        <f>IFERROR(VLOOKUP($B100,'LOD 400 - COLO3'!B:AW,48,FALSE),"N/A")</f>
        <v>N/A</v>
      </c>
      <c r="EK100" s="94" t="str">
        <f>IFERROR(VLOOKUP($B100,'LOD 400 - COLO3'!B:AZ,51,FALSE),"N/A")</f>
        <v>N/A</v>
      </c>
      <c r="EL100" s="94" t="str">
        <f>IFERROR(VLOOKUP($B100,'LOD 400 - COLO3'!B:BC,54,FALSE),"N/A")</f>
        <v>N/A</v>
      </c>
      <c r="EM100" s="94" t="str">
        <f>IFERROR(VLOOKUP($B100,'LOD 400 - COLO3'!B:BF,57,FALSE),"N/A")</f>
        <v>N/A</v>
      </c>
      <c r="EN100" s="94" t="str">
        <f>IFERROR(VLOOKUP($B100,'LOD 400 - COLO3'!B:BI,60,FALSE),"N/A")</f>
        <v>N/A</v>
      </c>
      <c r="EO100" s="94" t="str">
        <f>IFERROR(VLOOKUP($B100,'LOD 400 - COLO3'!B:BL,63,FALSE),"N/A")</f>
        <v>N/A</v>
      </c>
      <c r="EP100" s="86" t="str">
        <f>IFERROR(__xludf.DUMMYFUNCTION("IFERROR(
  MAX(FILTER(DZ100:EO100, ISNUMBER(DZ100:EO100))),
  EO100
)"),"N/A")</f>
        <v>N/A</v>
      </c>
      <c r="EQ100" s="95">
        <f>IFERROR(VLOOKUP($B100,'LOD 400 - COLO4'!B:S,18,FALSE),"N/A")</f>
        <v>0</v>
      </c>
      <c r="ER100" s="96">
        <f>IFERROR(__xludf.DUMMYFUNCTION("IFERROR(
  MAX(FILTER(EQ100, ISNUMBER(EQ100))),
  EQ100
)"),0.0)</f>
        <v>0</v>
      </c>
      <c r="ES100" s="79" t="str">
        <f>IFERROR(VLOOKUP($B100,'LOD 400 - SITE'!B:S,18,FALSE),"N/A")</f>
        <v>N/A</v>
      </c>
      <c r="ET100" s="80" t="str">
        <f>IFERROR(VLOOKUP($B100,'LOD 400 - SITE'!B:V,21,FALSE),"N/A")</f>
        <v>N/A</v>
      </c>
      <c r="EU100" s="97" t="str">
        <f>IFERROR(VLOOKUP($B100,'LOD 400 - SITE'!$B:Y,24,FALSE),"N/A")</f>
        <v>N/A</v>
      </c>
      <c r="EV100" s="80" t="str">
        <f>IFERROR(VLOOKUP($B100,'LOD 400 - SITE'!$B:AB,27,FALSE),"N/A")</f>
        <v>N/A</v>
      </c>
      <c r="EW100" s="81" t="str">
        <f>IFERROR(VLOOKUP($B100,'LOD 400 - SITE'!$B:AE,30,FALSE),"N/A")</f>
        <v>N/A</v>
      </c>
      <c r="EX100" s="87" t="str">
        <f>IFERROR(VLOOKUP($B100,'LOD 400 - SITE'!$B:AH,33,FALSE),"N/A")</f>
        <v>N/A</v>
      </c>
      <c r="EY100" s="87" t="str">
        <f>IFERROR(VLOOKUP($B100,'LOD 400 - SITE'!$B:AK,36,FALSE),"N/A")</f>
        <v>N/A</v>
      </c>
      <c r="EZ100" s="80" t="str">
        <f>IFERROR(VLOOKUP($B100,'LOD 400 - SITE'!$B:AN,39,FALSE),"N/A")</f>
        <v>N/A</v>
      </c>
      <c r="FA100" s="82" t="str">
        <f>IFERROR(VLOOKUP($B100,'LOD 400 - SITE'!$B:AQ,42,FALSE),"N/A")</f>
        <v>N/A</v>
      </c>
      <c r="FB100" s="88" t="str">
        <f>IFERROR(VLOOKUP($B100,'LOD 400 - SITE'!$B:AT,45,FALSE),"N/A")</f>
        <v>N/A</v>
      </c>
      <c r="FC100" s="84" t="str">
        <f>IFERROR(VLOOKUP($B100,'LOD 400 - SITE'!$B:AW,48,FALSE),"N/A")</f>
        <v>N/A</v>
      </c>
      <c r="FD100" s="84" t="str">
        <f>IFERROR(VLOOKUP($B100,'LOD 400 - SITE'!$B:AZ,51,FALSE),"N/A")</f>
        <v>N/A</v>
      </c>
      <c r="FE100" s="84" t="str">
        <f>IFERROR(VLOOKUP($B100,'LOD 400 - SITE'!$B:BC,54,FALSE),"N/A")</f>
        <v>N/A</v>
      </c>
      <c r="FF100" s="84" t="str">
        <f>IFERROR(VLOOKUP($B100,'LOD 400 - SITE'!$B:BF,57,FALSE),"N/A")</f>
        <v>N/A</v>
      </c>
      <c r="FG100" s="84" t="str">
        <f>IFERROR(VLOOKUP($B100,'LOD 400 - SITE'!$B:BI,60,FALSE),"N/A")</f>
        <v>N/A</v>
      </c>
      <c r="FH100" s="84" t="str">
        <f>IFERROR(VLOOKUP($B100,'LOD 400 - SITE'!$B:BL,63,FALSE),"N/A")</f>
        <v>N/A</v>
      </c>
      <c r="FI100" s="84" t="str">
        <f>IFERROR(VLOOKUP($B100,'LOD 400 - SITE'!$B:BO,66,FALSE),"N/A")</f>
        <v>N/A</v>
      </c>
      <c r="FJ100" s="84" t="str">
        <f>IFERROR(VLOOKUP($B100,'LOD 400 - SITE'!$B:BR,69,FALSE),"N/A")</f>
        <v>N/A</v>
      </c>
      <c r="FK100" s="84" t="str">
        <f>IFERROR(VLOOKUP($B100,'LOD 400 - SITE'!$B:BU,72,FALSE),"N/A")</f>
        <v>N/A</v>
      </c>
      <c r="FL100" s="84" t="str">
        <f>IFERROR(VLOOKUP($B100,'LOD 400 - SITE'!$B:BX,75,FALSE),"N/A")</f>
        <v>N/A</v>
      </c>
      <c r="FM100" s="84" t="str">
        <f>IFERROR(VLOOKUP($B100,'LOD 400 - SITE'!$B:CA,78,FALSE),"N/A")</f>
        <v>N/A</v>
      </c>
      <c r="FN100" s="85" t="str">
        <f>IFERROR(VLOOKUP($B100,'LOD 400 - SITE'!$B:CD,81,FALSE),"N/A")</f>
        <v>N/A</v>
      </c>
      <c r="FO100" s="84" t="str">
        <f>IFERROR(VLOOKUP($B100,'LOD 400 - SITE'!$B:CG,84,FALSE),"N/A")</f>
        <v>N/A</v>
      </c>
      <c r="FP100" s="85" t="str">
        <f>IFERROR(VLOOKUP($B100,'LOD 400 - SITE'!$B:CJ,87,FALSE),"N/A")</f>
        <v>N/A</v>
      </c>
      <c r="FQ100" s="84" t="str">
        <f>IFERROR(VLOOKUP($B100,'LOD 400 - SITE'!$B:CM,90,FALSE),"N/A")</f>
        <v>N/A</v>
      </c>
      <c r="FR100" s="84" t="str">
        <f>IFERROR(VLOOKUP($B100,'LOD 400 - SITE'!$B:CP,93,FALSE),"N/A")</f>
        <v>N/A</v>
      </c>
      <c r="FS100" s="84" t="str">
        <f>IFERROR(VLOOKUP($B100,'LOD 400 - SITE'!$B:CS,96,FALSE),"N/A")</f>
        <v>N/A</v>
      </c>
      <c r="FT100" s="84" t="str">
        <f>IFERROR(VLOOKUP($B100,'LOD 400 - SITE'!$B:CV,99,FALSE),"N/A")</f>
        <v>N/A</v>
      </c>
      <c r="FU100" s="84" t="str">
        <f>IFERROR(VLOOKUP($B100,'LOD 400 - SITE'!$B:CY,102,FALSE),"N/A")</f>
        <v>N/A</v>
      </c>
      <c r="FV100" s="84" t="str">
        <f>IFERROR(VLOOKUP($B100,'LOD 400 - SITE'!$B:DB,105,FALSE),"N/A")</f>
        <v>N/A</v>
      </c>
      <c r="FW100" s="84" t="str">
        <f>IFERROR(VLOOKUP($B100,'LOD 400 - SITE'!$B:DE,108,FALSE),"N/A")</f>
        <v>N/A</v>
      </c>
      <c r="FX100" s="84" t="str">
        <f>IFERROR(VLOOKUP($B100,'LOD 400 - SITE'!$B:DH,111,FALSE),"N/A")</f>
        <v>N/A</v>
      </c>
      <c r="FY100" s="84" t="str">
        <f>IFERROR(VLOOKUP($B100,'LOD 400 - SITE'!$B:DK,114,FALSE),"N/A")</f>
        <v>N/A</v>
      </c>
      <c r="FZ100" s="96" t="str">
        <f>IFERROR(__xludf.DUMMYFUNCTION("IFERROR(
  MAX(FILTER(ES100:FY100, ISNUMBER(ES100:FY100))),
  FY100
)"),"N/A")</f>
        <v>N/A</v>
      </c>
      <c r="GA100" s="80" t="str">
        <f>IFERROR(VLOOKUP($B100,'LOD 400 - UTLS'!B:S,18,FALSE),"N/A")</f>
        <v>N/A</v>
      </c>
      <c r="GB100" s="98" t="str">
        <f>IFERROR(VLOOKUP($B100,'LOD 400 - UTLS'!B:V,21,FALSE),"N/A")</f>
        <v>N/A</v>
      </c>
      <c r="GC100" s="81" t="str">
        <f>IFERROR(VLOOKUP($B100,'LOD 400 - UTLS'!B:Y,24,FALSE),"N/A")</f>
        <v>N/A</v>
      </c>
      <c r="GD100" s="87" t="str">
        <f>IFERROR(VLOOKUP($B100,'LOD 400 - UTLS'!$B:AB,27,FALSE),"N/A")</f>
        <v>N/A</v>
      </c>
      <c r="GE100" s="80" t="str">
        <f>IFERROR(VLOOKUP($B100,'LOD 400 - UTLS'!$B:AE,30,FALSE),"N/A")</f>
        <v>N/A</v>
      </c>
      <c r="GF100" s="82" t="str">
        <f>IFERROR(VLOOKUP($B100,'LOD 400 - UTLS'!$B:AH,33,FALSE),"N/A")</f>
        <v>N/A</v>
      </c>
      <c r="GG100" s="88" t="str">
        <f>IFERROR(VLOOKUP($B100,'LOD 400 - UTLS'!$B:AK,36,FALSE),"N/A")</f>
        <v>N/A</v>
      </c>
      <c r="GH100" s="84" t="str">
        <f>IFERROR(VLOOKUP($B100,'LOD 400 - UTLS'!$B:AN,39,FALSE),"N/A")</f>
        <v>N/A</v>
      </c>
      <c r="GI100" s="84" t="str">
        <f>IFERROR(VLOOKUP($B100,'LOD 400 - UTLS'!$B:AQ,42,FALSE),"N/A")</f>
        <v>N/A</v>
      </c>
      <c r="GJ100" s="84" t="str">
        <f>IFERROR(VLOOKUP($B100,'LOD 400 - UTLS'!$B:AT,45,FALSE),"N/A")</f>
        <v>N/A</v>
      </c>
      <c r="GK100" s="84" t="str">
        <f>IFERROR(VLOOKUP($B100,'LOD 400 - UTLS'!$B:AW,48,FALSE),"N/A")</f>
        <v>N/A</v>
      </c>
      <c r="GL100" s="84" t="str">
        <f>IFERROR(VLOOKUP($B100,'LOD 400 - UTLS'!$B:AZ,51,FALSE),"N/A")</f>
        <v>N/A</v>
      </c>
      <c r="GM100" s="84" t="str">
        <f>IFERROR(VLOOKUP($B100,'LOD 400 - UTLS'!$B:BC,54,FALSE),"N/A")</f>
        <v>N/A</v>
      </c>
      <c r="GN100" s="84" t="str">
        <f>IFERROR(VLOOKUP($B100,'LOD 400 - UTLS'!$B:BF,57,FALSE),"N/A")</f>
        <v>N/A</v>
      </c>
      <c r="GO100" s="84" t="str">
        <f>IFERROR(VLOOKUP($B100,'LOD 400 - UTLS'!$B:BI,60,FALSE),"N/A")</f>
        <v>N/A</v>
      </c>
      <c r="GP100" s="84" t="str">
        <f>IFERROR(VLOOKUP($B100,'LOD 400 - UTLS'!$B:BL,63,FALSE),"N/A")</f>
        <v>N/A</v>
      </c>
      <c r="GQ100" s="84" t="str">
        <f>IFERROR(VLOOKUP($B100,'LOD 400 - UTLS'!$B:BO,66,FALSE),"N/A")</f>
        <v>N/A</v>
      </c>
      <c r="GR100" s="84" t="str">
        <f>IFERROR(VLOOKUP($B100,'LOD 400 - UTLS'!$B:BR,69,FALSE),"N/A")</f>
        <v>N/A</v>
      </c>
      <c r="GS100" s="85" t="str">
        <f>IFERROR(VLOOKUP($B100,'LOD 400 - UTLS'!$B:BU,72,FALSE),"N/A")</f>
        <v>N/A</v>
      </c>
      <c r="GT100" s="84" t="str">
        <f>IFERROR(VLOOKUP($B100,'LOD 400 - UTLS'!$B:BX,75,FALSE),"N/A")</f>
        <v>N/A</v>
      </c>
      <c r="GU100" s="85" t="str">
        <f>IFERROR(VLOOKUP($B100,'LOD 400 - UTLS'!$B:CA,78,FALSE),"N/A")</f>
        <v>N/A</v>
      </c>
      <c r="GV100" s="84" t="str">
        <f>IFERROR(VLOOKUP($B100,'LOD 400 - UTLS'!$B:CD,81,FALSE),"N/A")</f>
        <v>N/A</v>
      </c>
      <c r="GW100" s="84" t="str">
        <f>IFERROR(VLOOKUP($B100,'LOD 400 - UTLS'!$B:CG,84,FALSE),"N/A")</f>
        <v>N/A</v>
      </c>
      <c r="GX100" s="84" t="str">
        <f>IFERROR(VLOOKUP($B100,'LOD 400 - UTLS'!$B:CJ,87,FALSE),"N/A")</f>
        <v>N/A</v>
      </c>
      <c r="GY100" s="84" t="str">
        <f>IFERROR(VLOOKUP($B100,'LOD 400 - UTLS'!$B:CM,90,FALSE),"N/A")</f>
        <v>N/A</v>
      </c>
      <c r="GZ100" s="84" t="str">
        <f>IFERROR(VLOOKUP($B100,'LOD 400 - UTLS'!$B:CP,93,FALSE),"N/A")</f>
        <v>N/A</v>
      </c>
      <c r="HA100" s="84" t="str">
        <f>IFERROR(VLOOKUP($B100,'LOD 400 - UTLS'!$B:CS,96,FALSE),"N/A")</f>
        <v>N/A</v>
      </c>
      <c r="HB100" s="84" t="str">
        <f>IFERROR(VLOOKUP($B100,'LOD 400 - UTLS'!$B:CV,99,FALSE),"N/A")</f>
        <v>N/A</v>
      </c>
      <c r="HC100" s="84" t="str">
        <f>IFERROR(VLOOKUP($B100,'LOD 400 - UTLS'!$B:CY,102,FALSE),"N/A")</f>
        <v>N/A</v>
      </c>
      <c r="HD100" s="84" t="str">
        <f>IFERROR(VLOOKUP($B100,'LOD 400 - UTLS'!$B:DB,105,FALSE),"N/A")</f>
        <v>N/A</v>
      </c>
      <c r="HE100" s="96" t="str">
        <f>IFERROR(__xludf.DUMMYFUNCTION("IFERROR(
  MAX(FILTER(GA100:HD100, ISNUMBER(GA100:HD100))),
  HD100
)"),"N/A")</f>
        <v>N/A</v>
      </c>
      <c r="HF100" s="99"/>
      <c r="HG100" s="99"/>
      <c r="HH100" s="99"/>
      <c r="HI100" s="99"/>
      <c r="HJ100" s="99"/>
      <c r="HK100" s="99"/>
    </row>
    <row r="101" ht="15.0" customHeight="1" outlineLevel="1">
      <c r="A101" s="53">
        <v>105.0</v>
      </c>
      <c r="B101" s="100" t="s">
        <v>290</v>
      </c>
      <c r="C101" s="100" t="s">
        <v>290</v>
      </c>
      <c r="D101" s="64" t="str">
        <f t="shared" si="17"/>
        <v>COL1</v>
      </c>
      <c r="E101" s="111" t="s">
        <v>289</v>
      </c>
      <c r="F101" s="102">
        <v>1125.0</v>
      </c>
      <c r="G101" s="103" t="s">
        <v>289</v>
      </c>
      <c r="H101" s="104">
        <v>1125.0</v>
      </c>
      <c r="I101" s="68" t="str">
        <f>IFERROR(VLOOKUP($C98:C108,'R22 RELATÓRIO ACC'!B:F,5,FALSE),"NOT PUBLISHED")</f>
        <v>V7</v>
      </c>
      <c r="J101" s="69" t="str">
        <f>IFERROR(VLOOKUP($C98:C108,'R22 RELATÓRIO ACC'!B:P,15,FALSE),"NOT PUBLISHED")</f>
        <v>07/11/2025</v>
      </c>
      <c r="K101" s="70" t="str">
        <f>IFERROR(VLOOKUP($B98:B108,'RELATÓRIO ACC'!B:F,5,FALSE),"NOT PUBLISHED")</f>
        <v>V1</v>
      </c>
      <c r="L101" s="71" t="str">
        <f>IFERROR(VLOOKUP($B98:B108,'RELATÓRIO ACC'!B:P,15,FALSE),"NOT PUBLISHED")</f>
        <v>21/05/2026</v>
      </c>
      <c r="M101" s="72" t="str">
        <f>IF(OR($D101="UTLS",$D101="GUAR",$D101="STIR",$D101="PUMP",$D101="SITE"),
   VLOOKUP($B101,'LOD 400 - SITE'!B:M,12,FALSE),
   VLOOKUP($B101,'LOD 400 - ADMN'!B:M,12,FALSE)
)</f>
        <v>N/A</v>
      </c>
      <c r="N101" s="105" t="str">
        <f>IF(OR($D101="UTLS",$D101="GUAR",$D101="STIR",$D101="PUMP",$D101="SITE"),
   VLOOKUP($B101,'LOD 400 - SITE'!B:N,13,FALSE),
   VLOOKUP($B101,'LOD 400 - ADMN'!B:N,13,FALSE)
)</f>
        <v>N/A</v>
      </c>
      <c r="O101" s="106" t="str">
        <f>IF(OR($D101="UTLS",$D101="GUAR",$D101="STIR",$D101="PUMP",$D101="SITE"),
   VLOOKUP($B101,'LOD 400 - SITE'!B:O,14,FALSE),
   VLOOKUP($B101,'LOD 400 - ADMN'!B:O,14,FALSE)
)</f>
        <v>N/A</v>
      </c>
      <c r="P101" s="107" t="str">
        <f>IF(OR($D101="C345",$D101="C12A",$D101="DATA"),
   VLOOKUP($B101,'LOD 400 - COLO3'!B:M,12,FALSE),"N/A")</f>
        <v>N/A</v>
      </c>
      <c r="Q101" s="108" t="str">
        <f>IF(OR($D101="C345",$D101="C12A",$D101="DATA"),
   VLOOKUP($B101,'LOD 400 - COLO3'!B:N,13,FALSE),"N/A")</f>
        <v>N/A</v>
      </c>
      <c r="R101" s="75" t="str">
        <f>IF(OR($D101="C345",$D101="C12A",$D101="DATA"),
   VLOOKUP($B101,'LOD 400 - COLO3'!B:O,14,FALSE),"N/A")</f>
        <v>N/A</v>
      </c>
      <c r="S101" s="76" t="str">
        <f>IF(OR($D101="C345",$D101="C12A",$D101="DATA"),
   VLOOKUP($B101,'LOD 400 - COLO4'!B:N,12,FALSE),"N/A")</f>
        <v>N/A</v>
      </c>
      <c r="T101" s="76" t="str">
        <f>IF(OR($D101="C345",$D101="C12A",$D101="DATA"),
   VLOOKUP($B101,'LOD 400 - COLO4'!B:N,13,FALSE),"N/A")</f>
        <v>N/A</v>
      </c>
      <c r="U101" s="76" t="str">
        <f>IF(OR($D101="C345",$D101="C12A",$D101="DATA"),
   VLOOKUP($B101,'LOD 400 - COLO4'!B:N,13,FALSE),"N/A")</f>
        <v>N/A</v>
      </c>
      <c r="V101" s="77" t="str">
        <f>IF(OR($D101="UTLS",$D101="GUAR",$D101="STIR",$D101="PUMP",$D101="SITE"),
   VLOOKUP($B101,'LOD 400 - UTLS'!B:M,12,FALSE),"N/A")</f>
        <v>N/A</v>
      </c>
      <c r="W101" s="78" t="str">
        <f>IF(OR($D101="UTLS",$D101="GUAR",$D101="STIR",$D101="PUMP",$D101="SITE"),
   VLOOKUP($B101,'LOD 400 - UTLS'!B:N,13,FALSE),"N/A")</f>
        <v>N/A</v>
      </c>
      <c r="X101" s="108" t="str">
        <f>IF(OR($D101="UTLS",$D101="GUAR",$D101="STIR",$D101="PUMP",$D101="SITE"),
   VLOOKUP($B101,'LOD 400 - UTLS'!B:O,14,FALSE),"N/A")</f>
        <v>N/A</v>
      </c>
      <c r="Y101" s="79" t="str">
        <f>IFERROR(VLOOKUP($B101,'LOD 400 - ADMN'!B:S,18,FALSE),"N/A")</f>
        <v>N/A</v>
      </c>
      <c r="Z101" s="79" t="str">
        <f>IFERROR(VLOOKUP($B101,'LOD 400 - ADMN'!B:V,21,FALSE),"N/A")</f>
        <v>N/A</v>
      </c>
      <c r="AA101" s="79" t="str">
        <f>IFERROR(VLOOKUP($B101,'LOD 400 - ADMN'!$B:Y,24,FALSE),"N/A")</f>
        <v>N/A</v>
      </c>
      <c r="AB101" s="80" t="str">
        <f>IFERROR(VLOOKUP($B101,'LOD 400 - ADMN'!$B:AB,27,FALSE),"N/A")</f>
        <v>N/A</v>
      </c>
      <c r="AC101" s="81" t="str">
        <f>IFERROR(VLOOKUP($B101,'LOD 400 - ADMN'!$B:AE,30,FALSE),"N/A")</f>
        <v>N/A</v>
      </c>
      <c r="AD101" s="81" t="str">
        <f>IFERROR(VLOOKUP($B101,'LOD 400 - ADMN'!$B:AH,33,FALSE),"N/A")</f>
        <v>N/A</v>
      </c>
      <c r="AE101" s="80" t="str">
        <f>IFERROR(VLOOKUP($B101,'LOD 400 - ADMN'!$B:AK,36,FALSE),"N/A")</f>
        <v>N/A</v>
      </c>
      <c r="AF101" s="82" t="str">
        <f>IFERROR(VLOOKUP($B101,'LOD 400 - ADMN'!$B:AN,39,FALSE),"N/A")</f>
        <v>N/A</v>
      </c>
      <c r="AG101" s="83" t="str">
        <f>IFERROR(VLOOKUP($B101,'LOD 400 - ADMN'!$B:AQ,42,FALSE),"N/A")</f>
        <v>N/A</v>
      </c>
      <c r="AH101" s="84" t="str">
        <f>IFERROR(VLOOKUP($B101,'LOD 400 - ADMN'!$B:AT,45,FALSE),"N/A")</f>
        <v>N/A</v>
      </c>
      <c r="AI101" s="85" t="str">
        <f>IFERROR(VLOOKUP($B101,'LOD 400 - ADMN'!$B:AW,48,FALSE),"N/A")</f>
        <v>N/A</v>
      </c>
      <c r="AJ101" s="85" t="str">
        <f>IFERROR(VLOOKUP($B101,'LOD 400 - ADMN'!$B:AZ,51,FALSE),"N/A")</f>
        <v>N/A</v>
      </c>
      <c r="AK101" s="84" t="str">
        <f>IFERROR(VLOOKUP($B101,'LOD 400 - ADMN'!$B:BC,54,FALSE),"N/A")</f>
        <v>N/A</v>
      </c>
      <c r="AL101" s="84" t="str">
        <f>IFERROR(VLOOKUP($B101,'LOD 400 - ADMN'!$B:BF,57,FALSE),"N/A")</f>
        <v>N/A</v>
      </c>
      <c r="AM101" s="84" t="str">
        <f>IFERROR(VLOOKUP($B101,'LOD 400 - ADMN'!$B:BI,60,FALSE),"N/A")</f>
        <v>N/A</v>
      </c>
      <c r="AN101" s="84" t="str">
        <f>IFERROR(VLOOKUP($B101,'LOD 400 - ADMN'!$B:BL,63,FALSE),"N/A")</f>
        <v>N/A</v>
      </c>
      <c r="AO101" s="84" t="str">
        <f>IFERROR(VLOOKUP($B101,'LOD 400 - ADMN'!$B:BO,66,FALSE),"N/A")</f>
        <v>N/A</v>
      </c>
      <c r="AP101" s="84" t="str">
        <f>IFERROR(VLOOKUP($B101,'LOD 400 - ADMN'!$B:BR,69,FALSE),"N/A")</f>
        <v>N/A</v>
      </c>
      <c r="AQ101" s="84" t="str">
        <f>IFERROR(VLOOKUP($B101,'LOD 400 - ADMN'!$B:BU,72,FALSE),"N/A")</f>
        <v>N/A</v>
      </c>
      <c r="AR101" s="84" t="str">
        <f>IFERROR(VLOOKUP($B101,'LOD 400 - ADMN'!$B:BX,75,FALSE),"N/A")</f>
        <v>N/A</v>
      </c>
      <c r="AS101" s="84" t="str">
        <f>IFERROR(VLOOKUP($B101,'LOD 400 - ADMN'!$B:CA,78,FALSE),"N/A")</f>
        <v>N/A</v>
      </c>
      <c r="AT101" s="84" t="str">
        <f>IFERROR(VLOOKUP($B101,'LOD 400 - ADMN'!$B:CD,81,FALSE),"N/A")</f>
        <v>N/A</v>
      </c>
      <c r="AU101" s="85" t="str">
        <f>IFERROR(VLOOKUP($B101,'LOD 400 - ADMN'!$B:CG,84,FALSE),"N/A")</f>
        <v>N/A</v>
      </c>
      <c r="AV101" s="84" t="str">
        <f>IFERROR(VLOOKUP($B101,'LOD 400 - ADMN'!$B:CJ,87,FALSE),"N/A")</f>
        <v>N/A</v>
      </c>
      <c r="AW101" s="85" t="str">
        <f>IFERROR(VLOOKUP($B101,'LOD 400 - ADMN'!$B:CM,90,FALSE),"N/A")</f>
        <v>N/A</v>
      </c>
      <c r="AX101" s="84" t="str">
        <f>IFERROR(VLOOKUP($B101,'LOD 400 - ADMN'!$B:CP,93,FALSE),"N/A")</f>
        <v>N/A</v>
      </c>
      <c r="AY101" s="84" t="str">
        <f>IFERROR(VLOOKUP($B101,'LOD 400 - ADMN'!$B:CS,96,FALSE),"N/A")</f>
        <v>N/A</v>
      </c>
      <c r="AZ101" s="84" t="str">
        <f>IFERROR(VLOOKUP($B101,'LOD 400 - ADMN'!$B:CV,99,FALSE),"N/A")</f>
        <v>N/A</v>
      </c>
      <c r="BA101" s="84" t="str">
        <f>IFERROR(VLOOKUP($B101,'LOD 400 - ADMN'!$B:CY,102,FALSE),"N/A")</f>
        <v>N/A</v>
      </c>
      <c r="BB101" s="84" t="str">
        <f>IFERROR(VLOOKUP($B101,'LOD 400 - ADMN'!$B:DB,105,FALSE),"N/A")</f>
        <v>N/A</v>
      </c>
      <c r="BC101" s="84" t="str">
        <f>IFERROR(VLOOKUP($B101,'LOD 400 - ADMN'!$B:DE,108,FALSE),"N/A")</f>
        <v>N/A</v>
      </c>
      <c r="BD101" s="84" t="str">
        <f>IFERROR(VLOOKUP($B101,'LOD 400 - ADMN'!$B:DH,111,FALSE),"N/A")</f>
        <v>N/A</v>
      </c>
      <c r="BE101" s="84" t="str">
        <f>IFERROR(VLOOKUP($B101,'LOD 400 - ADMN'!$B:DK,114,FALSE),"N/A")</f>
        <v>N/A</v>
      </c>
      <c r="BF101" s="84" t="str">
        <f>IFERROR(VLOOKUP($B101,'LOD 400 - ADMN'!$B:DN,117,FALSE),"N/A")</f>
        <v>N/A</v>
      </c>
      <c r="BG101" s="86" t="str">
        <f>IFERROR(__xludf.DUMMYFUNCTION("IFERROR(
  MAX(FILTER(Y101:BF101, ISNUMBER(Y101:BF101))),
  BF101
)"),"N/A")</f>
        <v>N/A</v>
      </c>
      <c r="BH101" s="79" t="str">
        <f>IFERROR(VLOOKUP($B101,'LOD 400 - COLO1'!B:S,18,FALSE),"N/A")</f>
        <v>OUTDATED</v>
      </c>
      <c r="BI101" s="79" t="str">
        <f>IFERROR(VLOOKUP($B101,'LOD 400 - COLO1'!B:V,21,FALSE),"N/A")</f>
        <v>OUTDATED</v>
      </c>
      <c r="BJ101" s="79" t="str">
        <f>IFERROR(VLOOKUP($B101,'LOD 400 - COLO1'!$B:Y,24,FALSE),"N/A")</f>
        <v>OUTDATED</v>
      </c>
      <c r="BK101" s="87" t="str">
        <f>IFERROR(VLOOKUP($B101,'LOD 400 - COLO1'!$B:AB,27,FALSE),"N/A")</f>
        <v>OUTDATED</v>
      </c>
      <c r="BL101" s="80" t="str">
        <f>IFERROR(VLOOKUP($B101,'LOD 400 - COLO1'!$B:AE,30,FALSE),"N/A")</f>
        <v>OUTDATED</v>
      </c>
      <c r="BM101" s="81">
        <f>IFERROR(VLOOKUP($B101,'LOD 400 - COLO1'!$B:AH,33,FALSE),"N/A")</f>
        <v>1</v>
      </c>
      <c r="BN101" s="87">
        <f>IFERROR(VLOOKUP($B101,'LOD 400 - COLO1'!$B:AK,36,FALSE),"N/A")</f>
        <v>1</v>
      </c>
      <c r="BO101" s="83">
        <f>IFERROR(VLOOKUP($B101,'LOD 400 - COLO1'!$B:AN,39,FALSE),"N/A")</f>
        <v>1</v>
      </c>
      <c r="BP101" s="88">
        <f>IFERROR(VLOOKUP($B101,'LOD 400 - COLO1'!$B:AQ,42,FALSE),"N/A")</f>
        <v>1</v>
      </c>
      <c r="BQ101" s="84">
        <f>IFERROR(VLOOKUP($B101,'LOD 400 - COLO1'!$B:AT,45,FALSE),"N/A")</f>
        <v>1</v>
      </c>
      <c r="BR101" s="85">
        <f>IFERROR(VLOOKUP($B101,'LOD 400 - COLO1'!$B:AW,48,FALSE),"N/A")</f>
        <v>1</v>
      </c>
      <c r="BS101" s="84">
        <f>IFERROR(VLOOKUP($B101,'LOD 400 - COLO1'!$B:AZ,51,FALSE),"N/A")</f>
        <v>1</v>
      </c>
      <c r="BT101" s="84">
        <f>IFERROR(VLOOKUP($B101,'LOD 400 - COLO1'!$B:BC,54,FALSE),"N/A")</f>
        <v>1</v>
      </c>
      <c r="BU101" s="84">
        <f>IFERROR(VLOOKUP($B101,'LOD 400 - COLO1'!$B:BF,57,FALSE),"N/A")</f>
        <v>1</v>
      </c>
      <c r="BV101" s="84">
        <f>IFERROR(VLOOKUP($B101,'LOD 400 - COLO1'!$B:BI,60,FALSE),"N/A")</f>
        <v>1</v>
      </c>
      <c r="BW101" s="84">
        <f>IFERROR(VLOOKUP($B101,'LOD 400 - COLO1'!$B:BL,63,FALSE),"N/A")</f>
        <v>1</v>
      </c>
      <c r="BX101" s="84">
        <f>IFERROR(VLOOKUP($B101,'LOD 400 - COLO1'!$B:BO,66,FALSE),"N/A")</f>
        <v>1</v>
      </c>
      <c r="BY101" s="84">
        <f>IFERROR(VLOOKUP($B101,'LOD 400 - COLO1'!$B:BR,69,FALSE),"N/A")</f>
        <v>1</v>
      </c>
      <c r="BZ101" s="84">
        <f>IFERROR(VLOOKUP($B101,'LOD 400 - COLO1'!$B:BU,72,FALSE),"N/A")</f>
        <v>1</v>
      </c>
      <c r="CA101" s="84">
        <f>IFERROR(VLOOKUP($B101,'LOD 400 - COLO1'!$B:BX,75,FALSE),"N/A")</f>
        <v>1</v>
      </c>
      <c r="CB101" s="84">
        <f>IFERROR(VLOOKUP($B101,'LOD 400 - COLO1'!$B:CA,78,FALSE),"N/A")</f>
        <v>1</v>
      </c>
      <c r="CC101" s="84">
        <f>IFERROR(VLOOKUP($B101,'LOD 400 - COLO1'!$B:CD,81,FALSE),"N/A")</f>
        <v>1</v>
      </c>
      <c r="CD101" s="85">
        <f>IFERROR(VLOOKUP($B101,'LOD 400 - COLO1'!$B:CG,84,FALSE),"N/A")</f>
        <v>1</v>
      </c>
      <c r="CE101" s="84">
        <f>IFERROR(VLOOKUP($B101,'LOD 400 - COLO1'!$B:CJ,87,FALSE),"N/A")</f>
        <v>1</v>
      </c>
      <c r="CF101" s="85">
        <f>IFERROR(VLOOKUP($B101,'LOD 400 - COLO1'!$B:CM,90,FALSE),"N/A")</f>
        <v>1</v>
      </c>
      <c r="CG101" s="84">
        <f>IFERROR(VLOOKUP($B101,'LOD 400 - COLO1'!$B:CP,93,FALSE),"N/A")</f>
        <v>1</v>
      </c>
      <c r="CH101" s="84">
        <f>IFERROR(VLOOKUP($B101,'LOD 400 - COLO1'!$B:CS,96,FALSE),"N/A")</f>
        <v>1</v>
      </c>
      <c r="CI101" s="84">
        <f>IFERROR(VLOOKUP($B101,'LOD 400 - COLO1'!$B:CV,99,FALSE),"N/A")</f>
        <v>1</v>
      </c>
      <c r="CJ101" s="84">
        <f>IFERROR(VLOOKUP($B101,'LOD 400 - COLO1'!$B:CY,102,FALSE),"N/A")</f>
        <v>1</v>
      </c>
      <c r="CK101" s="84">
        <f>IFERROR(VLOOKUP($B101,'LOD 400 - COLO1'!$B:DB,105,FALSE),"N/A")</f>
        <v>1</v>
      </c>
      <c r="CL101" s="84">
        <f>IFERROR(VLOOKUP($B101,'LOD 400 - COLO1'!$B:DE,108,FALSE),"N/A")</f>
        <v>1</v>
      </c>
      <c r="CM101" s="84">
        <f>IFERROR(VLOOKUP($B101,'LOD 400 - COLO1'!$B:DH,111,FALSE),"N/A")</f>
        <v>1</v>
      </c>
      <c r="CN101" s="84">
        <f>IFERROR(VLOOKUP($B101,'LOD 400 - COLO1'!$B:DK,114,FALSE),"N/A")</f>
        <v>1</v>
      </c>
      <c r="CO101" s="84">
        <f>IFERROR(VLOOKUP($B101,'LOD 400 - COLO1'!$B:DN,117,FALSE),"N/A")</f>
        <v>1</v>
      </c>
      <c r="CP101" s="86">
        <f>IFERROR(__xludf.DUMMYFUNCTION("IFERROR(
  MAX(FILTER(BH101:CO101, ISNUMBER(BH101:CO101))),
  CO101
)"),1.0)</f>
        <v>1</v>
      </c>
      <c r="CQ101" s="89" t="str">
        <f>IFERROR(VLOOKUP($B101,'LOD 400 - COLO2'!B:S,18,FALSE),"N/A")</f>
        <v>N/A</v>
      </c>
      <c r="CR101" s="79" t="str">
        <f>IFERROR(VLOOKUP($B101,'LOD 400 - COLO2'!B:V,21,FALSE),"N/A")</f>
        <v>N/A</v>
      </c>
      <c r="CS101" s="79" t="str">
        <f>IFERROR(VLOOKUP($B101,'LOD 400 - COLO2'!$B:Y,24,FALSE),"N/A")</f>
        <v>N/A</v>
      </c>
      <c r="CT101" s="80" t="str">
        <f>IFERROR(VLOOKUP($B101,'LOD 400 - COLO2'!$B:DQ,27,FALSE),"N/A")</f>
        <v>N/A</v>
      </c>
      <c r="CU101" s="90" t="str">
        <f>IFERROR(VLOOKUP($B101,'LOD 400 - COLO2'!$B:AE,30,FALSE),"N/A")</f>
        <v>N/A</v>
      </c>
      <c r="CV101" s="81" t="str">
        <f>IFERROR(VLOOKUP($B101,'LOD 400 - COLO2'!$B:AH,33,FALSE),"N/A")</f>
        <v>N/A</v>
      </c>
      <c r="CW101" s="90" t="str">
        <f>IFERROR(VLOOKUP($B101,'LOD 400 - COLO2'!$B:AK,36,FALSE),"N/A")</f>
        <v>N/A</v>
      </c>
      <c r="CX101" s="85" t="str">
        <f>IFERROR(VLOOKUP($B101,'LOD 400 - COLO2'!$B:AN,39,FALSE),"N/A")</f>
        <v>N/A</v>
      </c>
      <c r="CY101" s="88" t="str">
        <f>IFERROR(VLOOKUP($B101,'LOD 400 - COLO2'!$B:AQ,42,FALSE),"N/A")</f>
        <v>N/A</v>
      </c>
      <c r="CZ101" s="84" t="str">
        <f>IFERROR(VLOOKUP($B101,'LOD 400 - COLO2'!$B:AT,45,FALSE),"N/A")</f>
        <v>N/A</v>
      </c>
      <c r="DA101" s="85" t="str">
        <f>IFERROR(VLOOKUP($B101,'LOD 400 - COLO2'!$B:AW,48,FALSE),"N/A")</f>
        <v>N/A</v>
      </c>
      <c r="DB101" s="84" t="str">
        <f>IFERROR(VLOOKUP($B101,'LOD 400 - COLO2'!$B:AZ,51,FALSE),"N/A")</f>
        <v>N/A</v>
      </c>
      <c r="DC101" s="84" t="str">
        <f>IFERROR(VLOOKUP($B101,'LOD 400 - COLO2'!$B:BC,54,FALSE),"N/A")</f>
        <v>N/A</v>
      </c>
      <c r="DD101" s="84" t="str">
        <f>IFERROR(VLOOKUP($B101,'LOD 400 - COLO2'!$B:BF,57,FALSE),"N/A")</f>
        <v>N/A</v>
      </c>
      <c r="DE101" s="84" t="str">
        <f>IFERROR(VLOOKUP($B101,'LOD 400 - COLO2'!$B:BI,60,FALSE),"N/A")</f>
        <v>N/A</v>
      </c>
      <c r="DF101" s="84" t="str">
        <f>IFERROR(VLOOKUP($B101,'LOD 400 - COLO2'!$B:BL,63,FALSE),"N/A")</f>
        <v>N/A</v>
      </c>
      <c r="DG101" s="84" t="str">
        <f>IFERROR(VLOOKUP($B101,'LOD 400 - COLO2'!$B:BO,66,FALSE),"N/A")</f>
        <v>N/A</v>
      </c>
      <c r="DH101" s="84" t="str">
        <f>IFERROR(VLOOKUP($B101,'LOD 400 - COLO2'!$B:BR,69,FALSE),"N/A")</f>
        <v>N/A</v>
      </c>
      <c r="DI101" s="84" t="str">
        <f>IFERROR(VLOOKUP($B101,'LOD 400 - COLO2'!$B:BU,72,FALSE),"N/A")</f>
        <v>N/A</v>
      </c>
      <c r="DJ101" s="84" t="str">
        <f>IFERROR(VLOOKUP($B101,'LOD 400 - COLO2'!$B:BX,75,FALSE),"N/A")</f>
        <v>N/A</v>
      </c>
      <c r="DK101" s="84" t="str">
        <f>IFERROR(VLOOKUP($B101,'LOD 400 - COLO2'!$B:CA,78,FALSE),"N/A")</f>
        <v>N/A</v>
      </c>
      <c r="DL101" s="84" t="str">
        <f>IFERROR(VLOOKUP($B101,'LOD 400 - COLO2'!$B:CD,81,FALSE),"N/A")</f>
        <v>N/A</v>
      </c>
      <c r="DM101" s="85" t="str">
        <f>IFERROR(VLOOKUP($B101,'LOD 400 - COLO2'!$B:CG,84,FALSE),"N/A")</f>
        <v>N/A</v>
      </c>
      <c r="DN101" s="84" t="str">
        <f>IFERROR(VLOOKUP($B101,'LOD 400 - COLO2'!$B:CJ,87,FALSE),"N/A")</f>
        <v>N/A</v>
      </c>
      <c r="DO101" s="85" t="str">
        <f>IFERROR(VLOOKUP($B101,'LOD 400 - COLO2'!$B:CM,90,FALSE),"N/A")</f>
        <v>N/A</v>
      </c>
      <c r="DP101" s="84" t="str">
        <f>IFERROR(VLOOKUP($B101,'LOD 400 - COLO2'!$B:CP,93,FALSE),"N/A")</f>
        <v>N/A</v>
      </c>
      <c r="DQ101" s="84" t="str">
        <f>IFERROR(VLOOKUP($B101,'LOD 400 - COLO2'!$B:CS,96,FALSE),"N/A")</f>
        <v>N/A</v>
      </c>
      <c r="DR101" s="84" t="str">
        <f>IFERROR(VLOOKUP($B101,'LOD 400 - COLO2'!$B:CV,99,FALSE),"N/A")</f>
        <v>N/A</v>
      </c>
      <c r="DS101" s="84" t="str">
        <f>IFERROR(VLOOKUP($B101,'LOD 400 - COLO2'!$B:CY,102,FALSE),"N/A")</f>
        <v>N/A</v>
      </c>
      <c r="DT101" s="84" t="str">
        <f>IFERROR(VLOOKUP($B101,'LOD 400 - COLO2'!$B:DB,105,FALSE),"N/A")</f>
        <v>N/A</v>
      </c>
      <c r="DU101" s="84" t="str">
        <f>IFERROR(VLOOKUP($B101,'LOD 400 - COLO2'!$B:DE,108,FALSE),"N/A")</f>
        <v>N/A</v>
      </c>
      <c r="DV101" s="84" t="str">
        <f>IFERROR(VLOOKUP($B101,'LOD 400 - COLO2'!$B:DH,111,FALSE),"N/A")</f>
        <v>N/A</v>
      </c>
      <c r="DW101" s="84" t="str">
        <f>IFERROR(VLOOKUP($B101,'LOD 400 - COLO2'!$B:DK,114,FALSE),"N/A")</f>
        <v>N/A</v>
      </c>
      <c r="DX101" s="84" t="str">
        <f>IFERROR(VLOOKUP($B101,'LOD 400 - COLO2'!$B:DN,117,FALSE),"N/A")</f>
        <v>N/A</v>
      </c>
      <c r="DY101" s="91" t="str">
        <f>IFERROR(__xludf.DUMMYFUNCTION("IFERROR(
  MAX(FILTER(CQ101:DW101, ISNUMBER(CQ101:DW101))),
  DW101
)"),"N/A")</f>
        <v>N/A</v>
      </c>
      <c r="DZ101" s="92" t="str">
        <f>IFERROR(VLOOKUP($B101,'LOD 400 - COLO3'!B:S,18,FALSE),"N/A")</f>
        <v>N/A</v>
      </c>
      <c r="EA101" s="84" t="str">
        <f>IFERROR(VLOOKUP($B101,'LOD 400 - COLO3'!B:V,21,FALSE),"N/A")</f>
        <v>N/A</v>
      </c>
      <c r="EB101" s="84" t="str">
        <f>IFERROR(VLOOKUP($B101,'LOD 400 - COLO3'!B:Y,24,FALSE),"N/A")</f>
        <v>N/A</v>
      </c>
      <c r="EC101" s="84" t="str">
        <f>IFERROR(VLOOKUP($B101,'LOD 400 - COLO3'!B:AB,27,FALSE),"N/A")</f>
        <v>N/A</v>
      </c>
      <c r="ED101" s="85" t="str">
        <f>IFERROR(VLOOKUP($B101,'LOD 400 - COLO3'!B:AE,30,FALSE),"N/A")</f>
        <v>N/A</v>
      </c>
      <c r="EE101" s="84" t="str">
        <f>IFERROR(VLOOKUP($B101,'LOD 400 - COLO3'!B:AH,33,FALSE),"N/A")</f>
        <v>N/A</v>
      </c>
      <c r="EF101" s="84" t="str">
        <f>IFERROR(VLOOKUP($B101,'LOD 400 - COLO3'!B:AK,36,FALSE),"N/A")</f>
        <v>N/A</v>
      </c>
      <c r="EG101" s="109" t="str">
        <f>IFERROR(VLOOKUP($B101,'LOD 400 - COLO3'!B:AN,39,FALSE),"N/A")</f>
        <v>N/A</v>
      </c>
      <c r="EH101" s="94" t="str">
        <f>IFERROR(VLOOKUP($B101,'LOD 400 - COLO3'!B:AQ,42,FALSE),"N/A")</f>
        <v>N/A</v>
      </c>
      <c r="EI101" s="94" t="str">
        <f>IFERROR(VLOOKUP($B101,'LOD 400 - COLO3'!B:AT,45,FALSE),"N/A")</f>
        <v>N/A</v>
      </c>
      <c r="EJ101" s="94" t="str">
        <f>IFERROR(VLOOKUP($B101,'LOD 400 - COLO3'!B:AW,48,FALSE),"N/A")</f>
        <v>N/A</v>
      </c>
      <c r="EK101" s="94" t="str">
        <f>IFERROR(VLOOKUP($B101,'LOD 400 - COLO3'!B:AZ,51,FALSE),"N/A")</f>
        <v>N/A</v>
      </c>
      <c r="EL101" s="94" t="str">
        <f>IFERROR(VLOOKUP($B101,'LOD 400 - COLO3'!B:BC,54,FALSE),"N/A")</f>
        <v>N/A</v>
      </c>
      <c r="EM101" s="94" t="str">
        <f>IFERROR(VLOOKUP($B101,'LOD 400 - COLO3'!B:BF,57,FALSE),"N/A")</f>
        <v>N/A</v>
      </c>
      <c r="EN101" s="94" t="str">
        <f>IFERROR(VLOOKUP($B101,'LOD 400 - COLO3'!B:BI,60,FALSE),"N/A")</f>
        <v>N/A</v>
      </c>
      <c r="EO101" s="94" t="str">
        <f>IFERROR(VLOOKUP($B101,'LOD 400 - COLO3'!B:BL,63,FALSE),"N/A")</f>
        <v>N/A</v>
      </c>
      <c r="EP101" s="86" t="str">
        <f>IFERROR(__xludf.DUMMYFUNCTION("IFERROR(
  MAX(FILTER(DZ101:EO101, ISNUMBER(DZ101:EO101))),
  EO101
)"),"N/A")</f>
        <v>N/A</v>
      </c>
      <c r="EQ101" s="95">
        <f>IFERROR(VLOOKUP($B101,'LOD 400 - COLO4'!B:S,18,FALSE),"N/A")</f>
        <v>0</v>
      </c>
      <c r="ER101" s="96">
        <f>IFERROR(__xludf.DUMMYFUNCTION("IFERROR(
  MAX(FILTER(EQ101, ISNUMBER(EQ101))),
  EQ101
)"),0.0)</f>
        <v>0</v>
      </c>
      <c r="ES101" s="79" t="str">
        <f>IFERROR(VLOOKUP($B101,'LOD 400 - SITE'!B:S,18,FALSE),"N/A")</f>
        <v>N/A</v>
      </c>
      <c r="ET101" s="80" t="str">
        <f>IFERROR(VLOOKUP($B101,'LOD 400 - SITE'!B:V,21,FALSE),"N/A")</f>
        <v>N/A</v>
      </c>
      <c r="EU101" s="97" t="str">
        <f>IFERROR(VLOOKUP($B101,'LOD 400 - SITE'!$B:Y,24,FALSE),"N/A")</f>
        <v>N/A</v>
      </c>
      <c r="EV101" s="80" t="str">
        <f>IFERROR(VLOOKUP($B101,'LOD 400 - SITE'!$B:AB,27,FALSE),"N/A")</f>
        <v>N/A</v>
      </c>
      <c r="EW101" s="81" t="str">
        <f>IFERROR(VLOOKUP($B101,'LOD 400 - SITE'!$B:AE,30,FALSE),"N/A")</f>
        <v>N/A</v>
      </c>
      <c r="EX101" s="87" t="str">
        <f>IFERROR(VLOOKUP($B101,'LOD 400 - SITE'!$B:AH,33,FALSE),"N/A")</f>
        <v>N/A</v>
      </c>
      <c r="EY101" s="87" t="str">
        <f>IFERROR(VLOOKUP($B101,'LOD 400 - SITE'!$B:AK,36,FALSE),"N/A")</f>
        <v>N/A</v>
      </c>
      <c r="EZ101" s="80" t="str">
        <f>IFERROR(VLOOKUP($B101,'LOD 400 - SITE'!$B:AN,39,FALSE),"N/A")</f>
        <v>N/A</v>
      </c>
      <c r="FA101" s="82" t="str">
        <f>IFERROR(VLOOKUP($B101,'LOD 400 - SITE'!$B:AQ,42,FALSE),"N/A")</f>
        <v>N/A</v>
      </c>
      <c r="FB101" s="88" t="str">
        <f>IFERROR(VLOOKUP($B101,'LOD 400 - SITE'!$B:AT,45,FALSE),"N/A")</f>
        <v>N/A</v>
      </c>
      <c r="FC101" s="84" t="str">
        <f>IFERROR(VLOOKUP($B101,'LOD 400 - SITE'!$B:AW,48,FALSE),"N/A")</f>
        <v>N/A</v>
      </c>
      <c r="FD101" s="84" t="str">
        <f>IFERROR(VLOOKUP($B101,'LOD 400 - SITE'!$B:AZ,51,FALSE),"N/A")</f>
        <v>N/A</v>
      </c>
      <c r="FE101" s="84" t="str">
        <f>IFERROR(VLOOKUP($B101,'LOD 400 - SITE'!$B:BC,54,FALSE),"N/A")</f>
        <v>N/A</v>
      </c>
      <c r="FF101" s="84" t="str">
        <f>IFERROR(VLOOKUP($B101,'LOD 400 - SITE'!$B:BF,57,FALSE),"N/A")</f>
        <v>N/A</v>
      </c>
      <c r="FG101" s="84" t="str">
        <f>IFERROR(VLOOKUP($B101,'LOD 400 - SITE'!$B:BI,60,FALSE),"N/A")</f>
        <v>N/A</v>
      </c>
      <c r="FH101" s="84" t="str">
        <f>IFERROR(VLOOKUP($B101,'LOD 400 - SITE'!$B:BL,63,FALSE),"N/A")</f>
        <v>N/A</v>
      </c>
      <c r="FI101" s="84" t="str">
        <f>IFERROR(VLOOKUP($B101,'LOD 400 - SITE'!$B:BO,66,FALSE),"N/A")</f>
        <v>N/A</v>
      </c>
      <c r="FJ101" s="84" t="str">
        <f>IFERROR(VLOOKUP($B101,'LOD 400 - SITE'!$B:BR,69,FALSE),"N/A")</f>
        <v>N/A</v>
      </c>
      <c r="FK101" s="84" t="str">
        <f>IFERROR(VLOOKUP($B101,'LOD 400 - SITE'!$B:BU,72,FALSE),"N/A")</f>
        <v>N/A</v>
      </c>
      <c r="FL101" s="84" t="str">
        <f>IFERROR(VLOOKUP($B101,'LOD 400 - SITE'!$B:BX,75,FALSE),"N/A")</f>
        <v>N/A</v>
      </c>
      <c r="FM101" s="84" t="str">
        <f>IFERROR(VLOOKUP($B101,'LOD 400 - SITE'!$B:CA,78,FALSE),"N/A")</f>
        <v>N/A</v>
      </c>
      <c r="FN101" s="85" t="str">
        <f>IFERROR(VLOOKUP($B101,'LOD 400 - SITE'!$B:CD,81,FALSE),"N/A")</f>
        <v>N/A</v>
      </c>
      <c r="FO101" s="84" t="str">
        <f>IFERROR(VLOOKUP($B101,'LOD 400 - SITE'!$B:CG,84,FALSE),"N/A")</f>
        <v>N/A</v>
      </c>
      <c r="FP101" s="85" t="str">
        <f>IFERROR(VLOOKUP($B101,'LOD 400 - SITE'!$B:CJ,87,FALSE),"N/A")</f>
        <v>N/A</v>
      </c>
      <c r="FQ101" s="84" t="str">
        <f>IFERROR(VLOOKUP($B101,'LOD 400 - SITE'!$B:CM,90,FALSE),"N/A")</f>
        <v>N/A</v>
      </c>
      <c r="FR101" s="84" t="str">
        <f>IFERROR(VLOOKUP($B101,'LOD 400 - SITE'!$B:CP,93,FALSE),"N/A")</f>
        <v>N/A</v>
      </c>
      <c r="FS101" s="84" t="str">
        <f>IFERROR(VLOOKUP($B101,'LOD 400 - SITE'!$B:CS,96,FALSE),"N/A")</f>
        <v>N/A</v>
      </c>
      <c r="FT101" s="84" t="str">
        <f>IFERROR(VLOOKUP($B101,'LOD 400 - SITE'!$B:CV,99,FALSE),"N/A")</f>
        <v>N/A</v>
      </c>
      <c r="FU101" s="84" t="str">
        <f>IFERROR(VLOOKUP($B101,'LOD 400 - SITE'!$B:CY,102,FALSE),"N/A")</f>
        <v>N/A</v>
      </c>
      <c r="FV101" s="84" t="str">
        <f>IFERROR(VLOOKUP($B101,'LOD 400 - SITE'!$B:DB,105,FALSE),"N/A")</f>
        <v>N/A</v>
      </c>
      <c r="FW101" s="84" t="str">
        <f>IFERROR(VLOOKUP($B101,'LOD 400 - SITE'!$B:DE,108,FALSE),"N/A")</f>
        <v>N/A</v>
      </c>
      <c r="FX101" s="84" t="str">
        <f>IFERROR(VLOOKUP($B101,'LOD 400 - SITE'!$B:DH,111,FALSE),"N/A")</f>
        <v>N/A</v>
      </c>
      <c r="FY101" s="84" t="str">
        <f>IFERROR(VLOOKUP($B101,'LOD 400 - SITE'!$B:DK,114,FALSE),"N/A")</f>
        <v>N/A</v>
      </c>
      <c r="FZ101" s="96" t="str">
        <f>IFERROR(__xludf.DUMMYFUNCTION("IFERROR(
  MAX(FILTER(ES101:FY101, ISNUMBER(ES101:FY101))),
  FY101
)"),"N/A")</f>
        <v>N/A</v>
      </c>
      <c r="GA101" s="80" t="str">
        <f>IFERROR(VLOOKUP($B101,'LOD 400 - UTLS'!B:S,18,FALSE),"N/A")</f>
        <v>N/A</v>
      </c>
      <c r="GB101" s="98" t="str">
        <f>IFERROR(VLOOKUP($B101,'LOD 400 - UTLS'!B:V,21,FALSE),"N/A")</f>
        <v>N/A</v>
      </c>
      <c r="GC101" s="81" t="str">
        <f>IFERROR(VLOOKUP($B101,'LOD 400 - UTLS'!B:Y,24,FALSE),"N/A")</f>
        <v>N/A</v>
      </c>
      <c r="GD101" s="87" t="str">
        <f>IFERROR(VLOOKUP($B101,'LOD 400 - UTLS'!$B:AB,27,FALSE),"N/A")</f>
        <v>N/A</v>
      </c>
      <c r="GE101" s="80" t="str">
        <f>IFERROR(VLOOKUP($B101,'LOD 400 - UTLS'!$B:AE,30,FALSE),"N/A")</f>
        <v>N/A</v>
      </c>
      <c r="GF101" s="82" t="str">
        <f>IFERROR(VLOOKUP($B101,'LOD 400 - UTLS'!$B:AH,33,FALSE),"N/A")</f>
        <v>N/A</v>
      </c>
      <c r="GG101" s="88" t="str">
        <f>IFERROR(VLOOKUP($B101,'LOD 400 - UTLS'!$B:AK,36,FALSE),"N/A")</f>
        <v>N/A</v>
      </c>
      <c r="GH101" s="84" t="str">
        <f>IFERROR(VLOOKUP($B101,'LOD 400 - UTLS'!$B:AN,39,FALSE),"N/A")</f>
        <v>N/A</v>
      </c>
      <c r="GI101" s="84" t="str">
        <f>IFERROR(VLOOKUP($B101,'LOD 400 - UTLS'!$B:AQ,42,FALSE),"N/A")</f>
        <v>N/A</v>
      </c>
      <c r="GJ101" s="84" t="str">
        <f>IFERROR(VLOOKUP($B101,'LOD 400 - UTLS'!$B:AT,45,FALSE),"N/A")</f>
        <v>N/A</v>
      </c>
      <c r="GK101" s="84" t="str">
        <f>IFERROR(VLOOKUP($B101,'LOD 400 - UTLS'!$B:AW,48,FALSE),"N/A")</f>
        <v>N/A</v>
      </c>
      <c r="GL101" s="84" t="str">
        <f>IFERROR(VLOOKUP($B101,'LOD 400 - UTLS'!$B:AZ,51,FALSE),"N/A")</f>
        <v>N/A</v>
      </c>
      <c r="GM101" s="84" t="str">
        <f>IFERROR(VLOOKUP($B101,'LOD 400 - UTLS'!$B:BC,54,FALSE),"N/A")</f>
        <v>N/A</v>
      </c>
      <c r="GN101" s="84" t="str">
        <f>IFERROR(VLOOKUP($B101,'LOD 400 - UTLS'!$B:BF,57,FALSE),"N/A")</f>
        <v>N/A</v>
      </c>
      <c r="GO101" s="84" t="str">
        <f>IFERROR(VLOOKUP($B101,'LOD 400 - UTLS'!$B:BI,60,FALSE),"N/A")</f>
        <v>N/A</v>
      </c>
      <c r="GP101" s="84" t="str">
        <f>IFERROR(VLOOKUP($B101,'LOD 400 - UTLS'!$B:BL,63,FALSE),"N/A")</f>
        <v>N/A</v>
      </c>
      <c r="GQ101" s="84" t="str">
        <f>IFERROR(VLOOKUP($B101,'LOD 400 - UTLS'!$B:BO,66,FALSE),"N/A")</f>
        <v>N/A</v>
      </c>
      <c r="GR101" s="84" t="str">
        <f>IFERROR(VLOOKUP($B101,'LOD 400 - UTLS'!$B:BR,69,FALSE),"N/A")</f>
        <v>N/A</v>
      </c>
      <c r="GS101" s="85" t="str">
        <f>IFERROR(VLOOKUP($B101,'LOD 400 - UTLS'!$B:BU,72,FALSE),"N/A")</f>
        <v>N/A</v>
      </c>
      <c r="GT101" s="84" t="str">
        <f>IFERROR(VLOOKUP($B101,'LOD 400 - UTLS'!$B:BX,75,FALSE),"N/A")</f>
        <v>N/A</v>
      </c>
      <c r="GU101" s="85" t="str">
        <f>IFERROR(VLOOKUP($B101,'LOD 400 - UTLS'!$B:CA,78,FALSE),"N/A")</f>
        <v>N/A</v>
      </c>
      <c r="GV101" s="84" t="str">
        <f>IFERROR(VLOOKUP($B101,'LOD 400 - UTLS'!$B:CD,81,FALSE),"N/A")</f>
        <v>N/A</v>
      </c>
      <c r="GW101" s="84" t="str">
        <f>IFERROR(VLOOKUP($B101,'LOD 400 - UTLS'!$B:CG,84,FALSE),"N/A")</f>
        <v>N/A</v>
      </c>
      <c r="GX101" s="84" t="str">
        <f>IFERROR(VLOOKUP($B101,'LOD 400 - UTLS'!$B:CJ,87,FALSE),"N/A")</f>
        <v>N/A</v>
      </c>
      <c r="GY101" s="84" t="str">
        <f>IFERROR(VLOOKUP($B101,'LOD 400 - UTLS'!$B:CM,90,FALSE),"N/A")</f>
        <v>N/A</v>
      </c>
      <c r="GZ101" s="84" t="str">
        <f>IFERROR(VLOOKUP($B101,'LOD 400 - UTLS'!$B:CP,93,FALSE),"N/A")</f>
        <v>N/A</v>
      </c>
      <c r="HA101" s="84" t="str">
        <f>IFERROR(VLOOKUP($B101,'LOD 400 - UTLS'!$B:CS,96,FALSE),"N/A")</f>
        <v>N/A</v>
      </c>
      <c r="HB101" s="84" t="str">
        <f>IFERROR(VLOOKUP($B101,'LOD 400 - UTLS'!$B:CV,99,FALSE),"N/A")</f>
        <v>N/A</v>
      </c>
      <c r="HC101" s="84" t="str">
        <f>IFERROR(VLOOKUP($B101,'LOD 400 - UTLS'!$B:CY,102,FALSE),"N/A")</f>
        <v>N/A</v>
      </c>
      <c r="HD101" s="84" t="str">
        <f>IFERROR(VLOOKUP($B101,'LOD 400 - UTLS'!$B:DB,105,FALSE),"N/A")</f>
        <v>N/A</v>
      </c>
      <c r="HE101" s="96" t="str">
        <f>IFERROR(__xludf.DUMMYFUNCTION("IFERROR(
  MAX(FILTER(GA101:HD101, ISNUMBER(GA101:HD101))),
  HD101
)"),"N/A")</f>
        <v>N/A</v>
      </c>
      <c r="HF101" s="99"/>
      <c r="HG101" s="99"/>
      <c r="HH101" s="99"/>
      <c r="HI101" s="99"/>
      <c r="HJ101" s="99"/>
      <c r="HK101" s="99"/>
    </row>
    <row r="102" ht="15.0" customHeight="1" outlineLevel="1">
      <c r="A102" s="53">
        <v>106.0</v>
      </c>
      <c r="B102" s="100" t="s">
        <v>291</v>
      </c>
      <c r="C102" s="100" t="s">
        <v>291</v>
      </c>
      <c r="D102" s="64" t="str">
        <f t="shared" si="17"/>
        <v>COL2</v>
      </c>
      <c r="E102" s="111" t="s">
        <v>289</v>
      </c>
      <c r="F102" s="102">
        <v>1125.0</v>
      </c>
      <c r="G102" s="103" t="s">
        <v>289</v>
      </c>
      <c r="H102" s="67">
        <v>1125.0</v>
      </c>
      <c r="I102" s="68" t="str">
        <f>IFERROR(VLOOKUP($C99:C108,'R22 RELATÓRIO ACC'!B:F,5,FALSE),"NOT PUBLISHED")</f>
        <v>V6</v>
      </c>
      <c r="J102" s="69" t="str">
        <f>IFERROR(VLOOKUP($C99:C108,'R22 RELATÓRIO ACC'!B:P,15,FALSE),"NOT PUBLISHED")</f>
        <v>07/11/2025</v>
      </c>
      <c r="K102" s="70" t="str">
        <f>IFERROR(VLOOKUP($B99:B108,'RELATÓRIO ACC'!B:F,5,FALSE),"NOT PUBLISHED")</f>
        <v>V1</v>
      </c>
      <c r="L102" s="71" t="str">
        <f>IFERROR(VLOOKUP($B99:B108,'RELATÓRIO ACC'!B:P,15,FALSE),"NOT PUBLISHED")</f>
        <v>21/05/2026</v>
      </c>
      <c r="M102" s="72" t="str">
        <f>IF(OR($D102="UTLS",$D102="GUAR",$D102="STIR",$D102="PUMP",$D102="SITE"),
   VLOOKUP($B102,'LOD 400 - SITE'!B:M,12,FALSE),
   VLOOKUP($B102,'LOD 400 - ADMN'!B:M,12,FALSE)
)</f>
        <v>N/A</v>
      </c>
      <c r="N102" s="105" t="str">
        <f>IF(OR($D102="UTLS",$D102="GUAR",$D102="STIR",$D102="PUMP",$D102="SITE"),
   VLOOKUP($B102,'LOD 400 - SITE'!B:N,13,FALSE),
   VLOOKUP($B102,'LOD 400 - ADMN'!B:N,13,FALSE)
)</f>
        <v>N/A</v>
      </c>
      <c r="O102" s="106" t="str">
        <f>IF(OR($D102="UTLS",$D102="GUAR",$D102="STIR",$D102="PUMP",$D102="SITE"),
   VLOOKUP($B102,'LOD 400 - SITE'!B:O,14,FALSE),
   VLOOKUP($B102,'LOD 400 - ADMN'!B:O,14,FALSE)
)</f>
        <v>N/A</v>
      </c>
      <c r="P102" s="107" t="str">
        <f>IF(OR($D102="C345",$D102="C12A",$D102="DATA"),
   VLOOKUP($B102,'LOD 400 - COLO3'!B:M,12,FALSE),"N/A")</f>
        <v>N/A</v>
      </c>
      <c r="Q102" s="108" t="str">
        <f>IF(OR($D102="C345",$D102="C12A",$D102="DATA"),
   VLOOKUP($B102,'LOD 400 - COLO3'!B:N,13,FALSE),"N/A")</f>
        <v>N/A</v>
      </c>
      <c r="R102" s="75" t="str">
        <f>IF(OR($D102="C345",$D102="C12A",$D102="DATA"),
   VLOOKUP($B102,'LOD 400 - COLO3'!B:O,14,FALSE),"N/A")</f>
        <v>N/A</v>
      </c>
      <c r="S102" s="76" t="str">
        <f>IF(OR($D102="C345",$D102="C12A",$D102="DATA"),
   VLOOKUP($B102,'LOD 400 - COLO4'!B:N,12,FALSE),"N/A")</f>
        <v>N/A</v>
      </c>
      <c r="T102" s="76" t="str">
        <f>IF(OR($D102="C345",$D102="C12A",$D102="DATA"),
   VLOOKUP($B102,'LOD 400 - COLO4'!B:N,13,FALSE),"N/A")</f>
        <v>N/A</v>
      </c>
      <c r="U102" s="76" t="str">
        <f>IF(OR($D102="C345",$D102="C12A",$D102="DATA"),
   VLOOKUP($B102,'LOD 400 - COLO4'!B:N,13,FALSE),"N/A")</f>
        <v>N/A</v>
      </c>
      <c r="V102" s="77" t="str">
        <f>IF(OR($D102="UTLS",$D102="GUAR",$D102="STIR",$D102="PUMP",$D102="SITE"),
   VLOOKUP($B102,'LOD 400 - UTLS'!B:M,12,FALSE),"N/A")</f>
        <v>N/A</v>
      </c>
      <c r="W102" s="78" t="str">
        <f>IF(OR($D102="UTLS",$D102="GUAR",$D102="STIR",$D102="PUMP",$D102="SITE"),
   VLOOKUP($B102,'LOD 400 - UTLS'!B:N,13,FALSE),"N/A")</f>
        <v>N/A</v>
      </c>
      <c r="X102" s="108" t="str">
        <f>IF(OR($D102="UTLS",$D102="GUAR",$D102="STIR",$D102="PUMP",$D102="SITE"),
   VLOOKUP($B102,'LOD 400 - UTLS'!B:O,14,FALSE),"N/A")</f>
        <v>N/A</v>
      </c>
      <c r="Y102" s="79" t="str">
        <f>IFERROR(VLOOKUP($B102,'LOD 400 - ADMN'!B:S,18,FALSE),"N/A")</f>
        <v>N/A</v>
      </c>
      <c r="Z102" s="79" t="str">
        <f>IFERROR(VLOOKUP($B102,'LOD 400 - ADMN'!B:V,21,FALSE),"N/A")</f>
        <v>N/A</v>
      </c>
      <c r="AA102" s="79" t="str">
        <f>IFERROR(VLOOKUP($B102,'LOD 400 - ADMN'!$B:Y,24,FALSE),"N/A")</f>
        <v>N/A</v>
      </c>
      <c r="AB102" s="80" t="str">
        <f>IFERROR(VLOOKUP($B102,'LOD 400 - ADMN'!$B:AB,27,FALSE),"N/A")</f>
        <v>N/A</v>
      </c>
      <c r="AC102" s="81" t="str">
        <f>IFERROR(VLOOKUP($B102,'LOD 400 - ADMN'!$B:AE,30,FALSE),"N/A")</f>
        <v>N/A</v>
      </c>
      <c r="AD102" s="81" t="str">
        <f>IFERROR(VLOOKUP($B102,'LOD 400 - ADMN'!$B:AH,33,FALSE),"N/A")</f>
        <v>N/A</v>
      </c>
      <c r="AE102" s="80" t="str">
        <f>IFERROR(VLOOKUP($B102,'LOD 400 - ADMN'!$B:AK,36,FALSE),"N/A")</f>
        <v>N/A</v>
      </c>
      <c r="AF102" s="82" t="str">
        <f>IFERROR(VLOOKUP($B102,'LOD 400 - ADMN'!$B:AN,39,FALSE),"N/A")</f>
        <v>N/A</v>
      </c>
      <c r="AG102" s="83" t="str">
        <f>IFERROR(VLOOKUP($B102,'LOD 400 - ADMN'!$B:AQ,42,FALSE),"N/A")</f>
        <v>N/A</v>
      </c>
      <c r="AH102" s="84" t="str">
        <f>IFERROR(VLOOKUP($B102,'LOD 400 - ADMN'!$B:AT,45,FALSE),"N/A")</f>
        <v>N/A</v>
      </c>
      <c r="AI102" s="85" t="str">
        <f>IFERROR(VLOOKUP($B102,'LOD 400 - ADMN'!$B:AW,48,FALSE),"N/A")</f>
        <v>N/A</v>
      </c>
      <c r="AJ102" s="85" t="str">
        <f>IFERROR(VLOOKUP($B102,'LOD 400 - ADMN'!$B:AZ,51,FALSE),"N/A")</f>
        <v>N/A</v>
      </c>
      <c r="AK102" s="84" t="str">
        <f>IFERROR(VLOOKUP($B102,'LOD 400 - ADMN'!$B:BC,54,FALSE),"N/A")</f>
        <v>N/A</v>
      </c>
      <c r="AL102" s="84" t="str">
        <f>IFERROR(VLOOKUP($B102,'LOD 400 - ADMN'!$B:BF,57,FALSE),"N/A")</f>
        <v>N/A</v>
      </c>
      <c r="AM102" s="84" t="str">
        <f>IFERROR(VLOOKUP($B102,'LOD 400 - ADMN'!$B:BI,60,FALSE),"N/A")</f>
        <v>N/A</v>
      </c>
      <c r="AN102" s="84" t="str">
        <f>IFERROR(VLOOKUP($B102,'LOD 400 - ADMN'!$B:BL,63,FALSE),"N/A")</f>
        <v>N/A</v>
      </c>
      <c r="AO102" s="84" t="str">
        <f>IFERROR(VLOOKUP($B102,'LOD 400 - ADMN'!$B:BO,66,FALSE),"N/A")</f>
        <v>N/A</v>
      </c>
      <c r="AP102" s="84" t="str">
        <f>IFERROR(VLOOKUP($B102,'LOD 400 - ADMN'!$B:BR,69,FALSE),"N/A")</f>
        <v>N/A</v>
      </c>
      <c r="AQ102" s="84" t="str">
        <f>IFERROR(VLOOKUP($B102,'LOD 400 - ADMN'!$B:BU,72,FALSE),"N/A")</f>
        <v>N/A</v>
      </c>
      <c r="AR102" s="84" t="str">
        <f>IFERROR(VLOOKUP($B102,'LOD 400 - ADMN'!$B:BX,75,FALSE),"N/A")</f>
        <v>N/A</v>
      </c>
      <c r="AS102" s="84" t="str">
        <f>IFERROR(VLOOKUP($B102,'LOD 400 - ADMN'!$B:CA,78,FALSE),"N/A")</f>
        <v>N/A</v>
      </c>
      <c r="AT102" s="84" t="str">
        <f>IFERROR(VLOOKUP($B102,'LOD 400 - ADMN'!$B:CD,81,FALSE),"N/A")</f>
        <v>N/A</v>
      </c>
      <c r="AU102" s="85" t="str">
        <f>IFERROR(VLOOKUP($B102,'LOD 400 - ADMN'!$B:CG,84,FALSE),"N/A")</f>
        <v>N/A</v>
      </c>
      <c r="AV102" s="84" t="str">
        <f>IFERROR(VLOOKUP($B102,'LOD 400 - ADMN'!$B:CJ,87,FALSE),"N/A")</f>
        <v>N/A</v>
      </c>
      <c r="AW102" s="85" t="str">
        <f>IFERROR(VLOOKUP($B102,'LOD 400 - ADMN'!$B:CM,90,FALSE),"N/A")</f>
        <v>N/A</v>
      </c>
      <c r="AX102" s="84" t="str">
        <f>IFERROR(VLOOKUP($B102,'LOD 400 - ADMN'!$B:CP,93,FALSE),"N/A")</f>
        <v>N/A</v>
      </c>
      <c r="AY102" s="84" t="str">
        <f>IFERROR(VLOOKUP($B102,'LOD 400 - ADMN'!$B:CS,96,FALSE),"N/A")</f>
        <v>N/A</v>
      </c>
      <c r="AZ102" s="84" t="str">
        <f>IFERROR(VLOOKUP($B102,'LOD 400 - ADMN'!$B:CV,99,FALSE),"N/A")</f>
        <v>N/A</v>
      </c>
      <c r="BA102" s="84" t="str">
        <f>IFERROR(VLOOKUP($B102,'LOD 400 - ADMN'!$B:CY,102,FALSE),"N/A")</f>
        <v>N/A</v>
      </c>
      <c r="BB102" s="84" t="str">
        <f>IFERROR(VLOOKUP($B102,'LOD 400 - ADMN'!$B:DB,105,FALSE),"N/A")</f>
        <v>N/A</v>
      </c>
      <c r="BC102" s="84" t="str">
        <f>IFERROR(VLOOKUP($B102,'LOD 400 - ADMN'!$B:DE,108,FALSE),"N/A")</f>
        <v>N/A</v>
      </c>
      <c r="BD102" s="84" t="str">
        <f>IFERROR(VLOOKUP($B102,'LOD 400 - ADMN'!$B:DH,111,FALSE),"N/A")</f>
        <v>N/A</v>
      </c>
      <c r="BE102" s="84" t="str">
        <f>IFERROR(VLOOKUP($B102,'LOD 400 - ADMN'!$B:DK,114,FALSE),"N/A")</f>
        <v>N/A</v>
      </c>
      <c r="BF102" s="84" t="str">
        <f>IFERROR(VLOOKUP($B102,'LOD 400 - ADMN'!$B:DN,117,FALSE),"N/A")</f>
        <v>N/A</v>
      </c>
      <c r="BG102" s="86" t="str">
        <f>IFERROR(__xludf.DUMMYFUNCTION("IFERROR(
  MAX(FILTER(Y102:BF102, ISNUMBER(Y102:BF102))),
  BF102
)"),"N/A")</f>
        <v>N/A</v>
      </c>
      <c r="BH102" s="79" t="str">
        <f>IFERROR(VLOOKUP($B102,'LOD 400 - COLO1'!B:S,18,FALSE),"N/A")</f>
        <v>N/A</v>
      </c>
      <c r="BI102" s="79" t="str">
        <f>IFERROR(VLOOKUP($B102,'LOD 400 - COLO1'!B:V,21,FALSE),"N/A")</f>
        <v>N/A</v>
      </c>
      <c r="BJ102" s="79" t="str">
        <f>IFERROR(VLOOKUP($B102,'LOD 400 - COLO1'!$B:Y,24,FALSE),"N/A")</f>
        <v>N/A</v>
      </c>
      <c r="BK102" s="87" t="str">
        <f>IFERROR(VLOOKUP($B102,'LOD 400 - COLO1'!$B:AB,27,FALSE),"N/A")</f>
        <v>N/A</v>
      </c>
      <c r="BL102" s="80" t="str">
        <f>IFERROR(VLOOKUP($B102,'LOD 400 - COLO1'!$B:AE,30,FALSE),"N/A")</f>
        <v>N/A</v>
      </c>
      <c r="BM102" s="81" t="str">
        <f>IFERROR(VLOOKUP($B102,'LOD 400 - COLO1'!$B:AH,33,FALSE),"N/A")</f>
        <v>N/A</v>
      </c>
      <c r="BN102" s="87" t="str">
        <f>IFERROR(VLOOKUP($B102,'LOD 400 - COLO1'!$B:AK,36,FALSE),"N/A")</f>
        <v>N/A</v>
      </c>
      <c r="BO102" s="83" t="str">
        <f>IFERROR(VLOOKUP($B102,'LOD 400 - COLO1'!$B:AN,39,FALSE),"N/A")</f>
        <v>N/A</v>
      </c>
      <c r="BP102" s="88" t="str">
        <f>IFERROR(VLOOKUP($B102,'LOD 400 - COLO1'!$B:AQ,42,FALSE),"N/A")</f>
        <v>N/A</v>
      </c>
      <c r="BQ102" s="84" t="str">
        <f>IFERROR(VLOOKUP($B102,'LOD 400 - COLO1'!$B:AT,45,FALSE),"N/A")</f>
        <v>N/A</v>
      </c>
      <c r="BR102" s="85" t="str">
        <f>IFERROR(VLOOKUP($B102,'LOD 400 - COLO1'!$B:AW,48,FALSE),"N/A")</f>
        <v>N/A</v>
      </c>
      <c r="BS102" s="84" t="str">
        <f>IFERROR(VLOOKUP($B102,'LOD 400 - COLO1'!$B:AZ,51,FALSE),"N/A")</f>
        <v>N/A</v>
      </c>
      <c r="BT102" s="84" t="str">
        <f>IFERROR(VLOOKUP($B102,'LOD 400 - COLO1'!$B:BC,54,FALSE),"N/A")</f>
        <v>N/A</v>
      </c>
      <c r="BU102" s="84" t="str">
        <f>IFERROR(VLOOKUP($B102,'LOD 400 - COLO1'!$B:BF,57,FALSE),"N/A")</f>
        <v>N/A</v>
      </c>
      <c r="BV102" s="84" t="str">
        <f>IFERROR(VLOOKUP($B102,'LOD 400 - COLO1'!$B:BI,60,FALSE),"N/A")</f>
        <v>N/A</v>
      </c>
      <c r="BW102" s="84" t="str">
        <f>IFERROR(VLOOKUP($B102,'LOD 400 - COLO1'!$B:BL,63,FALSE),"N/A")</f>
        <v>N/A</v>
      </c>
      <c r="BX102" s="84" t="str">
        <f>IFERROR(VLOOKUP($B102,'LOD 400 - COLO1'!$B:BO,66,FALSE),"N/A")</f>
        <v>N/A</v>
      </c>
      <c r="BY102" s="84" t="str">
        <f>IFERROR(VLOOKUP($B102,'LOD 400 - COLO1'!$B:BR,69,FALSE),"N/A")</f>
        <v>N/A</v>
      </c>
      <c r="BZ102" s="84" t="str">
        <f>IFERROR(VLOOKUP($B102,'LOD 400 - COLO1'!$B:BU,72,FALSE),"N/A")</f>
        <v>N/A</v>
      </c>
      <c r="CA102" s="84" t="str">
        <f>IFERROR(VLOOKUP($B102,'LOD 400 - COLO1'!$B:BX,75,FALSE),"N/A")</f>
        <v>N/A</v>
      </c>
      <c r="CB102" s="84" t="str">
        <f>IFERROR(VLOOKUP($B102,'LOD 400 - COLO1'!$B:CA,78,FALSE),"N/A")</f>
        <v>N/A</v>
      </c>
      <c r="CC102" s="84" t="str">
        <f>IFERROR(VLOOKUP($B102,'LOD 400 - COLO1'!$B:CD,81,FALSE),"N/A")</f>
        <v>N/A</v>
      </c>
      <c r="CD102" s="85" t="str">
        <f>IFERROR(VLOOKUP($B102,'LOD 400 - COLO1'!$B:CG,84,FALSE),"N/A")</f>
        <v>N/A</v>
      </c>
      <c r="CE102" s="84" t="str">
        <f>IFERROR(VLOOKUP($B102,'LOD 400 - COLO1'!$B:CJ,87,FALSE),"N/A")</f>
        <v>N/A</v>
      </c>
      <c r="CF102" s="85" t="str">
        <f>IFERROR(VLOOKUP($B102,'LOD 400 - COLO1'!$B:CM,90,FALSE),"N/A")</f>
        <v>N/A</v>
      </c>
      <c r="CG102" s="84" t="str">
        <f>IFERROR(VLOOKUP($B102,'LOD 400 - COLO1'!$B:CP,93,FALSE),"N/A")</f>
        <v>N/A</v>
      </c>
      <c r="CH102" s="84" t="str">
        <f>IFERROR(VLOOKUP($B102,'LOD 400 - COLO1'!$B:CS,96,FALSE),"N/A")</f>
        <v>N/A</v>
      </c>
      <c r="CI102" s="84" t="str">
        <f>IFERROR(VLOOKUP($B102,'LOD 400 - COLO1'!$B:CV,99,FALSE),"N/A")</f>
        <v>N/A</v>
      </c>
      <c r="CJ102" s="84" t="str">
        <f>IFERROR(VLOOKUP($B102,'LOD 400 - COLO1'!$B:CY,102,FALSE),"N/A")</f>
        <v>N/A</v>
      </c>
      <c r="CK102" s="84" t="str">
        <f>IFERROR(VLOOKUP($B102,'LOD 400 - COLO1'!$B:DB,105,FALSE),"N/A")</f>
        <v>N/A</v>
      </c>
      <c r="CL102" s="84" t="str">
        <f>IFERROR(VLOOKUP($B102,'LOD 400 - COLO1'!$B:DE,108,FALSE),"N/A")</f>
        <v>N/A</v>
      </c>
      <c r="CM102" s="84" t="str">
        <f>IFERROR(VLOOKUP($B102,'LOD 400 - COLO1'!$B:DH,111,FALSE),"N/A")</f>
        <v>N/A</v>
      </c>
      <c r="CN102" s="84" t="str">
        <f>IFERROR(VLOOKUP($B102,'LOD 400 - COLO1'!$B:DK,114,FALSE),"N/A")</f>
        <v>N/A</v>
      </c>
      <c r="CO102" s="84" t="str">
        <f>IFERROR(VLOOKUP($B102,'LOD 400 - COLO1'!$B:DN,117,FALSE),"N/A")</f>
        <v>N/A</v>
      </c>
      <c r="CP102" s="86" t="str">
        <f>IFERROR(__xludf.DUMMYFUNCTION("IFERROR(
  MAX(FILTER(BH102:CO102, ISNUMBER(BH102:CO102))),
  CO102
)"),"N/A")</f>
        <v>N/A</v>
      </c>
      <c r="CQ102" s="89" t="str">
        <f>IFERROR(VLOOKUP($B102,'LOD 400 - COLO2'!B:S,18,FALSE),"N/A")</f>
        <v>OUTDATED</v>
      </c>
      <c r="CR102" s="79" t="str">
        <f>IFERROR(VLOOKUP($B102,'LOD 400 - COLO2'!B:V,21,FALSE),"N/A")</f>
        <v>OUTDATED</v>
      </c>
      <c r="CS102" s="79" t="str">
        <f>IFERROR(VLOOKUP($B102,'LOD 400 - COLO2'!$B:Y,24,FALSE),"N/A")</f>
        <v>OUTDATED</v>
      </c>
      <c r="CT102" s="80" t="str">
        <f>IFERROR(VLOOKUP($B102,'LOD 400 - COLO2'!$B:DQ,27,FALSE),"N/A")</f>
        <v>OUTDATED</v>
      </c>
      <c r="CU102" s="90" t="str">
        <f>IFERROR(VLOOKUP($B102,'LOD 400 - COLO2'!$B:AE,30,FALSE),"N/A")</f>
        <v>OUTDATED</v>
      </c>
      <c r="CV102" s="81">
        <f>IFERROR(VLOOKUP($B102,'LOD 400 - COLO2'!$B:AH,33,FALSE),"N/A")</f>
        <v>1</v>
      </c>
      <c r="CW102" s="90">
        <f>IFERROR(VLOOKUP($B102,'LOD 400 - COLO2'!$B:AK,36,FALSE),"N/A")</f>
        <v>1</v>
      </c>
      <c r="CX102" s="85">
        <f>IFERROR(VLOOKUP($B102,'LOD 400 - COLO2'!$B:AN,39,FALSE),"N/A")</f>
        <v>1</v>
      </c>
      <c r="CY102" s="88">
        <f>IFERROR(VLOOKUP($B102,'LOD 400 - COLO2'!$B:AQ,42,FALSE),"N/A")</f>
        <v>1</v>
      </c>
      <c r="CZ102" s="84">
        <f>IFERROR(VLOOKUP($B102,'LOD 400 - COLO2'!$B:AT,45,FALSE),"N/A")</f>
        <v>1</v>
      </c>
      <c r="DA102" s="85">
        <f>IFERROR(VLOOKUP($B102,'LOD 400 - COLO2'!$B:AW,48,FALSE),"N/A")</f>
        <v>1</v>
      </c>
      <c r="DB102" s="84">
        <f>IFERROR(VLOOKUP($B102,'LOD 400 - COLO2'!$B:AZ,51,FALSE),"N/A")</f>
        <v>1</v>
      </c>
      <c r="DC102" s="84">
        <f>IFERROR(VLOOKUP($B102,'LOD 400 - COLO2'!$B:BC,54,FALSE),"N/A")</f>
        <v>1</v>
      </c>
      <c r="DD102" s="84">
        <f>IFERROR(VLOOKUP($B102,'LOD 400 - COLO2'!$B:BF,57,FALSE),"N/A")</f>
        <v>1</v>
      </c>
      <c r="DE102" s="84">
        <f>IFERROR(VLOOKUP($B102,'LOD 400 - COLO2'!$B:BI,60,FALSE),"N/A")</f>
        <v>1</v>
      </c>
      <c r="DF102" s="84">
        <f>IFERROR(VLOOKUP($B102,'LOD 400 - COLO2'!$B:BL,63,FALSE),"N/A")</f>
        <v>1</v>
      </c>
      <c r="DG102" s="84">
        <f>IFERROR(VLOOKUP($B102,'LOD 400 - COLO2'!$B:BO,66,FALSE),"N/A")</f>
        <v>1</v>
      </c>
      <c r="DH102" s="84">
        <f>IFERROR(VLOOKUP($B102,'LOD 400 - COLO2'!$B:BR,69,FALSE),"N/A")</f>
        <v>1</v>
      </c>
      <c r="DI102" s="84">
        <f>IFERROR(VLOOKUP($B102,'LOD 400 - COLO2'!$B:BU,72,FALSE),"N/A")</f>
        <v>1</v>
      </c>
      <c r="DJ102" s="84">
        <f>IFERROR(VLOOKUP($B102,'LOD 400 - COLO2'!$B:BX,75,FALSE),"N/A")</f>
        <v>1</v>
      </c>
      <c r="DK102" s="84">
        <f>IFERROR(VLOOKUP($B102,'LOD 400 - COLO2'!$B:CA,78,FALSE),"N/A")</f>
        <v>1</v>
      </c>
      <c r="DL102" s="84">
        <f>IFERROR(VLOOKUP($B102,'LOD 400 - COLO2'!$B:CD,81,FALSE),"N/A")</f>
        <v>1</v>
      </c>
      <c r="DM102" s="85">
        <f>IFERROR(VLOOKUP($B102,'LOD 400 - COLO2'!$B:CG,84,FALSE),"N/A")</f>
        <v>1</v>
      </c>
      <c r="DN102" s="84">
        <f>IFERROR(VLOOKUP($B102,'LOD 400 - COLO2'!$B:CJ,87,FALSE),"N/A")</f>
        <v>1</v>
      </c>
      <c r="DO102" s="85">
        <f>IFERROR(VLOOKUP($B102,'LOD 400 - COLO2'!$B:CM,90,FALSE),"N/A")</f>
        <v>1</v>
      </c>
      <c r="DP102" s="84">
        <f>IFERROR(VLOOKUP($B102,'LOD 400 - COLO2'!$B:CP,93,FALSE),"N/A")</f>
        <v>1</v>
      </c>
      <c r="DQ102" s="84">
        <f>IFERROR(VLOOKUP($B102,'LOD 400 - COLO2'!$B:CS,96,FALSE),"N/A")</f>
        <v>1</v>
      </c>
      <c r="DR102" s="84">
        <f>IFERROR(VLOOKUP($B102,'LOD 400 - COLO2'!$B:CV,99,FALSE),"N/A")</f>
        <v>1</v>
      </c>
      <c r="DS102" s="84">
        <f>IFERROR(VLOOKUP($B102,'LOD 400 - COLO2'!$B:CY,102,FALSE),"N/A")</f>
        <v>1</v>
      </c>
      <c r="DT102" s="84">
        <f>IFERROR(VLOOKUP($B102,'LOD 400 - COLO2'!$B:DB,105,FALSE),"N/A")</f>
        <v>1</v>
      </c>
      <c r="DU102" s="84">
        <f>IFERROR(VLOOKUP($B102,'LOD 400 - COLO2'!$B:DE,108,FALSE),"N/A")</f>
        <v>1</v>
      </c>
      <c r="DV102" s="84">
        <f>IFERROR(VLOOKUP($B102,'LOD 400 - COLO2'!$B:DH,111,FALSE),"N/A")</f>
        <v>1</v>
      </c>
      <c r="DW102" s="84">
        <f>IFERROR(VLOOKUP($B102,'LOD 400 - COLO2'!$B:DK,114,FALSE),"N/A")</f>
        <v>1</v>
      </c>
      <c r="DX102" s="84">
        <f>IFERROR(VLOOKUP($B102,'LOD 400 - COLO2'!$B:DN,117,FALSE),"N/A")</f>
        <v>1</v>
      </c>
      <c r="DY102" s="91">
        <f>IFERROR(__xludf.DUMMYFUNCTION("IFERROR(
  MAX(FILTER(CQ102:DW102, ISNUMBER(CQ102:DW102))),
  DW102
)"),1.0)</f>
        <v>1</v>
      </c>
      <c r="DZ102" s="92" t="str">
        <f>IFERROR(VLOOKUP($B102,'LOD 400 - COLO3'!B:S,18,FALSE),"N/A")</f>
        <v>N/A</v>
      </c>
      <c r="EA102" s="84" t="str">
        <f>IFERROR(VLOOKUP($B102,'LOD 400 - COLO3'!B:V,21,FALSE),"N/A")</f>
        <v>N/A</v>
      </c>
      <c r="EB102" s="84" t="str">
        <f>IFERROR(VLOOKUP($B102,'LOD 400 - COLO3'!B:Y,24,FALSE),"N/A")</f>
        <v>N/A</v>
      </c>
      <c r="EC102" s="84" t="str">
        <f>IFERROR(VLOOKUP($B102,'LOD 400 - COLO3'!B:AB,27,FALSE),"N/A")</f>
        <v>N/A</v>
      </c>
      <c r="ED102" s="85" t="str">
        <f>IFERROR(VLOOKUP($B102,'LOD 400 - COLO3'!B:AE,30,FALSE),"N/A")</f>
        <v>N/A</v>
      </c>
      <c r="EE102" s="84" t="str">
        <f>IFERROR(VLOOKUP($B102,'LOD 400 - COLO3'!B:AH,33,FALSE),"N/A")</f>
        <v>N/A</v>
      </c>
      <c r="EF102" s="84" t="str">
        <f>IFERROR(VLOOKUP($B102,'LOD 400 - COLO3'!B:AK,36,FALSE),"N/A")</f>
        <v>N/A</v>
      </c>
      <c r="EG102" s="109" t="str">
        <f>IFERROR(VLOOKUP($B102,'LOD 400 - COLO3'!B:AN,39,FALSE),"N/A")</f>
        <v>N/A</v>
      </c>
      <c r="EH102" s="94" t="str">
        <f>IFERROR(VLOOKUP($B102,'LOD 400 - COLO3'!B:AQ,42,FALSE),"N/A")</f>
        <v>N/A</v>
      </c>
      <c r="EI102" s="94" t="str">
        <f>IFERROR(VLOOKUP($B102,'LOD 400 - COLO3'!B:AT,45,FALSE),"N/A")</f>
        <v>N/A</v>
      </c>
      <c r="EJ102" s="94" t="str">
        <f>IFERROR(VLOOKUP($B102,'LOD 400 - COLO3'!B:AW,48,FALSE),"N/A")</f>
        <v>N/A</v>
      </c>
      <c r="EK102" s="94" t="str">
        <f>IFERROR(VLOOKUP($B102,'LOD 400 - COLO3'!B:AZ,51,FALSE),"N/A")</f>
        <v>N/A</v>
      </c>
      <c r="EL102" s="94" t="str">
        <f>IFERROR(VLOOKUP($B102,'LOD 400 - COLO3'!B:BC,54,FALSE),"N/A")</f>
        <v>N/A</v>
      </c>
      <c r="EM102" s="94" t="str">
        <f>IFERROR(VLOOKUP($B102,'LOD 400 - COLO3'!B:BF,57,FALSE),"N/A")</f>
        <v>N/A</v>
      </c>
      <c r="EN102" s="94" t="str">
        <f>IFERROR(VLOOKUP($B102,'LOD 400 - COLO3'!B:BI,60,FALSE),"N/A")</f>
        <v>N/A</v>
      </c>
      <c r="EO102" s="94" t="str">
        <f>IFERROR(VLOOKUP($B102,'LOD 400 - COLO3'!B:BL,63,FALSE),"N/A")</f>
        <v>N/A</v>
      </c>
      <c r="EP102" s="86" t="str">
        <f>IFERROR(__xludf.DUMMYFUNCTION("IFERROR(
  MAX(FILTER(DZ102:EO102, ISNUMBER(DZ102:EO102))),
  EO102
)"),"N/A")</f>
        <v>N/A</v>
      </c>
      <c r="EQ102" s="95">
        <f>IFERROR(VLOOKUP($B102,'LOD 400 - COLO4'!B:S,18,FALSE),"N/A")</f>
        <v>0</v>
      </c>
      <c r="ER102" s="96">
        <f>IFERROR(__xludf.DUMMYFUNCTION("IFERROR(
  MAX(FILTER(EQ102, ISNUMBER(EQ102))),
  EQ102
)"),0.0)</f>
        <v>0</v>
      </c>
      <c r="ES102" s="79" t="str">
        <f>IFERROR(VLOOKUP($B102,'LOD 400 - SITE'!B:S,18,FALSE),"N/A")</f>
        <v>N/A</v>
      </c>
      <c r="ET102" s="80" t="str">
        <f>IFERROR(VLOOKUP($B102,'LOD 400 - SITE'!B:V,21,FALSE),"N/A")</f>
        <v>N/A</v>
      </c>
      <c r="EU102" s="97" t="str">
        <f>IFERROR(VLOOKUP($B102,'LOD 400 - SITE'!$B:Y,24,FALSE),"N/A")</f>
        <v>N/A</v>
      </c>
      <c r="EV102" s="80" t="str">
        <f>IFERROR(VLOOKUP($B102,'LOD 400 - SITE'!$B:AB,27,FALSE),"N/A")</f>
        <v>N/A</v>
      </c>
      <c r="EW102" s="81" t="str">
        <f>IFERROR(VLOOKUP($B102,'LOD 400 - SITE'!$B:AE,30,FALSE),"N/A")</f>
        <v>N/A</v>
      </c>
      <c r="EX102" s="87" t="str">
        <f>IFERROR(VLOOKUP($B102,'LOD 400 - SITE'!$B:AH,33,FALSE),"N/A")</f>
        <v>N/A</v>
      </c>
      <c r="EY102" s="87" t="str">
        <f>IFERROR(VLOOKUP($B102,'LOD 400 - SITE'!$B:AK,36,FALSE),"N/A")</f>
        <v>N/A</v>
      </c>
      <c r="EZ102" s="80" t="str">
        <f>IFERROR(VLOOKUP($B102,'LOD 400 - SITE'!$B:AN,39,FALSE),"N/A")</f>
        <v>N/A</v>
      </c>
      <c r="FA102" s="82" t="str">
        <f>IFERROR(VLOOKUP($B102,'LOD 400 - SITE'!$B:AQ,42,FALSE),"N/A")</f>
        <v>N/A</v>
      </c>
      <c r="FB102" s="88" t="str">
        <f>IFERROR(VLOOKUP($B102,'LOD 400 - SITE'!$B:AT,45,FALSE),"N/A")</f>
        <v>N/A</v>
      </c>
      <c r="FC102" s="84" t="str">
        <f>IFERROR(VLOOKUP($B102,'LOD 400 - SITE'!$B:AW,48,FALSE),"N/A")</f>
        <v>N/A</v>
      </c>
      <c r="FD102" s="84" t="str">
        <f>IFERROR(VLOOKUP($B102,'LOD 400 - SITE'!$B:AZ,51,FALSE),"N/A")</f>
        <v>N/A</v>
      </c>
      <c r="FE102" s="84" t="str">
        <f>IFERROR(VLOOKUP($B102,'LOD 400 - SITE'!$B:BC,54,FALSE),"N/A")</f>
        <v>N/A</v>
      </c>
      <c r="FF102" s="84" t="str">
        <f>IFERROR(VLOOKUP($B102,'LOD 400 - SITE'!$B:BF,57,FALSE),"N/A")</f>
        <v>N/A</v>
      </c>
      <c r="FG102" s="84" t="str">
        <f>IFERROR(VLOOKUP($B102,'LOD 400 - SITE'!$B:BI,60,FALSE),"N/A")</f>
        <v>N/A</v>
      </c>
      <c r="FH102" s="84" t="str">
        <f>IFERROR(VLOOKUP($B102,'LOD 400 - SITE'!$B:BL,63,FALSE),"N/A")</f>
        <v>N/A</v>
      </c>
      <c r="FI102" s="84" t="str">
        <f>IFERROR(VLOOKUP($B102,'LOD 400 - SITE'!$B:BO,66,FALSE),"N/A")</f>
        <v>N/A</v>
      </c>
      <c r="FJ102" s="84" t="str">
        <f>IFERROR(VLOOKUP($B102,'LOD 400 - SITE'!$B:BR,69,FALSE),"N/A")</f>
        <v>N/A</v>
      </c>
      <c r="FK102" s="84" t="str">
        <f>IFERROR(VLOOKUP($B102,'LOD 400 - SITE'!$B:BU,72,FALSE),"N/A")</f>
        <v>N/A</v>
      </c>
      <c r="FL102" s="84" t="str">
        <f>IFERROR(VLOOKUP($B102,'LOD 400 - SITE'!$B:BX,75,FALSE),"N/A")</f>
        <v>N/A</v>
      </c>
      <c r="FM102" s="84" t="str">
        <f>IFERROR(VLOOKUP($B102,'LOD 400 - SITE'!$B:CA,78,FALSE),"N/A")</f>
        <v>N/A</v>
      </c>
      <c r="FN102" s="85" t="str">
        <f>IFERROR(VLOOKUP($B102,'LOD 400 - SITE'!$B:CD,81,FALSE),"N/A")</f>
        <v>N/A</v>
      </c>
      <c r="FO102" s="84" t="str">
        <f>IFERROR(VLOOKUP($B102,'LOD 400 - SITE'!$B:CG,84,FALSE),"N/A")</f>
        <v>N/A</v>
      </c>
      <c r="FP102" s="85" t="str">
        <f>IFERROR(VLOOKUP($B102,'LOD 400 - SITE'!$B:CJ,87,FALSE),"N/A")</f>
        <v>N/A</v>
      </c>
      <c r="FQ102" s="84" t="str">
        <f>IFERROR(VLOOKUP($B102,'LOD 400 - SITE'!$B:CM,90,FALSE),"N/A")</f>
        <v>N/A</v>
      </c>
      <c r="FR102" s="84" t="str">
        <f>IFERROR(VLOOKUP($B102,'LOD 400 - SITE'!$B:CP,93,FALSE),"N/A")</f>
        <v>N/A</v>
      </c>
      <c r="FS102" s="84" t="str">
        <f>IFERROR(VLOOKUP($B102,'LOD 400 - SITE'!$B:CS,96,FALSE),"N/A")</f>
        <v>N/A</v>
      </c>
      <c r="FT102" s="84" t="str">
        <f>IFERROR(VLOOKUP($B102,'LOD 400 - SITE'!$B:CV,99,FALSE),"N/A")</f>
        <v>N/A</v>
      </c>
      <c r="FU102" s="84" t="str">
        <f>IFERROR(VLOOKUP($B102,'LOD 400 - SITE'!$B:CY,102,FALSE),"N/A")</f>
        <v>N/A</v>
      </c>
      <c r="FV102" s="84" t="str">
        <f>IFERROR(VLOOKUP($B102,'LOD 400 - SITE'!$B:DB,105,FALSE),"N/A")</f>
        <v>N/A</v>
      </c>
      <c r="FW102" s="84" t="str">
        <f>IFERROR(VLOOKUP($B102,'LOD 400 - SITE'!$B:DE,108,FALSE),"N/A")</f>
        <v>N/A</v>
      </c>
      <c r="FX102" s="84" t="str">
        <f>IFERROR(VLOOKUP($B102,'LOD 400 - SITE'!$B:DH,111,FALSE),"N/A")</f>
        <v>N/A</v>
      </c>
      <c r="FY102" s="84" t="str">
        <f>IFERROR(VLOOKUP($B102,'LOD 400 - SITE'!$B:DK,114,FALSE),"N/A")</f>
        <v>N/A</v>
      </c>
      <c r="FZ102" s="96" t="str">
        <f>IFERROR(__xludf.DUMMYFUNCTION("IFERROR(
  MAX(FILTER(ES102:FY102, ISNUMBER(ES102:FY102))),
  FY102
)"),"N/A")</f>
        <v>N/A</v>
      </c>
      <c r="GA102" s="80" t="str">
        <f>IFERROR(VLOOKUP($B102,'LOD 400 - UTLS'!B:S,18,FALSE),"N/A")</f>
        <v>N/A</v>
      </c>
      <c r="GB102" s="98" t="str">
        <f>IFERROR(VLOOKUP($B102,'LOD 400 - UTLS'!B:V,21,FALSE),"N/A")</f>
        <v>N/A</v>
      </c>
      <c r="GC102" s="81" t="str">
        <f>IFERROR(VLOOKUP($B102,'LOD 400 - UTLS'!B:Y,24,FALSE),"N/A")</f>
        <v>N/A</v>
      </c>
      <c r="GD102" s="87" t="str">
        <f>IFERROR(VLOOKUP($B102,'LOD 400 - UTLS'!$B:AB,27,FALSE),"N/A")</f>
        <v>N/A</v>
      </c>
      <c r="GE102" s="80" t="str">
        <f>IFERROR(VLOOKUP($B102,'LOD 400 - UTLS'!$B:AE,30,FALSE),"N/A")</f>
        <v>N/A</v>
      </c>
      <c r="GF102" s="82" t="str">
        <f>IFERROR(VLOOKUP($B102,'LOD 400 - UTLS'!$B:AH,33,FALSE),"N/A")</f>
        <v>N/A</v>
      </c>
      <c r="GG102" s="88" t="str">
        <f>IFERROR(VLOOKUP($B102,'LOD 400 - UTLS'!$B:AK,36,FALSE),"N/A")</f>
        <v>N/A</v>
      </c>
      <c r="GH102" s="84" t="str">
        <f>IFERROR(VLOOKUP($B102,'LOD 400 - UTLS'!$B:AN,39,FALSE),"N/A")</f>
        <v>N/A</v>
      </c>
      <c r="GI102" s="84" t="str">
        <f>IFERROR(VLOOKUP($B102,'LOD 400 - UTLS'!$B:AQ,42,FALSE),"N/A")</f>
        <v>N/A</v>
      </c>
      <c r="GJ102" s="84" t="str">
        <f>IFERROR(VLOOKUP($B102,'LOD 400 - UTLS'!$B:AT,45,FALSE),"N/A")</f>
        <v>N/A</v>
      </c>
      <c r="GK102" s="84" t="str">
        <f>IFERROR(VLOOKUP($B102,'LOD 400 - UTLS'!$B:AW,48,FALSE),"N/A")</f>
        <v>N/A</v>
      </c>
      <c r="GL102" s="84" t="str">
        <f>IFERROR(VLOOKUP($B102,'LOD 400 - UTLS'!$B:AZ,51,FALSE),"N/A")</f>
        <v>N/A</v>
      </c>
      <c r="GM102" s="84" t="str">
        <f>IFERROR(VLOOKUP($B102,'LOD 400 - UTLS'!$B:BC,54,FALSE),"N/A")</f>
        <v>N/A</v>
      </c>
      <c r="GN102" s="84" t="str">
        <f>IFERROR(VLOOKUP($B102,'LOD 400 - UTLS'!$B:BF,57,FALSE),"N/A")</f>
        <v>N/A</v>
      </c>
      <c r="GO102" s="84" t="str">
        <f>IFERROR(VLOOKUP($B102,'LOD 400 - UTLS'!$B:BI,60,FALSE),"N/A")</f>
        <v>N/A</v>
      </c>
      <c r="GP102" s="84" t="str">
        <f>IFERROR(VLOOKUP($B102,'LOD 400 - UTLS'!$B:BL,63,FALSE),"N/A")</f>
        <v>N/A</v>
      </c>
      <c r="GQ102" s="84" t="str">
        <f>IFERROR(VLOOKUP($B102,'LOD 400 - UTLS'!$B:BO,66,FALSE),"N/A")</f>
        <v>N/A</v>
      </c>
      <c r="GR102" s="84" t="str">
        <f>IFERROR(VLOOKUP($B102,'LOD 400 - UTLS'!$B:BR,69,FALSE),"N/A")</f>
        <v>N/A</v>
      </c>
      <c r="GS102" s="85" t="str">
        <f>IFERROR(VLOOKUP($B102,'LOD 400 - UTLS'!$B:BU,72,FALSE),"N/A")</f>
        <v>N/A</v>
      </c>
      <c r="GT102" s="84" t="str">
        <f>IFERROR(VLOOKUP($B102,'LOD 400 - UTLS'!$B:BX,75,FALSE),"N/A")</f>
        <v>N/A</v>
      </c>
      <c r="GU102" s="85" t="str">
        <f>IFERROR(VLOOKUP($B102,'LOD 400 - UTLS'!$B:CA,78,FALSE),"N/A")</f>
        <v>N/A</v>
      </c>
      <c r="GV102" s="84" t="str">
        <f>IFERROR(VLOOKUP($B102,'LOD 400 - UTLS'!$B:CD,81,FALSE),"N/A")</f>
        <v>N/A</v>
      </c>
      <c r="GW102" s="84" t="str">
        <f>IFERROR(VLOOKUP($B102,'LOD 400 - UTLS'!$B:CG,84,FALSE),"N/A")</f>
        <v>N/A</v>
      </c>
      <c r="GX102" s="84" t="str">
        <f>IFERROR(VLOOKUP($B102,'LOD 400 - UTLS'!$B:CJ,87,FALSE),"N/A")</f>
        <v>N/A</v>
      </c>
      <c r="GY102" s="84" t="str">
        <f>IFERROR(VLOOKUP($B102,'LOD 400 - UTLS'!$B:CM,90,FALSE),"N/A")</f>
        <v>N/A</v>
      </c>
      <c r="GZ102" s="84" t="str">
        <f>IFERROR(VLOOKUP($B102,'LOD 400 - UTLS'!$B:CP,93,FALSE),"N/A")</f>
        <v>N/A</v>
      </c>
      <c r="HA102" s="84" t="str">
        <f>IFERROR(VLOOKUP($B102,'LOD 400 - UTLS'!$B:CS,96,FALSE),"N/A")</f>
        <v>N/A</v>
      </c>
      <c r="HB102" s="84" t="str">
        <f>IFERROR(VLOOKUP($B102,'LOD 400 - UTLS'!$B:CV,99,FALSE),"N/A")</f>
        <v>N/A</v>
      </c>
      <c r="HC102" s="84" t="str">
        <f>IFERROR(VLOOKUP($B102,'LOD 400 - UTLS'!$B:CY,102,FALSE),"N/A")</f>
        <v>N/A</v>
      </c>
      <c r="HD102" s="84" t="str">
        <f>IFERROR(VLOOKUP($B102,'LOD 400 - UTLS'!$B:DB,105,FALSE),"N/A")</f>
        <v>N/A</v>
      </c>
      <c r="HE102" s="96" t="str">
        <f>IFERROR(__xludf.DUMMYFUNCTION("IFERROR(
  MAX(FILTER(GA102:HD102, ISNUMBER(GA102:HD102))),
  HD102
)"),"N/A")</f>
        <v>N/A</v>
      </c>
      <c r="HF102" s="99"/>
      <c r="HG102" s="99"/>
      <c r="HH102" s="99"/>
      <c r="HI102" s="99"/>
      <c r="HJ102" s="99"/>
      <c r="HK102" s="99"/>
    </row>
    <row r="103" ht="15.0" customHeight="1" outlineLevel="1">
      <c r="A103" s="53">
        <v>107.0</v>
      </c>
      <c r="B103" s="100" t="s">
        <v>292</v>
      </c>
      <c r="C103" s="100" t="s">
        <v>292</v>
      </c>
      <c r="D103" s="64" t="str">
        <f t="shared" si="17"/>
        <v>COL3</v>
      </c>
      <c r="E103" s="111" t="s">
        <v>289</v>
      </c>
      <c r="F103" s="102">
        <v>1125.0</v>
      </c>
      <c r="G103" s="103" t="s">
        <v>289</v>
      </c>
      <c r="H103" s="104">
        <v>1125.0</v>
      </c>
      <c r="I103" s="68" t="str">
        <f>IFERROR(VLOOKUP($C100:C108,'R22 RELATÓRIO ACC'!B:F,5,FALSE),"NOT PUBLISHED")</f>
        <v>V6</v>
      </c>
      <c r="J103" s="69" t="str">
        <f>IFERROR(VLOOKUP($C100:C108,'R22 RELATÓRIO ACC'!B:P,15,FALSE),"NOT PUBLISHED")</f>
        <v>07/11/2025</v>
      </c>
      <c r="K103" s="70" t="str">
        <f>IFERROR(VLOOKUP($B100:B108,'RELATÓRIO ACC'!B:F,5,FALSE),"NOT PUBLISHED")</f>
        <v>V1</v>
      </c>
      <c r="L103" s="71" t="str">
        <f>IFERROR(VLOOKUP($B100:B108,'RELATÓRIO ACC'!B:P,15,FALSE),"NOT PUBLISHED")</f>
        <v>21/05/2026</v>
      </c>
      <c r="M103" s="72" t="str">
        <f>IF(OR($D103="UTLS",$D103="GUAR",$D103="STIR",$D103="PUMP",$D103="SITE"),
   VLOOKUP($B103,'LOD 400 - SITE'!B:M,12,FALSE),
   VLOOKUP($B103,'LOD 400 - ADMN'!B:M,12,FALSE)
)</f>
        <v>N/A</v>
      </c>
      <c r="N103" s="105" t="str">
        <f>IF(OR($D103="UTLS",$D103="GUAR",$D103="STIR",$D103="PUMP",$D103="SITE"),
   VLOOKUP($B103,'LOD 400 - SITE'!B:N,13,FALSE),
   VLOOKUP($B103,'LOD 400 - ADMN'!B:N,13,FALSE)
)</f>
        <v>N/A</v>
      </c>
      <c r="O103" s="106" t="str">
        <f>IF(OR($D103="UTLS",$D103="GUAR",$D103="STIR",$D103="PUMP",$D103="SITE"),
   VLOOKUP($B103,'LOD 400 - SITE'!B:O,14,FALSE),
   VLOOKUP($B103,'LOD 400 - ADMN'!B:O,14,FALSE)
)</f>
        <v>N/A</v>
      </c>
      <c r="P103" s="107" t="str">
        <f>IF(OR($D103="C345",$D103="C12A",$D103="DATA"),
   VLOOKUP($B103,'LOD 400 - COLO3'!B:M,12,FALSE),"N/A")</f>
        <v>N/A</v>
      </c>
      <c r="Q103" s="108" t="str">
        <f>IF(OR($D103="C345",$D103="C12A",$D103="DATA"),
   VLOOKUP($B103,'LOD 400 - COLO3'!B:N,13,FALSE),"N/A")</f>
        <v>N/A</v>
      </c>
      <c r="R103" s="75" t="str">
        <f>IF(OR($D103="C345",$D103="C12A",$D103="DATA"),
   VLOOKUP($B103,'LOD 400 - COLO3'!B:O,14,FALSE),"N/A")</f>
        <v>N/A</v>
      </c>
      <c r="S103" s="76" t="str">
        <f>IF(OR($D103="C345",$D103="C12A",$D103="DATA"),
   VLOOKUP($B103,'LOD 400 - COLO4'!B:N,12,FALSE),"N/A")</f>
        <v>N/A</v>
      </c>
      <c r="T103" s="76" t="str">
        <f>IF(OR($D103="C345",$D103="C12A",$D103="DATA"),
   VLOOKUP($B103,'LOD 400 - COLO4'!B:N,13,FALSE),"N/A")</f>
        <v>N/A</v>
      </c>
      <c r="U103" s="76" t="str">
        <f>IF(OR($D103="C345",$D103="C12A",$D103="DATA"),
   VLOOKUP($B103,'LOD 400 - COLO4'!B:N,13,FALSE),"N/A")</f>
        <v>N/A</v>
      </c>
      <c r="V103" s="77" t="str">
        <f>IF(OR($D103="UTLS",$D103="GUAR",$D103="STIR",$D103="PUMP",$D103="SITE"),
   VLOOKUP($B103,'LOD 400 - UTLS'!B:M,12,FALSE),"N/A")</f>
        <v>N/A</v>
      </c>
      <c r="W103" s="78" t="str">
        <f>IF(OR($D103="UTLS",$D103="GUAR",$D103="STIR",$D103="PUMP",$D103="SITE"),
   VLOOKUP($B103,'LOD 400 - UTLS'!B:N,13,FALSE),"N/A")</f>
        <v>N/A</v>
      </c>
      <c r="X103" s="108" t="str">
        <f>IF(OR($D103="UTLS",$D103="GUAR",$D103="STIR",$D103="PUMP",$D103="SITE"),
   VLOOKUP($B103,'LOD 400 - UTLS'!B:O,14,FALSE),"N/A")</f>
        <v>N/A</v>
      </c>
      <c r="Y103" s="79" t="str">
        <f>IFERROR(VLOOKUP($B103,'LOD 400 - ADMN'!B:S,18,FALSE),"N/A")</f>
        <v>N/A</v>
      </c>
      <c r="Z103" s="79" t="str">
        <f>IFERROR(VLOOKUP($B103,'LOD 400 - ADMN'!B:V,21,FALSE),"N/A")</f>
        <v>N/A</v>
      </c>
      <c r="AA103" s="79" t="str">
        <f>IFERROR(VLOOKUP($B103,'LOD 400 - ADMN'!$B:Y,24,FALSE),"N/A")</f>
        <v>N/A</v>
      </c>
      <c r="AB103" s="80" t="str">
        <f>IFERROR(VLOOKUP($B103,'LOD 400 - ADMN'!$B:AB,27,FALSE),"N/A")</f>
        <v>N/A</v>
      </c>
      <c r="AC103" s="81" t="str">
        <f>IFERROR(VLOOKUP($B103,'LOD 400 - ADMN'!$B:AE,30,FALSE),"N/A")</f>
        <v>N/A</v>
      </c>
      <c r="AD103" s="81" t="str">
        <f>IFERROR(VLOOKUP($B103,'LOD 400 - ADMN'!$B:AH,33,FALSE),"N/A")</f>
        <v>N/A</v>
      </c>
      <c r="AE103" s="80" t="str">
        <f>IFERROR(VLOOKUP($B103,'LOD 400 - ADMN'!$B:AK,36,FALSE),"N/A")</f>
        <v>N/A</v>
      </c>
      <c r="AF103" s="82" t="str">
        <f>IFERROR(VLOOKUP($B103,'LOD 400 - ADMN'!$B:AN,39,FALSE),"N/A")</f>
        <v>N/A</v>
      </c>
      <c r="AG103" s="83" t="str">
        <f>IFERROR(VLOOKUP($B103,'LOD 400 - ADMN'!$B:AQ,42,FALSE),"N/A")</f>
        <v>N/A</v>
      </c>
      <c r="AH103" s="84" t="str">
        <f>IFERROR(VLOOKUP($B103,'LOD 400 - ADMN'!$B:AT,45,FALSE),"N/A")</f>
        <v>N/A</v>
      </c>
      <c r="AI103" s="85" t="str">
        <f>IFERROR(VLOOKUP($B103,'LOD 400 - ADMN'!$B:AW,48,FALSE),"N/A")</f>
        <v>N/A</v>
      </c>
      <c r="AJ103" s="85" t="str">
        <f>IFERROR(VLOOKUP($B103,'LOD 400 - ADMN'!$B:AZ,51,FALSE),"N/A")</f>
        <v>N/A</v>
      </c>
      <c r="AK103" s="84" t="str">
        <f>IFERROR(VLOOKUP($B103,'LOD 400 - ADMN'!$B:BC,54,FALSE),"N/A")</f>
        <v>N/A</v>
      </c>
      <c r="AL103" s="84" t="str">
        <f>IFERROR(VLOOKUP($B103,'LOD 400 - ADMN'!$B:BF,57,FALSE),"N/A")</f>
        <v>N/A</v>
      </c>
      <c r="AM103" s="84" t="str">
        <f>IFERROR(VLOOKUP($B103,'LOD 400 - ADMN'!$B:BI,60,FALSE),"N/A")</f>
        <v>N/A</v>
      </c>
      <c r="AN103" s="84" t="str">
        <f>IFERROR(VLOOKUP($B103,'LOD 400 - ADMN'!$B:BL,63,FALSE),"N/A")</f>
        <v>N/A</v>
      </c>
      <c r="AO103" s="84" t="str">
        <f>IFERROR(VLOOKUP($B103,'LOD 400 - ADMN'!$B:BO,66,FALSE),"N/A")</f>
        <v>N/A</v>
      </c>
      <c r="AP103" s="84" t="str">
        <f>IFERROR(VLOOKUP($B103,'LOD 400 - ADMN'!$B:BR,69,FALSE),"N/A")</f>
        <v>N/A</v>
      </c>
      <c r="AQ103" s="84" t="str">
        <f>IFERROR(VLOOKUP($B103,'LOD 400 - ADMN'!$B:BU,72,FALSE),"N/A")</f>
        <v>N/A</v>
      </c>
      <c r="AR103" s="84" t="str">
        <f>IFERROR(VLOOKUP($B103,'LOD 400 - ADMN'!$B:BX,75,FALSE),"N/A")</f>
        <v>N/A</v>
      </c>
      <c r="AS103" s="84" t="str">
        <f>IFERROR(VLOOKUP($B103,'LOD 400 - ADMN'!$B:CA,78,FALSE),"N/A")</f>
        <v>N/A</v>
      </c>
      <c r="AT103" s="84" t="str">
        <f>IFERROR(VLOOKUP($B103,'LOD 400 - ADMN'!$B:CD,81,FALSE),"N/A")</f>
        <v>N/A</v>
      </c>
      <c r="AU103" s="85" t="str">
        <f>IFERROR(VLOOKUP($B103,'LOD 400 - ADMN'!$B:CG,84,FALSE),"N/A")</f>
        <v>N/A</v>
      </c>
      <c r="AV103" s="84" t="str">
        <f>IFERROR(VLOOKUP($B103,'LOD 400 - ADMN'!$B:CJ,87,FALSE),"N/A")</f>
        <v>N/A</v>
      </c>
      <c r="AW103" s="85" t="str">
        <f>IFERROR(VLOOKUP($B103,'LOD 400 - ADMN'!$B:CM,90,FALSE),"N/A")</f>
        <v>N/A</v>
      </c>
      <c r="AX103" s="84" t="str">
        <f>IFERROR(VLOOKUP($B103,'LOD 400 - ADMN'!$B:CP,93,FALSE),"N/A")</f>
        <v>N/A</v>
      </c>
      <c r="AY103" s="84" t="str">
        <f>IFERROR(VLOOKUP($B103,'LOD 400 - ADMN'!$B:CS,96,FALSE),"N/A")</f>
        <v>N/A</v>
      </c>
      <c r="AZ103" s="84" t="str">
        <f>IFERROR(VLOOKUP($B103,'LOD 400 - ADMN'!$B:CV,99,FALSE),"N/A")</f>
        <v>N/A</v>
      </c>
      <c r="BA103" s="84" t="str">
        <f>IFERROR(VLOOKUP($B103,'LOD 400 - ADMN'!$B:CY,102,FALSE),"N/A")</f>
        <v>N/A</v>
      </c>
      <c r="BB103" s="84" t="str">
        <f>IFERROR(VLOOKUP($B103,'LOD 400 - ADMN'!$B:DB,105,FALSE),"N/A")</f>
        <v>N/A</v>
      </c>
      <c r="BC103" s="84" t="str">
        <f>IFERROR(VLOOKUP($B103,'LOD 400 - ADMN'!$B:DE,108,FALSE),"N/A")</f>
        <v>N/A</v>
      </c>
      <c r="BD103" s="84" t="str">
        <f>IFERROR(VLOOKUP($B103,'LOD 400 - ADMN'!$B:DH,111,FALSE),"N/A")</f>
        <v>N/A</v>
      </c>
      <c r="BE103" s="84" t="str">
        <f>IFERROR(VLOOKUP($B103,'LOD 400 - ADMN'!$B:DK,114,FALSE),"N/A")</f>
        <v>N/A</v>
      </c>
      <c r="BF103" s="84" t="str">
        <f>IFERROR(VLOOKUP($B103,'LOD 400 - ADMN'!$B:DN,117,FALSE),"N/A")</f>
        <v>N/A</v>
      </c>
      <c r="BG103" s="86" t="str">
        <f>IFERROR(__xludf.DUMMYFUNCTION("IFERROR(
  MAX(FILTER(Y103:BF103, ISNUMBER(Y103:BF103))),
  BF103
)"),"N/A")</f>
        <v>N/A</v>
      </c>
      <c r="BH103" s="79" t="str">
        <f>IFERROR(VLOOKUP($B103,'LOD 400 - COLO1'!B:S,18,FALSE),"N/A")</f>
        <v>N/A</v>
      </c>
      <c r="BI103" s="79" t="str">
        <f>IFERROR(VLOOKUP($B103,'LOD 400 - COLO1'!B:V,21,FALSE),"N/A")</f>
        <v>N/A</v>
      </c>
      <c r="BJ103" s="79" t="str">
        <f>IFERROR(VLOOKUP($B103,'LOD 400 - COLO1'!$B:Y,24,FALSE),"N/A")</f>
        <v>N/A</v>
      </c>
      <c r="BK103" s="87" t="str">
        <f>IFERROR(VLOOKUP($B103,'LOD 400 - COLO1'!$B:AB,27,FALSE),"N/A")</f>
        <v>N/A</v>
      </c>
      <c r="BL103" s="80" t="str">
        <f>IFERROR(VLOOKUP($B103,'LOD 400 - COLO1'!$B:AE,30,FALSE),"N/A")</f>
        <v>N/A</v>
      </c>
      <c r="BM103" s="81" t="str">
        <f>IFERROR(VLOOKUP($B103,'LOD 400 - COLO1'!$B:AH,33,FALSE),"N/A")</f>
        <v>N/A</v>
      </c>
      <c r="BN103" s="87" t="str">
        <f>IFERROR(VLOOKUP($B103,'LOD 400 - COLO1'!$B:AK,36,FALSE),"N/A")</f>
        <v>N/A</v>
      </c>
      <c r="BO103" s="83" t="str">
        <f>IFERROR(VLOOKUP($B103,'LOD 400 - COLO1'!$B:AN,39,FALSE),"N/A")</f>
        <v>N/A</v>
      </c>
      <c r="BP103" s="88" t="str">
        <f>IFERROR(VLOOKUP($B103,'LOD 400 - COLO1'!$B:AQ,42,FALSE),"N/A")</f>
        <v>N/A</v>
      </c>
      <c r="BQ103" s="84" t="str">
        <f>IFERROR(VLOOKUP($B103,'LOD 400 - COLO1'!$B:AT,45,FALSE),"N/A")</f>
        <v>N/A</v>
      </c>
      <c r="BR103" s="85" t="str">
        <f>IFERROR(VLOOKUP($B103,'LOD 400 - COLO1'!$B:AW,48,FALSE),"N/A")</f>
        <v>N/A</v>
      </c>
      <c r="BS103" s="84" t="str">
        <f>IFERROR(VLOOKUP($B103,'LOD 400 - COLO1'!$B:AZ,51,FALSE),"N/A")</f>
        <v>N/A</v>
      </c>
      <c r="BT103" s="84" t="str">
        <f>IFERROR(VLOOKUP($B103,'LOD 400 - COLO1'!$B:BC,54,FALSE),"N/A")</f>
        <v>N/A</v>
      </c>
      <c r="BU103" s="84" t="str">
        <f>IFERROR(VLOOKUP($B103,'LOD 400 - COLO1'!$B:BF,57,FALSE),"N/A")</f>
        <v>N/A</v>
      </c>
      <c r="BV103" s="84" t="str">
        <f>IFERROR(VLOOKUP($B103,'LOD 400 - COLO1'!$B:BI,60,FALSE),"N/A")</f>
        <v>N/A</v>
      </c>
      <c r="BW103" s="84" t="str">
        <f>IFERROR(VLOOKUP($B103,'LOD 400 - COLO1'!$B:BL,63,FALSE),"N/A")</f>
        <v>N/A</v>
      </c>
      <c r="BX103" s="84" t="str">
        <f>IFERROR(VLOOKUP($B103,'LOD 400 - COLO1'!$B:BO,66,FALSE),"N/A")</f>
        <v>N/A</v>
      </c>
      <c r="BY103" s="84" t="str">
        <f>IFERROR(VLOOKUP($B103,'LOD 400 - COLO1'!$B:BR,69,FALSE),"N/A")</f>
        <v>N/A</v>
      </c>
      <c r="BZ103" s="84" t="str">
        <f>IFERROR(VLOOKUP($B103,'LOD 400 - COLO1'!$B:BU,72,FALSE),"N/A")</f>
        <v>N/A</v>
      </c>
      <c r="CA103" s="84" t="str">
        <f>IFERROR(VLOOKUP($B103,'LOD 400 - COLO1'!$B:BX,75,FALSE),"N/A")</f>
        <v>N/A</v>
      </c>
      <c r="CB103" s="84" t="str">
        <f>IFERROR(VLOOKUP($B103,'LOD 400 - COLO1'!$B:CA,78,FALSE),"N/A")</f>
        <v>N/A</v>
      </c>
      <c r="CC103" s="84" t="str">
        <f>IFERROR(VLOOKUP($B103,'LOD 400 - COLO1'!$B:CD,81,FALSE),"N/A")</f>
        <v>N/A</v>
      </c>
      <c r="CD103" s="85" t="str">
        <f>IFERROR(VLOOKUP($B103,'LOD 400 - COLO1'!$B:CG,84,FALSE),"N/A")</f>
        <v>N/A</v>
      </c>
      <c r="CE103" s="84" t="str">
        <f>IFERROR(VLOOKUP($B103,'LOD 400 - COLO1'!$B:CJ,87,FALSE),"N/A")</f>
        <v>N/A</v>
      </c>
      <c r="CF103" s="85" t="str">
        <f>IFERROR(VLOOKUP($B103,'LOD 400 - COLO1'!$B:CM,90,FALSE),"N/A")</f>
        <v>N/A</v>
      </c>
      <c r="CG103" s="84" t="str">
        <f>IFERROR(VLOOKUP($B103,'LOD 400 - COLO1'!$B:CP,93,FALSE),"N/A")</f>
        <v>N/A</v>
      </c>
      <c r="CH103" s="84" t="str">
        <f>IFERROR(VLOOKUP($B103,'LOD 400 - COLO1'!$B:CS,96,FALSE),"N/A")</f>
        <v>N/A</v>
      </c>
      <c r="CI103" s="84" t="str">
        <f>IFERROR(VLOOKUP($B103,'LOD 400 - COLO1'!$B:CV,99,FALSE),"N/A")</f>
        <v>N/A</v>
      </c>
      <c r="CJ103" s="84" t="str">
        <f>IFERROR(VLOOKUP($B103,'LOD 400 - COLO1'!$B:CY,102,FALSE),"N/A")</f>
        <v>N/A</v>
      </c>
      <c r="CK103" s="84" t="str">
        <f>IFERROR(VLOOKUP($B103,'LOD 400 - COLO1'!$B:DB,105,FALSE),"N/A")</f>
        <v>N/A</v>
      </c>
      <c r="CL103" s="84" t="str">
        <f>IFERROR(VLOOKUP($B103,'LOD 400 - COLO1'!$B:DE,108,FALSE),"N/A")</f>
        <v>N/A</v>
      </c>
      <c r="CM103" s="84" t="str">
        <f>IFERROR(VLOOKUP($B103,'LOD 400 - COLO1'!$B:DH,111,FALSE),"N/A")</f>
        <v>N/A</v>
      </c>
      <c r="CN103" s="84" t="str">
        <f>IFERROR(VLOOKUP($B103,'LOD 400 - COLO1'!$B:DK,114,FALSE),"N/A")</f>
        <v>N/A</v>
      </c>
      <c r="CO103" s="84" t="str">
        <f>IFERROR(VLOOKUP($B103,'LOD 400 - COLO1'!$B:DN,117,FALSE),"N/A")</f>
        <v>N/A</v>
      </c>
      <c r="CP103" s="86" t="str">
        <f>IFERROR(__xludf.DUMMYFUNCTION("IFERROR(
  MAX(FILTER(BH103:CO103, ISNUMBER(BH103:CO103))),
  CO103
)"),"N/A")</f>
        <v>N/A</v>
      </c>
      <c r="CQ103" s="89" t="str">
        <f>IFERROR(VLOOKUP($B103,'LOD 400 - COLO2'!B:S,18,FALSE),"N/A")</f>
        <v>N/A</v>
      </c>
      <c r="CR103" s="79" t="str">
        <f>IFERROR(VLOOKUP($B103,'LOD 400 - COLO2'!B:V,21,FALSE),"N/A")</f>
        <v>N/A</v>
      </c>
      <c r="CS103" s="79" t="str">
        <f>IFERROR(VLOOKUP($B103,'LOD 400 - COLO2'!$B:Y,24,FALSE),"N/A")</f>
        <v>N/A</v>
      </c>
      <c r="CT103" s="80" t="str">
        <f>IFERROR(VLOOKUP($B103,'LOD 400 - COLO2'!$B:DQ,27,FALSE),"N/A")</f>
        <v>N/A</v>
      </c>
      <c r="CU103" s="90" t="str">
        <f>IFERROR(VLOOKUP($B103,'LOD 400 - COLO2'!$B:AE,30,FALSE),"N/A")</f>
        <v>N/A</v>
      </c>
      <c r="CV103" s="81" t="str">
        <f>IFERROR(VLOOKUP($B103,'LOD 400 - COLO2'!$B:AH,33,FALSE),"N/A")</f>
        <v>N/A</v>
      </c>
      <c r="CW103" s="90" t="str">
        <f>IFERROR(VLOOKUP($B103,'LOD 400 - COLO2'!$B:AK,36,FALSE),"N/A")</f>
        <v>N/A</v>
      </c>
      <c r="CX103" s="85" t="str">
        <f>IFERROR(VLOOKUP($B103,'LOD 400 - COLO2'!$B:AN,39,FALSE),"N/A")</f>
        <v>N/A</v>
      </c>
      <c r="CY103" s="88" t="str">
        <f>IFERROR(VLOOKUP($B103,'LOD 400 - COLO2'!$B:AQ,42,FALSE),"N/A")</f>
        <v>N/A</v>
      </c>
      <c r="CZ103" s="84" t="str">
        <f>IFERROR(VLOOKUP($B103,'LOD 400 - COLO2'!$B:AT,45,FALSE),"N/A")</f>
        <v>N/A</v>
      </c>
      <c r="DA103" s="85" t="str">
        <f>IFERROR(VLOOKUP($B103,'LOD 400 - COLO2'!$B:AW,48,FALSE),"N/A")</f>
        <v>N/A</v>
      </c>
      <c r="DB103" s="84" t="str">
        <f>IFERROR(VLOOKUP($B103,'LOD 400 - COLO2'!$B:AZ,51,FALSE),"N/A")</f>
        <v>N/A</v>
      </c>
      <c r="DC103" s="84" t="str">
        <f>IFERROR(VLOOKUP($B103,'LOD 400 - COLO2'!$B:BC,54,FALSE),"N/A")</f>
        <v>N/A</v>
      </c>
      <c r="DD103" s="84" t="str">
        <f>IFERROR(VLOOKUP($B103,'LOD 400 - COLO2'!$B:BF,57,FALSE),"N/A")</f>
        <v>N/A</v>
      </c>
      <c r="DE103" s="84" t="str">
        <f>IFERROR(VLOOKUP($B103,'LOD 400 - COLO2'!$B:BI,60,FALSE),"N/A")</f>
        <v>N/A</v>
      </c>
      <c r="DF103" s="84" t="str">
        <f>IFERROR(VLOOKUP($B103,'LOD 400 - COLO2'!$B:BL,63,FALSE),"N/A")</f>
        <v>N/A</v>
      </c>
      <c r="DG103" s="84" t="str">
        <f>IFERROR(VLOOKUP($B103,'LOD 400 - COLO2'!$B:BO,66,FALSE),"N/A")</f>
        <v>N/A</v>
      </c>
      <c r="DH103" s="84" t="str">
        <f>IFERROR(VLOOKUP($B103,'LOD 400 - COLO2'!$B:BR,69,FALSE),"N/A")</f>
        <v>N/A</v>
      </c>
      <c r="DI103" s="84" t="str">
        <f>IFERROR(VLOOKUP($B103,'LOD 400 - COLO2'!$B:BU,72,FALSE),"N/A")</f>
        <v>N/A</v>
      </c>
      <c r="DJ103" s="84" t="str">
        <f>IFERROR(VLOOKUP($B103,'LOD 400 - COLO2'!$B:BX,75,FALSE),"N/A")</f>
        <v>N/A</v>
      </c>
      <c r="DK103" s="84" t="str">
        <f>IFERROR(VLOOKUP($B103,'LOD 400 - COLO2'!$B:CA,78,FALSE),"N/A")</f>
        <v>N/A</v>
      </c>
      <c r="DL103" s="84" t="str">
        <f>IFERROR(VLOOKUP($B103,'LOD 400 - COLO2'!$B:CD,81,FALSE),"N/A")</f>
        <v>N/A</v>
      </c>
      <c r="DM103" s="85" t="str">
        <f>IFERROR(VLOOKUP($B103,'LOD 400 - COLO2'!$B:CG,84,FALSE),"N/A")</f>
        <v>N/A</v>
      </c>
      <c r="DN103" s="84" t="str">
        <f>IFERROR(VLOOKUP($B103,'LOD 400 - COLO2'!$B:CJ,87,FALSE),"N/A")</f>
        <v>N/A</v>
      </c>
      <c r="DO103" s="85" t="str">
        <f>IFERROR(VLOOKUP($B103,'LOD 400 - COLO2'!$B:CM,90,FALSE),"N/A")</f>
        <v>N/A</v>
      </c>
      <c r="DP103" s="84" t="str">
        <f>IFERROR(VLOOKUP($B103,'LOD 400 - COLO2'!$B:CP,93,FALSE),"N/A")</f>
        <v>N/A</v>
      </c>
      <c r="DQ103" s="84" t="str">
        <f>IFERROR(VLOOKUP($B103,'LOD 400 - COLO2'!$B:CS,96,FALSE),"N/A")</f>
        <v>N/A</v>
      </c>
      <c r="DR103" s="84" t="str">
        <f>IFERROR(VLOOKUP($B103,'LOD 400 - COLO2'!$B:CV,99,FALSE),"N/A")</f>
        <v>N/A</v>
      </c>
      <c r="DS103" s="84" t="str">
        <f>IFERROR(VLOOKUP($B103,'LOD 400 - COLO2'!$B:CY,102,FALSE),"N/A")</f>
        <v>N/A</v>
      </c>
      <c r="DT103" s="84" t="str">
        <f>IFERROR(VLOOKUP($B103,'LOD 400 - COLO2'!$B:DB,105,FALSE),"N/A")</f>
        <v>N/A</v>
      </c>
      <c r="DU103" s="84" t="str">
        <f>IFERROR(VLOOKUP($B103,'LOD 400 - COLO2'!$B:DE,108,FALSE),"N/A")</f>
        <v>N/A</v>
      </c>
      <c r="DV103" s="84" t="str">
        <f>IFERROR(VLOOKUP($B103,'LOD 400 - COLO2'!$B:DH,111,FALSE),"N/A")</f>
        <v>N/A</v>
      </c>
      <c r="DW103" s="84" t="str">
        <f>IFERROR(VLOOKUP($B103,'LOD 400 - COLO2'!$B:DK,114,FALSE),"N/A")</f>
        <v>N/A</v>
      </c>
      <c r="DX103" s="84" t="str">
        <f>IFERROR(VLOOKUP($B103,'LOD 400 - COLO2'!$B:DN,117,FALSE),"N/A")</f>
        <v>N/A</v>
      </c>
      <c r="DY103" s="91" t="str">
        <f>IFERROR(__xludf.DUMMYFUNCTION("IFERROR(
  MAX(FILTER(CQ103:DW103, ISNUMBER(CQ103:DW103))),
  DW103
)"),"N/A")</f>
        <v>N/A</v>
      </c>
      <c r="DZ103" s="92">
        <f>IFERROR(VLOOKUP($B103,'LOD 400 - COLO3'!B:S,18,FALSE),"N/A")</f>
        <v>0</v>
      </c>
      <c r="EA103" s="84">
        <f>IFERROR(VLOOKUP($B103,'LOD 400 - COLO3'!B:V,21,FALSE),"N/A")</f>
        <v>1</v>
      </c>
      <c r="EB103" s="84">
        <f>IFERROR(VLOOKUP($B103,'LOD 400 - COLO3'!B:Y,24,FALSE),"N/A")</f>
        <v>1</v>
      </c>
      <c r="EC103" s="84">
        <f>IFERROR(VLOOKUP($B103,'LOD 400 - COLO3'!B:AB,27,FALSE),"N/A")</f>
        <v>1</v>
      </c>
      <c r="ED103" s="85">
        <f>IFERROR(VLOOKUP($B103,'LOD 400 - COLO3'!B:AE,30,FALSE),"N/A")</f>
        <v>1</v>
      </c>
      <c r="EE103" s="84">
        <f>IFERROR(VLOOKUP($B103,'LOD 400 - COLO3'!B:AH,33,FALSE),"N/A")</f>
        <v>1</v>
      </c>
      <c r="EF103" s="84">
        <f>IFERROR(VLOOKUP($B103,'LOD 400 - COLO3'!B:AK,36,FALSE),"N/A")</f>
        <v>1</v>
      </c>
      <c r="EG103" s="109">
        <f>IFERROR(VLOOKUP($B103,'LOD 400 - COLO3'!B:AN,39,FALSE),"N/A")</f>
        <v>1</v>
      </c>
      <c r="EH103" s="94">
        <f>IFERROR(VLOOKUP($B103,'LOD 400 - COLO3'!B:AQ,42,FALSE),"N/A")</f>
        <v>1</v>
      </c>
      <c r="EI103" s="94">
        <f>IFERROR(VLOOKUP($B103,'LOD 400 - COLO3'!B:AT,45,FALSE),"N/A")</f>
        <v>1</v>
      </c>
      <c r="EJ103" s="94">
        <f>IFERROR(VLOOKUP($B103,'LOD 400 - COLO3'!B:AW,48,FALSE),"N/A")</f>
        <v>1</v>
      </c>
      <c r="EK103" s="94">
        <f>IFERROR(VLOOKUP($B103,'LOD 400 - COLO3'!B:AZ,51,FALSE),"N/A")</f>
        <v>1</v>
      </c>
      <c r="EL103" s="94">
        <f>IFERROR(VLOOKUP($B103,'LOD 400 - COLO3'!B:BC,54,FALSE),"N/A")</f>
        <v>1</v>
      </c>
      <c r="EM103" s="94">
        <f>IFERROR(VLOOKUP($B103,'LOD 400 - COLO3'!B:BF,57,FALSE),"N/A")</f>
        <v>1</v>
      </c>
      <c r="EN103" s="94">
        <f>IFERROR(VLOOKUP($B103,'LOD 400 - COLO3'!B:BI,60,FALSE),"N/A")</f>
        <v>1</v>
      </c>
      <c r="EO103" s="94">
        <f>IFERROR(VLOOKUP($B103,'LOD 400 - COLO3'!B:BL,63,FALSE),"N/A")</f>
        <v>1</v>
      </c>
      <c r="EP103" s="86">
        <f>IFERROR(__xludf.DUMMYFUNCTION("IFERROR(
  MAX(FILTER(DZ103:EO103, ISNUMBER(DZ103:EO103))),
  EO103
)"),1.0)</f>
        <v>1</v>
      </c>
      <c r="EQ103" s="95">
        <f>IFERROR(VLOOKUP($B103,'LOD 400 - COLO4'!B:S,18,FALSE),"N/A")</f>
        <v>0</v>
      </c>
      <c r="ER103" s="96">
        <f>IFERROR(__xludf.DUMMYFUNCTION("IFERROR(
  MAX(FILTER(EQ103, ISNUMBER(EQ103))),
  EQ103
)"),0.0)</f>
        <v>0</v>
      </c>
      <c r="ES103" s="79" t="str">
        <f>IFERROR(VLOOKUP($B103,'LOD 400 - SITE'!B:S,18,FALSE),"N/A")</f>
        <v>N/A</v>
      </c>
      <c r="ET103" s="80" t="str">
        <f>IFERROR(VLOOKUP($B103,'LOD 400 - SITE'!B:V,21,FALSE),"N/A")</f>
        <v>N/A</v>
      </c>
      <c r="EU103" s="97" t="str">
        <f>IFERROR(VLOOKUP($B103,'LOD 400 - SITE'!$B:Y,24,FALSE),"N/A")</f>
        <v>N/A</v>
      </c>
      <c r="EV103" s="80" t="str">
        <f>IFERROR(VLOOKUP($B103,'LOD 400 - SITE'!$B:AB,27,FALSE),"N/A")</f>
        <v>N/A</v>
      </c>
      <c r="EW103" s="81" t="str">
        <f>IFERROR(VLOOKUP($B103,'LOD 400 - SITE'!$B:AE,30,FALSE),"N/A")</f>
        <v>N/A</v>
      </c>
      <c r="EX103" s="87" t="str">
        <f>IFERROR(VLOOKUP($B103,'LOD 400 - SITE'!$B:AH,33,FALSE),"N/A")</f>
        <v>N/A</v>
      </c>
      <c r="EY103" s="87" t="str">
        <f>IFERROR(VLOOKUP($B103,'LOD 400 - SITE'!$B:AK,36,FALSE),"N/A")</f>
        <v>N/A</v>
      </c>
      <c r="EZ103" s="80" t="str">
        <f>IFERROR(VLOOKUP($B103,'LOD 400 - SITE'!$B:AN,39,FALSE),"N/A")</f>
        <v>N/A</v>
      </c>
      <c r="FA103" s="82" t="str">
        <f>IFERROR(VLOOKUP($B103,'LOD 400 - SITE'!$B:AQ,42,FALSE),"N/A")</f>
        <v>N/A</v>
      </c>
      <c r="FB103" s="88" t="str">
        <f>IFERROR(VLOOKUP($B103,'LOD 400 - SITE'!$B:AT,45,FALSE),"N/A")</f>
        <v>N/A</v>
      </c>
      <c r="FC103" s="84" t="str">
        <f>IFERROR(VLOOKUP($B103,'LOD 400 - SITE'!$B:AW,48,FALSE),"N/A")</f>
        <v>N/A</v>
      </c>
      <c r="FD103" s="84" t="str">
        <f>IFERROR(VLOOKUP($B103,'LOD 400 - SITE'!$B:AZ,51,FALSE),"N/A")</f>
        <v>N/A</v>
      </c>
      <c r="FE103" s="84" t="str">
        <f>IFERROR(VLOOKUP($B103,'LOD 400 - SITE'!$B:BC,54,FALSE),"N/A")</f>
        <v>N/A</v>
      </c>
      <c r="FF103" s="84" t="str">
        <f>IFERROR(VLOOKUP($B103,'LOD 400 - SITE'!$B:BF,57,FALSE),"N/A")</f>
        <v>N/A</v>
      </c>
      <c r="FG103" s="84" t="str">
        <f>IFERROR(VLOOKUP($B103,'LOD 400 - SITE'!$B:BI,60,FALSE),"N/A")</f>
        <v>N/A</v>
      </c>
      <c r="FH103" s="84" t="str">
        <f>IFERROR(VLOOKUP($B103,'LOD 400 - SITE'!$B:BL,63,FALSE),"N/A")</f>
        <v>N/A</v>
      </c>
      <c r="FI103" s="84" t="str">
        <f>IFERROR(VLOOKUP($B103,'LOD 400 - SITE'!$B:BO,66,FALSE),"N/A")</f>
        <v>N/A</v>
      </c>
      <c r="FJ103" s="84" t="str">
        <f>IFERROR(VLOOKUP($B103,'LOD 400 - SITE'!$B:BR,69,FALSE),"N/A")</f>
        <v>N/A</v>
      </c>
      <c r="FK103" s="84" t="str">
        <f>IFERROR(VLOOKUP($B103,'LOD 400 - SITE'!$B:BU,72,FALSE),"N/A")</f>
        <v>N/A</v>
      </c>
      <c r="FL103" s="84" t="str">
        <f>IFERROR(VLOOKUP($B103,'LOD 400 - SITE'!$B:BX,75,FALSE),"N/A")</f>
        <v>N/A</v>
      </c>
      <c r="FM103" s="84" t="str">
        <f>IFERROR(VLOOKUP($B103,'LOD 400 - SITE'!$B:CA,78,FALSE),"N/A")</f>
        <v>N/A</v>
      </c>
      <c r="FN103" s="85" t="str">
        <f>IFERROR(VLOOKUP($B103,'LOD 400 - SITE'!$B:CD,81,FALSE),"N/A")</f>
        <v>N/A</v>
      </c>
      <c r="FO103" s="84" t="str">
        <f>IFERROR(VLOOKUP($B103,'LOD 400 - SITE'!$B:CG,84,FALSE),"N/A")</f>
        <v>N/A</v>
      </c>
      <c r="FP103" s="85" t="str">
        <f>IFERROR(VLOOKUP($B103,'LOD 400 - SITE'!$B:CJ,87,FALSE),"N/A")</f>
        <v>N/A</v>
      </c>
      <c r="FQ103" s="84" t="str">
        <f>IFERROR(VLOOKUP($B103,'LOD 400 - SITE'!$B:CM,90,FALSE),"N/A")</f>
        <v>N/A</v>
      </c>
      <c r="FR103" s="84" t="str">
        <f>IFERROR(VLOOKUP($B103,'LOD 400 - SITE'!$B:CP,93,FALSE),"N/A")</f>
        <v>N/A</v>
      </c>
      <c r="FS103" s="84" t="str">
        <f>IFERROR(VLOOKUP($B103,'LOD 400 - SITE'!$B:CS,96,FALSE),"N/A")</f>
        <v>N/A</v>
      </c>
      <c r="FT103" s="84" t="str">
        <f>IFERROR(VLOOKUP($B103,'LOD 400 - SITE'!$B:CV,99,FALSE),"N/A")</f>
        <v>N/A</v>
      </c>
      <c r="FU103" s="84" t="str">
        <f>IFERROR(VLOOKUP($B103,'LOD 400 - SITE'!$B:CY,102,FALSE),"N/A")</f>
        <v>N/A</v>
      </c>
      <c r="FV103" s="84" t="str">
        <f>IFERROR(VLOOKUP($B103,'LOD 400 - SITE'!$B:DB,105,FALSE),"N/A")</f>
        <v>N/A</v>
      </c>
      <c r="FW103" s="84" t="str">
        <f>IFERROR(VLOOKUP($B103,'LOD 400 - SITE'!$B:DE,108,FALSE),"N/A")</f>
        <v>N/A</v>
      </c>
      <c r="FX103" s="84" t="str">
        <f>IFERROR(VLOOKUP($B103,'LOD 400 - SITE'!$B:DH,111,FALSE),"N/A")</f>
        <v>N/A</v>
      </c>
      <c r="FY103" s="84" t="str">
        <f>IFERROR(VLOOKUP($B103,'LOD 400 - SITE'!$B:DK,114,FALSE),"N/A")</f>
        <v>N/A</v>
      </c>
      <c r="FZ103" s="96" t="str">
        <f>IFERROR(__xludf.DUMMYFUNCTION("IFERROR(
  MAX(FILTER(ES103:FY103, ISNUMBER(ES103:FY103))),
  FY103
)"),"N/A")</f>
        <v>N/A</v>
      </c>
      <c r="GA103" s="80" t="str">
        <f>IFERROR(VLOOKUP($B103,'LOD 400 - UTLS'!B:S,18,FALSE),"N/A")</f>
        <v>N/A</v>
      </c>
      <c r="GB103" s="98" t="str">
        <f>IFERROR(VLOOKUP($B103,'LOD 400 - UTLS'!B:V,21,FALSE),"N/A")</f>
        <v>N/A</v>
      </c>
      <c r="GC103" s="81" t="str">
        <f>IFERROR(VLOOKUP($B103,'LOD 400 - UTLS'!B:Y,24,FALSE),"N/A")</f>
        <v>N/A</v>
      </c>
      <c r="GD103" s="87" t="str">
        <f>IFERROR(VLOOKUP($B103,'LOD 400 - UTLS'!$B:AB,27,FALSE),"N/A")</f>
        <v>N/A</v>
      </c>
      <c r="GE103" s="80" t="str">
        <f>IFERROR(VLOOKUP($B103,'LOD 400 - UTLS'!$B:AE,30,FALSE),"N/A")</f>
        <v>N/A</v>
      </c>
      <c r="GF103" s="82" t="str">
        <f>IFERROR(VLOOKUP($B103,'LOD 400 - UTLS'!$B:AH,33,FALSE),"N/A")</f>
        <v>N/A</v>
      </c>
      <c r="GG103" s="88" t="str">
        <f>IFERROR(VLOOKUP($B103,'LOD 400 - UTLS'!$B:AK,36,FALSE),"N/A")</f>
        <v>N/A</v>
      </c>
      <c r="GH103" s="84" t="str">
        <f>IFERROR(VLOOKUP($B103,'LOD 400 - UTLS'!$B:AN,39,FALSE),"N/A")</f>
        <v>N/A</v>
      </c>
      <c r="GI103" s="84" t="str">
        <f>IFERROR(VLOOKUP($B103,'LOD 400 - UTLS'!$B:AQ,42,FALSE),"N/A")</f>
        <v>N/A</v>
      </c>
      <c r="GJ103" s="84" t="str">
        <f>IFERROR(VLOOKUP($B103,'LOD 400 - UTLS'!$B:AT,45,FALSE),"N/A")</f>
        <v>N/A</v>
      </c>
      <c r="GK103" s="84" t="str">
        <f>IFERROR(VLOOKUP($B103,'LOD 400 - UTLS'!$B:AW,48,FALSE),"N/A")</f>
        <v>N/A</v>
      </c>
      <c r="GL103" s="84" t="str">
        <f>IFERROR(VLOOKUP($B103,'LOD 400 - UTLS'!$B:AZ,51,FALSE),"N/A")</f>
        <v>N/A</v>
      </c>
      <c r="GM103" s="84" t="str">
        <f>IFERROR(VLOOKUP($B103,'LOD 400 - UTLS'!$B:BC,54,FALSE),"N/A")</f>
        <v>N/A</v>
      </c>
      <c r="GN103" s="84" t="str">
        <f>IFERROR(VLOOKUP($B103,'LOD 400 - UTLS'!$B:BF,57,FALSE),"N/A")</f>
        <v>N/A</v>
      </c>
      <c r="GO103" s="84" t="str">
        <f>IFERROR(VLOOKUP($B103,'LOD 400 - UTLS'!$B:BI,60,FALSE),"N/A")</f>
        <v>N/A</v>
      </c>
      <c r="GP103" s="84" t="str">
        <f>IFERROR(VLOOKUP($B103,'LOD 400 - UTLS'!$B:BL,63,FALSE),"N/A")</f>
        <v>N/A</v>
      </c>
      <c r="GQ103" s="84" t="str">
        <f>IFERROR(VLOOKUP($B103,'LOD 400 - UTLS'!$B:BO,66,FALSE),"N/A")</f>
        <v>N/A</v>
      </c>
      <c r="GR103" s="84" t="str">
        <f>IFERROR(VLOOKUP($B103,'LOD 400 - UTLS'!$B:BR,69,FALSE),"N/A")</f>
        <v>N/A</v>
      </c>
      <c r="GS103" s="85" t="str">
        <f>IFERROR(VLOOKUP($B103,'LOD 400 - UTLS'!$B:BU,72,FALSE),"N/A")</f>
        <v>N/A</v>
      </c>
      <c r="GT103" s="84" t="str">
        <f>IFERROR(VLOOKUP($B103,'LOD 400 - UTLS'!$B:BX,75,FALSE),"N/A")</f>
        <v>N/A</v>
      </c>
      <c r="GU103" s="85" t="str">
        <f>IFERROR(VLOOKUP($B103,'LOD 400 - UTLS'!$B:CA,78,FALSE),"N/A")</f>
        <v>N/A</v>
      </c>
      <c r="GV103" s="84" t="str">
        <f>IFERROR(VLOOKUP($B103,'LOD 400 - UTLS'!$B:CD,81,FALSE),"N/A")</f>
        <v>N/A</v>
      </c>
      <c r="GW103" s="84" t="str">
        <f>IFERROR(VLOOKUP($B103,'LOD 400 - UTLS'!$B:CG,84,FALSE),"N/A")</f>
        <v>N/A</v>
      </c>
      <c r="GX103" s="84" t="str">
        <f>IFERROR(VLOOKUP($B103,'LOD 400 - UTLS'!$B:CJ,87,FALSE),"N/A")</f>
        <v>N/A</v>
      </c>
      <c r="GY103" s="84" t="str">
        <f>IFERROR(VLOOKUP($B103,'LOD 400 - UTLS'!$B:CM,90,FALSE),"N/A")</f>
        <v>N/A</v>
      </c>
      <c r="GZ103" s="84" t="str">
        <f>IFERROR(VLOOKUP($B103,'LOD 400 - UTLS'!$B:CP,93,FALSE),"N/A")</f>
        <v>N/A</v>
      </c>
      <c r="HA103" s="84" t="str">
        <f>IFERROR(VLOOKUP($B103,'LOD 400 - UTLS'!$B:CS,96,FALSE),"N/A")</f>
        <v>N/A</v>
      </c>
      <c r="HB103" s="84" t="str">
        <f>IFERROR(VLOOKUP($B103,'LOD 400 - UTLS'!$B:CV,99,FALSE),"N/A")</f>
        <v>N/A</v>
      </c>
      <c r="HC103" s="84" t="str">
        <f>IFERROR(VLOOKUP($B103,'LOD 400 - UTLS'!$B:CY,102,FALSE),"N/A")</f>
        <v>N/A</v>
      </c>
      <c r="HD103" s="84" t="str">
        <f>IFERROR(VLOOKUP($B103,'LOD 400 - UTLS'!$B:DB,105,FALSE),"N/A")</f>
        <v>N/A</v>
      </c>
      <c r="HE103" s="96" t="str">
        <f>IFERROR(__xludf.DUMMYFUNCTION("IFERROR(
  MAX(FILTER(GA103:HD103, ISNUMBER(GA103:HD103))),
  HD103
)"),"N/A")</f>
        <v>N/A</v>
      </c>
      <c r="HF103" s="99"/>
      <c r="HG103" s="99"/>
      <c r="HH103" s="99"/>
      <c r="HI103" s="99"/>
      <c r="HJ103" s="99"/>
      <c r="HK103" s="99"/>
    </row>
    <row r="104" ht="15.0" customHeight="1" outlineLevel="1">
      <c r="A104" s="53">
        <v>108.0</v>
      </c>
      <c r="B104" s="100" t="s">
        <v>293</v>
      </c>
      <c r="C104" s="100" t="s">
        <v>293</v>
      </c>
      <c r="D104" s="64" t="str">
        <f t="shared" si="17"/>
        <v>COL4</v>
      </c>
      <c r="E104" s="111" t="s">
        <v>289</v>
      </c>
      <c r="F104" s="102">
        <v>1125.0</v>
      </c>
      <c r="G104" s="103" t="s">
        <v>289</v>
      </c>
      <c r="H104" s="104">
        <v>1125.0</v>
      </c>
      <c r="I104" s="68" t="str">
        <f>IFERROR(VLOOKUP($C101:C108,'R22 RELATÓRIO ACC'!B:F,5,FALSE),"NOT PUBLISHED")</f>
        <v>V7</v>
      </c>
      <c r="J104" s="69" t="str">
        <f>IFERROR(VLOOKUP($C101:C108,'R22 RELATÓRIO ACC'!B:P,15,FALSE),"NOT PUBLISHED")</f>
        <v>05/12/2025</v>
      </c>
      <c r="K104" s="70" t="str">
        <f>IFERROR(VLOOKUP($B101:B108,'RELATÓRIO ACC'!B:F,5,FALSE),"NOT PUBLISHED")</f>
        <v>V1</v>
      </c>
      <c r="L104" s="71" t="str">
        <f>IFERROR(VLOOKUP($B101:B108,'RELATÓRIO ACC'!B:P,15,FALSE),"NOT PUBLISHED")</f>
        <v>21/05/2026</v>
      </c>
      <c r="M104" s="72" t="str">
        <f>IF(OR($D104="UTLS",$D104="GUAR",$D104="STIR",$D104="PUMP",$D104="SITE"),
   VLOOKUP($B104,'LOD 400 - SITE'!B:M,12,FALSE),
   VLOOKUP($B104,'LOD 400 - ADMN'!B:M,12,FALSE)
)</f>
        <v>N/A</v>
      </c>
      <c r="N104" s="105" t="str">
        <f>IF(OR($D104="UTLS",$D104="GUAR",$D104="STIR",$D104="PUMP",$D104="SITE"),
   VLOOKUP($B104,'LOD 400 - SITE'!B:N,13,FALSE),
   VLOOKUP($B104,'LOD 400 - ADMN'!B:N,13,FALSE)
)</f>
        <v>N/A</v>
      </c>
      <c r="O104" s="106" t="str">
        <f>IF(OR($D104="UTLS",$D104="GUAR",$D104="STIR",$D104="PUMP",$D104="SITE"),
   VLOOKUP($B104,'LOD 400 - SITE'!B:O,14,FALSE),
   VLOOKUP($B104,'LOD 400 - ADMN'!B:O,14,FALSE)
)</f>
        <v>N/A</v>
      </c>
      <c r="P104" s="107" t="str">
        <f>IF(OR($D104="C345",$D104="C12A",$D104="DATA"),
   VLOOKUP($B104,'LOD 400 - COLO3'!B:M,12,FALSE),"N/A")</f>
        <v>N/A</v>
      </c>
      <c r="Q104" s="108" t="str">
        <f>IF(OR($D104="C345",$D104="C12A",$D104="DATA"),
   VLOOKUP($B104,'LOD 400 - COLO3'!B:N,13,FALSE),"N/A")</f>
        <v>N/A</v>
      </c>
      <c r="R104" s="75" t="str">
        <f>IF(OR($D104="C345",$D104="C12A",$D104="DATA"),
   VLOOKUP($B104,'LOD 400 - COLO3'!B:O,14,FALSE),"N/A")</f>
        <v>N/A</v>
      </c>
      <c r="S104" s="76" t="str">
        <f>IF(OR($D104="C345",$D104="C12A",$D104="DATA"),
   VLOOKUP($B104,'LOD 400 - COLO4'!B:N,12,FALSE),"N/A")</f>
        <v>N/A</v>
      </c>
      <c r="T104" s="76" t="str">
        <f>IF(OR($D104="C345",$D104="C12A",$D104="DATA"),
   VLOOKUP($B104,'LOD 400 - COLO4'!B:N,13,FALSE),"N/A")</f>
        <v>N/A</v>
      </c>
      <c r="U104" s="76" t="str">
        <f>IF(OR($D104="C345",$D104="C12A",$D104="DATA"),
   VLOOKUP($B104,'LOD 400 - COLO4'!B:N,13,FALSE),"N/A")</f>
        <v>N/A</v>
      </c>
      <c r="V104" s="77" t="str">
        <f>IF(OR($D104="UTLS",$D104="GUAR",$D104="STIR",$D104="PUMP",$D104="SITE"),
   VLOOKUP($B104,'LOD 400 - UTLS'!B:M,12,FALSE),"N/A")</f>
        <v>N/A</v>
      </c>
      <c r="W104" s="78" t="str">
        <f>IF(OR($D104="UTLS",$D104="GUAR",$D104="STIR",$D104="PUMP",$D104="SITE"),
   VLOOKUP($B104,'LOD 400 - UTLS'!B:N,13,FALSE),"N/A")</f>
        <v>N/A</v>
      </c>
      <c r="X104" s="108" t="str">
        <f>IF(OR($D104="UTLS",$D104="GUAR",$D104="STIR",$D104="PUMP",$D104="SITE"),
   VLOOKUP($B104,'LOD 400 - UTLS'!B:O,14,FALSE),"N/A")</f>
        <v>N/A</v>
      </c>
      <c r="Y104" s="79" t="str">
        <f>IFERROR(VLOOKUP($B104,'LOD 400 - ADMN'!B:S,18,FALSE),"N/A")</f>
        <v>N/A</v>
      </c>
      <c r="Z104" s="79" t="str">
        <f>IFERROR(VLOOKUP($B104,'LOD 400 - ADMN'!B:V,21,FALSE),"N/A")</f>
        <v>N/A</v>
      </c>
      <c r="AA104" s="79" t="str">
        <f>IFERROR(VLOOKUP($B104,'LOD 400 - ADMN'!$B:Y,24,FALSE),"N/A")</f>
        <v>N/A</v>
      </c>
      <c r="AB104" s="80" t="str">
        <f>IFERROR(VLOOKUP($B104,'LOD 400 - ADMN'!$B:AB,27,FALSE),"N/A")</f>
        <v>N/A</v>
      </c>
      <c r="AC104" s="81" t="str">
        <f>IFERROR(VLOOKUP($B104,'LOD 400 - ADMN'!$B:AE,30,FALSE),"N/A")</f>
        <v>N/A</v>
      </c>
      <c r="AD104" s="81" t="str">
        <f>IFERROR(VLOOKUP($B104,'LOD 400 - ADMN'!$B:AH,33,FALSE),"N/A")</f>
        <v>N/A</v>
      </c>
      <c r="AE104" s="80" t="str">
        <f>IFERROR(VLOOKUP($B104,'LOD 400 - ADMN'!$B:AK,36,FALSE),"N/A")</f>
        <v>N/A</v>
      </c>
      <c r="AF104" s="82" t="str">
        <f>IFERROR(VLOOKUP($B104,'LOD 400 - ADMN'!$B:AN,39,FALSE),"N/A")</f>
        <v>N/A</v>
      </c>
      <c r="AG104" s="83" t="str">
        <f>IFERROR(VLOOKUP($B104,'LOD 400 - ADMN'!$B:AQ,42,FALSE),"N/A")</f>
        <v>N/A</v>
      </c>
      <c r="AH104" s="84" t="str">
        <f>IFERROR(VLOOKUP($B104,'LOD 400 - ADMN'!$B:AT,45,FALSE),"N/A")</f>
        <v>N/A</v>
      </c>
      <c r="AI104" s="85" t="str">
        <f>IFERROR(VLOOKUP($B104,'LOD 400 - ADMN'!$B:AW,48,FALSE),"N/A")</f>
        <v>N/A</v>
      </c>
      <c r="AJ104" s="85" t="str">
        <f>IFERROR(VLOOKUP($B104,'LOD 400 - ADMN'!$B:AZ,51,FALSE),"N/A")</f>
        <v>N/A</v>
      </c>
      <c r="AK104" s="84" t="str">
        <f>IFERROR(VLOOKUP($B104,'LOD 400 - ADMN'!$B:BC,54,FALSE),"N/A")</f>
        <v>N/A</v>
      </c>
      <c r="AL104" s="84" t="str">
        <f>IFERROR(VLOOKUP($B104,'LOD 400 - ADMN'!$B:BF,57,FALSE),"N/A")</f>
        <v>N/A</v>
      </c>
      <c r="AM104" s="84" t="str">
        <f>IFERROR(VLOOKUP($B104,'LOD 400 - ADMN'!$B:BI,60,FALSE),"N/A")</f>
        <v>N/A</v>
      </c>
      <c r="AN104" s="84" t="str">
        <f>IFERROR(VLOOKUP($B104,'LOD 400 - ADMN'!$B:BL,63,FALSE),"N/A")</f>
        <v>N/A</v>
      </c>
      <c r="AO104" s="84" t="str">
        <f>IFERROR(VLOOKUP($B104,'LOD 400 - ADMN'!$B:BO,66,FALSE),"N/A")</f>
        <v>N/A</v>
      </c>
      <c r="AP104" s="84" t="str">
        <f>IFERROR(VLOOKUP($B104,'LOD 400 - ADMN'!$B:BR,69,FALSE),"N/A")</f>
        <v>N/A</v>
      </c>
      <c r="AQ104" s="84" t="str">
        <f>IFERROR(VLOOKUP($B104,'LOD 400 - ADMN'!$B:BU,72,FALSE),"N/A")</f>
        <v>N/A</v>
      </c>
      <c r="AR104" s="84" t="str">
        <f>IFERROR(VLOOKUP($B104,'LOD 400 - ADMN'!$B:BX,75,FALSE),"N/A")</f>
        <v>N/A</v>
      </c>
      <c r="AS104" s="84" t="str">
        <f>IFERROR(VLOOKUP($B104,'LOD 400 - ADMN'!$B:CA,78,FALSE),"N/A")</f>
        <v>N/A</v>
      </c>
      <c r="AT104" s="84" t="str">
        <f>IFERROR(VLOOKUP($B104,'LOD 400 - ADMN'!$B:CD,81,FALSE),"N/A")</f>
        <v>N/A</v>
      </c>
      <c r="AU104" s="85" t="str">
        <f>IFERROR(VLOOKUP($B104,'LOD 400 - ADMN'!$B:CG,84,FALSE),"N/A")</f>
        <v>N/A</v>
      </c>
      <c r="AV104" s="84" t="str">
        <f>IFERROR(VLOOKUP($B104,'LOD 400 - ADMN'!$B:CJ,87,FALSE),"N/A")</f>
        <v>N/A</v>
      </c>
      <c r="AW104" s="85" t="str">
        <f>IFERROR(VLOOKUP($B104,'LOD 400 - ADMN'!$B:CM,90,FALSE),"N/A")</f>
        <v>N/A</v>
      </c>
      <c r="AX104" s="84" t="str">
        <f>IFERROR(VLOOKUP($B104,'LOD 400 - ADMN'!$B:CP,93,FALSE),"N/A")</f>
        <v>N/A</v>
      </c>
      <c r="AY104" s="84" t="str">
        <f>IFERROR(VLOOKUP($B104,'LOD 400 - ADMN'!$B:CS,96,FALSE),"N/A")</f>
        <v>N/A</v>
      </c>
      <c r="AZ104" s="84" t="str">
        <f>IFERROR(VLOOKUP($B104,'LOD 400 - ADMN'!$B:CV,99,FALSE),"N/A")</f>
        <v>N/A</v>
      </c>
      <c r="BA104" s="84" t="str">
        <f>IFERROR(VLOOKUP($B104,'LOD 400 - ADMN'!$B:CY,102,FALSE),"N/A")</f>
        <v>N/A</v>
      </c>
      <c r="BB104" s="84" t="str">
        <f>IFERROR(VLOOKUP($B104,'LOD 400 - ADMN'!$B:DB,105,FALSE),"N/A")</f>
        <v>N/A</v>
      </c>
      <c r="BC104" s="84" t="str">
        <f>IFERROR(VLOOKUP($B104,'LOD 400 - ADMN'!$B:DE,108,FALSE),"N/A")</f>
        <v>N/A</v>
      </c>
      <c r="BD104" s="84" t="str">
        <f>IFERROR(VLOOKUP($B104,'LOD 400 - ADMN'!$B:DH,111,FALSE),"N/A")</f>
        <v>N/A</v>
      </c>
      <c r="BE104" s="84" t="str">
        <f>IFERROR(VLOOKUP($B104,'LOD 400 - ADMN'!$B:DK,114,FALSE),"N/A")</f>
        <v>N/A</v>
      </c>
      <c r="BF104" s="84" t="str">
        <f>IFERROR(VLOOKUP($B104,'LOD 400 - ADMN'!$B:DN,117,FALSE),"N/A")</f>
        <v>N/A</v>
      </c>
      <c r="BG104" s="86" t="str">
        <f>IFERROR(__xludf.DUMMYFUNCTION("IFERROR(
  MAX(FILTER(Y104:BF104, ISNUMBER(Y104:BF104))),
  BF104
)"),"N/A")</f>
        <v>N/A</v>
      </c>
      <c r="BH104" s="79" t="str">
        <f>IFERROR(VLOOKUP($B104,'LOD 400 - COLO1'!B:S,18,FALSE),"N/A")</f>
        <v>N/A</v>
      </c>
      <c r="BI104" s="79" t="str">
        <f>IFERROR(VLOOKUP($B104,'LOD 400 - COLO1'!B:V,21,FALSE),"N/A")</f>
        <v>N/A</v>
      </c>
      <c r="BJ104" s="79" t="str">
        <f>IFERROR(VLOOKUP($B104,'LOD 400 - COLO1'!$B:Y,24,FALSE),"N/A")</f>
        <v>N/A</v>
      </c>
      <c r="BK104" s="87" t="str">
        <f>IFERROR(VLOOKUP($B104,'LOD 400 - COLO1'!$B:AB,27,FALSE),"N/A")</f>
        <v>N/A</v>
      </c>
      <c r="BL104" s="80" t="str">
        <f>IFERROR(VLOOKUP($B104,'LOD 400 - COLO1'!$B:AE,30,FALSE),"N/A")</f>
        <v>N/A</v>
      </c>
      <c r="BM104" s="81" t="str">
        <f>IFERROR(VLOOKUP($B104,'LOD 400 - COLO1'!$B:AH,33,FALSE),"N/A")</f>
        <v>N/A</v>
      </c>
      <c r="BN104" s="87" t="str">
        <f>IFERROR(VLOOKUP($B104,'LOD 400 - COLO1'!$B:AK,36,FALSE),"N/A")</f>
        <v>N/A</v>
      </c>
      <c r="BO104" s="83" t="str">
        <f>IFERROR(VLOOKUP($B104,'LOD 400 - COLO1'!$B:AN,39,FALSE),"N/A")</f>
        <v>N/A</v>
      </c>
      <c r="BP104" s="88" t="str">
        <f>IFERROR(VLOOKUP($B104,'LOD 400 - COLO1'!$B:AQ,42,FALSE),"N/A")</f>
        <v>N/A</v>
      </c>
      <c r="BQ104" s="84" t="str">
        <f>IFERROR(VLOOKUP($B104,'LOD 400 - COLO1'!$B:AT,45,FALSE),"N/A")</f>
        <v>N/A</v>
      </c>
      <c r="BR104" s="85" t="str">
        <f>IFERROR(VLOOKUP($B104,'LOD 400 - COLO1'!$B:AW,48,FALSE),"N/A")</f>
        <v>N/A</v>
      </c>
      <c r="BS104" s="84" t="str">
        <f>IFERROR(VLOOKUP($B104,'LOD 400 - COLO1'!$B:AZ,51,FALSE),"N/A")</f>
        <v>N/A</v>
      </c>
      <c r="BT104" s="84" t="str">
        <f>IFERROR(VLOOKUP($B104,'LOD 400 - COLO1'!$B:BC,54,FALSE),"N/A")</f>
        <v>N/A</v>
      </c>
      <c r="BU104" s="84" t="str">
        <f>IFERROR(VLOOKUP($B104,'LOD 400 - COLO1'!$B:BF,57,FALSE),"N/A")</f>
        <v>N/A</v>
      </c>
      <c r="BV104" s="84" t="str">
        <f>IFERROR(VLOOKUP($B104,'LOD 400 - COLO1'!$B:BI,60,FALSE),"N/A")</f>
        <v>N/A</v>
      </c>
      <c r="BW104" s="84" t="str">
        <f>IFERROR(VLOOKUP($B104,'LOD 400 - COLO1'!$B:BL,63,FALSE),"N/A")</f>
        <v>N/A</v>
      </c>
      <c r="BX104" s="84" t="str">
        <f>IFERROR(VLOOKUP($B104,'LOD 400 - COLO1'!$B:BO,66,FALSE),"N/A")</f>
        <v>N/A</v>
      </c>
      <c r="BY104" s="84" t="str">
        <f>IFERROR(VLOOKUP($B104,'LOD 400 - COLO1'!$B:BR,69,FALSE),"N/A")</f>
        <v>N/A</v>
      </c>
      <c r="BZ104" s="84" t="str">
        <f>IFERROR(VLOOKUP($B104,'LOD 400 - COLO1'!$B:BU,72,FALSE),"N/A")</f>
        <v>N/A</v>
      </c>
      <c r="CA104" s="84" t="str">
        <f>IFERROR(VLOOKUP($B104,'LOD 400 - COLO1'!$B:BX,75,FALSE),"N/A")</f>
        <v>N/A</v>
      </c>
      <c r="CB104" s="84" t="str">
        <f>IFERROR(VLOOKUP($B104,'LOD 400 - COLO1'!$B:CA,78,FALSE),"N/A")</f>
        <v>N/A</v>
      </c>
      <c r="CC104" s="84" t="str">
        <f>IFERROR(VLOOKUP($B104,'LOD 400 - COLO1'!$B:CD,81,FALSE),"N/A")</f>
        <v>N/A</v>
      </c>
      <c r="CD104" s="85" t="str">
        <f>IFERROR(VLOOKUP($B104,'LOD 400 - COLO1'!$B:CG,84,FALSE),"N/A")</f>
        <v>N/A</v>
      </c>
      <c r="CE104" s="84" t="str">
        <f>IFERROR(VLOOKUP($B104,'LOD 400 - COLO1'!$B:CJ,87,FALSE),"N/A")</f>
        <v>N/A</v>
      </c>
      <c r="CF104" s="85" t="str">
        <f>IFERROR(VLOOKUP($B104,'LOD 400 - COLO1'!$B:CM,90,FALSE),"N/A")</f>
        <v>N/A</v>
      </c>
      <c r="CG104" s="84" t="str">
        <f>IFERROR(VLOOKUP($B104,'LOD 400 - COLO1'!$B:CP,93,FALSE),"N/A")</f>
        <v>N/A</v>
      </c>
      <c r="CH104" s="84" t="str">
        <f>IFERROR(VLOOKUP($B104,'LOD 400 - COLO1'!$B:CS,96,FALSE),"N/A")</f>
        <v>N/A</v>
      </c>
      <c r="CI104" s="84" t="str">
        <f>IFERROR(VLOOKUP($B104,'LOD 400 - COLO1'!$B:CV,99,FALSE),"N/A")</f>
        <v>N/A</v>
      </c>
      <c r="CJ104" s="84" t="str">
        <f>IFERROR(VLOOKUP($B104,'LOD 400 - COLO1'!$B:CY,102,FALSE),"N/A")</f>
        <v>N/A</v>
      </c>
      <c r="CK104" s="84" t="str">
        <f>IFERROR(VLOOKUP($B104,'LOD 400 - COLO1'!$B:DB,105,FALSE),"N/A")</f>
        <v>N/A</v>
      </c>
      <c r="CL104" s="84" t="str">
        <f>IFERROR(VLOOKUP($B104,'LOD 400 - COLO1'!$B:DE,108,FALSE),"N/A")</f>
        <v>N/A</v>
      </c>
      <c r="CM104" s="84" t="str">
        <f>IFERROR(VLOOKUP($B104,'LOD 400 - COLO1'!$B:DH,111,FALSE),"N/A")</f>
        <v>N/A</v>
      </c>
      <c r="CN104" s="84" t="str">
        <f>IFERROR(VLOOKUP($B104,'LOD 400 - COLO1'!$B:DK,114,FALSE),"N/A")</f>
        <v>N/A</v>
      </c>
      <c r="CO104" s="84" t="str">
        <f>IFERROR(VLOOKUP($B104,'LOD 400 - COLO1'!$B:DN,117,FALSE),"N/A")</f>
        <v>N/A</v>
      </c>
      <c r="CP104" s="86" t="str">
        <f>IFERROR(__xludf.DUMMYFUNCTION("IFERROR(
  MAX(FILTER(BH104:CO104, ISNUMBER(BH104:CO104))),
  CO104
)"),"N/A")</f>
        <v>N/A</v>
      </c>
      <c r="CQ104" s="89" t="str">
        <f>IFERROR(VLOOKUP($B104,'LOD 400 - COLO2'!B:S,18,FALSE),"N/A")</f>
        <v>N/A</v>
      </c>
      <c r="CR104" s="79" t="str">
        <f>IFERROR(VLOOKUP($B104,'LOD 400 - COLO2'!B:V,21,FALSE),"N/A")</f>
        <v>N/A</v>
      </c>
      <c r="CS104" s="79" t="str">
        <f>IFERROR(VLOOKUP($B104,'LOD 400 - COLO2'!$B:Y,24,FALSE),"N/A")</f>
        <v>N/A</v>
      </c>
      <c r="CT104" s="80" t="str">
        <f>IFERROR(VLOOKUP($B104,'LOD 400 - COLO2'!$B:DQ,27,FALSE),"N/A")</f>
        <v>N/A</v>
      </c>
      <c r="CU104" s="90" t="str">
        <f>IFERROR(VLOOKUP($B104,'LOD 400 - COLO2'!$B:AE,30,FALSE),"N/A")</f>
        <v>N/A</v>
      </c>
      <c r="CV104" s="81" t="str">
        <f>IFERROR(VLOOKUP($B104,'LOD 400 - COLO2'!$B:AH,33,FALSE),"N/A")</f>
        <v>N/A</v>
      </c>
      <c r="CW104" s="90" t="str">
        <f>IFERROR(VLOOKUP($B104,'LOD 400 - COLO2'!$B:AK,36,FALSE),"N/A")</f>
        <v>N/A</v>
      </c>
      <c r="CX104" s="85" t="str">
        <f>IFERROR(VLOOKUP($B104,'LOD 400 - COLO2'!$B:AN,39,FALSE),"N/A")</f>
        <v>N/A</v>
      </c>
      <c r="CY104" s="88" t="str">
        <f>IFERROR(VLOOKUP($B104,'LOD 400 - COLO2'!$B:AQ,42,FALSE),"N/A")</f>
        <v>N/A</v>
      </c>
      <c r="CZ104" s="84" t="str">
        <f>IFERROR(VLOOKUP($B104,'LOD 400 - COLO2'!$B:AT,45,FALSE),"N/A")</f>
        <v>N/A</v>
      </c>
      <c r="DA104" s="85" t="str">
        <f>IFERROR(VLOOKUP($B104,'LOD 400 - COLO2'!$B:AW,48,FALSE),"N/A")</f>
        <v>N/A</v>
      </c>
      <c r="DB104" s="84" t="str">
        <f>IFERROR(VLOOKUP($B104,'LOD 400 - COLO2'!$B:AZ,51,FALSE),"N/A")</f>
        <v>N/A</v>
      </c>
      <c r="DC104" s="84" t="str">
        <f>IFERROR(VLOOKUP($B104,'LOD 400 - COLO2'!$B:BC,54,FALSE),"N/A")</f>
        <v>N/A</v>
      </c>
      <c r="DD104" s="84" t="str">
        <f>IFERROR(VLOOKUP($B104,'LOD 400 - COLO2'!$B:BF,57,FALSE),"N/A")</f>
        <v>N/A</v>
      </c>
      <c r="DE104" s="84" t="str">
        <f>IFERROR(VLOOKUP($B104,'LOD 400 - COLO2'!$B:BI,60,FALSE),"N/A")</f>
        <v>N/A</v>
      </c>
      <c r="DF104" s="84" t="str">
        <f>IFERROR(VLOOKUP($B104,'LOD 400 - COLO2'!$B:BL,63,FALSE),"N/A")</f>
        <v>N/A</v>
      </c>
      <c r="DG104" s="84" t="str">
        <f>IFERROR(VLOOKUP($B104,'LOD 400 - COLO2'!$B:BO,66,FALSE),"N/A")</f>
        <v>N/A</v>
      </c>
      <c r="DH104" s="84" t="str">
        <f>IFERROR(VLOOKUP($B104,'LOD 400 - COLO2'!$B:BR,69,FALSE),"N/A")</f>
        <v>N/A</v>
      </c>
      <c r="DI104" s="84" t="str">
        <f>IFERROR(VLOOKUP($B104,'LOD 400 - COLO2'!$B:BU,72,FALSE),"N/A")</f>
        <v>N/A</v>
      </c>
      <c r="DJ104" s="84" t="str">
        <f>IFERROR(VLOOKUP($B104,'LOD 400 - COLO2'!$B:BX,75,FALSE),"N/A")</f>
        <v>N/A</v>
      </c>
      <c r="DK104" s="84" t="str">
        <f>IFERROR(VLOOKUP($B104,'LOD 400 - COLO2'!$B:CA,78,FALSE),"N/A")</f>
        <v>N/A</v>
      </c>
      <c r="DL104" s="84" t="str">
        <f>IFERROR(VLOOKUP($B104,'LOD 400 - COLO2'!$B:CD,81,FALSE),"N/A")</f>
        <v>N/A</v>
      </c>
      <c r="DM104" s="85" t="str">
        <f>IFERROR(VLOOKUP($B104,'LOD 400 - COLO2'!$B:CG,84,FALSE),"N/A")</f>
        <v>N/A</v>
      </c>
      <c r="DN104" s="84" t="str">
        <f>IFERROR(VLOOKUP($B104,'LOD 400 - COLO2'!$B:CJ,87,FALSE),"N/A")</f>
        <v>N/A</v>
      </c>
      <c r="DO104" s="85" t="str">
        <f>IFERROR(VLOOKUP($B104,'LOD 400 - COLO2'!$B:CM,90,FALSE),"N/A")</f>
        <v>N/A</v>
      </c>
      <c r="DP104" s="84" t="str">
        <f>IFERROR(VLOOKUP($B104,'LOD 400 - COLO2'!$B:CP,93,FALSE),"N/A")</f>
        <v>N/A</v>
      </c>
      <c r="DQ104" s="84" t="str">
        <f>IFERROR(VLOOKUP($B104,'LOD 400 - COLO2'!$B:CS,96,FALSE),"N/A")</f>
        <v>N/A</v>
      </c>
      <c r="DR104" s="84" t="str">
        <f>IFERROR(VLOOKUP($B104,'LOD 400 - COLO2'!$B:CV,99,FALSE),"N/A")</f>
        <v>N/A</v>
      </c>
      <c r="DS104" s="84" t="str">
        <f>IFERROR(VLOOKUP($B104,'LOD 400 - COLO2'!$B:CY,102,FALSE),"N/A")</f>
        <v>N/A</v>
      </c>
      <c r="DT104" s="84" t="str">
        <f>IFERROR(VLOOKUP($B104,'LOD 400 - COLO2'!$B:DB,105,FALSE),"N/A")</f>
        <v>N/A</v>
      </c>
      <c r="DU104" s="84" t="str">
        <f>IFERROR(VLOOKUP($B104,'LOD 400 - COLO2'!$B:DE,108,FALSE),"N/A")</f>
        <v>N/A</v>
      </c>
      <c r="DV104" s="84" t="str">
        <f>IFERROR(VLOOKUP($B104,'LOD 400 - COLO2'!$B:DH,111,FALSE),"N/A")</f>
        <v>N/A</v>
      </c>
      <c r="DW104" s="84" t="str">
        <f>IFERROR(VLOOKUP($B104,'LOD 400 - COLO2'!$B:DK,114,FALSE),"N/A")</f>
        <v>N/A</v>
      </c>
      <c r="DX104" s="84" t="str">
        <f>IFERROR(VLOOKUP($B104,'LOD 400 - COLO2'!$B:DN,117,FALSE),"N/A")</f>
        <v>N/A</v>
      </c>
      <c r="DY104" s="91" t="str">
        <f>IFERROR(__xludf.DUMMYFUNCTION("IFERROR(
  MAX(FILTER(CQ104:DW104, ISNUMBER(CQ104:DW104))),
  DW104
)"),"N/A")</f>
        <v>N/A</v>
      </c>
      <c r="DZ104" s="92" t="str">
        <f>IFERROR(VLOOKUP($B104,'LOD 400 - COLO3'!B:S,18,FALSE),"N/A")</f>
        <v>N/A</v>
      </c>
      <c r="EA104" s="84" t="str">
        <f>IFERROR(VLOOKUP($B104,'LOD 400 - COLO3'!B:V,21,FALSE),"N/A")</f>
        <v>N/A</v>
      </c>
      <c r="EB104" s="84" t="str">
        <f>IFERROR(VLOOKUP($B104,'LOD 400 - COLO3'!B:Y,24,FALSE),"N/A")</f>
        <v>N/A</v>
      </c>
      <c r="EC104" s="84" t="str">
        <f>IFERROR(VLOOKUP($B104,'LOD 400 - COLO3'!B:AB,27,FALSE),"N/A")</f>
        <v>N/A</v>
      </c>
      <c r="ED104" s="85" t="str">
        <f>IFERROR(VLOOKUP($B104,'LOD 400 - COLO3'!B:AE,30,FALSE),"N/A")</f>
        <v>N/A</v>
      </c>
      <c r="EE104" s="84" t="str">
        <f>IFERROR(VLOOKUP($B104,'LOD 400 - COLO3'!B:AH,33,FALSE),"N/A")</f>
        <v>N/A</v>
      </c>
      <c r="EF104" s="84" t="str">
        <f>IFERROR(VLOOKUP($B104,'LOD 400 - COLO3'!B:AK,36,FALSE),"N/A")</f>
        <v>N/A</v>
      </c>
      <c r="EG104" s="109" t="str">
        <f>IFERROR(VLOOKUP($B104,'LOD 400 - COLO3'!B:AN,39,FALSE),"N/A")</f>
        <v>N/A</v>
      </c>
      <c r="EH104" s="94" t="str">
        <f>IFERROR(VLOOKUP($B104,'LOD 400 - COLO3'!B:AQ,42,FALSE),"N/A")</f>
        <v>N/A</v>
      </c>
      <c r="EI104" s="94" t="str">
        <f>IFERROR(VLOOKUP($B104,'LOD 400 - COLO3'!B:AT,45,FALSE),"N/A")</f>
        <v>N/A</v>
      </c>
      <c r="EJ104" s="94" t="str">
        <f>IFERROR(VLOOKUP($B104,'LOD 400 - COLO3'!B:AW,48,FALSE),"N/A")</f>
        <v>N/A</v>
      </c>
      <c r="EK104" s="94" t="str">
        <f>IFERROR(VLOOKUP($B104,'LOD 400 - COLO3'!B:AZ,51,FALSE),"N/A")</f>
        <v>N/A</v>
      </c>
      <c r="EL104" s="94" t="str">
        <f>IFERROR(VLOOKUP($B104,'LOD 400 - COLO3'!B:BC,54,FALSE),"N/A")</f>
        <v>N/A</v>
      </c>
      <c r="EM104" s="94" t="str">
        <f>IFERROR(VLOOKUP($B104,'LOD 400 - COLO3'!B:BF,57,FALSE),"N/A")</f>
        <v>N/A</v>
      </c>
      <c r="EN104" s="94" t="str">
        <f>IFERROR(VLOOKUP($B104,'LOD 400 - COLO3'!B:BI,60,FALSE),"N/A")</f>
        <v>N/A</v>
      </c>
      <c r="EO104" s="94" t="str">
        <f>IFERROR(VLOOKUP($B104,'LOD 400 - COLO3'!B:BL,63,FALSE),"N/A")</f>
        <v>N/A</v>
      </c>
      <c r="EP104" s="86" t="str">
        <f>IFERROR(__xludf.DUMMYFUNCTION("IFERROR(
  MAX(FILTER(DZ104:EO104, ISNUMBER(DZ104:EO104))),
  EO104
)"),"N/A")</f>
        <v>N/A</v>
      </c>
      <c r="EQ104" s="95">
        <f>IFERROR(VLOOKUP($B104,'LOD 400 - COLO4'!B:S,18,FALSE),"N/A")</f>
        <v>1</v>
      </c>
      <c r="ER104" s="96">
        <f>IFERROR(__xludf.DUMMYFUNCTION("IFERROR(
  MAX(FILTER(EQ104, ISNUMBER(EQ104))),
  EQ104
)"),1.0)</f>
        <v>1</v>
      </c>
      <c r="ES104" s="79" t="str">
        <f>IFERROR(VLOOKUP($B104,'LOD 400 - SITE'!B:S,18,FALSE),"N/A")</f>
        <v>N/A</v>
      </c>
      <c r="ET104" s="80" t="str">
        <f>IFERROR(VLOOKUP($B104,'LOD 400 - SITE'!B:V,21,FALSE),"N/A")</f>
        <v>N/A</v>
      </c>
      <c r="EU104" s="97" t="str">
        <f>IFERROR(VLOOKUP($B104,'LOD 400 - SITE'!$B:Y,24,FALSE),"N/A")</f>
        <v>N/A</v>
      </c>
      <c r="EV104" s="80" t="str">
        <f>IFERROR(VLOOKUP($B104,'LOD 400 - SITE'!$B:AB,27,FALSE),"N/A")</f>
        <v>N/A</v>
      </c>
      <c r="EW104" s="81" t="str">
        <f>IFERROR(VLOOKUP($B104,'LOD 400 - SITE'!$B:AE,30,FALSE),"N/A")</f>
        <v>N/A</v>
      </c>
      <c r="EX104" s="87" t="str">
        <f>IFERROR(VLOOKUP($B104,'LOD 400 - SITE'!$B:AH,33,FALSE),"N/A")</f>
        <v>N/A</v>
      </c>
      <c r="EY104" s="87" t="str">
        <f>IFERROR(VLOOKUP($B104,'LOD 400 - SITE'!$B:AK,36,FALSE),"N/A")</f>
        <v>N/A</v>
      </c>
      <c r="EZ104" s="80" t="str">
        <f>IFERROR(VLOOKUP($B104,'LOD 400 - SITE'!$B:AN,39,FALSE),"N/A")</f>
        <v>N/A</v>
      </c>
      <c r="FA104" s="82" t="str">
        <f>IFERROR(VLOOKUP($B104,'LOD 400 - SITE'!$B:AQ,42,FALSE),"N/A")</f>
        <v>N/A</v>
      </c>
      <c r="FB104" s="88" t="str">
        <f>IFERROR(VLOOKUP($B104,'LOD 400 - SITE'!$B:AT,45,FALSE),"N/A")</f>
        <v>N/A</v>
      </c>
      <c r="FC104" s="84" t="str">
        <f>IFERROR(VLOOKUP($B104,'LOD 400 - SITE'!$B:AW,48,FALSE),"N/A")</f>
        <v>N/A</v>
      </c>
      <c r="FD104" s="84" t="str">
        <f>IFERROR(VLOOKUP($B104,'LOD 400 - SITE'!$B:AZ,51,FALSE),"N/A")</f>
        <v>N/A</v>
      </c>
      <c r="FE104" s="84" t="str">
        <f>IFERROR(VLOOKUP($B104,'LOD 400 - SITE'!$B:BC,54,FALSE),"N/A")</f>
        <v>N/A</v>
      </c>
      <c r="FF104" s="84" t="str">
        <f>IFERROR(VLOOKUP($B104,'LOD 400 - SITE'!$B:BF,57,FALSE),"N/A")</f>
        <v>N/A</v>
      </c>
      <c r="FG104" s="84" t="str">
        <f>IFERROR(VLOOKUP($B104,'LOD 400 - SITE'!$B:BI,60,FALSE),"N/A")</f>
        <v>N/A</v>
      </c>
      <c r="FH104" s="84" t="str">
        <f>IFERROR(VLOOKUP($B104,'LOD 400 - SITE'!$B:BL,63,FALSE),"N/A")</f>
        <v>N/A</v>
      </c>
      <c r="FI104" s="84" t="str">
        <f>IFERROR(VLOOKUP($B104,'LOD 400 - SITE'!$B:BO,66,FALSE),"N/A")</f>
        <v>N/A</v>
      </c>
      <c r="FJ104" s="84" t="str">
        <f>IFERROR(VLOOKUP($B104,'LOD 400 - SITE'!$B:BR,69,FALSE),"N/A")</f>
        <v>N/A</v>
      </c>
      <c r="FK104" s="84" t="str">
        <f>IFERROR(VLOOKUP($B104,'LOD 400 - SITE'!$B:BU,72,FALSE),"N/A")</f>
        <v>N/A</v>
      </c>
      <c r="FL104" s="84" t="str">
        <f>IFERROR(VLOOKUP($B104,'LOD 400 - SITE'!$B:BX,75,FALSE),"N/A")</f>
        <v>N/A</v>
      </c>
      <c r="FM104" s="84" t="str">
        <f>IFERROR(VLOOKUP($B104,'LOD 400 - SITE'!$B:CA,78,FALSE),"N/A")</f>
        <v>N/A</v>
      </c>
      <c r="FN104" s="85" t="str">
        <f>IFERROR(VLOOKUP($B104,'LOD 400 - SITE'!$B:CD,81,FALSE),"N/A")</f>
        <v>N/A</v>
      </c>
      <c r="FO104" s="84" t="str">
        <f>IFERROR(VLOOKUP($B104,'LOD 400 - SITE'!$B:CG,84,FALSE),"N/A")</f>
        <v>N/A</v>
      </c>
      <c r="FP104" s="85" t="str">
        <f>IFERROR(VLOOKUP($B104,'LOD 400 - SITE'!$B:CJ,87,FALSE),"N/A")</f>
        <v>N/A</v>
      </c>
      <c r="FQ104" s="84" t="str">
        <f>IFERROR(VLOOKUP($B104,'LOD 400 - SITE'!$B:CM,90,FALSE),"N/A")</f>
        <v>N/A</v>
      </c>
      <c r="FR104" s="84" t="str">
        <f>IFERROR(VLOOKUP($B104,'LOD 400 - SITE'!$B:CP,93,FALSE),"N/A")</f>
        <v>N/A</v>
      </c>
      <c r="FS104" s="84" t="str">
        <f>IFERROR(VLOOKUP($B104,'LOD 400 - SITE'!$B:CS,96,FALSE),"N/A")</f>
        <v>N/A</v>
      </c>
      <c r="FT104" s="84" t="str">
        <f>IFERROR(VLOOKUP($B104,'LOD 400 - SITE'!$B:CV,99,FALSE),"N/A")</f>
        <v>N/A</v>
      </c>
      <c r="FU104" s="84" t="str">
        <f>IFERROR(VLOOKUP($B104,'LOD 400 - SITE'!$B:CY,102,FALSE),"N/A")</f>
        <v>N/A</v>
      </c>
      <c r="FV104" s="84" t="str">
        <f>IFERROR(VLOOKUP($B104,'LOD 400 - SITE'!$B:DB,105,FALSE),"N/A")</f>
        <v>N/A</v>
      </c>
      <c r="FW104" s="84" t="str">
        <f>IFERROR(VLOOKUP($B104,'LOD 400 - SITE'!$B:DE,108,FALSE),"N/A")</f>
        <v>N/A</v>
      </c>
      <c r="FX104" s="84" t="str">
        <f>IFERROR(VLOOKUP($B104,'LOD 400 - SITE'!$B:DH,111,FALSE),"N/A")</f>
        <v>N/A</v>
      </c>
      <c r="FY104" s="84" t="str">
        <f>IFERROR(VLOOKUP($B104,'LOD 400 - SITE'!$B:DK,114,FALSE),"N/A")</f>
        <v>N/A</v>
      </c>
      <c r="FZ104" s="96" t="str">
        <f>IFERROR(__xludf.DUMMYFUNCTION("IFERROR(
  MAX(FILTER(ES104:FY104, ISNUMBER(ES104:FY104))),
  FY104
)"),"N/A")</f>
        <v>N/A</v>
      </c>
      <c r="GA104" s="80" t="str">
        <f>IFERROR(VLOOKUP($B104,'LOD 400 - UTLS'!B:S,18,FALSE),"N/A")</f>
        <v>N/A</v>
      </c>
      <c r="GB104" s="98" t="str">
        <f>IFERROR(VLOOKUP($B104,'LOD 400 - UTLS'!B:V,21,FALSE),"N/A")</f>
        <v>N/A</v>
      </c>
      <c r="GC104" s="81" t="str">
        <f>IFERROR(VLOOKUP($B104,'LOD 400 - UTLS'!B:Y,24,FALSE),"N/A")</f>
        <v>N/A</v>
      </c>
      <c r="GD104" s="87" t="str">
        <f>IFERROR(VLOOKUP($B104,'LOD 400 - UTLS'!$B:AB,27,FALSE),"N/A")</f>
        <v>N/A</v>
      </c>
      <c r="GE104" s="80" t="str">
        <f>IFERROR(VLOOKUP($B104,'LOD 400 - UTLS'!$B:AE,30,FALSE),"N/A")</f>
        <v>N/A</v>
      </c>
      <c r="GF104" s="82" t="str">
        <f>IFERROR(VLOOKUP($B104,'LOD 400 - UTLS'!$B:AH,33,FALSE),"N/A")</f>
        <v>N/A</v>
      </c>
      <c r="GG104" s="88" t="str">
        <f>IFERROR(VLOOKUP($B104,'LOD 400 - UTLS'!$B:AK,36,FALSE),"N/A")</f>
        <v>N/A</v>
      </c>
      <c r="GH104" s="84" t="str">
        <f>IFERROR(VLOOKUP($B104,'LOD 400 - UTLS'!$B:AN,39,FALSE),"N/A")</f>
        <v>N/A</v>
      </c>
      <c r="GI104" s="84" t="str">
        <f>IFERROR(VLOOKUP($B104,'LOD 400 - UTLS'!$B:AQ,42,FALSE),"N/A")</f>
        <v>N/A</v>
      </c>
      <c r="GJ104" s="84" t="str">
        <f>IFERROR(VLOOKUP($B104,'LOD 400 - UTLS'!$B:AT,45,FALSE),"N/A")</f>
        <v>N/A</v>
      </c>
      <c r="GK104" s="84" t="str">
        <f>IFERROR(VLOOKUP($B104,'LOD 400 - UTLS'!$B:AW,48,FALSE),"N/A")</f>
        <v>N/A</v>
      </c>
      <c r="GL104" s="84" t="str">
        <f>IFERROR(VLOOKUP($B104,'LOD 400 - UTLS'!$B:AZ,51,FALSE),"N/A")</f>
        <v>N/A</v>
      </c>
      <c r="GM104" s="84" t="str">
        <f>IFERROR(VLOOKUP($B104,'LOD 400 - UTLS'!$B:BC,54,FALSE),"N/A")</f>
        <v>N/A</v>
      </c>
      <c r="GN104" s="84" t="str">
        <f>IFERROR(VLOOKUP($B104,'LOD 400 - UTLS'!$B:BF,57,FALSE),"N/A")</f>
        <v>N/A</v>
      </c>
      <c r="GO104" s="84" t="str">
        <f>IFERROR(VLOOKUP($B104,'LOD 400 - UTLS'!$B:BI,60,FALSE),"N/A")</f>
        <v>N/A</v>
      </c>
      <c r="GP104" s="84" t="str">
        <f>IFERROR(VLOOKUP($B104,'LOD 400 - UTLS'!$B:BL,63,FALSE),"N/A")</f>
        <v>N/A</v>
      </c>
      <c r="GQ104" s="84" t="str">
        <f>IFERROR(VLOOKUP($B104,'LOD 400 - UTLS'!$B:BO,66,FALSE),"N/A")</f>
        <v>N/A</v>
      </c>
      <c r="GR104" s="84" t="str">
        <f>IFERROR(VLOOKUP($B104,'LOD 400 - UTLS'!$B:BR,69,FALSE),"N/A")</f>
        <v>N/A</v>
      </c>
      <c r="GS104" s="85" t="str">
        <f>IFERROR(VLOOKUP($B104,'LOD 400 - UTLS'!$B:BU,72,FALSE),"N/A")</f>
        <v>N/A</v>
      </c>
      <c r="GT104" s="84" t="str">
        <f>IFERROR(VLOOKUP($B104,'LOD 400 - UTLS'!$B:BX,75,FALSE),"N/A")</f>
        <v>N/A</v>
      </c>
      <c r="GU104" s="85" t="str">
        <f>IFERROR(VLOOKUP($B104,'LOD 400 - UTLS'!$B:CA,78,FALSE),"N/A")</f>
        <v>N/A</v>
      </c>
      <c r="GV104" s="84" t="str">
        <f>IFERROR(VLOOKUP($B104,'LOD 400 - UTLS'!$B:CD,81,FALSE),"N/A")</f>
        <v>N/A</v>
      </c>
      <c r="GW104" s="84" t="str">
        <f>IFERROR(VLOOKUP($B104,'LOD 400 - UTLS'!$B:CG,84,FALSE),"N/A")</f>
        <v>N/A</v>
      </c>
      <c r="GX104" s="84" t="str">
        <f>IFERROR(VLOOKUP($B104,'LOD 400 - UTLS'!$B:CJ,87,FALSE),"N/A")</f>
        <v>N/A</v>
      </c>
      <c r="GY104" s="84" t="str">
        <f>IFERROR(VLOOKUP($B104,'LOD 400 - UTLS'!$B:CM,90,FALSE),"N/A")</f>
        <v>N/A</v>
      </c>
      <c r="GZ104" s="84" t="str">
        <f>IFERROR(VLOOKUP($B104,'LOD 400 - UTLS'!$B:CP,93,FALSE),"N/A")</f>
        <v>N/A</v>
      </c>
      <c r="HA104" s="84" t="str">
        <f>IFERROR(VLOOKUP($B104,'LOD 400 - UTLS'!$B:CS,96,FALSE),"N/A")</f>
        <v>N/A</v>
      </c>
      <c r="HB104" s="84" t="str">
        <f>IFERROR(VLOOKUP($B104,'LOD 400 - UTLS'!$B:CV,99,FALSE),"N/A")</f>
        <v>N/A</v>
      </c>
      <c r="HC104" s="84" t="str">
        <f>IFERROR(VLOOKUP($B104,'LOD 400 - UTLS'!$B:CY,102,FALSE),"N/A")</f>
        <v>N/A</v>
      </c>
      <c r="HD104" s="84" t="str">
        <f>IFERROR(VLOOKUP($B104,'LOD 400 - UTLS'!$B:DB,105,FALSE),"N/A")</f>
        <v>N/A</v>
      </c>
      <c r="HE104" s="96" t="str">
        <f>IFERROR(__xludf.DUMMYFUNCTION("IFERROR(
  MAX(FILTER(GA104:HD104, ISNUMBER(GA104:HD104))),
  HD104
)"),"N/A")</f>
        <v>N/A</v>
      </c>
      <c r="HF104" s="99"/>
      <c r="HG104" s="99"/>
      <c r="HH104" s="99"/>
      <c r="HI104" s="99"/>
      <c r="HJ104" s="99"/>
      <c r="HK104" s="99"/>
    </row>
    <row r="105" ht="15.0" customHeight="1" outlineLevel="1">
      <c r="A105" s="53">
        <v>109.0</v>
      </c>
      <c r="B105" s="100" t="s">
        <v>294</v>
      </c>
      <c r="C105" s="100" t="s">
        <v>294</v>
      </c>
      <c r="D105" s="64" t="str">
        <f t="shared" si="17"/>
        <v>COL5</v>
      </c>
      <c r="E105" s="111" t="s">
        <v>289</v>
      </c>
      <c r="F105" s="102">
        <v>1125.0</v>
      </c>
      <c r="G105" s="103" t="s">
        <v>289</v>
      </c>
      <c r="H105" s="104">
        <v>1125.0</v>
      </c>
      <c r="I105" s="68" t="str">
        <f>IFERROR(VLOOKUP($C102:C108,'R22 RELATÓRIO ACC'!B:F,5,FALSE),"NOT PUBLISHED")</f>
        <v>V6</v>
      </c>
      <c r="J105" s="69" t="str">
        <f>IFERROR(VLOOKUP($C102:C108,'R22 RELATÓRIO ACC'!B:P,15,FALSE),"NOT PUBLISHED")</f>
        <v>07/11/2025</v>
      </c>
      <c r="K105" s="70" t="str">
        <f>IFERROR(VLOOKUP($B102:B108,'RELATÓRIO ACC'!B:F,5,FALSE),"NOT PUBLISHED")</f>
        <v>V1</v>
      </c>
      <c r="L105" s="71" t="str">
        <f>IFERROR(VLOOKUP($B102:B108,'RELATÓRIO ACC'!B:P,15,FALSE),"NOT PUBLISHED")</f>
        <v>21/05/2026</v>
      </c>
      <c r="M105" s="72" t="str">
        <f>IF(OR($D105="UTLS",$D105="GUAR",$D105="STIR",$D105="PUMP",$D105="SITE"),
   VLOOKUP($B105,'LOD 400 - SITE'!B:M,12,FALSE),
   VLOOKUP($B105,'LOD 400 - ADMN'!B:M,12,FALSE)
)</f>
        <v>N/A</v>
      </c>
      <c r="N105" s="105" t="str">
        <f>IF(OR($D105="UTLS",$D105="GUAR",$D105="STIR",$D105="PUMP",$D105="SITE"),
   VLOOKUP($B105,'LOD 400 - SITE'!B:N,13,FALSE),
   VLOOKUP($B105,'LOD 400 - ADMN'!B:N,13,FALSE)
)</f>
        <v>N/A</v>
      </c>
      <c r="O105" s="106" t="str">
        <f>IF(OR($D105="UTLS",$D105="GUAR",$D105="STIR",$D105="PUMP",$D105="SITE"),
   VLOOKUP($B105,'LOD 400 - SITE'!B:O,14,FALSE),
   VLOOKUP($B105,'LOD 400 - ADMN'!B:O,14,FALSE)
)</f>
        <v>N/A</v>
      </c>
      <c r="P105" s="107" t="str">
        <f>IF(OR($D105="C345",$D105="C12A",$D105="DATA"),
   VLOOKUP($B105,'LOD 400 - COLO3'!B:M,12,FALSE),"N/A")</f>
        <v>N/A</v>
      </c>
      <c r="Q105" s="108" t="str">
        <f>IF(OR($D105="C345",$D105="C12A",$D105="DATA"),
   VLOOKUP($B105,'LOD 400 - COLO3'!B:N,13,FALSE),"N/A")</f>
        <v>N/A</v>
      </c>
      <c r="R105" s="75" t="str">
        <f>IF(OR($D105="C345",$D105="C12A",$D105="DATA"),
   VLOOKUP($B105,'LOD 400 - COLO3'!B:O,14,FALSE),"N/A")</f>
        <v>N/A</v>
      </c>
      <c r="S105" s="76" t="str">
        <f>IF(OR($D105="C345",$D105="C12A",$D105="DATA"),
   VLOOKUP($B105,'LOD 400 - COLO4'!B:N,12,FALSE),"N/A")</f>
        <v>N/A</v>
      </c>
      <c r="T105" s="76" t="str">
        <f>IF(OR($D105="C345",$D105="C12A",$D105="DATA"),
   VLOOKUP($B105,'LOD 400 - COLO4'!B:N,13,FALSE),"N/A")</f>
        <v>N/A</v>
      </c>
      <c r="U105" s="76" t="str">
        <f>IF(OR($D105="C345",$D105="C12A",$D105="DATA"),
   VLOOKUP($B105,'LOD 400 - COLO4'!B:N,13,FALSE),"N/A")</f>
        <v>N/A</v>
      </c>
      <c r="V105" s="77" t="str">
        <f>IF(OR($D105="UTLS",$D105="GUAR",$D105="STIR",$D105="PUMP",$D105="SITE"),
   VLOOKUP($B105,'LOD 400 - UTLS'!B:M,12,FALSE),"N/A")</f>
        <v>N/A</v>
      </c>
      <c r="W105" s="78" t="str">
        <f>IF(OR($D105="UTLS",$D105="GUAR",$D105="STIR",$D105="PUMP",$D105="SITE"),
   VLOOKUP($B105,'LOD 400 - UTLS'!B:N,13,FALSE),"N/A")</f>
        <v>N/A</v>
      </c>
      <c r="X105" s="108" t="str">
        <f>IF(OR($D105="UTLS",$D105="GUAR",$D105="STIR",$D105="PUMP",$D105="SITE"),
   VLOOKUP($B105,'LOD 400 - UTLS'!B:O,14,FALSE),"N/A")</f>
        <v>N/A</v>
      </c>
      <c r="Y105" s="79" t="str">
        <f>IFERROR(VLOOKUP($B105,'LOD 400 - ADMN'!B:S,18,FALSE),"N/A")</f>
        <v>N/A</v>
      </c>
      <c r="Z105" s="79" t="str">
        <f>IFERROR(VLOOKUP($B105,'LOD 400 - ADMN'!B:V,21,FALSE),"N/A")</f>
        <v>N/A</v>
      </c>
      <c r="AA105" s="79" t="str">
        <f>IFERROR(VLOOKUP($B105,'LOD 400 - ADMN'!$B:Y,24,FALSE),"N/A")</f>
        <v>N/A</v>
      </c>
      <c r="AB105" s="80" t="str">
        <f>IFERROR(VLOOKUP($B105,'LOD 400 - ADMN'!$B:AB,27,FALSE),"N/A")</f>
        <v>N/A</v>
      </c>
      <c r="AC105" s="81" t="str">
        <f>IFERROR(VLOOKUP($B105,'LOD 400 - ADMN'!$B:AE,30,FALSE),"N/A")</f>
        <v>N/A</v>
      </c>
      <c r="AD105" s="81" t="str">
        <f>IFERROR(VLOOKUP($B105,'LOD 400 - ADMN'!$B:AH,33,FALSE),"N/A")</f>
        <v>N/A</v>
      </c>
      <c r="AE105" s="80" t="str">
        <f>IFERROR(VLOOKUP($B105,'LOD 400 - ADMN'!$B:AK,36,FALSE),"N/A")</f>
        <v>N/A</v>
      </c>
      <c r="AF105" s="82" t="str">
        <f>IFERROR(VLOOKUP($B105,'LOD 400 - ADMN'!$B:AN,39,FALSE),"N/A")</f>
        <v>N/A</v>
      </c>
      <c r="AG105" s="83" t="str">
        <f>IFERROR(VLOOKUP($B105,'LOD 400 - ADMN'!$B:AQ,42,FALSE),"N/A")</f>
        <v>N/A</v>
      </c>
      <c r="AH105" s="84" t="str">
        <f>IFERROR(VLOOKUP($B105,'LOD 400 - ADMN'!$B:AT,45,FALSE),"N/A")</f>
        <v>N/A</v>
      </c>
      <c r="AI105" s="85" t="str">
        <f>IFERROR(VLOOKUP($B105,'LOD 400 - ADMN'!$B:AW,48,FALSE),"N/A")</f>
        <v>N/A</v>
      </c>
      <c r="AJ105" s="85" t="str">
        <f>IFERROR(VLOOKUP($B105,'LOD 400 - ADMN'!$B:AZ,51,FALSE),"N/A")</f>
        <v>N/A</v>
      </c>
      <c r="AK105" s="84" t="str">
        <f>IFERROR(VLOOKUP($B105,'LOD 400 - ADMN'!$B:BC,54,FALSE),"N/A")</f>
        <v>N/A</v>
      </c>
      <c r="AL105" s="84" t="str">
        <f>IFERROR(VLOOKUP($B105,'LOD 400 - ADMN'!$B:BF,57,FALSE),"N/A")</f>
        <v>N/A</v>
      </c>
      <c r="AM105" s="84" t="str">
        <f>IFERROR(VLOOKUP($B105,'LOD 400 - ADMN'!$B:BI,60,FALSE),"N/A")</f>
        <v>N/A</v>
      </c>
      <c r="AN105" s="84" t="str">
        <f>IFERROR(VLOOKUP($B105,'LOD 400 - ADMN'!$B:BL,63,FALSE),"N/A")</f>
        <v>N/A</v>
      </c>
      <c r="AO105" s="84" t="str">
        <f>IFERROR(VLOOKUP($B105,'LOD 400 - ADMN'!$B:BO,66,FALSE),"N/A")</f>
        <v>N/A</v>
      </c>
      <c r="AP105" s="84" t="str">
        <f>IFERROR(VLOOKUP($B105,'LOD 400 - ADMN'!$B:BR,69,FALSE),"N/A")</f>
        <v>N/A</v>
      </c>
      <c r="AQ105" s="84" t="str">
        <f>IFERROR(VLOOKUP($B105,'LOD 400 - ADMN'!$B:BU,72,FALSE),"N/A")</f>
        <v>N/A</v>
      </c>
      <c r="AR105" s="84" t="str">
        <f>IFERROR(VLOOKUP($B105,'LOD 400 - ADMN'!$B:BX,75,FALSE),"N/A")</f>
        <v>N/A</v>
      </c>
      <c r="AS105" s="84" t="str">
        <f>IFERROR(VLOOKUP($B105,'LOD 400 - ADMN'!$B:CA,78,FALSE),"N/A")</f>
        <v>N/A</v>
      </c>
      <c r="AT105" s="84" t="str">
        <f>IFERROR(VLOOKUP($B105,'LOD 400 - ADMN'!$B:CD,81,FALSE),"N/A")</f>
        <v>N/A</v>
      </c>
      <c r="AU105" s="85" t="str">
        <f>IFERROR(VLOOKUP($B105,'LOD 400 - ADMN'!$B:CG,84,FALSE),"N/A")</f>
        <v>N/A</v>
      </c>
      <c r="AV105" s="84" t="str">
        <f>IFERROR(VLOOKUP($B105,'LOD 400 - ADMN'!$B:CJ,87,FALSE),"N/A")</f>
        <v>N/A</v>
      </c>
      <c r="AW105" s="85" t="str">
        <f>IFERROR(VLOOKUP($B105,'LOD 400 - ADMN'!$B:CM,90,FALSE),"N/A")</f>
        <v>N/A</v>
      </c>
      <c r="AX105" s="84" t="str">
        <f>IFERROR(VLOOKUP($B105,'LOD 400 - ADMN'!$B:CP,93,FALSE),"N/A")</f>
        <v>N/A</v>
      </c>
      <c r="AY105" s="84" t="str">
        <f>IFERROR(VLOOKUP($B105,'LOD 400 - ADMN'!$B:CS,96,FALSE),"N/A")</f>
        <v>N/A</v>
      </c>
      <c r="AZ105" s="84" t="str">
        <f>IFERROR(VLOOKUP($B105,'LOD 400 - ADMN'!$B:CV,99,FALSE),"N/A")</f>
        <v>N/A</v>
      </c>
      <c r="BA105" s="84" t="str">
        <f>IFERROR(VLOOKUP($B105,'LOD 400 - ADMN'!$B:CY,102,FALSE),"N/A")</f>
        <v>N/A</v>
      </c>
      <c r="BB105" s="84" t="str">
        <f>IFERROR(VLOOKUP($B105,'LOD 400 - ADMN'!$B:DB,105,FALSE),"N/A")</f>
        <v>N/A</v>
      </c>
      <c r="BC105" s="84" t="str">
        <f>IFERROR(VLOOKUP($B105,'LOD 400 - ADMN'!$B:DE,108,FALSE),"N/A")</f>
        <v>N/A</v>
      </c>
      <c r="BD105" s="84" t="str">
        <f>IFERROR(VLOOKUP($B105,'LOD 400 - ADMN'!$B:DH,111,FALSE),"N/A")</f>
        <v>N/A</v>
      </c>
      <c r="BE105" s="84" t="str">
        <f>IFERROR(VLOOKUP($B105,'LOD 400 - ADMN'!$B:DK,114,FALSE),"N/A")</f>
        <v>N/A</v>
      </c>
      <c r="BF105" s="84" t="str">
        <f>IFERROR(VLOOKUP($B105,'LOD 400 - ADMN'!$B:DN,117,FALSE),"N/A")</f>
        <v>N/A</v>
      </c>
      <c r="BG105" s="86" t="str">
        <f>IFERROR(__xludf.DUMMYFUNCTION("IFERROR(
  MAX(FILTER(Y105:BF105, ISNUMBER(Y105:BF105))),
  BF105
)"),"N/A")</f>
        <v>N/A</v>
      </c>
      <c r="BH105" s="79" t="str">
        <f>IFERROR(VLOOKUP($B105,'LOD 400 - COLO1'!B:S,18,FALSE),"N/A")</f>
        <v>N/A</v>
      </c>
      <c r="BI105" s="79" t="str">
        <f>IFERROR(VLOOKUP($B105,'LOD 400 - COLO1'!B:V,21,FALSE),"N/A")</f>
        <v>N/A</v>
      </c>
      <c r="BJ105" s="79" t="str">
        <f>IFERROR(VLOOKUP($B105,'LOD 400 - COLO1'!$B:Y,24,FALSE),"N/A")</f>
        <v>N/A</v>
      </c>
      <c r="BK105" s="87" t="str">
        <f>IFERROR(VLOOKUP($B105,'LOD 400 - COLO1'!$B:AB,27,FALSE),"N/A")</f>
        <v>N/A</v>
      </c>
      <c r="BL105" s="80" t="str">
        <f>IFERROR(VLOOKUP($B105,'LOD 400 - COLO1'!$B:AE,30,FALSE),"N/A")</f>
        <v>N/A</v>
      </c>
      <c r="BM105" s="81" t="str">
        <f>IFERROR(VLOOKUP($B105,'LOD 400 - COLO1'!$B:AH,33,FALSE),"N/A")</f>
        <v>N/A</v>
      </c>
      <c r="BN105" s="87" t="str">
        <f>IFERROR(VLOOKUP($B105,'LOD 400 - COLO1'!$B:AK,36,FALSE),"N/A")</f>
        <v>N/A</v>
      </c>
      <c r="BO105" s="83" t="str">
        <f>IFERROR(VLOOKUP($B105,'LOD 400 - COLO1'!$B:AN,39,FALSE),"N/A")</f>
        <v>N/A</v>
      </c>
      <c r="BP105" s="88" t="str">
        <f>IFERROR(VLOOKUP($B105,'LOD 400 - COLO1'!$B:AQ,42,FALSE),"N/A")</f>
        <v>N/A</v>
      </c>
      <c r="BQ105" s="84" t="str">
        <f>IFERROR(VLOOKUP($B105,'LOD 400 - COLO1'!$B:AT,45,FALSE),"N/A")</f>
        <v>N/A</v>
      </c>
      <c r="BR105" s="85" t="str">
        <f>IFERROR(VLOOKUP($B105,'LOD 400 - COLO1'!$B:AW,48,FALSE),"N/A")</f>
        <v>N/A</v>
      </c>
      <c r="BS105" s="84" t="str">
        <f>IFERROR(VLOOKUP($B105,'LOD 400 - COLO1'!$B:AZ,51,FALSE),"N/A")</f>
        <v>N/A</v>
      </c>
      <c r="BT105" s="84" t="str">
        <f>IFERROR(VLOOKUP($B105,'LOD 400 - COLO1'!$B:BC,54,FALSE),"N/A")</f>
        <v>N/A</v>
      </c>
      <c r="BU105" s="84" t="str">
        <f>IFERROR(VLOOKUP($B105,'LOD 400 - COLO1'!$B:BF,57,FALSE),"N/A")</f>
        <v>N/A</v>
      </c>
      <c r="BV105" s="84" t="str">
        <f>IFERROR(VLOOKUP($B105,'LOD 400 - COLO1'!$B:BI,60,FALSE),"N/A")</f>
        <v>N/A</v>
      </c>
      <c r="BW105" s="84" t="str">
        <f>IFERROR(VLOOKUP($B105,'LOD 400 - COLO1'!$B:BL,63,FALSE),"N/A")</f>
        <v>N/A</v>
      </c>
      <c r="BX105" s="84" t="str">
        <f>IFERROR(VLOOKUP($B105,'LOD 400 - COLO1'!$B:BO,66,FALSE),"N/A")</f>
        <v>N/A</v>
      </c>
      <c r="BY105" s="84" t="str">
        <f>IFERROR(VLOOKUP($B105,'LOD 400 - COLO1'!$B:BR,69,FALSE),"N/A")</f>
        <v>N/A</v>
      </c>
      <c r="BZ105" s="84" t="str">
        <f>IFERROR(VLOOKUP($B105,'LOD 400 - COLO1'!$B:BU,72,FALSE),"N/A")</f>
        <v>N/A</v>
      </c>
      <c r="CA105" s="84" t="str">
        <f>IFERROR(VLOOKUP($B105,'LOD 400 - COLO1'!$B:BX,75,FALSE),"N/A")</f>
        <v>N/A</v>
      </c>
      <c r="CB105" s="84" t="str">
        <f>IFERROR(VLOOKUP($B105,'LOD 400 - COLO1'!$B:CA,78,FALSE),"N/A")</f>
        <v>N/A</v>
      </c>
      <c r="CC105" s="84" t="str">
        <f>IFERROR(VLOOKUP($B105,'LOD 400 - COLO1'!$B:CD,81,FALSE),"N/A")</f>
        <v>N/A</v>
      </c>
      <c r="CD105" s="85" t="str">
        <f>IFERROR(VLOOKUP($B105,'LOD 400 - COLO1'!$B:CG,84,FALSE),"N/A")</f>
        <v>N/A</v>
      </c>
      <c r="CE105" s="84" t="str">
        <f>IFERROR(VLOOKUP($B105,'LOD 400 - COLO1'!$B:CJ,87,FALSE),"N/A")</f>
        <v>N/A</v>
      </c>
      <c r="CF105" s="85" t="str">
        <f>IFERROR(VLOOKUP($B105,'LOD 400 - COLO1'!$B:CM,90,FALSE),"N/A")</f>
        <v>N/A</v>
      </c>
      <c r="CG105" s="84" t="str">
        <f>IFERROR(VLOOKUP($B105,'LOD 400 - COLO1'!$B:CP,93,FALSE),"N/A")</f>
        <v>N/A</v>
      </c>
      <c r="CH105" s="84" t="str">
        <f>IFERROR(VLOOKUP($B105,'LOD 400 - COLO1'!$B:CS,96,FALSE),"N/A")</f>
        <v>N/A</v>
      </c>
      <c r="CI105" s="84" t="str">
        <f>IFERROR(VLOOKUP($B105,'LOD 400 - COLO1'!$B:CV,99,FALSE),"N/A")</f>
        <v>N/A</v>
      </c>
      <c r="CJ105" s="84" t="str">
        <f>IFERROR(VLOOKUP($B105,'LOD 400 - COLO1'!$B:CY,102,FALSE),"N/A")</f>
        <v>N/A</v>
      </c>
      <c r="CK105" s="84" t="str">
        <f>IFERROR(VLOOKUP($B105,'LOD 400 - COLO1'!$B:DB,105,FALSE),"N/A")</f>
        <v>N/A</v>
      </c>
      <c r="CL105" s="84" t="str">
        <f>IFERROR(VLOOKUP($B105,'LOD 400 - COLO1'!$B:DE,108,FALSE),"N/A")</f>
        <v>N/A</v>
      </c>
      <c r="CM105" s="84" t="str">
        <f>IFERROR(VLOOKUP($B105,'LOD 400 - COLO1'!$B:DH,111,FALSE),"N/A")</f>
        <v>N/A</v>
      </c>
      <c r="CN105" s="84" t="str">
        <f>IFERROR(VLOOKUP($B105,'LOD 400 - COLO1'!$B:DK,114,FALSE),"N/A")</f>
        <v>N/A</v>
      </c>
      <c r="CO105" s="84" t="str">
        <f>IFERROR(VLOOKUP($B105,'LOD 400 - COLO1'!$B:DN,117,FALSE),"N/A")</f>
        <v>N/A</v>
      </c>
      <c r="CP105" s="86" t="str">
        <f>IFERROR(__xludf.DUMMYFUNCTION("IFERROR(
  MAX(FILTER(BH105:CO105, ISNUMBER(BH105:CO105))),
  CO105
)"),"N/A")</f>
        <v>N/A</v>
      </c>
      <c r="CQ105" s="89" t="str">
        <f>IFERROR(VLOOKUP($B105,'LOD 400 - COLO2'!B:S,18,FALSE),"N/A")</f>
        <v>N/A</v>
      </c>
      <c r="CR105" s="79" t="str">
        <f>IFERROR(VLOOKUP($B105,'LOD 400 - COLO2'!B:V,21,FALSE),"N/A")</f>
        <v>N/A</v>
      </c>
      <c r="CS105" s="79" t="str">
        <f>IFERROR(VLOOKUP($B105,'LOD 400 - COLO2'!$B:Y,24,FALSE),"N/A")</f>
        <v>N/A</v>
      </c>
      <c r="CT105" s="80" t="str">
        <f>IFERROR(VLOOKUP($B105,'LOD 400 - COLO2'!$B:DQ,27,FALSE),"N/A")</f>
        <v>N/A</v>
      </c>
      <c r="CU105" s="90" t="str">
        <f>IFERROR(VLOOKUP($B105,'LOD 400 - COLO2'!$B:AE,30,FALSE),"N/A")</f>
        <v>N/A</v>
      </c>
      <c r="CV105" s="81" t="str">
        <f>IFERROR(VLOOKUP($B105,'LOD 400 - COLO2'!$B:AH,33,FALSE),"N/A")</f>
        <v>N/A</v>
      </c>
      <c r="CW105" s="90" t="str">
        <f>IFERROR(VLOOKUP($B105,'LOD 400 - COLO2'!$B:AK,36,FALSE),"N/A")</f>
        <v>N/A</v>
      </c>
      <c r="CX105" s="85" t="str">
        <f>IFERROR(VLOOKUP($B105,'LOD 400 - COLO2'!$B:AN,39,FALSE),"N/A")</f>
        <v>N/A</v>
      </c>
      <c r="CY105" s="88" t="str">
        <f>IFERROR(VLOOKUP($B105,'LOD 400 - COLO2'!$B:AQ,42,FALSE),"N/A")</f>
        <v>N/A</v>
      </c>
      <c r="CZ105" s="84" t="str">
        <f>IFERROR(VLOOKUP($B105,'LOD 400 - COLO2'!$B:AT,45,FALSE),"N/A")</f>
        <v>N/A</v>
      </c>
      <c r="DA105" s="85" t="str">
        <f>IFERROR(VLOOKUP($B105,'LOD 400 - COLO2'!$B:AW,48,FALSE),"N/A")</f>
        <v>N/A</v>
      </c>
      <c r="DB105" s="84" t="str">
        <f>IFERROR(VLOOKUP($B105,'LOD 400 - COLO2'!$B:AZ,51,FALSE),"N/A")</f>
        <v>N/A</v>
      </c>
      <c r="DC105" s="84" t="str">
        <f>IFERROR(VLOOKUP($B105,'LOD 400 - COLO2'!$B:BC,54,FALSE),"N/A")</f>
        <v>N/A</v>
      </c>
      <c r="DD105" s="84" t="str">
        <f>IFERROR(VLOOKUP($B105,'LOD 400 - COLO2'!$B:BF,57,FALSE),"N/A")</f>
        <v>N/A</v>
      </c>
      <c r="DE105" s="84" t="str">
        <f>IFERROR(VLOOKUP($B105,'LOD 400 - COLO2'!$B:BI,60,FALSE),"N/A")</f>
        <v>N/A</v>
      </c>
      <c r="DF105" s="84" t="str">
        <f>IFERROR(VLOOKUP($B105,'LOD 400 - COLO2'!$B:BL,63,FALSE),"N/A")</f>
        <v>N/A</v>
      </c>
      <c r="DG105" s="84" t="str">
        <f>IFERROR(VLOOKUP($B105,'LOD 400 - COLO2'!$B:BO,66,FALSE),"N/A")</f>
        <v>N/A</v>
      </c>
      <c r="DH105" s="84" t="str">
        <f>IFERROR(VLOOKUP($B105,'LOD 400 - COLO2'!$B:BR,69,FALSE),"N/A")</f>
        <v>N/A</v>
      </c>
      <c r="DI105" s="84" t="str">
        <f>IFERROR(VLOOKUP($B105,'LOD 400 - COLO2'!$B:BU,72,FALSE),"N/A")</f>
        <v>N/A</v>
      </c>
      <c r="DJ105" s="84" t="str">
        <f>IFERROR(VLOOKUP($B105,'LOD 400 - COLO2'!$B:BX,75,FALSE),"N/A")</f>
        <v>N/A</v>
      </c>
      <c r="DK105" s="84" t="str">
        <f>IFERROR(VLOOKUP($B105,'LOD 400 - COLO2'!$B:CA,78,FALSE),"N/A")</f>
        <v>N/A</v>
      </c>
      <c r="DL105" s="84" t="str">
        <f>IFERROR(VLOOKUP($B105,'LOD 400 - COLO2'!$B:CD,81,FALSE),"N/A")</f>
        <v>N/A</v>
      </c>
      <c r="DM105" s="85" t="str">
        <f>IFERROR(VLOOKUP($B105,'LOD 400 - COLO2'!$B:CG,84,FALSE),"N/A")</f>
        <v>N/A</v>
      </c>
      <c r="DN105" s="84" t="str">
        <f>IFERROR(VLOOKUP($B105,'LOD 400 - COLO2'!$B:CJ,87,FALSE),"N/A")</f>
        <v>N/A</v>
      </c>
      <c r="DO105" s="85" t="str">
        <f>IFERROR(VLOOKUP($B105,'LOD 400 - COLO2'!$B:CM,90,FALSE),"N/A")</f>
        <v>N/A</v>
      </c>
      <c r="DP105" s="84" t="str">
        <f>IFERROR(VLOOKUP($B105,'LOD 400 - COLO2'!$B:CP,93,FALSE),"N/A")</f>
        <v>N/A</v>
      </c>
      <c r="DQ105" s="84" t="str">
        <f>IFERROR(VLOOKUP($B105,'LOD 400 - COLO2'!$B:CS,96,FALSE),"N/A")</f>
        <v>N/A</v>
      </c>
      <c r="DR105" s="84" t="str">
        <f>IFERROR(VLOOKUP($B105,'LOD 400 - COLO2'!$B:CV,99,FALSE),"N/A")</f>
        <v>N/A</v>
      </c>
      <c r="DS105" s="84" t="str">
        <f>IFERROR(VLOOKUP($B105,'LOD 400 - COLO2'!$B:CY,102,FALSE),"N/A")</f>
        <v>N/A</v>
      </c>
      <c r="DT105" s="84" t="str">
        <f>IFERROR(VLOOKUP($B105,'LOD 400 - COLO2'!$B:DB,105,FALSE),"N/A")</f>
        <v>N/A</v>
      </c>
      <c r="DU105" s="84" t="str">
        <f>IFERROR(VLOOKUP($B105,'LOD 400 - COLO2'!$B:DE,108,FALSE),"N/A")</f>
        <v>N/A</v>
      </c>
      <c r="DV105" s="84" t="str">
        <f>IFERROR(VLOOKUP($B105,'LOD 400 - COLO2'!$B:DH,111,FALSE),"N/A")</f>
        <v>N/A</v>
      </c>
      <c r="DW105" s="84" t="str">
        <f>IFERROR(VLOOKUP($B105,'LOD 400 - COLO2'!$B:DK,114,FALSE),"N/A")</f>
        <v>N/A</v>
      </c>
      <c r="DX105" s="84" t="str">
        <f>IFERROR(VLOOKUP($B105,'LOD 400 - COLO2'!$B:DN,117,FALSE),"N/A")</f>
        <v>N/A</v>
      </c>
      <c r="DY105" s="91" t="str">
        <f>IFERROR(__xludf.DUMMYFUNCTION("IFERROR(
  MAX(FILTER(CQ105:DW105, ISNUMBER(CQ105:DW105))),
  DW105
)"),"N/A")</f>
        <v>N/A</v>
      </c>
      <c r="DZ105" s="92" t="str">
        <f>IFERROR(VLOOKUP($B105,'LOD 400 - COLO3'!B:S,18,FALSE),"N/A")</f>
        <v>N/A</v>
      </c>
      <c r="EA105" s="84" t="str">
        <f>IFERROR(VLOOKUP($B105,'LOD 400 - COLO3'!B:V,21,FALSE),"N/A")</f>
        <v>N/A</v>
      </c>
      <c r="EB105" s="84" t="str">
        <f>IFERROR(VLOOKUP($B105,'LOD 400 - COLO3'!B:Y,24,FALSE),"N/A")</f>
        <v>N/A</v>
      </c>
      <c r="EC105" s="84" t="str">
        <f>IFERROR(VLOOKUP($B105,'LOD 400 - COLO3'!B:AB,27,FALSE),"N/A")</f>
        <v>N/A</v>
      </c>
      <c r="ED105" s="85" t="str">
        <f>IFERROR(VLOOKUP($B105,'LOD 400 - COLO3'!B:AE,30,FALSE),"N/A")</f>
        <v>N/A</v>
      </c>
      <c r="EE105" s="84" t="str">
        <f>IFERROR(VLOOKUP($B105,'LOD 400 - COLO3'!B:AH,33,FALSE),"N/A")</f>
        <v>N/A</v>
      </c>
      <c r="EF105" s="84" t="str">
        <f>IFERROR(VLOOKUP($B105,'LOD 400 - COLO3'!B:AK,36,FALSE),"N/A")</f>
        <v>N/A</v>
      </c>
      <c r="EG105" s="109" t="str">
        <f>IFERROR(VLOOKUP($B105,'LOD 400 - COLO3'!B:AN,39,FALSE),"N/A")</f>
        <v>N/A</v>
      </c>
      <c r="EH105" s="94" t="str">
        <f>IFERROR(VLOOKUP($B105,'LOD 400 - COLO3'!B:AQ,42,FALSE),"N/A")</f>
        <v>N/A</v>
      </c>
      <c r="EI105" s="94" t="str">
        <f>IFERROR(VLOOKUP($B105,'LOD 400 - COLO3'!B:AT,45,FALSE),"N/A")</f>
        <v>N/A</v>
      </c>
      <c r="EJ105" s="94" t="str">
        <f>IFERROR(VLOOKUP($B105,'LOD 400 - COLO3'!B:AW,48,FALSE),"N/A")</f>
        <v>N/A</v>
      </c>
      <c r="EK105" s="94" t="str">
        <f>IFERROR(VLOOKUP($B105,'LOD 400 - COLO3'!B:AZ,51,FALSE),"N/A")</f>
        <v>N/A</v>
      </c>
      <c r="EL105" s="94" t="str">
        <f>IFERROR(VLOOKUP($B105,'LOD 400 - COLO3'!B:BC,54,FALSE),"N/A")</f>
        <v>N/A</v>
      </c>
      <c r="EM105" s="94" t="str">
        <f>IFERROR(VLOOKUP($B105,'LOD 400 - COLO3'!B:BF,57,FALSE),"N/A")</f>
        <v>N/A</v>
      </c>
      <c r="EN105" s="94" t="str">
        <f>IFERROR(VLOOKUP($B105,'LOD 400 - COLO3'!B:BI,60,FALSE),"N/A")</f>
        <v>N/A</v>
      </c>
      <c r="EO105" s="94" t="str">
        <f>IFERROR(VLOOKUP($B105,'LOD 400 - COLO3'!B:BL,63,FALSE),"N/A")</f>
        <v>N/A</v>
      </c>
      <c r="EP105" s="86" t="str">
        <f>IFERROR(__xludf.DUMMYFUNCTION("IFERROR(
  MAX(FILTER(DZ105:EO105, ISNUMBER(DZ105:EO105))),
  EO105
)"),"N/A")</f>
        <v>N/A</v>
      </c>
      <c r="EQ105" s="95">
        <f>IFERROR(VLOOKUP($B105,'LOD 400 - COLO4'!B:S,18,FALSE),"N/A")</f>
        <v>0</v>
      </c>
      <c r="ER105" s="96">
        <f>IFERROR(__xludf.DUMMYFUNCTION("IFERROR(
  MAX(FILTER(EQ105, ISNUMBER(EQ105))),
  EQ105
)"),0.0)</f>
        <v>0</v>
      </c>
      <c r="ES105" s="79" t="str">
        <f>IFERROR(VLOOKUP($B105,'LOD 400 - SITE'!B:S,18,FALSE),"N/A")</f>
        <v>N/A</v>
      </c>
      <c r="ET105" s="80" t="str">
        <f>IFERROR(VLOOKUP($B105,'LOD 400 - SITE'!B:V,21,FALSE),"N/A")</f>
        <v>N/A</v>
      </c>
      <c r="EU105" s="97" t="str">
        <f>IFERROR(VLOOKUP($B105,'LOD 400 - SITE'!$B:Y,24,FALSE),"N/A")</f>
        <v>N/A</v>
      </c>
      <c r="EV105" s="80" t="str">
        <f>IFERROR(VLOOKUP($B105,'LOD 400 - SITE'!$B:AB,27,FALSE),"N/A")</f>
        <v>N/A</v>
      </c>
      <c r="EW105" s="81" t="str">
        <f>IFERROR(VLOOKUP($B105,'LOD 400 - SITE'!$B:AE,30,FALSE),"N/A")</f>
        <v>N/A</v>
      </c>
      <c r="EX105" s="87" t="str">
        <f>IFERROR(VLOOKUP($B105,'LOD 400 - SITE'!$B:AH,33,FALSE),"N/A")</f>
        <v>N/A</v>
      </c>
      <c r="EY105" s="87" t="str">
        <f>IFERROR(VLOOKUP($B105,'LOD 400 - SITE'!$B:AK,36,FALSE),"N/A")</f>
        <v>N/A</v>
      </c>
      <c r="EZ105" s="80" t="str">
        <f>IFERROR(VLOOKUP($B105,'LOD 400 - SITE'!$B:AN,39,FALSE),"N/A")</f>
        <v>N/A</v>
      </c>
      <c r="FA105" s="82" t="str">
        <f>IFERROR(VLOOKUP($B105,'LOD 400 - SITE'!$B:AQ,42,FALSE),"N/A")</f>
        <v>N/A</v>
      </c>
      <c r="FB105" s="88" t="str">
        <f>IFERROR(VLOOKUP($B105,'LOD 400 - SITE'!$B:AT,45,FALSE),"N/A")</f>
        <v>N/A</v>
      </c>
      <c r="FC105" s="84" t="str">
        <f>IFERROR(VLOOKUP($B105,'LOD 400 - SITE'!$B:AW,48,FALSE),"N/A")</f>
        <v>N/A</v>
      </c>
      <c r="FD105" s="84" t="str">
        <f>IFERROR(VLOOKUP($B105,'LOD 400 - SITE'!$B:AZ,51,FALSE),"N/A")</f>
        <v>N/A</v>
      </c>
      <c r="FE105" s="84" t="str">
        <f>IFERROR(VLOOKUP($B105,'LOD 400 - SITE'!$B:BC,54,FALSE),"N/A")</f>
        <v>N/A</v>
      </c>
      <c r="FF105" s="84" t="str">
        <f>IFERROR(VLOOKUP($B105,'LOD 400 - SITE'!$B:BF,57,FALSE),"N/A")</f>
        <v>N/A</v>
      </c>
      <c r="FG105" s="84" t="str">
        <f>IFERROR(VLOOKUP($B105,'LOD 400 - SITE'!$B:BI,60,FALSE),"N/A")</f>
        <v>N/A</v>
      </c>
      <c r="FH105" s="84" t="str">
        <f>IFERROR(VLOOKUP($B105,'LOD 400 - SITE'!$B:BL,63,FALSE),"N/A")</f>
        <v>N/A</v>
      </c>
      <c r="FI105" s="84" t="str">
        <f>IFERROR(VLOOKUP($B105,'LOD 400 - SITE'!$B:BO,66,FALSE),"N/A")</f>
        <v>N/A</v>
      </c>
      <c r="FJ105" s="84" t="str">
        <f>IFERROR(VLOOKUP($B105,'LOD 400 - SITE'!$B:BR,69,FALSE),"N/A")</f>
        <v>N/A</v>
      </c>
      <c r="FK105" s="84" t="str">
        <f>IFERROR(VLOOKUP($B105,'LOD 400 - SITE'!$B:BU,72,FALSE),"N/A")</f>
        <v>N/A</v>
      </c>
      <c r="FL105" s="84" t="str">
        <f>IFERROR(VLOOKUP($B105,'LOD 400 - SITE'!$B:BX,75,FALSE),"N/A")</f>
        <v>N/A</v>
      </c>
      <c r="FM105" s="84" t="str">
        <f>IFERROR(VLOOKUP($B105,'LOD 400 - SITE'!$B:CA,78,FALSE),"N/A")</f>
        <v>N/A</v>
      </c>
      <c r="FN105" s="85" t="str">
        <f>IFERROR(VLOOKUP($B105,'LOD 400 - SITE'!$B:CD,81,FALSE),"N/A")</f>
        <v>N/A</v>
      </c>
      <c r="FO105" s="84" t="str">
        <f>IFERROR(VLOOKUP($B105,'LOD 400 - SITE'!$B:CG,84,FALSE),"N/A")</f>
        <v>N/A</v>
      </c>
      <c r="FP105" s="85" t="str">
        <f>IFERROR(VLOOKUP($B105,'LOD 400 - SITE'!$B:CJ,87,FALSE),"N/A")</f>
        <v>N/A</v>
      </c>
      <c r="FQ105" s="84" t="str">
        <f>IFERROR(VLOOKUP($B105,'LOD 400 - SITE'!$B:CM,90,FALSE),"N/A")</f>
        <v>N/A</v>
      </c>
      <c r="FR105" s="84" t="str">
        <f>IFERROR(VLOOKUP($B105,'LOD 400 - SITE'!$B:CP,93,FALSE),"N/A")</f>
        <v>N/A</v>
      </c>
      <c r="FS105" s="84" t="str">
        <f>IFERROR(VLOOKUP($B105,'LOD 400 - SITE'!$B:CS,96,FALSE),"N/A")</f>
        <v>N/A</v>
      </c>
      <c r="FT105" s="84" t="str">
        <f>IFERROR(VLOOKUP($B105,'LOD 400 - SITE'!$B:CV,99,FALSE),"N/A")</f>
        <v>N/A</v>
      </c>
      <c r="FU105" s="84" t="str">
        <f>IFERROR(VLOOKUP($B105,'LOD 400 - SITE'!$B:CY,102,FALSE),"N/A")</f>
        <v>N/A</v>
      </c>
      <c r="FV105" s="84" t="str">
        <f>IFERROR(VLOOKUP($B105,'LOD 400 - SITE'!$B:DB,105,FALSE),"N/A")</f>
        <v>N/A</v>
      </c>
      <c r="FW105" s="84" t="str">
        <f>IFERROR(VLOOKUP($B105,'LOD 400 - SITE'!$B:DE,108,FALSE),"N/A")</f>
        <v>N/A</v>
      </c>
      <c r="FX105" s="84" t="str">
        <f>IFERROR(VLOOKUP($B105,'LOD 400 - SITE'!$B:DH,111,FALSE),"N/A")</f>
        <v>N/A</v>
      </c>
      <c r="FY105" s="84" t="str">
        <f>IFERROR(VLOOKUP($B105,'LOD 400 - SITE'!$B:DK,114,FALSE),"N/A")</f>
        <v>N/A</v>
      </c>
      <c r="FZ105" s="96" t="str">
        <f>IFERROR(__xludf.DUMMYFUNCTION("IFERROR(
  MAX(FILTER(ES105:FY105, ISNUMBER(ES105:FY105))),
  FY105
)"),"N/A")</f>
        <v>N/A</v>
      </c>
      <c r="GA105" s="80" t="str">
        <f>IFERROR(VLOOKUP($B105,'LOD 400 - UTLS'!B:S,18,FALSE),"N/A")</f>
        <v>N/A</v>
      </c>
      <c r="GB105" s="98" t="str">
        <f>IFERROR(VLOOKUP($B105,'LOD 400 - UTLS'!B:V,21,FALSE),"N/A")</f>
        <v>N/A</v>
      </c>
      <c r="GC105" s="81" t="str">
        <f>IFERROR(VLOOKUP($B105,'LOD 400 - UTLS'!B:Y,24,FALSE),"N/A")</f>
        <v>N/A</v>
      </c>
      <c r="GD105" s="87" t="str">
        <f>IFERROR(VLOOKUP($B105,'LOD 400 - UTLS'!$B:AB,27,FALSE),"N/A")</f>
        <v>N/A</v>
      </c>
      <c r="GE105" s="80" t="str">
        <f>IFERROR(VLOOKUP($B105,'LOD 400 - UTLS'!$B:AE,30,FALSE),"N/A")</f>
        <v>N/A</v>
      </c>
      <c r="GF105" s="82" t="str">
        <f>IFERROR(VLOOKUP($B105,'LOD 400 - UTLS'!$B:AH,33,FALSE),"N/A")</f>
        <v>N/A</v>
      </c>
      <c r="GG105" s="88" t="str">
        <f>IFERROR(VLOOKUP($B105,'LOD 400 - UTLS'!$B:AK,36,FALSE),"N/A")</f>
        <v>N/A</v>
      </c>
      <c r="GH105" s="84" t="str">
        <f>IFERROR(VLOOKUP($B105,'LOD 400 - UTLS'!$B:AN,39,FALSE),"N/A")</f>
        <v>N/A</v>
      </c>
      <c r="GI105" s="84" t="str">
        <f>IFERROR(VLOOKUP($B105,'LOD 400 - UTLS'!$B:AQ,42,FALSE),"N/A")</f>
        <v>N/A</v>
      </c>
      <c r="GJ105" s="84" t="str">
        <f>IFERROR(VLOOKUP($B105,'LOD 400 - UTLS'!$B:AT,45,FALSE),"N/A")</f>
        <v>N/A</v>
      </c>
      <c r="GK105" s="84" t="str">
        <f>IFERROR(VLOOKUP($B105,'LOD 400 - UTLS'!$B:AW,48,FALSE),"N/A")</f>
        <v>N/A</v>
      </c>
      <c r="GL105" s="84" t="str">
        <f>IFERROR(VLOOKUP($B105,'LOD 400 - UTLS'!$B:AZ,51,FALSE),"N/A")</f>
        <v>N/A</v>
      </c>
      <c r="GM105" s="84" t="str">
        <f>IFERROR(VLOOKUP($B105,'LOD 400 - UTLS'!$B:BC,54,FALSE),"N/A")</f>
        <v>N/A</v>
      </c>
      <c r="GN105" s="84" t="str">
        <f>IFERROR(VLOOKUP($B105,'LOD 400 - UTLS'!$B:BF,57,FALSE),"N/A")</f>
        <v>N/A</v>
      </c>
      <c r="GO105" s="84" t="str">
        <f>IFERROR(VLOOKUP($B105,'LOD 400 - UTLS'!$B:BI,60,FALSE),"N/A")</f>
        <v>N/A</v>
      </c>
      <c r="GP105" s="84" t="str">
        <f>IFERROR(VLOOKUP($B105,'LOD 400 - UTLS'!$B:BL,63,FALSE),"N/A")</f>
        <v>N/A</v>
      </c>
      <c r="GQ105" s="84" t="str">
        <f>IFERROR(VLOOKUP($B105,'LOD 400 - UTLS'!$B:BO,66,FALSE),"N/A")</f>
        <v>N/A</v>
      </c>
      <c r="GR105" s="84" t="str">
        <f>IFERROR(VLOOKUP($B105,'LOD 400 - UTLS'!$B:BR,69,FALSE),"N/A")</f>
        <v>N/A</v>
      </c>
      <c r="GS105" s="85" t="str">
        <f>IFERROR(VLOOKUP($B105,'LOD 400 - UTLS'!$B:BU,72,FALSE),"N/A")</f>
        <v>N/A</v>
      </c>
      <c r="GT105" s="84" t="str">
        <f>IFERROR(VLOOKUP($B105,'LOD 400 - UTLS'!$B:BX,75,FALSE),"N/A")</f>
        <v>N/A</v>
      </c>
      <c r="GU105" s="85" t="str">
        <f>IFERROR(VLOOKUP($B105,'LOD 400 - UTLS'!$B:CA,78,FALSE),"N/A")</f>
        <v>N/A</v>
      </c>
      <c r="GV105" s="84" t="str">
        <f>IFERROR(VLOOKUP($B105,'LOD 400 - UTLS'!$B:CD,81,FALSE),"N/A")</f>
        <v>N/A</v>
      </c>
      <c r="GW105" s="84" t="str">
        <f>IFERROR(VLOOKUP($B105,'LOD 400 - UTLS'!$B:CG,84,FALSE),"N/A")</f>
        <v>N/A</v>
      </c>
      <c r="GX105" s="84" t="str">
        <f>IFERROR(VLOOKUP($B105,'LOD 400 - UTLS'!$B:CJ,87,FALSE),"N/A")</f>
        <v>N/A</v>
      </c>
      <c r="GY105" s="84" t="str">
        <f>IFERROR(VLOOKUP($B105,'LOD 400 - UTLS'!$B:CM,90,FALSE),"N/A")</f>
        <v>N/A</v>
      </c>
      <c r="GZ105" s="84" t="str">
        <f>IFERROR(VLOOKUP($B105,'LOD 400 - UTLS'!$B:CP,93,FALSE),"N/A")</f>
        <v>N/A</v>
      </c>
      <c r="HA105" s="84" t="str">
        <f>IFERROR(VLOOKUP($B105,'LOD 400 - UTLS'!$B:CS,96,FALSE),"N/A")</f>
        <v>N/A</v>
      </c>
      <c r="HB105" s="84" t="str">
        <f>IFERROR(VLOOKUP($B105,'LOD 400 - UTLS'!$B:CV,99,FALSE),"N/A")</f>
        <v>N/A</v>
      </c>
      <c r="HC105" s="84" t="str">
        <f>IFERROR(VLOOKUP($B105,'LOD 400 - UTLS'!$B:CY,102,FALSE),"N/A")</f>
        <v>N/A</v>
      </c>
      <c r="HD105" s="84" t="str">
        <f>IFERROR(VLOOKUP($B105,'LOD 400 - UTLS'!$B:DB,105,FALSE),"N/A")</f>
        <v>N/A</v>
      </c>
      <c r="HE105" s="96" t="str">
        <f>IFERROR(__xludf.DUMMYFUNCTION("IFERROR(
  MAX(FILTER(GA105:HD105, ISNUMBER(GA105:HD105))),
  HD105
)"),"N/A")</f>
        <v>N/A</v>
      </c>
      <c r="HF105" s="99"/>
      <c r="HG105" s="99"/>
      <c r="HH105" s="99"/>
      <c r="HI105" s="99"/>
      <c r="HJ105" s="99"/>
      <c r="HK105" s="99"/>
    </row>
    <row r="106" ht="15.0" customHeight="1" outlineLevel="1">
      <c r="A106" s="53">
        <v>110.0</v>
      </c>
      <c r="B106" s="100" t="s">
        <v>295</v>
      </c>
      <c r="C106" s="100" t="s">
        <v>295</v>
      </c>
      <c r="D106" s="64" t="str">
        <f t="shared" si="17"/>
        <v>UTLS</v>
      </c>
      <c r="E106" s="111" t="s">
        <v>289</v>
      </c>
      <c r="F106" s="102">
        <v>1125.0</v>
      </c>
      <c r="G106" s="103" t="s">
        <v>289</v>
      </c>
      <c r="H106" s="104">
        <v>1125.0</v>
      </c>
      <c r="I106" s="68" t="str">
        <f>IFERROR(VLOOKUP($C103:C108,'R22 RELATÓRIO ACC'!B:F,5,FALSE),"NOT PUBLISHED")</f>
        <v>V6</v>
      </c>
      <c r="J106" s="69" t="str">
        <f>IFERROR(VLOOKUP($C103:C108,'R22 RELATÓRIO ACC'!B:P,15,FALSE),"NOT PUBLISHED")</f>
        <v>11/02/2026</v>
      </c>
      <c r="K106" s="70" t="str">
        <f>IFERROR(VLOOKUP($B103:B108,'RELATÓRIO ACC'!B:F,5,FALSE),"NOT PUBLISHED")</f>
        <v>V1</v>
      </c>
      <c r="L106" s="71" t="str">
        <f>IFERROR(VLOOKUP($B103:B108,'RELATÓRIO ACC'!B:P,15,FALSE),"NOT PUBLISHED")</f>
        <v>21/05/2026</v>
      </c>
      <c r="M106" s="72" t="str">
        <f>IF(OR($D106="UTLS",$D106="GUAR",$D106="STIR",$D106="PUMP",$D106="SITE"),
   VLOOKUP($B106,'LOD 400 - SITE'!B:M,12,FALSE),
   VLOOKUP($B106,'LOD 400 - ADMN'!B:M,12,FALSE)
)</f>
        <v>V5</v>
      </c>
      <c r="N106" s="105" t="str">
        <f>IF(OR($D106="UTLS",$D106="GUAR",$D106="STIR",$D106="PUMP",$D106="SITE"),
   VLOOKUP($B106,'LOD 400 - SITE'!B:N,13,FALSE),
   VLOOKUP($B106,'LOD 400 - ADMN'!B:N,13,FALSE)
)</f>
        <v>27/10/2025</v>
      </c>
      <c r="O106" s="106" t="str">
        <f>IF(OR($D106="UTLS",$D106="GUAR",$D106="STIR",$D106="PUMP",$D106="SITE"),
   VLOOKUP($B106,'LOD 400 - SITE'!B:O,14,FALSE),
   VLOOKUP($B106,'LOD 400 - ADMN'!B:O,14,FALSE)
)</f>
        <v>R22</v>
      </c>
      <c r="P106" s="107" t="str">
        <f>IF(OR($D106="C345",$D106="C12A",$D106="DATA"),
   VLOOKUP($B106,'LOD 400 - COLO3'!B:M,12,FALSE),"N/A")</f>
        <v>N/A</v>
      </c>
      <c r="Q106" s="108" t="str">
        <f>IF(OR($D106="C345",$D106="C12A",$D106="DATA"),
   VLOOKUP($B106,'LOD 400 - COLO3'!B:N,13,FALSE),"N/A")</f>
        <v>N/A</v>
      </c>
      <c r="R106" s="75" t="str">
        <f>IF(OR($D106="C345",$D106="C12A",$D106="DATA"),
   VLOOKUP($B106,'LOD 400 - COLO3'!B:O,14,FALSE),"N/A")</f>
        <v>N/A</v>
      </c>
      <c r="S106" s="76" t="str">
        <f>IF(OR($D106="C345",$D106="C12A",$D106="DATA"),
   VLOOKUP($B106,'LOD 400 - COLO4'!B:N,12,FALSE),"N/A")</f>
        <v>N/A</v>
      </c>
      <c r="T106" s="76" t="str">
        <f>IF(OR($D106="C345",$D106="C12A",$D106="DATA"),
   VLOOKUP($B106,'LOD 400 - COLO4'!B:N,13,FALSE),"N/A")</f>
        <v>N/A</v>
      </c>
      <c r="U106" s="76" t="str">
        <f>IF(OR($D106="C345",$D106="C12A",$D106="DATA"),
   VLOOKUP($B106,'LOD 400 - COLO4'!B:N,13,FALSE),"N/A")</f>
        <v>N/A</v>
      </c>
      <c r="V106" s="77" t="str">
        <f>IF(OR($D106="UTLS",$D106="GUAR",$D106="STIR",$D106="PUMP",$D106="SITE"),
   VLOOKUP($B106,'LOD 400 - UTLS'!B:M,12,FALSE),"N/A")</f>
        <v>V5</v>
      </c>
      <c r="W106" s="78" t="str">
        <f>IF(OR($D106="UTLS",$D106="GUAR",$D106="STIR",$D106="PUMP",$D106="SITE"),
   VLOOKUP($B106,'LOD 400 - UTLS'!B:N,13,FALSE),"N/A")</f>
        <v>27/10/2025</v>
      </c>
      <c r="X106" s="108" t="str">
        <f>IF(OR($D106="UTLS",$D106="GUAR",$D106="STIR",$D106="PUMP",$D106="SITE"),
   VLOOKUP($B106,'LOD 400 - UTLS'!B:O,14,FALSE),"N/A")</f>
        <v>R22</v>
      </c>
      <c r="Y106" s="79" t="str">
        <f>IFERROR(VLOOKUP($B106,'LOD 400 - ADMN'!B:S,18,FALSE),"N/A")</f>
        <v>N/A</v>
      </c>
      <c r="Z106" s="79" t="str">
        <f>IFERROR(VLOOKUP($B106,'LOD 400 - ADMN'!B:V,21,FALSE),"N/A")</f>
        <v>N/A</v>
      </c>
      <c r="AA106" s="79" t="str">
        <f>IFERROR(VLOOKUP($B106,'LOD 400 - ADMN'!$B:Y,24,FALSE),"N/A")</f>
        <v>N/A</v>
      </c>
      <c r="AB106" s="80" t="str">
        <f>IFERROR(VLOOKUP($B106,'LOD 400 - ADMN'!$B:AB,27,FALSE),"N/A")</f>
        <v>N/A</v>
      </c>
      <c r="AC106" s="81" t="str">
        <f>IFERROR(VLOOKUP($B106,'LOD 400 - ADMN'!$B:AE,30,FALSE),"N/A")</f>
        <v>N/A</v>
      </c>
      <c r="AD106" s="81" t="str">
        <f>IFERROR(VLOOKUP($B106,'LOD 400 - ADMN'!$B:AH,33,FALSE),"N/A")</f>
        <v>N/A</v>
      </c>
      <c r="AE106" s="80" t="str">
        <f>IFERROR(VLOOKUP($B106,'LOD 400 - ADMN'!$B:AK,36,FALSE),"N/A")</f>
        <v>N/A</v>
      </c>
      <c r="AF106" s="82" t="str">
        <f>IFERROR(VLOOKUP($B106,'LOD 400 - ADMN'!$B:AN,39,FALSE),"N/A")</f>
        <v>N/A</v>
      </c>
      <c r="AG106" s="83" t="str">
        <f>IFERROR(VLOOKUP($B106,'LOD 400 - ADMN'!$B:AQ,42,FALSE),"N/A")</f>
        <v>N/A</v>
      </c>
      <c r="AH106" s="84" t="str">
        <f>IFERROR(VLOOKUP($B106,'LOD 400 - ADMN'!$B:AT,45,FALSE),"N/A")</f>
        <v>N/A</v>
      </c>
      <c r="AI106" s="85" t="str">
        <f>IFERROR(VLOOKUP($B106,'LOD 400 - ADMN'!$B:AW,48,FALSE),"N/A")</f>
        <v>N/A</v>
      </c>
      <c r="AJ106" s="85" t="str">
        <f>IFERROR(VLOOKUP($B106,'LOD 400 - ADMN'!$B:AZ,51,FALSE),"N/A")</f>
        <v>N/A</v>
      </c>
      <c r="AK106" s="84" t="str">
        <f>IFERROR(VLOOKUP($B106,'LOD 400 - ADMN'!$B:BC,54,FALSE),"N/A")</f>
        <v>N/A</v>
      </c>
      <c r="AL106" s="84" t="str">
        <f>IFERROR(VLOOKUP($B106,'LOD 400 - ADMN'!$B:BF,57,FALSE),"N/A")</f>
        <v>N/A</v>
      </c>
      <c r="AM106" s="84" t="str">
        <f>IFERROR(VLOOKUP($B106,'LOD 400 - ADMN'!$B:BI,60,FALSE),"N/A")</f>
        <v>N/A</v>
      </c>
      <c r="AN106" s="84" t="str">
        <f>IFERROR(VLOOKUP($B106,'LOD 400 - ADMN'!$B:BL,63,FALSE),"N/A")</f>
        <v>N/A</v>
      </c>
      <c r="AO106" s="84" t="str">
        <f>IFERROR(VLOOKUP($B106,'LOD 400 - ADMN'!$B:BO,66,FALSE),"N/A")</f>
        <v>N/A</v>
      </c>
      <c r="AP106" s="84" t="str">
        <f>IFERROR(VLOOKUP($B106,'LOD 400 - ADMN'!$B:BR,69,FALSE),"N/A")</f>
        <v>N/A</v>
      </c>
      <c r="AQ106" s="84" t="str">
        <f>IFERROR(VLOOKUP($B106,'LOD 400 - ADMN'!$B:BU,72,FALSE),"N/A")</f>
        <v>N/A</v>
      </c>
      <c r="AR106" s="84" t="str">
        <f>IFERROR(VLOOKUP($B106,'LOD 400 - ADMN'!$B:BX,75,FALSE),"N/A")</f>
        <v>N/A</v>
      </c>
      <c r="AS106" s="84" t="str">
        <f>IFERROR(VLOOKUP($B106,'LOD 400 - ADMN'!$B:CA,78,FALSE),"N/A")</f>
        <v>N/A</v>
      </c>
      <c r="AT106" s="84" t="str">
        <f>IFERROR(VLOOKUP($B106,'LOD 400 - ADMN'!$B:CD,81,FALSE),"N/A")</f>
        <v>N/A</v>
      </c>
      <c r="AU106" s="85" t="str">
        <f>IFERROR(VLOOKUP($B106,'LOD 400 - ADMN'!$B:CG,84,FALSE),"N/A")</f>
        <v>N/A</v>
      </c>
      <c r="AV106" s="84" t="str">
        <f>IFERROR(VLOOKUP($B106,'LOD 400 - ADMN'!$B:CJ,87,FALSE),"N/A")</f>
        <v>N/A</v>
      </c>
      <c r="AW106" s="85" t="str">
        <f>IFERROR(VLOOKUP($B106,'LOD 400 - ADMN'!$B:CM,90,FALSE),"N/A")</f>
        <v>N/A</v>
      </c>
      <c r="AX106" s="84" t="str">
        <f>IFERROR(VLOOKUP($B106,'LOD 400 - ADMN'!$B:CP,93,FALSE),"N/A")</f>
        <v>N/A</v>
      </c>
      <c r="AY106" s="84" t="str">
        <f>IFERROR(VLOOKUP($B106,'LOD 400 - ADMN'!$B:CS,96,FALSE),"N/A")</f>
        <v>N/A</v>
      </c>
      <c r="AZ106" s="84" t="str">
        <f>IFERROR(VLOOKUP($B106,'LOD 400 - ADMN'!$B:CV,99,FALSE),"N/A")</f>
        <v>N/A</v>
      </c>
      <c r="BA106" s="84" t="str">
        <f>IFERROR(VLOOKUP($B106,'LOD 400 - ADMN'!$B:CY,102,FALSE),"N/A")</f>
        <v>N/A</v>
      </c>
      <c r="BB106" s="84" t="str">
        <f>IFERROR(VLOOKUP($B106,'LOD 400 - ADMN'!$B:DB,105,FALSE),"N/A")</f>
        <v>N/A</v>
      </c>
      <c r="BC106" s="84" t="str">
        <f>IFERROR(VLOOKUP($B106,'LOD 400 - ADMN'!$B:DE,108,FALSE),"N/A")</f>
        <v>N/A</v>
      </c>
      <c r="BD106" s="84" t="str">
        <f>IFERROR(VLOOKUP($B106,'LOD 400 - ADMN'!$B:DH,111,FALSE),"N/A")</f>
        <v>N/A</v>
      </c>
      <c r="BE106" s="84" t="str">
        <f>IFERROR(VLOOKUP($B106,'LOD 400 - ADMN'!$B:DK,114,FALSE),"N/A")</f>
        <v>N/A</v>
      </c>
      <c r="BF106" s="84" t="str">
        <f>IFERROR(VLOOKUP($B106,'LOD 400 - ADMN'!$B:DN,117,FALSE),"N/A")</f>
        <v>N/A</v>
      </c>
      <c r="BG106" s="86" t="str">
        <f>IFERROR(__xludf.DUMMYFUNCTION("IFERROR(
  MAX(FILTER(Y106:BF106, ISNUMBER(Y106:BF106))),
  BF106
)"),"N/A")</f>
        <v>N/A</v>
      </c>
      <c r="BH106" s="79" t="str">
        <f>IFERROR(VLOOKUP($B106,'LOD 400 - COLO1'!B:S,18,FALSE),"N/A")</f>
        <v>N/A</v>
      </c>
      <c r="BI106" s="79" t="str">
        <f>IFERROR(VLOOKUP($B106,'LOD 400 - COLO1'!B:V,21,FALSE),"N/A")</f>
        <v>N/A</v>
      </c>
      <c r="BJ106" s="79" t="str">
        <f>IFERROR(VLOOKUP($B106,'LOD 400 - COLO1'!$B:Y,24,FALSE),"N/A")</f>
        <v>N/A</v>
      </c>
      <c r="BK106" s="87" t="str">
        <f>IFERROR(VLOOKUP($B106,'LOD 400 - COLO1'!$B:AB,27,FALSE),"N/A")</f>
        <v>N/A</v>
      </c>
      <c r="BL106" s="80" t="str">
        <f>IFERROR(VLOOKUP($B106,'LOD 400 - COLO1'!$B:AE,30,FALSE),"N/A")</f>
        <v>N/A</v>
      </c>
      <c r="BM106" s="81" t="str">
        <f>IFERROR(VLOOKUP($B106,'LOD 400 - COLO1'!$B:AH,33,FALSE),"N/A")</f>
        <v>N/A</v>
      </c>
      <c r="BN106" s="87" t="str">
        <f>IFERROR(VLOOKUP($B106,'LOD 400 - COLO1'!$B:AK,36,FALSE),"N/A")</f>
        <v>N/A</v>
      </c>
      <c r="BO106" s="83" t="str">
        <f>IFERROR(VLOOKUP($B106,'LOD 400 - COLO1'!$B:AN,39,FALSE),"N/A")</f>
        <v>N/A</v>
      </c>
      <c r="BP106" s="88" t="str">
        <f>IFERROR(VLOOKUP($B106,'LOD 400 - COLO1'!$B:AQ,42,FALSE),"N/A")</f>
        <v>N/A</v>
      </c>
      <c r="BQ106" s="84" t="str">
        <f>IFERROR(VLOOKUP($B106,'LOD 400 - COLO1'!$B:AT,45,FALSE),"N/A")</f>
        <v>N/A</v>
      </c>
      <c r="BR106" s="85" t="str">
        <f>IFERROR(VLOOKUP($B106,'LOD 400 - COLO1'!$B:AW,48,FALSE),"N/A")</f>
        <v>N/A</v>
      </c>
      <c r="BS106" s="84" t="str">
        <f>IFERROR(VLOOKUP($B106,'LOD 400 - COLO1'!$B:AZ,51,FALSE),"N/A")</f>
        <v>N/A</v>
      </c>
      <c r="BT106" s="84" t="str">
        <f>IFERROR(VLOOKUP($B106,'LOD 400 - COLO1'!$B:BC,54,FALSE),"N/A")</f>
        <v>N/A</v>
      </c>
      <c r="BU106" s="84" t="str">
        <f>IFERROR(VLOOKUP($B106,'LOD 400 - COLO1'!$B:BF,57,FALSE),"N/A")</f>
        <v>N/A</v>
      </c>
      <c r="BV106" s="84" t="str">
        <f>IFERROR(VLOOKUP($B106,'LOD 400 - COLO1'!$B:BI,60,FALSE),"N/A")</f>
        <v>N/A</v>
      </c>
      <c r="BW106" s="84" t="str">
        <f>IFERROR(VLOOKUP($B106,'LOD 400 - COLO1'!$B:BL,63,FALSE),"N/A")</f>
        <v>N/A</v>
      </c>
      <c r="BX106" s="84" t="str">
        <f>IFERROR(VLOOKUP($B106,'LOD 400 - COLO1'!$B:BO,66,FALSE),"N/A")</f>
        <v>N/A</v>
      </c>
      <c r="BY106" s="84" t="str">
        <f>IFERROR(VLOOKUP($B106,'LOD 400 - COLO1'!$B:BR,69,FALSE),"N/A")</f>
        <v>N/A</v>
      </c>
      <c r="BZ106" s="84" t="str">
        <f>IFERROR(VLOOKUP($B106,'LOD 400 - COLO1'!$B:BU,72,FALSE),"N/A")</f>
        <v>N/A</v>
      </c>
      <c r="CA106" s="84" t="str">
        <f>IFERROR(VLOOKUP($B106,'LOD 400 - COLO1'!$B:BX,75,FALSE),"N/A")</f>
        <v>N/A</v>
      </c>
      <c r="CB106" s="84" t="str">
        <f>IFERROR(VLOOKUP($B106,'LOD 400 - COLO1'!$B:CA,78,FALSE),"N/A")</f>
        <v>N/A</v>
      </c>
      <c r="CC106" s="84" t="str">
        <f>IFERROR(VLOOKUP($B106,'LOD 400 - COLO1'!$B:CD,81,FALSE),"N/A")</f>
        <v>N/A</v>
      </c>
      <c r="CD106" s="85" t="str">
        <f>IFERROR(VLOOKUP($B106,'LOD 400 - COLO1'!$B:CG,84,FALSE),"N/A")</f>
        <v>N/A</v>
      </c>
      <c r="CE106" s="84" t="str">
        <f>IFERROR(VLOOKUP($B106,'LOD 400 - COLO1'!$B:CJ,87,FALSE),"N/A")</f>
        <v>N/A</v>
      </c>
      <c r="CF106" s="85" t="str">
        <f>IFERROR(VLOOKUP($B106,'LOD 400 - COLO1'!$B:CM,90,FALSE),"N/A")</f>
        <v>N/A</v>
      </c>
      <c r="CG106" s="84" t="str">
        <f>IFERROR(VLOOKUP($B106,'LOD 400 - COLO1'!$B:CP,93,FALSE),"N/A")</f>
        <v>N/A</v>
      </c>
      <c r="CH106" s="84" t="str">
        <f>IFERROR(VLOOKUP($B106,'LOD 400 - COLO1'!$B:CS,96,FALSE),"N/A")</f>
        <v>N/A</v>
      </c>
      <c r="CI106" s="84" t="str">
        <f>IFERROR(VLOOKUP($B106,'LOD 400 - COLO1'!$B:CV,99,FALSE),"N/A")</f>
        <v>N/A</v>
      </c>
      <c r="CJ106" s="84" t="str">
        <f>IFERROR(VLOOKUP($B106,'LOD 400 - COLO1'!$B:CY,102,FALSE),"N/A")</f>
        <v>N/A</v>
      </c>
      <c r="CK106" s="84" t="str">
        <f>IFERROR(VLOOKUP($B106,'LOD 400 - COLO1'!$B:DB,105,FALSE),"N/A")</f>
        <v>N/A</v>
      </c>
      <c r="CL106" s="84" t="str">
        <f>IFERROR(VLOOKUP($B106,'LOD 400 - COLO1'!$B:DE,108,FALSE),"N/A")</f>
        <v>N/A</v>
      </c>
      <c r="CM106" s="84" t="str">
        <f>IFERROR(VLOOKUP($B106,'LOD 400 - COLO1'!$B:DH,111,FALSE),"N/A")</f>
        <v>N/A</v>
      </c>
      <c r="CN106" s="84" t="str">
        <f>IFERROR(VLOOKUP($B106,'LOD 400 - COLO1'!$B:DK,114,FALSE),"N/A")</f>
        <v>N/A</v>
      </c>
      <c r="CO106" s="84" t="str">
        <f>IFERROR(VLOOKUP($B106,'LOD 400 - COLO1'!$B:DN,117,FALSE),"N/A")</f>
        <v>N/A</v>
      </c>
      <c r="CP106" s="86" t="str">
        <f>IFERROR(__xludf.DUMMYFUNCTION("IFERROR(
  MAX(FILTER(BH106:CO106, ISNUMBER(BH106:CO106))),
  CO106
)"),"N/A")</f>
        <v>N/A</v>
      </c>
      <c r="CQ106" s="89" t="str">
        <f>IFERROR(VLOOKUP($B106,'LOD 400 - COLO2'!B:S,18,FALSE),"N/A")</f>
        <v>N/A</v>
      </c>
      <c r="CR106" s="79" t="str">
        <f>IFERROR(VLOOKUP($B106,'LOD 400 - COLO2'!B:V,21,FALSE),"N/A")</f>
        <v>N/A</v>
      </c>
      <c r="CS106" s="79" t="str">
        <f>IFERROR(VLOOKUP($B106,'LOD 400 - COLO2'!$B:Y,24,FALSE),"N/A")</f>
        <v>N/A</v>
      </c>
      <c r="CT106" s="80" t="str">
        <f>IFERROR(VLOOKUP($B106,'LOD 400 - COLO2'!$B:DQ,27,FALSE),"N/A")</f>
        <v>N/A</v>
      </c>
      <c r="CU106" s="90" t="str">
        <f>IFERROR(VLOOKUP($B106,'LOD 400 - COLO2'!$B:AE,30,FALSE),"N/A")</f>
        <v>N/A</v>
      </c>
      <c r="CV106" s="81" t="str">
        <f>IFERROR(VLOOKUP($B106,'LOD 400 - COLO2'!$B:AH,33,FALSE),"N/A")</f>
        <v>N/A</v>
      </c>
      <c r="CW106" s="90" t="str">
        <f>IFERROR(VLOOKUP($B106,'LOD 400 - COLO2'!$B:AK,36,FALSE),"N/A")</f>
        <v>N/A</v>
      </c>
      <c r="CX106" s="85" t="str">
        <f>IFERROR(VLOOKUP($B106,'LOD 400 - COLO2'!$B:AN,39,FALSE),"N/A")</f>
        <v>N/A</v>
      </c>
      <c r="CY106" s="88" t="str">
        <f>IFERROR(VLOOKUP($B106,'LOD 400 - COLO2'!$B:AQ,42,FALSE),"N/A")</f>
        <v>N/A</v>
      </c>
      <c r="CZ106" s="84" t="str">
        <f>IFERROR(VLOOKUP($B106,'LOD 400 - COLO2'!$B:AT,45,FALSE),"N/A")</f>
        <v>N/A</v>
      </c>
      <c r="DA106" s="85" t="str">
        <f>IFERROR(VLOOKUP($B106,'LOD 400 - COLO2'!$B:AW,48,FALSE),"N/A")</f>
        <v>N/A</v>
      </c>
      <c r="DB106" s="84" t="str">
        <f>IFERROR(VLOOKUP($B106,'LOD 400 - COLO2'!$B:AZ,51,FALSE),"N/A")</f>
        <v>N/A</v>
      </c>
      <c r="DC106" s="84" t="str">
        <f>IFERROR(VLOOKUP($B106,'LOD 400 - COLO2'!$B:BC,54,FALSE),"N/A")</f>
        <v>N/A</v>
      </c>
      <c r="DD106" s="84" t="str">
        <f>IFERROR(VLOOKUP($B106,'LOD 400 - COLO2'!$B:BF,57,FALSE),"N/A")</f>
        <v>N/A</v>
      </c>
      <c r="DE106" s="84" t="str">
        <f>IFERROR(VLOOKUP($B106,'LOD 400 - COLO2'!$B:BI,60,FALSE),"N/A")</f>
        <v>N/A</v>
      </c>
      <c r="DF106" s="84" t="str">
        <f>IFERROR(VLOOKUP($B106,'LOD 400 - COLO2'!$B:BL,63,FALSE),"N/A")</f>
        <v>N/A</v>
      </c>
      <c r="DG106" s="84" t="str">
        <f>IFERROR(VLOOKUP($B106,'LOD 400 - COLO2'!$B:BO,66,FALSE),"N/A")</f>
        <v>N/A</v>
      </c>
      <c r="DH106" s="84" t="str">
        <f>IFERROR(VLOOKUP($B106,'LOD 400 - COLO2'!$B:BR,69,FALSE),"N/A")</f>
        <v>N/A</v>
      </c>
      <c r="DI106" s="84" t="str">
        <f>IFERROR(VLOOKUP($B106,'LOD 400 - COLO2'!$B:BU,72,FALSE),"N/A")</f>
        <v>N/A</v>
      </c>
      <c r="DJ106" s="84" t="str">
        <f>IFERROR(VLOOKUP($B106,'LOD 400 - COLO2'!$B:BX,75,FALSE),"N/A")</f>
        <v>N/A</v>
      </c>
      <c r="DK106" s="84" t="str">
        <f>IFERROR(VLOOKUP($B106,'LOD 400 - COLO2'!$B:CA,78,FALSE),"N/A")</f>
        <v>N/A</v>
      </c>
      <c r="DL106" s="84" t="str">
        <f>IFERROR(VLOOKUP($B106,'LOD 400 - COLO2'!$B:CD,81,FALSE),"N/A")</f>
        <v>N/A</v>
      </c>
      <c r="DM106" s="85" t="str">
        <f>IFERROR(VLOOKUP($B106,'LOD 400 - COLO2'!$B:CG,84,FALSE),"N/A")</f>
        <v>N/A</v>
      </c>
      <c r="DN106" s="84" t="str">
        <f>IFERROR(VLOOKUP($B106,'LOD 400 - COLO2'!$B:CJ,87,FALSE),"N/A")</f>
        <v>N/A</v>
      </c>
      <c r="DO106" s="85" t="str">
        <f>IFERROR(VLOOKUP($B106,'LOD 400 - COLO2'!$B:CM,90,FALSE),"N/A")</f>
        <v>N/A</v>
      </c>
      <c r="DP106" s="84" t="str">
        <f>IFERROR(VLOOKUP($B106,'LOD 400 - COLO2'!$B:CP,93,FALSE),"N/A")</f>
        <v>N/A</v>
      </c>
      <c r="DQ106" s="84" t="str">
        <f>IFERROR(VLOOKUP($B106,'LOD 400 - COLO2'!$B:CS,96,FALSE),"N/A")</f>
        <v>N/A</v>
      </c>
      <c r="DR106" s="84" t="str">
        <f>IFERROR(VLOOKUP($B106,'LOD 400 - COLO2'!$B:CV,99,FALSE),"N/A")</f>
        <v>N/A</v>
      </c>
      <c r="DS106" s="84" t="str">
        <f>IFERROR(VLOOKUP($B106,'LOD 400 - COLO2'!$B:CY,102,FALSE),"N/A")</f>
        <v>N/A</v>
      </c>
      <c r="DT106" s="84" t="str">
        <f>IFERROR(VLOOKUP($B106,'LOD 400 - COLO2'!$B:DB,105,FALSE),"N/A")</f>
        <v>N/A</v>
      </c>
      <c r="DU106" s="84" t="str">
        <f>IFERROR(VLOOKUP($B106,'LOD 400 - COLO2'!$B:DE,108,FALSE),"N/A")</f>
        <v>N/A</v>
      </c>
      <c r="DV106" s="84" t="str">
        <f>IFERROR(VLOOKUP($B106,'LOD 400 - COLO2'!$B:DH,111,FALSE),"N/A")</f>
        <v>N/A</v>
      </c>
      <c r="DW106" s="84" t="str">
        <f>IFERROR(VLOOKUP($B106,'LOD 400 - COLO2'!$B:DK,114,FALSE),"N/A")</f>
        <v>N/A</v>
      </c>
      <c r="DX106" s="84" t="str">
        <f>IFERROR(VLOOKUP($B106,'LOD 400 - COLO2'!$B:DN,117,FALSE),"N/A")</f>
        <v>N/A</v>
      </c>
      <c r="DY106" s="91" t="str">
        <f>IFERROR(__xludf.DUMMYFUNCTION("IFERROR(
  MAX(FILTER(CQ106:DW106, ISNUMBER(CQ106:DW106))),
  DW106
)"),"N/A")</f>
        <v>N/A</v>
      </c>
      <c r="DZ106" s="92" t="str">
        <f>IFERROR(VLOOKUP($B106,'LOD 400 - COLO3'!B:S,18,FALSE),"N/A")</f>
        <v>N/A</v>
      </c>
      <c r="EA106" s="84" t="str">
        <f>IFERROR(VLOOKUP($B106,'LOD 400 - COLO3'!B:V,21,FALSE),"N/A")</f>
        <v>N/A</v>
      </c>
      <c r="EB106" s="84" t="str">
        <f>IFERROR(VLOOKUP($B106,'LOD 400 - COLO3'!B:Y,24,FALSE),"N/A")</f>
        <v>N/A</v>
      </c>
      <c r="EC106" s="84" t="str">
        <f>IFERROR(VLOOKUP($B106,'LOD 400 - COLO3'!B:AB,27,FALSE),"N/A")</f>
        <v>N/A</v>
      </c>
      <c r="ED106" s="85" t="str">
        <f>IFERROR(VLOOKUP($B106,'LOD 400 - COLO3'!B:AE,30,FALSE),"N/A")</f>
        <v>N/A</v>
      </c>
      <c r="EE106" s="84" t="str">
        <f>IFERROR(VLOOKUP($B106,'LOD 400 - COLO3'!B:AH,33,FALSE),"N/A")</f>
        <v>N/A</v>
      </c>
      <c r="EF106" s="84" t="str">
        <f>IFERROR(VLOOKUP($B106,'LOD 400 - COLO3'!B:AK,36,FALSE),"N/A")</f>
        <v>N/A</v>
      </c>
      <c r="EG106" s="109" t="str">
        <f>IFERROR(VLOOKUP($B106,'LOD 400 - COLO3'!B:AN,39,FALSE),"N/A")</f>
        <v>N/A</v>
      </c>
      <c r="EH106" s="94" t="str">
        <f>IFERROR(VLOOKUP($B106,'LOD 400 - COLO3'!B:AQ,42,FALSE),"N/A")</f>
        <v>N/A</v>
      </c>
      <c r="EI106" s="94" t="str">
        <f>IFERROR(VLOOKUP($B106,'LOD 400 - COLO3'!B:AT,45,FALSE),"N/A")</f>
        <v>N/A</v>
      </c>
      <c r="EJ106" s="94" t="str">
        <f>IFERROR(VLOOKUP($B106,'LOD 400 - COLO3'!B:AW,48,FALSE),"N/A")</f>
        <v>N/A</v>
      </c>
      <c r="EK106" s="94" t="str">
        <f>IFERROR(VLOOKUP($B106,'LOD 400 - COLO3'!B:AZ,51,FALSE),"N/A")</f>
        <v>N/A</v>
      </c>
      <c r="EL106" s="94" t="str">
        <f>IFERROR(VLOOKUP($B106,'LOD 400 - COLO3'!B:BC,54,FALSE),"N/A")</f>
        <v>N/A</v>
      </c>
      <c r="EM106" s="94" t="str">
        <f>IFERROR(VLOOKUP($B106,'LOD 400 - COLO3'!B:BF,57,FALSE),"N/A")</f>
        <v>N/A</v>
      </c>
      <c r="EN106" s="94" t="str">
        <f>IFERROR(VLOOKUP($B106,'LOD 400 - COLO3'!B:BI,60,FALSE),"N/A")</f>
        <v>N/A</v>
      </c>
      <c r="EO106" s="94" t="str">
        <f>IFERROR(VLOOKUP($B106,'LOD 400 - COLO3'!B:BL,63,FALSE),"N/A")</f>
        <v>N/A</v>
      </c>
      <c r="EP106" s="86" t="str">
        <f>IFERROR(__xludf.DUMMYFUNCTION("IFERROR(
  MAX(FILTER(DZ106:EO106, ISNUMBER(DZ106:EO106))),
  EO106
)"),"N/A")</f>
        <v>N/A</v>
      </c>
      <c r="EQ106" s="95" t="str">
        <f>IFERROR(VLOOKUP($B106,'LOD 400 - COLO4'!B:S,18,FALSE),"N/A")</f>
        <v>N/A</v>
      </c>
      <c r="ER106" s="96" t="str">
        <f>IFERROR(__xludf.DUMMYFUNCTION("IFERROR(
  MAX(FILTER(EQ106, ISNUMBER(EQ106))),
  EQ106
)"),"N/A")</f>
        <v>N/A</v>
      </c>
      <c r="ES106" s="79" t="str">
        <f>IFERROR(VLOOKUP($B106,'LOD 400 - SITE'!B:S,18,FALSE),"N/A")</f>
        <v>OUTDATED</v>
      </c>
      <c r="ET106" s="80" t="str">
        <f>IFERROR(VLOOKUP($B106,'LOD 400 - SITE'!B:V,21,FALSE),"N/A")</f>
        <v>OUTDATED</v>
      </c>
      <c r="EU106" s="97" t="str">
        <f>IFERROR(VLOOKUP($B106,'LOD 400 - SITE'!$B:Y,24,FALSE),"N/A")</f>
        <v>OUTDATED</v>
      </c>
      <c r="EV106" s="80" t="str">
        <f>IFERROR(VLOOKUP($B106,'LOD 400 - SITE'!$B:AB,27,FALSE),"N/A")</f>
        <v>OUTDATED</v>
      </c>
      <c r="EW106" s="81">
        <f>IFERROR(VLOOKUP($B106,'LOD 400 - SITE'!$B:AE,30,FALSE),"N/A")</f>
        <v>1</v>
      </c>
      <c r="EX106" s="87">
        <f>IFERROR(VLOOKUP($B106,'LOD 400 - SITE'!$B:AH,33,FALSE),"N/A")</f>
        <v>1</v>
      </c>
      <c r="EY106" s="87">
        <f>IFERROR(VLOOKUP($B106,'LOD 400 - SITE'!$B:AK,36,FALSE),"N/A")</f>
        <v>1</v>
      </c>
      <c r="EZ106" s="80">
        <f>IFERROR(VLOOKUP($B106,'LOD 400 - SITE'!$B:AN,39,FALSE),"N/A")</f>
        <v>1</v>
      </c>
      <c r="FA106" s="82">
        <f>IFERROR(VLOOKUP($B106,'LOD 400 - SITE'!$B:AQ,42,FALSE),"N/A")</f>
        <v>1</v>
      </c>
      <c r="FB106" s="88">
        <f>IFERROR(VLOOKUP($B106,'LOD 400 - SITE'!$B:AT,45,FALSE),"N/A")</f>
        <v>1</v>
      </c>
      <c r="FC106" s="84">
        <f>IFERROR(VLOOKUP($B106,'LOD 400 - SITE'!$B:AW,48,FALSE),"N/A")</f>
        <v>1</v>
      </c>
      <c r="FD106" s="84">
        <f>IFERROR(VLOOKUP($B106,'LOD 400 - SITE'!$B:AZ,51,FALSE),"N/A")</f>
        <v>1</v>
      </c>
      <c r="FE106" s="84">
        <f>IFERROR(VLOOKUP($B106,'LOD 400 - SITE'!$B:BC,54,FALSE),"N/A")</f>
        <v>1</v>
      </c>
      <c r="FF106" s="84">
        <f>IFERROR(VLOOKUP($B106,'LOD 400 - SITE'!$B:BF,57,FALSE),"N/A")</f>
        <v>1</v>
      </c>
      <c r="FG106" s="84">
        <f>IFERROR(VLOOKUP($B106,'LOD 400 - SITE'!$B:BI,60,FALSE),"N/A")</f>
        <v>1</v>
      </c>
      <c r="FH106" s="84">
        <f>IFERROR(VLOOKUP($B106,'LOD 400 - SITE'!$B:BL,63,FALSE),"N/A")</f>
        <v>1</v>
      </c>
      <c r="FI106" s="84">
        <f>IFERROR(VLOOKUP($B106,'LOD 400 - SITE'!$B:BO,66,FALSE),"N/A")</f>
        <v>1</v>
      </c>
      <c r="FJ106" s="84">
        <f>IFERROR(VLOOKUP($B106,'LOD 400 - SITE'!$B:BR,69,FALSE),"N/A")</f>
        <v>1</v>
      </c>
      <c r="FK106" s="84">
        <f>IFERROR(VLOOKUP($B106,'LOD 400 - SITE'!$B:BU,72,FALSE),"N/A")</f>
        <v>1</v>
      </c>
      <c r="FL106" s="84">
        <f>IFERROR(VLOOKUP($B106,'LOD 400 - SITE'!$B:BX,75,FALSE),"N/A")</f>
        <v>1</v>
      </c>
      <c r="FM106" s="84">
        <f>IFERROR(VLOOKUP($B106,'LOD 400 - SITE'!$B:CA,78,FALSE),"N/A")</f>
        <v>1</v>
      </c>
      <c r="FN106" s="85">
        <f>IFERROR(VLOOKUP($B106,'LOD 400 - SITE'!$B:CD,81,FALSE),"N/A")</f>
        <v>1</v>
      </c>
      <c r="FO106" s="84">
        <f>IFERROR(VLOOKUP($B106,'LOD 400 - SITE'!$B:CG,84,FALSE),"N/A")</f>
        <v>1</v>
      </c>
      <c r="FP106" s="85">
        <f>IFERROR(VLOOKUP($B106,'LOD 400 - SITE'!$B:CJ,87,FALSE),"N/A")</f>
        <v>1</v>
      </c>
      <c r="FQ106" s="84">
        <f>IFERROR(VLOOKUP($B106,'LOD 400 - SITE'!$B:CM,90,FALSE),"N/A")</f>
        <v>1</v>
      </c>
      <c r="FR106" s="84">
        <f>IFERROR(VLOOKUP($B106,'LOD 400 - SITE'!$B:CP,93,FALSE),"N/A")</f>
        <v>1</v>
      </c>
      <c r="FS106" s="84">
        <f>IFERROR(VLOOKUP($B106,'LOD 400 - SITE'!$B:CS,96,FALSE),"N/A")</f>
        <v>1</v>
      </c>
      <c r="FT106" s="84">
        <f>IFERROR(VLOOKUP($B106,'LOD 400 - SITE'!$B:CV,99,FALSE),"N/A")</f>
        <v>1</v>
      </c>
      <c r="FU106" s="84">
        <f>IFERROR(VLOOKUP($B106,'LOD 400 - SITE'!$B:CY,102,FALSE),"N/A")</f>
        <v>1</v>
      </c>
      <c r="FV106" s="84">
        <f>IFERROR(VLOOKUP($B106,'LOD 400 - SITE'!$B:DB,105,FALSE),"N/A")</f>
        <v>1</v>
      </c>
      <c r="FW106" s="84">
        <f>IFERROR(VLOOKUP($B106,'LOD 400 - SITE'!$B:DE,108,FALSE),"N/A")</f>
        <v>1</v>
      </c>
      <c r="FX106" s="84">
        <f>IFERROR(VLOOKUP($B106,'LOD 400 - SITE'!$B:DH,111,FALSE),"N/A")</f>
        <v>1</v>
      </c>
      <c r="FY106" s="84">
        <f>IFERROR(VLOOKUP($B106,'LOD 400 - SITE'!$B:DK,114,FALSE),"N/A")</f>
        <v>1</v>
      </c>
      <c r="FZ106" s="96">
        <f>IFERROR(__xludf.DUMMYFUNCTION("IFERROR(
  MAX(FILTER(ES106:FY106, ISNUMBER(ES106:FY106))),
  FY106
)"),1.0)</f>
        <v>1</v>
      </c>
      <c r="GA106" s="80">
        <f>IFERROR(VLOOKUP($B106,'LOD 400 - UTLS'!B:S,18,FALSE),"N/A")</f>
        <v>0.44</v>
      </c>
      <c r="GB106" s="98" t="str">
        <f>IFERROR(VLOOKUP($B106,'LOD 400 - UTLS'!B:V,21,FALSE),"N/A")</f>
        <v>OUTDATED</v>
      </c>
      <c r="GC106" s="81">
        <f>IFERROR(VLOOKUP($B106,'LOD 400 - UTLS'!B:Y,24,FALSE),"N/A")</f>
        <v>1</v>
      </c>
      <c r="GD106" s="87">
        <f>IFERROR(VLOOKUP($B106,'LOD 400 - UTLS'!$B:AB,27,FALSE),"N/A")</f>
        <v>1</v>
      </c>
      <c r="GE106" s="80">
        <f>IFERROR(VLOOKUP($B106,'LOD 400 - UTLS'!$B:AE,30,FALSE),"N/A")</f>
        <v>1</v>
      </c>
      <c r="GF106" s="82">
        <f>IFERROR(VLOOKUP($B106,'LOD 400 - UTLS'!$B:AH,33,FALSE),"N/A")</f>
        <v>1</v>
      </c>
      <c r="GG106" s="88">
        <f>IFERROR(VLOOKUP($B106,'LOD 400 - UTLS'!$B:AK,36,FALSE),"N/A")</f>
        <v>1</v>
      </c>
      <c r="GH106" s="84">
        <f>IFERROR(VLOOKUP($B106,'LOD 400 - UTLS'!$B:AN,39,FALSE),"N/A")</f>
        <v>1</v>
      </c>
      <c r="GI106" s="84">
        <f>IFERROR(VLOOKUP($B106,'LOD 400 - UTLS'!$B:AQ,42,FALSE),"N/A")</f>
        <v>1</v>
      </c>
      <c r="GJ106" s="84">
        <f>IFERROR(VLOOKUP($B106,'LOD 400 - UTLS'!$B:AT,45,FALSE),"N/A")</f>
        <v>1</v>
      </c>
      <c r="GK106" s="84">
        <f>IFERROR(VLOOKUP($B106,'LOD 400 - UTLS'!$B:AW,48,FALSE),"N/A")</f>
        <v>1</v>
      </c>
      <c r="GL106" s="84">
        <f>IFERROR(VLOOKUP($B106,'LOD 400 - UTLS'!$B:AZ,51,FALSE),"N/A")</f>
        <v>1</v>
      </c>
      <c r="GM106" s="84">
        <f>IFERROR(VLOOKUP($B106,'LOD 400 - UTLS'!$B:BC,54,FALSE),"N/A")</f>
        <v>1</v>
      </c>
      <c r="GN106" s="84">
        <f>IFERROR(VLOOKUP($B106,'LOD 400 - UTLS'!$B:BF,57,FALSE),"N/A")</f>
        <v>1</v>
      </c>
      <c r="GO106" s="84">
        <f>IFERROR(VLOOKUP($B106,'LOD 400 - UTLS'!$B:BI,60,FALSE),"N/A")</f>
        <v>1</v>
      </c>
      <c r="GP106" s="84">
        <f>IFERROR(VLOOKUP($B106,'LOD 400 - UTLS'!$B:BL,63,FALSE),"N/A")</f>
        <v>1</v>
      </c>
      <c r="GQ106" s="84">
        <f>IFERROR(VLOOKUP($B106,'LOD 400 - UTLS'!$B:BO,66,FALSE),"N/A")</f>
        <v>1</v>
      </c>
      <c r="GR106" s="84">
        <f>IFERROR(VLOOKUP($B106,'LOD 400 - UTLS'!$B:BR,69,FALSE),"N/A")</f>
        <v>1</v>
      </c>
      <c r="GS106" s="85">
        <f>IFERROR(VLOOKUP($B106,'LOD 400 - UTLS'!$B:BU,72,FALSE),"N/A")</f>
        <v>1</v>
      </c>
      <c r="GT106" s="84">
        <f>IFERROR(VLOOKUP($B106,'LOD 400 - UTLS'!$B:BX,75,FALSE),"N/A")</f>
        <v>1</v>
      </c>
      <c r="GU106" s="85">
        <f>IFERROR(VLOOKUP($B106,'LOD 400 - UTLS'!$B:CA,78,FALSE),"N/A")</f>
        <v>1</v>
      </c>
      <c r="GV106" s="84">
        <f>IFERROR(VLOOKUP($B106,'LOD 400 - UTLS'!$B:CD,81,FALSE),"N/A")</f>
        <v>1</v>
      </c>
      <c r="GW106" s="84">
        <f>IFERROR(VLOOKUP($B106,'LOD 400 - UTLS'!$B:CG,84,FALSE),"N/A")</f>
        <v>1</v>
      </c>
      <c r="GX106" s="84">
        <f>IFERROR(VLOOKUP($B106,'LOD 400 - UTLS'!$B:CJ,87,FALSE),"N/A")</f>
        <v>1</v>
      </c>
      <c r="GY106" s="84">
        <f>IFERROR(VLOOKUP($B106,'LOD 400 - UTLS'!$B:CM,90,FALSE),"N/A")</f>
        <v>1</v>
      </c>
      <c r="GZ106" s="84">
        <f>IFERROR(VLOOKUP($B106,'LOD 400 - UTLS'!$B:CP,93,FALSE),"N/A")</f>
        <v>1</v>
      </c>
      <c r="HA106" s="84">
        <f>IFERROR(VLOOKUP($B106,'LOD 400 - UTLS'!$B:CS,96,FALSE),"N/A")</f>
        <v>1</v>
      </c>
      <c r="HB106" s="84">
        <f>IFERROR(VLOOKUP($B106,'LOD 400 - UTLS'!$B:CV,99,FALSE),"N/A")</f>
        <v>1</v>
      </c>
      <c r="HC106" s="84">
        <f>IFERROR(VLOOKUP($B106,'LOD 400 - UTLS'!$B:CY,102,FALSE),"N/A")</f>
        <v>1</v>
      </c>
      <c r="HD106" s="84">
        <f>IFERROR(VLOOKUP($B106,'LOD 400 - UTLS'!$B:DB,105,FALSE),"N/A")</f>
        <v>1</v>
      </c>
      <c r="HE106" s="96">
        <f>IFERROR(__xludf.DUMMYFUNCTION("IFERROR(
  MAX(FILTER(GA106:HD106, ISNUMBER(GA106:HD106))),
  HD106
)"),1.0)</f>
        <v>1</v>
      </c>
      <c r="HF106" s="99"/>
      <c r="HG106" s="99"/>
      <c r="HH106" s="99"/>
      <c r="HI106" s="99"/>
      <c r="HJ106" s="99"/>
      <c r="HK106" s="99"/>
    </row>
    <row r="107" ht="15.0" customHeight="1" outlineLevel="1">
      <c r="A107" s="53">
        <v>111.0</v>
      </c>
      <c r="B107" s="100" t="s">
        <v>296</v>
      </c>
      <c r="C107" s="100" t="s">
        <v>296</v>
      </c>
      <c r="D107" s="64" t="str">
        <f t="shared" si="17"/>
        <v>GUAR</v>
      </c>
      <c r="E107" s="111" t="s">
        <v>289</v>
      </c>
      <c r="F107" s="102">
        <v>1125.0</v>
      </c>
      <c r="G107" s="103" t="s">
        <v>289</v>
      </c>
      <c r="H107" s="104">
        <v>1125.0</v>
      </c>
      <c r="I107" s="68" t="str">
        <f>IFERROR(VLOOKUP($C104:C108,'R22 RELATÓRIO ACC'!B:F,5,FALSE),"NOT PUBLISHED")</f>
        <v>V6</v>
      </c>
      <c r="J107" s="69" t="str">
        <f>IFERROR(VLOOKUP($C104:C108,'R22 RELATÓRIO ACC'!B:P,15,FALSE),"NOT PUBLISHED")</f>
        <v>01/11/2025</v>
      </c>
      <c r="K107" s="70" t="str">
        <f>IFERROR(VLOOKUP($B104:B108,'RELATÓRIO ACC'!B:F,5,FALSE),"NOT PUBLISHED")</f>
        <v>V1</v>
      </c>
      <c r="L107" s="71" t="str">
        <f>IFERROR(VLOOKUP($B104:B108,'RELATÓRIO ACC'!B:P,15,FALSE),"NOT PUBLISHED")</f>
        <v>21/05/2026</v>
      </c>
      <c r="M107" s="72" t="str">
        <f>IF(OR($D107="UTLS",$D107="GUAR",$D107="STIR",$D107="PUMP",$D107="SITE"),
   VLOOKUP($B107,'LOD 400 - SITE'!B:M,12,FALSE),
   VLOOKUP($B107,'LOD 400 - ADMN'!B:M,12,FALSE)
)</f>
        <v>V6</v>
      </c>
      <c r="N107" s="105" t="str">
        <f>IF(OR($D107="UTLS",$D107="GUAR",$D107="STIR",$D107="PUMP",$D107="SITE"),
   VLOOKUP($B107,'LOD 400 - SITE'!B:N,13,FALSE),
   VLOOKUP($B107,'LOD 400 - ADMN'!B:N,13,FALSE)
)</f>
        <v>01/11/2025</v>
      </c>
      <c r="O107" s="106" t="str">
        <f>IF(OR($D107="UTLS",$D107="GUAR",$D107="STIR",$D107="PUMP",$D107="SITE"),
   VLOOKUP($B107,'LOD 400 - SITE'!B:O,14,FALSE),
   VLOOKUP($B107,'LOD 400 - ADMN'!B:O,14,FALSE)
)</f>
        <v>R22</v>
      </c>
      <c r="P107" s="107" t="str">
        <f>IF(OR($D107="C345",$D107="C12A",$D107="DATA"),
   VLOOKUP($B107,'LOD 400 - COLO3'!B:M,12,FALSE),"N/A")</f>
        <v>N/A</v>
      </c>
      <c r="Q107" s="108" t="str">
        <f>IF(OR($D107="C345",$D107="C12A",$D107="DATA"),
   VLOOKUP($B107,'LOD 400 - COLO3'!B:N,13,FALSE),"N/A")</f>
        <v>N/A</v>
      </c>
      <c r="R107" s="75" t="str">
        <f>IF(OR($D107="C345",$D107="C12A",$D107="DATA"),
   VLOOKUP($B107,'LOD 400 - COLO3'!B:O,14,FALSE),"N/A")</f>
        <v>N/A</v>
      </c>
      <c r="S107" s="76" t="str">
        <f>IF(OR($D107="C345",$D107="C12A",$D107="DATA"),
   VLOOKUP($B107,'LOD 400 - COLO4'!B:N,12,FALSE),"N/A")</f>
        <v>N/A</v>
      </c>
      <c r="T107" s="76" t="str">
        <f>IF(OR($D107="C345",$D107="C12A",$D107="DATA"),
   VLOOKUP($B107,'LOD 400 - COLO4'!B:N,13,FALSE),"N/A")</f>
        <v>N/A</v>
      </c>
      <c r="U107" s="76" t="str">
        <f>IF(OR($D107="C345",$D107="C12A",$D107="DATA"),
   VLOOKUP($B107,'LOD 400 - COLO4'!B:N,13,FALSE),"N/A")</f>
        <v>N/A</v>
      </c>
      <c r="V107" s="77" t="str">
        <f>IF(OR($D107="UTLS",$D107="GUAR",$D107="STIR",$D107="PUMP",$D107="SITE"),
   VLOOKUP($B107,'LOD 400 - UTLS'!B:M,12,FALSE),"N/A")</f>
        <v>N/A</v>
      </c>
      <c r="W107" s="78" t="str">
        <f>IF(OR($D107="UTLS",$D107="GUAR",$D107="STIR",$D107="PUMP",$D107="SITE"),
   VLOOKUP($B107,'LOD 400 - UTLS'!B:N,13,FALSE),"N/A")</f>
        <v>N/A</v>
      </c>
      <c r="X107" s="108" t="str">
        <f>IF(OR($D107="UTLS",$D107="GUAR",$D107="STIR",$D107="PUMP",$D107="SITE"),
   VLOOKUP($B107,'LOD 400 - UTLS'!B:O,14,FALSE),"N/A")</f>
        <v>N/A</v>
      </c>
      <c r="Y107" s="79" t="str">
        <f>IFERROR(VLOOKUP($B107,'LOD 400 - ADMN'!B:S,18,FALSE),"N/A")</f>
        <v>N/A</v>
      </c>
      <c r="Z107" s="79" t="str">
        <f>IFERROR(VLOOKUP($B107,'LOD 400 - ADMN'!B:V,21,FALSE),"N/A")</f>
        <v>N/A</v>
      </c>
      <c r="AA107" s="79" t="str">
        <f>IFERROR(VLOOKUP($B107,'LOD 400 - ADMN'!$B:Y,24,FALSE),"N/A")</f>
        <v>N/A</v>
      </c>
      <c r="AB107" s="80" t="str">
        <f>IFERROR(VLOOKUP($B107,'LOD 400 - ADMN'!$B:AB,27,FALSE),"N/A")</f>
        <v>N/A</v>
      </c>
      <c r="AC107" s="81" t="str">
        <f>IFERROR(VLOOKUP($B107,'LOD 400 - ADMN'!$B:AE,30,FALSE),"N/A")</f>
        <v>N/A</v>
      </c>
      <c r="AD107" s="81" t="str">
        <f>IFERROR(VLOOKUP($B107,'LOD 400 - ADMN'!$B:AH,33,FALSE),"N/A")</f>
        <v>N/A</v>
      </c>
      <c r="AE107" s="80" t="str">
        <f>IFERROR(VLOOKUP($B107,'LOD 400 - ADMN'!$B:AK,36,FALSE),"N/A")</f>
        <v>N/A</v>
      </c>
      <c r="AF107" s="82" t="str">
        <f>IFERROR(VLOOKUP($B107,'LOD 400 - ADMN'!$B:AN,39,FALSE),"N/A")</f>
        <v>N/A</v>
      </c>
      <c r="AG107" s="83" t="str">
        <f>IFERROR(VLOOKUP($B107,'LOD 400 - ADMN'!$B:AQ,42,FALSE),"N/A")</f>
        <v>N/A</v>
      </c>
      <c r="AH107" s="84" t="str">
        <f>IFERROR(VLOOKUP($B107,'LOD 400 - ADMN'!$B:AT,45,FALSE),"N/A")</f>
        <v>N/A</v>
      </c>
      <c r="AI107" s="85" t="str">
        <f>IFERROR(VLOOKUP($B107,'LOD 400 - ADMN'!$B:AW,48,FALSE),"N/A")</f>
        <v>N/A</v>
      </c>
      <c r="AJ107" s="85" t="str">
        <f>IFERROR(VLOOKUP($B107,'LOD 400 - ADMN'!$B:AZ,51,FALSE),"N/A")</f>
        <v>N/A</v>
      </c>
      <c r="AK107" s="84" t="str">
        <f>IFERROR(VLOOKUP($B107,'LOD 400 - ADMN'!$B:BC,54,FALSE),"N/A")</f>
        <v>N/A</v>
      </c>
      <c r="AL107" s="84" t="str">
        <f>IFERROR(VLOOKUP($B107,'LOD 400 - ADMN'!$B:BF,57,FALSE),"N/A")</f>
        <v>N/A</v>
      </c>
      <c r="AM107" s="84" t="str">
        <f>IFERROR(VLOOKUP($B107,'LOD 400 - ADMN'!$B:BI,60,FALSE),"N/A")</f>
        <v>N/A</v>
      </c>
      <c r="AN107" s="84" t="str">
        <f>IFERROR(VLOOKUP($B107,'LOD 400 - ADMN'!$B:BL,63,FALSE),"N/A")</f>
        <v>N/A</v>
      </c>
      <c r="AO107" s="84" t="str">
        <f>IFERROR(VLOOKUP($B107,'LOD 400 - ADMN'!$B:BO,66,FALSE),"N/A")</f>
        <v>N/A</v>
      </c>
      <c r="AP107" s="84" t="str">
        <f>IFERROR(VLOOKUP($B107,'LOD 400 - ADMN'!$B:BR,69,FALSE),"N/A")</f>
        <v>N/A</v>
      </c>
      <c r="AQ107" s="84" t="str">
        <f>IFERROR(VLOOKUP($B107,'LOD 400 - ADMN'!$B:BU,72,FALSE),"N/A")</f>
        <v>N/A</v>
      </c>
      <c r="AR107" s="84" t="str">
        <f>IFERROR(VLOOKUP($B107,'LOD 400 - ADMN'!$B:BX,75,FALSE),"N/A")</f>
        <v>N/A</v>
      </c>
      <c r="AS107" s="84" t="str">
        <f>IFERROR(VLOOKUP($B107,'LOD 400 - ADMN'!$B:CA,78,FALSE),"N/A")</f>
        <v>N/A</v>
      </c>
      <c r="AT107" s="84" t="str">
        <f>IFERROR(VLOOKUP($B107,'LOD 400 - ADMN'!$B:CD,81,FALSE),"N/A")</f>
        <v>N/A</v>
      </c>
      <c r="AU107" s="85" t="str">
        <f>IFERROR(VLOOKUP($B107,'LOD 400 - ADMN'!$B:CG,84,FALSE),"N/A")</f>
        <v>N/A</v>
      </c>
      <c r="AV107" s="84" t="str">
        <f>IFERROR(VLOOKUP($B107,'LOD 400 - ADMN'!$B:CJ,87,FALSE),"N/A")</f>
        <v>N/A</v>
      </c>
      <c r="AW107" s="85" t="str">
        <f>IFERROR(VLOOKUP($B107,'LOD 400 - ADMN'!$B:CM,90,FALSE),"N/A")</f>
        <v>N/A</v>
      </c>
      <c r="AX107" s="84" t="str">
        <f>IFERROR(VLOOKUP($B107,'LOD 400 - ADMN'!$B:CP,93,FALSE),"N/A")</f>
        <v>N/A</v>
      </c>
      <c r="AY107" s="84" t="str">
        <f>IFERROR(VLOOKUP($B107,'LOD 400 - ADMN'!$B:CS,96,FALSE),"N/A")</f>
        <v>N/A</v>
      </c>
      <c r="AZ107" s="84" t="str">
        <f>IFERROR(VLOOKUP($B107,'LOD 400 - ADMN'!$B:CV,99,FALSE),"N/A")</f>
        <v>N/A</v>
      </c>
      <c r="BA107" s="84" t="str">
        <f>IFERROR(VLOOKUP($B107,'LOD 400 - ADMN'!$B:CY,102,FALSE),"N/A")</f>
        <v>N/A</v>
      </c>
      <c r="BB107" s="84" t="str">
        <f>IFERROR(VLOOKUP($B107,'LOD 400 - ADMN'!$B:DB,105,FALSE),"N/A")</f>
        <v>N/A</v>
      </c>
      <c r="BC107" s="84" t="str">
        <f>IFERROR(VLOOKUP($B107,'LOD 400 - ADMN'!$B:DE,108,FALSE),"N/A")</f>
        <v>N/A</v>
      </c>
      <c r="BD107" s="84" t="str">
        <f>IFERROR(VLOOKUP($B107,'LOD 400 - ADMN'!$B:DH,111,FALSE),"N/A")</f>
        <v>N/A</v>
      </c>
      <c r="BE107" s="84" t="str">
        <f>IFERROR(VLOOKUP($B107,'LOD 400 - ADMN'!$B:DK,114,FALSE),"N/A")</f>
        <v>N/A</v>
      </c>
      <c r="BF107" s="84" t="str">
        <f>IFERROR(VLOOKUP($B107,'LOD 400 - ADMN'!$B:DN,117,FALSE),"N/A")</f>
        <v>N/A</v>
      </c>
      <c r="BG107" s="86" t="str">
        <f>IFERROR(__xludf.DUMMYFUNCTION("IFERROR(
  MAX(FILTER(Y107:BF107, ISNUMBER(Y107:BF107))),
  BF107
)"),"N/A")</f>
        <v>N/A</v>
      </c>
      <c r="BH107" s="79" t="str">
        <f>IFERROR(VLOOKUP($B107,'LOD 400 - COLO1'!B:S,18,FALSE),"N/A")</f>
        <v>N/A</v>
      </c>
      <c r="BI107" s="79" t="str">
        <f>IFERROR(VLOOKUP($B107,'LOD 400 - COLO1'!B:V,21,FALSE),"N/A")</f>
        <v>N/A</v>
      </c>
      <c r="BJ107" s="79" t="str">
        <f>IFERROR(VLOOKUP($B107,'LOD 400 - COLO1'!$B:Y,24,FALSE),"N/A")</f>
        <v>N/A</v>
      </c>
      <c r="BK107" s="87" t="str">
        <f>IFERROR(VLOOKUP($B107,'LOD 400 - COLO1'!$B:AB,27,FALSE),"N/A")</f>
        <v>N/A</v>
      </c>
      <c r="BL107" s="80" t="str">
        <f>IFERROR(VLOOKUP($B107,'LOD 400 - COLO1'!$B:AE,30,FALSE),"N/A")</f>
        <v>N/A</v>
      </c>
      <c r="BM107" s="81" t="str">
        <f>IFERROR(VLOOKUP($B107,'LOD 400 - COLO1'!$B:AH,33,FALSE),"N/A")</f>
        <v>N/A</v>
      </c>
      <c r="BN107" s="87" t="str">
        <f>IFERROR(VLOOKUP($B107,'LOD 400 - COLO1'!$B:AK,36,FALSE),"N/A")</f>
        <v>N/A</v>
      </c>
      <c r="BO107" s="83" t="str">
        <f>IFERROR(VLOOKUP($B107,'LOD 400 - COLO1'!$B:AN,39,FALSE),"N/A")</f>
        <v>N/A</v>
      </c>
      <c r="BP107" s="88" t="str">
        <f>IFERROR(VLOOKUP($B107,'LOD 400 - COLO1'!$B:AQ,42,FALSE),"N/A")</f>
        <v>N/A</v>
      </c>
      <c r="BQ107" s="84" t="str">
        <f>IFERROR(VLOOKUP($B107,'LOD 400 - COLO1'!$B:AT,45,FALSE),"N/A")</f>
        <v>N/A</v>
      </c>
      <c r="BR107" s="85" t="str">
        <f>IFERROR(VLOOKUP($B107,'LOD 400 - COLO1'!$B:AW,48,FALSE),"N/A")</f>
        <v>N/A</v>
      </c>
      <c r="BS107" s="84" t="str">
        <f>IFERROR(VLOOKUP($B107,'LOD 400 - COLO1'!$B:AZ,51,FALSE),"N/A")</f>
        <v>N/A</v>
      </c>
      <c r="BT107" s="84" t="str">
        <f>IFERROR(VLOOKUP($B107,'LOD 400 - COLO1'!$B:BC,54,FALSE),"N/A")</f>
        <v>N/A</v>
      </c>
      <c r="BU107" s="84" t="str">
        <f>IFERROR(VLOOKUP($B107,'LOD 400 - COLO1'!$B:BF,57,FALSE),"N/A")</f>
        <v>N/A</v>
      </c>
      <c r="BV107" s="84" t="str">
        <f>IFERROR(VLOOKUP($B107,'LOD 400 - COLO1'!$B:BI,60,FALSE),"N/A")</f>
        <v>N/A</v>
      </c>
      <c r="BW107" s="84" t="str">
        <f>IFERROR(VLOOKUP($B107,'LOD 400 - COLO1'!$B:BL,63,FALSE),"N/A")</f>
        <v>N/A</v>
      </c>
      <c r="BX107" s="84" t="str">
        <f>IFERROR(VLOOKUP($B107,'LOD 400 - COLO1'!$B:BO,66,FALSE),"N/A")</f>
        <v>N/A</v>
      </c>
      <c r="BY107" s="84" t="str">
        <f>IFERROR(VLOOKUP($B107,'LOD 400 - COLO1'!$B:BR,69,FALSE),"N/A")</f>
        <v>N/A</v>
      </c>
      <c r="BZ107" s="84" t="str">
        <f>IFERROR(VLOOKUP($B107,'LOD 400 - COLO1'!$B:BU,72,FALSE),"N/A")</f>
        <v>N/A</v>
      </c>
      <c r="CA107" s="84" t="str">
        <f>IFERROR(VLOOKUP($B107,'LOD 400 - COLO1'!$B:BX,75,FALSE),"N/A")</f>
        <v>N/A</v>
      </c>
      <c r="CB107" s="84" t="str">
        <f>IFERROR(VLOOKUP($B107,'LOD 400 - COLO1'!$B:CA,78,FALSE),"N/A")</f>
        <v>N/A</v>
      </c>
      <c r="CC107" s="84" t="str">
        <f>IFERROR(VLOOKUP($B107,'LOD 400 - COLO1'!$B:CD,81,FALSE),"N/A")</f>
        <v>N/A</v>
      </c>
      <c r="CD107" s="85" t="str">
        <f>IFERROR(VLOOKUP($B107,'LOD 400 - COLO1'!$B:CG,84,FALSE),"N/A")</f>
        <v>N/A</v>
      </c>
      <c r="CE107" s="84" t="str">
        <f>IFERROR(VLOOKUP($B107,'LOD 400 - COLO1'!$B:CJ,87,FALSE),"N/A")</f>
        <v>N/A</v>
      </c>
      <c r="CF107" s="85" t="str">
        <f>IFERROR(VLOOKUP($B107,'LOD 400 - COLO1'!$B:CM,90,FALSE),"N/A")</f>
        <v>N/A</v>
      </c>
      <c r="CG107" s="84" t="str">
        <f>IFERROR(VLOOKUP($B107,'LOD 400 - COLO1'!$B:CP,93,FALSE),"N/A")</f>
        <v>N/A</v>
      </c>
      <c r="CH107" s="84" t="str">
        <f>IFERROR(VLOOKUP($B107,'LOD 400 - COLO1'!$B:CS,96,FALSE),"N/A")</f>
        <v>N/A</v>
      </c>
      <c r="CI107" s="84" t="str">
        <f>IFERROR(VLOOKUP($B107,'LOD 400 - COLO1'!$B:CV,99,FALSE),"N/A")</f>
        <v>N/A</v>
      </c>
      <c r="CJ107" s="84" t="str">
        <f>IFERROR(VLOOKUP($B107,'LOD 400 - COLO1'!$B:CY,102,FALSE),"N/A")</f>
        <v>N/A</v>
      </c>
      <c r="CK107" s="84" t="str">
        <f>IFERROR(VLOOKUP($B107,'LOD 400 - COLO1'!$B:DB,105,FALSE),"N/A")</f>
        <v>N/A</v>
      </c>
      <c r="CL107" s="84" t="str">
        <f>IFERROR(VLOOKUP($B107,'LOD 400 - COLO1'!$B:DE,108,FALSE),"N/A")</f>
        <v>N/A</v>
      </c>
      <c r="CM107" s="84" t="str">
        <f>IFERROR(VLOOKUP($B107,'LOD 400 - COLO1'!$B:DH,111,FALSE),"N/A")</f>
        <v>N/A</v>
      </c>
      <c r="CN107" s="84" t="str">
        <f>IFERROR(VLOOKUP($B107,'LOD 400 - COLO1'!$B:DK,114,FALSE),"N/A")</f>
        <v>N/A</v>
      </c>
      <c r="CO107" s="84" t="str">
        <f>IFERROR(VLOOKUP($B107,'LOD 400 - COLO1'!$B:DN,117,FALSE),"N/A")</f>
        <v>N/A</v>
      </c>
      <c r="CP107" s="86" t="str">
        <f>IFERROR(__xludf.DUMMYFUNCTION("IFERROR(
  MAX(FILTER(BH107:CO107, ISNUMBER(BH107:CO107))),
  CO107
)"),"N/A")</f>
        <v>N/A</v>
      </c>
      <c r="CQ107" s="89" t="str">
        <f>IFERROR(VLOOKUP($B107,'LOD 400 - COLO2'!B:S,18,FALSE),"N/A")</f>
        <v>N/A</v>
      </c>
      <c r="CR107" s="79" t="str">
        <f>IFERROR(VLOOKUP($B107,'LOD 400 - COLO2'!B:V,21,FALSE),"N/A")</f>
        <v>N/A</v>
      </c>
      <c r="CS107" s="79" t="str">
        <f>IFERROR(VLOOKUP($B107,'LOD 400 - COLO2'!$B:Y,24,FALSE),"N/A")</f>
        <v>N/A</v>
      </c>
      <c r="CT107" s="80" t="str">
        <f>IFERROR(VLOOKUP($B107,'LOD 400 - COLO2'!$B:DQ,27,FALSE),"N/A")</f>
        <v>N/A</v>
      </c>
      <c r="CU107" s="90" t="str">
        <f>IFERROR(VLOOKUP($B107,'LOD 400 - COLO2'!$B:AE,30,FALSE),"N/A")</f>
        <v>N/A</v>
      </c>
      <c r="CV107" s="81" t="str">
        <f>IFERROR(VLOOKUP($B107,'LOD 400 - COLO2'!$B:AH,33,FALSE),"N/A")</f>
        <v>N/A</v>
      </c>
      <c r="CW107" s="90" t="str">
        <f>IFERROR(VLOOKUP($B107,'LOD 400 - COLO2'!$B:AK,36,FALSE),"N/A")</f>
        <v>N/A</v>
      </c>
      <c r="CX107" s="85" t="str">
        <f>IFERROR(VLOOKUP($B107,'LOD 400 - COLO2'!$B:AN,39,FALSE),"N/A")</f>
        <v>N/A</v>
      </c>
      <c r="CY107" s="88" t="str">
        <f>IFERROR(VLOOKUP($B107,'LOD 400 - COLO2'!$B:AQ,42,FALSE),"N/A")</f>
        <v>N/A</v>
      </c>
      <c r="CZ107" s="84" t="str">
        <f>IFERROR(VLOOKUP($B107,'LOD 400 - COLO2'!$B:AT,45,FALSE),"N/A")</f>
        <v>N/A</v>
      </c>
      <c r="DA107" s="85" t="str">
        <f>IFERROR(VLOOKUP($B107,'LOD 400 - COLO2'!$B:AW,48,FALSE),"N/A")</f>
        <v>N/A</v>
      </c>
      <c r="DB107" s="84" t="str">
        <f>IFERROR(VLOOKUP($B107,'LOD 400 - COLO2'!$B:AZ,51,FALSE),"N/A")</f>
        <v>N/A</v>
      </c>
      <c r="DC107" s="84" t="str">
        <f>IFERROR(VLOOKUP($B107,'LOD 400 - COLO2'!$B:BC,54,FALSE),"N/A")</f>
        <v>N/A</v>
      </c>
      <c r="DD107" s="84" t="str">
        <f>IFERROR(VLOOKUP($B107,'LOD 400 - COLO2'!$B:BF,57,FALSE),"N/A")</f>
        <v>N/A</v>
      </c>
      <c r="DE107" s="84" t="str">
        <f>IFERROR(VLOOKUP($B107,'LOD 400 - COLO2'!$B:BI,60,FALSE),"N/A")</f>
        <v>N/A</v>
      </c>
      <c r="DF107" s="84" t="str">
        <f>IFERROR(VLOOKUP($B107,'LOD 400 - COLO2'!$B:BL,63,FALSE),"N/A")</f>
        <v>N/A</v>
      </c>
      <c r="DG107" s="84" t="str">
        <f>IFERROR(VLOOKUP($B107,'LOD 400 - COLO2'!$B:BO,66,FALSE),"N/A")</f>
        <v>N/A</v>
      </c>
      <c r="DH107" s="84" t="str">
        <f>IFERROR(VLOOKUP($B107,'LOD 400 - COLO2'!$B:BR,69,FALSE),"N/A")</f>
        <v>N/A</v>
      </c>
      <c r="DI107" s="84" t="str">
        <f>IFERROR(VLOOKUP($B107,'LOD 400 - COLO2'!$B:BU,72,FALSE),"N/A")</f>
        <v>N/A</v>
      </c>
      <c r="DJ107" s="84" t="str">
        <f>IFERROR(VLOOKUP($B107,'LOD 400 - COLO2'!$B:BX,75,FALSE),"N/A")</f>
        <v>N/A</v>
      </c>
      <c r="DK107" s="84" t="str">
        <f>IFERROR(VLOOKUP($B107,'LOD 400 - COLO2'!$B:CA,78,FALSE),"N/A")</f>
        <v>N/A</v>
      </c>
      <c r="DL107" s="84" t="str">
        <f>IFERROR(VLOOKUP($B107,'LOD 400 - COLO2'!$B:CD,81,FALSE),"N/A")</f>
        <v>N/A</v>
      </c>
      <c r="DM107" s="85" t="str">
        <f>IFERROR(VLOOKUP($B107,'LOD 400 - COLO2'!$B:CG,84,FALSE),"N/A")</f>
        <v>N/A</v>
      </c>
      <c r="DN107" s="84" t="str">
        <f>IFERROR(VLOOKUP($B107,'LOD 400 - COLO2'!$B:CJ,87,FALSE),"N/A")</f>
        <v>N/A</v>
      </c>
      <c r="DO107" s="85" t="str">
        <f>IFERROR(VLOOKUP($B107,'LOD 400 - COLO2'!$B:CM,90,FALSE),"N/A")</f>
        <v>N/A</v>
      </c>
      <c r="DP107" s="84" t="str">
        <f>IFERROR(VLOOKUP($B107,'LOD 400 - COLO2'!$B:CP,93,FALSE),"N/A")</f>
        <v>N/A</v>
      </c>
      <c r="DQ107" s="84" t="str">
        <f>IFERROR(VLOOKUP($B107,'LOD 400 - COLO2'!$B:CS,96,FALSE),"N/A")</f>
        <v>N/A</v>
      </c>
      <c r="DR107" s="84" t="str">
        <f>IFERROR(VLOOKUP($B107,'LOD 400 - COLO2'!$B:CV,99,FALSE),"N/A")</f>
        <v>N/A</v>
      </c>
      <c r="DS107" s="84" t="str">
        <f>IFERROR(VLOOKUP($B107,'LOD 400 - COLO2'!$B:CY,102,FALSE),"N/A")</f>
        <v>N/A</v>
      </c>
      <c r="DT107" s="84" t="str">
        <f>IFERROR(VLOOKUP($B107,'LOD 400 - COLO2'!$B:DB,105,FALSE),"N/A")</f>
        <v>N/A</v>
      </c>
      <c r="DU107" s="84" t="str">
        <f>IFERROR(VLOOKUP($B107,'LOD 400 - COLO2'!$B:DE,108,FALSE),"N/A")</f>
        <v>N/A</v>
      </c>
      <c r="DV107" s="84" t="str">
        <f>IFERROR(VLOOKUP($B107,'LOD 400 - COLO2'!$B:DH,111,FALSE),"N/A")</f>
        <v>N/A</v>
      </c>
      <c r="DW107" s="84" t="str">
        <f>IFERROR(VLOOKUP($B107,'LOD 400 - COLO2'!$B:DK,114,FALSE),"N/A")</f>
        <v>N/A</v>
      </c>
      <c r="DX107" s="84" t="str">
        <f>IFERROR(VLOOKUP($B107,'LOD 400 - COLO2'!$B:DN,117,FALSE),"N/A")</f>
        <v>N/A</v>
      </c>
      <c r="DY107" s="91" t="str">
        <f>IFERROR(__xludf.DUMMYFUNCTION("IFERROR(
  MAX(FILTER(CQ107:DW107, ISNUMBER(CQ107:DW107))),
  DW107
)"),"N/A")</f>
        <v>N/A</v>
      </c>
      <c r="DZ107" s="92" t="str">
        <f>IFERROR(VLOOKUP($B107,'LOD 400 - COLO3'!B:S,18,FALSE),"N/A")</f>
        <v>N/A</v>
      </c>
      <c r="EA107" s="84" t="str">
        <f>IFERROR(VLOOKUP($B107,'LOD 400 - COLO3'!B:V,21,FALSE),"N/A")</f>
        <v>N/A</v>
      </c>
      <c r="EB107" s="84" t="str">
        <f>IFERROR(VLOOKUP($B107,'LOD 400 - COLO3'!B:Y,24,FALSE),"N/A")</f>
        <v>N/A</v>
      </c>
      <c r="EC107" s="84" t="str">
        <f>IFERROR(VLOOKUP($B107,'LOD 400 - COLO3'!B:AB,27,FALSE),"N/A")</f>
        <v>N/A</v>
      </c>
      <c r="ED107" s="85" t="str">
        <f>IFERROR(VLOOKUP($B107,'LOD 400 - COLO3'!B:AE,30,FALSE),"N/A")</f>
        <v>N/A</v>
      </c>
      <c r="EE107" s="84" t="str">
        <f>IFERROR(VLOOKUP($B107,'LOD 400 - COLO3'!B:AH,33,FALSE),"N/A")</f>
        <v>N/A</v>
      </c>
      <c r="EF107" s="84" t="str">
        <f>IFERROR(VLOOKUP($B107,'LOD 400 - COLO3'!B:AK,36,FALSE),"N/A")</f>
        <v>N/A</v>
      </c>
      <c r="EG107" s="109" t="str">
        <f>IFERROR(VLOOKUP($B107,'LOD 400 - COLO3'!B:AN,39,FALSE),"N/A")</f>
        <v>N/A</v>
      </c>
      <c r="EH107" s="94" t="str">
        <f>IFERROR(VLOOKUP($B107,'LOD 400 - COLO3'!B:AQ,42,FALSE),"N/A")</f>
        <v>N/A</v>
      </c>
      <c r="EI107" s="94" t="str">
        <f>IFERROR(VLOOKUP($B107,'LOD 400 - COLO3'!B:AT,45,FALSE),"N/A")</f>
        <v>N/A</v>
      </c>
      <c r="EJ107" s="94" t="str">
        <f>IFERROR(VLOOKUP($B107,'LOD 400 - COLO3'!B:AW,48,FALSE),"N/A")</f>
        <v>N/A</v>
      </c>
      <c r="EK107" s="94" t="str">
        <f>IFERROR(VLOOKUP($B107,'LOD 400 - COLO3'!B:AZ,51,FALSE),"N/A")</f>
        <v>N/A</v>
      </c>
      <c r="EL107" s="94" t="str">
        <f>IFERROR(VLOOKUP($B107,'LOD 400 - COLO3'!B:BC,54,FALSE),"N/A")</f>
        <v>N/A</v>
      </c>
      <c r="EM107" s="94" t="str">
        <f>IFERROR(VLOOKUP($B107,'LOD 400 - COLO3'!B:BF,57,FALSE),"N/A")</f>
        <v>N/A</v>
      </c>
      <c r="EN107" s="94" t="str">
        <f>IFERROR(VLOOKUP($B107,'LOD 400 - COLO3'!B:BI,60,FALSE),"N/A")</f>
        <v>N/A</v>
      </c>
      <c r="EO107" s="94" t="str">
        <f>IFERROR(VLOOKUP($B107,'LOD 400 - COLO3'!B:BL,63,FALSE),"N/A")</f>
        <v>N/A</v>
      </c>
      <c r="EP107" s="86" t="str">
        <f>IFERROR(__xludf.DUMMYFUNCTION("IFERROR(
  MAX(FILTER(DZ107:EO107, ISNUMBER(DZ107:EO107))),
  EO107
)"),"N/A")</f>
        <v>N/A</v>
      </c>
      <c r="EQ107" s="95" t="str">
        <f>IFERROR(VLOOKUP($B107,'LOD 400 - COLO4'!B:S,18,FALSE),"N/A")</f>
        <v>N/A</v>
      </c>
      <c r="ER107" s="96" t="str">
        <f>IFERROR(__xludf.DUMMYFUNCTION("IFERROR(
  MAX(FILTER(EQ107, ISNUMBER(EQ107))),
  EQ107
)"),"N/A")</f>
        <v>N/A</v>
      </c>
      <c r="ES107" s="79" t="str">
        <f>IFERROR(VLOOKUP($B107,'LOD 400 - SITE'!B:S,18,FALSE),"N/A")</f>
        <v>OUTDATED</v>
      </c>
      <c r="ET107" s="80" t="str">
        <f>IFERROR(VLOOKUP($B107,'LOD 400 - SITE'!B:V,21,FALSE),"N/A")</f>
        <v>OUTDATED</v>
      </c>
      <c r="EU107" s="97" t="str">
        <f>IFERROR(VLOOKUP($B107,'LOD 400 - SITE'!$B:Y,24,FALSE),"N/A")</f>
        <v>OUTDATED</v>
      </c>
      <c r="EV107" s="80" t="str">
        <f>IFERROR(VLOOKUP($B107,'LOD 400 - SITE'!$B:AB,27,FALSE),"N/A")</f>
        <v>OUTDATED</v>
      </c>
      <c r="EW107" s="81" t="str">
        <f>IFERROR(VLOOKUP($B107,'LOD 400 - SITE'!$B:AE,30,FALSE),"N/A")</f>
        <v>OUTDATED</v>
      </c>
      <c r="EX107" s="87">
        <f>IFERROR(VLOOKUP($B107,'LOD 400 - SITE'!$B:AH,33,FALSE),"N/A")</f>
        <v>1</v>
      </c>
      <c r="EY107" s="87">
        <f>IFERROR(VLOOKUP($B107,'LOD 400 - SITE'!$B:AK,36,FALSE),"N/A")</f>
        <v>1</v>
      </c>
      <c r="EZ107" s="80">
        <f>IFERROR(VLOOKUP($B107,'LOD 400 - SITE'!$B:AN,39,FALSE),"N/A")</f>
        <v>1</v>
      </c>
      <c r="FA107" s="82">
        <f>IFERROR(VLOOKUP($B107,'LOD 400 - SITE'!$B:AQ,42,FALSE),"N/A")</f>
        <v>1</v>
      </c>
      <c r="FB107" s="88">
        <f>IFERROR(VLOOKUP($B107,'LOD 400 - SITE'!$B:AT,45,FALSE),"N/A")</f>
        <v>1</v>
      </c>
      <c r="FC107" s="84">
        <f>IFERROR(VLOOKUP($B107,'LOD 400 - SITE'!$B:AW,48,FALSE),"N/A")</f>
        <v>1</v>
      </c>
      <c r="FD107" s="84">
        <f>IFERROR(VLOOKUP($B107,'LOD 400 - SITE'!$B:AZ,51,FALSE),"N/A")</f>
        <v>1</v>
      </c>
      <c r="FE107" s="84">
        <f>IFERROR(VLOOKUP($B107,'LOD 400 - SITE'!$B:BC,54,FALSE),"N/A")</f>
        <v>1</v>
      </c>
      <c r="FF107" s="84">
        <f>IFERROR(VLOOKUP($B107,'LOD 400 - SITE'!$B:BF,57,FALSE),"N/A")</f>
        <v>1</v>
      </c>
      <c r="FG107" s="84">
        <f>IFERROR(VLOOKUP($B107,'LOD 400 - SITE'!$B:BI,60,FALSE),"N/A")</f>
        <v>1</v>
      </c>
      <c r="FH107" s="84">
        <f>IFERROR(VLOOKUP($B107,'LOD 400 - SITE'!$B:BL,63,FALSE),"N/A")</f>
        <v>1</v>
      </c>
      <c r="FI107" s="84">
        <f>IFERROR(VLOOKUP($B107,'LOD 400 - SITE'!$B:BO,66,FALSE),"N/A")</f>
        <v>1</v>
      </c>
      <c r="FJ107" s="84">
        <f>IFERROR(VLOOKUP($B107,'LOD 400 - SITE'!$B:BR,69,FALSE),"N/A")</f>
        <v>1</v>
      </c>
      <c r="FK107" s="84">
        <f>IFERROR(VLOOKUP($B107,'LOD 400 - SITE'!$B:BU,72,FALSE),"N/A")</f>
        <v>1</v>
      </c>
      <c r="FL107" s="84">
        <f>IFERROR(VLOOKUP($B107,'LOD 400 - SITE'!$B:BX,75,FALSE),"N/A")</f>
        <v>1</v>
      </c>
      <c r="FM107" s="84">
        <f>IFERROR(VLOOKUP($B107,'LOD 400 - SITE'!$B:CA,78,FALSE),"N/A")</f>
        <v>1</v>
      </c>
      <c r="FN107" s="85">
        <f>IFERROR(VLOOKUP($B107,'LOD 400 - SITE'!$B:CD,81,FALSE),"N/A")</f>
        <v>1</v>
      </c>
      <c r="FO107" s="84">
        <f>IFERROR(VLOOKUP($B107,'LOD 400 - SITE'!$B:CG,84,FALSE),"N/A")</f>
        <v>1</v>
      </c>
      <c r="FP107" s="85">
        <f>IFERROR(VLOOKUP($B107,'LOD 400 - SITE'!$B:CJ,87,FALSE),"N/A")</f>
        <v>1</v>
      </c>
      <c r="FQ107" s="84">
        <f>IFERROR(VLOOKUP($B107,'LOD 400 - SITE'!$B:CM,90,FALSE),"N/A")</f>
        <v>1</v>
      </c>
      <c r="FR107" s="84">
        <f>IFERROR(VLOOKUP($B107,'LOD 400 - SITE'!$B:CP,93,FALSE),"N/A")</f>
        <v>1</v>
      </c>
      <c r="FS107" s="84">
        <f>IFERROR(VLOOKUP($B107,'LOD 400 - SITE'!$B:CS,96,FALSE),"N/A")</f>
        <v>1</v>
      </c>
      <c r="FT107" s="84">
        <f>IFERROR(VLOOKUP($B107,'LOD 400 - SITE'!$B:CV,99,FALSE),"N/A")</f>
        <v>1</v>
      </c>
      <c r="FU107" s="84">
        <f>IFERROR(VLOOKUP($B107,'LOD 400 - SITE'!$B:CY,102,FALSE),"N/A")</f>
        <v>1</v>
      </c>
      <c r="FV107" s="84">
        <f>IFERROR(VLOOKUP($B107,'LOD 400 - SITE'!$B:DB,105,FALSE),"N/A")</f>
        <v>1</v>
      </c>
      <c r="FW107" s="84">
        <f>IFERROR(VLOOKUP($B107,'LOD 400 - SITE'!$B:DE,108,FALSE),"N/A")</f>
        <v>1</v>
      </c>
      <c r="FX107" s="84">
        <f>IFERROR(VLOOKUP($B107,'LOD 400 - SITE'!$B:DH,111,FALSE),"N/A")</f>
        <v>1</v>
      </c>
      <c r="FY107" s="84">
        <f>IFERROR(VLOOKUP($B107,'LOD 400 - SITE'!$B:DK,114,FALSE),"N/A")</f>
        <v>1</v>
      </c>
      <c r="FZ107" s="96">
        <f>IFERROR(__xludf.DUMMYFUNCTION("IFERROR(
  MAX(FILTER(ES107:FY107, ISNUMBER(ES107:FY107))),
  FY107
)"),1.0)</f>
        <v>1</v>
      </c>
      <c r="GA107" s="80" t="str">
        <f>IFERROR(VLOOKUP($B107,'LOD 400 - UTLS'!B:S,18,FALSE),"N/A")</f>
        <v>N/A</v>
      </c>
      <c r="GB107" s="98" t="str">
        <f>IFERROR(VLOOKUP($B107,'LOD 400 - UTLS'!B:V,21,FALSE),"N/A")</f>
        <v>N/A</v>
      </c>
      <c r="GC107" s="81" t="str">
        <f>IFERROR(VLOOKUP($B107,'LOD 400 - UTLS'!B:Y,24,FALSE),"N/A")</f>
        <v>N/A</v>
      </c>
      <c r="GD107" s="87" t="str">
        <f>IFERROR(VLOOKUP($B107,'LOD 400 - UTLS'!$B:AB,27,FALSE),"N/A")</f>
        <v>N/A</v>
      </c>
      <c r="GE107" s="80" t="str">
        <f>IFERROR(VLOOKUP($B107,'LOD 400 - UTLS'!$B:AE,30,FALSE),"N/A")</f>
        <v>N/A</v>
      </c>
      <c r="GF107" s="82" t="str">
        <f>IFERROR(VLOOKUP($B107,'LOD 400 - UTLS'!$B:AH,33,FALSE),"N/A")</f>
        <v>N/A</v>
      </c>
      <c r="GG107" s="88" t="str">
        <f>IFERROR(VLOOKUP($B107,'LOD 400 - UTLS'!$B:AK,36,FALSE),"N/A")</f>
        <v>N/A</v>
      </c>
      <c r="GH107" s="84" t="str">
        <f>IFERROR(VLOOKUP($B107,'LOD 400 - UTLS'!$B:AN,39,FALSE),"N/A")</f>
        <v>N/A</v>
      </c>
      <c r="GI107" s="84" t="str">
        <f>IFERROR(VLOOKUP($B107,'LOD 400 - UTLS'!$B:AQ,42,FALSE),"N/A")</f>
        <v>N/A</v>
      </c>
      <c r="GJ107" s="84" t="str">
        <f>IFERROR(VLOOKUP($B107,'LOD 400 - UTLS'!$B:AT,45,FALSE),"N/A")</f>
        <v>N/A</v>
      </c>
      <c r="GK107" s="84" t="str">
        <f>IFERROR(VLOOKUP($B107,'LOD 400 - UTLS'!$B:AW,48,FALSE),"N/A")</f>
        <v>N/A</v>
      </c>
      <c r="GL107" s="84" t="str">
        <f>IFERROR(VLOOKUP($B107,'LOD 400 - UTLS'!$B:AZ,51,FALSE),"N/A")</f>
        <v>N/A</v>
      </c>
      <c r="GM107" s="84" t="str">
        <f>IFERROR(VLOOKUP($B107,'LOD 400 - UTLS'!$B:BC,54,FALSE),"N/A")</f>
        <v>N/A</v>
      </c>
      <c r="GN107" s="84" t="str">
        <f>IFERROR(VLOOKUP($B107,'LOD 400 - UTLS'!$B:BF,57,FALSE),"N/A")</f>
        <v>N/A</v>
      </c>
      <c r="GO107" s="84" t="str">
        <f>IFERROR(VLOOKUP($B107,'LOD 400 - UTLS'!$B:BI,60,FALSE),"N/A")</f>
        <v>N/A</v>
      </c>
      <c r="GP107" s="84" t="str">
        <f>IFERROR(VLOOKUP($B107,'LOD 400 - UTLS'!$B:BL,63,FALSE),"N/A")</f>
        <v>N/A</v>
      </c>
      <c r="GQ107" s="84" t="str">
        <f>IFERROR(VLOOKUP($B107,'LOD 400 - UTLS'!$B:BO,66,FALSE),"N/A")</f>
        <v>N/A</v>
      </c>
      <c r="GR107" s="84" t="str">
        <f>IFERROR(VLOOKUP($B107,'LOD 400 - UTLS'!$B:BR,69,FALSE),"N/A")</f>
        <v>N/A</v>
      </c>
      <c r="GS107" s="85" t="str">
        <f>IFERROR(VLOOKUP($B107,'LOD 400 - UTLS'!$B:BU,72,FALSE),"N/A")</f>
        <v>N/A</v>
      </c>
      <c r="GT107" s="84" t="str">
        <f>IFERROR(VLOOKUP($B107,'LOD 400 - UTLS'!$B:BX,75,FALSE),"N/A")</f>
        <v>N/A</v>
      </c>
      <c r="GU107" s="85" t="str">
        <f>IFERROR(VLOOKUP($B107,'LOD 400 - UTLS'!$B:CA,78,FALSE),"N/A")</f>
        <v>N/A</v>
      </c>
      <c r="GV107" s="84" t="str">
        <f>IFERROR(VLOOKUP($B107,'LOD 400 - UTLS'!$B:CD,81,FALSE),"N/A")</f>
        <v>N/A</v>
      </c>
      <c r="GW107" s="84" t="str">
        <f>IFERROR(VLOOKUP($B107,'LOD 400 - UTLS'!$B:CG,84,FALSE),"N/A")</f>
        <v>N/A</v>
      </c>
      <c r="GX107" s="84" t="str">
        <f>IFERROR(VLOOKUP($B107,'LOD 400 - UTLS'!$B:CJ,87,FALSE),"N/A")</f>
        <v>N/A</v>
      </c>
      <c r="GY107" s="84" t="str">
        <f>IFERROR(VLOOKUP($B107,'LOD 400 - UTLS'!$B:CM,90,FALSE),"N/A")</f>
        <v>N/A</v>
      </c>
      <c r="GZ107" s="84" t="str">
        <f>IFERROR(VLOOKUP($B107,'LOD 400 - UTLS'!$B:CP,93,FALSE),"N/A")</f>
        <v>N/A</v>
      </c>
      <c r="HA107" s="84" t="str">
        <f>IFERROR(VLOOKUP($B107,'LOD 400 - UTLS'!$B:CS,96,FALSE),"N/A")</f>
        <v>N/A</v>
      </c>
      <c r="HB107" s="84" t="str">
        <f>IFERROR(VLOOKUP($B107,'LOD 400 - UTLS'!$B:CV,99,FALSE),"N/A")</f>
        <v>N/A</v>
      </c>
      <c r="HC107" s="84" t="str">
        <f>IFERROR(VLOOKUP($B107,'LOD 400 - UTLS'!$B:CY,102,FALSE),"N/A")</f>
        <v>N/A</v>
      </c>
      <c r="HD107" s="84" t="str">
        <f>IFERROR(VLOOKUP($B107,'LOD 400 - UTLS'!$B:DB,105,FALSE),"N/A")</f>
        <v>N/A</v>
      </c>
      <c r="HE107" s="96" t="str">
        <f>IFERROR(__xludf.DUMMYFUNCTION("IFERROR(
  MAX(FILTER(GA107:HD107, ISNUMBER(GA107:HD107))),
  HD107
)"),"N/A")</f>
        <v>N/A</v>
      </c>
      <c r="HF107" s="99"/>
      <c r="HG107" s="99"/>
      <c r="HH107" s="99"/>
      <c r="HI107" s="99"/>
      <c r="HJ107" s="99"/>
      <c r="HK107" s="99"/>
    </row>
    <row r="108" ht="15.0" customHeight="1" outlineLevel="1">
      <c r="A108" s="53">
        <v>112.0</v>
      </c>
      <c r="B108" s="376" t="s">
        <v>297</v>
      </c>
      <c r="C108" s="376" t="s">
        <v>297</v>
      </c>
      <c r="D108" s="377" t="str">
        <f t="shared" si="17"/>
        <v>STIR</v>
      </c>
      <c r="E108" s="378" t="s">
        <v>289</v>
      </c>
      <c r="F108" s="379">
        <v>1125.0</v>
      </c>
      <c r="G108" s="380" t="s">
        <v>289</v>
      </c>
      <c r="H108" s="381">
        <v>1125.0</v>
      </c>
      <c r="I108" s="382" t="str">
        <f>IFERROR(VLOOKUP($C105:C108,'R22 RELATÓRIO ACC'!B:F,5,FALSE),"NOT PUBLISHED")</f>
        <v>V3</v>
      </c>
      <c r="J108" s="383" t="str">
        <f>IFERROR(VLOOKUP($C105:C108,'R22 RELATÓRIO ACC'!B:P,15,FALSE),"NOT PUBLISHED")</f>
        <v>31/10/2025</v>
      </c>
      <c r="K108" s="384" t="str">
        <f>IFERROR(VLOOKUP($B105:B108,'RELATÓRIO ACC'!B:F,5,FALSE),"NOT PUBLISHED")</f>
        <v>V1</v>
      </c>
      <c r="L108" s="385" t="str">
        <f>IFERROR(VLOOKUP($B105:B108,'RELATÓRIO ACC'!B:P,15,FALSE),"NOT PUBLISHED")</f>
        <v>21/05/2026</v>
      </c>
      <c r="M108" s="386" t="str">
        <f>IF(OR($D108="UTLS",$D108="GUAR",$D108="STIR",$D108="PUMP",$D108="SITE"),
   VLOOKUP($B108,'LOD 400 - SITE'!B:M,12,FALSE),
   VLOOKUP($B108,'LOD 400 - ADMN'!B:M,12,FALSE)
)</f>
        <v>V3</v>
      </c>
      <c r="N108" s="387" t="str">
        <f>IF(OR($D108="UTLS",$D108="GUAR",$D108="STIR",$D108="PUMP",$D108="SITE"),
   VLOOKUP($B108,'LOD 400 - SITE'!B:N,13,FALSE),
   VLOOKUP($B108,'LOD 400 - ADMN'!B:N,13,FALSE)
)</f>
        <v>31/10/2025</v>
      </c>
      <c r="O108" s="388" t="str">
        <f>IF(OR($D108="UTLS",$D108="GUAR",$D108="STIR",$D108="PUMP",$D108="SITE"),
   VLOOKUP($B108,'LOD 400 - SITE'!B:O,14,FALSE),
   VLOOKUP($B108,'LOD 400 - ADMN'!B:O,14,FALSE)
)</f>
        <v>R22</v>
      </c>
      <c r="P108" s="389" t="str">
        <f>IF(OR($D108="C345",$D108="C12A",$D108="DATA"),
   VLOOKUP($B108,'LOD 400 - COLO3'!B:M,12,FALSE),"N/A")</f>
        <v>N/A</v>
      </c>
      <c r="Q108" s="390" t="str">
        <f>IF(OR($D108="C345",$D108="C12A",$D108="DATA"),
   VLOOKUP($B108,'LOD 400 - COLO3'!B:N,13,FALSE),"N/A")</f>
        <v>N/A</v>
      </c>
      <c r="R108" s="391" t="str">
        <f>IF(OR($D108="C345",$D108="C12A",$D108="DATA"),
   VLOOKUP($B108,'LOD 400 - COLO3'!B:O,14,FALSE),"N/A")</f>
        <v>N/A</v>
      </c>
      <c r="S108" s="392" t="str">
        <f>IF(OR($D108="C345",$D108="C12A",$D108="DATA"),
   VLOOKUP($B108,'LOD 400 - COLO4'!B:N,12,FALSE),"N/A")</f>
        <v>N/A</v>
      </c>
      <c r="T108" s="392" t="str">
        <f>IF(OR($D108="C345",$D108="C12A",$D108="DATA"),
   VLOOKUP($B108,'LOD 400 - COLO4'!B:N,13,FALSE),"N/A")</f>
        <v>N/A</v>
      </c>
      <c r="U108" s="392" t="str">
        <f>IF(OR($D108="C345",$D108="C12A",$D108="DATA"),
   VLOOKUP($B108,'LOD 400 - COLO4'!B:N,13,FALSE),"N/A")</f>
        <v>N/A</v>
      </c>
      <c r="V108" s="393" t="str">
        <f>IF(OR($D108="UTLS",$D108="GUAR",$D108="STIR",$D108="PUMP",$D108="SITE"),
   VLOOKUP($B108,'LOD 400 - UTLS'!B:M,12,FALSE),"N/A")</f>
        <v>V3</v>
      </c>
      <c r="W108" s="391" t="str">
        <f>IF(OR($D108="UTLS",$D108="GUAR",$D108="STIR",$D108="PUMP",$D108="SITE"),
   VLOOKUP($B108,'LOD 400 - UTLS'!B:N,13,FALSE),"N/A")</f>
        <v>31/10/2025</v>
      </c>
      <c r="X108" s="390" t="str">
        <f>IF(OR($D108="UTLS",$D108="GUAR",$D108="STIR",$D108="PUMP",$D108="SITE"),
   VLOOKUP($B108,'LOD 400 - UTLS'!B:O,14,FALSE),"N/A")</f>
        <v>R22</v>
      </c>
      <c r="Y108" s="394" t="str">
        <f>IFERROR(VLOOKUP($B108,'LOD 400 - ADMN'!B:S,18,FALSE),"N/A")</f>
        <v>N/A</v>
      </c>
      <c r="Z108" s="394" t="str">
        <f>IFERROR(VLOOKUP($B108,'LOD 400 - ADMN'!B:V,21,FALSE),"N/A")</f>
        <v>N/A</v>
      </c>
      <c r="AA108" s="394" t="str">
        <f>IFERROR(VLOOKUP($B108,'LOD 400 - ADMN'!$B:Y,24,FALSE),"N/A")</f>
        <v>N/A</v>
      </c>
      <c r="AB108" s="395" t="str">
        <f>IFERROR(VLOOKUP($B108,'LOD 400 - ADMN'!$B:AB,27,FALSE),"N/A")</f>
        <v>N/A</v>
      </c>
      <c r="AC108" s="396" t="str">
        <f>IFERROR(VLOOKUP($B108,'LOD 400 - ADMN'!$B:AE,30,FALSE),"N/A")</f>
        <v>N/A</v>
      </c>
      <c r="AD108" s="396" t="str">
        <f>IFERROR(VLOOKUP($B108,'LOD 400 - ADMN'!$B:AH,33,FALSE),"N/A")</f>
        <v>N/A</v>
      </c>
      <c r="AE108" s="395" t="str">
        <f>IFERROR(VLOOKUP($B108,'LOD 400 - ADMN'!$B:AK,36,FALSE),"N/A")</f>
        <v>N/A</v>
      </c>
      <c r="AF108" s="397" t="str">
        <f>IFERROR(VLOOKUP($B108,'LOD 400 - ADMN'!$B:AN,39,FALSE),"N/A")</f>
        <v>N/A</v>
      </c>
      <c r="AG108" s="398" t="str">
        <f>IFERROR(VLOOKUP($B108,'LOD 400 - ADMN'!$B:AQ,42,FALSE),"N/A")</f>
        <v>N/A</v>
      </c>
      <c r="AH108" s="399" t="str">
        <f>IFERROR(VLOOKUP($B108,'LOD 400 - ADMN'!$B:AT,45,FALSE),"N/A")</f>
        <v>N/A</v>
      </c>
      <c r="AI108" s="400" t="str">
        <f>IFERROR(VLOOKUP($B108,'LOD 400 - ADMN'!$B:AW,48,FALSE),"N/A")</f>
        <v>N/A</v>
      </c>
      <c r="AJ108" s="400" t="str">
        <f>IFERROR(VLOOKUP($B108,'LOD 400 - ADMN'!$B:AZ,51,FALSE),"N/A")</f>
        <v>N/A</v>
      </c>
      <c r="AK108" s="399" t="str">
        <f>IFERROR(VLOOKUP($B108,'LOD 400 - ADMN'!$B:BC,54,FALSE),"N/A")</f>
        <v>N/A</v>
      </c>
      <c r="AL108" s="399" t="str">
        <f>IFERROR(VLOOKUP($B108,'LOD 400 - ADMN'!$B:BF,57,FALSE),"N/A")</f>
        <v>N/A</v>
      </c>
      <c r="AM108" s="399" t="str">
        <f>IFERROR(VLOOKUP($B108,'LOD 400 - ADMN'!$B:BI,60,FALSE),"N/A")</f>
        <v>N/A</v>
      </c>
      <c r="AN108" s="399" t="str">
        <f>IFERROR(VLOOKUP($B108,'LOD 400 - ADMN'!$B:BL,63,FALSE),"N/A")</f>
        <v>N/A</v>
      </c>
      <c r="AO108" s="399" t="str">
        <f>IFERROR(VLOOKUP($B108,'LOD 400 - ADMN'!$B:BO,66,FALSE),"N/A")</f>
        <v>N/A</v>
      </c>
      <c r="AP108" s="399" t="str">
        <f>IFERROR(VLOOKUP($B108,'LOD 400 - ADMN'!$B:BR,69,FALSE),"N/A")</f>
        <v>N/A</v>
      </c>
      <c r="AQ108" s="399" t="str">
        <f>IFERROR(VLOOKUP($B108,'LOD 400 - ADMN'!$B:BU,72,FALSE),"N/A")</f>
        <v>N/A</v>
      </c>
      <c r="AR108" s="399" t="str">
        <f>IFERROR(VLOOKUP($B108,'LOD 400 - ADMN'!$B:BX,75,FALSE),"N/A")</f>
        <v>N/A</v>
      </c>
      <c r="AS108" s="399" t="str">
        <f>IFERROR(VLOOKUP($B108,'LOD 400 - ADMN'!$B:CA,78,FALSE),"N/A")</f>
        <v>N/A</v>
      </c>
      <c r="AT108" s="399" t="str">
        <f>IFERROR(VLOOKUP($B108,'LOD 400 - ADMN'!$B:CD,81,FALSE),"N/A")</f>
        <v>N/A</v>
      </c>
      <c r="AU108" s="400" t="str">
        <f>IFERROR(VLOOKUP($B108,'LOD 400 - ADMN'!$B:CG,84,FALSE),"N/A")</f>
        <v>N/A</v>
      </c>
      <c r="AV108" s="399" t="str">
        <f>IFERROR(VLOOKUP($B108,'LOD 400 - ADMN'!$B:CJ,87,FALSE),"N/A")</f>
        <v>N/A</v>
      </c>
      <c r="AW108" s="400" t="str">
        <f>IFERROR(VLOOKUP($B108,'LOD 400 - ADMN'!$B:CM,90,FALSE),"N/A")</f>
        <v>N/A</v>
      </c>
      <c r="AX108" s="399" t="str">
        <f>IFERROR(VLOOKUP($B108,'LOD 400 - ADMN'!$B:CP,93,FALSE),"N/A")</f>
        <v>N/A</v>
      </c>
      <c r="AY108" s="399" t="str">
        <f>IFERROR(VLOOKUP($B108,'LOD 400 - ADMN'!$B:CS,96,FALSE),"N/A")</f>
        <v>N/A</v>
      </c>
      <c r="AZ108" s="399" t="str">
        <f>IFERROR(VLOOKUP($B108,'LOD 400 - ADMN'!$B:CV,99,FALSE),"N/A")</f>
        <v>N/A</v>
      </c>
      <c r="BA108" s="399" t="str">
        <f>IFERROR(VLOOKUP($B108,'LOD 400 - ADMN'!$B:CY,102,FALSE),"N/A")</f>
        <v>N/A</v>
      </c>
      <c r="BB108" s="399" t="str">
        <f>IFERROR(VLOOKUP($B108,'LOD 400 - ADMN'!$B:DB,105,FALSE),"N/A")</f>
        <v>N/A</v>
      </c>
      <c r="BC108" s="399" t="str">
        <f>IFERROR(VLOOKUP($B108,'LOD 400 - ADMN'!$B:DE,108,FALSE),"N/A")</f>
        <v>N/A</v>
      </c>
      <c r="BD108" s="399" t="str">
        <f>IFERROR(VLOOKUP($B108,'LOD 400 - ADMN'!$B:DH,111,FALSE),"N/A")</f>
        <v>N/A</v>
      </c>
      <c r="BE108" s="399" t="str">
        <f>IFERROR(VLOOKUP($B108,'LOD 400 - ADMN'!$B:DK,114,FALSE),"N/A")</f>
        <v>N/A</v>
      </c>
      <c r="BF108" s="399" t="str">
        <f>IFERROR(VLOOKUP($B108,'LOD 400 - ADMN'!$B:DN,117,FALSE),"N/A")</f>
        <v>N/A</v>
      </c>
      <c r="BG108" s="401" t="str">
        <f>IFERROR(__xludf.DUMMYFUNCTION("IFERROR(
  MAX(FILTER(Y108:BF108, ISNUMBER(Y108:BF108))),
  BF108
)"),"N/A")</f>
        <v>N/A</v>
      </c>
      <c r="BH108" s="394" t="str">
        <f>IFERROR(VLOOKUP($B108,'LOD 400 - COLO1'!B:S,18,FALSE),"N/A")</f>
        <v>N/A</v>
      </c>
      <c r="BI108" s="394" t="str">
        <f>IFERROR(VLOOKUP($B108,'LOD 400 - COLO1'!B:V,21,FALSE),"N/A")</f>
        <v>N/A</v>
      </c>
      <c r="BJ108" s="394" t="str">
        <f>IFERROR(VLOOKUP($B108,'LOD 400 - COLO1'!$B:Y,24,FALSE),"N/A")</f>
        <v>N/A</v>
      </c>
      <c r="BK108" s="402" t="str">
        <f>IFERROR(VLOOKUP($B108,'LOD 400 - COLO1'!$B:AB,27,FALSE),"N/A")</f>
        <v>N/A</v>
      </c>
      <c r="BL108" s="395" t="str">
        <f>IFERROR(VLOOKUP($B108,'LOD 400 - COLO1'!$B:AE,30,FALSE),"N/A")</f>
        <v>N/A</v>
      </c>
      <c r="BM108" s="396" t="str">
        <f>IFERROR(VLOOKUP($B108,'LOD 400 - COLO1'!$B:AH,33,FALSE),"N/A")</f>
        <v>N/A</v>
      </c>
      <c r="BN108" s="402" t="str">
        <f>IFERROR(VLOOKUP($B108,'LOD 400 - COLO1'!$B:AK,36,FALSE),"N/A")</f>
        <v>N/A</v>
      </c>
      <c r="BO108" s="398" t="str">
        <f>IFERROR(VLOOKUP($B108,'LOD 400 - COLO1'!$B:AN,39,FALSE),"N/A")</f>
        <v>N/A</v>
      </c>
      <c r="BP108" s="403" t="str">
        <f>IFERROR(VLOOKUP($B108,'LOD 400 - COLO1'!$B:AQ,42,FALSE),"N/A")</f>
        <v>N/A</v>
      </c>
      <c r="BQ108" s="399" t="str">
        <f>IFERROR(VLOOKUP($B108,'LOD 400 - COLO1'!$B:AT,45,FALSE),"N/A")</f>
        <v>N/A</v>
      </c>
      <c r="BR108" s="400" t="str">
        <f>IFERROR(VLOOKUP($B108,'LOD 400 - COLO1'!$B:AW,48,FALSE),"N/A")</f>
        <v>N/A</v>
      </c>
      <c r="BS108" s="399" t="str">
        <f>IFERROR(VLOOKUP($B108,'LOD 400 - COLO1'!$B:AZ,51,FALSE),"N/A")</f>
        <v>N/A</v>
      </c>
      <c r="BT108" s="399" t="str">
        <f>IFERROR(VLOOKUP($B108,'LOD 400 - COLO1'!$B:BC,54,FALSE),"N/A")</f>
        <v>N/A</v>
      </c>
      <c r="BU108" s="399" t="str">
        <f>IFERROR(VLOOKUP($B108,'LOD 400 - COLO1'!$B:BF,57,FALSE),"N/A")</f>
        <v>N/A</v>
      </c>
      <c r="BV108" s="399" t="str">
        <f>IFERROR(VLOOKUP($B108,'LOD 400 - COLO1'!$B:BI,60,FALSE),"N/A")</f>
        <v>N/A</v>
      </c>
      <c r="BW108" s="399" t="str">
        <f>IFERROR(VLOOKUP($B108,'LOD 400 - COLO1'!$B:BL,63,FALSE),"N/A")</f>
        <v>N/A</v>
      </c>
      <c r="BX108" s="399" t="str">
        <f>IFERROR(VLOOKUP($B108,'LOD 400 - COLO1'!$B:BO,66,FALSE),"N/A")</f>
        <v>N/A</v>
      </c>
      <c r="BY108" s="399" t="str">
        <f>IFERROR(VLOOKUP($B108,'LOD 400 - COLO1'!$B:BR,69,FALSE),"N/A")</f>
        <v>N/A</v>
      </c>
      <c r="BZ108" s="399" t="str">
        <f>IFERROR(VLOOKUP($B108,'LOD 400 - COLO1'!$B:BU,72,FALSE),"N/A")</f>
        <v>N/A</v>
      </c>
      <c r="CA108" s="399" t="str">
        <f>IFERROR(VLOOKUP($B108,'LOD 400 - COLO1'!$B:BX,75,FALSE),"N/A")</f>
        <v>N/A</v>
      </c>
      <c r="CB108" s="399" t="str">
        <f>IFERROR(VLOOKUP($B108,'LOD 400 - COLO1'!$B:CA,78,FALSE),"N/A")</f>
        <v>N/A</v>
      </c>
      <c r="CC108" s="399" t="str">
        <f>IFERROR(VLOOKUP($B108,'LOD 400 - COLO1'!$B:CD,81,FALSE),"N/A")</f>
        <v>N/A</v>
      </c>
      <c r="CD108" s="400" t="str">
        <f>IFERROR(VLOOKUP($B108,'LOD 400 - COLO1'!$B:CG,84,FALSE),"N/A")</f>
        <v>N/A</v>
      </c>
      <c r="CE108" s="399" t="str">
        <f>IFERROR(VLOOKUP($B108,'LOD 400 - COLO1'!$B:CJ,87,FALSE),"N/A")</f>
        <v>N/A</v>
      </c>
      <c r="CF108" s="400" t="str">
        <f>IFERROR(VLOOKUP($B108,'LOD 400 - COLO1'!$B:CM,90,FALSE),"N/A")</f>
        <v>N/A</v>
      </c>
      <c r="CG108" s="399" t="str">
        <f>IFERROR(VLOOKUP($B108,'LOD 400 - COLO1'!$B:CP,93,FALSE),"N/A")</f>
        <v>N/A</v>
      </c>
      <c r="CH108" s="399" t="str">
        <f>IFERROR(VLOOKUP($B108,'LOD 400 - COLO1'!$B:CS,96,FALSE),"N/A")</f>
        <v>N/A</v>
      </c>
      <c r="CI108" s="399" t="str">
        <f>IFERROR(VLOOKUP($B108,'LOD 400 - COLO1'!$B:CV,99,FALSE),"N/A")</f>
        <v>N/A</v>
      </c>
      <c r="CJ108" s="399" t="str">
        <f>IFERROR(VLOOKUP($B108,'LOD 400 - COLO1'!$B:CY,102,FALSE),"N/A")</f>
        <v>N/A</v>
      </c>
      <c r="CK108" s="399" t="str">
        <f>IFERROR(VLOOKUP($B108,'LOD 400 - COLO1'!$B:DB,105,FALSE),"N/A")</f>
        <v>N/A</v>
      </c>
      <c r="CL108" s="399" t="str">
        <f>IFERROR(VLOOKUP($B108,'LOD 400 - COLO1'!$B:DE,108,FALSE),"N/A")</f>
        <v>N/A</v>
      </c>
      <c r="CM108" s="399" t="str">
        <f>IFERROR(VLOOKUP($B108,'LOD 400 - COLO1'!$B:DH,111,FALSE),"N/A")</f>
        <v>N/A</v>
      </c>
      <c r="CN108" s="399" t="str">
        <f>IFERROR(VLOOKUP($B108,'LOD 400 - COLO1'!$B:DK,114,FALSE),"N/A")</f>
        <v>N/A</v>
      </c>
      <c r="CO108" s="399" t="str">
        <f>IFERROR(VLOOKUP($B108,'LOD 400 - COLO1'!$B:DN,117,FALSE),"N/A")</f>
        <v>N/A</v>
      </c>
      <c r="CP108" s="401" t="str">
        <f>IFERROR(__xludf.DUMMYFUNCTION("IFERROR(
  MAX(FILTER(BH108:CO108, ISNUMBER(BH108:CO108))),
  CO108
)"),"N/A")</f>
        <v>N/A</v>
      </c>
      <c r="CQ108" s="404" t="str">
        <f>IFERROR(VLOOKUP($B108,'LOD 400 - COLO2'!B:S,18,FALSE),"N/A")</f>
        <v>N/A</v>
      </c>
      <c r="CR108" s="394" t="str">
        <f>IFERROR(VLOOKUP($B108,'LOD 400 - COLO2'!B:V,21,FALSE),"N/A")</f>
        <v>N/A</v>
      </c>
      <c r="CS108" s="394" t="str">
        <f>IFERROR(VLOOKUP($B108,'LOD 400 - COLO2'!$B:Y,24,FALSE),"N/A")</f>
        <v>N/A</v>
      </c>
      <c r="CT108" s="395" t="str">
        <f>IFERROR(VLOOKUP($B108,'LOD 400 - COLO2'!$B:DQ,27,FALSE),"N/A")</f>
        <v>N/A</v>
      </c>
      <c r="CU108" s="405" t="str">
        <f>IFERROR(VLOOKUP($B108,'LOD 400 - COLO2'!$B:AE,30,FALSE),"N/A")</f>
        <v>N/A</v>
      </c>
      <c r="CV108" s="396" t="str">
        <f>IFERROR(VLOOKUP($B108,'LOD 400 - COLO2'!$B:AH,33,FALSE),"N/A")</f>
        <v>N/A</v>
      </c>
      <c r="CW108" s="405" t="str">
        <f>IFERROR(VLOOKUP($B108,'LOD 400 - COLO2'!$B:AK,36,FALSE),"N/A")</f>
        <v>N/A</v>
      </c>
      <c r="CX108" s="400" t="str">
        <f>IFERROR(VLOOKUP($B108,'LOD 400 - COLO2'!$B:AN,39,FALSE),"N/A")</f>
        <v>N/A</v>
      </c>
      <c r="CY108" s="403" t="str">
        <f>IFERROR(VLOOKUP($B108,'LOD 400 - COLO2'!$B:AQ,42,FALSE),"N/A")</f>
        <v>N/A</v>
      </c>
      <c r="CZ108" s="399" t="str">
        <f>IFERROR(VLOOKUP($B108,'LOD 400 - COLO2'!$B:AT,45,FALSE),"N/A")</f>
        <v>N/A</v>
      </c>
      <c r="DA108" s="400" t="str">
        <f>IFERROR(VLOOKUP($B108,'LOD 400 - COLO2'!$B:AW,48,FALSE),"N/A")</f>
        <v>N/A</v>
      </c>
      <c r="DB108" s="399" t="str">
        <f>IFERROR(VLOOKUP($B108,'LOD 400 - COLO2'!$B:AZ,51,FALSE),"N/A")</f>
        <v>N/A</v>
      </c>
      <c r="DC108" s="399" t="str">
        <f>IFERROR(VLOOKUP($B108,'LOD 400 - COLO2'!$B:BC,54,FALSE),"N/A")</f>
        <v>N/A</v>
      </c>
      <c r="DD108" s="399" t="str">
        <f>IFERROR(VLOOKUP($B108,'LOD 400 - COLO2'!$B:BF,57,FALSE),"N/A")</f>
        <v>N/A</v>
      </c>
      <c r="DE108" s="399" t="str">
        <f>IFERROR(VLOOKUP($B108,'LOD 400 - COLO2'!$B:BI,60,FALSE),"N/A")</f>
        <v>N/A</v>
      </c>
      <c r="DF108" s="399" t="str">
        <f>IFERROR(VLOOKUP($B108,'LOD 400 - COLO2'!$B:BL,63,FALSE),"N/A")</f>
        <v>N/A</v>
      </c>
      <c r="DG108" s="399" t="str">
        <f>IFERROR(VLOOKUP($B108,'LOD 400 - COLO2'!$B:BO,66,FALSE),"N/A")</f>
        <v>N/A</v>
      </c>
      <c r="DH108" s="399" t="str">
        <f>IFERROR(VLOOKUP($B108,'LOD 400 - COLO2'!$B:BR,69,FALSE),"N/A")</f>
        <v>N/A</v>
      </c>
      <c r="DI108" s="399" t="str">
        <f>IFERROR(VLOOKUP($B108,'LOD 400 - COLO2'!$B:BU,72,FALSE),"N/A")</f>
        <v>N/A</v>
      </c>
      <c r="DJ108" s="399" t="str">
        <f>IFERROR(VLOOKUP($B108,'LOD 400 - COLO2'!$B:BX,75,FALSE),"N/A")</f>
        <v>N/A</v>
      </c>
      <c r="DK108" s="399" t="str">
        <f>IFERROR(VLOOKUP($B108,'LOD 400 - COLO2'!$B:CA,78,FALSE),"N/A")</f>
        <v>N/A</v>
      </c>
      <c r="DL108" s="399" t="str">
        <f>IFERROR(VLOOKUP($B108,'LOD 400 - COLO2'!$B:CD,81,FALSE),"N/A")</f>
        <v>N/A</v>
      </c>
      <c r="DM108" s="400" t="str">
        <f>IFERROR(VLOOKUP($B108,'LOD 400 - COLO2'!$B:CG,84,FALSE),"N/A")</f>
        <v>N/A</v>
      </c>
      <c r="DN108" s="399" t="str">
        <f>IFERROR(VLOOKUP($B108,'LOD 400 - COLO2'!$B:CJ,87,FALSE),"N/A")</f>
        <v>N/A</v>
      </c>
      <c r="DO108" s="400" t="str">
        <f>IFERROR(VLOOKUP($B108,'LOD 400 - COLO2'!$B:CM,90,FALSE),"N/A")</f>
        <v>N/A</v>
      </c>
      <c r="DP108" s="399" t="str">
        <f>IFERROR(VLOOKUP($B108,'LOD 400 - COLO2'!$B:CP,93,FALSE),"N/A")</f>
        <v>N/A</v>
      </c>
      <c r="DQ108" s="399" t="str">
        <f>IFERROR(VLOOKUP($B108,'LOD 400 - COLO2'!$B:CS,96,FALSE),"N/A")</f>
        <v>N/A</v>
      </c>
      <c r="DR108" s="399" t="str">
        <f>IFERROR(VLOOKUP($B108,'LOD 400 - COLO2'!$B:CV,99,FALSE),"N/A")</f>
        <v>N/A</v>
      </c>
      <c r="DS108" s="399" t="str">
        <f>IFERROR(VLOOKUP($B108,'LOD 400 - COLO2'!$B:CY,102,FALSE),"N/A")</f>
        <v>N/A</v>
      </c>
      <c r="DT108" s="399" t="str">
        <f>IFERROR(VLOOKUP($B108,'LOD 400 - COLO2'!$B:DB,105,FALSE),"N/A")</f>
        <v>N/A</v>
      </c>
      <c r="DU108" s="399" t="str">
        <f>IFERROR(VLOOKUP($B108,'LOD 400 - COLO2'!$B:DE,108,FALSE),"N/A")</f>
        <v>N/A</v>
      </c>
      <c r="DV108" s="399" t="str">
        <f>IFERROR(VLOOKUP($B108,'LOD 400 - COLO2'!$B:DH,111,FALSE),"N/A")</f>
        <v>N/A</v>
      </c>
      <c r="DW108" s="399" t="str">
        <f>IFERROR(VLOOKUP($B108,'LOD 400 - COLO2'!$B:DK,114,FALSE),"N/A")</f>
        <v>N/A</v>
      </c>
      <c r="DX108" s="399" t="str">
        <f>IFERROR(VLOOKUP($B108,'LOD 400 - COLO2'!$B:DN,117,FALSE),"N/A")</f>
        <v>N/A</v>
      </c>
      <c r="DY108" s="406" t="str">
        <f>IFERROR(__xludf.DUMMYFUNCTION("IFERROR(
  MAX(FILTER(CQ108:DW108, ISNUMBER(CQ108:DW108))),
  DW108
)"),"N/A")</f>
        <v>N/A</v>
      </c>
      <c r="DZ108" s="407" t="str">
        <f>IFERROR(VLOOKUP($B108,'LOD 400 - COLO3'!B:S,18,FALSE),"N/A")</f>
        <v>N/A</v>
      </c>
      <c r="EA108" s="399" t="str">
        <f>IFERROR(VLOOKUP($B108,'LOD 400 - COLO3'!B:V,21,FALSE),"N/A")</f>
        <v>N/A</v>
      </c>
      <c r="EB108" s="399" t="str">
        <f>IFERROR(VLOOKUP($B108,'LOD 400 - COLO3'!B:Y,24,FALSE),"N/A")</f>
        <v>N/A</v>
      </c>
      <c r="EC108" s="399" t="str">
        <f>IFERROR(VLOOKUP($B108,'LOD 400 - COLO3'!B:AB,27,FALSE),"N/A")</f>
        <v>N/A</v>
      </c>
      <c r="ED108" s="400" t="str">
        <f>IFERROR(VLOOKUP($B108,'LOD 400 - COLO3'!B:AE,30,FALSE),"N/A")</f>
        <v>N/A</v>
      </c>
      <c r="EE108" s="399" t="str">
        <f>IFERROR(VLOOKUP($B108,'LOD 400 - COLO3'!B:AH,33,FALSE),"N/A")</f>
        <v>N/A</v>
      </c>
      <c r="EF108" s="399" t="str">
        <f>IFERROR(VLOOKUP($B108,'LOD 400 - COLO3'!B:AK,36,FALSE),"N/A")</f>
        <v>N/A</v>
      </c>
      <c r="EG108" s="408" t="str">
        <f>IFERROR(VLOOKUP($B108,'LOD 400 - COLO3'!B:AN,39,FALSE),"N/A")</f>
        <v>N/A</v>
      </c>
      <c r="EH108" s="409" t="str">
        <f>IFERROR(VLOOKUP($B108,'LOD 400 - COLO3'!B:AQ,42,FALSE),"N/A")</f>
        <v>N/A</v>
      </c>
      <c r="EI108" s="409" t="str">
        <f>IFERROR(VLOOKUP($B108,'LOD 400 - COLO3'!B:AT,45,FALSE),"N/A")</f>
        <v>N/A</v>
      </c>
      <c r="EJ108" s="409" t="str">
        <f>IFERROR(VLOOKUP($B108,'LOD 400 - COLO3'!B:AW,48,FALSE),"N/A")</f>
        <v>N/A</v>
      </c>
      <c r="EK108" s="409" t="str">
        <f>IFERROR(VLOOKUP($B108,'LOD 400 - COLO3'!B:AZ,51,FALSE),"N/A")</f>
        <v>N/A</v>
      </c>
      <c r="EL108" s="409" t="str">
        <f>IFERROR(VLOOKUP($B108,'LOD 400 - COLO3'!B:BC,54,FALSE),"N/A")</f>
        <v>N/A</v>
      </c>
      <c r="EM108" s="409" t="str">
        <f>IFERROR(VLOOKUP($B108,'LOD 400 - COLO3'!B:BF,57,FALSE),"N/A")</f>
        <v>N/A</v>
      </c>
      <c r="EN108" s="409" t="str">
        <f>IFERROR(VLOOKUP($B108,'LOD 400 - COLO3'!B:BI,60,FALSE),"N/A")</f>
        <v>N/A</v>
      </c>
      <c r="EO108" s="409" t="str">
        <f>IFERROR(VLOOKUP($B108,'LOD 400 - COLO3'!B:BL,63,FALSE),"N/A")</f>
        <v>N/A</v>
      </c>
      <c r="EP108" s="401" t="str">
        <f>IFERROR(__xludf.DUMMYFUNCTION("IFERROR(
  MAX(FILTER(DZ108:EO108, ISNUMBER(DZ108:EO108))),
  EO108
)"),"N/A")</f>
        <v>N/A</v>
      </c>
      <c r="EQ108" s="95" t="str">
        <f>IFERROR(VLOOKUP($B108,'LOD 400 - COLO4'!B:S,18,FALSE),"N/A")</f>
        <v>N/A</v>
      </c>
      <c r="ER108" s="410" t="str">
        <f>IFERROR(__xludf.DUMMYFUNCTION("IFERROR(
  MAX(FILTER(EQ108, ISNUMBER(EQ108))),
  EQ108
)"),"N/A")</f>
        <v>N/A</v>
      </c>
      <c r="ES108" s="394" t="str">
        <f>IFERROR(VLOOKUP($B108,'LOD 400 - SITE'!B:S,18,FALSE),"N/A")</f>
        <v>OUTDATED</v>
      </c>
      <c r="ET108" s="395" t="str">
        <f>IFERROR(VLOOKUP($B108,'LOD 400 - SITE'!B:V,21,FALSE),"N/A")</f>
        <v>OUTDATED</v>
      </c>
      <c r="EU108" s="411" t="str">
        <f>IFERROR(VLOOKUP($B108,'LOD 400 - SITE'!$B:Y,24,FALSE),"N/A")</f>
        <v>OUTDATED</v>
      </c>
      <c r="EV108" s="395" t="str">
        <f>IFERROR(VLOOKUP($B108,'LOD 400 - SITE'!$B:AB,27,FALSE),"N/A")</f>
        <v>OUTDATED</v>
      </c>
      <c r="EW108" s="396">
        <f>IFERROR(VLOOKUP($B108,'LOD 400 - SITE'!$B:AE,30,FALSE),"N/A")</f>
        <v>1</v>
      </c>
      <c r="EX108" s="402">
        <f>IFERROR(VLOOKUP($B108,'LOD 400 - SITE'!$B:AH,33,FALSE),"N/A")</f>
        <v>1</v>
      </c>
      <c r="EY108" s="402">
        <f>IFERROR(VLOOKUP($B108,'LOD 400 - SITE'!$B:AK,36,FALSE),"N/A")</f>
        <v>1</v>
      </c>
      <c r="EZ108" s="395">
        <f>IFERROR(VLOOKUP($B108,'LOD 400 - SITE'!$B:AN,39,FALSE),"N/A")</f>
        <v>1</v>
      </c>
      <c r="FA108" s="397">
        <f>IFERROR(VLOOKUP($B108,'LOD 400 - SITE'!$B:AQ,42,FALSE),"N/A")</f>
        <v>1</v>
      </c>
      <c r="FB108" s="403">
        <f>IFERROR(VLOOKUP($B108,'LOD 400 - SITE'!$B:AT,45,FALSE),"N/A")</f>
        <v>1</v>
      </c>
      <c r="FC108" s="399">
        <f>IFERROR(VLOOKUP($B108,'LOD 400 - SITE'!$B:AW,48,FALSE),"N/A")</f>
        <v>1</v>
      </c>
      <c r="FD108" s="399">
        <f>IFERROR(VLOOKUP($B108,'LOD 400 - SITE'!$B:AZ,51,FALSE),"N/A")</f>
        <v>1</v>
      </c>
      <c r="FE108" s="399">
        <f>IFERROR(VLOOKUP($B108,'LOD 400 - SITE'!$B:BC,54,FALSE),"N/A")</f>
        <v>1</v>
      </c>
      <c r="FF108" s="399">
        <f>IFERROR(VLOOKUP($B108,'LOD 400 - SITE'!$B:BF,57,FALSE),"N/A")</f>
        <v>1</v>
      </c>
      <c r="FG108" s="399">
        <f>IFERROR(VLOOKUP($B108,'LOD 400 - SITE'!$B:BI,60,FALSE),"N/A")</f>
        <v>1</v>
      </c>
      <c r="FH108" s="399">
        <f>IFERROR(VLOOKUP($B108,'LOD 400 - SITE'!$B:BL,63,FALSE),"N/A")</f>
        <v>1</v>
      </c>
      <c r="FI108" s="399">
        <f>IFERROR(VLOOKUP($B108,'LOD 400 - SITE'!$B:BO,66,FALSE),"N/A")</f>
        <v>1</v>
      </c>
      <c r="FJ108" s="399">
        <f>IFERROR(VLOOKUP($B108,'LOD 400 - SITE'!$B:BR,69,FALSE),"N/A")</f>
        <v>1</v>
      </c>
      <c r="FK108" s="399">
        <f>IFERROR(VLOOKUP($B108,'LOD 400 - SITE'!$B:BU,72,FALSE),"N/A")</f>
        <v>1</v>
      </c>
      <c r="FL108" s="399">
        <f>IFERROR(VLOOKUP($B108,'LOD 400 - SITE'!$B:BX,75,FALSE),"N/A")</f>
        <v>1</v>
      </c>
      <c r="FM108" s="399">
        <f>IFERROR(VLOOKUP($B108,'LOD 400 - SITE'!$B:CA,78,FALSE),"N/A")</f>
        <v>1</v>
      </c>
      <c r="FN108" s="400">
        <f>IFERROR(VLOOKUP($B108,'LOD 400 - SITE'!$B:CD,81,FALSE),"N/A")</f>
        <v>1</v>
      </c>
      <c r="FO108" s="399">
        <f>IFERROR(VLOOKUP($B108,'LOD 400 - SITE'!$B:CG,84,FALSE),"N/A")</f>
        <v>1</v>
      </c>
      <c r="FP108" s="400">
        <f>IFERROR(VLOOKUP($B108,'LOD 400 - SITE'!$B:CJ,87,FALSE),"N/A")</f>
        <v>1</v>
      </c>
      <c r="FQ108" s="399">
        <f>IFERROR(VLOOKUP($B108,'LOD 400 - SITE'!$B:CM,90,FALSE),"N/A")</f>
        <v>1</v>
      </c>
      <c r="FR108" s="399">
        <f>IFERROR(VLOOKUP($B108,'LOD 400 - SITE'!$B:CP,93,FALSE),"N/A")</f>
        <v>1</v>
      </c>
      <c r="FS108" s="399">
        <f>IFERROR(VLOOKUP($B108,'LOD 400 - SITE'!$B:CS,96,FALSE),"N/A")</f>
        <v>1</v>
      </c>
      <c r="FT108" s="399">
        <f>IFERROR(VLOOKUP($B108,'LOD 400 - SITE'!$B:CV,99,FALSE),"N/A")</f>
        <v>1</v>
      </c>
      <c r="FU108" s="399">
        <f>IFERROR(VLOOKUP($B108,'LOD 400 - SITE'!$B:CY,102,FALSE),"N/A")</f>
        <v>1</v>
      </c>
      <c r="FV108" s="399">
        <f>IFERROR(VLOOKUP($B108,'LOD 400 - SITE'!$B:DB,105,FALSE),"N/A")</f>
        <v>1</v>
      </c>
      <c r="FW108" s="399">
        <f>IFERROR(VLOOKUP($B108,'LOD 400 - SITE'!$B:DE,108,FALSE),"N/A")</f>
        <v>1</v>
      </c>
      <c r="FX108" s="399">
        <f>IFERROR(VLOOKUP($B108,'LOD 400 - SITE'!$B:DH,111,FALSE),"N/A")</f>
        <v>1</v>
      </c>
      <c r="FY108" s="399">
        <f>IFERROR(VLOOKUP($B108,'LOD 400 - SITE'!$B:DK,114,FALSE),"N/A")</f>
        <v>1</v>
      </c>
      <c r="FZ108" s="410">
        <f>IFERROR(__xludf.DUMMYFUNCTION("IFERROR(
  MAX(FILTER(ES108:FY108, ISNUMBER(ES108:FY108))),
  FY108
)"),1.0)</f>
        <v>1</v>
      </c>
      <c r="GA108" s="395" t="str">
        <f>IFERROR(VLOOKUP($B108,'LOD 400 - UTLS'!B:S,18,FALSE),"N/A")</f>
        <v>OUTDATED</v>
      </c>
      <c r="GB108" s="412" t="str">
        <f>IFERROR(VLOOKUP($B108,'LOD 400 - UTLS'!B:V,21,FALSE),"N/A")</f>
        <v>OUTDATED</v>
      </c>
      <c r="GC108" s="396">
        <f>IFERROR(VLOOKUP($B108,'LOD 400 - UTLS'!B:Y,24,FALSE),"N/A")</f>
        <v>1</v>
      </c>
      <c r="GD108" s="402">
        <f>IFERROR(VLOOKUP($B108,'LOD 400 - UTLS'!$B:AB,27,FALSE),"N/A")</f>
        <v>1</v>
      </c>
      <c r="GE108" s="395">
        <f>IFERROR(VLOOKUP($B108,'LOD 400 - UTLS'!$B:AE,30,FALSE),"N/A")</f>
        <v>1</v>
      </c>
      <c r="GF108" s="397">
        <f>IFERROR(VLOOKUP($B108,'LOD 400 - UTLS'!$B:AH,33,FALSE),"N/A")</f>
        <v>1</v>
      </c>
      <c r="GG108" s="403">
        <f>IFERROR(VLOOKUP($B108,'LOD 400 - UTLS'!$B:AK,36,FALSE),"N/A")</f>
        <v>1</v>
      </c>
      <c r="GH108" s="399">
        <f>IFERROR(VLOOKUP($B108,'LOD 400 - UTLS'!$B:AN,39,FALSE),"N/A")</f>
        <v>1</v>
      </c>
      <c r="GI108" s="399">
        <f>IFERROR(VLOOKUP($B108,'LOD 400 - UTLS'!$B:AQ,42,FALSE),"N/A")</f>
        <v>1</v>
      </c>
      <c r="GJ108" s="399">
        <f>IFERROR(VLOOKUP($B108,'LOD 400 - UTLS'!$B:AT,45,FALSE),"N/A")</f>
        <v>1</v>
      </c>
      <c r="GK108" s="399">
        <f>IFERROR(VLOOKUP($B108,'LOD 400 - UTLS'!$B:AW,48,FALSE),"N/A")</f>
        <v>1</v>
      </c>
      <c r="GL108" s="399">
        <f>IFERROR(VLOOKUP($B108,'LOD 400 - UTLS'!$B:AZ,51,FALSE),"N/A")</f>
        <v>1</v>
      </c>
      <c r="GM108" s="399">
        <f>IFERROR(VLOOKUP($B108,'LOD 400 - UTLS'!$B:BC,54,FALSE),"N/A")</f>
        <v>1</v>
      </c>
      <c r="GN108" s="399">
        <f>IFERROR(VLOOKUP($B108,'LOD 400 - UTLS'!$B:BF,57,FALSE),"N/A")</f>
        <v>1</v>
      </c>
      <c r="GO108" s="399">
        <f>IFERROR(VLOOKUP($B108,'LOD 400 - UTLS'!$B:BI,60,FALSE),"N/A")</f>
        <v>1</v>
      </c>
      <c r="GP108" s="399">
        <f>IFERROR(VLOOKUP($B108,'LOD 400 - UTLS'!$B:BL,63,FALSE),"N/A")</f>
        <v>1</v>
      </c>
      <c r="GQ108" s="399">
        <f>IFERROR(VLOOKUP($B108,'LOD 400 - UTLS'!$B:BO,66,FALSE),"N/A")</f>
        <v>1</v>
      </c>
      <c r="GR108" s="399">
        <f>IFERROR(VLOOKUP($B108,'LOD 400 - UTLS'!$B:BR,69,FALSE),"N/A")</f>
        <v>1</v>
      </c>
      <c r="GS108" s="400">
        <f>IFERROR(VLOOKUP($B108,'LOD 400 - UTLS'!$B:BU,72,FALSE),"N/A")</f>
        <v>1</v>
      </c>
      <c r="GT108" s="399">
        <f>IFERROR(VLOOKUP($B108,'LOD 400 - UTLS'!$B:BX,75,FALSE),"N/A")</f>
        <v>1</v>
      </c>
      <c r="GU108" s="400">
        <f>IFERROR(VLOOKUP($B108,'LOD 400 - UTLS'!$B:CA,78,FALSE),"N/A")</f>
        <v>1</v>
      </c>
      <c r="GV108" s="399">
        <f>IFERROR(VLOOKUP($B108,'LOD 400 - UTLS'!$B:CD,81,FALSE),"N/A")</f>
        <v>1</v>
      </c>
      <c r="GW108" s="399">
        <f>IFERROR(VLOOKUP($B108,'LOD 400 - UTLS'!$B:CG,84,FALSE),"N/A")</f>
        <v>1</v>
      </c>
      <c r="GX108" s="399">
        <f>IFERROR(VLOOKUP($B108,'LOD 400 - UTLS'!$B:CJ,87,FALSE),"N/A")</f>
        <v>1</v>
      </c>
      <c r="GY108" s="399">
        <f>IFERROR(VLOOKUP($B108,'LOD 400 - UTLS'!$B:CM,90,FALSE),"N/A")</f>
        <v>1</v>
      </c>
      <c r="GZ108" s="399">
        <f>IFERROR(VLOOKUP($B108,'LOD 400 - UTLS'!$B:CP,93,FALSE),"N/A")</f>
        <v>1</v>
      </c>
      <c r="HA108" s="399">
        <f>IFERROR(VLOOKUP($B108,'LOD 400 - UTLS'!$B:CS,96,FALSE),"N/A")</f>
        <v>1</v>
      </c>
      <c r="HB108" s="399">
        <f>IFERROR(VLOOKUP($B108,'LOD 400 - UTLS'!$B:CV,99,FALSE),"N/A")</f>
        <v>1</v>
      </c>
      <c r="HC108" s="399">
        <f>IFERROR(VLOOKUP($B108,'LOD 400 - UTLS'!$B:CY,102,FALSE),"N/A")</f>
        <v>1</v>
      </c>
      <c r="HD108" s="399">
        <f>IFERROR(VLOOKUP($B108,'LOD 400 - UTLS'!$B:DB,105,FALSE),"N/A")</f>
        <v>1</v>
      </c>
      <c r="HE108" s="410">
        <f>IFERROR(__xludf.DUMMYFUNCTION("IFERROR(
  MAX(FILTER(GA108:HD108, ISNUMBER(GA108:HD108))),
  HD108
)"),1.0)</f>
        <v>1</v>
      </c>
      <c r="HF108" s="99"/>
      <c r="HG108" s="99"/>
      <c r="HH108" s="99"/>
      <c r="HI108" s="99"/>
      <c r="HJ108" s="99"/>
      <c r="HK108" s="99"/>
    </row>
  </sheetData>
  <autoFilter ref="$A$3:$HJ$108">
    <filterColumn colId="10">
      <filters>
        <filter val="V6"/>
        <filter val="NOT PUBLISHED"/>
        <filter val="V1"/>
        <filter val="V2"/>
        <filter val="V3"/>
        <filter val="V4"/>
        <filter val="V5"/>
      </filters>
    </filterColumn>
    <sortState ref="A3:HJ108">
      <sortCondition ref="A3:A108"/>
      <sortCondition ref="B3:B108"/>
      <sortCondition ref="GF3:GF108"/>
      <sortCondition ref="FA3:FA108"/>
      <sortCondition ref="BQ3:BQ108"/>
      <sortCondition ref="AH3:AH108"/>
    </sortState>
  </autoFilter>
  <mergeCells count="9">
    <mergeCell ref="ES2:FZ2"/>
    <mergeCell ref="GA2:HE2"/>
    <mergeCell ref="D1:GX1"/>
    <mergeCell ref="M2:X2"/>
    <mergeCell ref="Y2:BG2"/>
    <mergeCell ref="BH2:CP2"/>
    <mergeCell ref="CQ2:DY2"/>
    <mergeCell ref="DZ2:EP2"/>
    <mergeCell ref="EQ2:ER2"/>
  </mergeCells>
  <conditionalFormatting sqref="AA5:BF108 BJ5:CO108 CS5:DX108 DZ5:EO108 EU5:FY108 GA5:HD108 ES10:ET108 BH31 CQ31 CQ34">
    <cfRule type="containsText" dxfId="0" priority="1" operator="containsText" text="NEXT ROUND">
      <formula>NOT(ISERROR(SEARCH(("NEXT ROUND"),(AA5))))</formula>
    </cfRule>
  </conditionalFormatting>
  <conditionalFormatting sqref="HE1:HE2 Y2:AM108 AN2:BF3 BG2 BH2:CO108 CP2 CQ2:DX108 DY2 DZ2:EO108 EP2:ER2 ES2:FY108 FZ2 GA2:HD108 CP4 DY4 EP4:ER4 FZ4 HE4 AN5:BF108">
    <cfRule type="cellIs" dxfId="1" priority="2" operator="greaterThanOrEqual">
      <formula>"70%"</formula>
    </cfRule>
  </conditionalFormatting>
  <conditionalFormatting sqref="HE1:HE2 Y2:AM108 AN2:BF3 BG2 BH2:CO108 CP2 CQ2:DX108 DY2 DZ2:EO108 EP2:ER2 ES2:FY108 FZ2 GA2:HD108 CP4 DY4 EP4:ER4 FZ4 HE4 AN5:BF108">
    <cfRule type="cellIs" dxfId="2" priority="3" operator="between">
      <formula>"49%"</formula>
      <formula>"69%"</formula>
    </cfRule>
  </conditionalFormatting>
  <conditionalFormatting sqref="HE1:HE2 Y2:AM108 AN2:BF3 BG2 BH2:CO108 CP2 CQ2:DX108 DY2 DZ2:EO108 EP2:ER2 ES2:FY108 FZ2 GA2:HD108 CP4 DY4 EP4:ER4 FZ4 HE4 AN5:BF108">
    <cfRule type="cellIs" dxfId="3" priority="4" operator="between">
      <formula>"0%"</formula>
      <formula>"50%"</formula>
    </cfRule>
  </conditionalFormatting>
  <conditionalFormatting sqref="I3:M3 V3">
    <cfRule type="cellIs" dxfId="4" priority="5" operator="equal">
      <formula>"VERSION"</formula>
    </cfRule>
  </conditionalFormatting>
  <conditionalFormatting sqref="M5:M108 P5:P108 S5:V108">
    <cfRule type="expression" dxfId="2" priority="6">
      <formula>IFERROR(ARRAYFORMULA(VALUE(MID(K5,2,10))) &gt; VALUE(MID(M5,2,10)), FALSE)</formula>
    </cfRule>
  </conditionalFormatting>
  <conditionalFormatting sqref="I2:K108 S8:U8 S14:U16 S24:U26 S84:U84 S89:U89 S98:U99">
    <cfRule type="beginsWith" dxfId="5" priority="7" operator="beginsWith" text="V">
      <formula>LEFT((I2),LEN("V"))=("V")</formula>
    </cfRule>
  </conditionalFormatting>
  <conditionalFormatting sqref="Y5:BF108 BH5:CO108 CQ5:DX108 DZ5:EO108 ES5:FY108 GA5:HD108">
    <cfRule type="cellIs" dxfId="6" priority="8" operator="equal">
      <formula>"OUTDATED"</formula>
    </cfRule>
  </conditionalFormatting>
  <conditionalFormatting sqref="AA5:BF108 BJ5:CO108 CS5:DX108 DZ5:EO108 EU5:FY108 GA5:HD108 BH31 CQ31 CQ34 ET108">
    <cfRule type="cellIs" dxfId="7" priority="9" operator="equal">
      <formula>"ANALYSING"</formula>
    </cfRule>
  </conditionalFormatting>
  <conditionalFormatting sqref="S5:V108">
    <cfRule type="expression" dxfId="2" priority="10">
      <formula>IFERROR(ARRAYFORMULA(VALUE(MID(H5,2,10))) &gt; VALUE(MID(S5,2,10)), FALSE)</formula>
    </cfRule>
  </conditionalFormatting>
  <conditionalFormatting sqref="M5:M108 P5:P108 S5:V108">
    <cfRule type="beginsWith" dxfId="8" priority="11" operator="beginsWith" text="V">
      <formula>LEFT((M5),LEN("V"))=("V")</formula>
    </cfRule>
  </conditionalFormatting>
  <conditionalFormatting sqref="AA5:BF108 BJ5:CO108 CS5:DX108 DZ5:EO108 EU5:FY108 GA5:HD108 BH31 CQ31 CQ34 ET108">
    <cfRule type="cellIs" dxfId="9" priority="12" operator="equal">
      <formula>"IMPROPER"</formula>
    </cfRule>
  </conditionalFormatting>
  <conditionalFormatting sqref="Y5:BF108 BH5:CO108 CQ5:DX108 DZ5:EO108 ES5:FY108 GA5:HD108">
    <cfRule type="cellIs" dxfId="10" priority="13" operator="equal">
      <formula>"NOT PUBLISHED"</formula>
    </cfRule>
  </conditionalFormatting>
  <conditionalFormatting sqref="O5:O108 R5:R108 X5:X108 U100:U108">
    <cfRule type="cellIs" dxfId="11" priority="14" operator="equal">
      <formula>"R24"</formula>
    </cfRule>
  </conditionalFormatting>
  <conditionalFormatting sqref="O5:O108 R5:R108 X5:X108 U100:U108">
    <cfRule type="cellIs" dxfId="12" priority="15" operator="equal">
      <formula>"R22"</formula>
    </cfRule>
  </conditionalFormatting>
  <conditionalFormatting sqref="EQ5:EQ108">
    <cfRule type="containsText" dxfId="10" priority="16" operator="containsText" text="NOT PUBLISHED">
      <formula>NOT(ISERROR(SEARCH(("NOT PUBLISHED"),(EQ5))))</formula>
    </cfRule>
  </conditionalFormatting>
  <conditionalFormatting sqref="EQ5:EQ108">
    <cfRule type="cellIs" dxfId="3" priority="17" operator="between">
      <formula>"0%"</formula>
      <formula>"49%"</formula>
    </cfRule>
  </conditionalFormatting>
  <printOptions gridLines="1" horizontalCentered="1" verticalCentered="1"/>
  <pageMargins bottom="0.75" footer="0.0" header="0.0" left="0.25" right="0.25" top="0.75"/>
  <pageSetup fitToHeight="0" paperSize="9"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hidden="1" min="1" max="1" width="5.38"/>
    <col customWidth="1" min="2" max="2" width="52.25"/>
    <col customWidth="1" min="3" max="3" width="22.88"/>
    <col customWidth="1" min="4" max="9" width="17.25"/>
    <col customWidth="1" min="10" max="10" width="17.13"/>
    <col hidden="1" min="11" max="11" width="12.63"/>
    <col customWidth="1" min="12" max="12" width="16.75"/>
    <col customWidth="1" min="13" max="13" width="20.0"/>
    <col customWidth="1" min="14" max="14" width="16.75"/>
  </cols>
  <sheetData>
    <row r="1">
      <c r="A1" s="413"/>
      <c r="B1" s="414" t="s">
        <v>298</v>
      </c>
      <c r="C1" s="415" t="s">
        <v>299</v>
      </c>
      <c r="D1" s="23" t="s">
        <v>2</v>
      </c>
      <c r="E1" s="23" t="s">
        <v>3</v>
      </c>
      <c r="F1" s="23" t="s">
        <v>4</v>
      </c>
      <c r="G1" s="416" t="s">
        <v>300</v>
      </c>
      <c r="H1" s="23" t="s">
        <v>5</v>
      </c>
      <c r="I1" s="417" t="s">
        <v>301</v>
      </c>
      <c r="J1" s="23" t="s">
        <v>6</v>
      </c>
      <c r="K1" s="23" t="s">
        <v>302</v>
      </c>
      <c r="L1" s="418" t="s">
        <v>7</v>
      </c>
      <c r="M1" s="419" t="s">
        <v>303</v>
      </c>
      <c r="N1" s="420" t="s">
        <v>8</v>
      </c>
    </row>
    <row r="2">
      <c r="A2" s="421">
        <v>1.0</v>
      </c>
      <c r="B2" s="422" t="s">
        <v>77</v>
      </c>
      <c r="C2" s="423"/>
      <c r="D2" s="424"/>
      <c r="E2" s="424"/>
      <c r="F2" s="424"/>
      <c r="G2" s="424"/>
      <c r="H2" s="424"/>
      <c r="I2" s="424"/>
      <c r="J2" s="424"/>
      <c r="K2" s="424"/>
      <c r="L2" s="424"/>
      <c r="M2" s="424"/>
      <c r="N2" s="425"/>
    </row>
    <row r="3">
      <c r="A3" s="421">
        <v>2.0</v>
      </c>
      <c r="B3" s="426" t="s">
        <v>78</v>
      </c>
      <c r="C3" s="427" t="str">
        <f>VLOOKUP(B3,'LOD 400 - CONTROL'!B:M,12,FALSE)</f>
        <v>V3</v>
      </c>
      <c r="D3" s="428">
        <f>VLOOKUP(B3,'LOD 400 - CONTROL'!$B:$BG,58,FALSE)</f>
        <v>0.81</v>
      </c>
      <c r="E3" s="428">
        <f>VLOOKUP(B3,'LOD 400 - CONTROL'!$B:$CP,93,FALSE)</f>
        <v>1</v>
      </c>
      <c r="F3" s="429">
        <f>VLOOKUP(B3,'LOD 400 - CONTROL'!$B:$DY,128,FALSE)</f>
        <v>1</v>
      </c>
      <c r="G3" s="430" t="str">
        <f>VLOOKUP(B3,'LOD 400 - CONTROL'!B:P,15,FALSE)</f>
        <v>V3</v>
      </c>
      <c r="H3" s="429">
        <f>VLOOKUP(B3,'LOD 400 - CONTROL'!$B:$EP,145,FALSE)</f>
        <v>1</v>
      </c>
      <c r="I3" s="431" t="str">
        <f>VLOOKUP(B3,'LOD 400 - CONTROL'!B:S,18,FALSE)</f>
        <v>N/A</v>
      </c>
      <c r="J3" s="429">
        <f>VLOOKUP(B3,'LOD 400 - CONTROL'!$B:$ER,147,FALSE)</f>
        <v>0</v>
      </c>
      <c r="L3" s="432" t="str">
        <f>VLOOKUP(B3,'LOD 400 - CONTROL'!$B:$FZ,181,FALSE)</f>
        <v>N/A</v>
      </c>
      <c r="M3" s="433" t="str">
        <f>VLOOKUP(B3,'LOD 400 - CONTROL'!B:V,21,FALSE)</f>
        <v>N/A</v>
      </c>
      <c r="N3" s="434" t="str">
        <f>VLOOKUP(B3,'LOD 400 - CONTROL'!$B:$HE,212,FALSE)</f>
        <v>N/A</v>
      </c>
    </row>
    <row r="4">
      <c r="A4" s="421">
        <v>3.0</v>
      </c>
      <c r="B4" s="63" t="s">
        <v>81</v>
      </c>
      <c r="C4" s="427" t="str">
        <f>VLOOKUP(B4,'LOD 400 - CONTROL'!B:M,12,FALSE)</f>
        <v>V4</v>
      </c>
      <c r="D4" s="428" t="str">
        <f>VLOOKUP(B4,'LOD 400 - CONTROL'!$B:$BG,58,FALSE)</f>
        <v>N/A</v>
      </c>
      <c r="E4" s="428" t="str">
        <f>VLOOKUP(B4,'LOD 400 - CONTROL'!$B:$CP,93,FALSE)</f>
        <v>N/A</v>
      </c>
      <c r="F4" s="429" t="str">
        <f>VLOOKUP(B4,'LOD 400 - CONTROL'!$B:$DY,128,FALSE)</f>
        <v>N/A</v>
      </c>
      <c r="G4" s="430" t="str">
        <f>VLOOKUP(B4,'LOD 400 - CONTROL'!B:P,15,FALSE)</f>
        <v>N/A</v>
      </c>
      <c r="H4" s="429" t="str">
        <f>VLOOKUP(B4,'LOD 400 - CONTROL'!$B:$EP,145,FALSE)</f>
        <v>N/A</v>
      </c>
      <c r="I4" s="431" t="str">
        <f>VLOOKUP(B4,'LOD 400 - CONTROL'!B:S,18,FALSE)</f>
        <v>N/A</v>
      </c>
      <c r="J4" s="429" t="str">
        <f>VLOOKUP(B4,'LOD 400 - CONTROL'!$B:$ER,147,FALSE)</f>
        <v>N/A</v>
      </c>
      <c r="L4" s="432">
        <f>VLOOKUP(B4,'LOD 400 - CONTROL'!$B:$FZ,181,FALSE)</f>
        <v>1</v>
      </c>
      <c r="M4" s="433" t="str">
        <f>VLOOKUP(B4,'LOD 400 - CONTROL'!B:V,21,FALSE)</f>
        <v>V3</v>
      </c>
      <c r="N4" s="434">
        <f>VLOOKUP(B4,'LOD 400 - CONTROL'!$B:$HE,212,FALSE)</f>
        <v>1</v>
      </c>
    </row>
    <row r="5">
      <c r="A5" s="421">
        <v>9.0</v>
      </c>
      <c r="B5" s="100" t="s">
        <v>83</v>
      </c>
      <c r="C5" s="427" t="str">
        <f>VLOOKUP(B5,'LOD 400 - CONTROL'!B:M,12,FALSE)</f>
        <v>V4</v>
      </c>
      <c r="D5" s="428" t="str">
        <f>VLOOKUP(B5,'LOD 400 - CONTROL'!$B:$BG,58,FALSE)</f>
        <v>N/A</v>
      </c>
      <c r="E5" s="428" t="str">
        <f>VLOOKUP(B5,'LOD 400 - CONTROL'!$B:$CP,93,FALSE)</f>
        <v>N/A</v>
      </c>
      <c r="F5" s="429" t="str">
        <f>VLOOKUP(B5,'LOD 400 - CONTROL'!$B:$DY,128,FALSE)</f>
        <v>N/A</v>
      </c>
      <c r="G5" s="430" t="str">
        <f>VLOOKUP(B5,'LOD 400 - CONTROL'!B:P,15,FALSE)</f>
        <v>N/A</v>
      </c>
      <c r="H5" s="429" t="str">
        <f>VLOOKUP(B5,'LOD 400 - CONTROL'!$B:$EP,145,FALSE)</f>
        <v>N/A</v>
      </c>
      <c r="I5" s="431" t="str">
        <f>VLOOKUP(B5,'LOD 400 - CONTROL'!B:S,18,FALSE)</f>
        <v>N/A</v>
      </c>
      <c r="J5" s="429" t="str">
        <f>VLOOKUP(B5,'LOD 400 - CONTROL'!$B:$ER,147,FALSE)</f>
        <v>N/A</v>
      </c>
      <c r="L5" s="432">
        <f>VLOOKUP(B5,'LOD 400 - CONTROL'!$B:$FZ,181,FALSE)</f>
        <v>1</v>
      </c>
      <c r="M5" s="433" t="str">
        <f>VLOOKUP(B5,'LOD 400 - CONTROL'!B:V,21,FALSE)</f>
        <v>V5</v>
      </c>
      <c r="N5" s="434">
        <f>VLOOKUP(B5,'LOD 400 - CONTROL'!$B:$HE,212,FALSE)</f>
        <v>0.85</v>
      </c>
    </row>
    <row r="6">
      <c r="A6" s="421">
        <v>10.0</v>
      </c>
      <c r="B6" s="100" t="s">
        <v>86</v>
      </c>
      <c r="C6" s="427" t="str">
        <f>VLOOKUP(B6,'LOD 400 - CONTROL'!B:M,12,FALSE)</f>
        <v>NOT PUBLISHED</v>
      </c>
      <c r="D6" s="428" t="str">
        <f>VLOOKUP(B6,'LOD 400 - CONTROL'!$B:$BG,58,FALSE)</f>
        <v>NOT PUBLISHED</v>
      </c>
      <c r="E6" s="428" t="str">
        <f>VLOOKUP(B6,'LOD 400 - CONTROL'!$B:$CP,93,FALSE)</f>
        <v>NOT PUBLISHED</v>
      </c>
      <c r="F6" s="429" t="str">
        <f>VLOOKUP(B6,'LOD 400 - CONTROL'!$B:$DY,128,FALSE)</f>
        <v>NOT PUBLISHED</v>
      </c>
      <c r="G6" s="430" t="str">
        <f>VLOOKUP(B6,'LOD 400 - CONTROL'!B:P,15,FALSE)</f>
        <v>NOT PUBLISHED</v>
      </c>
      <c r="H6" s="429" t="str">
        <f>VLOOKUP(B6,'LOD 400 - CONTROL'!$B:$EP,145,FALSE)</f>
        <v>NOT PUBLISHED</v>
      </c>
      <c r="I6" s="435" t="str">
        <f>VLOOKUP(B6,'LOD 400 - CONTROL'!B:S,18,FALSE)</f>
        <v>NOT PUBLISHED</v>
      </c>
      <c r="J6" s="429" t="str">
        <f>VLOOKUP(B6,'LOD 400 - CONTROL'!$B:$ER,147,FALSE)</f>
        <v>NOT PUBLISHED</v>
      </c>
      <c r="L6" s="432" t="str">
        <f>VLOOKUP(B6,'LOD 400 - CONTROL'!$B:$FZ,181,FALSE)</f>
        <v>N/A</v>
      </c>
      <c r="M6" s="433" t="str">
        <f>VLOOKUP(B6,'LOD 400 - CONTROL'!B:V,21,FALSE)</f>
        <v>N/A</v>
      </c>
      <c r="N6" s="434" t="str">
        <f>VLOOKUP(B6,'LOD 400 - CONTROL'!$B:$HE,212,FALSE)</f>
        <v>N/A</v>
      </c>
    </row>
    <row r="7">
      <c r="A7" s="421">
        <v>11.0</v>
      </c>
      <c r="B7" s="100" t="s">
        <v>89</v>
      </c>
      <c r="C7" s="427" t="str">
        <f>VLOOKUP(B7,'LOD 400 - CONTROL'!B:M,12,FALSE)</f>
        <v>V1</v>
      </c>
      <c r="D7" s="428">
        <f>VLOOKUP(B7,'LOD 400 - CONTROL'!$B:$BG,58,FALSE)</f>
        <v>1</v>
      </c>
      <c r="E7" s="428">
        <f>VLOOKUP(B7,'LOD 400 - CONTROL'!$B:$CP,93,FALSE)</f>
        <v>1</v>
      </c>
      <c r="F7" s="429">
        <f>VLOOKUP(B7,'LOD 400 - CONTROL'!$B:$DY,128,FALSE)</f>
        <v>0.9</v>
      </c>
      <c r="G7" s="430" t="str">
        <f>VLOOKUP(B7,'LOD 400 - CONTROL'!B:P,15,FALSE)</f>
        <v>V1</v>
      </c>
      <c r="H7" s="429">
        <f>VLOOKUP(B7,'LOD 400 - CONTROL'!$B:$EP,145,FALSE)</f>
        <v>1</v>
      </c>
      <c r="I7" s="431" t="str">
        <f>VLOOKUP(B7,'LOD 400 - CONTROL'!B:S,18,FALSE)</f>
        <v>N/A</v>
      </c>
      <c r="J7" s="429">
        <f>VLOOKUP(B7,'LOD 400 - CONTROL'!$B:$ER,147,FALSE)</f>
        <v>0</v>
      </c>
      <c r="L7" s="432" t="str">
        <f>VLOOKUP(B7,'LOD 400 - CONTROL'!$B:$FZ,181,FALSE)</f>
        <v>N/A</v>
      </c>
      <c r="M7" s="433" t="str">
        <f>VLOOKUP(B7,'LOD 400 - CONTROL'!B:V,21,FALSE)</f>
        <v>N/A</v>
      </c>
      <c r="N7" s="434" t="str">
        <f>VLOOKUP(B7,'LOD 400 - CONTROL'!$B:$HE,212,FALSE)</f>
        <v>N/A</v>
      </c>
    </row>
    <row r="8">
      <c r="A8" s="421">
        <v>12.0</v>
      </c>
      <c r="B8" s="100" t="s">
        <v>93</v>
      </c>
      <c r="C8" s="427" t="str">
        <f>VLOOKUP(B8,'LOD 400 - CONTROL'!B:M,12,FALSE)</f>
        <v>V1</v>
      </c>
      <c r="D8" s="428" t="str">
        <f>VLOOKUP(B8,'LOD 400 - CONTROL'!$B:$BG,58,FALSE)</f>
        <v>N/A</v>
      </c>
      <c r="E8" s="428" t="str">
        <f>VLOOKUP(B8,'LOD 400 - CONTROL'!$B:$CP,93,FALSE)</f>
        <v>N/A</v>
      </c>
      <c r="F8" s="429" t="str">
        <f>VLOOKUP(B8,'LOD 400 - CONTROL'!$B:$DY,128,FALSE)</f>
        <v>N/A</v>
      </c>
      <c r="G8" s="430" t="str">
        <f>VLOOKUP(B8,'LOD 400 - CONTROL'!B:P,15,FALSE)</f>
        <v>N/A</v>
      </c>
      <c r="H8" s="429" t="str">
        <f>VLOOKUP(B8,'LOD 400 - CONTROL'!$B:$EP,145,FALSE)</f>
        <v>N/A</v>
      </c>
      <c r="I8" s="431" t="str">
        <f>VLOOKUP(B8,'LOD 400 - CONTROL'!B:S,18,FALSE)</f>
        <v>N/A</v>
      </c>
      <c r="J8" s="429" t="str">
        <f>VLOOKUP(B8,'LOD 400 - CONTROL'!$B:$ER,147,FALSE)</f>
        <v>N/A</v>
      </c>
      <c r="L8" s="432">
        <f>VLOOKUP(B8,'LOD 400 - CONTROL'!$B:$FZ,181,FALSE)</f>
        <v>1</v>
      </c>
      <c r="M8" s="433" t="str">
        <f>VLOOKUP(B8,'LOD 400 - CONTROL'!B:V,21,FALSE)</f>
        <v>V1</v>
      </c>
      <c r="N8" s="434">
        <f>VLOOKUP(B8,'LOD 400 - CONTROL'!$B:$HE,212,FALSE)</f>
        <v>1</v>
      </c>
    </row>
    <row r="9">
      <c r="A9" s="421">
        <v>13.0</v>
      </c>
      <c r="B9" s="100" t="s">
        <v>95</v>
      </c>
      <c r="C9" s="427" t="str">
        <f>VLOOKUP(B9,'LOD 400 - CONTROL'!B:M,12,FALSE)</f>
        <v>V9</v>
      </c>
      <c r="D9" s="428">
        <f>VLOOKUP(B9,'LOD 400 - CONTROL'!$B:$BG,58,FALSE)</f>
        <v>1</v>
      </c>
      <c r="E9" s="428">
        <f>VLOOKUP(B9,'LOD 400 - CONTROL'!$B:$CP,93,FALSE)</f>
        <v>1</v>
      </c>
      <c r="F9" s="429">
        <f>VLOOKUP(B9,'LOD 400 - CONTROL'!$B:$DY,128,FALSE)</f>
        <v>1</v>
      </c>
      <c r="G9" s="430" t="str">
        <f>VLOOKUP(B9,'LOD 400 - CONTROL'!B:P,15,FALSE)</f>
        <v>V9</v>
      </c>
      <c r="H9" s="429">
        <f>VLOOKUP(B9,'LOD 400 - CONTROL'!$B:$EP,145,FALSE)</f>
        <v>1</v>
      </c>
      <c r="I9" s="431" t="str">
        <f>VLOOKUP(B9,'LOD 400 - CONTROL'!B:S,18,FALSE)</f>
        <v>N/A</v>
      </c>
      <c r="J9" s="429">
        <f>VLOOKUP(B9,'LOD 400 - CONTROL'!$B:$ER,147,FALSE)</f>
        <v>0</v>
      </c>
      <c r="L9" s="432" t="str">
        <f>VLOOKUP(B9,'LOD 400 - CONTROL'!$B:$FZ,181,FALSE)</f>
        <v>N/A</v>
      </c>
      <c r="M9" s="433" t="str">
        <f>VLOOKUP(B9,'LOD 400 - CONTROL'!B:V,21,FALSE)</f>
        <v>N/A</v>
      </c>
      <c r="N9" s="434" t="str">
        <f>VLOOKUP(B9,'LOD 400 - CONTROL'!$B:$HE,212,FALSE)</f>
        <v>N/A</v>
      </c>
    </row>
    <row r="10">
      <c r="A10" s="421">
        <v>14.0</v>
      </c>
      <c r="B10" s="100" t="s">
        <v>98</v>
      </c>
      <c r="C10" s="427" t="str">
        <f>VLOOKUP(B10,'LOD 400 - CONTROL'!B:M,12,FALSE)</f>
        <v>V2</v>
      </c>
      <c r="D10" s="428">
        <f>VLOOKUP(B10,'LOD 400 - CONTROL'!$B:$BG,58,FALSE)</f>
        <v>1</v>
      </c>
      <c r="E10" s="428">
        <f>VLOOKUP(B10,'LOD 400 - CONTROL'!$B:$CP,93,FALSE)</f>
        <v>1</v>
      </c>
      <c r="F10" s="429">
        <f>VLOOKUP(B10,'LOD 400 - CONTROL'!$B:$DY,128,FALSE)</f>
        <v>1</v>
      </c>
      <c r="G10" s="430" t="str">
        <f>VLOOKUP(B10,'LOD 400 - CONTROL'!B:P,15,FALSE)</f>
        <v>V2</v>
      </c>
      <c r="H10" s="429">
        <f>VLOOKUP(B10,'LOD 400 - CONTROL'!$B:$EP,145,FALSE)</f>
        <v>1</v>
      </c>
      <c r="I10" s="431" t="str">
        <f>VLOOKUP(B10,'LOD 400 - CONTROL'!B:S,18,FALSE)</f>
        <v>N/A</v>
      </c>
      <c r="J10" s="429">
        <f>VLOOKUP(B10,'LOD 400 - CONTROL'!$B:$ER,147,FALSE)</f>
        <v>0</v>
      </c>
      <c r="L10" s="432" t="str">
        <f>VLOOKUP(B10,'LOD 400 - CONTROL'!$B:$FZ,181,FALSE)</f>
        <v>N/A</v>
      </c>
      <c r="M10" s="433" t="str">
        <f>VLOOKUP(B10,'LOD 400 - CONTROL'!B:V,21,FALSE)</f>
        <v>N/A</v>
      </c>
      <c r="N10" s="434" t="str">
        <f>VLOOKUP(B10,'LOD 400 - CONTROL'!$B:$HE,212,FALSE)</f>
        <v>N/A</v>
      </c>
    </row>
    <row r="11">
      <c r="A11" s="421">
        <v>15.0</v>
      </c>
      <c r="B11" s="100" t="s">
        <v>100</v>
      </c>
      <c r="C11" s="427" t="str">
        <f>VLOOKUP(B11,'LOD 400 - CONTROL'!B:M,12,FALSE)</f>
        <v>V2</v>
      </c>
      <c r="D11" s="428" t="str">
        <f>VLOOKUP(B11,'LOD 400 - CONTROL'!$B:$BG,58,FALSE)</f>
        <v>N/A</v>
      </c>
      <c r="E11" s="428" t="str">
        <f>VLOOKUP(B11,'LOD 400 - CONTROL'!$B:$CP,93,FALSE)</f>
        <v>N/A</v>
      </c>
      <c r="F11" s="429" t="str">
        <f>VLOOKUP(B11,'LOD 400 - CONTROL'!$B:$DY,128,FALSE)</f>
        <v>N/A</v>
      </c>
      <c r="G11" s="430" t="str">
        <f>VLOOKUP(B11,'LOD 400 - CONTROL'!B:P,15,FALSE)</f>
        <v>N/A</v>
      </c>
      <c r="H11" s="429" t="str">
        <f>VLOOKUP(B11,'LOD 400 - CONTROL'!$B:$EP,145,FALSE)</f>
        <v>N/A</v>
      </c>
      <c r="I11" s="431" t="str">
        <f>VLOOKUP(B11,'LOD 400 - CONTROL'!B:S,18,FALSE)</f>
        <v>N/A</v>
      </c>
      <c r="J11" s="429" t="str">
        <f>VLOOKUP(B11,'LOD 400 - CONTROL'!$B:$ER,147,FALSE)</f>
        <v>N/A</v>
      </c>
      <c r="L11" s="432">
        <f>VLOOKUP(B11,'LOD 400 - CONTROL'!$B:$FZ,181,FALSE)</f>
        <v>1</v>
      </c>
      <c r="M11" s="433" t="str">
        <f>VLOOKUP(B11,'LOD 400 - CONTROL'!B:V,21,FALSE)</f>
        <v>V2</v>
      </c>
      <c r="N11" s="434">
        <f>VLOOKUP(B11,'LOD 400 - CONTROL'!$B:$HE,212,FALSE)</f>
        <v>1</v>
      </c>
    </row>
    <row r="12">
      <c r="A12" s="421">
        <v>16.0</v>
      </c>
      <c r="B12" s="100" t="s">
        <v>102</v>
      </c>
      <c r="C12" s="427" t="str">
        <f>VLOOKUP(B12,'LOD 400 - CONTROL'!B:M,12,FALSE)</f>
        <v>NOT PUBLISHED</v>
      </c>
      <c r="D12" s="428" t="str">
        <f>VLOOKUP(B12,'LOD 400 - CONTROL'!$B:$BG,58,FALSE)</f>
        <v>NOT PUBLISHED</v>
      </c>
      <c r="E12" s="428" t="str">
        <f>VLOOKUP(B12,'LOD 400 - CONTROL'!$B:$CP,93,FALSE)</f>
        <v>NOT PUBLISHED</v>
      </c>
      <c r="F12" s="429" t="str">
        <f>VLOOKUP(B12,'LOD 400 - CONTROL'!$B:$DY,128,FALSE)</f>
        <v>NOT PUBLISHED</v>
      </c>
      <c r="G12" s="430" t="str">
        <f>VLOOKUP(B12,'LOD 400 - CONTROL'!B:P,15,FALSE)</f>
        <v>NOT PUBLISHED</v>
      </c>
      <c r="H12" s="429" t="str">
        <f>VLOOKUP(B12,'LOD 400 - CONTROL'!$B:$EP,145,FALSE)</f>
        <v>NOT PUBLISHED</v>
      </c>
      <c r="I12" s="435" t="str">
        <f>VLOOKUP(B12,'LOD 400 - CONTROL'!B:S,18,FALSE)</f>
        <v>NOT PUBLISHED</v>
      </c>
      <c r="J12" s="429" t="str">
        <f>VLOOKUP(B12,'LOD 400 - CONTROL'!$B:$ER,147,FALSE)</f>
        <v>NOT PUBLISHED</v>
      </c>
      <c r="L12" s="432" t="str">
        <f>VLOOKUP(B12,'LOD 400 - CONTROL'!$B:$FZ,181,FALSE)</f>
        <v>N/A</v>
      </c>
      <c r="M12" s="433" t="str">
        <f>VLOOKUP(B12,'LOD 400 - CONTROL'!B:V,21,FALSE)</f>
        <v>N/A</v>
      </c>
      <c r="N12" s="434" t="str">
        <f>VLOOKUP(B12,'LOD 400 - CONTROL'!$B:$HE,212,FALSE)</f>
        <v>N/A</v>
      </c>
    </row>
    <row r="13">
      <c r="A13" s="421">
        <v>18.0</v>
      </c>
      <c r="B13" s="100" t="s">
        <v>106</v>
      </c>
      <c r="C13" s="427" t="str">
        <f>VLOOKUP(B13,'LOD 400 - CONTROL'!B:M,12,FALSE)</f>
        <v>NOT PUBLISHED</v>
      </c>
      <c r="D13" s="428" t="str">
        <f>VLOOKUP(B13,'LOD 400 - CONTROL'!$B:$BG,58,FALSE)</f>
        <v>NOT PUBLISHED</v>
      </c>
      <c r="E13" s="428" t="str">
        <f>VLOOKUP(B13,'LOD 400 - CONTROL'!$B:$CP,93,FALSE)</f>
        <v>NOT PUBLISHED</v>
      </c>
      <c r="F13" s="429" t="str">
        <f>VLOOKUP(B13,'LOD 400 - CONTROL'!$B:$DY,128,FALSE)</f>
        <v>NOT PUBLISHED</v>
      </c>
      <c r="G13" s="430" t="str">
        <f>VLOOKUP(B13,'LOD 400 - CONTROL'!B:P,15,FALSE)</f>
        <v>NOT PUBLISHED</v>
      </c>
      <c r="H13" s="429" t="str">
        <f>VLOOKUP(B13,'LOD 400 - CONTROL'!$B:$EP,145,FALSE)</f>
        <v>NOT PUBLISHED</v>
      </c>
      <c r="I13" s="435" t="str">
        <f>VLOOKUP(B13,'LOD 400 - CONTROL'!B:S,18,FALSE)</f>
        <v>NOT PUBLISHED</v>
      </c>
      <c r="J13" s="429" t="str">
        <f>VLOOKUP(B13,'LOD 400 - CONTROL'!$B:$ER,147,FALSE)</f>
        <v>NOT PUBLISHED</v>
      </c>
      <c r="L13" s="432" t="str">
        <f>VLOOKUP(B13,'LOD 400 - CONTROL'!$B:$FZ,181,FALSE)</f>
        <v>N/A</v>
      </c>
      <c r="M13" s="433" t="str">
        <f>VLOOKUP(B13,'LOD 400 - CONTROL'!B:V,21,FALSE)</f>
        <v>N/A</v>
      </c>
      <c r="N13" s="434" t="str">
        <f>VLOOKUP(B13,'LOD 400 - CONTROL'!$B:$HE,212,FALSE)</f>
        <v>N/A</v>
      </c>
    </row>
    <row r="14">
      <c r="A14" s="421">
        <v>19.0</v>
      </c>
      <c r="B14" s="100" t="s">
        <v>110</v>
      </c>
      <c r="C14" s="427" t="str">
        <f>VLOOKUP(B14,'LOD 400 - CONTROL'!B:M,12,FALSE)</f>
        <v>NOT PUBLISHED</v>
      </c>
      <c r="D14" s="428" t="str">
        <f>VLOOKUP(B14,'LOD 400 - CONTROL'!$B:$BG,58,FALSE)</f>
        <v>N/A</v>
      </c>
      <c r="E14" s="428" t="str">
        <f>VLOOKUP(B14,'LOD 400 - CONTROL'!$B:$CP,93,FALSE)</f>
        <v>N/A</v>
      </c>
      <c r="F14" s="429" t="str">
        <f>VLOOKUP(B14,'LOD 400 - CONTROL'!$B:$DY,128,FALSE)</f>
        <v>N/A</v>
      </c>
      <c r="G14" s="430" t="str">
        <f>VLOOKUP(B14,'LOD 400 - CONTROL'!B:P,15,FALSE)</f>
        <v>N/A</v>
      </c>
      <c r="H14" s="429" t="str">
        <f>VLOOKUP(B14,'LOD 400 - CONTROL'!$B:$EP,145,FALSE)</f>
        <v>N/A</v>
      </c>
      <c r="I14" s="431" t="str">
        <f>VLOOKUP(B14,'LOD 400 - CONTROL'!B:S,18,FALSE)</f>
        <v>N/A</v>
      </c>
      <c r="J14" s="429" t="str">
        <f>VLOOKUP(B14,'LOD 400 - CONTROL'!$B:$ER,147,FALSE)</f>
        <v>N/A</v>
      </c>
      <c r="L14" s="432" t="str">
        <f>VLOOKUP(B14,'LOD 400 - CONTROL'!$B:$FZ,181,FALSE)</f>
        <v>NOT PUBLISHED</v>
      </c>
      <c r="M14" s="433" t="str">
        <f>VLOOKUP(B14,'LOD 400 - CONTROL'!B:V,21,FALSE)</f>
        <v>NOT PUBLISHED</v>
      </c>
      <c r="N14" s="434" t="str">
        <f>VLOOKUP(B14,'LOD 400 - CONTROL'!$B:$HE,212,FALSE)</f>
        <v>NOT PUBLISHED</v>
      </c>
    </row>
    <row r="15">
      <c r="A15" s="421">
        <v>20.0</v>
      </c>
      <c r="B15" s="100" t="s">
        <v>112</v>
      </c>
      <c r="C15" s="427" t="str">
        <f>VLOOKUP(B15,'LOD 400 - CONTROL'!B:M,12,FALSE)</f>
        <v>V2</v>
      </c>
      <c r="D15" s="428">
        <f>VLOOKUP(B15,'LOD 400 - CONTROL'!$B:$BG,58,FALSE)</f>
        <v>1</v>
      </c>
      <c r="E15" s="428" t="str">
        <f>VLOOKUP(B15,'LOD 400 - CONTROL'!$B:$CP,93,FALSE)</f>
        <v>N/A</v>
      </c>
      <c r="F15" s="429" t="str">
        <f>VLOOKUP(B15,'LOD 400 - CONTROL'!$B:$DY,128,FALSE)</f>
        <v>N/A</v>
      </c>
      <c r="G15" s="430" t="str">
        <f>VLOOKUP(B15,'LOD 400 - CONTROL'!B:P,15,FALSE)</f>
        <v>N/A</v>
      </c>
      <c r="H15" s="429" t="str">
        <f>VLOOKUP(B15,'LOD 400 - CONTROL'!$B:$EP,145,FALSE)</f>
        <v>N/A</v>
      </c>
      <c r="I15" s="431" t="str">
        <f>VLOOKUP(B15,'LOD 400 - CONTROL'!B:S,18,FALSE)</f>
        <v>N/A</v>
      </c>
      <c r="J15" s="429">
        <f>VLOOKUP(B15,'LOD 400 - CONTROL'!$B:$ER,147,FALSE)</f>
        <v>0</v>
      </c>
      <c r="L15" s="432" t="str">
        <f>VLOOKUP(B15,'LOD 400 - CONTROL'!$B:$FZ,181,FALSE)</f>
        <v>N/A</v>
      </c>
      <c r="M15" s="433" t="str">
        <f>VLOOKUP(B15,'LOD 400 - CONTROL'!B:V,21,FALSE)</f>
        <v>N/A</v>
      </c>
      <c r="N15" s="434" t="str">
        <f>VLOOKUP(B15,'LOD 400 - CONTROL'!$B:$HE,212,FALSE)</f>
        <v>N/A</v>
      </c>
    </row>
    <row r="16">
      <c r="A16" s="421">
        <v>21.0</v>
      </c>
      <c r="B16" s="100" t="s">
        <v>115</v>
      </c>
      <c r="C16" s="427" t="str">
        <f>VLOOKUP(B16,'LOD 400 - CONTROL'!B:M,12,FALSE)</f>
        <v>V1</v>
      </c>
      <c r="D16" s="428" t="str">
        <f>VLOOKUP(B16,'LOD 400 - CONTROL'!$B:$BG,58,FALSE)</f>
        <v>N/A</v>
      </c>
      <c r="E16" s="428" t="str">
        <f>VLOOKUP(B16,'LOD 400 - CONTROL'!$B:$CP,93,FALSE)</f>
        <v>N/A</v>
      </c>
      <c r="F16" s="429" t="str">
        <f>VLOOKUP(B16,'LOD 400 - CONTROL'!$B:$DY,128,FALSE)</f>
        <v>N/A</v>
      </c>
      <c r="G16" s="430" t="str">
        <f>VLOOKUP(B16,'LOD 400 - CONTROL'!B:P,15,FALSE)</f>
        <v>N/A</v>
      </c>
      <c r="H16" s="429" t="str">
        <f>VLOOKUP(B16,'LOD 400 - CONTROL'!$B:$EP,145,FALSE)</f>
        <v>N/A</v>
      </c>
      <c r="I16" s="431" t="str">
        <f>VLOOKUP(B16,'LOD 400 - CONTROL'!B:S,18,FALSE)</f>
        <v>N/A</v>
      </c>
      <c r="J16" s="429" t="str">
        <f>VLOOKUP(B16,'LOD 400 - CONTROL'!$B:$ER,147,FALSE)</f>
        <v>N/A</v>
      </c>
      <c r="L16" s="432">
        <f>VLOOKUP(B16,'LOD 400 - CONTROL'!$B:$FZ,181,FALSE)</f>
        <v>0.07</v>
      </c>
      <c r="M16" s="433" t="str">
        <f>VLOOKUP(B16,'LOD 400 - CONTROL'!B:V,21,FALSE)</f>
        <v>N/A</v>
      </c>
      <c r="N16" s="434" t="str">
        <f>VLOOKUP(B16,'LOD 400 - CONTROL'!$B:$HE,212,FALSE)</f>
        <v>N/A</v>
      </c>
    </row>
    <row r="17">
      <c r="A17" s="421">
        <v>22.0</v>
      </c>
      <c r="B17" s="100" t="s">
        <v>118</v>
      </c>
      <c r="C17" s="427" t="str">
        <f>VLOOKUP(B17,'LOD 400 - CONTROL'!B:M,12,FALSE)</f>
        <v>V22</v>
      </c>
      <c r="D17" s="428">
        <f>VLOOKUP(B17,'LOD 400 - CONTROL'!$B:$BG,58,FALSE)</f>
        <v>1</v>
      </c>
      <c r="E17" s="428">
        <f>VLOOKUP(B17,'LOD 400 - CONTROL'!$B:$CP,93,FALSE)</f>
        <v>1</v>
      </c>
      <c r="F17" s="429">
        <f>VLOOKUP(B17,'LOD 400 - CONTROL'!$B:$DY,128,FALSE)</f>
        <v>1</v>
      </c>
      <c r="G17" s="430" t="str">
        <f>VLOOKUP(B17,'LOD 400 - CONTROL'!B:P,15,FALSE)</f>
        <v>V23</v>
      </c>
      <c r="H17" s="429">
        <f>VLOOKUP(B17,'LOD 400 - CONTROL'!$B:$EP,145,FALSE)</f>
        <v>1</v>
      </c>
      <c r="I17" s="431" t="str">
        <f>VLOOKUP(B17,'LOD 400 - CONTROL'!B:S,18,FALSE)</f>
        <v>N/A</v>
      </c>
      <c r="J17" s="429">
        <f>VLOOKUP(B17,'LOD 400 - CONTROL'!$B:$ER,147,FALSE)</f>
        <v>0</v>
      </c>
      <c r="L17" s="432" t="str">
        <f>VLOOKUP(B17,'LOD 400 - CONTROL'!$B:$FZ,181,FALSE)</f>
        <v>N/A</v>
      </c>
      <c r="M17" s="433" t="str">
        <f>VLOOKUP(B17,'LOD 400 - CONTROL'!B:V,21,FALSE)</f>
        <v>N/A</v>
      </c>
      <c r="N17" s="434" t="str">
        <f>VLOOKUP(B17,'LOD 400 - CONTROL'!$B:$HE,212,FALSE)</f>
        <v>N/A</v>
      </c>
    </row>
    <row r="18">
      <c r="A18" s="421">
        <v>23.0</v>
      </c>
      <c r="B18" s="100" t="s">
        <v>122</v>
      </c>
      <c r="C18" s="427" t="str">
        <f>VLOOKUP(B18,'LOD 400 - CONTROL'!B:M,12,FALSE)</f>
        <v>V28</v>
      </c>
      <c r="D18" s="428">
        <f>VLOOKUP(B18,'LOD 400 - CONTROL'!$B:$BG,58,FALSE)</f>
        <v>1</v>
      </c>
      <c r="E18" s="428">
        <f>VLOOKUP(B18,'LOD 400 - CONTROL'!$B:$CP,93,FALSE)</f>
        <v>1</v>
      </c>
      <c r="F18" s="429">
        <f>VLOOKUP(B18,'LOD 400 - CONTROL'!$B:$DY,128,FALSE)</f>
        <v>1</v>
      </c>
      <c r="G18" s="430" t="str">
        <f>VLOOKUP(B18,'LOD 400 - CONTROL'!B:P,15,FALSE)</f>
        <v>V30</v>
      </c>
      <c r="H18" s="429">
        <f>VLOOKUP(B18,'LOD 400 - CONTROL'!$B:$EP,145,FALSE)</f>
        <v>1</v>
      </c>
      <c r="I18" s="431" t="str">
        <f>VLOOKUP(B18,'LOD 400 - CONTROL'!B:S,18,FALSE)</f>
        <v>N/A</v>
      </c>
      <c r="J18" s="429">
        <f>VLOOKUP(B18,'LOD 400 - CONTROL'!$B:$ER,147,FALSE)</f>
        <v>0</v>
      </c>
      <c r="L18" s="432" t="str">
        <f>VLOOKUP(B18,'LOD 400 - CONTROL'!$B:$FZ,181,FALSE)</f>
        <v>N/A</v>
      </c>
      <c r="M18" s="433" t="str">
        <f>VLOOKUP(B18,'LOD 400 - CONTROL'!B:V,21,FALSE)</f>
        <v>N/A</v>
      </c>
      <c r="N18" s="434" t="str">
        <f>VLOOKUP(B18,'LOD 400 - CONTROL'!$B:$HE,212,FALSE)</f>
        <v>N/A</v>
      </c>
    </row>
    <row r="19">
      <c r="A19" s="421">
        <v>24.0</v>
      </c>
      <c r="B19" s="100" t="s">
        <v>124</v>
      </c>
      <c r="C19" s="427" t="str">
        <f>VLOOKUP(B19,'LOD 400 - CONTROL'!B:M,12,FALSE)</f>
        <v>V2</v>
      </c>
      <c r="D19" s="428" t="str">
        <f>VLOOKUP(B19,'LOD 400 - CONTROL'!$B:$BG,58,FALSE)</f>
        <v>N/A</v>
      </c>
      <c r="E19" s="428" t="str">
        <f>VLOOKUP(B19,'LOD 400 - CONTROL'!$B:$CP,93,FALSE)</f>
        <v>N/A</v>
      </c>
      <c r="F19" s="429" t="str">
        <f>VLOOKUP(B19,'LOD 400 - CONTROL'!$B:$DY,128,FALSE)</f>
        <v>N/A</v>
      </c>
      <c r="G19" s="430" t="str">
        <f>VLOOKUP(B19,'LOD 400 - CONTROL'!B:P,15,FALSE)</f>
        <v>N/A</v>
      </c>
      <c r="H19" s="429" t="str">
        <f>VLOOKUP(B19,'LOD 400 - CONTROL'!$B:$EP,145,FALSE)</f>
        <v>N/A</v>
      </c>
      <c r="I19" s="431" t="str">
        <f>VLOOKUP(B19,'LOD 400 - CONTROL'!B:S,18,FALSE)</f>
        <v>N/A</v>
      </c>
      <c r="J19" s="429" t="str">
        <f>VLOOKUP(B19,'LOD 400 - CONTROL'!$B:$ER,147,FALSE)</f>
        <v>N/A</v>
      </c>
      <c r="L19" s="432">
        <f>VLOOKUP(B19,'LOD 400 - CONTROL'!$B:$FZ,181,FALSE)</f>
        <v>0.92</v>
      </c>
      <c r="M19" s="433" t="str">
        <f>VLOOKUP(B19,'LOD 400 - CONTROL'!B:V,21,FALSE)</f>
        <v>V2</v>
      </c>
      <c r="N19" s="434">
        <f>VLOOKUP(B19,'LOD 400 - CONTROL'!$B:$HE,212,FALSE)</f>
        <v>0.71</v>
      </c>
    </row>
    <row r="20">
      <c r="A20" s="421">
        <v>25.0</v>
      </c>
      <c r="B20" s="100" t="s">
        <v>128</v>
      </c>
      <c r="C20" s="427" t="str">
        <f>VLOOKUP(B20,'LOD 400 - CONTROL'!B:M,12,FALSE)</f>
        <v>N/A</v>
      </c>
      <c r="D20" s="428" t="str">
        <f>VLOOKUP(B20,'LOD 400 - CONTROL'!$B:$BG,58,FALSE)</f>
        <v>N/A</v>
      </c>
      <c r="E20" s="428" t="str">
        <f>VLOOKUP(B20,'LOD 400 - CONTROL'!$B:$CP,93,FALSE)</f>
        <v>N/A</v>
      </c>
      <c r="F20" s="429" t="str">
        <f>VLOOKUP(B20,'LOD 400 - CONTROL'!$B:$DY,128,FALSE)</f>
        <v>N/A</v>
      </c>
      <c r="G20" s="430" t="str">
        <f>VLOOKUP(B20,'LOD 400 - CONTROL'!B:P,15,FALSE)</f>
        <v>V1</v>
      </c>
      <c r="H20" s="429">
        <f>VLOOKUP(B20,'LOD 400 - CONTROL'!$B:$EP,145,FALSE)</f>
        <v>0.74</v>
      </c>
      <c r="I20" s="431" t="str">
        <f>VLOOKUP(B20,'LOD 400 - CONTROL'!B:S,18,FALSE)</f>
        <v>N/A</v>
      </c>
      <c r="J20" s="429">
        <f>VLOOKUP(B20,'LOD 400 - CONTROL'!$B:$ER,147,FALSE)</f>
        <v>0</v>
      </c>
      <c r="L20" s="432" t="str">
        <f>VLOOKUP(B20,'LOD 400 - CONTROL'!$B:$FZ,181,FALSE)</f>
        <v>N/A</v>
      </c>
      <c r="M20" s="433" t="str">
        <f>VLOOKUP(B20,'LOD 400 - CONTROL'!B:V,21,FALSE)</f>
        <v>N/A</v>
      </c>
      <c r="N20" s="434" t="str">
        <f>VLOOKUP(B20,'LOD 400 - CONTROL'!$B:$HE,212,FALSE)</f>
        <v>N/A</v>
      </c>
    </row>
    <row r="21">
      <c r="A21" s="421">
        <v>26.0</v>
      </c>
      <c r="B21" s="100" t="s">
        <v>130</v>
      </c>
      <c r="C21" s="427" t="str">
        <f>VLOOKUP(B21,'LOD 400 - CONTROL'!B:M,12,FALSE)</f>
        <v>V24</v>
      </c>
      <c r="D21" s="428">
        <f>VLOOKUP(B21,'LOD 400 - CONTROL'!$B:$BG,58,FALSE)</f>
        <v>1</v>
      </c>
      <c r="E21" s="428">
        <f>VLOOKUP(B21,'LOD 400 - CONTROL'!$B:$CP,93,FALSE)</f>
        <v>1</v>
      </c>
      <c r="F21" s="429">
        <f>VLOOKUP(B21,'LOD 400 - CONTROL'!$B:$DY,128,FALSE)</f>
        <v>1</v>
      </c>
      <c r="G21" s="430" t="str">
        <f>VLOOKUP(B21,'LOD 400 - CONTROL'!B:P,15,FALSE)</f>
        <v>N/A</v>
      </c>
      <c r="H21" s="429" t="str">
        <f>VLOOKUP(B21,'LOD 400 - CONTROL'!$B:$EP,145,FALSE)</f>
        <v>N/A</v>
      </c>
      <c r="I21" s="431" t="str">
        <f>VLOOKUP(B21,'LOD 400 - CONTROL'!B:S,18,FALSE)</f>
        <v>N/A</v>
      </c>
      <c r="J21" s="429">
        <f>VLOOKUP(B21,'LOD 400 - CONTROL'!$B:$ER,147,FALSE)</f>
        <v>0</v>
      </c>
      <c r="L21" s="432" t="str">
        <f>VLOOKUP(B21,'LOD 400 - CONTROL'!$B:$FZ,181,FALSE)</f>
        <v>N/A</v>
      </c>
      <c r="M21" s="433" t="str">
        <f>VLOOKUP(B21,'LOD 400 - CONTROL'!B:V,21,FALSE)</f>
        <v>N/A</v>
      </c>
      <c r="N21" s="434" t="str">
        <f>VLOOKUP(B21,'LOD 400 - CONTROL'!$B:$HE,212,FALSE)</f>
        <v>N/A</v>
      </c>
    </row>
    <row r="22">
      <c r="A22" s="421">
        <v>27.0</v>
      </c>
      <c r="B22" s="100" t="s">
        <v>132</v>
      </c>
      <c r="C22" s="427" t="str">
        <f>VLOOKUP(B22,'LOD 400 - CONTROL'!B:M,12,FALSE)</f>
        <v>NOT PUBLISHED</v>
      </c>
      <c r="D22" s="428" t="str">
        <f>VLOOKUP(B22,'LOD 400 - CONTROL'!$B:$BG,58,FALSE)</f>
        <v>NOT PUBLISHED</v>
      </c>
      <c r="E22" s="428" t="str">
        <f>VLOOKUP(B22,'LOD 400 - CONTROL'!$B:$CP,93,FALSE)</f>
        <v>NOT PUBLISHED</v>
      </c>
      <c r="F22" s="429" t="str">
        <f>VLOOKUP(B22,'LOD 400 - CONTROL'!$B:$DY,128,FALSE)</f>
        <v>NOT PUBLISHED</v>
      </c>
      <c r="G22" s="430" t="str">
        <f>VLOOKUP(B22,'LOD 400 - CONTROL'!B:P,15,FALSE)</f>
        <v>NOT PUBLISHED</v>
      </c>
      <c r="H22" s="429" t="str">
        <f>VLOOKUP(B22,'LOD 400 - CONTROL'!$B:$EP,145,FALSE)</f>
        <v>NOT PUBLISHED</v>
      </c>
      <c r="I22" s="435" t="str">
        <f>VLOOKUP(B22,'LOD 400 - CONTROL'!B:S,18,FALSE)</f>
        <v>NOT PUBLISHED</v>
      </c>
      <c r="J22" s="429" t="str">
        <f>VLOOKUP(B22,'LOD 400 - CONTROL'!$B:$ER,147,FALSE)</f>
        <v>NOT PUBLISHED</v>
      </c>
      <c r="L22" s="432" t="str">
        <f>VLOOKUP(B22,'LOD 400 - CONTROL'!$B:$FZ,181,FALSE)</f>
        <v>N/A</v>
      </c>
      <c r="M22" s="433" t="str">
        <f>VLOOKUP(B22,'LOD 400 - CONTROL'!B:V,21,FALSE)</f>
        <v>N/A</v>
      </c>
      <c r="N22" s="434" t="str">
        <f>VLOOKUP(B22,'LOD 400 - CONTROL'!$B:$HE,212,FALSE)</f>
        <v>N/A</v>
      </c>
    </row>
    <row r="23">
      <c r="A23" s="421">
        <v>28.0</v>
      </c>
      <c r="B23" s="100" t="s">
        <v>134</v>
      </c>
      <c r="C23" s="427" t="str">
        <f>VLOOKUP(B23,'LOD 400 - CONTROL'!B:M,12,FALSE)</f>
        <v>NOT PUBLISHED</v>
      </c>
      <c r="D23" s="428" t="str">
        <f>VLOOKUP(B23,'LOD 400 - CONTROL'!$B:$BG,58,FALSE)</f>
        <v>N/A</v>
      </c>
      <c r="E23" s="428" t="str">
        <f>VLOOKUP(B23,'LOD 400 - CONTROL'!$B:$CP,93,FALSE)</f>
        <v>N/A</v>
      </c>
      <c r="F23" s="429" t="str">
        <f>VLOOKUP(B23,'LOD 400 - CONTROL'!$B:$DY,128,FALSE)</f>
        <v>N/A</v>
      </c>
      <c r="G23" s="430" t="str">
        <f>VLOOKUP(B23,'LOD 400 - CONTROL'!B:P,15,FALSE)</f>
        <v>N/A</v>
      </c>
      <c r="H23" s="429" t="str">
        <f>VLOOKUP(B23,'LOD 400 - CONTROL'!$B:$EP,145,FALSE)</f>
        <v>N/A</v>
      </c>
      <c r="I23" s="431" t="str">
        <f>VLOOKUP(B23,'LOD 400 - CONTROL'!B:S,18,FALSE)</f>
        <v>N/A</v>
      </c>
      <c r="J23" s="429" t="str">
        <f>VLOOKUP(B23,'LOD 400 - CONTROL'!$B:$ER,147,FALSE)</f>
        <v>N/A</v>
      </c>
      <c r="L23" s="432" t="str">
        <f>VLOOKUP(B23,'LOD 400 - CONTROL'!$B:$FZ,181,FALSE)</f>
        <v>NOT PUBLISHED</v>
      </c>
      <c r="M23" s="433" t="str">
        <f>VLOOKUP(B23,'LOD 400 - CONTROL'!B:V,21,FALSE)</f>
        <v>NOT PUBLISHED</v>
      </c>
      <c r="N23" s="434" t="str">
        <f>VLOOKUP(B23,'LOD 400 - CONTROL'!$B:$HE,212,FALSE)</f>
        <v>NOT PUBLISHED</v>
      </c>
    </row>
    <row r="24">
      <c r="A24" s="421">
        <v>29.0</v>
      </c>
      <c r="B24" s="100" t="s">
        <v>137</v>
      </c>
      <c r="C24" s="427" t="str">
        <f>VLOOKUP(B24,'LOD 400 - CONTROL'!B:M,12,FALSE)</f>
        <v>NOT PUBLISHED</v>
      </c>
      <c r="D24" s="428" t="str">
        <f>VLOOKUP(B24,'LOD 400 - CONTROL'!$B:$BG,58,FALSE)</f>
        <v>N/A</v>
      </c>
      <c r="E24" s="428" t="str">
        <f>VLOOKUP(B24,'LOD 400 - CONTROL'!$B:$CP,93,FALSE)</f>
        <v>N/A</v>
      </c>
      <c r="F24" s="429" t="str">
        <f>VLOOKUP(B24,'LOD 400 - CONTROL'!$B:$DY,128,FALSE)</f>
        <v>N/A</v>
      </c>
      <c r="G24" s="430" t="str">
        <f>VLOOKUP(B24,'LOD 400 - CONTROL'!B:P,15,FALSE)</f>
        <v>N/A</v>
      </c>
      <c r="H24" s="429" t="str">
        <f>VLOOKUP(B24,'LOD 400 - CONTROL'!$B:$EP,145,FALSE)</f>
        <v>N/A</v>
      </c>
      <c r="I24" s="431" t="str">
        <f>VLOOKUP(B24,'LOD 400 - CONTROL'!B:S,18,FALSE)</f>
        <v>N/A</v>
      </c>
      <c r="J24" s="429" t="str">
        <f>VLOOKUP(B24,'LOD 400 - CONTROL'!$B:$ER,147,FALSE)</f>
        <v>N/A</v>
      </c>
      <c r="L24" s="432" t="str">
        <f>VLOOKUP(B24,'LOD 400 - CONTROL'!$B:$FZ,181,FALSE)</f>
        <v>NOT PUBLISHED</v>
      </c>
      <c r="M24" s="433" t="str">
        <f>VLOOKUP(B24,'LOD 400 - CONTROL'!B:V,21,FALSE)</f>
        <v>NOT PUBLISHED</v>
      </c>
      <c r="N24" s="434" t="str">
        <f>VLOOKUP(B24,'LOD 400 - CONTROL'!$B:$HE,212,FALSE)</f>
        <v>NOT PUBLISHED</v>
      </c>
    </row>
    <row r="25">
      <c r="A25" s="421">
        <v>30.0</v>
      </c>
      <c r="B25" s="100" t="s">
        <v>139</v>
      </c>
      <c r="C25" s="427" t="str">
        <f>VLOOKUP(B25,'LOD 400 - CONTROL'!B:M,12,FALSE)</f>
        <v>V1</v>
      </c>
      <c r="D25" s="428">
        <f>VLOOKUP(B25,'LOD 400 - CONTROL'!$B:$BG,58,FALSE)</f>
        <v>0.01</v>
      </c>
      <c r="E25" s="428">
        <f>VLOOKUP(B25,'LOD 400 - CONTROL'!$B:$CP,93,FALSE)</f>
        <v>0.01</v>
      </c>
      <c r="F25" s="429">
        <f>VLOOKUP(B25,'LOD 400 - CONTROL'!$B:$DY,128,FALSE)</f>
        <v>0.01</v>
      </c>
      <c r="G25" s="430" t="str">
        <f>VLOOKUP(B25,'LOD 400 - CONTROL'!B:P,15,FALSE)</f>
        <v>V1</v>
      </c>
      <c r="H25" s="429">
        <f>VLOOKUP(B25,'LOD 400 - CONTROL'!$B:$EP,145,FALSE)</f>
        <v>0.01</v>
      </c>
      <c r="I25" s="431" t="str">
        <f>VLOOKUP(B25,'LOD 400 - CONTROL'!B:S,18,FALSE)</f>
        <v>N/A</v>
      </c>
      <c r="J25" s="429">
        <f>VLOOKUP(B25,'LOD 400 - CONTROL'!$B:$ER,147,FALSE)</f>
        <v>0</v>
      </c>
      <c r="L25" s="432" t="str">
        <f>VLOOKUP(B25,'LOD 400 - CONTROL'!$B:$FZ,181,FALSE)</f>
        <v>N/A</v>
      </c>
      <c r="M25" s="433" t="str">
        <f>VLOOKUP(B25,'LOD 400 - CONTROL'!B:V,21,FALSE)</f>
        <v>N/A</v>
      </c>
      <c r="N25" s="434" t="str">
        <f>VLOOKUP(B25,'LOD 400 - CONTROL'!$B:$HE,212,FALSE)</f>
        <v>N/A</v>
      </c>
    </row>
    <row r="26">
      <c r="A26" s="436">
        <v>31.0</v>
      </c>
      <c r="B26" s="100" t="s">
        <v>143</v>
      </c>
      <c r="C26" s="427" t="str">
        <f>VLOOKUP(B26,'LOD 400 - CONTROL'!B:M,12,FALSE)</f>
        <v>V1</v>
      </c>
      <c r="D26" s="428" t="str">
        <f>VLOOKUP(B26,'LOD 400 - CONTROL'!$B:$BG,58,FALSE)</f>
        <v>N/A</v>
      </c>
      <c r="E26" s="428" t="str">
        <f>VLOOKUP(B26,'LOD 400 - CONTROL'!$B:$CP,93,FALSE)</f>
        <v>N/A</v>
      </c>
      <c r="F26" s="429" t="str">
        <f>VLOOKUP(B26,'LOD 400 - CONTROL'!$B:$DY,128,FALSE)</f>
        <v>N/A</v>
      </c>
      <c r="G26" s="430" t="str">
        <f>VLOOKUP(B26,'LOD 400 - CONTROL'!B:P,15,FALSE)</f>
        <v>N/A</v>
      </c>
      <c r="H26" s="429" t="str">
        <f>VLOOKUP(B26,'LOD 400 - CONTROL'!$B:$EP,145,FALSE)</f>
        <v>N/A</v>
      </c>
      <c r="I26" s="431" t="str">
        <f>VLOOKUP(B26,'LOD 400 - CONTROL'!B:S,18,FALSE)</f>
        <v>N/A</v>
      </c>
      <c r="J26" s="429" t="str">
        <f>VLOOKUP(B26,'LOD 400 - CONTROL'!$B:$ER,147,FALSE)</f>
        <v>N/A</v>
      </c>
      <c r="L26" s="432">
        <f>VLOOKUP(B26,'LOD 400 - CONTROL'!$B:$FZ,181,FALSE)</f>
        <v>0.01</v>
      </c>
      <c r="M26" s="433" t="str">
        <f>VLOOKUP(B26,'LOD 400 - CONTROL'!B:V,21,FALSE)</f>
        <v>V1</v>
      </c>
      <c r="N26" s="434" t="str">
        <f>VLOOKUP(B26,'LOD 400 - CONTROL'!$B:$HE,212,FALSE)</f>
        <v>N/A</v>
      </c>
    </row>
    <row r="27">
      <c r="A27" s="421">
        <v>32.0</v>
      </c>
      <c r="B27" s="145" t="s">
        <v>145</v>
      </c>
      <c r="C27" s="427" t="str">
        <f>VLOOKUP(B27,'LOD 400 - CONTROL'!B:M,12,FALSE)</f>
        <v>V8</v>
      </c>
      <c r="D27" s="428">
        <f>VLOOKUP(B27,'LOD 400 - CONTROL'!$B:$BG,58,FALSE)</f>
        <v>1</v>
      </c>
      <c r="E27" s="428" t="str">
        <f>VLOOKUP(B27,'LOD 400 - CONTROL'!$B:$CP,93,FALSE)</f>
        <v>N/A</v>
      </c>
      <c r="F27" s="429" t="str">
        <f>VLOOKUP(B27,'LOD 400 - CONTROL'!$B:$DY,128,FALSE)</f>
        <v>N/A</v>
      </c>
      <c r="G27" s="430" t="str">
        <f>VLOOKUP(B27,'LOD 400 - CONTROL'!B:P,15,FALSE)</f>
        <v>N/A</v>
      </c>
      <c r="H27" s="429" t="str">
        <f>VLOOKUP(B27,'LOD 400 - CONTROL'!$B:$EP,145,FALSE)</f>
        <v>N/A</v>
      </c>
      <c r="I27" s="431" t="str">
        <f>VLOOKUP(B27,'LOD 400 - CONTROL'!B:S,18,FALSE)</f>
        <v>N/A</v>
      </c>
      <c r="J27" s="429">
        <f>VLOOKUP(B27,'LOD 400 - CONTROL'!$B:$ER,147,FALSE)</f>
        <v>0</v>
      </c>
      <c r="L27" s="432" t="str">
        <f>VLOOKUP(B27,'LOD 400 - CONTROL'!$B:$FZ,181,FALSE)</f>
        <v>N/A</v>
      </c>
      <c r="M27" s="433" t="str">
        <f>VLOOKUP(B27,'LOD 400 - CONTROL'!B:V,21,FALSE)</f>
        <v>N/A</v>
      </c>
      <c r="N27" s="434" t="str">
        <f>VLOOKUP(B27,'LOD 400 - CONTROL'!$B:$HE,212,FALSE)</f>
        <v>N/A</v>
      </c>
    </row>
    <row r="28">
      <c r="A28" s="436">
        <v>33.0</v>
      </c>
      <c r="B28" s="122" t="s">
        <v>148</v>
      </c>
      <c r="C28" s="427" t="str">
        <f>VLOOKUP(B28,'LOD 400 - CONTROL'!B:M,12,FALSE)</f>
        <v>V3</v>
      </c>
      <c r="D28" s="428" t="str">
        <f>VLOOKUP(B28,'LOD 400 - CONTROL'!$B:$BG,58,FALSE)</f>
        <v>N/A</v>
      </c>
      <c r="E28" s="428" t="str">
        <f>VLOOKUP(B28,'LOD 400 - CONTROL'!$B:$CP,93,FALSE)</f>
        <v>N/A</v>
      </c>
      <c r="F28" s="429" t="str">
        <f>VLOOKUP(B28,'LOD 400 - CONTROL'!$B:$DY,128,FALSE)</f>
        <v>N/A</v>
      </c>
      <c r="G28" s="430" t="str">
        <f>VLOOKUP(B28,'LOD 400 - CONTROL'!B:P,15,FALSE)</f>
        <v>N/A</v>
      </c>
      <c r="H28" s="429" t="str">
        <f>VLOOKUP(B28,'LOD 400 - CONTROL'!$B:$EP,145,FALSE)</f>
        <v>N/A</v>
      </c>
      <c r="I28" s="431" t="str">
        <f>VLOOKUP(B28,'LOD 400 - CONTROL'!B:S,18,FALSE)</f>
        <v>N/A</v>
      </c>
      <c r="J28" s="429" t="str">
        <f>VLOOKUP(B28,'LOD 400 - CONTROL'!$B:$ER,147,FALSE)</f>
        <v>N/A</v>
      </c>
      <c r="L28" s="432">
        <f>VLOOKUP(B28,'LOD 400 - CONTROL'!$B:$FZ,181,FALSE)</f>
        <v>1</v>
      </c>
      <c r="M28" s="433" t="str">
        <f>VLOOKUP(B28,'LOD 400 - CONTROL'!B:V,21,FALSE)</f>
        <v>N/A</v>
      </c>
      <c r="N28" s="434" t="str">
        <f>VLOOKUP(B28,'LOD 400 - CONTROL'!$B:$HE,212,FALSE)</f>
        <v>N/A</v>
      </c>
    </row>
    <row r="29">
      <c r="A29" s="436">
        <v>35.0</v>
      </c>
      <c r="B29" s="124" t="s">
        <v>151</v>
      </c>
      <c r="C29" s="437"/>
      <c r="D29" s="438"/>
      <c r="E29" s="438"/>
      <c r="F29" s="438"/>
      <c r="G29" s="438"/>
      <c r="H29" s="438"/>
      <c r="I29" s="438"/>
      <c r="J29" s="438"/>
      <c r="K29" s="438"/>
      <c r="L29" s="438"/>
      <c r="M29" s="438"/>
      <c r="N29" s="439"/>
    </row>
    <row r="30">
      <c r="A30" s="421">
        <v>36.0</v>
      </c>
      <c r="B30" s="100" t="s">
        <v>152</v>
      </c>
      <c r="C30" s="427" t="str">
        <f>VLOOKUP(B30,'LOD 400 - CONTROL'!B:M,12,FALSE)</f>
        <v>V35</v>
      </c>
      <c r="D30" s="428">
        <f>VLOOKUP(B30,'LOD 400 - CONTROL'!$B:$BG,58,FALSE)</f>
        <v>1</v>
      </c>
      <c r="E30" s="428">
        <f>VLOOKUP(B30,'LOD 400 - CONTROL'!$B:$CP,93,FALSE)</f>
        <v>1</v>
      </c>
      <c r="F30" s="429">
        <f>VLOOKUP(B30,'LOD 400 - CONTROL'!$B:$DY,128,FALSE)</f>
        <v>1</v>
      </c>
      <c r="G30" s="430" t="str">
        <f>VLOOKUP(B30,'LOD 400 - CONTROL'!B:P,15,FALSE)</f>
        <v>V2</v>
      </c>
      <c r="H30" s="429">
        <f>VLOOKUP(B30,'LOD 400 - CONTROL'!$B:$EP,145,FALSE)</f>
        <v>1</v>
      </c>
      <c r="I30" s="431" t="str">
        <f>VLOOKUP(B30,'LOD 400 - CONTROL'!B:S,18,FALSE)</f>
        <v>N/A</v>
      </c>
      <c r="J30" s="429">
        <f>VLOOKUP(B30,'LOD 400 - CONTROL'!$B:$ER,147,FALSE)</f>
        <v>0</v>
      </c>
      <c r="L30" s="432" t="str">
        <f>VLOOKUP(B30,'LOD 400 - CONTROL'!$B:$FZ,181,FALSE)</f>
        <v>N/A</v>
      </c>
      <c r="M30" s="433" t="str">
        <f>VLOOKUP(B30,'LOD 400 - CONTROL'!B:V,21,FALSE)</f>
        <v>N/A</v>
      </c>
      <c r="N30" s="434" t="str">
        <f>VLOOKUP(B30,'LOD 400 - CONTROL'!$B:$HE,212,FALSE)</f>
        <v>N/A</v>
      </c>
    </row>
    <row r="31">
      <c r="A31" s="436">
        <v>37.0</v>
      </c>
      <c r="B31" s="100" t="s">
        <v>156</v>
      </c>
      <c r="C31" s="427" t="str">
        <f>VLOOKUP(B31,'LOD 400 - CONTROL'!B:M,12,FALSE)</f>
        <v>V34</v>
      </c>
      <c r="D31" s="428" t="str">
        <f>VLOOKUP(B31,'LOD 400 - CONTROL'!$B:$BG,58,FALSE)</f>
        <v>N/A</v>
      </c>
      <c r="E31" s="428" t="str">
        <f>VLOOKUP(B31,'LOD 400 - CONTROL'!$B:$CP,93,FALSE)</f>
        <v>N/A</v>
      </c>
      <c r="F31" s="429" t="str">
        <f>VLOOKUP(B31,'LOD 400 - CONTROL'!$B:$DY,128,FALSE)</f>
        <v>N/A</v>
      </c>
      <c r="G31" s="430" t="str">
        <f>VLOOKUP(B31,'LOD 400 - CONTROL'!B:P,15,FALSE)</f>
        <v>N/A</v>
      </c>
      <c r="H31" s="429" t="str">
        <f>VLOOKUP(B31,'LOD 400 - CONTROL'!$B:$EP,145,FALSE)</f>
        <v>N/A</v>
      </c>
      <c r="I31" s="431" t="str">
        <f>VLOOKUP(B31,'LOD 400 - CONTROL'!B:S,18,FALSE)</f>
        <v>N/A</v>
      </c>
      <c r="J31" s="429" t="str">
        <f>VLOOKUP(B31,'LOD 400 - CONTROL'!$B:$ER,147,FALSE)</f>
        <v>N/A</v>
      </c>
      <c r="L31" s="432">
        <f>VLOOKUP(B31,'LOD 400 - CONTROL'!$B:$FZ,181,FALSE)</f>
        <v>1</v>
      </c>
      <c r="M31" s="433" t="str">
        <f>VLOOKUP(B31,'LOD 400 - CONTROL'!B:V,21,FALSE)</f>
        <v>V34</v>
      </c>
      <c r="N31" s="434">
        <f>VLOOKUP(B31,'LOD 400 - CONTROL'!$B:$HE,212,FALSE)</f>
        <v>1</v>
      </c>
    </row>
    <row r="32">
      <c r="A32" s="421">
        <v>38.0</v>
      </c>
      <c r="B32" s="146" t="s">
        <v>158</v>
      </c>
      <c r="C32" s="440"/>
      <c r="D32" s="441"/>
      <c r="E32" s="441"/>
      <c r="F32" s="441"/>
      <c r="G32" s="441"/>
      <c r="H32" s="441"/>
      <c r="I32" s="441"/>
      <c r="J32" s="441"/>
      <c r="K32" s="441"/>
      <c r="L32" s="442"/>
      <c r="M32" s="442"/>
      <c r="N32" s="443"/>
    </row>
    <row r="33">
      <c r="A33" s="436">
        <v>39.0</v>
      </c>
      <c r="B33" s="100" t="s">
        <v>159</v>
      </c>
      <c r="C33" s="427" t="str">
        <f>VLOOKUP(B33,'LOD 400 - CONTROL'!B:M,12,FALSE)</f>
        <v>V21</v>
      </c>
      <c r="D33" s="428">
        <f>VLOOKUP(B33,'LOD 400 - CONTROL'!$B:$BG,58,FALSE)</f>
        <v>1</v>
      </c>
      <c r="E33" s="428">
        <f>VLOOKUP(B33,'LOD 400 - CONTROL'!$B:$CP,93,FALSE)</f>
        <v>1</v>
      </c>
      <c r="F33" s="429">
        <f>VLOOKUP(B33,'LOD 400 - CONTROL'!$B:$DY,128,FALSE)</f>
        <v>1</v>
      </c>
      <c r="G33" s="430" t="str">
        <f>VLOOKUP(B33,'LOD 400 - CONTROL'!B:P,15,FALSE)</f>
        <v>V27</v>
      </c>
      <c r="H33" s="429">
        <f>VLOOKUP(B33,'LOD 400 - CONTROL'!$B:$EP,145,FALSE)</f>
        <v>1</v>
      </c>
      <c r="I33" s="431" t="str">
        <f>VLOOKUP(B33,'LOD 400 - CONTROL'!B:S,18,FALSE)</f>
        <v>N/A</v>
      </c>
      <c r="J33" s="429">
        <f>VLOOKUP(B33,'LOD 400 - CONTROL'!$B:$ER,147,FALSE)</f>
        <v>0</v>
      </c>
      <c r="L33" s="432" t="str">
        <f>VLOOKUP(B33,'LOD 400 - CONTROL'!$B:$FZ,181,FALSE)</f>
        <v>N/A</v>
      </c>
      <c r="M33" s="433" t="str">
        <f>VLOOKUP(B33,'LOD 400 - CONTROL'!B:V,21,FALSE)</f>
        <v>N/A</v>
      </c>
      <c r="N33" s="434" t="str">
        <f>VLOOKUP(B33,'LOD 400 - CONTROL'!$B:$HE,212,FALSE)</f>
        <v>N/A</v>
      </c>
    </row>
    <row r="34">
      <c r="A34" s="421">
        <v>40.0</v>
      </c>
      <c r="B34" s="146" t="s">
        <v>162</v>
      </c>
      <c r="C34" s="440"/>
      <c r="D34" s="441"/>
      <c r="E34" s="441"/>
      <c r="F34" s="441"/>
      <c r="G34" s="441"/>
      <c r="H34" s="441"/>
      <c r="I34" s="441"/>
      <c r="J34" s="441"/>
      <c r="K34" s="441"/>
      <c r="L34" s="442"/>
      <c r="M34" s="442"/>
      <c r="N34" s="443"/>
    </row>
    <row r="35">
      <c r="A35" s="436">
        <v>41.0</v>
      </c>
      <c r="B35" s="100" t="s">
        <v>163</v>
      </c>
      <c r="C35" s="427" t="str">
        <f>VLOOKUP(B35,'LOD 400 - CONTROL'!B:M,12,FALSE)</f>
        <v>V12</v>
      </c>
      <c r="D35" s="428">
        <f>VLOOKUP(B35,'LOD 400 - CONTROL'!$B:$BG,58,FALSE)</f>
        <v>1</v>
      </c>
      <c r="E35" s="428">
        <f>VLOOKUP(B35,'LOD 400 - CONTROL'!$B:$CP,93,FALSE)</f>
        <v>1</v>
      </c>
      <c r="F35" s="429">
        <f>VLOOKUP(B35,'LOD 400 - CONTROL'!$B:$DY,128,FALSE)</f>
        <v>1</v>
      </c>
      <c r="G35" s="430" t="str">
        <f>VLOOKUP(B35,'LOD 400 - CONTROL'!B:P,15,FALSE)</f>
        <v>V15</v>
      </c>
      <c r="H35" s="429">
        <f>VLOOKUP(B35,'LOD 400 - CONTROL'!$B:$EP,145,FALSE)</f>
        <v>1</v>
      </c>
      <c r="I35" s="431" t="str">
        <f>VLOOKUP(B35,'LOD 400 - CONTROL'!B:S,18,FALSE)</f>
        <v>N/A</v>
      </c>
      <c r="J35" s="429">
        <f>VLOOKUP(B35,'LOD 400 - CONTROL'!$B:$ER,147,FALSE)</f>
        <v>0</v>
      </c>
      <c r="L35" s="432" t="str">
        <f>VLOOKUP(B35,'LOD 400 - CONTROL'!$B:$FZ,181,FALSE)</f>
        <v>N/A</v>
      </c>
      <c r="M35" s="433" t="str">
        <f>VLOOKUP(B35,'LOD 400 - CONTROL'!B:V,21,FALSE)</f>
        <v>N/A</v>
      </c>
      <c r="N35" s="434" t="str">
        <f>VLOOKUP(B35,'LOD 400 - CONTROL'!$B:$HE,212,FALSE)</f>
        <v>N/A</v>
      </c>
    </row>
    <row r="36">
      <c r="A36" s="421">
        <v>42.0</v>
      </c>
      <c r="B36" s="100" t="s">
        <v>166</v>
      </c>
      <c r="C36" s="427" t="str">
        <f>VLOOKUP(B36,'LOD 400 - CONTROL'!B:M,12,FALSE)</f>
        <v>V10</v>
      </c>
      <c r="D36" s="428" t="str">
        <f>VLOOKUP(B36,'LOD 400 - CONTROL'!$B:$BG,58,FALSE)</f>
        <v>N/A</v>
      </c>
      <c r="E36" s="428" t="str">
        <f>VLOOKUP(B36,'LOD 400 - CONTROL'!$B:$CP,93,FALSE)</f>
        <v>N/A</v>
      </c>
      <c r="F36" s="429" t="str">
        <f>VLOOKUP(B36,'LOD 400 - CONTROL'!$B:$DY,128,FALSE)</f>
        <v>N/A</v>
      </c>
      <c r="G36" s="430" t="str">
        <f>VLOOKUP(B36,'LOD 400 - CONTROL'!B:P,15,FALSE)</f>
        <v>N/A</v>
      </c>
      <c r="H36" s="429" t="str">
        <f>VLOOKUP(B36,'LOD 400 - CONTROL'!$B:$EP,145,FALSE)</f>
        <v>N/A</v>
      </c>
      <c r="I36" s="431" t="str">
        <f>VLOOKUP(B36,'LOD 400 - CONTROL'!B:S,18,FALSE)</f>
        <v>N/A</v>
      </c>
      <c r="J36" s="429" t="str">
        <f>VLOOKUP(B36,'LOD 400 - CONTROL'!$B:$ER,147,FALSE)</f>
        <v>N/A</v>
      </c>
      <c r="L36" s="432">
        <f>VLOOKUP(B36,'LOD 400 - CONTROL'!$B:$FZ,181,FALSE)</f>
        <v>1</v>
      </c>
      <c r="M36" s="433" t="str">
        <f>VLOOKUP(B36,'LOD 400 - CONTROL'!B:V,21,FALSE)</f>
        <v>V10</v>
      </c>
      <c r="N36" s="434">
        <f>VLOOKUP(B36,'LOD 400 - CONTROL'!$B:$HE,212,FALSE)</f>
        <v>1</v>
      </c>
    </row>
    <row r="37">
      <c r="A37" s="436">
        <v>43.0</v>
      </c>
      <c r="B37" s="146" t="s">
        <v>168</v>
      </c>
      <c r="C37" s="440"/>
      <c r="D37" s="441"/>
      <c r="E37" s="441"/>
      <c r="F37" s="441"/>
      <c r="G37" s="441"/>
      <c r="H37" s="441"/>
      <c r="I37" s="441"/>
      <c r="J37" s="441"/>
      <c r="K37" s="441"/>
      <c r="L37" s="442"/>
      <c r="M37" s="442"/>
      <c r="N37" s="443"/>
    </row>
    <row r="38">
      <c r="A38" s="436">
        <v>43.0</v>
      </c>
      <c r="B38" s="100" t="s">
        <v>169</v>
      </c>
      <c r="C38" s="427" t="str">
        <f>VLOOKUP(B38,'LOD 400 - CONTROL'!B:M,12,FALSE)</f>
        <v>V9</v>
      </c>
      <c r="D38" s="428" t="str">
        <f>VLOOKUP(B38,'LOD 400 - CONTROL'!$B:$BG,58,FALSE)</f>
        <v>N/A</v>
      </c>
      <c r="E38" s="428" t="str">
        <f>VLOOKUP(B38,'LOD 400 - CONTROL'!$B:$CP,93,FALSE)</f>
        <v>N/A</v>
      </c>
      <c r="F38" s="429" t="str">
        <f>VLOOKUP(B38,'LOD 400 - CONTROL'!$B:$DY,128,FALSE)</f>
        <v>N/A</v>
      </c>
      <c r="G38" s="430" t="str">
        <f>VLOOKUP(B38,'LOD 400 - CONTROL'!B:P,15,FALSE)</f>
        <v>N/A</v>
      </c>
      <c r="H38" s="429" t="str">
        <f>VLOOKUP(B38,'LOD 400 - CONTROL'!$B:$EP,145,FALSE)</f>
        <v>N/A</v>
      </c>
      <c r="I38" s="431" t="str">
        <f>VLOOKUP(B38,'LOD 400 - CONTROL'!B:S,18,FALSE)</f>
        <v>N/A</v>
      </c>
      <c r="J38" s="429" t="str">
        <f>VLOOKUP(B38,'LOD 400 - CONTROL'!$B:$ER,147,FALSE)</f>
        <v>N/A</v>
      </c>
      <c r="L38" s="432">
        <f>VLOOKUP(B38,'LOD 400 - CONTROL'!$B:$FZ,181,FALSE)</f>
        <v>1</v>
      </c>
      <c r="M38" s="433" t="str">
        <f>VLOOKUP(B38,'LOD 400 - CONTROL'!B:V,21,FALSE)</f>
        <v>N/A</v>
      </c>
      <c r="N38" s="434" t="str">
        <f>VLOOKUP(B38,'LOD 400 - CONTROL'!$B:$HE,212,FALSE)</f>
        <v>N/A</v>
      </c>
    </row>
    <row r="39">
      <c r="A39" s="421">
        <v>44.0</v>
      </c>
      <c r="B39" s="100" t="s">
        <v>171</v>
      </c>
      <c r="C39" s="427" t="str">
        <f>VLOOKUP(B39,'LOD 400 - CONTROL'!B:M,12,FALSE)</f>
        <v>V24</v>
      </c>
      <c r="D39" s="428">
        <f>VLOOKUP(B39,'LOD 400 - CONTROL'!$B:$BG,58,FALSE)</f>
        <v>1</v>
      </c>
      <c r="E39" s="428">
        <f>VLOOKUP(B39,'LOD 400 - CONTROL'!$B:$CP,93,FALSE)</f>
        <v>1</v>
      </c>
      <c r="F39" s="429">
        <f>VLOOKUP(B39,'LOD 400 - CONTROL'!$B:$DY,128,FALSE)</f>
        <v>1</v>
      </c>
      <c r="G39" s="430" t="str">
        <f>VLOOKUP(B39,'LOD 400 - CONTROL'!B:P,15,FALSE)</f>
        <v>V34</v>
      </c>
      <c r="H39" s="429">
        <f>VLOOKUP(B39,'LOD 400 - CONTROL'!$B:$EP,145,FALSE)</f>
        <v>1</v>
      </c>
      <c r="I39" s="431" t="str">
        <f>VLOOKUP(B39,'LOD 400 - CONTROL'!B:S,18,FALSE)</f>
        <v>N/A</v>
      </c>
      <c r="J39" s="429">
        <f>VLOOKUP(B39,'LOD 400 - CONTROL'!$B:$ER,147,FALSE)</f>
        <v>0</v>
      </c>
      <c r="L39" s="432" t="str">
        <f>VLOOKUP(B39,'LOD 400 - CONTROL'!$B:$FZ,181,FALSE)</f>
        <v>N/A</v>
      </c>
      <c r="M39" s="433" t="str">
        <f>VLOOKUP(B39,'LOD 400 - CONTROL'!B:V,21,FALSE)</f>
        <v>N/A</v>
      </c>
      <c r="N39" s="434" t="str">
        <f>VLOOKUP(B39,'LOD 400 - CONTROL'!$B:$HE,212,FALSE)</f>
        <v>N/A</v>
      </c>
    </row>
    <row r="40">
      <c r="A40" s="436">
        <v>45.0</v>
      </c>
      <c r="B40" s="146" t="s">
        <v>173</v>
      </c>
      <c r="C40" s="440"/>
      <c r="D40" s="441"/>
      <c r="E40" s="441"/>
      <c r="F40" s="441"/>
      <c r="G40" s="441"/>
      <c r="H40" s="441"/>
      <c r="I40" s="441"/>
      <c r="J40" s="441"/>
      <c r="K40" s="441"/>
      <c r="L40" s="442"/>
      <c r="M40" s="442"/>
      <c r="N40" s="443"/>
    </row>
    <row r="41">
      <c r="A41" s="421">
        <v>46.0</v>
      </c>
      <c r="B41" s="100" t="s">
        <v>174</v>
      </c>
      <c r="C41" s="427" t="str">
        <f>VLOOKUP(B41,'LOD 400 - CONTROL'!B:M,12,FALSE)</f>
        <v>V10</v>
      </c>
      <c r="D41" s="428" t="str">
        <f>VLOOKUP(B41,'LOD 400 - CONTROL'!$B:$BG,58,FALSE)</f>
        <v>N/A</v>
      </c>
      <c r="E41" s="428" t="str">
        <f>VLOOKUP(B41,'LOD 400 - CONTROL'!$B:$CP,93,FALSE)</f>
        <v>N/A</v>
      </c>
      <c r="F41" s="429" t="str">
        <f>VLOOKUP(B41,'LOD 400 - CONTROL'!$B:$DY,128,FALSE)</f>
        <v>N/A</v>
      </c>
      <c r="G41" s="430" t="str">
        <f>VLOOKUP(B41,'LOD 400 - CONTROL'!B:P,15,FALSE)</f>
        <v>N/A</v>
      </c>
      <c r="H41" s="429" t="str">
        <f>VLOOKUP(B41,'LOD 400 - CONTROL'!$B:$EP,145,FALSE)</f>
        <v>N/A</v>
      </c>
      <c r="I41" s="431" t="str">
        <f>VLOOKUP(B41,'LOD 400 - CONTROL'!B:S,18,FALSE)</f>
        <v>N/A</v>
      </c>
      <c r="J41" s="429" t="str">
        <f>VLOOKUP(B41,'LOD 400 - CONTROL'!$B:$ER,147,FALSE)</f>
        <v>N/A</v>
      </c>
      <c r="L41" s="432">
        <f>VLOOKUP(B41,'LOD 400 - CONTROL'!$B:$FZ,181,FALSE)</f>
        <v>1</v>
      </c>
      <c r="M41" s="433" t="str">
        <f>VLOOKUP(B41,'LOD 400 - CONTROL'!B:V,21,FALSE)</f>
        <v>N/A</v>
      </c>
      <c r="N41" s="434" t="str">
        <f>VLOOKUP(B41,'LOD 400 - CONTROL'!$B:$HE,212,FALSE)</f>
        <v>N/A</v>
      </c>
    </row>
    <row r="42">
      <c r="A42" s="436">
        <v>47.0</v>
      </c>
      <c r="B42" s="100" t="s">
        <v>176</v>
      </c>
      <c r="C42" s="427" t="str">
        <f>VLOOKUP(B42,'LOD 400 - CONTROL'!B:M,12,FALSE)</f>
        <v>V14</v>
      </c>
      <c r="D42" s="428">
        <f>VLOOKUP(B42,'LOD 400 - CONTROL'!$B:$BG,58,FALSE)</f>
        <v>1</v>
      </c>
      <c r="E42" s="428">
        <f>VLOOKUP(B42,'LOD 400 - CONTROL'!$B:$CP,93,FALSE)</f>
        <v>1</v>
      </c>
      <c r="F42" s="429">
        <f>VLOOKUP(B42,'LOD 400 - CONTROL'!$B:$DY,128,FALSE)</f>
        <v>1</v>
      </c>
      <c r="G42" s="430" t="str">
        <f>VLOOKUP(B42,'LOD 400 - CONTROL'!B:P,15,FALSE)</f>
        <v>V2</v>
      </c>
      <c r="H42" s="429">
        <f>VLOOKUP(B42,'LOD 400 - CONTROL'!$B:$EP,145,FALSE)</f>
        <v>1</v>
      </c>
      <c r="I42" s="431" t="str">
        <f>VLOOKUP(B42,'LOD 400 - CONTROL'!B:S,18,FALSE)</f>
        <v>N/A</v>
      </c>
      <c r="J42" s="429">
        <f>VLOOKUP(B42,'LOD 400 - CONTROL'!$B:$ER,147,FALSE)</f>
        <v>0</v>
      </c>
      <c r="L42" s="432" t="str">
        <f>VLOOKUP(B42,'LOD 400 - CONTROL'!$B:$FZ,181,FALSE)</f>
        <v>N/A</v>
      </c>
      <c r="M42" s="433" t="str">
        <f>VLOOKUP(B42,'LOD 400 - CONTROL'!B:V,21,FALSE)</f>
        <v>N/A</v>
      </c>
      <c r="N42" s="434" t="str">
        <f>VLOOKUP(B42,'LOD 400 - CONTROL'!$B:$HE,212,FALSE)</f>
        <v>N/A</v>
      </c>
    </row>
    <row r="43">
      <c r="A43" s="421">
        <v>48.0</v>
      </c>
      <c r="B43" s="124" t="s">
        <v>178</v>
      </c>
      <c r="C43" s="437"/>
      <c r="D43" s="438"/>
      <c r="E43" s="438"/>
      <c r="F43" s="438"/>
      <c r="G43" s="438"/>
      <c r="H43" s="438"/>
      <c r="I43" s="438"/>
      <c r="J43" s="438"/>
      <c r="K43" s="438"/>
      <c r="L43" s="444"/>
      <c r="M43" s="444"/>
      <c r="N43" s="439"/>
    </row>
    <row r="44">
      <c r="A44" s="436">
        <v>49.0</v>
      </c>
      <c r="B44" s="145" t="s">
        <v>179</v>
      </c>
      <c r="C44" s="427" t="str">
        <f>VLOOKUP(B44,'LOD 400 - CONTROL'!B:M,12,FALSE)</f>
        <v>V32</v>
      </c>
      <c r="D44" s="428">
        <f>VLOOKUP(B44,'LOD 400 - CONTROL'!$B:$BG,58,FALSE)</f>
        <v>1</v>
      </c>
      <c r="E44" s="428">
        <f>VLOOKUP(B44,'LOD 400 - CONTROL'!$B:$CP,93,FALSE)</f>
        <v>1</v>
      </c>
      <c r="F44" s="429">
        <f>VLOOKUP(B44,'LOD 400 - CONTROL'!$B:$DY,128,FALSE)</f>
        <v>1</v>
      </c>
      <c r="G44" s="430" t="str">
        <f>VLOOKUP(B44,'LOD 400 - CONTROL'!B:P,15,FALSE)</f>
        <v>V33</v>
      </c>
      <c r="H44" s="429">
        <f>VLOOKUP(B44,'LOD 400 - CONTROL'!$B:$EP,145,FALSE)</f>
        <v>1</v>
      </c>
      <c r="I44" s="431" t="str">
        <f>VLOOKUP(B44,'LOD 400 - CONTROL'!B:S,18,FALSE)</f>
        <v>N/A</v>
      </c>
      <c r="J44" s="429">
        <f>VLOOKUP(B44,'LOD 400 - CONTROL'!$B:$ER,147,FALSE)</f>
        <v>0</v>
      </c>
      <c r="L44" s="432" t="str">
        <f>VLOOKUP(B44,'LOD 400 - CONTROL'!$B:$FZ,181,FALSE)</f>
        <v>N/A</v>
      </c>
      <c r="M44" s="433" t="str">
        <f>VLOOKUP(B44,'LOD 400 - CONTROL'!B:V,21,FALSE)</f>
        <v>N/A</v>
      </c>
      <c r="N44" s="434" t="str">
        <f>VLOOKUP(B44,'LOD 400 - CONTROL'!$B:$HE,212,FALSE)</f>
        <v>N/A</v>
      </c>
    </row>
    <row r="45">
      <c r="A45" s="421">
        <v>50.0</v>
      </c>
      <c r="B45" s="100" t="s">
        <v>181</v>
      </c>
      <c r="C45" s="427" t="str">
        <f>VLOOKUP(B45,'LOD 400 - CONTROL'!B:M,12,FALSE)</f>
        <v>V28</v>
      </c>
      <c r="D45" s="428" t="str">
        <f>VLOOKUP(B45,'LOD 400 - CONTROL'!$B:$BG,58,FALSE)</f>
        <v>N/A</v>
      </c>
      <c r="E45" s="428" t="str">
        <f>VLOOKUP(B45,'LOD 400 - CONTROL'!$B:$CP,93,FALSE)</f>
        <v>N/A</v>
      </c>
      <c r="F45" s="429" t="str">
        <f>VLOOKUP(B45,'LOD 400 - CONTROL'!$B:$DY,128,FALSE)</f>
        <v>N/A</v>
      </c>
      <c r="G45" s="430" t="str">
        <f>VLOOKUP(B45,'LOD 400 - CONTROL'!B:P,15,FALSE)</f>
        <v>N/A</v>
      </c>
      <c r="H45" s="429" t="str">
        <f>VLOOKUP(B45,'LOD 400 - CONTROL'!$B:$EP,145,FALSE)</f>
        <v>N/A</v>
      </c>
      <c r="I45" s="431" t="str">
        <f>VLOOKUP(B45,'LOD 400 - CONTROL'!B:S,18,FALSE)</f>
        <v>N/A</v>
      </c>
      <c r="J45" s="429" t="str">
        <f>VLOOKUP(B45,'LOD 400 - CONTROL'!$B:$ER,147,FALSE)</f>
        <v>N/A</v>
      </c>
      <c r="L45" s="432">
        <f>VLOOKUP(B45,'LOD 400 - CONTROL'!$B:$FZ,181,FALSE)</f>
        <v>1</v>
      </c>
      <c r="M45" s="433" t="str">
        <f>VLOOKUP(B45,'LOD 400 - CONTROL'!B:V,21,FALSE)</f>
        <v>V28</v>
      </c>
      <c r="N45" s="434">
        <f>VLOOKUP(B45,'LOD 400 - CONTROL'!$B:$HE,212,FALSE)</f>
        <v>1</v>
      </c>
    </row>
    <row r="46">
      <c r="A46" s="436">
        <v>51.0</v>
      </c>
      <c r="B46" s="146" t="s">
        <v>183</v>
      </c>
      <c r="C46" s="440"/>
      <c r="D46" s="441"/>
      <c r="E46" s="441"/>
      <c r="F46" s="441"/>
      <c r="G46" s="441"/>
      <c r="H46" s="441"/>
      <c r="I46" s="441"/>
      <c r="J46" s="441"/>
      <c r="K46" s="441"/>
      <c r="L46" s="442"/>
      <c r="M46" s="442"/>
      <c r="N46" s="443"/>
    </row>
    <row r="47">
      <c r="A47" s="421">
        <v>52.0</v>
      </c>
      <c r="B47" s="100" t="s">
        <v>184</v>
      </c>
      <c r="C47" s="427" t="str">
        <f>VLOOKUP(B47,'LOD 400 - CONTROL'!B:M,12,FALSE)</f>
        <v>V11</v>
      </c>
      <c r="D47" s="428" t="str">
        <f>VLOOKUP(B47,'LOD 400 - CONTROL'!$B:$BG,58,FALSE)</f>
        <v>N/A</v>
      </c>
      <c r="E47" s="428" t="str">
        <f>VLOOKUP(B47,'LOD 400 - CONTROL'!$B:$CP,93,FALSE)</f>
        <v>N/A</v>
      </c>
      <c r="F47" s="429" t="str">
        <f>VLOOKUP(B47,'LOD 400 - CONTROL'!$B:$DY,128,FALSE)</f>
        <v>N/A</v>
      </c>
      <c r="G47" s="430" t="str">
        <f>VLOOKUP(B47,'LOD 400 - CONTROL'!B:P,15,FALSE)</f>
        <v>N/A</v>
      </c>
      <c r="H47" s="429" t="str">
        <f>VLOOKUP(B47,'LOD 400 - CONTROL'!$B:$EP,145,FALSE)</f>
        <v>N/A</v>
      </c>
      <c r="I47" s="431" t="str">
        <f>VLOOKUP(B47,'LOD 400 - CONTROL'!B:S,18,FALSE)</f>
        <v>N/A</v>
      </c>
      <c r="J47" s="429" t="str">
        <f>VLOOKUP(B47,'LOD 400 - CONTROL'!$B:$ER,147,FALSE)</f>
        <v>N/A</v>
      </c>
      <c r="L47" s="432">
        <f>VLOOKUP(B47,'LOD 400 - CONTROL'!$B:$FZ,181,FALSE)</f>
        <v>1</v>
      </c>
      <c r="M47" s="433" t="str">
        <f>VLOOKUP(B47,'LOD 400 - CONTROL'!B:V,21,FALSE)</f>
        <v>V12</v>
      </c>
      <c r="N47" s="434">
        <f>VLOOKUP(B47,'LOD 400 - CONTROL'!$B:$HE,212,FALSE)</f>
        <v>1</v>
      </c>
    </row>
    <row r="48">
      <c r="A48" s="436">
        <v>53.0</v>
      </c>
      <c r="B48" s="100" t="s">
        <v>186</v>
      </c>
      <c r="C48" s="427" t="str">
        <f>VLOOKUP(B48,'LOD 400 - CONTROL'!B:M,12,FALSE)</f>
        <v>V14</v>
      </c>
      <c r="D48" s="428">
        <f>VLOOKUP(B48,'LOD 400 - CONTROL'!$B:$BG,58,FALSE)</f>
        <v>1</v>
      </c>
      <c r="E48" s="428">
        <f>VLOOKUP(B48,'LOD 400 - CONTROL'!$B:$CP,93,FALSE)</f>
        <v>1</v>
      </c>
      <c r="F48" s="429">
        <f>VLOOKUP(B48,'LOD 400 - CONTROL'!$B:$DY,128,FALSE)</f>
        <v>1</v>
      </c>
      <c r="G48" s="430" t="str">
        <f>VLOOKUP(B48,'LOD 400 - CONTROL'!B:P,15,FALSE)</f>
        <v>V19</v>
      </c>
      <c r="H48" s="429">
        <f>VLOOKUP(B48,'LOD 400 - CONTROL'!$B:$EP,145,FALSE)</f>
        <v>1</v>
      </c>
      <c r="I48" s="431" t="str">
        <f>VLOOKUP(B48,'LOD 400 - CONTROL'!B:S,18,FALSE)</f>
        <v>N/A</v>
      </c>
      <c r="J48" s="429">
        <f>VLOOKUP(B48,'LOD 400 - CONTROL'!$B:$ER,147,FALSE)</f>
        <v>0</v>
      </c>
      <c r="L48" s="432" t="str">
        <f>VLOOKUP(B48,'LOD 400 - CONTROL'!$B:$FZ,181,FALSE)</f>
        <v>N/A</v>
      </c>
      <c r="M48" s="433" t="str">
        <f>VLOOKUP(B48,'LOD 400 - CONTROL'!B:V,21,FALSE)</f>
        <v>N/A</v>
      </c>
      <c r="N48" s="434" t="str">
        <f>VLOOKUP(B48,'LOD 400 - CONTROL'!$B:$HE,212,FALSE)</f>
        <v>N/A</v>
      </c>
    </row>
    <row r="49">
      <c r="A49" s="421">
        <v>54.0</v>
      </c>
      <c r="B49" s="124" t="s">
        <v>188</v>
      </c>
      <c r="C49" s="437"/>
      <c r="D49" s="438"/>
      <c r="E49" s="438"/>
      <c r="F49" s="438"/>
      <c r="G49" s="438"/>
      <c r="H49" s="438"/>
      <c r="I49" s="438"/>
      <c r="J49" s="438"/>
      <c r="K49" s="438"/>
      <c r="L49" s="444"/>
      <c r="M49" s="444"/>
      <c r="N49" s="439"/>
    </row>
    <row r="50">
      <c r="A50" s="436">
        <v>55.0</v>
      </c>
      <c r="B50" s="100" t="s">
        <v>189</v>
      </c>
      <c r="C50" s="427" t="str">
        <f>VLOOKUP(B50,'LOD 400 - CONTROL'!B:M,12,FALSE)</f>
        <v>V35</v>
      </c>
      <c r="D50" s="428">
        <f>VLOOKUP(B50,'LOD 400 - CONTROL'!$B:$BG,58,FALSE)</f>
        <v>1</v>
      </c>
      <c r="E50" s="428">
        <f>VLOOKUP(B50,'LOD 400 - CONTROL'!$B:$CP,93,FALSE)</f>
        <v>1</v>
      </c>
      <c r="F50" s="429">
        <f>VLOOKUP(B50,'LOD 400 - CONTROL'!$B:$DY,128,FALSE)</f>
        <v>1</v>
      </c>
      <c r="G50" s="430" t="str">
        <f>VLOOKUP(B50,'LOD 400 - CONTROL'!B:P,15,FALSE)</f>
        <v>V4</v>
      </c>
      <c r="H50" s="429">
        <f>VLOOKUP(B50,'LOD 400 - CONTROL'!$B:$EP,145,FALSE)</f>
        <v>1</v>
      </c>
      <c r="I50" s="431" t="str">
        <f>VLOOKUP(B50,'LOD 400 - CONTROL'!B:S,18,FALSE)</f>
        <v>N/A</v>
      </c>
      <c r="J50" s="429">
        <f>VLOOKUP(B50,'LOD 400 - CONTROL'!$B:$ER,147,FALSE)</f>
        <v>0</v>
      </c>
      <c r="L50" s="432" t="str">
        <f>VLOOKUP(B50,'LOD 400 - CONTROL'!$B:$FZ,181,FALSE)</f>
        <v>N/A</v>
      </c>
      <c r="M50" s="433" t="str">
        <f>VLOOKUP(B50,'LOD 400 - CONTROL'!B:V,21,FALSE)</f>
        <v>N/A</v>
      </c>
      <c r="N50" s="434" t="str">
        <f>VLOOKUP(B50,'LOD 400 - CONTROL'!$B:$HE,212,FALSE)</f>
        <v>N/A</v>
      </c>
    </row>
    <row r="51">
      <c r="A51" s="421">
        <v>56.0</v>
      </c>
      <c r="B51" s="100" t="s">
        <v>191</v>
      </c>
      <c r="C51" s="427" t="str">
        <f>VLOOKUP(B51,'LOD 400 - CONTROL'!B:M,12,FALSE)</f>
        <v>V28</v>
      </c>
      <c r="D51" s="428" t="str">
        <f>VLOOKUP(B51,'LOD 400 - CONTROL'!$B:$BG,58,FALSE)</f>
        <v>N/A</v>
      </c>
      <c r="E51" s="428" t="str">
        <f>VLOOKUP(B51,'LOD 400 - CONTROL'!$B:$CP,93,FALSE)</f>
        <v>N/A</v>
      </c>
      <c r="F51" s="429" t="str">
        <f>VLOOKUP(B51,'LOD 400 - CONTROL'!$B:$DY,128,FALSE)</f>
        <v>N/A</v>
      </c>
      <c r="G51" s="430" t="str">
        <f>VLOOKUP(B51,'LOD 400 - CONTROL'!B:P,15,FALSE)</f>
        <v>N/A</v>
      </c>
      <c r="H51" s="429" t="str">
        <f>VLOOKUP(B51,'LOD 400 - CONTROL'!$B:$EP,145,FALSE)</f>
        <v>N/A</v>
      </c>
      <c r="I51" s="431" t="str">
        <f>VLOOKUP(B51,'LOD 400 - CONTROL'!B:S,18,FALSE)</f>
        <v>N/A</v>
      </c>
      <c r="J51" s="429" t="str">
        <f>VLOOKUP(B51,'LOD 400 - CONTROL'!$B:$ER,147,FALSE)</f>
        <v>N/A</v>
      </c>
      <c r="L51" s="432">
        <f>VLOOKUP(B51,'LOD 400 - CONTROL'!$B:$FZ,181,FALSE)</f>
        <v>1</v>
      </c>
      <c r="M51" s="433" t="str">
        <f>VLOOKUP(B51,'LOD 400 - CONTROL'!B:V,21,FALSE)</f>
        <v>V28</v>
      </c>
      <c r="N51" s="434">
        <f>VLOOKUP(B51,'LOD 400 - CONTROL'!$B:$HE,212,FALSE)</f>
        <v>1</v>
      </c>
    </row>
    <row r="52">
      <c r="A52" s="436">
        <v>57.0</v>
      </c>
      <c r="B52" s="146" t="s">
        <v>193</v>
      </c>
      <c r="C52" s="440"/>
      <c r="D52" s="441"/>
      <c r="E52" s="441"/>
      <c r="F52" s="441"/>
      <c r="G52" s="441"/>
      <c r="H52" s="441"/>
      <c r="I52" s="441"/>
      <c r="J52" s="441"/>
      <c r="K52" s="441"/>
      <c r="L52" s="442"/>
      <c r="M52" s="442"/>
      <c r="N52" s="443"/>
    </row>
    <row r="53">
      <c r="A53" s="421">
        <v>58.0</v>
      </c>
      <c r="B53" s="100" t="s">
        <v>194</v>
      </c>
      <c r="C53" s="427" t="str">
        <f>VLOOKUP(B53,'LOD 400 - CONTROL'!B:M,12,FALSE)</f>
        <v>V29</v>
      </c>
      <c r="D53" s="428" t="str">
        <f>VLOOKUP(B53,'LOD 400 - CONTROL'!$B:$BG,58,FALSE)</f>
        <v>N/A</v>
      </c>
      <c r="E53" s="428" t="str">
        <f>VLOOKUP(B53,'LOD 400 - CONTROL'!$B:$CP,93,FALSE)</f>
        <v>N/A</v>
      </c>
      <c r="F53" s="429" t="str">
        <f>VLOOKUP(B53,'LOD 400 - CONTROL'!$B:$DY,128,FALSE)</f>
        <v>N/A</v>
      </c>
      <c r="G53" s="430" t="str">
        <f>VLOOKUP(B53,'LOD 400 - CONTROL'!B:P,15,FALSE)</f>
        <v>N/A</v>
      </c>
      <c r="H53" s="429" t="str">
        <f>VLOOKUP(B53,'LOD 400 - CONTROL'!$B:$EP,145,FALSE)</f>
        <v>N/A</v>
      </c>
      <c r="I53" s="431" t="str">
        <f>VLOOKUP(B53,'LOD 400 - CONTROL'!B:S,18,FALSE)</f>
        <v>N/A</v>
      </c>
      <c r="J53" s="429" t="str">
        <f>VLOOKUP(B53,'LOD 400 - CONTROL'!$B:$ER,147,FALSE)</f>
        <v>N/A</v>
      </c>
      <c r="L53" s="432">
        <f>VLOOKUP(B53,'LOD 400 - CONTROL'!$B:$FZ,181,FALSE)</f>
        <v>1</v>
      </c>
      <c r="M53" s="433" t="str">
        <f>VLOOKUP(B53,'LOD 400 - CONTROL'!B:V,21,FALSE)</f>
        <v>V27</v>
      </c>
      <c r="N53" s="434">
        <f>VLOOKUP(B53,'LOD 400 - CONTROL'!$B:$HE,212,FALSE)</f>
        <v>1</v>
      </c>
    </row>
    <row r="54">
      <c r="A54" s="436">
        <v>59.0</v>
      </c>
      <c r="B54" s="100" t="s">
        <v>197</v>
      </c>
      <c r="C54" s="427" t="str">
        <f>VLOOKUP(B54,'LOD 400 - CONTROL'!B:M,12,FALSE)</f>
        <v>V29</v>
      </c>
      <c r="D54" s="428">
        <f>VLOOKUP(B54,'LOD 400 - CONTROL'!$B:$BG,58,FALSE)</f>
        <v>1</v>
      </c>
      <c r="E54" s="428">
        <f>VLOOKUP(B54,'LOD 400 - CONTROL'!$B:$CP,93,FALSE)</f>
        <v>1</v>
      </c>
      <c r="F54" s="429">
        <f>VLOOKUP(B54,'LOD 400 - CONTROL'!$B:$DY,128,FALSE)</f>
        <v>1</v>
      </c>
      <c r="G54" s="430" t="str">
        <f>VLOOKUP(B54,'LOD 400 - CONTROL'!B:P,15,FALSE)</f>
        <v>V37</v>
      </c>
      <c r="H54" s="429">
        <f>VLOOKUP(B54,'LOD 400 - CONTROL'!$B:$EP,145,FALSE)</f>
        <v>1</v>
      </c>
      <c r="I54" s="431" t="str">
        <f>VLOOKUP(B54,'LOD 400 - CONTROL'!B:S,18,FALSE)</f>
        <v>N/A</v>
      </c>
      <c r="J54" s="429">
        <f>VLOOKUP(B54,'LOD 400 - CONTROL'!$B:$ER,147,FALSE)</f>
        <v>0</v>
      </c>
      <c r="L54" s="432" t="str">
        <f>VLOOKUP(B54,'LOD 400 - CONTROL'!$B:$FZ,181,FALSE)</f>
        <v>N/A</v>
      </c>
      <c r="M54" s="433" t="str">
        <f>VLOOKUP(B54,'LOD 400 - CONTROL'!B:V,21,FALSE)</f>
        <v>N/A</v>
      </c>
      <c r="N54" s="434" t="str">
        <f>VLOOKUP(B54,'LOD 400 - CONTROL'!$B:$HE,212,FALSE)</f>
        <v>N/A</v>
      </c>
    </row>
    <row r="55">
      <c r="A55" s="421">
        <v>60.0</v>
      </c>
      <c r="B55" s="122" t="s">
        <v>199</v>
      </c>
      <c r="C55" s="427" t="str">
        <f>VLOOKUP(B55,'LOD 400 - CONTROL'!B:M,12,FALSE)</f>
        <v>V2</v>
      </c>
      <c r="D55" s="428" t="str">
        <f>VLOOKUP(B55,'LOD 400 - CONTROL'!$B:$BG,58,FALSE)</f>
        <v>N/A</v>
      </c>
      <c r="E55" s="428" t="str">
        <f>VLOOKUP(B55,'LOD 400 - CONTROL'!$B:$CP,93,FALSE)</f>
        <v>N/A</v>
      </c>
      <c r="F55" s="429" t="str">
        <f>VLOOKUP(B55,'LOD 400 - CONTROL'!$B:$DY,128,FALSE)</f>
        <v>N/A</v>
      </c>
      <c r="G55" s="430" t="str">
        <f>VLOOKUP(B55,'LOD 400 - CONTROL'!B:P,15,FALSE)</f>
        <v>N/A</v>
      </c>
      <c r="H55" s="429" t="str">
        <f>VLOOKUP(B55,'LOD 400 - CONTROL'!$B:$EP,145,FALSE)</f>
        <v>N/A</v>
      </c>
      <c r="I55" s="431" t="str">
        <f>VLOOKUP(B55,'LOD 400 - CONTROL'!B:S,18,FALSE)</f>
        <v>N/A</v>
      </c>
      <c r="J55" s="429" t="str">
        <f>VLOOKUP(B55,'LOD 400 - CONTROL'!$B:$ER,147,FALSE)</f>
        <v>N/A</v>
      </c>
      <c r="L55" s="432">
        <f>VLOOKUP(B55,'LOD 400 - CONTROL'!$B:$FZ,181,FALSE)</f>
        <v>1</v>
      </c>
      <c r="M55" s="433" t="str">
        <f>VLOOKUP(B55,'LOD 400 - CONTROL'!B:V,21,FALSE)</f>
        <v>N/A</v>
      </c>
      <c r="N55" s="434" t="str">
        <f>VLOOKUP(B55,'LOD 400 - CONTROL'!$B:$HE,212,FALSE)</f>
        <v>N/A</v>
      </c>
    </row>
    <row r="56">
      <c r="A56" s="436">
        <v>61.0</v>
      </c>
      <c r="B56" s="188" t="s">
        <v>201</v>
      </c>
      <c r="C56" s="445"/>
      <c r="D56" s="446"/>
      <c r="E56" s="446"/>
      <c r="F56" s="446"/>
      <c r="G56" s="446"/>
      <c r="H56" s="446"/>
      <c r="I56" s="446"/>
      <c r="J56" s="446"/>
      <c r="K56" s="446"/>
      <c r="L56" s="447"/>
      <c r="M56" s="447"/>
      <c r="N56" s="448"/>
    </row>
    <row r="57">
      <c r="A57" s="421">
        <v>62.0</v>
      </c>
      <c r="B57" s="100" t="s">
        <v>202</v>
      </c>
      <c r="C57" s="427" t="str">
        <f>VLOOKUP(B57,'LOD 400 - CONTROL'!B:M,12,FALSE)</f>
        <v>V29</v>
      </c>
      <c r="D57" s="428" t="str">
        <f>VLOOKUP(B57,'LOD 400 - CONTROL'!$B:$BG,58,FALSE)</f>
        <v>N/A</v>
      </c>
      <c r="E57" s="428" t="str">
        <f>VLOOKUP(B57,'LOD 400 - CONTROL'!$B:$CP,93,FALSE)</f>
        <v>N/A</v>
      </c>
      <c r="F57" s="429" t="str">
        <f>VLOOKUP(B57,'LOD 400 - CONTROL'!$B:$DY,128,FALSE)</f>
        <v>N/A</v>
      </c>
      <c r="G57" s="430" t="str">
        <f>VLOOKUP(B57,'LOD 400 - CONTROL'!B:P,15,FALSE)</f>
        <v>N/A</v>
      </c>
      <c r="H57" s="429" t="str">
        <f>VLOOKUP(B57,'LOD 400 - CONTROL'!$B:$EP,145,FALSE)</f>
        <v>N/A</v>
      </c>
      <c r="I57" s="431" t="str">
        <f>VLOOKUP(B57,'LOD 400 - CONTROL'!B:S,18,FALSE)</f>
        <v>N/A</v>
      </c>
      <c r="J57" s="429" t="str">
        <f>VLOOKUP(B57,'LOD 400 - CONTROL'!$B:$ER,147,FALSE)</f>
        <v>N/A</v>
      </c>
      <c r="L57" s="432">
        <f>VLOOKUP(B57,'LOD 400 - CONTROL'!$B:$FZ,181,FALSE)</f>
        <v>1</v>
      </c>
      <c r="M57" s="433" t="str">
        <f>VLOOKUP(B57,'LOD 400 - CONTROL'!B:V,21,FALSE)</f>
        <v>V29</v>
      </c>
      <c r="N57" s="434">
        <f>VLOOKUP(B57,'LOD 400 - CONTROL'!$B:$HE,212,FALSE)</f>
        <v>1</v>
      </c>
    </row>
    <row r="58">
      <c r="A58" s="436">
        <v>63.0</v>
      </c>
      <c r="B58" s="145" t="s">
        <v>204</v>
      </c>
      <c r="C58" s="427" t="str">
        <f>VLOOKUP(B58,'LOD 400 - CONTROL'!B:M,12,FALSE)</f>
        <v>V42</v>
      </c>
      <c r="D58" s="428">
        <f>VLOOKUP(B58,'LOD 400 - CONTROL'!$B:$BG,58,FALSE)</f>
        <v>1</v>
      </c>
      <c r="E58" s="428">
        <f>VLOOKUP(B58,'LOD 400 - CONTROL'!$B:$CP,93,FALSE)</f>
        <v>1</v>
      </c>
      <c r="F58" s="429">
        <f>VLOOKUP(B58,'LOD 400 - CONTROL'!$B:$DY,128,FALSE)</f>
        <v>1</v>
      </c>
      <c r="G58" s="430" t="str">
        <f>VLOOKUP(B58,'LOD 400 - CONTROL'!B:P,15,FALSE)</f>
        <v>V4</v>
      </c>
      <c r="H58" s="429">
        <f>VLOOKUP(B58,'LOD 400 - CONTROL'!$B:$EP,145,FALSE)</f>
        <v>1</v>
      </c>
      <c r="I58" s="431" t="str">
        <f>VLOOKUP(B58,'LOD 400 - CONTROL'!B:S,18,FALSE)</f>
        <v>N/A</v>
      </c>
      <c r="J58" s="429">
        <f>VLOOKUP(B58,'LOD 400 - CONTROL'!$B:$ER,147,FALSE)</f>
        <v>0</v>
      </c>
      <c r="L58" s="432" t="str">
        <f>VLOOKUP(B58,'LOD 400 - CONTROL'!$B:$FZ,181,FALSE)</f>
        <v>N/A</v>
      </c>
      <c r="M58" s="433" t="str">
        <f>VLOOKUP(B58,'LOD 400 - CONTROL'!B:V,21,FALSE)</f>
        <v>N/A</v>
      </c>
      <c r="N58" s="434" t="str">
        <f>VLOOKUP(B58,'LOD 400 - CONTROL'!$B:$HE,212,FALSE)</f>
        <v>N/A</v>
      </c>
    </row>
    <row r="59">
      <c r="A59" s="421">
        <v>64.0</v>
      </c>
      <c r="B59" s="209" t="s">
        <v>206</v>
      </c>
      <c r="C59" s="449"/>
      <c r="D59" s="450"/>
      <c r="E59" s="450"/>
      <c r="F59" s="450"/>
      <c r="G59" s="450"/>
      <c r="H59" s="450"/>
      <c r="I59" s="450"/>
      <c r="J59" s="450"/>
      <c r="K59" s="450"/>
      <c r="L59" s="451"/>
      <c r="M59" s="451"/>
      <c r="N59" s="452"/>
    </row>
    <row r="60">
      <c r="A60" s="436">
        <v>65.0</v>
      </c>
      <c r="B60" s="145" t="s">
        <v>207</v>
      </c>
      <c r="C60" s="427" t="str">
        <f>VLOOKUP(B60,'LOD 400 - CONTROL'!B:M,12,FALSE)</f>
        <v>V5</v>
      </c>
      <c r="D60" s="428">
        <f>VLOOKUP(B60,'LOD 400 - CONTROL'!$B:$BG,58,FALSE)</f>
        <v>1</v>
      </c>
      <c r="E60" s="428">
        <f>VLOOKUP(B60,'LOD 400 - CONTROL'!$B:$CP,93,FALSE)</f>
        <v>1</v>
      </c>
      <c r="F60" s="429">
        <f>VLOOKUP(B60,'LOD 400 - CONTROL'!$B:$DY,128,FALSE)</f>
        <v>1</v>
      </c>
      <c r="G60" s="430" t="str">
        <f>VLOOKUP(B60,'LOD 400 - CONTROL'!B:P,15,FALSE)</f>
        <v>V4</v>
      </c>
      <c r="H60" s="429">
        <f>VLOOKUP(B60,'LOD 400 - CONTROL'!$B:$EP,145,FALSE)</f>
        <v>1</v>
      </c>
      <c r="I60" s="431" t="str">
        <f>VLOOKUP(B60,'LOD 400 - CONTROL'!B:S,18,FALSE)</f>
        <v>N/A</v>
      </c>
      <c r="J60" s="429">
        <f>VLOOKUP(B60,'LOD 400 - CONTROL'!$B:$ER,147,FALSE)</f>
        <v>0</v>
      </c>
      <c r="L60" s="432" t="str">
        <f>VLOOKUP(B60,'LOD 400 - CONTROL'!$B:$FZ,181,FALSE)</f>
        <v>N/A</v>
      </c>
      <c r="M60" s="433" t="str">
        <f>VLOOKUP(B60,'LOD 400 - CONTROL'!B:V,21,FALSE)</f>
        <v>N/A</v>
      </c>
      <c r="N60" s="434" t="str">
        <f>VLOOKUP(B60,'LOD 400 - CONTROL'!$B:$HE,212,FALSE)</f>
        <v>N/A</v>
      </c>
    </row>
    <row r="61">
      <c r="A61" s="421">
        <v>66.0</v>
      </c>
      <c r="B61" s="145" t="s">
        <v>209</v>
      </c>
      <c r="C61" s="427" t="str">
        <f>VLOOKUP(B61,'LOD 400 - CONTROL'!B:M,12,FALSE)</f>
        <v>V7</v>
      </c>
      <c r="D61" s="428" t="str">
        <f>VLOOKUP(B61,'LOD 400 - CONTROL'!$B:$BG,58,FALSE)</f>
        <v>N/A</v>
      </c>
      <c r="E61" s="428" t="str">
        <f>VLOOKUP(B61,'LOD 400 - CONTROL'!$B:$CP,93,FALSE)</f>
        <v>N/A</v>
      </c>
      <c r="F61" s="429" t="str">
        <f>VLOOKUP(B61,'LOD 400 - CONTROL'!$B:$DY,128,FALSE)</f>
        <v>N/A</v>
      </c>
      <c r="G61" s="430" t="str">
        <f>VLOOKUP(B61,'LOD 400 - CONTROL'!B:P,15,FALSE)</f>
        <v>N/A</v>
      </c>
      <c r="H61" s="429" t="str">
        <f>VLOOKUP(B61,'LOD 400 - CONTROL'!$B:$EP,145,FALSE)</f>
        <v>N/A</v>
      </c>
      <c r="I61" s="431" t="str">
        <f>VLOOKUP(B61,'LOD 400 - CONTROL'!B:S,18,FALSE)</f>
        <v>N/A</v>
      </c>
      <c r="J61" s="429" t="str">
        <f>VLOOKUP(B61,'LOD 400 - CONTROL'!$B:$ER,147,FALSE)</f>
        <v>N/A</v>
      </c>
      <c r="L61" s="432">
        <f>VLOOKUP(B61,'LOD 400 - CONTROL'!$B:$FZ,181,FALSE)</f>
        <v>1</v>
      </c>
      <c r="M61" s="433" t="str">
        <f>VLOOKUP(B61,'LOD 400 - CONTROL'!B:V,21,FALSE)</f>
        <v>V7</v>
      </c>
      <c r="N61" s="434">
        <f>VLOOKUP(B61,'LOD 400 - CONTROL'!$B:$HE,212,FALSE)</f>
        <v>1</v>
      </c>
    </row>
    <row r="62">
      <c r="A62" s="436">
        <v>67.0</v>
      </c>
      <c r="B62" s="209" t="s">
        <v>211</v>
      </c>
      <c r="C62" s="449"/>
      <c r="D62" s="450"/>
      <c r="E62" s="450"/>
      <c r="F62" s="450"/>
      <c r="G62" s="450"/>
      <c r="H62" s="450"/>
      <c r="I62" s="450"/>
      <c r="J62" s="450"/>
      <c r="K62" s="450"/>
      <c r="L62" s="451"/>
      <c r="M62" s="451"/>
      <c r="N62" s="452"/>
    </row>
    <row r="63">
      <c r="A63" s="421">
        <v>68.0</v>
      </c>
      <c r="B63" s="100" t="s">
        <v>212</v>
      </c>
      <c r="C63" s="427" t="str">
        <f>VLOOKUP(B63,'LOD 400 - CONTROL'!B:M,12,FALSE)</f>
        <v>V12</v>
      </c>
      <c r="D63" s="428">
        <f>VLOOKUP(B63,'LOD 400 - CONTROL'!$B:$BG,58,FALSE)</f>
        <v>1</v>
      </c>
      <c r="E63" s="428">
        <f>VLOOKUP(B63,'LOD 400 - CONTROL'!$B:$CP,93,FALSE)</f>
        <v>1</v>
      </c>
      <c r="F63" s="429">
        <f>VLOOKUP(B63,'LOD 400 - CONTROL'!$B:$DY,128,FALSE)</f>
        <v>1</v>
      </c>
      <c r="G63" s="430" t="str">
        <f>VLOOKUP(B63,'LOD 400 - CONTROL'!B:P,15,FALSE)</f>
        <v>V15</v>
      </c>
      <c r="H63" s="429">
        <f>VLOOKUP(B63,'LOD 400 - CONTROL'!$B:$EP,145,FALSE)</f>
        <v>1</v>
      </c>
      <c r="I63" s="431" t="str">
        <f>VLOOKUP(B63,'LOD 400 - CONTROL'!B:S,18,FALSE)</f>
        <v>N/A</v>
      </c>
      <c r="J63" s="429">
        <f>VLOOKUP(B63,'LOD 400 - CONTROL'!$B:$ER,147,FALSE)</f>
        <v>0</v>
      </c>
      <c r="L63" s="432" t="str">
        <f>VLOOKUP(B63,'LOD 400 - CONTROL'!$B:$FZ,181,FALSE)</f>
        <v>N/A</v>
      </c>
      <c r="M63" s="433" t="str">
        <f>VLOOKUP(B63,'LOD 400 - CONTROL'!B:V,21,FALSE)</f>
        <v>N/A</v>
      </c>
      <c r="N63" s="434" t="str">
        <f>VLOOKUP(B63,'LOD 400 - CONTROL'!$B:$HE,212,FALSE)</f>
        <v>N/A</v>
      </c>
    </row>
    <row r="64">
      <c r="A64" s="436">
        <v>69.0</v>
      </c>
      <c r="B64" s="230" t="s">
        <v>215</v>
      </c>
      <c r="C64" s="453"/>
      <c r="D64" s="454"/>
      <c r="E64" s="454"/>
      <c r="F64" s="454"/>
      <c r="G64" s="454"/>
      <c r="H64" s="454"/>
      <c r="I64" s="454"/>
      <c r="J64" s="454"/>
      <c r="K64" s="454"/>
      <c r="L64" s="455"/>
      <c r="M64" s="455"/>
      <c r="N64" s="456"/>
    </row>
    <row r="65">
      <c r="A65" s="421">
        <v>70.0</v>
      </c>
      <c r="B65" s="100" t="s">
        <v>216</v>
      </c>
      <c r="C65" s="427" t="str">
        <f>VLOOKUP(B65,'LOD 400 - CONTROL'!B:M,12,FALSE)</f>
        <v>V9</v>
      </c>
      <c r="D65" s="428" t="str">
        <f>VLOOKUP(B65,'LOD 400 - CONTROL'!$B:$BG,58,FALSE)</f>
        <v>N/A</v>
      </c>
      <c r="E65" s="428" t="str">
        <f>VLOOKUP(B65,'LOD 400 - CONTROL'!$B:$CP,93,FALSE)</f>
        <v>N/A</v>
      </c>
      <c r="F65" s="429" t="str">
        <f>VLOOKUP(B65,'LOD 400 - CONTROL'!$B:$DY,128,FALSE)</f>
        <v>N/A</v>
      </c>
      <c r="G65" s="430" t="str">
        <f>VLOOKUP(B65,'LOD 400 - CONTROL'!B:P,15,FALSE)</f>
        <v>N/A</v>
      </c>
      <c r="H65" s="429" t="str">
        <f>VLOOKUP(B65,'LOD 400 - CONTROL'!$B:$EP,145,FALSE)</f>
        <v>N/A</v>
      </c>
      <c r="I65" s="431" t="str">
        <f>VLOOKUP(B65,'LOD 400 - CONTROL'!B:S,18,FALSE)</f>
        <v>N/A</v>
      </c>
      <c r="J65" s="429" t="str">
        <f>VLOOKUP(B65,'LOD 400 - CONTROL'!$B:$ER,147,FALSE)</f>
        <v>N/A</v>
      </c>
      <c r="L65" s="432">
        <f>VLOOKUP(B65,'LOD 400 - CONTROL'!$B:$FZ,181,FALSE)</f>
        <v>1</v>
      </c>
      <c r="M65" s="433" t="str">
        <f>VLOOKUP(B65,'LOD 400 - CONTROL'!B:V,21,FALSE)</f>
        <v>V9</v>
      </c>
      <c r="N65" s="434">
        <f>VLOOKUP(B65,'LOD 400 - CONTROL'!$B:$HE,212,FALSE)</f>
        <v>1</v>
      </c>
    </row>
    <row r="66">
      <c r="A66" s="436">
        <v>71.0</v>
      </c>
      <c r="B66" s="100" t="s">
        <v>218</v>
      </c>
      <c r="C66" s="427" t="str">
        <f>VLOOKUP(B66,'LOD 400 - CONTROL'!B:M,12,FALSE)</f>
        <v>V21</v>
      </c>
      <c r="D66" s="428">
        <f>VLOOKUP(B66,'LOD 400 - CONTROL'!$B:$BG,58,FALSE)</f>
        <v>1</v>
      </c>
      <c r="E66" s="428">
        <f>VLOOKUP(B66,'LOD 400 - CONTROL'!$B:$CP,93,FALSE)</f>
        <v>1</v>
      </c>
      <c r="F66" s="429">
        <f>VLOOKUP(B66,'LOD 400 - CONTROL'!$B:$DY,128,FALSE)</f>
        <v>1</v>
      </c>
      <c r="G66" s="430" t="str">
        <f>VLOOKUP(B66,'LOD 400 - CONTROL'!B:P,15,FALSE)</f>
        <v>V2</v>
      </c>
      <c r="H66" s="429">
        <f>VLOOKUP(B66,'LOD 400 - CONTROL'!$B:$EP,145,FALSE)</f>
        <v>0.72</v>
      </c>
      <c r="I66" s="431" t="str">
        <f>VLOOKUP(B66,'LOD 400 - CONTROL'!B:S,18,FALSE)</f>
        <v>N/A</v>
      </c>
      <c r="J66" s="429">
        <f>VLOOKUP(B66,'LOD 400 - CONTROL'!$B:$ER,147,FALSE)</f>
        <v>0</v>
      </c>
      <c r="L66" s="432" t="str">
        <f>VLOOKUP(B66,'LOD 400 - CONTROL'!$B:$FZ,181,FALSE)</f>
        <v>N/A</v>
      </c>
      <c r="M66" s="433" t="str">
        <f>VLOOKUP(B66,'LOD 400 - CONTROL'!B:V,21,FALSE)</f>
        <v>N/A</v>
      </c>
      <c r="N66" s="434" t="str">
        <f>VLOOKUP(B66,'LOD 400 - CONTROL'!$B:$HE,212,FALSE)</f>
        <v>N/A</v>
      </c>
    </row>
    <row r="67">
      <c r="A67" s="421">
        <v>72.0</v>
      </c>
      <c r="B67" s="251" t="s">
        <v>220</v>
      </c>
      <c r="C67" s="457"/>
      <c r="D67" s="458"/>
      <c r="E67" s="458"/>
      <c r="F67" s="458"/>
      <c r="G67" s="458"/>
      <c r="H67" s="458"/>
      <c r="I67" s="458"/>
      <c r="J67" s="458"/>
      <c r="K67" s="458"/>
      <c r="L67" s="459"/>
      <c r="M67" s="459"/>
      <c r="N67" s="460"/>
    </row>
    <row r="68">
      <c r="A68" s="436">
        <v>73.0</v>
      </c>
      <c r="B68" s="100" t="s">
        <v>221</v>
      </c>
      <c r="C68" s="427" t="str">
        <f>VLOOKUP(B68,'LOD 400 - CONTROL'!B:M,12,FALSE)</f>
        <v>V14</v>
      </c>
      <c r="D68" s="428" t="str">
        <f>VLOOKUP(B68,'LOD 400 - CONTROL'!$B:$BG,58,FALSE)</f>
        <v>N/A</v>
      </c>
      <c r="E68" s="428" t="str">
        <f>VLOOKUP(B68,'LOD 400 - CONTROL'!$B:$CP,93,FALSE)</f>
        <v>N/A</v>
      </c>
      <c r="F68" s="429" t="str">
        <f>VLOOKUP(B68,'LOD 400 - CONTROL'!$B:$DY,128,FALSE)</f>
        <v>N/A</v>
      </c>
      <c r="G68" s="430" t="str">
        <f>VLOOKUP(B68,'LOD 400 - CONTROL'!B:P,15,FALSE)</f>
        <v>N/A</v>
      </c>
      <c r="H68" s="429" t="str">
        <f>VLOOKUP(B68,'LOD 400 - CONTROL'!$B:$EP,145,FALSE)</f>
        <v>N/A</v>
      </c>
      <c r="I68" s="431" t="str">
        <f>VLOOKUP(B68,'LOD 400 - CONTROL'!B:S,18,FALSE)</f>
        <v>N/A</v>
      </c>
      <c r="J68" s="429" t="str">
        <f>VLOOKUP(B68,'LOD 400 - CONTROL'!$B:$ER,147,FALSE)</f>
        <v>N/A</v>
      </c>
      <c r="L68" s="432">
        <f>VLOOKUP(B68,'LOD 400 - CONTROL'!$B:$FZ,181,FALSE)</f>
        <v>1</v>
      </c>
      <c r="M68" s="433" t="str">
        <f>VLOOKUP(B68,'LOD 400 - CONTROL'!B:V,21,FALSE)</f>
        <v>V14</v>
      </c>
      <c r="N68" s="434">
        <f>VLOOKUP(B68,'LOD 400 - CONTROL'!$B:$HE,212,FALSE)</f>
        <v>1</v>
      </c>
    </row>
    <row r="69">
      <c r="A69" s="421">
        <v>74.0</v>
      </c>
      <c r="B69" s="100" t="s">
        <v>223</v>
      </c>
      <c r="C69" s="427" t="str">
        <f>VLOOKUP(B69,'LOD 400 - CONTROL'!B:M,12,FALSE)</f>
        <v>V15</v>
      </c>
      <c r="D69" s="428">
        <f>VLOOKUP(B69,'LOD 400 - CONTROL'!$B:$BG,58,FALSE)</f>
        <v>1</v>
      </c>
      <c r="E69" s="428">
        <f>VLOOKUP(B69,'LOD 400 - CONTROL'!$B:$CP,93,FALSE)</f>
        <v>1</v>
      </c>
      <c r="F69" s="429">
        <f>VLOOKUP(B69,'LOD 400 - CONTROL'!$B:$DY,128,FALSE)</f>
        <v>1</v>
      </c>
      <c r="G69" s="430" t="str">
        <f>VLOOKUP(B69,'LOD 400 - CONTROL'!B:P,15,FALSE)</f>
        <v>V2</v>
      </c>
      <c r="H69" s="429">
        <f>VLOOKUP(B69,'LOD 400 - CONTROL'!$B:$EP,145,FALSE)</f>
        <v>1</v>
      </c>
      <c r="I69" s="431" t="str">
        <f>VLOOKUP(B69,'LOD 400 - CONTROL'!B:S,18,FALSE)</f>
        <v>N/A</v>
      </c>
      <c r="J69" s="429">
        <f>VLOOKUP(B69,'LOD 400 - CONTROL'!$B:$ER,147,FALSE)</f>
        <v>0</v>
      </c>
      <c r="L69" s="432" t="str">
        <f>VLOOKUP(B69,'LOD 400 - CONTROL'!$B:$FZ,181,FALSE)</f>
        <v>N/A</v>
      </c>
      <c r="M69" s="433" t="str">
        <f>VLOOKUP(B69,'LOD 400 - CONTROL'!B:V,21,FALSE)</f>
        <v>N/A</v>
      </c>
      <c r="N69" s="434" t="str">
        <f>VLOOKUP(B69,'LOD 400 - CONTROL'!$B:$HE,212,FALSE)</f>
        <v>N/A</v>
      </c>
    </row>
    <row r="70">
      <c r="A70" s="436">
        <v>75.0</v>
      </c>
      <c r="B70" s="100" t="s">
        <v>225</v>
      </c>
      <c r="C70" s="427" t="str">
        <f>VLOOKUP(B70,'LOD 400 - CONTROL'!B:M,12,FALSE)</f>
        <v>N/A</v>
      </c>
      <c r="D70" s="428" t="str">
        <f>VLOOKUP(B70,'LOD 400 - CONTROL'!$B:$BG,58,FALSE)</f>
        <v>N/A</v>
      </c>
      <c r="E70" s="428" t="str">
        <f>VLOOKUP(B70,'LOD 400 - CONTROL'!$B:$CP,93,FALSE)</f>
        <v>N/A</v>
      </c>
      <c r="F70" s="429" t="str">
        <f>VLOOKUP(B70,'LOD 400 - CONTROL'!$B:$DY,128,FALSE)</f>
        <v>N/A</v>
      </c>
      <c r="G70" s="430" t="str">
        <f>VLOOKUP(B70,'LOD 400 - CONTROL'!B:P,15,FALSE)</f>
        <v>N/A</v>
      </c>
      <c r="H70" s="429" t="str">
        <f>VLOOKUP(B70,'LOD 400 - CONTROL'!$B:$EP,145,FALSE)</f>
        <v>N/A</v>
      </c>
      <c r="I70" s="431" t="str">
        <f>VLOOKUP(B70,'LOD 400 - CONTROL'!B:S,18,FALSE)</f>
        <v>N/A</v>
      </c>
      <c r="J70" s="429" t="str">
        <f>VLOOKUP(B70,'LOD 400 - CONTROL'!$B:$ER,147,FALSE)</f>
        <v>N/A</v>
      </c>
      <c r="L70" s="432" t="str">
        <f>VLOOKUP(B70,'LOD 400 - CONTROL'!$B:$FZ,181,FALSE)</f>
        <v>N/A</v>
      </c>
      <c r="M70" s="433" t="str">
        <f>VLOOKUP(B70,'LOD 400 - CONTROL'!B:V,21,FALSE)</f>
        <v>V3</v>
      </c>
      <c r="N70" s="434">
        <f>VLOOKUP(B70,'LOD 400 - CONTROL'!$B:$HE,212,FALSE)</f>
        <v>1</v>
      </c>
    </row>
    <row r="71">
      <c r="A71" s="421">
        <v>76.0</v>
      </c>
      <c r="B71" s="271" t="s">
        <v>228</v>
      </c>
      <c r="C71" s="461"/>
      <c r="D71" s="462"/>
      <c r="E71" s="462"/>
      <c r="F71" s="462"/>
      <c r="G71" s="462"/>
      <c r="H71" s="462"/>
      <c r="I71" s="462"/>
      <c r="J71" s="462"/>
      <c r="K71" s="462"/>
      <c r="L71" s="463"/>
      <c r="M71" s="463"/>
      <c r="N71" s="464"/>
    </row>
    <row r="72">
      <c r="A72" s="436">
        <v>77.0</v>
      </c>
      <c r="B72" s="100" t="s">
        <v>229</v>
      </c>
      <c r="C72" s="427" t="str">
        <f>VLOOKUP(B72,'LOD 400 - CONTROL'!B:M,12,FALSE)</f>
        <v>V21</v>
      </c>
      <c r="D72" s="428" t="str">
        <f>VLOOKUP(B72,'LOD 400 - CONTROL'!$B:$BG,58,FALSE)</f>
        <v>N/A</v>
      </c>
      <c r="E72" s="428" t="str">
        <f>VLOOKUP(B72,'LOD 400 - CONTROL'!$B:$CP,93,FALSE)</f>
        <v>N/A</v>
      </c>
      <c r="F72" s="429" t="str">
        <f>VLOOKUP(B72,'LOD 400 - CONTROL'!$B:$DY,128,FALSE)</f>
        <v>N/A</v>
      </c>
      <c r="G72" s="430" t="str">
        <f>VLOOKUP(B72,'LOD 400 - CONTROL'!B:P,15,FALSE)</f>
        <v>N/A</v>
      </c>
      <c r="H72" s="429" t="str">
        <f>VLOOKUP(B72,'LOD 400 - CONTROL'!$B:$EP,145,FALSE)</f>
        <v>N/A</v>
      </c>
      <c r="I72" s="431" t="str">
        <f>VLOOKUP(B72,'LOD 400 - CONTROL'!B:S,18,FALSE)</f>
        <v>N/A</v>
      </c>
      <c r="J72" s="429" t="str">
        <f>VLOOKUP(B72,'LOD 400 - CONTROL'!$B:$ER,147,FALSE)</f>
        <v>N/A</v>
      </c>
      <c r="L72" s="432">
        <f>VLOOKUP(B72,'LOD 400 - CONTROL'!$B:$FZ,181,FALSE)</f>
        <v>1</v>
      </c>
      <c r="M72" s="433" t="str">
        <f>VLOOKUP(B72,'LOD 400 - CONTROL'!B:V,21,FALSE)</f>
        <v>V21</v>
      </c>
      <c r="N72" s="434">
        <f>VLOOKUP(B72,'LOD 400 - CONTROL'!$B:$HE,212,FALSE)</f>
        <v>1</v>
      </c>
    </row>
    <row r="73">
      <c r="A73" s="421">
        <v>78.0</v>
      </c>
      <c r="B73" s="145" t="s">
        <v>231</v>
      </c>
      <c r="C73" s="427" t="str">
        <f>VLOOKUP(B73,'LOD 400 - CONTROL'!B:M,12,FALSE)</f>
        <v>V25</v>
      </c>
      <c r="D73" s="428">
        <f>VLOOKUP(B73,'LOD 400 - CONTROL'!$B:$BG,58,FALSE)</f>
        <v>1</v>
      </c>
      <c r="E73" s="428">
        <f>VLOOKUP(B73,'LOD 400 - CONTROL'!$B:$CP,93,FALSE)</f>
        <v>1</v>
      </c>
      <c r="F73" s="429">
        <f>VLOOKUP(B73,'LOD 400 - CONTROL'!$B:$DY,128,FALSE)</f>
        <v>1</v>
      </c>
      <c r="G73" s="430" t="str">
        <f>VLOOKUP(B73,'LOD 400 - CONTROL'!B:P,15,FALSE)</f>
        <v>V1</v>
      </c>
      <c r="H73" s="429">
        <f>VLOOKUP(B73,'LOD 400 - CONTROL'!$B:$EP,145,FALSE)</f>
        <v>1</v>
      </c>
      <c r="I73" s="431" t="str">
        <f>VLOOKUP(B73,'LOD 400 - CONTROL'!B:S,18,FALSE)</f>
        <v>N/A</v>
      </c>
      <c r="J73" s="429">
        <f>VLOOKUP(B73,'LOD 400 - CONTROL'!$B:$ER,147,FALSE)</f>
        <v>0</v>
      </c>
      <c r="L73" s="432" t="str">
        <f>VLOOKUP(B73,'LOD 400 - CONTROL'!$B:$FZ,181,FALSE)</f>
        <v>N/A</v>
      </c>
      <c r="M73" s="433" t="str">
        <f>VLOOKUP(B73,'LOD 400 - CONTROL'!B:V,21,FALSE)</f>
        <v>N/A</v>
      </c>
      <c r="N73" s="434" t="str">
        <f>VLOOKUP(B73,'LOD 400 - CONTROL'!$B:$HE,212,FALSE)</f>
        <v>N/A</v>
      </c>
    </row>
    <row r="74">
      <c r="A74" s="421">
        <v>79.0</v>
      </c>
      <c r="B74" s="100" t="s">
        <v>233</v>
      </c>
      <c r="C74" s="427" t="str">
        <f>VLOOKUP(B74,'LOD 400 - CONTROL'!B:M,12,FALSE)</f>
        <v>V14</v>
      </c>
      <c r="D74" s="428" t="str">
        <f>VLOOKUP(B74,'LOD 400 - CONTROL'!$B:$BG,58,FALSE)</f>
        <v>N/A</v>
      </c>
      <c r="E74" s="428" t="str">
        <f>VLOOKUP(B74,'LOD 400 - CONTROL'!$B:$CP,93,FALSE)</f>
        <v>N/A</v>
      </c>
      <c r="F74" s="429" t="str">
        <f>VLOOKUP(B74,'LOD 400 - CONTROL'!$B:$DY,128,FALSE)</f>
        <v>N/A</v>
      </c>
      <c r="G74" s="430" t="str">
        <f>VLOOKUP(B74,'LOD 400 - CONTROL'!B:P,15,FALSE)</f>
        <v>N/A</v>
      </c>
      <c r="H74" s="429" t="str">
        <f>VLOOKUP(B74,'LOD 400 - CONTROL'!$B:$EP,145,FALSE)</f>
        <v>N/A</v>
      </c>
      <c r="I74" s="431" t="str">
        <f>VLOOKUP(B74,'LOD 400 - CONTROL'!B:S,18,FALSE)</f>
        <v>N/A</v>
      </c>
      <c r="J74" s="429" t="str">
        <f>VLOOKUP(B74,'LOD 400 - CONTROL'!$B:$ER,147,FALSE)</f>
        <v>N/A</v>
      </c>
      <c r="L74" s="432">
        <f>VLOOKUP(B74,'LOD 400 - CONTROL'!$B:$FZ,181,FALSE)</f>
        <v>1</v>
      </c>
      <c r="M74" s="433" t="str">
        <f>VLOOKUP(B74,'LOD 400 - CONTROL'!B:V,21,FALSE)</f>
        <v>N/A</v>
      </c>
      <c r="N74" s="434" t="str">
        <f>VLOOKUP(B74,'LOD 400 - CONTROL'!$B:$HE,212,FALSE)</f>
        <v>N/A</v>
      </c>
    </row>
    <row r="75">
      <c r="A75" s="436">
        <v>80.0</v>
      </c>
      <c r="B75" s="100" t="s">
        <v>235</v>
      </c>
      <c r="C75" s="427" t="str">
        <f>VLOOKUP(B75,'LOD 400 - CONTROL'!B:M,12,FALSE)</f>
        <v>V38</v>
      </c>
      <c r="D75" s="428" t="str">
        <f>VLOOKUP(B75,'LOD 400 - CONTROL'!$B:$BG,58,FALSE)</f>
        <v>N/A</v>
      </c>
      <c r="E75" s="428" t="str">
        <f>VLOOKUP(B75,'LOD 400 - CONTROL'!$B:$CP,93,FALSE)</f>
        <v>N/A</v>
      </c>
      <c r="F75" s="429" t="str">
        <f>VLOOKUP(B75,'LOD 400 - CONTROL'!$B:$DY,128,FALSE)</f>
        <v>N/A</v>
      </c>
      <c r="G75" s="430" t="str">
        <f>VLOOKUP(B75,'LOD 400 - CONTROL'!B:P,15,FALSE)</f>
        <v>N/A</v>
      </c>
      <c r="H75" s="429" t="str">
        <f>VLOOKUP(B75,'LOD 400 - CONTROL'!$B:$EP,145,FALSE)</f>
        <v>N/A</v>
      </c>
      <c r="I75" s="431" t="str">
        <f>VLOOKUP(B75,'LOD 400 - CONTROL'!B:S,18,FALSE)</f>
        <v>N/A</v>
      </c>
      <c r="J75" s="429" t="str">
        <f>VLOOKUP(B75,'LOD 400 - CONTROL'!$B:$ER,147,FALSE)</f>
        <v>N/A</v>
      </c>
      <c r="L75" s="432">
        <f>VLOOKUP(B75,'LOD 400 - CONTROL'!$B:$FZ,181,FALSE)</f>
        <v>1</v>
      </c>
      <c r="M75" s="433" t="str">
        <f>VLOOKUP(B75,'LOD 400 - CONTROL'!B:V,21,FALSE)</f>
        <v>V38</v>
      </c>
      <c r="N75" s="434">
        <f>VLOOKUP(B75,'LOD 400 - CONTROL'!$B:$HE,212,FALSE)</f>
        <v>1</v>
      </c>
    </row>
    <row r="76">
      <c r="A76" s="421">
        <v>81.0</v>
      </c>
      <c r="B76" s="100" t="s">
        <v>238</v>
      </c>
      <c r="C76" s="427" t="str">
        <f>VLOOKUP(B76,'LOD 400 - CONTROL'!B:M,12,FALSE)</f>
        <v>V33</v>
      </c>
      <c r="D76" s="428">
        <f>VLOOKUP(B76,'LOD 400 - CONTROL'!$B:$BG,58,FALSE)</f>
        <v>1</v>
      </c>
      <c r="E76" s="428">
        <f>VLOOKUP(B76,'LOD 400 - CONTROL'!$B:$CP,93,FALSE)</f>
        <v>1</v>
      </c>
      <c r="F76" s="429">
        <f>VLOOKUP(B76,'LOD 400 - CONTROL'!$B:$DY,128,FALSE)</f>
        <v>1</v>
      </c>
      <c r="G76" s="430" t="str">
        <f>VLOOKUP(B76,'LOD 400 - CONTROL'!B:P,15,FALSE)</f>
        <v>V3</v>
      </c>
      <c r="H76" s="429">
        <f>VLOOKUP(B76,'LOD 400 - CONTROL'!$B:$EP,145,FALSE)</f>
        <v>1</v>
      </c>
      <c r="I76" s="431" t="str">
        <f>VLOOKUP(B76,'LOD 400 - CONTROL'!B:S,18,FALSE)</f>
        <v>N/A</v>
      </c>
      <c r="J76" s="429">
        <f>VLOOKUP(B76,'LOD 400 - CONTROL'!$B:$ER,147,FALSE)</f>
        <v>0</v>
      </c>
      <c r="L76" s="432" t="str">
        <f>VLOOKUP(B76,'LOD 400 - CONTROL'!$B:$FZ,181,FALSE)</f>
        <v>N/A</v>
      </c>
      <c r="M76" s="433" t="str">
        <f>VLOOKUP(B76,'LOD 400 - CONTROL'!B:V,21,FALSE)</f>
        <v>N/A</v>
      </c>
      <c r="N76" s="434" t="str">
        <f>VLOOKUP(B76,'LOD 400 - CONTROL'!$B:$HE,212,FALSE)</f>
        <v>N/A</v>
      </c>
    </row>
    <row r="77">
      <c r="A77" s="436">
        <v>82.0</v>
      </c>
      <c r="B77" s="100" t="s">
        <v>240</v>
      </c>
      <c r="C77" s="427" t="str">
        <f>VLOOKUP(B77,'LOD 400 - CONTROL'!B:M,12,FALSE)</f>
        <v>V25</v>
      </c>
      <c r="D77" s="428" t="str">
        <f>VLOOKUP(B77,'LOD 400 - CONTROL'!$B:$BG,58,FALSE)</f>
        <v>N/A</v>
      </c>
      <c r="E77" s="428" t="str">
        <f>VLOOKUP(B77,'LOD 400 - CONTROL'!$B:$CP,93,FALSE)</f>
        <v>N/A</v>
      </c>
      <c r="F77" s="429" t="str">
        <f>VLOOKUP(B77,'LOD 400 - CONTROL'!$B:$DY,128,FALSE)</f>
        <v>N/A</v>
      </c>
      <c r="G77" s="430" t="str">
        <f>VLOOKUP(B77,'LOD 400 - CONTROL'!B:P,15,FALSE)</f>
        <v>N/A</v>
      </c>
      <c r="H77" s="429" t="str">
        <f>VLOOKUP(B77,'LOD 400 - CONTROL'!$B:$EP,145,FALSE)</f>
        <v>N/A</v>
      </c>
      <c r="I77" s="431" t="str">
        <f>VLOOKUP(B77,'LOD 400 - CONTROL'!B:S,18,FALSE)</f>
        <v>N/A</v>
      </c>
      <c r="J77" s="429" t="str">
        <f>VLOOKUP(B77,'LOD 400 - CONTROL'!$B:$ER,147,FALSE)</f>
        <v>N/A</v>
      </c>
      <c r="L77" s="432">
        <f>VLOOKUP(B77,'LOD 400 - CONTROL'!$B:$FZ,181,FALSE)</f>
        <v>1</v>
      </c>
      <c r="M77" s="433" t="str">
        <f>VLOOKUP(B77,'LOD 400 - CONTROL'!B:V,21,FALSE)</f>
        <v>V25</v>
      </c>
      <c r="N77" s="434">
        <f>VLOOKUP(B77,'LOD 400 - CONTROL'!$B:$HE,212,FALSE)</f>
        <v>1</v>
      </c>
    </row>
    <row r="78">
      <c r="A78" s="421">
        <v>83.0</v>
      </c>
      <c r="B78" s="291" t="s">
        <v>242</v>
      </c>
      <c r="C78" s="465"/>
      <c r="D78" s="466"/>
      <c r="E78" s="466"/>
      <c r="F78" s="466"/>
      <c r="G78" s="466"/>
      <c r="H78" s="466"/>
      <c r="I78" s="466"/>
      <c r="J78" s="466"/>
      <c r="K78" s="466"/>
      <c r="L78" s="467"/>
      <c r="M78" s="467"/>
      <c r="N78" s="468"/>
    </row>
    <row r="79">
      <c r="A79" s="436">
        <v>84.0</v>
      </c>
      <c r="B79" s="145" t="s">
        <v>243</v>
      </c>
      <c r="C79" s="427" t="str">
        <f>VLOOKUP(B79,'LOD 400 - CONTROL'!B:M,12,FALSE)</f>
        <v>V53</v>
      </c>
      <c r="D79" s="428">
        <f>VLOOKUP(B79,'LOD 400 - CONTROL'!$B:$BG,58,FALSE)</f>
        <v>1</v>
      </c>
      <c r="E79" s="428">
        <f>VLOOKUP(B79,'LOD 400 - CONTROL'!$B:$CP,93,FALSE)</f>
        <v>1</v>
      </c>
      <c r="F79" s="429">
        <f>VLOOKUP(B79,'LOD 400 - CONTROL'!$B:$DY,128,FALSE)</f>
        <v>1</v>
      </c>
      <c r="G79" s="430" t="str">
        <f>VLOOKUP(B79,'LOD 400 - CONTROL'!B:P,15,FALSE)</f>
        <v>V2</v>
      </c>
      <c r="H79" s="429">
        <f>VLOOKUP(B79,'LOD 400 - CONTROL'!$B:$EP,145,FALSE)</f>
        <v>1</v>
      </c>
      <c r="I79" s="431" t="str">
        <f>VLOOKUP(B79,'LOD 400 - CONTROL'!B:S,18,FALSE)</f>
        <v>N/A</v>
      </c>
      <c r="J79" s="429">
        <f>VLOOKUP(B79,'LOD 400 - CONTROL'!$B:$ER,147,FALSE)</f>
        <v>0</v>
      </c>
      <c r="L79" s="432" t="str">
        <f>VLOOKUP(B79,'LOD 400 - CONTROL'!$B:$FZ,181,FALSE)</f>
        <v>N/A</v>
      </c>
      <c r="M79" s="433" t="str">
        <f>VLOOKUP(B79,'LOD 400 - CONTROL'!B:V,21,FALSE)</f>
        <v>N/A</v>
      </c>
      <c r="N79" s="434" t="str">
        <f>VLOOKUP(B79,'LOD 400 - CONTROL'!$B:$HE,212,FALSE)</f>
        <v>N/A</v>
      </c>
    </row>
    <row r="80">
      <c r="A80" s="421">
        <v>85.0</v>
      </c>
      <c r="B80" s="100" t="s">
        <v>245</v>
      </c>
      <c r="C80" s="427" t="str">
        <f>VLOOKUP(B80,'LOD 400 - CONTROL'!B:M,12,FALSE)</f>
        <v>V17</v>
      </c>
      <c r="D80" s="428" t="str">
        <f>VLOOKUP(B80,'LOD 400 - CONTROL'!$B:$BG,58,FALSE)</f>
        <v>N/A</v>
      </c>
      <c r="E80" s="428" t="str">
        <f>VLOOKUP(B80,'LOD 400 - CONTROL'!$B:$CP,93,FALSE)</f>
        <v>N/A</v>
      </c>
      <c r="F80" s="429" t="str">
        <f>VLOOKUP(B80,'LOD 400 - CONTROL'!$B:$DY,128,FALSE)</f>
        <v>N/A</v>
      </c>
      <c r="G80" s="430" t="str">
        <f>VLOOKUP(B80,'LOD 400 - CONTROL'!B:P,15,FALSE)</f>
        <v>N/A</v>
      </c>
      <c r="H80" s="429" t="str">
        <f>VLOOKUP(B80,'LOD 400 - CONTROL'!$B:$EP,145,FALSE)</f>
        <v>N/A</v>
      </c>
      <c r="I80" s="431" t="str">
        <f>VLOOKUP(B80,'LOD 400 - CONTROL'!B:S,18,FALSE)</f>
        <v>N/A</v>
      </c>
      <c r="J80" s="429" t="str">
        <f>VLOOKUP(B80,'LOD 400 - CONTROL'!$B:$ER,147,FALSE)</f>
        <v>N/A</v>
      </c>
      <c r="L80" s="432">
        <f>VLOOKUP(B80,'LOD 400 - CONTROL'!$B:$FZ,181,FALSE)</f>
        <v>1</v>
      </c>
      <c r="M80" s="433" t="str">
        <f>VLOOKUP(B80,'LOD 400 - CONTROL'!B:V,21,FALSE)</f>
        <v>N/A</v>
      </c>
      <c r="N80" s="434" t="str">
        <f>VLOOKUP(B80,'LOD 400 - CONTROL'!$B:$HE,212,FALSE)</f>
        <v>N/A</v>
      </c>
    </row>
    <row r="81">
      <c r="A81" s="436">
        <v>86.0</v>
      </c>
      <c r="B81" s="312" t="s">
        <v>247</v>
      </c>
      <c r="C81" s="469"/>
      <c r="D81" s="470"/>
      <c r="E81" s="470"/>
      <c r="F81" s="470"/>
      <c r="G81" s="470"/>
      <c r="H81" s="470"/>
      <c r="I81" s="470"/>
      <c r="J81" s="470"/>
      <c r="K81" s="470"/>
      <c r="L81" s="471"/>
      <c r="M81" s="471"/>
      <c r="N81" s="472"/>
    </row>
    <row r="82">
      <c r="A82" s="421">
        <v>87.0</v>
      </c>
      <c r="B82" s="100" t="s">
        <v>248</v>
      </c>
      <c r="C82" s="427" t="str">
        <f>VLOOKUP(B82,'LOD 400 - CONTROL'!B:M,12,FALSE)</f>
        <v>NOT PUBLISHED</v>
      </c>
      <c r="D82" s="428" t="str">
        <f>VLOOKUP(B82,'LOD 400 - CONTROL'!$B:$BG,58,FALSE)</f>
        <v>N/A</v>
      </c>
      <c r="E82" s="428" t="str">
        <f>VLOOKUP(B82,'LOD 400 - CONTROL'!$B:$CP,93,FALSE)</f>
        <v>N/A</v>
      </c>
      <c r="F82" s="429" t="str">
        <f>VLOOKUP(B82,'LOD 400 - CONTROL'!$B:$DY,128,FALSE)</f>
        <v>N/A</v>
      </c>
      <c r="G82" s="430" t="str">
        <f>VLOOKUP(B82,'LOD 400 - CONTROL'!B:P,15,FALSE)</f>
        <v>N/A</v>
      </c>
      <c r="H82" s="429" t="str">
        <f>VLOOKUP(B82,'LOD 400 - CONTROL'!$B:$EP,145,FALSE)</f>
        <v>N/A</v>
      </c>
      <c r="I82" s="435" t="str">
        <f>VLOOKUP(B82,'LOD 400 - CONTROL'!B:S,18,FALSE)</f>
        <v>NOT PUBLISHED</v>
      </c>
      <c r="J82" s="429" t="str">
        <f>VLOOKUP(B82,'LOD 400 - CONTROL'!$B:$ER,147,FALSE)</f>
        <v>N/A</v>
      </c>
      <c r="L82" s="432" t="str">
        <f>VLOOKUP(B82,'LOD 400 - CONTROL'!$B:$FZ,181,FALSE)</f>
        <v>NOT PUBLISHED</v>
      </c>
      <c r="M82" s="433" t="str">
        <f>VLOOKUP(B82,'LOD 400 - CONTROL'!B:V,21,FALSE)</f>
        <v>NOT PUBLISHED</v>
      </c>
      <c r="N82" s="434" t="str">
        <f>VLOOKUP(B82,'LOD 400 - CONTROL'!$B:$HE,212,FALSE)</f>
        <v>NOT PUBLISHED</v>
      </c>
    </row>
    <row r="83">
      <c r="A83" s="436">
        <v>88.0</v>
      </c>
      <c r="B83" s="333" t="s">
        <v>251</v>
      </c>
      <c r="C83" s="473"/>
      <c r="D83" s="474"/>
      <c r="E83" s="474"/>
      <c r="F83" s="474"/>
      <c r="G83" s="474"/>
      <c r="H83" s="474"/>
      <c r="I83" s="474"/>
      <c r="J83" s="474"/>
      <c r="K83" s="474"/>
      <c r="L83" s="475"/>
      <c r="M83" s="475"/>
      <c r="N83" s="476"/>
    </row>
    <row r="84">
      <c r="A84" s="421">
        <v>89.0</v>
      </c>
      <c r="B84" s="100" t="s">
        <v>252</v>
      </c>
      <c r="C84" s="427" t="str">
        <f>VLOOKUP(B84,'LOD 400 - CONTROL'!B:M,12,FALSE)</f>
        <v>V15</v>
      </c>
      <c r="D84" s="428" t="str">
        <f>VLOOKUP(B84,'LOD 400 - CONTROL'!$B:$BG,58,FALSE)</f>
        <v>N/A</v>
      </c>
      <c r="E84" s="428" t="str">
        <f>VLOOKUP(B84,'LOD 400 - CONTROL'!$B:$CP,93,FALSE)</f>
        <v>N/A</v>
      </c>
      <c r="F84" s="429" t="str">
        <f>VLOOKUP(B84,'LOD 400 - CONTROL'!$B:$DY,128,FALSE)</f>
        <v>N/A</v>
      </c>
      <c r="G84" s="430" t="str">
        <f>VLOOKUP(B84,'LOD 400 - CONTROL'!B:P,15,FALSE)</f>
        <v>N/A</v>
      </c>
      <c r="H84" s="429" t="str">
        <f>VLOOKUP(B84,'LOD 400 - CONTROL'!$B:$EP,145,FALSE)</f>
        <v>N/A</v>
      </c>
      <c r="I84" s="431" t="str">
        <f>VLOOKUP(B84,'LOD 400 - CONTROL'!B:S,18,FALSE)</f>
        <v>N/A</v>
      </c>
      <c r="J84" s="429" t="str">
        <f>VLOOKUP(B84,'LOD 400 - CONTROL'!$B:$ER,147,FALSE)</f>
        <v>N/A</v>
      </c>
      <c r="L84" s="432">
        <f>VLOOKUP(B84,'LOD 400 - CONTROL'!$B:$FZ,181,FALSE)</f>
        <v>1</v>
      </c>
      <c r="M84" s="433" t="str">
        <f>VLOOKUP(B84,'LOD 400 - CONTROL'!B:V,21,FALSE)</f>
        <v>V15</v>
      </c>
      <c r="N84" s="434">
        <f>VLOOKUP(B84,'LOD 400 - CONTROL'!$B:$HE,212,FALSE)</f>
        <v>1</v>
      </c>
    </row>
    <row r="85">
      <c r="A85" s="436">
        <v>90.0</v>
      </c>
      <c r="B85" s="100" t="s">
        <v>255</v>
      </c>
      <c r="C85" s="427" t="str">
        <f>VLOOKUP(B85,'LOD 400 - CONTROL'!B:M,12,FALSE)</f>
        <v>V12</v>
      </c>
      <c r="D85" s="428" t="str">
        <f>VLOOKUP(B85,'LOD 400 - CONTROL'!$B:$BG,58,FALSE)</f>
        <v>N/A</v>
      </c>
      <c r="E85" s="428" t="str">
        <f>VLOOKUP(B85,'LOD 400 - CONTROL'!$B:$CP,93,FALSE)</f>
        <v>N/A</v>
      </c>
      <c r="F85" s="429" t="str">
        <f>VLOOKUP(B85,'LOD 400 - CONTROL'!$B:$DY,128,FALSE)</f>
        <v>N/A</v>
      </c>
      <c r="G85" s="430" t="str">
        <f>VLOOKUP(B85,'LOD 400 - CONTROL'!B:P,15,FALSE)</f>
        <v>N/A</v>
      </c>
      <c r="H85" s="429" t="str">
        <f>VLOOKUP(B85,'LOD 400 - CONTROL'!$B:$EP,145,FALSE)</f>
        <v>N/A</v>
      </c>
      <c r="I85" s="431" t="str">
        <f>VLOOKUP(B85,'LOD 400 - CONTROL'!B:S,18,FALSE)</f>
        <v>N/A</v>
      </c>
      <c r="J85" s="429" t="str">
        <f>VLOOKUP(B85,'LOD 400 - CONTROL'!$B:$ER,147,FALSE)</f>
        <v>N/A</v>
      </c>
      <c r="L85" s="432">
        <f>VLOOKUP(B85,'LOD 400 - CONTROL'!$B:$FZ,181,FALSE)</f>
        <v>1</v>
      </c>
      <c r="M85" s="433" t="str">
        <f>VLOOKUP(B85,'LOD 400 - CONTROL'!B:V,21,FALSE)</f>
        <v>V12</v>
      </c>
      <c r="N85" s="434">
        <f>VLOOKUP(B85,'LOD 400 - CONTROL'!$B:$HE,212,FALSE)</f>
        <v>1</v>
      </c>
    </row>
    <row r="86">
      <c r="A86" s="421">
        <v>91.0</v>
      </c>
      <c r="B86" s="100" t="s">
        <v>258</v>
      </c>
      <c r="C86" s="427" t="str">
        <f>VLOOKUP(B86,'LOD 400 - CONTROL'!B:M,12,FALSE)</f>
        <v>V16</v>
      </c>
      <c r="D86" s="428" t="str">
        <f>VLOOKUP(B86,'LOD 400 - CONTROL'!$B:$BG,58,FALSE)</f>
        <v>N/A</v>
      </c>
      <c r="E86" s="428" t="str">
        <f>VLOOKUP(B86,'LOD 400 - CONTROL'!$B:$CP,93,FALSE)</f>
        <v>N/A</v>
      </c>
      <c r="F86" s="429" t="str">
        <f>VLOOKUP(B86,'LOD 400 - CONTROL'!$B:$DY,128,FALSE)</f>
        <v>N/A</v>
      </c>
      <c r="G86" s="430" t="str">
        <f>VLOOKUP(B86,'LOD 400 - CONTROL'!B:P,15,FALSE)</f>
        <v>N/A</v>
      </c>
      <c r="H86" s="429" t="str">
        <f>VLOOKUP(B86,'LOD 400 - CONTROL'!$B:$EP,145,FALSE)</f>
        <v>N/A</v>
      </c>
      <c r="I86" s="431" t="str">
        <f>VLOOKUP(B86,'LOD 400 - CONTROL'!B:S,18,FALSE)</f>
        <v>N/A</v>
      </c>
      <c r="J86" s="429" t="str">
        <f>VLOOKUP(B86,'LOD 400 - CONTROL'!$B:$ER,147,FALSE)</f>
        <v>N/A</v>
      </c>
      <c r="L86" s="432">
        <f>VLOOKUP(B86,'LOD 400 - CONTROL'!$B:$FZ,181,FALSE)</f>
        <v>1</v>
      </c>
      <c r="M86" s="433" t="str">
        <f>VLOOKUP(B86,'LOD 400 - CONTROL'!B:V,21,FALSE)</f>
        <v>V16</v>
      </c>
      <c r="N86" s="434">
        <f>VLOOKUP(B86,'LOD 400 - CONTROL'!$B:$HE,212,FALSE)</f>
        <v>1</v>
      </c>
    </row>
    <row r="87">
      <c r="A87" s="436">
        <v>92.0</v>
      </c>
      <c r="B87" s="100" t="s">
        <v>262</v>
      </c>
      <c r="C87" s="427" t="str">
        <f>VLOOKUP(B87,'LOD 400 - CONTROL'!B:M,12,FALSE)</f>
        <v>V9</v>
      </c>
      <c r="D87" s="428" t="str">
        <f>VLOOKUP(B87,'LOD 400 - CONTROL'!$B:$BG,58,FALSE)</f>
        <v>N/A</v>
      </c>
      <c r="E87" s="428" t="str">
        <f>VLOOKUP(B87,'LOD 400 - CONTROL'!$B:$CP,93,FALSE)</f>
        <v>N/A</v>
      </c>
      <c r="F87" s="429" t="str">
        <f>VLOOKUP(B87,'LOD 400 - CONTROL'!$B:$DY,128,FALSE)</f>
        <v>N/A</v>
      </c>
      <c r="G87" s="430" t="str">
        <f>VLOOKUP(B87,'LOD 400 - CONTROL'!B:P,15,FALSE)</f>
        <v>N/A</v>
      </c>
      <c r="H87" s="429" t="str">
        <f>VLOOKUP(B87,'LOD 400 - CONTROL'!$B:$EP,145,FALSE)</f>
        <v>N/A</v>
      </c>
      <c r="I87" s="431" t="str">
        <f>VLOOKUP(B87,'LOD 400 - CONTROL'!B:S,18,FALSE)</f>
        <v>N/A</v>
      </c>
      <c r="J87" s="429" t="str">
        <f>VLOOKUP(B87,'LOD 400 - CONTROL'!$B:$ER,147,FALSE)</f>
        <v>N/A</v>
      </c>
      <c r="L87" s="432">
        <f>VLOOKUP(B87,'LOD 400 - CONTROL'!$B:$FZ,181,FALSE)</f>
        <v>1</v>
      </c>
      <c r="M87" s="433" t="str">
        <f>VLOOKUP(B87,'LOD 400 - CONTROL'!B:V,21,FALSE)</f>
        <v>N/A</v>
      </c>
      <c r="N87" s="434" t="str">
        <f>VLOOKUP(B87,'LOD 400 - CONTROL'!$B:$HE,212,FALSE)</f>
        <v>N/A</v>
      </c>
    </row>
    <row r="88">
      <c r="A88" s="421">
        <v>93.0</v>
      </c>
      <c r="B88" s="100" t="s">
        <v>260</v>
      </c>
      <c r="C88" s="427" t="str">
        <f>VLOOKUP(B88,'LOD 400 - CONTROL'!B:M,12,FALSE)</f>
        <v>NOT PUBLISHED</v>
      </c>
      <c r="D88" s="428" t="str">
        <f>VLOOKUP(B88,'LOD 400 - CONTROL'!$B:$BG,58,FALSE)</f>
        <v>N/A</v>
      </c>
      <c r="E88" s="428" t="str">
        <f>VLOOKUP(B88,'LOD 400 - CONTROL'!$B:$CP,93,FALSE)</f>
        <v>N/A</v>
      </c>
      <c r="F88" s="429" t="str">
        <f>VLOOKUP(B88,'LOD 400 - CONTROL'!$B:$DY,128,FALSE)</f>
        <v>N/A</v>
      </c>
      <c r="G88" s="430" t="str">
        <f>VLOOKUP(B88,'LOD 400 - CONTROL'!B:P,15,FALSE)</f>
        <v>N/A</v>
      </c>
      <c r="H88" s="429" t="str">
        <f>VLOOKUP(B88,'LOD 400 - CONTROL'!$B:$EP,145,FALSE)</f>
        <v>N/A</v>
      </c>
      <c r="I88" s="435" t="str">
        <f>VLOOKUP(B88,'LOD 400 - CONTROL'!B:S,18,FALSE)</f>
        <v>NOT PUBLISHED</v>
      </c>
      <c r="J88" s="429" t="str">
        <f>VLOOKUP(B88,'LOD 400 - CONTROL'!$B:$ER,147,FALSE)</f>
        <v>N/A</v>
      </c>
      <c r="L88" s="432" t="str">
        <f>VLOOKUP(B88,'LOD 400 - CONTROL'!$B:$FZ,181,FALSE)</f>
        <v>NOT PUBLISHED</v>
      </c>
      <c r="M88" s="433" t="str">
        <f>VLOOKUP(B88,'LOD 400 - CONTROL'!B:V,21,FALSE)</f>
        <v>NOT PUBLISHED</v>
      </c>
      <c r="N88" s="434" t="str">
        <f>VLOOKUP(B88,'LOD 400 - CONTROL'!$B:$HE,212,FALSE)</f>
        <v>NOT PUBLISHED</v>
      </c>
    </row>
    <row r="89">
      <c r="A89" s="436">
        <v>94.0</v>
      </c>
      <c r="B89" s="354" t="s">
        <v>266</v>
      </c>
      <c r="C89" s="477"/>
      <c r="D89" s="478"/>
      <c r="E89" s="478"/>
      <c r="F89" s="478"/>
      <c r="G89" s="478"/>
      <c r="H89" s="478"/>
      <c r="I89" s="478"/>
      <c r="J89" s="478"/>
      <c r="K89" s="478"/>
      <c r="L89" s="479"/>
      <c r="M89" s="479"/>
      <c r="N89" s="480"/>
    </row>
    <row r="90">
      <c r="A90" s="421">
        <v>95.0</v>
      </c>
      <c r="B90" s="145" t="s">
        <v>267</v>
      </c>
      <c r="C90" s="427" t="str">
        <f>VLOOKUP(B90,'LOD 400 - CONTROL'!B:M,12,FALSE)</f>
        <v>V7</v>
      </c>
      <c r="D90" s="428">
        <f>VLOOKUP(B90,'LOD 400 - CONTROL'!$B:$BG,58,FALSE)</f>
        <v>1</v>
      </c>
      <c r="E90" s="428">
        <f>VLOOKUP(B90,'LOD 400 - CONTROL'!$B:$CP,93,FALSE)</f>
        <v>1</v>
      </c>
      <c r="F90" s="429">
        <f>VLOOKUP(B90,'LOD 400 - CONTROL'!$B:$DY,128,FALSE)</f>
        <v>1</v>
      </c>
      <c r="G90" s="430" t="str">
        <f>VLOOKUP(B90,'LOD 400 - CONTROL'!B:P,15,FALSE)</f>
        <v>V9</v>
      </c>
      <c r="H90" s="429">
        <f>VLOOKUP(B90,'LOD 400 - CONTROL'!$B:$EP,145,FALSE)</f>
        <v>1</v>
      </c>
      <c r="I90" s="431" t="str">
        <f>VLOOKUP(B90,'LOD 400 - CONTROL'!B:S,18,FALSE)</f>
        <v>N/A</v>
      </c>
      <c r="J90" s="429">
        <f>VLOOKUP(B90,'LOD 400 - CONTROL'!$B:$ER,147,FALSE)</f>
        <v>0</v>
      </c>
      <c r="L90" s="432" t="str">
        <f>VLOOKUP(B90,'LOD 400 - CONTROL'!$B:$FZ,181,FALSE)</f>
        <v>N/A</v>
      </c>
      <c r="M90" s="433" t="str">
        <f>VLOOKUP(B90,'LOD 400 - CONTROL'!B:V,21,FALSE)</f>
        <v>N/A</v>
      </c>
      <c r="N90" s="434" t="str">
        <f>VLOOKUP(B90,'LOD 400 - CONTROL'!$B:$HE,212,FALSE)</f>
        <v>N/A</v>
      </c>
    </row>
    <row r="91">
      <c r="A91" s="436">
        <v>96.0</v>
      </c>
      <c r="B91" s="145" t="s">
        <v>271</v>
      </c>
      <c r="C91" s="427" t="str">
        <f>VLOOKUP(B91,'LOD 400 - CONTROL'!B:M,12,FALSE)</f>
        <v>V10</v>
      </c>
      <c r="D91" s="428" t="str">
        <f>VLOOKUP(B91,'LOD 400 - CONTROL'!$B:$BG,58,FALSE)</f>
        <v>N/A</v>
      </c>
      <c r="E91" s="428" t="str">
        <f>VLOOKUP(B91,'LOD 400 - CONTROL'!$B:$CP,93,FALSE)</f>
        <v>N/A</v>
      </c>
      <c r="F91" s="429" t="str">
        <f>VLOOKUP(B91,'LOD 400 - CONTROL'!$B:$DY,128,FALSE)</f>
        <v>N/A</v>
      </c>
      <c r="G91" s="430" t="str">
        <f>VLOOKUP(B91,'LOD 400 - CONTROL'!B:P,15,FALSE)</f>
        <v>N/A</v>
      </c>
      <c r="H91" s="429" t="str">
        <f>VLOOKUP(B91,'LOD 400 - CONTROL'!$B:$EP,145,FALSE)</f>
        <v>N/A</v>
      </c>
      <c r="I91" s="431" t="str">
        <f>VLOOKUP(B91,'LOD 400 - CONTROL'!B:S,18,FALSE)</f>
        <v>N/A</v>
      </c>
      <c r="J91" s="429" t="str">
        <f>VLOOKUP(B91,'LOD 400 - CONTROL'!$B:$ER,147,FALSE)</f>
        <v>N/A</v>
      </c>
      <c r="L91" s="432">
        <f>VLOOKUP(B91,'LOD 400 - CONTROL'!$B:$FZ,181,FALSE)</f>
        <v>1</v>
      </c>
      <c r="M91" s="433" t="str">
        <f>VLOOKUP(B91,'LOD 400 - CONTROL'!B:V,21,FALSE)</f>
        <v>V10</v>
      </c>
      <c r="N91" s="434">
        <f>VLOOKUP(B91,'LOD 400 - CONTROL'!$B:$HE,212,FALSE)</f>
        <v>1</v>
      </c>
    </row>
    <row r="92">
      <c r="A92" s="421">
        <v>97.0</v>
      </c>
      <c r="B92" s="100" t="s">
        <v>273</v>
      </c>
      <c r="C92" s="427" t="str">
        <f>VLOOKUP(B92,'LOD 400 - CONTROL'!B:M,12,FALSE)</f>
        <v>V8</v>
      </c>
      <c r="D92" s="428">
        <f>VLOOKUP(B92,'LOD 400 - CONTROL'!$B:$BG,58,FALSE)</f>
        <v>1</v>
      </c>
      <c r="E92" s="428">
        <f>VLOOKUP(B92,'LOD 400 - CONTROL'!$B:$CP,93,FALSE)</f>
        <v>1</v>
      </c>
      <c r="F92" s="429">
        <f>VLOOKUP(B92,'LOD 400 - CONTROL'!$B:$DY,128,FALSE)</f>
        <v>1</v>
      </c>
      <c r="G92" s="430" t="str">
        <f>VLOOKUP(B92,'LOD 400 - CONTROL'!B:P,15,FALSE)</f>
        <v>V11</v>
      </c>
      <c r="H92" s="429">
        <f>VLOOKUP(B92,'LOD 400 - CONTROL'!$B:$EP,145,FALSE)</f>
        <v>1</v>
      </c>
      <c r="I92" s="431" t="str">
        <f>VLOOKUP(B92,'LOD 400 - CONTROL'!B:S,18,FALSE)</f>
        <v>N/A</v>
      </c>
      <c r="J92" s="429">
        <f>VLOOKUP(B92,'LOD 400 - CONTROL'!$B:$ER,147,FALSE)</f>
        <v>0</v>
      </c>
      <c r="L92" s="432" t="str">
        <f>VLOOKUP(B92,'LOD 400 - CONTROL'!$B:$FZ,181,FALSE)</f>
        <v>N/A</v>
      </c>
      <c r="M92" s="433" t="str">
        <f>VLOOKUP(B92,'LOD 400 - CONTROL'!B:V,21,FALSE)</f>
        <v>N/A</v>
      </c>
      <c r="N92" s="434" t="str">
        <f>VLOOKUP(B92,'LOD 400 - CONTROL'!$B:$HE,212,FALSE)</f>
        <v>N/A</v>
      </c>
    </row>
    <row r="93">
      <c r="A93" s="436">
        <v>98.0</v>
      </c>
      <c r="B93" s="100" t="s">
        <v>276</v>
      </c>
      <c r="C93" s="427" t="str">
        <f>VLOOKUP(B93,'LOD 400 - CONTROL'!B:M,12,FALSE)</f>
        <v>V8</v>
      </c>
      <c r="D93" s="428" t="str">
        <f>VLOOKUP(B93,'LOD 400 - CONTROL'!$B:$BG,58,FALSE)</f>
        <v>N/A</v>
      </c>
      <c r="E93" s="428" t="str">
        <f>VLOOKUP(B93,'LOD 400 - CONTROL'!$B:$CP,93,FALSE)</f>
        <v>N/A</v>
      </c>
      <c r="F93" s="429" t="str">
        <f>VLOOKUP(B93,'LOD 400 - CONTROL'!$B:$DY,128,FALSE)</f>
        <v>N/A</v>
      </c>
      <c r="G93" s="430" t="str">
        <f>VLOOKUP(B93,'LOD 400 - CONTROL'!B:P,15,FALSE)</f>
        <v>N/A</v>
      </c>
      <c r="H93" s="429" t="str">
        <f>VLOOKUP(B93,'LOD 400 - CONTROL'!$B:$EP,145,FALSE)</f>
        <v>N/A</v>
      </c>
      <c r="I93" s="431" t="str">
        <f>VLOOKUP(B93,'LOD 400 - CONTROL'!B:S,18,FALSE)</f>
        <v>N/A</v>
      </c>
      <c r="J93" s="429" t="str">
        <f>VLOOKUP(B93,'LOD 400 - CONTROL'!$B:$ER,147,FALSE)</f>
        <v>N/A</v>
      </c>
      <c r="L93" s="432">
        <f>VLOOKUP(B93,'LOD 400 - CONTROL'!$B:$FZ,181,FALSE)</f>
        <v>1</v>
      </c>
      <c r="M93" s="433" t="str">
        <f>VLOOKUP(B93,'LOD 400 - CONTROL'!B:V,21,FALSE)</f>
        <v>V8</v>
      </c>
      <c r="N93" s="434">
        <f>VLOOKUP(B93,'LOD 400 - CONTROL'!$B:$HE,212,FALSE)</f>
        <v>1</v>
      </c>
    </row>
    <row r="94">
      <c r="A94" s="421">
        <v>99.0</v>
      </c>
      <c r="B94" s="100" t="s">
        <v>288</v>
      </c>
      <c r="C94" s="427" t="str">
        <f>VLOOKUP(B94,'LOD 400 - CONTROL'!B:M,12,FALSE)</f>
        <v>V8</v>
      </c>
      <c r="D94" s="428">
        <f>VLOOKUP(B94,'LOD 400 - CONTROL'!$B:$BG,58,FALSE)</f>
        <v>1</v>
      </c>
      <c r="E94" s="428" t="str">
        <f>VLOOKUP(B94,'LOD 400 - CONTROL'!$B:$CP,93,FALSE)</f>
        <v>N/A</v>
      </c>
      <c r="F94" s="429" t="str">
        <f>VLOOKUP(B94,'LOD 400 - CONTROL'!$B:$DY,128,FALSE)</f>
        <v>N/A</v>
      </c>
      <c r="G94" s="430" t="str">
        <f>VLOOKUP(B94,'LOD 400 - CONTROL'!B:P,15,FALSE)</f>
        <v>N/A</v>
      </c>
      <c r="H94" s="429" t="str">
        <f>VLOOKUP(B94,'LOD 400 - CONTROL'!$B:$EP,145,FALSE)</f>
        <v>N/A</v>
      </c>
      <c r="I94" s="431" t="str">
        <f>VLOOKUP(B94,'LOD 400 - CONTROL'!B:S,18,FALSE)</f>
        <v>N/A</v>
      </c>
      <c r="J94" s="429">
        <f>VLOOKUP(B94,'LOD 400 - CONTROL'!$B:$ER,147,FALSE)</f>
        <v>0</v>
      </c>
      <c r="L94" s="432" t="str">
        <f>VLOOKUP(B94,'LOD 400 - CONTROL'!$B:$FZ,181,FALSE)</f>
        <v>N/A</v>
      </c>
      <c r="M94" s="433" t="str">
        <f>VLOOKUP(B94,'LOD 400 - CONTROL'!B:V,21,FALSE)</f>
        <v>N/A</v>
      </c>
      <c r="N94" s="434" t="str">
        <f>VLOOKUP(B94,'LOD 400 - CONTROL'!$B:$HE,212,FALSE)</f>
        <v>N/A</v>
      </c>
    </row>
    <row r="95">
      <c r="A95" s="421">
        <v>100.0</v>
      </c>
      <c r="B95" s="100" t="s">
        <v>290</v>
      </c>
      <c r="C95" s="427" t="str">
        <f>VLOOKUP(B95,'LOD 400 - CONTROL'!B:M,12,FALSE)</f>
        <v>N/A</v>
      </c>
      <c r="D95" s="428" t="str">
        <f>VLOOKUP(B95,'LOD 400 - CONTROL'!$B:$BG,58,FALSE)</f>
        <v>N/A</v>
      </c>
      <c r="E95" s="428">
        <f>VLOOKUP(B95,'LOD 400 - CONTROL'!$B:$CP,93,FALSE)</f>
        <v>1</v>
      </c>
      <c r="F95" s="429" t="str">
        <f>VLOOKUP(B95,'LOD 400 - CONTROL'!$B:$DY,128,FALSE)</f>
        <v>N/A</v>
      </c>
      <c r="G95" s="430" t="str">
        <f>VLOOKUP(B95,'LOD 400 - CONTROL'!B:P,15,FALSE)</f>
        <v>N/A</v>
      </c>
      <c r="H95" s="429" t="str">
        <f>VLOOKUP(B95,'LOD 400 - CONTROL'!$B:$EP,145,FALSE)</f>
        <v>N/A</v>
      </c>
      <c r="I95" s="431" t="str">
        <f>VLOOKUP(B95,'LOD 400 - CONTROL'!B:S,18,FALSE)</f>
        <v>N/A</v>
      </c>
      <c r="J95" s="429">
        <f>VLOOKUP(B95,'LOD 400 - CONTROL'!$B:$ER,147,FALSE)</f>
        <v>0</v>
      </c>
      <c r="L95" s="432" t="str">
        <f>VLOOKUP(B95,'LOD 400 - CONTROL'!$B:$FZ,181,FALSE)</f>
        <v>N/A</v>
      </c>
      <c r="M95" s="433" t="str">
        <f>VLOOKUP(B95,'LOD 400 - CONTROL'!B:V,21,FALSE)</f>
        <v>N/A</v>
      </c>
      <c r="N95" s="434" t="str">
        <f>VLOOKUP(B95,'LOD 400 - CONTROL'!$B:$HE,212,FALSE)</f>
        <v>N/A</v>
      </c>
    </row>
    <row r="96">
      <c r="A96" s="421">
        <v>101.0</v>
      </c>
      <c r="B96" s="100" t="s">
        <v>278</v>
      </c>
      <c r="C96" s="427" t="str">
        <f>VLOOKUP(B96,'LOD 400 - CONTROL'!B:M,12,FALSE)</f>
        <v>V2</v>
      </c>
      <c r="D96" s="428">
        <f>VLOOKUP(B96,'LOD 400 - CONTROL'!$B:$BG,58,FALSE)</f>
        <v>0.01</v>
      </c>
      <c r="E96" s="428">
        <f>VLOOKUP(B96,'LOD 400 - CONTROL'!$B:$CP,93,FALSE)</f>
        <v>0.01</v>
      </c>
      <c r="F96" s="429">
        <f>VLOOKUP(B96,'LOD 400 - CONTROL'!$B:$DY,128,FALSE)</f>
        <v>0.01</v>
      </c>
      <c r="G96" s="430" t="str">
        <f>VLOOKUP(B96,'LOD 400 - CONTROL'!B:P,15,FALSE)</f>
        <v>V3</v>
      </c>
      <c r="H96" s="429">
        <f>VLOOKUP(B96,'LOD 400 - CONTROL'!$B:$EP,145,FALSE)</f>
        <v>0.01</v>
      </c>
      <c r="I96" s="431" t="str">
        <f>VLOOKUP(B96,'LOD 400 - CONTROL'!B:S,18,FALSE)</f>
        <v>N/A</v>
      </c>
      <c r="J96" s="429">
        <f>VLOOKUP(B96,'LOD 400 - CONTROL'!$B:$ER,147,FALSE)</f>
        <v>0</v>
      </c>
      <c r="L96" s="432" t="str">
        <f>VLOOKUP(B96,'LOD 400 - CONTROL'!$B:$FZ,181,FALSE)</f>
        <v>N/A</v>
      </c>
      <c r="M96" s="433" t="str">
        <f>VLOOKUP(B96,'LOD 400 - CONTROL'!B:V,21,FALSE)</f>
        <v>N/A</v>
      </c>
      <c r="N96" s="434" t="str">
        <f>VLOOKUP(B96,'LOD 400 - CONTROL'!$B:$HE,212,FALSE)</f>
        <v>N/A</v>
      </c>
    </row>
    <row r="97">
      <c r="A97" s="436">
        <v>102.0</v>
      </c>
      <c r="B97" s="100" t="s">
        <v>291</v>
      </c>
      <c r="C97" s="427" t="str">
        <f>VLOOKUP(B97,'LOD 400 - CONTROL'!B:M,12,FALSE)</f>
        <v>N/A</v>
      </c>
      <c r="D97" s="428" t="str">
        <f>VLOOKUP(B97,'LOD 400 - CONTROL'!$B:$BG,58,FALSE)</f>
        <v>N/A</v>
      </c>
      <c r="E97" s="428" t="str">
        <f>VLOOKUP(B97,'LOD 400 - CONTROL'!$B:$CP,93,FALSE)</f>
        <v>N/A</v>
      </c>
      <c r="F97" s="429">
        <f>VLOOKUP(B97,'LOD 400 - CONTROL'!$B:$DY,128,FALSE)</f>
        <v>1</v>
      </c>
      <c r="G97" s="430" t="str">
        <f>VLOOKUP(B97,'LOD 400 - CONTROL'!B:P,15,FALSE)</f>
        <v>N/A</v>
      </c>
      <c r="H97" s="429" t="str">
        <f>VLOOKUP(B97,'LOD 400 - CONTROL'!$B:$EP,145,FALSE)</f>
        <v>N/A</v>
      </c>
      <c r="I97" s="431" t="str">
        <f>VLOOKUP(B97,'LOD 400 - CONTROL'!B:S,18,FALSE)</f>
        <v>N/A</v>
      </c>
      <c r="J97" s="429">
        <f>VLOOKUP(B97,'LOD 400 - CONTROL'!$B:$ER,147,FALSE)</f>
        <v>0</v>
      </c>
      <c r="L97" s="432" t="str">
        <f>VLOOKUP(B97,'LOD 400 - CONTROL'!$B:$FZ,181,FALSE)</f>
        <v>N/A</v>
      </c>
      <c r="M97" s="433" t="str">
        <f>VLOOKUP(B97,'LOD 400 - CONTROL'!B:V,21,FALSE)</f>
        <v>N/A</v>
      </c>
      <c r="N97" s="434" t="str">
        <f>VLOOKUP(B97,'LOD 400 - CONTROL'!$B:$HE,212,FALSE)</f>
        <v>N/A</v>
      </c>
    </row>
    <row r="98">
      <c r="A98" s="421">
        <v>103.0</v>
      </c>
      <c r="B98" s="100" t="s">
        <v>281</v>
      </c>
      <c r="C98" s="427" t="str">
        <f>VLOOKUP(B98,'LOD 400 - CONTROL'!B:M,12,FALSE)</f>
        <v>V2</v>
      </c>
      <c r="D98" s="428" t="str">
        <f>VLOOKUP(B98,'LOD 400 - CONTROL'!$B:$BG,58,FALSE)</f>
        <v>N/A</v>
      </c>
      <c r="E98" s="428" t="str">
        <f>VLOOKUP(B98,'LOD 400 - CONTROL'!$B:$CP,93,FALSE)</f>
        <v>N/A</v>
      </c>
      <c r="F98" s="429" t="str">
        <f>VLOOKUP(B98,'LOD 400 - CONTROL'!$B:$DY,128,FALSE)</f>
        <v>N/A</v>
      </c>
      <c r="G98" s="430" t="str">
        <f>VLOOKUP(B98,'LOD 400 - CONTROL'!B:P,15,FALSE)</f>
        <v>N/A</v>
      </c>
      <c r="H98" s="429" t="str">
        <f>VLOOKUP(B98,'LOD 400 - CONTROL'!$B:$EP,145,FALSE)</f>
        <v>N/A</v>
      </c>
      <c r="I98" s="431" t="str">
        <f>VLOOKUP(B98,'LOD 400 - CONTROL'!B:S,18,FALSE)</f>
        <v>N/A</v>
      </c>
      <c r="J98" s="429" t="str">
        <f>VLOOKUP(B98,'LOD 400 - CONTROL'!$B:$ER,147,FALSE)</f>
        <v>N/A</v>
      </c>
      <c r="L98" s="432">
        <f>VLOOKUP(B98,'LOD 400 - CONTROL'!$B:$FZ,181,FALSE)</f>
        <v>0.01</v>
      </c>
      <c r="M98" s="433" t="str">
        <f>VLOOKUP(B98,'LOD 400 - CONTROL'!B:V,21,FALSE)</f>
        <v>V2</v>
      </c>
      <c r="N98" s="434">
        <f>VLOOKUP(B98,'LOD 400 - CONTROL'!$B:$HE,212,FALSE)</f>
        <v>0.01</v>
      </c>
    </row>
    <row r="99">
      <c r="A99" s="436">
        <v>104.0</v>
      </c>
      <c r="B99" s="100" t="s">
        <v>292</v>
      </c>
      <c r="C99" s="427" t="str">
        <f>VLOOKUP(B99,'LOD 400 - CONTROL'!B:M,12,FALSE)</f>
        <v>N/A</v>
      </c>
      <c r="D99" s="428" t="str">
        <f>VLOOKUP(B99,'LOD 400 - CONTROL'!$B:$BG,58,FALSE)</f>
        <v>N/A</v>
      </c>
      <c r="E99" s="428" t="str">
        <f>VLOOKUP(B99,'LOD 400 - CONTROL'!$B:$CP,93,FALSE)</f>
        <v>N/A</v>
      </c>
      <c r="F99" s="429" t="str">
        <f>VLOOKUP(B99,'LOD 400 - CONTROL'!$B:$DY,128,FALSE)</f>
        <v>N/A</v>
      </c>
      <c r="G99" s="430" t="str">
        <f>VLOOKUP(B99,'LOD 400 - CONTROL'!B:P,15,FALSE)</f>
        <v>N/A</v>
      </c>
      <c r="H99" s="429">
        <f>VLOOKUP(B99,'LOD 400 - CONTROL'!$B:$EP,145,FALSE)</f>
        <v>1</v>
      </c>
      <c r="I99" s="431" t="str">
        <f>VLOOKUP(B99,'LOD 400 - CONTROL'!B:S,18,FALSE)</f>
        <v>N/A</v>
      </c>
      <c r="J99" s="429">
        <f>VLOOKUP(B99,'LOD 400 - CONTROL'!$B:$ER,147,FALSE)</f>
        <v>0</v>
      </c>
      <c r="L99" s="432" t="str">
        <f>VLOOKUP(B99,'LOD 400 - CONTROL'!$B:$FZ,181,FALSE)</f>
        <v>N/A</v>
      </c>
      <c r="M99" s="433" t="str">
        <f>VLOOKUP(B99,'LOD 400 - CONTROL'!B:V,21,FALSE)</f>
        <v>N/A</v>
      </c>
      <c r="N99" s="434" t="str">
        <f>VLOOKUP(B99,'LOD 400 - CONTROL'!$B:$HE,212,FALSE)</f>
        <v>N/A</v>
      </c>
    </row>
    <row r="100">
      <c r="A100" s="421">
        <v>105.0</v>
      </c>
      <c r="B100" s="100" t="s">
        <v>283</v>
      </c>
      <c r="C100" s="427" t="str">
        <f>VLOOKUP(B100,'LOD 400 - CONTROL'!B:M,12,FALSE)</f>
        <v>NOT PUBLISHED</v>
      </c>
      <c r="D100" s="428" t="str">
        <f>VLOOKUP(B100,'LOD 400 - CONTROL'!$B:$BG,58,FALSE)</f>
        <v>N/A</v>
      </c>
      <c r="E100" s="428" t="str">
        <f>VLOOKUP(B100,'LOD 400 - CONTROL'!$B:$CP,93,FALSE)</f>
        <v>N/A</v>
      </c>
      <c r="F100" s="429" t="str">
        <f>VLOOKUP(B100,'LOD 400 - CONTROL'!$B:$DY,128,FALSE)</f>
        <v>N/A</v>
      </c>
      <c r="G100" s="430" t="str">
        <f>VLOOKUP(B100,'LOD 400 - CONTROL'!B:P,15,FALSE)</f>
        <v>N/A</v>
      </c>
      <c r="H100" s="429" t="str">
        <f>VLOOKUP(B100,'LOD 400 - CONTROL'!$B:$EP,145,FALSE)</f>
        <v>N/A</v>
      </c>
      <c r="I100" s="431" t="str">
        <f>VLOOKUP(B100,'LOD 400 - CONTROL'!B:S,18,FALSE)</f>
        <v>N/A</v>
      </c>
      <c r="J100" s="429" t="str">
        <f>VLOOKUP(B100,'LOD 400 - CONTROL'!$B:$ER,147,FALSE)</f>
        <v>N/A</v>
      </c>
      <c r="L100" s="432" t="str">
        <f>VLOOKUP(B100,'LOD 400 - CONTROL'!$B:$FZ,181,FALSE)</f>
        <v>NOT PUBLISHED</v>
      </c>
      <c r="M100" s="433" t="str">
        <f>VLOOKUP(B100,'LOD 400 - CONTROL'!B:V,21,FALSE)</f>
        <v>NOT PUBLISHED</v>
      </c>
      <c r="N100" s="434" t="str">
        <f>VLOOKUP(B100,'LOD 400 - CONTROL'!$B:$HE,212,FALSE)</f>
        <v>NOT PUBLISHED</v>
      </c>
    </row>
    <row r="101">
      <c r="A101" s="436">
        <v>106.0</v>
      </c>
      <c r="B101" s="100" t="s">
        <v>293</v>
      </c>
      <c r="C101" s="427" t="str">
        <f>VLOOKUP(B101,'LOD 400 - CONTROL'!B:M,12,FALSE)</f>
        <v>N/A</v>
      </c>
      <c r="D101" s="428" t="str">
        <f>VLOOKUP(B101,'LOD 400 - CONTROL'!$B:$BG,58,FALSE)</f>
        <v>N/A</v>
      </c>
      <c r="E101" s="428" t="str">
        <f>VLOOKUP(B101,'LOD 400 - CONTROL'!$B:$CP,93,FALSE)</f>
        <v>N/A</v>
      </c>
      <c r="F101" s="429" t="str">
        <f>VLOOKUP(B101,'LOD 400 - CONTROL'!$B:$DY,128,FALSE)</f>
        <v>N/A</v>
      </c>
      <c r="G101" s="430" t="str">
        <f>VLOOKUP(B101,'LOD 400 - CONTROL'!B:P,15,FALSE)</f>
        <v>N/A</v>
      </c>
      <c r="H101" s="429" t="str">
        <f>VLOOKUP(B101,'LOD 400 - CONTROL'!$B:$EP,145,FALSE)</f>
        <v>N/A</v>
      </c>
      <c r="I101" s="431" t="str">
        <f>VLOOKUP(B101,'LOD 400 - CONTROL'!B:S,18,FALSE)</f>
        <v>N/A</v>
      </c>
      <c r="J101" s="429">
        <f>VLOOKUP(B101,'LOD 400 - CONTROL'!$B:$ER,147,FALSE)</f>
        <v>1</v>
      </c>
      <c r="L101" s="432" t="str">
        <f>VLOOKUP(B101,'LOD 400 - CONTROL'!$B:$FZ,181,FALSE)</f>
        <v>N/A</v>
      </c>
      <c r="M101" s="433" t="str">
        <f>VLOOKUP(B101,'LOD 400 - CONTROL'!B:V,21,FALSE)</f>
        <v>N/A</v>
      </c>
      <c r="N101" s="434" t="str">
        <f>VLOOKUP(B101,'LOD 400 - CONTROL'!$B:$HE,212,FALSE)</f>
        <v>N/A</v>
      </c>
    </row>
    <row r="102">
      <c r="A102" s="421">
        <v>107.0</v>
      </c>
      <c r="B102" s="100" t="s">
        <v>285</v>
      </c>
      <c r="C102" s="427" t="str">
        <f>VLOOKUP(B102,'LOD 400 - CONTROL'!B:M,12,FALSE)</f>
        <v>NOT PUBLISHED</v>
      </c>
      <c r="D102" s="428" t="str">
        <f>VLOOKUP(B102,'LOD 400 - CONTROL'!$B:$BG,58,FALSE)</f>
        <v>N/A</v>
      </c>
      <c r="E102" s="428" t="str">
        <f>VLOOKUP(B102,'LOD 400 - CONTROL'!$B:$CP,93,FALSE)</f>
        <v>N/A</v>
      </c>
      <c r="F102" s="429" t="str">
        <f>VLOOKUP(B102,'LOD 400 - CONTROL'!$B:$DY,128,FALSE)</f>
        <v>N/A</v>
      </c>
      <c r="G102" s="430" t="str">
        <f>VLOOKUP(B102,'LOD 400 - CONTROL'!B:P,15,FALSE)</f>
        <v>N/A</v>
      </c>
      <c r="H102" s="429" t="str">
        <f>VLOOKUP(B102,'LOD 400 - CONTROL'!$B:$EP,145,FALSE)</f>
        <v>N/A</v>
      </c>
      <c r="I102" s="431" t="str">
        <f>VLOOKUP(B102,'LOD 400 - CONTROL'!B:S,18,FALSE)</f>
        <v>N/A</v>
      </c>
      <c r="J102" s="429" t="str">
        <f>VLOOKUP(B102,'LOD 400 - CONTROL'!$B:$ER,147,FALSE)</f>
        <v>N/A</v>
      </c>
      <c r="L102" s="432" t="str">
        <f>VLOOKUP(B102,'LOD 400 - CONTROL'!$B:$FZ,181,FALSE)</f>
        <v>NOT PUBLISHED</v>
      </c>
      <c r="M102" s="433" t="str">
        <f>VLOOKUP(B102,'LOD 400 - CONTROL'!B:V,21,FALSE)</f>
        <v>NOT PUBLISHED</v>
      </c>
      <c r="N102" s="434" t="str">
        <f>VLOOKUP(B102,'LOD 400 - CONTROL'!$B:$HE,212,FALSE)</f>
        <v>NOT PUBLISHED</v>
      </c>
    </row>
    <row r="103">
      <c r="A103" s="436">
        <v>108.0</v>
      </c>
      <c r="B103" s="100" t="s">
        <v>294</v>
      </c>
      <c r="C103" s="427" t="str">
        <f>VLOOKUP(B103,'LOD 400 - CONTROL'!B:M,12,FALSE)</f>
        <v>N/A</v>
      </c>
      <c r="D103" s="428" t="str">
        <f>VLOOKUP(B103,'LOD 400 - CONTROL'!$B:$BG,58,FALSE)</f>
        <v>N/A</v>
      </c>
      <c r="E103" s="428" t="str">
        <f>VLOOKUP(B103,'LOD 400 - CONTROL'!$B:$CP,93,FALSE)</f>
        <v>N/A</v>
      </c>
      <c r="F103" s="429" t="str">
        <f>VLOOKUP(B103,'LOD 400 - CONTROL'!$B:$DY,128,FALSE)</f>
        <v>N/A</v>
      </c>
      <c r="G103" s="430" t="str">
        <f>VLOOKUP(B103,'LOD 400 - CONTROL'!B:P,15,FALSE)</f>
        <v>N/A</v>
      </c>
      <c r="H103" s="429" t="str">
        <f>VLOOKUP(B103,'LOD 400 - CONTROL'!$B:$EP,145,FALSE)</f>
        <v>N/A</v>
      </c>
      <c r="I103" s="431" t="str">
        <f>VLOOKUP(B103,'LOD 400 - CONTROL'!B:S,18,FALSE)</f>
        <v>N/A</v>
      </c>
      <c r="J103" s="429">
        <f>VLOOKUP(B103,'LOD 400 - CONTROL'!$B:$ER,147,FALSE)</f>
        <v>0</v>
      </c>
      <c r="L103" s="432" t="str">
        <f>VLOOKUP(B103,'LOD 400 - CONTROL'!$B:$FZ,181,FALSE)</f>
        <v>N/A</v>
      </c>
      <c r="M103" s="433" t="str">
        <f>VLOOKUP(B103,'LOD 400 - CONTROL'!B:V,21,FALSE)</f>
        <v>N/A</v>
      </c>
      <c r="N103" s="434" t="str">
        <f>VLOOKUP(B103,'LOD 400 - CONTROL'!$B:$HE,212,FALSE)</f>
        <v>N/A</v>
      </c>
    </row>
    <row r="104">
      <c r="A104" s="421">
        <v>109.0</v>
      </c>
      <c r="B104" s="100" t="s">
        <v>295</v>
      </c>
      <c r="C104" s="427" t="str">
        <f>VLOOKUP(B104,'LOD 400 - CONTROL'!B:M,12,FALSE)</f>
        <v>V5</v>
      </c>
      <c r="D104" s="428" t="str">
        <f>VLOOKUP(B104,'LOD 400 - CONTROL'!$B:$BG,58,FALSE)</f>
        <v>N/A</v>
      </c>
      <c r="E104" s="428" t="str">
        <f>VLOOKUP(B104,'LOD 400 - CONTROL'!$B:$CP,93,FALSE)</f>
        <v>N/A</v>
      </c>
      <c r="F104" s="429" t="str">
        <f>VLOOKUP(B104,'LOD 400 - CONTROL'!$B:$DY,128,FALSE)</f>
        <v>N/A</v>
      </c>
      <c r="G104" s="430" t="str">
        <f>VLOOKUP(B104,'LOD 400 - CONTROL'!B:P,15,FALSE)</f>
        <v>N/A</v>
      </c>
      <c r="H104" s="429" t="str">
        <f>VLOOKUP(B104,'LOD 400 - CONTROL'!$B:$EP,145,FALSE)</f>
        <v>N/A</v>
      </c>
      <c r="I104" s="431" t="str">
        <f>VLOOKUP(B104,'LOD 400 - CONTROL'!B:S,18,FALSE)</f>
        <v>N/A</v>
      </c>
      <c r="J104" s="429" t="str">
        <f>VLOOKUP(B104,'LOD 400 - CONTROL'!$B:$ER,147,FALSE)</f>
        <v>N/A</v>
      </c>
      <c r="L104" s="432">
        <f>VLOOKUP(B104,'LOD 400 - CONTROL'!$B:$FZ,181,FALSE)</f>
        <v>1</v>
      </c>
      <c r="M104" s="433" t="str">
        <f>VLOOKUP(B104,'LOD 400 - CONTROL'!B:V,21,FALSE)</f>
        <v>V5</v>
      </c>
      <c r="N104" s="434">
        <f>VLOOKUP(B104,'LOD 400 - CONTROL'!$B:$HE,212,FALSE)</f>
        <v>1</v>
      </c>
    </row>
    <row r="105">
      <c r="A105" s="436">
        <v>110.0</v>
      </c>
      <c r="B105" s="100" t="s">
        <v>296</v>
      </c>
      <c r="C105" s="427" t="str">
        <f>VLOOKUP(B105,'LOD 400 - CONTROL'!B:M,12,FALSE)</f>
        <v>V6</v>
      </c>
      <c r="D105" s="428" t="str">
        <f>VLOOKUP(B105,'LOD 400 - CONTROL'!$B:$BG,58,FALSE)</f>
        <v>N/A</v>
      </c>
      <c r="E105" s="428" t="str">
        <f>VLOOKUP(B105,'LOD 400 - CONTROL'!$B:$CP,93,FALSE)</f>
        <v>N/A</v>
      </c>
      <c r="F105" s="429" t="str">
        <f>VLOOKUP(B105,'LOD 400 - CONTROL'!$B:$DY,128,FALSE)</f>
        <v>N/A</v>
      </c>
      <c r="G105" s="430" t="str">
        <f>VLOOKUP(B105,'LOD 400 - CONTROL'!B:P,15,FALSE)</f>
        <v>N/A</v>
      </c>
      <c r="H105" s="429" t="str">
        <f>VLOOKUP(B105,'LOD 400 - CONTROL'!$B:$EP,145,FALSE)</f>
        <v>N/A</v>
      </c>
      <c r="I105" s="431" t="str">
        <f>VLOOKUP(B105,'LOD 400 - CONTROL'!B:S,18,FALSE)</f>
        <v>N/A</v>
      </c>
      <c r="J105" s="429" t="str">
        <f>VLOOKUP(B105,'LOD 400 - CONTROL'!$B:$ER,147,FALSE)</f>
        <v>N/A</v>
      </c>
      <c r="L105" s="432">
        <f>VLOOKUP(B105,'LOD 400 - CONTROL'!$B:$FZ,181,FALSE)</f>
        <v>1</v>
      </c>
      <c r="M105" s="433" t="str">
        <f>VLOOKUP(B105,'LOD 400 - CONTROL'!B:V,21,FALSE)</f>
        <v>N/A</v>
      </c>
      <c r="N105" s="434" t="str">
        <f>VLOOKUP(B105,'LOD 400 - CONTROL'!$B:$HE,212,FALSE)</f>
        <v>N/A</v>
      </c>
    </row>
    <row r="106">
      <c r="A106" s="421">
        <v>111.0</v>
      </c>
      <c r="B106" s="481" t="s">
        <v>297</v>
      </c>
      <c r="C106" s="482" t="str">
        <f>VLOOKUP(B106,'LOD 400 - CONTROL'!B:M,12,FALSE)</f>
        <v>V3</v>
      </c>
      <c r="D106" s="483" t="str">
        <f>VLOOKUP(B106,'LOD 400 - CONTROL'!$B:$BG,58,FALSE)</f>
        <v>N/A</v>
      </c>
      <c r="E106" s="483" t="str">
        <f>VLOOKUP(B106,'LOD 400 - CONTROL'!$B:$CP,93,FALSE)</f>
        <v>N/A</v>
      </c>
      <c r="F106" s="484" t="str">
        <f>VLOOKUP(B106,'LOD 400 - CONTROL'!$B:$DY,128,FALSE)</f>
        <v>N/A</v>
      </c>
      <c r="G106" s="485" t="str">
        <f>VLOOKUP(B106,'LOD 400 - CONTROL'!B:P,15,FALSE)</f>
        <v>N/A</v>
      </c>
      <c r="H106" s="484" t="str">
        <f>VLOOKUP(B106,'LOD 400 - CONTROL'!$B:$EP,145,FALSE)</f>
        <v>N/A</v>
      </c>
      <c r="I106" s="486" t="str">
        <f>VLOOKUP(B106,'LOD 400 - CONTROL'!B:S,18,FALSE)</f>
        <v>N/A</v>
      </c>
      <c r="J106" s="484" t="str">
        <f>VLOOKUP(B106,'LOD 400 - CONTROL'!$B:$ER,147,FALSE)</f>
        <v>N/A</v>
      </c>
      <c r="K106" s="487"/>
      <c r="L106" s="488">
        <f>VLOOKUP(B106,'LOD 400 - CONTROL'!$B:$FZ,181,FALSE)</f>
        <v>1</v>
      </c>
      <c r="M106" s="489" t="str">
        <f>VLOOKUP(B106,'LOD 400 - CONTROL'!B:V,21,FALSE)</f>
        <v>V3</v>
      </c>
      <c r="N106" s="490">
        <f>VLOOKUP(B106,'LOD 400 - CONTROL'!$B:$HE,212,FALSE)</f>
        <v>1</v>
      </c>
    </row>
  </sheetData>
  <autoFilter ref="$A$1:$N$106">
    <sortState ref="A1:N106">
      <sortCondition ref="A1:A106"/>
    </sortState>
  </autoFilter>
  <conditionalFormatting sqref="I1:I2">
    <cfRule type="notContainsBlanks" dxfId="14" priority="1">
      <formula>LEN(TRIM(I1))&gt;0</formula>
    </cfRule>
  </conditionalFormatting>
  <conditionalFormatting sqref="D3:F106 H3:H106 J3:L106 N3:N106 I29 I32 M32 I34 M34 I37 M37 I40 M40 I43 M43 I46 M46 I49 M49 I52 M52 I56 M56 I59 M59 I62 M62 I64 M64 I67 M67 I71 M71:M72 M77:M78 I78 I81 M81 I83 M83 M85 I89 M89">
    <cfRule type="cellIs" dxfId="15" priority="2" operator="greaterThanOrEqual">
      <formula>70%</formula>
    </cfRule>
  </conditionalFormatting>
  <conditionalFormatting sqref="D3:F106 H3:H106 J3:L106 N3:N106 I29 I32 M32 I34 M34 I37 M37 I40 M40 I43 M43 I46 M46 I49 M49 I52 M52 I56 M56 I59 M59 I62 M62 I64 M64 I67 M67 I71 M71:M72 M77:M78 I78 I81 M81 I83 M83 M85 I89 M89">
    <cfRule type="cellIs" dxfId="2" priority="3" operator="between">
      <formula>"49%"</formula>
      <formula>"69%"</formula>
    </cfRule>
  </conditionalFormatting>
  <conditionalFormatting sqref="D3:F106 H3:H106 J3:L106 N3:N106 I29 I32 M32 I34 M34 I37 M37 I40 M40 I43 M43 I46 M46 I49 M49 I52 M52 I56 M56 I59 M59 I62 M62 I64 M64 I67 M67 I71 M71:M72 M77:M78 I78 I81 M81 I83 M83 M85 I89 M89">
    <cfRule type="cellIs" dxfId="3" priority="4" operator="between">
      <formula>"0%"</formula>
      <formula>"48%"</formula>
    </cfRule>
  </conditionalFormatting>
  <conditionalFormatting sqref="D3:F106 H3:H106 J3:L106 N3:N106 I29 I32 M32 I34 M34 I37 M37 I40 M40 I43 M43 I46 M46 I49 M49 I52 M52 I56 M56 I59 M59 I62 M62 I64 M64 I67 M67 I71 M71:M72 M77:M78 I78 I81 M81 I83 M83 M85 I89 M89">
    <cfRule type="cellIs" dxfId="6" priority="5" operator="equal">
      <formula>"OUTDATED"</formula>
    </cfRule>
  </conditionalFormatting>
  <conditionalFormatting sqref="D3:F106 H3:H106 J3:L106 N3:N106 I29 I32 M32 I34 M34 I37 M37 I40 M40 I43 M43 I46 M46 I49 M49 I52 M52 I56 M56 I59 M59 I62 M62 I64 M64 I67 M67 I71 M71:M72 M77:M78 I78 I81 M81 I83 M83 M85 I89 M89">
    <cfRule type="cellIs" dxfId="7" priority="6" operator="equal">
      <formula>"ANALYSING"</formula>
    </cfRule>
  </conditionalFormatting>
  <conditionalFormatting sqref="D3:F106 H3:H106 J3:L106 N3:N106 I29 I32 M32 I34 M34 I37 M37 I40 M40 I43 M43 I46 M46 I49 M49 I52 M52 I56 M56 I59 M59 I62 M62 I64 M64 I67 M67 I71 M71:M72 M77:M78 I78 I81 M81 I83 M83 M85 I89 M89">
    <cfRule type="cellIs" dxfId="16" priority="7" operator="equal">
      <formula>"NEXT ROUND"</formula>
    </cfRule>
  </conditionalFormatting>
  <conditionalFormatting sqref="C2:F106 G2 H2:H106 I2 J2:L106 M2:M81 N2:N106 I29 I32 I34 I37 I40 I43 I46 I49 I52 I56 I59 I62 I64 I67 I71 I78 I81 I83 M83:M106 I89">
    <cfRule type="cellIs" dxfId="9" priority="8" operator="equal">
      <formula>"IMPROPER"</formula>
    </cfRule>
  </conditionalFormatting>
  <conditionalFormatting sqref="D3:F106 H3:H106 J3:L106 N3:N106 I29 I32 M32 I34 M34 I37 M37 I40 M40 I43 M43 I46 M46 I49 M49 I52 M52 I56 M56 I59 M59 I62 M62 I64 M64 I67 M67 I71 M71:M72 M77:M78 I78 I81 M81 I83 M83 M85 I89 M89">
    <cfRule type="cellIs" dxfId="10" priority="9" operator="equal">
      <formula>"NOT PUBLISHED"</formula>
    </cfRule>
  </conditionalFormatting>
  <conditionalFormatting sqref="D3:F106 H3:H106 J3:L106 N3:N106 I29 I32 M32 I34 M34 I37 M37 I40 M40 I43 M43 I46 M46 I49 M49 I52 M52 I56 M56 I59 M59 I62 M62 I64 M64 I67 M67 I71 M71:M72 M77:M78 I78 I81 M81 I83 M83 M85 I89 M89">
    <cfRule type="cellIs" dxfId="17" priority="10" operator="equal">
      <formula>"N/A"</formula>
    </cfRule>
  </conditionalFormatting>
  <printOptions gridLines="1" horizontalCentered="1" verticalCentered="1"/>
  <pageMargins bottom="0.75" footer="0.0" header="0.0" left="0.7" right="0.7" top="0.75"/>
  <pageSetup paperSize="9"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88"/>
    <col customWidth="1" min="4" max="5" width="19.75"/>
    <col customWidth="1" min="6" max="6" width="10.75"/>
    <col customWidth="1" min="7" max="7" width="18.63"/>
    <col customWidth="1" min="8" max="8" width="11.25"/>
    <col customWidth="1" min="9" max="11" width="17.25"/>
    <col customWidth="1" min="12" max="12" width="13.88"/>
    <col customWidth="1" min="13" max="13" width="11.25"/>
    <col customWidth="1" min="14" max="15" width="12.0"/>
    <col customWidth="1" min="16" max="16" width="16.0"/>
    <col customWidth="1" min="17" max="17" width="15.38"/>
    <col customWidth="1" min="18" max="18" width="17.13"/>
    <col customWidth="1" min="19" max="118" width="16.25"/>
  </cols>
  <sheetData>
    <row r="1" ht="56.25" customHeight="1">
      <c r="A1" s="1"/>
      <c r="B1" s="491"/>
      <c r="C1" s="492"/>
      <c r="D1" s="493"/>
      <c r="E1" s="492" t="s">
        <v>304</v>
      </c>
      <c r="F1" s="494"/>
      <c r="G1" s="494"/>
      <c r="H1" s="494"/>
      <c r="I1" s="494"/>
      <c r="J1" s="494"/>
      <c r="K1" s="494"/>
      <c r="L1" s="494"/>
      <c r="M1" s="494"/>
      <c r="N1" s="494"/>
      <c r="O1" s="494"/>
      <c r="P1" s="494"/>
      <c r="Q1" s="494"/>
      <c r="R1" s="495"/>
      <c r="S1" s="496"/>
      <c r="T1" s="497"/>
      <c r="U1" s="495"/>
      <c r="V1" s="496"/>
      <c r="W1" s="497"/>
      <c r="X1" s="495"/>
      <c r="Y1" s="498"/>
      <c r="Z1" s="497"/>
      <c r="AA1" s="495"/>
      <c r="AB1" s="498"/>
      <c r="AC1" s="497"/>
      <c r="AD1" s="497"/>
      <c r="AE1" s="497"/>
      <c r="AF1" s="499"/>
      <c r="AG1" s="497"/>
      <c r="AH1" s="500"/>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504" t="s">
        <v>307</v>
      </c>
      <c r="P2" s="505" t="s">
        <v>308</v>
      </c>
      <c r="Q2" s="506" t="s">
        <v>309</v>
      </c>
      <c r="R2" s="506" t="s">
        <v>310</v>
      </c>
      <c r="S2" s="506" t="s">
        <v>30</v>
      </c>
      <c r="T2" s="506" t="s">
        <v>311</v>
      </c>
      <c r="U2" s="506" t="s">
        <v>312</v>
      </c>
      <c r="V2" s="506" t="s">
        <v>31</v>
      </c>
      <c r="W2" s="506" t="s">
        <v>313</v>
      </c>
      <c r="X2" s="506" t="s">
        <v>314</v>
      </c>
      <c r="Y2" s="506" t="s">
        <v>32</v>
      </c>
      <c r="Z2" s="506" t="s">
        <v>315</v>
      </c>
      <c r="AA2" s="506" t="s">
        <v>316</v>
      </c>
      <c r="AB2" s="506" t="s">
        <v>33</v>
      </c>
      <c r="AC2" s="506" t="s">
        <v>317</v>
      </c>
      <c r="AD2" s="506" t="s">
        <v>318</v>
      </c>
      <c r="AE2" s="506" t="s">
        <v>34</v>
      </c>
      <c r="AF2" s="506" t="s">
        <v>319</v>
      </c>
      <c r="AG2" s="506" t="s">
        <v>320</v>
      </c>
      <c r="AH2" s="506" t="s">
        <v>35</v>
      </c>
      <c r="AI2" s="506" t="s">
        <v>321</v>
      </c>
      <c r="AJ2" s="506" t="s">
        <v>322</v>
      </c>
      <c r="AK2" s="506" t="s">
        <v>36</v>
      </c>
      <c r="AL2" s="506" t="s">
        <v>323</v>
      </c>
      <c r="AM2" s="506" t="s">
        <v>324</v>
      </c>
      <c r="AN2" s="506" t="s">
        <v>37</v>
      </c>
      <c r="AO2" s="506" t="s">
        <v>325</v>
      </c>
      <c r="AP2" s="506" t="s">
        <v>326</v>
      </c>
      <c r="AQ2" s="506" t="s">
        <v>38</v>
      </c>
      <c r="AR2" s="506" t="s">
        <v>327</v>
      </c>
      <c r="AS2" s="506" t="s">
        <v>328</v>
      </c>
      <c r="AT2" s="506" t="s">
        <v>39</v>
      </c>
      <c r="AU2" s="506" t="s">
        <v>329</v>
      </c>
      <c r="AV2" s="506" t="s">
        <v>330</v>
      </c>
      <c r="AW2" s="506" t="s">
        <v>40</v>
      </c>
      <c r="AX2" s="507" t="s">
        <v>331</v>
      </c>
      <c r="AY2" s="507" t="s">
        <v>332</v>
      </c>
      <c r="AZ2" s="507"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c r="BM2" s="507" t="s">
        <v>341</v>
      </c>
      <c r="BN2" s="507" t="s">
        <v>342</v>
      </c>
      <c r="BO2" s="507" t="s">
        <v>46</v>
      </c>
      <c r="BP2" s="507" t="s">
        <v>343</v>
      </c>
      <c r="BQ2" s="507" t="s">
        <v>344</v>
      </c>
      <c r="BR2" s="507" t="s">
        <v>47</v>
      </c>
      <c r="BS2" s="507" t="s">
        <v>345</v>
      </c>
      <c r="BT2" s="507" t="s">
        <v>346</v>
      </c>
      <c r="BU2" s="507" t="s">
        <v>48</v>
      </c>
      <c r="BV2" s="507" t="s">
        <v>347</v>
      </c>
      <c r="BW2" s="507" t="s">
        <v>348</v>
      </c>
      <c r="BX2" s="507" t="s">
        <v>49</v>
      </c>
      <c r="BY2" s="507" t="s">
        <v>349</v>
      </c>
      <c r="BZ2" s="507" t="s">
        <v>350</v>
      </c>
      <c r="CA2" s="507" t="s">
        <v>50</v>
      </c>
      <c r="CB2" s="507" t="s">
        <v>351</v>
      </c>
      <c r="CC2" s="507" t="s">
        <v>352</v>
      </c>
      <c r="CD2" s="507" t="s">
        <v>51</v>
      </c>
      <c r="CE2" s="507" t="s">
        <v>353</v>
      </c>
      <c r="CF2" s="507" t="s">
        <v>354</v>
      </c>
      <c r="CG2" s="507" t="s">
        <v>52</v>
      </c>
      <c r="CH2" s="507" t="s">
        <v>355</v>
      </c>
      <c r="CI2" s="507" t="s">
        <v>356</v>
      </c>
      <c r="CJ2" s="507" t="s">
        <v>53</v>
      </c>
      <c r="CK2" s="507" t="s">
        <v>357</v>
      </c>
      <c r="CL2" s="507" t="s">
        <v>358</v>
      </c>
      <c r="CM2" s="507" t="s">
        <v>54</v>
      </c>
      <c r="CN2" s="507" t="s">
        <v>359</v>
      </c>
      <c r="CO2" s="507" t="s">
        <v>360</v>
      </c>
      <c r="CP2" s="507" t="s">
        <v>55</v>
      </c>
      <c r="CQ2" s="507" t="s">
        <v>361</v>
      </c>
      <c r="CR2" s="507" t="s">
        <v>362</v>
      </c>
      <c r="CS2" s="507" t="s">
        <v>56</v>
      </c>
      <c r="CT2" s="507" t="s">
        <v>363</v>
      </c>
      <c r="CU2" s="507" t="s">
        <v>364</v>
      </c>
      <c r="CV2" s="507" t="s">
        <v>57</v>
      </c>
      <c r="CW2" s="507" t="s">
        <v>365</v>
      </c>
      <c r="CX2" s="507" t="s">
        <v>366</v>
      </c>
      <c r="CY2" s="507" t="s">
        <v>58</v>
      </c>
      <c r="CZ2" s="507" t="s">
        <v>367</v>
      </c>
      <c r="DA2" s="507" t="s">
        <v>368</v>
      </c>
      <c r="DB2" s="507" t="s">
        <v>59</v>
      </c>
      <c r="DC2" s="507" t="s">
        <v>369</v>
      </c>
      <c r="DD2" s="507" t="s">
        <v>370</v>
      </c>
      <c r="DE2" s="507" t="s">
        <v>60</v>
      </c>
      <c r="DF2" s="507" t="s">
        <v>371</v>
      </c>
      <c r="DG2" s="507" t="s">
        <v>372</v>
      </c>
      <c r="DH2" s="507" t="s">
        <v>61</v>
      </c>
      <c r="DI2" s="507" t="s">
        <v>373</v>
      </c>
      <c r="DJ2" s="507" t="s">
        <v>374</v>
      </c>
      <c r="DK2" s="507" t="s">
        <v>62</v>
      </c>
      <c r="DL2" s="507" t="s">
        <v>375</v>
      </c>
      <c r="DM2" s="507" t="s">
        <v>376</v>
      </c>
      <c r="DN2" s="507" t="s">
        <v>63</v>
      </c>
    </row>
    <row r="3" hidden="1">
      <c r="A3" s="53">
        <v>1.0</v>
      </c>
      <c r="B3" s="508" t="s">
        <v>77</v>
      </c>
      <c r="C3" s="423"/>
      <c r="D3" s="509"/>
      <c r="E3" s="509"/>
      <c r="F3" s="58"/>
      <c r="G3" s="58"/>
      <c r="H3" s="509"/>
      <c r="I3" s="509"/>
      <c r="J3" s="509"/>
      <c r="K3" s="510"/>
      <c r="L3" s="58"/>
      <c r="M3" s="510"/>
      <c r="N3" s="509"/>
      <c r="O3" s="509"/>
      <c r="P3" s="511"/>
      <c r="Q3" s="512"/>
      <c r="R3" s="513"/>
      <c r="S3" s="514"/>
      <c r="T3" s="512"/>
      <c r="U3" s="513"/>
      <c r="V3" s="514"/>
      <c r="W3" s="512"/>
      <c r="X3" s="513"/>
      <c r="Y3" s="514"/>
      <c r="Z3" s="512"/>
      <c r="AA3" s="513"/>
      <c r="AB3" s="514"/>
      <c r="AC3" s="515"/>
      <c r="AD3" s="515"/>
      <c r="AE3" s="515"/>
      <c r="AF3" s="515"/>
      <c r="AG3" s="515"/>
      <c r="AH3" s="515"/>
      <c r="AI3" s="515"/>
      <c r="AJ3" s="515"/>
      <c r="AK3" s="515"/>
      <c r="AL3" s="515"/>
      <c r="AM3" s="515"/>
      <c r="AN3" s="515"/>
      <c r="AO3" s="515"/>
      <c r="AP3" s="515"/>
      <c r="AQ3" s="515"/>
      <c r="AR3" s="515"/>
      <c r="AS3" s="515"/>
      <c r="AT3" s="515"/>
      <c r="AU3" s="515"/>
      <c r="AV3" s="515"/>
      <c r="AW3" s="515"/>
      <c r="AX3" s="515"/>
      <c r="AY3" s="515"/>
      <c r="AZ3" s="515"/>
      <c r="BA3" s="515"/>
      <c r="BB3" s="515"/>
      <c r="BC3" s="515"/>
      <c r="BD3" s="515"/>
      <c r="BE3" s="515"/>
      <c r="BF3" s="515"/>
      <c r="BG3" s="515"/>
      <c r="BH3" s="515"/>
      <c r="BI3" s="515"/>
      <c r="BJ3" s="515"/>
      <c r="BK3" s="515"/>
      <c r="BL3" s="515"/>
      <c r="BM3" s="515"/>
      <c r="BN3" s="515"/>
      <c r="BO3" s="515"/>
      <c r="BP3" s="515"/>
      <c r="BQ3" s="515"/>
      <c r="BR3" s="515"/>
      <c r="BS3" s="515"/>
      <c r="BT3" s="515"/>
      <c r="BU3" s="515"/>
      <c r="BV3" s="515"/>
      <c r="BW3" s="515"/>
      <c r="BX3" s="515"/>
      <c r="BY3" s="515"/>
      <c r="BZ3" s="515"/>
      <c r="CA3" s="515"/>
      <c r="CB3" s="515"/>
      <c r="CC3" s="515"/>
      <c r="CD3" s="515"/>
      <c r="CE3" s="515"/>
      <c r="CF3" s="515"/>
      <c r="CG3" s="515"/>
      <c r="CH3" s="515"/>
      <c r="CI3" s="515"/>
      <c r="CJ3" s="515"/>
      <c r="CK3" s="515"/>
      <c r="CL3" s="515"/>
      <c r="CM3" s="515"/>
      <c r="CN3" s="515"/>
      <c r="CO3" s="515"/>
      <c r="CP3" s="515"/>
      <c r="CQ3" s="515"/>
      <c r="CR3" s="515"/>
      <c r="CS3" s="515"/>
      <c r="CT3" s="515"/>
      <c r="CU3" s="515"/>
      <c r="CV3" s="515"/>
      <c r="CW3" s="515"/>
      <c r="CX3" s="515"/>
      <c r="CY3" s="515"/>
      <c r="CZ3" s="515"/>
      <c r="DA3" s="515"/>
      <c r="DB3" s="515"/>
      <c r="DC3" s="515"/>
      <c r="DD3" s="515"/>
      <c r="DE3" s="515"/>
      <c r="DF3" s="515"/>
      <c r="DG3" s="515"/>
      <c r="DH3" s="515"/>
      <c r="DI3" s="515"/>
      <c r="DJ3" s="515"/>
      <c r="DK3" s="515"/>
      <c r="DL3" s="515"/>
      <c r="DM3" s="515"/>
      <c r="DN3" s="515"/>
    </row>
    <row r="4">
      <c r="A4" s="53">
        <v>6.0</v>
      </c>
      <c r="B4" s="100" t="s">
        <v>89</v>
      </c>
      <c r="C4" s="100" t="s">
        <v>90</v>
      </c>
      <c r="D4" s="64" t="str">
        <f t="shared" ref="D4:D20" si="1">MID(B4,17,4)</f>
        <v>DATA</v>
      </c>
      <c r="E4" s="516" t="s">
        <v>91</v>
      </c>
      <c r="F4" s="102">
        <v>1104.0</v>
      </c>
      <c r="G4" s="517" t="s">
        <v>92</v>
      </c>
      <c r="H4" s="517">
        <v>1127.0</v>
      </c>
      <c r="I4" s="68" t="str">
        <f>IFERROR(VLOOKUP(C:C,'R22 RELATÓRIO ACC'!B:F,5,FALSE),"NOT PUBLISHED")</f>
        <v>V12</v>
      </c>
      <c r="J4" s="68" t="str">
        <f>IFERROR(VLOOKUP(C:C,'R22 RELATÓRIO ACC'!B:P,15,FALSE),"NOT PUBLISHED")</f>
        <v>08/04/2026</v>
      </c>
      <c r="K4" s="70" t="str">
        <f>IFERROR(VLOOKUP(B:B,'RELATÓRIO ACC'!B:F,5,FALSE),"NOT PUBLISHED")</f>
        <v>V1</v>
      </c>
      <c r="L4" s="518" t="str">
        <f>IFERROR(VLOOKUP(B:B,'RELATÓRIO ACC'!B:P,15,FALSE),"NOT PUBLISHED")</f>
        <v>15/05/2026</v>
      </c>
      <c r="M4" s="519" t="s">
        <v>377</v>
      </c>
      <c r="N4" s="520">
        <v>46157.0</v>
      </c>
      <c r="O4" s="521" t="s">
        <v>378</v>
      </c>
      <c r="P4" s="522"/>
      <c r="Q4" s="523" t="s">
        <v>379</v>
      </c>
      <c r="R4" s="524">
        <v>0.0</v>
      </c>
      <c r="S4" s="523" t="s">
        <v>379</v>
      </c>
      <c r="T4" s="523" t="s">
        <v>379</v>
      </c>
      <c r="U4" s="524">
        <v>0.0</v>
      </c>
      <c r="V4" s="525" t="s">
        <v>379</v>
      </c>
      <c r="W4" s="523" t="s">
        <v>379</v>
      </c>
      <c r="X4" s="526" t="s">
        <v>380</v>
      </c>
      <c r="Y4" s="525" t="s">
        <v>379</v>
      </c>
      <c r="Z4" s="523" t="s">
        <v>379</v>
      </c>
      <c r="AA4" s="526">
        <v>0.0</v>
      </c>
      <c r="AB4" s="523" t="s">
        <v>379</v>
      </c>
      <c r="AC4" s="523" t="s">
        <v>379</v>
      </c>
      <c r="AD4" s="526">
        <v>0.0</v>
      </c>
      <c r="AE4" s="523" t="s">
        <v>379</v>
      </c>
      <c r="AF4" s="523" t="s">
        <v>381</v>
      </c>
      <c r="AG4" s="526" t="s">
        <v>382</v>
      </c>
      <c r="AH4" s="527">
        <v>0.86</v>
      </c>
      <c r="AI4" s="523" t="s">
        <v>379</v>
      </c>
      <c r="AJ4" s="526" t="s">
        <v>382</v>
      </c>
      <c r="AK4" s="523" t="s">
        <v>379</v>
      </c>
      <c r="AL4" s="528" t="s">
        <v>383</v>
      </c>
      <c r="AM4" s="528" t="s">
        <v>382</v>
      </c>
      <c r="AN4" s="528" t="s">
        <v>383</v>
      </c>
      <c r="AO4" s="528" t="s">
        <v>381</v>
      </c>
      <c r="AP4" s="528" t="s">
        <v>384</v>
      </c>
      <c r="AQ4" s="529">
        <v>0.9</v>
      </c>
      <c r="AR4" s="523" t="s">
        <v>379</v>
      </c>
      <c r="AS4" s="528" t="s">
        <v>384</v>
      </c>
      <c r="AT4" s="523" t="s">
        <v>379</v>
      </c>
      <c r="AU4" s="523" t="s">
        <v>379</v>
      </c>
      <c r="AV4" s="528" t="s">
        <v>385</v>
      </c>
      <c r="AW4" s="523" t="s">
        <v>379</v>
      </c>
      <c r="AX4" s="528" t="s">
        <v>379</v>
      </c>
      <c r="AY4" s="528" t="s">
        <v>385</v>
      </c>
      <c r="AZ4" s="528" t="s">
        <v>379</v>
      </c>
      <c r="BA4" s="528" t="s">
        <v>379</v>
      </c>
      <c r="BB4" s="528" t="s">
        <v>385</v>
      </c>
      <c r="BC4" s="528" t="s">
        <v>379</v>
      </c>
      <c r="BD4" s="528" t="s">
        <v>379</v>
      </c>
      <c r="BE4" s="528" t="s">
        <v>385</v>
      </c>
      <c r="BF4" s="528" t="s">
        <v>379</v>
      </c>
      <c r="BG4" s="528" t="s">
        <v>379</v>
      </c>
      <c r="BH4" s="528" t="s">
        <v>385</v>
      </c>
      <c r="BI4" s="528" t="s">
        <v>379</v>
      </c>
      <c r="BJ4" s="528" t="s">
        <v>379</v>
      </c>
      <c r="BK4" s="528" t="s">
        <v>385</v>
      </c>
      <c r="BL4" s="528" t="s">
        <v>379</v>
      </c>
      <c r="BM4" s="528" t="s">
        <v>379</v>
      </c>
      <c r="BN4" s="528" t="s">
        <v>385</v>
      </c>
      <c r="BO4" s="528" t="s">
        <v>379</v>
      </c>
      <c r="BP4" s="528" t="s">
        <v>379</v>
      </c>
      <c r="BQ4" s="528" t="s">
        <v>385</v>
      </c>
      <c r="BR4" s="528" t="s">
        <v>379</v>
      </c>
      <c r="BS4" s="528" t="s">
        <v>383</v>
      </c>
      <c r="BT4" s="528" t="s">
        <v>385</v>
      </c>
      <c r="BU4" s="528" t="s">
        <v>383</v>
      </c>
      <c r="BV4" s="528" t="s">
        <v>383</v>
      </c>
      <c r="BW4" s="528" t="s">
        <v>385</v>
      </c>
      <c r="BX4" s="528" t="s">
        <v>383</v>
      </c>
      <c r="BY4" s="528" t="s">
        <v>383</v>
      </c>
      <c r="BZ4" s="528" t="s">
        <v>385</v>
      </c>
      <c r="CA4" s="523" t="s">
        <v>383</v>
      </c>
      <c r="CB4" s="528" t="s">
        <v>383</v>
      </c>
      <c r="CC4" s="528" t="s">
        <v>385</v>
      </c>
      <c r="CD4" s="528" t="s">
        <v>383</v>
      </c>
      <c r="CE4" s="528" t="s">
        <v>383</v>
      </c>
      <c r="CF4" s="528" t="s">
        <v>385</v>
      </c>
      <c r="CG4" s="528" t="s">
        <v>383</v>
      </c>
      <c r="CH4" s="528" t="s">
        <v>383</v>
      </c>
      <c r="CI4" s="528" t="s">
        <v>385</v>
      </c>
      <c r="CJ4" s="528" t="s">
        <v>383</v>
      </c>
      <c r="CK4" s="528" t="s">
        <v>383</v>
      </c>
      <c r="CL4" s="528" t="s">
        <v>385</v>
      </c>
      <c r="CM4" s="528" t="s">
        <v>383</v>
      </c>
      <c r="CN4" s="528" t="s">
        <v>383</v>
      </c>
      <c r="CO4" s="528" t="s">
        <v>385</v>
      </c>
      <c r="CP4" s="528" t="s">
        <v>383</v>
      </c>
      <c r="CQ4" s="528" t="s">
        <v>383</v>
      </c>
      <c r="CR4" s="528" t="s">
        <v>385</v>
      </c>
      <c r="CS4" s="528" t="s">
        <v>383</v>
      </c>
      <c r="CT4" s="528" t="s">
        <v>383</v>
      </c>
      <c r="CU4" s="528" t="s">
        <v>385</v>
      </c>
      <c r="CV4" s="528" t="s">
        <v>383</v>
      </c>
      <c r="CW4" s="528" t="s">
        <v>383</v>
      </c>
      <c r="CX4" s="528" t="s">
        <v>385</v>
      </c>
      <c r="CY4" s="528" t="s">
        <v>383</v>
      </c>
      <c r="CZ4" s="530" t="s">
        <v>383</v>
      </c>
      <c r="DA4" s="528" t="s">
        <v>385</v>
      </c>
      <c r="DB4" s="530" t="s">
        <v>383</v>
      </c>
      <c r="DC4" s="531" t="s">
        <v>383</v>
      </c>
      <c r="DD4" s="528" t="s">
        <v>385</v>
      </c>
      <c r="DE4" s="531" t="s">
        <v>383</v>
      </c>
      <c r="DF4" s="531" t="s">
        <v>383</v>
      </c>
      <c r="DG4" s="528" t="s">
        <v>385</v>
      </c>
      <c r="DH4" s="531" t="s">
        <v>383</v>
      </c>
      <c r="DI4" s="531" t="s">
        <v>383</v>
      </c>
      <c r="DJ4" s="528" t="s">
        <v>385</v>
      </c>
      <c r="DK4" s="531" t="s">
        <v>383</v>
      </c>
      <c r="DL4" s="531" t="s">
        <v>386</v>
      </c>
      <c r="DM4" s="528" t="s">
        <v>377</v>
      </c>
      <c r="DN4" s="532">
        <v>1.0</v>
      </c>
    </row>
    <row r="5">
      <c r="A5" s="53">
        <v>56.0</v>
      </c>
      <c r="B5" s="533" t="s">
        <v>278</v>
      </c>
      <c r="C5" s="100" t="s">
        <v>279</v>
      </c>
      <c r="D5" s="101" t="str">
        <f t="shared" si="1"/>
        <v>DATA</v>
      </c>
      <c r="E5" s="111" t="s">
        <v>280</v>
      </c>
      <c r="F5" s="102">
        <v>1121.0</v>
      </c>
      <c r="G5" s="534" t="s">
        <v>280</v>
      </c>
      <c r="H5" s="535">
        <v>0.0</v>
      </c>
      <c r="I5" s="68" t="str">
        <f>IFERROR(VLOOKUP(C:C,'R22 RELATÓRIO ACC'!B:F,5,FALSE),"NOT PUBLISHED")</f>
        <v>V1</v>
      </c>
      <c r="J5" s="68" t="str">
        <f>IFERROR(VLOOKUP(C:C,'R22 RELATÓRIO ACC'!B:P,15,FALSE),"NOT PUBLISHED")</f>
        <v>05/05/2026</v>
      </c>
      <c r="K5" s="70" t="str">
        <f>IFERROR(VLOOKUP(B:B,'RELATÓRIO ACC'!B:F,5,FALSE),"NOT PUBLISHED")</f>
        <v>V3</v>
      </c>
      <c r="L5" s="518" t="str">
        <f>IFERROR(VLOOKUP(B:B,'RELATÓRIO ACC'!B:P,15,FALSE),"NOT PUBLISHED")</f>
        <v>20/06/2026</v>
      </c>
      <c r="M5" s="536" t="s">
        <v>387</v>
      </c>
      <c r="N5" s="537">
        <v>46168.0</v>
      </c>
      <c r="O5" s="538" t="s">
        <v>378</v>
      </c>
      <c r="P5" s="522"/>
      <c r="Q5" s="523" t="s">
        <v>388</v>
      </c>
      <c r="R5" s="524" t="s">
        <v>380</v>
      </c>
      <c r="S5" s="522" t="s">
        <v>388</v>
      </c>
      <c r="T5" s="523" t="s">
        <v>388</v>
      </c>
      <c r="U5" s="524" t="s">
        <v>380</v>
      </c>
      <c r="V5" s="523" t="s">
        <v>388</v>
      </c>
      <c r="W5" s="523" t="s">
        <v>388</v>
      </c>
      <c r="X5" s="526" t="s">
        <v>380</v>
      </c>
      <c r="Y5" s="523" t="s">
        <v>388</v>
      </c>
      <c r="Z5" s="523" t="s">
        <v>388</v>
      </c>
      <c r="AA5" s="524" t="s">
        <v>380</v>
      </c>
      <c r="AB5" s="523" t="s">
        <v>388</v>
      </c>
      <c r="AC5" s="523" t="s">
        <v>388</v>
      </c>
      <c r="AD5" s="524" t="s">
        <v>380</v>
      </c>
      <c r="AE5" s="523" t="s">
        <v>388</v>
      </c>
      <c r="AF5" s="523" t="s">
        <v>388</v>
      </c>
      <c r="AG5" s="524" t="s">
        <v>380</v>
      </c>
      <c r="AH5" s="539" t="s">
        <v>388</v>
      </c>
      <c r="AI5" s="523" t="s">
        <v>388</v>
      </c>
      <c r="AJ5" s="524" t="s">
        <v>380</v>
      </c>
      <c r="AK5" s="525" t="s">
        <v>388</v>
      </c>
      <c r="AL5" s="523" t="s">
        <v>388</v>
      </c>
      <c r="AM5" s="524" t="s">
        <v>380</v>
      </c>
      <c r="AN5" s="528" t="s">
        <v>388</v>
      </c>
      <c r="AO5" s="528" t="s">
        <v>388</v>
      </c>
      <c r="AP5" s="524" t="s">
        <v>380</v>
      </c>
      <c r="AQ5" s="528" t="s">
        <v>388</v>
      </c>
      <c r="AR5" s="528" t="s">
        <v>388</v>
      </c>
      <c r="AS5" s="524" t="s">
        <v>380</v>
      </c>
      <c r="AT5" s="528" t="s">
        <v>388</v>
      </c>
      <c r="AU5" s="528" t="s">
        <v>388</v>
      </c>
      <c r="AV5" s="524" t="s">
        <v>380</v>
      </c>
      <c r="AW5" s="528" t="s">
        <v>388</v>
      </c>
      <c r="AX5" s="528" t="s">
        <v>388</v>
      </c>
      <c r="AY5" s="524" t="s">
        <v>380</v>
      </c>
      <c r="AZ5" s="528" t="s">
        <v>388</v>
      </c>
      <c r="BA5" s="528" t="s">
        <v>388</v>
      </c>
      <c r="BB5" s="524" t="s">
        <v>380</v>
      </c>
      <c r="BC5" s="528" t="s">
        <v>388</v>
      </c>
      <c r="BD5" s="528" t="s">
        <v>388</v>
      </c>
      <c r="BE5" s="524" t="s">
        <v>380</v>
      </c>
      <c r="BF5" s="528" t="s">
        <v>388</v>
      </c>
      <c r="BG5" s="528" t="s">
        <v>388</v>
      </c>
      <c r="BH5" s="524" t="s">
        <v>380</v>
      </c>
      <c r="BI5" s="528" t="s">
        <v>388</v>
      </c>
      <c r="BJ5" s="528" t="s">
        <v>388</v>
      </c>
      <c r="BK5" s="524" t="s">
        <v>380</v>
      </c>
      <c r="BL5" s="528" t="s">
        <v>388</v>
      </c>
      <c r="BM5" s="528" t="s">
        <v>388</v>
      </c>
      <c r="BN5" s="524" t="s">
        <v>380</v>
      </c>
      <c r="BO5" s="528" t="s">
        <v>388</v>
      </c>
      <c r="BP5" s="528" t="s">
        <v>388</v>
      </c>
      <c r="BQ5" s="524" t="s">
        <v>380</v>
      </c>
      <c r="BR5" s="528" t="s">
        <v>388</v>
      </c>
      <c r="BS5" s="528" t="s">
        <v>388</v>
      </c>
      <c r="BT5" s="524" t="s">
        <v>380</v>
      </c>
      <c r="BU5" s="528" t="s">
        <v>388</v>
      </c>
      <c r="BV5" s="528" t="s">
        <v>388</v>
      </c>
      <c r="BW5" s="524" t="s">
        <v>380</v>
      </c>
      <c r="BX5" s="528" t="s">
        <v>388</v>
      </c>
      <c r="BY5" s="528" t="s">
        <v>388</v>
      </c>
      <c r="BZ5" s="524" t="s">
        <v>380</v>
      </c>
      <c r="CA5" s="528" t="s">
        <v>388</v>
      </c>
      <c r="CB5" s="528" t="s">
        <v>388</v>
      </c>
      <c r="CC5" s="524" t="s">
        <v>380</v>
      </c>
      <c r="CD5" s="528" t="s">
        <v>388</v>
      </c>
      <c r="CE5" s="528" t="s">
        <v>388</v>
      </c>
      <c r="CF5" s="524" t="s">
        <v>380</v>
      </c>
      <c r="CG5" s="528" t="s">
        <v>388</v>
      </c>
      <c r="CH5" s="528" t="s">
        <v>388</v>
      </c>
      <c r="CI5" s="524" t="s">
        <v>380</v>
      </c>
      <c r="CJ5" s="528" t="s">
        <v>388</v>
      </c>
      <c r="CK5" s="540" t="s">
        <v>380</v>
      </c>
      <c r="CL5" s="524" t="s">
        <v>380</v>
      </c>
      <c r="CM5" s="540" t="s">
        <v>380</v>
      </c>
      <c r="CN5" s="540" t="s">
        <v>380</v>
      </c>
      <c r="CO5" s="524" t="s">
        <v>380</v>
      </c>
      <c r="CP5" s="540" t="s">
        <v>380</v>
      </c>
      <c r="CQ5" s="540" t="s">
        <v>380</v>
      </c>
      <c r="CR5" s="524" t="s">
        <v>380</v>
      </c>
      <c r="CS5" s="540" t="s">
        <v>380</v>
      </c>
      <c r="CT5" s="531" t="s">
        <v>383</v>
      </c>
      <c r="CU5" s="541" t="s">
        <v>380</v>
      </c>
      <c r="CV5" s="542">
        <v>0.0</v>
      </c>
      <c r="CW5" s="531" t="s">
        <v>383</v>
      </c>
      <c r="CX5" s="541" t="s">
        <v>380</v>
      </c>
      <c r="CY5" s="543" t="s">
        <v>383</v>
      </c>
      <c r="CZ5" s="531" t="s">
        <v>381</v>
      </c>
      <c r="DA5" s="544" t="s">
        <v>387</v>
      </c>
      <c r="DB5" s="529">
        <v>0.01</v>
      </c>
      <c r="DC5" s="531" t="s">
        <v>383</v>
      </c>
      <c r="DD5" s="544" t="s">
        <v>387</v>
      </c>
      <c r="DE5" s="531" t="s">
        <v>383</v>
      </c>
      <c r="DF5" s="531" t="s">
        <v>383</v>
      </c>
      <c r="DG5" s="544" t="s">
        <v>387</v>
      </c>
      <c r="DH5" s="531" t="s">
        <v>383</v>
      </c>
      <c r="DI5" s="531" t="s">
        <v>383</v>
      </c>
      <c r="DJ5" s="544" t="s">
        <v>387</v>
      </c>
      <c r="DK5" s="531" t="s">
        <v>383</v>
      </c>
      <c r="DL5" s="531" t="s">
        <v>389</v>
      </c>
      <c r="DM5" s="544" t="s">
        <v>387</v>
      </c>
      <c r="DN5" s="531" t="s">
        <v>389</v>
      </c>
    </row>
    <row r="6" ht="15.0" customHeight="1">
      <c r="A6" s="53">
        <v>14.0</v>
      </c>
      <c r="B6" s="100" t="s">
        <v>128</v>
      </c>
      <c r="C6" s="100" t="s">
        <v>129</v>
      </c>
      <c r="D6" s="101" t="str">
        <f t="shared" si="1"/>
        <v>C345</v>
      </c>
      <c r="E6" s="101" t="s">
        <v>126</v>
      </c>
      <c r="F6" s="118">
        <v>1101.0</v>
      </c>
      <c r="G6" s="517" t="s">
        <v>127</v>
      </c>
      <c r="H6" s="517">
        <v>1126.0</v>
      </c>
      <c r="I6" s="68" t="str">
        <f>IFERROR(VLOOKUP(C:C,'R22 RELATÓRIO ACC'!B:F,5,FALSE),"NOT PUBLISHED")</f>
        <v>V14</v>
      </c>
      <c r="J6" s="68" t="str">
        <f>IFERROR(VLOOKUP(C:C,'R22 RELATÓRIO ACC'!B:P,15,FALSE),"NOT PUBLISHED")</f>
        <v>30/01/2026</v>
      </c>
      <c r="K6" s="70" t="str">
        <f>IFERROR(VLOOKUP(B:B,'RELATÓRIO ACC'!B:F,5,FALSE),"NOT PUBLISHED")</f>
        <v>V1</v>
      </c>
      <c r="L6" s="518" t="str">
        <f>IFERROR(VLOOKUP(B:B,'RELATÓRIO ACC'!B:P,15,FALSE),"NOT PUBLISHED")</f>
        <v>19/05/2026</v>
      </c>
      <c r="M6" s="519" t="s">
        <v>380</v>
      </c>
      <c r="N6" s="545" t="s">
        <v>380</v>
      </c>
      <c r="O6" s="538" t="s">
        <v>380</v>
      </c>
      <c r="P6" s="522"/>
      <c r="Q6" s="523" t="s">
        <v>380</v>
      </c>
      <c r="R6" s="526" t="s">
        <v>380</v>
      </c>
      <c r="S6" s="546" t="s">
        <v>380</v>
      </c>
      <c r="T6" s="523" t="s">
        <v>380</v>
      </c>
      <c r="U6" s="526" t="s">
        <v>380</v>
      </c>
      <c r="V6" s="546" t="s">
        <v>380</v>
      </c>
      <c r="W6" s="523" t="s">
        <v>380</v>
      </c>
      <c r="X6" s="526" t="s">
        <v>380</v>
      </c>
      <c r="Y6" s="546" t="s">
        <v>380</v>
      </c>
      <c r="Z6" s="523" t="s">
        <v>380</v>
      </c>
      <c r="AA6" s="526" t="s">
        <v>380</v>
      </c>
      <c r="AB6" s="523" t="s">
        <v>380</v>
      </c>
      <c r="AC6" s="523" t="s">
        <v>380</v>
      </c>
      <c r="AD6" s="526" t="s">
        <v>380</v>
      </c>
      <c r="AE6" s="523" t="s">
        <v>380</v>
      </c>
      <c r="AF6" s="523" t="s">
        <v>380</v>
      </c>
      <c r="AG6" s="526" t="s">
        <v>380</v>
      </c>
      <c r="AH6" s="539" t="s">
        <v>380</v>
      </c>
      <c r="AI6" s="523" t="s">
        <v>380</v>
      </c>
      <c r="AJ6" s="526" t="s">
        <v>380</v>
      </c>
      <c r="AK6" s="523" t="s">
        <v>380</v>
      </c>
      <c r="AL6" s="523" t="s">
        <v>380</v>
      </c>
      <c r="AM6" s="526" t="s">
        <v>380</v>
      </c>
      <c r="AN6" s="528" t="s">
        <v>380</v>
      </c>
      <c r="AO6" s="528" t="s">
        <v>380</v>
      </c>
      <c r="AP6" s="526" t="s">
        <v>380</v>
      </c>
      <c r="AQ6" s="528" t="s">
        <v>380</v>
      </c>
      <c r="AR6" s="528" t="s">
        <v>380</v>
      </c>
      <c r="AS6" s="526" t="s">
        <v>380</v>
      </c>
      <c r="AT6" s="528" t="s">
        <v>380</v>
      </c>
      <c r="AU6" s="528" t="s">
        <v>380</v>
      </c>
      <c r="AV6" s="526" t="s">
        <v>380</v>
      </c>
      <c r="AW6" s="528" t="s">
        <v>380</v>
      </c>
      <c r="AX6" s="528" t="s">
        <v>380</v>
      </c>
      <c r="AY6" s="526" t="s">
        <v>380</v>
      </c>
      <c r="AZ6" s="528" t="s">
        <v>380</v>
      </c>
      <c r="BA6" s="528" t="s">
        <v>380</v>
      </c>
      <c r="BB6" s="526" t="s">
        <v>380</v>
      </c>
      <c r="BC6" s="528" t="s">
        <v>380</v>
      </c>
      <c r="BD6" s="528" t="s">
        <v>380</v>
      </c>
      <c r="BE6" s="526" t="s">
        <v>380</v>
      </c>
      <c r="BF6" s="528" t="s">
        <v>380</v>
      </c>
      <c r="BG6" s="528" t="s">
        <v>380</v>
      </c>
      <c r="BH6" s="526" t="s">
        <v>380</v>
      </c>
      <c r="BI6" s="528" t="s">
        <v>380</v>
      </c>
      <c r="BJ6" s="528" t="s">
        <v>380</v>
      </c>
      <c r="BK6" s="526" t="s">
        <v>380</v>
      </c>
      <c r="BL6" s="528" t="s">
        <v>380</v>
      </c>
      <c r="BM6" s="528" t="s">
        <v>380</v>
      </c>
      <c r="BN6" s="526" t="s">
        <v>380</v>
      </c>
      <c r="BO6" s="528" t="s">
        <v>380</v>
      </c>
      <c r="BP6" s="528" t="s">
        <v>380</v>
      </c>
      <c r="BQ6" s="526" t="s">
        <v>380</v>
      </c>
      <c r="BR6" s="528" t="s">
        <v>380</v>
      </c>
      <c r="BS6" s="528" t="s">
        <v>380</v>
      </c>
      <c r="BT6" s="526" t="s">
        <v>380</v>
      </c>
      <c r="BU6" s="528" t="s">
        <v>380</v>
      </c>
      <c r="BV6" s="528" t="s">
        <v>380</v>
      </c>
      <c r="BW6" s="526" t="s">
        <v>380</v>
      </c>
      <c r="BX6" s="528" t="s">
        <v>380</v>
      </c>
      <c r="BY6" s="528" t="s">
        <v>380</v>
      </c>
      <c r="BZ6" s="526" t="s">
        <v>380</v>
      </c>
      <c r="CA6" s="528" t="s">
        <v>380</v>
      </c>
      <c r="CB6" s="528" t="s">
        <v>380</v>
      </c>
      <c r="CC6" s="526" t="s">
        <v>380</v>
      </c>
      <c r="CD6" s="528" t="s">
        <v>380</v>
      </c>
      <c r="CE6" s="528" t="s">
        <v>380</v>
      </c>
      <c r="CF6" s="526" t="s">
        <v>380</v>
      </c>
      <c r="CG6" s="528" t="s">
        <v>380</v>
      </c>
      <c r="CH6" s="528" t="s">
        <v>380</v>
      </c>
      <c r="CI6" s="526" t="s">
        <v>380</v>
      </c>
      <c r="CJ6" s="528" t="s">
        <v>380</v>
      </c>
      <c r="CK6" s="528" t="s">
        <v>380</v>
      </c>
      <c r="CL6" s="526" t="s">
        <v>380</v>
      </c>
      <c r="CM6" s="528" t="s">
        <v>380</v>
      </c>
      <c r="CN6" s="528" t="s">
        <v>380</v>
      </c>
      <c r="CO6" s="526" t="s">
        <v>380</v>
      </c>
      <c r="CP6" s="528" t="s">
        <v>380</v>
      </c>
      <c r="CQ6" s="528" t="s">
        <v>380</v>
      </c>
      <c r="CR6" s="526" t="s">
        <v>380</v>
      </c>
      <c r="CS6" s="528" t="s">
        <v>380</v>
      </c>
      <c r="CT6" s="528" t="s">
        <v>380</v>
      </c>
      <c r="CU6" s="526" t="s">
        <v>380</v>
      </c>
      <c r="CV6" s="528" t="s">
        <v>380</v>
      </c>
      <c r="CW6" s="528" t="s">
        <v>380</v>
      </c>
      <c r="CX6" s="526" t="s">
        <v>380</v>
      </c>
      <c r="CY6" s="528" t="s">
        <v>380</v>
      </c>
      <c r="CZ6" s="528" t="s">
        <v>380</v>
      </c>
      <c r="DA6" s="526" t="s">
        <v>380</v>
      </c>
      <c r="DB6" s="528" t="s">
        <v>380</v>
      </c>
      <c r="DC6" s="528" t="s">
        <v>380</v>
      </c>
      <c r="DD6" s="526" t="s">
        <v>380</v>
      </c>
      <c r="DE6" s="528" t="s">
        <v>380</v>
      </c>
      <c r="DF6" s="528" t="s">
        <v>380</v>
      </c>
      <c r="DG6" s="526" t="s">
        <v>380</v>
      </c>
      <c r="DH6" s="528" t="s">
        <v>380</v>
      </c>
      <c r="DI6" s="528" t="s">
        <v>380</v>
      </c>
      <c r="DJ6" s="526" t="s">
        <v>380</v>
      </c>
      <c r="DK6" s="528" t="s">
        <v>380</v>
      </c>
      <c r="DL6" s="528" t="s">
        <v>380</v>
      </c>
      <c r="DM6" s="526" t="s">
        <v>380</v>
      </c>
      <c r="DN6" s="528" t="s">
        <v>380</v>
      </c>
    </row>
    <row r="7" ht="15.0" customHeight="1">
      <c r="A7" s="53">
        <v>58.0</v>
      </c>
      <c r="B7" s="100" t="s">
        <v>290</v>
      </c>
      <c r="C7" s="100" t="s">
        <v>290</v>
      </c>
      <c r="D7" s="101" t="str">
        <f t="shared" si="1"/>
        <v>COL1</v>
      </c>
      <c r="E7" s="111" t="s">
        <v>289</v>
      </c>
      <c r="F7" s="101">
        <v>1125.0</v>
      </c>
      <c r="G7" s="101" t="s">
        <v>289</v>
      </c>
      <c r="H7" s="517">
        <v>1125.0</v>
      </c>
      <c r="I7" s="68" t="str">
        <f>IFERROR(VLOOKUP(C:C,'R22 RELATÓRIO ACC'!B:F,5,FALSE),"NOT PUBLISHED")</f>
        <v>V7</v>
      </c>
      <c r="J7" s="68" t="str">
        <f>IFERROR(VLOOKUP(C:C,'R22 RELATÓRIO ACC'!B:P,15,FALSE),"NOT PUBLISHED")</f>
        <v>07/11/2025</v>
      </c>
      <c r="K7" s="70" t="str">
        <f>IFERROR(VLOOKUP(B:B,'RELATÓRIO ACC'!B:F,5,FALSE),"NOT PUBLISHED")</f>
        <v>V1</v>
      </c>
      <c r="L7" s="518" t="str">
        <f>IFERROR(VLOOKUP(B:B,'RELATÓRIO ACC'!B:P,15,FALSE),"NOT PUBLISHED")</f>
        <v>21/05/2026</v>
      </c>
      <c r="M7" s="519" t="s">
        <v>380</v>
      </c>
      <c r="N7" s="545" t="s">
        <v>380</v>
      </c>
      <c r="O7" s="538" t="s">
        <v>380</v>
      </c>
      <c r="P7" s="522"/>
      <c r="Q7" s="523" t="s">
        <v>380</v>
      </c>
      <c r="R7" s="526" t="s">
        <v>380</v>
      </c>
      <c r="S7" s="546" t="s">
        <v>380</v>
      </c>
      <c r="T7" s="523" t="s">
        <v>380</v>
      </c>
      <c r="U7" s="526" t="s">
        <v>380</v>
      </c>
      <c r="V7" s="546" t="s">
        <v>380</v>
      </c>
      <c r="W7" s="523" t="s">
        <v>380</v>
      </c>
      <c r="X7" s="526" t="s">
        <v>380</v>
      </c>
      <c r="Y7" s="546" t="s">
        <v>380</v>
      </c>
      <c r="Z7" s="523" t="s">
        <v>380</v>
      </c>
      <c r="AA7" s="526" t="s">
        <v>380</v>
      </c>
      <c r="AB7" s="546" t="s">
        <v>380</v>
      </c>
      <c r="AC7" s="523" t="s">
        <v>380</v>
      </c>
      <c r="AD7" s="526" t="s">
        <v>380</v>
      </c>
      <c r="AE7" s="546" t="s">
        <v>380</v>
      </c>
      <c r="AF7" s="523" t="s">
        <v>380</v>
      </c>
      <c r="AG7" s="526" t="s">
        <v>380</v>
      </c>
      <c r="AH7" s="547" t="s">
        <v>380</v>
      </c>
      <c r="AI7" s="523" t="s">
        <v>380</v>
      </c>
      <c r="AJ7" s="526" t="s">
        <v>380</v>
      </c>
      <c r="AK7" s="546" t="s">
        <v>380</v>
      </c>
      <c r="AL7" s="523" t="s">
        <v>380</v>
      </c>
      <c r="AM7" s="526" t="s">
        <v>380</v>
      </c>
      <c r="AN7" s="548" t="s">
        <v>380</v>
      </c>
      <c r="AO7" s="528" t="s">
        <v>380</v>
      </c>
      <c r="AP7" s="526" t="s">
        <v>380</v>
      </c>
      <c r="AQ7" s="548" t="s">
        <v>380</v>
      </c>
      <c r="AR7" s="528" t="s">
        <v>380</v>
      </c>
      <c r="AS7" s="526" t="s">
        <v>380</v>
      </c>
      <c r="AT7" s="548" t="s">
        <v>380</v>
      </c>
      <c r="AU7" s="528" t="s">
        <v>380</v>
      </c>
      <c r="AV7" s="526" t="s">
        <v>380</v>
      </c>
      <c r="AW7" s="548" t="s">
        <v>380</v>
      </c>
      <c r="AX7" s="528" t="s">
        <v>380</v>
      </c>
      <c r="AY7" s="526" t="s">
        <v>380</v>
      </c>
      <c r="AZ7" s="548" t="s">
        <v>380</v>
      </c>
      <c r="BA7" s="528" t="s">
        <v>380</v>
      </c>
      <c r="BB7" s="526" t="s">
        <v>380</v>
      </c>
      <c r="BC7" s="548" t="s">
        <v>380</v>
      </c>
      <c r="BD7" s="528" t="s">
        <v>380</v>
      </c>
      <c r="BE7" s="526" t="s">
        <v>380</v>
      </c>
      <c r="BF7" s="548" t="s">
        <v>380</v>
      </c>
      <c r="BG7" s="528" t="s">
        <v>380</v>
      </c>
      <c r="BH7" s="526" t="s">
        <v>380</v>
      </c>
      <c r="BI7" s="548" t="s">
        <v>380</v>
      </c>
      <c r="BJ7" s="528" t="s">
        <v>380</v>
      </c>
      <c r="BK7" s="526" t="s">
        <v>380</v>
      </c>
      <c r="BL7" s="548" t="s">
        <v>380</v>
      </c>
      <c r="BM7" s="528" t="s">
        <v>380</v>
      </c>
      <c r="BN7" s="526" t="s">
        <v>380</v>
      </c>
      <c r="BO7" s="548" t="s">
        <v>380</v>
      </c>
      <c r="BP7" s="528" t="s">
        <v>380</v>
      </c>
      <c r="BQ7" s="526" t="s">
        <v>380</v>
      </c>
      <c r="BR7" s="548" t="s">
        <v>380</v>
      </c>
      <c r="BS7" s="528" t="s">
        <v>380</v>
      </c>
      <c r="BT7" s="526" t="s">
        <v>380</v>
      </c>
      <c r="BU7" s="548" t="s">
        <v>380</v>
      </c>
      <c r="BV7" s="528" t="s">
        <v>380</v>
      </c>
      <c r="BW7" s="526" t="s">
        <v>380</v>
      </c>
      <c r="BX7" s="548" t="s">
        <v>380</v>
      </c>
      <c r="BY7" s="528" t="s">
        <v>380</v>
      </c>
      <c r="BZ7" s="526" t="s">
        <v>380</v>
      </c>
      <c r="CA7" s="548" t="s">
        <v>380</v>
      </c>
      <c r="CB7" s="528" t="s">
        <v>380</v>
      </c>
      <c r="CC7" s="526" t="s">
        <v>380</v>
      </c>
      <c r="CD7" s="548" t="s">
        <v>380</v>
      </c>
      <c r="CE7" s="528" t="s">
        <v>380</v>
      </c>
      <c r="CF7" s="526" t="s">
        <v>380</v>
      </c>
      <c r="CG7" s="548" t="s">
        <v>380</v>
      </c>
      <c r="CH7" s="528" t="s">
        <v>380</v>
      </c>
      <c r="CI7" s="526" t="s">
        <v>380</v>
      </c>
      <c r="CJ7" s="548" t="s">
        <v>380</v>
      </c>
      <c r="CK7" s="528" t="s">
        <v>380</v>
      </c>
      <c r="CL7" s="526" t="s">
        <v>380</v>
      </c>
      <c r="CM7" s="548" t="s">
        <v>380</v>
      </c>
      <c r="CN7" s="528" t="s">
        <v>380</v>
      </c>
      <c r="CO7" s="526" t="s">
        <v>380</v>
      </c>
      <c r="CP7" s="548" t="s">
        <v>380</v>
      </c>
      <c r="CQ7" s="528" t="s">
        <v>380</v>
      </c>
      <c r="CR7" s="526" t="s">
        <v>380</v>
      </c>
      <c r="CS7" s="548" t="s">
        <v>380</v>
      </c>
      <c r="CT7" s="528" t="s">
        <v>380</v>
      </c>
      <c r="CU7" s="526" t="s">
        <v>380</v>
      </c>
      <c r="CV7" s="548" t="s">
        <v>380</v>
      </c>
      <c r="CW7" s="528" t="s">
        <v>380</v>
      </c>
      <c r="CX7" s="526" t="s">
        <v>380</v>
      </c>
      <c r="CY7" s="548" t="s">
        <v>380</v>
      </c>
      <c r="CZ7" s="528" t="s">
        <v>380</v>
      </c>
      <c r="DA7" s="526" t="s">
        <v>380</v>
      </c>
      <c r="DB7" s="548" t="s">
        <v>380</v>
      </c>
      <c r="DC7" s="528" t="s">
        <v>380</v>
      </c>
      <c r="DD7" s="526" t="s">
        <v>380</v>
      </c>
      <c r="DE7" s="548" t="s">
        <v>380</v>
      </c>
      <c r="DF7" s="528" t="s">
        <v>380</v>
      </c>
      <c r="DG7" s="526" t="s">
        <v>380</v>
      </c>
      <c r="DH7" s="548" t="s">
        <v>380</v>
      </c>
      <c r="DI7" s="528" t="s">
        <v>380</v>
      </c>
      <c r="DJ7" s="526" t="s">
        <v>380</v>
      </c>
      <c r="DK7" s="548" t="s">
        <v>380</v>
      </c>
      <c r="DL7" s="528" t="s">
        <v>380</v>
      </c>
      <c r="DM7" s="526" t="s">
        <v>380</v>
      </c>
      <c r="DN7" s="548" t="s">
        <v>380</v>
      </c>
    </row>
    <row r="8" ht="15.0" customHeight="1">
      <c r="A8" s="53">
        <v>59.0</v>
      </c>
      <c r="B8" s="100" t="s">
        <v>291</v>
      </c>
      <c r="C8" s="100" t="s">
        <v>291</v>
      </c>
      <c r="D8" s="101" t="str">
        <f t="shared" si="1"/>
        <v>COL2</v>
      </c>
      <c r="E8" s="111" t="s">
        <v>289</v>
      </c>
      <c r="F8" s="102">
        <v>1125.0</v>
      </c>
      <c r="G8" s="517" t="s">
        <v>289</v>
      </c>
      <c r="H8" s="517">
        <v>1125.0</v>
      </c>
      <c r="I8" s="68" t="str">
        <f>IFERROR(VLOOKUP(C:C,'R22 RELATÓRIO ACC'!B:F,5,FALSE),"NOT PUBLISHED")</f>
        <v>V6</v>
      </c>
      <c r="J8" s="68" t="str">
        <f>IFERROR(VLOOKUP(C:C,'R22 RELATÓRIO ACC'!B:P,15,FALSE),"NOT PUBLISHED")</f>
        <v>07/11/2025</v>
      </c>
      <c r="K8" s="70" t="str">
        <f>IFERROR(VLOOKUP(B:B,'RELATÓRIO ACC'!B:F,5,FALSE),"NOT PUBLISHED")</f>
        <v>V1</v>
      </c>
      <c r="L8" s="518" t="str">
        <f>IFERROR(VLOOKUP(B:B,'RELATÓRIO ACC'!B:P,15,FALSE),"NOT PUBLISHED")</f>
        <v>21/05/2026</v>
      </c>
      <c r="M8" s="519" t="s">
        <v>380</v>
      </c>
      <c r="N8" s="549" t="s">
        <v>380</v>
      </c>
      <c r="O8" s="538" t="s">
        <v>380</v>
      </c>
      <c r="P8" s="522"/>
      <c r="Q8" s="523" t="s">
        <v>380</v>
      </c>
      <c r="R8" s="550" t="s">
        <v>380</v>
      </c>
      <c r="S8" s="546" t="s">
        <v>380</v>
      </c>
      <c r="T8" s="523" t="s">
        <v>380</v>
      </c>
      <c r="U8" s="550" t="s">
        <v>380</v>
      </c>
      <c r="V8" s="551" t="s">
        <v>380</v>
      </c>
      <c r="W8" s="523" t="s">
        <v>380</v>
      </c>
      <c r="X8" s="526" t="s">
        <v>380</v>
      </c>
      <c r="Y8" s="551" t="s">
        <v>380</v>
      </c>
      <c r="Z8" s="523" t="s">
        <v>380</v>
      </c>
      <c r="AA8" s="526" t="s">
        <v>380</v>
      </c>
      <c r="AB8" s="546" t="s">
        <v>380</v>
      </c>
      <c r="AC8" s="523" t="s">
        <v>380</v>
      </c>
      <c r="AD8" s="526" t="s">
        <v>380</v>
      </c>
      <c r="AE8" s="546" t="s">
        <v>380</v>
      </c>
      <c r="AF8" s="523" t="s">
        <v>380</v>
      </c>
      <c r="AG8" s="526" t="s">
        <v>380</v>
      </c>
      <c r="AH8" s="547" t="s">
        <v>380</v>
      </c>
      <c r="AI8" s="523" t="s">
        <v>380</v>
      </c>
      <c r="AJ8" s="526" t="s">
        <v>380</v>
      </c>
      <c r="AK8" s="546" t="s">
        <v>380</v>
      </c>
      <c r="AL8" s="523" t="s">
        <v>380</v>
      </c>
      <c r="AM8" s="526" t="s">
        <v>380</v>
      </c>
      <c r="AN8" s="548" t="s">
        <v>380</v>
      </c>
      <c r="AO8" s="523" t="s">
        <v>380</v>
      </c>
      <c r="AP8" s="526" t="s">
        <v>380</v>
      </c>
      <c r="AQ8" s="546" t="s">
        <v>380</v>
      </c>
      <c r="AR8" s="523" t="s">
        <v>380</v>
      </c>
      <c r="AS8" s="526" t="s">
        <v>380</v>
      </c>
      <c r="AT8" s="546" t="s">
        <v>380</v>
      </c>
      <c r="AU8" s="523" t="s">
        <v>380</v>
      </c>
      <c r="AV8" s="526" t="s">
        <v>380</v>
      </c>
      <c r="AW8" s="546" t="s">
        <v>380</v>
      </c>
      <c r="AX8" s="523" t="s">
        <v>380</v>
      </c>
      <c r="AY8" s="526" t="s">
        <v>380</v>
      </c>
      <c r="AZ8" s="546" t="s">
        <v>380</v>
      </c>
      <c r="BA8" s="523" t="s">
        <v>380</v>
      </c>
      <c r="BB8" s="526" t="s">
        <v>380</v>
      </c>
      <c r="BC8" s="546" t="s">
        <v>380</v>
      </c>
      <c r="BD8" s="523" t="s">
        <v>380</v>
      </c>
      <c r="BE8" s="526" t="s">
        <v>380</v>
      </c>
      <c r="BF8" s="546" t="s">
        <v>380</v>
      </c>
      <c r="BG8" s="523" t="s">
        <v>380</v>
      </c>
      <c r="BH8" s="526" t="s">
        <v>380</v>
      </c>
      <c r="BI8" s="546" t="s">
        <v>380</v>
      </c>
      <c r="BJ8" s="523" t="s">
        <v>380</v>
      </c>
      <c r="BK8" s="526" t="s">
        <v>380</v>
      </c>
      <c r="BL8" s="546" t="s">
        <v>380</v>
      </c>
      <c r="BM8" s="523" t="s">
        <v>380</v>
      </c>
      <c r="BN8" s="526" t="s">
        <v>380</v>
      </c>
      <c r="BO8" s="546" t="s">
        <v>380</v>
      </c>
      <c r="BP8" s="523" t="s">
        <v>380</v>
      </c>
      <c r="BQ8" s="526" t="s">
        <v>380</v>
      </c>
      <c r="BR8" s="546" t="s">
        <v>380</v>
      </c>
      <c r="BS8" s="523" t="s">
        <v>380</v>
      </c>
      <c r="BT8" s="526" t="s">
        <v>380</v>
      </c>
      <c r="BU8" s="546" t="s">
        <v>380</v>
      </c>
      <c r="BV8" s="523" t="s">
        <v>380</v>
      </c>
      <c r="BW8" s="526" t="s">
        <v>380</v>
      </c>
      <c r="BX8" s="546" t="s">
        <v>380</v>
      </c>
      <c r="BY8" s="523" t="s">
        <v>380</v>
      </c>
      <c r="BZ8" s="526" t="s">
        <v>380</v>
      </c>
      <c r="CA8" s="546" t="s">
        <v>380</v>
      </c>
      <c r="CB8" s="523" t="s">
        <v>380</v>
      </c>
      <c r="CC8" s="526" t="s">
        <v>380</v>
      </c>
      <c r="CD8" s="546" t="s">
        <v>380</v>
      </c>
      <c r="CE8" s="523" t="s">
        <v>380</v>
      </c>
      <c r="CF8" s="526" t="s">
        <v>380</v>
      </c>
      <c r="CG8" s="546" t="s">
        <v>380</v>
      </c>
      <c r="CH8" s="523" t="s">
        <v>380</v>
      </c>
      <c r="CI8" s="526" t="s">
        <v>380</v>
      </c>
      <c r="CJ8" s="542" t="s">
        <v>380</v>
      </c>
      <c r="CK8" s="523" t="s">
        <v>380</v>
      </c>
      <c r="CL8" s="526" t="s">
        <v>380</v>
      </c>
      <c r="CM8" s="542" t="s">
        <v>380</v>
      </c>
      <c r="CN8" s="523" t="s">
        <v>380</v>
      </c>
      <c r="CO8" s="526" t="s">
        <v>380</v>
      </c>
      <c r="CP8" s="542" t="s">
        <v>380</v>
      </c>
      <c r="CQ8" s="523" t="s">
        <v>380</v>
      </c>
      <c r="CR8" s="526" t="s">
        <v>380</v>
      </c>
      <c r="CS8" s="542" t="s">
        <v>380</v>
      </c>
      <c r="CT8" s="523" t="s">
        <v>380</v>
      </c>
      <c r="CU8" s="526" t="s">
        <v>380</v>
      </c>
      <c r="CV8" s="542" t="s">
        <v>380</v>
      </c>
      <c r="CW8" s="523" t="s">
        <v>380</v>
      </c>
      <c r="CX8" s="526" t="s">
        <v>380</v>
      </c>
      <c r="CY8" s="542" t="s">
        <v>380</v>
      </c>
      <c r="CZ8" s="523" t="s">
        <v>380</v>
      </c>
      <c r="DA8" s="526" t="s">
        <v>380</v>
      </c>
      <c r="DB8" s="542" t="s">
        <v>380</v>
      </c>
      <c r="DC8" s="523" t="s">
        <v>380</v>
      </c>
      <c r="DD8" s="526" t="s">
        <v>380</v>
      </c>
      <c r="DE8" s="542" t="s">
        <v>380</v>
      </c>
      <c r="DF8" s="523" t="s">
        <v>380</v>
      </c>
      <c r="DG8" s="526" t="s">
        <v>380</v>
      </c>
      <c r="DH8" s="542" t="s">
        <v>380</v>
      </c>
      <c r="DI8" s="523" t="s">
        <v>380</v>
      </c>
      <c r="DJ8" s="526" t="s">
        <v>380</v>
      </c>
      <c r="DK8" s="542" t="s">
        <v>380</v>
      </c>
      <c r="DL8" s="523" t="s">
        <v>380</v>
      </c>
      <c r="DM8" s="526" t="s">
        <v>380</v>
      </c>
      <c r="DN8" s="542" t="s">
        <v>380</v>
      </c>
    </row>
    <row r="9" ht="15.0" customHeight="1">
      <c r="A9" s="53">
        <v>60.0</v>
      </c>
      <c r="B9" s="100" t="s">
        <v>292</v>
      </c>
      <c r="C9" s="100" t="s">
        <v>292</v>
      </c>
      <c r="D9" s="101" t="str">
        <f t="shared" si="1"/>
        <v>COL3</v>
      </c>
      <c r="E9" s="111" t="s">
        <v>289</v>
      </c>
      <c r="F9" s="102">
        <v>1125.0</v>
      </c>
      <c r="G9" s="517" t="s">
        <v>289</v>
      </c>
      <c r="H9" s="517">
        <v>1125.0</v>
      </c>
      <c r="I9" s="68" t="str">
        <f>IFERROR(VLOOKUP(C:C,'R22 RELATÓRIO ACC'!B:F,5,FALSE),"NOT PUBLISHED")</f>
        <v>V6</v>
      </c>
      <c r="J9" s="68" t="str">
        <f>IFERROR(VLOOKUP(C:C,'R22 RELATÓRIO ACC'!B:P,15,FALSE),"NOT PUBLISHED")</f>
        <v>07/11/2025</v>
      </c>
      <c r="K9" s="70" t="str">
        <f>IFERROR(VLOOKUP(B:B,'RELATÓRIO ACC'!B:F,5,FALSE),"NOT PUBLISHED")</f>
        <v>V1</v>
      </c>
      <c r="L9" s="518" t="str">
        <f>IFERROR(VLOOKUP(B:B,'RELATÓRIO ACC'!B:P,15,FALSE),"NOT PUBLISHED")</f>
        <v>21/05/2026</v>
      </c>
      <c r="M9" s="519" t="s">
        <v>380</v>
      </c>
      <c r="N9" s="549" t="s">
        <v>380</v>
      </c>
      <c r="O9" s="538" t="s">
        <v>380</v>
      </c>
      <c r="P9" s="522"/>
      <c r="Q9" s="523" t="s">
        <v>380</v>
      </c>
      <c r="R9" s="550" t="s">
        <v>380</v>
      </c>
      <c r="S9" s="546" t="s">
        <v>380</v>
      </c>
      <c r="T9" s="523" t="s">
        <v>380</v>
      </c>
      <c r="U9" s="550" t="s">
        <v>380</v>
      </c>
      <c r="V9" s="551" t="s">
        <v>380</v>
      </c>
      <c r="W9" s="523" t="s">
        <v>380</v>
      </c>
      <c r="X9" s="526" t="s">
        <v>380</v>
      </c>
      <c r="Y9" s="551" t="s">
        <v>380</v>
      </c>
      <c r="Z9" s="523" t="s">
        <v>380</v>
      </c>
      <c r="AA9" s="526" t="s">
        <v>380</v>
      </c>
      <c r="AB9" s="546" t="s">
        <v>380</v>
      </c>
      <c r="AC9" s="523" t="s">
        <v>380</v>
      </c>
      <c r="AD9" s="526" t="s">
        <v>380</v>
      </c>
      <c r="AE9" s="546" t="s">
        <v>380</v>
      </c>
      <c r="AF9" s="523" t="s">
        <v>380</v>
      </c>
      <c r="AG9" s="526" t="s">
        <v>380</v>
      </c>
      <c r="AH9" s="546" t="s">
        <v>380</v>
      </c>
      <c r="AI9" s="523" t="s">
        <v>380</v>
      </c>
      <c r="AJ9" s="526" t="s">
        <v>380</v>
      </c>
      <c r="AK9" s="523" t="s">
        <v>380</v>
      </c>
      <c r="AL9" s="523" t="s">
        <v>380</v>
      </c>
      <c r="AM9" s="526" t="s">
        <v>380</v>
      </c>
      <c r="AN9" s="523" t="s">
        <v>380</v>
      </c>
      <c r="AO9" s="523" t="s">
        <v>380</v>
      </c>
      <c r="AP9" s="526" t="s">
        <v>380</v>
      </c>
      <c r="AQ9" s="523" t="s">
        <v>380</v>
      </c>
      <c r="AR9" s="523" t="s">
        <v>380</v>
      </c>
      <c r="AS9" s="526" t="s">
        <v>380</v>
      </c>
      <c r="AT9" s="523" t="s">
        <v>380</v>
      </c>
      <c r="AU9" s="523" t="s">
        <v>380</v>
      </c>
      <c r="AV9" s="526" t="s">
        <v>380</v>
      </c>
      <c r="AW9" s="523" t="s">
        <v>380</v>
      </c>
      <c r="AX9" s="523" t="s">
        <v>380</v>
      </c>
      <c r="AY9" s="526" t="s">
        <v>380</v>
      </c>
      <c r="AZ9" s="523" t="s">
        <v>380</v>
      </c>
      <c r="BA9" s="523" t="s">
        <v>380</v>
      </c>
      <c r="BB9" s="526" t="s">
        <v>380</v>
      </c>
      <c r="BC9" s="528" t="s">
        <v>380</v>
      </c>
      <c r="BD9" s="523" t="s">
        <v>380</v>
      </c>
      <c r="BE9" s="526" t="s">
        <v>380</v>
      </c>
      <c r="BF9" s="528" t="s">
        <v>380</v>
      </c>
      <c r="BG9" s="523" t="s">
        <v>380</v>
      </c>
      <c r="BH9" s="526" t="s">
        <v>380</v>
      </c>
      <c r="BI9" s="528" t="s">
        <v>380</v>
      </c>
      <c r="BJ9" s="523" t="s">
        <v>380</v>
      </c>
      <c r="BK9" s="526" t="s">
        <v>380</v>
      </c>
      <c r="BL9" s="528" t="s">
        <v>380</v>
      </c>
      <c r="BM9" s="523" t="s">
        <v>380</v>
      </c>
      <c r="BN9" s="526" t="s">
        <v>380</v>
      </c>
      <c r="BO9" s="528" t="s">
        <v>380</v>
      </c>
      <c r="BP9" s="523" t="s">
        <v>380</v>
      </c>
      <c r="BQ9" s="526" t="s">
        <v>380</v>
      </c>
      <c r="BR9" s="528" t="s">
        <v>380</v>
      </c>
      <c r="BS9" s="523" t="s">
        <v>380</v>
      </c>
      <c r="BT9" s="526" t="s">
        <v>380</v>
      </c>
      <c r="BU9" s="528" t="s">
        <v>380</v>
      </c>
      <c r="BV9" s="523" t="s">
        <v>380</v>
      </c>
      <c r="BW9" s="526" t="s">
        <v>380</v>
      </c>
      <c r="BX9" s="523" t="s">
        <v>380</v>
      </c>
      <c r="BY9" s="528" t="s">
        <v>380</v>
      </c>
      <c r="BZ9" s="526" t="s">
        <v>380</v>
      </c>
      <c r="CA9" s="523" t="s">
        <v>380</v>
      </c>
      <c r="CB9" s="528" t="s">
        <v>380</v>
      </c>
      <c r="CC9" s="526" t="s">
        <v>380</v>
      </c>
      <c r="CD9" s="523" t="s">
        <v>380</v>
      </c>
      <c r="CE9" s="528" t="s">
        <v>380</v>
      </c>
      <c r="CF9" s="526" t="s">
        <v>380</v>
      </c>
      <c r="CG9" s="523" t="s">
        <v>380</v>
      </c>
      <c r="CH9" s="528" t="s">
        <v>380</v>
      </c>
      <c r="CI9" s="526" t="s">
        <v>380</v>
      </c>
      <c r="CJ9" s="523" t="s">
        <v>380</v>
      </c>
      <c r="CK9" s="528" t="s">
        <v>380</v>
      </c>
      <c r="CL9" s="526" t="s">
        <v>380</v>
      </c>
      <c r="CM9" s="523" t="s">
        <v>380</v>
      </c>
      <c r="CN9" s="528" t="s">
        <v>380</v>
      </c>
      <c r="CO9" s="526" t="s">
        <v>380</v>
      </c>
      <c r="CP9" s="523" t="s">
        <v>380</v>
      </c>
      <c r="CQ9" s="528" t="s">
        <v>380</v>
      </c>
      <c r="CR9" s="526" t="s">
        <v>380</v>
      </c>
      <c r="CS9" s="523" t="s">
        <v>380</v>
      </c>
      <c r="CT9" s="528" t="s">
        <v>380</v>
      </c>
      <c r="CU9" s="526" t="s">
        <v>380</v>
      </c>
      <c r="CV9" s="523" t="s">
        <v>380</v>
      </c>
      <c r="CW9" s="528" t="s">
        <v>380</v>
      </c>
      <c r="CX9" s="526" t="s">
        <v>380</v>
      </c>
      <c r="CY9" s="523" t="s">
        <v>380</v>
      </c>
      <c r="CZ9" s="528" t="s">
        <v>380</v>
      </c>
      <c r="DA9" s="526" t="s">
        <v>380</v>
      </c>
      <c r="DB9" s="523" t="s">
        <v>380</v>
      </c>
      <c r="DC9" s="528" t="s">
        <v>380</v>
      </c>
      <c r="DD9" s="526" t="s">
        <v>380</v>
      </c>
      <c r="DE9" s="523" t="s">
        <v>380</v>
      </c>
      <c r="DF9" s="528" t="s">
        <v>380</v>
      </c>
      <c r="DG9" s="526" t="s">
        <v>380</v>
      </c>
      <c r="DH9" s="523" t="s">
        <v>380</v>
      </c>
      <c r="DI9" s="528" t="s">
        <v>380</v>
      </c>
      <c r="DJ9" s="526" t="s">
        <v>380</v>
      </c>
      <c r="DK9" s="523" t="s">
        <v>380</v>
      </c>
      <c r="DL9" s="528" t="s">
        <v>380</v>
      </c>
      <c r="DM9" s="526" t="s">
        <v>380</v>
      </c>
      <c r="DN9" s="523" t="s">
        <v>380</v>
      </c>
    </row>
    <row r="10" ht="15.0" customHeight="1">
      <c r="A10" s="53">
        <v>61.0</v>
      </c>
      <c r="B10" s="100" t="s">
        <v>293</v>
      </c>
      <c r="C10" s="100" t="s">
        <v>293</v>
      </c>
      <c r="D10" s="101" t="str">
        <f t="shared" si="1"/>
        <v>COL4</v>
      </c>
      <c r="E10" s="111" t="s">
        <v>289</v>
      </c>
      <c r="F10" s="102">
        <v>1125.0</v>
      </c>
      <c r="G10" s="517" t="s">
        <v>289</v>
      </c>
      <c r="H10" s="517">
        <v>1125.0</v>
      </c>
      <c r="I10" s="68" t="str">
        <f>IFERROR(VLOOKUP(C:C,'R22 RELATÓRIO ACC'!B:F,5,FALSE),"NOT PUBLISHED")</f>
        <v>V7</v>
      </c>
      <c r="J10" s="68" t="str">
        <f>IFERROR(VLOOKUP(C:C,'R22 RELATÓRIO ACC'!B:P,15,FALSE),"NOT PUBLISHED")</f>
        <v>05/12/2025</v>
      </c>
      <c r="K10" s="70" t="str">
        <f>IFERROR(VLOOKUP(B:B,'RELATÓRIO ACC'!B:F,5,FALSE),"NOT PUBLISHED")</f>
        <v>V1</v>
      </c>
      <c r="L10" s="518" t="str">
        <f>IFERROR(VLOOKUP(B:B,'RELATÓRIO ACC'!B:P,15,FALSE),"NOT PUBLISHED")</f>
        <v>21/05/2026</v>
      </c>
      <c r="M10" s="519" t="s">
        <v>380</v>
      </c>
      <c r="N10" s="549" t="s">
        <v>380</v>
      </c>
      <c r="O10" s="538" t="s">
        <v>380</v>
      </c>
      <c r="P10" s="522"/>
      <c r="Q10" s="523" t="s">
        <v>380</v>
      </c>
      <c r="R10" s="550" t="s">
        <v>380</v>
      </c>
      <c r="S10" s="546" t="s">
        <v>380</v>
      </c>
      <c r="T10" s="523" t="s">
        <v>380</v>
      </c>
      <c r="U10" s="550" t="s">
        <v>380</v>
      </c>
      <c r="V10" s="551" t="s">
        <v>380</v>
      </c>
      <c r="W10" s="523" t="s">
        <v>380</v>
      </c>
      <c r="X10" s="526" t="s">
        <v>380</v>
      </c>
      <c r="Y10" s="551" t="s">
        <v>380</v>
      </c>
      <c r="Z10" s="523" t="s">
        <v>380</v>
      </c>
      <c r="AA10" s="526" t="s">
        <v>380</v>
      </c>
      <c r="AB10" s="546" t="s">
        <v>380</v>
      </c>
      <c r="AC10" s="523" t="s">
        <v>380</v>
      </c>
      <c r="AD10" s="526" t="s">
        <v>380</v>
      </c>
      <c r="AE10" s="546" t="s">
        <v>380</v>
      </c>
      <c r="AF10" s="523" t="s">
        <v>380</v>
      </c>
      <c r="AG10" s="526" t="s">
        <v>380</v>
      </c>
      <c r="AH10" s="546" t="s">
        <v>380</v>
      </c>
      <c r="AI10" s="523" t="s">
        <v>380</v>
      </c>
      <c r="AJ10" s="526" t="s">
        <v>380</v>
      </c>
      <c r="AK10" s="523" t="s">
        <v>380</v>
      </c>
      <c r="AL10" s="523" t="s">
        <v>380</v>
      </c>
      <c r="AM10" s="526" t="s">
        <v>380</v>
      </c>
      <c r="AN10" s="523" t="s">
        <v>380</v>
      </c>
      <c r="AO10" s="523" t="s">
        <v>380</v>
      </c>
      <c r="AP10" s="526" t="s">
        <v>380</v>
      </c>
      <c r="AQ10" s="523" t="s">
        <v>380</v>
      </c>
      <c r="AR10" s="523" t="s">
        <v>380</v>
      </c>
      <c r="AS10" s="526" t="s">
        <v>380</v>
      </c>
      <c r="AT10" s="523" t="s">
        <v>380</v>
      </c>
      <c r="AU10" s="523" t="s">
        <v>380</v>
      </c>
      <c r="AV10" s="526" t="s">
        <v>380</v>
      </c>
      <c r="AW10" s="523" t="s">
        <v>380</v>
      </c>
      <c r="AX10" s="523" t="s">
        <v>380</v>
      </c>
      <c r="AY10" s="526" t="s">
        <v>380</v>
      </c>
      <c r="AZ10" s="523" t="s">
        <v>380</v>
      </c>
      <c r="BA10" s="523" t="s">
        <v>380</v>
      </c>
      <c r="BB10" s="526" t="s">
        <v>380</v>
      </c>
      <c r="BC10" s="523" t="s">
        <v>380</v>
      </c>
      <c r="BD10" s="523" t="s">
        <v>380</v>
      </c>
      <c r="BE10" s="526" t="s">
        <v>380</v>
      </c>
      <c r="BF10" s="523" t="s">
        <v>380</v>
      </c>
      <c r="BG10" s="523" t="s">
        <v>380</v>
      </c>
      <c r="BH10" s="526" t="s">
        <v>380</v>
      </c>
      <c r="BI10" s="523" t="s">
        <v>380</v>
      </c>
      <c r="BJ10" s="523" t="s">
        <v>380</v>
      </c>
      <c r="BK10" s="526" t="s">
        <v>380</v>
      </c>
      <c r="BL10" s="523" t="s">
        <v>380</v>
      </c>
      <c r="BM10" s="523" t="s">
        <v>380</v>
      </c>
      <c r="BN10" s="526" t="s">
        <v>380</v>
      </c>
      <c r="BO10" s="523" t="s">
        <v>380</v>
      </c>
      <c r="BP10" s="523" t="s">
        <v>380</v>
      </c>
      <c r="BQ10" s="526" t="s">
        <v>380</v>
      </c>
      <c r="BR10" s="523" t="s">
        <v>380</v>
      </c>
      <c r="BS10" s="523" t="s">
        <v>380</v>
      </c>
      <c r="BT10" s="526" t="s">
        <v>380</v>
      </c>
      <c r="BU10" s="523" t="s">
        <v>380</v>
      </c>
      <c r="BV10" s="523" t="s">
        <v>380</v>
      </c>
      <c r="BW10" s="526" t="s">
        <v>380</v>
      </c>
      <c r="BX10" s="523" t="s">
        <v>380</v>
      </c>
      <c r="BY10" s="523" t="s">
        <v>380</v>
      </c>
      <c r="BZ10" s="526" t="s">
        <v>380</v>
      </c>
      <c r="CA10" s="523" t="s">
        <v>380</v>
      </c>
      <c r="CB10" s="528" t="s">
        <v>380</v>
      </c>
      <c r="CC10" s="526" t="s">
        <v>380</v>
      </c>
      <c r="CD10" s="528" t="s">
        <v>380</v>
      </c>
      <c r="CE10" s="528" t="s">
        <v>380</v>
      </c>
      <c r="CF10" s="526" t="s">
        <v>380</v>
      </c>
      <c r="CG10" s="528" t="s">
        <v>380</v>
      </c>
      <c r="CH10" s="528" t="s">
        <v>380</v>
      </c>
      <c r="CI10" s="526" t="s">
        <v>380</v>
      </c>
      <c r="CJ10" s="528" t="s">
        <v>380</v>
      </c>
      <c r="CK10" s="528" t="s">
        <v>380</v>
      </c>
      <c r="CL10" s="526" t="s">
        <v>380</v>
      </c>
      <c r="CM10" s="528" t="s">
        <v>380</v>
      </c>
      <c r="CN10" s="528" t="s">
        <v>380</v>
      </c>
      <c r="CO10" s="526" t="s">
        <v>380</v>
      </c>
      <c r="CP10" s="528" t="s">
        <v>380</v>
      </c>
      <c r="CQ10" s="528" t="s">
        <v>380</v>
      </c>
      <c r="CR10" s="526" t="s">
        <v>380</v>
      </c>
      <c r="CS10" s="528" t="s">
        <v>380</v>
      </c>
      <c r="CT10" s="528" t="s">
        <v>380</v>
      </c>
      <c r="CU10" s="526" t="s">
        <v>380</v>
      </c>
      <c r="CV10" s="528" t="s">
        <v>380</v>
      </c>
      <c r="CW10" s="528" t="s">
        <v>380</v>
      </c>
      <c r="CX10" s="526" t="s">
        <v>380</v>
      </c>
      <c r="CY10" s="528" t="s">
        <v>380</v>
      </c>
      <c r="CZ10" s="528" t="s">
        <v>380</v>
      </c>
      <c r="DA10" s="526" t="s">
        <v>380</v>
      </c>
      <c r="DB10" s="528" t="s">
        <v>380</v>
      </c>
      <c r="DC10" s="528" t="s">
        <v>380</v>
      </c>
      <c r="DD10" s="526" t="s">
        <v>380</v>
      </c>
      <c r="DE10" s="528" t="s">
        <v>380</v>
      </c>
      <c r="DF10" s="528" t="s">
        <v>380</v>
      </c>
      <c r="DG10" s="526" t="s">
        <v>380</v>
      </c>
      <c r="DH10" s="528" t="s">
        <v>380</v>
      </c>
      <c r="DI10" s="528" t="s">
        <v>380</v>
      </c>
      <c r="DJ10" s="526" t="s">
        <v>380</v>
      </c>
      <c r="DK10" s="528" t="s">
        <v>380</v>
      </c>
      <c r="DL10" s="528" t="s">
        <v>380</v>
      </c>
      <c r="DM10" s="526" t="s">
        <v>380</v>
      </c>
      <c r="DN10" s="528" t="s">
        <v>380</v>
      </c>
    </row>
    <row r="11" ht="15.0" customHeight="1">
      <c r="A11" s="53">
        <v>62.0</v>
      </c>
      <c r="B11" s="100" t="s">
        <v>294</v>
      </c>
      <c r="C11" s="100" t="s">
        <v>294</v>
      </c>
      <c r="D11" s="101" t="str">
        <f t="shared" si="1"/>
        <v>COL5</v>
      </c>
      <c r="E11" s="111" t="s">
        <v>289</v>
      </c>
      <c r="F11" s="102">
        <v>1125.0</v>
      </c>
      <c r="G11" s="517" t="s">
        <v>289</v>
      </c>
      <c r="H11" s="517">
        <v>1125.0</v>
      </c>
      <c r="I11" s="68" t="str">
        <f>IFERROR(VLOOKUP(C:C,'R22 RELATÓRIO ACC'!B:F,5,FALSE),"NOT PUBLISHED")</f>
        <v>V6</v>
      </c>
      <c r="J11" s="68" t="str">
        <f>IFERROR(VLOOKUP(C:C,'R22 RELATÓRIO ACC'!B:P,15,FALSE),"NOT PUBLISHED")</f>
        <v>07/11/2025</v>
      </c>
      <c r="K11" s="70" t="str">
        <f>IFERROR(VLOOKUP(B:B,'RELATÓRIO ACC'!B:F,5,FALSE),"NOT PUBLISHED")</f>
        <v>V1</v>
      </c>
      <c r="L11" s="518" t="str">
        <f>IFERROR(VLOOKUP(B:B,'RELATÓRIO ACC'!B:P,15,FALSE),"NOT PUBLISHED")</f>
        <v>21/05/2026</v>
      </c>
      <c r="M11" s="519" t="s">
        <v>380</v>
      </c>
      <c r="N11" s="70" t="s">
        <v>380</v>
      </c>
      <c r="O11" s="538" t="s">
        <v>380</v>
      </c>
      <c r="P11" s="522"/>
      <c r="Q11" s="523" t="s">
        <v>380</v>
      </c>
      <c r="R11" s="550" t="s">
        <v>380</v>
      </c>
      <c r="S11" s="546" t="s">
        <v>380</v>
      </c>
      <c r="T11" s="523" t="s">
        <v>380</v>
      </c>
      <c r="U11" s="550" t="s">
        <v>380</v>
      </c>
      <c r="V11" s="546" t="s">
        <v>380</v>
      </c>
      <c r="W11" s="523" t="s">
        <v>380</v>
      </c>
      <c r="X11" s="526" t="s">
        <v>380</v>
      </c>
      <c r="Y11" s="546" t="s">
        <v>380</v>
      </c>
      <c r="Z11" s="523" t="s">
        <v>380</v>
      </c>
      <c r="AA11" s="550" t="s">
        <v>380</v>
      </c>
      <c r="AB11" s="546" t="s">
        <v>380</v>
      </c>
      <c r="AC11" s="523" t="s">
        <v>380</v>
      </c>
      <c r="AD11" s="550" t="s">
        <v>380</v>
      </c>
      <c r="AE11" s="546" t="s">
        <v>380</v>
      </c>
      <c r="AF11" s="523" t="s">
        <v>380</v>
      </c>
      <c r="AG11" s="550" t="s">
        <v>380</v>
      </c>
      <c r="AH11" s="547" t="s">
        <v>380</v>
      </c>
      <c r="AI11" s="523" t="s">
        <v>380</v>
      </c>
      <c r="AJ11" s="550" t="s">
        <v>380</v>
      </c>
      <c r="AK11" s="523" t="s">
        <v>380</v>
      </c>
      <c r="AL11" s="523" t="s">
        <v>380</v>
      </c>
      <c r="AM11" s="550" t="s">
        <v>380</v>
      </c>
      <c r="AN11" s="523" t="s">
        <v>380</v>
      </c>
      <c r="AO11" s="523" t="s">
        <v>380</v>
      </c>
      <c r="AP11" s="550" t="s">
        <v>380</v>
      </c>
      <c r="AQ11" s="523" t="s">
        <v>380</v>
      </c>
      <c r="AR11" s="523" t="s">
        <v>380</v>
      </c>
      <c r="AS11" s="550" t="s">
        <v>380</v>
      </c>
      <c r="AT11" s="523" t="s">
        <v>380</v>
      </c>
      <c r="AU11" s="523" t="s">
        <v>380</v>
      </c>
      <c r="AV11" s="550" t="s">
        <v>380</v>
      </c>
      <c r="AW11" s="523" t="s">
        <v>380</v>
      </c>
      <c r="AX11" s="523" t="s">
        <v>380</v>
      </c>
      <c r="AY11" s="550" t="s">
        <v>380</v>
      </c>
      <c r="AZ11" s="523" t="s">
        <v>380</v>
      </c>
      <c r="BA11" s="523" t="s">
        <v>380</v>
      </c>
      <c r="BB11" s="550" t="s">
        <v>380</v>
      </c>
      <c r="BC11" s="523" t="s">
        <v>380</v>
      </c>
      <c r="BD11" s="523" t="s">
        <v>380</v>
      </c>
      <c r="BE11" s="550" t="s">
        <v>380</v>
      </c>
      <c r="BF11" s="523" t="s">
        <v>380</v>
      </c>
      <c r="BG11" s="523" t="s">
        <v>380</v>
      </c>
      <c r="BH11" s="550" t="s">
        <v>380</v>
      </c>
      <c r="BI11" s="523" t="s">
        <v>380</v>
      </c>
      <c r="BJ11" s="523" t="s">
        <v>380</v>
      </c>
      <c r="BK11" s="550" t="s">
        <v>380</v>
      </c>
      <c r="BL11" s="523" t="s">
        <v>380</v>
      </c>
      <c r="BM11" s="523" t="s">
        <v>380</v>
      </c>
      <c r="BN11" s="550" t="s">
        <v>380</v>
      </c>
      <c r="BO11" s="523" t="s">
        <v>380</v>
      </c>
      <c r="BP11" s="523" t="s">
        <v>380</v>
      </c>
      <c r="BQ11" s="550" t="s">
        <v>380</v>
      </c>
      <c r="BR11" s="523" t="s">
        <v>380</v>
      </c>
      <c r="BS11" s="523" t="s">
        <v>380</v>
      </c>
      <c r="BT11" s="550" t="s">
        <v>380</v>
      </c>
      <c r="BU11" s="523" t="s">
        <v>380</v>
      </c>
      <c r="BV11" s="523" t="s">
        <v>380</v>
      </c>
      <c r="BW11" s="550" t="s">
        <v>380</v>
      </c>
      <c r="BX11" s="523" t="s">
        <v>380</v>
      </c>
      <c r="BY11" s="523" t="s">
        <v>380</v>
      </c>
      <c r="BZ11" s="550" t="s">
        <v>380</v>
      </c>
      <c r="CA11" s="523" t="s">
        <v>380</v>
      </c>
      <c r="CB11" s="523" t="s">
        <v>380</v>
      </c>
      <c r="CC11" s="550" t="s">
        <v>380</v>
      </c>
      <c r="CD11" s="523" t="s">
        <v>380</v>
      </c>
      <c r="CE11" s="523" t="s">
        <v>380</v>
      </c>
      <c r="CF11" s="550" t="s">
        <v>380</v>
      </c>
      <c r="CG11" s="523" t="s">
        <v>380</v>
      </c>
      <c r="CH11" s="523" t="s">
        <v>380</v>
      </c>
      <c r="CI11" s="550" t="s">
        <v>380</v>
      </c>
      <c r="CJ11" s="523" t="s">
        <v>380</v>
      </c>
      <c r="CK11" s="523" t="s">
        <v>380</v>
      </c>
      <c r="CL11" s="550" t="s">
        <v>380</v>
      </c>
      <c r="CM11" s="523" t="s">
        <v>380</v>
      </c>
      <c r="CN11" s="523" t="s">
        <v>380</v>
      </c>
      <c r="CO11" s="550" t="s">
        <v>380</v>
      </c>
      <c r="CP11" s="523" t="s">
        <v>380</v>
      </c>
      <c r="CQ11" s="523" t="s">
        <v>380</v>
      </c>
      <c r="CR11" s="550" t="s">
        <v>380</v>
      </c>
      <c r="CS11" s="523" t="s">
        <v>380</v>
      </c>
      <c r="CT11" s="523" t="s">
        <v>380</v>
      </c>
      <c r="CU11" s="550" t="s">
        <v>380</v>
      </c>
      <c r="CV11" s="523" t="s">
        <v>380</v>
      </c>
      <c r="CW11" s="523" t="s">
        <v>380</v>
      </c>
      <c r="CX11" s="550" t="s">
        <v>380</v>
      </c>
      <c r="CY11" s="523" t="s">
        <v>380</v>
      </c>
      <c r="CZ11" s="528" t="s">
        <v>380</v>
      </c>
      <c r="DA11" s="550" t="s">
        <v>380</v>
      </c>
      <c r="DB11" s="528" t="s">
        <v>380</v>
      </c>
      <c r="DC11" s="528" t="s">
        <v>380</v>
      </c>
      <c r="DD11" s="550" t="s">
        <v>380</v>
      </c>
      <c r="DE11" s="528" t="s">
        <v>380</v>
      </c>
      <c r="DF11" s="528" t="s">
        <v>380</v>
      </c>
      <c r="DG11" s="550" t="s">
        <v>380</v>
      </c>
      <c r="DH11" s="528" t="s">
        <v>380</v>
      </c>
      <c r="DI11" s="528" t="s">
        <v>380</v>
      </c>
      <c r="DJ11" s="550" t="s">
        <v>380</v>
      </c>
      <c r="DK11" s="528" t="s">
        <v>380</v>
      </c>
      <c r="DL11" s="528" t="s">
        <v>380</v>
      </c>
      <c r="DM11" s="550" t="s">
        <v>380</v>
      </c>
      <c r="DN11" s="528" t="s">
        <v>380</v>
      </c>
    </row>
    <row r="12" ht="15.0" customHeight="1">
      <c r="A12" s="53">
        <v>3.0</v>
      </c>
      <c r="B12" s="100" t="s">
        <v>390</v>
      </c>
      <c r="C12" s="100" t="s">
        <v>391</v>
      </c>
      <c r="D12" s="101" t="str">
        <f t="shared" si="1"/>
        <v>DATA</v>
      </c>
      <c r="E12" s="552" t="s">
        <v>392</v>
      </c>
      <c r="F12" s="118">
        <v>1111.0</v>
      </c>
      <c r="G12" s="517" t="s">
        <v>80</v>
      </c>
      <c r="H12" s="517">
        <v>1130.0</v>
      </c>
      <c r="I12" s="68" t="str">
        <f>IFERROR(VLOOKUP(C:C,'R22 RELATÓRIO ACC'!B:F,5,FALSE),"NOT PUBLISHED")</f>
        <v>NOT PUBLISHED</v>
      </c>
      <c r="J12" s="68" t="str">
        <f>IFERROR(VLOOKUP(C:C,'R22 RELATÓRIO ACC'!B:P,15,FALSE),"NOT PUBLISHED")</f>
        <v>NOT PUBLISHED</v>
      </c>
      <c r="K12" s="70" t="str">
        <f>IFERROR(VLOOKUP(B:B,'RELATÓRIO ACC'!B:F,5,FALSE),"NOT PUBLISHED")</f>
        <v>NOT PUBLISHED</v>
      </c>
      <c r="L12" s="518" t="str">
        <f>IFERROR(VLOOKUP(B:B,'RELATÓRIO ACC'!B:P,15,FALSE),"NOT PUBLISHED")</f>
        <v>NOT PUBLISHED</v>
      </c>
      <c r="M12" s="519" t="s">
        <v>388</v>
      </c>
      <c r="N12" s="519" t="s">
        <v>388</v>
      </c>
      <c r="O12" s="538" t="s">
        <v>388</v>
      </c>
      <c r="P12" s="522"/>
      <c r="Q12" s="522" t="s">
        <v>388</v>
      </c>
      <c r="R12" s="553" t="s">
        <v>380</v>
      </c>
      <c r="S12" s="522" t="s">
        <v>388</v>
      </c>
      <c r="T12" s="522" t="s">
        <v>388</v>
      </c>
      <c r="U12" s="553" t="s">
        <v>380</v>
      </c>
      <c r="V12" s="522" t="s">
        <v>388</v>
      </c>
      <c r="W12" s="522" t="s">
        <v>388</v>
      </c>
      <c r="X12" s="526" t="s">
        <v>380</v>
      </c>
      <c r="Y12" s="522" t="s">
        <v>388</v>
      </c>
      <c r="Z12" s="522" t="s">
        <v>388</v>
      </c>
      <c r="AA12" s="553" t="s">
        <v>380</v>
      </c>
      <c r="AB12" s="522" t="s">
        <v>388</v>
      </c>
      <c r="AC12" s="522" t="s">
        <v>388</v>
      </c>
      <c r="AD12" s="553" t="s">
        <v>380</v>
      </c>
      <c r="AE12" s="522" t="s">
        <v>388</v>
      </c>
      <c r="AF12" s="522" t="s">
        <v>388</v>
      </c>
      <c r="AG12" s="553" t="s">
        <v>380</v>
      </c>
      <c r="AH12" s="554" t="s">
        <v>388</v>
      </c>
      <c r="AI12" s="522" t="s">
        <v>388</v>
      </c>
      <c r="AJ12" s="553" t="s">
        <v>380</v>
      </c>
      <c r="AK12" s="555" t="s">
        <v>388</v>
      </c>
      <c r="AL12" s="522" t="s">
        <v>388</v>
      </c>
      <c r="AM12" s="553" t="s">
        <v>380</v>
      </c>
      <c r="AN12" s="555" t="s">
        <v>388</v>
      </c>
      <c r="AO12" s="522" t="s">
        <v>388</v>
      </c>
      <c r="AP12" s="553" t="s">
        <v>380</v>
      </c>
      <c r="AQ12" s="555" t="s">
        <v>388</v>
      </c>
      <c r="AR12" s="522" t="s">
        <v>388</v>
      </c>
      <c r="AS12" s="553" t="s">
        <v>380</v>
      </c>
      <c r="AT12" s="555" t="s">
        <v>388</v>
      </c>
      <c r="AU12" s="522" t="s">
        <v>388</v>
      </c>
      <c r="AV12" s="553" t="s">
        <v>380</v>
      </c>
      <c r="AW12" s="555" t="s">
        <v>388</v>
      </c>
      <c r="AX12" s="522" t="s">
        <v>388</v>
      </c>
      <c r="AY12" s="553" t="s">
        <v>380</v>
      </c>
      <c r="AZ12" s="555" t="s">
        <v>388</v>
      </c>
      <c r="BA12" s="522" t="s">
        <v>388</v>
      </c>
      <c r="BB12" s="553" t="s">
        <v>380</v>
      </c>
      <c r="BC12" s="555" t="s">
        <v>388</v>
      </c>
      <c r="BD12" s="522" t="s">
        <v>388</v>
      </c>
      <c r="BE12" s="553" t="s">
        <v>380</v>
      </c>
      <c r="BF12" s="555" t="s">
        <v>388</v>
      </c>
      <c r="BG12" s="522" t="s">
        <v>388</v>
      </c>
      <c r="BH12" s="553" t="s">
        <v>380</v>
      </c>
      <c r="BI12" s="555" t="s">
        <v>388</v>
      </c>
      <c r="BJ12" s="522" t="s">
        <v>388</v>
      </c>
      <c r="BK12" s="553" t="s">
        <v>380</v>
      </c>
      <c r="BL12" s="555" t="s">
        <v>388</v>
      </c>
      <c r="BM12" s="522" t="s">
        <v>388</v>
      </c>
      <c r="BN12" s="553" t="s">
        <v>380</v>
      </c>
      <c r="BO12" s="555" t="s">
        <v>388</v>
      </c>
      <c r="BP12" s="522" t="s">
        <v>388</v>
      </c>
      <c r="BQ12" s="553" t="s">
        <v>380</v>
      </c>
      <c r="BR12" s="555" t="s">
        <v>388</v>
      </c>
      <c r="BS12" s="522" t="s">
        <v>388</v>
      </c>
      <c r="BT12" s="553" t="s">
        <v>380</v>
      </c>
      <c r="BU12" s="555" t="s">
        <v>388</v>
      </c>
      <c r="BV12" s="556" t="s">
        <v>388</v>
      </c>
      <c r="BW12" s="553" t="s">
        <v>380</v>
      </c>
      <c r="BX12" s="556" t="s">
        <v>388</v>
      </c>
      <c r="BY12" s="556" t="s">
        <v>388</v>
      </c>
      <c r="BZ12" s="553" t="s">
        <v>380</v>
      </c>
      <c r="CA12" s="556" t="s">
        <v>388</v>
      </c>
      <c r="CB12" s="556" t="s">
        <v>388</v>
      </c>
      <c r="CC12" s="553" t="s">
        <v>380</v>
      </c>
      <c r="CD12" s="556" t="s">
        <v>388</v>
      </c>
      <c r="CE12" s="556" t="s">
        <v>388</v>
      </c>
      <c r="CF12" s="553" t="s">
        <v>380</v>
      </c>
      <c r="CG12" s="556" t="s">
        <v>388</v>
      </c>
      <c r="CH12" s="556" t="s">
        <v>388</v>
      </c>
      <c r="CI12" s="553" t="s">
        <v>380</v>
      </c>
      <c r="CJ12" s="556" t="s">
        <v>388</v>
      </c>
      <c r="CK12" s="556" t="s">
        <v>388</v>
      </c>
      <c r="CL12" s="553" t="s">
        <v>380</v>
      </c>
      <c r="CM12" s="556" t="s">
        <v>388</v>
      </c>
      <c r="CN12" s="556" t="s">
        <v>388</v>
      </c>
      <c r="CO12" s="553" t="s">
        <v>380</v>
      </c>
      <c r="CP12" s="556" t="s">
        <v>388</v>
      </c>
      <c r="CQ12" s="556" t="s">
        <v>388</v>
      </c>
      <c r="CR12" s="553" t="s">
        <v>380</v>
      </c>
      <c r="CS12" s="556" t="s">
        <v>388</v>
      </c>
      <c r="CT12" s="556" t="s">
        <v>388</v>
      </c>
      <c r="CU12" s="553" t="s">
        <v>380</v>
      </c>
      <c r="CV12" s="556" t="s">
        <v>388</v>
      </c>
      <c r="CW12" s="556" t="s">
        <v>388</v>
      </c>
      <c r="CX12" s="553" t="s">
        <v>380</v>
      </c>
      <c r="CY12" s="522" t="s">
        <v>388</v>
      </c>
      <c r="CZ12" s="556" t="s">
        <v>388</v>
      </c>
      <c r="DA12" s="553" t="s">
        <v>380</v>
      </c>
      <c r="DB12" s="556" t="s">
        <v>388</v>
      </c>
      <c r="DC12" s="556" t="s">
        <v>388</v>
      </c>
      <c r="DD12" s="553" t="s">
        <v>380</v>
      </c>
      <c r="DE12" s="556" t="s">
        <v>388</v>
      </c>
      <c r="DF12" s="556" t="s">
        <v>388</v>
      </c>
      <c r="DG12" s="553" t="s">
        <v>380</v>
      </c>
      <c r="DH12" s="556" t="s">
        <v>388</v>
      </c>
      <c r="DI12" s="556" t="s">
        <v>388</v>
      </c>
      <c r="DJ12" s="553" t="s">
        <v>380</v>
      </c>
      <c r="DK12" s="556" t="s">
        <v>388</v>
      </c>
      <c r="DL12" s="556" t="s">
        <v>388</v>
      </c>
      <c r="DM12" s="553" t="s">
        <v>380</v>
      </c>
      <c r="DN12" s="556" t="s">
        <v>388</v>
      </c>
    </row>
    <row r="13" ht="15.0" customHeight="1">
      <c r="A13" s="53">
        <v>4.0</v>
      </c>
      <c r="B13" s="100" t="s">
        <v>393</v>
      </c>
      <c r="C13" s="100" t="s">
        <v>394</v>
      </c>
      <c r="D13" s="101" t="str">
        <f t="shared" si="1"/>
        <v>DATA</v>
      </c>
      <c r="E13" s="101" t="s">
        <v>395</v>
      </c>
      <c r="F13" s="102">
        <v>1102.0</v>
      </c>
      <c r="G13" s="517" t="s">
        <v>80</v>
      </c>
      <c r="H13" s="517">
        <v>1130.0</v>
      </c>
      <c r="I13" s="68" t="str">
        <f>IFERROR(VLOOKUP(C:C,'R22 RELATÓRIO ACC'!B:F,5,FALSE),"NOT PUBLISHED")</f>
        <v>NOT PUBLISHED</v>
      </c>
      <c r="J13" s="68" t="str">
        <f>IFERROR(VLOOKUP(C:C,'R22 RELATÓRIO ACC'!B:P,15,FALSE),"NOT PUBLISHED")</f>
        <v>NOT PUBLISHED</v>
      </c>
      <c r="K13" s="70" t="str">
        <f>IFERROR(VLOOKUP(B:B,'RELATÓRIO ACC'!B:F,5,FALSE),"NOT PUBLISHED")</f>
        <v>NOT PUBLISHED</v>
      </c>
      <c r="L13" s="518" t="str">
        <f>IFERROR(VLOOKUP(B:B,'RELATÓRIO ACC'!B:P,15,FALSE),"NOT PUBLISHED")</f>
        <v>NOT PUBLISHED</v>
      </c>
      <c r="M13" s="519" t="s">
        <v>388</v>
      </c>
      <c r="N13" s="519" t="s">
        <v>388</v>
      </c>
      <c r="O13" s="538" t="s">
        <v>388</v>
      </c>
      <c r="P13" s="522"/>
      <c r="Q13" s="523" t="s">
        <v>388</v>
      </c>
      <c r="R13" s="524" t="s">
        <v>380</v>
      </c>
      <c r="S13" s="522" t="s">
        <v>388</v>
      </c>
      <c r="T13" s="523" t="s">
        <v>388</v>
      </c>
      <c r="U13" s="524" t="s">
        <v>380</v>
      </c>
      <c r="V13" s="523" t="s">
        <v>388</v>
      </c>
      <c r="W13" s="523" t="s">
        <v>388</v>
      </c>
      <c r="X13" s="526" t="s">
        <v>380</v>
      </c>
      <c r="Y13" s="523" t="s">
        <v>388</v>
      </c>
      <c r="Z13" s="523" t="s">
        <v>388</v>
      </c>
      <c r="AA13" s="524" t="s">
        <v>380</v>
      </c>
      <c r="AB13" s="523" t="s">
        <v>388</v>
      </c>
      <c r="AC13" s="523" t="s">
        <v>388</v>
      </c>
      <c r="AD13" s="524" t="s">
        <v>380</v>
      </c>
      <c r="AE13" s="523" t="s">
        <v>388</v>
      </c>
      <c r="AF13" s="523" t="s">
        <v>388</v>
      </c>
      <c r="AG13" s="524" t="s">
        <v>380</v>
      </c>
      <c r="AH13" s="539" t="s">
        <v>388</v>
      </c>
      <c r="AI13" s="523" t="s">
        <v>388</v>
      </c>
      <c r="AJ13" s="524" t="s">
        <v>380</v>
      </c>
      <c r="AK13" s="525" t="s">
        <v>388</v>
      </c>
      <c r="AL13" s="523" t="s">
        <v>388</v>
      </c>
      <c r="AM13" s="524" t="s">
        <v>380</v>
      </c>
      <c r="AN13" s="525" t="s">
        <v>388</v>
      </c>
      <c r="AO13" s="523" t="s">
        <v>388</v>
      </c>
      <c r="AP13" s="524" t="s">
        <v>380</v>
      </c>
      <c r="AQ13" s="525" t="s">
        <v>388</v>
      </c>
      <c r="AR13" s="523" t="s">
        <v>388</v>
      </c>
      <c r="AS13" s="524" t="s">
        <v>380</v>
      </c>
      <c r="AT13" s="525" t="s">
        <v>388</v>
      </c>
      <c r="AU13" s="523" t="s">
        <v>388</v>
      </c>
      <c r="AV13" s="524" t="s">
        <v>380</v>
      </c>
      <c r="AW13" s="525" t="s">
        <v>388</v>
      </c>
      <c r="AX13" s="523" t="s">
        <v>388</v>
      </c>
      <c r="AY13" s="524" t="s">
        <v>380</v>
      </c>
      <c r="AZ13" s="525" t="s">
        <v>388</v>
      </c>
      <c r="BA13" s="523" t="s">
        <v>388</v>
      </c>
      <c r="BB13" s="524" t="s">
        <v>380</v>
      </c>
      <c r="BC13" s="525" t="s">
        <v>388</v>
      </c>
      <c r="BD13" s="523" t="s">
        <v>388</v>
      </c>
      <c r="BE13" s="524" t="s">
        <v>380</v>
      </c>
      <c r="BF13" s="525" t="s">
        <v>388</v>
      </c>
      <c r="BG13" s="523" t="s">
        <v>388</v>
      </c>
      <c r="BH13" s="524" t="s">
        <v>380</v>
      </c>
      <c r="BI13" s="525" t="s">
        <v>388</v>
      </c>
      <c r="BJ13" s="523" t="s">
        <v>388</v>
      </c>
      <c r="BK13" s="524" t="s">
        <v>380</v>
      </c>
      <c r="BL13" s="525" t="s">
        <v>388</v>
      </c>
      <c r="BM13" s="523" t="s">
        <v>388</v>
      </c>
      <c r="BN13" s="524" t="s">
        <v>380</v>
      </c>
      <c r="BO13" s="525" t="s">
        <v>388</v>
      </c>
      <c r="BP13" s="528" t="s">
        <v>388</v>
      </c>
      <c r="BQ13" s="524" t="s">
        <v>380</v>
      </c>
      <c r="BR13" s="528" t="s">
        <v>388</v>
      </c>
      <c r="BS13" s="528" t="s">
        <v>388</v>
      </c>
      <c r="BT13" s="524" t="s">
        <v>380</v>
      </c>
      <c r="BU13" s="528" t="s">
        <v>388</v>
      </c>
      <c r="BV13" s="528" t="s">
        <v>388</v>
      </c>
      <c r="BW13" s="524" t="s">
        <v>380</v>
      </c>
      <c r="BX13" s="523" t="s">
        <v>388</v>
      </c>
      <c r="BY13" s="523" t="s">
        <v>388</v>
      </c>
      <c r="BZ13" s="524" t="s">
        <v>380</v>
      </c>
      <c r="CA13" s="523" t="s">
        <v>388</v>
      </c>
      <c r="CB13" s="523" t="s">
        <v>388</v>
      </c>
      <c r="CC13" s="524" t="s">
        <v>380</v>
      </c>
      <c r="CD13" s="523" t="s">
        <v>388</v>
      </c>
      <c r="CE13" s="523" t="s">
        <v>388</v>
      </c>
      <c r="CF13" s="524" t="s">
        <v>380</v>
      </c>
      <c r="CG13" s="523" t="s">
        <v>388</v>
      </c>
      <c r="CH13" s="523" t="s">
        <v>388</v>
      </c>
      <c r="CI13" s="524" t="s">
        <v>380</v>
      </c>
      <c r="CJ13" s="523" t="s">
        <v>388</v>
      </c>
      <c r="CK13" s="523" t="s">
        <v>388</v>
      </c>
      <c r="CL13" s="524" t="s">
        <v>380</v>
      </c>
      <c r="CM13" s="523" t="s">
        <v>388</v>
      </c>
      <c r="CN13" s="523" t="s">
        <v>388</v>
      </c>
      <c r="CO13" s="524" t="s">
        <v>380</v>
      </c>
      <c r="CP13" s="523" t="s">
        <v>388</v>
      </c>
      <c r="CQ13" s="528" t="s">
        <v>388</v>
      </c>
      <c r="CR13" s="524" t="s">
        <v>380</v>
      </c>
      <c r="CS13" s="528" t="s">
        <v>388</v>
      </c>
      <c r="CT13" s="528" t="s">
        <v>388</v>
      </c>
      <c r="CU13" s="524" t="s">
        <v>380</v>
      </c>
      <c r="CV13" s="523" t="s">
        <v>388</v>
      </c>
      <c r="CW13" s="528" t="s">
        <v>388</v>
      </c>
      <c r="CX13" s="524" t="s">
        <v>380</v>
      </c>
      <c r="CY13" s="523" t="s">
        <v>388</v>
      </c>
      <c r="CZ13" s="528" t="s">
        <v>388</v>
      </c>
      <c r="DA13" s="524" t="s">
        <v>380</v>
      </c>
      <c r="DB13" s="523" t="s">
        <v>388</v>
      </c>
      <c r="DC13" s="528" t="s">
        <v>388</v>
      </c>
      <c r="DD13" s="524" t="s">
        <v>380</v>
      </c>
      <c r="DE13" s="523" t="s">
        <v>388</v>
      </c>
      <c r="DF13" s="528" t="s">
        <v>388</v>
      </c>
      <c r="DG13" s="524" t="s">
        <v>380</v>
      </c>
      <c r="DH13" s="523" t="s">
        <v>388</v>
      </c>
      <c r="DI13" s="528" t="s">
        <v>388</v>
      </c>
      <c r="DJ13" s="524" t="s">
        <v>380</v>
      </c>
      <c r="DK13" s="523" t="s">
        <v>388</v>
      </c>
      <c r="DL13" s="528" t="s">
        <v>388</v>
      </c>
      <c r="DM13" s="524" t="s">
        <v>380</v>
      </c>
      <c r="DN13" s="523" t="s">
        <v>388</v>
      </c>
    </row>
    <row r="14" ht="15.0" customHeight="1">
      <c r="A14" s="53">
        <v>5.0</v>
      </c>
      <c r="B14" s="100" t="s">
        <v>86</v>
      </c>
      <c r="C14" s="100" t="s">
        <v>87</v>
      </c>
      <c r="D14" s="101" t="str">
        <f t="shared" si="1"/>
        <v>DATA</v>
      </c>
      <c r="E14" s="111" t="s">
        <v>88</v>
      </c>
      <c r="F14" s="118" t="s">
        <v>88</v>
      </c>
      <c r="G14" s="534" t="s">
        <v>88</v>
      </c>
      <c r="H14" s="517"/>
      <c r="I14" s="68" t="str">
        <f>IFERROR(VLOOKUP(C:C,'R22 RELATÓRIO ACC'!B:F,5,FALSE),"NOT PUBLISHED")</f>
        <v>NOT PUBLISHED</v>
      </c>
      <c r="J14" s="68" t="str">
        <f>IFERROR(VLOOKUP(C:C,'R22 RELATÓRIO ACC'!B:P,15,FALSE),"NOT PUBLISHED")</f>
        <v>NOT PUBLISHED</v>
      </c>
      <c r="K14" s="70" t="str">
        <f>IFERROR(VLOOKUP(B:B,'RELATÓRIO ACC'!B:F,5,FALSE),"NOT PUBLISHED")</f>
        <v>NOT PUBLISHED</v>
      </c>
      <c r="L14" s="518" t="str">
        <f>IFERROR(VLOOKUP(B:B,'RELATÓRIO ACC'!B:P,15,FALSE),"NOT PUBLISHED")</f>
        <v>NOT PUBLISHED</v>
      </c>
      <c r="M14" s="519" t="s">
        <v>388</v>
      </c>
      <c r="N14" s="557" t="s">
        <v>388</v>
      </c>
      <c r="O14" s="538" t="s">
        <v>388</v>
      </c>
      <c r="P14" s="522"/>
      <c r="Q14" s="523" t="s">
        <v>388</v>
      </c>
      <c r="R14" s="558" t="s">
        <v>380</v>
      </c>
      <c r="S14" s="522" t="s">
        <v>388</v>
      </c>
      <c r="T14" s="523" t="s">
        <v>388</v>
      </c>
      <c r="U14" s="558" t="s">
        <v>380</v>
      </c>
      <c r="V14" s="525" t="s">
        <v>388</v>
      </c>
      <c r="W14" s="523" t="s">
        <v>388</v>
      </c>
      <c r="X14" s="526" t="s">
        <v>380</v>
      </c>
      <c r="Y14" s="525" t="s">
        <v>388</v>
      </c>
      <c r="Z14" s="523" t="s">
        <v>388</v>
      </c>
      <c r="AA14" s="524" t="s">
        <v>380</v>
      </c>
      <c r="AB14" s="543" t="s">
        <v>388</v>
      </c>
      <c r="AC14" s="523" t="s">
        <v>388</v>
      </c>
      <c r="AD14" s="524" t="s">
        <v>380</v>
      </c>
      <c r="AE14" s="523" t="s">
        <v>388</v>
      </c>
      <c r="AF14" s="523" t="s">
        <v>388</v>
      </c>
      <c r="AG14" s="524" t="s">
        <v>380</v>
      </c>
      <c r="AH14" s="539" t="s">
        <v>388</v>
      </c>
      <c r="AI14" s="523" t="s">
        <v>388</v>
      </c>
      <c r="AJ14" s="524" t="s">
        <v>380</v>
      </c>
      <c r="AK14" s="523" t="s">
        <v>388</v>
      </c>
      <c r="AL14" s="523" t="s">
        <v>388</v>
      </c>
      <c r="AM14" s="524" t="s">
        <v>380</v>
      </c>
      <c r="AN14" s="523" t="s">
        <v>388</v>
      </c>
      <c r="AO14" s="523" t="s">
        <v>388</v>
      </c>
      <c r="AP14" s="524" t="s">
        <v>380</v>
      </c>
      <c r="AQ14" s="523" t="s">
        <v>388</v>
      </c>
      <c r="AR14" s="523" t="s">
        <v>388</v>
      </c>
      <c r="AS14" s="524" t="s">
        <v>380</v>
      </c>
      <c r="AT14" s="523" t="s">
        <v>388</v>
      </c>
      <c r="AU14" s="523" t="s">
        <v>388</v>
      </c>
      <c r="AV14" s="524" t="s">
        <v>380</v>
      </c>
      <c r="AW14" s="523" t="s">
        <v>388</v>
      </c>
      <c r="AX14" s="523" t="s">
        <v>388</v>
      </c>
      <c r="AY14" s="524" t="s">
        <v>380</v>
      </c>
      <c r="AZ14" s="523" t="s">
        <v>388</v>
      </c>
      <c r="BA14" s="523" t="s">
        <v>388</v>
      </c>
      <c r="BB14" s="524" t="s">
        <v>380</v>
      </c>
      <c r="BC14" s="523" t="s">
        <v>388</v>
      </c>
      <c r="BD14" s="523" t="s">
        <v>388</v>
      </c>
      <c r="BE14" s="524" t="s">
        <v>380</v>
      </c>
      <c r="BF14" s="523" t="s">
        <v>388</v>
      </c>
      <c r="BG14" s="523" t="s">
        <v>388</v>
      </c>
      <c r="BH14" s="524" t="s">
        <v>380</v>
      </c>
      <c r="BI14" s="523" t="s">
        <v>388</v>
      </c>
      <c r="BJ14" s="523" t="s">
        <v>388</v>
      </c>
      <c r="BK14" s="524" t="s">
        <v>380</v>
      </c>
      <c r="BL14" s="528" t="s">
        <v>388</v>
      </c>
      <c r="BM14" s="523" t="s">
        <v>388</v>
      </c>
      <c r="BN14" s="524" t="s">
        <v>380</v>
      </c>
      <c r="BO14" s="523" t="s">
        <v>388</v>
      </c>
      <c r="BP14" s="528" t="s">
        <v>388</v>
      </c>
      <c r="BQ14" s="524" t="s">
        <v>380</v>
      </c>
      <c r="BR14" s="523" t="s">
        <v>388</v>
      </c>
      <c r="BS14" s="528" t="s">
        <v>388</v>
      </c>
      <c r="BT14" s="524" t="s">
        <v>380</v>
      </c>
      <c r="BU14" s="523" t="s">
        <v>388</v>
      </c>
      <c r="BV14" s="528" t="s">
        <v>388</v>
      </c>
      <c r="BW14" s="524" t="s">
        <v>380</v>
      </c>
      <c r="BX14" s="523" t="s">
        <v>388</v>
      </c>
      <c r="BY14" s="528" t="s">
        <v>388</v>
      </c>
      <c r="BZ14" s="524" t="s">
        <v>380</v>
      </c>
      <c r="CA14" s="523" t="s">
        <v>388</v>
      </c>
      <c r="CB14" s="528" t="s">
        <v>388</v>
      </c>
      <c r="CC14" s="524" t="s">
        <v>380</v>
      </c>
      <c r="CD14" s="523" t="s">
        <v>388</v>
      </c>
      <c r="CE14" s="528" t="s">
        <v>388</v>
      </c>
      <c r="CF14" s="524" t="s">
        <v>380</v>
      </c>
      <c r="CG14" s="523" t="s">
        <v>388</v>
      </c>
      <c r="CH14" s="528" t="s">
        <v>388</v>
      </c>
      <c r="CI14" s="524" t="s">
        <v>380</v>
      </c>
      <c r="CJ14" s="523" t="s">
        <v>388</v>
      </c>
      <c r="CK14" s="528" t="s">
        <v>388</v>
      </c>
      <c r="CL14" s="524" t="s">
        <v>380</v>
      </c>
      <c r="CM14" s="523" t="s">
        <v>388</v>
      </c>
      <c r="CN14" s="528" t="s">
        <v>388</v>
      </c>
      <c r="CO14" s="524" t="s">
        <v>380</v>
      </c>
      <c r="CP14" s="523" t="s">
        <v>388</v>
      </c>
      <c r="CQ14" s="528" t="s">
        <v>388</v>
      </c>
      <c r="CR14" s="524" t="s">
        <v>380</v>
      </c>
      <c r="CS14" s="523" t="s">
        <v>388</v>
      </c>
      <c r="CT14" s="528" t="s">
        <v>388</v>
      </c>
      <c r="CU14" s="524" t="s">
        <v>380</v>
      </c>
      <c r="CV14" s="523" t="s">
        <v>388</v>
      </c>
      <c r="CW14" s="528" t="s">
        <v>388</v>
      </c>
      <c r="CX14" s="524" t="s">
        <v>380</v>
      </c>
      <c r="CY14" s="523" t="s">
        <v>388</v>
      </c>
      <c r="CZ14" s="528" t="s">
        <v>388</v>
      </c>
      <c r="DA14" s="524" t="s">
        <v>380</v>
      </c>
      <c r="DB14" s="523" t="s">
        <v>388</v>
      </c>
      <c r="DC14" s="528" t="s">
        <v>388</v>
      </c>
      <c r="DD14" s="524" t="s">
        <v>380</v>
      </c>
      <c r="DE14" s="523" t="s">
        <v>388</v>
      </c>
      <c r="DF14" s="528" t="s">
        <v>388</v>
      </c>
      <c r="DG14" s="524" t="s">
        <v>380</v>
      </c>
      <c r="DH14" s="523" t="s">
        <v>388</v>
      </c>
      <c r="DI14" s="528" t="s">
        <v>388</v>
      </c>
      <c r="DJ14" s="524" t="s">
        <v>380</v>
      </c>
      <c r="DK14" s="523" t="s">
        <v>388</v>
      </c>
      <c r="DL14" s="528" t="s">
        <v>388</v>
      </c>
      <c r="DM14" s="524" t="s">
        <v>380</v>
      </c>
      <c r="DN14" s="523" t="s">
        <v>388</v>
      </c>
    </row>
    <row r="15" ht="15.0" customHeight="1">
      <c r="A15" s="53">
        <v>9.0</v>
      </c>
      <c r="B15" s="100" t="s">
        <v>102</v>
      </c>
      <c r="C15" s="100" t="s">
        <v>103</v>
      </c>
      <c r="D15" s="101" t="str">
        <f t="shared" si="1"/>
        <v>DATA</v>
      </c>
      <c r="E15" s="111" t="s">
        <v>104</v>
      </c>
      <c r="F15" s="115">
        <v>1106.0</v>
      </c>
      <c r="G15" s="517" t="s">
        <v>105</v>
      </c>
      <c r="H15" s="535">
        <v>0.0</v>
      </c>
      <c r="I15" s="68" t="str">
        <f>IFERROR(VLOOKUP(C:C,'R22 RELATÓRIO ACC'!B:F,5,FALSE),"NOT PUBLISHED")</f>
        <v>NOT PUBLISHED</v>
      </c>
      <c r="J15" s="68" t="str">
        <f>IFERROR(VLOOKUP(C:C,'R22 RELATÓRIO ACC'!B:P,15,FALSE),"NOT PUBLISHED")</f>
        <v>NOT PUBLISHED</v>
      </c>
      <c r="K15" s="70" t="str">
        <f>IFERROR(VLOOKUP(B:B,'RELATÓRIO ACC'!B:F,5,FALSE),"NOT PUBLISHED")</f>
        <v>NOT PUBLISHED</v>
      </c>
      <c r="L15" s="518" t="str">
        <f>IFERROR(VLOOKUP(B:B,'RELATÓRIO ACC'!B:P,15,FALSE),"NOT PUBLISHED")</f>
        <v>NOT PUBLISHED</v>
      </c>
      <c r="M15" s="519" t="s">
        <v>388</v>
      </c>
      <c r="N15" s="559" t="s">
        <v>388</v>
      </c>
      <c r="O15" s="538" t="s">
        <v>388</v>
      </c>
      <c r="P15" s="522"/>
      <c r="Q15" s="523" t="s">
        <v>388</v>
      </c>
      <c r="R15" s="558" t="s">
        <v>380</v>
      </c>
      <c r="S15" s="522" t="s">
        <v>388</v>
      </c>
      <c r="T15" s="522" t="s">
        <v>388</v>
      </c>
      <c r="U15" s="558" t="s">
        <v>380</v>
      </c>
      <c r="V15" s="560" t="s">
        <v>388</v>
      </c>
      <c r="W15" s="522" t="s">
        <v>388</v>
      </c>
      <c r="X15" s="526" t="s">
        <v>380</v>
      </c>
      <c r="Y15" s="522" t="s">
        <v>388</v>
      </c>
      <c r="Z15" s="522" t="s">
        <v>388</v>
      </c>
      <c r="AA15" s="524" t="s">
        <v>380</v>
      </c>
      <c r="AB15" s="522" t="s">
        <v>388</v>
      </c>
      <c r="AC15" s="522" t="s">
        <v>388</v>
      </c>
      <c r="AD15" s="524" t="s">
        <v>380</v>
      </c>
      <c r="AE15" s="561" t="s">
        <v>388</v>
      </c>
      <c r="AF15" s="522" t="s">
        <v>388</v>
      </c>
      <c r="AG15" s="562" t="s">
        <v>380</v>
      </c>
      <c r="AH15" s="554" t="s">
        <v>388</v>
      </c>
      <c r="AI15" s="522" t="s">
        <v>388</v>
      </c>
      <c r="AJ15" s="562" t="s">
        <v>380</v>
      </c>
      <c r="AK15" s="522" t="s">
        <v>388</v>
      </c>
      <c r="AL15" s="522" t="s">
        <v>388</v>
      </c>
      <c r="AM15" s="562" t="s">
        <v>380</v>
      </c>
      <c r="AN15" s="522" t="s">
        <v>388</v>
      </c>
      <c r="AO15" s="522" t="s">
        <v>388</v>
      </c>
      <c r="AP15" s="562" t="s">
        <v>380</v>
      </c>
      <c r="AQ15" s="522" t="s">
        <v>388</v>
      </c>
      <c r="AR15" s="522" t="s">
        <v>388</v>
      </c>
      <c r="AS15" s="562" t="s">
        <v>380</v>
      </c>
      <c r="AT15" s="522" t="s">
        <v>388</v>
      </c>
      <c r="AU15" s="522" t="s">
        <v>388</v>
      </c>
      <c r="AV15" s="562" t="s">
        <v>380</v>
      </c>
      <c r="AW15" s="522" t="s">
        <v>388</v>
      </c>
      <c r="AX15" s="522" t="s">
        <v>388</v>
      </c>
      <c r="AY15" s="562" t="s">
        <v>380</v>
      </c>
      <c r="AZ15" s="522" t="s">
        <v>388</v>
      </c>
      <c r="BA15" s="522" t="s">
        <v>388</v>
      </c>
      <c r="BB15" s="562" t="s">
        <v>380</v>
      </c>
      <c r="BC15" s="522" t="s">
        <v>388</v>
      </c>
      <c r="BD15" s="522" t="s">
        <v>388</v>
      </c>
      <c r="BE15" s="562" t="s">
        <v>380</v>
      </c>
      <c r="BF15" s="522" t="s">
        <v>388</v>
      </c>
      <c r="BG15" s="522" t="s">
        <v>388</v>
      </c>
      <c r="BH15" s="562" t="s">
        <v>380</v>
      </c>
      <c r="BI15" s="522" t="s">
        <v>388</v>
      </c>
      <c r="BJ15" s="522" t="s">
        <v>388</v>
      </c>
      <c r="BK15" s="562" t="s">
        <v>380</v>
      </c>
      <c r="BL15" s="522" t="s">
        <v>388</v>
      </c>
      <c r="BM15" s="522" t="s">
        <v>388</v>
      </c>
      <c r="BN15" s="562" t="s">
        <v>380</v>
      </c>
      <c r="BO15" s="522" t="s">
        <v>388</v>
      </c>
      <c r="BP15" s="522" t="s">
        <v>388</v>
      </c>
      <c r="BQ15" s="562" t="s">
        <v>380</v>
      </c>
      <c r="BR15" s="522" t="s">
        <v>388</v>
      </c>
      <c r="BS15" s="556" t="s">
        <v>388</v>
      </c>
      <c r="BT15" s="562" t="s">
        <v>380</v>
      </c>
      <c r="BU15" s="522" t="s">
        <v>388</v>
      </c>
      <c r="BV15" s="556" t="s">
        <v>388</v>
      </c>
      <c r="BW15" s="562" t="s">
        <v>380</v>
      </c>
      <c r="BX15" s="522" t="s">
        <v>388</v>
      </c>
      <c r="BY15" s="556" t="s">
        <v>388</v>
      </c>
      <c r="BZ15" s="562" t="s">
        <v>380</v>
      </c>
      <c r="CA15" s="522" t="s">
        <v>388</v>
      </c>
      <c r="CB15" s="556" t="s">
        <v>388</v>
      </c>
      <c r="CC15" s="562" t="s">
        <v>380</v>
      </c>
      <c r="CD15" s="522" t="s">
        <v>388</v>
      </c>
      <c r="CE15" s="556" t="s">
        <v>388</v>
      </c>
      <c r="CF15" s="562" t="s">
        <v>380</v>
      </c>
      <c r="CG15" s="522" t="s">
        <v>388</v>
      </c>
      <c r="CH15" s="556" t="s">
        <v>388</v>
      </c>
      <c r="CI15" s="562" t="s">
        <v>380</v>
      </c>
      <c r="CJ15" s="522" t="s">
        <v>388</v>
      </c>
      <c r="CK15" s="556" t="s">
        <v>388</v>
      </c>
      <c r="CL15" s="562" t="s">
        <v>380</v>
      </c>
      <c r="CM15" s="522" t="s">
        <v>388</v>
      </c>
      <c r="CN15" s="556" t="s">
        <v>388</v>
      </c>
      <c r="CO15" s="562" t="s">
        <v>380</v>
      </c>
      <c r="CP15" s="522" t="s">
        <v>388</v>
      </c>
      <c r="CQ15" s="556" t="s">
        <v>388</v>
      </c>
      <c r="CR15" s="562" t="s">
        <v>380</v>
      </c>
      <c r="CS15" s="522" t="s">
        <v>388</v>
      </c>
      <c r="CT15" s="556" t="s">
        <v>388</v>
      </c>
      <c r="CU15" s="562" t="s">
        <v>380</v>
      </c>
      <c r="CV15" s="522" t="s">
        <v>388</v>
      </c>
      <c r="CW15" s="556" t="s">
        <v>388</v>
      </c>
      <c r="CX15" s="562" t="s">
        <v>380</v>
      </c>
      <c r="CY15" s="522" t="s">
        <v>388</v>
      </c>
      <c r="CZ15" s="556" t="s">
        <v>388</v>
      </c>
      <c r="DA15" s="562" t="s">
        <v>380</v>
      </c>
      <c r="DB15" s="522" t="s">
        <v>388</v>
      </c>
      <c r="DC15" s="556" t="s">
        <v>388</v>
      </c>
      <c r="DD15" s="562" t="s">
        <v>380</v>
      </c>
      <c r="DE15" s="522" t="s">
        <v>388</v>
      </c>
      <c r="DF15" s="556" t="s">
        <v>388</v>
      </c>
      <c r="DG15" s="562" t="s">
        <v>380</v>
      </c>
      <c r="DH15" s="522" t="s">
        <v>388</v>
      </c>
      <c r="DI15" s="556" t="s">
        <v>388</v>
      </c>
      <c r="DJ15" s="562" t="s">
        <v>380</v>
      </c>
      <c r="DK15" s="522" t="s">
        <v>388</v>
      </c>
      <c r="DL15" s="556" t="s">
        <v>388</v>
      </c>
      <c r="DM15" s="562" t="s">
        <v>380</v>
      </c>
      <c r="DN15" s="522" t="s">
        <v>388</v>
      </c>
    </row>
    <row r="16" ht="15.0" customHeight="1">
      <c r="A16" s="53">
        <v>10.0</v>
      </c>
      <c r="B16" s="100" t="s">
        <v>106</v>
      </c>
      <c r="C16" s="100" t="s">
        <v>107</v>
      </c>
      <c r="D16" s="101" t="str">
        <f t="shared" si="1"/>
        <v>DATA</v>
      </c>
      <c r="E16" s="101" t="s">
        <v>108</v>
      </c>
      <c r="F16" s="115">
        <v>1107.0</v>
      </c>
      <c r="G16" s="534" t="s">
        <v>109</v>
      </c>
      <c r="H16" s="535">
        <v>0.0</v>
      </c>
      <c r="I16" s="68" t="str">
        <f>IFERROR(VLOOKUP(C:C,'R22 RELATÓRIO ACC'!B:F,5,FALSE),"NOT PUBLISHED")</f>
        <v>NOT PUBLISHED</v>
      </c>
      <c r="J16" s="68" t="str">
        <f>IFERROR(VLOOKUP(C:C,'R22 RELATÓRIO ACC'!B:P,15,FALSE),"NOT PUBLISHED")</f>
        <v>NOT PUBLISHED</v>
      </c>
      <c r="K16" s="70" t="str">
        <f>IFERROR(VLOOKUP(B:B,'RELATÓRIO ACC'!B:F,5,FALSE),"NOT PUBLISHED")</f>
        <v>NOT PUBLISHED</v>
      </c>
      <c r="L16" s="518" t="str">
        <f>IFERROR(VLOOKUP(B:B,'RELATÓRIO ACC'!B:P,15,FALSE),"NOT PUBLISHED")</f>
        <v>NOT PUBLISHED</v>
      </c>
      <c r="M16" s="519" t="s">
        <v>388</v>
      </c>
      <c r="N16" s="557" t="s">
        <v>388</v>
      </c>
      <c r="O16" s="538" t="s">
        <v>388</v>
      </c>
      <c r="P16" s="522"/>
      <c r="Q16" s="523" t="s">
        <v>388</v>
      </c>
      <c r="R16" s="558" t="s">
        <v>380</v>
      </c>
      <c r="S16" s="555" t="s">
        <v>388</v>
      </c>
      <c r="T16" s="523" t="s">
        <v>388</v>
      </c>
      <c r="U16" s="558" t="s">
        <v>380</v>
      </c>
      <c r="V16" s="543" t="s">
        <v>388</v>
      </c>
      <c r="W16" s="523" t="s">
        <v>388</v>
      </c>
      <c r="X16" s="526" t="s">
        <v>380</v>
      </c>
      <c r="Y16" s="543" t="s">
        <v>388</v>
      </c>
      <c r="Z16" s="523" t="s">
        <v>388</v>
      </c>
      <c r="AA16" s="524" t="s">
        <v>380</v>
      </c>
      <c r="AB16" s="523" t="s">
        <v>388</v>
      </c>
      <c r="AC16" s="523" t="s">
        <v>388</v>
      </c>
      <c r="AD16" s="524" t="s">
        <v>380</v>
      </c>
      <c r="AE16" s="523" t="s">
        <v>388</v>
      </c>
      <c r="AF16" s="523" t="s">
        <v>388</v>
      </c>
      <c r="AG16" s="524" t="s">
        <v>380</v>
      </c>
      <c r="AH16" s="539" t="s">
        <v>388</v>
      </c>
      <c r="AI16" s="523" t="s">
        <v>388</v>
      </c>
      <c r="AJ16" s="524" t="s">
        <v>380</v>
      </c>
      <c r="AK16" s="523" t="s">
        <v>388</v>
      </c>
      <c r="AL16" s="523" t="s">
        <v>388</v>
      </c>
      <c r="AM16" s="524" t="s">
        <v>380</v>
      </c>
      <c r="AN16" s="523" t="s">
        <v>388</v>
      </c>
      <c r="AO16" s="523" t="s">
        <v>388</v>
      </c>
      <c r="AP16" s="524" t="s">
        <v>380</v>
      </c>
      <c r="AQ16" s="523" t="s">
        <v>388</v>
      </c>
      <c r="AR16" s="523" t="s">
        <v>388</v>
      </c>
      <c r="AS16" s="524" t="s">
        <v>380</v>
      </c>
      <c r="AT16" s="523" t="s">
        <v>388</v>
      </c>
      <c r="AU16" s="523" t="s">
        <v>388</v>
      </c>
      <c r="AV16" s="524" t="s">
        <v>380</v>
      </c>
      <c r="AW16" s="523" t="s">
        <v>388</v>
      </c>
      <c r="AX16" s="523" t="s">
        <v>388</v>
      </c>
      <c r="AY16" s="524" t="s">
        <v>380</v>
      </c>
      <c r="AZ16" s="523" t="s">
        <v>388</v>
      </c>
      <c r="BA16" s="523" t="s">
        <v>388</v>
      </c>
      <c r="BB16" s="524" t="s">
        <v>380</v>
      </c>
      <c r="BC16" s="523" t="s">
        <v>388</v>
      </c>
      <c r="BD16" s="523" t="s">
        <v>388</v>
      </c>
      <c r="BE16" s="524" t="s">
        <v>380</v>
      </c>
      <c r="BF16" s="523" t="s">
        <v>388</v>
      </c>
      <c r="BG16" s="523" t="s">
        <v>388</v>
      </c>
      <c r="BH16" s="524" t="s">
        <v>380</v>
      </c>
      <c r="BI16" s="523" t="s">
        <v>388</v>
      </c>
      <c r="BJ16" s="523" t="s">
        <v>388</v>
      </c>
      <c r="BK16" s="524" t="s">
        <v>380</v>
      </c>
      <c r="BL16" s="523" t="s">
        <v>388</v>
      </c>
      <c r="BM16" s="523" t="s">
        <v>388</v>
      </c>
      <c r="BN16" s="524" t="s">
        <v>380</v>
      </c>
      <c r="BO16" s="523" t="s">
        <v>388</v>
      </c>
      <c r="BP16" s="523" t="s">
        <v>388</v>
      </c>
      <c r="BQ16" s="524" t="s">
        <v>380</v>
      </c>
      <c r="BR16" s="523" t="s">
        <v>388</v>
      </c>
      <c r="BS16" s="523" t="s">
        <v>388</v>
      </c>
      <c r="BT16" s="524" t="s">
        <v>380</v>
      </c>
      <c r="BU16" s="523" t="s">
        <v>388</v>
      </c>
      <c r="BV16" s="523" t="s">
        <v>388</v>
      </c>
      <c r="BW16" s="524" t="s">
        <v>380</v>
      </c>
      <c r="BX16" s="523" t="s">
        <v>388</v>
      </c>
      <c r="BY16" s="523" t="s">
        <v>388</v>
      </c>
      <c r="BZ16" s="524" t="s">
        <v>380</v>
      </c>
      <c r="CA16" s="523" t="s">
        <v>388</v>
      </c>
      <c r="CB16" s="523" t="s">
        <v>388</v>
      </c>
      <c r="CC16" s="524" t="s">
        <v>380</v>
      </c>
      <c r="CD16" s="523" t="s">
        <v>388</v>
      </c>
      <c r="CE16" s="523" t="s">
        <v>388</v>
      </c>
      <c r="CF16" s="524" t="s">
        <v>380</v>
      </c>
      <c r="CG16" s="523" t="s">
        <v>388</v>
      </c>
      <c r="CH16" s="523" t="s">
        <v>388</v>
      </c>
      <c r="CI16" s="524" t="s">
        <v>380</v>
      </c>
      <c r="CJ16" s="523" t="s">
        <v>388</v>
      </c>
      <c r="CK16" s="523" t="s">
        <v>388</v>
      </c>
      <c r="CL16" s="524" t="s">
        <v>380</v>
      </c>
      <c r="CM16" s="523" t="s">
        <v>388</v>
      </c>
      <c r="CN16" s="523" t="s">
        <v>388</v>
      </c>
      <c r="CO16" s="524" t="s">
        <v>380</v>
      </c>
      <c r="CP16" s="523" t="s">
        <v>388</v>
      </c>
      <c r="CQ16" s="523" t="s">
        <v>388</v>
      </c>
      <c r="CR16" s="524" t="s">
        <v>380</v>
      </c>
      <c r="CS16" s="523" t="s">
        <v>388</v>
      </c>
      <c r="CT16" s="523" t="s">
        <v>388</v>
      </c>
      <c r="CU16" s="524" t="s">
        <v>380</v>
      </c>
      <c r="CV16" s="523" t="s">
        <v>388</v>
      </c>
      <c r="CW16" s="523" t="s">
        <v>388</v>
      </c>
      <c r="CX16" s="524" t="s">
        <v>380</v>
      </c>
      <c r="CY16" s="523" t="s">
        <v>388</v>
      </c>
      <c r="CZ16" s="523" t="s">
        <v>388</v>
      </c>
      <c r="DA16" s="524" t="s">
        <v>380</v>
      </c>
      <c r="DB16" s="523" t="s">
        <v>388</v>
      </c>
      <c r="DC16" s="523" t="s">
        <v>388</v>
      </c>
      <c r="DD16" s="524" t="s">
        <v>380</v>
      </c>
      <c r="DE16" s="523" t="s">
        <v>388</v>
      </c>
      <c r="DF16" s="523" t="s">
        <v>388</v>
      </c>
      <c r="DG16" s="524" t="s">
        <v>380</v>
      </c>
      <c r="DH16" s="523" t="s">
        <v>388</v>
      </c>
      <c r="DI16" s="523" t="s">
        <v>388</v>
      </c>
      <c r="DJ16" s="524" t="s">
        <v>380</v>
      </c>
      <c r="DK16" s="523" t="s">
        <v>388</v>
      </c>
      <c r="DL16" s="523" t="s">
        <v>388</v>
      </c>
      <c r="DM16" s="524" t="s">
        <v>380</v>
      </c>
      <c r="DN16" s="523" t="s">
        <v>388</v>
      </c>
    </row>
    <row r="17" ht="15.0" customHeight="1">
      <c r="A17" s="53">
        <v>16.0</v>
      </c>
      <c r="B17" s="100" t="s">
        <v>132</v>
      </c>
      <c r="C17" s="100" t="s">
        <v>133</v>
      </c>
      <c r="D17" s="101" t="str">
        <f t="shared" si="1"/>
        <v>DATA</v>
      </c>
      <c r="E17" s="101" t="s">
        <v>105</v>
      </c>
      <c r="F17" s="115">
        <v>0.0</v>
      </c>
      <c r="G17" s="535" t="s">
        <v>105</v>
      </c>
      <c r="H17" s="535">
        <v>0.0</v>
      </c>
      <c r="I17" s="68" t="str">
        <f>IFERROR(VLOOKUP(C:C,'R22 RELATÓRIO ACC'!B:F,5,FALSE),"NOT PUBLISHED")</f>
        <v>NOT PUBLISHED</v>
      </c>
      <c r="J17" s="68" t="str">
        <f>IFERROR(VLOOKUP(C:C,'R22 RELATÓRIO ACC'!B:P,15,FALSE),"NOT PUBLISHED")</f>
        <v>NOT PUBLISHED</v>
      </c>
      <c r="K17" s="70" t="str">
        <f>IFERROR(VLOOKUP(B:B,'RELATÓRIO ACC'!B:F,5,FALSE),"NOT PUBLISHED")</f>
        <v>NOT PUBLISHED</v>
      </c>
      <c r="L17" s="518" t="str">
        <f>IFERROR(VLOOKUP(B:B,'RELATÓRIO ACC'!B:P,15,FALSE),"NOT PUBLISHED")</f>
        <v>NOT PUBLISHED</v>
      </c>
      <c r="M17" s="519" t="s">
        <v>388</v>
      </c>
      <c r="N17" s="557" t="s">
        <v>388</v>
      </c>
      <c r="O17" s="538" t="s">
        <v>388</v>
      </c>
      <c r="P17" s="522"/>
      <c r="Q17" s="523" t="s">
        <v>388</v>
      </c>
      <c r="R17" s="558" t="s">
        <v>380</v>
      </c>
      <c r="S17" s="522" t="s">
        <v>388</v>
      </c>
      <c r="T17" s="522" t="s">
        <v>388</v>
      </c>
      <c r="U17" s="558" t="s">
        <v>380</v>
      </c>
      <c r="V17" s="560" t="s">
        <v>388</v>
      </c>
      <c r="W17" s="522" t="s">
        <v>388</v>
      </c>
      <c r="X17" s="526" t="s">
        <v>380</v>
      </c>
      <c r="Y17" s="522" t="s">
        <v>388</v>
      </c>
      <c r="Z17" s="522" t="s">
        <v>388</v>
      </c>
      <c r="AA17" s="524" t="s">
        <v>380</v>
      </c>
      <c r="AB17" s="522" t="s">
        <v>388</v>
      </c>
      <c r="AC17" s="522" t="s">
        <v>388</v>
      </c>
      <c r="AD17" s="524" t="s">
        <v>380</v>
      </c>
      <c r="AE17" s="522" t="s">
        <v>388</v>
      </c>
      <c r="AF17" s="522" t="s">
        <v>388</v>
      </c>
      <c r="AG17" s="524" t="s">
        <v>380</v>
      </c>
      <c r="AH17" s="554" t="s">
        <v>388</v>
      </c>
      <c r="AI17" s="522" t="s">
        <v>388</v>
      </c>
      <c r="AJ17" s="524" t="s">
        <v>380</v>
      </c>
      <c r="AK17" s="522" t="s">
        <v>388</v>
      </c>
      <c r="AL17" s="522" t="s">
        <v>388</v>
      </c>
      <c r="AM17" s="524" t="s">
        <v>380</v>
      </c>
      <c r="AN17" s="522" t="s">
        <v>388</v>
      </c>
      <c r="AO17" s="522" t="s">
        <v>388</v>
      </c>
      <c r="AP17" s="524" t="s">
        <v>380</v>
      </c>
      <c r="AQ17" s="522" t="s">
        <v>388</v>
      </c>
      <c r="AR17" s="522" t="s">
        <v>388</v>
      </c>
      <c r="AS17" s="524" t="s">
        <v>380</v>
      </c>
      <c r="AT17" s="522" t="s">
        <v>388</v>
      </c>
      <c r="AU17" s="522" t="s">
        <v>388</v>
      </c>
      <c r="AV17" s="524" t="s">
        <v>380</v>
      </c>
      <c r="AW17" s="522" t="s">
        <v>388</v>
      </c>
      <c r="AX17" s="522" t="s">
        <v>388</v>
      </c>
      <c r="AY17" s="524" t="s">
        <v>380</v>
      </c>
      <c r="AZ17" s="522" t="s">
        <v>388</v>
      </c>
      <c r="BA17" s="522" t="s">
        <v>388</v>
      </c>
      <c r="BB17" s="524" t="s">
        <v>380</v>
      </c>
      <c r="BC17" s="522" t="s">
        <v>388</v>
      </c>
      <c r="BD17" s="522" t="s">
        <v>388</v>
      </c>
      <c r="BE17" s="524" t="s">
        <v>380</v>
      </c>
      <c r="BF17" s="522" t="s">
        <v>388</v>
      </c>
      <c r="BG17" s="522" t="s">
        <v>388</v>
      </c>
      <c r="BH17" s="524" t="s">
        <v>380</v>
      </c>
      <c r="BI17" s="556" t="s">
        <v>388</v>
      </c>
      <c r="BJ17" s="522" t="s">
        <v>388</v>
      </c>
      <c r="BK17" s="524" t="s">
        <v>380</v>
      </c>
      <c r="BL17" s="556" t="s">
        <v>388</v>
      </c>
      <c r="BM17" s="522" t="s">
        <v>388</v>
      </c>
      <c r="BN17" s="524" t="s">
        <v>380</v>
      </c>
      <c r="BO17" s="522" t="s">
        <v>388</v>
      </c>
      <c r="BP17" s="522" t="s">
        <v>388</v>
      </c>
      <c r="BQ17" s="524" t="s">
        <v>380</v>
      </c>
      <c r="BR17" s="522" t="s">
        <v>388</v>
      </c>
      <c r="BS17" s="522" t="s">
        <v>388</v>
      </c>
      <c r="BT17" s="524" t="s">
        <v>380</v>
      </c>
      <c r="BU17" s="522" t="s">
        <v>388</v>
      </c>
      <c r="BV17" s="522" t="s">
        <v>388</v>
      </c>
      <c r="BW17" s="524" t="s">
        <v>380</v>
      </c>
      <c r="BX17" s="522" t="s">
        <v>388</v>
      </c>
      <c r="BY17" s="522" t="s">
        <v>388</v>
      </c>
      <c r="BZ17" s="524" t="s">
        <v>380</v>
      </c>
      <c r="CA17" s="522" t="s">
        <v>388</v>
      </c>
      <c r="CB17" s="522" t="s">
        <v>388</v>
      </c>
      <c r="CC17" s="524" t="s">
        <v>380</v>
      </c>
      <c r="CD17" s="522" t="s">
        <v>388</v>
      </c>
      <c r="CE17" s="522" t="s">
        <v>388</v>
      </c>
      <c r="CF17" s="524" t="s">
        <v>380</v>
      </c>
      <c r="CG17" s="522" t="s">
        <v>388</v>
      </c>
      <c r="CH17" s="522" t="s">
        <v>388</v>
      </c>
      <c r="CI17" s="524" t="s">
        <v>380</v>
      </c>
      <c r="CJ17" s="522" t="s">
        <v>388</v>
      </c>
      <c r="CK17" s="522" t="s">
        <v>388</v>
      </c>
      <c r="CL17" s="524" t="s">
        <v>380</v>
      </c>
      <c r="CM17" s="522" t="s">
        <v>388</v>
      </c>
      <c r="CN17" s="522" t="s">
        <v>388</v>
      </c>
      <c r="CO17" s="524" t="s">
        <v>380</v>
      </c>
      <c r="CP17" s="522" t="s">
        <v>388</v>
      </c>
      <c r="CQ17" s="522" t="s">
        <v>388</v>
      </c>
      <c r="CR17" s="524" t="s">
        <v>380</v>
      </c>
      <c r="CS17" s="522" t="s">
        <v>388</v>
      </c>
      <c r="CT17" s="522" t="s">
        <v>388</v>
      </c>
      <c r="CU17" s="524" t="s">
        <v>380</v>
      </c>
      <c r="CV17" s="522" t="s">
        <v>388</v>
      </c>
      <c r="CW17" s="522" t="s">
        <v>388</v>
      </c>
      <c r="CX17" s="524" t="s">
        <v>380</v>
      </c>
      <c r="CY17" s="522" t="s">
        <v>388</v>
      </c>
      <c r="CZ17" s="522" t="s">
        <v>388</v>
      </c>
      <c r="DA17" s="524" t="s">
        <v>380</v>
      </c>
      <c r="DB17" s="522" t="s">
        <v>388</v>
      </c>
      <c r="DC17" s="522" t="s">
        <v>388</v>
      </c>
      <c r="DD17" s="524" t="s">
        <v>380</v>
      </c>
      <c r="DE17" s="522" t="s">
        <v>388</v>
      </c>
      <c r="DF17" s="522" t="s">
        <v>388</v>
      </c>
      <c r="DG17" s="524" t="s">
        <v>380</v>
      </c>
      <c r="DH17" s="522" t="s">
        <v>388</v>
      </c>
      <c r="DI17" s="522" t="s">
        <v>388</v>
      </c>
      <c r="DJ17" s="524" t="s">
        <v>380</v>
      </c>
      <c r="DK17" s="522" t="s">
        <v>388</v>
      </c>
      <c r="DL17" s="522" t="s">
        <v>388</v>
      </c>
      <c r="DM17" s="524" t="s">
        <v>380</v>
      </c>
      <c r="DN17" s="522" t="s">
        <v>388</v>
      </c>
    </row>
    <row r="18" ht="15.0" customHeight="1">
      <c r="A18" s="53">
        <v>17.0</v>
      </c>
      <c r="B18" s="100" t="s">
        <v>139</v>
      </c>
      <c r="C18" s="100" t="s">
        <v>140</v>
      </c>
      <c r="D18" s="101" t="str">
        <f t="shared" si="1"/>
        <v>DATA</v>
      </c>
      <c r="E18" s="111" t="s">
        <v>141</v>
      </c>
      <c r="F18" s="115">
        <v>0.0</v>
      </c>
      <c r="G18" s="563" t="s">
        <v>142</v>
      </c>
      <c r="H18" s="535"/>
      <c r="I18" s="68" t="str">
        <f>IFERROR(VLOOKUP(C:C,'R22 RELATÓRIO ACC'!B:F,5,FALSE),"NOT PUBLISHED")</f>
        <v>V4</v>
      </c>
      <c r="J18" s="68" t="str">
        <f>IFERROR(VLOOKUP(C:C,'R22 RELATÓRIO ACC'!B:P,15,FALSE),"NOT PUBLISHED")</f>
        <v>29/04/2026</v>
      </c>
      <c r="K18" s="70" t="str">
        <f>IFERROR(VLOOKUP(B:B,'RELATÓRIO ACC'!B:F,5,FALSE),"NOT PUBLISHED")</f>
        <v>V1</v>
      </c>
      <c r="L18" s="518" t="str">
        <f>IFERROR(VLOOKUP(B:B,'RELATÓRIO ACC'!B:P,15,FALSE),"NOT PUBLISHED")</f>
        <v>04/06/2026</v>
      </c>
      <c r="M18" s="519" t="s">
        <v>377</v>
      </c>
      <c r="N18" s="564" t="s">
        <v>396</v>
      </c>
      <c r="O18" s="521" t="s">
        <v>378</v>
      </c>
      <c r="P18" s="522" t="s">
        <v>397</v>
      </c>
      <c r="Q18" s="523" t="s">
        <v>388</v>
      </c>
      <c r="R18" s="524" t="s">
        <v>380</v>
      </c>
      <c r="S18" s="522" t="s">
        <v>388</v>
      </c>
      <c r="T18" s="522" t="s">
        <v>388</v>
      </c>
      <c r="U18" s="524" t="s">
        <v>380</v>
      </c>
      <c r="V18" s="522" t="s">
        <v>388</v>
      </c>
      <c r="W18" s="522" t="s">
        <v>388</v>
      </c>
      <c r="X18" s="526" t="s">
        <v>380</v>
      </c>
      <c r="Y18" s="522" t="s">
        <v>388</v>
      </c>
      <c r="Z18" s="522" t="s">
        <v>388</v>
      </c>
      <c r="AA18" s="524" t="s">
        <v>380</v>
      </c>
      <c r="AB18" s="522" t="s">
        <v>388</v>
      </c>
      <c r="AC18" s="522" t="s">
        <v>388</v>
      </c>
      <c r="AD18" s="524" t="s">
        <v>380</v>
      </c>
      <c r="AE18" s="522" t="s">
        <v>388</v>
      </c>
      <c r="AF18" s="522" t="s">
        <v>383</v>
      </c>
      <c r="AG18" s="524" t="s">
        <v>380</v>
      </c>
      <c r="AH18" s="522" t="s">
        <v>383</v>
      </c>
      <c r="AI18" s="522" t="s">
        <v>398</v>
      </c>
      <c r="AJ18" s="526" t="s">
        <v>377</v>
      </c>
      <c r="AK18" s="522" t="s">
        <v>398</v>
      </c>
      <c r="AL18" s="523" t="s">
        <v>398</v>
      </c>
      <c r="AM18" s="526" t="s">
        <v>377</v>
      </c>
      <c r="AN18" s="523" t="s">
        <v>398</v>
      </c>
      <c r="AO18" s="523" t="s">
        <v>398</v>
      </c>
      <c r="AP18" s="526" t="s">
        <v>377</v>
      </c>
      <c r="AQ18" s="523" t="s">
        <v>398</v>
      </c>
      <c r="AR18" s="523" t="s">
        <v>398</v>
      </c>
      <c r="AS18" s="526" t="s">
        <v>377</v>
      </c>
      <c r="AT18" s="523" t="s">
        <v>398</v>
      </c>
      <c r="AU18" s="523" t="s">
        <v>398</v>
      </c>
      <c r="AV18" s="526" t="s">
        <v>377</v>
      </c>
      <c r="AW18" s="523" t="s">
        <v>398</v>
      </c>
      <c r="AX18" s="523" t="s">
        <v>398</v>
      </c>
      <c r="AY18" s="526" t="s">
        <v>377</v>
      </c>
      <c r="AZ18" s="523" t="s">
        <v>398</v>
      </c>
      <c r="BA18" s="523" t="s">
        <v>398</v>
      </c>
      <c r="BB18" s="526" t="s">
        <v>377</v>
      </c>
      <c r="BC18" s="523" t="s">
        <v>398</v>
      </c>
      <c r="BD18" s="523" t="s">
        <v>379</v>
      </c>
      <c r="BE18" s="526" t="s">
        <v>377</v>
      </c>
      <c r="BF18" s="523" t="s">
        <v>379</v>
      </c>
      <c r="BG18" s="523" t="s">
        <v>398</v>
      </c>
      <c r="BH18" s="526" t="s">
        <v>387</v>
      </c>
      <c r="BI18" s="523" t="s">
        <v>398</v>
      </c>
      <c r="BJ18" s="523" t="s">
        <v>379</v>
      </c>
      <c r="BK18" s="526" t="s">
        <v>387</v>
      </c>
      <c r="BL18" s="523" t="s">
        <v>379</v>
      </c>
      <c r="BM18" s="523" t="s">
        <v>383</v>
      </c>
      <c r="BN18" s="526" t="s">
        <v>387</v>
      </c>
      <c r="BO18" s="523" t="s">
        <v>383</v>
      </c>
      <c r="BP18" s="523" t="s">
        <v>383</v>
      </c>
      <c r="BQ18" s="526" t="s">
        <v>387</v>
      </c>
      <c r="BR18" s="565">
        <v>0.0</v>
      </c>
      <c r="BS18" s="523" t="s">
        <v>381</v>
      </c>
      <c r="BT18" s="526" t="s">
        <v>387</v>
      </c>
      <c r="BU18" s="565">
        <v>0.01</v>
      </c>
      <c r="BV18" s="523" t="s">
        <v>379</v>
      </c>
      <c r="BW18" s="526" t="s">
        <v>387</v>
      </c>
      <c r="BX18" s="523" t="s">
        <v>379</v>
      </c>
      <c r="BY18" s="523" t="s">
        <v>379</v>
      </c>
      <c r="BZ18" s="526" t="s">
        <v>387</v>
      </c>
      <c r="CA18" s="523" t="s">
        <v>379</v>
      </c>
      <c r="CB18" s="523" t="s">
        <v>379</v>
      </c>
      <c r="CC18" s="526" t="s">
        <v>387</v>
      </c>
      <c r="CD18" s="523" t="s">
        <v>379</v>
      </c>
      <c r="CE18" s="523" t="s">
        <v>383</v>
      </c>
      <c r="CF18" s="526" t="s">
        <v>387</v>
      </c>
      <c r="CG18" s="523" t="s">
        <v>383</v>
      </c>
      <c r="CH18" s="523" t="s">
        <v>381</v>
      </c>
      <c r="CI18" s="526" t="s">
        <v>399</v>
      </c>
      <c r="CJ18" s="546">
        <v>0.01</v>
      </c>
      <c r="CK18" s="523" t="s">
        <v>379</v>
      </c>
      <c r="CL18" s="526" t="s">
        <v>399</v>
      </c>
      <c r="CM18" s="523" t="s">
        <v>379</v>
      </c>
      <c r="CN18" s="523" t="s">
        <v>383</v>
      </c>
      <c r="CO18" s="526" t="s">
        <v>399</v>
      </c>
      <c r="CP18" s="523" t="s">
        <v>383</v>
      </c>
      <c r="CQ18" s="523" t="s">
        <v>398</v>
      </c>
      <c r="CR18" s="526" t="s">
        <v>399</v>
      </c>
      <c r="CS18" s="523" t="s">
        <v>398</v>
      </c>
      <c r="CT18" s="523" t="s">
        <v>383</v>
      </c>
      <c r="CU18" s="526" t="s">
        <v>399</v>
      </c>
      <c r="CV18" s="523" t="s">
        <v>383</v>
      </c>
      <c r="CW18" s="523" t="s">
        <v>398</v>
      </c>
      <c r="CX18" s="526" t="s">
        <v>399</v>
      </c>
      <c r="CY18" s="523" t="s">
        <v>398</v>
      </c>
      <c r="CZ18" s="523" t="s">
        <v>379</v>
      </c>
      <c r="DA18" s="526" t="s">
        <v>399</v>
      </c>
      <c r="DB18" s="523" t="s">
        <v>379</v>
      </c>
      <c r="DC18" s="523" t="s">
        <v>379</v>
      </c>
      <c r="DD18" s="526" t="s">
        <v>399</v>
      </c>
      <c r="DE18" s="523" t="s">
        <v>379</v>
      </c>
      <c r="DF18" s="523" t="s">
        <v>379</v>
      </c>
      <c r="DG18" s="526" t="s">
        <v>399</v>
      </c>
      <c r="DH18" s="523" t="s">
        <v>379</v>
      </c>
      <c r="DI18" s="523" t="s">
        <v>379</v>
      </c>
      <c r="DJ18" s="526" t="s">
        <v>399</v>
      </c>
      <c r="DK18" s="523" t="s">
        <v>379</v>
      </c>
      <c r="DL18" s="523" t="s">
        <v>379</v>
      </c>
      <c r="DM18" s="526" t="s">
        <v>399</v>
      </c>
      <c r="DN18" s="523" t="s">
        <v>379</v>
      </c>
    </row>
    <row r="19" ht="15.0" customHeight="1">
      <c r="A19" s="53">
        <v>2.0</v>
      </c>
      <c r="B19" s="566" t="s">
        <v>78</v>
      </c>
      <c r="C19" s="100" t="s">
        <v>79</v>
      </c>
      <c r="D19" s="101" t="str">
        <f t="shared" si="1"/>
        <v>DATA</v>
      </c>
      <c r="E19" s="101" t="s">
        <v>80</v>
      </c>
      <c r="F19" s="102">
        <v>1130.0</v>
      </c>
      <c r="G19" s="517" t="s">
        <v>80</v>
      </c>
      <c r="H19" s="517">
        <v>1130.0</v>
      </c>
      <c r="I19" s="68" t="str">
        <f>IFERROR(VLOOKUP(C:C,'R22 RELATÓRIO ACC'!B:F,5,FALSE),"NOT PUBLISHED")</f>
        <v>V29</v>
      </c>
      <c r="J19" s="68" t="str">
        <f>IFERROR(VLOOKUP(C:C,'R22 RELATÓRIO ACC'!B:P,15,FALSE),"NOT PUBLISHED")</f>
        <v>13/04/2026</v>
      </c>
      <c r="K19" s="70" t="str">
        <f>IFERROR(VLOOKUP(B:B,'RELATÓRIO ACC'!B:F,5,FALSE),"NOT PUBLISHED")</f>
        <v>V3</v>
      </c>
      <c r="L19" s="518" t="str">
        <f>IFERROR(VLOOKUP(B:B,'RELATÓRIO ACC'!B:P,15,FALSE),"NOT PUBLISHED")</f>
        <v>03/06/2026</v>
      </c>
      <c r="M19" s="519" t="s">
        <v>400</v>
      </c>
      <c r="N19" s="567">
        <v>46176.0</v>
      </c>
      <c r="O19" s="521" t="s">
        <v>378</v>
      </c>
      <c r="P19" s="522" t="s">
        <v>397</v>
      </c>
      <c r="Q19" s="523" t="s">
        <v>379</v>
      </c>
      <c r="R19" s="524">
        <v>0.0</v>
      </c>
      <c r="S19" s="523" t="s">
        <v>379</v>
      </c>
      <c r="T19" s="523" t="s">
        <v>379</v>
      </c>
      <c r="U19" s="524">
        <v>0.0</v>
      </c>
      <c r="V19" s="523" t="s">
        <v>379</v>
      </c>
      <c r="W19" s="523" t="s">
        <v>381</v>
      </c>
      <c r="X19" s="526" t="s">
        <v>401</v>
      </c>
      <c r="Y19" s="546">
        <v>0.08</v>
      </c>
      <c r="Z19" s="523" t="s">
        <v>379</v>
      </c>
      <c r="AA19" s="526">
        <v>0.0</v>
      </c>
      <c r="AB19" s="523" t="s">
        <v>379</v>
      </c>
      <c r="AC19" s="523" t="s">
        <v>383</v>
      </c>
      <c r="AD19" s="526">
        <v>0.0</v>
      </c>
      <c r="AE19" s="523" t="s">
        <v>383</v>
      </c>
      <c r="AF19" s="523" t="s">
        <v>381</v>
      </c>
      <c r="AG19" s="526" t="s">
        <v>402</v>
      </c>
      <c r="AH19" s="529">
        <v>0.56</v>
      </c>
      <c r="AI19" s="523" t="s">
        <v>379</v>
      </c>
      <c r="AJ19" s="526" t="s">
        <v>402</v>
      </c>
      <c r="AK19" s="523" t="s">
        <v>379</v>
      </c>
      <c r="AL19" s="523" t="s">
        <v>383</v>
      </c>
      <c r="AM19" s="526" t="s">
        <v>402</v>
      </c>
      <c r="AN19" s="523" t="s">
        <v>383</v>
      </c>
      <c r="AO19" s="523" t="s">
        <v>381</v>
      </c>
      <c r="AP19" s="526" t="s">
        <v>403</v>
      </c>
      <c r="AQ19" s="529">
        <v>0.74</v>
      </c>
      <c r="AR19" s="523" t="s">
        <v>383</v>
      </c>
      <c r="AS19" s="526" t="s">
        <v>403</v>
      </c>
      <c r="AT19" s="523" t="s">
        <v>383</v>
      </c>
      <c r="AU19" s="523" t="s">
        <v>398</v>
      </c>
      <c r="AV19" s="526" t="s">
        <v>404</v>
      </c>
      <c r="AW19" s="523" t="s">
        <v>398</v>
      </c>
      <c r="AX19" s="523" t="s">
        <v>398</v>
      </c>
      <c r="AY19" s="526" t="s">
        <v>405</v>
      </c>
      <c r="AZ19" s="523" t="s">
        <v>398</v>
      </c>
      <c r="BA19" s="523" t="s">
        <v>383</v>
      </c>
      <c r="BB19" s="526" t="s">
        <v>405</v>
      </c>
      <c r="BC19" s="523" t="s">
        <v>383</v>
      </c>
      <c r="BD19" s="523" t="s">
        <v>398</v>
      </c>
      <c r="BE19" s="526" t="s">
        <v>406</v>
      </c>
      <c r="BF19" s="523" t="s">
        <v>398</v>
      </c>
      <c r="BG19" s="523" t="s">
        <v>379</v>
      </c>
      <c r="BH19" s="526" t="s">
        <v>406</v>
      </c>
      <c r="BI19" s="523" t="s">
        <v>379</v>
      </c>
      <c r="BJ19" s="523" t="s">
        <v>379</v>
      </c>
      <c r="BK19" s="526" t="s">
        <v>406</v>
      </c>
      <c r="BL19" s="523" t="s">
        <v>379</v>
      </c>
      <c r="BM19" s="523" t="s">
        <v>379</v>
      </c>
      <c r="BN19" s="526" t="s">
        <v>406</v>
      </c>
      <c r="BO19" s="523" t="s">
        <v>379</v>
      </c>
      <c r="BP19" s="523" t="s">
        <v>381</v>
      </c>
      <c r="BQ19" s="526" t="s">
        <v>407</v>
      </c>
      <c r="BR19" s="568">
        <v>0.72</v>
      </c>
      <c r="BS19" s="523" t="s">
        <v>379</v>
      </c>
      <c r="BT19" s="526" t="s">
        <v>407</v>
      </c>
      <c r="BU19" s="528" t="s">
        <v>379</v>
      </c>
      <c r="BV19" s="523" t="s">
        <v>379</v>
      </c>
      <c r="BW19" s="526" t="s">
        <v>407</v>
      </c>
      <c r="BX19" s="528" t="s">
        <v>379</v>
      </c>
      <c r="BY19" s="523" t="s">
        <v>381</v>
      </c>
      <c r="BZ19" s="526" t="s">
        <v>408</v>
      </c>
      <c r="CA19" s="532">
        <v>0.64</v>
      </c>
      <c r="CB19" s="523" t="s">
        <v>379</v>
      </c>
      <c r="CC19" s="526" t="s">
        <v>408</v>
      </c>
      <c r="CD19" s="528" t="s">
        <v>379</v>
      </c>
      <c r="CE19" s="523" t="s">
        <v>379</v>
      </c>
      <c r="CF19" s="526" t="s">
        <v>408</v>
      </c>
      <c r="CG19" s="528" t="s">
        <v>379</v>
      </c>
      <c r="CH19" s="523" t="s">
        <v>379</v>
      </c>
      <c r="CI19" s="526" t="s">
        <v>408</v>
      </c>
      <c r="CJ19" s="528" t="s">
        <v>379</v>
      </c>
      <c r="CK19" s="523" t="s">
        <v>379</v>
      </c>
      <c r="CL19" s="526" t="s">
        <v>408</v>
      </c>
      <c r="CM19" s="528" t="s">
        <v>379</v>
      </c>
      <c r="CN19" s="523" t="s">
        <v>383</v>
      </c>
      <c r="CO19" s="526" t="s">
        <v>408</v>
      </c>
      <c r="CP19" s="528" t="s">
        <v>383</v>
      </c>
      <c r="CQ19" s="523" t="s">
        <v>383</v>
      </c>
      <c r="CR19" s="526" t="s">
        <v>408</v>
      </c>
      <c r="CS19" s="528" t="s">
        <v>383</v>
      </c>
      <c r="CT19" s="523" t="s">
        <v>381</v>
      </c>
      <c r="CU19" s="526" t="s">
        <v>400</v>
      </c>
      <c r="CV19" s="529">
        <v>0.81</v>
      </c>
      <c r="CW19" s="523" t="s">
        <v>379</v>
      </c>
      <c r="CX19" s="526" t="s">
        <v>400</v>
      </c>
      <c r="CY19" s="523" t="s">
        <v>379</v>
      </c>
      <c r="CZ19" s="523" t="s">
        <v>379</v>
      </c>
      <c r="DA19" s="526" t="s">
        <v>400</v>
      </c>
      <c r="DB19" s="523" t="s">
        <v>379</v>
      </c>
      <c r="DC19" s="523" t="s">
        <v>379</v>
      </c>
      <c r="DD19" s="526" t="s">
        <v>400</v>
      </c>
      <c r="DE19" s="523" t="s">
        <v>379</v>
      </c>
      <c r="DF19" s="523" t="s">
        <v>379</v>
      </c>
      <c r="DG19" s="526" t="s">
        <v>400</v>
      </c>
      <c r="DH19" s="523" t="s">
        <v>379</v>
      </c>
      <c r="DI19" s="523" t="s">
        <v>379</v>
      </c>
      <c r="DJ19" s="526" t="s">
        <v>400</v>
      </c>
      <c r="DK19" s="523" t="s">
        <v>379</v>
      </c>
      <c r="DL19" s="523" t="s">
        <v>379</v>
      </c>
      <c r="DM19" s="526" t="s">
        <v>400</v>
      </c>
      <c r="DN19" s="523" t="s">
        <v>379</v>
      </c>
    </row>
    <row r="20" ht="15.0" customHeight="1">
      <c r="A20" s="53">
        <v>7.0</v>
      </c>
      <c r="B20" s="100" t="s">
        <v>95</v>
      </c>
      <c r="C20" s="100" t="s">
        <v>96</v>
      </c>
      <c r="D20" s="101" t="str">
        <f t="shared" si="1"/>
        <v>DATA</v>
      </c>
      <c r="E20" s="101" t="s">
        <v>97</v>
      </c>
      <c r="F20" s="101">
        <v>1105.0</v>
      </c>
      <c r="G20" s="111" t="s">
        <v>92</v>
      </c>
      <c r="H20" s="517">
        <v>1105.0</v>
      </c>
      <c r="I20" s="68" t="str">
        <f>IFERROR(VLOOKUP(C:C,'R22 RELATÓRIO ACC'!B:F,5,FALSE),"NOT PUBLISHED")</f>
        <v>V9</v>
      </c>
      <c r="J20" s="68" t="str">
        <f>IFERROR(VLOOKUP(C:C,'R22 RELATÓRIO ACC'!B:P,15,FALSE),"NOT PUBLISHED")</f>
        <v>27/03/2026</v>
      </c>
      <c r="K20" s="70" t="str">
        <f>IFERROR(VLOOKUP(B:B,'RELATÓRIO ACC'!B:F,5,FALSE),"NOT PUBLISHED")</f>
        <v>V2</v>
      </c>
      <c r="L20" s="518" t="str">
        <f>IFERROR(VLOOKUP(B:B,'RELATÓRIO ACC'!B:P,15,FALSE),"NOT PUBLISHED")</f>
        <v>26/06/2026</v>
      </c>
      <c r="M20" s="519" t="s">
        <v>384</v>
      </c>
      <c r="N20" s="569" t="s">
        <v>409</v>
      </c>
      <c r="O20" s="521" t="s">
        <v>410</v>
      </c>
      <c r="P20" s="522"/>
      <c r="Q20" s="523" t="s">
        <v>379</v>
      </c>
      <c r="R20" s="524">
        <v>0.0</v>
      </c>
      <c r="S20" s="543" t="s">
        <v>379</v>
      </c>
      <c r="T20" s="523" t="s">
        <v>379</v>
      </c>
      <c r="U20" s="558">
        <v>0.0</v>
      </c>
      <c r="V20" s="523" t="s">
        <v>379</v>
      </c>
      <c r="W20" s="523" t="s">
        <v>379</v>
      </c>
      <c r="X20" s="526" t="s">
        <v>380</v>
      </c>
      <c r="Y20" s="523" t="s">
        <v>379</v>
      </c>
      <c r="Z20" s="523" t="s">
        <v>379</v>
      </c>
      <c r="AA20" s="526">
        <v>0.0</v>
      </c>
      <c r="AB20" s="523" t="s">
        <v>379</v>
      </c>
      <c r="AC20" s="523" t="s">
        <v>379</v>
      </c>
      <c r="AD20" s="526">
        <v>0.0</v>
      </c>
      <c r="AE20" s="570" t="s">
        <v>379</v>
      </c>
      <c r="AF20" s="523" t="s">
        <v>381</v>
      </c>
      <c r="AG20" s="526" t="s">
        <v>399</v>
      </c>
      <c r="AH20" s="571">
        <v>0.95</v>
      </c>
      <c r="AI20" s="523" t="s">
        <v>379</v>
      </c>
      <c r="AJ20" s="526" t="s">
        <v>399</v>
      </c>
      <c r="AK20" s="523" t="s">
        <v>379</v>
      </c>
      <c r="AL20" s="523" t="s">
        <v>383</v>
      </c>
      <c r="AM20" s="526" t="s">
        <v>399</v>
      </c>
      <c r="AN20" s="523" t="s">
        <v>383</v>
      </c>
      <c r="AO20" s="523" t="s">
        <v>381</v>
      </c>
      <c r="AP20" s="526" t="s">
        <v>411</v>
      </c>
      <c r="AQ20" s="529">
        <v>0.95</v>
      </c>
      <c r="AR20" s="528" t="s">
        <v>379</v>
      </c>
      <c r="AS20" s="526" t="s">
        <v>411</v>
      </c>
      <c r="AT20" s="523" t="s">
        <v>379</v>
      </c>
      <c r="AU20" s="528" t="s">
        <v>379</v>
      </c>
      <c r="AV20" s="526" t="s">
        <v>412</v>
      </c>
      <c r="AW20" s="523" t="s">
        <v>379</v>
      </c>
      <c r="AX20" s="528" t="s">
        <v>379</v>
      </c>
      <c r="AY20" s="526" t="s">
        <v>412</v>
      </c>
      <c r="AZ20" s="523" t="s">
        <v>379</v>
      </c>
      <c r="BA20" s="528" t="s">
        <v>383</v>
      </c>
      <c r="BB20" s="526" t="s">
        <v>412</v>
      </c>
      <c r="BC20" s="523" t="s">
        <v>383</v>
      </c>
      <c r="BD20" s="528" t="s">
        <v>398</v>
      </c>
      <c r="BE20" s="526" t="s">
        <v>382</v>
      </c>
      <c r="BF20" s="523" t="s">
        <v>398</v>
      </c>
      <c r="BG20" s="528" t="s">
        <v>379</v>
      </c>
      <c r="BH20" s="526" t="s">
        <v>382</v>
      </c>
      <c r="BI20" s="523" t="s">
        <v>379</v>
      </c>
      <c r="BJ20" s="528" t="s">
        <v>379</v>
      </c>
      <c r="BK20" s="526" t="s">
        <v>382</v>
      </c>
      <c r="BL20" s="523" t="s">
        <v>379</v>
      </c>
      <c r="BM20" s="528" t="s">
        <v>379</v>
      </c>
      <c r="BN20" s="526" t="s">
        <v>382</v>
      </c>
      <c r="BO20" s="523" t="s">
        <v>379</v>
      </c>
      <c r="BP20" s="528" t="s">
        <v>379</v>
      </c>
      <c r="BQ20" s="526" t="s">
        <v>382</v>
      </c>
      <c r="BR20" s="523" t="s">
        <v>379</v>
      </c>
      <c r="BS20" s="528" t="s">
        <v>383</v>
      </c>
      <c r="BT20" s="526" t="s">
        <v>382</v>
      </c>
      <c r="BU20" s="523" t="s">
        <v>383</v>
      </c>
      <c r="BV20" s="528" t="s">
        <v>386</v>
      </c>
      <c r="BW20" s="526" t="s">
        <v>384</v>
      </c>
      <c r="BX20" s="529">
        <v>1.0</v>
      </c>
      <c r="BY20" s="528" t="s">
        <v>413</v>
      </c>
      <c r="BZ20" s="526" t="s">
        <v>384</v>
      </c>
      <c r="CA20" s="529">
        <v>1.0</v>
      </c>
      <c r="CB20" s="528" t="s">
        <v>413</v>
      </c>
      <c r="CC20" s="526" t="s">
        <v>384</v>
      </c>
      <c r="CD20" s="529">
        <v>1.0</v>
      </c>
      <c r="CE20" s="528" t="s">
        <v>413</v>
      </c>
      <c r="CF20" s="526" t="s">
        <v>384</v>
      </c>
      <c r="CG20" s="529">
        <v>1.0</v>
      </c>
      <c r="CH20" s="528" t="s">
        <v>413</v>
      </c>
      <c r="CI20" s="526" t="s">
        <v>384</v>
      </c>
      <c r="CJ20" s="529">
        <v>1.0</v>
      </c>
      <c r="CK20" s="528" t="s">
        <v>413</v>
      </c>
      <c r="CL20" s="526" t="s">
        <v>384</v>
      </c>
      <c r="CM20" s="529">
        <v>1.0</v>
      </c>
      <c r="CN20" s="528" t="s">
        <v>413</v>
      </c>
      <c r="CO20" s="526" t="s">
        <v>384</v>
      </c>
      <c r="CP20" s="532">
        <v>1.0</v>
      </c>
      <c r="CQ20" s="528" t="s">
        <v>413</v>
      </c>
      <c r="CR20" s="526" t="s">
        <v>384</v>
      </c>
      <c r="CS20" s="532">
        <v>1.0</v>
      </c>
      <c r="CT20" s="528" t="s">
        <v>413</v>
      </c>
      <c r="CU20" s="526" t="s">
        <v>384</v>
      </c>
      <c r="CV20" s="532">
        <v>1.0</v>
      </c>
      <c r="CW20" s="528" t="s">
        <v>413</v>
      </c>
      <c r="CX20" s="526" t="s">
        <v>384</v>
      </c>
      <c r="CY20" s="532">
        <v>1.0</v>
      </c>
      <c r="CZ20" s="528" t="s">
        <v>413</v>
      </c>
      <c r="DA20" s="526" t="s">
        <v>384</v>
      </c>
      <c r="DB20" s="532">
        <v>1.0</v>
      </c>
      <c r="DC20" s="528" t="s">
        <v>413</v>
      </c>
      <c r="DD20" s="526" t="s">
        <v>384</v>
      </c>
      <c r="DE20" s="532">
        <v>1.0</v>
      </c>
      <c r="DF20" s="528" t="s">
        <v>413</v>
      </c>
      <c r="DG20" s="526" t="s">
        <v>384</v>
      </c>
      <c r="DH20" s="532">
        <v>1.0</v>
      </c>
      <c r="DI20" s="528" t="s">
        <v>413</v>
      </c>
      <c r="DJ20" s="526" t="s">
        <v>384</v>
      </c>
      <c r="DK20" s="532">
        <v>1.0</v>
      </c>
      <c r="DL20" s="528" t="s">
        <v>413</v>
      </c>
      <c r="DM20" s="526" t="s">
        <v>384</v>
      </c>
      <c r="DN20" s="532">
        <v>1.0</v>
      </c>
    </row>
    <row r="21" ht="15.0" hidden="1" customHeight="1">
      <c r="A21" s="53">
        <v>20.0</v>
      </c>
      <c r="B21" s="124" t="s">
        <v>151</v>
      </c>
      <c r="C21" s="125"/>
      <c r="D21" s="126"/>
      <c r="E21" s="126"/>
      <c r="F21" s="126"/>
      <c r="G21" s="126"/>
      <c r="H21" s="128"/>
      <c r="I21" s="126"/>
      <c r="J21" s="126"/>
      <c r="K21" s="129"/>
      <c r="L21" s="128"/>
      <c r="M21" s="572"/>
      <c r="N21" s="573"/>
      <c r="O21" s="574"/>
      <c r="P21" s="574"/>
      <c r="Q21" s="575"/>
      <c r="R21" s="576"/>
      <c r="S21" s="577"/>
      <c r="T21" s="575"/>
      <c r="U21" s="576"/>
      <c r="V21" s="577"/>
      <c r="W21" s="575"/>
      <c r="X21" s="576"/>
      <c r="Y21" s="577"/>
      <c r="Z21" s="575"/>
      <c r="AA21" s="576"/>
      <c r="AB21" s="577"/>
      <c r="AC21" s="578"/>
      <c r="AD21" s="578"/>
      <c r="AE21" s="578"/>
      <c r="AF21" s="578"/>
      <c r="AG21" s="578"/>
      <c r="AH21" s="578"/>
      <c r="AI21" s="578"/>
      <c r="AJ21" s="578"/>
      <c r="AK21" s="578"/>
      <c r="AL21" s="578"/>
      <c r="AM21" s="578"/>
      <c r="AN21" s="578"/>
      <c r="AO21" s="578"/>
      <c r="AP21" s="578"/>
      <c r="AQ21" s="578"/>
      <c r="AR21" s="578"/>
      <c r="AS21" s="578"/>
      <c r="AT21" s="578"/>
      <c r="AU21" s="578"/>
      <c r="AV21" s="578"/>
      <c r="AW21" s="578"/>
      <c r="AX21" s="578"/>
      <c r="AY21" s="578"/>
      <c r="AZ21" s="578"/>
      <c r="BA21" s="578"/>
      <c r="BB21" s="578"/>
      <c r="BC21" s="578"/>
      <c r="BD21" s="578"/>
      <c r="BE21" s="578"/>
      <c r="BF21" s="578"/>
      <c r="BG21" s="578"/>
      <c r="BH21" s="578"/>
      <c r="BI21" s="578"/>
      <c r="BJ21" s="578"/>
      <c r="BK21" s="578"/>
      <c r="BL21" s="578"/>
      <c r="BM21" s="578"/>
      <c r="BN21" s="578"/>
      <c r="BO21" s="578"/>
      <c r="BP21" s="578"/>
      <c r="BQ21" s="578"/>
      <c r="BR21" s="578"/>
      <c r="BS21" s="578"/>
      <c r="BT21" s="578"/>
      <c r="BU21" s="578"/>
      <c r="BV21" s="578"/>
      <c r="BW21" s="578"/>
      <c r="BX21" s="578"/>
      <c r="BY21" s="578"/>
      <c r="BZ21" s="578"/>
      <c r="CA21" s="578"/>
      <c r="CB21" s="578"/>
      <c r="CC21" s="578"/>
      <c r="CD21" s="578"/>
      <c r="CE21" s="578"/>
      <c r="CF21" s="578"/>
      <c r="CG21" s="578"/>
      <c r="CH21" s="578"/>
      <c r="CI21" s="578"/>
      <c r="CJ21" s="578"/>
      <c r="CK21" s="578"/>
      <c r="CL21" s="578"/>
      <c r="CM21" s="578"/>
      <c r="CN21" s="578"/>
      <c r="CO21" s="578"/>
      <c r="CP21" s="578"/>
      <c r="CQ21" s="578"/>
      <c r="CR21" s="578"/>
      <c r="CS21" s="578"/>
      <c r="CT21" s="578"/>
      <c r="CU21" s="578"/>
      <c r="CV21" s="578"/>
      <c r="CW21" s="578"/>
      <c r="CX21" s="578"/>
      <c r="CY21" s="578"/>
      <c r="CZ21" s="578"/>
      <c r="DA21" s="578"/>
      <c r="DB21" s="578"/>
      <c r="DC21" s="578"/>
      <c r="DD21" s="578"/>
      <c r="DE21" s="578"/>
      <c r="DF21" s="578"/>
      <c r="DG21" s="578"/>
      <c r="DH21" s="578"/>
      <c r="DI21" s="578"/>
      <c r="DJ21" s="578"/>
      <c r="DK21" s="578"/>
      <c r="DL21" s="578"/>
      <c r="DM21" s="578"/>
      <c r="DN21" s="578"/>
    </row>
    <row r="22" ht="15.0" customHeight="1">
      <c r="A22" s="53">
        <v>8.0</v>
      </c>
      <c r="B22" s="100" t="s">
        <v>98</v>
      </c>
      <c r="C22" s="100" t="s">
        <v>99</v>
      </c>
      <c r="D22" s="101" t="str">
        <f>MID(B22,17,4)</f>
        <v>DATA</v>
      </c>
      <c r="E22" s="111" t="s">
        <v>91</v>
      </c>
      <c r="F22" s="102">
        <v>1104.0</v>
      </c>
      <c r="G22" s="517" t="s">
        <v>92</v>
      </c>
      <c r="H22" s="517">
        <v>1127.0</v>
      </c>
      <c r="I22" s="68" t="str">
        <f>IFERROR(VLOOKUP(C:C,'R22 RELATÓRIO ACC'!B:F,5,FALSE),"NOT PUBLISHED")</f>
        <v>V13</v>
      </c>
      <c r="J22" s="68" t="str">
        <f>IFERROR(VLOOKUP(C:C,'R22 RELATÓRIO ACC'!B:P,15,FALSE),"NOT PUBLISHED")</f>
        <v>02/03/2026</v>
      </c>
      <c r="K22" s="70" t="str">
        <f>IFERROR(VLOOKUP(B:B,'RELATÓRIO ACC'!B:F,5,FALSE),"NOT PUBLISHED")</f>
        <v>V3</v>
      </c>
      <c r="L22" s="518" t="str">
        <f>IFERROR(VLOOKUP(B:B,'RELATÓRIO ACC'!B:P,15,FALSE),"NOT PUBLISHED")</f>
        <v>24/06/2026</v>
      </c>
      <c r="M22" s="519" t="s">
        <v>387</v>
      </c>
      <c r="N22" s="520">
        <v>46171.0</v>
      </c>
      <c r="O22" s="538" t="s">
        <v>378</v>
      </c>
      <c r="P22" s="522"/>
      <c r="Q22" s="523" t="s">
        <v>379</v>
      </c>
      <c r="R22" s="524">
        <v>0.0</v>
      </c>
      <c r="S22" s="525" t="s">
        <v>379</v>
      </c>
      <c r="T22" s="523" t="s">
        <v>379</v>
      </c>
      <c r="U22" s="558">
        <v>0.0</v>
      </c>
      <c r="V22" s="525" t="s">
        <v>379</v>
      </c>
      <c r="W22" s="523" t="s">
        <v>379</v>
      </c>
      <c r="X22" s="526" t="s">
        <v>380</v>
      </c>
      <c r="Y22" s="523" t="s">
        <v>379</v>
      </c>
      <c r="Z22" s="523" t="s">
        <v>379</v>
      </c>
      <c r="AA22" s="526">
        <v>0.0</v>
      </c>
      <c r="AB22" s="523" t="s">
        <v>379</v>
      </c>
      <c r="AC22" s="523" t="s">
        <v>379</v>
      </c>
      <c r="AD22" s="526">
        <v>0.0</v>
      </c>
      <c r="AE22" s="570" t="s">
        <v>379</v>
      </c>
      <c r="AF22" s="523" t="s">
        <v>381</v>
      </c>
      <c r="AG22" s="526" t="s">
        <v>385</v>
      </c>
      <c r="AH22" s="571">
        <v>0.52</v>
      </c>
      <c r="AI22" s="523" t="s">
        <v>379</v>
      </c>
      <c r="AJ22" s="526" t="s">
        <v>385</v>
      </c>
      <c r="AK22" s="523" t="s">
        <v>379</v>
      </c>
      <c r="AL22" s="523" t="s">
        <v>383</v>
      </c>
      <c r="AM22" s="526" t="s">
        <v>385</v>
      </c>
      <c r="AN22" s="523" t="s">
        <v>383</v>
      </c>
      <c r="AO22" s="523" t="s">
        <v>381</v>
      </c>
      <c r="AP22" s="526" t="s">
        <v>414</v>
      </c>
      <c r="AQ22" s="529">
        <v>0.86</v>
      </c>
      <c r="AR22" s="523" t="s">
        <v>379</v>
      </c>
      <c r="AS22" s="526" t="s">
        <v>414</v>
      </c>
      <c r="AT22" s="523" t="s">
        <v>379</v>
      </c>
      <c r="AU22" s="528" t="s">
        <v>379</v>
      </c>
      <c r="AV22" s="526" t="s">
        <v>415</v>
      </c>
      <c r="AW22" s="523" t="s">
        <v>379</v>
      </c>
      <c r="AX22" s="528" t="s">
        <v>379</v>
      </c>
      <c r="AY22" s="526" t="s">
        <v>415</v>
      </c>
      <c r="AZ22" s="523" t="s">
        <v>379</v>
      </c>
      <c r="BA22" s="528" t="s">
        <v>379</v>
      </c>
      <c r="BB22" s="526" t="s">
        <v>415</v>
      </c>
      <c r="BC22" s="523" t="s">
        <v>379</v>
      </c>
      <c r="BD22" s="528" t="s">
        <v>379</v>
      </c>
      <c r="BE22" s="526" t="s">
        <v>415</v>
      </c>
      <c r="BF22" s="523" t="s">
        <v>379</v>
      </c>
      <c r="BG22" s="528" t="s">
        <v>379</v>
      </c>
      <c r="BH22" s="526" t="s">
        <v>415</v>
      </c>
      <c r="BI22" s="523" t="s">
        <v>379</v>
      </c>
      <c r="BJ22" s="528" t="s">
        <v>379</v>
      </c>
      <c r="BK22" s="526" t="s">
        <v>415</v>
      </c>
      <c r="BL22" s="523" t="s">
        <v>379</v>
      </c>
      <c r="BM22" s="528" t="s">
        <v>379</v>
      </c>
      <c r="BN22" s="526" t="s">
        <v>415</v>
      </c>
      <c r="BO22" s="523" t="s">
        <v>379</v>
      </c>
      <c r="BP22" s="528" t="s">
        <v>379</v>
      </c>
      <c r="BQ22" s="526" t="s">
        <v>415</v>
      </c>
      <c r="BR22" s="523" t="s">
        <v>379</v>
      </c>
      <c r="BS22" s="528" t="s">
        <v>379</v>
      </c>
      <c r="BT22" s="526" t="s">
        <v>415</v>
      </c>
      <c r="BU22" s="523" t="s">
        <v>379</v>
      </c>
      <c r="BV22" s="528" t="s">
        <v>379</v>
      </c>
      <c r="BW22" s="526" t="s">
        <v>415</v>
      </c>
      <c r="BX22" s="523" t="s">
        <v>379</v>
      </c>
      <c r="BY22" s="528" t="s">
        <v>381</v>
      </c>
      <c r="BZ22" s="526" t="s">
        <v>415</v>
      </c>
      <c r="CA22" s="529">
        <v>0.89</v>
      </c>
      <c r="CB22" s="528" t="s">
        <v>379</v>
      </c>
      <c r="CC22" s="526" t="s">
        <v>415</v>
      </c>
      <c r="CD22" s="523" t="s">
        <v>379</v>
      </c>
      <c r="CE22" s="528" t="s">
        <v>379</v>
      </c>
      <c r="CF22" s="526" t="s">
        <v>415</v>
      </c>
      <c r="CG22" s="523" t="s">
        <v>379</v>
      </c>
      <c r="CH22" s="528" t="s">
        <v>379</v>
      </c>
      <c r="CI22" s="526" t="s">
        <v>415</v>
      </c>
      <c r="CJ22" s="523" t="s">
        <v>379</v>
      </c>
      <c r="CK22" s="528" t="s">
        <v>379</v>
      </c>
      <c r="CL22" s="526" t="s">
        <v>415</v>
      </c>
      <c r="CM22" s="523" t="s">
        <v>379</v>
      </c>
      <c r="CN22" s="528" t="s">
        <v>383</v>
      </c>
      <c r="CO22" s="526" t="s">
        <v>415</v>
      </c>
      <c r="CP22" s="523" t="s">
        <v>383</v>
      </c>
      <c r="CQ22" s="528" t="s">
        <v>386</v>
      </c>
      <c r="CR22" s="526" t="s">
        <v>415</v>
      </c>
      <c r="CS22" s="532">
        <v>1.0</v>
      </c>
      <c r="CT22" s="528" t="s">
        <v>413</v>
      </c>
      <c r="CU22" s="526" t="s">
        <v>415</v>
      </c>
      <c r="CV22" s="532">
        <v>1.0</v>
      </c>
      <c r="CW22" s="528" t="s">
        <v>413</v>
      </c>
      <c r="CX22" s="526" t="s">
        <v>415</v>
      </c>
      <c r="CY22" s="532">
        <v>1.0</v>
      </c>
      <c r="CZ22" s="528" t="s">
        <v>413</v>
      </c>
      <c r="DA22" s="526" t="s">
        <v>415</v>
      </c>
      <c r="DB22" s="532">
        <v>1.0</v>
      </c>
      <c r="DC22" s="528" t="s">
        <v>413</v>
      </c>
      <c r="DD22" s="526" t="s">
        <v>415</v>
      </c>
      <c r="DE22" s="532">
        <v>1.0</v>
      </c>
      <c r="DF22" s="528" t="s">
        <v>413</v>
      </c>
      <c r="DG22" s="526" t="s">
        <v>415</v>
      </c>
      <c r="DH22" s="532">
        <v>1.0</v>
      </c>
      <c r="DI22" s="528" t="s">
        <v>413</v>
      </c>
      <c r="DJ22" s="526" t="s">
        <v>415</v>
      </c>
      <c r="DK22" s="532">
        <v>1.0</v>
      </c>
      <c r="DL22" s="528" t="s">
        <v>413</v>
      </c>
      <c r="DM22" s="526" t="s">
        <v>415</v>
      </c>
      <c r="DN22" s="532">
        <v>1.0</v>
      </c>
    </row>
    <row r="23" ht="15.0" hidden="1" customHeight="1">
      <c r="A23" s="53">
        <v>22.0</v>
      </c>
      <c r="B23" s="146" t="s">
        <v>158</v>
      </c>
      <c r="C23" s="147"/>
      <c r="D23" s="148"/>
      <c r="E23" s="148"/>
      <c r="F23" s="148"/>
      <c r="G23" s="148"/>
      <c r="H23" s="150"/>
      <c r="I23" s="148"/>
      <c r="J23" s="148"/>
      <c r="K23" s="151"/>
      <c r="L23" s="148"/>
      <c r="M23" s="579"/>
      <c r="N23" s="580"/>
      <c r="O23" s="581"/>
      <c r="P23" s="581"/>
      <c r="Q23" s="582"/>
      <c r="R23" s="583"/>
      <c r="S23" s="584"/>
      <c r="T23" s="582"/>
      <c r="U23" s="583"/>
      <c r="V23" s="584"/>
      <c r="W23" s="582"/>
      <c r="X23" s="583"/>
      <c r="Y23" s="584"/>
      <c r="Z23" s="582"/>
      <c r="AA23" s="583"/>
      <c r="AB23" s="584"/>
      <c r="AC23" s="585"/>
      <c r="AD23" s="585"/>
      <c r="AE23" s="585"/>
      <c r="AF23" s="585"/>
      <c r="AG23" s="585"/>
      <c r="AH23" s="585"/>
      <c r="AI23" s="585"/>
      <c r="AJ23" s="585"/>
      <c r="AK23" s="585"/>
      <c r="AL23" s="585"/>
      <c r="AM23" s="585"/>
      <c r="AN23" s="585"/>
      <c r="AO23" s="585"/>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c r="BM23" s="585"/>
      <c r="BN23" s="585"/>
      <c r="BO23" s="585"/>
      <c r="BP23" s="585"/>
      <c r="BQ23" s="585"/>
      <c r="BR23" s="585"/>
      <c r="BS23" s="585"/>
      <c r="BT23" s="585"/>
      <c r="BU23" s="585"/>
      <c r="BV23" s="585"/>
      <c r="BW23" s="585"/>
      <c r="BX23" s="585"/>
      <c r="BY23" s="585"/>
      <c r="BZ23" s="585"/>
      <c r="CA23" s="585"/>
      <c r="CB23" s="585"/>
      <c r="CC23" s="585"/>
      <c r="CD23" s="585"/>
      <c r="CE23" s="585"/>
      <c r="CF23" s="585"/>
      <c r="CG23" s="585"/>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row>
    <row r="24" ht="15.0" customHeight="1">
      <c r="A24" s="53">
        <v>11.0</v>
      </c>
      <c r="B24" s="100" t="s">
        <v>112</v>
      </c>
      <c r="C24" s="100" t="s">
        <v>113</v>
      </c>
      <c r="D24" s="101" t="str">
        <f>MID(B24,17,4)</f>
        <v>DATA</v>
      </c>
      <c r="E24" s="101" t="s">
        <v>114</v>
      </c>
      <c r="F24" s="102">
        <v>1108.0</v>
      </c>
      <c r="G24" s="517" t="s">
        <v>114</v>
      </c>
      <c r="H24" s="517">
        <v>1108.0</v>
      </c>
      <c r="I24" s="68" t="str">
        <f>IFERROR(VLOOKUP(C:C,'R22 RELATÓRIO ACC'!B:F,5,FALSE),"NOT PUBLISHED")</f>
        <v>V4</v>
      </c>
      <c r="J24" s="68" t="str">
        <f>IFERROR(VLOOKUP(C:C,'R22 RELATÓRIO ACC'!B:P,15,FALSE),"NOT PUBLISHED")</f>
        <v>10/04/2026</v>
      </c>
      <c r="K24" s="70" t="str">
        <f>IFERROR(VLOOKUP(B:B,'RELATÓRIO ACC'!B:F,5,FALSE),"NOT PUBLISHED")</f>
        <v>V2</v>
      </c>
      <c r="L24" s="518" t="str">
        <f>IFERROR(VLOOKUP(B:B,'RELATÓRIO ACC'!B:P,15,FALSE),"NOT PUBLISHED")</f>
        <v>04/06/2026</v>
      </c>
      <c r="M24" s="519" t="s">
        <v>387</v>
      </c>
      <c r="N24" s="586">
        <v>46177.0</v>
      </c>
      <c r="O24" s="538" t="s">
        <v>378</v>
      </c>
      <c r="P24" s="522"/>
      <c r="Q24" s="523" t="s">
        <v>388</v>
      </c>
      <c r="R24" s="558" t="s">
        <v>380</v>
      </c>
      <c r="S24" s="555" t="s">
        <v>388</v>
      </c>
      <c r="T24" s="523" t="s">
        <v>388</v>
      </c>
      <c r="U24" s="558" t="s">
        <v>380</v>
      </c>
      <c r="V24" s="525" t="s">
        <v>388</v>
      </c>
      <c r="W24" s="523" t="s">
        <v>388</v>
      </c>
      <c r="X24" s="526" t="s">
        <v>380</v>
      </c>
      <c r="Y24" s="525" t="s">
        <v>388</v>
      </c>
      <c r="Z24" s="523" t="s">
        <v>388</v>
      </c>
      <c r="AA24" s="524" t="s">
        <v>380</v>
      </c>
      <c r="AB24" s="523" t="s">
        <v>388</v>
      </c>
      <c r="AC24" s="523" t="s">
        <v>388</v>
      </c>
      <c r="AD24" s="524" t="s">
        <v>380</v>
      </c>
      <c r="AE24" s="523" t="s">
        <v>388</v>
      </c>
      <c r="AF24" s="523" t="s">
        <v>388</v>
      </c>
      <c r="AG24" s="524" t="s">
        <v>380</v>
      </c>
      <c r="AH24" s="523" t="s">
        <v>388</v>
      </c>
      <c r="AI24" s="523" t="s">
        <v>388</v>
      </c>
      <c r="AJ24" s="524" t="s">
        <v>380</v>
      </c>
      <c r="AK24" s="523" t="s">
        <v>388</v>
      </c>
      <c r="AL24" s="523" t="s">
        <v>388</v>
      </c>
      <c r="AM24" s="524" t="s">
        <v>380</v>
      </c>
      <c r="AN24" s="523" t="s">
        <v>388</v>
      </c>
      <c r="AO24" s="523" t="s">
        <v>388</v>
      </c>
      <c r="AP24" s="524" t="s">
        <v>380</v>
      </c>
      <c r="AQ24" s="523" t="s">
        <v>388</v>
      </c>
      <c r="AR24" s="528" t="s">
        <v>388</v>
      </c>
      <c r="AS24" s="524" t="s">
        <v>380</v>
      </c>
      <c r="AT24" s="523" t="s">
        <v>388</v>
      </c>
      <c r="AU24" s="528" t="s">
        <v>388</v>
      </c>
      <c r="AV24" s="524" t="s">
        <v>380</v>
      </c>
      <c r="AW24" s="523" t="s">
        <v>388</v>
      </c>
      <c r="AX24" s="528" t="s">
        <v>388</v>
      </c>
      <c r="AY24" s="524" t="s">
        <v>380</v>
      </c>
      <c r="AZ24" s="523" t="s">
        <v>388</v>
      </c>
      <c r="BA24" s="528" t="s">
        <v>388</v>
      </c>
      <c r="BB24" s="524" t="s">
        <v>380</v>
      </c>
      <c r="BC24" s="523" t="s">
        <v>388</v>
      </c>
      <c r="BD24" s="528" t="s">
        <v>388</v>
      </c>
      <c r="BE24" s="524" t="s">
        <v>380</v>
      </c>
      <c r="BF24" s="523" t="s">
        <v>388</v>
      </c>
      <c r="BG24" s="528" t="s">
        <v>388</v>
      </c>
      <c r="BH24" s="524" t="s">
        <v>380</v>
      </c>
      <c r="BI24" s="523" t="s">
        <v>388</v>
      </c>
      <c r="BJ24" s="528" t="s">
        <v>383</v>
      </c>
      <c r="BK24" s="524" t="s">
        <v>380</v>
      </c>
      <c r="BL24" s="523" t="s">
        <v>383</v>
      </c>
      <c r="BM24" s="528" t="s">
        <v>383</v>
      </c>
      <c r="BN24" s="524" t="s">
        <v>380</v>
      </c>
      <c r="BO24" s="523" t="s">
        <v>383</v>
      </c>
      <c r="BP24" s="528" t="s">
        <v>383</v>
      </c>
      <c r="BQ24" s="524" t="s">
        <v>380</v>
      </c>
      <c r="BR24" s="565">
        <v>0.0</v>
      </c>
      <c r="BS24" s="528" t="s">
        <v>383</v>
      </c>
      <c r="BT24" s="524" t="s">
        <v>380</v>
      </c>
      <c r="BU24" s="523" t="s">
        <v>383</v>
      </c>
      <c r="BV24" s="528" t="s">
        <v>381</v>
      </c>
      <c r="BW24" s="526" t="s">
        <v>400</v>
      </c>
      <c r="BX24" s="529">
        <v>0.8</v>
      </c>
      <c r="BY24" s="528" t="s">
        <v>383</v>
      </c>
      <c r="BZ24" s="526" t="s">
        <v>400</v>
      </c>
      <c r="CA24" s="523" t="s">
        <v>383</v>
      </c>
      <c r="CB24" s="528" t="s">
        <v>383</v>
      </c>
      <c r="CC24" s="526" t="s">
        <v>400</v>
      </c>
      <c r="CD24" s="523" t="s">
        <v>383</v>
      </c>
      <c r="CE24" s="528" t="s">
        <v>383</v>
      </c>
      <c r="CF24" s="526" t="s">
        <v>400</v>
      </c>
      <c r="CG24" s="523" t="s">
        <v>383</v>
      </c>
      <c r="CH24" s="528" t="s">
        <v>383</v>
      </c>
      <c r="CI24" s="526" t="s">
        <v>400</v>
      </c>
      <c r="CJ24" s="523" t="s">
        <v>383</v>
      </c>
      <c r="CK24" s="528" t="s">
        <v>383</v>
      </c>
      <c r="CL24" s="526" t="s">
        <v>400</v>
      </c>
      <c r="CM24" s="523" t="s">
        <v>383</v>
      </c>
      <c r="CN24" s="528" t="s">
        <v>383</v>
      </c>
      <c r="CO24" s="526" t="s">
        <v>400</v>
      </c>
      <c r="CP24" s="523" t="s">
        <v>383</v>
      </c>
      <c r="CQ24" s="528" t="s">
        <v>383</v>
      </c>
      <c r="CR24" s="526" t="s">
        <v>400</v>
      </c>
      <c r="CS24" s="523" t="s">
        <v>383</v>
      </c>
      <c r="CT24" s="528" t="s">
        <v>386</v>
      </c>
      <c r="CU24" s="526" t="s">
        <v>387</v>
      </c>
      <c r="CV24" s="529">
        <v>1.0</v>
      </c>
      <c r="CW24" s="528" t="s">
        <v>413</v>
      </c>
      <c r="CX24" s="526" t="s">
        <v>387</v>
      </c>
      <c r="CY24" s="529">
        <v>1.0</v>
      </c>
      <c r="CZ24" s="528" t="s">
        <v>413</v>
      </c>
      <c r="DA24" s="526" t="s">
        <v>387</v>
      </c>
      <c r="DB24" s="529">
        <v>1.0</v>
      </c>
      <c r="DC24" s="528" t="s">
        <v>413</v>
      </c>
      <c r="DD24" s="526" t="s">
        <v>387</v>
      </c>
      <c r="DE24" s="529">
        <v>1.0</v>
      </c>
      <c r="DF24" s="528" t="s">
        <v>413</v>
      </c>
      <c r="DG24" s="526" t="s">
        <v>387</v>
      </c>
      <c r="DH24" s="529">
        <v>1.0</v>
      </c>
      <c r="DI24" s="528" t="s">
        <v>413</v>
      </c>
      <c r="DJ24" s="526" t="s">
        <v>387</v>
      </c>
      <c r="DK24" s="529">
        <v>1.0</v>
      </c>
      <c r="DL24" s="528" t="s">
        <v>413</v>
      </c>
      <c r="DM24" s="526" t="s">
        <v>387</v>
      </c>
      <c r="DN24" s="529">
        <v>1.0</v>
      </c>
    </row>
    <row r="25" ht="13.5" hidden="1" customHeight="1">
      <c r="A25" s="53">
        <v>24.0</v>
      </c>
      <c r="B25" s="146" t="s">
        <v>162</v>
      </c>
      <c r="C25" s="147"/>
      <c r="D25" s="148"/>
      <c r="E25" s="148"/>
      <c r="F25" s="148"/>
      <c r="G25" s="148"/>
      <c r="H25" s="150"/>
      <c r="I25" s="148"/>
      <c r="J25" s="148"/>
      <c r="K25" s="151"/>
      <c r="L25" s="148"/>
      <c r="M25" s="579"/>
      <c r="N25" s="580"/>
      <c r="O25" s="581"/>
      <c r="P25" s="581"/>
      <c r="Q25" s="582"/>
      <c r="R25" s="583"/>
      <c r="S25" s="584"/>
      <c r="T25" s="582"/>
      <c r="U25" s="583"/>
      <c r="V25" s="584"/>
      <c r="W25" s="582"/>
      <c r="X25" s="583"/>
      <c r="Y25" s="584"/>
      <c r="Z25" s="582"/>
      <c r="AA25" s="583"/>
      <c r="AB25" s="584"/>
      <c r="AC25" s="585"/>
      <c r="AD25" s="585"/>
      <c r="AE25" s="585"/>
      <c r="AF25" s="585"/>
      <c r="AG25" s="585"/>
      <c r="AH25" s="585"/>
      <c r="AI25" s="585"/>
      <c r="AJ25" s="585"/>
      <c r="AK25" s="585"/>
      <c r="AL25" s="585"/>
      <c r="AM25" s="585"/>
      <c r="AN25" s="585"/>
      <c r="AO25" s="585"/>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c r="BM25" s="585"/>
      <c r="BN25" s="585"/>
      <c r="BO25" s="585"/>
      <c r="BP25" s="585"/>
      <c r="BQ25" s="585"/>
      <c r="BR25" s="585"/>
      <c r="BS25" s="585"/>
      <c r="BT25" s="585"/>
      <c r="BU25" s="585"/>
      <c r="BV25" s="585"/>
      <c r="BW25" s="585"/>
      <c r="BX25" s="585"/>
      <c r="BY25" s="585"/>
      <c r="BZ25" s="585"/>
      <c r="CA25" s="585"/>
      <c r="CB25" s="585"/>
      <c r="CC25" s="585"/>
      <c r="CD25" s="585"/>
      <c r="CE25" s="585"/>
      <c r="CF25" s="585"/>
      <c r="CG25" s="585"/>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row>
    <row r="26" ht="15.0" customHeight="1">
      <c r="A26" s="53">
        <v>12.0</v>
      </c>
      <c r="B26" s="100" t="s">
        <v>118</v>
      </c>
      <c r="C26" s="100" t="s">
        <v>119</v>
      </c>
      <c r="D26" s="101" t="str">
        <f>MID(B26,17,4)</f>
        <v>DATA</v>
      </c>
      <c r="E26" s="101" t="s">
        <v>120</v>
      </c>
      <c r="F26" s="102">
        <v>1110.0</v>
      </c>
      <c r="G26" s="517" t="s">
        <v>121</v>
      </c>
      <c r="H26" s="517">
        <v>1128.0</v>
      </c>
      <c r="I26" s="68" t="str">
        <f>IFERROR(VLOOKUP(C:C,'R22 RELATÓRIO ACC'!B:F,5,FALSE),"NOT PUBLISHED")</f>
        <v>V25</v>
      </c>
      <c r="J26" s="68" t="str">
        <f>IFERROR(VLOOKUP(C:C,'R22 RELATÓRIO ACC'!B:P,15,FALSE),"NOT PUBLISHED")</f>
        <v>06/05/2026</v>
      </c>
      <c r="K26" s="70" t="str">
        <f>IFERROR(VLOOKUP(B:B,'RELATÓRIO ACC'!B:F,5,FALSE),"NOT PUBLISHED")</f>
        <v>V3</v>
      </c>
      <c r="L26" s="518" t="str">
        <f>IFERROR(VLOOKUP(B:B,'RELATÓRIO ACC'!B:P,15,FALSE),"NOT PUBLISHED")</f>
        <v>07/07/2026</v>
      </c>
      <c r="M26" s="519" t="s">
        <v>403</v>
      </c>
      <c r="N26" s="520">
        <v>46100.0</v>
      </c>
      <c r="O26" s="538" t="s">
        <v>410</v>
      </c>
      <c r="P26" s="587" t="s">
        <v>416</v>
      </c>
      <c r="Q26" s="523" t="s">
        <v>379</v>
      </c>
      <c r="R26" s="558">
        <v>0.0</v>
      </c>
      <c r="S26" s="523" t="s">
        <v>379</v>
      </c>
      <c r="T26" s="523" t="s">
        <v>379</v>
      </c>
      <c r="U26" s="558">
        <v>0.0</v>
      </c>
      <c r="V26" s="543" t="s">
        <v>379</v>
      </c>
      <c r="W26" s="523" t="s">
        <v>379</v>
      </c>
      <c r="X26" s="526" t="s">
        <v>380</v>
      </c>
      <c r="Y26" s="523" t="s">
        <v>379</v>
      </c>
      <c r="Z26" s="523" t="s">
        <v>381</v>
      </c>
      <c r="AA26" s="526">
        <v>0.0</v>
      </c>
      <c r="AB26" s="546">
        <v>0.5</v>
      </c>
      <c r="AC26" s="523" t="s">
        <v>383</v>
      </c>
      <c r="AD26" s="526">
        <v>0.0</v>
      </c>
      <c r="AE26" s="523" t="s">
        <v>383</v>
      </c>
      <c r="AF26" s="523" t="s">
        <v>381</v>
      </c>
      <c r="AG26" s="526" t="s">
        <v>385</v>
      </c>
      <c r="AH26" s="529">
        <v>0.83</v>
      </c>
      <c r="AI26" s="523" t="s">
        <v>379</v>
      </c>
      <c r="AJ26" s="526" t="s">
        <v>385</v>
      </c>
      <c r="AK26" s="523" t="s">
        <v>379</v>
      </c>
      <c r="AL26" s="523" t="s">
        <v>383</v>
      </c>
      <c r="AM26" s="526" t="s">
        <v>385</v>
      </c>
      <c r="AN26" s="523" t="s">
        <v>383</v>
      </c>
      <c r="AO26" s="528" t="s">
        <v>398</v>
      </c>
      <c r="AP26" s="526" t="s">
        <v>417</v>
      </c>
      <c r="AQ26" s="528" t="s">
        <v>398</v>
      </c>
      <c r="AR26" s="528" t="s">
        <v>381</v>
      </c>
      <c r="AS26" s="526" t="s">
        <v>418</v>
      </c>
      <c r="AT26" s="532">
        <v>0.88</v>
      </c>
      <c r="AU26" s="528" t="s">
        <v>398</v>
      </c>
      <c r="AV26" s="526" t="s">
        <v>419</v>
      </c>
      <c r="AW26" s="528" t="s">
        <v>398</v>
      </c>
      <c r="AX26" s="528" t="s">
        <v>398</v>
      </c>
      <c r="AY26" s="526" t="s">
        <v>419</v>
      </c>
      <c r="AZ26" s="528" t="s">
        <v>398</v>
      </c>
      <c r="BA26" s="528" t="s">
        <v>398</v>
      </c>
      <c r="BB26" s="526" t="s">
        <v>419</v>
      </c>
      <c r="BC26" s="528" t="s">
        <v>398</v>
      </c>
      <c r="BD26" s="528" t="s">
        <v>379</v>
      </c>
      <c r="BE26" s="526" t="s">
        <v>419</v>
      </c>
      <c r="BF26" s="528" t="s">
        <v>379</v>
      </c>
      <c r="BG26" s="528" t="s">
        <v>379</v>
      </c>
      <c r="BH26" s="526" t="s">
        <v>419</v>
      </c>
      <c r="BI26" s="528" t="s">
        <v>379</v>
      </c>
      <c r="BJ26" s="528" t="s">
        <v>381</v>
      </c>
      <c r="BK26" s="526" t="s">
        <v>401</v>
      </c>
      <c r="BL26" s="568">
        <v>0.88</v>
      </c>
      <c r="BM26" s="528" t="s">
        <v>383</v>
      </c>
      <c r="BN26" s="526" t="s">
        <v>401</v>
      </c>
      <c r="BO26" s="528" t="s">
        <v>383</v>
      </c>
      <c r="BP26" s="528" t="s">
        <v>386</v>
      </c>
      <c r="BQ26" s="526" t="s">
        <v>403</v>
      </c>
      <c r="BR26" s="532">
        <v>1.0</v>
      </c>
      <c r="BS26" s="528" t="s">
        <v>413</v>
      </c>
      <c r="BT26" s="526" t="s">
        <v>403</v>
      </c>
      <c r="BU26" s="532">
        <v>1.0</v>
      </c>
      <c r="BV26" s="528" t="s">
        <v>413</v>
      </c>
      <c r="BW26" s="526" t="s">
        <v>403</v>
      </c>
      <c r="BX26" s="532">
        <v>1.0</v>
      </c>
      <c r="BY26" s="528" t="s">
        <v>413</v>
      </c>
      <c r="BZ26" s="526" t="s">
        <v>403</v>
      </c>
      <c r="CA26" s="532">
        <v>1.0</v>
      </c>
      <c r="CB26" s="528" t="s">
        <v>413</v>
      </c>
      <c r="CC26" s="526" t="s">
        <v>403</v>
      </c>
      <c r="CD26" s="532">
        <v>1.0</v>
      </c>
      <c r="CE26" s="528" t="s">
        <v>413</v>
      </c>
      <c r="CF26" s="526" t="s">
        <v>403</v>
      </c>
      <c r="CG26" s="532">
        <v>1.0</v>
      </c>
      <c r="CH26" s="528" t="s">
        <v>413</v>
      </c>
      <c r="CI26" s="526" t="s">
        <v>403</v>
      </c>
      <c r="CJ26" s="532">
        <v>1.0</v>
      </c>
      <c r="CK26" s="528" t="s">
        <v>413</v>
      </c>
      <c r="CL26" s="526" t="s">
        <v>403</v>
      </c>
      <c r="CM26" s="532">
        <v>1.0</v>
      </c>
      <c r="CN26" s="528" t="s">
        <v>413</v>
      </c>
      <c r="CO26" s="526" t="s">
        <v>403</v>
      </c>
      <c r="CP26" s="532">
        <v>1.0</v>
      </c>
      <c r="CQ26" s="528" t="s">
        <v>413</v>
      </c>
      <c r="CR26" s="526" t="s">
        <v>403</v>
      </c>
      <c r="CS26" s="532">
        <v>1.0</v>
      </c>
      <c r="CT26" s="528" t="s">
        <v>413</v>
      </c>
      <c r="CU26" s="526" t="s">
        <v>403</v>
      </c>
      <c r="CV26" s="532">
        <v>1.0</v>
      </c>
      <c r="CW26" s="528" t="s">
        <v>413</v>
      </c>
      <c r="CX26" s="526" t="s">
        <v>403</v>
      </c>
      <c r="CY26" s="532">
        <v>1.0</v>
      </c>
      <c r="CZ26" s="528" t="s">
        <v>413</v>
      </c>
      <c r="DA26" s="526" t="s">
        <v>403</v>
      </c>
      <c r="DB26" s="532">
        <v>1.0</v>
      </c>
      <c r="DC26" s="528" t="s">
        <v>413</v>
      </c>
      <c r="DD26" s="526" t="s">
        <v>403</v>
      </c>
      <c r="DE26" s="532">
        <v>1.0</v>
      </c>
      <c r="DF26" s="528" t="s">
        <v>413</v>
      </c>
      <c r="DG26" s="526" t="s">
        <v>403</v>
      </c>
      <c r="DH26" s="532">
        <v>1.0</v>
      </c>
      <c r="DI26" s="528" t="s">
        <v>413</v>
      </c>
      <c r="DJ26" s="526" t="s">
        <v>403</v>
      </c>
      <c r="DK26" s="532">
        <v>1.0</v>
      </c>
      <c r="DL26" s="528" t="s">
        <v>413</v>
      </c>
      <c r="DM26" s="526" t="s">
        <v>403</v>
      </c>
      <c r="DN26" s="532">
        <v>1.0</v>
      </c>
    </row>
    <row r="27" ht="15.0" hidden="1" customHeight="1">
      <c r="A27" s="53">
        <v>26.0</v>
      </c>
      <c r="B27" s="146" t="s">
        <v>168</v>
      </c>
      <c r="C27" s="147"/>
      <c r="D27" s="148"/>
      <c r="E27" s="148"/>
      <c r="F27" s="148"/>
      <c r="G27" s="148"/>
      <c r="H27" s="150"/>
      <c r="I27" s="148"/>
      <c r="J27" s="148"/>
      <c r="K27" s="151"/>
      <c r="L27" s="150"/>
      <c r="M27" s="579"/>
      <c r="N27" s="580"/>
      <c r="O27" s="581"/>
      <c r="P27" s="581"/>
      <c r="Q27" s="582"/>
      <c r="R27" s="583"/>
      <c r="S27" s="584"/>
      <c r="T27" s="582"/>
      <c r="U27" s="583"/>
      <c r="V27" s="584"/>
      <c r="W27" s="582"/>
      <c r="X27" s="583"/>
      <c r="Y27" s="584"/>
      <c r="Z27" s="582"/>
      <c r="AA27" s="583"/>
      <c r="AB27" s="584"/>
      <c r="AC27" s="585"/>
      <c r="AD27" s="585"/>
      <c r="AE27" s="585"/>
      <c r="AF27" s="585"/>
      <c r="AG27" s="585"/>
      <c r="AH27" s="585"/>
      <c r="AI27" s="585"/>
      <c r="AJ27" s="585"/>
      <c r="AK27" s="585"/>
      <c r="AL27" s="585"/>
      <c r="AM27" s="585"/>
      <c r="AN27" s="585"/>
      <c r="AO27" s="585"/>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c r="BM27" s="585"/>
      <c r="BN27" s="585"/>
      <c r="BO27" s="585"/>
      <c r="BP27" s="585"/>
      <c r="BQ27" s="585"/>
      <c r="BR27" s="585"/>
      <c r="BS27" s="585"/>
      <c r="BT27" s="585"/>
      <c r="BU27" s="585"/>
      <c r="BV27" s="585"/>
      <c r="BW27" s="585"/>
      <c r="BX27" s="585"/>
      <c r="BY27" s="585"/>
      <c r="BZ27" s="585"/>
      <c r="CA27" s="585"/>
      <c r="CB27" s="585"/>
      <c r="CC27" s="585"/>
      <c r="CD27" s="585"/>
      <c r="CE27" s="585"/>
      <c r="CF27" s="585"/>
      <c r="CG27" s="585"/>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row>
    <row r="28" ht="15.0" customHeight="1">
      <c r="A28" s="53">
        <v>13.0</v>
      </c>
      <c r="B28" s="100" t="s">
        <v>122</v>
      </c>
      <c r="C28" s="100" t="s">
        <v>123</v>
      </c>
      <c r="D28" s="101" t="str">
        <f>MID(B28,17,4)</f>
        <v>DATA</v>
      </c>
      <c r="E28" s="101" t="s">
        <v>120</v>
      </c>
      <c r="F28" s="102">
        <v>1110.0</v>
      </c>
      <c r="G28" s="517" t="s">
        <v>121</v>
      </c>
      <c r="H28" s="517">
        <v>1128.0</v>
      </c>
      <c r="I28" s="68" t="str">
        <f>IFERROR(VLOOKUP(C:C,'R22 RELATÓRIO ACC'!B:F,5,FALSE),"NOT PUBLISHED")</f>
        <v>V30</v>
      </c>
      <c r="J28" s="68" t="str">
        <f>IFERROR(VLOOKUP(C:C,'R22 RELATÓRIO ACC'!B:P,15,FALSE),"NOT PUBLISHED")</f>
        <v>26/03/2026</v>
      </c>
      <c r="K28" s="70" t="str">
        <f>IFERROR(VLOOKUP(B:B,'RELATÓRIO ACC'!B:F,5,FALSE),"NOT PUBLISHED")</f>
        <v>V2</v>
      </c>
      <c r="L28" s="518" t="str">
        <f>IFERROR(VLOOKUP(B:B,'RELATÓRIO ACC'!B:P,15,FALSE),"NOT PUBLISHED")</f>
        <v>20/05/2026</v>
      </c>
      <c r="M28" s="519" t="s">
        <v>420</v>
      </c>
      <c r="N28" s="588">
        <v>46087.0</v>
      </c>
      <c r="O28" s="538" t="s">
        <v>410</v>
      </c>
      <c r="P28" s="587" t="s">
        <v>416</v>
      </c>
      <c r="Q28" s="523" t="s">
        <v>379</v>
      </c>
      <c r="R28" s="558">
        <v>0.0</v>
      </c>
      <c r="S28" s="525" t="s">
        <v>379</v>
      </c>
      <c r="T28" s="523" t="s">
        <v>381</v>
      </c>
      <c r="U28" s="550" t="s">
        <v>421</v>
      </c>
      <c r="V28" s="546">
        <v>0.02</v>
      </c>
      <c r="W28" s="523" t="s">
        <v>379</v>
      </c>
      <c r="X28" s="526" t="s">
        <v>401</v>
      </c>
      <c r="Y28" s="523" t="s">
        <v>379</v>
      </c>
      <c r="Z28" s="523" t="s">
        <v>398</v>
      </c>
      <c r="AA28" s="526" t="s">
        <v>402</v>
      </c>
      <c r="AB28" s="523" t="s">
        <v>398</v>
      </c>
      <c r="AC28" s="523" t="s">
        <v>398</v>
      </c>
      <c r="AD28" s="526" t="s">
        <v>422</v>
      </c>
      <c r="AE28" s="523" t="s">
        <v>398</v>
      </c>
      <c r="AF28" s="523" t="s">
        <v>381</v>
      </c>
      <c r="AG28" s="526" t="s">
        <v>403</v>
      </c>
      <c r="AH28" s="529">
        <v>0.92</v>
      </c>
      <c r="AI28" s="523" t="s">
        <v>379</v>
      </c>
      <c r="AJ28" s="526" t="s">
        <v>403</v>
      </c>
      <c r="AK28" s="523" t="s">
        <v>379</v>
      </c>
      <c r="AL28" s="523" t="s">
        <v>383</v>
      </c>
      <c r="AM28" s="526" t="s">
        <v>403</v>
      </c>
      <c r="AN28" s="523" t="s">
        <v>383</v>
      </c>
      <c r="AO28" s="528" t="s">
        <v>381</v>
      </c>
      <c r="AP28" s="526" t="s">
        <v>404</v>
      </c>
      <c r="AQ28" s="532">
        <v>0.93</v>
      </c>
      <c r="AR28" s="528" t="s">
        <v>381</v>
      </c>
      <c r="AS28" s="526" t="s">
        <v>423</v>
      </c>
      <c r="AT28" s="532">
        <v>0.93</v>
      </c>
      <c r="AU28" s="528" t="s">
        <v>398</v>
      </c>
      <c r="AV28" s="526" t="s">
        <v>406</v>
      </c>
      <c r="AW28" s="528" t="s">
        <v>398</v>
      </c>
      <c r="AX28" s="528" t="s">
        <v>398</v>
      </c>
      <c r="AY28" s="526" t="s">
        <v>407</v>
      </c>
      <c r="AZ28" s="528" t="s">
        <v>398</v>
      </c>
      <c r="BA28" s="528" t="s">
        <v>379</v>
      </c>
      <c r="BB28" s="526" t="s">
        <v>407</v>
      </c>
      <c r="BC28" s="528" t="s">
        <v>379</v>
      </c>
      <c r="BD28" s="528" t="s">
        <v>379</v>
      </c>
      <c r="BE28" s="526" t="s">
        <v>407</v>
      </c>
      <c r="BF28" s="528" t="s">
        <v>379</v>
      </c>
      <c r="BG28" s="528" t="s">
        <v>379</v>
      </c>
      <c r="BH28" s="526" t="s">
        <v>407</v>
      </c>
      <c r="BI28" s="528" t="s">
        <v>379</v>
      </c>
      <c r="BJ28" s="528" t="s">
        <v>383</v>
      </c>
      <c r="BK28" s="526" t="s">
        <v>420</v>
      </c>
      <c r="BL28" s="528" t="s">
        <v>383</v>
      </c>
      <c r="BM28" s="528" t="s">
        <v>383</v>
      </c>
      <c r="BN28" s="526" t="s">
        <v>420</v>
      </c>
      <c r="BO28" s="528" t="s">
        <v>383</v>
      </c>
      <c r="BP28" s="528" t="s">
        <v>386</v>
      </c>
      <c r="BQ28" s="526" t="s">
        <v>420</v>
      </c>
      <c r="BR28" s="532">
        <v>1.0</v>
      </c>
      <c r="BS28" s="528" t="s">
        <v>413</v>
      </c>
      <c r="BT28" s="526" t="s">
        <v>420</v>
      </c>
      <c r="BU28" s="532">
        <v>1.0</v>
      </c>
      <c r="BV28" s="528" t="s">
        <v>413</v>
      </c>
      <c r="BW28" s="526" t="s">
        <v>420</v>
      </c>
      <c r="BX28" s="532">
        <v>1.0</v>
      </c>
      <c r="BY28" s="528" t="s">
        <v>413</v>
      </c>
      <c r="BZ28" s="526" t="s">
        <v>420</v>
      </c>
      <c r="CA28" s="532">
        <v>1.0</v>
      </c>
      <c r="CB28" s="528" t="s">
        <v>413</v>
      </c>
      <c r="CC28" s="526" t="s">
        <v>420</v>
      </c>
      <c r="CD28" s="532">
        <v>1.0</v>
      </c>
      <c r="CE28" s="528" t="s">
        <v>413</v>
      </c>
      <c r="CF28" s="526" t="s">
        <v>420</v>
      </c>
      <c r="CG28" s="532">
        <v>1.0</v>
      </c>
      <c r="CH28" s="528" t="s">
        <v>413</v>
      </c>
      <c r="CI28" s="526" t="s">
        <v>420</v>
      </c>
      <c r="CJ28" s="532">
        <v>1.0</v>
      </c>
      <c r="CK28" s="528" t="s">
        <v>413</v>
      </c>
      <c r="CL28" s="526" t="s">
        <v>420</v>
      </c>
      <c r="CM28" s="532">
        <v>1.0</v>
      </c>
      <c r="CN28" s="528" t="s">
        <v>413</v>
      </c>
      <c r="CO28" s="526" t="s">
        <v>420</v>
      </c>
      <c r="CP28" s="532">
        <v>1.0</v>
      </c>
      <c r="CQ28" s="528" t="s">
        <v>413</v>
      </c>
      <c r="CR28" s="526" t="s">
        <v>420</v>
      </c>
      <c r="CS28" s="532">
        <v>1.0</v>
      </c>
      <c r="CT28" s="528" t="s">
        <v>413</v>
      </c>
      <c r="CU28" s="526" t="s">
        <v>420</v>
      </c>
      <c r="CV28" s="532">
        <v>1.0</v>
      </c>
      <c r="CW28" s="528" t="s">
        <v>413</v>
      </c>
      <c r="CX28" s="526" t="s">
        <v>420</v>
      </c>
      <c r="CY28" s="532">
        <v>1.0</v>
      </c>
      <c r="CZ28" s="528" t="s">
        <v>413</v>
      </c>
      <c r="DA28" s="526" t="s">
        <v>420</v>
      </c>
      <c r="DB28" s="532">
        <v>1.0</v>
      </c>
      <c r="DC28" s="528" t="s">
        <v>413</v>
      </c>
      <c r="DD28" s="526" t="s">
        <v>420</v>
      </c>
      <c r="DE28" s="532">
        <v>1.0</v>
      </c>
      <c r="DF28" s="528" t="s">
        <v>413</v>
      </c>
      <c r="DG28" s="526" t="s">
        <v>420</v>
      </c>
      <c r="DH28" s="532">
        <v>1.0</v>
      </c>
      <c r="DI28" s="528" t="s">
        <v>413</v>
      </c>
      <c r="DJ28" s="526" t="s">
        <v>420</v>
      </c>
      <c r="DK28" s="532">
        <v>1.0</v>
      </c>
      <c r="DL28" s="528" t="s">
        <v>413</v>
      </c>
      <c r="DM28" s="526" t="s">
        <v>420</v>
      </c>
      <c r="DN28" s="532">
        <v>1.0</v>
      </c>
    </row>
    <row r="29" ht="15.0" hidden="1" customHeight="1">
      <c r="A29" s="53">
        <v>28.0</v>
      </c>
      <c r="B29" s="146" t="s">
        <v>173</v>
      </c>
      <c r="C29" s="147"/>
      <c r="D29" s="148"/>
      <c r="E29" s="148"/>
      <c r="F29" s="148"/>
      <c r="G29" s="148"/>
      <c r="H29" s="150"/>
      <c r="I29" s="148"/>
      <c r="J29" s="148"/>
      <c r="K29" s="151"/>
      <c r="L29" s="150"/>
      <c r="M29" s="579"/>
      <c r="N29" s="580"/>
      <c r="O29" s="581"/>
      <c r="P29" s="581"/>
      <c r="Q29" s="582"/>
      <c r="R29" s="583"/>
      <c r="S29" s="584"/>
      <c r="T29" s="582"/>
      <c r="U29" s="583"/>
      <c r="V29" s="584"/>
      <c r="W29" s="582"/>
      <c r="X29" s="583"/>
      <c r="Y29" s="584"/>
      <c r="Z29" s="582"/>
      <c r="AA29" s="583"/>
      <c r="AB29" s="584"/>
      <c r="AC29" s="585"/>
      <c r="AD29" s="585"/>
      <c r="AE29" s="585"/>
      <c r="AF29" s="585"/>
      <c r="AG29" s="585"/>
      <c r="AH29" s="585"/>
      <c r="AI29" s="585"/>
      <c r="AJ29" s="585"/>
      <c r="AK29" s="585"/>
      <c r="AL29" s="585"/>
      <c r="AM29" s="585"/>
      <c r="AN29" s="585"/>
      <c r="AO29" s="585"/>
      <c r="AP29" s="585"/>
      <c r="AQ29" s="585"/>
      <c r="AR29" s="585"/>
      <c r="AS29" s="585"/>
      <c r="AT29" s="585"/>
      <c r="AU29" s="585"/>
      <c r="AV29" s="585"/>
      <c r="AW29" s="589" t="s">
        <v>424</v>
      </c>
      <c r="AX29" s="585"/>
      <c r="AY29" s="585"/>
      <c r="AZ29" s="589" t="s">
        <v>424</v>
      </c>
      <c r="BA29" s="585"/>
      <c r="BB29" s="585"/>
      <c r="BC29" s="589" t="s">
        <v>424</v>
      </c>
      <c r="BD29" s="585"/>
      <c r="BE29" s="585"/>
      <c r="BF29" s="589" t="s">
        <v>424</v>
      </c>
      <c r="BG29" s="585"/>
      <c r="BH29" s="585"/>
      <c r="BI29" s="589" t="s">
        <v>424</v>
      </c>
      <c r="BJ29" s="585"/>
      <c r="BK29" s="585"/>
      <c r="BL29" s="589" t="s">
        <v>424</v>
      </c>
      <c r="BM29" s="585"/>
      <c r="BN29" s="585"/>
      <c r="BO29" s="589" t="s">
        <v>424</v>
      </c>
      <c r="BP29" s="585"/>
      <c r="BQ29" s="585"/>
      <c r="BR29" s="589"/>
      <c r="BS29" s="585"/>
      <c r="BT29" s="585"/>
      <c r="BU29" s="589"/>
      <c r="BV29" s="589"/>
      <c r="BW29" s="589"/>
      <c r="BX29" s="589"/>
      <c r="BY29" s="589"/>
      <c r="BZ29" s="589"/>
      <c r="CA29" s="589"/>
      <c r="CB29" s="589"/>
      <c r="CC29" s="589"/>
      <c r="CD29" s="589"/>
      <c r="CE29" s="589"/>
      <c r="CF29" s="589"/>
      <c r="CG29" s="589"/>
      <c r="CH29" s="589"/>
      <c r="CI29" s="589"/>
      <c r="CJ29" s="589"/>
      <c r="CK29" s="589"/>
      <c r="CL29" s="589"/>
      <c r="CM29" s="589"/>
      <c r="CN29" s="589"/>
      <c r="CO29" s="589"/>
      <c r="CP29" s="589"/>
      <c r="CQ29" s="589"/>
      <c r="CR29" s="589"/>
      <c r="CS29" s="589"/>
      <c r="CT29" s="589"/>
      <c r="CU29" s="589"/>
      <c r="CV29" s="589"/>
      <c r="CW29" s="589"/>
      <c r="CX29" s="589"/>
      <c r="CY29" s="589"/>
      <c r="CZ29" s="589"/>
      <c r="DA29" s="589"/>
      <c r="DB29" s="589"/>
      <c r="DC29" s="589"/>
      <c r="DD29" s="589"/>
      <c r="DE29" s="589"/>
      <c r="DF29" s="589"/>
      <c r="DG29" s="589"/>
      <c r="DH29" s="589"/>
      <c r="DI29" s="589"/>
      <c r="DJ29" s="589"/>
      <c r="DK29" s="589"/>
      <c r="DL29" s="589"/>
      <c r="DM29" s="589"/>
      <c r="DN29" s="589"/>
    </row>
    <row r="30" ht="15.0" customHeight="1">
      <c r="A30" s="53">
        <v>15.0</v>
      </c>
      <c r="B30" s="100" t="s">
        <v>130</v>
      </c>
      <c r="C30" s="100" t="s">
        <v>131</v>
      </c>
      <c r="D30" s="101" t="str">
        <f>MID(B30,17,4)</f>
        <v>C12A</v>
      </c>
      <c r="E30" s="101" t="s">
        <v>126</v>
      </c>
      <c r="F30" s="118">
        <v>1101.0</v>
      </c>
      <c r="G30" s="517" t="s">
        <v>127</v>
      </c>
      <c r="H30" s="517">
        <v>1126.0</v>
      </c>
      <c r="I30" s="68" t="str">
        <f>IFERROR(VLOOKUP(C:C,'R22 RELATÓRIO ACC'!B:F,5,FALSE),"NOT PUBLISHED")</f>
        <v>V24</v>
      </c>
      <c r="J30" s="68" t="str">
        <f>IFERROR(VLOOKUP(C:C,'R22 RELATÓRIO ACC'!B:P,15,FALSE),"NOT PUBLISHED")</f>
        <v>07/04/2026</v>
      </c>
      <c r="K30" s="70" t="str">
        <f>IFERROR(VLOOKUP(B:B,'RELATÓRIO ACC'!B:F,5,FALSE),"NOT PUBLISHED")</f>
        <v>V2</v>
      </c>
      <c r="L30" s="518" t="str">
        <f>IFERROR(VLOOKUP(B:B,'RELATÓRIO ACC'!B:P,15,FALSE),"NOT PUBLISHED")</f>
        <v>27/05/2026</v>
      </c>
      <c r="M30" s="519" t="s">
        <v>405</v>
      </c>
      <c r="N30" s="520">
        <v>46119.0</v>
      </c>
      <c r="O30" s="521" t="s">
        <v>410</v>
      </c>
      <c r="P30" s="587" t="s">
        <v>397</v>
      </c>
      <c r="Q30" s="523" t="s">
        <v>379</v>
      </c>
      <c r="R30" s="558">
        <v>0.0</v>
      </c>
      <c r="S30" s="523" t="s">
        <v>379</v>
      </c>
      <c r="T30" s="523" t="s">
        <v>381</v>
      </c>
      <c r="U30" s="550" t="s">
        <v>421</v>
      </c>
      <c r="V30" s="551">
        <v>0.23</v>
      </c>
      <c r="W30" s="523" t="s">
        <v>379</v>
      </c>
      <c r="X30" s="526" t="s">
        <v>414</v>
      </c>
      <c r="Y30" s="525" t="s">
        <v>379</v>
      </c>
      <c r="Z30" s="523" t="s">
        <v>398</v>
      </c>
      <c r="AA30" s="526" t="s">
        <v>415</v>
      </c>
      <c r="AB30" s="523" t="s">
        <v>398</v>
      </c>
      <c r="AC30" s="523" t="s">
        <v>383</v>
      </c>
      <c r="AD30" s="526">
        <v>0.0</v>
      </c>
      <c r="AE30" s="523" t="s">
        <v>383</v>
      </c>
      <c r="AF30" s="523" t="s">
        <v>398</v>
      </c>
      <c r="AG30" s="526" t="s">
        <v>418</v>
      </c>
      <c r="AH30" s="523" t="s">
        <v>398</v>
      </c>
      <c r="AI30" s="523" t="s">
        <v>381</v>
      </c>
      <c r="AJ30" s="526" t="s">
        <v>425</v>
      </c>
      <c r="AK30" s="529">
        <v>0.74</v>
      </c>
      <c r="AL30" s="523" t="s">
        <v>383</v>
      </c>
      <c r="AM30" s="526" t="s">
        <v>425</v>
      </c>
      <c r="AN30" s="523" t="s">
        <v>383</v>
      </c>
      <c r="AO30" s="528" t="s">
        <v>398</v>
      </c>
      <c r="AP30" s="526" t="s">
        <v>419</v>
      </c>
      <c r="AQ30" s="523" t="s">
        <v>398</v>
      </c>
      <c r="AR30" s="528" t="s">
        <v>398</v>
      </c>
      <c r="AS30" s="526" t="s">
        <v>426</v>
      </c>
      <c r="AT30" s="523" t="s">
        <v>398</v>
      </c>
      <c r="AU30" s="528" t="s">
        <v>398</v>
      </c>
      <c r="AV30" s="526" t="s">
        <v>427</v>
      </c>
      <c r="AW30" s="523" t="s">
        <v>398</v>
      </c>
      <c r="AX30" s="528" t="s">
        <v>398</v>
      </c>
      <c r="AY30" s="526" t="s">
        <v>401</v>
      </c>
      <c r="AZ30" s="523" t="s">
        <v>398</v>
      </c>
      <c r="BA30" s="528" t="s">
        <v>398</v>
      </c>
      <c r="BB30" s="526" t="s">
        <v>402</v>
      </c>
      <c r="BC30" s="523" t="s">
        <v>398</v>
      </c>
      <c r="BD30" s="528" t="s">
        <v>398</v>
      </c>
      <c r="BE30" s="526" t="s">
        <v>422</v>
      </c>
      <c r="BF30" s="523" t="s">
        <v>398</v>
      </c>
      <c r="BG30" s="528" t="s">
        <v>381</v>
      </c>
      <c r="BH30" s="526" t="s">
        <v>403</v>
      </c>
      <c r="BI30" s="565">
        <v>0.98</v>
      </c>
      <c r="BJ30" s="528" t="s">
        <v>381</v>
      </c>
      <c r="BK30" s="526" t="s">
        <v>404</v>
      </c>
      <c r="BL30" s="565">
        <v>0.94</v>
      </c>
      <c r="BM30" s="528" t="s">
        <v>379</v>
      </c>
      <c r="BN30" s="526" t="s">
        <v>404</v>
      </c>
      <c r="BO30" s="523" t="s">
        <v>379</v>
      </c>
      <c r="BP30" s="528" t="s">
        <v>379</v>
      </c>
      <c r="BQ30" s="526" t="s">
        <v>404</v>
      </c>
      <c r="BR30" s="523" t="s">
        <v>379</v>
      </c>
      <c r="BS30" s="528" t="s">
        <v>379</v>
      </c>
      <c r="BT30" s="526" t="s">
        <v>404</v>
      </c>
      <c r="BU30" s="523" t="s">
        <v>379</v>
      </c>
      <c r="BV30" s="528" t="s">
        <v>383</v>
      </c>
      <c r="BW30" s="526" t="s">
        <v>404</v>
      </c>
      <c r="BX30" s="523" t="s">
        <v>383</v>
      </c>
      <c r="BY30" s="528" t="s">
        <v>386</v>
      </c>
      <c r="BZ30" s="526" t="s">
        <v>405</v>
      </c>
      <c r="CA30" s="529">
        <v>1.0</v>
      </c>
      <c r="CB30" s="528" t="s">
        <v>413</v>
      </c>
      <c r="CC30" s="526" t="s">
        <v>405</v>
      </c>
      <c r="CD30" s="529">
        <v>1.0</v>
      </c>
      <c r="CE30" s="528" t="s">
        <v>413</v>
      </c>
      <c r="CF30" s="526" t="s">
        <v>405</v>
      </c>
      <c r="CG30" s="529">
        <v>1.0</v>
      </c>
      <c r="CH30" s="528" t="s">
        <v>413</v>
      </c>
      <c r="CI30" s="526" t="s">
        <v>405</v>
      </c>
      <c r="CJ30" s="529">
        <v>1.0</v>
      </c>
      <c r="CK30" s="528" t="s">
        <v>413</v>
      </c>
      <c r="CL30" s="526" t="s">
        <v>405</v>
      </c>
      <c r="CM30" s="529">
        <v>1.0</v>
      </c>
      <c r="CN30" s="528" t="s">
        <v>413</v>
      </c>
      <c r="CO30" s="526" t="s">
        <v>405</v>
      </c>
      <c r="CP30" s="529">
        <v>1.0</v>
      </c>
      <c r="CQ30" s="528" t="s">
        <v>413</v>
      </c>
      <c r="CR30" s="526" t="s">
        <v>405</v>
      </c>
      <c r="CS30" s="529">
        <v>1.0</v>
      </c>
      <c r="CT30" s="528" t="s">
        <v>413</v>
      </c>
      <c r="CU30" s="526" t="s">
        <v>405</v>
      </c>
      <c r="CV30" s="529">
        <v>1.0</v>
      </c>
      <c r="CW30" s="528" t="s">
        <v>413</v>
      </c>
      <c r="CX30" s="526" t="s">
        <v>405</v>
      </c>
      <c r="CY30" s="529">
        <v>1.0</v>
      </c>
      <c r="CZ30" s="528" t="s">
        <v>413</v>
      </c>
      <c r="DA30" s="526" t="s">
        <v>405</v>
      </c>
      <c r="DB30" s="529">
        <v>1.0</v>
      </c>
      <c r="DC30" s="528" t="s">
        <v>413</v>
      </c>
      <c r="DD30" s="526" t="s">
        <v>405</v>
      </c>
      <c r="DE30" s="529">
        <v>1.0</v>
      </c>
      <c r="DF30" s="528" t="s">
        <v>413</v>
      </c>
      <c r="DG30" s="526" t="s">
        <v>405</v>
      </c>
      <c r="DH30" s="529">
        <v>1.0</v>
      </c>
      <c r="DI30" s="528" t="s">
        <v>413</v>
      </c>
      <c r="DJ30" s="526" t="s">
        <v>405</v>
      </c>
      <c r="DK30" s="529">
        <v>1.0</v>
      </c>
      <c r="DL30" s="528" t="s">
        <v>413</v>
      </c>
      <c r="DM30" s="526" t="s">
        <v>405</v>
      </c>
      <c r="DN30" s="529">
        <v>1.0</v>
      </c>
    </row>
    <row r="31" ht="15.0" hidden="1" customHeight="1">
      <c r="A31" s="53">
        <v>30.0</v>
      </c>
      <c r="B31" s="124" t="s">
        <v>178</v>
      </c>
      <c r="C31" s="125"/>
      <c r="D31" s="167"/>
      <c r="E31" s="167"/>
      <c r="F31" s="167"/>
      <c r="G31" s="167"/>
      <c r="H31" s="169"/>
      <c r="I31" s="167"/>
      <c r="J31" s="167"/>
      <c r="K31" s="170"/>
      <c r="L31" s="169"/>
      <c r="M31" s="590"/>
      <c r="N31" s="591"/>
      <c r="O31" s="592"/>
      <c r="P31" s="592"/>
      <c r="Q31" s="575"/>
      <c r="R31" s="576"/>
      <c r="S31" s="577"/>
      <c r="T31" s="575"/>
      <c r="U31" s="576"/>
      <c r="V31" s="577"/>
      <c r="W31" s="575"/>
      <c r="X31" s="576"/>
      <c r="Y31" s="577"/>
      <c r="Z31" s="575"/>
      <c r="AA31" s="576"/>
      <c r="AB31" s="577"/>
      <c r="AC31" s="578"/>
      <c r="AD31" s="578"/>
      <c r="AE31" s="578"/>
      <c r="AF31" s="578"/>
      <c r="AG31" s="578"/>
      <c r="AH31" s="578"/>
      <c r="AI31" s="578"/>
      <c r="AJ31" s="578"/>
      <c r="AK31" s="578"/>
      <c r="AL31" s="578"/>
      <c r="AM31" s="578"/>
      <c r="AN31" s="578"/>
      <c r="AO31" s="578"/>
      <c r="AP31" s="578"/>
      <c r="AQ31" s="578"/>
      <c r="AR31" s="578"/>
      <c r="AS31" s="578"/>
      <c r="AT31" s="578"/>
      <c r="AU31" s="578"/>
      <c r="AV31" s="578"/>
      <c r="AW31" s="578"/>
      <c r="AX31" s="578"/>
      <c r="AY31" s="578"/>
      <c r="AZ31" s="578"/>
      <c r="BA31" s="578"/>
      <c r="BB31" s="578"/>
      <c r="BC31" s="578"/>
      <c r="BD31" s="578"/>
      <c r="BE31" s="578"/>
      <c r="BF31" s="578"/>
      <c r="BG31" s="578"/>
      <c r="BH31" s="578"/>
      <c r="BI31" s="578"/>
      <c r="BJ31" s="578"/>
      <c r="BK31" s="578"/>
      <c r="BL31" s="578"/>
      <c r="BM31" s="578"/>
      <c r="BN31" s="578"/>
      <c r="BO31" s="578"/>
      <c r="BP31" s="578"/>
      <c r="BQ31" s="578"/>
      <c r="BR31" s="578"/>
      <c r="BS31" s="578"/>
      <c r="BT31" s="578"/>
      <c r="BU31" s="578"/>
      <c r="BV31" s="578"/>
      <c r="BW31" s="578"/>
      <c r="BX31" s="578"/>
      <c r="BY31" s="578"/>
      <c r="BZ31" s="578"/>
      <c r="CA31" s="578"/>
      <c r="CB31" s="578"/>
      <c r="CC31" s="578"/>
      <c r="CD31" s="578"/>
      <c r="CE31" s="578"/>
      <c r="CF31" s="578"/>
      <c r="CG31" s="578"/>
      <c r="CH31" s="578"/>
      <c r="CI31" s="578"/>
      <c r="CJ31" s="578"/>
      <c r="CK31" s="578"/>
      <c r="CL31" s="578"/>
      <c r="CM31" s="578"/>
      <c r="CN31" s="578"/>
      <c r="CO31" s="578"/>
      <c r="CP31" s="578"/>
      <c r="CQ31" s="578"/>
      <c r="CR31" s="578"/>
      <c r="CS31" s="578"/>
      <c r="CT31" s="578"/>
      <c r="CU31" s="578"/>
      <c r="CV31" s="578"/>
      <c r="CW31" s="578"/>
      <c r="CX31" s="578"/>
      <c r="CY31" s="578"/>
      <c r="CZ31" s="578"/>
      <c r="DA31" s="578"/>
      <c r="DB31" s="578"/>
      <c r="DC31" s="578"/>
      <c r="DD31" s="578"/>
      <c r="DE31" s="578"/>
      <c r="DF31" s="578"/>
      <c r="DG31" s="578"/>
      <c r="DH31" s="578"/>
      <c r="DI31" s="578"/>
      <c r="DJ31" s="578"/>
      <c r="DK31" s="578"/>
      <c r="DL31" s="578"/>
      <c r="DM31" s="578"/>
      <c r="DN31" s="578"/>
    </row>
    <row r="32" ht="15.0" customHeight="1">
      <c r="A32" s="53">
        <v>18.0</v>
      </c>
      <c r="B32" s="100" t="s">
        <v>145</v>
      </c>
      <c r="C32" s="100" t="s">
        <v>146</v>
      </c>
      <c r="D32" s="101" t="str">
        <f>MID(B32,17,4)</f>
        <v>DATA</v>
      </c>
      <c r="E32" s="111" t="s">
        <v>147</v>
      </c>
      <c r="F32" s="118" t="s">
        <v>147</v>
      </c>
      <c r="G32" s="534" t="s">
        <v>147</v>
      </c>
      <c r="H32" s="535"/>
      <c r="I32" s="68" t="str">
        <f>IFERROR(VLOOKUP(C:C,'R22 RELATÓRIO ACC'!B:F,5,FALSE),"NOT PUBLISHED")</f>
        <v>V9</v>
      </c>
      <c r="J32" s="68" t="str">
        <f>IFERROR(VLOOKUP(C:C,'R22 RELATÓRIO ACC'!B:P,15,FALSE),"NOT PUBLISHED")</f>
        <v>28/02/2026</v>
      </c>
      <c r="K32" s="70" t="str">
        <f>IFERROR(VLOOKUP(B:B,'RELATÓRIO ACC'!B:F,5,FALSE),"NOT PUBLISHED")</f>
        <v>V1</v>
      </c>
      <c r="L32" s="518" t="str">
        <f>IFERROR(VLOOKUP(B:B,'RELATÓRIO ACC'!B:P,15,FALSE),"NOT PUBLISHED")</f>
        <v>20/05/2026</v>
      </c>
      <c r="M32" s="519" t="s">
        <v>382</v>
      </c>
      <c r="N32" s="520">
        <v>45996.0</v>
      </c>
      <c r="O32" s="538" t="s">
        <v>410</v>
      </c>
      <c r="P32" s="587"/>
      <c r="Q32" s="523" t="s">
        <v>381</v>
      </c>
      <c r="R32" s="550" t="s">
        <v>421</v>
      </c>
      <c r="S32" s="551">
        <v>0.01</v>
      </c>
      <c r="T32" s="523" t="s">
        <v>379</v>
      </c>
      <c r="U32" s="558">
        <v>0.0</v>
      </c>
      <c r="V32" s="526" t="s">
        <v>379</v>
      </c>
      <c r="W32" s="523" t="s">
        <v>379</v>
      </c>
      <c r="X32" s="526" t="s">
        <v>411</v>
      </c>
      <c r="Y32" s="525" t="s">
        <v>379</v>
      </c>
      <c r="Z32" s="523" t="s">
        <v>379</v>
      </c>
      <c r="AA32" s="526">
        <v>0.0</v>
      </c>
      <c r="AB32" s="523" t="s">
        <v>379</v>
      </c>
      <c r="AC32" s="523" t="s">
        <v>398</v>
      </c>
      <c r="AD32" s="526" t="s">
        <v>428</v>
      </c>
      <c r="AE32" s="570" t="s">
        <v>398</v>
      </c>
      <c r="AF32" s="523" t="s">
        <v>381</v>
      </c>
      <c r="AG32" s="593" t="s">
        <v>412</v>
      </c>
      <c r="AH32" s="571">
        <v>0.01</v>
      </c>
      <c r="AI32" s="523" t="s">
        <v>379</v>
      </c>
      <c r="AJ32" s="593" t="s">
        <v>412</v>
      </c>
      <c r="AK32" s="523" t="s">
        <v>379</v>
      </c>
      <c r="AL32" s="523" t="s">
        <v>383</v>
      </c>
      <c r="AM32" s="593" t="s">
        <v>412</v>
      </c>
      <c r="AN32" s="523" t="s">
        <v>383</v>
      </c>
      <c r="AO32" s="528" t="s">
        <v>386</v>
      </c>
      <c r="AP32" s="526" t="s">
        <v>382</v>
      </c>
      <c r="AQ32" s="529">
        <v>1.0</v>
      </c>
      <c r="AR32" s="528" t="s">
        <v>413</v>
      </c>
      <c r="AS32" s="526" t="s">
        <v>382</v>
      </c>
      <c r="AT32" s="529">
        <v>1.0</v>
      </c>
      <c r="AU32" s="528" t="s">
        <v>413</v>
      </c>
      <c r="AV32" s="526" t="s">
        <v>382</v>
      </c>
      <c r="AW32" s="529">
        <v>1.0</v>
      </c>
      <c r="AX32" s="528" t="s">
        <v>413</v>
      </c>
      <c r="AY32" s="526" t="s">
        <v>382</v>
      </c>
      <c r="AZ32" s="529">
        <v>1.0</v>
      </c>
      <c r="BA32" s="528" t="s">
        <v>413</v>
      </c>
      <c r="BB32" s="526" t="s">
        <v>382</v>
      </c>
      <c r="BC32" s="529">
        <v>1.0</v>
      </c>
      <c r="BD32" s="528" t="s">
        <v>413</v>
      </c>
      <c r="BE32" s="526" t="s">
        <v>382</v>
      </c>
      <c r="BF32" s="529">
        <v>1.0</v>
      </c>
      <c r="BG32" s="528" t="s">
        <v>413</v>
      </c>
      <c r="BH32" s="526" t="s">
        <v>382</v>
      </c>
      <c r="BI32" s="529">
        <v>1.0</v>
      </c>
      <c r="BJ32" s="528" t="s">
        <v>413</v>
      </c>
      <c r="BK32" s="526" t="s">
        <v>382</v>
      </c>
      <c r="BL32" s="529">
        <v>1.0</v>
      </c>
      <c r="BM32" s="528" t="s">
        <v>413</v>
      </c>
      <c r="BN32" s="526" t="s">
        <v>382</v>
      </c>
      <c r="BO32" s="529">
        <v>1.0</v>
      </c>
      <c r="BP32" s="528" t="s">
        <v>413</v>
      </c>
      <c r="BQ32" s="526" t="s">
        <v>382</v>
      </c>
      <c r="BR32" s="529">
        <v>1.0</v>
      </c>
      <c r="BS32" s="528" t="s">
        <v>413</v>
      </c>
      <c r="BT32" s="526" t="s">
        <v>382</v>
      </c>
      <c r="BU32" s="529">
        <v>1.0</v>
      </c>
      <c r="BV32" s="528" t="s">
        <v>413</v>
      </c>
      <c r="BW32" s="526" t="s">
        <v>382</v>
      </c>
      <c r="BX32" s="529">
        <v>1.0</v>
      </c>
      <c r="BY32" s="528" t="s">
        <v>413</v>
      </c>
      <c r="BZ32" s="526" t="s">
        <v>382</v>
      </c>
      <c r="CA32" s="529">
        <v>1.0</v>
      </c>
      <c r="CB32" s="528" t="s">
        <v>413</v>
      </c>
      <c r="CC32" s="526" t="s">
        <v>382</v>
      </c>
      <c r="CD32" s="529">
        <v>1.0</v>
      </c>
      <c r="CE32" s="528" t="s">
        <v>413</v>
      </c>
      <c r="CF32" s="526" t="s">
        <v>382</v>
      </c>
      <c r="CG32" s="529">
        <v>1.0</v>
      </c>
      <c r="CH32" s="528" t="s">
        <v>413</v>
      </c>
      <c r="CI32" s="526" t="s">
        <v>382</v>
      </c>
      <c r="CJ32" s="529">
        <v>1.0</v>
      </c>
      <c r="CK32" s="528" t="s">
        <v>413</v>
      </c>
      <c r="CL32" s="526" t="s">
        <v>382</v>
      </c>
      <c r="CM32" s="529">
        <v>1.0</v>
      </c>
      <c r="CN32" s="528" t="s">
        <v>413</v>
      </c>
      <c r="CO32" s="526" t="s">
        <v>382</v>
      </c>
      <c r="CP32" s="529">
        <v>1.0</v>
      </c>
      <c r="CQ32" s="528" t="s">
        <v>413</v>
      </c>
      <c r="CR32" s="526" t="s">
        <v>382</v>
      </c>
      <c r="CS32" s="529">
        <v>1.0</v>
      </c>
      <c r="CT32" s="528" t="s">
        <v>413</v>
      </c>
      <c r="CU32" s="526" t="s">
        <v>382</v>
      </c>
      <c r="CV32" s="529">
        <v>1.0</v>
      </c>
      <c r="CW32" s="528" t="s">
        <v>413</v>
      </c>
      <c r="CX32" s="526" t="s">
        <v>382</v>
      </c>
      <c r="CY32" s="529">
        <v>1.0</v>
      </c>
      <c r="CZ32" s="528" t="s">
        <v>413</v>
      </c>
      <c r="DA32" s="526" t="s">
        <v>382</v>
      </c>
      <c r="DB32" s="529">
        <v>1.0</v>
      </c>
      <c r="DC32" s="528" t="s">
        <v>413</v>
      </c>
      <c r="DD32" s="526" t="s">
        <v>382</v>
      </c>
      <c r="DE32" s="529">
        <v>1.0</v>
      </c>
      <c r="DF32" s="528" t="s">
        <v>413</v>
      </c>
      <c r="DG32" s="526" t="s">
        <v>382</v>
      </c>
      <c r="DH32" s="529">
        <v>1.0</v>
      </c>
      <c r="DI32" s="528" t="s">
        <v>413</v>
      </c>
      <c r="DJ32" s="526" t="s">
        <v>382</v>
      </c>
      <c r="DK32" s="529">
        <v>1.0</v>
      </c>
      <c r="DL32" s="528" t="s">
        <v>413</v>
      </c>
      <c r="DM32" s="526" t="s">
        <v>382</v>
      </c>
      <c r="DN32" s="529">
        <v>1.0</v>
      </c>
    </row>
    <row r="33" ht="15.0" hidden="1" customHeight="1">
      <c r="A33" s="53">
        <v>32.0</v>
      </c>
      <c r="B33" s="146" t="s">
        <v>183</v>
      </c>
      <c r="C33" s="147"/>
      <c r="D33" s="148"/>
      <c r="E33" s="148"/>
      <c r="F33" s="148"/>
      <c r="G33" s="148"/>
      <c r="H33" s="150"/>
      <c r="I33" s="148"/>
      <c r="J33" s="148"/>
      <c r="K33" s="151"/>
      <c r="L33" s="148"/>
      <c r="M33" s="579"/>
      <c r="N33" s="580"/>
      <c r="O33" s="581"/>
      <c r="P33" s="581"/>
      <c r="Q33" s="594"/>
      <c r="R33" s="595"/>
      <c r="S33" s="584"/>
      <c r="T33" s="594"/>
      <c r="U33" s="595"/>
      <c r="V33" s="584"/>
      <c r="W33" s="594"/>
      <c r="X33" s="595"/>
      <c r="Y33" s="584"/>
      <c r="Z33" s="594"/>
      <c r="AA33" s="595"/>
      <c r="AB33" s="584"/>
      <c r="AC33" s="585"/>
      <c r="AD33" s="585"/>
      <c r="AE33" s="585"/>
      <c r="AF33" s="585"/>
      <c r="AG33" s="585"/>
      <c r="AH33" s="585"/>
      <c r="AI33" s="585"/>
      <c r="AJ33" s="585"/>
      <c r="AK33" s="585"/>
      <c r="AL33" s="585"/>
      <c r="AM33" s="585"/>
      <c r="AN33" s="585"/>
      <c r="AO33" s="585"/>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c r="BM33" s="585"/>
      <c r="BN33" s="585"/>
      <c r="BO33" s="585"/>
      <c r="BP33" s="585"/>
      <c r="BQ33" s="585"/>
      <c r="BR33" s="585"/>
      <c r="BS33" s="585"/>
      <c r="BT33" s="585"/>
      <c r="BU33" s="585"/>
      <c r="BV33" s="585"/>
      <c r="BW33" s="585"/>
      <c r="BX33" s="585"/>
      <c r="BY33" s="585"/>
      <c r="BZ33" s="585"/>
      <c r="CA33" s="585"/>
      <c r="CB33" s="585"/>
      <c r="CC33" s="585"/>
      <c r="CD33" s="585"/>
      <c r="CE33" s="585"/>
      <c r="CF33" s="585"/>
      <c r="CG33" s="585"/>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row>
    <row r="34" ht="15.0" customHeight="1">
      <c r="A34" s="53">
        <v>21.0</v>
      </c>
      <c r="B34" s="100" t="s">
        <v>152</v>
      </c>
      <c r="C34" s="100" t="s">
        <v>153</v>
      </c>
      <c r="D34" s="101" t="str">
        <f>MID(B34,17,4)</f>
        <v>DATA</v>
      </c>
      <c r="E34" s="101" t="s">
        <v>154</v>
      </c>
      <c r="F34" s="102">
        <v>1112.0</v>
      </c>
      <c r="G34" s="517" t="s">
        <v>155</v>
      </c>
      <c r="H34" s="517">
        <v>1129.0</v>
      </c>
      <c r="I34" s="68" t="str">
        <f>IFERROR(VLOOKUP(C:C,'R22 RELATÓRIO ACC'!B:F,5,FALSE),"NOT PUBLISHED")</f>
        <v>V40</v>
      </c>
      <c r="J34" s="68" t="str">
        <f>IFERROR(VLOOKUP(C:C,'R22 RELATÓRIO ACC'!B:P,15,FALSE),"NOT PUBLISHED")</f>
        <v>10/04/2026</v>
      </c>
      <c r="K34" s="519" t="str">
        <f>IFERROR(VLOOKUP(B:B,'RELATÓRIO ACC'!B:F,5,FALSE),"NOT PUBLISHED")</f>
        <v>V3</v>
      </c>
      <c r="L34" s="518" t="str">
        <f>IFERROR(VLOOKUP(B:B,'RELATÓRIO ACC'!B:P,15,FALSE),"NOT PUBLISHED")</f>
        <v>13/07/2026</v>
      </c>
      <c r="M34" s="519" t="s">
        <v>429</v>
      </c>
      <c r="N34" s="520">
        <v>46029.0</v>
      </c>
      <c r="O34" s="538" t="s">
        <v>410</v>
      </c>
      <c r="P34" s="587" t="s">
        <v>430</v>
      </c>
      <c r="Q34" s="523" t="s">
        <v>381</v>
      </c>
      <c r="R34" s="550" t="s">
        <v>421</v>
      </c>
      <c r="S34" s="546">
        <v>0.17</v>
      </c>
      <c r="T34" s="523" t="s">
        <v>379</v>
      </c>
      <c r="U34" s="558">
        <v>0.0</v>
      </c>
      <c r="V34" s="551" t="s">
        <v>379</v>
      </c>
      <c r="W34" s="523" t="s">
        <v>381</v>
      </c>
      <c r="X34" s="526" t="s">
        <v>406</v>
      </c>
      <c r="Y34" s="551">
        <v>0.2</v>
      </c>
      <c r="Z34" s="523" t="s">
        <v>383</v>
      </c>
      <c r="AA34" s="526" t="s">
        <v>406</v>
      </c>
      <c r="AB34" s="523" t="s">
        <v>383</v>
      </c>
      <c r="AC34" s="523" t="s">
        <v>381</v>
      </c>
      <c r="AD34" s="526" t="s">
        <v>408</v>
      </c>
      <c r="AE34" s="565">
        <v>0.58</v>
      </c>
      <c r="AF34" s="523" t="s">
        <v>383</v>
      </c>
      <c r="AG34" s="526" t="s">
        <v>408</v>
      </c>
      <c r="AH34" s="523" t="s">
        <v>383</v>
      </c>
      <c r="AI34" s="523" t="s">
        <v>383</v>
      </c>
      <c r="AJ34" s="526" t="s">
        <v>431</v>
      </c>
      <c r="AK34" s="523" t="s">
        <v>383</v>
      </c>
      <c r="AL34" s="523" t="s">
        <v>381</v>
      </c>
      <c r="AM34" s="526" t="s">
        <v>432</v>
      </c>
      <c r="AN34" s="565">
        <v>0.61</v>
      </c>
      <c r="AO34" s="523" t="s">
        <v>381</v>
      </c>
      <c r="AP34" s="526" t="s">
        <v>429</v>
      </c>
      <c r="AQ34" s="565">
        <v>0.98</v>
      </c>
      <c r="AR34" s="528" t="s">
        <v>386</v>
      </c>
      <c r="AS34" s="526" t="s">
        <v>429</v>
      </c>
      <c r="AT34" s="565">
        <v>1.0</v>
      </c>
      <c r="AU34" s="528" t="s">
        <v>413</v>
      </c>
      <c r="AV34" s="526" t="s">
        <v>429</v>
      </c>
      <c r="AW34" s="565">
        <v>1.0</v>
      </c>
      <c r="AX34" s="528" t="s">
        <v>413</v>
      </c>
      <c r="AY34" s="526" t="s">
        <v>429</v>
      </c>
      <c r="AZ34" s="565">
        <v>1.0</v>
      </c>
      <c r="BA34" s="528" t="s">
        <v>413</v>
      </c>
      <c r="BB34" s="526" t="s">
        <v>429</v>
      </c>
      <c r="BC34" s="565">
        <v>1.0</v>
      </c>
      <c r="BD34" s="528" t="s">
        <v>413</v>
      </c>
      <c r="BE34" s="526" t="s">
        <v>429</v>
      </c>
      <c r="BF34" s="565">
        <v>1.0</v>
      </c>
      <c r="BG34" s="528" t="s">
        <v>413</v>
      </c>
      <c r="BH34" s="526" t="s">
        <v>429</v>
      </c>
      <c r="BI34" s="565">
        <v>1.0</v>
      </c>
      <c r="BJ34" s="528" t="s">
        <v>413</v>
      </c>
      <c r="BK34" s="526" t="s">
        <v>429</v>
      </c>
      <c r="BL34" s="565">
        <v>1.0</v>
      </c>
      <c r="BM34" s="528" t="s">
        <v>413</v>
      </c>
      <c r="BN34" s="526" t="s">
        <v>429</v>
      </c>
      <c r="BO34" s="565">
        <v>1.0</v>
      </c>
      <c r="BP34" s="528" t="s">
        <v>413</v>
      </c>
      <c r="BQ34" s="526" t="s">
        <v>429</v>
      </c>
      <c r="BR34" s="565">
        <v>1.0</v>
      </c>
      <c r="BS34" s="528" t="s">
        <v>413</v>
      </c>
      <c r="BT34" s="526" t="s">
        <v>429</v>
      </c>
      <c r="BU34" s="565">
        <v>1.0</v>
      </c>
      <c r="BV34" s="528" t="s">
        <v>413</v>
      </c>
      <c r="BW34" s="526" t="s">
        <v>429</v>
      </c>
      <c r="BX34" s="565">
        <v>1.0</v>
      </c>
      <c r="BY34" s="528" t="s">
        <v>413</v>
      </c>
      <c r="BZ34" s="526" t="s">
        <v>429</v>
      </c>
      <c r="CA34" s="565">
        <v>1.0</v>
      </c>
      <c r="CB34" s="528" t="s">
        <v>413</v>
      </c>
      <c r="CC34" s="526" t="s">
        <v>429</v>
      </c>
      <c r="CD34" s="565">
        <v>1.0</v>
      </c>
      <c r="CE34" s="528" t="s">
        <v>413</v>
      </c>
      <c r="CF34" s="526" t="s">
        <v>429</v>
      </c>
      <c r="CG34" s="565">
        <v>1.0</v>
      </c>
      <c r="CH34" s="528" t="s">
        <v>413</v>
      </c>
      <c r="CI34" s="526" t="s">
        <v>429</v>
      </c>
      <c r="CJ34" s="565">
        <v>1.0</v>
      </c>
      <c r="CK34" s="528" t="s">
        <v>413</v>
      </c>
      <c r="CL34" s="526" t="s">
        <v>429</v>
      </c>
      <c r="CM34" s="565">
        <v>1.0</v>
      </c>
      <c r="CN34" s="528" t="s">
        <v>413</v>
      </c>
      <c r="CO34" s="526" t="s">
        <v>429</v>
      </c>
      <c r="CP34" s="565">
        <v>1.0</v>
      </c>
      <c r="CQ34" s="528" t="s">
        <v>413</v>
      </c>
      <c r="CR34" s="526" t="s">
        <v>429</v>
      </c>
      <c r="CS34" s="565">
        <v>1.0</v>
      </c>
      <c r="CT34" s="528" t="s">
        <v>413</v>
      </c>
      <c r="CU34" s="526" t="s">
        <v>429</v>
      </c>
      <c r="CV34" s="565">
        <v>1.0</v>
      </c>
      <c r="CW34" s="528" t="s">
        <v>413</v>
      </c>
      <c r="CX34" s="526" t="s">
        <v>429</v>
      </c>
      <c r="CY34" s="565">
        <v>1.0</v>
      </c>
      <c r="CZ34" s="528" t="s">
        <v>413</v>
      </c>
      <c r="DA34" s="526" t="s">
        <v>429</v>
      </c>
      <c r="DB34" s="565">
        <v>1.0</v>
      </c>
      <c r="DC34" s="528" t="s">
        <v>413</v>
      </c>
      <c r="DD34" s="526" t="s">
        <v>429</v>
      </c>
      <c r="DE34" s="565">
        <v>1.0</v>
      </c>
      <c r="DF34" s="528" t="s">
        <v>413</v>
      </c>
      <c r="DG34" s="526" t="s">
        <v>429</v>
      </c>
      <c r="DH34" s="565">
        <v>1.0</v>
      </c>
      <c r="DI34" s="528" t="s">
        <v>413</v>
      </c>
      <c r="DJ34" s="526" t="s">
        <v>429</v>
      </c>
      <c r="DK34" s="565">
        <v>1.0</v>
      </c>
      <c r="DL34" s="528" t="s">
        <v>413</v>
      </c>
      <c r="DM34" s="526" t="s">
        <v>429</v>
      </c>
      <c r="DN34" s="565">
        <v>1.0</v>
      </c>
    </row>
    <row r="35" ht="15.0" hidden="1" customHeight="1">
      <c r="A35" s="53">
        <v>34.0</v>
      </c>
      <c r="B35" s="124" t="s">
        <v>188</v>
      </c>
      <c r="C35" s="125"/>
      <c r="D35" s="126"/>
      <c r="E35" s="126"/>
      <c r="F35" s="126"/>
      <c r="G35" s="126"/>
      <c r="H35" s="128"/>
      <c r="I35" s="126"/>
      <c r="J35" s="126"/>
      <c r="K35" s="129"/>
      <c r="L35" s="128"/>
      <c r="M35" s="572"/>
      <c r="N35" s="573"/>
      <c r="O35" s="574"/>
      <c r="P35" s="574"/>
      <c r="Q35" s="575"/>
      <c r="R35" s="576"/>
      <c r="S35" s="577"/>
      <c r="T35" s="575"/>
      <c r="U35" s="576"/>
      <c r="V35" s="577"/>
      <c r="W35" s="575"/>
      <c r="X35" s="576"/>
      <c r="Y35" s="577"/>
      <c r="Z35" s="575"/>
      <c r="AA35" s="576"/>
      <c r="AB35" s="577"/>
      <c r="AC35" s="578"/>
      <c r="AD35" s="578"/>
      <c r="AE35" s="578"/>
      <c r="AF35" s="578"/>
      <c r="AG35" s="578"/>
      <c r="AH35" s="578"/>
      <c r="AI35" s="578"/>
      <c r="AJ35" s="578"/>
      <c r="AK35" s="578"/>
      <c r="AL35" s="578"/>
      <c r="AM35" s="578"/>
      <c r="AN35" s="578"/>
      <c r="AO35" s="578"/>
      <c r="AP35" s="578"/>
      <c r="AQ35" s="578"/>
      <c r="AR35" s="578"/>
      <c r="AS35" s="578"/>
      <c r="AT35" s="578"/>
      <c r="AU35" s="578"/>
      <c r="AV35" s="578"/>
      <c r="AW35" s="578"/>
      <c r="AX35" s="578"/>
      <c r="AY35" s="578"/>
      <c r="AZ35" s="578"/>
      <c r="BA35" s="578"/>
      <c r="BB35" s="578"/>
      <c r="BC35" s="578"/>
      <c r="BD35" s="578"/>
      <c r="BE35" s="578"/>
      <c r="BF35" s="578"/>
      <c r="BG35" s="578"/>
      <c r="BH35" s="578"/>
      <c r="BI35" s="578"/>
      <c r="BJ35" s="578"/>
      <c r="BK35" s="578"/>
      <c r="BL35" s="578"/>
      <c r="BM35" s="578"/>
      <c r="BN35" s="578"/>
      <c r="BO35" s="578"/>
      <c r="BP35" s="578"/>
      <c r="BQ35" s="578"/>
      <c r="BR35" s="578"/>
      <c r="BS35" s="578"/>
      <c r="BT35" s="578"/>
      <c r="BU35" s="578"/>
      <c r="BV35" s="578"/>
      <c r="BW35" s="578"/>
      <c r="BX35" s="578"/>
      <c r="BY35" s="578"/>
      <c r="BZ35" s="578"/>
      <c r="CA35" s="578"/>
      <c r="CB35" s="578"/>
      <c r="CC35" s="578"/>
      <c r="CD35" s="578"/>
      <c r="CE35" s="578"/>
      <c r="CF35" s="578"/>
      <c r="CG35" s="578"/>
      <c r="CH35" s="578"/>
      <c r="CI35" s="578"/>
      <c r="CJ35" s="578"/>
      <c r="CK35" s="578"/>
      <c r="CL35" s="578"/>
      <c r="CM35" s="578"/>
      <c r="CN35" s="578"/>
      <c r="CO35" s="578"/>
      <c r="CP35" s="578"/>
      <c r="CQ35" s="578"/>
      <c r="CR35" s="578"/>
      <c r="CS35" s="578"/>
      <c r="CT35" s="578"/>
      <c r="CU35" s="578"/>
      <c r="CV35" s="578"/>
      <c r="CW35" s="578"/>
      <c r="CX35" s="578"/>
      <c r="CY35" s="578"/>
      <c r="CZ35" s="578"/>
      <c r="DA35" s="578"/>
      <c r="DB35" s="578"/>
      <c r="DC35" s="578"/>
      <c r="DD35" s="578"/>
      <c r="DE35" s="578"/>
      <c r="DF35" s="578"/>
      <c r="DG35" s="578"/>
      <c r="DH35" s="578"/>
      <c r="DI35" s="578"/>
      <c r="DJ35" s="578"/>
      <c r="DK35" s="578"/>
      <c r="DL35" s="578"/>
      <c r="DM35" s="578"/>
      <c r="DN35" s="578"/>
    </row>
    <row r="36" ht="16.5" customHeight="1">
      <c r="A36" s="53">
        <v>23.0</v>
      </c>
      <c r="B36" s="100" t="s">
        <v>159</v>
      </c>
      <c r="C36" s="100" t="s">
        <v>160</v>
      </c>
      <c r="D36" s="101" t="str">
        <f>MID(B36,17,4)</f>
        <v>DATA</v>
      </c>
      <c r="E36" s="101" t="s">
        <v>161</v>
      </c>
      <c r="F36" s="102">
        <v>1113.0</v>
      </c>
      <c r="G36" s="517" t="s">
        <v>161</v>
      </c>
      <c r="H36" s="517">
        <v>1113.0</v>
      </c>
      <c r="I36" s="68" t="str">
        <f>IFERROR(VLOOKUP(C:C,'R22 RELATÓRIO ACC'!B:F,5,FALSE),"NOT PUBLISHED")</f>
        <v>V28</v>
      </c>
      <c r="J36" s="68" t="str">
        <f>IFERROR(VLOOKUP(C:C,'R22 RELATÓRIO ACC'!B:P,15,FALSE),"NOT PUBLISHED")</f>
        <v>16/04/2026</v>
      </c>
      <c r="K36" s="70" t="str">
        <f>IFERROR(VLOOKUP(B:B,'RELATÓRIO ACC'!B:F,5,FALSE),"NOT PUBLISHED")</f>
        <v>V4</v>
      </c>
      <c r="L36" s="518" t="str">
        <f>IFERROR(VLOOKUP(B:B,'RELATÓRIO ACC'!B:P,15,FALSE),"NOT PUBLISHED")</f>
        <v>26/06/2026</v>
      </c>
      <c r="M36" s="519" t="s">
        <v>422</v>
      </c>
      <c r="N36" s="596">
        <v>45996.0</v>
      </c>
      <c r="O36" s="538" t="s">
        <v>410</v>
      </c>
      <c r="P36" s="587"/>
      <c r="Q36" s="523" t="s">
        <v>381</v>
      </c>
      <c r="R36" s="550" t="s">
        <v>421</v>
      </c>
      <c r="S36" s="551">
        <v>0.01</v>
      </c>
      <c r="T36" s="523" t="s">
        <v>379</v>
      </c>
      <c r="U36" s="558">
        <v>0.0</v>
      </c>
      <c r="V36" s="551" t="s">
        <v>379</v>
      </c>
      <c r="W36" s="523" t="s">
        <v>381</v>
      </c>
      <c r="X36" s="526" t="s">
        <v>401</v>
      </c>
      <c r="Y36" s="551">
        <v>0.08</v>
      </c>
      <c r="Z36" s="523" t="s">
        <v>379</v>
      </c>
      <c r="AA36" s="526">
        <v>0.0</v>
      </c>
      <c r="AB36" s="525" t="s">
        <v>379</v>
      </c>
      <c r="AC36" s="523" t="s">
        <v>383</v>
      </c>
      <c r="AD36" s="526">
        <v>0.0</v>
      </c>
      <c r="AE36" s="570" t="s">
        <v>383</v>
      </c>
      <c r="AF36" s="523" t="s">
        <v>381</v>
      </c>
      <c r="AG36" s="526" t="s">
        <v>402</v>
      </c>
      <c r="AH36" s="571">
        <v>0.45</v>
      </c>
      <c r="AI36" s="523" t="s">
        <v>379</v>
      </c>
      <c r="AJ36" s="526" t="s">
        <v>402</v>
      </c>
      <c r="AK36" s="570" t="s">
        <v>379</v>
      </c>
      <c r="AL36" s="523" t="s">
        <v>383</v>
      </c>
      <c r="AM36" s="526" t="s">
        <v>402</v>
      </c>
      <c r="AN36" s="570" t="s">
        <v>383</v>
      </c>
      <c r="AO36" s="523" t="s">
        <v>386</v>
      </c>
      <c r="AP36" s="526" t="s">
        <v>422</v>
      </c>
      <c r="AQ36" s="529">
        <v>1.0</v>
      </c>
      <c r="AR36" s="528" t="s">
        <v>413</v>
      </c>
      <c r="AS36" s="526" t="s">
        <v>422</v>
      </c>
      <c r="AT36" s="529">
        <v>1.0</v>
      </c>
      <c r="AU36" s="528" t="s">
        <v>413</v>
      </c>
      <c r="AV36" s="526" t="s">
        <v>422</v>
      </c>
      <c r="AW36" s="529">
        <v>1.0</v>
      </c>
      <c r="AX36" s="528" t="s">
        <v>413</v>
      </c>
      <c r="AY36" s="526" t="s">
        <v>422</v>
      </c>
      <c r="AZ36" s="529">
        <v>1.0</v>
      </c>
      <c r="BA36" s="528" t="s">
        <v>413</v>
      </c>
      <c r="BB36" s="526" t="s">
        <v>422</v>
      </c>
      <c r="BC36" s="529">
        <v>1.0</v>
      </c>
      <c r="BD36" s="528" t="s">
        <v>413</v>
      </c>
      <c r="BE36" s="526" t="s">
        <v>422</v>
      </c>
      <c r="BF36" s="529">
        <v>1.0</v>
      </c>
      <c r="BG36" s="528" t="s">
        <v>413</v>
      </c>
      <c r="BH36" s="526" t="s">
        <v>422</v>
      </c>
      <c r="BI36" s="529">
        <v>1.0</v>
      </c>
      <c r="BJ36" s="528" t="s">
        <v>413</v>
      </c>
      <c r="BK36" s="526" t="s">
        <v>422</v>
      </c>
      <c r="BL36" s="529">
        <v>1.0</v>
      </c>
      <c r="BM36" s="528" t="s">
        <v>413</v>
      </c>
      <c r="BN36" s="526" t="s">
        <v>422</v>
      </c>
      <c r="BO36" s="529">
        <v>1.0</v>
      </c>
      <c r="BP36" s="528" t="s">
        <v>413</v>
      </c>
      <c r="BQ36" s="526" t="s">
        <v>422</v>
      </c>
      <c r="BR36" s="529">
        <v>1.0</v>
      </c>
      <c r="BS36" s="528" t="s">
        <v>413</v>
      </c>
      <c r="BT36" s="526" t="s">
        <v>422</v>
      </c>
      <c r="BU36" s="529">
        <v>1.0</v>
      </c>
      <c r="BV36" s="528" t="s">
        <v>413</v>
      </c>
      <c r="BW36" s="526" t="s">
        <v>422</v>
      </c>
      <c r="BX36" s="529">
        <v>1.0</v>
      </c>
      <c r="BY36" s="528" t="s">
        <v>413</v>
      </c>
      <c r="BZ36" s="526" t="s">
        <v>422</v>
      </c>
      <c r="CA36" s="529">
        <v>1.0</v>
      </c>
      <c r="CB36" s="528" t="s">
        <v>413</v>
      </c>
      <c r="CC36" s="526" t="s">
        <v>422</v>
      </c>
      <c r="CD36" s="529">
        <v>1.0</v>
      </c>
      <c r="CE36" s="528" t="s">
        <v>413</v>
      </c>
      <c r="CF36" s="526" t="s">
        <v>422</v>
      </c>
      <c r="CG36" s="529">
        <v>1.0</v>
      </c>
      <c r="CH36" s="528" t="s">
        <v>413</v>
      </c>
      <c r="CI36" s="526" t="s">
        <v>422</v>
      </c>
      <c r="CJ36" s="529">
        <v>1.0</v>
      </c>
      <c r="CK36" s="528" t="s">
        <v>413</v>
      </c>
      <c r="CL36" s="526" t="s">
        <v>422</v>
      </c>
      <c r="CM36" s="532">
        <v>1.0</v>
      </c>
      <c r="CN36" s="528" t="s">
        <v>413</v>
      </c>
      <c r="CO36" s="526" t="s">
        <v>422</v>
      </c>
      <c r="CP36" s="532">
        <v>1.0</v>
      </c>
      <c r="CQ36" s="528" t="s">
        <v>413</v>
      </c>
      <c r="CR36" s="526" t="s">
        <v>422</v>
      </c>
      <c r="CS36" s="532">
        <v>1.0</v>
      </c>
      <c r="CT36" s="528" t="s">
        <v>413</v>
      </c>
      <c r="CU36" s="526" t="s">
        <v>422</v>
      </c>
      <c r="CV36" s="532">
        <v>1.0</v>
      </c>
      <c r="CW36" s="528" t="s">
        <v>413</v>
      </c>
      <c r="CX36" s="526" t="s">
        <v>422</v>
      </c>
      <c r="CY36" s="532">
        <v>1.0</v>
      </c>
      <c r="CZ36" s="528" t="s">
        <v>413</v>
      </c>
      <c r="DA36" s="526" t="s">
        <v>422</v>
      </c>
      <c r="DB36" s="532">
        <v>1.0</v>
      </c>
      <c r="DC36" s="528" t="s">
        <v>413</v>
      </c>
      <c r="DD36" s="526" t="s">
        <v>422</v>
      </c>
      <c r="DE36" s="532">
        <v>1.0</v>
      </c>
      <c r="DF36" s="528" t="s">
        <v>413</v>
      </c>
      <c r="DG36" s="526" t="s">
        <v>422</v>
      </c>
      <c r="DH36" s="532">
        <v>1.0</v>
      </c>
      <c r="DI36" s="528" t="s">
        <v>413</v>
      </c>
      <c r="DJ36" s="526" t="s">
        <v>422</v>
      </c>
      <c r="DK36" s="532">
        <v>1.0</v>
      </c>
      <c r="DL36" s="528" t="s">
        <v>413</v>
      </c>
      <c r="DM36" s="526" t="s">
        <v>422</v>
      </c>
      <c r="DN36" s="532">
        <v>1.0</v>
      </c>
    </row>
    <row r="37" ht="15.0" hidden="1" customHeight="1">
      <c r="A37" s="53">
        <v>36.0</v>
      </c>
      <c r="B37" s="146" t="s">
        <v>193</v>
      </c>
      <c r="C37" s="147"/>
      <c r="D37" s="148"/>
      <c r="E37" s="148"/>
      <c r="F37" s="148"/>
      <c r="G37" s="148"/>
      <c r="H37" s="150"/>
      <c r="I37" s="148"/>
      <c r="J37" s="148"/>
      <c r="K37" s="151"/>
      <c r="L37" s="150"/>
      <c r="M37" s="579"/>
      <c r="N37" s="580"/>
      <c r="O37" s="581"/>
      <c r="P37" s="581"/>
      <c r="Q37" s="582"/>
      <c r="R37" s="583"/>
      <c r="S37" s="584"/>
      <c r="T37" s="582"/>
      <c r="U37" s="583"/>
      <c r="V37" s="584"/>
      <c r="W37" s="582"/>
      <c r="X37" s="583"/>
      <c r="Y37" s="584"/>
      <c r="Z37" s="582"/>
      <c r="AA37" s="583"/>
      <c r="AB37" s="584"/>
      <c r="AC37" s="585"/>
      <c r="AD37" s="585"/>
      <c r="AE37" s="585"/>
      <c r="AF37" s="585"/>
      <c r="AG37" s="585"/>
      <c r="AH37" s="585"/>
      <c r="AI37" s="585"/>
      <c r="AJ37" s="585"/>
      <c r="AK37" s="585"/>
      <c r="AL37" s="585"/>
      <c r="AM37" s="585"/>
      <c r="AN37" s="585"/>
      <c r="AO37" s="585"/>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c r="BM37" s="585"/>
      <c r="BN37" s="585"/>
      <c r="BO37" s="585"/>
      <c r="BP37" s="585"/>
      <c r="BQ37" s="585"/>
      <c r="BR37" s="585"/>
      <c r="BS37" s="585"/>
      <c r="BT37" s="585"/>
      <c r="BU37" s="585"/>
      <c r="BV37" s="585"/>
      <c r="BW37" s="585"/>
      <c r="BX37" s="585"/>
      <c r="BY37" s="585"/>
      <c r="BZ37" s="585"/>
      <c r="CA37" s="585"/>
      <c r="CB37" s="585"/>
      <c r="CC37" s="585"/>
      <c r="CD37" s="585"/>
      <c r="CE37" s="585"/>
      <c r="CF37" s="585"/>
      <c r="CG37" s="585"/>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row>
    <row r="38" ht="15.0" customHeight="1">
      <c r="A38" s="53">
        <v>25.0</v>
      </c>
      <c r="B38" s="100" t="s">
        <v>163</v>
      </c>
      <c r="C38" s="100" t="s">
        <v>164</v>
      </c>
      <c r="D38" s="101" t="str">
        <f>MID(B38,17,4)</f>
        <v>DATA</v>
      </c>
      <c r="E38" s="101" t="s">
        <v>165</v>
      </c>
      <c r="F38" s="102">
        <v>1114.0</v>
      </c>
      <c r="G38" s="517" t="s">
        <v>165</v>
      </c>
      <c r="H38" s="517">
        <v>1114.0</v>
      </c>
      <c r="I38" s="68" t="str">
        <f>IFERROR(VLOOKUP(C:C,'R22 RELATÓRIO ACC'!B:F,5,FALSE),"NOT PUBLISHED")</f>
        <v>V15</v>
      </c>
      <c r="J38" s="68" t="str">
        <f>IFERROR(VLOOKUP(C:C,'R22 RELATÓRIO ACC'!B:P,15,FALSE),"NOT PUBLISHED")</f>
        <v>27/04/2026</v>
      </c>
      <c r="K38" s="70" t="str">
        <f>IFERROR(VLOOKUP(B:B,'RELATÓRIO ACC'!B:F,5,FALSE),"NOT PUBLISHED")</f>
        <v>V3</v>
      </c>
      <c r="L38" s="518" t="str">
        <f>IFERROR(VLOOKUP(B:B,'RELATÓRIO ACC'!B:P,15,FALSE),"NOT PUBLISHED")</f>
        <v>12/07/2026</v>
      </c>
      <c r="M38" s="519" t="s">
        <v>414</v>
      </c>
      <c r="N38" s="569" t="s">
        <v>433</v>
      </c>
      <c r="O38" s="538" t="s">
        <v>410</v>
      </c>
      <c r="P38" s="587"/>
      <c r="Q38" s="523" t="s">
        <v>379</v>
      </c>
      <c r="R38" s="558">
        <v>0.0</v>
      </c>
      <c r="S38" s="523" t="s">
        <v>379</v>
      </c>
      <c r="T38" s="523" t="s">
        <v>381</v>
      </c>
      <c r="U38" s="558">
        <v>0.0</v>
      </c>
      <c r="V38" s="551">
        <v>0.18</v>
      </c>
      <c r="W38" s="523" t="s">
        <v>379</v>
      </c>
      <c r="X38" s="526" t="s">
        <v>417</v>
      </c>
      <c r="Y38" s="525" t="s">
        <v>379</v>
      </c>
      <c r="Z38" s="523" t="s">
        <v>379</v>
      </c>
      <c r="AA38" s="526">
        <v>0.0</v>
      </c>
      <c r="AB38" s="523" t="s">
        <v>379</v>
      </c>
      <c r="AC38" s="523" t="s">
        <v>379</v>
      </c>
      <c r="AD38" s="526">
        <v>0.0</v>
      </c>
      <c r="AE38" s="523" t="s">
        <v>379</v>
      </c>
      <c r="AF38" s="523" t="s">
        <v>383</v>
      </c>
      <c r="AG38" s="526">
        <v>0.0</v>
      </c>
      <c r="AH38" s="523" t="s">
        <v>383</v>
      </c>
      <c r="AI38" s="523" t="s">
        <v>381</v>
      </c>
      <c r="AJ38" s="526" t="s">
        <v>414</v>
      </c>
      <c r="AK38" s="529">
        <v>0.94</v>
      </c>
      <c r="AL38" s="523" t="s">
        <v>379</v>
      </c>
      <c r="AM38" s="526" t="s">
        <v>414</v>
      </c>
      <c r="AN38" s="523" t="s">
        <v>379</v>
      </c>
      <c r="AO38" s="523" t="s">
        <v>386</v>
      </c>
      <c r="AP38" s="526" t="s">
        <v>414</v>
      </c>
      <c r="AQ38" s="571">
        <v>1.0</v>
      </c>
      <c r="AR38" s="523" t="s">
        <v>413</v>
      </c>
      <c r="AS38" s="526" t="s">
        <v>414</v>
      </c>
      <c r="AT38" s="571">
        <v>1.0</v>
      </c>
      <c r="AU38" s="528" t="s">
        <v>413</v>
      </c>
      <c r="AV38" s="526" t="s">
        <v>414</v>
      </c>
      <c r="AW38" s="571">
        <v>1.0</v>
      </c>
      <c r="AX38" s="528" t="s">
        <v>413</v>
      </c>
      <c r="AY38" s="526" t="s">
        <v>414</v>
      </c>
      <c r="AZ38" s="571">
        <v>1.0</v>
      </c>
      <c r="BA38" s="528" t="s">
        <v>413</v>
      </c>
      <c r="BB38" s="526" t="s">
        <v>414</v>
      </c>
      <c r="BC38" s="571">
        <v>1.0</v>
      </c>
      <c r="BD38" s="528" t="s">
        <v>413</v>
      </c>
      <c r="BE38" s="526" t="s">
        <v>414</v>
      </c>
      <c r="BF38" s="571">
        <v>1.0</v>
      </c>
      <c r="BG38" s="528" t="s">
        <v>413</v>
      </c>
      <c r="BH38" s="526" t="s">
        <v>414</v>
      </c>
      <c r="BI38" s="571">
        <v>1.0</v>
      </c>
      <c r="BJ38" s="528" t="s">
        <v>413</v>
      </c>
      <c r="BK38" s="526" t="s">
        <v>414</v>
      </c>
      <c r="BL38" s="571">
        <v>1.0</v>
      </c>
      <c r="BM38" s="528" t="s">
        <v>413</v>
      </c>
      <c r="BN38" s="526" t="s">
        <v>414</v>
      </c>
      <c r="BO38" s="571">
        <v>1.0</v>
      </c>
      <c r="BP38" s="528" t="s">
        <v>413</v>
      </c>
      <c r="BQ38" s="526" t="s">
        <v>414</v>
      </c>
      <c r="BR38" s="571">
        <v>1.0</v>
      </c>
      <c r="BS38" s="528" t="s">
        <v>413</v>
      </c>
      <c r="BT38" s="526" t="s">
        <v>414</v>
      </c>
      <c r="BU38" s="571">
        <v>1.0</v>
      </c>
      <c r="BV38" s="528" t="s">
        <v>413</v>
      </c>
      <c r="BW38" s="526" t="s">
        <v>414</v>
      </c>
      <c r="BX38" s="571">
        <v>1.0</v>
      </c>
      <c r="BY38" s="528" t="s">
        <v>413</v>
      </c>
      <c r="BZ38" s="526" t="s">
        <v>414</v>
      </c>
      <c r="CA38" s="571">
        <v>1.0</v>
      </c>
      <c r="CB38" s="528" t="s">
        <v>413</v>
      </c>
      <c r="CC38" s="526" t="s">
        <v>414</v>
      </c>
      <c r="CD38" s="571">
        <v>1.0</v>
      </c>
      <c r="CE38" s="528" t="s">
        <v>413</v>
      </c>
      <c r="CF38" s="526" t="s">
        <v>414</v>
      </c>
      <c r="CG38" s="571">
        <v>1.0</v>
      </c>
      <c r="CH38" s="528" t="s">
        <v>413</v>
      </c>
      <c r="CI38" s="526" t="s">
        <v>414</v>
      </c>
      <c r="CJ38" s="571">
        <v>1.0</v>
      </c>
      <c r="CK38" s="528" t="s">
        <v>413</v>
      </c>
      <c r="CL38" s="526" t="s">
        <v>414</v>
      </c>
      <c r="CM38" s="571">
        <v>1.0</v>
      </c>
      <c r="CN38" s="528" t="s">
        <v>413</v>
      </c>
      <c r="CO38" s="526" t="s">
        <v>414</v>
      </c>
      <c r="CP38" s="571">
        <v>1.0</v>
      </c>
      <c r="CQ38" s="528" t="s">
        <v>413</v>
      </c>
      <c r="CR38" s="526" t="s">
        <v>414</v>
      </c>
      <c r="CS38" s="571">
        <v>1.0</v>
      </c>
      <c r="CT38" s="528" t="s">
        <v>413</v>
      </c>
      <c r="CU38" s="526" t="s">
        <v>414</v>
      </c>
      <c r="CV38" s="571">
        <v>1.0</v>
      </c>
      <c r="CW38" s="528" t="s">
        <v>413</v>
      </c>
      <c r="CX38" s="526" t="s">
        <v>414</v>
      </c>
      <c r="CY38" s="571">
        <v>1.0</v>
      </c>
      <c r="CZ38" s="528" t="s">
        <v>413</v>
      </c>
      <c r="DA38" s="526" t="s">
        <v>414</v>
      </c>
      <c r="DB38" s="571">
        <v>1.0</v>
      </c>
      <c r="DC38" s="528" t="s">
        <v>413</v>
      </c>
      <c r="DD38" s="526" t="s">
        <v>414</v>
      </c>
      <c r="DE38" s="571">
        <v>1.0</v>
      </c>
      <c r="DF38" s="528" t="s">
        <v>413</v>
      </c>
      <c r="DG38" s="526" t="s">
        <v>414</v>
      </c>
      <c r="DH38" s="571">
        <v>1.0</v>
      </c>
      <c r="DI38" s="528" t="s">
        <v>413</v>
      </c>
      <c r="DJ38" s="526" t="s">
        <v>414</v>
      </c>
      <c r="DK38" s="571">
        <v>1.0</v>
      </c>
      <c r="DL38" s="528" t="s">
        <v>413</v>
      </c>
      <c r="DM38" s="526" t="s">
        <v>414</v>
      </c>
      <c r="DN38" s="571">
        <v>1.0</v>
      </c>
    </row>
    <row r="39" ht="15.0" hidden="1" customHeight="1">
      <c r="A39" s="53">
        <v>38.0</v>
      </c>
      <c r="B39" s="188" t="s">
        <v>201</v>
      </c>
      <c r="C39" s="189"/>
      <c r="D39" s="190"/>
      <c r="E39" s="190"/>
      <c r="F39" s="190"/>
      <c r="G39" s="190"/>
      <c r="H39" s="192"/>
      <c r="I39" s="190"/>
      <c r="J39" s="190"/>
      <c r="K39" s="193"/>
      <c r="L39" s="192"/>
      <c r="M39" s="597"/>
      <c r="N39" s="598"/>
      <c r="O39" s="599"/>
      <c r="P39" s="599"/>
      <c r="Q39" s="600"/>
      <c r="R39" s="601"/>
      <c r="S39" s="602"/>
      <c r="T39" s="600"/>
      <c r="U39" s="601"/>
      <c r="V39" s="602"/>
      <c r="W39" s="600"/>
      <c r="X39" s="601"/>
      <c r="Y39" s="602"/>
      <c r="Z39" s="600"/>
      <c r="AA39" s="601"/>
      <c r="AB39" s="602"/>
      <c r="AC39" s="603"/>
      <c r="AD39" s="603"/>
      <c r="AE39" s="603"/>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c r="BM39" s="603"/>
      <c r="BN39" s="603"/>
      <c r="BO39" s="603"/>
      <c r="BP39" s="603"/>
      <c r="BQ39" s="603"/>
      <c r="BR39" s="603"/>
      <c r="BS39" s="603"/>
      <c r="BT39" s="603"/>
      <c r="BU39" s="603"/>
      <c r="BV39" s="603"/>
      <c r="BW39" s="603"/>
      <c r="BX39" s="603"/>
      <c r="BY39" s="603"/>
      <c r="BZ39" s="603"/>
      <c r="CA39" s="603"/>
      <c r="CB39" s="603"/>
      <c r="CC39" s="603"/>
      <c r="CD39" s="603"/>
      <c r="CE39" s="603"/>
      <c r="CF39" s="603"/>
      <c r="CG39" s="603"/>
      <c r="CH39" s="603"/>
      <c r="CI39" s="603"/>
      <c r="CJ39" s="603"/>
      <c r="CK39" s="603"/>
      <c r="CL39" s="603"/>
      <c r="CM39" s="603"/>
      <c r="CN39" s="603"/>
      <c r="CO39" s="603"/>
      <c r="CP39" s="603"/>
      <c r="CQ39" s="603"/>
      <c r="CR39" s="603"/>
      <c r="CS39" s="603"/>
      <c r="CT39" s="603"/>
      <c r="CU39" s="603"/>
      <c r="CV39" s="603"/>
      <c r="CW39" s="603"/>
      <c r="CX39" s="603"/>
      <c r="CY39" s="603"/>
      <c r="CZ39" s="603"/>
      <c r="DA39" s="603"/>
      <c r="DB39" s="603"/>
      <c r="DC39" s="603"/>
      <c r="DD39" s="603"/>
      <c r="DE39" s="603"/>
      <c r="DF39" s="603"/>
      <c r="DG39" s="603"/>
      <c r="DH39" s="603"/>
      <c r="DI39" s="603"/>
      <c r="DJ39" s="603"/>
      <c r="DK39" s="603"/>
      <c r="DL39" s="603"/>
      <c r="DM39" s="603"/>
      <c r="DN39" s="603"/>
    </row>
    <row r="40" ht="15.0" customHeight="1">
      <c r="A40" s="53">
        <v>27.0</v>
      </c>
      <c r="B40" s="100" t="s">
        <v>171</v>
      </c>
      <c r="C40" s="100" t="s">
        <v>172</v>
      </c>
      <c r="D40" s="101" t="str">
        <f>MID(B40,17,4)</f>
        <v>DATA</v>
      </c>
      <c r="E40" s="101" t="s">
        <v>161</v>
      </c>
      <c r="F40" s="102">
        <v>1113.0</v>
      </c>
      <c r="G40" s="517" t="s">
        <v>161</v>
      </c>
      <c r="H40" s="517">
        <v>1113.0</v>
      </c>
      <c r="I40" s="68" t="str">
        <f>IFERROR(VLOOKUP(C:C,'R22 RELATÓRIO ACC'!B:F,5,FALSE),"NOT PUBLISHED")</f>
        <v>V36</v>
      </c>
      <c r="J40" s="68" t="str">
        <f>IFERROR(VLOOKUP(C:C,'R22 RELATÓRIO ACC'!B:P,15,FALSE),"NOT PUBLISHED")</f>
        <v>08/05/2026</v>
      </c>
      <c r="K40" s="70" t="str">
        <f>IFERROR(VLOOKUP(B:B,'RELATÓRIO ACC'!B:F,5,FALSE),"NOT PUBLISHED")</f>
        <v>V2</v>
      </c>
      <c r="L40" s="518" t="str">
        <f>IFERROR(VLOOKUP(B:B,'RELATÓRIO ACC'!B:P,15,FALSE),"NOT PUBLISHED")</f>
        <v>03/06/2026</v>
      </c>
      <c r="M40" s="519" t="s">
        <v>405</v>
      </c>
      <c r="N40" s="569" t="s">
        <v>434</v>
      </c>
      <c r="O40" s="538" t="s">
        <v>410</v>
      </c>
      <c r="P40" s="587"/>
      <c r="Q40" s="523" t="s">
        <v>381</v>
      </c>
      <c r="R40" s="526" t="s">
        <v>421</v>
      </c>
      <c r="S40" s="546">
        <v>0.11</v>
      </c>
      <c r="T40" s="523" t="s">
        <v>379</v>
      </c>
      <c r="U40" s="524">
        <v>0.0</v>
      </c>
      <c r="V40" s="523" t="s">
        <v>379</v>
      </c>
      <c r="W40" s="523" t="s">
        <v>379</v>
      </c>
      <c r="X40" s="526" t="s">
        <v>422</v>
      </c>
      <c r="Y40" s="523" t="s">
        <v>379</v>
      </c>
      <c r="Z40" s="523" t="s">
        <v>398</v>
      </c>
      <c r="AA40" s="526" t="s">
        <v>421</v>
      </c>
      <c r="AB40" s="523" t="s">
        <v>398</v>
      </c>
      <c r="AC40" s="523" t="s">
        <v>383</v>
      </c>
      <c r="AD40" s="526">
        <v>0.0</v>
      </c>
      <c r="AE40" s="523" t="s">
        <v>383</v>
      </c>
      <c r="AF40" s="523" t="s">
        <v>386</v>
      </c>
      <c r="AG40" s="526" t="s">
        <v>405</v>
      </c>
      <c r="AH40" s="529">
        <v>1.0</v>
      </c>
      <c r="AI40" s="523" t="s">
        <v>413</v>
      </c>
      <c r="AJ40" s="526" t="s">
        <v>405</v>
      </c>
      <c r="AK40" s="529">
        <v>1.0</v>
      </c>
      <c r="AL40" s="523" t="s">
        <v>413</v>
      </c>
      <c r="AM40" s="526" t="s">
        <v>405</v>
      </c>
      <c r="AN40" s="529">
        <v>1.0</v>
      </c>
      <c r="AO40" s="523" t="s">
        <v>413</v>
      </c>
      <c r="AP40" s="526" t="s">
        <v>405</v>
      </c>
      <c r="AQ40" s="529">
        <v>1.0</v>
      </c>
      <c r="AR40" s="528" t="s">
        <v>413</v>
      </c>
      <c r="AS40" s="526" t="s">
        <v>405</v>
      </c>
      <c r="AT40" s="529">
        <v>1.0</v>
      </c>
      <c r="AU40" s="528" t="s">
        <v>413</v>
      </c>
      <c r="AV40" s="526" t="s">
        <v>405</v>
      </c>
      <c r="AW40" s="529">
        <v>1.0</v>
      </c>
      <c r="AX40" s="528" t="s">
        <v>413</v>
      </c>
      <c r="AY40" s="526" t="s">
        <v>405</v>
      </c>
      <c r="AZ40" s="529">
        <v>1.0</v>
      </c>
      <c r="BA40" s="528" t="s">
        <v>413</v>
      </c>
      <c r="BB40" s="526" t="s">
        <v>405</v>
      </c>
      <c r="BC40" s="529">
        <v>1.0</v>
      </c>
      <c r="BD40" s="528" t="s">
        <v>413</v>
      </c>
      <c r="BE40" s="526" t="s">
        <v>405</v>
      </c>
      <c r="BF40" s="529">
        <v>1.0</v>
      </c>
      <c r="BG40" s="528" t="s">
        <v>413</v>
      </c>
      <c r="BH40" s="526" t="s">
        <v>405</v>
      </c>
      <c r="BI40" s="529">
        <v>1.0</v>
      </c>
      <c r="BJ40" s="528" t="s">
        <v>413</v>
      </c>
      <c r="BK40" s="526" t="s">
        <v>405</v>
      </c>
      <c r="BL40" s="529">
        <v>1.0</v>
      </c>
      <c r="BM40" s="528" t="s">
        <v>413</v>
      </c>
      <c r="BN40" s="526" t="s">
        <v>405</v>
      </c>
      <c r="BO40" s="529">
        <v>1.0</v>
      </c>
      <c r="BP40" s="528" t="s">
        <v>413</v>
      </c>
      <c r="BQ40" s="526" t="s">
        <v>405</v>
      </c>
      <c r="BR40" s="529">
        <v>1.0</v>
      </c>
      <c r="BS40" s="528" t="s">
        <v>413</v>
      </c>
      <c r="BT40" s="526" t="s">
        <v>405</v>
      </c>
      <c r="BU40" s="529">
        <v>1.0</v>
      </c>
      <c r="BV40" s="528" t="s">
        <v>413</v>
      </c>
      <c r="BW40" s="526" t="s">
        <v>405</v>
      </c>
      <c r="BX40" s="529">
        <v>1.0</v>
      </c>
      <c r="BY40" s="528" t="s">
        <v>413</v>
      </c>
      <c r="BZ40" s="526" t="s">
        <v>405</v>
      </c>
      <c r="CA40" s="529">
        <v>1.0</v>
      </c>
      <c r="CB40" s="528" t="s">
        <v>413</v>
      </c>
      <c r="CC40" s="526" t="s">
        <v>405</v>
      </c>
      <c r="CD40" s="529">
        <v>1.0</v>
      </c>
      <c r="CE40" s="528" t="s">
        <v>413</v>
      </c>
      <c r="CF40" s="526" t="s">
        <v>405</v>
      </c>
      <c r="CG40" s="529">
        <v>1.0</v>
      </c>
      <c r="CH40" s="528" t="s">
        <v>413</v>
      </c>
      <c r="CI40" s="526" t="s">
        <v>405</v>
      </c>
      <c r="CJ40" s="529">
        <v>1.0</v>
      </c>
      <c r="CK40" s="528" t="s">
        <v>413</v>
      </c>
      <c r="CL40" s="526" t="s">
        <v>405</v>
      </c>
      <c r="CM40" s="529">
        <v>1.0</v>
      </c>
      <c r="CN40" s="528" t="s">
        <v>413</v>
      </c>
      <c r="CO40" s="526" t="s">
        <v>405</v>
      </c>
      <c r="CP40" s="529">
        <v>1.0</v>
      </c>
      <c r="CQ40" s="528" t="s">
        <v>413</v>
      </c>
      <c r="CR40" s="526" t="s">
        <v>405</v>
      </c>
      <c r="CS40" s="529">
        <v>1.0</v>
      </c>
      <c r="CT40" s="528" t="s">
        <v>413</v>
      </c>
      <c r="CU40" s="526" t="s">
        <v>405</v>
      </c>
      <c r="CV40" s="529">
        <v>1.0</v>
      </c>
      <c r="CW40" s="528" t="s">
        <v>413</v>
      </c>
      <c r="CX40" s="526" t="s">
        <v>405</v>
      </c>
      <c r="CY40" s="529">
        <v>1.0</v>
      </c>
      <c r="CZ40" s="528" t="s">
        <v>413</v>
      </c>
      <c r="DA40" s="526" t="s">
        <v>405</v>
      </c>
      <c r="DB40" s="529">
        <v>1.0</v>
      </c>
      <c r="DC40" s="528" t="s">
        <v>413</v>
      </c>
      <c r="DD40" s="526" t="s">
        <v>405</v>
      </c>
      <c r="DE40" s="529">
        <v>1.0</v>
      </c>
      <c r="DF40" s="528" t="s">
        <v>413</v>
      </c>
      <c r="DG40" s="526" t="s">
        <v>405</v>
      </c>
      <c r="DH40" s="529">
        <v>1.0</v>
      </c>
      <c r="DI40" s="528" t="s">
        <v>413</v>
      </c>
      <c r="DJ40" s="526" t="s">
        <v>405</v>
      </c>
      <c r="DK40" s="529">
        <v>1.0</v>
      </c>
      <c r="DL40" s="528" t="s">
        <v>413</v>
      </c>
      <c r="DM40" s="526" t="s">
        <v>405</v>
      </c>
      <c r="DN40" s="529">
        <v>1.0</v>
      </c>
    </row>
    <row r="41" ht="15.0" hidden="1" customHeight="1">
      <c r="A41" s="53">
        <v>40.0</v>
      </c>
      <c r="B41" s="209" t="s">
        <v>206</v>
      </c>
      <c r="C41" s="210"/>
      <c r="D41" s="211"/>
      <c r="E41" s="211"/>
      <c r="F41" s="211"/>
      <c r="G41" s="211"/>
      <c r="H41" s="213"/>
      <c r="I41" s="211"/>
      <c r="J41" s="211"/>
      <c r="K41" s="214"/>
      <c r="L41" s="211"/>
      <c r="M41" s="604"/>
      <c r="N41" s="605"/>
      <c r="O41" s="606"/>
      <c r="P41" s="606"/>
      <c r="Q41" s="607"/>
      <c r="R41" s="608"/>
      <c r="S41" s="609"/>
      <c r="T41" s="607"/>
      <c r="U41" s="608"/>
      <c r="V41" s="609"/>
      <c r="W41" s="607"/>
      <c r="X41" s="608"/>
      <c r="Y41" s="609"/>
      <c r="Z41" s="607"/>
      <c r="AA41" s="608"/>
      <c r="AB41" s="609"/>
      <c r="AC41" s="610"/>
      <c r="AD41" s="610"/>
      <c r="AE41" s="610"/>
      <c r="AF41" s="610"/>
      <c r="AG41" s="610"/>
      <c r="AH41" s="610"/>
      <c r="AI41" s="610"/>
      <c r="AJ41" s="610"/>
      <c r="AK41" s="610"/>
      <c r="AL41" s="610"/>
      <c r="AM41" s="610"/>
      <c r="AN41" s="610"/>
      <c r="AO41" s="610"/>
      <c r="AP41" s="610"/>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c r="BM41" s="610"/>
      <c r="BN41" s="610"/>
      <c r="BO41" s="610"/>
      <c r="BP41" s="610"/>
      <c r="BQ41" s="610"/>
      <c r="BR41" s="610"/>
      <c r="BS41" s="610"/>
      <c r="BT41" s="610"/>
      <c r="BU41" s="610"/>
      <c r="BV41" s="610"/>
      <c r="BW41" s="610"/>
      <c r="BX41" s="610"/>
      <c r="BY41" s="610"/>
      <c r="BZ41" s="610"/>
      <c r="CA41" s="610"/>
      <c r="CB41" s="610"/>
      <c r="CC41" s="610"/>
      <c r="CD41" s="610"/>
      <c r="CE41" s="610"/>
      <c r="CF41" s="610"/>
      <c r="CG41" s="610"/>
      <c r="CH41" s="610"/>
      <c r="CI41" s="610"/>
      <c r="CJ41" s="610"/>
      <c r="CK41" s="610"/>
      <c r="CL41" s="610"/>
      <c r="CM41" s="610"/>
      <c r="CN41" s="610"/>
      <c r="CO41" s="610"/>
      <c r="CP41" s="610"/>
      <c r="CQ41" s="610"/>
      <c r="CR41" s="610"/>
      <c r="CS41" s="610"/>
      <c r="CT41" s="610"/>
      <c r="CU41" s="610"/>
      <c r="CV41" s="610"/>
      <c r="CW41" s="610"/>
      <c r="CX41" s="610"/>
      <c r="CY41" s="610"/>
      <c r="CZ41" s="610"/>
      <c r="DA41" s="610"/>
      <c r="DB41" s="610"/>
      <c r="DC41" s="610"/>
      <c r="DD41" s="610"/>
      <c r="DE41" s="610"/>
      <c r="DF41" s="610"/>
      <c r="DG41" s="610"/>
      <c r="DH41" s="610"/>
      <c r="DI41" s="610"/>
      <c r="DJ41" s="610"/>
      <c r="DK41" s="610"/>
      <c r="DL41" s="610"/>
      <c r="DM41" s="610"/>
      <c r="DN41" s="610"/>
    </row>
    <row r="42" ht="15.0" customHeight="1">
      <c r="A42" s="53">
        <v>29.0</v>
      </c>
      <c r="B42" s="100" t="s">
        <v>176</v>
      </c>
      <c r="C42" s="100" t="s">
        <v>177</v>
      </c>
      <c r="D42" s="101" t="str">
        <f>MID(B42,17,4)</f>
        <v>DATA</v>
      </c>
      <c r="E42" s="101" t="s">
        <v>165</v>
      </c>
      <c r="F42" s="101">
        <v>1114.0</v>
      </c>
      <c r="G42" s="101" t="s">
        <v>165</v>
      </c>
      <c r="H42" s="517">
        <v>1114.0</v>
      </c>
      <c r="I42" s="68" t="str">
        <f>IFERROR(VLOOKUP(C:C,'R22 RELATÓRIO ACC'!B:F,5,FALSE),"NOT PUBLISHED")</f>
        <v>V18</v>
      </c>
      <c r="J42" s="68" t="str">
        <f>IFERROR(VLOOKUP(C:C,'R22 RELATÓRIO ACC'!B:P,15,FALSE),"NOT PUBLISHED")</f>
        <v>30/04/2026</v>
      </c>
      <c r="K42" s="70" t="str">
        <f>IFERROR(VLOOKUP(B:B,'RELATÓRIO ACC'!B:F,5,FALSE),"NOT PUBLISHED")</f>
        <v>V3</v>
      </c>
      <c r="L42" s="518" t="str">
        <f>IFERROR(VLOOKUP(B:B,'RELATÓRIO ACC'!B:P,15,FALSE),"NOT PUBLISHED")</f>
        <v>29/06/2026</v>
      </c>
      <c r="M42" s="519" t="s">
        <v>418</v>
      </c>
      <c r="N42" s="569" t="s">
        <v>433</v>
      </c>
      <c r="O42" s="538" t="s">
        <v>410</v>
      </c>
      <c r="P42" s="587"/>
      <c r="Q42" s="523" t="s">
        <v>379</v>
      </c>
      <c r="R42" s="524">
        <v>0.0</v>
      </c>
      <c r="S42" s="525" t="s">
        <v>379</v>
      </c>
      <c r="T42" s="523" t="s">
        <v>379</v>
      </c>
      <c r="U42" s="524">
        <v>0.0</v>
      </c>
      <c r="V42" s="523" t="s">
        <v>379</v>
      </c>
      <c r="W42" s="523" t="s">
        <v>381</v>
      </c>
      <c r="X42" s="526" t="s">
        <v>415</v>
      </c>
      <c r="Y42" s="546">
        <v>0.2</v>
      </c>
      <c r="Z42" s="523" t="s">
        <v>379</v>
      </c>
      <c r="AA42" s="526">
        <v>0.0</v>
      </c>
      <c r="AB42" s="523" t="s">
        <v>379</v>
      </c>
      <c r="AC42" s="523" t="s">
        <v>379</v>
      </c>
      <c r="AD42" s="526">
        <v>0.0</v>
      </c>
      <c r="AE42" s="523" t="s">
        <v>379</v>
      </c>
      <c r="AF42" s="523" t="s">
        <v>383</v>
      </c>
      <c r="AG42" s="526">
        <v>0.0</v>
      </c>
      <c r="AH42" s="523" t="s">
        <v>383</v>
      </c>
      <c r="AI42" s="523" t="s">
        <v>386</v>
      </c>
      <c r="AJ42" s="526" t="s">
        <v>418</v>
      </c>
      <c r="AK42" s="529">
        <v>1.0</v>
      </c>
      <c r="AL42" s="523" t="s">
        <v>413</v>
      </c>
      <c r="AM42" s="526" t="s">
        <v>418</v>
      </c>
      <c r="AN42" s="529">
        <v>1.0</v>
      </c>
      <c r="AO42" s="523" t="s">
        <v>413</v>
      </c>
      <c r="AP42" s="526" t="s">
        <v>418</v>
      </c>
      <c r="AQ42" s="529">
        <v>1.0</v>
      </c>
      <c r="AR42" s="528" t="s">
        <v>413</v>
      </c>
      <c r="AS42" s="526" t="s">
        <v>418</v>
      </c>
      <c r="AT42" s="529">
        <v>1.0</v>
      </c>
      <c r="AU42" s="528" t="s">
        <v>413</v>
      </c>
      <c r="AV42" s="526" t="s">
        <v>418</v>
      </c>
      <c r="AW42" s="529">
        <v>1.0</v>
      </c>
      <c r="AX42" s="528" t="s">
        <v>413</v>
      </c>
      <c r="AY42" s="526" t="s">
        <v>418</v>
      </c>
      <c r="AZ42" s="529">
        <v>1.0</v>
      </c>
      <c r="BA42" s="528" t="s">
        <v>413</v>
      </c>
      <c r="BB42" s="526" t="s">
        <v>418</v>
      </c>
      <c r="BC42" s="529">
        <v>1.0</v>
      </c>
      <c r="BD42" s="528" t="s">
        <v>413</v>
      </c>
      <c r="BE42" s="526" t="s">
        <v>418</v>
      </c>
      <c r="BF42" s="529">
        <v>1.0</v>
      </c>
      <c r="BG42" s="528" t="s">
        <v>413</v>
      </c>
      <c r="BH42" s="526" t="s">
        <v>418</v>
      </c>
      <c r="BI42" s="529">
        <v>1.0</v>
      </c>
      <c r="BJ42" s="528" t="s">
        <v>413</v>
      </c>
      <c r="BK42" s="526" t="s">
        <v>418</v>
      </c>
      <c r="BL42" s="529">
        <v>1.0</v>
      </c>
      <c r="BM42" s="528" t="s">
        <v>413</v>
      </c>
      <c r="BN42" s="526" t="s">
        <v>418</v>
      </c>
      <c r="BO42" s="529">
        <v>1.0</v>
      </c>
      <c r="BP42" s="528" t="s">
        <v>413</v>
      </c>
      <c r="BQ42" s="526" t="s">
        <v>418</v>
      </c>
      <c r="BR42" s="529">
        <v>1.0</v>
      </c>
      <c r="BS42" s="528" t="s">
        <v>413</v>
      </c>
      <c r="BT42" s="526" t="s">
        <v>418</v>
      </c>
      <c r="BU42" s="529">
        <v>1.0</v>
      </c>
      <c r="BV42" s="528" t="s">
        <v>413</v>
      </c>
      <c r="BW42" s="526" t="s">
        <v>418</v>
      </c>
      <c r="BX42" s="529">
        <v>1.0</v>
      </c>
      <c r="BY42" s="528" t="s">
        <v>413</v>
      </c>
      <c r="BZ42" s="526" t="s">
        <v>418</v>
      </c>
      <c r="CA42" s="529">
        <v>1.0</v>
      </c>
      <c r="CB42" s="528" t="s">
        <v>413</v>
      </c>
      <c r="CC42" s="526" t="s">
        <v>418</v>
      </c>
      <c r="CD42" s="529">
        <v>1.0</v>
      </c>
      <c r="CE42" s="528" t="s">
        <v>413</v>
      </c>
      <c r="CF42" s="526" t="s">
        <v>418</v>
      </c>
      <c r="CG42" s="529">
        <v>1.0</v>
      </c>
      <c r="CH42" s="528" t="s">
        <v>413</v>
      </c>
      <c r="CI42" s="526" t="s">
        <v>418</v>
      </c>
      <c r="CJ42" s="529">
        <v>1.0</v>
      </c>
      <c r="CK42" s="528" t="s">
        <v>413</v>
      </c>
      <c r="CL42" s="526" t="s">
        <v>418</v>
      </c>
      <c r="CM42" s="529">
        <v>1.0</v>
      </c>
      <c r="CN42" s="528" t="s">
        <v>413</v>
      </c>
      <c r="CO42" s="526" t="s">
        <v>418</v>
      </c>
      <c r="CP42" s="529">
        <v>1.0</v>
      </c>
      <c r="CQ42" s="528" t="s">
        <v>413</v>
      </c>
      <c r="CR42" s="526" t="s">
        <v>418</v>
      </c>
      <c r="CS42" s="529">
        <v>1.0</v>
      </c>
      <c r="CT42" s="528" t="s">
        <v>413</v>
      </c>
      <c r="CU42" s="526" t="s">
        <v>418</v>
      </c>
      <c r="CV42" s="529">
        <v>1.0</v>
      </c>
      <c r="CW42" s="528" t="s">
        <v>413</v>
      </c>
      <c r="CX42" s="526" t="s">
        <v>418</v>
      </c>
      <c r="CY42" s="529">
        <v>1.0</v>
      </c>
      <c r="CZ42" s="528" t="s">
        <v>413</v>
      </c>
      <c r="DA42" s="526" t="s">
        <v>418</v>
      </c>
      <c r="DB42" s="529">
        <v>1.0</v>
      </c>
      <c r="DC42" s="528" t="s">
        <v>413</v>
      </c>
      <c r="DD42" s="526" t="s">
        <v>418</v>
      </c>
      <c r="DE42" s="529">
        <v>1.0</v>
      </c>
      <c r="DF42" s="528" t="s">
        <v>413</v>
      </c>
      <c r="DG42" s="526" t="s">
        <v>418</v>
      </c>
      <c r="DH42" s="529">
        <v>1.0</v>
      </c>
      <c r="DI42" s="528" t="s">
        <v>413</v>
      </c>
      <c r="DJ42" s="526" t="s">
        <v>418</v>
      </c>
      <c r="DK42" s="529">
        <v>1.0</v>
      </c>
      <c r="DL42" s="528" t="s">
        <v>413</v>
      </c>
      <c r="DM42" s="526" t="s">
        <v>418</v>
      </c>
      <c r="DN42" s="529">
        <v>1.0</v>
      </c>
    </row>
    <row r="43" ht="15.0" hidden="1" customHeight="1">
      <c r="A43" s="53">
        <v>42.0</v>
      </c>
      <c r="B43" s="209" t="s">
        <v>211</v>
      </c>
      <c r="C43" s="210"/>
      <c r="D43" s="211"/>
      <c r="E43" s="211"/>
      <c r="F43" s="211"/>
      <c r="G43" s="211"/>
      <c r="H43" s="213"/>
      <c r="I43" s="211"/>
      <c r="J43" s="211"/>
      <c r="K43" s="214"/>
      <c r="L43" s="211"/>
      <c r="M43" s="604"/>
      <c r="N43" s="605"/>
      <c r="O43" s="606"/>
      <c r="P43" s="606"/>
      <c r="Q43" s="607"/>
      <c r="R43" s="608"/>
      <c r="S43" s="609"/>
      <c r="T43" s="607"/>
      <c r="U43" s="608"/>
      <c r="V43" s="609"/>
      <c r="W43" s="607"/>
      <c r="X43" s="608"/>
      <c r="Y43" s="609"/>
      <c r="Z43" s="607"/>
      <c r="AA43" s="608"/>
      <c r="AB43" s="609"/>
      <c r="AC43" s="610"/>
      <c r="AD43" s="610"/>
      <c r="AE43" s="610"/>
      <c r="AF43" s="610"/>
      <c r="AG43" s="610"/>
      <c r="AH43" s="610"/>
      <c r="AI43" s="610"/>
      <c r="AJ43" s="610"/>
      <c r="AK43" s="610"/>
      <c r="AL43" s="610"/>
      <c r="AM43" s="610"/>
      <c r="AN43" s="610"/>
      <c r="AO43" s="610"/>
      <c r="AP43" s="610"/>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c r="BM43" s="610"/>
      <c r="BN43" s="610"/>
      <c r="BO43" s="610"/>
      <c r="BP43" s="610"/>
      <c r="BQ43" s="610"/>
      <c r="BR43" s="610"/>
      <c r="BS43" s="610"/>
      <c r="BT43" s="610"/>
      <c r="BU43" s="610"/>
      <c r="BV43" s="610"/>
      <c r="BW43" s="610"/>
      <c r="BX43" s="610"/>
      <c r="BY43" s="610"/>
      <c r="BZ43" s="610"/>
      <c r="CA43" s="610"/>
      <c r="CB43" s="610"/>
      <c r="CC43" s="610"/>
      <c r="CD43" s="610"/>
      <c r="CE43" s="610"/>
      <c r="CF43" s="610"/>
      <c r="CG43" s="610"/>
      <c r="CH43" s="610"/>
      <c r="CI43" s="610"/>
      <c r="CJ43" s="610"/>
      <c r="CK43" s="610"/>
      <c r="CL43" s="610"/>
      <c r="CM43" s="610"/>
      <c r="CN43" s="610"/>
      <c r="CO43" s="610"/>
      <c r="CP43" s="610"/>
      <c r="CQ43" s="610"/>
      <c r="CR43" s="610"/>
      <c r="CS43" s="610"/>
      <c r="CT43" s="610"/>
      <c r="CU43" s="610"/>
      <c r="CV43" s="610"/>
      <c r="CW43" s="610"/>
      <c r="CX43" s="610"/>
      <c r="CY43" s="610"/>
      <c r="CZ43" s="610"/>
      <c r="DA43" s="610"/>
      <c r="DB43" s="610"/>
      <c r="DC43" s="610"/>
      <c r="DD43" s="610"/>
      <c r="DE43" s="610"/>
      <c r="DF43" s="610"/>
      <c r="DG43" s="610"/>
      <c r="DH43" s="610"/>
      <c r="DI43" s="610"/>
      <c r="DJ43" s="610"/>
      <c r="DK43" s="610"/>
      <c r="DL43" s="610"/>
      <c r="DM43" s="610"/>
      <c r="DN43" s="610"/>
    </row>
    <row r="44" ht="15.0" customHeight="1">
      <c r="A44" s="53">
        <v>31.0</v>
      </c>
      <c r="B44" s="100" t="s">
        <v>179</v>
      </c>
      <c r="C44" s="100" t="s">
        <v>180</v>
      </c>
      <c r="D44" s="101" t="str">
        <f>MID(B44,17,4)</f>
        <v>DATA</v>
      </c>
      <c r="E44" s="101" t="s">
        <v>154</v>
      </c>
      <c r="F44" s="102">
        <v>1112.0</v>
      </c>
      <c r="G44" s="517" t="s">
        <v>155</v>
      </c>
      <c r="H44" s="517">
        <v>1129.0</v>
      </c>
      <c r="I44" s="68" t="str">
        <f>IFERROR(VLOOKUP(C:C,'R22 RELATÓRIO ACC'!B:F,5,FALSE),"NOT PUBLISHED")</f>
        <v>V33</v>
      </c>
      <c r="J44" s="68" t="str">
        <f>IFERROR(VLOOKUP(C:C,'R22 RELATÓRIO ACC'!B:P,15,FALSE),"NOT PUBLISHED")</f>
        <v>04/03/2026</v>
      </c>
      <c r="K44" s="70" t="str">
        <f>IFERROR(VLOOKUP(B:B,'RELATÓRIO ACC'!B:F,5,FALSE),"NOT PUBLISHED")</f>
        <v>V2</v>
      </c>
      <c r="L44" s="518" t="str">
        <f>IFERROR(VLOOKUP(B:B,'RELATÓRIO ACC'!B:P,15,FALSE),"NOT PUBLISHED")</f>
        <v>13/07/2026</v>
      </c>
      <c r="M44" s="519" t="s">
        <v>432</v>
      </c>
      <c r="N44" s="569" t="s">
        <v>435</v>
      </c>
      <c r="O44" s="538" t="s">
        <v>410</v>
      </c>
      <c r="P44" s="587" t="s">
        <v>430</v>
      </c>
      <c r="Q44" s="523" t="s">
        <v>379</v>
      </c>
      <c r="R44" s="524">
        <v>0.0</v>
      </c>
      <c r="S44" s="525" t="s">
        <v>379</v>
      </c>
      <c r="T44" s="523" t="s">
        <v>379</v>
      </c>
      <c r="U44" s="524">
        <v>0.0</v>
      </c>
      <c r="V44" s="523" t="s">
        <v>379</v>
      </c>
      <c r="W44" s="523" t="s">
        <v>381</v>
      </c>
      <c r="X44" s="526" t="s">
        <v>406</v>
      </c>
      <c r="Y44" s="546">
        <v>0.18</v>
      </c>
      <c r="Z44" s="523" t="s">
        <v>383</v>
      </c>
      <c r="AA44" s="526" t="s">
        <v>406</v>
      </c>
      <c r="AB44" s="525" t="s">
        <v>383</v>
      </c>
      <c r="AC44" s="523" t="s">
        <v>381</v>
      </c>
      <c r="AD44" s="526" t="s">
        <v>420</v>
      </c>
      <c r="AE44" s="565">
        <v>0.59</v>
      </c>
      <c r="AF44" s="523" t="s">
        <v>383</v>
      </c>
      <c r="AG44" s="526" t="s">
        <v>420</v>
      </c>
      <c r="AH44" s="523" t="s">
        <v>383</v>
      </c>
      <c r="AI44" s="523" t="s">
        <v>383</v>
      </c>
      <c r="AJ44" s="526" t="s">
        <v>431</v>
      </c>
      <c r="AK44" s="523" t="s">
        <v>383</v>
      </c>
      <c r="AL44" s="523" t="s">
        <v>381</v>
      </c>
      <c r="AM44" s="526" t="s">
        <v>436</v>
      </c>
      <c r="AN44" s="565">
        <v>0.68</v>
      </c>
      <c r="AO44" s="523" t="s">
        <v>381</v>
      </c>
      <c r="AP44" s="526" t="s">
        <v>437</v>
      </c>
      <c r="AQ44" s="565">
        <v>0.99</v>
      </c>
      <c r="AR44" s="528" t="s">
        <v>386</v>
      </c>
      <c r="AS44" s="526" t="s">
        <v>437</v>
      </c>
      <c r="AT44" s="565">
        <v>1.0</v>
      </c>
      <c r="AU44" s="528" t="s">
        <v>413</v>
      </c>
      <c r="AV44" s="526" t="s">
        <v>437</v>
      </c>
      <c r="AW44" s="565">
        <v>1.0</v>
      </c>
      <c r="AX44" s="528" t="s">
        <v>413</v>
      </c>
      <c r="AY44" s="526" t="s">
        <v>437</v>
      </c>
      <c r="AZ44" s="565">
        <v>1.0</v>
      </c>
      <c r="BA44" s="528" t="s">
        <v>413</v>
      </c>
      <c r="BB44" s="526" t="s">
        <v>437</v>
      </c>
      <c r="BC44" s="565">
        <v>1.0</v>
      </c>
      <c r="BD44" s="528" t="s">
        <v>413</v>
      </c>
      <c r="BE44" s="526" t="s">
        <v>437</v>
      </c>
      <c r="BF44" s="565">
        <v>1.0</v>
      </c>
      <c r="BG44" s="528" t="s">
        <v>413</v>
      </c>
      <c r="BH44" s="526" t="s">
        <v>437</v>
      </c>
      <c r="BI44" s="565">
        <v>1.0</v>
      </c>
      <c r="BJ44" s="528" t="s">
        <v>413</v>
      </c>
      <c r="BK44" s="526" t="s">
        <v>437</v>
      </c>
      <c r="BL44" s="565">
        <v>1.0</v>
      </c>
      <c r="BM44" s="528" t="s">
        <v>413</v>
      </c>
      <c r="BN44" s="526" t="s">
        <v>437</v>
      </c>
      <c r="BO44" s="565">
        <v>1.0</v>
      </c>
      <c r="BP44" s="528" t="s">
        <v>413</v>
      </c>
      <c r="BQ44" s="526" t="s">
        <v>437</v>
      </c>
      <c r="BR44" s="565">
        <v>1.0</v>
      </c>
      <c r="BS44" s="528" t="s">
        <v>413</v>
      </c>
      <c r="BT44" s="526" t="s">
        <v>437</v>
      </c>
      <c r="BU44" s="565">
        <v>1.0</v>
      </c>
      <c r="BV44" s="528" t="s">
        <v>413</v>
      </c>
      <c r="BW44" s="526" t="s">
        <v>437</v>
      </c>
      <c r="BX44" s="568">
        <v>1.0</v>
      </c>
      <c r="BY44" s="528" t="s">
        <v>413</v>
      </c>
      <c r="BZ44" s="526" t="s">
        <v>437</v>
      </c>
      <c r="CA44" s="568">
        <v>1.0</v>
      </c>
      <c r="CB44" s="528" t="s">
        <v>413</v>
      </c>
      <c r="CC44" s="526" t="s">
        <v>437</v>
      </c>
      <c r="CD44" s="568">
        <v>1.0</v>
      </c>
      <c r="CE44" s="528" t="s">
        <v>413</v>
      </c>
      <c r="CF44" s="526" t="s">
        <v>437</v>
      </c>
      <c r="CG44" s="568">
        <v>1.0</v>
      </c>
      <c r="CH44" s="528" t="s">
        <v>413</v>
      </c>
      <c r="CI44" s="526" t="s">
        <v>437</v>
      </c>
      <c r="CJ44" s="568">
        <v>1.0</v>
      </c>
      <c r="CK44" s="528" t="s">
        <v>413</v>
      </c>
      <c r="CL44" s="526" t="s">
        <v>437</v>
      </c>
      <c r="CM44" s="568">
        <v>1.0</v>
      </c>
      <c r="CN44" s="528" t="s">
        <v>413</v>
      </c>
      <c r="CO44" s="526" t="s">
        <v>437</v>
      </c>
      <c r="CP44" s="568">
        <v>1.0</v>
      </c>
      <c r="CQ44" s="528" t="s">
        <v>413</v>
      </c>
      <c r="CR44" s="526" t="s">
        <v>437</v>
      </c>
      <c r="CS44" s="568">
        <v>1.0</v>
      </c>
      <c r="CT44" s="528" t="s">
        <v>413</v>
      </c>
      <c r="CU44" s="526" t="s">
        <v>437</v>
      </c>
      <c r="CV44" s="568">
        <v>1.0</v>
      </c>
      <c r="CW44" s="528" t="s">
        <v>413</v>
      </c>
      <c r="CX44" s="526" t="s">
        <v>437</v>
      </c>
      <c r="CY44" s="568">
        <v>1.0</v>
      </c>
      <c r="CZ44" s="528" t="s">
        <v>413</v>
      </c>
      <c r="DA44" s="526" t="s">
        <v>437</v>
      </c>
      <c r="DB44" s="568">
        <v>1.0</v>
      </c>
      <c r="DC44" s="528" t="s">
        <v>413</v>
      </c>
      <c r="DD44" s="526" t="s">
        <v>437</v>
      </c>
      <c r="DE44" s="568">
        <v>1.0</v>
      </c>
      <c r="DF44" s="528" t="s">
        <v>413</v>
      </c>
      <c r="DG44" s="526" t="s">
        <v>437</v>
      </c>
      <c r="DH44" s="568">
        <v>1.0</v>
      </c>
      <c r="DI44" s="528" t="s">
        <v>413</v>
      </c>
      <c r="DJ44" s="526" t="s">
        <v>437</v>
      </c>
      <c r="DK44" s="568">
        <v>1.0</v>
      </c>
      <c r="DL44" s="528" t="s">
        <v>413</v>
      </c>
      <c r="DM44" s="526" t="s">
        <v>437</v>
      </c>
      <c r="DN44" s="568">
        <v>1.0</v>
      </c>
    </row>
    <row r="45" ht="15.0" hidden="1" customHeight="1">
      <c r="A45" s="53">
        <v>44.0</v>
      </c>
      <c r="B45" s="230" t="s">
        <v>215</v>
      </c>
      <c r="C45" s="231"/>
      <c r="D45" s="232"/>
      <c r="E45" s="232"/>
      <c r="F45" s="232"/>
      <c r="G45" s="232"/>
      <c r="H45" s="234"/>
      <c r="I45" s="232"/>
      <c r="J45" s="232"/>
      <c r="K45" s="235"/>
      <c r="L45" s="232"/>
      <c r="M45" s="611"/>
      <c r="N45" s="612"/>
      <c r="O45" s="613"/>
      <c r="P45" s="613"/>
      <c r="Q45" s="614"/>
      <c r="R45" s="615"/>
      <c r="S45" s="616"/>
      <c r="T45" s="614"/>
      <c r="U45" s="615"/>
      <c r="V45" s="616"/>
      <c r="W45" s="614"/>
      <c r="X45" s="615"/>
      <c r="Y45" s="616"/>
      <c r="Z45" s="614"/>
      <c r="AA45" s="615"/>
      <c r="AB45" s="616"/>
      <c r="AC45" s="617"/>
      <c r="AD45" s="617"/>
      <c r="AE45" s="617"/>
      <c r="AF45" s="617"/>
      <c r="AG45" s="617"/>
      <c r="AH45" s="617"/>
      <c r="AI45" s="617"/>
      <c r="AJ45" s="617"/>
      <c r="AK45" s="617"/>
      <c r="AL45" s="617"/>
      <c r="AM45" s="617"/>
      <c r="AN45" s="617"/>
      <c r="AO45" s="617"/>
      <c r="AP45" s="617"/>
      <c r="AQ45" s="617"/>
      <c r="AR45" s="617"/>
      <c r="AS45" s="617"/>
      <c r="AT45" s="617"/>
      <c r="AU45" s="617"/>
      <c r="AV45" s="617"/>
      <c r="AW45" s="617"/>
      <c r="AX45" s="617"/>
      <c r="AY45" s="617"/>
      <c r="AZ45" s="617"/>
      <c r="BA45" s="617"/>
      <c r="BB45" s="617"/>
      <c r="BC45" s="617"/>
      <c r="BD45" s="617"/>
      <c r="BE45" s="617"/>
      <c r="BF45" s="617"/>
      <c r="BG45" s="617"/>
      <c r="BH45" s="617"/>
      <c r="BI45" s="617"/>
      <c r="BJ45" s="617"/>
      <c r="BK45" s="617"/>
      <c r="BL45" s="617"/>
      <c r="BM45" s="617"/>
      <c r="BN45" s="617"/>
      <c r="BO45" s="617"/>
      <c r="BP45" s="617"/>
      <c r="BQ45" s="617"/>
      <c r="BR45" s="617"/>
      <c r="BS45" s="617"/>
      <c r="BT45" s="617"/>
      <c r="BU45" s="617"/>
      <c r="BV45" s="617"/>
      <c r="BW45" s="617"/>
      <c r="BX45" s="617"/>
      <c r="BY45" s="617"/>
      <c r="BZ45" s="617"/>
      <c r="CA45" s="617"/>
      <c r="CB45" s="617"/>
      <c r="CC45" s="617"/>
      <c r="CD45" s="617"/>
      <c r="CE45" s="617"/>
      <c r="CF45" s="617"/>
      <c r="CG45" s="617"/>
      <c r="CH45" s="617"/>
      <c r="CI45" s="617"/>
      <c r="CJ45" s="617"/>
      <c r="CK45" s="617"/>
      <c r="CL45" s="617"/>
      <c r="CM45" s="617"/>
      <c r="CN45" s="617"/>
      <c r="CO45" s="617"/>
      <c r="CP45" s="617"/>
      <c r="CQ45" s="617"/>
      <c r="CR45" s="617"/>
      <c r="CS45" s="617"/>
      <c r="CT45" s="617"/>
      <c r="CU45" s="617"/>
      <c r="CV45" s="617"/>
      <c r="CW45" s="617"/>
      <c r="CX45" s="617"/>
      <c r="CY45" s="617"/>
      <c r="CZ45" s="617"/>
      <c r="DA45" s="617"/>
      <c r="DB45" s="617"/>
      <c r="DC45" s="617"/>
      <c r="DD45" s="617"/>
      <c r="DE45" s="617"/>
      <c r="DF45" s="617"/>
      <c r="DG45" s="617"/>
      <c r="DH45" s="617"/>
      <c r="DI45" s="617"/>
      <c r="DJ45" s="617"/>
      <c r="DK45" s="617"/>
      <c r="DL45" s="617"/>
      <c r="DM45" s="617"/>
      <c r="DN45" s="617"/>
    </row>
    <row r="46" ht="15.0" customHeight="1">
      <c r="A46" s="53">
        <v>33.0</v>
      </c>
      <c r="B46" s="100" t="s">
        <v>186</v>
      </c>
      <c r="C46" s="100" t="s">
        <v>187</v>
      </c>
      <c r="D46" s="101" t="str">
        <f>MID(B46,17,4)</f>
        <v>DATA</v>
      </c>
      <c r="E46" s="101" t="s">
        <v>165</v>
      </c>
      <c r="F46" s="102">
        <v>1114.0</v>
      </c>
      <c r="G46" s="517" t="s">
        <v>165</v>
      </c>
      <c r="H46" s="517">
        <v>1114.0</v>
      </c>
      <c r="I46" s="68" t="str">
        <f>IFERROR(VLOOKUP(C:C,'R22 RELATÓRIO ACC'!B:F,5,FALSE),"NOT PUBLISHED")</f>
        <v>V20</v>
      </c>
      <c r="J46" s="68" t="str">
        <f>IFERROR(VLOOKUP(C:C,'R22 RELATÓRIO ACC'!B:P,15,FALSE),"NOT PUBLISHED")</f>
        <v>05/05/2026</v>
      </c>
      <c r="K46" s="70" t="str">
        <f>IFERROR(VLOOKUP(B:B,'RELATÓRIO ACC'!B:F,5,FALSE),"NOT PUBLISHED")</f>
        <v>V2</v>
      </c>
      <c r="L46" s="518" t="str">
        <f>IFERROR(VLOOKUP(B:B,'RELATÓRIO ACC'!B:P,15,FALSE),"NOT PUBLISHED")</f>
        <v>12/07/2026</v>
      </c>
      <c r="M46" s="519" t="s">
        <v>418</v>
      </c>
      <c r="N46" s="520">
        <v>45999.0</v>
      </c>
      <c r="O46" s="538" t="s">
        <v>410</v>
      </c>
      <c r="P46" s="587"/>
      <c r="Q46" s="523" t="s">
        <v>379</v>
      </c>
      <c r="R46" s="558">
        <v>0.0</v>
      </c>
      <c r="S46" s="523" t="s">
        <v>379</v>
      </c>
      <c r="T46" s="523" t="s">
        <v>379</v>
      </c>
      <c r="U46" s="558">
        <v>0.0</v>
      </c>
      <c r="V46" s="523" t="s">
        <v>379</v>
      </c>
      <c r="W46" s="523" t="s">
        <v>381</v>
      </c>
      <c r="X46" s="526" t="s">
        <v>414</v>
      </c>
      <c r="Y46" s="546">
        <v>0.01</v>
      </c>
      <c r="Z46" s="523" t="s">
        <v>379</v>
      </c>
      <c r="AA46" s="526">
        <v>0.0</v>
      </c>
      <c r="AB46" s="523" t="s">
        <v>379</v>
      </c>
      <c r="AC46" s="523" t="s">
        <v>379</v>
      </c>
      <c r="AD46" s="526">
        <v>0.0</v>
      </c>
      <c r="AE46" s="523" t="s">
        <v>379</v>
      </c>
      <c r="AF46" s="523" t="s">
        <v>383</v>
      </c>
      <c r="AG46" s="526">
        <v>0.0</v>
      </c>
      <c r="AH46" s="523" t="s">
        <v>383</v>
      </c>
      <c r="AI46" s="523" t="s">
        <v>381</v>
      </c>
      <c r="AJ46" s="526" t="s">
        <v>415</v>
      </c>
      <c r="AK46" s="529">
        <v>0.97</v>
      </c>
      <c r="AL46" s="523" t="s">
        <v>383</v>
      </c>
      <c r="AM46" s="526" t="s">
        <v>415</v>
      </c>
      <c r="AN46" s="523" t="s">
        <v>383</v>
      </c>
      <c r="AO46" s="528" t="s">
        <v>386</v>
      </c>
      <c r="AP46" s="528" t="s">
        <v>418</v>
      </c>
      <c r="AQ46" s="532">
        <v>1.0</v>
      </c>
      <c r="AR46" s="528" t="s">
        <v>413</v>
      </c>
      <c r="AS46" s="528" t="s">
        <v>418</v>
      </c>
      <c r="AT46" s="532">
        <v>1.0</v>
      </c>
      <c r="AU46" s="523" t="s">
        <v>413</v>
      </c>
      <c r="AV46" s="528" t="s">
        <v>418</v>
      </c>
      <c r="AW46" s="529">
        <v>1.0</v>
      </c>
      <c r="AX46" s="523" t="s">
        <v>413</v>
      </c>
      <c r="AY46" s="528" t="s">
        <v>418</v>
      </c>
      <c r="AZ46" s="529">
        <v>1.0</v>
      </c>
      <c r="BA46" s="523" t="s">
        <v>413</v>
      </c>
      <c r="BB46" s="528" t="s">
        <v>418</v>
      </c>
      <c r="BC46" s="532">
        <v>1.0</v>
      </c>
      <c r="BD46" s="523" t="s">
        <v>413</v>
      </c>
      <c r="BE46" s="528" t="s">
        <v>418</v>
      </c>
      <c r="BF46" s="529">
        <v>1.0</v>
      </c>
      <c r="BG46" s="523" t="s">
        <v>413</v>
      </c>
      <c r="BH46" s="528" t="s">
        <v>418</v>
      </c>
      <c r="BI46" s="532">
        <v>1.0</v>
      </c>
      <c r="BJ46" s="523" t="s">
        <v>413</v>
      </c>
      <c r="BK46" s="528" t="s">
        <v>418</v>
      </c>
      <c r="BL46" s="532">
        <v>1.0</v>
      </c>
      <c r="BM46" s="523" t="s">
        <v>413</v>
      </c>
      <c r="BN46" s="528" t="s">
        <v>418</v>
      </c>
      <c r="BO46" s="529">
        <v>1.0</v>
      </c>
      <c r="BP46" s="528" t="s">
        <v>413</v>
      </c>
      <c r="BQ46" s="528" t="s">
        <v>418</v>
      </c>
      <c r="BR46" s="529">
        <v>1.0</v>
      </c>
      <c r="BS46" s="523" t="s">
        <v>413</v>
      </c>
      <c r="BT46" s="528" t="s">
        <v>418</v>
      </c>
      <c r="BU46" s="529">
        <v>1.0</v>
      </c>
      <c r="BV46" s="528" t="s">
        <v>413</v>
      </c>
      <c r="BW46" s="528" t="s">
        <v>418</v>
      </c>
      <c r="BX46" s="532">
        <v>1.0</v>
      </c>
      <c r="BY46" s="523" t="s">
        <v>413</v>
      </c>
      <c r="BZ46" s="528" t="s">
        <v>418</v>
      </c>
      <c r="CA46" s="529">
        <v>1.0</v>
      </c>
      <c r="CB46" s="523" t="s">
        <v>413</v>
      </c>
      <c r="CC46" s="528" t="s">
        <v>418</v>
      </c>
      <c r="CD46" s="532">
        <v>1.0</v>
      </c>
      <c r="CE46" s="523" t="s">
        <v>413</v>
      </c>
      <c r="CF46" s="528" t="s">
        <v>418</v>
      </c>
      <c r="CG46" s="532">
        <v>1.0</v>
      </c>
      <c r="CH46" s="523" t="s">
        <v>413</v>
      </c>
      <c r="CI46" s="528" t="s">
        <v>418</v>
      </c>
      <c r="CJ46" s="532">
        <v>1.0</v>
      </c>
      <c r="CK46" s="523" t="s">
        <v>413</v>
      </c>
      <c r="CL46" s="528" t="s">
        <v>418</v>
      </c>
      <c r="CM46" s="532">
        <v>1.0</v>
      </c>
      <c r="CN46" s="523" t="s">
        <v>413</v>
      </c>
      <c r="CO46" s="528" t="s">
        <v>418</v>
      </c>
      <c r="CP46" s="532">
        <v>1.0</v>
      </c>
      <c r="CQ46" s="523" t="s">
        <v>413</v>
      </c>
      <c r="CR46" s="528" t="s">
        <v>418</v>
      </c>
      <c r="CS46" s="532">
        <v>1.0</v>
      </c>
      <c r="CT46" s="523" t="s">
        <v>413</v>
      </c>
      <c r="CU46" s="528" t="s">
        <v>418</v>
      </c>
      <c r="CV46" s="532">
        <v>1.0</v>
      </c>
      <c r="CW46" s="523" t="s">
        <v>413</v>
      </c>
      <c r="CX46" s="528" t="s">
        <v>418</v>
      </c>
      <c r="CY46" s="532">
        <v>1.0</v>
      </c>
      <c r="CZ46" s="523" t="s">
        <v>413</v>
      </c>
      <c r="DA46" s="528" t="s">
        <v>418</v>
      </c>
      <c r="DB46" s="532">
        <v>1.0</v>
      </c>
      <c r="DC46" s="523" t="s">
        <v>413</v>
      </c>
      <c r="DD46" s="528" t="s">
        <v>418</v>
      </c>
      <c r="DE46" s="532">
        <v>1.0</v>
      </c>
      <c r="DF46" s="523" t="s">
        <v>413</v>
      </c>
      <c r="DG46" s="528" t="s">
        <v>418</v>
      </c>
      <c r="DH46" s="532">
        <v>1.0</v>
      </c>
      <c r="DI46" s="523" t="s">
        <v>413</v>
      </c>
      <c r="DJ46" s="528" t="s">
        <v>418</v>
      </c>
      <c r="DK46" s="532">
        <v>1.0</v>
      </c>
      <c r="DL46" s="523" t="s">
        <v>413</v>
      </c>
      <c r="DM46" s="528" t="s">
        <v>418</v>
      </c>
      <c r="DN46" s="532">
        <v>1.0</v>
      </c>
    </row>
    <row r="47" ht="15.0" hidden="1" customHeight="1">
      <c r="A47" s="53">
        <v>46.0</v>
      </c>
      <c r="B47" s="251" t="s">
        <v>220</v>
      </c>
      <c r="C47" s="252"/>
      <c r="D47" s="253"/>
      <c r="E47" s="253"/>
      <c r="F47" s="253"/>
      <c r="G47" s="253"/>
      <c r="H47" s="255"/>
      <c r="I47" s="253"/>
      <c r="J47" s="253"/>
      <c r="K47" s="256"/>
      <c r="L47" s="253"/>
      <c r="M47" s="618"/>
      <c r="N47" s="619"/>
      <c r="O47" s="620"/>
      <c r="P47" s="620"/>
      <c r="Q47" s="621"/>
      <c r="R47" s="622"/>
      <c r="S47" s="623"/>
      <c r="T47" s="621"/>
      <c r="U47" s="622"/>
      <c r="V47" s="623"/>
      <c r="W47" s="621"/>
      <c r="X47" s="622"/>
      <c r="Y47" s="623"/>
      <c r="Z47" s="621"/>
      <c r="AA47" s="622"/>
      <c r="AB47" s="623"/>
      <c r="AC47" s="624"/>
      <c r="AD47" s="624"/>
      <c r="AE47" s="624"/>
      <c r="AF47" s="624"/>
      <c r="AG47" s="624"/>
      <c r="AH47" s="624"/>
      <c r="AI47" s="624"/>
      <c r="AJ47" s="624"/>
      <c r="AK47" s="624"/>
      <c r="AL47" s="624"/>
      <c r="AM47" s="624"/>
      <c r="AN47" s="624"/>
      <c r="AO47" s="624"/>
      <c r="AP47" s="624"/>
      <c r="AQ47" s="624"/>
      <c r="AR47" s="624"/>
      <c r="AS47" s="624"/>
      <c r="AT47" s="624"/>
      <c r="AU47" s="624"/>
      <c r="AV47" s="624"/>
      <c r="AW47" s="624"/>
      <c r="AX47" s="624"/>
      <c r="AY47" s="624"/>
      <c r="AZ47" s="624"/>
      <c r="BA47" s="624"/>
      <c r="BB47" s="624"/>
      <c r="BC47" s="624"/>
      <c r="BD47" s="624"/>
      <c r="BE47" s="624"/>
      <c r="BF47" s="624"/>
      <c r="BG47" s="624"/>
      <c r="BH47" s="624"/>
      <c r="BI47" s="624"/>
      <c r="BJ47" s="624"/>
      <c r="BK47" s="624"/>
      <c r="BL47" s="624"/>
      <c r="BM47" s="624"/>
      <c r="BN47" s="624"/>
      <c r="BO47" s="624"/>
      <c r="BP47" s="624"/>
      <c r="BQ47" s="624"/>
      <c r="BR47" s="624"/>
      <c r="BS47" s="624"/>
      <c r="BT47" s="624"/>
      <c r="BU47" s="624"/>
      <c r="BV47" s="624"/>
      <c r="BW47" s="624"/>
      <c r="BX47" s="624"/>
      <c r="BY47" s="624"/>
      <c r="BZ47" s="624"/>
      <c r="CA47" s="624"/>
      <c r="CB47" s="624"/>
      <c r="CC47" s="624"/>
      <c r="CD47" s="624"/>
      <c r="CE47" s="624"/>
      <c r="CF47" s="624"/>
      <c r="CG47" s="624"/>
      <c r="CH47" s="624"/>
      <c r="CI47" s="624"/>
      <c r="CJ47" s="624"/>
      <c r="CK47" s="624"/>
      <c r="CL47" s="624"/>
      <c r="CM47" s="624"/>
      <c r="CN47" s="624"/>
      <c r="CO47" s="624"/>
      <c r="CP47" s="624"/>
      <c r="CQ47" s="624"/>
      <c r="CR47" s="624"/>
      <c r="CS47" s="624"/>
      <c r="CT47" s="624"/>
      <c r="CU47" s="624"/>
      <c r="CV47" s="624"/>
      <c r="CW47" s="624"/>
      <c r="CX47" s="624"/>
      <c r="CY47" s="624"/>
      <c r="CZ47" s="624"/>
      <c r="DA47" s="624"/>
      <c r="DB47" s="624"/>
      <c r="DC47" s="624"/>
      <c r="DD47" s="624"/>
      <c r="DE47" s="624"/>
      <c r="DF47" s="624"/>
      <c r="DG47" s="624"/>
      <c r="DH47" s="624"/>
      <c r="DI47" s="624"/>
      <c r="DJ47" s="624"/>
      <c r="DK47" s="624"/>
      <c r="DL47" s="624"/>
      <c r="DM47" s="624"/>
      <c r="DN47" s="624"/>
    </row>
    <row r="48" ht="15.0" customHeight="1">
      <c r="A48" s="53">
        <v>35.0</v>
      </c>
      <c r="B48" s="100" t="s">
        <v>189</v>
      </c>
      <c r="C48" s="100" t="s">
        <v>190</v>
      </c>
      <c r="D48" s="101" t="str">
        <f>MID(B48,17,4)</f>
        <v>DATA</v>
      </c>
      <c r="E48" s="101" t="s">
        <v>154</v>
      </c>
      <c r="F48" s="102">
        <v>1112.0</v>
      </c>
      <c r="G48" s="517" t="s">
        <v>155</v>
      </c>
      <c r="H48" s="517">
        <v>1129.0</v>
      </c>
      <c r="I48" s="68" t="str">
        <f>IFERROR(VLOOKUP(C:C,'R22 RELATÓRIO ACC'!B:F,5,FALSE),"NOT PUBLISHED")</f>
        <v>V39</v>
      </c>
      <c r="J48" s="68" t="str">
        <f>IFERROR(VLOOKUP(C:C,'R22 RELATÓRIO ACC'!B:P,15,FALSE),"NOT PUBLISHED")</f>
        <v>19/03/2026</v>
      </c>
      <c r="K48" s="70" t="str">
        <f>IFERROR(VLOOKUP(B:B,'RELATÓRIO ACC'!B:F,5,FALSE),"NOT PUBLISHED")</f>
        <v>V5</v>
      </c>
      <c r="L48" s="518" t="str">
        <f>IFERROR(VLOOKUP(B:B,'RELATÓRIO ACC'!B:P,15,FALSE),"NOT PUBLISHED")</f>
        <v>10/07/2026</v>
      </c>
      <c r="M48" s="519" t="s">
        <v>429</v>
      </c>
      <c r="N48" s="520">
        <v>46002.0</v>
      </c>
      <c r="O48" s="538" t="s">
        <v>410</v>
      </c>
      <c r="P48" s="587" t="s">
        <v>430</v>
      </c>
      <c r="Q48" s="523" t="s">
        <v>381</v>
      </c>
      <c r="R48" s="550" t="s">
        <v>421</v>
      </c>
      <c r="S48" s="546">
        <v>0.06</v>
      </c>
      <c r="T48" s="523" t="s">
        <v>379</v>
      </c>
      <c r="U48" s="558">
        <v>0.0</v>
      </c>
      <c r="V48" s="546" t="s">
        <v>379</v>
      </c>
      <c r="W48" s="523" t="s">
        <v>381</v>
      </c>
      <c r="X48" s="526" t="s">
        <v>408</v>
      </c>
      <c r="Y48" s="546">
        <v>0.06</v>
      </c>
      <c r="Z48" s="523" t="s">
        <v>383</v>
      </c>
      <c r="AA48" s="526" t="s">
        <v>408</v>
      </c>
      <c r="AB48" s="523" t="s">
        <v>383</v>
      </c>
      <c r="AC48" s="523" t="s">
        <v>381</v>
      </c>
      <c r="AD48" s="526" t="s">
        <v>432</v>
      </c>
      <c r="AE48" s="565">
        <v>0.63</v>
      </c>
      <c r="AF48" s="523" t="s">
        <v>383</v>
      </c>
      <c r="AG48" s="526" t="s">
        <v>432</v>
      </c>
      <c r="AH48" s="523" t="s">
        <v>383</v>
      </c>
      <c r="AI48" s="523" t="s">
        <v>383</v>
      </c>
      <c r="AJ48" s="526" t="s">
        <v>431</v>
      </c>
      <c r="AK48" s="523" t="s">
        <v>383</v>
      </c>
      <c r="AL48" s="523" t="s">
        <v>381</v>
      </c>
      <c r="AM48" s="526" t="s">
        <v>438</v>
      </c>
      <c r="AN48" s="565">
        <v>0.69</v>
      </c>
      <c r="AO48" s="523" t="s">
        <v>386</v>
      </c>
      <c r="AP48" s="526" t="s">
        <v>429</v>
      </c>
      <c r="AQ48" s="565">
        <v>1.0</v>
      </c>
      <c r="AR48" s="528" t="s">
        <v>413</v>
      </c>
      <c r="AS48" s="526" t="s">
        <v>429</v>
      </c>
      <c r="AT48" s="568">
        <v>1.0</v>
      </c>
      <c r="AU48" s="523" t="s">
        <v>413</v>
      </c>
      <c r="AV48" s="526" t="s">
        <v>429</v>
      </c>
      <c r="AW48" s="565">
        <v>1.0</v>
      </c>
      <c r="AX48" s="523" t="s">
        <v>413</v>
      </c>
      <c r="AY48" s="526" t="s">
        <v>429</v>
      </c>
      <c r="AZ48" s="565">
        <v>1.0</v>
      </c>
      <c r="BA48" s="523" t="s">
        <v>413</v>
      </c>
      <c r="BB48" s="526" t="s">
        <v>429</v>
      </c>
      <c r="BC48" s="568">
        <v>1.0</v>
      </c>
      <c r="BD48" s="523" t="s">
        <v>413</v>
      </c>
      <c r="BE48" s="526" t="s">
        <v>429</v>
      </c>
      <c r="BF48" s="565">
        <v>1.0</v>
      </c>
      <c r="BG48" s="523" t="s">
        <v>413</v>
      </c>
      <c r="BH48" s="526" t="s">
        <v>429</v>
      </c>
      <c r="BI48" s="568">
        <v>1.0</v>
      </c>
      <c r="BJ48" s="523" t="s">
        <v>413</v>
      </c>
      <c r="BK48" s="526" t="s">
        <v>429</v>
      </c>
      <c r="BL48" s="568">
        <v>1.0</v>
      </c>
      <c r="BM48" s="523" t="s">
        <v>413</v>
      </c>
      <c r="BN48" s="526" t="s">
        <v>429</v>
      </c>
      <c r="BO48" s="565">
        <v>1.0</v>
      </c>
      <c r="BP48" s="523" t="s">
        <v>413</v>
      </c>
      <c r="BQ48" s="526" t="s">
        <v>429</v>
      </c>
      <c r="BR48" s="565">
        <v>1.0</v>
      </c>
      <c r="BS48" s="523" t="s">
        <v>413</v>
      </c>
      <c r="BT48" s="526" t="s">
        <v>429</v>
      </c>
      <c r="BU48" s="565">
        <v>1.0</v>
      </c>
      <c r="BV48" s="528" t="s">
        <v>413</v>
      </c>
      <c r="BW48" s="528" t="s">
        <v>429</v>
      </c>
      <c r="BX48" s="568">
        <v>1.0</v>
      </c>
      <c r="BY48" s="528" t="s">
        <v>413</v>
      </c>
      <c r="BZ48" s="528" t="s">
        <v>429</v>
      </c>
      <c r="CA48" s="568">
        <v>1.0</v>
      </c>
      <c r="CB48" s="523" t="s">
        <v>413</v>
      </c>
      <c r="CC48" s="528" t="s">
        <v>429</v>
      </c>
      <c r="CD48" s="565">
        <v>1.0</v>
      </c>
      <c r="CE48" s="523" t="s">
        <v>413</v>
      </c>
      <c r="CF48" s="528" t="s">
        <v>429</v>
      </c>
      <c r="CG48" s="568">
        <v>1.0</v>
      </c>
      <c r="CH48" s="523" t="s">
        <v>413</v>
      </c>
      <c r="CI48" s="528" t="s">
        <v>429</v>
      </c>
      <c r="CJ48" s="568">
        <v>1.0</v>
      </c>
      <c r="CK48" s="523" t="s">
        <v>413</v>
      </c>
      <c r="CL48" s="528" t="s">
        <v>429</v>
      </c>
      <c r="CM48" s="568">
        <v>1.0</v>
      </c>
      <c r="CN48" s="523" t="s">
        <v>413</v>
      </c>
      <c r="CO48" s="528" t="s">
        <v>429</v>
      </c>
      <c r="CP48" s="568">
        <v>1.0</v>
      </c>
      <c r="CQ48" s="523" t="s">
        <v>413</v>
      </c>
      <c r="CR48" s="528" t="s">
        <v>429</v>
      </c>
      <c r="CS48" s="568">
        <v>1.0</v>
      </c>
      <c r="CT48" s="523" t="s">
        <v>413</v>
      </c>
      <c r="CU48" s="528" t="s">
        <v>429</v>
      </c>
      <c r="CV48" s="568">
        <v>1.0</v>
      </c>
      <c r="CW48" s="523" t="s">
        <v>413</v>
      </c>
      <c r="CX48" s="528" t="s">
        <v>429</v>
      </c>
      <c r="CY48" s="568">
        <v>1.0</v>
      </c>
      <c r="CZ48" s="523" t="s">
        <v>413</v>
      </c>
      <c r="DA48" s="528" t="s">
        <v>429</v>
      </c>
      <c r="DB48" s="568">
        <v>1.0</v>
      </c>
      <c r="DC48" s="523" t="s">
        <v>413</v>
      </c>
      <c r="DD48" s="528" t="s">
        <v>429</v>
      </c>
      <c r="DE48" s="568">
        <v>1.0</v>
      </c>
      <c r="DF48" s="523" t="s">
        <v>413</v>
      </c>
      <c r="DG48" s="528" t="s">
        <v>429</v>
      </c>
      <c r="DH48" s="568">
        <v>1.0</v>
      </c>
      <c r="DI48" s="523" t="s">
        <v>413</v>
      </c>
      <c r="DJ48" s="528" t="s">
        <v>429</v>
      </c>
      <c r="DK48" s="568">
        <v>1.0</v>
      </c>
      <c r="DL48" s="523" t="s">
        <v>413</v>
      </c>
      <c r="DM48" s="528" t="s">
        <v>429</v>
      </c>
      <c r="DN48" s="568">
        <v>1.0</v>
      </c>
    </row>
    <row r="49" ht="15.0" hidden="1" customHeight="1">
      <c r="A49" s="53">
        <v>48.0</v>
      </c>
      <c r="B49" s="271" t="s">
        <v>228</v>
      </c>
      <c r="C49" s="272"/>
      <c r="D49" s="273"/>
      <c r="E49" s="273"/>
      <c r="F49" s="273"/>
      <c r="G49" s="273"/>
      <c r="H49" s="275"/>
      <c r="I49" s="273"/>
      <c r="J49" s="273"/>
      <c r="K49" s="276"/>
      <c r="L49" s="273"/>
      <c r="M49" s="625"/>
      <c r="N49" s="626"/>
      <c r="O49" s="627"/>
      <c r="P49" s="627"/>
      <c r="Q49" s="628"/>
      <c r="R49" s="629"/>
      <c r="S49" s="630"/>
      <c r="T49" s="628"/>
      <c r="U49" s="629"/>
      <c r="V49" s="630"/>
      <c r="W49" s="628"/>
      <c r="X49" s="629"/>
      <c r="Y49" s="630"/>
      <c r="Z49" s="628"/>
      <c r="AA49" s="629"/>
      <c r="AB49" s="630"/>
      <c r="AC49" s="631"/>
      <c r="AD49" s="631"/>
      <c r="AE49" s="631"/>
      <c r="AF49" s="631"/>
      <c r="AG49" s="631"/>
      <c r="AH49" s="631"/>
      <c r="AI49" s="631"/>
      <c r="AJ49" s="631"/>
      <c r="AK49" s="631"/>
      <c r="AL49" s="631"/>
      <c r="AM49" s="631"/>
      <c r="AN49" s="631"/>
      <c r="AO49" s="631"/>
      <c r="AP49" s="631"/>
      <c r="AQ49" s="631"/>
      <c r="AR49" s="631"/>
      <c r="AS49" s="631"/>
      <c r="AT49" s="631"/>
      <c r="AU49" s="631"/>
      <c r="AV49" s="631"/>
      <c r="AW49" s="631"/>
      <c r="AX49" s="631"/>
      <c r="AY49" s="631"/>
      <c r="AZ49" s="631"/>
      <c r="BA49" s="631"/>
      <c r="BB49" s="631"/>
      <c r="BC49" s="631"/>
      <c r="BD49" s="631"/>
      <c r="BE49" s="631"/>
      <c r="BF49" s="631"/>
      <c r="BG49" s="631"/>
      <c r="BH49" s="631"/>
      <c r="BI49" s="631"/>
      <c r="BJ49" s="631"/>
      <c r="BK49" s="631"/>
      <c r="BL49" s="631"/>
      <c r="BM49" s="631"/>
      <c r="BN49" s="631"/>
      <c r="BO49" s="631"/>
      <c r="BP49" s="631"/>
      <c r="BQ49" s="631"/>
      <c r="BR49" s="631"/>
      <c r="BS49" s="631"/>
      <c r="BT49" s="631"/>
      <c r="BU49" s="631"/>
      <c r="BV49" s="631"/>
      <c r="BW49" s="631"/>
      <c r="BX49" s="631"/>
      <c r="BY49" s="631"/>
      <c r="BZ49" s="631"/>
      <c r="CA49" s="631"/>
      <c r="CB49" s="631"/>
      <c r="CC49" s="631"/>
      <c r="CD49" s="631"/>
      <c r="CE49" s="631"/>
      <c r="CF49" s="631"/>
      <c r="CG49" s="631"/>
      <c r="CH49" s="631"/>
      <c r="CI49" s="631"/>
      <c r="CJ49" s="631"/>
      <c r="CK49" s="631"/>
      <c r="CL49" s="631"/>
      <c r="CM49" s="631"/>
      <c r="CN49" s="631"/>
      <c r="CO49" s="631"/>
      <c r="CP49" s="631"/>
      <c r="CQ49" s="631"/>
      <c r="CR49" s="631"/>
      <c r="CS49" s="631"/>
      <c r="CT49" s="631"/>
      <c r="CU49" s="631"/>
      <c r="CV49" s="631"/>
      <c r="CW49" s="631"/>
      <c r="CX49" s="631"/>
      <c r="CY49" s="631"/>
      <c r="CZ49" s="631"/>
      <c r="DA49" s="631"/>
      <c r="DB49" s="631"/>
      <c r="DC49" s="631"/>
      <c r="DD49" s="631"/>
      <c r="DE49" s="631"/>
      <c r="DF49" s="631"/>
      <c r="DG49" s="631"/>
      <c r="DH49" s="631"/>
      <c r="DI49" s="631"/>
      <c r="DJ49" s="631"/>
      <c r="DK49" s="631"/>
      <c r="DL49" s="631"/>
      <c r="DM49" s="631"/>
      <c r="DN49" s="631"/>
    </row>
    <row r="50" ht="15.75" customHeight="1">
      <c r="A50" s="53">
        <v>37.0</v>
      </c>
      <c r="B50" s="100" t="s">
        <v>197</v>
      </c>
      <c r="C50" s="100" t="s">
        <v>198</v>
      </c>
      <c r="D50" s="101" t="str">
        <f t="shared" ref="D50:D51" si="2">MID(B50,17,4)</f>
        <v>DATA</v>
      </c>
      <c r="E50" s="101" t="s">
        <v>196</v>
      </c>
      <c r="F50" s="102">
        <v>1115.0</v>
      </c>
      <c r="G50" s="517" t="s">
        <v>196</v>
      </c>
      <c r="H50" s="517">
        <v>1115.0</v>
      </c>
      <c r="I50" s="68" t="str">
        <f>IFERROR(VLOOKUP(C:C,'R22 RELATÓRIO ACC'!B:F,5,FALSE),"NOT PUBLISHED")</f>
        <v>V40</v>
      </c>
      <c r="J50" s="68" t="str">
        <f>IFERROR(VLOOKUP(C:C,'R22 RELATÓRIO ACC'!B:P,15,FALSE),"NOT PUBLISHED")</f>
        <v>06/05/2026</v>
      </c>
      <c r="K50" s="70" t="str">
        <f>IFERROR(VLOOKUP(B:B,'RELATÓRIO ACC'!B:F,5,FALSE),"NOT PUBLISHED")</f>
        <v>V3</v>
      </c>
      <c r="L50" s="518" t="str">
        <f>IFERROR(VLOOKUP(B:B,'RELATÓRIO ACC'!B:P,15,FALSE),"NOT PUBLISHED")</f>
        <v>13/07/2026</v>
      </c>
      <c r="M50" s="519" t="s">
        <v>408</v>
      </c>
      <c r="N50" s="569" t="s">
        <v>439</v>
      </c>
      <c r="O50" s="538" t="s">
        <v>410</v>
      </c>
      <c r="P50" s="587"/>
      <c r="Q50" s="523" t="s">
        <v>381</v>
      </c>
      <c r="R50" s="550" t="s">
        <v>421</v>
      </c>
      <c r="S50" s="551">
        <v>0.01</v>
      </c>
      <c r="T50" s="523" t="s">
        <v>381</v>
      </c>
      <c r="U50" s="550" t="s">
        <v>421</v>
      </c>
      <c r="V50" s="551">
        <v>0.07</v>
      </c>
      <c r="W50" s="523" t="s">
        <v>381</v>
      </c>
      <c r="X50" s="526" t="s">
        <v>407</v>
      </c>
      <c r="Y50" s="546">
        <v>0.8</v>
      </c>
      <c r="Z50" s="523" t="s">
        <v>383</v>
      </c>
      <c r="AA50" s="526" t="s">
        <v>407</v>
      </c>
      <c r="AB50" s="523" t="s">
        <v>383</v>
      </c>
      <c r="AC50" s="523" t="s">
        <v>381</v>
      </c>
      <c r="AD50" s="526">
        <v>0.0</v>
      </c>
      <c r="AE50" s="632">
        <v>0.91</v>
      </c>
      <c r="AF50" s="523" t="s">
        <v>386</v>
      </c>
      <c r="AG50" s="526" t="s">
        <v>408</v>
      </c>
      <c r="AH50" s="571">
        <v>1.0</v>
      </c>
      <c r="AI50" s="523" t="s">
        <v>413</v>
      </c>
      <c r="AJ50" s="526" t="s">
        <v>408</v>
      </c>
      <c r="AK50" s="529">
        <v>1.0</v>
      </c>
      <c r="AL50" s="523" t="s">
        <v>413</v>
      </c>
      <c r="AM50" s="526" t="s">
        <v>408</v>
      </c>
      <c r="AN50" s="529">
        <v>1.0</v>
      </c>
      <c r="AO50" s="523" t="s">
        <v>413</v>
      </c>
      <c r="AP50" s="526" t="s">
        <v>408</v>
      </c>
      <c r="AQ50" s="529">
        <v>1.0</v>
      </c>
      <c r="AR50" s="528" t="s">
        <v>413</v>
      </c>
      <c r="AS50" s="526" t="s">
        <v>408</v>
      </c>
      <c r="AT50" s="529">
        <v>1.0</v>
      </c>
      <c r="AU50" s="523" t="s">
        <v>413</v>
      </c>
      <c r="AV50" s="526" t="s">
        <v>408</v>
      </c>
      <c r="AW50" s="529">
        <v>1.0</v>
      </c>
      <c r="AX50" s="523" t="s">
        <v>413</v>
      </c>
      <c r="AY50" s="526" t="s">
        <v>408</v>
      </c>
      <c r="AZ50" s="529">
        <v>1.0</v>
      </c>
      <c r="BA50" s="523" t="s">
        <v>413</v>
      </c>
      <c r="BB50" s="526" t="s">
        <v>408</v>
      </c>
      <c r="BC50" s="529">
        <v>1.0</v>
      </c>
      <c r="BD50" s="523" t="s">
        <v>413</v>
      </c>
      <c r="BE50" s="526" t="s">
        <v>408</v>
      </c>
      <c r="BF50" s="529">
        <v>1.0</v>
      </c>
      <c r="BG50" s="523" t="s">
        <v>413</v>
      </c>
      <c r="BH50" s="526" t="s">
        <v>408</v>
      </c>
      <c r="BI50" s="529">
        <v>1.0</v>
      </c>
      <c r="BJ50" s="523" t="s">
        <v>413</v>
      </c>
      <c r="BK50" s="526" t="s">
        <v>408</v>
      </c>
      <c r="BL50" s="529">
        <v>1.0</v>
      </c>
      <c r="BM50" s="523" t="s">
        <v>413</v>
      </c>
      <c r="BN50" s="526" t="s">
        <v>408</v>
      </c>
      <c r="BO50" s="529">
        <v>1.0</v>
      </c>
      <c r="BP50" s="523" t="s">
        <v>413</v>
      </c>
      <c r="BQ50" s="526" t="s">
        <v>408</v>
      </c>
      <c r="BR50" s="529">
        <v>1.0</v>
      </c>
      <c r="BS50" s="523" t="s">
        <v>413</v>
      </c>
      <c r="BT50" s="526" t="s">
        <v>408</v>
      </c>
      <c r="BU50" s="529">
        <v>1.0</v>
      </c>
      <c r="BV50" s="528" t="s">
        <v>413</v>
      </c>
      <c r="BW50" s="528" t="s">
        <v>408</v>
      </c>
      <c r="BX50" s="532">
        <v>1.0</v>
      </c>
      <c r="BY50" s="528" t="s">
        <v>413</v>
      </c>
      <c r="BZ50" s="528" t="s">
        <v>408</v>
      </c>
      <c r="CA50" s="532">
        <v>1.0</v>
      </c>
      <c r="CB50" s="528" t="s">
        <v>413</v>
      </c>
      <c r="CC50" s="528" t="s">
        <v>408</v>
      </c>
      <c r="CD50" s="532">
        <v>1.0</v>
      </c>
      <c r="CE50" s="528" t="s">
        <v>413</v>
      </c>
      <c r="CF50" s="528" t="s">
        <v>408</v>
      </c>
      <c r="CG50" s="532">
        <v>1.0</v>
      </c>
      <c r="CH50" s="528" t="s">
        <v>413</v>
      </c>
      <c r="CI50" s="528" t="s">
        <v>408</v>
      </c>
      <c r="CJ50" s="532">
        <v>1.0</v>
      </c>
      <c r="CK50" s="528" t="s">
        <v>413</v>
      </c>
      <c r="CL50" s="528" t="s">
        <v>408</v>
      </c>
      <c r="CM50" s="532">
        <v>1.0</v>
      </c>
      <c r="CN50" s="528" t="s">
        <v>413</v>
      </c>
      <c r="CO50" s="528" t="s">
        <v>408</v>
      </c>
      <c r="CP50" s="532">
        <v>1.0</v>
      </c>
      <c r="CQ50" s="528" t="s">
        <v>413</v>
      </c>
      <c r="CR50" s="528" t="s">
        <v>408</v>
      </c>
      <c r="CS50" s="532">
        <v>1.0</v>
      </c>
      <c r="CT50" s="528" t="s">
        <v>413</v>
      </c>
      <c r="CU50" s="528" t="s">
        <v>408</v>
      </c>
      <c r="CV50" s="532">
        <v>1.0</v>
      </c>
      <c r="CW50" s="528" t="s">
        <v>413</v>
      </c>
      <c r="CX50" s="528" t="s">
        <v>408</v>
      </c>
      <c r="CY50" s="532">
        <v>1.0</v>
      </c>
      <c r="CZ50" s="528" t="s">
        <v>413</v>
      </c>
      <c r="DA50" s="528" t="s">
        <v>408</v>
      </c>
      <c r="DB50" s="532">
        <v>1.0</v>
      </c>
      <c r="DC50" s="528" t="s">
        <v>413</v>
      </c>
      <c r="DD50" s="528" t="s">
        <v>408</v>
      </c>
      <c r="DE50" s="532">
        <v>1.0</v>
      </c>
      <c r="DF50" s="528" t="s">
        <v>413</v>
      </c>
      <c r="DG50" s="528" t="s">
        <v>408</v>
      </c>
      <c r="DH50" s="532">
        <v>1.0</v>
      </c>
      <c r="DI50" s="528" t="s">
        <v>413</v>
      </c>
      <c r="DJ50" s="528" t="s">
        <v>408</v>
      </c>
      <c r="DK50" s="532">
        <v>1.0</v>
      </c>
      <c r="DL50" s="528" t="s">
        <v>413</v>
      </c>
      <c r="DM50" s="528" t="s">
        <v>408</v>
      </c>
      <c r="DN50" s="532">
        <v>1.0</v>
      </c>
    </row>
    <row r="51" ht="15.0" customHeight="1">
      <c r="A51" s="53">
        <v>39.0</v>
      </c>
      <c r="B51" s="100" t="s">
        <v>204</v>
      </c>
      <c r="C51" s="100" t="s">
        <v>205</v>
      </c>
      <c r="D51" s="101" t="str">
        <f t="shared" si="2"/>
        <v>DATA</v>
      </c>
      <c r="E51" s="101" t="s">
        <v>154</v>
      </c>
      <c r="F51" s="102">
        <v>1112.0</v>
      </c>
      <c r="G51" s="517" t="s">
        <v>155</v>
      </c>
      <c r="H51" s="517">
        <v>1129.0</v>
      </c>
      <c r="I51" s="68" t="str">
        <f>IFERROR(VLOOKUP(C:C,'R22 RELATÓRIO ACC'!B:F,5,FALSE),"NOT PUBLISHED")</f>
        <v>V52</v>
      </c>
      <c r="J51" s="68" t="str">
        <f>IFERROR(VLOOKUP(C:C,'R22 RELATÓRIO ACC'!B:P,15,FALSE),"NOT PUBLISHED")</f>
        <v>30/04/2026</v>
      </c>
      <c r="K51" s="70" t="str">
        <f>IFERROR(VLOOKUP(B:B,'RELATÓRIO ACC'!B:F,5,FALSE),"NOT PUBLISHED")</f>
        <v>V4</v>
      </c>
      <c r="L51" s="518" t="str">
        <f>IFERROR(VLOOKUP(B:B,'RELATÓRIO ACC'!B:P,15,FALSE),"NOT PUBLISHED")</f>
        <v>06/07/2026</v>
      </c>
      <c r="M51" s="519" t="s">
        <v>440</v>
      </c>
      <c r="N51" s="569" t="s">
        <v>435</v>
      </c>
      <c r="O51" s="538" t="s">
        <v>410</v>
      </c>
      <c r="P51" s="587" t="s">
        <v>430</v>
      </c>
      <c r="Q51" s="523" t="s">
        <v>381</v>
      </c>
      <c r="R51" s="550" t="s">
        <v>421</v>
      </c>
      <c r="S51" s="546">
        <v>0.09</v>
      </c>
      <c r="T51" s="523" t="s">
        <v>379</v>
      </c>
      <c r="U51" s="558">
        <v>0.0</v>
      </c>
      <c r="V51" s="546" t="s">
        <v>379</v>
      </c>
      <c r="W51" s="523" t="s">
        <v>381</v>
      </c>
      <c r="X51" s="526" t="s">
        <v>429</v>
      </c>
      <c r="Y51" s="546">
        <v>0.14</v>
      </c>
      <c r="Z51" s="523" t="s">
        <v>383</v>
      </c>
      <c r="AA51" s="526" t="s">
        <v>429</v>
      </c>
      <c r="AB51" s="525" t="s">
        <v>383</v>
      </c>
      <c r="AC51" s="523" t="s">
        <v>381</v>
      </c>
      <c r="AD51" s="526" t="s">
        <v>441</v>
      </c>
      <c r="AE51" s="565">
        <v>0.36</v>
      </c>
      <c r="AF51" s="523" t="s">
        <v>398</v>
      </c>
      <c r="AG51" s="526" t="s">
        <v>442</v>
      </c>
      <c r="AH51" s="523" t="s">
        <v>398</v>
      </c>
      <c r="AI51" s="523" t="s">
        <v>383</v>
      </c>
      <c r="AJ51" s="526" t="s">
        <v>431</v>
      </c>
      <c r="AK51" s="523" t="s">
        <v>383</v>
      </c>
      <c r="AL51" s="523" t="s">
        <v>381</v>
      </c>
      <c r="AM51" s="526" t="s">
        <v>443</v>
      </c>
      <c r="AN51" s="565">
        <v>0.45</v>
      </c>
      <c r="AO51" s="523" t="s">
        <v>381</v>
      </c>
      <c r="AP51" s="526" t="s">
        <v>444</v>
      </c>
      <c r="AQ51" s="565">
        <v>0.96</v>
      </c>
      <c r="AR51" s="523" t="s">
        <v>386</v>
      </c>
      <c r="AS51" s="526" t="s">
        <v>444</v>
      </c>
      <c r="AT51" s="565">
        <v>1.0</v>
      </c>
      <c r="AU51" s="523" t="s">
        <v>413</v>
      </c>
      <c r="AV51" s="526" t="s">
        <v>444</v>
      </c>
      <c r="AW51" s="565">
        <v>1.0</v>
      </c>
      <c r="AX51" s="523" t="s">
        <v>413</v>
      </c>
      <c r="AY51" s="526" t="s">
        <v>444</v>
      </c>
      <c r="AZ51" s="565">
        <v>1.0</v>
      </c>
      <c r="BA51" s="523" t="s">
        <v>413</v>
      </c>
      <c r="BB51" s="526" t="s">
        <v>444</v>
      </c>
      <c r="BC51" s="565">
        <v>1.0</v>
      </c>
      <c r="BD51" s="523" t="s">
        <v>413</v>
      </c>
      <c r="BE51" s="526" t="s">
        <v>444</v>
      </c>
      <c r="BF51" s="565">
        <v>1.0</v>
      </c>
      <c r="BG51" s="523" t="s">
        <v>413</v>
      </c>
      <c r="BH51" s="526" t="s">
        <v>444</v>
      </c>
      <c r="BI51" s="565">
        <v>1.0</v>
      </c>
      <c r="BJ51" s="523" t="s">
        <v>413</v>
      </c>
      <c r="BK51" s="526" t="s">
        <v>444</v>
      </c>
      <c r="BL51" s="565">
        <v>1.0</v>
      </c>
      <c r="BM51" s="523" t="s">
        <v>413</v>
      </c>
      <c r="BN51" s="526" t="s">
        <v>444</v>
      </c>
      <c r="BO51" s="565">
        <v>1.0</v>
      </c>
      <c r="BP51" s="523" t="s">
        <v>413</v>
      </c>
      <c r="BQ51" s="526" t="s">
        <v>444</v>
      </c>
      <c r="BR51" s="565">
        <v>1.0</v>
      </c>
      <c r="BS51" s="523" t="s">
        <v>413</v>
      </c>
      <c r="BT51" s="526" t="s">
        <v>444</v>
      </c>
      <c r="BU51" s="565">
        <v>1.0</v>
      </c>
      <c r="BV51" s="528" t="s">
        <v>413</v>
      </c>
      <c r="BW51" s="528" t="s">
        <v>444</v>
      </c>
      <c r="BX51" s="568">
        <v>1.0</v>
      </c>
      <c r="BY51" s="528" t="s">
        <v>413</v>
      </c>
      <c r="BZ51" s="528" t="s">
        <v>444</v>
      </c>
      <c r="CA51" s="568">
        <v>1.0</v>
      </c>
      <c r="CB51" s="528" t="s">
        <v>413</v>
      </c>
      <c r="CC51" s="528" t="s">
        <v>444</v>
      </c>
      <c r="CD51" s="568">
        <v>1.0</v>
      </c>
      <c r="CE51" s="528" t="s">
        <v>413</v>
      </c>
      <c r="CF51" s="528" t="s">
        <v>444</v>
      </c>
      <c r="CG51" s="568">
        <v>1.0</v>
      </c>
      <c r="CH51" s="528" t="s">
        <v>413</v>
      </c>
      <c r="CI51" s="528" t="s">
        <v>444</v>
      </c>
      <c r="CJ51" s="568">
        <v>1.0</v>
      </c>
      <c r="CK51" s="528" t="s">
        <v>413</v>
      </c>
      <c r="CL51" s="528" t="s">
        <v>444</v>
      </c>
      <c r="CM51" s="568">
        <v>1.0</v>
      </c>
      <c r="CN51" s="528" t="s">
        <v>413</v>
      </c>
      <c r="CO51" s="528" t="s">
        <v>444</v>
      </c>
      <c r="CP51" s="568">
        <v>1.0</v>
      </c>
      <c r="CQ51" s="528" t="s">
        <v>413</v>
      </c>
      <c r="CR51" s="528" t="s">
        <v>444</v>
      </c>
      <c r="CS51" s="568">
        <v>1.0</v>
      </c>
      <c r="CT51" s="528" t="s">
        <v>413</v>
      </c>
      <c r="CU51" s="528" t="s">
        <v>444</v>
      </c>
      <c r="CV51" s="568">
        <v>1.0</v>
      </c>
      <c r="CW51" s="528" t="s">
        <v>413</v>
      </c>
      <c r="CX51" s="528" t="s">
        <v>444</v>
      </c>
      <c r="CY51" s="568">
        <v>1.0</v>
      </c>
      <c r="CZ51" s="528" t="s">
        <v>413</v>
      </c>
      <c r="DA51" s="528" t="s">
        <v>444</v>
      </c>
      <c r="DB51" s="568">
        <v>1.0</v>
      </c>
      <c r="DC51" s="528" t="s">
        <v>413</v>
      </c>
      <c r="DD51" s="528" t="s">
        <v>444</v>
      </c>
      <c r="DE51" s="568">
        <v>1.0</v>
      </c>
      <c r="DF51" s="528" t="s">
        <v>413</v>
      </c>
      <c r="DG51" s="528" t="s">
        <v>444</v>
      </c>
      <c r="DH51" s="568">
        <v>1.0</v>
      </c>
      <c r="DI51" s="528" t="s">
        <v>413</v>
      </c>
      <c r="DJ51" s="528" t="s">
        <v>444</v>
      </c>
      <c r="DK51" s="568">
        <v>1.0</v>
      </c>
      <c r="DL51" s="528" t="s">
        <v>413</v>
      </c>
      <c r="DM51" s="528" t="s">
        <v>444</v>
      </c>
      <c r="DN51" s="568">
        <v>1.0</v>
      </c>
    </row>
    <row r="52" ht="15.0" hidden="1" customHeight="1">
      <c r="A52" s="53">
        <v>51.0</v>
      </c>
      <c r="B52" s="291" t="s">
        <v>242</v>
      </c>
      <c r="C52" s="292"/>
      <c r="D52" s="293"/>
      <c r="E52" s="293"/>
      <c r="F52" s="293"/>
      <c r="G52" s="293"/>
      <c r="H52" s="295"/>
      <c r="I52" s="293"/>
      <c r="J52" s="293"/>
      <c r="K52" s="296"/>
      <c r="L52" s="295"/>
      <c r="M52" s="633"/>
      <c r="N52" s="634"/>
      <c r="O52" s="635"/>
      <c r="P52" s="635"/>
      <c r="Q52" s="636"/>
      <c r="R52" s="637"/>
      <c r="S52" s="638"/>
      <c r="T52" s="636"/>
      <c r="U52" s="637"/>
      <c r="V52" s="638"/>
      <c r="W52" s="636"/>
      <c r="X52" s="637"/>
      <c r="Y52" s="638"/>
      <c r="Z52" s="636"/>
      <c r="AA52" s="637"/>
      <c r="AB52" s="638"/>
      <c r="AC52" s="639"/>
      <c r="AD52" s="639"/>
      <c r="AE52" s="639"/>
      <c r="AF52" s="639"/>
      <c r="AG52" s="639"/>
      <c r="AH52" s="639"/>
      <c r="AI52" s="639"/>
      <c r="AJ52" s="639"/>
      <c r="AK52" s="639"/>
      <c r="AL52" s="639"/>
      <c r="AM52" s="639"/>
      <c r="AN52" s="639"/>
      <c r="AO52" s="639"/>
      <c r="AP52" s="639"/>
      <c r="AQ52" s="639"/>
      <c r="AR52" s="639"/>
      <c r="AS52" s="639"/>
      <c r="AT52" s="639"/>
      <c r="AU52" s="639"/>
      <c r="AV52" s="639"/>
      <c r="AW52" s="639"/>
      <c r="AX52" s="639"/>
      <c r="AY52" s="639"/>
      <c r="AZ52" s="639"/>
      <c r="BA52" s="639"/>
      <c r="BB52" s="639"/>
      <c r="BC52" s="639"/>
      <c r="BD52" s="639"/>
      <c r="BE52" s="639"/>
      <c r="BF52" s="639"/>
      <c r="BG52" s="639"/>
      <c r="BH52" s="639"/>
      <c r="BI52" s="639"/>
      <c r="BJ52" s="639"/>
      <c r="BK52" s="639"/>
      <c r="BL52" s="639"/>
      <c r="BM52" s="639"/>
      <c r="BN52" s="639"/>
      <c r="BO52" s="639"/>
      <c r="BP52" s="639"/>
      <c r="BQ52" s="639"/>
      <c r="BR52" s="639"/>
      <c r="BS52" s="639"/>
      <c r="BT52" s="639"/>
      <c r="BU52" s="639"/>
      <c r="BV52" s="639"/>
      <c r="BW52" s="639"/>
      <c r="BX52" s="639"/>
      <c r="BY52" s="639"/>
      <c r="BZ52" s="639"/>
      <c r="CA52" s="639"/>
      <c r="CB52" s="639"/>
      <c r="CC52" s="639"/>
      <c r="CD52" s="639"/>
      <c r="CE52" s="639"/>
      <c r="CF52" s="639"/>
      <c r="CG52" s="639"/>
      <c r="CH52" s="639"/>
      <c r="CI52" s="639"/>
      <c r="CJ52" s="639"/>
      <c r="CK52" s="639"/>
      <c r="CL52" s="639"/>
      <c r="CM52" s="639"/>
      <c r="CN52" s="639"/>
      <c r="CO52" s="639"/>
      <c r="CP52" s="639"/>
      <c r="CQ52" s="639"/>
      <c r="CR52" s="639"/>
      <c r="CS52" s="639"/>
      <c r="CT52" s="639"/>
      <c r="CU52" s="639"/>
      <c r="CV52" s="639"/>
      <c r="CW52" s="639"/>
      <c r="CX52" s="639"/>
      <c r="CY52" s="639"/>
      <c r="CZ52" s="639"/>
      <c r="DA52" s="639"/>
      <c r="DB52" s="639"/>
      <c r="DC52" s="639"/>
      <c r="DD52" s="639"/>
      <c r="DE52" s="639"/>
      <c r="DF52" s="639"/>
      <c r="DG52" s="639"/>
      <c r="DH52" s="639"/>
      <c r="DI52" s="639"/>
      <c r="DJ52" s="639"/>
      <c r="DK52" s="639"/>
      <c r="DL52" s="639"/>
      <c r="DM52" s="639"/>
      <c r="DN52" s="639"/>
    </row>
    <row r="53" ht="15.0" customHeight="1">
      <c r="A53" s="53">
        <v>41.0</v>
      </c>
      <c r="B53" s="100" t="s">
        <v>207</v>
      </c>
      <c r="C53" s="100" t="s">
        <v>208</v>
      </c>
      <c r="D53" s="101" t="str">
        <f>MID(B53,17,4)</f>
        <v>DATA</v>
      </c>
      <c r="E53" s="101" t="s">
        <v>154</v>
      </c>
      <c r="F53" s="102" t="s">
        <v>154</v>
      </c>
      <c r="G53" s="517" t="s">
        <v>154</v>
      </c>
      <c r="H53" s="517"/>
      <c r="I53" s="68" t="str">
        <f>IFERROR(VLOOKUP(C:C,'R22 RELATÓRIO ACC'!B:F,5,FALSE),"NOT PUBLISHED")</f>
        <v>V13</v>
      </c>
      <c r="J53" s="68" t="str">
        <f>IFERROR(VLOOKUP(C:C,'R22 RELATÓRIO ACC'!B:P,15,FALSE),"NOT PUBLISHED")</f>
        <v>12/05/2026</v>
      </c>
      <c r="K53" s="70" t="str">
        <f>IFERROR(VLOOKUP(B:B,'RELATÓRIO ACC'!B:F,5,FALSE),"NOT PUBLISHED")</f>
        <v>V5</v>
      </c>
      <c r="L53" s="518" t="str">
        <f>IFERROR(VLOOKUP(B:B,'RELATÓRIO ACC'!B:P,15,FALSE),"NOT PUBLISHED")</f>
        <v>13/07/2026</v>
      </c>
      <c r="M53" s="519" t="s">
        <v>411</v>
      </c>
      <c r="N53" s="520">
        <v>46008.0</v>
      </c>
      <c r="O53" s="538" t="s">
        <v>410</v>
      </c>
      <c r="P53" s="587"/>
      <c r="Q53" s="523" t="s">
        <v>388</v>
      </c>
      <c r="R53" s="558" t="s">
        <v>380</v>
      </c>
      <c r="S53" s="523" t="s">
        <v>388</v>
      </c>
      <c r="T53" s="523" t="s">
        <v>388</v>
      </c>
      <c r="U53" s="558" t="s">
        <v>380</v>
      </c>
      <c r="V53" s="523" t="s">
        <v>388</v>
      </c>
      <c r="W53" s="523" t="s">
        <v>388</v>
      </c>
      <c r="X53" s="526" t="s">
        <v>380</v>
      </c>
      <c r="Y53" s="523" t="s">
        <v>388</v>
      </c>
      <c r="Z53" s="523" t="s">
        <v>381</v>
      </c>
      <c r="AA53" s="526">
        <v>0.0</v>
      </c>
      <c r="AB53" s="546">
        <v>0.01</v>
      </c>
      <c r="AC53" s="523" t="s">
        <v>398</v>
      </c>
      <c r="AD53" s="526" t="s">
        <v>387</v>
      </c>
      <c r="AE53" s="523" t="s">
        <v>398</v>
      </c>
      <c r="AF53" s="523" t="s">
        <v>381</v>
      </c>
      <c r="AG53" s="526" t="s">
        <v>400</v>
      </c>
      <c r="AH53" s="529">
        <v>0.01</v>
      </c>
      <c r="AI53" s="523" t="s">
        <v>379</v>
      </c>
      <c r="AJ53" s="526" t="s">
        <v>400</v>
      </c>
      <c r="AK53" s="523" t="s">
        <v>379</v>
      </c>
      <c r="AL53" s="523" t="s">
        <v>383</v>
      </c>
      <c r="AM53" s="526" t="s">
        <v>400</v>
      </c>
      <c r="AN53" s="523" t="s">
        <v>383</v>
      </c>
      <c r="AO53" s="523" t="s">
        <v>386</v>
      </c>
      <c r="AP53" s="526" t="s">
        <v>411</v>
      </c>
      <c r="AQ53" s="529">
        <v>1.0</v>
      </c>
      <c r="AR53" s="523" t="s">
        <v>413</v>
      </c>
      <c r="AS53" s="526" t="s">
        <v>411</v>
      </c>
      <c r="AT53" s="529">
        <v>1.0</v>
      </c>
      <c r="AU53" s="523" t="s">
        <v>413</v>
      </c>
      <c r="AV53" s="526" t="s">
        <v>411</v>
      </c>
      <c r="AW53" s="529">
        <v>1.0</v>
      </c>
      <c r="AX53" s="523" t="s">
        <v>413</v>
      </c>
      <c r="AY53" s="526" t="s">
        <v>411</v>
      </c>
      <c r="AZ53" s="529">
        <v>1.0</v>
      </c>
      <c r="BA53" s="523" t="s">
        <v>413</v>
      </c>
      <c r="BB53" s="526" t="s">
        <v>411</v>
      </c>
      <c r="BC53" s="529">
        <v>1.0</v>
      </c>
      <c r="BD53" s="523" t="s">
        <v>413</v>
      </c>
      <c r="BE53" s="526" t="s">
        <v>411</v>
      </c>
      <c r="BF53" s="529">
        <v>1.0</v>
      </c>
      <c r="BG53" s="523" t="s">
        <v>413</v>
      </c>
      <c r="BH53" s="526" t="s">
        <v>411</v>
      </c>
      <c r="BI53" s="529">
        <v>1.0</v>
      </c>
      <c r="BJ53" s="523" t="s">
        <v>413</v>
      </c>
      <c r="BK53" s="526" t="s">
        <v>411</v>
      </c>
      <c r="BL53" s="529">
        <v>1.0</v>
      </c>
      <c r="BM53" s="523" t="s">
        <v>413</v>
      </c>
      <c r="BN53" s="526" t="s">
        <v>411</v>
      </c>
      <c r="BO53" s="529">
        <v>1.0</v>
      </c>
      <c r="BP53" s="523" t="s">
        <v>413</v>
      </c>
      <c r="BQ53" s="526" t="s">
        <v>411</v>
      </c>
      <c r="BR53" s="529">
        <v>1.0</v>
      </c>
      <c r="BS53" s="523" t="s">
        <v>413</v>
      </c>
      <c r="BT53" s="526" t="s">
        <v>411</v>
      </c>
      <c r="BU53" s="529">
        <v>1.0</v>
      </c>
      <c r="BV53" s="528" t="s">
        <v>413</v>
      </c>
      <c r="BW53" s="528" t="s">
        <v>411</v>
      </c>
      <c r="BX53" s="532">
        <v>1.0</v>
      </c>
      <c r="BY53" s="528" t="s">
        <v>413</v>
      </c>
      <c r="BZ53" s="528" t="s">
        <v>411</v>
      </c>
      <c r="CA53" s="532">
        <v>1.0</v>
      </c>
      <c r="CB53" s="528" t="s">
        <v>413</v>
      </c>
      <c r="CC53" s="528" t="s">
        <v>411</v>
      </c>
      <c r="CD53" s="532">
        <v>1.0</v>
      </c>
      <c r="CE53" s="528" t="s">
        <v>413</v>
      </c>
      <c r="CF53" s="528" t="s">
        <v>411</v>
      </c>
      <c r="CG53" s="532">
        <v>1.0</v>
      </c>
      <c r="CH53" s="528" t="s">
        <v>413</v>
      </c>
      <c r="CI53" s="528" t="s">
        <v>411</v>
      </c>
      <c r="CJ53" s="532">
        <v>1.0</v>
      </c>
      <c r="CK53" s="528" t="s">
        <v>413</v>
      </c>
      <c r="CL53" s="528" t="s">
        <v>411</v>
      </c>
      <c r="CM53" s="532">
        <v>1.0</v>
      </c>
      <c r="CN53" s="528" t="s">
        <v>413</v>
      </c>
      <c r="CO53" s="528" t="s">
        <v>411</v>
      </c>
      <c r="CP53" s="532">
        <v>1.0</v>
      </c>
      <c r="CQ53" s="528" t="s">
        <v>413</v>
      </c>
      <c r="CR53" s="528" t="s">
        <v>411</v>
      </c>
      <c r="CS53" s="532">
        <v>1.0</v>
      </c>
      <c r="CT53" s="528" t="s">
        <v>413</v>
      </c>
      <c r="CU53" s="528" t="s">
        <v>411</v>
      </c>
      <c r="CV53" s="532">
        <v>1.0</v>
      </c>
      <c r="CW53" s="528" t="s">
        <v>413</v>
      </c>
      <c r="CX53" s="528" t="s">
        <v>411</v>
      </c>
      <c r="CY53" s="532">
        <v>1.0</v>
      </c>
      <c r="CZ53" s="528" t="s">
        <v>413</v>
      </c>
      <c r="DA53" s="528" t="s">
        <v>411</v>
      </c>
      <c r="DB53" s="532">
        <v>1.0</v>
      </c>
      <c r="DC53" s="528" t="s">
        <v>413</v>
      </c>
      <c r="DD53" s="528" t="s">
        <v>411</v>
      </c>
      <c r="DE53" s="532">
        <v>1.0</v>
      </c>
      <c r="DF53" s="528" t="s">
        <v>413</v>
      </c>
      <c r="DG53" s="528" t="s">
        <v>411</v>
      </c>
      <c r="DH53" s="532">
        <v>1.0</v>
      </c>
      <c r="DI53" s="528" t="s">
        <v>413</v>
      </c>
      <c r="DJ53" s="528" t="s">
        <v>411</v>
      </c>
      <c r="DK53" s="532">
        <v>1.0</v>
      </c>
      <c r="DL53" s="528" t="s">
        <v>413</v>
      </c>
      <c r="DM53" s="528" t="s">
        <v>411</v>
      </c>
      <c r="DN53" s="532">
        <v>1.0</v>
      </c>
    </row>
    <row r="54" ht="15.0" hidden="1" customHeight="1">
      <c r="A54" s="53">
        <v>53.0</v>
      </c>
      <c r="B54" s="354" t="s">
        <v>266</v>
      </c>
      <c r="C54" s="355"/>
      <c r="D54" s="356"/>
      <c r="E54" s="356"/>
      <c r="F54" s="356"/>
      <c r="G54" s="356"/>
      <c r="H54" s="358"/>
      <c r="I54" s="356"/>
      <c r="J54" s="356"/>
      <c r="K54" s="359"/>
      <c r="L54" s="356"/>
      <c r="M54" s="640"/>
      <c r="N54" s="641"/>
      <c r="O54" s="642"/>
      <c r="P54" s="642"/>
      <c r="Q54" s="643"/>
      <c r="R54" s="644"/>
      <c r="S54" s="645"/>
      <c r="T54" s="643"/>
      <c r="U54" s="644"/>
      <c r="V54" s="645"/>
      <c r="W54" s="643"/>
      <c r="X54" s="644"/>
      <c r="Y54" s="645"/>
      <c r="Z54" s="643"/>
      <c r="AA54" s="644"/>
      <c r="AB54" s="645"/>
      <c r="AC54" s="646"/>
      <c r="AD54" s="646"/>
      <c r="AE54" s="646"/>
      <c r="AF54" s="646"/>
      <c r="AG54" s="646"/>
      <c r="AH54" s="646"/>
      <c r="AI54" s="646"/>
      <c r="AJ54" s="646"/>
      <c r="AK54" s="646"/>
      <c r="AL54" s="646"/>
      <c r="AM54" s="646"/>
      <c r="AN54" s="646"/>
      <c r="AO54" s="646"/>
      <c r="AP54" s="646"/>
      <c r="AQ54" s="646"/>
      <c r="AR54" s="646"/>
      <c r="AS54" s="646"/>
      <c r="AT54" s="646"/>
      <c r="AU54" s="646"/>
      <c r="AV54" s="646"/>
      <c r="AW54" s="646"/>
      <c r="AX54" s="646"/>
      <c r="AY54" s="646"/>
      <c r="AZ54" s="646"/>
      <c r="BA54" s="646"/>
      <c r="BB54" s="646"/>
      <c r="BC54" s="646"/>
      <c r="BD54" s="646"/>
      <c r="BE54" s="646"/>
      <c r="BF54" s="646"/>
      <c r="BG54" s="646"/>
      <c r="BH54" s="646"/>
      <c r="BI54" s="646"/>
      <c r="BJ54" s="646"/>
      <c r="BK54" s="646"/>
      <c r="BL54" s="646"/>
      <c r="BM54" s="646"/>
      <c r="BN54" s="646"/>
      <c r="BO54" s="646"/>
      <c r="BP54" s="646"/>
      <c r="BQ54" s="646"/>
      <c r="BR54" s="646"/>
      <c r="BS54" s="646"/>
      <c r="BT54" s="646"/>
      <c r="BU54" s="646"/>
      <c r="BV54" s="646"/>
      <c r="BW54" s="646"/>
      <c r="BX54" s="646"/>
      <c r="BY54" s="646"/>
      <c r="BZ54" s="646"/>
      <c r="CA54" s="646"/>
      <c r="CB54" s="646"/>
      <c r="CC54" s="646"/>
      <c r="CD54" s="646"/>
      <c r="CE54" s="646"/>
      <c r="CF54" s="646"/>
      <c r="CG54" s="646"/>
      <c r="CH54" s="646"/>
      <c r="CI54" s="646"/>
      <c r="CJ54" s="646"/>
      <c r="CK54" s="646"/>
      <c r="CL54" s="646"/>
      <c r="CM54" s="646"/>
      <c r="CN54" s="646"/>
      <c r="CO54" s="646"/>
      <c r="CP54" s="646"/>
      <c r="CQ54" s="646"/>
      <c r="CR54" s="646"/>
      <c r="CS54" s="646"/>
      <c r="CT54" s="646"/>
      <c r="CU54" s="646"/>
      <c r="CV54" s="646"/>
      <c r="CW54" s="646"/>
      <c r="CX54" s="646"/>
      <c r="CY54" s="646"/>
      <c r="CZ54" s="646"/>
      <c r="DA54" s="646"/>
      <c r="DB54" s="646"/>
      <c r="DC54" s="646"/>
      <c r="DD54" s="646"/>
      <c r="DE54" s="646"/>
      <c r="DF54" s="646"/>
      <c r="DG54" s="646"/>
      <c r="DH54" s="646"/>
      <c r="DI54" s="646"/>
      <c r="DJ54" s="646"/>
      <c r="DK54" s="646"/>
      <c r="DL54" s="646"/>
      <c r="DM54" s="646"/>
      <c r="DN54" s="646"/>
    </row>
    <row r="55" ht="15.0" customHeight="1">
      <c r="A55" s="53">
        <v>43.0</v>
      </c>
      <c r="B55" s="100" t="s">
        <v>212</v>
      </c>
      <c r="C55" s="100" t="s">
        <v>213</v>
      </c>
      <c r="D55" s="101" t="str">
        <f t="shared" ref="D55:D63" si="3">MID(B55,17,4)</f>
        <v>DATA</v>
      </c>
      <c r="E55" s="101" t="s">
        <v>214</v>
      </c>
      <c r="F55" s="104">
        <v>1116.0</v>
      </c>
      <c r="G55" s="517" t="s">
        <v>214</v>
      </c>
      <c r="H55" s="517">
        <v>1116.0</v>
      </c>
      <c r="I55" s="68" t="str">
        <f>IFERROR(VLOOKUP(C:C,'R22 RELATÓRIO ACC'!B:F,5,FALSE),"NOT PUBLISHED")</f>
        <v>V15</v>
      </c>
      <c r="J55" s="68" t="str">
        <f>IFERROR(VLOOKUP(C:C,'R22 RELATÓRIO ACC'!B:P,15,FALSE),"NOT PUBLISHED")</f>
        <v>15/04/2026</v>
      </c>
      <c r="K55" s="70" t="str">
        <f>IFERROR(VLOOKUP(B:B,'RELATÓRIO ACC'!B:F,5,FALSE),"NOT PUBLISHED")</f>
        <v>V2</v>
      </c>
      <c r="L55" s="518" t="str">
        <f>IFERROR(VLOOKUP(B:B,'RELATÓRIO ACC'!B:P,15,FALSE),"NOT PUBLISHED")</f>
        <v>02/06/2026</v>
      </c>
      <c r="M55" s="519" t="s">
        <v>414</v>
      </c>
      <c r="N55" s="520">
        <v>46000.0</v>
      </c>
      <c r="O55" s="538" t="s">
        <v>410</v>
      </c>
      <c r="P55" s="587"/>
      <c r="Q55" s="523" t="s">
        <v>381</v>
      </c>
      <c r="R55" s="526" t="s">
        <v>421</v>
      </c>
      <c r="S55" s="551">
        <v>0.03</v>
      </c>
      <c r="T55" s="523" t="s">
        <v>379</v>
      </c>
      <c r="U55" s="558">
        <v>0.0</v>
      </c>
      <c r="V55" s="525" t="s">
        <v>379</v>
      </c>
      <c r="W55" s="523" t="s">
        <v>379</v>
      </c>
      <c r="X55" s="526" t="s">
        <v>382</v>
      </c>
      <c r="Y55" s="523" t="s">
        <v>379</v>
      </c>
      <c r="Z55" s="523" t="s">
        <v>381</v>
      </c>
      <c r="AA55" s="526" t="s">
        <v>384</v>
      </c>
      <c r="AB55" s="565">
        <v>0.53</v>
      </c>
      <c r="AC55" s="523" t="s">
        <v>381</v>
      </c>
      <c r="AD55" s="526" t="s">
        <v>385</v>
      </c>
      <c r="AE55" s="565">
        <v>0.63</v>
      </c>
      <c r="AF55" s="523" t="s">
        <v>383</v>
      </c>
      <c r="AG55" s="526" t="s">
        <v>385</v>
      </c>
      <c r="AH55" s="523" t="s">
        <v>383</v>
      </c>
      <c r="AI55" s="523" t="s">
        <v>381</v>
      </c>
      <c r="AJ55" s="526" t="s">
        <v>431</v>
      </c>
      <c r="AK55" s="529">
        <v>0.89</v>
      </c>
      <c r="AL55" s="523" t="s">
        <v>383</v>
      </c>
      <c r="AM55" s="526" t="s">
        <v>431</v>
      </c>
      <c r="AN55" s="523" t="s">
        <v>383</v>
      </c>
      <c r="AO55" s="523" t="s">
        <v>386</v>
      </c>
      <c r="AP55" s="526" t="s">
        <v>414</v>
      </c>
      <c r="AQ55" s="529">
        <v>1.0</v>
      </c>
      <c r="AR55" s="528" t="s">
        <v>413</v>
      </c>
      <c r="AS55" s="526" t="s">
        <v>414</v>
      </c>
      <c r="AT55" s="529">
        <v>1.0</v>
      </c>
      <c r="AU55" s="528" t="s">
        <v>413</v>
      </c>
      <c r="AV55" s="526" t="s">
        <v>414</v>
      </c>
      <c r="AW55" s="529">
        <v>1.0</v>
      </c>
      <c r="AX55" s="528" t="s">
        <v>413</v>
      </c>
      <c r="AY55" s="526" t="s">
        <v>414</v>
      </c>
      <c r="AZ55" s="529">
        <v>1.0</v>
      </c>
      <c r="BA55" s="528" t="s">
        <v>413</v>
      </c>
      <c r="BB55" s="526" t="s">
        <v>414</v>
      </c>
      <c r="BC55" s="529">
        <v>1.0</v>
      </c>
      <c r="BD55" s="528" t="s">
        <v>413</v>
      </c>
      <c r="BE55" s="526" t="s">
        <v>414</v>
      </c>
      <c r="BF55" s="529">
        <v>1.0</v>
      </c>
      <c r="BG55" s="528" t="s">
        <v>413</v>
      </c>
      <c r="BH55" s="526" t="s">
        <v>414</v>
      </c>
      <c r="BI55" s="529">
        <v>1.0</v>
      </c>
      <c r="BJ55" s="528" t="s">
        <v>413</v>
      </c>
      <c r="BK55" s="526" t="s">
        <v>414</v>
      </c>
      <c r="BL55" s="529">
        <v>1.0</v>
      </c>
      <c r="BM55" s="528" t="s">
        <v>413</v>
      </c>
      <c r="BN55" s="526" t="s">
        <v>414</v>
      </c>
      <c r="BO55" s="529">
        <v>1.0</v>
      </c>
      <c r="BP55" s="528" t="s">
        <v>413</v>
      </c>
      <c r="BQ55" s="526" t="s">
        <v>414</v>
      </c>
      <c r="BR55" s="529">
        <v>1.0</v>
      </c>
      <c r="BS55" s="528" t="s">
        <v>413</v>
      </c>
      <c r="BT55" s="526" t="s">
        <v>414</v>
      </c>
      <c r="BU55" s="529">
        <v>1.0</v>
      </c>
      <c r="BV55" s="528" t="s">
        <v>413</v>
      </c>
      <c r="BW55" s="528" t="s">
        <v>414</v>
      </c>
      <c r="BX55" s="532">
        <v>1.0</v>
      </c>
      <c r="BY55" s="528" t="s">
        <v>413</v>
      </c>
      <c r="BZ55" s="528" t="s">
        <v>414</v>
      </c>
      <c r="CA55" s="532">
        <v>1.0</v>
      </c>
      <c r="CB55" s="528" t="s">
        <v>413</v>
      </c>
      <c r="CC55" s="528" t="s">
        <v>414</v>
      </c>
      <c r="CD55" s="532">
        <v>1.0</v>
      </c>
      <c r="CE55" s="528" t="s">
        <v>413</v>
      </c>
      <c r="CF55" s="528" t="s">
        <v>414</v>
      </c>
      <c r="CG55" s="532">
        <v>1.0</v>
      </c>
      <c r="CH55" s="528" t="s">
        <v>413</v>
      </c>
      <c r="CI55" s="528" t="s">
        <v>414</v>
      </c>
      <c r="CJ55" s="532">
        <v>1.0</v>
      </c>
      <c r="CK55" s="528" t="s">
        <v>413</v>
      </c>
      <c r="CL55" s="528" t="s">
        <v>414</v>
      </c>
      <c r="CM55" s="532">
        <v>1.0</v>
      </c>
      <c r="CN55" s="528" t="s">
        <v>413</v>
      </c>
      <c r="CO55" s="528" t="s">
        <v>414</v>
      </c>
      <c r="CP55" s="532">
        <v>1.0</v>
      </c>
      <c r="CQ55" s="528" t="s">
        <v>413</v>
      </c>
      <c r="CR55" s="528" t="s">
        <v>414</v>
      </c>
      <c r="CS55" s="532">
        <v>1.0</v>
      </c>
      <c r="CT55" s="523" t="s">
        <v>413</v>
      </c>
      <c r="CU55" s="526" t="s">
        <v>414</v>
      </c>
      <c r="CV55" s="647">
        <v>1.0</v>
      </c>
      <c r="CW55" s="523" t="s">
        <v>413</v>
      </c>
      <c r="CX55" s="526" t="s">
        <v>414</v>
      </c>
      <c r="CY55" s="647">
        <v>1.0</v>
      </c>
      <c r="CZ55" s="523" t="s">
        <v>413</v>
      </c>
      <c r="DA55" s="526" t="s">
        <v>414</v>
      </c>
      <c r="DB55" s="647">
        <v>1.0</v>
      </c>
      <c r="DC55" s="523" t="s">
        <v>413</v>
      </c>
      <c r="DD55" s="526" t="s">
        <v>414</v>
      </c>
      <c r="DE55" s="647">
        <v>1.0</v>
      </c>
      <c r="DF55" s="523" t="s">
        <v>413</v>
      </c>
      <c r="DG55" s="526" t="s">
        <v>414</v>
      </c>
      <c r="DH55" s="647">
        <v>1.0</v>
      </c>
      <c r="DI55" s="523" t="s">
        <v>413</v>
      </c>
      <c r="DJ55" s="526" t="s">
        <v>414</v>
      </c>
      <c r="DK55" s="647">
        <v>1.0</v>
      </c>
      <c r="DL55" s="523" t="s">
        <v>413</v>
      </c>
      <c r="DM55" s="526" t="s">
        <v>414</v>
      </c>
      <c r="DN55" s="647">
        <v>1.0</v>
      </c>
    </row>
    <row r="56" ht="15.0" customHeight="1">
      <c r="A56" s="53">
        <v>45.0</v>
      </c>
      <c r="B56" s="100" t="s">
        <v>218</v>
      </c>
      <c r="C56" s="100" t="s">
        <v>219</v>
      </c>
      <c r="D56" s="101" t="str">
        <f t="shared" si="3"/>
        <v>DATA</v>
      </c>
      <c r="E56" s="101" t="s">
        <v>154</v>
      </c>
      <c r="F56" s="102">
        <v>1112.0</v>
      </c>
      <c r="G56" s="517" t="s">
        <v>154</v>
      </c>
      <c r="H56" s="517">
        <v>1112.0</v>
      </c>
      <c r="I56" s="68" t="str">
        <f>IFERROR(VLOOKUP(C:C,'R22 RELATÓRIO ACC'!B:F,5,FALSE),"NOT PUBLISHED")</f>
        <v>V24</v>
      </c>
      <c r="J56" s="68" t="str">
        <f>IFERROR(VLOOKUP(C:C,'R22 RELATÓRIO ACC'!B:P,15,FALSE),"NOT PUBLISHED")</f>
        <v>15/05/2026</v>
      </c>
      <c r="K56" s="70" t="str">
        <f>IFERROR(VLOOKUP(B:B,'RELATÓRIO ACC'!B:F,5,FALSE),"NOT PUBLISHED")</f>
        <v>V2</v>
      </c>
      <c r="L56" s="518" t="str">
        <f>IFERROR(VLOOKUP(B:B,'RELATÓRIO ACC'!B:P,15,FALSE),"NOT PUBLISHED")</f>
        <v>06/07/2026</v>
      </c>
      <c r="M56" s="519" t="s">
        <v>422</v>
      </c>
      <c r="N56" s="520">
        <v>46129.0</v>
      </c>
      <c r="O56" s="538" t="s">
        <v>410</v>
      </c>
      <c r="P56" s="587" t="s">
        <v>397</v>
      </c>
      <c r="Q56" s="523" t="s">
        <v>379</v>
      </c>
      <c r="R56" s="524">
        <v>0.0</v>
      </c>
      <c r="S56" s="525" t="s">
        <v>379</v>
      </c>
      <c r="T56" s="523" t="s">
        <v>379</v>
      </c>
      <c r="U56" s="524">
        <v>0.0</v>
      </c>
      <c r="V56" s="525" t="s">
        <v>379</v>
      </c>
      <c r="W56" s="523" t="s">
        <v>379</v>
      </c>
      <c r="X56" s="526" t="s">
        <v>380</v>
      </c>
      <c r="Y56" s="523" t="s">
        <v>379</v>
      </c>
      <c r="Z56" s="523" t="s">
        <v>379</v>
      </c>
      <c r="AA56" s="526">
        <v>0.0</v>
      </c>
      <c r="AB56" s="523" t="s">
        <v>379</v>
      </c>
      <c r="AC56" s="523" t="s">
        <v>379</v>
      </c>
      <c r="AD56" s="526">
        <v>0.0</v>
      </c>
      <c r="AE56" s="523" t="s">
        <v>379</v>
      </c>
      <c r="AF56" s="523" t="s">
        <v>383</v>
      </c>
      <c r="AG56" s="526">
        <v>0.0</v>
      </c>
      <c r="AH56" s="523" t="s">
        <v>383</v>
      </c>
      <c r="AI56" s="523" t="s">
        <v>381</v>
      </c>
      <c r="AJ56" s="526" t="s">
        <v>412</v>
      </c>
      <c r="AK56" s="546">
        <v>0.07</v>
      </c>
      <c r="AL56" s="523" t="s">
        <v>383</v>
      </c>
      <c r="AM56" s="526" t="s">
        <v>412</v>
      </c>
      <c r="AN56" s="523" t="s">
        <v>383</v>
      </c>
      <c r="AO56" s="523" t="s">
        <v>398</v>
      </c>
      <c r="AP56" s="526" t="s">
        <v>382</v>
      </c>
      <c r="AQ56" s="523" t="s">
        <v>398</v>
      </c>
      <c r="AR56" s="523" t="s">
        <v>398</v>
      </c>
      <c r="AS56" s="526" t="s">
        <v>384</v>
      </c>
      <c r="AT56" s="523" t="s">
        <v>398</v>
      </c>
      <c r="AU56" s="523" t="s">
        <v>379</v>
      </c>
      <c r="AV56" s="526" t="s">
        <v>384</v>
      </c>
      <c r="AW56" s="523" t="s">
        <v>379</v>
      </c>
      <c r="AX56" s="523" t="s">
        <v>398</v>
      </c>
      <c r="AY56" s="526" t="s">
        <v>385</v>
      </c>
      <c r="AZ56" s="523" t="s">
        <v>398</v>
      </c>
      <c r="BA56" s="523" t="s">
        <v>383</v>
      </c>
      <c r="BB56" s="526" t="s">
        <v>385</v>
      </c>
      <c r="BC56" s="523" t="s">
        <v>383</v>
      </c>
      <c r="BD56" s="523" t="s">
        <v>383</v>
      </c>
      <c r="BE56" s="526" t="s">
        <v>417</v>
      </c>
      <c r="BF56" s="523" t="s">
        <v>383</v>
      </c>
      <c r="BG56" s="523" t="s">
        <v>381</v>
      </c>
      <c r="BH56" s="526" t="s">
        <v>417</v>
      </c>
      <c r="BI56" s="565">
        <v>0.16</v>
      </c>
      <c r="BJ56" s="523" t="s">
        <v>381</v>
      </c>
      <c r="BK56" s="526" t="s">
        <v>414</v>
      </c>
      <c r="BL56" s="565">
        <v>0.16</v>
      </c>
      <c r="BM56" s="523" t="s">
        <v>379</v>
      </c>
      <c r="BN56" s="526" t="s">
        <v>414</v>
      </c>
      <c r="BO56" s="523" t="s">
        <v>379</v>
      </c>
      <c r="BP56" s="523" t="s">
        <v>381</v>
      </c>
      <c r="BQ56" s="526" t="s">
        <v>419</v>
      </c>
      <c r="BR56" s="529">
        <v>0.53</v>
      </c>
      <c r="BS56" s="523" t="s">
        <v>381</v>
      </c>
      <c r="BT56" s="526" t="s">
        <v>401</v>
      </c>
      <c r="BU56" s="529">
        <v>0.84</v>
      </c>
      <c r="BV56" s="528" t="s">
        <v>379</v>
      </c>
      <c r="BW56" s="528" t="s">
        <v>401</v>
      </c>
      <c r="BX56" s="528" t="s">
        <v>379</v>
      </c>
      <c r="BY56" s="528" t="s">
        <v>383</v>
      </c>
      <c r="BZ56" s="528" t="s">
        <v>401</v>
      </c>
      <c r="CA56" s="528" t="s">
        <v>383</v>
      </c>
      <c r="CB56" s="528" t="s">
        <v>386</v>
      </c>
      <c r="CC56" s="528" t="s">
        <v>422</v>
      </c>
      <c r="CD56" s="532">
        <v>1.0</v>
      </c>
      <c r="CE56" s="528" t="s">
        <v>413</v>
      </c>
      <c r="CF56" s="528" t="s">
        <v>422</v>
      </c>
      <c r="CG56" s="532">
        <v>1.0</v>
      </c>
      <c r="CH56" s="528" t="s">
        <v>413</v>
      </c>
      <c r="CI56" s="528" t="s">
        <v>422</v>
      </c>
      <c r="CJ56" s="532">
        <v>1.0</v>
      </c>
      <c r="CK56" s="528" t="s">
        <v>413</v>
      </c>
      <c r="CL56" s="528" t="s">
        <v>422</v>
      </c>
      <c r="CM56" s="532">
        <v>1.0</v>
      </c>
      <c r="CN56" s="528" t="s">
        <v>413</v>
      </c>
      <c r="CO56" s="528" t="s">
        <v>422</v>
      </c>
      <c r="CP56" s="532">
        <v>1.0</v>
      </c>
      <c r="CQ56" s="528" t="s">
        <v>413</v>
      </c>
      <c r="CR56" s="528" t="s">
        <v>422</v>
      </c>
      <c r="CS56" s="532">
        <v>1.0</v>
      </c>
      <c r="CT56" s="528" t="s">
        <v>413</v>
      </c>
      <c r="CU56" s="528" t="s">
        <v>422</v>
      </c>
      <c r="CV56" s="532">
        <v>1.0</v>
      </c>
      <c r="CW56" s="528" t="s">
        <v>413</v>
      </c>
      <c r="CX56" s="528" t="s">
        <v>422</v>
      </c>
      <c r="CY56" s="532">
        <v>1.0</v>
      </c>
      <c r="CZ56" s="528" t="s">
        <v>413</v>
      </c>
      <c r="DA56" s="528" t="s">
        <v>422</v>
      </c>
      <c r="DB56" s="532">
        <v>1.0</v>
      </c>
      <c r="DC56" s="528" t="s">
        <v>413</v>
      </c>
      <c r="DD56" s="528" t="s">
        <v>422</v>
      </c>
      <c r="DE56" s="532">
        <v>1.0</v>
      </c>
      <c r="DF56" s="528" t="s">
        <v>413</v>
      </c>
      <c r="DG56" s="528" t="s">
        <v>422</v>
      </c>
      <c r="DH56" s="532">
        <v>1.0</v>
      </c>
      <c r="DI56" s="528" t="s">
        <v>413</v>
      </c>
      <c r="DJ56" s="528" t="s">
        <v>422</v>
      </c>
      <c r="DK56" s="532">
        <v>1.0</v>
      </c>
      <c r="DL56" s="528" t="s">
        <v>413</v>
      </c>
      <c r="DM56" s="528" t="s">
        <v>422</v>
      </c>
      <c r="DN56" s="532">
        <v>1.0</v>
      </c>
    </row>
    <row r="57" ht="15.0" customHeight="1">
      <c r="A57" s="53">
        <v>47.0</v>
      </c>
      <c r="B57" s="100" t="s">
        <v>223</v>
      </c>
      <c r="C57" s="100" t="s">
        <v>224</v>
      </c>
      <c r="D57" s="101" t="str">
        <f t="shared" si="3"/>
        <v>DATA</v>
      </c>
      <c r="E57" s="101" t="s">
        <v>154</v>
      </c>
      <c r="F57" s="102">
        <v>1112.0</v>
      </c>
      <c r="G57" s="517" t="s">
        <v>154</v>
      </c>
      <c r="H57" s="517">
        <v>1112.0</v>
      </c>
      <c r="I57" s="68" t="str">
        <f>IFERROR(VLOOKUP(C:C,'R22 RELATÓRIO ACC'!B:F,5,FALSE),"NOT PUBLISHED")</f>
        <v>V17</v>
      </c>
      <c r="J57" s="68" t="str">
        <f>IFERROR(VLOOKUP(C:C,'R22 RELATÓRIO ACC'!B:P,15,FALSE),"NOT PUBLISHED")</f>
        <v>14/05/2026</v>
      </c>
      <c r="K57" s="70" t="str">
        <f>IFERROR(VLOOKUP(B:B,'RELATÓRIO ACC'!B:F,5,FALSE),"NOT PUBLISHED")</f>
        <v>V4</v>
      </c>
      <c r="L57" s="518" t="str">
        <f>IFERROR(VLOOKUP(B:B,'RELATÓRIO ACC'!B:P,15,FALSE),"NOT PUBLISHED")</f>
        <v>25/06/2026</v>
      </c>
      <c r="M57" s="648" t="s">
        <v>425</v>
      </c>
      <c r="N57" s="649">
        <v>46126.0</v>
      </c>
      <c r="O57" s="538" t="s">
        <v>410</v>
      </c>
      <c r="P57" s="587" t="s">
        <v>416</v>
      </c>
      <c r="Q57" s="523" t="s">
        <v>379</v>
      </c>
      <c r="R57" s="524">
        <v>0.0</v>
      </c>
      <c r="S57" s="523" t="s">
        <v>379</v>
      </c>
      <c r="T57" s="523" t="s">
        <v>379</v>
      </c>
      <c r="U57" s="524">
        <v>0.0</v>
      </c>
      <c r="V57" s="523" t="s">
        <v>379</v>
      </c>
      <c r="W57" s="523" t="s">
        <v>379</v>
      </c>
      <c r="X57" s="526" t="s">
        <v>380</v>
      </c>
      <c r="Y57" s="523" t="s">
        <v>379</v>
      </c>
      <c r="Z57" s="523" t="s">
        <v>379</v>
      </c>
      <c r="AA57" s="526">
        <v>0.0</v>
      </c>
      <c r="AB57" s="523" t="s">
        <v>379</v>
      </c>
      <c r="AC57" s="523" t="s">
        <v>379</v>
      </c>
      <c r="AD57" s="526">
        <v>0.0</v>
      </c>
      <c r="AE57" s="523" t="s">
        <v>379</v>
      </c>
      <c r="AF57" s="523" t="s">
        <v>383</v>
      </c>
      <c r="AG57" s="526">
        <v>0.0</v>
      </c>
      <c r="AH57" s="523" t="s">
        <v>383</v>
      </c>
      <c r="AI57" s="523" t="s">
        <v>381</v>
      </c>
      <c r="AJ57" s="526" t="s">
        <v>412</v>
      </c>
      <c r="AK57" s="546">
        <v>0.05</v>
      </c>
      <c r="AL57" s="523" t="s">
        <v>383</v>
      </c>
      <c r="AM57" s="526" t="s">
        <v>412</v>
      </c>
      <c r="AN57" s="523" t="s">
        <v>383</v>
      </c>
      <c r="AO57" s="523" t="s">
        <v>398</v>
      </c>
      <c r="AP57" s="526" t="s">
        <v>384</v>
      </c>
      <c r="AQ57" s="523" t="s">
        <v>398</v>
      </c>
      <c r="AR57" s="523" t="s">
        <v>398</v>
      </c>
      <c r="AS57" s="526" t="s">
        <v>385</v>
      </c>
      <c r="AT57" s="523" t="s">
        <v>398</v>
      </c>
      <c r="AU57" s="523" t="s">
        <v>379</v>
      </c>
      <c r="AV57" s="526" t="s">
        <v>385</v>
      </c>
      <c r="AW57" s="523" t="s">
        <v>379</v>
      </c>
      <c r="AX57" s="523" t="s">
        <v>398</v>
      </c>
      <c r="AY57" s="526" t="s">
        <v>417</v>
      </c>
      <c r="AZ57" s="523" t="s">
        <v>398</v>
      </c>
      <c r="BA57" s="523" t="s">
        <v>383</v>
      </c>
      <c r="BB57" s="526" t="s">
        <v>417</v>
      </c>
      <c r="BC57" s="523" t="s">
        <v>383</v>
      </c>
      <c r="BD57" s="523" t="s">
        <v>383</v>
      </c>
      <c r="BE57" s="526" t="s">
        <v>414</v>
      </c>
      <c r="BF57" s="523" t="s">
        <v>383</v>
      </c>
      <c r="BG57" s="523" t="s">
        <v>381</v>
      </c>
      <c r="BH57" s="526" t="s">
        <v>414</v>
      </c>
      <c r="BI57" s="565">
        <v>0.23</v>
      </c>
      <c r="BJ57" s="523" t="s">
        <v>381</v>
      </c>
      <c r="BK57" s="526" t="s">
        <v>415</v>
      </c>
      <c r="BL57" s="565">
        <v>0.23</v>
      </c>
      <c r="BM57" s="523" t="s">
        <v>379</v>
      </c>
      <c r="BN57" s="526" t="s">
        <v>415</v>
      </c>
      <c r="BO57" s="523" t="s">
        <v>379</v>
      </c>
      <c r="BP57" s="523" t="s">
        <v>379</v>
      </c>
      <c r="BQ57" s="526">
        <v>2.0</v>
      </c>
      <c r="BR57" s="523" t="s">
        <v>379</v>
      </c>
      <c r="BS57" s="523" t="s">
        <v>381</v>
      </c>
      <c r="BT57" s="526" t="s">
        <v>415</v>
      </c>
      <c r="BU57" s="529">
        <v>0.73</v>
      </c>
      <c r="BV57" s="528" t="s">
        <v>379</v>
      </c>
      <c r="BW57" s="528" t="s">
        <v>415</v>
      </c>
      <c r="BX57" s="528" t="s">
        <v>379</v>
      </c>
      <c r="BY57" s="528" t="s">
        <v>383</v>
      </c>
      <c r="BZ57" s="528" t="s">
        <v>415</v>
      </c>
      <c r="CA57" s="528" t="s">
        <v>383</v>
      </c>
      <c r="CB57" s="528" t="s">
        <v>383</v>
      </c>
      <c r="CC57" s="528" t="s">
        <v>415</v>
      </c>
      <c r="CD57" s="528" t="s">
        <v>383</v>
      </c>
      <c r="CE57" s="528" t="s">
        <v>386</v>
      </c>
      <c r="CF57" s="528" t="s">
        <v>418</v>
      </c>
      <c r="CG57" s="532">
        <v>1.0</v>
      </c>
      <c r="CH57" s="528" t="s">
        <v>413</v>
      </c>
      <c r="CI57" s="528" t="s">
        <v>418</v>
      </c>
      <c r="CJ57" s="532">
        <v>1.0</v>
      </c>
      <c r="CK57" s="528" t="s">
        <v>413</v>
      </c>
      <c r="CL57" s="528" t="s">
        <v>418</v>
      </c>
      <c r="CM57" s="532">
        <v>1.0</v>
      </c>
      <c r="CN57" s="528" t="s">
        <v>413</v>
      </c>
      <c r="CO57" s="528" t="s">
        <v>418</v>
      </c>
      <c r="CP57" s="532">
        <v>1.0</v>
      </c>
      <c r="CQ57" s="528" t="s">
        <v>413</v>
      </c>
      <c r="CR57" s="528" t="s">
        <v>418</v>
      </c>
      <c r="CS57" s="532">
        <v>1.0</v>
      </c>
      <c r="CT57" s="528" t="s">
        <v>413</v>
      </c>
      <c r="CU57" s="528" t="s">
        <v>418</v>
      </c>
      <c r="CV57" s="532">
        <v>1.0</v>
      </c>
      <c r="CW57" s="528" t="s">
        <v>413</v>
      </c>
      <c r="CX57" s="528" t="s">
        <v>418</v>
      </c>
      <c r="CY57" s="532">
        <v>1.0</v>
      </c>
      <c r="CZ57" s="528" t="s">
        <v>413</v>
      </c>
      <c r="DA57" s="528" t="s">
        <v>418</v>
      </c>
      <c r="DB57" s="532">
        <v>1.0</v>
      </c>
      <c r="DC57" s="528" t="s">
        <v>413</v>
      </c>
      <c r="DD57" s="528" t="s">
        <v>418</v>
      </c>
      <c r="DE57" s="532">
        <v>1.0</v>
      </c>
      <c r="DF57" s="528" t="s">
        <v>413</v>
      </c>
      <c r="DG57" s="528" t="s">
        <v>418</v>
      </c>
      <c r="DH57" s="532">
        <v>1.0</v>
      </c>
      <c r="DI57" s="528" t="s">
        <v>413</v>
      </c>
      <c r="DJ57" s="528" t="s">
        <v>418</v>
      </c>
      <c r="DK57" s="532">
        <v>1.0</v>
      </c>
      <c r="DL57" s="528" t="s">
        <v>413</v>
      </c>
      <c r="DM57" s="528" t="s">
        <v>418</v>
      </c>
      <c r="DN57" s="532">
        <v>1.0</v>
      </c>
    </row>
    <row r="58" ht="15.0" customHeight="1">
      <c r="A58" s="53">
        <v>49.0</v>
      </c>
      <c r="B58" s="100" t="s">
        <v>231</v>
      </c>
      <c r="C58" s="100" t="s">
        <v>232</v>
      </c>
      <c r="D58" s="101" t="str">
        <f t="shared" si="3"/>
        <v>DATA</v>
      </c>
      <c r="E58" s="101" t="s">
        <v>154</v>
      </c>
      <c r="F58" s="102">
        <v>1112.0</v>
      </c>
      <c r="G58" s="517" t="s">
        <v>155</v>
      </c>
      <c r="H58" s="517">
        <v>1129.0</v>
      </c>
      <c r="I58" s="68" t="str">
        <f>IFERROR(VLOOKUP(C:C,'R22 RELATÓRIO ACC'!B:F,5,FALSE),"NOT PUBLISHED")</f>
        <v>V30</v>
      </c>
      <c r="J58" s="68" t="str">
        <f>IFERROR(VLOOKUP(C:C,'R22 RELATÓRIO ACC'!B:P,15,FALSE),"NOT PUBLISHED")</f>
        <v>24/03/2026</v>
      </c>
      <c r="K58" s="70" t="str">
        <f>IFERROR(VLOOKUP(B:B,'RELATÓRIO ACC'!B:F,5,FALSE),"NOT PUBLISHED")</f>
        <v>V2</v>
      </c>
      <c r="L58" s="518" t="str">
        <f>IFERROR(VLOOKUP(B:B,'RELATÓRIO ACC'!B:P,15,FALSE),"NOT PUBLISHED")</f>
        <v>13/07/2026</v>
      </c>
      <c r="M58" s="519" t="s">
        <v>423</v>
      </c>
      <c r="N58" s="520">
        <v>46014.0</v>
      </c>
      <c r="O58" s="538" t="s">
        <v>410</v>
      </c>
      <c r="P58" s="587" t="s">
        <v>445</v>
      </c>
      <c r="Q58" s="523" t="s">
        <v>379</v>
      </c>
      <c r="R58" s="558">
        <v>0.0</v>
      </c>
      <c r="S58" s="523" t="s">
        <v>379</v>
      </c>
      <c r="T58" s="523" t="s">
        <v>379</v>
      </c>
      <c r="U58" s="558">
        <v>0.0</v>
      </c>
      <c r="V58" s="523" t="s">
        <v>379</v>
      </c>
      <c r="W58" s="523" t="s">
        <v>381</v>
      </c>
      <c r="X58" s="526" t="s">
        <v>422</v>
      </c>
      <c r="Y58" s="546">
        <v>0.12</v>
      </c>
      <c r="Z58" s="523" t="s">
        <v>379</v>
      </c>
      <c r="AA58" s="526">
        <v>0.0</v>
      </c>
      <c r="AB58" s="523" t="s">
        <v>379</v>
      </c>
      <c r="AC58" s="523" t="s">
        <v>381</v>
      </c>
      <c r="AD58" s="526" t="s">
        <v>403</v>
      </c>
      <c r="AE58" s="565">
        <v>0.2</v>
      </c>
      <c r="AF58" s="523" t="s">
        <v>379</v>
      </c>
      <c r="AG58" s="526" t="s">
        <v>403</v>
      </c>
      <c r="AH58" s="523" t="s">
        <v>379</v>
      </c>
      <c r="AI58" s="523" t="s">
        <v>383</v>
      </c>
      <c r="AJ58" s="526" t="s">
        <v>431</v>
      </c>
      <c r="AK58" s="523" t="s">
        <v>383</v>
      </c>
      <c r="AL58" s="523" t="s">
        <v>381</v>
      </c>
      <c r="AM58" s="526" t="s">
        <v>404</v>
      </c>
      <c r="AN58" s="565">
        <v>0.51</v>
      </c>
      <c r="AO58" s="523" t="s">
        <v>386</v>
      </c>
      <c r="AP58" s="526" t="s">
        <v>423</v>
      </c>
      <c r="AQ58" s="529">
        <v>1.0</v>
      </c>
      <c r="AR58" s="523" t="s">
        <v>413</v>
      </c>
      <c r="AS58" s="526" t="s">
        <v>423</v>
      </c>
      <c r="AT58" s="529">
        <v>1.0</v>
      </c>
      <c r="AU58" s="523" t="s">
        <v>413</v>
      </c>
      <c r="AV58" s="526" t="s">
        <v>423</v>
      </c>
      <c r="AW58" s="529">
        <v>1.0</v>
      </c>
      <c r="AX58" s="523" t="s">
        <v>413</v>
      </c>
      <c r="AY58" s="526" t="s">
        <v>423</v>
      </c>
      <c r="AZ58" s="529">
        <v>1.0</v>
      </c>
      <c r="BA58" s="523" t="s">
        <v>413</v>
      </c>
      <c r="BB58" s="526" t="s">
        <v>423</v>
      </c>
      <c r="BC58" s="529">
        <v>1.0</v>
      </c>
      <c r="BD58" s="523" t="s">
        <v>413</v>
      </c>
      <c r="BE58" s="526" t="s">
        <v>423</v>
      </c>
      <c r="BF58" s="529">
        <v>1.0</v>
      </c>
      <c r="BG58" s="523" t="s">
        <v>413</v>
      </c>
      <c r="BH58" s="526" t="s">
        <v>423</v>
      </c>
      <c r="BI58" s="529">
        <v>1.0</v>
      </c>
      <c r="BJ58" s="523" t="s">
        <v>413</v>
      </c>
      <c r="BK58" s="526" t="s">
        <v>423</v>
      </c>
      <c r="BL58" s="529">
        <v>1.0</v>
      </c>
      <c r="BM58" s="523" t="s">
        <v>413</v>
      </c>
      <c r="BN58" s="526" t="s">
        <v>423</v>
      </c>
      <c r="BO58" s="529">
        <v>1.0</v>
      </c>
      <c r="BP58" s="523" t="s">
        <v>413</v>
      </c>
      <c r="BQ58" s="526" t="s">
        <v>423</v>
      </c>
      <c r="BR58" s="529">
        <v>1.0</v>
      </c>
      <c r="BS58" s="523" t="s">
        <v>413</v>
      </c>
      <c r="BT58" s="526" t="s">
        <v>423</v>
      </c>
      <c r="BU58" s="529">
        <v>1.0</v>
      </c>
      <c r="BV58" s="528" t="s">
        <v>413</v>
      </c>
      <c r="BW58" s="528" t="s">
        <v>423</v>
      </c>
      <c r="BX58" s="532">
        <v>1.0</v>
      </c>
      <c r="BY58" s="528" t="s">
        <v>413</v>
      </c>
      <c r="BZ58" s="528" t="s">
        <v>423</v>
      </c>
      <c r="CA58" s="532">
        <v>1.0</v>
      </c>
      <c r="CB58" s="528" t="s">
        <v>413</v>
      </c>
      <c r="CC58" s="528" t="s">
        <v>423</v>
      </c>
      <c r="CD58" s="532">
        <v>1.0</v>
      </c>
      <c r="CE58" s="528" t="s">
        <v>413</v>
      </c>
      <c r="CF58" s="528" t="s">
        <v>423</v>
      </c>
      <c r="CG58" s="532">
        <v>1.0</v>
      </c>
      <c r="CH58" s="528" t="s">
        <v>413</v>
      </c>
      <c r="CI58" s="528" t="s">
        <v>423</v>
      </c>
      <c r="CJ58" s="532">
        <v>1.0</v>
      </c>
      <c r="CK58" s="528" t="s">
        <v>413</v>
      </c>
      <c r="CL58" s="528" t="s">
        <v>423</v>
      </c>
      <c r="CM58" s="532">
        <v>1.0</v>
      </c>
      <c r="CN58" s="528" t="s">
        <v>413</v>
      </c>
      <c r="CO58" s="528" t="s">
        <v>423</v>
      </c>
      <c r="CP58" s="532">
        <v>1.0</v>
      </c>
      <c r="CQ58" s="528" t="s">
        <v>413</v>
      </c>
      <c r="CR58" s="528" t="s">
        <v>423</v>
      </c>
      <c r="CS58" s="532">
        <v>1.0</v>
      </c>
      <c r="CT58" s="528" t="s">
        <v>413</v>
      </c>
      <c r="CU58" s="528" t="s">
        <v>423</v>
      </c>
      <c r="CV58" s="532">
        <v>1.0</v>
      </c>
      <c r="CW58" s="528" t="s">
        <v>413</v>
      </c>
      <c r="CX58" s="528" t="s">
        <v>423</v>
      </c>
      <c r="CY58" s="532">
        <v>1.0</v>
      </c>
      <c r="CZ58" s="528" t="s">
        <v>413</v>
      </c>
      <c r="DA58" s="528" t="s">
        <v>423</v>
      </c>
      <c r="DB58" s="532">
        <v>1.0</v>
      </c>
      <c r="DC58" s="528" t="s">
        <v>413</v>
      </c>
      <c r="DD58" s="528" t="s">
        <v>423</v>
      </c>
      <c r="DE58" s="532">
        <v>1.0</v>
      </c>
      <c r="DF58" s="528" t="s">
        <v>413</v>
      </c>
      <c r="DG58" s="528" t="s">
        <v>423</v>
      </c>
      <c r="DH58" s="532">
        <v>1.0</v>
      </c>
      <c r="DI58" s="528" t="s">
        <v>413</v>
      </c>
      <c r="DJ58" s="528" t="s">
        <v>423</v>
      </c>
      <c r="DK58" s="532">
        <v>1.0</v>
      </c>
      <c r="DL58" s="528" t="s">
        <v>413</v>
      </c>
      <c r="DM58" s="528" t="s">
        <v>423</v>
      </c>
      <c r="DN58" s="532">
        <v>1.0</v>
      </c>
    </row>
    <row r="59" ht="15.0" customHeight="1">
      <c r="A59" s="53">
        <v>50.0</v>
      </c>
      <c r="B59" s="100" t="s">
        <v>238</v>
      </c>
      <c r="C59" s="100" t="s">
        <v>239</v>
      </c>
      <c r="D59" s="101" t="str">
        <f t="shared" si="3"/>
        <v>DATA</v>
      </c>
      <c r="E59" s="101" t="s">
        <v>237</v>
      </c>
      <c r="F59" s="102">
        <v>1118.0</v>
      </c>
      <c r="G59" s="517" t="s">
        <v>237</v>
      </c>
      <c r="H59" s="517">
        <v>1118.0</v>
      </c>
      <c r="I59" s="68" t="str">
        <f>IFERROR(VLOOKUP(C:C,'R22 RELATÓRIO ACC'!B:F,5,FALSE),"NOT PUBLISHED")</f>
        <v>V39</v>
      </c>
      <c r="J59" s="68" t="str">
        <f>IFERROR(VLOOKUP(C:C,'R22 RELATÓRIO ACC'!B:P,15,FALSE),"NOT PUBLISHED")</f>
        <v>30/04/2026</v>
      </c>
      <c r="K59" s="70" t="str">
        <f>IFERROR(VLOOKUP(B:B,'RELATÓRIO ACC'!B:F,5,FALSE),"NOT PUBLISHED")</f>
        <v>V3</v>
      </c>
      <c r="L59" s="518" t="str">
        <f>IFERROR(VLOOKUP(B:B,'RELATÓRIO ACC'!B:P,15,FALSE),"NOT PUBLISHED")</f>
        <v>01/07/2026</v>
      </c>
      <c r="M59" s="519" t="s">
        <v>446</v>
      </c>
      <c r="N59" s="569" t="s">
        <v>447</v>
      </c>
      <c r="O59" s="538" t="s">
        <v>410</v>
      </c>
      <c r="P59" s="587"/>
      <c r="Q59" s="523" t="s">
        <v>379</v>
      </c>
      <c r="R59" s="558">
        <v>0.0</v>
      </c>
      <c r="S59" s="525" t="s">
        <v>379</v>
      </c>
      <c r="T59" s="523" t="s">
        <v>379</v>
      </c>
      <c r="U59" s="558">
        <v>0.0</v>
      </c>
      <c r="V59" s="525" t="s">
        <v>379</v>
      </c>
      <c r="W59" s="523" t="s">
        <v>379</v>
      </c>
      <c r="X59" s="526" t="s">
        <v>380</v>
      </c>
      <c r="Y59" s="525" t="s">
        <v>379</v>
      </c>
      <c r="Z59" s="523" t="s">
        <v>381</v>
      </c>
      <c r="AA59" s="550" t="s">
        <v>380</v>
      </c>
      <c r="AB59" s="551">
        <v>0.27</v>
      </c>
      <c r="AC59" s="523" t="s">
        <v>379</v>
      </c>
      <c r="AD59" s="550">
        <v>0.0</v>
      </c>
      <c r="AE59" s="525" t="s">
        <v>379</v>
      </c>
      <c r="AF59" s="523" t="s">
        <v>398</v>
      </c>
      <c r="AG59" s="550" t="s">
        <v>437</v>
      </c>
      <c r="AH59" s="525" t="s">
        <v>398</v>
      </c>
      <c r="AI59" s="523" t="s">
        <v>383</v>
      </c>
      <c r="AJ59" s="550" t="s">
        <v>437</v>
      </c>
      <c r="AK59" s="523" t="s">
        <v>383</v>
      </c>
      <c r="AL59" s="523" t="s">
        <v>381</v>
      </c>
      <c r="AM59" s="550" t="s">
        <v>432</v>
      </c>
      <c r="AN59" s="565">
        <v>0.97</v>
      </c>
      <c r="AO59" s="523" t="s">
        <v>379</v>
      </c>
      <c r="AP59" s="550" t="s">
        <v>432</v>
      </c>
      <c r="AQ59" s="523" t="s">
        <v>379</v>
      </c>
      <c r="AR59" s="523" t="s">
        <v>386</v>
      </c>
      <c r="AS59" s="550" t="s">
        <v>432</v>
      </c>
      <c r="AT59" s="529">
        <v>1.0</v>
      </c>
      <c r="AU59" s="523" t="s">
        <v>413</v>
      </c>
      <c r="AV59" s="550" t="s">
        <v>432</v>
      </c>
      <c r="AW59" s="529">
        <v>1.0</v>
      </c>
      <c r="AX59" s="523" t="s">
        <v>413</v>
      </c>
      <c r="AY59" s="550" t="s">
        <v>432</v>
      </c>
      <c r="AZ59" s="529">
        <v>1.0</v>
      </c>
      <c r="BA59" s="523" t="s">
        <v>413</v>
      </c>
      <c r="BB59" s="550" t="s">
        <v>432</v>
      </c>
      <c r="BC59" s="529">
        <v>1.0</v>
      </c>
      <c r="BD59" s="523" t="s">
        <v>413</v>
      </c>
      <c r="BE59" s="550" t="s">
        <v>432</v>
      </c>
      <c r="BF59" s="529">
        <v>1.0</v>
      </c>
      <c r="BG59" s="523" t="s">
        <v>413</v>
      </c>
      <c r="BH59" s="550" t="s">
        <v>432</v>
      </c>
      <c r="BI59" s="529">
        <v>1.0</v>
      </c>
      <c r="BJ59" s="523" t="s">
        <v>413</v>
      </c>
      <c r="BK59" s="550" t="s">
        <v>432</v>
      </c>
      <c r="BL59" s="529">
        <v>1.0</v>
      </c>
      <c r="BM59" s="523" t="s">
        <v>413</v>
      </c>
      <c r="BN59" s="550" t="s">
        <v>432</v>
      </c>
      <c r="BO59" s="529">
        <v>1.0</v>
      </c>
      <c r="BP59" s="523" t="s">
        <v>413</v>
      </c>
      <c r="BQ59" s="550" t="s">
        <v>432</v>
      </c>
      <c r="BR59" s="529">
        <v>1.0</v>
      </c>
      <c r="BS59" s="523" t="s">
        <v>413</v>
      </c>
      <c r="BT59" s="550" t="s">
        <v>432</v>
      </c>
      <c r="BU59" s="529">
        <v>1.0</v>
      </c>
      <c r="BV59" s="528" t="s">
        <v>413</v>
      </c>
      <c r="BW59" s="528" t="s">
        <v>432</v>
      </c>
      <c r="BX59" s="532">
        <v>1.0</v>
      </c>
      <c r="BY59" s="528" t="s">
        <v>413</v>
      </c>
      <c r="BZ59" s="528" t="s">
        <v>432</v>
      </c>
      <c r="CA59" s="532">
        <v>1.0</v>
      </c>
      <c r="CB59" s="528" t="s">
        <v>413</v>
      </c>
      <c r="CC59" s="528" t="s">
        <v>432</v>
      </c>
      <c r="CD59" s="532">
        <v>1.0</v>
      </c>
      <c r="CE59" s="528" t="s">
        <v>413</v>
      </c>
      <c r="CF59" s="528" t="s">
        <v>432</v>
      </c>
      <c r="CG59" s="532">
        <v>1.0</v>
      </c>
      <c r="CH59" s="528" t="s">
        <v>413</v>
      </c>
      <c r="CI59" s="528" t="s">
        <v>432</v>
      </c>
      <c r="CJ59" s="532">
        <v>1.0</v>
      </c>
      <c r="CK59" s="528" t="s">
        <v>413</v>
      </c>
      <c r="CL59" s="528" t="s">
        <v>432</v>
      </c>
      <c r="CM59" s="532">
        <v>1.0</v>
      </c>
      <c r="CN59" s="528" t="s">
        <v>413</v>
      </c>
      <c r="CO59" s="528" t="s">
        <v>432</v>
      </c>
      <c r="CP59" s="532">
        <v>1.0</v>
      </c>
      <c r="CQ59" s="528" t="s">
        <v>413</v>
      </c>
      <c r="CR59" s="528" t="s">
        <v>432</v>
      </c>
      <c r="CS59" s="532">
        <v>1.0</v>
      </c>
      <c r="CT59" s="528" t="s">
        <v>413</v>
      </c>
      <c r="CU59" s="528" t="s">
        <v>432</v>
      </c>
      <c r="CV59" s="532">
        <v>1.0</v>
      </c>
      <c r="CW59" s="528" t="s">
        <v>413</v>
      </c>
      <c r="CX59" s="528" t="s">
        <v>432</v>
      </c>
      <c r="CY59" s="532">
        <v>1.0</v>
      </c>
      <c r="CZ59" s="528" t="s">
        <v>413</v>
      </c>
      <c r="DA59" s="528" t="s">
        <v>432</v>
      </c>
      <c r="DB59" s="532">
        <v>1.0</v>
      </c>
      <c r="DC59" s="528" t="s">
        <v>413</v>
      </c>
      <c r="DD59" s="528" t="s">
        <v>432</v>
      </c>
      <c r="DE59" s="532">
        <v>1.0</v>
      </c>
      <c r="DF59" s="528" t="s">
        <v>413</v>
      </c>
      <c r="DG59" s="528" t="s">
        <v>432</v>
      </c>
      <c r="DH59" s="532">
        <v>1.0</v>
      </c>
      <c r="DI59" s="528" t="s">
        <v>413</v>
      </c>
      <c r="DJ59" s="528" t="s">
        <v>432</v>
      </c>
      <c r="DK59" s="532">
        <v>1.0</v>
      </c>
      <c r="DL59" s="528" t="s">
        <v>413</v>
      </c>
      <c r="DM59" s="528" t="s">
        <v>432</v>
      </c>
      <c r="DN59" s="532">
        <v>1.0</v>
      </c>
    </row>
    <row r="60" ht="15.0" customHeight="1">
      <c r="A60" s="53">
        <v>52.0</v>
      </c>
      <c r="B60" s="100" t="s">
        <v>243</v>
      </c>
      <c r="C60" s="100" t="s">
        <v>244</v>
      </c>
      <c r="D60" s="101" t="str">
        <f t="shared" si="3"/>
        <v>DATA</v>
      </c>
      <c r="E60" s="101" t="s">
        <v>237</v>
      </c>
      <c r="F60" s="102">
        <v>1118.0</v>
      </c>
      <c r="G60" s="102" t="s">
        <v>237</v>
      </c>
      <c r="H60" s="650">
        <v>1118.0</v>
      </c>
      <c r="I60" s="68" t="str">
        <f>IFERROR(VLOOKUP(C:C,'R22 RELATÓRIO ACC'!B:F,5,FALSE),"NOT PUBLISHED")</f>
        <v>V59</v>
      </c>
      <c r="J60" s="68" t="str">
        <f>IFERROR(VLOOKUP(C:C,'R22 RELATÓRIO ACC'!B:P,15,FALSE),"NOT PUBLISHED")</f>
        <v>17/04/2026</v>
      </c>
      <c r="K60" s="70" t="str">
        <f>IFERROR(VLOOKUP(B:B,'RELATÓRIO ACC'!B:F,5,FALSE),"NOT PUBLISHED")</f>
        <v>V5</v>
      </c>
      <c r="L60" s="518" t="str">
        <f>IFERROR(VLOOKUP(B:B,'RELATÓRIO ACC'!B:P,15,FALSE),"NOT PUBLISHED")</f>
        <v>06/07/2026</v>
      </c>
      <c r="M60" s="519" t="s">
        <v>448</v>
      </c>
      <c r="N60" s="520">
        <v>45995.0</v>
      </c>
      <c r="O60" s="538" t="s">
        <v>410</v>
      </c>
      <c r="P60" s="587"/>
      <c r="Q60" s="523" t="s">
        <v>381</v>
      </c>
      <c r="R60" s="550" t="s">
        <v>421</v>
      </c>
      <c r="S60" s="551">
        <v>0.11</v>
      </c>
      <c r="T60" s="523" t="s">
        <v>381</v>
      </c>
      <c r="U60" s="558">
        <v>0.0</v>
      </c>
      <c r="V60" s="551">
        <v>0.11</v>
      </c>
      <c r="W60" s="523" t="s">
        <v>381</v>
      </c>
      <c r="X60" s="526" t="s">
        <v>449</v>
      </c>
      <c r="Y60" s="551">
        <v>0.19</v>
      </c>
      <c r="Z60" s="523" t="s">
        <v>398</v>
      </c>
      <c r="AA60" s="550" t="s">
        <v>450</v>
      </c>
      <c r="AB60" s="525" t="s">
        <v>398</v>
      </c>
      <c r="AC60" s="523" t="s">
        <v>381</v>
      </c>
      <c r="AD60" s="550" t="s">
        <v>451</v>
      </c>
      <c r="AE60" s="651">
        <v>0.66</v>
      </c>
      <c r="AF60" s="523" t="s">
        <v>383</v>
      </c>
      <c r="AG60" s="550" t="s">
        <v>451</v>
      </c>
      <c r="AH60" s="523" t="s">
        <v>383</v>
      </c>
      <c r="AI60" s="523" t="s">
        <v>381</v>
      </c>
      <c r="AJ60" s="550" t="s">
        <v>431</v>
      </c>
      <c r="AK60" s="529">
        <v>0.98</v>
      </c>
      <c r="AL60" s="523" t="s">
        <v>386</v>
      </c>
      <c r="AM60" s="550" t="s">
        <v>448</v>
      </c>
      <c r="AN60" s="529">
        <v>1.0</v>
      </c>
      <c r="AO60" s="523" t="s">
        <v>413</v>
      </c>
      <c r="AP60" s="550" t="s">
        <v>448</v>
      </c>
      <c r="AQ60" s="529">
        <v>1.0</v>
      </c>
      <c r="AR60" s="523" t="s">
        <v>413</v>
      </c>
      <c r="AS60" s="550" t="s">
        <v>448</v>
      </c>
      <c r="AT60" s="529">
        <v>1.0</v>
      </c>
      <c r="AU60" s="523" t="s">
        <v>413</v>
      </c>
      <c r="AV60" s="550" t="s">
        <v>448</v>
      </c>
      <c r="AW60" s="529">
        <v>1.0</v>
      </c>
      <c r="AX60" s="523" t="s">
        <v>413</v>
      </c>
      <c r="AY60" s="550" t="s">
        <v>448</v>
      </c>
      <c r="AZ60" s="529">
        <v>1.0</v>
      </c>
      <c r="BA60" s="523" t="s">
        <v>413</v>
      </c>
      <c r="BB60" s="550" t="s">
        <v>448</v>
      </c>
      <c r="BC60" s="529">
        <v>1.0</v>
      </c>
      <c r="BD60" s="523" t="s">
        <v>413</v>
      </c>
      <c r="BE60" s="550" t="s">
        <v>448</v>
      </c>
      <c r="BF60" s="529">
        <v>1.0</v>
      </c>
      <c r="BG60" s="523" t="s">
        <v>413</v>
      </c>
      <c r="BH60" s="550" t="s">
        <v>448</v>
      </c>
      <c r="BI60" s="529">
        <v>1.0</v>
      </c>
      <c r="BJ60" s="523" t="s">
        <v>413</v>
      </c>
      <c r="BK60" s="550" t="s">
        <v>448</v>
      </c>
      <c r="BL60" s="529">
        <v>1.0</v>
      </c>
      <c r="BM60" s="523" t="s">
        <v>413</v>
      </c>
      <c r="BN60" s="550" t="s">
        <v>448</v>
      </c>
      <c r="BO60" s="529">
        <v>1.0</v>
      </c>
      <c r="BP60" s="523" t="s">
        <v>413</v>
      </c>
      <c r="BQ60" s="550" t="s">
        <v>448</v>
      </c>
      <c r="BR60" s="529">
        <v>1.0</v>
      </c>
      <c r="BS60" s="523" t="s">
        <v>413</v>
      </c>
      <c r="BT60" s="550" t="s">
        <v>448</v>
      </c>
      <c r="BU60" s="529">
        <v>1.0</v>
      </c>
      <c r="BV60" s="528" t="s">
        <v>413</v>
      </c>
      <c r="BW60" s="528" t="s">
        <v>448</v>
      </c>
      <c r="BX60" s="532">
        <v>1.0</v>
      </c>
      <c r="BY60" s="528" t="s">
        <v>413</v>
      </c>
      <c r="BZ60" s="528" t="s">
        <v>448</v>
      </c>
      <c r="CA60" s="532">
        <v>1.0</v>
      </c>
      <c r="CB60" s="528" t="s">
        <v>413</v>
      </c>
      <c r="CC60" s="528" t="s">
        <v>448</v>
      </c>
      <c r="CD60" s="532">
        <v>1.0</v>
      </c>
      <c r="CE60" s="528" t="s">
        <v>413</v>
      </c>
      <c r="CF60" s="528" t="s">
        <v>448</v>
      </c>
      <c r="CG60" s="532">
        <v>1.0</v>
      </c>
      <c r="CH60" s="528" t="s">
        <v>413</v>
      </c>
      <c r="CI60" s="528" t="s">
        <v>448</v>
      </c>
      <c r="CJ60" s="532">
        <v>1.0</v>
      </c>
      <c r="CK60" s="528" t="s">
        <v>413</v>
      </c>
      <c r="CL60" s="528" t="s">
        <v>448</v>
      </c>
      <c r="CM60" s="532">
        <v>1.0</v>
      </c>
      <c r="CN60" s="528" t="s">
        <v>413</v>
      </c>
      <c r="CO60" s="528" t="s">
        <v>448</v>
      </c>
      <c r="CP60" s="532">
        <v>1.0</v>
      </c>
      <c r="CQ60" s="528" t="s">
        <v>413</v>
      </c>
      <c r="CR60" s="528" t="s">
        <v>448</v>
      </c>
      <c r="CS60" s="532">
        <v>1.0</v>
      </c>
      <c r="CT60" s="528" t="s">
        <v>413</v>
      </c>
      <c r="CU60" s="528" t="s">
        <v>448</v>
      </c>
      <c r="CV60" s="532">
        <v>1.0</v>
      </c>
      <c r="CW60" s="528" t="s">
        <v>413</v>
      </c>
      <c r="CX60" s="528" t="s">
        <v>448</v>
      </c>
      <c r="CY60" s="532">
        <v>1.0</v>
      </c>
      <c r="CZ60" s="528" t="s">
        <v>413</v>
      </c>
      <c r="DA60" s="528" t="s">
        <v>448</v>
      </c>
      <c r="DB60" s="532">
        <v>1.0</v>
      </c>
      <c r="DC60" s="528" t="s">
        <v>413</v>
      </c>
      <c r="DD60" s="528" t="s">
        <v>448</v>
      </c>
      <c r="DE60" s="532">
        <v>1.0</v>
      </c>
      <c r="DF60" s="528" t="s">
        <v>413</v>
      </c>
      <c r="DG60" s="528" t="s">
        <v>448</v>
      </c>
      <c r="DH60" s="532">
        <v>1.0</v>
      </c>
      <c r="DI60" s="528" t="s">
        <v>413</v>
      </c>
      <c r="DJ60" s="528" t="s">
        <v>448</v>
      </c>
      <c r="DK60" s="532">
        <v>1.0</v>
      </c>
      <c r="DL60" s="528" t="s">
        <v>413</v>
      </c>
      <c r="DM60" s="528" t="s">
        <v>448</v>
      </c>
      <c r="DN60" s="532">
        <v>1.0</v>
      </c>
    </row>
    <row r="61" ht="15.0" customHeight="1">
      <c r="A61" s="53">
        <v>54.0</v>
      </c>
      <c r="B61" s="100" t="s">
        <v>267</v>
      </c>
      <c r="C61" s="100" t="s">
        <v>268</v>
      </c>
      <c r="D61" s="101" t="str">
        <f t="shared" si="3"/>
        <v>DATA</v>
      </c>
      <c r="E61" s="101" t="s">
        <v>269</v>
      </c>
      <c r="F61" s="102"/>
      <c r="G61" s="118" t="s">
        <v>452</v>
      </c>
      <c r="H61" s="535"/>
      <c r="I61" s="68" t="str">
        <f>IFERROR(VLOOKUP(C:C,'R22 RELATÓRIO ACC'!B:F,5,FALSE),"NOT PUBLISHED")</f>
        <v>V10</v>
      </c>
      <c r="J61" s="68" t="str">
        <f>IFERROR(VLOOKUP(C:C,'R22 RELATÓRIO ACC'!B:P,15,FALSE),"NOT PUBLISHED")</f>
        <v>22/04/2026</v>
      </c>
      <c r="K61" s="70" t="str">
        <f>IFERROR(VLOOKUP(B:B,'RELATÓRIO ACC'!B:F,5,FALSE),"NOT PUBLISHED")</f>
        <v>V1</v>
      </c>
      <c r="L61" s="518" t="str">
        <f>IFERROR(VLOOKUP(B:B,'RELATÓRIO ACC'!B:P,15,FALSE),"NOT PUBLISHED")</f>
        <v>15/05/2026</v>
      </c>
      <c r="M61" s="519" t="s">
        <v>412</v>
      </c>
      <c r="N61" s="520">
        <v>46001.0</v>
      </c>
      <c r="O61" s="538" t="s">
        <v>410</v>
      </c>
      <c r="P61" s="587"/>
      <c r="Q61" s="523" t="s">
        <v>381</v>
      </c>
      <c r="R61" s="550" t="s">
        <v>421</v>
      </c>
      <c r="S61" s="551">
        <v>0.01</v>
      </c>
      <c r="T61" s="523" t="s">
        <v>379</v>
      </c>
      <c r="U61" s="558">
        <v>0.0</v>
      </c>
      <c r="V61" s="551" t="s">
        <v>379</v>
      </c>
      <c r="W61" s="523" t="s">
        <v>381</v>
      </c>
      <c r="X61" s="526" t="s">
        <v>399</v>
      </c>
      <c r="Y61" s="551">
        <v>0.18</v>
      </c>
      <c r="Z61" s="523" t="s">
        <v>383</v>
      </c>
      <c r="AA61" s="550" t="s">
        <v>399</v>
      </c>
      <c r="AB61" s="525" t="s">
        <v>383</v>
      </c>
      <c r="AC61" s="523" t="s">
        <v>398</v>
      </c>
      <c r="AD61" s="550" t="s">
        <v>411</v>
      </c>
      <c r="AE61" s="525" t="s">
        <v>398</v>
      </c>
      <c r="AF61" s="523" t="s">
        <v>383</v>
      </c>
      <c r="AG61" s="550" t="s">
        <v>411</v>
      </c>
      <c r="AH61" s="523" t="s">
        <v>383</v>
      </c>
      <c r="AI61" s="523" t="s">
        <v>381</v>
      </c>
      <c r="AJ61" s="550" t="s">
        <v>428</v>
      </c>
      <c r="AK61" s="546">
        <v>0.82</v>
      </c>
      <c r="AL61" s="523" t="s">
        <v>383</v>
      </c>
      <c r="AM61" s="550" t="s">
        <v>428</v>
      </c>
      <c r="AN61" s="523" t="s">
        <v>383</v>
      </c>
      <c r="AO61" s="523" t="s">
        <v>386</v>
      </c>
      <c r="AP61" s="550" t="s">
        <v>412</v>
      </c>
      <c r="AQ61" s="529">
        <v>1.0</v>
      </c>
      <c r="AR61" s="523" t="s">
        <v>413</v>
      </c>
      <c r="AS61" s="550" t="s">
        <v>412</v>
      </c>
      <c r="AT61" s="529">
        <v>1.0</v>
      </c>
      <c r="AU61" s="523" t="s">
        <v>413</v>
      </c>
      <c r="AV61" s="550" t="s">
        <v>412</v>
      </c>
      <c r="AW61" s="529">
        <v>1.0</v>
      </c>
      <c r="AX61" s="523" t="s">
        <v>413</v>
      </c>
      <c r="AY61" s="550" t="s">
        <v>412</v>
      </c>
      <c r="AZ61" s="529">
        <v>1.0</v>
      </c>
      <c r="BA61" s="523" t="s">
        <v>413</v>
      </c>
      <c r="BB61" s="550" t="s">
        <v>412</v>
      </c>
      <c r="BC61" s="529">
        <v>1.0</v>
      </c>
      <c r="BD61" s="523" t="s">
        <v>413</v>
      </c>
      <c r="BE61" s="550" t="s">
        <v>412</v>
      </c>
      <c r="BF61" s="529">
        <v>1.0</v>
      </c>
      <c r="BG61" s="523" t="s">
        <v>413</v>
      </c>
      <c r="BH61" s="550" t="s">
        <v>412</v>
      </c>
      <c r="BI61" s="529">
        <v>1.0</v>
      </c>
      <c r="BJ61" s="523" t="s">
        <v>413</v>
      </c>
      <c r="BK61" s="550" t="s">
        <v>412</v>
      </c>
      <c r="BL61" s="529">
        <v>1.0</v>
      </c>
      <c r="BM61" s="523" t="s">
        <v>413</v>
      </c>
      <c r="BN61" s="550" t="s">
        <v>412</v>
      </c>
      <c r="BO61" s="529">
        <v>1.0</v>
      </c>
      <c r="BP61" s="523" t="s">
        <v>413</v>
      </c>
      <c r="BQ61" s="550" t="s">
        <v>412</v>
      </c>
      <c r="BR61" s="529">
        <v>1.0</v>
      </c>
      <c r="BS61" s="523" t="s">
        <v>413</v>
      </c>
      <c r="BT61" s="550" t="s">
        <v>412</v>
      </c>
      <c r="BU61" s="529">
        <v>1.0</v>
      </c>
      <c r="BV61" s="528" t="s">
        <v>413</v>
      </c>
      <c r="BW61" s="528" t="s">
        <v>412</v>
      </c>
      <c r="BX61" s="532">
        <v>1.0</v>
      </c>
      <c r="BY61" s="528" t="s">
        <v>413</v>
      </c>
      <c r="BZ61" s="528" t="s">
        <v>412</v>
      </c>
      <c r="CA61" s="532">
        <v>1.0</v>
      </c>
      <c r="CB61" s="528" t="s">
        <v>413</v>
      </c>
      <c r="CC61" s="528" t="s">
        <v>412</v>
      </c>
      <c r="CD61" s="532">
        <v>1.0</v>
      </c>
      <c r="CE61" s="528" t="s">
        <v>413</v>
      </c>
      <c r="CF61" s="528" t="s">
        <v>412</v>
      </c>
      <c r="CG61" s="532">
        <v>1.0</v>
      </c>
      <c r="CH61" s="528" t="s">
        <v>413</v>
      </c>
      <c r="CI61" s="528" t="s">
        <v>412</v>
      </c>
      <c r="CJ61" s="532">
        <v>1.0</v>
      </c>
      <c r="CK61" s="528" t="s">
        <v>413</v>
      </c>
      <c r="CL61" s="528" t="s">
        <v>412</v>
      </c>
      <c r="CM61" s="532">
        <v>1.0</v>
      </c>
      <c r="CN61" s="528" t="s">
        <v>413</v>
      </c>
      <c r="CO61" s="528" t="s">
        <v>412</v>
      </c>
      <c r="CP61" s="532">
        <v>1.0</v>
      </c>
      <c r="CQ61" s="528" t="s">
        <v>413</v>
      </c>
      <c r="CR61" s="528" t="s">
        <v>412</v>
      </c>
      <c r="CS61" s="532">
        <v>1.0</v>
      </c>
      <c r="CT61" s="528" t="s">
        <v>413</v>
      </c>
      <c r="CU61" s="528" t="s">
        <v>412</v>
      </c>
      <c r="CV61" s="532">
        <v>1.0</v>
      </c>
      <c r="CW61" s="528" t="s">
        <v>413</v>
      </c>
      <c r="CX61" s="528" t="s">
        <v>412</v>
      </c>
      <c r="CY61" s="532">
        <v>1.0</v>
      </c>
      <c r="CZ61" s="528" t="s">
        <v>413</v>
      </c>
      <c r="DA61" s="528" t="s">
        <v>412</v>
      </c>
      <c r="DB61" s="532">
        <v>1.0</v>
      </c>
      <c r="DC61" s="528" t="s">
        <v>413</v>
      </c>
      <c r="DD61" s="528" t="s">
        <v>412</v>
      </c>
      <c r="DE61" s="532">
        <v>1.0</v>
      </c>
      <c r="DF61" s="528" t="s">
        <v>413</v>
      </c>
      <c r="DG61" s="528" t="s">
        <v>412</v>
      </c>
      <c r="DH61" s="532">
        <v>1.0</v>
      </c>
      <c r="DI61" s="528" t="s">
        <v>413</v>
      </c>
      <c r="DJ61" s="528" t="s">
        <v>412</v>
      </c>
      <c r="DK61" s="532">
        <v>1.0</v>
      </c>
      <c r="DL61" s="528" t="s">
        <v>413</v>
      </c>
      <c r="DM61" s="528" t="s">
        <v>412</v>
      </c>
      <c r="DN61" s="532">
        <v>1.0</v>
      </c>
    </row>
    <row r="62" ht="15.0" customHeight="1">
      <c r="A62" s="53">
        <v>55.0</v>
      </c>
      <c r="B62" s="100" t="s">
        <v>273</v>
      </c>
      <c r="C62" s="100" t="s">
        <v>274</v>
      </c>
      <c r="D62" s="101" t="str">
        <f t="shared" si="3"/>
        <v>DATA</v>
      </c>
      <c r="E62" s="111" t="s">
        <v>275</v>
      </c>
      <c r="F62" s="102"/>
      <c r="G62" s="118" t="s">
        <v>452</v>
      </c>
      <c r="H62" s="535"/>
      <c r="I62" s="68" t="str">
        <f>IFERROR(VLOOKUP(C:C,'R22 RELATÓRIO ACC'!B:F,5,FALSE),"NOT PUBLISHED")</f>
        <v>V11</v>
      </c>
      <c r="J62" s="68" t="str">
        <f>IFERROR(VLOOKUP(C:C,'R22 RELATÓRIO ACC'!B:P,15,FALSE),"NOT PUBLISHED")</f>
        <v>28/04/2026</v>
      </c>
      <c r="K62" s="70" t="str">
        <f>IFERROR(VLOOKUP(B:B,'RELATÓRIO ACC'!B:F,5,FALSE),"NOT PUBLISHED")</f>
        <v>V1</v>
      </c>
      <c r="L62" s="518" t="str">
        <f>IFERROR(VLOOKUP(B:B,'RELATÓRIO ACC'!B:P,15,FALSE),"NOT PUBLISHED")</f>
        <v>15/05/2026</v>
      </c>
      <c r="M62" s="519" t="s">
        <v>382</v>
      </c>
      <c r="N62" s="569" t="s">
        <v>453</v>
      </c>
      <c r="O62" s="538" t="s">
        <v>410</v>
      </c>
      <c r="P62" s="587"/>
      <c r="Q62" s="523" t="s">
        <v>381</v>
      </c>
      <c r="R62" s="550" t="s">
        <v>421</v>
      </c>
      <c r="S62" s="551">
        <v>0.01</v>
      </c>
      <c r="T62" s="523" t="s">
        <v>379</v>
      </c>
      <c r="U62" s="558">
        <v>0.0</v>
      </c>
      <c r="V62" s="551" t="s">
        <v>379</v>
      </c>
      <c r="W62" s="523" t="s">
        <v>381</v>
      </c>
      <c r="X62" s="526" t="s">
        <v>399</v>
      </c>
      <c r="Y62" s="551">
        <v>0.21</v>
      </c>
      <c r="Z62" s="523" t="s">
        <v>383</v>
      </c>
      <c r="AA62" s="550" t="s">
        <v>399</v>
      </c>
      <c r="AB62" s="525" t="s">
        <v>383</v>
      </c>
      <c r="AC62" s="523" t="s">
        <v>398</v>
      </c>
      <c r="AD62" s="550" t="s">
        <v>411</v>
      </c>
      <c r="AE62" s="525" t="s">
        <v>398</v>
      </c>
      <c r="AF62" s="523" t="s">
        <v>383</v>
      </c>
      <c r="AG62" s="550" t="s">
        <v>411</v>
      </c>
      <c r="AH62" s="523" t="s">
        <v>383</v>
      </c>
      <c r="AI62" s="530" t="s">
        <v>381</v>
      </c>
      <c r="AJ62" s="550" t="s">
        <v>428</v>
      </c>
      <c r="AK62" s="529">
        <v>0.79</v>
      </c>
      <c r="AL62" s="523" t="s">
        <v>383</v>
      </c>
      <c r="AM62" s="550" t="s">
        <v>428</v>
      </c>
      <c r="AN62" s="523" t="s">
        <v>383</v>
      </c>
      <c r="AO62" s="523" t="s">
        <v>381</v>
      </c>
      <c r="AP62" s="550" t="s">
        <v>412</v>
      </c>
      <c r="AQ62" s="529">
        <v>0.86</v>
      </c>
      <c r="AR62" s="523" t="s">
        <v>383</v>
      </c>
      <c r="AS62" s="550" t="s">
        <v>412</v>
      </c>
      <c r="AT62" s="523" t="s">
        <v>383</v>
      </c>
      <c r="AU62" s="523" t="s">
        <v>386</v>
      </c>
      <c r="AV62" s="550" t="s">
        <v>382</v>
      </c>
      <c r="AW62" s="529">
        <v>1.0</v>
      </c>
      <c r="AX62" s="523" t="s">
        <v>413</v>
      </c>
      <c r="AY62" s="550" t="s">
        <v>382</v>
      </c>
      <c r="AZ62" s="529">
        <v>1.0</v>
      </c>
      <c r="BA62" s="523" t="s">
        <v>413</v>
      </c>
      <c r="BB62" s="550" t="s">
        <v>382</v>
      </c>
      <c r="BC62" s="529">
        <v>1.0</v>
      </c>
      <c r="BD62" s="523" t="s">
        <v>413</v>
      </c>
      <c r="BE62" s="550" t="s">
        <v>382</v>
      </c>
      <c r="BF62" s="529">
        <v>1.0</v>
      </c>
      <c r="BG62" s="523" t="s">
        <v>413</v>
      </c>
      <c r="BH62" s="550" t="s">
        <v>382</v>
      </c>
      <c r="BI62" s="529">
        <v>1.0</v>
      </c>
      <c r="BJ62" s="523" t="s">
        <v>413</v>
      </c>
      <c r="BK62" s="550" t="s">
        <v>382</v>
      </c>
      <c r="BL62" s="529">
        <v>1.0</v>
      </c>
      <c r="BM62" s="523" t="s">
        <v>413</v>
      </c>
      <c r="BN62" s="550" t="s">
        <v>382</v>
      </c>
      <c r="BO62" s="529">
        <v>1.0</v>
      </c>
      <c r="BP62" s="523" t="s">
        <v>413</v>
      </c>
      <c r="BQ62" s="550" t="s">
        <v>382</v>
      </c>
      <c r="BR62" s="529">
        <v>1.0</v>
      </c>
      <c r="BS62" s="523" t="s">
        <v>413</v>
      </c>
      <c r="BT62" s="550" t="s">
        <v>382</v>
      </c>
      <c r="BU62" s="529">
        <v>1.0</v>
      </c>
      <c r="BV62" s="528" t="s">
        <v>413</v>
      </c>
      <c r="BW62" s="528" t="s">
        <v>382</v>
      </c>
      <c r="BX62" s="532">
        <v>1.0</v>
      </c>
      <c r="BY62" s="528" t="s">
        <v>413</v>
      </c>
      <c r="BZ62" s="528" t="s">
        <v>382</v>
      </c>
      <c r="CA62" s="532">
        <v>1.0</v>
      </c>
      <c r="CB62" s="528" t="s">
        <v>413</v>
      </c>
      <c r="CC62" s="528" t="s">
        <v>382</v>
      </c>
      <c r="CD62" s="532">
        <v>1.0</v>
      </c>
      <c r="CE62" s="528" t="s">
        <v>413</v>
      </c>
      <c r="CF62" s="528" t="s">
        <v>382</v>
      </c>
      <c r="CG62" s="532">
        <v>1.0</v>
      </c>
      <c r="CH62" s="528" t="s">
        <v>413</v>
      </c>
      <c r="CI62" s="528" t="s">
        <v>382</v>
      </c>
      <c r="CJ62" s="532">
        <v>1.0</v>
      </c>
      <c r="CK62" s="528" t="s">
        <v>413</v>
      </c>
      <c r="CL62" s="528" t="s">
        <v>382</v>
      </c>
      <c r="CM62" s="532">
        <v>1.0</v>
      </c>
      <c r="CN62" s="528" t="s">
        <v>413</v>
      </c>
      <c r="CO62" s="528" t="s">
        <v>382</v>
      </c>
      <c r="CP62" s="532">
        <v>1.0</v>
      </c>
      <c r="CQ62" s="528" t="s">
        <v>413</v>
      </c>
      <c r="CR62" s="528" t="s">
        <v>382</v>
      </c>
      <c r="CS62" s="532">
        <v>1.0</v>
      </c>
      <c r="CT62" s="528" t="s">
        <v>413</v>
      </c>
      <c r="CU62" s="528" t="s">
        <v>382</v>
      </c>
      <c r="CV62" s="532">
        <v>1.0</v>
      </c>
      <c r="CW62" s="528" t="s">
        <v>413</v>
      </c>
      <c r="CX62" s="528" t="s">
        <v>382</v>
      </c>
      <c r="CY62" s="532">
        <v>1.0</v>
      </c>
      <c r="CZ62" s="528" t="s">
        <v>413</v>
      </c>
      <c r="DA62" s="528" t="s">
        <v>382</v>
      </c>
      <c r="DB62" s="532">
        <v>1.0</v>
      </c>
      <c r="DC62" s="528" t="s">
        <v>413</v>
      </c>
      <c r="DD62" s="528" t="s">
        <v>382</v>
      </c>
      <c r="DE62" s="532">
        <v>1.0</v>
      </c>
      <c r="DF62" s="528" t="s">
        <v>413</v>
      </c>
      <c r="DG62" s="528" t="s">
        <v>382</v>
      </c>
      <c r="DH62" s="532">
        <v>1.0</v>
      </c>
      <c r="DI62" s="528" t="s">
        <v>413</v>
      </c>
      <c r="DJ62" s="528" t="s">
        <v>382</v>
      </c>
      <c r="DK62" s="532">
        <v>1.0</v>
      </c>
      <c r="DL62" s="528" t="s">
        <v>413</v>
      </c>
      <c r="DM62" s="528" t="s">
        <v>382</v>
      </c>
      <c r="DN62" s="532">
        <v>1.0</v>
      </c>
    </row>
    <row r="63" ht="15.0" customHeight="1">
      <c r="A63" s="53">
        <v>57.0</v>
      </c>
      <c r="B63" s="100" t="s">
        <v>288</v>
      </c>
      <c r="C63" s="100" t="s">
        <v>288</v>
      </c>
      <c r="D63" s="101" t="str">
        <f t="shared" si="3"/>
        <v>ADMN</v>
      </c>
      <c r="E63" s="101" t="s">
        <v>289</v>
      </c>
      <c r="F63" s="102">
        <v>1125.0</v>
      </c>
      <c r="G63" s="102" t="s">
        <v>289</v>
      </c>
      <c r="H63" s="517">
        <v>1125.0</v>
      </c>
      <c r="I63" s="68" t="str">
        <f>IFERROR(VLOOKUP(C:C,'R22 RELATÓRIO ACC'!B:F,5,FALSE),"NOT PUBLISHED")</f>
        <v>V8</v>
      </c>
      <c r="J63" s="68" t="str">
        <f>IFERROR(VLOOKUP(C:C,'R22 RELATÓRIO ACC'!B:P,15,FALSE),"NOT PUBLISHED")</f>
        <v>07/11/2025</v>
      </c>
      <c r="K63" s="70" t="str">
        <f>IFERROR(VLOOKUP(B:B,'RELATÓRIO ACC'!B:F,5,FALSE),"NOT PUBLISHED")</f>
        <v>V1</v>
      </c>
      <c r="L63" s="518" t="str">
        <f>IFERROR(VLOOKUP(B:B,'RELATÓRIO ACC'!B:P,15,FALSE),"NOT PUBLISHED")</f>
        <v>21/05/2026</v>
      </c>
      <c r="M63" s="519" t="s">
        <v>382</v>
      </c>
      <c r="N63" s="569" t="s">
        <v>454</v>
      </c>
      <c r="O63" s="521" t="s">
        <v>410</v>
      </c>
      <c r="P63" s="587"/>
      <c r="Q63" s="523" t="s">
        <v>379</v>
      </c>
      <c r="R63" s="558">
        <v>0.0</v>
      </c>
      <c r="S63" s="525" t="s">
        <v>379</v>
      </c>
      <c r="T63" s="523" t="s">
        <v>379</v>
      </c>
      <c r="U63" s="558">
        <v>0.0</v>
      </c>
      <c r="V63" s="525" t="s">
        <v>379</v>
      </c>
      <c r="W63" s="523" t="s">
        <v>379</v>
      </c>
      <c r="X63" s="526" t="s">
        <v>380</v>
      </c>
      <c r="Y63" s="525" t="s">
        <v>379</v>
      </c>
      <c r="Z63" s="523" t="s">
        <v>379</v>
      </c>
      <c r="AA63" s="550">
        <v>0.0</v>
      </c>
      <c r="AB63" s="525" t="s">
        <v>379</v>
      </c>
      <c r="AC63" s="523" t="s">
        <v>379</v>
      </c>
      <c r="AD63" s="550">
        <v>0.0</v>
      </c>
      <c r="AE63" s="525" t="s">
        <v>379</v>
      </c>
      <c r="AF63" s="523" t="s">
        <v>386</v>
      </c>
      <c r="AG63" s="550" t="s">
        <v>382</v>
      </c>
      <c r="AH63" s="652">
        <v>1.0</v>
      </c>
      <c r="AI63" s="523" t="s">
        <v>413</v>
      </c>
      <c r="AJ63" s="550" t="s">
        <v>382</v>
      </c>
      <c r="AK63" s="529">
        <v>1.0</v>
      </c>
      <c r="AL63" s="523" t="s">
        <v>413</v>
      </c>
      <c r="AM63" s="550" t="s">
        <v>382</v>
      </c>
      <c r="AN63" s="529">
        <v>1.0</v>
      </c>
      <c r="AO63" s="523" t="s">
        <v>413</v>
      </c>
      <c r="AP63" s="550" t="s">
        <v>382</v>
      </c>
      <c r="AQ63" s="529">
        <v>1.0</v>
      </c>
      <c r="AR63" s="523" t="s">
        <v>413</v>
      </c>
      <c r="AS63" s="550" t="s">
        <v>382</v>
      </c>
      <c r="AT63" s="529">
        <v>1.0</v>
      </c>
      <c r="AU63" s="523" t="s">
        <v>413</v>
      </c>
      <c r="AV63" s="550" t="s">
        <v>382</v>
      </c>
      <c r="AW63" s="529">
        <v>1.0</v>
      </c>
      <c r="AX63" s="523" t="s">
        <v>413</v>
      </c>
      <c r="AY63" s="550" t="s">
        <v>382</v>
      </c>
      <c r="AZ63" s="529">
        <v>1.0</v>
      </c>
      <c r="BA63" s="523" t="s">
        <v>413</v>
      </c>
      <c r="BB63" s="550" t="s">
        <v>382</v>
      </c>
      <c r="BC63" s="529">
        <v>1.0</v>
      </c>
      <c r="BD63" s="523" t="s">
        <v>413</v>
      </c>
      <c r="BE63" s="550" t="s">
        <v>382</v>
      </c>
      <c r="BF63" s="529">
        <v>1.0</v>
      </c>
      <c r="BG63" s="523" t="s">
        <v>413</v>
      </c>
      <c r="BH63" s="550" t="s">
        <v>382</v>
      </c>
      <c r="BI63" s="529">
        <v>1.0</v>
      </c>
      <c r="BJ63" s="523" t="s">
        <v>413</v>
      </c>
      <c r="BK63" s="550" t="s">
        <v>382</v>
      </c>
      <c r="BL63" s="529">
        <v>1.0</v>
      </c>
      <c r="BM63" s="523" t="s">
        <v>413</v>
      </c>
      <c r="BN63" s="550" t="s">
        <v>382</v>
      </c>
      <c r="BO63" s="529">
        <v>1.0</v>
      </c>
      <c r="BP63" s="523" t="s">
        <v>413</v>
      </c>
      <c r="BQ63" s="550" t="s">
        <v>382</v>
      </c>
      <c r="BR63" s="529">
        <v>1.0</v>
      </c>
      <c r="BS63" s="523" t="s">
        <v>413</v>
      </c>
      <c r="BT63" s="550" t="s">
        <v>382</v>
      </c>
      <c r="BU63" s="529">
        <v>1.0</v>
      </c>
      <c r="BV63" s="528" t="s">
        <v>413</v>
      </c>
      <c r="BW63" s="528" t="s">
        <v>382</v>
      </c>
      <c r="BX63" s="532">
        <v>1.0</v>
      </c>
      <c r="BY63" s="528" t="s">
        <v>413</v>
      </c>
      <c r="BZ63" s="528" t="s">
        <v>382</v>
      </c>
      <c r="CA63" s="532">
        <v>1.0</v>
      </c>
      <c r="CB63" s="528" t="s">
        <v>413</v>
      </c>
      <c r="CC63" s="528" t="s">
        <v>382</v>
      </c>
      <c r="CD63" s="532">
        <v>1.0</v>
      </c>
      <c r="CE63" s="528" t="s">
        <v>413</v>
      </c>
      <c r="CF63" s="528" t="s">
        <v>382</v>
      </c>
      <c r="CG63" s="532">
        <v>1.0</v>
      </c>
      <c r="CH63" s="528" t="s">
        <v>413</v>
      </c>
      <c r="CI63" s="528" t="s">
        <v>382</v>
      </c>
      <c r="CJ63" s="532">
        <v>1.0</v>
      </c>
      <c r="CK63" s="528" t="s">
        <v>413</v>
      </c>
      <c r="CL63" s="528" t="s">
        <v>382</v>
      </c>
      <c r="CM63" s="532">
        <v>1.0</v>
      </c>
      <c r="CN63" s="528" t="s">
        <v>413</v>
      </c>
      <c r="CO63" s="528" t="s">
        <v>382</v>
      </c>
      <c r="CP63" s="532">
        <v>1.0</v>
      </c>
      <c r="CQ63" s="528" t="s">
        <v>413</v>
      </c>
      <c r="CR63" s="528" t="s">
        <v>382</v>
      </c>
      <c r="CS63" s="532">
        <v>1.0</v>
      </c>
      <c r="CT63" s="528" t="s">
        <v>413</v>
      </c>
      <c r="CU63" s="528" t="s">
        <v>382</v>
      </c>
      <c r="CV63" s="532">
        <v>1.0</v>
      </c>
      <c r="CW63" s="528" t="s">
        <v>413</v>
      </c>
      <c r="CX63" s="528" t="s">
        <v>382</v>
      </c>
      <c r="CY63" s="532">
        <v>1.0</v>
      </c>
      <c r="CZ63" s="528" t="s">
        <v>413</v>
      </c>
      <c r="DA63" s="528" t="s">
        <v>382</v>
      </c>
      <c r="DB63" s="532">
        <v>1.0</v>
      </c>
      <c r="DC63" s="528" t="s">
        <v>413</v>
      </c>
      <c r="DD63" s="528" t="s">
        <v>382</v>
      </c>
      <c r="DE63" s="532">
        <v>1.0</v>
      </c>
      <c r="DF63" s="528" t="s">
        <v>413</v>
      </c>
      <c r="DG63" s="528" t="s">
        <v>382</v>
      </c>
      <c r="DH63" s="532">
        <v>1.0</v>
      </c>
      <c r="DI63" s="528" t="s">
        <v>413</v>
      </c>
      <c r="DJ63" s="528" t="s">
        <v>382</v>
      </c>
      <c r="DK63" s="532">
        <v>1.0</v>
      </c>
      <c r="DL63" s="528" t="s">
        <v>413</v>
      </c>
      <c r="DM63" s="528" t="s">
        <v>382</v>
      </c>
      <c r="DN63" s="532">
        <v>1.0</v>
      </c>
    </row>
    <row r="64" ht="189.75" customHeight="1">
      <c r="A64" s="556"/>
      <c r="B64" s="556"/>
      <c r="C64" s="556"/>
      <c r="D64" s="653"/>
      <c r="E64" s="653"/>
      <c r="F64" s="653"/>
      <c r="G64" s="653"/>
      <c r="H64" s="653"/>
      <c r="I64" s="556"/>
      <c r="J64" s="556"/>
      <c r="K64" s="556"/>
      <c r="L64" s="556"/>
      <c r="M64" s="556"/>
      <c r="N64" s="556"/>
      <c r="O64" s="556"/>
      <c r="P64" s="556"/>
      <c r="Q64" s="556"/>
      <c r="R64" s="654"/>
      <c r="S64" s="568"/>
      <c r="T64" s="568"/>
      <c r="U64" s="568"/>
      <c r="V64" s="568"/>
      <c r="W64" s="568"/>
      <c r="X64" s="568"/>
      <c r="Y64" s="568"/>
      <c r="Z64" s="568"/>
      <c r="AA64" s="568"/>
      <c r="AB64" s="568"/>
      <c r="AC64" s="568"/>
      <c r="AD64" s="568"/>
      <c r="AE64" s="568"/>
      <c r="AF64" s="568"/>
      <c r="AG64" s="568"/>
      <c r="AH64" s="568"/>
      <c r="AI64" s="568"/>
      <c r="AJ64" s="568"/>
      <c r="AK64" s="568"/>
      <c r="AL64" s="568"/>
      <c r="AM64" s="568"/>
      <c r="AN64" s="568"/>
      <c r="AO64" s="568"/>
      <c r="AP64" s="568"/>
      <c r="AQ64" s="568"/>
      <c r="AR64" s="568"/>
      <c r="AS64" s="568"/>
      <c r="AT64" s="568"/>
      <c r="AU64" s="568"/>
      <c r="AV64" s="568"/>
      <c r="AW64" s="568"/>
      <c r="AX64" s="568"/>
      <c r="AY64" s="568"/>
      <c r="AZ64" s="568"/>
      <c r="BA64" s="568"/>
      <c r="BB64" s="568"/>
      <c r="BC64" s="568"/>
      <c r="BD64" s="568"/>
      <c r="BE64" s="568"/>
      <c r="BF64" s="568"/>
      <c r="BG64" s="568"/>
      <c r="BH64" s="568"/>
      <c r="BI64" s="568"/>
      <c r="BJ64" s="568"/>
      <c r="BK64" s="568"/>
      <c r="BL64" s="568"/>
      <c r="BM64" s="568"/>
      <c r="BN64" s="568"/>
      <c r="BO64" s="568"/>
      <c r="BP64" s="568"/>
      <c r="BQ64" s="568"/>
      <c r="BR64" s="568"/>
      <c r="BS64" s="568"/>
      <c r="BT64" s="568"/>
      <c r="BU64" s="568"/>
      <c r="BV64" s="568"/>
      <c r="BW64" s="568"/>
      <c r="BX64" s="568"/>
      <c r="BY64" s="568"/>
      <c r="BZ64" s="568"/>
      <c r="CA64" s="568"/>
      <c r="CB64" s="568"/>
      <c r="CC64" s="568"/>
      <c r="CD64" s="568"/>
      <c r="CE64" s="568"/>
      <c r="CF64" s="568"/>
      <c r="CG64" s="568"/>
      <c r="CH64" s="568"/>
      <c r="CI64" s="568"/>
      <c r="CJ64" s="568"/>
      <c r="CK64" s="568"/>
      <c r="CL64" s="568"/>
      <c r="CM64" s="568"/>
      <c r="CN64" s="568"/>
      <c r="CO64" s="568"/>
      <c r="CP64" s="568"/>
      <c r="CQ64" s="568"/>
      <c r="CR64" s="568"/>
      <c r="CS64" s="568"/>
      <c r="CT64" s="568"/>
      <c r="CU64" s="568"/>
      <c r="CV64" s="568"/>
      <c r="CW64" s="568"/>
      <c r="CX64" s="568"/>
      <c r="CY64" s="568"/>
      <c r="CZ64" s="568"/>
      <c r="DA64" s="568"/>
      <c r="DB64" s="568"/>
      <c r="DC64" s="568"/>
      <c r="DD64" s="568"/>
      <c r="DE64" s="568"/>
      <c r="DF64" s="568"/>
      <c r="DG64" s="568"/>
      <c r="DH64" s="568"/>
      <c r="DI64" s="568"/>
      <c r="DJ64" s="568"/>
      <c r="DK64" s="568"/>
      <c r="DL64" s="568"/>
      <c r="DM64" s="568"/>
      <c r="DN64" s="568"/>
    </row>
    <row r="65" ht="189.75" customHeight="1">
      <c r="A65" s="556"/>
      <c r="B65" s="556"/>
      <c r="C65" s="556"/>
      <c r="D65" s="653"/>
      <c r="E65" s="653"/>
      <c r="F65" s="653"/>
      <c r="G65" s="653"/>
      <c r="H65" s="653"/>
      <c r="I65" s="556"/>
      <c r="J65" s="556"/>
      <c r="K65" s="556"/>
      <c r="L65" s="556"/>
      <c r="M65" s="556"/>
      <c r="N65" s="556"/>
      <c r="O65" s="556"/>
      <c r="P65" s="556"/>
      <c r="Q65" s="556"/>
      <c r="R65" s="654"/>
      <c r="S65" s="568"/>
      <c r="T65" s="568"/>
      <c r="U65" s="568"/>
      <c r="V65" s="568"/>
      <c r="W65" s="568"/>
      <c r="X65" s="568"/>
      <c r="Y65" s="568"/>
      <c r="Z65" s="568"/>
      <c r="AA65" s="568"/>
      <c r="AB65" s="568"/>
      <c r="AC65" s="568"/>
      <c r="AD65" s="568"/>
      <c r="AE65" s="568"/>
      <c r="AF65" s="568"/>
      <c r="AG65" s="568"/>
      <c r="AH65" s="568"/>
      <c r="AI65" s="568"/>
      <c r="AJ65" s="568"/>
      <c r="AK65" s="568"/>
      <c r="AL65" s="568"/>
      <c r="AM65" s="568"/>
      <c r="AN65" s="568"/>
      <c r="AO65" s="568"/>
      <c r="AP65" s="568"/>
      <c r="AQ65" s="568"/>
      <c r="AR65" s="568"/>
      <c r="AS65" s="568"/>
      <c r="AT65" s="568"/>
      <c r="AU65" s="568"/>
      <c r="AV65" s="568"/>
      <c r="AW65" s="568"/>
      <c r="AX65" s="568"/>
      <c r="AY65" s="568"/>
      <c r="AZ65" s="568"/>
      <c r="BA65" s="568"/>
      <c r="BB65" s="568"/>
      <c r="BC65" s="568"/>
      <c r="BD65" s="568"/>
      <c r="BE65" s="568"/>
      <c r="BF65" s="568"/>
      <c r="BG65" s="568"/>
      <c r="BH65" s="568"/>
      <c r="BI65" s="568"/>
      <c r="BJ65" s="568"/>
      <c r="BK65" s="568"/>
      <c r="BL65" s="568"/>
      <c r="BM65" s="568"/>
      <c r="BN65" s="568"/>
      <c r="BO65" s="568"/>
      <c r="BP65" s="568"/>
      <c r="BQ65" s="568"/>
      <c r="BR65" s="568"/>
      <c r="BS65" s="568"/>
      <c r="BT65" s="568"/>
      <c r="BU65" s="568"/>
      <c r="BV65" s="568"/>
      <c r="BW65" s="568"/>
      <c r="BX65" s="568"/>
      <c r="BY65" s="568"/>
      <c r="BZ65" s="568"/>
      <c r="CA65" s="568"/>
      <c r="CB65" s="568"/>
      <c r="CC65" s="568"/>
      <c r="CD65" s="568"/>
      <c r="CE65" s="568"/>
      <c r="CF65" s="568"/>
      <c r="CG65" s="568"/>
      <c r="CH65" s="568"/>
      <c r="CI65" s="568"/>
      <c r="CJ65" s="568"/>
      <c r="CK65" s="568"/>
      <c r="CL65" s="568"/>
      <c r="CM65" s="568"/>
      <c r="CN65" s="568"/>
      <c r="CO65" s="568"/>
      <c r="CP65" s="568"/>
      <c r="CQ65" s="568"/>
      <c r="CR65" s="568"/>
      <c r="CS65" s="568"/>
      <c r="CT65" s="568"/>
      <c r="CU65" s="568"/>
      <c r="CV65" s="568"/>
      <c r="CW65" s="568"/>
      <c r="CX65" s="568"/>
      <c r="CY65" s="568"/>
      <c r="CZ65" s="568"/>
      <c r="DA65" s="568"/>
      <c r="DB65" s="568"/>
      <c r="DC65" s="568"/>
      <c r="DD65" s="568"/>
      <c r="DE65" s="568"/>
      <c r="DF65" s="568"/>
      <c r="DG65" s="568"/>
      <c r="DH65" s="568"/>
      <c r="DI65" s="568"/>
      <c r="DJ65" s="568"/>
      <c r="DK65" s="568"/>
      <c r="DL65" s="568"/>
      <c r="DM65" s="568"/>
      <c r="DN65" s="568"/>
    </row>
    <row r="66" ht="189.75" customHeight="1">
      <c r="A66" s="556"/>
      <c r="B66" s="556"/>
      <c r="C66" s="556"/>
      <c r="D66" s="653"/>
      <c r="E66" s="653"/>
      <c r="F66" s="653"/>
      <c r="G66" s="653"/>
      <c r="H66" s="653"/>
      <c r="I66" s="556"/>
      <c r="J66" s="556"/>
      <c r="K66" s="556"/>
      <c r="L66" s="556"/>
      <c r="M66" s="556"/>
      <c r="N66" s="556"/>
      <c r="O66" s="556"/>
      <c r="P66" s="556"/>
      <c r="Q66" s="556"/>
      <c r="R66" s="654"/>
      <c r="S66" s="568"/>
      <c r="T66" s="568"/>
      <c r="U66" s="568"/>
      <c r="V66" s="568"/>
      <c r="W66" s="568"/>
      <c r="X66" s="568"/>
      <c r="Y66" s="568"/>
      <c r="Z66" s="568"/>
      <c r="AA66" s="568"/>
      <c r="AB66" s="568"/>
      <c r="AC66" s="568"/>
      <c r="AD66" s="568"/>
      <c r="AE66" s="568"/>
      <c r="AF66" s="568"/>
      <c r="AG66" s="568"/>
      <c r="AH66" s="568"/>
      <c r="AI66" s="568"/>
      <c r="AJ66" s="568"/>
      <c r="AK66" s="568"/>
      <c r="AL66" s="568"/>
      <c r="AM66" s="568"/>
      <c r="AN66" s="568"/>
      <c r="AO66" s="568"/>
      <c r="AP66" s="568"/>
      <c r="AQ66" s="568"/>
      <c r="AR66" s="568"/>
      <c r="AS66" s="568"/>
      <c r="AT66" s="568"/>
      <c r="AU66" s="568"/>
      <c r="AV66" s="568"/>
      <c r="AW66" s="568"/>
      <c r="AX66" s="568"/>
      <c r="AY66" s="568"/>
      <c r="AZ66" s="568"/>
      <c r="BA66" s="568"/>
      <c r="BB66" s="568"/>
      <c r="BC66" s="568"/>
      <c r="BD66" s="568"/>
      <c r="BE66" s="568"/>
      <c r="BF66" s="568"/>
      <c r="BG66" s="568"/>
      <c r="BH66" s="568"/>
      <c r="BI66" s="568"/>
      <c r="BJ66" s="568"/>
      <c r="BK66" s="568"/>
      <c r="BL66" s="568"/>
      <c r="BM66" s="568"/>
      <c r="BN66" s="568"/>
      <c r="BO66" s="568"/>
      <c r="BP66" s="568"/>
      <c r="BQ66" s="568"/>
      <c r="BR66" s="568"/>
      <c r="BS66" s="568"/>
      <c r="BT66" s="568"/>
      <c r="BU66" s="568"/>
      <c r="BV66" s="568"/>
      <c r="BW66" s="568"/>
      <c r="BX66" s="568"/>
      <c r="BY66" s="568"/>
      <c r="BZ66" s="568"/>
      <c r="CA66" s="568"/>
      <c r="CB66" s="568"/>
      <c r="CC66" s="568"/>
      <c r="CD66" s="568"/>
      <c r="CE66" s="568"/>
      <c r="CF66" s="568"/>
      <c r="CG66" s="568"/>
      <c r="CH66" s="568"/>
      <c r="CI66" s="568"/>
      <c r="CJ66" s="568"/>
      <c r="CK66" s="568"/>
      <c r="CL66" s="568"/>
      <c r="CM66" s="568"/>
      <c r="CN66" s="568"/>
      <c r="CO66" s="568"/>
      <c r="CP66" s="568"/>
      <c r="CQ66" s="568"/>
      <c r="CR66" s="568"/>
      <c r="CS66" s="568"/>
      <c r="CT66" s="568"/>
      <c r="CU66" s="568"/>
      <c r="CV66" s="568"/>
      <c r="CW66" s="568"/>
      <c r="CX66" s="568"/>
      <c r="CY66" s="568"/>
      <c r="CZ66" s="568"/>
      <c r="DA66" s="568"/>
      <c r="DB66" s="568"/>
      <c r="DC66" s="568"/>
      <c r="DD66" s="568"/>
      <c r="DE66" s="568"/>
      <c r="DF66" s="568"/>
      <c r="DG66" s="568"/>
      <c r="DH66" s="568"/>
      <c r="DI66" s="568"/>
      <c r="DJ66" s="568"/>
      <c r="DK66" s="568"/>
      <c r="DL66" s="568"/>
      <c r="DM66" s="568"/>
      <c r="DN66" s="568"/>
    </row>
    <row r="67" ht="189.75" customHeight="1">
      <c r="A67" s="556"/>
      <c r="B67" s="556"/>
      <c r="C67" s="556"/>
      <c r="D67" s="653"/>
      <c r="E67" s="653"/>
      <c r="F67" s="653"/>
      <c r="G67" s="653"/>
      <c r="H67" s="653"/>
      <c r="I67" s="556"/>
      <c r="J67" s="556"/>
      <c r="K67" s="556"/>
      <c r="L67" s="556"/>
      <c r="M67" s="556"/>
      <c r="N67" s="556"/>
      <c r="O67" s="556"/>
      <c r="P67" s="556"/>
      <c r="Q67" s="556"/>
      <c r="R67" s="654"/>
      <c r="S67" s="568"/>
      <c r="T67" s="568"/>
      <c r="U67" s="568"/>
      <c r="V67" s="568"/>
      <c r="W67" s="568"/>
      <c r="X67" s="568"/>
      <c r="Y67" s="568"/>
      <c r="Z67" s="568"/>
      <c r="AA67" s="568"/>
      <c r="AB67" s="568"/>
      <c r="AC67" s="568"/>
      <c r="AD67" s="568"/>
      <c r="AE67" s="568"/>
      <c r="AF67" s="568"/>
      <c r="AG67" s="568"/>
      <c r="AH67" s="568"/>
      <c r="AI67" s="568"/>
      <c r="AJ67" s="568"/>
      <c r="AK67" s="568"/>
      <c r="AL67" s="568"/>
      <c r="AM67" s="568"/>
      <c r="AN67" s="568"/>
      <c r="AO67" s="568"/>
      <c r="AP67" s="568"/>
      <c r="AQ67" s="568"/>
      <c r="AR67" s="568"/>
      <c r="AS67" s="568"/>
      <c r="AT67" s="568"/>
      <c r="AU67" s="568"/>
      <c r="AV67" s="568"/>
      <c r="AW67" s="568"/>
      <c r="AX67" s="568"/>
      <c r="AY67" s="568"/>
      <c r="AZ67" s="568"/>
      <c r="BA67" s="568"/>
      <c r="BB67" s="568"/>
      <c r="BC67" s="568"/>
      <c r="BD67" s="568"/>
      <c r="BE67" s="568"/>
      <c r="BF67" s="568"/>
      <c r="BG67" s="568"/>
      <c r="BH67" s="568"/>
      <c r="BI67" s="568"/>
      <c r="BJ67" s="568"/>
      <c r="BK67" s="568"/>
      <c r="BL67" s="568"/>
      <c r="BM67" s="568"/>
      <c r="BN67" s="568"/>
      <c r="BO67" s="568"/>
      <c r="BP67" s="568"/>
      <c r="BQ67" s="568"/>
      <c r="BR67" s="568"/>
      <c r="BS67" s="568"/>
      <c r="BT67" s="568"/>
      <c r="BU67" s="568"/>
      <c r="BV67" s="568"/>
      <c r="BW67" s="568"/>
      <c r="BX67" s="568"/>
      <c r="BY67" s="568"/>
      <c r="BZ67" s="568"/>
      <c r="CA67" s="568"/>
      <c r="CB67" s="568"/>
      <c r="CC67" s="568"/>
      <c r="CD67" s="568"/>
      <c r="CE67" s="568"/>
      <c r="CF67" s="568"/>
      <c r="CG67" s="568"/>
      <c r="CH67" s="568"/>
      <c r="CI67" s="568"/>
      <c r="CJ67" s="568"/>
      <c r="CK67" s="568"/>
      <c r="CL67" s="568"/>
      <c r="CM67" s="568"/>
      <c r="CN67" s="568"/>
      <c r="CO67" s="568"/>
      <c r="CP67" s="568"/>
      <c r="CQ67" s="568"/>
      <c r="CR67" s="568"/>
      <c r="CS67" s="568"/>
      <c r="CT67" s="568"/>
      <c r="CU67" s="568"/>
      <c r="CV67" s="568"/>
      <c r="CW67" s="568"/>
      <c r="CX67" s="568"/>
      <c r="CY67" s="568"/>
      <c r="CZ67" s="568"/>
      <c r="DA67" s="568"/>
      <c r="DB67" s="568"/>
      <c r="DC67" s="568"/>
      <c r="DD67" s="568"/>
      <c r="DE67" s="568"/>
      <c r="DF67" s="568"/>
      <c r="DG67" s="568"/>
      <c r="DH67" s="568"/>
      <c r="DI67" s="568"/>
      <c r="DJ67" s="568"/>
      <c r="DK67" s="568"/>
      <c r="DL67" s="568"/>
      <c r="DM67" s="568"/>
      <c r="DN67" s="568"/>
    </row>
  </sheetData>
  <autoFilter ref="$A$2:$DN$63">
    <filterColumn colId="3">
      <filters>
        <filter val="C12A"/>
        <filter val="DATA"/>
        <filter val="COL5"/>
        <filter val="ADMN"/>
        <filter val="COL4"/>
        <filter val="COL3"/>
        <filter val="COL2"/>
        <filter val="C345"/>
        <filter val="COL1"/>
      </filters>
    </filterColumn>
  </autoFilter>
  <mergeCells count="3">
    <mergeCell ref="E1:Q1"/>
    <mergeCell ref="X1:Y1"/>
    <mergeCell ref="AA1:AB1"/>
  </mergeCells>
  <conditionalFormatting sqref="CT55:DN55">
    <cfRule type="cellIs" dxfId="3" priority="1" operator="between">
      <formula>"0%"</formula>
      <formula>"50%"</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15" priority="2" operator="greaterThanOrEqual">
      <formula>70%</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3" priority="3" operator="between">
      <formula>"1%"</formula>
      <formula>"48%"</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17" priority="4" operator="equal">
      <formula>"N/A"</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10" priority="5" operator="equal">
      <formula>"NOT PUBLISHED"</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6" priority="6" operator="equal">
      <formula>"OUTDATED"</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7" priority="7" operator="equal">
      <formula>"ANALYSING"</formula>
    </cfRule>
  </conditionalFormatting>
  <conditionalFormatting sqref="AH4:AJ8 AK4:AT22 AU4:AU58 AV4:AW22 AX4:AX58 AY4:AZ22 BA4:BA58 BB4:BB22 BC4:DN58 AH11:AH17 AI11:AI22 AJ11:AJ17 AR24:AR40 AI25:AI26 AK25:AN26 AO25:AO40 AP25:AP26 AQ25:AQ40 AS25:AS40 AT25:AT58 AV25:AW58 AY25:AZ58 BB25:BB58 AI29:AI40 AK29:AN40 AP29:AP40 AQ42:AS44 AI43:AI44 AK43:AP44 AL46:AL58 AN46:AS58 AI47:AI58 AK47:AK58 AM47:AM58 M57:O57 AI61:AI62 AK61:DN62">
    <cfRule type="cellIs" dxfId="16" priority="8" operator="equal">
      <formula>"NEXT ROUND"</formula>
    </cfRule>
  </conditionalFormatting>
  <conditionalFormatting sqref="I3:K3 M3:M63 N11:N13 AG15 AJ15 AM15 AP15 AS15 AV15 AY15 BB15 BE15 BH15 BK15 BN15 BQ15 BT15 BW15 BZ15 CC15 CF15 CI15 CL15 CO15 CR15 CU15 CX15 DA15 DD15 DG15 DJ15 DM15 N18:N19 N57:O57">
    <cfRule type="expression" dxfId="2" priority="9">
      <formula>IFERROR(ARRAYFORMULA(VALUE(MID(G3,2,10))) &gt; VALUE(MID(I3,2,10)), FALSE)</formula>
    </cfRule>
  </conditionalFormatting>
  <conditionalFormatting sqref="I3:K63">
    <cfRule type="beginsWith" dxfId="5" priority="10" operator="beginsWith" text="V">
      <formula>LEFT((I3),LEN("V"))=("V")</formula>
    </cfRule>
  </conditionalFormatting>
  <conditionalFormatting sqref="S1:S3 T1:T4 U1:U67 V1:W4 X1:X67 Y1:Z4 AA1:AA67 AB1:AE4 AF1:AF3 AG1:AG4 AH1:AH11 AI1:AI67 AJ1:AJ11 AK1:DN67 T8:T9 V8:W10 Y8:Z10 AB8:AG10 S9 S11:S13 AE13:AE18 T14:T17 V14:W17 Y14:Z17 AB14:AB18 AC14:AC56 AD14:AD18 AF14:AH18 AJ14:AJ18 S15:S16 S20:S25 T20:T23 V20:W41 Y20:Y25 Z20:Z56 AB20:AB25 AD20:AG25 AH20:AH45 AJ20:AJ25 T25:T33 S27:S29 Y27 AB27:AB67 AD27:AG27 AJ27 Y29:Y43 AD29:AD45 AE29:AE67 AF29:AG45 AJ29:AJ45 S31:S33 S35:S37 T35:T41 S39 S41:S47 T43:T56 V43:W56 Y45:Y56 AD47 AF47:AH67 AJ47:AJ67 S49:S50 AD49:AD67 S52:S57 M57:O57 T58:T67 V58:W67 Y58:Z67 AC58:AC67 S59:S67">
    <cfRule type="cellIs" dxfId="1" priority="11" operator="greaterThanOrEqual">
      <formula>"70%"</formula>
    </cfRule>
  </conditionalFormatting>
  <conditionalFormatting sqref="S1:S3 T1:T4 U1:U67 V1:W4 X1:X67 Y1:Z4 AA1:AA67 AB1:AE4 AF1:AF3 AG1:AG4 AH1:AH18 AI1:AI67 AJ1:AJ18 AK1:DN67 T8:T9 V8:W10 Y8:Z10 AB8:AG10 S9 S11:S13 AE13:AE18 T14:T17 V14:W17 Y14:Z17 AB14:AB18 AC14:AC56 AD14:AD18 AF14:AG18 S15:S16 S20:S25 T20:T23 V20:W41 Y20:Y25 Z20:Z56 AB20:AB25 AD20:AG25 AH20:AH45 AJ20:AJ25 T25:T33 S27:S29 Y27 AB27:AB67 AD27:AG27 AJ27 Y29:Y43 AD29:AD45 AE29:AE67 AF29:AG45 AJ29:AJ45 S31:S33 S35:S37 T35:T41 S39 S41:S47 T43:T56 V43:W56 Y45:Y56 AD47 AF47:AH67 AJ47:AJ67 S49:S50 AD49:AD67 S52:S57 M57:O57 T58:T67 V58:W67 Y58:Z67 AC58:AC67 S59:S67">
    <cfRule type="cellIs" dxfId="2" priority="12" operator="between">
      <formula>"49%"</formula>
      <formula>"69%"</formula>
    </cfRule>
  </conditionalFormatting>
  <conditionalFormatting sqref="S1:S3 T1:T4 U1:U67 V1:W4 X1:X67 Y1:Z4 AA1:AA67 AB1:AE4 AF1:AF3 AG1:AG4 AH1:AH11 AI1:AI67 AJ1:AJ11 AK1:DN67 T8:T9 V8:W10 Y8:Z10 AB8:AG10 S9 S11:S13 AE13:AE18 T14:T17 V14:W17 Y14:Z17 AB14:AB18 AC14:AC56 AD14:AD18 AF14:AH18 AJ14:AJ18 S15:S16 S20:S25 T20:T23 V20:W41 Y20:Y25 Z20:Z56 AB20:AB25 AD20:AG25 AH20:AH45 AJ20:AJ25 T25:T33 S27:S29 Y27 AB27:AB67 AD27:AG27 AJ27 Y29:Y43 AD29:AD45 AE29:AE67 AF29:AG45 AJ29:AJ45 S31:S33 S35:S37 T35:T41 S39 S41:S47 T43:T56 V43:W56 Y45:Y56 AD47 AF47:AH67 AJ47:AJ67 S49:S50 AD49:AD67 S52:S57 M57:O57 T58:T67 V58:W67 Y58:Z67 AC58:AC67 S59:S67">
    <cfRule type="cellIs" dxfId="3" priority="13" operator="between">
      <formula>"1%"</formula>
      <formula>"50%"</formula>
    </cfRule>
  </conditionalFormatting>
  <conditionalFormatting sqref="P3 P64:P67">
    <cfRule type="cellIs" dxfId="18" priority="14" operator="equal">
      <formula>"YASMIN"</formula>
    </cfRule>
  </conditionalFormatting>
  <conditionalFormatting sqref="P3 P64:P67">
    <cfRule type="cellIs" dxfId="19" priority="15" operator="equal">
      <formula>"LETÍCIA"</formula>
    </cfRule>
  </conditionalFormatting>
  <conditionalFormatting sqref="P3 P64:P67">
    <cfRule type="cellIs" dxfId="20" priority="16" operator="equal">
      <formula>"CICI"</formula>
    </cfRule>
  </conditionalFormatting>
  <conditionalFormatting sqref="P3 P64:P67">
    <cfRule type="cellIs" dxfId="2" priority="17" operator="equal">
      <formula>"ALINNE"</formula>
    </cfRule>
  </conditionalFormatting>
  <conditionalFormatting sqref="P3 P64:P67">
    <cfRule type="cellIs" dxfId="15" priority="18" operator="equal">
      <formula>"GUILHERME"</formula>
    </cfRule>
  </conditionalFormatting>
  <conditionalFormatting sqref="P3 P64:P67">
    <cfRule type="cellIs" dxfId="15" priority="19" operator="equal">
      <formula>"GUILHERME"</formula>
    </cfRule>
  </conditionalFormatting>
  <conditionalFormatting sqref="P3 P64:P67">
    <cfRule type="cellIs" dxfId="15" priority="20" operator="equal">
      <formula>"GUILHERME"</formula>
    </cfRule>
  </conditionalFormatting>
  <conditionalFormatting sqref="P3 P64:P67">
    <cfRule type="cellIs" dxfId="15" priority="21" operator="equal">
      <formula>"GUILHERME"</formula>
    </cfRule>
  </conditionalFormatting>
  <dataValidations>
    <dataValidation type="list" allowBlank="1" showErrorMessage="1" sqref="O4:O20 O22 O24 O26 O28 O30 O32 O34 O36 O38 O40 O42 O44 O46 O48 O50:O51 O53 O55:O63">
      <formula1>"R22,R24,AWAITING APPROVAL,N/A,NOT PUBLISHED"</formula1>
    </dataValidation>
    <dataValidation type="list" allowBlank="1" showDropDown="1" showErrorMessage="1" sqref="DB4:DC4 CT5 CW5 CZ4:CZ5 DC5 DE4:DF5 DH4:DI5 DK4:DL5 DN5 AI62">
      <formula1>"APPROVED,REPROVED,N/A,ANALYSING,NOT PUBLISHED,OUTDATED,PREVIOUSLY APPROVED,NEXT ROUND,IMPROPER"</formula1>
    </dataValidation>
    <dataValidation type="list" allowBlank="1" showErrorMessage="1" sqref="P4:P20 P22 P24 P26 P28 P30 P32 P34 P36 P38 P40 P42 P44 P46 P48 P50:P51 P53 P55:P63">
      <formula1>"CICI,YASMIN,GUI,BIANCA,ALINNE,IURY,CLARISSA,LUIZA,MAYUMI,INGRYD"</formula1>
    </dataValidation>
    <dataValidation type="list" allowBlank="1" showDropDown="1" showErrorMessage="1" sqref="AI4 AR4 CJ4:CK4 CM4:CN4 CP4:CQ4 CS4:CT4 CV4:CW4 S4:T5 V4:W5 Y4:Z5 CJ5 CY4:CY5 AB4:AC6 AE4:AF6 AH5:AI6 AK4:AL6 AN4:AO6 AQ5:AR6 AT4:AU6 AW4:AX6 AZ4:BA6 BC4:BD6 BF4:BG6 BI4:BJ6 BL4:BM6 BO4:BP6 BR4:BS6 BU4:BV6 BX4:BY6 CA4:CB6 CD4:CE6 CG4:CH6 CJ6:CK6 CM6:CN6 CP6:CQ6 CS6:CT6 CV6:CW6 CY6:CZ6 DB6:DC6 DE6:DF6 DH6:DI6 DK6:DL6 DN6 AL7:AL8 AO7:AO8 AR7:AR8 AU7:AU8 AX7:AX8 BA7:BA8 BD7:BD8 BG7:BG8 BJ7:BJ8 BM7:BM8 BP7:BP8 BS7:BS8 BV7:BV8 BY7:BY8 CB7:CB8 CE7:CE8 CH7:CH8 CK7:CK8 CN7:CN8 CQ7:CQ8 CT7:CT8 CW7:CW8 CZ7:CZ8 DC7:DC8 DF7:DF8 DI7:DI8 DL7:DL8 T6:T11 W6:W11 Z6:Z11 AC7:AC11 AF7:AF11 AI7:AI11 BR9:BS17 BU9:BV17 CJ9:CK17 Y12:Z18 AH12:AI18 AQ9:AR18 BV18 CA9:CB18 CK18 CV9:CW18 Z19 BS18:BS19 BX9:BY19 CD9:CE19 CG9:CH19 CJ19:CK19 CM9:CN19 CP9:CQ19 CS9:CT19 CY9:CZ19 DB9:DC19 DE9:DF19 DH9:DI19 DK9:DL19 DN9:DN19 Q4:Q20 S12:T20 V12:W20 Y20:Z20 AB12:AC20 AE12:AF20 AI19:AI20 AK9:AL20 AN9:AO20 AR19:AR20 AT9:AU20 AW9:AX20 AZ9:BA20 BC9:BD20 BF9:BG20 BI9:BJ20 BL9:BM20 BO9:BP20 BR20:BS20 BU19:BV20 BY20 CB19:CB20 CE20 CH20 CK20 CN20 CQ20 CT20 CW19:CW20 CZ20 DC20 DF20 DI20 DL20 Q22 S22:T22 V22:W22 Y22:Z22 AB22:AC22 AE22:AF22 AI22 AK22:AL22 AN22:AO22 AR22 AT22:AU22 AW22:AX22 AZ22:BA22 BC22:BD22 BF22:BG22 BI22:BJ22 BL22:BM22 BO22:BP22 BR22:BS22 BU22:BV22 BX22:BY22 CB22 CD22:CE22 CG22:CH22 CJ22:CK22 CM22:CN22 CP22:CQ22 CT22 CW22 CZ22 DC22 DF22 DI22 DL22 Q24 S24:T24 V24:W24 Y24:Z24 AB24:AC24 AE24:AF24 AH24:AI24 AK24:AL24 AN24:AO24 AQ24:AR24 AT24:AU24 AW24:AX24 AZ24:BA24 BC24:BD24 BF24:BG24 BI24:BJ24 BL24:BM24 BO24:BP24 BS24 BU24:BV24 BY24 CA24:CB24 CD24:CE24 CG24:CH24 CJ24:CK24 CM24:CN24 CP24:CQ24 CS24:CT24 CW24 CZ24 DC24 DF24 DI24 DL24 Q26 S26:T26 V26:W26 Y26:Z26 AC26 AE26:AF26 AI26 AK26:AL26 AN26:AO26 AQ26:AR26 AU26 AW26:AX26 AZ26:BA26 BC26:BD26 BF26:BG26 BI26:BJ26 BM26 BO26:BP26 BS26 BV26 BY26 CB26 CE26 CH26 CK26 CN26 CQ26 CT26 CW26 CZ26 DC26 DF26 DI26 DL26 Q28 S28:T28 W28 Y28 AC28 AE28:AF28 AI28 AK28:AL28 AN28:AO28 AR28 AU28 AW28:AX28 AZ28:BA28 BC28:BD28 BF28:BG28 BI28:BJ28 BL28:BM28 BO28:BP28 BS28 BV28 BY28 CB28 CE28 CH28 CK28 CN28 CQ28 CT28 CW28 CZ28 DC28 DF28 DI28 DL28 Q30 S30:T30 W30 Y30 AC30 AE30:AF30 AH30:AI30 AL30 AN30:AO30 AQ30:AR30 AT30:AU30 AW30:AX30 AZ30:BA30 BC30:BD30 BF30:BG30 BJ30 BM30 BO30:BP30 BR30:BS30 BU30:BV30 BX30:BY30 CB30 CE30 CH30 CK30 CN30 CQ30 CT30 CW30 CZ30 DC30 DF30 DI30 DL30 Q32 T32 V32:W32 Y32:Z32 AB32:AC32 AE32:AF32 AI32 AK32:AL32 AN32:AO32 AR32 AU32 AX32 BA32 BD32 BG32 BJ32 BM32 BP32 BS32 BV32 BY32 CB32 CE32 CH32 CK32 CN32 CQ32 CT32 CW32 CZ32 DC32 DF32 DI32 DL32 Q34 T34 V34:W34 Z34 AB34:AC34 AF34 AH34:AI34 AK34:AL34 AO34 AR34 AU34 AX34 BA34 BD34 BG34 BJ34 BM34 BP34 BS34 BV34 BY34 CB34 CE34 CH34 CK34 CN34 CQ34 CT34 CW34 CZ34 DC34 DF34 DI34 DL34 Q36 T36 V36:W36 Z36 AB36:AC36 AE36:AF36 AI36 AK36:AL36 AN36:AO36 AR36 AU36 AX36 BA36 BD36 BG36 BJ36 BM36 BP36 BS36 BV36 BY36 CB36 CE36 CH36 CK36 CN36 CQ36 CT36 CW36 CZ36 DC36 DF36 DI36 DL36 Q38 S38:T38 W38 Y38:Z38 AB38:AC38 AE38:AF38 AH38:AI38 AL38 AN38:AO38 AR38 AU38 AX38 BA38 BD38 BG38 BJ38 BM38 BP38 BS38 BV38 BY38 CB38 CE38 CH38 CK38 CN38 CQ38 CT38 CW38 CZ38 DC38 DF38 DI38 DL38 Q40 T40 V40:W40 Y40 AC40 AE40:AF40 AI40 AL40 AO40 AR40 AU40 AX40 BA40 BD40 BG40 BJ40 BM40 BP40 BS40 BV40 BY40 CB40 CE40 CH40 CK40 CN40 CQ40 CT40 CW40 CZ40 DC40 DF40 DI40 DL40 Q42 S42:T42 V42:W42 Z42 AB42:AC42 AE42:AF42 AH42:AI42 AL42 AO42 AR42 AU42 AX42 BA42 BD42 BG42 BJ42 BM42 BP42 BS42 BV42 BY42 CB42 CE42 CH42 CK42 CN42 CQ42 CT42 CW42 CZ42 DC42 DF42 DI42 DL42 Q44 S44:T44 V44:W44 Z44 AB44:AC44 AF44 AH44:AI44 AK44:AL44 AO44 AR44 AU44 AX44 BA44 BD44 BG44 BJ44 BM44 BP44 BS44 BV44 BY44 CB44 CE44 CH44 CK44 CN44 CQ44 CT44 CW44 CZ44 DC44 DF44 DI44 DL44 Q46 S46:T46 V46:W46 Z46 AB46:AC46 AE46:AF46 AH46:AI46 AL46 AN46:AO46 AR46 AU46 AX46 BA46 BD46 BG46 BJ46 BM46 BP46 BS46 BV46 BY46 CB46 CE46 CH46 CK46 CN46 CQ46 CT46 CW46 CZ46 DC46 DF46 DI46 DL46 Q48 T48 V48:W48 Z48 AB48:AC48 AF48 AH48:AI48 AK48:AL48 AO48 AR48 AU48 AX48 BA48 BD48 BG48 BJ48 BM48 BP48 BS48 BV48 BY48 CB48 CE48 CH48 CK48 CN48 CQ48 CT48 CW48 CZ48 DC48 DF48 DI48 DL48 W50 AI50 AL50 Q50:Q51 T50:T51 V51:W51 Z50:Z51 AB50:AC51 AF50:AF51 AH51:AI51 AK51:AL51 AO50:AO51 AR50:AR51 AU50:AU51 AX50:AX51 BA50:BA51 BD50:BD51 BG50:BG51 BJ50:BJ51 BM50:BM51 BP50:BP51 BS50:BS51 BV50:BV51 BY50:BY51 CB50:CB51 CE50:CE51 CH50:CH51 CK50:CK51 CN50:CN51 CQ50:CQ51 CT50:CT51 CW50:CW51 CZ50:CZ51 DC50:DC51 DF50:DF51 DI50:DI51 DL50:DL51 Q53 S53:T53 V53:W53 Y53:Z53 AC53 AE53:AF53 AI53 AK53:AL53 AN53:AO53 AR53 AU53 AX53 BA53 BD53 BG53 BJ53 BM53 BP53 BS53 BV53 BY53 CB53 CE53 CH53 CK53 CN53 CQ53 CT53 CW53 CZ53 DC53 DF53 DI53 DL53 T55 AC55 AF55 AR55 AU55 AX55 BA55 BD55 BG55 BP55 BY55 CB55 BS55:BS56 CE55:CE56 Y55:Z57 AE56:AF57 AL55:AL57 AN55:AO57 AQ56:AR57 AT56:AU57 AW56:AX57 AZ56:BA57 BC56:BD57 BF56:BG57 BO56:BP57 BR57:BS57 BX56:BY57 CA56:CB57 CD57:CE57 Z58 AB56:AC58 AF58 AR58 S56:T59 V55:W59 Y59:Z59 AE59:AF59 AK58:AL59 AQ59:AR59 W60 AC59:AC60 AF60 AO58:AO60 AH55:AI61 AU58:AU61 T60:T62 Z61:Z62 AH62 AN61:AO62 AT62:AU62 Q55:Q63 S63:T63 V61:W63 Y63:Z63 AB61:AC63 AE61:AF63 AI63 AL60:AL63 AO63 AR60:AR63 AU63 AX58:AX63 BA58:BA63 BD58:BD63 BG58:BG63 BJ55:BJ63 BM55:BM63 BP58:BP63 BS58:BS63 BV55:BV63 BY58:BY63 CB58:CB63 CE58:CE63 CH55:CH63 CK55:CK63 CN55:CN63 CQ55:CQ63 CT55:CT63 CW55:CW63 CZ55:CZ63 DC55:DC63 DF55:DF63 DI55:DI63 DL55:DL63">
      <formula1>"APPROVED,REPROVED,N/A,ANALYSING,NOT PUBLISHED,OUTDATED,PREVIOUSLY APPROVED,NEXT ROUND,IMPROPER"</formula1>
    </dataValidation>
    <dataValidation type="list" allowBlank="1" showDropDown="1" showErrorMessage="1" sqref="Z28 AB28 Z30 AB30 Z40 AB40 Z60 AB60">
      <formula1>"APPROVED,REPROVED,N/A,IN ANALYSIS,NOT FOUND,TO BE AUDITED,OUTDATED,PREVIOUSLY APPROVED,IMPROPER"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2" width="33.88"/>
    <col customWidth="1" hidden="1" min="3" max="3" width="33.88"/>
    <col customWidth="1" min="4" max="5" width="19.75"/>
    <col customWidth="1" hidden="1" min="6" max="6" width="10.75"/>
    <col customWidth="1" min="7" max="7" width="18.63"/>
    <col customWidth="1" hidden="1" min="8" max="8" width="9.38"/>
    <col customWidth="1" min="9" max="11" width="15.63"/>
    <col customWidth="1" min="12" max="12" width="16.5"/>
    <col customWidth="1" min="13" max="13" width="16.13"/>
    <col customWidth="1" min="14" max="15" width="14.88"/>
    <col customWidth="1" hidden="1" min="16" max="16" width="16.0"/>
    <col customWidth="1" hidden="1" min="17" max="17" width="15.38"/>
    <col customWidth="1" hidden="1" min="18" max="18" width="17.13"/>
    <col customWidth="1" hidden="1" min="19" max="30" width="16.38"/>
    <col customWidth="1" hidden="1" min="31" max="31" width="26.38"/>
    <col customWidth="1" hidden="1" min="32" max="112" width="16.38"/>
    <col customWidth="1" min="113" max="118" width="16.38"/>
  </cols>
  <sheetData>
    <row r="1" ht="54.0" customHeight="1">
      <c r="A1" s="1"/>
      <c r="B1" s="491"/>
      <c r="C1" s="492"/>
      <c r="D1" s="492" t="s">
        <v>455</v>
      </c>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5"/>
      <c r="AH1" s="498"/>
      <c r="AL1" s="497"/>
      <c r="AM1" s="495"/>
      <c r="AN1" s="498"/>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row>
    <row r="2">
      <c r="A2" s="14"/>
      <c r="B2" s="501" t="s">
        <v>9</v>
      </c>
      <c r="C2" s="502" t="s">
        <v>456</v>
      </c>
      <c r="D2" s="501" t="s">
        <v>11</v>
      </c>
      <c r="E2" s="501" t="s">
        <v>12</v>
      </c>
      <c r="F2" s="503" t="s">
        <v>13</v>
      </c>
      <c r="G2" s="501" t="s">
        <v>14</v>
      </c>
      <c r="H2" s="503" t="s">
        <v>13</v>
      </c>
      <c r="I2" s="502" t="s">
        <v>15</v>
      </c>
      <c r="J2" s="502" t="s">
        <v>16</v>
      </c>
      <c r="K2" s="501" t="s">
        <v>17</v>
      </c>
      <c r="L2" s="501" t="s">
        <v>18</v>
      </c>
      <c r="M2" s="501" t="s">
        <v>305</v>
      </c>
      <c r="N2" s="501" t="s">
        <v>306</v>
      </c>
      <c r="O2" s="655" t="s">
        <v>457</v>
      </c>
      <c r="P2" s="505" t="s">
        <v>308</v>
      </c>
      <c r="Q2" s="506" t="s">
        <v>309</v>
      </c>
      <c r="R2" s="506" t="s">
        <v>310</v>
      </c>
      <c r="S2" s="506" t="s">
        <v>30</v>
      </c>
      <c r="T2" s="506" t="s">
        <v>311</v>
      </c>
      <c r="U2" s="506" t="s">
        <v>312</v>
      </c>
      <c r="V2" s="506" t="s">
        <v>31</v>
      </c>
      <c r="W2" s="506" t="s">
        <v>313</v>
      </c>
      <c r="X2" s="506" t="s">
        <v>314</v>
      </c>
      <c r="Y2" s="506" t="s">
        <v>32</v>
      </c>
      <c r="Z2" s="506" t="s">
        <v>315</v>
      </c>
      <c r="AA2" s="506" t="s">
        <v>316</v>
      </c>
      <c r="AB2" s="506" t="s">
        <v>33</v>
      </c>
      <c r="AC2" s="506" t="s">
        <v>317</v>
      </c>
      <c r="AD2" s="506" t="s">
        <v>318</v>
      </c>
      <c r="AE2" s="506" t="s">
        <v>34</v>
      </c>
      <c r="AF2" s="506" t="s">
        <v>319</v>
      </c>
      <c r="AG2" s="506" t="s">
        <v>320</v>
      </c>
      <c r="AH2" s="506" t="s">
        <v>35</v>
      </c>
      <c r="AI2" s="506" t="s">
        <v>321</v>
      </c>
      <c r="AJ2" s="506" t="s">
        <v>322</v>
      </c>
      <c r="AK2" s="506" t="s">
        <v>36</v>
      </c>
      <c r="AL2" s="506" t="s">
        <v>323</v>
      </c>
      <c r="AM2" s="506" t="s">
        <v>324</v>
      </c>
      <c r="AN2" s="506" t="s">
        <v>37</v>
      </c>
      <c r="AO2" s="506" t="s">
        <v>325</v>
      </c>
      <c r="AP2" s="506" t="s">
        <v>326</v>
      </c>
      <c r="AQ2" s="506" t="s">
        <v>38</v>
      </c>
      <c r="AR2" s="506" t="s">
        <v>458</v>
      </c>
      <c r="AS2" s="506" t="s">
        <v>328</v>
      </c>
      <c r="AT2" s="506" t="s">
        <v>39</v>
      </c>
      <c r="AU2" s="506" t="s">
        <v>329</v>
      </c>
      <c r="AV2" s="506" t="s">
        <v>330</v>
      </c>
      <c r="AW2" s="506" t="s">
        <v>40</v>
      </c>
      <c r="AX2" s="507" t="s">
        <v>331</v>
      </c>
      <c r="AY2" s="507" t="s">
        <v>332</v>
      </c>
      <c r="AZ2" s="507"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c r="BM2" s="507" t="s">
        <v>341</v>
      </c>
      <c r="BN2" s="507" t="s">
        <v>342</v>
      </c>
      <c r="BO2" s="507" t="s">
        <v>46</v>
      </c>
      <c r="BP2" s="507" t="s">
        <v>343</v>
      </c>
      <c r="BQ2" s="507" t="s">
        <v>344</v>
      </c>
      <c r="BR2" s="507" t="s">
        <v>47</v>
      </c>
      <c r="BS2" s="507" t="s">
        <v>345</v>
      </c>
      <c r="BT2" s="507" t="s">
        <v>346</v>
      </c>
      <c r="BU2" s="507" t="s">
        <v>48</v>
      </c>
      <c r="BV2" s="507" t="s">
        <v>347</v>
      </c>
      <c r="BW2" s="507" t="s">
        <v>348</v>
      </c>
      <c r="BX2" s="507" t="s">
        <v>49</v>
      </c>
      <c r="BY2" s="507" t="s">
        <v>349</v>
      </c>
      <c r="BZ2" s="507" t="s">
        <v>350</v>
      </c>
      <c r="CA2" s="507" t="s">
        <v>50</v>
      </c>
      <c r="CB2" s="507" t="s">
        <v>351</v>
      </c>
      <c r="CC2" s="507" t="s">
        <v>352</v>
      </c>
      <c r="CD2" s="507" t="s">
        <v>51</v>
      </c>
      <c r="CE2" s="507" t="s">
        <v>353</v>
      </c>
      <c r="CF2" s="507" t="s">
        <v>354</v>
      </c>
      <c r="CG2" s="507" t="s">
        <v>52</v>
      </c>
      <c r="CH2" s="507" t="s">
        <v>355</v>
      </c>
      <c r="CI2" s="507" t="s">
        <v>356</v>
      </c>
      <c r="CJ2" s="507" t="s">
        <v>53</v>
      </c>
      <c r="CK2" s="507" t="s">
        <v>357</v>
      </c>
      <c r="CL2" s="507" t="s">
        <v>358</v>
      </c>
      <c r="CM2" s="507" t="s">
        <v>54</v>
      </c>
      <c r="CN2" s="507" t="s">
        <v>359</v>
      </c>
      <c r="CO2" s="507" t="s">
        <v>360</v>
      </c>
      <c r="CP2" s="507" t="s">
        <v>55</v>
      </c>
      <c r="CQ2" s="507" t="s">
        <v>361</v>
      </c>
      <c r="CR2" s="507" t="s">
        <v>362</v>
      </c>
      <c r="CS2" s="507" t="s">
        <v>56</v>
      </c>
      <c r="CT2" s="507" t="s">
        <v>363</v>
      </c>
      <c r="CU2" s="507" t="s">
        <v>364</v>
      </c>
      <c r="CV2" s="507" t="s">
        <v>57</v>
      </c>
      <c r="CW2" s="507" t="s">
        <v>365</v>
      </c>
      <c r="CX2" s="507" t="s">
        <v>366</v>
      </c>
      <c r="CY2" s="507" t="s">
        <v>58</v>
      </c>
      <c r="CZ2" s="507" t="s">
        <v>367</v>
      </c>
      <c r="DA2" s="507" t="s">
        <v>368</v>
      </c>
      <c r="DB2" s="507" t="s">
        <v>59</v>
      </c>
      <c r="DC2" s="507" t="s">
        <v>369</v>
      </c>
      <c r="DD2" s="507" t="s">
        <v>370</v>
      </c>
      <c r="DE2" s="507" t="s">
        <v>60</v>
      </c>
      <c r="DF2" s="507" t="s">
        <v>371</v>
      </c>
      <c r="DG2" s="507" t="s">
        <v>372</v>
      </c>
      <c r="DH2" s="507" t="s">
        <v>61</v>
      </c>
      <c r="DI2" s="507" t="s">
        <v>373</v>
      </c>
      <c r="DJ2" s="507" t="s">
        <v>374</v>
      </c>
      <c r="DK2" s="507" t="s">
        <v>62</v>
      </c>
      <c r="DL2" s="507" t="s">
        <v>375</v>
      </c>
      <c r="DM2" s="507" t="s">
        <v>376</v>
      </c>
      <c r="DN2" s="507" t="s">
        <v>63</v>
      </c>
    </row>
    <row r="3" hidden="1">
      <c r="A3" s="53">
        <v>1.0</v>
      </c>
      <c r="B3" s="508" t="s">
        <v>77</v>
      </c>
      <c r="C3" s="656"/>
      <c r="D3" s="58"/>
      <c r="E3" s="657"/>
      <c r="F3" s="58"/>
      <c r="G3" s="58"/>
      <c r="H3" s="509"/>
      <c r="I3" s="509"/>
      <c r="J3" s="509"/>
      <c r="K3" s="510"/>
      <c r="L3" s="58"/>
      <c r="M3" s="658"/>
      <c r="N3" s="509"/>
      <c r="O3" s="509"/>
      <c r="P3" s="659"/>
      <c r="Q3" s="512"/>
      <c r="R3" s="513"/>
      <c r="S3" s="514"/>
      <c r="T3" s="512"/>
      <c r="U3" s="513"/>
      <c r="V3" s="514"/>
      <c r="W3" s="512"/>
      <c r="X3" s="513"/>
      <c r="Y3" s="514"/>
      <c r="Z3" s="512"/>
      <c r="AA3" s="513"/>
      <c r="AB3" s="514"/>
      <c r="AC3" s="512"/>
      <c r="AD3" s="513"/>
      <c r="AE3" s="514"/>
      <c r="AF3" s="515"/>
      <c r="AG3" s="515"/>
      <c r="AH3" s="515"/>
      <c r="AI3" s="515"/>
      <c r="AJ3" s="515"/>
      <c r="AK3" s="515"/>
      <c r="AL3" s="515"/>
      <c r="AM3" s="515"/>
      <c r="AN3" s="515"/>
      <c r="AO3" s="515"/>
      <c r="AP3" s="515"/>
      <c r="AQ3" s="515"/>
      <c r="AR3" s="515"/>
      <c r="AS3" s="515"/>
      <c r="AT3" s="515"/>
      <c r="AU3" s="515"/>
      <c r="AV3" s="515"/>
      <c r="AW3" s="515"/>
      <c r="AX3" s="515"/>
      <c r="AY3" s="515"/>
      <c r="AZ3" s="515"/>
      <c r="BA3" s="515"/>
      <c r="BB3" s="515"/>
      <c r="BC3" s="515"/>
      <c r="BD3" s="515"/>
      <c r="BE3" s="515"/>
      <c r="BF3" s="515"/>
      <c r="BG3" s="515"/>
      <c r="BH3" s="515"/>
      <c r="BI3" s="515"/>
      <c r="BJ3" s="515"/>
      <c r="BK3" s="515"/>
      <c r="BL3" s="515"/>
      <c r="BM3" s="515"/>
      <c r="BN3" s="515"/>
      <c r="BO3" s="515"/>
      <c r="BP3" s="515"/>
      <c r="BQ3" s="515"/>
      <c r="BR3" s="515"/>
      <c r="BS3" s="515"/>
      <c r="BT3" s="515"/>
      <c r="BU3" s="515"/>
      <c r="BV3" s="515"/>
      <c r="BW3" s="515"/>
      <c r="BX3" s="660"/>
      <c r="BY3" s="515"/>
      <c r="BZ3" s="515"/>
      <c r="CA3" s="660"/>
      <c r="CB3" s="515"/>
      <c r="CC3" s="515"/>
      <c r="CD3" s="515"/>
      <c r="CE3" s="515"/>
      <c r="CF3" s="515"/>
      <c r="CG3" s="515"/>
      <c r="CH3" s="515"/>
      <c r="CI3" s="515"/>
      <c r="CJ3" s="515"/>
      <c r="CK3" s="515"/>
      <c r="CL3" s="515"/>
      <c r="CM3" s="515"/>
      <c r="CN3" s="515"/>
      <c r="CO3" s="515"/>
      <c r="CP3" s="515"/>
      <c r="CQ3" s="515"/>
      <c r="CR3" s="515"/>
      <c r="CS3" s="515"/>
      <c r="CT3" s="515"/>
      <c r="CU3" s="515"/>
      <c r="CV3" s="515"/>
      <c r="CW3" s="515"/>
      <c r="CX3" s="515"/>
      <c r="CY3" s="515"/>
      <c r="CZ3" s="515"/>
      <c r="DA3" s="515"/>
      <c r="DB3" s="515"/>
      <c r="DC3" s="515"/>
      <c r="DD3" s="515"/>
      <c r="DE3" s="515"/>
      <c r="DF3" s="515"/>
      <c r="DG3" s="515"/>
      <c r="DH3" s="515"/>
      <c r="DI3" s="515"/>
      <c r="DJ3" s="515"/>
      <c r="DK3" s="515"/>
      <c r="DL3" s="515"/>
      <c r="DM3" s="515"/>
      <c r="DN3" s="515"/>
    </row>
    <row r="4" ht="16.5" customHeight="1">
      <c r="A4" s="53">
        <v>6.0</v>
      </c>
      <c r="B4" s="100" t="s">
        <v>89</v>
      </c>
      <c r="C4" s="100" t="s">
        <v>90</v>
      </c>
      <c r="D4" s="101" t="str">
        <f>MID(B4,17,4)</f>
        <v>DATA</v>
      </c>
      <c r="E4" s="111" t="s">
        <v>91</v>
      </c>
      <c r="F4" s="102">
        <v>1104.0</v>
      </c>
      <c r="G4" s="517" t="s">
        <v>92</v>
      </c>
      <c r="H4" s="517">
        <v>1127.0</v>
      </c>
      <c r="I4" s="68" t="str">
        <f>IFERROR(VLOOKUP(C:C,'R22 RELATÓRIO ACC'!B:F,5,FALSE),"NOT PUBLISHED")</f>
        <v>V12</v>
      </c>
      <c r="J4" s="68" t="str">
        <f>IFERROR(VLOOKUP(C:C,'R22 RELATÓRIO ACC'!B:P,15,FALSE),"NOT PUBLISHED")</f>
        <v>08/04/2026</v>
      </c>
      <c r="K4" s="70" t="str">
        <f>IFERROR(VLOOKUP(B:B,'RELATÓRIO ACC'!B:F,5,FALSE),"NOT PUBLISHED")</f>
        <v>V1</v>
      </c>
      <c r="L4" s="518" t="str">
        <f>IFERROR(VLOOKUP(B:B,'RELATÓRIO ACC'!B:P,15,FALSE),"NOT PUBLISHED")</f>
        <v>15/05/2026</v>
      </c>
      <c r="M4" s="661" t="s">
        <v>377</v>
      </c>
      <c r="N4" s="662">
        <v>46157.0</v>
      </c>
      <c r="O4" s="521" t="s">
        <v>378</v>
      </c>
      <c r="P4" s="663"/>
      <c r="Q4" s="550" t="s">
        <v>379</v>
      </c>
      <c r="R4" s="558">
        <v>0.0</v>
      </c>
      <c r="S4" s="550" t="s">
        <v>379</v>
      </c>
      <c r="T4" s="550" t="s">
        <v>379</v>
      </c>
      <c r="U4" s="558">
        <v>0.0</v>
      </c>
      <c r="V4" s="550" t="s">
        <v>379</v>
      </c>
      <c r="W4" s="550" t="s">
        <v>379</v>
      </c>
      <c r="X4" s="558">
        <v>0.0</v>
      </c>
      <c r="Y4" s="550" t="s">
        <v>379</v>
      </c>
      <c r="Z4" s="550" t="s">
        <v>379</v>
      </c>
      <c r="AA4" s="550" t="s">
        <v>380</v>
      </c>
      <c r="AB4" s="550" t="s">
        <v>379</v>
      </c>
      <c r="AC4" s="550" t="s">
        <v>379</v>
      </c>
      <c r="AD4" s="550" t="s">
        <v>380</v>
      </c>
      <c r="AE4" s="550" t="s">
        <v>379</v>
      </c>
      <c r="AF4" s="550" t="s">
        <v>381</v>
      </c>
      <c r="AG4" s="550" t="s">
        <v>382</v>
      </c>
      <c r="AH4" s="664">
        <v>0.86</v>
      </c>
      <c r="AI4" s="550" t="s">
        <v>379</v>
      </c>
      <c r="AJ4" s="550" t="s">
        <v>382</v>
      </c>
      <c r="AK4" s="550" t="s">
        <v>379</v>
      </c>
      <c r="AL4" s="550" t="s">
        <v>383</v>
      </c>
      <c r="AM4" s="550" t="s">
        <v>384</v>
      </c>
      <c r="AN4" s="550" t="s">
        <v>383</v>
      </c>
      <c r="AO4" s="550" t="s">
        <v>381</v>
      </c>
      <c r="AP4" s="550" t="s">
        <v>384</v>
      </c>
      <c r="AQ4" s="664">
        <v>0.9</v>
      </c>
      <c r="AR4" s="550" t="s">
        <v>379</v>
      </c>
      <c r="AS4" s="550" t="s">
        <v>384</v>
      </c>
      <c r="AT4" s="550" t="s">
        <v>379</v>
      </c>
      <c r="AU4" s="550" t="s">
        <v>379</v>
      </c>
      <c r="AV4" s="661" t="s">
        <v>385</v>
      </c>
      <c r="AW4" s="550" t="s">
        <v>379</v>
      </c>
      <c r="AX4" s="550" t="s">
        <v>379</v>
      </c>
      <c r="AY4" s="661" t="s">
        <v>385</v>
      </c>
      <c r="AZ4" s="550" t="s">
        <v>379</v>
      </c>
      <c r="BA4" s="550" t="s">
        <v>379</v>
      </c>
      <c r="BB4" s="661" t="s">
        <v>385</v>
      </c>
      <c r="BC4" s="550" t="s">
        <v>379</v>
      </c>
      <c r="BD4" s="550" t="s">
        <v>379</v>
      </c>
      <c r="BE4" s="661" t="s">
        <v>385</v>
      </c>
      <c r="BF4" s="550" t="s">
        <v>379</v>
      </c>
      <c r="BG4" s="550" t="s">
        <v>379</v>
      </c>
      <c r="BH4" s="661" t="s">
        <v>385</v>
      </c>
      <c r="BI4" s="550" t="s">
        <v>379</v>
      </c>
      <c r="BJ4" s="550" t="s">
        <v>379</v>
      </c>
      <c r="BK4" s="661" t="s">
        <v>385</v>
      </c>
      <c r="BL4" s="550" t="s">
        <v>379</v>
      </c>
      <c r="BM4" s="550" t="s">
        <v>379</v>
      </c>
      <c r="BN4" s="661" t="s">
        <v>385</v>
      </c>
      <c r="BO4" s="550" t="s">
        <v>379</v>
      </c>
      <c r="BP4" s="523" t="s">
        <v>379</v>
      </c>
      <c r="BQ4" s="661" t="s">
        <v>385</v>
      </c>
      <c r="BR4" s="550" t="s">
        <v>379</v>
      </c>
      <c r="BS4" s="528" t="s">
        <v>383</v>
      </c>
      <c r="BT4" s="661" t="s">
        <v>385</v>
      </c>
      <c r="BU4" s="528" t="s">
        <v>383</v>
      </c>
      <c r="BV4" s="523" t="s">
        <v>383</v>
      </c>
      <c r="BW4" s="661" t="s">
        <v>385</v>
      </c>
      <c r="BX4" s="523" t="s">
        <v>383</v>
      </c>
      <c r="BY4" s="523" t="s">
        <v>383</v>
      </c>
      <c r="BZ4" s="661" t="s">
        <v>385</v>
      </c>
      <c r="CA4" s="523" t="s">
        <v>383</v>
      </c>
      <c r="CB4" s="665" t="s">
        <v>383</v>
      </c>
      <c r="CC4" s="661" t="s">
        <v>385</v>
      </c>
      <c r="CD4" s="665" t="s">
        <v>383</v>
      </c>
      <c r="CE4" s="665" t="s">
        <v>383</v>
      </c>
      <c r="CF4" s="661" t="s">
        <v>385</v>
      </c>
      <c r="CG4" s="665" t="s">
        <v>383</v>
      </c>
      <c r="CH4" s="528" t="s">
        <v>383</v>
      </c>
      <c r="CI4" s="661" t="s">
        <v>385</v>
      </c>
      <c r="CJ4" s="528" t="s">
        <v>383</v>
      </c>
      <c r="CK4" s="528" t="s">
        <v>383</v>
      </c>
      <c r="CL4" s="661" t="s">
        <v>385</v>
      </c>
      <c r="CM4" s="528" t="s">
        <v>383</v>
      </c>
      <c r="CN4" s="528" t="s">
        <v>383</v>
      </c>
      <c r="CO4" s="661" t="s">
        <v>385</v>
      </c>
      <c r="CP4" s="528" t="s">
        <v>383</v>
      </c>
      <c r="CQ4" s="528" t="s">
        <v>383</v>
      </c>
      <c r="CR4" s="661" t="s">
        <v>385</v>
      </c>
      <c r="CS4" s="528" t="s">
        <v>383</v>
      </c>
      <c r="CT4" s="528" t="s">
        <v>383</v>
      </c>
      <c r="CU4" s="661" t="s">
        <v>385</v>
      </c>
      <c r="CV4" s="528" t="s">
        <v>383</v>
      </c>
      <c r="CW4" s="528" t="s">
        <v>383</v>
      </c>
      <c r="CX4" s="661" t="s">
        <v>385</v>
      </c>
      <c r="CY4" s="528" t="s">
        <v>383</v>
      </c>
      <c r="CZ4" s="528" t="s">
        <v>383</v>
      </c>
      <c r="DA4" s="661" t="s">
        <v>385</v>
      </c>
      <c r="DB4" s="528" t="s">
        <v>383</v>
      </c>
      <c r="DC4" s="528" t="s">
        <v>383</v>
      </c>
      <c r="DD4" s="661" t="s">
        <v>385</v>
      </c>
      <c r="DE4" s="528" t="s">
        <v>383</v>
      </c>
      <c r="DF4" s="528" t="s">
        <v>383</v>
      </c>
      <c r="DG4" s="661" t="s">
        <v>385</v>
      </c>
      <c r="DH4" s="528" t="s">
        <v>383</v>
      </c>
      <c r="DI4" s="528" t="s">
        <v>383</v>
      </c>
      <c r="DJ4" s="661" t="s">
        <v>385</v>
      </c>
      <c r="DK4" s="528" t="s">
        <v>383</v>
      </c>
      <c r="DL4" s="528" t="s">
        <v>386</v>
      </c>
      <c r="DM4" s="661" t="s">
        <v>377</v>
      </c>
      <c r="DN4" s="666">
        <v>1.0</v>
      </c>
    </row>
    <row r="5">
      <c r="A5" s="53">
        <v>11.0</v>
      </c>
      <c r="B5" s="100" t="s">
        <v>112</v>
      </c>
      <c r="C5" s="100" t="s">
        <v>113</v>
      </c>
      <c r="D5" s="101" t="str">
        <f t="shared" ref="D5:D12" si="1">MID(B5,FIND(CHAR(160),SUBSTITUTE(B5,"-",CHAR(160),3)) + 1,FIND(CHAR(160),SUBSTITUTE(B5,"-",CHAR(160),4)) - 1 - (FIND(CHAR(160),SUBSTITUTE(B5,"-",CHAR(160),3))))</f>
        <v>DATA</v>
      </c>
      <c r="E5" s="101" t="s">
        <v>114</v>
      </c>
      <c r="F5" s="102">
        <v>1108.0</v>
      </c>
      <c r="G5" s="517" t="s">
        <v>114</v>
      </c>
      <c r="H5" s="517">
        <v>1108.0</v>
      </c>
      <c r="I5" s="68" t="str">
        <f>IFERROR(VLOOKUP(C:C,'R22 RELATÓRIO ACC'!B:F,5,FALSE),"NOT PUBLISHED")</f>
        <v>V4</v>
      </c>
      <c r="J5" s="68" t="str">
        <f>IFERROR(VLOOKUP(C:C,'R22 RELATÓRIO ACC'!B:P,15,FALSE),"NOT PUBLISHED")</f>
        <v>10/04/2026</v>
      </c>
      <c r="K5" s="70" t="str">
        <f>IFERROR(VLOOKUP(B:B,'RELATÓRIO ACC'!B:F,5,FALSE),"NOT PUBLISHED")</f>
        <v>V2</v>
      </c>
      <c r="L5" s="518" t="str">
        <f>IFERROR(VLOOKUP(B:B,'RELATÓRIO ACC'!B:P,15,FALSE),"NOT PUBLISHED")</f>
        <v>04/06/2026</v>
      </c>
      <c r="M5" s="661" t="s">
        <v>388</v>
      </c>
      <c r="N5" s="661" t="s">
        <v>388</v>
      </c>
      <c r="O5" s="538" t="s">
        <v>380</v>
      </c>
      <c r="P5" s="663"/>
      <c r="Q5" s="550" t="s">
        <v>380</v>
      </c>
      <c r="R5" s="550" t="s">
        <v>380</v>
      </c>
      <c r="S5" s="667" t="s">
        <v>380</v>
      </c>
      <c r="T5" s="550" t="s">
        <v>380</v>
      </c>
      <c r="U5" s="550" t="s">
        <v>380</v>
      </c>
      <c r="V5" s="667" t="s">
        <v>380</v>
      </c>
      <c r="W5" s="550" t="s">
        <v>380</v>
      </c>
      <c r="X5" s="550" t="s">
        <v>380</v>
      </c>
      <c r="Y5" s="667" t="s">
        <v>380</v>
      </c>
      <c r="Z5" s="550" t="s">
        <v>380</v>
      </c>
      <c r="AA5" s="550" t="s">
        <v>380</v>
      </c>
      <c r="AB5" s="667" t="s">
        <v>380</v>
      </c>
      <c r="AC5" s="550" t="s">
        <v>380</v>
      </c>
      <c r="AD5" s="550" t="s">
        <v>380</v>
      </c>
      <c r="AE5" s="667" t="s">
        <v>380</v>
      </c>
      <c r="AF5" s="550" t="s">
        <v>380</v>
      </c>
      <c r="AG5" s="550" t="s">
        <v>380</v>
      </c>
      <c r="AH5" s="550" t="s">
        <v>380</v>
      </c>
      <c r="AI5" s="550" t="s">
        <v>380</v>
      </c>
      <c r="AJ5" s="550" t="s">
        <v>380</v>
      </c>
      <c r="AK5" s="550" t="s">
        <v>380</v>
      </c>
      <c r="AL5" s="550" t="s">
        <v>380</v>
      </c>
      <c r="AM5" s="550" t="s">
        <v>380</v>
      </c>
      <c r="AN5" s="550" t="s">
        <v>380</v>
      </c>
      <c r="AO5" s="550" t="s">
        <v>380</v>
      </c>
      <c r="AP5" s="550" t="s">
        <v>380</v>
      </c>
      <c r="AQ5" s="550" t="s">
        <v>380</v>
      </c>
      <c r="AR5" s="550" t="s">
        <v>380</v>
      </c>
      <c r="AS5" s="550" t="s">
        <v>380</v>
      </c>
      <c r="AT5" s="550" t="s">
        <v>380</v>
      </c>
      <c r="AU5" s="550" t="s">
        <v>380</v>
      </c>
      <c r="AV5" s="550" t="s">
        <v>380</v>
      </c>
      <c r="AW5" s="550" t="s">
        <v>380</v>
      </c>
      <c r="AX5" s="550" t="s">
        <v>380</v>
      </c>
      <c r="AY5" s="550" t="s">
        <v>380</v>
      </c>
      <c r="AZ5" s="550" t="s">
        <v>380</v>
      </c>
      <c r="BA5" s="550" t="s">
        <v>380</v>
      </c>
      <c r="BB5" s="550" t="s">
        <v>380</v>
      </c>
      <c r="BC5" s="550" t="s">
        <v>380</v>
      </c>
      <c r="BD5" s="550" t="s">
        <v>380</v>
      </c>
      <c r="BE5" s="550" t="s">
        <v>380</v>
      </c>
      <c r="BF5" s="550" t="s">
        <v>380</v>
      </c>
      <c r="BG5" s="550" t="s">
        <v>380</v>
      </c>
      <c r="BH5" s="550" t="s">
        <v>380</v>
      </c>
      <c r="BI5" s="550" t="s">
        <v>380</v>
      </c>
      <c r="BJ5" s="550" t="s">
        <v>380</v>
      </c>
      <c r="BK5" s="550" t="s">
        <v>380</v>
      </c>
      <c r="BL5" s="550" t="s">
        <v>380</v>
      </c>
      <c r="BM5" s="550" t="s">
        <v>380</v>
      </c>
      <c r="BN5" s="550" t="s">
        <v>380</v>
      </c>
      <c r="BO5" s="550" t="s">
        <v>380</v>
      </c>
      <c r="BP5" s="550" t="s">
        <v>380</v>
      </c>
      <c r="BQ5" s="550" t="s">
        <v>380</v>
      </c>
      <c r="BR5" s="550" t="s">
        <v>380</v>
      </c>
      <c r="BS5" s="528" t="s">
        <v>380</v>
      </c>
      <c r="BT5" s="550" t="s">
        <v>380</v>
      </c>
      <c r="BU5" s="528" t="s">
        <v>380</v>
      </c>
      <c r="BV5" s="528" t="s">
        <v>380</v>
      </c>
      <c r="BW5" s="550" t="s">
        <v>380</v>
      </c>
      <c r="BX5" s="550" t="s">
        <v>380</v>
      </c>
      <c r="BY5" s="528" t="s">
        <v>380</v>
      </c>
      <c r="BZ5" s="550" t="s">
        <v>380</v>
      </c>
      <c r="CA5" s="550" t="s">
        <v>380</v>
      </c>
      <c r="CB5" s="528" t="s">
        <v>380</v>
      </c>
      <c r="CC5" s="550" t="s">
        <v>380</v>
      </c>
      <c r="CD5" s="550" t="s">
        <v>380</v>
      </c>
      <c r="CE5" s="528" t="s">
        <v>380</v>
      </c>
      <c r="CF5" s="550" t="s">
        <v>380</v>
      </c>
      <c r="CG5" s="550" t="s">
        <v>380</v>
      </c>
      <c r="CH5" s="528" t="s">
        <v>380</v>
      </c>
      <c r="CI5" s="550" t="s">
        <v>380</v>
      </c>
      <c r="CJ5" s="550" t="s">
        <v>380</v>
      </c>
      <c r="CK5" s="528" t="s">
        <v>380</v>
      </c>
      <c r="CL5" s="550" t="s">
        <v>380</v>
      </c>
      <c r="CM5" s="550" t="s">
        <v>380</v>
      </c>
      <c r="CN5" s="528" t="s">
        <v>380</v>
      </c>
      <c r="CO5" s="550" t="s">
        <v>380</v>
      </c>
      <c r="CP5" s="528" t="s">
        <v>380</v>
      </c>
      <c r="CQ5" s="528" t="s">
        <v>380</v>
      </c>
      <c r="CR5" s="550" t="s">
        <v>380</v>
      </c>
      <c r="CS5" s="528" t="s">
        <v>380</v>
      </c>
      <c r="CT5" s="528" t="s">
        <v>380</v>
      </c>
      <c r="CU5" s="550" t="s">
        <v>380</v>
      </c>
      <c r="CV5" s="523" t="s">
        <v>380</v>
      </c>
      <c r="CW5" s="528" t="s">
        <v>380</v>
      </c>
      <c r="CX5" s="550" t="s">
        <v>380</v>
      </c>
      <c r="CY5" s="523" t="s">
        <v>380</v>
      </c>
      <c r="CZ5" s="528" t="s">
        <v>380</v>
      </c>
      <c r="DA5" s="550" t="s">
        <v>380</v>
      </c>
      <c r="DB5" s="523" t="s">
        <v>380</v>
      </c>
      <c r="DC5" s="528" t="s">
        <v>380</v>
      </c>
      <c r="DD5" s="550" t="s">
        <v>380</v>
      </c>
      <c r="DE5" s="523" t="s">
        <v>380</v>
      </c>
      <c r="DF5" s="528" t="s">
        <v>380</v>
      </c>
      <c r="DG5" s="550" t="s">
        <v>380</v>
      </c>
      <c r="DH5" s="523" t="s">
        <v>380</v>
      </c>
      <c r="DI5" s="528" t="s">
        <v>380</v>
      </c>
      <c r="DJ5" s="550" t="s">
        <v>380</v>
      </c>
      <c r="DK5" s="523" t="s">
        <v>380</v>
      </c>
      <c r="DL5" s="528" t="s">
        <v>380</v>
      </c>
      <c r="DM5" s="550" t="s">
        <v>380</v>
      </c>
      <c r="DN5" s="523" t="s">
        <v>380</v>
      </c>
    </row>
    <row r="6" ht="15.0" customHeight="1">
      <c r="A6" s="53">
        <v>14.0</v>
      </c>
      <c r="B6" s="100" t="s">
        <v>128</v>
      </c>
      <c r="C6" s="100" t="s">
        <v>129</v>
      </c>
      <c r="D6" s="101" t="str">
        <f t="shared" si="1"/>
        <v>C345</v>
      </c>
      <c r="E6" s="101" t="s">
        <v>126</v>
      </c>
      <c r="F6" s="118">
        <v>1101.0</v>
      </c>
      <c r="G6" s="517" t="s">
        <v>127</v>
      </c>
      <c r="H6" s="517">
        <v>1126.0</v>
      </c>
      <c r="I6" s="68" t="str">
        <f>IFERROR(VLOOKUP(C:C,'R22 RELATÓRIO ACC'!B:F,5,FALSE),"NOT PUBLISHED")</f>
        <v>V14</v>
      </c>
      <c r="J6" s="68" t="str">
        <f>IFERROR(VLOOKUP(C:C,'R22 RELATÓRIO ACC'!B:P,15,FALSE),"NOT PUBLISHED")</f>
        <v>30/01/2026</v>
      </c>
      <c r="K6" s="70" t="str">
        <f>IFERROR(VLOOKUP(B:B,'RELATÓRIO ACC'!B:F,5,FALSE),"NOT PUBLISHED")</f>
        <v>V1</v>
      </c>
      <c r="L6" s="518" t="str">
        <f>IFERROR(VLOOKUP(B:B,'RELATÓRIO ACC'!B:P,15,FALSE),"NOT PUBLISHED")</f>
        <v>19/05/2026</v>
      </c>
      <c r="M6" s="661" t="s">
        <v>417</v>
      </c>
      <c r="N6" s="668" t="s">
        <v>459</v>
      </c>
      <c r="O6" s="538" t="s">
        <v>380</v>
      </c>
      <c r="P6" s="663"/>
      <c r="Q6" s="550" t="s">
        <v>380</v>
      </c>
      <c r="R6" s="550" t="s">
        <v>380</v>
      </c>
      <c r="S6" s="667" t="s">
        <v>380</v>
      </c>
      <c r="T6" s="550" t="s">
        <v>380</v>
      </c>
      <c r="U6" s="550" t="s">
        <v>380</v>
      </c>
      <c r="V6" s="667" t="s">
        <v>380</v>
      </c>
      <c r="W6" s="550" t="s">
        <v>380</v>
      </c>
      <c r="X6" s="550" t="s">
        <v>380</v>
      </c>
      <c r="Y6" s="667" t="s">
        <v>380</v>
      </c>
      <c r="Z6" s="550" t="s">
        <v>380</v>
      </c>
      <c r="AA6" s="550" t="s">
        <v>380</v>
      </c>
      <c r="AB6" s="667" t="s">
        <v>380</v>
      </c>
      <c r="AC6" s="550" t="s">
        <v>380</v>
      </c>
      <c r="AD6" s="550" t="s">
        <v>380</v>
      </c>
      <c r="AE6" s="667" t="s">
        <v>380</v>
      </c>
      <c r="AF6" s="550" t="s">
        <v>380</v>
      </c>
      <c r="AG6" s="550" t="s">
        <v>380</v>
      </c>
      <c r="AH6" s="667" t="s">
        <v>380</v>
      </c>
      <c r="AI6" s="550" t="s">
        <v>380</v>
      </c>
      <c r="AJ6" s="550" t="s">
        <v>380</v>
      </c>
      <c r="AK6" s="550" t="s">
        <v>380</v>
      </c>
      <c r="AL6" s="550" t="s">
        <v>380</v>
      </c>
      <c r="AM6" s="550" t="s">
        <v>380</v>
      </c>
      <c r="AN6" s="550" t="s">
        <v>380</v>
      </c>
      <c r="AO6" s="550" t="s">
        <v>380</v>
      </c>
      <c r="AP6" s="550" t="s">
        <v>380</v>
      </c>
      <c r="AQ6" s="550" t="s">
        <v>380</v>
      </c>
      <c r="AR6" s="550" t="s">
        <v>380</v>
      </c>
      <c r="AS6" s="550" t="s">
        <v>380</v>
      </c>
      <c r="AT6" s="550" t="s">
        <v>380</v>
      </c>
      <c r="AU6" s="550" t="s">
        <v>380</v>
      </c>
      <c r="AV6" s="550" t="s">
        <v>380</v>
      </c>
      <c r="AW6" s="550" t="s">
        <v>380</v>
      </c>
      <c r="AX6" s="550" t="s">
        <v>380</v>
      </c>
      <c r="AY6" s="550" t="s">
        <v>380</v>
      </c>
      <c r="AZ6" s="550" t="s">
        <v>380</v>
      </c>
      <c r="BA6" s="550" t="s">
        <v>380</v>
      </c>
      <c r="BB6" s="550" t="s">
        <v>380</v>
      </c>
      <c r="BC6" s="550" t="s">
        <v>380</v>
      </c>
      <c r="BD6" s="550" t="s">
        <v>380</v>
      </c>
      <c r="BE6" s="550" t="s">
        <v>380</v>
      </c>
      <c r="BF6" s="550" t="s">
        <v>380</v>
      </c>
      <c r="BG6" s="550" t="s">
        <v>380</v>
      </c>
      <c r="BH6" s="550" t="s">
        <v>380</v>
      </c>
      <c r="BI6" s="550" t="s">
        <v>380</v>
      </c>
      <c r="BJ6" s="550" t="s">
        <v>380</v>
      </c>
      <c r="BK6" s="550" t="s">
        <v>380</v>
      </c>
      <c r="BL6" s="550" t="s">
        <v>380</v>
      </c>
      <c r="BM6" s="550" t="s">
        <v>380</v>
      </c>
      <c r="BN6" s="550" t="s">
        <v>380</v>
      </c>
      <c r="BO6" s="550" t="s">
        <v>380</v>
      </c>
      <c r="BP6" s="550" t="s">
        <v>380</v>
      </c>
      <c r="BQ6" s="550" t="s">
        <v>380</v>
      </c>
      <c r="BR6" s="550" t="s">
        <v>380</v>
      </c>
      <c r="BS6" s="550" t="s">
        <v>380</v>
      </c>
      <c r="BT6" s="550" t="s">
        <v>380</v>
      </c>
      <c r="BU6" s="550" t="s">
        <v>380</v>
      </c>
      <c r="BV6" s="550" t="s">
        <v>380</v>
      </c>
      <c r="BW6" s="550" t="s">
        <v>380</v>
      </c>
      <c r="BX6" s="550" t="s">
        <v>380</v>
      </c>
      <c r="BY6" s="550" t="s">
        <v>380</v>
      </c>
      <c r="BZ6" s="550" t="s">
        <v>380</v>
      </c>
      <c r="CA6" s="550" t="s">
        <v>380</v>
      </c>
      <c r="CB6" s="550" t="s">
        <v>380</v>
      </c>
      <c r="CC6" s="550" t="s">
        <v>380</v>
      </c>
      <c r="CD6" s="550" t="s">
        <v>380</v>
      </c>
      <c r="CE6" s="550" t="s">
        <v>380</v>
      </c>
      <c r="CF6" s="550" t="s">
        <v>380</v>
      </c>
      <c r="CG6" s="550" t="s">
        <v>380</v>
      </c>
      <c r="CH6" s="550" t="s">
        <v>380</v>
      </c>
      <c r="CI6" s="550" t="s">
        <v>380</v>
      </c>
      <c r="CJ6" s="550" t="s">
        <v>380</v>
      </c>
      <c r="CK6" s="550" t="s">
        <v>380</v>
      </c>
      <c r="CL6" s="550" t="s">
        <v>380</v>
      </c>
      <c r="CM6" s="550" t="s">
        <v>380</v>
      </c>
      <c r="CN6" s="550" t="s">
        <v>380</v>
      </c>
      <c r="CO6" s="550" t="s">
        <v>380</v>
      </c>
      <c r="CP6" s="550" t="s">
        <v>380</v>
      </c>
      <c r="CQ6" s="550" t="s">
        <v>380</v>
      </c>
      <c r="CR6" s="550" t="s">
        <v>380</v>
      </c>
      <c r="CS6" s="550" t="s">
        <v>380</v>
      </c>
      <c r="CT6" s="550" t="s">
        <v>380</v>
      </c>
      <c r="CU6" s="550" t="s">
        <v>380</v>
      </c>
      <c r="CV6" s="550" t="s">
        <v>380</v>
      </c>
      <c r="CW6" s="550" t="s">
        <v>380</v>
      </c>
      <c r="CX6" s="550" t="s">
        <v>380</v>
      </c>
      <c r="CY6" s="550" t="s">
        <v>380</v>
      </c>
      <c r="CZ6" s="550" t="s">
        <v>380</v>
      </c>
      <c r="DA6" s="550" t="s">
        <v>380</v>
      </c>
      <c r="DB6" s="550" t="s">
        <v>380</v>
      </c>
      <c r="DC6" s="550" t="s">
        <v>380</v>
      </c>
      <c r="DD6" s="550" t="s">
        <v>380</v>
      </c>
      <c r="DE6" s="550" t="s">
        <v>380</v>
      </c>
      <c r="DF6" s="550" t="s">
        <v>380</v>
      </c>
      <c r="DG6" s="550" t="s">
        <v>380</v>
      </c>
      <c r="DH6" s="550" t="s">
        <v>380</v>
      </c>
      <c r="DI6" s="550" t="s">
        <v>380</v>
      </c>
      <c r="DJ6" s="550" t="s">
        <v>380</v>
      </c>
      <c r="DK6" s="550" t="s">
        <v>380</v>
      </c>
      <c r="DL6" s="550" t="s">
        <v>380</v>
      </c>
      <c r="DM6" s="550" t="s">
        <v>380</v>
      </c>
      <c r="DN6" s="550" t="s">
        <v>380</v>
      </c>
    </row>
    <row r="7" ht="15.0" customHeight="1">
      <c r="A7" s="53">
        <v>18.0</v>
      </c>
      <c r="B7" s="100" t="s">
        <v>145</v>
      </c>
      <c r="C7" s="100" t="s">
        <v>146</v>
      </c>
      <c r="D7" s="101" t="str">
        <f t="shared" si="1"/>
        <v>DATA</v>
      </c>
      <c r="E7" s="111" t="s">
        <v>147</v>
      </c>
      <c r="F7" s="111" t="s">
        <v>147</v>
      </c>
      <c r="G7" s="111" t="s">
        <v>147</v>
      </c>
      <c r="H7" s="535"/>
      <c r="I7" s="68" t="str">
        <f>IFERROR(VLOOKUP(C:C,'R22 RELATÓRIO ACC'!B:F,5,FALSE),"NOT PUBLISHED")</f>
        <v>V9</v>
      </c>
      <c r="J7" s="68" t="str">
        <f>IFERROR(VLOOKUP(C:C,'R22 RELATÓRIO ACC'!B:P,15,FALSE),"NOT PUBLISHED")</f>
        <v>28/02/2026</v>
      </c>
      <c r="K7" s="70" t="str">
        <f>IFERROR(VLOOKUP(B:B,'RELATÓRIO ACC'!B:F,5,FALSE),"NOT PUBLISHED")</f>
        <v>V1</v>
      </c>
      <c r="L7" s="518" t="str">
        <f>IFERROR(VLOOKUP(B:B,'RELATÓRIO ACC'!B:P,15,FALSE),"NOT PUBLISHED")</f>
        <v>20/05/2026</v>
      </c>
      <c r="M7" s="661" t="s">
        <v>380</v>
      </c>
      <c r="N7" s="669" t="s">
        <v>380</v>
      </c>
      <c r="O7" s="538" t="s">
        <v>380</v>
      </c>
      <c r="P7" s="663"/>
      <c r="Q7" s="550" t="s">
        <v>380</v>
      </c>
      <c r="R7" s="550" t="s">
        <v>380</v>
      </c>
      <c r="S7" s="667" t="s">
        <v>380</v>
      </c>
      <c r="T7" s="550" t="s">
        <v>380</v>
      </c>
      <c r="U7" s="550" t="s">
        <v>380</v>
      </c>
      <c r="V7" s="667" t="s">
        <v>380</v>
      </c>
      <c r="W7" s="550" t="s">
        <v>380</v>
      </c>
      <c r="X7" s="550" t="s">
        <v>380</v>
      </c>
      <c r="Y7" s="667" t="s">
        <v>380</v>
      </c>
      <c r="Z7" s="550" t="s">
        <v>380</v>
      </c>
      <c r="AA7" s="550" t="s">
        <v>380</v>
      </c>
      <c r="AB7" s="667" t="s">
        <v>380</v>
      </c>
      <c r="AC7" s="550" t="s">
        <v>380</v>
      </c>
      <c r="AD7" s="550" t="s">
        <v>380</v>
      </c>
      <c r="AE7" s="667" t="s">
        <v>380</v>
      </c>
      <c r="AF7" s="550" t="s">
        <v>380</v>
      </c>
      <c r="AG7" s="550" t="s">
        <v>380</v>
      </c>
      <c r="AH7" s="550" t="s">
        <v>380</v>
      </c>
      <c r="AI7" s="550" t="s">
        <v>380</v>
      </c>
      <c r="AJ7" s="550" t="s">
        <v>380</v>
      </c>
      <c r="AK7" s="550" t="s">
        <v>380</v>
      </c>
      <c r="AL7" s="550" t="s">
        <v>380</v>
      </c>
      <c r="AM7" s="550" t="s">
        <v>380</v>
      </c>
      <c r="AN7" s="550" t="s">
        <v>380</v>
      </c>
      <c r="AO7" s="550" t="s">
        <v>380</v>
      </c>
      <c r="AP7" s="550" t="s">
        <v>380</v>
      </c>
      <c r="AQ7" s="550" t="s">
        <v>380</v>
      </c>
      <c r="AR7" s="550" t="s">
        <v>380</v>
      </c>
      <c r="AS7" s="550" t="s">
        <v>380</v>
      </c>
      <c r="AT7" s="550" t="s">
        <v>380</v>
      </c>
      <c r="AU7" s="550" t="s">
        <v>380</v>
      </c>
      <c r="AV7" s="550" t="s">
        <v>380</v>
      </c>
      <c r="AW7" s="550" t="s">
        <v>380</v>
      </c>
      <c r="AX7" s="550" t="s">
        <v>380</v>
      </c>
      <c r="AY7" s="550" t="s">
        <v>380</v>
      </c>
      <c r="AZ7" s="550" t="s">
        <v>380</v>
      </c>
      <c r="BA7" s="550" t="s">
        <v>380</v>
      </c>
      <c r="BB7" s="550" t="s">
        <v>380</v>
      </c>
      <c r="BC7" s="550" t="s">
        <v>380</v>
      </c>
      <c r="BD7" s="550" t="s">
        <v>380</v>
      </c>
      <c r="BE7" s="550" t="s">
        <v>380</v>
      </c>
      <c r="BF7" s="550" t="s">
        <v>380</v>
      </c>
      <c r="BG7" s="550" t="s">
        <v>380</v>
      </c>
      <c r="BH7" s="550" t="s">
        <v>380</v>
      </c>
      <c r="BI7" s="550" t="s">
        <v>380</v>
      </c>
      <c r="BJ7" s="550" t="s">
        <v>380</v>
      </c>
      <c r="BK7" s="550" t="s">
        <v>380</v>
      </c>
      <c r="BL7" s="550" t="s">
        <v>380</v>
      </c>
      <c r="BM7" s="550" t="s">
        <v>380</v>
      </c>
      <c r="BN7" s="550" t="s">
        <v>380</v>
      </c>
      <c r="BO7" s="550" t="s">
        <v>380</v>
      </c>
      <c r="BP7" s="550" t="s">
        <v>380</v>
      </c>
      <c r="BQ7" s="550" t="s">
        <v>380</v>
      </c>
      <c r="BR7" s="550" t="s">
        <v>380</v>
      </c>
      <c r="BS7" s="550" t="s">
        <v>380</v>
      </c>
      <c r="BT7" s="550" t="s">
        <v>380</v>
      </c>
      <c r="BU7" s="550" t="s">
        <v>380</v>
      </c>
      <c r="BV7" s="550" t="s">
        <v>380</v>
      </c>
      <c r="BW7" s="550" t="s">
        <v>380</v>
      </c>
      <c r="BX7" s="550" t="s">
        <v>380</v>
      </c>
      <c r="BY7" s="550" t="s">
        <v>380</v>
      </c>
      <c r="BZ7" s="550" t="s">
        <v>380</v>
      </c>
      <c r="CA7" s="550" t="s">
        <v>380</v>
      </c>
      <c r="CB7" s="550" t="s">
        <v>380</v>
      </c>
      <c r="CC7" s="550" t="s">
        <v>380</v>
      </c>
      <c r="CD7" s="550" t="s">
        <v>380</v>
      </c>
      <c r="CE7" s="550" t="s">
        <v>380</v>
      </c>
      <c r="CF7" s="550" t="s">
        <v>380</v>
      </c>
      <c r="CG7" s="550" t="s">
        <v>380</v>
      </c>
      <c r="CH7" s="550" t="s">
        <v>380</v>
      </c>
      <c r="CI7" s="550" t="s">
        <v>380</v>
      </c>
      <c r="CJ7" s="550" t="s">
        <v>380</v>
      </c>
      <c r="CK7" s="550" t="s">
        <v>380</v>
      </c>
      <c r="CL7" s="550" t="s">
        <v>380</v>
      </c>
      <c r="CM7" s="550" t="s">
        <v>380</v>
      </c>
      <c r="CN7" s="550" t="s">
        <v>380</v>
      </c>
      <c r="CO7" s="550" t="s">
        <v>380</v>
      </c>
      <c r="CP7" s="550" t="s">
        <v>380</v>
      </c>
      <c r="CQ7" s="550" t="s">
        <v>380</v>
      </c>
      <c r="CR7" s="550" t="s">
        <v>380</v>
      </c>
      <c r="CS7" s="550" t="s">
        <v>380</v>
      </c>
      <c r="CT7" s="550" t="s">
        <v>380</v>
      </c>
      <c r="CU7" s="550" t="s">
        <v>380</v>
      </c>
      <c r="CV7" s="550" t="s">
        <v>380</v>
      </c>
      <c r="CW7" s="550" t="s">
        <v>380</v>
      </c>
      <c r="CX7" s="550" t="s">
        <v>380</v>
      </c>
      <c r="CY7" s="550" t="s">
        <v>380</v>
      </c>
      <c r="CZ7" s="550" t="s">
        <v>380</v>
      </c>
      <c r="DA7" s="550" t="s">
        <v>380</v>
      </c>
      <c r="DB7" s="550" t="s">
        <v>380</v>
      </c>
      <c r="DC7" s="550" t="s">
        <v>380</v>
      </c>
      <c r="DD7" s="550" t="s">
        <v>380</v>
      </c>
      <c r="DE7" s="550" t="s">
        <v>380</v>
      </c>
      <c r="DF7" s="550" t="s">
        <v>380</v>
      </c>
      <c r="DG7" s="550" t="s">
        <v>380</v>
      </c>
      <c r="DH7" s="550" t="s">
        <v>380</v>
      </c>
      <c r="DI7" s="550" t="s">
        <v>380</v>
      </c>
      <c r="DJ7" s="550" t="s">
        <v>380</v>
      </c>
      <c r="DK7" s="550" t="s">
        <v>380</v>
      </c>
      <c r="DL7" s="550" t="s">
        <v>380</v>
      </c>
      <c r="DM7" s="550" t="s">
        <v>380</v>
      </c>
      <c r="DN7" s="550" t="s">
        <v>380</v>
      </c>
    </row>
    <row r="8" ht="15.0" customHeight="1">
      <c r="A8" s="53">
        <v>57.0</v>
      </c>
      <c r="B8" s="100" t="s">
        <v>288</v>
      </c>
      <c r="C8" s="100" t="s">
        <v>288</v>
      </c>
      <c r="D8" s="111" t="str">
        <f t="shared" si="1"/>
        <v>ADMN</v>
      </c>
      <c r="E8" s="111" t="s">
        <v>289</v>
      </c>
      <c r="F8" s="102">
        <v>1125.0</v>
      </c>
      <c r="G8" s="517" t="s">
        <v>289</v>
      </c>
      <c r="H8" s="517">
        <v>1125.0</v>
      </c>
      <c r="I8" s="68" t="str">
        <f>IFERROR(VLOOKUP(C:C,'R22 RELATÓRIO ACC'!B:F,5,FALSE),"NOT PUBLISHED")</f>
        <v>V8</v>
      </c>
      <c r="J8" s="68" t="str">
        <f>IFERROR(VLOOKUP(C:C,'R22 RELATÓRIO ACC'!B:P,15,FALSE),"NOT PUBLISHED")</f>
        <v>07/11/2025</v>
      </c>
      <c r="K8" s="70" t="str">
        <f>IFERROR(VLOOKUP(B:B,'RELATÓRIO ACC'!B:F,5,FALSE),"NOT PUBLISHED")</f>
        <v>V1</v>
      </c>
      <c r="L8" s="518" t="str">
        <f>IFERROR(VLOOKUP(B:B,'RELATÓRIO ACC'!B:P,15,FALSE),"NOT PUBLISHED")</f>
        <v>21/05/2026</v>
      </c>
      <c r="M8" s="661" t="s">
        <v>380</v>
      </c>
      <c r="N8" s="669" t="s">
        <v>380</v>
      </c>
      <c r="O8" s="538" t="s">
        <v>380</v>
      </c>
      <c r="P8" s="663"/>
      <c r="Q8" s="550" t="s">
        <v>380</v>
      </c>
      <c r="R8" s="550" t="s">
        <v>380</v>
      </c>
      <c r="S8" s="667" t="s">
        <v>380</v>
      </c>
      <c r="T8" s="550" t="s">
        <v>380</v>
      </c>
      <c r="U8" s="550" t="s">
        <v>380</v>
      </c>
      <c r="V8" s="667" t="s">
        <v>380</v>
      </c>
      <c r="W8" s="550" t="s">
        <v>380</v>
      </c>
      <c r="X8" s="550" t="s">
        <v>380</v>
      </c>
      <c r="Y8" s="667" t="s">
        <v>380</v>
      </c>
      <c r="Z8" s="550" t="s">
        <v>380</v>
      </c>
      <c r="AA8" s="550" t="s">
        <v>380</v>
      </c>
      <c r="AB8" s="667" t="s">
        <v>380</v>
      </c>
      <c r="AC8" s="550" t="s">
        <v>380</v>
      </c>
      <c r="AD8" s="550" t="s">
        <v>380</v>
      </c>
      <c r="AE8" s="550" t="s">
        <v>380</v>
      </c>
      <c r="AF8" s="550" t="s">
        <v>380</v>
      </c>
      <c r="AG8" s="550" t="s">
        <v>380</v>
      </c>
      <c r="AH8" s="550" t="s">
        <v>380</v>
      </c>
      <c r="AI8" s="550" t="s">
        <v>380</v>
      </c>
      <c r="AJ8" s="550" t="s">
        <v>380</v>
      </c>
      <c r="AK8" s="550" t="s">
        <v>380</v>
      </c>
      <c r="AL8" s="550" t="s">
        <v>380</v>
      </c>
      <c r="AM8" s="550" t="s">
        <v>380</v>
      </c>
      <c r="AN8" s="550" t="s">
        <v>380</v>
      </c>
      <c r="AO8" s="550" t="s">
        <v>380</v>
      </c>
      <c r="AP8" s="550" t="s">
        <v>380</v>
      </c>
      <c r="AQ8" s="550" t="s">
        <v>380</v>
      </c>
      <c r="AR8" s="550" t="s">
        <v>380</v>
      </c>
      <c r="AS8" s="550" t="s">
        <v>380</v>
      </c>
      <c r="AT8" s="550" t="s">
        <v>380</v>
      </c>
      <c r="AU8" s="550" t="s">
        <v>380</v>
      </c>
      <c r="AV8" s="550" t="s">
        <v>380</v>
      </c>
      <c r="AW8" s="550" t="s">
        <v>380</v>
      </c>
      <c r="AX8" s="550" t="s">
        <v>380</v>
      </c>
      <c r="AY8" s="550" t="s">
        <v>380</v>
      </c>
      <c r="AZ8" s="550" t="s">
        <v>380</v>
      </c>
      <c r="BA8" s="550" t="s">
        <v>380</v>
      </c>
      <c r="BB8" s="550" t="s">
        <v>380</v>
      </c>
      <c r="BC8" s="550" t="s">
        <v>380</v>
      </c>
      <c r="BD8" s="550" t="s">
        <v>380</v>
      </c>
      <c r="BE8" s="550" t="s">
        <v>380</v>
      </c>
      <c r="BF8" s="550" t="s">
        <v>380</v>
      </c>
      <c r="BG8" s="550" t="s">
        <v>380</v>
      </c>
      <c r="BH8" s="550" t="s">
        <v>380</v>
      </c>
      <c r="BI8" s="550" t="s">
        <v>380</v>
      </c>
      <c r="BJ8" s="550" t="s">
        <v>380</v>
      </c>
      <c r="BK8" s="550" t="s">
        <v>380</v>
      </c>
      <c r="BL8" s="550" t="s">
        <v>380</v>
      </c>
      <c r="BM8" s="550" t="s">
        <v>380</v>
      </c>
      <c r="BN8" s="550" t="s">
        <v>380</v>
      </c>
      <c r="BO8" s="550" t="s">
        <v>380</v>
      </c>
      <c r="BP8" s="550" t="s">
        <v>380</v>
      </c>
      <c r="BQ8" s="550" t="s">
        <v>380</v>
      </c>
      <c r="BR8" s="550" t="s">
        <v>380</v>
      </c>
      <c r="BS8" s="550" t="s">
        <v>380</v>
      </c>
      <c r="BT8" s="550" t="s">
        <v>380</v>
      </c>
      <c r="BU8" s="550" t="s">
        <v>380</v>
      </c>
      <c r="BV8" s="550" t="s">
        <v>380</v>
      </c>
      <c r="BW8" s="550" t="s">
        <v>380</v>
      </c>
      <c r="BX8" s="550" t="s">
        <v>380</v>
      </c>
      <c r="BY8" s="523" t="s">
        <v>380</v>
      </c>
      <c r="BZ8" s="550" t="s">
        <v>380</v>
      </c>
      <c r="CA8" s="523" t="s">
        <v>380</v>
      </c>
      <c r="CB8" s="523" t="s">
        <v>380</v>
      </c>
      <c r="CC8" s="550" t="s">
        <v>380</v>
      </c>
      <c r="CD8" s="523" t="s">
        <v>380</v>
      </c>
      <c r="CE8" s="523" t="s">
        <v>380</v>
      </c>
      <c r="CF8" s="550" t="s">
        <v>380</v>
      </c>
      <c r="CG8" s="523" t="s">
        <v>380</v>
      </c>
      <c r="CH8" s="523" t="s">
        <v>380</v>
      </c>
      <c r="CI8" s="550" t="s">
        <v>380</v>
      </c>
      <c r="CJ8" s="523" t="s">
        <v>380</v>
      </c>
      <c r="CK8" s="523" t="s">
        <v>380</v>
      </c>
      <c r="CL8" s="550" t="s">
        <v>380</v>
      </c>
      <c r="CM8" s="523" t="s">
        <v>380</v>
      </c>
      <c r="CN8" s="523" t="s">
        <v>380</v>
      </c>
      <c r="CO8" s="550" t="s">
        <v>380</v>
      </c>
      <c r="CP8" s="523" t="s">
        <v>380</v>
      </c>
      <c r="CQ8" s="523" t="s">
        <v>380</v>
      </c>
      <c r="CR8" s="550" t="s">
        <v>380</v>
      </c>
      <c r="CS8" s="523" t="s">
        <v>380</v>
      </c>
      <c r="CT8" s="523" t="s">
        <v>380</v>
      </c>
      <c r="CU8" s="550" t="s">
        <v>380</v>
      </c>
      <c r="CV8" s="523" t="s">
        <v>380</v>
      </c>
      <c r="CW8" s="523" t="s">
        <v>380</v>
      </c>
      <c r="CX8" s="550" t="s">
        <v>380</v>
      </c>
      <c r="CY8" s="523" t="s">
        <v>380</v>
      </c>
      <c r="CZ8" s="523" t="s">
        <v>380</v>
      </c>
      <c r="DA8" s="550" t="s">
        <v>380</v>
      </c>
      <c r="DB8" s="523" t="s">
        <v>380</v>
      </c>
      <c r="DC8" s="523" t="s">
        <v>380</v>
      </c>
      <c r="DD8" s="550" t="s">
        <v>380</v>
      </c>
      <c r="DE8" s="523" t="s">
        <v>380</v>
      </c>
      <c r="DF8" s="523" t="s">
        <v>380</v>
      </c>
      <c r="DG8" s="550" t="s">
        <v>380</v>
      </c>
      <c r="DH8" s="523" t="s">
        <v>380</v>
      </c>
      <c r="DI8" s="523" t="s">
        <v>380</v>
      </c>
      <c r="DJ8" s="550" t="s">
        <v>380</v>
      </c>
      <c r="DK8" s="523" t="s">
        <v>380</v>
      </c>
      <c r="DL8" s="523" t="s">
        <v>380</v>
      </c>
      <c r="DM8" s="550" t="s">
        <v>380</v>
      </c>
      <c r="DN8" s="523" t="s">
        <v>380</v>
      </c>
    </row>
    <row r="9" ht="15.0" customHeight="1">
      <c r="A9" s="53">
        <v>59.0</v>
      </c>
      <c r="B9" s="100" t="s">
        <v>291</v>
      </c>
      <c r="C9" s="100" t="s">
        <v>291</v>
      </c>
      <c r="D9" s="111" t="str">
        <f t="shared" si="1"/>
        <v>COL2</v>
      </c>
      <c r="E9" s="111" t="s">
        <v>289</v>
      </c>
      <c r="F9" s="102">
        <v>1125.0</v>
      </c>
      <c r="G9" s="517" t="s">
        <v>289</v>
      </c>
      <c r="H9" s="517">
        <v>1125.0</v>
      </c>
      <c r="I9" s="68" t="str">
        <f>IFERROR(VLOOKUP(C:C,'R22 RELATÓRIO ACC'!B:F,5,FALSE),"NOT PUBLISHED")</f>
        <v>V6</v>
      </c>
      <c r="J9" s="68" t="str">
        <f>IFERROR(VLOOKUP(C:C,'R22 RELATÓRIO ACC'!B:P,15,FALSE),"NOT PUBLISHED")</f>
        <v>07/11/2025</v>
      </c>
      <c r="K9" s="70" t="str">
        <f>IFERROR(VLOOKUP(B:B,'RELATÓRIO ACC'!B:F,5,FALSE),"NOT PUBLISHED")</f>
        <v>V1</v>
      </c>
      <c r="L9" s="518" t="str">
        <f>IFERROR(VLOOKUP(B:B,'RELATÓRIO ACC'!B:P,15,FALSE),"NOT PUBLISHED")</f>
        <v>21/05/2026</v>
      </c>
      <c r="M9" s="661" t="s">
        <v>380</v>
      </c>
      <c r="N9" s="669" t="s">
        <v>380</v>
      </c>
      <c r="O9" s="538" t="s">
        <v>380</v>
      </c>
      <c r="P9" s="663"/>
      <c r="Q9" s="550" t="s">
        <v>380</v>
      </c>
      <c r="R9" s="550" t="s">
        <v>380</v>
      </c>
      <c r="S9" s="667" t="s">
        <v>380</v>
      </c>
      <c r="T9" s="550" t="s">
        <v>380</v>
      </c>
      <c r="U9" s="550" t="s">
        <v>380</v>
      </c>
      <c r="V9" s="667" t="s">
        <v>380</v>
      </c>
      <c r="W9" s="550" t="s">
        <v>380</v>
      </c>
      <c r="X9" s="550" t="s">
        <v>380</v>
      </c>
      <c r="Y9" s="667" t="s">
        <v>380</v>
      </c>
      <c r="Z9" s="550" t="s">
        <v>380</v>
      </c>
      <c r="AA9" s="550" t="s">
        <v>380</v>
      </c>
      <c r="AB9" s="667" t="s">
        <v>380</v>
      </c>
      <c r="AC9" s="550" t="s">
        <v>380</v>
      </c>
      <c r="AD9" s="550" t="s">
        <v>380</v>
      </c>
      <c r="AE9" s="667" t="s">
        <v>380</v>
      </c>
      <c r="AF9" s="550" t="s">
        <v>380</v>
      </c>
      <c r="AG9" s="550" t="s">
        <v>380</v>
      </c>
      <c r="AH9" s="550" t="s">
        <v>380</v>
      </c>
      <c r="AI9" s="550" t="s">
        <v>380</v>
      </c>
      <c r="AJ9" s="550" t="s">
        <v>380</v>
      </c>
      <c r="AK9" s="550" t="s">
        <v>380</v>
      </c>
      <c r="AL9" s="550" t="s">
        <v>380</v>
      </c>
      <c r="AM9" s="550" t="s">
        <v>380</v>
      </c>
      <c r="AN9" s="550" t="s">
        <v>380</v>
      </c>
      <c r="AO9" s="550" t="s">
        <v>380</v>
      </c>
      <c r="AP9" s="550" t="s">
        <v>380</v>
      </c>
      <c r="AQ9" s="550" t="s">
        <v>380</v>
      </c>
      <c r="AR9" s="550" t="s">
        <v>380</v>
      </c>
      <c r="AS9" s="550" t="s">
        <v>380</v>
      </c>
      <c r="AT9" s="550" t="s">
        <v>380</v>
      </c>
      <c r="AU9" s="550" t="s">
        <v>380</v>
      </c>
      <c r="AV9" s="550" t="s">
        <v>380</v>
      </c>
      <c r="AW9" s="550" t="s">
        <v>380</v>
      </c>
      <c r="AX9" s="550" t="s">
        <v>380</v>
      </c>
      <c r="AY9" s="550" t="s">
        <v>380</v>
      </c>
      <c r="AZ9" s="550" t="s">
        <v>380</v>
      </c>
      <c r="BA9" s="550" t="s">
        <v>380</v>
      </c>
      <c r="BB9" s="550" t="s">
        <v>380</v>
      </c>
      <c r="BC9" s="550" t="s">
        <v>380</v>
      </c>
      <c r="BD9" s="550" t="s">
        <v>380</v>
      </c>
      <c r="BE9" s="550" t="s">
        <v>380</v>
      </c>
      <c r="BF9" s="550" t="s">
        <v>380</v>
      </c>
      <c r="BG9" s="550" t="s">
        <v>380</v>
      </c>
      <c r="BH9" s="550" t="s">
        <v>380</v>
      </c>
      <c r="BI9" s="550" t="s">
        <v>380</v>
      </c>
      <c r="BJ9" s="550" t="s">
        <v>380</v>
      </c>
      <c r="BK9" s="550" t="s">
        <v>380</v>
      </c>
      <c r="BL9" s="550" t="s">
        <v>380</v>
      </c>
      <c r="BM9" s="550" t="s">
        <v>380</v>
      </c>
      <c r="BN9" s="550" t="s">
        <v>380</v>
      </c>
      <c r="BO9" s="550" t="s">
        <v>380</v>
      </c>
      <c r="BP9" s="550" t="s">
        <v>380</v>
      </c>
      <c r="BQ9" s="550" t="s">
        <v>380</v>
      </c>
      <c r="BR9" s="550" t="s">
        <v>380</v>
      </c>
      <c r="BS9" s="550" t="s">
        <v>380</v>
      </c>
      <c r="BT9" s="550" t="s">
        <v>380</v>
      </c>
      <c r="BU9" s="550" t="s">
        <v>380</v>
      </c>
      <c r="BV9" s="550" t="s">
        <v>380</v>
      </c>
      <c r="BW9" s="550" t="s">
        <v>380</v>
      </c>
      <c r="BX9" s="550" t="s">
        <v>380</v>
      </c>
      <c r="BY9" s="550" t="s">
        <v>380</v>
      </c>
      <c r="BZ9" s="550" t="s">
        <v>380</v>
      </c>
      <c r="CA9" s="550" t="s">
        <v>380</v>
      </c>
      <c r="CB9" s="550" t="s">
        <v>380</v>
      </c>
      <c r="CC9" s="550" t="s">
        <v>380</v>
      </c>
      <c r="CD9" s="550" t="s">
        <v>380</v>
      </c>
      <c r="CE9" s="550" t="s">
        <v>380</v>
      </c>
      <c r="CF9" s="550" t="s">
        <v>380</v>
      </c>
      <c r="CG9" s="550" t="s">
        <v>380</v>
      </c>
      <c r="CH9" s="550" t="s">
        <v>380</v>
      </c>
      <c r="CI9" s="550" t="s">
        <v>380</v>
      </c>
      <c r="CJ9" s="550" t="s">
        <v>380</v>
      </c>
      <c r="CK9" s="550" t="s">
        <v>380</v>
      </c>
      <c r="CL9" s="550" t="s">
        <v>380</v>
      </c>
      <c r="CM9" s="550" t="s">
        <v>380</v>
      </c>
      <c r="CN9" s="550" t="s">
        <v>380</v>
      </c>
      <c r="CO9" s="550" t="s">
        <v>380</v>
      </c>
      <c r="CP9" s="550" t="s">
        <v>380</v>
      </c>
      <c r="CQ9" s="550" t="s">
        <v>380</v>
      </c>
      <c r="CR9" s="550" t="s">
        <v>380</v>
      </c>
      <c r="CS9" s="550" t="s">
        <v>380</v>
      </c>
      <c r="CT9" s="550" t="s">
        <v>380</v>
      </c>
      <c r="CU9" s="550" t="s">
        <v>380</v>
      </c>
      <c r="CV9" s="550" t="s">
        <v>380</v>
      </c>
      <c r="CW9" s="550" t="s">
        <v>380</v>
      </c>
      <c r="CX9" s="550" t="s">
        <v>380</v>
      </c>
      <c r="CY9" s="550" t="s">
        <v>380</v>
      </c>
      <c r="CZ9" s="550" t="s">
        <v>380</v>
      </c>
      <c r="DA9" s="550" t="s">
        <v>380</v>
      </c>
      <c r="DB9" s="550" t="s">
        <v>380</v>
      </c>
      <c r="DC9" s="550" t="s">
        <v>380</v>
      </c>
      <c r="DD9" s="550" t="s">
        <v>380</v>
      </c>
      <c r="DE9" s="550" t="s">
        <v>380</v>
      </c>
      <c r="DF9" s="550" t="s">
        <v>380</v>
      </c>
      <c r="DG9" s="550" t="s">
        <v>380</v>
      </c>
      <c r="DH9" s="550" t="s">
        <v>380</v>
      </c>
      <c r="DI9" s="550" t="s">
        <v>380</v>
      </c>
      <c r="DJ9" s="550" t="s">
        <v>380</v>
      </c>
      <c r="DK9" s="550" t="s">
        <v>380</v>
      </c>
      <c r="DL9" s="550" t="s">
        <v>380</v>
      </c>
      <c r="DM9" s="550" t="s">
        <v>380</v>
      </c>
      <c r="DN9" s="550" t="s">
        <v>380</v>
      </c>
    </row>
    <row r="10" ht="15.0" customHeight="1">
      <c r="A10" s="53">
        <v>60.0</v>
      </c>
      <c r="B10" s="100" t="s">
        <v>292</v>
      </c>
      <c r="C10" s="100" t="s">
        <v>292</v>
      </c>
      <c r="D10" s="111" t="str">
        <f t="shared" si="1"/>
        <v>COL3</v>
      </c>
      <c r="E10" s="111" t="s">
        <v>289</v>
      </c>
      <c r="F10" s="102">
        <v>1125.0</v>
      </c>
      <c r="G10" s="517" t="s">
        <v>289</v>
      </c>
      <c r="H10" s="517">
        <v>1125.0</v>
      </c>
      <c r="I10" s="68" t="str">
        <f>IFERROR(VLOOKUP(C:C,'R22 RELATÓRIO ACC'!B:F,5,FALSE),"NOT PUBLISHED")</f>
        <v>V6</v>
      </c>
      <c r="J10" s="68" t="str">
        <f>IFERROR(VLOOKUP(C:C,'R22 RELATÓRIO ACC'!B:P,15,FALSE),"NOT PUBLISHED")</f>
        <v>07/11/2025</v>
      </c>
      <c r="K10" s="70" t="str">
        <f>IFERROR(VLOOKUP(B:B,'RELATÓRIO ACC'!B:F,5,FALSE),"NOT PUBLISHED")</f>
        <v>V1</v>
      </c>
      <c r="L10" s="518" t="str">
        <f>IFERROR(VLOOKUP(B:B,'RELATÓRIO ACC'!B:P,15,FALSE),"NOT PUBLISHED")</f>
        <v>21/05/2026</v>
      </c>
      <c r="M10" s="519" t="str">
        <f>IFERROR(VLOOKUP(#REF!,'RELATÓRIO ACC'!C:P,15,FALSE),"N/A")</f>
        <v>N/A</v>
      </c>
      <c r="N10" s="549" t="s">
        <v>380</v>
      </c>
      <c r="O10" s="538" t="s">
        <v>380</v>
      </c>
      <c r="P10" s="663"/>
      <c r="Q10" s="550" t="s">
        <v>380</v>
      </c>
      <c r="R10" s="550" t="s">
        <v>380</v>
      </c>
      <c r="S10" s="667" t="s">
        <v>380</v>
      </c>
      <c r="T10" s="550" t="s">
        <v>380</v>
      </c>
      <c r="U10" s="550" t="s">
        <v>380</v>
      </c>
      <c r="V10" s="667" t="s">
        <v>380</v>
      </c>
      <c r="W10" s="550" t="s">
        <v>380</v>
      </c>
      <c r="X10" s="550" t="s">
        <v>380</v>
      </c>
      <c r="Y10" s="667" t="s">
        <v>380</v>
      </c>
      <c r="Z10" s="550" t="s">
        <v>380</v>
      </c>
      <c r="AA10" s="550" t="s">
        <v>380</v>
      </c>
      <c r="AB10" s="667" t="s">
        <v>380</v>
      </c>
      <c r="AC10" s="550" t="s">
        <v>380</v>
      </c>
      <c r="AD10" s="550" t="s">
        <v>380</v>
      </c>
      <c r="AE10" s="667" t="s">
        <v>380</v>
      </c>
      <c r="AF10" s="550" t="s">
        <v>380</v>
      </c>
      <c r="AG10" s="550" t="s">
        <v>380</v>
      </c>
      <c r="AH10" s="550" t="s">
        <v>380</v>
      </c>
      <c r="AI10" s="550" t="s">
        <v>380</v>
      </c>
      <c r="AJ10" s="550" t="s">
        <v>380</v>
      </c>
      <c r="AK10" s="550" t="s">
        <v>380</v>
      </c>
      <c r="AL10" s="550" t="s">
        <v>380</v>
      </c>
      <c r="AM10" s="550" t="s">
        <v>380</v>
      </c>
      <c r="AN10" s="550" t="s">
        <v>380</v>
      </c>
      <c r="AO10" s="550" t="s">
        <v>380</v>
      </c>
      <c r="AP10" s="550" t="s">
        <v>380</v>
      </c>
      <c r="AQ10" s="550" t="s">
        <v>380</v>
      </c>
      <c r="AR10" s="550" t="s">
        <v>380</v>
      </c>
      <c r="AS10" s="550" t="s">
        <v>380</v>
      </c>
      <c r="AT10" s="550" t="s">
        <v>380</v>
      </c>
      <c r="AU10" s="550" t="s">
        <v>380</v>
      </c>
      <c r="AV10" s="550" t="s">
        <v>380</v>
      </c>
      <c r="AW10" s="550" t="s">
        <v>380</v>
      </c>
      <c r="AX10" s="550" t="s">
        <v>380</v>
      </c>
      <c r="AY10" s="550" t="s">
        <v>380</v>
      </c>
      <c r="AZ10" s="550" t="s">
        <v>380</v>
      </c>
      <c r="BA10" s="550" t="s">
        <v>380</v>
      </c>
      <c r="BB10" s="550" t="s">
        <v>380</v>
      </c>
      <c r="BC10" s="550" t="s">
        <v>380</v>
      </c>
      <c r="BD10" s="550" t="s">
        <v>380</v>
      </c>
      <c r="BE10" s="550" t="s">
        <v>380</v>
      </c>
      <c r="BF10" s="550" t="s">
        <v>380</v>
      </c>
      <c r="BG10" s="550" t="s">
        <v>380</v>
      </c>
      <c r="BH10" s="550" t="s">
        <v>380</v>
      </c>
      <c r="BI10" s="550" t="s">
        <v>380</v>
      </c>
      <c r="BJ10" s="550" t="s">
        <v>380</v>
      </c>
      <c r="BK10" s="550" t="s">
        <v>380</v>
      </c>
      <c r="BL10" s="550" t="s">
        <v>380</v>
      </c>
      <c r="BM10" s="550" t="s">
        <v>380</v>
      </c>
      <c r="BN10" s="550" t="s">
        <v>380</v>
      </c>
      <c r="BO10" s="550" t="s">
        <v>380</v>
      </c>
      <c r="BP10" s="550" t="s">
        <v>380</v>
      </c>
      <c r="BQ10" s="550" t="s">
        <v>380</v>
      </c>
      <c r="BR10" s="550" t="s">
        <v>380</v>
      </c>
      <c r="BS10" s="550" t="s">
        <v>380</v>
      </c>
      <c r="BT10" s="550" t="s">
        <v>380</v>
      </c>
      <c r="BU10" s="550" t="s">
        <v>380</v>
      </c>
      <c r="BV10" s="550" t="s">
        <v>380</v>
      </c>
      <c r="BW10" s="550" t="s">
        <v>380</v>
      </c>
      <c r="BX10" s="550" t="s">
        <v>380</v>
      </c>
      <c r="BY10" s="523" t="s">
        <v>380</v>
      </c>
      <c r="BZ10" s="526" t="s">
        <v>380</v>
      </c>
      <c r="CA10" s="523" t="s">
        <v>380</v>
      </c>
      <c r="CB10" s="665" t="s">
        <v>380</v>
      </c>
      <c r="CC10" s="526" t="s">
        <v>380</v>
      </c>
      <c r="CD10" s="665" t="s">
        <v>380</v>
      </c>
      <c r="CE10" s="665" t="s">
        <v>380</v>
      </c>
      <c r="CF10" s="526" t="s">
        <v>380</v>
      </c>
      <c r="CG10" s="665" t="s">
        <v>380</v>
      </c>
      <c r="CH10" s="665" t="s">
        <v>380</v>
      </c>
      <c r="CI10" s="526" t="s">
        <v>380</v>
      </c>
      <c r="CJ10" s="665" t="s">
        <v>380</v>
      </c>
      <c r="CK10" s="665" t="s">
        <v>380</v>
      </c>
      <c r="CL10" s="526" t="s">
        <v>380</v>
      </c>
      <c r="CM10" s="665" t="s">
        <v>380</v>
      </c>
      <c r="CN10" s="665" t="s">
        <v>380</v>
      </c>
      <c r="CO10" s="526" t="s">
        <v>380</v>
      </c>
      <c r="CP10" s="665" t="s">
        <v>380</v>
      </c>
      <c r="CQ10" s="665" t="s">
        <v>380</v>
      </c>
      <c r="CR10" s="526" t="s">
        <v>380</v>
      </c>
      <c r="CS10" s="665" t="s">
        <v>380</v>
      </c>
      <c r="CT10" s="665" t="s">
        <v>380</v>
      </c>
      <c r="CU10" s="526" t="s">
        <v>380</v>
      </c>
      <c r="CV10" s="665" t="s">
        <v>380</v>
      </c>
      <c r="CW10" s="665" t="s">
        <v>380</v>
      </c>
      <c r="CX10" s="526" t="s">
        <v>380</v>
      </c>
      <c r="CY10" s="665" t="s">
        <v>380</v>
      </c>
      <c r="CZ10" s="665" t="s">
        <v>380</v>
      </c>
      <c r="DA10" s="526" t="s">
        <v>380</v>
      </c>
      <c r="DB10" s="665" t="s">
        <v>380</v>
      </c>
      <c r="DC10" s="665" t="s">
        <v>380</v>
      </c>
      <c r="DD10" s="526" t="s">
        <v>380</v>
      </c>
      <c r="DE10" s="665" t="s">
        <v>380</v>
      </c>
      <c r="DF10" s="665" t="s">
        <v>380</v>
      </c>
      <c r="DG10" s="526" t="s">
        <v>380</v>
      </c>
      <c r="DH10" s="665" t="s">
        <v>380</v>
      </c>
      <c r="DI10" s="665" t="s">
        <v>380</v>
      </c>
      <c r="DJ10" s="526" t="s">
        <v>380</v>
      </c>
      <c r="DK10" s="665" t="s">
        <v>380</v>
      </c>
      <c r="DL10" s="665" t="s">
        <v>380</v>
      </c>
      <c r="DM10" s="526" t="s">
        <v>380</v>
      </c>
      <c r="DN10" s="665" t="s">
        <v>380</v>
      </c>
    </row>
    <row r="11" ht="15.0" customHeight="1">
      <c r="A11" s="53">
        <v>61.0</v>
      </c>
      <c r="B11" s="100" t="s">
        <v>293</v>
      </c>
      <c r="C11" s="100" t="s">
        <v>293</v>
      </c>
      <c r="D11" s="111" t="str">
        <f t="shared" si="1"/>
        <v>COL4</v>
      </c>
      <c r="E11" s="111" t="s">
        <v>289</v>
      </c>
      <c r="F11" s="102">
        <v>1125.0</v>
      </c>
      <c r="G11" s="517" t="s">
        <v>289</v>
      </c>
      <c r="H11" s="517">
        <v>1125.0</v>
      </c>
      <c r="I11" s="68" t="str">
        <f>IFERROR(VLOOKUP(C:C,'R22 RELATÓRIO ACC'!B:F,5,FALSE),"NOT PUBLISHED")</f>
        <v>V7</v>
      </c>
      <c r="J11" s="68" t="str">
        <f>IFERROR(VLOOKUP(C:C,'R22 RELATÓRIO ACC'!B:P,15,FALSE),"NOT PUBLISHED")</f>
        <v>05/12/2025</v>
      </c>
      <c r="K11" s="70" t="str">
        <f>IFERROR(VLOOKUP(B:B,'RELATÓRIO ACC'!B:F,5,FALSE),"NOT PUBLISHED")</f>
        <v>V1</v>
      </c>
      <c r="L11" s="518" t="str">
        <f>IFERROR(VLOOKUP(B:B,'RELATÓRIO ACC'!B:P,15,FALSE),"NOT PUBLISHED")</f>
        <v>21/05/2026</v>
      </c>
      <c r="M11" s="661" t="s">
        <v>380</v>
      </c>
      <c r="N11" s="669" t="s">
        <v>380</v>
      </c>
      <c r="O11" s="538" t="s">
        <v>380</v>
      </c>
      <c r="P11" s="663"/>
      <c r="Q11" s="550" t="s">
        <v>380</v>
      </c>
      <c r="R11" s="550" t="s">
        <v>380</v>
      </c>
      <c r="S11" s="667" t="s">
        <v>380</v>
      </c>
      <c r="T11" s="550" t="s">
        <v>380</v>
      </c>
      <c r="U11" s="550" t="s">
        <v>380</v>
      </c>
      <c r="V11" s="667" t="s">
        <v>380</v>
      </c>
      <c r="W11" s="550" t="s">
        <v>380</v>
      </c>
      <c r="X11" s="550" t="s">
        <v>380</v>
      </c>
      <c r="Y11" s="667" t="s">
        <v>380</v>
      </c>
      <c r="Z11" s="550" t="s">
        <v>380</v>
      </c>
      <c r="AA11" s="550" t="s">
        <v>380</v>
      </c>
      <c r="AB11" s="667" t="s">
        <v>380</v>
      </c>
      <c r="AC11" s="550" t="s">
        <v>380</v>
      </c>
      <c r="AD11" s="550" t="s">
        <v>380</v>
      </c>
      <c r="AE11" s="667" t="s">
        <v>380</v>
      </c>
      <c r="AF11" s="550" t="s">
        <v>380</v>
      </c>
      <c r="AG11" s="550" t="s">
        <v>380</v>
      </c>
      <c r="AH11" s="550" t="s">
        <v>380</v>
      </c>
      <c r="AI11" s="550" t="s">
        <v>380</v>
      </c>
      <c r="AJ11" s="550" t="s">
        <v>380</v>
      </c>
      <c r="AK11" s="550" t="s">
        <v>380</v>
      </c>
      <c r="AL11" s="550" t="s">
        <v>380</v>
      </c>
      <c r="AM11" s="550" t="s">
        <v>380</v>
      </c>
      <c r="AN11" s="550" t="s">
        <v>380</v>
      </c>
      <c r="AO11" s="550" t="s">
        <v>380</v>
      </c>
      <c r="AP11" s="550" t="s">
        <v>380</v>
      </c>
      <c r="AQ11" s="550" t="s">
        <v>380</v>
      </c>
      <c r="AR11" s="550" t="s">
        <v>380</v>
      </c>
      <c r="AS11" s="550" t="s">
        <v>380</v>
      </c>
      <c r="AT11" s="550" t="s">
        <v>380</v>
      </c>
      <c r="AU11" s="550" t="s">
        <v>380</v>
      </c>
      <c r="AV11" s="550" t="s">
        <v>380</v>
      </c>
      <c r="AW11" s="550" t="s">
        <v>380</v>
      </c>
      <c r="AX11" s="550" t="s">
        <v>380</v>
      </c>
      <c r="AY11" s="550" t="s">
        <v>380</v>
      </c>
      <c r="AZ11" s="550" t="s">
        <v>380</v>
      </c>
      <c r="BA11" s="550" t="s">
        <v>380</v>
      </c>
      <c r="BB11" s="550" t="s">
        <v>380</v>
      </c>
      <c r="BC11" s="550" t="s">
        <v>380</v>
      </c>
      <c r="BD11" s="550" t="s">
        <v>380</v>
      </c>
      <c r="BE11" s="550" t="s">
        <v>380</v>
      </c>
      <c r="BF11" s="550" t="s">
        <v>380</v>
      </c>
      <c r="BG11" s="550" t="s">
        <v>380</v>
      </c>
      <c r="BH11" s="550" t="s">
        <v>380</v>
      </c>
      <c r="BI11" s="550" t="s">
        <v>380</v>
      </c>
      <c r="BJ11" s="550" t="s">
        <v>380</v>
      </c>
      <c r="BK11" s="550" t="s">
        <v>380</v>
      </c>
      <c r="BL11" s="550" t="s">
        <v>380</v>
      </c>
      <c r="BM11" s="550" t="s">
        <v>380</v>
      </c>
      <c r="BN11" s="550" t="s">
        <v>380</v>
      </c>
      <c r="BO11" s="550" t="s">
        <v>380</v>
      </c>
      <c r="BP11" s="550" t="s">
        <v>380</v>
      </c>
      <c r="BQ11" s="550" t="s">
        <v>380</v>
      </c>
      <c r="BR11" s="550" t="s">
        <v>380</v>
      </c>
      <c r="BS11" s="550" t="s">
        <v>380</v>
      </c>
      <c r="BT11" s="550" t="s">
        <v>380</v>
      </c>
      <c r="BU11" s="550" t="s">
        <v>380</v>
      </c>
      <c r="BV11" s="550" t="s">
        <v>380</v>
      </c>
      <c r="BW11" s="550" t="s">
        <v>380</v>
      </c>
      <c r="BX11" s="550" t="s">
        <v>380</v>
      </c>
      <c r="BY11" s="550" t="s">
        <v>380</v>
      </c>
      <c r="BZ11" s="550" t="s">
        <v>380</v>
      </c>
      <c r="CA11" s="550" t="s">
        <v>380</v>
      </c>
      <c r="CB11" s="550" t="s">
        <v>380</v>
      </c>
      <c r="CC11" s="550" t="s">
        <v>380</v>
      </c>
      <c r="CD11" s="550" t="s">
        <v>380</v>
      </c>
      <c r="CE11" s="550" t="s">
        <v>380</v>
      </c>
      <c r="CF11" s="550" t="s">
        <v>380</v>
      </c>
      <c r="CG11" s="550" t="s">
        <v>380</v>
      </c>
      <c r="CH11" s="550" t="s">
        <v>380</v>
      </c>
      <c r="CI11" s="550" t="s">
        <v>380</v>
      </c>
      <c r="CJ11" s="550" t="s">
        <v>380</v>
      </c>
      <c r="CK11" s="550" t="s">
        <v>380</v>
      </c>
      <c r="CL11" s="550" t="s">
        <v>380</v>
      </c>
      <c r="CM11" s="550" t="s">
        <v>380</v>
      </c>
      <c r="CN11" s="550" t="s">
        <v>380</v>
      </c>
      <c r="CO11" s="550" t="s">
        <v>380</v>
      </c>
      <c r="CP11" s="550" t="s">
        <v>380</v>
      </c>
      <c r="CQ11" s="550" t="s">
        <v>380</v>
      </c>
      <c r="CR11" s="550" t="s">
        <v>380</v>
      </c>
      <c r="CS11" s="550" t="s">
        <v>380</v>
      </c>
      <c r="CT11" s="550" t="s">
        <v>380</v>
      </c>
      <c r="CU11" s="550" t="s">
        <v>380</v>
      </c>
      <c r="CV11" s="550" t="s">
        <v>380</v>
      </c>
      <c r="CW11" s="550" t="s">
        <v>380</v>
      </c>
      <c r="CX11" s="550" t="s">
        <v>380</v>
      </c>
      <c r="CY11" s="550" t="s">
        <v>380</v>
      </c>
      <c r="CZ11" s="550" t="s">
        <v>380</v>
      </c>
      <c r="DA11" s="550" t="s">
        <v>380</v>
      </c>
      <c r="DB11" s="550" t="s">
        <v>380</v>
      </c>
      <c r="DC11" s="550" t="s">
        <v>380</v>
      </c>
      <c r="DD11" s="550" t="s">
        <v>380</v>
      </c>
      <c r="DE11" s="550" t="s">
        <v>380</v>
      </c>
      <c r="DF11" s="550" t="s">
        <v>380</v>
      </c>
      <c r="DG11" s="550" t="s">
        <v>380</v>
      </c>
      <c r="DH11" s="550" t="s">
        <v>380</v>
      </c>
      <c r="DI11" s="550" t="s">
        <v>380</v>
      </c>
      <c r="DJ11" s="550" t="s">
        <v>380</v>
      </c>
      <c r="DK11" s="550" t="s">
        <v>380</v>
      </c>
      <c r="DL11" s="550" t="s">
        <v>380</v>
      </c>
      <c r="DM11" s="550" t="s">
        <v>380</v>
      </c>
      <c r="DN11" s="550" t="s">
        <v>380</v>
      </c>
    </row>
    <row r="12" ht="15.0" customHeight="1">
      <c r="A12" s="53">
        <v>62.0</v>
      </c>
      <c r="B12" s="100" t="s">
        <v>294</v>
      </c>
      <c r="C12" s="100" t="s">
        <v>294</v>
      </c>
      <c r="D12" s="111" t="str">
        <f t="shared" si="1"/>
        <v>COL5</v>
      </c>
      <c r="E12" s="111" t="s">
        <v>289</v>
      </c>
      <c r="F12" s="102">
        <v>1125.0</v>
      </c>
      <c r="G12" s="517" t="s">
        <v>289</v>
      </c>
      <c r="H12" s="517">
        <v>1125.0</v>
      </c>
      <c r="I12" s="68" t="str">
        <f>IFERROR(VLOOKUP(C:C,'R22 RELATÓRIO ACC'!B:F,5,FALSE),"NOT PUBLISHED")</f>
        <v>V6</v>
      </c>
      <c r="J12" s="68" t="str">
        <f>IFERROR(VLOOKUP(C:C,'R22 RELATÓRIO ACC'!B:P,15,FALSE),"NOT PUBLISHED")</f>
        <v>07/11/2025</v>
      </c>
      <c r="K12" s="70" t="str">
        <f>IFERROR(VLOOKUP(B:B,'RELATÓRIO ACC'!B:F,5,FALSE),"NOT PUBLISHED")</f>
        <v>V1</v>
      </c>
      <c r="L12" s="518" t="str">
        <f>IFERROR(VLOOKUP(B:B,'RELATÓRIO ACC'!B:P,15,FALSE),"NOT PUBLISHED")</f>
        <v>21/05/2026</v>
      </c>
      <c r="M12" s="661" t="s">
        <v>380</v>
      </c>
      <c r="N12" s="669" t="s">
        <v>380</v>
      </c>
      <c r="O12" s="538" t="s">
        <v>380</v>
      </c>
      <c r="P12" s="663"/>
      <c r="Q12" s="550" t="s">
        <v>380</v>
      </c>
      <c r="R12" s="550" t="s">
        <v>380</v>
      </c>
      <c r="S12" s="667" t="s">
        <v>380</v>
      </c>
      <c r="T12" s="550" t="s">
        <v>380</v>
      </c>
      <c r="U12" s="550" t="s">
        <v>380</v>
      </c>
      <c r="V12" s="667" t="s">
        <v>380</v>
      </c>
      <c r="W12" s="550" t="s">
        <v>380</v>
      </c>
      <c r="X12" s="550" t="s">
        <v>380</v>
      </c>
      <c r="Y12" s="667" t="s">
        <v>380</v>
      </c>
      <c r="Z12" s="550" t="s">
        <v>380</v>
      </c>
      <c r="AA12" s="550" t="s">
        <v>380</v>
      </c>
      <c r="AB12" s="667" t="s">
        <v>380</v>
      </c>
      <c r="AC12" s="550" t="s">
        <v>380</v>
      </c>
      <c r="AD12" s="550" t="s">
        <v>380</v>
      </c>
      <c r="AE12" s="667" t="s">
        <v>380</v>
      </c>
      <c r="AF12" s="550" t="s">
        <v>380</v>
      </c>
      <c r="AG12" s="550" t="s">
        <v>380</v>
      </c>
      <c r="AH12" s="550" t="s">
        <v>380</v>
      </c>
      <c r="AI12" s="550" t="s">
        <v>380</v>
      </c>
      <c r="AJ12" s="550" t="s">
        <v>380</v>
      </c>
      <c r="AK12" s="550" t="s">
        <v>380</v>
      </c>
      <c r="AL12" s="550" t="s">
        <v>380</v>
      </c>
      <c r="AM12" s="550" t="s">
        <v>380</v>
      </c>
      <c r="AN12" s="550" t="s">
        <v>380</v>
      </c>
      <c r="AO12" s="550" t="s">
        <v>380</v>
      </c>
      <c r="AP12" s="550" t="s">
        <v>380</v>
      </c>
      <c r="AQ12" s="550" t="s">
        <v>380</v>
      </c>
      <c r="AR12" s="550" t="s">
        <v>380</v>
      </c>
      <c r="AS12" s="550" t="s">
        <v>380</v>
      </c>
      <c r="AT12" s="550" t="s">
        <v>380</v>
      </c>
      <c r="AU12" s="550" t="s">
        <v>380</v>
      </c>
      <c r="AV12" s="550" t="s">
        <v>380</v>
      </c>
      <c r="AW12" s="550" t="s">
        <v>380</v>
      </c>
      <c r="AX12" s="550" t="s">
        <v>380</v>
      </c>
      <c r="AY12" s="550" t="s">
        <v>380</v>
      </c>
      <c r="AZ12" s="550" t="s">
        <v>380</v>
      </c>
      <c r="BA12" s="550" t="s">
        <v>380</v>
      </c>
      <c r="BB12" s="550" t="s">
        <v>380</v>
      </c>
      <c r="BC12" s="550" t="s">
        <v>380</v>
      </c>
      <c r="BD12" s="550" t="s">
        <v>380</v>
      </c>
      <c r="BE12" s="550" t="s">
        <v>380</v>
      </c>
      <c r="BF12" s="550" t="s">
        <v>380</v>
      </c>
      <c r="BG12" s="550" t="s">
        <v>380</v>
      </c>
      <c r="BH12" s="550" t="s">
        <v>380</v>
      </c>
      <c r="BI12" s="550" t="s">
        <v>380</v>
      </c>
      <c r="BJ12" s="550" t="s">
        <v>380</v>
      </c>
      <c r="BK12" s="550" t="s">
        <v>380</v>
      </c>
      <c r="BL12" s="550" t="s">
        <v>380</v>
      </c>
      <c r="BM12" s="550" t="s">
        <v>380</v>
      </c>
      <c r="BN12" s="550" t="s">
        <v>380</v>
      </c>
      <c r="BO12" s="550" t="s">
        <v>380</v>
      </c>
      <c r="BP12" s="550" t="s">
        <v>380</v>
      </c>
      <c r="BQ12" s="550" t="s">
        <v>380</v>
      </c>
      <c r="BR12" s="550" t="s">
        <v>380</v>
      </c>
      <c r="BS12" s="550" t="s">
        <v>380</v>
      </c>
      <c r="BT12" s="550" t="s">
        <v>380</v>
      </c>
      <c r="BU12" s="550" t="s">
        <v>380</v>
      </c>
      <c r="BV12" s="550" t="s">
        <v>380</v>
      </c>
      <c r="BW12" s="550" t="s">
        <v>380</v>
      </c>
      <c r="BX12" s="550" t="s">
        <v>380</v>
      </c>
      <c r="BY12" s="550" t="s">
        <v>380</v>
      </c>
      <c r="BZ12" s="550" t="s">
        <v>380</v>
      </c>
      <c r="CA12" s="550" t="s">
        <v>380</v>
      </c>
      <c r="CB12" s="550" t="s">
        <v>380</v>
      </c>
      <c r="CC12" s="550" t="s">
        <v>380</v>
      </c>
      <c r="CD12" s="550" t="s">
        <v>380</v>
      </c>
      <c r="CE12" s="550" t="s">
        <v>380</v>
      </c>
      <c r="CF12" s="550" t="s">
        <v>380</v>
      </c>
      <c r="CG12" s="550" t="s">
        <v>380</v>
      </c>
      <c r="CH12" s="550" t="s">
        <v>380</v>
      </c>
      <c r="CI12" s="550" t="s">
        <v>380</v>
      </c>
      <c r="CJ12" s="550" t="s">
        <v>380</v>
      </c>
      <c r="CK12" s="550" t="s">
        <v>380</v>
      </c>
      <c r="CL12" s="550" t="s">
        <v>380</v>
      </c>
      <c r="CM12" s="550" t="s">
        <v>380</v>
      </c>
      <c r="CN12" s="550" t="s">
        <v>380</v>
      </c>
      <c r="CO12" s="550" t="s">
        <v>380</v>
      </c>
      <c r="CP12" s="550" t="s">
        <v>380</v>
      </c>
      <c r="CQ12" s="528" t="s">
        <v>380</v>
      </c>
      <c r="CR12" s="550" t="s">
        <v>380</v>
      </c>
      <c r="CS12" s="528" t="s">
        <v>380</v>
      </c>
      <c r="CT12" s="528" t="s">
        <v>380</v>
      </c>
      <c r="CU12" s="550" t="s">
        <v>380</v>
      </c>
      <c r="CV12" s="528" t="s">
        <v>380</v>
      </c>
      <c r="CW12" s="528" t="s">
        <v>380</v>
      </c>
      <c r="CX12" s="550" t="s">
        <v>380</v>
      </c>
      <c r="CY12" s="528" t="s">
        <v>380</v>
      </c>
      <c r="CZ12" s="528" t="s">
        <v>380</v>
      </c>
      <c r="DA12" s="550" t="s">
        <v>380</v>
      </c>
      <c r="DB12" s="528" t="s">
        <v>380</v>
      </c>
      <c r="DC12" s="528" t="s">
        <v>380</v>
      </c>
      <c r="DD12" s="550" t="s">
        <v>380</v>
      </c>
      <c r="DE12" s="528" t="s">
        <v>380</v>
      </c>
      <c r="DF12" s="528" t="s">
        <v>380</v>
      </c>
      <c r="DG12" s="550" t="s">
        <v>380</v>
      </c>
      <c r="DH12" s="528" t="s">
        <v>380</v>
      </c>
      <c r="DI12" s="528" t="s">
        <v>380</v>
      </c>
      <c r="DJ12" s="550" t="s">
        <v>380</v>
      </c>
      <c r="DK12" s="528" t="s">
        <v>380</v>
      </c>
      <c r="DL12" s="528" t="s">
        <v>380</v>
      </c>
      <c r="DM12" s="550" t="s">
        <v>380</v>
      </c>
      <c r="DN12" s="528" t="s">
        <v>380</v>
      </c>
    </row>
    <row r="13" ht="15.0" customHeight="1">
      <c r="A13" s="53">
        <v>4.0</v>
      </c>
      <c r="B13" s="100" t="s">
        <v>393</v>
      </c>
      <c r="C13" s="100" t="s">
        <v>394</v>
      </c>
      <c r="D13" s="101" t="str">
        <f>MID(B13,17,4)</f>
        <v>DATA</v>
      </c>
      <c r="E13" s="101" t="s">
        <v>395</v>
      </c>
      <c r="F13" s="102">
        <v>1102.0</v>
      </c>
      <c r="G13" s="517" t="s">
        <v>80</v>
      </c>
      <c r="H13" s="517">
        <v>1130.0</v>
      </c>
      <c r="I13" s="68" t="str">
        <f>IFERROR(VLOOKUP(C:C,'R22 RELATÓRIO ACC'!B:F,5,FALSE),"NOT PUBLISHED")</f>
        <v>NOT PUBLISHED</v>
      </c>
      <c r="J13" s="68" t="str">
        <f>IFERROR(VLOOKUP(C:C,'R22 RELATÓRIO ACC'!B:P,15,FALSE),"NOT PUBLISHED")</f>
        <v>NOT PUBLISHED</v>
      </c>
      <c r="K13" s="70" t="str">
        <f>IFERROR(VLOOKUP(B:B,'RELATÓRIO ACC'!B:F,5,FALSE),"NOT PUBLISHED")</f>
        <v>NOT PUBLISHED</v>
      </c>
      <c r="L13" s="518" t="str">
        <f>IFERROR(VLOOKUP(B:B,'RELATÓRIO ACC'!B:P,15,FALSE),"NOT PUBLISHED")</f>
        <v>NOT PUBLISHED</v>
      </c>
      <c r="M13" s="661" t="s">
        <v>388</v>
      </c>
      <c r="N13" s="661" t="s">
        <v>388</v>
      </c>
      <c r="O13" s="538" t="s">
        <v>388</v>
      </c>
      <c r="P13" s="663"/>
      <c r="Q13" s="550" t="s">
        <v>388</v>
      </c>
      <c r="R13" s="558" t="s">
        <v>380</v>
      </c>
      <c r="S13" s="550" t="s">
        <v>388</v>
      </c>
      <c r="T13" s="550" t="s">
        <v>388</v>
      </c>
      <c r="U13" s="558" t="s">
        <v>380</v>
      </c>
      <c r="V13" s="550" t="s">
        <v>388</v>
      </c>
      <c r="W13" s="550" t="s">
        <v>388</v>
      </c>
      <c r="X13" s="558" t="s">
        <v>380</v>
      </c>
      <c r="Y13" s="550" t="s">
        <v>388</v>
      </c>
      <c r="Z13" s="550" t="s">
        <v>388</v>
      </c>
      <c r="AA13" s="550" t="s">
        <v>380</v>
      </c>
      <c r="AB13" s="550" t="s">
        <v>388</v>
      </c>
      <c r="AC13" s="550" t="s">
        <v>388</v>
      </c>
      <c r="AD13" s="550" t="s">
        <v>380</v>
      </c>
      <c r="AE13" s="550" t="s">
        <v>388</v>
      </c>
      <c r="AF13" s="550" t="s">
        <v>388</v>
      </c>
      <c r="AG13" s="550" t="s">
        <v>380</v>
      </c>
      <c r="AH13" s="550" t="s">
        <v>388</v>
      </c>
      <c r="AI13" s="550" t="s">
        <v>388</v>
      </c>
      <c r="AJ13" s="550" t="s">
        <v>380</v>
      </c>
      <c r="AK13" s="550" t="s">
        <v>388</v>
      </c>
      <c r="AL13" s="550" t="s">
        <v>388</v>
      </c>
      <c r="AM13" s="550" t="s">
        <v>380</v>
      </c>
      <c r="AN13" s="550" t="s">
        <v>388</v>
      </c>
      <c r="AO13" s="550" t="s">
        <v>388</v>
      </c>
      <c r="AP13" s="550" t="s">
        <v>380</v>
      </c>
      <c r="AQ13" s="550" t="s">
        <v>388</v>
      </c>
      <c r="AR13" s="550" t="s">
        <v>388</v>
      </c>
      <c r="AS13" s="550" t="s">
        <v>380</v>
      </c>
      <c r="AT13" s="550" t="s">
        <v>388</v>
      </c>
      <c r="AU13" s="550" t="s">
        <v>388</v>
      </c>
      <c r="AV13" s="550" t="s">
        <v>380</v>
      </c>
      <c r="AW13" s="550" t="s">
        <v>388</v>
      </c>
      <c r="AX13" s="550" t="s">
        <v>388</v>
      </c>
      <c r="AY13" s="550" t="s">
        <v>380</v>
      </c>
      <c r="AZ13" s="550" t="s">
        <v>388</v>
      </c>
      <c r="BA13" s="550" t="s">
        <v>388</v>
      </c>
      <c r="BB13" s="550" t="s">
        <v>380</v>
      </c>
      <c r="BC13" s="550" t="s">
        <v>388</v>
      </c>
      <c r="BD13" s="550" t="s">
        <v>388</v>
      </c>
      <c r="BE13" s="550" t="s">
        <v>380</v>
      </c>
      <c r="BF13" s="550" t="s">
        <v>388</v>
      </c>
      <c r="BG13" s="550" t="s">
        <v>388</v>
      </c>
      <c r="BH13" s="550" t="s">
        <v>380</v>
      </c>
      <c r="BI13" s="550" t="s">
        <v>388</v>
      </c>
      <c r="BJ13" s="550" t="s">
        <v>388</v>
      </c>
      <c r="BK13" s="550" t="s">
        <v>380</v>
      </c>
      <c r="BL13" s="550" t="s">
        <v>388</v>
      </c>
      <c r="BM13" s="550" t="s">
        <v>388</v>
      </c>
      <c r="BN13" s="550" t="s">
        <v>380</v>
      </c>
      <c r="BO13" s="550" t="s">
        <v>388</v>
      </c>
      <c r="BP13" s="550" t="s">
        <v>388</v>
      </c>
      <c r="BQ13" s="550" t="s">
        <v>380</v>
      </c>
      <c r="BR13" s="550" t="s">
        <v>388</v>
      </c>
      <c r="BS13" s="550" t="s">
        <v>388</v>
      </c>
      <c r="BT13" s="550" t="s">
        <v>380</v>
      </c>
      <c r="BU13" s="550" t="s">
        <v>388</v>
      </c>
      <c r="BV13" s="550" t="s">
        <v>388</v>
      </c>
      <c r="BW13" s="550" t="s">
        <v>380</v>
      </c>
      <c r="BX13" s="550" t="s">
        <v>388</v>
      </c>
      <c r="BY13" s="550" t="s">
        <v>388</v>
      </c>
      <c r="BZ13" s="550" t="s">
        <v>380</v>
      </c>
      <c r="CA13" s="550" t="s">
        <v>388</v>
      </c>
      <c r="CB13" s="550" t="s">
        <v>388</v>
      </c>
      <c r="CC13" s="550" t="s">
        <v>380</v>
      </c>
      <c r="CD13" s="550" t="s">
        <v>388</v>
      </c>
      <c r="CE13" s="550" t="s">
        <v>388</v>
      </c>
      <c r="CF13" s="550" t="s">
        <v>380</v>
      </c>
      <c r="CG13" s="550" t="s">
        <v>388</v>
      </c>
      <c r="CH13" s="550" t="s">
        <v>388</v>
      </c>
      <c r="CI13" s="550" t="s">
        <v>380</v>
      </c>
      <c r="CJ13" s="550" t="s">
        <v>388</v>
      </c>
      <c r="CK13" s="550" t="s">
        <v>388</v>
      </c>
      <c r="CL13" s="550" t="s">
        <v>380</v>
      </c>
      <c r="CM13" s="550" t="s">
        <v>388</v>
      </c>
      <c r="CN13" s="550" t="s">
        <v>388</v>
      </c>
      <c r="CO13" s="550" t="s">
        <v>380</v>
      </c>
      <c r="CP13" s="550" t="s">
        <v>388</v>
      </c>
      <c r="CQ13" s="550" t="s">
        <v>388</v>
      </c>
      <c r="CR13" s="550" t="s">
        <v>380</v>
      </c>
      <c r="CS13" s="550" t="s">
        <v>388</v>
      </c>
      <c r="CT13" s="550" t="s">
        <v>388</v>
      </c>
      <c r="CU13" s="550" t="s">
        <v>380</v>
      </c>
      <c r="CV13" s="550" t="s">
        <v>388</v>
      </c>
      <c r="CW13" s="550" t="s">
        <v>388</v>
      </c>
      <c r="CX13" s="550" t="s">
        <v>380</v>
      </c>
      <c r="CY13" s="550" t="s">
        <v>388</v>
      </c>
      <c r="CZ13" s="550" t="s">
        <v>388</v>
      </c>
      <c r="DA13" s="550" t="s">
        <v>380</v>
      </c>
      <c r="DB13" s="550" t="s">
        <v>388</v>
      </c>
      <c r="DC13" s="550" t="s">
        <v>388</v>
      </c>
      <c r="DD13" s="550" t="s">
        <v>380</v>
      </c>
      <c r="DE13" s="550" t="s">
        <v>388</v>
      </c>
      <c r="DF13" s="550" t="s">
        <v>388</v>
      </c>
      <c r="DG13" s="550" t="s">
        <v>380</v>
      </c>
      <c r="DH13" s="550" t="s">
        <v>388</v>
      </c>
      <c r="DI13" s="550" t="s">
        <v>388</v>
      </c>
      <c r="DJ13" s="550" t="s">
        <v>380</v>
      </c>
      <c r="DK13" s="550" t="s">
        <v>388</v>
      </c>
      <c r="DL13" s="550" t="s">
        <v>388</v>
      </c>
      <c r="DM13" s="550" t="s">
        <v>380</v>
      </c>
      <c r="DN13" s="550" t="s">
        <v>388</v>
      </c>
    </row>
    <row r="14" ht="15.0" customHeight="1">
      <c r="A14" s="53">
        <v>16.0</v>
      </c>
      <c r="B14" s="100" t="s">
        <v>132</v>
      </c>
      <c r="C14" s="100" t="s">
        <v>133</v>
      </c>
      <c r="D14" s="101" t="str">
        <f>MID(B14,FIND(CHAR(160),SUBSTITUTE(B14,"-",CHAR(160),3)) + 1,FIND(CHAR(160),SUBSTITUTE(B14,"-",CHAR(160),4)) - 1 - (FIND(CHAR(160),SUBSTITUTE(B14,"-",CHAR(160),3))))</f>
        <v>DATA</v>
      </c>
      <c r="E14" s="101" t="s">
        <v>105</v>
      </c>
      <c r="F14" s="115">
        <v>0.0</v>
      </c>
      <c r="G14" s="535" t="s">
        <v>105</v>
      </c>
      <c r="H14" s="535">
        <v>0.0</v>
      </c>
      <c r="I14" s="68" t="str">
        <f>IFERROR(VLOOKUP(C:C,'R22 RELATÓRIO ACC'!B:F,5,FALSE),"NOT PUBLISHED")</f>
        <v>NOT PUBLISHED</v>
      </c>
      <c r="J14" s="68" t="str">
        <f>IFERROR(VLOOKUP(C:C,'R22 RELATÓRIO ACC'!B:P,15,FALSE),"NOT PUBLISHED")</f>
        <v>NOT PUBLISHED</v>
      </c>
      <c r="K14" s="70" t="str">
        <f>IFERROR(VLOOKUP(B:B,'RELATÓRIO ACC'!B:F,5,FALSE),"NOT PUBLISHED")</f>
        <v>NOT PUBLISHED</v>
      </c>
      <c r="L14" s="518" t="str">
        <f>IFERROR(VLOOKUP(B:B,'RELATÓRIO ACC'!B:P,15,FALSE),"NOT PUBLISHED")</f>
        <v>NOT PUBLISHED</v>
      </c>
      <c r="M14" s="661" t="s">
        <v>388</v>
      </c>
      <c r="N14" s="661" t="s">
        <v>388</v>
      </c>
      <c r="O14" s="538" t="s">
        <v>388</v>
      </c>
      <c r="P14" s="663"/>
      <c r="Q14" s="550" t="s">
        <v>388</v>
      </c>
      <c r="R14" s="558" t="s">
        <v>380</v>
      </c>
      <c r="S14" s="550" t="s">
        <v>388</v>
      </c>
      <c r="T14" s="550" t="s">
        <v>388</v>
      </c>
      <c r="U14" s="558" t="s">
        <v>380</v>
      </c>
      <c r="V14" s="550" t="s">
        <v>388</v>
      </c>
      <c r="W14" s="550" t="s">
        <v>388</v>
      </c>
      <c r="X14" s="558" t="s">
        <v>380</v>
      </c>
      <c r="Y14" s="550" t="s">
        <v>388</v>
      </c>
      <c r="Z14" s="550" t="s">
        <v>388</v>
      </c>
      <c r="AA14" s="550" t="s">
        <v>380</v>
      </c>
      <c r="AB14" s="550" t="s">
        <v>388</v>
      </c>
      <c r="AC14" s="550" t="s">
        <v>388</v>
      </c>
      <c r="AD14" s="550" t="s">
        <v>380</v>
      </c>
      <c r="AE14" s="550" t="s">
        <v>388</v>
      </c>
      <c r="AF14" s="550" t="s">
        <v>388</v>
      </c>
      <c r="AG14" s="550" t="s">
        <v>380</v>
      </c>
      <c r="AH14" s="550" t="s">
        <v>388</v>
      </c>
      <c r="AI14" s="550" t="s">
        <v>388</v>
      </c>
      <c r="AJ14" s="550" t="s">
        <v>380</v>
      </c>
      <c r="AK14" s="550" t="s">
        <v>388</v>
      </c>
      <c r="AL14" s="550" t="s">
        <v>388</v>
      </c>
      <c r="AM14" s="550" t="s">
        <v>380</v>
      </c>
      <c r="AN14" s="550" t="s">
        <v>388</v>
      </c>
      <c r="AO14" s="550" t="s">
        <v>388</v>
      </c>
      <c r="AP14" s="550" t="s">
        <v>380</v>
      </c>
      <c r="AQ14" s="550" t="s">
        <v>388</v>
      </c>
      <c r="AR14" s="550" t="s">
        <v>388</v>
      </c>
      <c r="AS14" s="550" t="s">
        <v>380</v>
      </c>
      <c r="AT14" s="550" t="s">
        <v>388</v>
      </c>
      <c r="AU14" s="550" t="s">
        <v>388</v>
      </c>
      <c r="AV14" s="550" t="s">
        <v>380</v>
      </c>
      <c r="AW14" s="550" t="s">
        <v>388</v>
      </c>
      <c r="AX14" s="550" t="s">
        <v>388</v>
      </c>
      <c r="AY14" s="550" t="s">
        <v>380</v>
      </c>
      <c r="AZ14" s="550" t="s">
        <v>388</v>
      </c>
      <c r="BA14" s="550" t="s">
        <v>388</v>
      </c>
      <c r="BB14" s="550" t="s">
        <v>380</v>
      </c>
      <c r="BC14" s="550" t="s">
        <v>388</v>
      </c>
      <c r="BD14" s="550" t="s">
        <v>388</v>
      </c>
      <c r="BE14" s="550" t="s">
        <v>380</v>
      </c>
      <c r="BF14" s="550" t="s">
        <v>388</v>
      </c>
      <c r="BG14" s="550" t="s">
        <v>388</v>
      </c>
      <c r="BH14" s="550" t="s">
        <v>380</v>
      </c>
      <c r="BI14" s="550" t="s">
        <v>388</v>
      </c>
      <c r="BJ14" s="550" t="s">
        <v>388</v>
      </c>
      <c r="BK14" s="550" t="s">
        <v>380</v>
      </c>
      <c r="BL14" s="550" t="s">
        <v>388</v>
      </c>
      <c r="BM14" s="550" t="s">
        <v>388</v>
      </c>
      <c r="BN14" s="550" t="s">
        <v>380</v>
      </c>
      <c r="BO14" s="550" t="s">
        <v>388</v>
      </c>
      <c r="BP14" s="523" t="s">
        <v>388</v>
      </c>
      <c r="BQ14" s="550" t="s">
        <v>380</v>
      </c>
      <c r="BR14" s="523" t="s">
        <v>388</v>
      </c>
      <c r="BS14" s="550" t="s">
        <v>388</v>
      </c>
      <c r="BT14" s="550" t="s">
        <v>380</v>
      </c>
      <c r="BU14" s="550" t="s">
        <v>388</v>
      </c>
      <c r="BV14" s="550" t="s">
        <v>388</v>
      </c>
      <c r="BW14" s="550" t="s">
        <v>380</v>
      </c>
      <c r="BX14" s="550" t="s">
        <v>388</v>
      </c>
      <c r="BY14" s="550" t="s">
        <v>388</v>
      </c>
      <c r="BZ14" s="550" t="s">
        <v>380</v>
      </c>
      <c r="CA14" s="550" t="s">
        <v>388</v>
      </c>
      <c r="CB14" s="550" t="s">
        <v>388</v>
      </c>
      <c r="CC14" s="550" t="s">
        <v>380</v>
      </c>
      <c r="CD14" s="550" t="s">
        <v>388</v>
      </c>
      <c r="CE14" s="550" t="s">
        <v>388</v>
      </c>
      <c r="CF14" s="550" t="s">
        <v>380</v>
      </c>
      <c r="CG14" s="550" t="s">
        <v>388</v>
      </c>
      <c r="CH14" s="550" t="s">
        <v>388</v>
      </c>
      <c r="CI14" s="550" t="s">
        <v>380</v>
      </c>
      <c r="CJ14" s="550" t="s">
        <v>388</v>
      </c>
      <c r="CK14" s="550" t="s">
        <v>388</v>
      </c>
      <c r="CL14" s="550" t="s">
        <v>380</v>
      </c>
      <c r="CM14" s="550" t="s">
        <v>388</v>
      </c>
      <c r="CN14" s="550" t="s">
        <v>388</v>
      </c>
      <c r="CO14" s="550" t="s">
        <v>380</v>
      </c>
      <c r="CP14" s="550" t="s">
        <v>388</v>
      </c>
      <c r="CQ14" s="550" t="s">
        <v>388</v>
      </c>
      <c r="CR14" s="550" t="s">
        <v>380</v>
      </c>
      <c r="CS14" s="550" t="s">
        <v>388</v>
      </c>
      <c r="CT14" s="550" t="s">
        <v>388</v>
      </c>
      <c r="CU14" s="550" t="s">
        <v>380</v>
      </c>
      <c r="CV14" s="550" t="s">
        <v>388</v>
      </c>
      <c r="CW14" s="550" t="s">
        <v>388</v>
      </c>
      <c r="CX14" s="550" t="s">
        <v>380</v>
      </c>
      <c r="CY14" s="550" t="s">
        <v>388</v>
      </c>
      <c r="CZ14" s="550" t="s">
        <v>388</v>
      </c>
      <c r="DA14" s="550" t="s">
        <v>380</v>
      </c>
      <c r="DB14" s="550" t="s">
        <v>388</v>
      </c>
      <c r="DC14" s="550" t="s">
        <v>388</v>
      </c>
      <c r="DD14" s="550" t="s">
        <v>380</v>
      </c>
      <c r="DE14" s="528" t="s">
        <v>388</v>
      </c>
      <c r="DF14" s="550" t="s">
        <v>388</v>
      </c>
      <c r="DG14" s="550" t="s">
        <v>380</v>
      </c>
      <c r="DH14" s="528" t="s">
        <v>388</v>
      </c>
      <c r="DI14" s="550" t="s">
        <v>388</v>
      </c>
      <c r="DJ14" s="550" t="s">
        <v>380</v>
      </c>
      <c r="DK14" s="528" t="s">
        <v>388</v>
      </c>
      <c r="DL14" s="550" t="s">
        <v>388</v>
      </c>
      <c r="DM14" s="550" t="s">
        <v>380</v>
      </c>
      <c r="DN14" s="528" t="s">
        <v>388</v>
      </c>
    </row>
    <row r="15" ht="15.0" customHeight="1">
      <c r="A15" s="53">
        <v>3.0</v>
      </c>
      <c r="B15" s="100" t="s">
        <v>390</v>
      </c>
      <c r="C15" s="100" t="s">
        <v>391</v>
      </c>
      <c r="D15" s="101" t="str">
        <f t="shared" ref="D15:D17" si="2">MID(B15,17,4)</f>
        <v>DATA</v>
      </c>
      <c r="E15" s="552" t="s">
        <v>392</v>
      </c>
      <c r="F15" s="118">
        <v>1111.0</v>
      </c>
      <c r="G15" s="517" t="s">
        <v>80</v>
      </c>
      <c r="H15" s="517">
        <v>1130.0</v>
      </c>
      <c r="I15" s="68" t="str">
        <f>IFERROR(VLOOKUP(C:C,'R22 RELATÓRIO ACC'!B:F,5,FALSE),"NOT PUBLISHED")</f>
        <v>NOT PUBLISHED</v>
      </c>
      <c r="J15" s="68" t="str">
        <f>IFERROR(VLOOKUP(C:C,'R22 RELATÓRIO ACC'!B:P,15,FALSE),"NOT PUBLISHED")</f>
        <v>NOT PUBLISHED</v>
      </c>
      <c r="K15" s="70" t="str">
        <f>IFERROR(VLOOKUP(B:B,'RELATÓRIO ACC'!B:F,5,FALSE),"NOT PUBLISHED")</f>
        <v>NOT PUBLISHED</v>
      </c>
      <c r="L15" s="518" t="str">
        <f>IFERROR(VLOOKUP(B:B,'RELATÓRIO ACC'!B:P,15,FALSE),"NOT PUBLISHED")</f>
        <v>NOT PUBLISHED</v>
      </c>
      <c r="M15" s="661" t="s">
        <v>388</v>
      </c>
      <c r="N15" s="661" t="s">
        <v>388</v>
      </c>
      <c r="O15" s="538" t="s">
        <v>388</v>
      </c>
      <c r="P15" s="663"/>
      <c r="Q15" s="550" t="s">
        <v>388</v>
      </c>
      <c r="R15" s="558" t="s">
        <v>380</v>
      </c>
      <c r="S15" s="550" t="s">
        <v>388</v>
      </c>
      <c r="T15" s="550" t="s">
        <v>388</v>
      </c>
      <c r="U15" s="558" t="s">
        <v>380</v>
      </c>
      <c r="V15" s="550" t="s">
        <v>388</v>
      </c>
      <c r="W15" s="550" t="s">
        <v>388</v>
      </c>
      <c r="X15" s="558" t="s">
        <v>380</v>
      </c>
      <c r="Y15" s="550" t="s">
        <v>388</v>
      </c>
      <c r="Z15" s="550" t="s">
        <v>388</v>
      </c>
      <c r="AA15" s="550" t="s">
        <v>380</v>
      </c>
      <c r="AB15" s="550" t="s">
        <v>388</v>
      </c>
      <c r="AC15" s="550" t="s">
        <v>388</v>
      </c>
      <c r="AD15" s="550" t="s">
        <v>380</v>
      </c>
      <c r="AE15" s="550" t="s">
        <v>388</v>
      </c>
      <c r="AF15" s="550" t="s">
        <v>388</v>
      </c>
      <c r="AG15" s="550" t="s">
        <v>380</v>
      </c>
      <c r="AH15" s="550" t="s">
        <v>388</v>
      </c>
      <c r="AI15" s="550" t="s">
        <v>388</v>
      </c>
      <c r="AJ15" s="550" t="s">
        <v>380</v>
      </c>
      <c r="AK15" s="550" t="s">
        <v>388</v>
      </c>
      <c r="AL15" s="550" t="s">
        <v>388</v>
      </c>
      <c r="AM15" s="550" t="s">
        <v>380</v>
      </c>
      <c r="AN15" s="550" t="s">
        <v>388</v>
      </c>
      <c r="AO15" s="550" t="s">
        <v>388</v>
      </c>
      <c r="AP15" s="550" t="s">
        <v>380</v>
      </c>
      <c r="AQ15" s="550" t="s">
        <v>388</v>
      </c>
      <c r="AR15" s="550" t="s">
        <v>388</v>
      </c>
      <c r="AS15" s="550" t="s">
        <v>380</v>
      </c>
      <c r="AT15" s="550" t="s">
        <v>388</v>
      </c>
      <c r="AU15" s="550" t="s">
        <v>388</v>
      </c>
      <c r="AV15" s="550" t="s">
        <v>380</v>
      </c>
      <c r="AW15" s="550" t="s">
        <v>388</v>
      </c>
      <c r="AX15" s="550" t="s">
        <v>388</v>
      </c>
      <c r="AY15" s="550" t="s">
        <v>380</v>
      </c>
      <c r="AZ15" s="550" t="s">
        <v>388</v>
      </c>
      <c r="BA15" s="550" t="s">
        <v>388</v>
      </c>
      <c r="BB15" s="550" t="s">
        <v>380</v>
      </c>
      <c r="BC15" s="550" t="s">
        <v>388</v>
      </c>
      <c r="BD15" s="550" t="s">
        <v>388</v>
      </c>
      <c r="BE15" s="550" t="s">
        <v>380</v>
      </c>
      <c r="BF15" s="550" t="s">
        <v>388</v>
      </c>
      <c r="BG15" s="550" t="s">
        <v>388</v>
      </c>
      <c r="BH15" s="550" t="s">
        <v>380</v>
      </c>
      <c r="BI15" s="550" t="s">
        <v>388</v>
      </c>
      <c r="BJ15" s="550" t="s">
        <v>388</v>
      </c>
      <c r="BK15" s="550" t="s">
        <v>380</v>
      </c>
      <c r="BL15" s="550" t="s">
        <v>388</v>
      </c>
      <c r="BM15" s="550" t="s">
        <v>388</v>
      </c>
      <c r="BN15" s="550" t="s">
        <v>380</v>
      </c>
      <c r="BO15" s="550" t="s">
        <v>388</v>
      </c>
      <c r="BP15" s="550" t="s">
        <v>388</v>
      </c>
      <c r="BQ15" s="550" t="s">
        <v>380</v>
      </c>
      <c r="BR15" s="550" t="s">
        <v>388</v>
      </c>
      <c r="BS15" s="550" t="s">
        <v>388</v>
      </c>
      <c r="BT15" s="550" t="s">
        <v>380</v>
      </c>
      <c r="BU15" s="550" t="s">
        <v>388</v>
      </c>
      <c r="BV15" s="550" t="s">
        <v>388</v>
      </c>
      <c r="BW15" s="550" t="s">
        <v>380</v>
      </c>
      <c r="BX15" s="550" t="s">
        <v>388</v>
      </c>
      <c r="BY15" s="550" t="s">
        <v>388</v>
      </c>
      <c r="BZ15" s="550" t="s">
        <v>380</v>
      </c>
      <c r="CA15" s="550" t="s">
        <v>388</v>
      </c>
      <c r="CB15" s="550" t="s">
        <v>388</v>
      </c>
      <c r="CC15" s="550" t="s">
        <v>380</v>
      </c>
      <c r="CD15" s="550" t="s">
        <v>388</v>
      </c>
      <c r="CE15" s="550" t="s">
        <v>388</v>
      </c>
      <c r="CF15" s="550" t="s">
        <v>380</v>
      </c>
      <c r="CG15" s="550" t="s">
        <v>388</v>
      </c>
      <c r="CH15" s="550" t="s">
        <v>388</v>
      </c>
      <c r="CI15" s="550" t="s">
        <v>380</v>
      </c>
      <c r="CJ15" s="550" t="s">
        <v>388</v>
      </c>
      <c r="CK15" s="550" t="s">
        <v>388</v>
      </c>
      <c r="CL15" s="550" t="s">
        <v>380</v>
      </c>
      <c r="CM15" s="550" t="s">
        <v>388</v>
      </c>
      <c r="CN15" s="550" t="s">
        <v>388</v>
      </c>
      <c r="CO15" s="550" t="s">
        <v>380</v>
      </c>
      <c r="CP15" s="550" t="s">
        <v>388</v>
      </c>
      <c r="CQ15" s="550" t="s">
        <v>388</v>
      </c>
      <c r="CR15" s="550" t="s">
        <v>380</v>
      </c>
      <c r="CS15" s="550" t="s">
        <v>388</v>
      </c>
      <c r="CT15" s="550" t="s">
        <v>388</v>
      </c>
      <c r="CU15" s="550" t="s">
        <v>380</v>
      </c>
      <c r="CV15" s="550" t="s">
        <v>388</v>
      </c>
      <c r="CW15" s="550" t="s">
        <v>388</v>
      </c>
      <c r="CX15" s="550" t="s">
        <v>380</v>
      </c>
      <c r="CY15" s="550" t="s">
        <v>388</v>
      </c>
      <c r="CZ15" s="550" t="s">
        <v>388</v>
      </c>
      <c r="DA15" s="550" t="s">
        <v>380</v>
      </c>
      <c r="DB15" s="550" t="s">
        <v>388</v>
      </c>
      <c r="DC15" s="550" t="s">
        <v>388</v>
      </c>
      <c r="DD15" s="550" t="s">
        <v>380</v>
      </c>
      <c r="DE15" s="550" t="s">
        <v>388</v>
      </c>
      <c r="DF15" s="550" t="s">
        <v>388</v>
      </c>
      <c r="DG15" s="550" t="s">
        <v>380</v>
      </c>
      <c r="DH15" s="550" t="s">
        <v>388</v>
      </c>
      <c r="DI15" s="550" t="s">
        <v>388</v>
      </c>
      <c r="DJ15" s="550" t="s">
        <v>380</v>
      </c>
      <c r="DK15" s="550" t="s">
        <v>388</v>
      </c>
      <c r="DL15" s="550" t="s">
        <v>388</v>
      </c>
      <c r="DM15" s="550" t="s">
        <v>380</v>
      </c>
      <c r="DN15" s="550" t="s">
        <v>388</v>
      </c>
    </row>
    <row r="16" ht="15.0" customHeight="1">
      <c r="A16" s="53">
        <v>9.0</v>
      </c>
      <c r="B16" s="100" t="s">
        <v>102</v>
      </c>
      <c r="C16" s="100" t="s">
        <v>103</v>
      </c>
      <c r="D16" s="101" t="str">
        <f t="shared" si="2"/>
        <v>DATA</v>
      </c>
      <c r="E16" s="111" t="s">
        <v>104</v>
      </c>
      <c r="F16" s="115">
        <v>1106.0</v>
      </c>
      <c r="G16" s="517" t="s">
        <v>105</v>
      </c>
      <c r="H16" s="535">
        <v>0.0</v>
      </c>
      <c r="I16" s="68" t="str">
        <f>IFERROR(VLOOKUP(C:C,'R22 RELATÓRIO ACC'!B:F,5,FALSE),"NOT PUBLISHED")</f>
        <v>NOT PUBLISHED</v>
      </c>
      <c r="J16" s="68" t="str">
        <f>IFERROR(VLOOKUP(C:C,'R22 RELATÓRIO ACC'!B:P,15,FALSE),"NOT PUBLISHED")</f>
        <v>NOT PUBLISHED</v>
      </c>
      <c r="K16" s="70" t="str">
        <f>IFERROR(VLOOKUP(B:B,'RELATÓRIO ACC'!B:F,5,FALSE),"NOT PUBLISHED")</f>
        <v>NOT PUBLISHED</v>
      </c>
      <c r="L16" s="518" t="str">
        <f>IFERROR(VLOOKUP(B:B,'RELATÓRIO ACC'!B:P,15,FALSE),"NOT PUBLISHED")</f>
        <v>NOT PUBLISHED</v>
      </c>
      <c r="M16" s="661" t="s">
        <v>388</v>
      </c>
      <c r="N16" s="661" t="s">
        <v>388</v>
      </c>
      <c r="O16" s="538" t="s">
        <v>388</v>
      </c>
      <c r="P16" s="663"/>
      <c r="Q16" s="550" t="s">
        <v>388</v>
      </c>
      <c r="R16" s="558" t="s">
        <v>380</v>
      </c>
      <c r="S16" s="550" t="s">
        <v>388</v>
      </c>
      <c r="T16" s="550" t="s">
        <v>388</v>
      </c>
      <c r="U16" s="558" t="s">
        <v>380</v>
      </c>
      <c r="V16" s="550" t="s">
        <v>388</v>
      </c>
      <c r="W16" s="550" t="s">
        <v>388</v>
      </c>
      <c r="X16" s="558" t="s">
        <v>380</v>
      </c>
      <c r="Y16" s="550" t="s">
        <v>388</v>
      </c>
      <c r="Z16" s="550" t="s">
        <v>388</v>
      </c>
      <c r="AA16" s="550" t="s">
        <v>380</v>
      </c>
      <c r="AB16" s="550" t="s">
        <v>388</v>
      </c>
      <c r="AC16" s="550" t="s">
        <v>388</v>
      </c>
      <c r="AD16" s="550" t="s">
        <v>380</v>
      </c>
      <c r="AE16" s="550" t="s">
        <v>388</v>
      </c>
      <c r="AF16" s="550" t="s">
        <v>388</v>
      </c>
      <c r="AG16" s="550" t="s">
        <v>380</v>
      </c>
      <c r="AH16" s="550" t="s">
        <v>388</v>
      </c>
      <c r="AI16" s="550" t="s">
        <v>388</v>
      </c>
      <c r="AJ16" s="550" t="s">
        <v>380</v>
      </c>
      <c r="AK16" s="550" t="s">
        <v>388</v>
      </c>
      <c r="AL16" s="550" t="s">
        <v>388</v>
      </c>
      <c r="AM16" s="550" t="s">
        <v>380</v>
      </c>
      <c r="AN16" s="550" t="s">
        <v>388</v>
      </c>
      <c r="AO16" s="550" t="s">
        <v>388</v>
      </c>
      <c r="AP16" s="550" t="s">
        <v>380</v>
      </c>
      <c r="AQ16" s="550" t="s">
        <v>388</v>
      </c>
      <c r="AR16" s="550" t="s">
        <v>388</v>
      </c>
      <c r="AS16" s="550" t="s">
        <v>380</v>
      </c>
      <c r="AT16" s="550" t="s">
        <v>388</v>
      </c>
      <c r="AU16" s="550" t="s">
        <v>388</v>
      </c>
      <c r="AV16" s="550" t="s">
        <v>380</v>
      </c>
      <c r="AW16" s="550" t="s">
        <v>388</v>
      </c>
      <c r="AX16" s="550" t="s">
        <v>388</v>
      </c>
      <c r="AY16" s="550" t="s">
        <v>380</v>
      </c>
      <c r="AZ16" s="550" t="s">
        <v>388</v>
      </c>
      <c r="BA16" s="550" t="s">
        <v>388</v>
      </c>
      <c r="BB16" s="550" t="s">
        <v>380</v>
      </c>
      <c r="BC16" s="550" t="s">
        <v>388</v>
      </c>
      <c r="BD16" s="550" t="s">
        <v>388</v>
      </c>
      <c r="BE16" s="550" t="s">
        <v>380</v>
      </c>
      <c r="BF16" s="550" t="s">
        <v>388</v>
      </c>
      <c r="BG16" s="550" t="s">
        <v>388</v>
      </c>
      <c r="BH16" s="550" t="s">
        <v>380</v>
      </c>
      <c r="BI16" s="550" t="s">
        <v>388</v>
      </c>
      <c r="BJ16" s="550" t="s">
        <v>388</v>
      </c>
      <c r="BK16" s="550" t="s">
        <v>380</v>
      </c>
      <c r="BL16" s="550" t="s">
        <v>388</v>
      </c>
      <c r="BM16" s="550" t="s">
        <v>388</v>
      </c>
      <c r="BN16" s="550" t="s">
        <v>380</v>
      </c>
      <c r="BO16" s="550" t="s">
        <v>388</v>
      </c>
      <c r="BP16" s="550" t="s">
        <v>388</v>
      </c>
      <c r="BQ16" s="550" t="s">
        <v>380</v>
      </c>
      <c r="BR16" s="550" t="s">
        <v>388</v>
      </c>
      <c r="BS16" s="550" t="s">
        <v>388</v>
      </c>
      <c r="BT16" s="550" t="s">
        <v>380</v>
      </c>
      <c r="BU16" s="550" t="s">
        <v>388</v>
      </c>
      <c r="BV16" s="550" t="s">
        <v>388</v>
      </c>
      <c r="BW16" s="550" t="s">
        <v>380</v>
      </c>
      <c r="BX16" s="550" t="s">
        <v>388</v>
      </c>
      <c r="BY16" s="550" t="s">
        <v>388</v>
      </c>
      <c r="BZ16" s="550" t="s">
        <v>380</v>
      </c>
      <c r="CA16" s="550" t="s">
        <v>388</v>
      </c>
      <c r="CB16" s="550" t="s">
        <v>388</v>
      </c>
      <c r="CC16" s="550" t="s">
        <v>380</v>
      </c>
      <c r="CD16" s="550" t="s">
        <v>388</v>
      </c>
      <c r="CE16" s="550" t="s">
        <v>388</v>
      </c>
      <c r="CF16" s="550" t="s">
        <v>380</v>
      </c>
      <c r="CG16" s="550" t="s">
        <v>388</v>
      </c>
      <c r="CH16" s="550" t="s">
        <v>388</v>
      </c>
      <c r="CI16" s="550" t="s">
        <v>380</v>
      </c>
      <c r="CJ16" s="550" t="s">
        <v>388</v>
      </c>
      <c r="CK16" s="550" t="s">
        <v>388</v>
      </c>
      <c r="CL16" s="550" t="s">
        <v>380</v>
      </c>
      <c r="CM16" s="550" t="s">
        <v>388</v>
      </c>
      <c r="CN16" s="550" t="s">
        <v>388</v>
      </c>
      <c r="CO16" s="550" t="s">
        <v>380</v>
      </c>
      <c r="CP16" s="550" t="s">
        <v>388</v>
      </c>
      <c r="CQ16" s="550" t="s">
        <v>388</v>
      </c>
      <c r="CR16" s="550" t="s">
        <v>380</v>
      </c>
      <c r="CS16" s="550" t="s">
        <v>388</v>
      </c>
      <c r="CT16" s="550" t="s">
        <v>388</v>
      </c>
      <c r="CU16" s="550" t="s">
        <v>380</v>
      </c>
      <c r="CV16" s="550" t="s">
        <v>388</v>
      </c>
      <c r="CW16" s="550" t="s">
        <v>388</v>
      </c>
      <c r="CX16" s="550" t="s">
        <v>380</v>
      </c>
      <c r="CY16" s="550" t="s">
        <v>388</v>
      </c>
      <c r="CZ16" s="550" t="s">
        <v>388</v>
      </c>
      <c r="DA16" s="550" t="s">
        <v>380</v>
      </c>
      <c r="DB16" s="550" t="s">
        <v>388</v>
      </c>
      <c r="DC16" s="550" t="s">
        <v>388</v>
      </c>
      <c r="DD16" s="550" t="s">
        <v>380</v>
      </c>
      <c r="DE16" s="550" t="s">
        <v>388</v>
      </c>
      <c r="DF16" s="550" t="s">
        <v>388</v>
      </c>
      <c r="DG16" s="550" t="s">
        <v>380</v>
      </c>
      <c r="DH16" s="550" t="s">
        <v>388</v>
      </c>
      <c r="DI16" s="550" t="s">
        <v>388</v>
      </c>
      <c r="DJ16" s="550" t="s">
        <v>380</v>
      </c>
      <c r="DK16" s="550" t="s">
        <v>388</v>
      </c>
      <c r="DL16" s="550" t="s">
        <v>388</v>
      </c>
      <c r="DM16" s="550" t="s">
        <v>380</v>
      </c>
      <c r="DN16" s="550" t="s">
        <v>388</v>
      </c>
    </row>
    <row r="17" ht="15.0" customHeight="1">
      <c r="A17" s="53">
        <v>5.0</v>
      </c>
      <c r="B17" s="100" t="s">
        <v>86</v>
      </c>
      <c r="C17" s="100" t="s">
        <v>87</v>
      </c>
      <c r="D17" s="101" t="str">
        <f t="shared" si="2"/>
        <v>DATA</v>
      </c>
      <c r="E17" s="111" t="s">
        <v>88</v>
      </c>
      <c r="F17" s="118" t="s">
        <v>88</v>
      </c>
      <c r="G17" s="534" t="s">
        <v>88</v>
      </c>
      <c r="H17" s="517"/>
      <c r="I17" s="68" t="str">
        <f>IFERROR(VLOOKUP(C:C,'R22 RELATÓRIO ACC'!B:F,5,FALSE),"NOT PUBLISHED")</f>
        <v>NOT PUBLISHED</v>
      </c>
      <c r="J17" s="68" t="str">
        <f>IFERROR(VLOOKUP(C:C,'R22 RELATÓRIO ACC'!B:P,15,FALSE),"NOT PUBLISHED")</f>
        <v>NOT PUBLISHED</v>
      </c>
      <c r="K17" s="70" t="str">
        <f>IFERROR(VLOOKUP(B:B,'RELATÓRIO ACC'!B:F,5,FALSE),"NOT PUBLISHED")</f>
        <v>NOT PUBLISHED</v>
      </c>
      <c r="L17" s="518" t="str">
        <f>IFERROR(VLOOKUP(B:B,'RELATÓRIO ACC'!B:P,15,FALSE),"NOT PUBLISHED")</f>
        <v>NOT PUBLISHED</v>
      </c>
      <c r="M17" s="661" t="s">
        <v>388</v>
      </c>
      <c r="N17" s="661" t="s">
        <v>388</v>
      </c>
      <c r="O17" s="538" t="s">
        <v>388</v>
      </c>
      <c r="P17" s="663"/>
      <c r="Q17" s="550" t="s">
        <v>388</v>
      </c>
      <c r="R17" s="558" t="s">
        <v>380</v>
      </c>
      <c r="S17" s="550" t="s">
        <v>388</v>
      </c>
      <c r="T17" s="550" t="s">
        <v>388</v>
      </c>
      <c r="U17" s="558" t="s">
        <v>380</v>
      </c>
      <c r="V17" s="550" t="s">
        <v>388</v>
      </c>
      <c r="W17" s="550" t="s">
        <v>388</v>
      </c>
      <c r="X17" s="558" t="s">
        <v>380</v>
      </c>
      <c r="Y17" s="550" t="s">
        <v>388</v>
      </c>
      <c r="Z17" s="550" t="s">
        <v>388</v>
      </c>
      <c r="AA17" s="550" t="s">
        <v>380</v>
      </c>
      <c r="AB17" s="550" t="s">
        <v>388</v>
      </c>
      <c r="AC17" s="550" t="s">
        <v>388</v>
      </c>
      <c r="AD17" s="550" t="s">
        <v>380</v>
      </c>
      <c r="AE17" s="550" t="s">
        <v>388</v>
      </c>
      <c r="AF17" s="550" t="s">
        <v>388</v>
      </c>
      <c r="AG17" s="550" t="s">
        <v>380</v>
      </c>
      <c r="AH17" s="550" t="s">
        <v>388</v>
      </c>
      <c r="AI17" s="550" t="s">
        <v>388</v>
      </c>
      <c r="AJ17" s="550" t="s">
        <v>380</v>
      </c>
      <c r="AK17" s="550" t="s">
        <v>388</v>
      </c>
      <c r="AL17" s="550" t="s">
        <v>388</v>
      </c>
      <c r="AM17" s="550" t="s">
        <v>380</v>
      </c>
      <c r="AN17" s="550" t="s">
        <v>388</v>
      </c>
      <c r="AO17" s="550" t="s">
        <v>388</v>
      </c>
      <c r="AP17" s="550" t="s">
        <v>380</v>
      </c>
      <c r="AQ17" s="550" t="s">
        <v>388</v>
      </c>
      <c r="AR17" s="550" t="s">
        <v>388</v>
      </c>
      <c r="AS17" s="550" t="s">
        <v>380</v>
      </c>
      <c r="AT17" s="550" t="s">
        <v>388</v>
      </c>
      <c r="AU17" s="550" t="s">
        <v>388</v>
      </c>
      <c r="AV17" s="550" t="s">
        <v>380</v>
      </c>
      <c r="AW17" s="550" t="s">
        <v>388</v>
      </c>
      <c r="AX17" s="550" t="s">
        <v>388</v>
      </c>
      <c r="AY17" s="550" t="s">
        <v>380</v>
      </c>
      <c r="AZ17" s="550" t="s">
        <v>388</v>
      </c>
      <c r="BA17" s="550" t="s">
        <v>388</v>
      </c>
      <c r="BB17" s="550" t="s">
        <v>380</v>
      </c>
      <c r="BC17" s="550" t="s">
        <v>388</v>
      </c>
      <c r="BD17" s="550" t="s">
        <v>388</v>
      </c>
      <c r="BE17" s="550" t="s">
        <v>380</v>
      </c>
      <c r="BF17" s="550" t="s">
        <v>388</v>
      </c>
      <c r="BG17" s="550" t="s">
        <v>388</v>
      </c>
      <c r="BH17" s="550" t="s">
        <v>380</v>
      </c>
      <c r="BI17" s="550" t="s">
        <v>388</v>
      </c>
      <c r="BJ17" s="550" t="s">
        <v>388</v>
      </c>
      <c r="BK17" s="550" t="s">
        <v>380</v>
      </c>
      <c r="BL17" s="550" t="s">
        <v>388</v>
      </c>
      <c r="BM17" s="550" t="s">
        <v>388</v>
      </c>
      <c r="BN17" s="550" t="s">
        <v>380</v>
      </c>
      <c r="BO17" s="550" t="s">
        <v>388</v>
      </c>
      <c r="BP17" s="550" t="s">
        <v>388</v>
      </c>
      <c r="BQ17" s="550" t="s">
        <v>380</v>
      </c>
      <c r="BR17" s="550" t="s">
        <v>388</v>
      </c>
      <c r="BS17" s="550" t="s">
        <v>388</v>
      </c>
      <c r="BT17" s="550" t="s">
        <v>380</v>
      </c>
      <c r="BU17" s="550" t="s">
        <v>388</v>
      </c>
      <c r="BV17" s="550" t="s">
        <v>388</v>
      </c>
      <c r="BW17" s="550" t="s">
        <v>380</v>
      </c>
      <c r="BX17" s="550" t="s">
        <v>388</v>
      </c>
      <c r="BY17" s="550" t="s">
        <v>388</v>
      </c>
      <c r="BZ17" s="550" t="s">
        <v>380</v>
      </c>
      <c r="CA17" s="523" t="s">
        <v>388</v>
      </c>
      <c r="CB17" s="550" t="s">
        <v>388</v>
      </c>
      <c r="CC17" s="550" t="s">
        <v>380</v>
      </c>
      <c r="CD17" s="523" t="s">
        <v>388</v>
      </c>
      <c r="CE17" s="550" t="s">
        <v>388</v>
      </c>
      <c r="CF17" s="550" t="s">
        <v>380</v>
      </c>
      <c r="CG17" s="523" t="s">
        <v>388</v>
      </c>
      <c r="CH17" s="550" t="s">
        <v>388</v>
      </c>
      <c r="CI17" s="550" t="s">
        <v>380</v>
      </c>
      <c r="CJ17" s="523" t="s">
        <v>388</v>
      </c>
      <c r="CK17" s="550" t="s">
        <v>388</v>
      </c>
      <c r="CL17" s="550" t="s">
        <v>380</v>
      </c>
      <c r="CM17" s="523" t="s">
        <v>388</v>
      </c>
      <c r="CN17" s="550" t="s">
        <v>388</v>
      </c>
      <c r="CO17" s="550" t="s">
        <v>380</v>
      </c>
      <c r="CP17" s="523" t="s">
        <v>388</v>
      </c>
      <c r="CQ17" s="550" t="s">
        <v>388</v>
      </c>
      <c r="CR17" s="550" t="s">
        <v>380</v>
      </c>
      <c r="CS17" s="523" t="s">
        <v>388</v>
      </c>
      <c r="CT17" s="550" t="s">
        <v>388</v>
      </c>
      <c r="CU17" s="550" t="s">
        <v>380</v>
      </c>
      <c r="CV17" s="523" t="s">
        <v>388</v>
      </c>
      <c r="CW17" s="550" t="s">
        <v>388</v>
      </c>
      <c r="CX17" s="550" t="s">
        <v>380</v>
      </c>
      <c r="CY17" s="523" t="s">
        <v>388</v>
      </c>
      <c r="CZ17" s="550" t="s">
        <v>388</v>
      </c>
      <c r="DA17" s="550" t="s">
        <v>380</v>
      </c>
      <c r="DB17" s="523" t="s">
        <v>388</v>
      </c>
      <c r="DC17" s="550" t="s">
        <v>388</v>
      </c>
      <c r="DD17" s="550" t="s">
        <v>380</v>
      </c>
      <c r="DE17" s="523" t="s">
        <v>388</v>
      </c>
      <c r="DF17" s="550" t="s">
        <v>388</v>
      </c>
      <c r="DG17" s="550" t="s">
        <v>380</v>
      </c>
      <c r="DH17" s="523" t="s">
        <v>388</v>
      </c>
      <c r="DI17" s="550" t="s">
        <v>388</v>
      </c>
      <c r="DJ17" s="550" t="s">
        <v>380</v>
      </c>
      <c r="DK17" s="523" t="s">
        <v>388</v>
      </c>
      <c r="DL17" s="550" t="s">
        <v>388</v>
      </c>
      <c r="DM17" s="550" t="s">
        <v>380</v>
      </c>
      <c r="DN17" s="523" t="s">
        <v>388</v>
      </c>
    </row>
    <row r="18" ht="15.0" customHeight="1">
      <c r="A18" s="53">
        <v>10.0</v>
      </c>
      <c r="B18" s="100" t="s">
        <v>106</v>
      </c>
      <c r="C18" s="100" t="s">
        <v>107</v>
      </c>
      <c r="D18" s="101" t="str">
        <f t="shared" ref="D18:D20" si="3">MID(B18,FIND(CHAR(160),SUBSTITUTE(B18,"-",CHAR(160),3)) + 1,FIND(CHAR(160),SUBSTITUTE(B18,"-",CHAR(160),4)) - 1 - (FIND(CHAR(160),SUBSTITUTE(B18,"-",CHAR(160),3))))</f>
        <v>DATA</v>
      </c>
      <c r="E18" s="101" t="s">
        <v>108</v>
      </c>
      <c r="F18" s="115">
        <v>1107.0</v>
      </c>
      <c r="G18" s="534" t="s">
        <v>109</v>
      </c>
      <c r="H18" s="535">
        <v>0.0</v>
      </c>
      <c r="I18" s="68" t="str">
        <f>IFERROR(VLOOKUP(C:C,'R22 RELATÓRIO ACC'!B:F,5,FALSE),"NOT PUBLISHED")</f>
        <v>NOT PUBLISHED</v>
      </c>
      <c r="J18" s="68" t="str">
        <f>IFERROR(VLOOKUP(C:C,'R22 RELATÓRIO ACC'!B:P,15,FALSE),"NOT PUBLISHED")</f>
        <v>NOT PUBLISHED</v>
      </c>
      <c r="K18" s="70" t="str">
        <f>IFERROR(VLOOKUP(B:B,'RELATÓRIO ACC'!B:F,5,FALSE),"NOT PUBLISHED")</f>
        <v>NOT PUBLISHED</v>
      </c>
      <c r="L18" s="518" t="str">
        <f>IFERROR(VLOOKUP(B:B,'RELATÓRIO ACC'!B:P,15,FALSE),"NOT PUBLISHED")</f>
        <v>NOT PUBLISHED</v>
      </c>
      <c r="M18" s="661" t="s">
        <v>388</v>
      </c>
      <c r="N18" s="661" t="s">
        <v>388</v>
      </c>
      <c r="O18" s="538" t="s">
        <v>388</v>
      </c>
      <c r="P18" s="663"/>
      <c r="Q18" s="550" t="s">
        <v>388</v>
      </c>
      <c r="R18" s="558" t="s">
        <v>380</v>
      </c>
      <c r="S18" s="550" t="s">
        <v>388</v>
      </c>
      <c r="T18" s="550" t="s">
        <v>388</v>
      </c>
      <c r="U18" s="558" t="s">
        <v>380</v>
      </c>
      <c r="V18" s="550" t="s">
        <v>388</v>
      </c>
      <c r="W18" s="550" t="s">
        <v>388</v>
      </c>
      <c r="X18" s="558" t="s">
        <v>380</v>
      </c>
      <c r="Y18" s="550" t="s">
        <v>388</v>
      </c>
      <c r="Z18" s="550" t="s">
        <v>388</v>
      </c>
      <c r="AA18" s="550" t="s">
        <v>380</v>
      </c>
      <c r="AB18" s="550" t="s">
        <v>388</v>
      </c>
      <c r="AC18" s="550" t="s">
        <v>388</v>
      </c>
      <c r="AD18" s="550" t="s">
        <v>380</v>
      </c>
      <c r="AE18" s="550" t="s">
        <v>388</v>
      </c>
      <c r="AF18" s="550" t="s">
        <v>388</v>
      </c>
      <c r="AG18" s="550" t="s">
        <v>380</v>
      </c>
      <c r="AH18" s="550" t="s">
        <v>388</v>
      </c>
      <c r="AI18" s="550" t="s">
        <v>388</v>
      </c>
      <c r="AJ18" s="550" t="s">
        <v>380</v>
      </c>
      <c r="AK18" s="550" t="s">
        <v>388</v>
      </c>
      <c r="AL18" s="550" t="s">
        <v>388</v>
      </c>
      <c r="AM18" s="550" t="s">
        <v>380</v>
      </c>
      <c r="AN18" s="550" t="s">
        <v>388</v>
      </c>
      <c r="AO18" s="550" t="s">
        <v>388</v>
      </c>
      <c r="AP18" s="550" t="s">
        <v>380</v>
      </c>
      <c r="AQ18" s="550" t="s">
        <v>388</v>
      </c>
      <c r="AR18" s="550" t="s">
        <v>388</v>
      </c>
      <c r="AS18" s="550" t="s">
        <v>380</v>
      </c>
      <c r="AT18" s="550" t="s">
        <v>388</v>
      </c>
      <c r="AU18" s="550" t="s">
        <v>388</v>
      </c>
      <c r="AV18" s="550" t="s">
        <v>380</v>
      </c>
      <c r="AW18" s="550" t="s">
        <v>388</v>
      </c>
      <c r="AX18" s="550" t="s">
        <v>388</v>
      </c>
      <c r="AY18" s="550" t="s">
        <v>380</v>
      </c>
      <c r="AZ18" s="550" t="s">
        <v>388</v>
      </c>
      <c r="BA18" s="550" t="s">
        <v>388</v>
      </c>
      <c r="BB18" s="550" t="s">
        <v>380</v>
      </c>
      <c r="BC18" s="550" t="s">
        <v>388</v>
      </c>
      <c r="BD18" s="550" t="s">
        <v>388</v>
      </c>
      <c r="BE18" s="550" t="s">
        <v>380</v>
      </c>
      <c r="BF18" s="550" t="s">
        <v>388</v>
      </c>
      <c r="BG18" s="550" t="s">
        <v>388</v>
      </c>
      <c r="BH18" s="550" t="s">
        <v>380</v>
      </c>
      <c r="BI18" s="550" t="s">
        <v>388</v>
      </c>
      <c r="BJ18" s="550" t="s">
        <v>388</v>
      </c>
      <c r="BK18" s="550" t="s">
        <v>380</v>
      </c>
      <c r="BL18" s="550" t="s">
        <v>388</v>
      </c>
      <c r="BM18" s="550" t="s">
        <v>388</v>
      </c>
      <c r="BN18" s="550" t="s">
        <v>380</v>
      </c>
      <c r="BO18" s="550" t="s">
        <v>388</v>
      </c>
      <c r="BP18" s="550" t="s">
        <v>388</v>
      </c>
      <c r="BQ18" s="550" t="s">
        <v>380</v>
      </c>
      <c r="BR18" s="550" t="s">
        <v>388</v>
      </c>
      <c r="BS18" s="550" t="s">
        <v>388</v>
      </c>
      <c r="BT18" s="550" t="s">
        <v>380</v>
      </c>
      <c r="BU18" s="550" t="s">
        <v>388</v>
      </c>
      <c r="BV18" s="550" t="s">
        <v>388</v>
      </c>
      <c r="BW18" s="550" t="s">
        <v>380</v>
      </c>
      <c r="BX18" s="550" t="s">
        <v>388</v>
      </c>
      <c r="BY18" s="550" t="s">
        <v>388</v>
      </c>
      <c r="BZ18" s="550" t="s">
        <v>380</v>
      </c>
      <c r="CA18" s="550" t="s">
        <v>388</v>
      </c>
      <c r="CB18" s="550" t="s">
        <v>388</v>
      </c>
      <c r="CC18" s="550" t="s">
        <v>380</v>
      </c>
      <c r="CD18" s="550" t="s">
        <v>388</v>
      </c>
      <c r="CE18" s="550" t="s">
        <v>388</v>
      </c>
      <c r="CF18" s="550" t="s">
        <v>380</v>
      </c>
      <c r="CG18" s="550" t="s">
        <v>388</v>
      </c>
      <c r="CH18" s="550" t="s">
        <v>388</v>
      </c>
      <c r="CI18" s="550" t="s">
        <v>380</v>
      </c>
      <c r="CJ18" s="550" t="s">
        <v>388</v>
      </c>
      <c r="CK18" s="550" t="s">
        <v>388</v>
      </c>
      <c r="CL18" s="550" t="s">
        <v>380</v>
      </c>
      <c r="CM18" s="550" t="s">
        <v>388</v>
      </c>
      <c r="CN18" s="550" t="s">
        <v>388</v>
      </c>
      <c r="CO18" s="550" t="s">
        <v>380</v>
      </c>
      <c r="CP18" s="550" t="s">
        <v>388</v>
      </c>
      <c r="CQ18" s="550" t="s">
        <v>388</v>
      </c>
      <c r="CR18" s="550" t="s">
        <v>380</v>
      </c>
      <c r="CS18" s="528" t="s">
        <v>388</v>
      </c>
      <c r="CT18" s="550" t="s">
        <v>388</v>
      </c>
      <c r="CU18" s="550" t="s">
        <v>380</v>
      </c>
      <c r="CV18" s="528" t="s">
        <v>388</v>
      </c>
      <c r="CW18" s="550" t="s">
        <v>388</v>
      </c>
      <c r="CX18" s="550" t="s">
        <v>380</v>
      </c>
      <c r="CY18" s="528" t="s">
        <v>388</v>
      </c>
      <c r="CZ18" s="550" t="s">
        <v>388</v>
      </c>
      <c r="DA18" s="550" t="s">
        <v>380</v>
      </c>
      <c r="DB18" s="528" t="s">
        <v>388</v>
      </c>
      <c r="DC18" s="550" t="s">
        <v>388</v>
      </c>
      <c r="DD18" s="550" t="s">
        <v>380</v>
      </c>
      <c r="DE18" s="528" t="s">
        <v>388</v>
      </c>
      <c r="DF18" s="550" t="s">
        <v>388</v>
      </c>
      <c r="DG18" s="550" t="s">
        <v>380</v>
      </c>
      <c r="DH18" s="528" t="s">
        <v>388</v>
      </c>
      <c r="DI18" s="550" t="s">
        <v>388</v>
      </c>
      <c r="DJ18" s="550" t="s">
        <v>380</v>
      </c>
      <c r="DK18" s="528" t="s">
        <v>388</v>
      </c>
      <c r="DL18" s="550" t="s">
        <v>388</v>
      </c>
      <c r="DM18" s="550" t="s">
        <v>380</v>
      </c>
      <c r="DN18" s="528" t="s">
        <v>388</v>
      </c>
    </row>
    <row r="19" ht="15.0" customHeight="1">
      <c r="A19" s="53">
        <v>17.0</v>
      </c>
      <c r="B19" s="100" t="s">
        <v>139</v>
      </c>
      <c r="C19" s="100" t="s">
        <v>140</v>
      </c>
      <c r="D19" s="101" t="str">
        <f t="shared" si="3"/>
        <v>DATA</v>
      </c>
      <c r="E19" s="111" t="s">
        <v>141</v>
      </c>
      <c r="F19" s="115">
        <v>0.0</v>
      </c>
      <c r="G19" s="563" t="s">
        <v>142</v>
      </c>
      <c r="H19" s="535"/>
      <c r="I19" s="68" t="str">
        <f>IFERROR(VLOOKUP(C:C,'R22 RELATÓRIO ACC'!B:F,5,FALSE),"NOT PUBLISHED")</f>
        <v>V4</v>
      </c>
      <c r="J19" s="68" t="str">
        <f>IFERROR(VLOOKUP(C:C,'R22 RELATÓRIO ACC'!B:P,15,FALSE),"NOT PUBLISHED")</f>
        <v>29/04/2026</v>
      </c>
      <c r="K19" s="70" t="str">
        <f>IFERROR(VLOOKUP(B:B,'RELATÓRIO ACC'!B:F,5,FALSE),"NOT PUBLISHED")</f>
        <v>V1</v>
      </c>
      <c r="L19" s="518" t="str">
        <f>IFERROR(VLOOKUP(B:B,'RELATÓRIO ACC'!B:P,15,FALSE),"NOT PUBLISHED")</f>
        <v>04/06/2026</v>
      </c>
      <c r="M19" s="661" t="s">
        <v>377</v>
      </c>
      <c r="N19" s="670" t="s">
        <v>396</v>
      </c>
      <c r="O19" s="538" t="s">
        <v>378</v>
      </c>
      <c r="P19" s="663" t="s">
        <v>397</v>
      </c>
      <c r="Q19" s="550" t="s">
        <v>388</v>
      </c>
      <c r="R19" s="558" t="s">
        <v>380</v>
      </c>
      <c r="S19" s="550" t="s">
        <v>388</v>
      </c>
      <c r="T19" s="550" t="s">
        <v>388</v>
      </c>
      <c r="U19" s="558" t="s">
        <v>380</v>
      </c>
      <c r="V19" s="550" t="s">
        <v>388</v>
      </c>
      <c r="W19" s="550" t="s">
        <v>388</v>
      </c>
      <c r="X19" s="558" t="s">
        <v>380</v>
      </c>
      <c r="Y19" s="550" t="s">
        <v>388</v>
      </c>
      <c r="Z19" s="550" t="s">
        <v>388</v>
      </c>
      <c r="AA19" s="550" t="s">
        <v>380</v>
      </c>
      <c r="AB19" s="550" t="s">
        <v>388</v>
      </c>
      <c r="AC19" s="550" t="s">
        <v>388</v>
      </c>
      <c r="AD19" s="550" t="s">
        <v>380</v>
      </c>
      <c r="AE19" s="550" t="s">
        <v>388</v>
      </c>
      <c r="AF19" s="550" t="s">
        <v>383</v>
      </c>
      <c r="AG19" s="550" t="s">
        <v>380</v>
      </c>
      <c r="AH19" s="550" t="s">
        <v>383</v>
      </c>
      <c r="AI19" s="550" t="s">
        <v>381</v>
      </c>
      <c r="AJ19" s="550" t="s">
        <v>377</v>
      </c>
      <c r="AK19" s="664">
        <v>0.01</v>
      </c>
      <c r="AL19" s="550" t="s">
        <v>379</v>
      </c>
      <c r="AM19" s="550" t="s">
        <v>377</v>
      </c>
      <c r="AN19" s="550" t="s">
        <v>379</v>
      </c>
      <c r="AO19" s="550" t="s">
        <v>379</v>
      </c>
      <c r="AP19" s="550" t="s">
        <v>377</v>
      </c>
      <c r="AQ19" s="550" t="s">
        <v>379</v>
      </c>
      <c r="AR19" s="550" t="s">
        <v>379</v>
      </c>
      <c r="AS19" s="550" t="s">
        <v>377</v>
      </c>
      <c r="AT19" s="550" t="s">
        <v>379</v>
      </c>
      <c r="AU19" s="550" t="s">
        <v>379</v>
      </c>
      <c r="AV19" s="550" t="s">
        <v>377</v>
      </c>
      <c r="AW19" s="550" t="s">
        <v>379</v>
      </c>
      <c r="AX19" s="550" t="s">
        <v>379</v>
      </c>
      <c r="AY19" s="550" t="s">
        <v>377</v>
      </c>
      <c r="AZ19" s="550" t="s">
        <v>379</v>
      </c>
      <c r="BA19" s="550" t="s">
        <v>379</v>
      </c>
      <c r="BB19" s="550" t="s">
        <v>377</v>
      </c>
      <c r="BC19" s="550" t="s">
        <v>379</v>
      </c>
      <c r="BD19" s="550" t="s">
        <v>379</v>
      </c>
      <c r="BE19" s="550" t="s">
        <v>377</v>
      </c>
      <c r="BF19" s="550" t="s">
        <v>379</v>
      </c>
      <c r="BG19" s="550" t="s">
        <v>398</v>
      </c>
      <c r="BH19" s="550" t="s">
        <v>387</v>
      </c>
      <c r="BI19" s="550" t="s">
        <v>398</v>
      </c>
      <c r="BJ19" s="550" t="s">
        <v>379</v>
      </c>
      <c r="BK19" s="550" t="s">
        <v>387</v>
      </c>
      <c r="BL19" s="550" t="s">
        <v>379</v>
      </c>
      <c r="BM19" s="550" t="s">
        <v>379</v>
      </c>
      <c r="BN19" s="550" t="s">
        <v>387</v>
      </c>
      <c r="BO19" s="550" t="s">
        <v>379</v>
      </c>
      <c r="BP19" s="523" t="s">
        <v>383</v>
      </c>
      <c r="BQ19" s="550" t="s">
        <v>387</v>
      </c>
      <c r="BR19" s="523" t="s">
        <v>383</v>
      </c>
      <c r="BS19" s="550" t="s">
        <v>381</v>
      </c>
      <c r="BT19" s="550" t="s">
        <v>387</v>
      </c>
      <c r="BU19" s="671">
        <v>0.01</v>
      </c>
      <c r="BV19" s="665" t="s">
        <v>379</v>
      </c>
      <c r="BW19" s="665" t="s">
        <v>387</v>
      </c>
      <c r="BX19" s="665" t="s">
        <v>379</v>
      </c>
      <c r="BY19" s="665" t="s">
        <v>379</v>
      </c>
      <c r="BZ19" s="665" t="s">
        <v>387</v>
      </c>
      <c r="CA19" s="665" t="s">
        <v>379</v>
      </c>
      <c r="CB19" s="665" t="s">
        <v>379</v>
      </c>
      <c r="CC19" s="665" t="s">
        <v>387</v>
      </c>
      <c r="CD19" s="665" t="s">
        <v>379</v>
      </c>
      <c r="CE19" s="665" t="s">
        <v>383</v>
      </c>
      <c r="CF19" s="665" t="s">
        <v>387</v>
      </c>
      <c r="CG19" s="665" t="s">
        <v>383</v>
      </c>
      <c r="CH19" s="665" t="s">
        <v>398</v>
      </c>
      <c r="CI19" s="665" t="s">
        <v>399</v>
      </c>
      <c r="CJ19" s="665" t="s">
        <v>398</v>
      </c>
      <c r="CK19" s="665" t="s">
        <v>379</v>
      </c>
      <c r="CL19" s="665" t="s">
        <v>399</v>
      </c>
      <c r="CM19" s="665" t="s">
        <v>379</v>
      </c>
      <c r="CN19" s="665" t="s">
        <v>383</v>
      </c>
      <c r="CO19" s="665" t="s">
        <v>399</v>
      </c>
      <c r="CP19" s="665" t="s">
        <v>383</v>
      </c>
      <c r="CQ19" s="665" t="s">
        <v>398</v>
      </c>
      <c r="CR19" s="665" t="s">
        <v>399</v>
      </c>
      <c r="CS19" s="665" t="s">
        <v>398</v>
      </c>
      <c r="CT19" s="665" t="s">
        <v>383</v>
      </c>
      <c r="CU19" s="665" t="s">
        <v>399</v>
      </c>
      <c r="CV19" s="665" t="s">
        <v>383</v>
      </c>
      <c r="CW19" s="665" t="s">
        <v>398</v>
      </c>
      <c r="CX19" s="665" t="s">
        <v>399</v>
      </c>
      <c r="CY19" s="665" t="s">
        <v>398</v>
      </c>
      <c r="CZ19" s="665" t="s">
        <v>379</v>
      </c>
      <c r="DA19" s="665" t="s">
        <v>399</v>
      </c>
      <c r="DB19" s="665" t="s">
        <v>379</v>
      </c>
      <c r="DC19" s="665" t="s">
        <v>379</v>
      </c>
      <c r="DD19" s="665" t="s">
        <v>399</v>
      </c>
      <c r="DE19" s="665" t="s">
        <v>379</v>
      </c>
      <c r="DF19" s="665" t="s">
        <v>379</v>
      </c>
      <c r="DG19" s="665" t="s">
        <v>399</v>
      </c>
      <c r="DH19" s="665" t="s">
        <v>379</v>
      </c>
      <c r="DI19" s="665" t="s">
        <v>379</v>
      </c>
      <c r="DJ19" s="665" t="s">
        <v>399</v>
      </c>
      <c r="DK19" s="665" t="s">
        <v>379</v>
      </c>
      <c r="DL19" s="665" t="s">
        <v>379</v>
      </c>
      <c r="DM19" s="665" t="s">
        <v>399</v>
      </c>
      <c r="DN19" s="665" t="s">
        <v>379</v>
      </c>
    </row>
    <row r="20" ht="15.0" customHeight="1">
      <c r="A20" s="53">
        <v>56.0</v>
      </c>
      <c r="B20" s="100" t="s">
        <v>278</v>
      </c>
      <c r="C20" s="100" t="s">
        <v>279</v>
      </c>
      <c r="D20" s="101" t="str">
        <f t="shared" si="3"/>
        <v>DATA</v>
      </c>
      <c r="E20" s="111" t="s">
        <v>280</v>
      </c>
      <c r="F20" s="101">
        <v>1121.0</v>
      </c>
      <c r="G20" s="111" t="s">
        <v>280</v>
      </c>
      <c r="H20" s="517">
        <v>1125.0</v>
      </c>
      <c r="I20" s="68" t="str">
        <f>IFERROR(VLOOKUP(C:C,'R22 RELATÓRIO ACC'!B:F,5,FALSE),"NOT PUBLISHED")</f>
        <v>V1</v>
      </c>
      <c r="J20" s="68" t="str">
        <f>IFERROR(VLOOKUP(C:C,'R22 RELATÓRIO ACC'!B:P,15,FALSE),"NOT PUBLISHED")</f>
        <v>05/05/2026</v>
      </c>
      <c r="K20" s="70" t="str">
        <f>IFERROR(VLOOKUP(B:B,'RELATÓRIO ACC'!B:F,5,FALSE),"NOT PUBLISHED")</f>
        <v>V3</v>
      </c>
      <c r="L20" s="518" t="str">
        <f>IFERROR(VLOOKUP(B:B,'RELATÓRIO ACC'!B:P,15,FALSE),"NOT PUBLISHED")</f>
        <v>20/06/2026</v>
      </c>
      <c r="M20" s="661" t="s">
        <v>400</v>
      </c>
      <c r="N20" s="662">
        <v>46193.0</v>
      </c>
      <c r="O20" s="538" t="s">
        <v>378</v>
      </c>
      <c r="P20" s="663" t="s">
        <v>397</v>
      </c>
      <c r="Q20" s="550" t="s">
        <v>388</v>
      </c>
      <c r="R20" s="550" t="s">
        <v>380</v>
      </c>
      <c r="S20" s="550" t="s">
        <v>388</v>
      </c>
      <c r="T20" s="550" t="s">
        <v>388</v>
      </c>
      <c r="U20" s="550" t="s">
        <v>380</v>
      </c>
      <c r="V20" s="550" t="s">
        <v>388</v>
      </c>
      <c r="W20" s="550" t="s">
        <v>388</v>
      </c>
      <c r="X20" s="550" t="s">
        <v>380</v>
      </c>
      <c r="Y20" s="550" t="s">
        <v>388</v>
      </c>
      <c r="Z20" s="550" t="s">
        <v>388</v>
      </c>
      <c r="AA20" s="550" t="s">
        <v>380</v>
      </c>
      <c r="AB20" s="550" t="s">
        <v>388</v>
      </c>
      <c r="AC20" s="550" t="s">
        <v>388</v>
      </c>
      <c r="AD20" s="550" t="s">
        <v>380</v>
      </c>
      <c r="AE20" s="550" t="s">
        <v>388</v>
      </c>
      <c r="AF20" s="550" t="s">
        <v>388</v>
      </c>
      <c r="AG20" s="550" t="s">
        <v>380</v>
      </c>
      <c r="AH20" s="550" t="s">
        <v>388</v>
      </c>
      <c r="AI20" s="550" t="s">
        <v>388</v>
      </c>
      <c r="AJ20" s="550" t="s">
        <v>380</v>
      </c>
      <c r="AK20" s="550" t="s">
        <v>388</v>
      </c>
      <c r="AL20" s="550" t="s">
        <v>388</v>
      </c>
      <c r="AM20" s="550" t="s">
        <v>380</v>
      </c>
      <c r="AN20" s="550" t="s">
        <v>388</v>
      </c>
      <c r="AO20" s="550" t="s">
        <v>388</v>
      </c>
      <c r="AP20" s="550" t="s">
        <v>380</v>
      </c>
      <c r="AQ20" s="550" t="s">
        <v>388</v>
      </c>
      <c r="AR20" s="550" t="s">
        <v>388</v>
      </c>
      <c r="AS20" s="550" t="s">
        <v>380</v>
      </c>
      <c r="AT20" s="550" t="s">
        <v>388</v>
      </c>
      <c r="AU20" s="550" t="s">
        <v>388</v>
      </c>
      <c r="AV20" s="550" t="s">
        <v>380</v>
      </c>
      <c r="AW20" s="550" t="s">
        <v>388</v>
      </c>
      <c r="AX20" s="550" t="s">
        <v>388</v>
      </c>
      <c r="AY20" s="550" t="s">
        <v>380</v>
      </c>
      <c r="AZ20" s="550" t="s">
        <v>388</v>
      </c>
      <c r="BA20" s="550" t="s">
        <v>388</v>
      </c>
      <c r="BB20" s="550" t="s">
        <v>380</v>
      </c>
      <c r="BC20" s="550" t="s">
        <v>388</v>
      </c>
      <c r="BD20" s="550" t="s">
        <v>388</v>
      </c>
      <c r="BE20" s="550" t="s">
        <v>380</v>
      </c>
      <c r="BF20" s="550" t="s">
        <v>388</v>
      </c>
      <c r="BG20" s="550" t="s">
        <v>388</v>
      </c>
      <c r="BH20" s="550" t="s">
        <v>380</v>
      </c>
      <c r="BI20" s="550" t="s">
        <v>388</v>
      </c>
      <c r="BJ20" s="550" t="s">
        <v>388</v>
      </c>
      <c r="BK20" s="550" t="s">
        <v>380</v>
      </c>
      <c r="BL20" s="550" t="s">
        <v>388</v>
      </c>
      <c r="BM20" s="550" t="s">
        <v>388</v>
      </c>
      <c r="BN20" s="550" t="s">
        <v>380</v>
      </c>
      <c r="BO20" s="550" t="s">
        <v>388</v>
      </c>
      <c r="BP20" s="550" t="s">
        <v>388</v>
      </c>
      <c r="BQ20" s="550" t="s">
        <v>380</v>
      </c>
      <c r="BR20" s="550" t="s">
        <v>388</v>
      </c>
      <c r="BS20" s="550" t="s">
        <v>388</v>
      </c>
      <c r="BT20" s="550" t="s">
        <v>380</v>
      </c>
      <c r="BU20" s="672" t="s">
        <v>388</v>
      </c>
      <c r="BV20" s="673" t="s">
        <v>388</v>
      </c>
      <c r="BW20" s="673" t="s">
        <v>380</v>
      </c>
      <c r="BX20" s="673" t="s">
        <v>388</v>
      </c>
      <c r="BY20" s="673" t="s">
        <v>388</v>
      </c>
      <c r="BZ20" s="673" t="s">
        <v>380</v>
      </c>
      <c r="CA20" s="673" t="s">
        <v>388</v>
      </c>
      <c r="CB20" s="673" t="s">
        <v>388</v>
      </c>
      <c r="CC20" s="673" t="s">
        <v>380</v>
      </c>
      <c r="CD20" s="673" t="s">
        <v>388</v>
      </c>
      <c r="CE20" s="673" t="s">
        <v>388</v>
      </c>
      <c r="CF20" s="673" t="s">
        <v>380</v>
      </c>
      <c r="CG20" s="673" t="s">
        <v>388</v>
      </c>
      <c r="CH20" s="673" t="s">
        <v>388</v>
      </c>
      <c r="CI20" s="673" t="s">
        <v>380</v>
      </c>
      <c r="CJ20" s="673" t="s">
        <v>388</v>
      </c>
      <c r="CK20" s="673" t="s">
        <v>380</v>
      </c>
      <c r="CL20" s="673" t="s">
        <v>380</v>
      </c>
      <c r="CM20" s="673" t="s">
        <v>380</v>
      </c>
      <c r="CN20" s="673" t="s">
        <v>380</v>
      </c>
      <c r="CO20" s="673" t="s">
        <v>380</v>
      </c>
      <c r="CP20" s="673" t="s">
        <v>380</v>
      </c>
      <c r="CQ20" s="673" t="s">
        <v>380</v>
      </c>
      <c r="CR20" s="673" t="s">
        <v>380</v>
      </c>
      <c r="CS20" s="673" t="s">
        <v>380</v>
      </c>
      <c r="CT20" s="674" t="s">
        <v>383</v>
      </c>
      <c r="CU20" s="675" t="s">
        <v>380</v>
      </c>
      <c r="CV20" s="676">
        <v>0.0</v>
      </c>
      <c r="CW20" s="673" t="s">
        <v>383</v>
      </c>
      <c r="CX20" s="675" t="s">
        <v>380</v>
      </c>
      <c r="CY20" s="673" t="s">
        <v>383</v>
      </c>
      <c r="CZ20" s="673" t="s">
        <v>383</v>
      </c>
      <c r="DA20" s="675" t="s">
        <v>380</v>
      </c>
      <c r="DB20" s="673" t="s">
        <v>383</v>
      </c>
      <c r="DC20" s="673" t="s">
        <v>381</v>
      </c>
      <c r="DD20" s="677" t="s">
        <v>400</v>
      </c>
      <c r="DE20" s="678">
        <v>0.01</v>
      </c>
      <c r="DF20" s="673" t="s">
        <v>379</v>
      </c>
      <c r="DG20" s="677" t="s">
        <v>400</v>
      </c>
      <c r="DH20" s="673" t="s">
        <v>379</v>
      </c>
      <c r="DI20" s="673" t="s">
        <v>379</v>
      </c>
      <c r="DJ20" s="677" t="s">
        <v>400</v>
      </c>
      <c r="DK20" s="673" t="s">
        <v>379</v>
      </c>
      <c r="DL20" s="673" t="s">
        <v>379</v>
      </c>
      <c r="DM20" s="677" t="s">
        <v>400</v>
      </c>
      <c r="DN20" s="673" t="s">
        <v>379</v>
      </c>
    </row>
    <row r="21" ht="15.0" hidden="1" customHeight="1">
      <c r="A21" s="53">
        <v>20.0</v>
      </c>
      <c r="B21" s="124" t="s">
        <v>151</v>
      </c>
      <c r="C21" s="125"/>
      <c r="D21" s="126"/>
      <c r="E21" s="126"/>
      <c r="F21" s="126"/>
      <c r="G21" s="126"/>
      <c r="H21" s="128"/>
      <c r="I21" s="126"/>
      <c r="J21" s="126"/>
      <c r="K21" s="129"/>
      <c r="L21" s="128"/>
      <c r="M21" s="679"/>
      <c r="N21" s="679"/>
      <c r="O21" s="679"/>
      <c r="P21" s="663"/>
      <c r="Q21" s="576"/>
      <c r="R21" s="576"/>
      <c r="S21" s="680"/>
      <c r="T21" s="576"/>
      <c r="U21" s="576"/>
      <c r="V21" s="680"/>
      <c r="W21" s="576"/>
      <c r="X21" s="576"/>
      <c r="Y21" s="680"/>
      <c r="Z21" s="576"/>
      <c r="AA21" s="576"/>
      <c r="AB21" s="680"/>
      <c r="AC21" s="576"/>
      <c r="AD21" s="576"/>
      <c r="AE21" s="680"/>
      <c r="AF21" s="680"/>
      <c r="AG21" s="680"/>
      <c r="AH21" s="680"/>
      <c r="AI21" s="680"/>
      <c r="AJ21" s="680"/>
      <c r="AK21" s="680"/>
      <c r="AL21" s="680"/>
      <c r="AM21" s="680"/>
      <c r="AN21" s="680"/>
      <c r="AO21" s="680"/>
      <c r="AP21" s="680"/>
      <c r="AQ21" s="680"/>
      <c r="AR21" s="680"/>
      <c r="AS21" s="680"/>
      <c r="AT21" s="680"/>
      <c r="AU21" s="680"/>
      <c r="AV21" s="680"/>
      <c r="AW21" s="680"/>
      <c r="AX21" s="680"/>
      <c r="AY21" s="680"/>
      <c r="AZ21" s="680"/>
      <c r="BA21" s="680"/>
      <c r="BB21" s="680"/>
      <c r="BC21" s="680"/>
      <c r="BD21" s="680"/>
      <c r="BE21" s="680"/>
      <c r="BF21" s="680"/>
      <c r="BG21" s="680"/>
      <c r="BH21" s="680"/>
      <c r="BI21" s="680"/>
      <c r="BJ21" s="680"/>
      <c r="BK21" s="680"/>
      <c r="BL21" s="680"/>
      <c r="BM21" s="680"/>
      <c r="BN21" s="680"/>
      <c r="BO21" s="680"/>
      <c r="BP21" s="680"/>
      <c r="BQ21" s="680"/>
      <c r="BR21" s="680"/>
      <c r="BS21" s="680"/>
      <c r="BT21" s="680"/>
      <c r="BU21" s="681"/>
      <c r="BV21" s="682"/>
      <c r="BW21" s="682"/>
      <c r="BX21" s="682"/>
      <c r="BY21" s="682"/>
      <c r="BZ21" s="682"/>
      <c r="CA21" s="682"/>
      <c r="CB21" s="682"/>
      <c r="CC21" s="682"/>
      <c r="CD21" s="682"/>
      <c r="CE21" s="682"/>
      <c r="CF21" s="682"/>
      <c r="CG21" s="682"/>
      <c r="CH21" s="578"/>
      <c r="CI21" s="578"/>
      <c r="CJ21" s="578"/>
      <c r="CK21" s="578"/>
      <c r="CL21" s="578"/>
      <c r="CM21" s="578"/>
      <c r="CN21" s="578"/>
      <c r="CO21" s="578"/>
      <c r="CP21" s="578"/>
      <c r="CQ21" s="578"/>
      <c r="CR21" s="578"/>
      <c r="CS21" s="578"/>
      <c r="CT21" s="578"/>
      <c r="CU21" s="578"/>
      <c r="CV21" s="578"/>
      <c r="CW21" s="578"/>
      <c r="CX21" s="578"/>
      <c r="CY21" s="578"/>
      <c r="CZ21" s="578"/>
      <c r="DA21" s="578"/>
      <c r="DB21" s="578"/>
      <c r="DC21" s="578"/>
      <c r="DD21" s="578"/>
      <c r="DE21" s="578"/>
      <c r="DF21" s="578"/>
      <c r="DG21" s="578"/>
      <c r="DH21" s="578"/>
      <c r="DI21" s="578"/>
      <c r="DJ21" s="578"/>
      <c r="DK21" s="578"/>
      <c r="DL21" s="578"/>
      <c r="DM21" s="578"/>
      <c r="DN21" s="578"/>
    </row>
    <row r="22" ht="15.0" customHeight="1">
      <c r="A22" s="53">
        <v>2.0</v>
      </c>
      <c r="B22" s="100" t="s">
        <v>78</v>
      </c>
      <c r="C22" s="100" t="s">
        <v>79</v>
      </c>
      <c r="D22" s="101" t="str">
        <f>MID(B22,17,4)</f>
        <v>DATA</v>
      </c>
      <c r="E22" s="101" t="s">
        <v>80</v>
      </c>
      <c r="F22" s="102">
        <v>1130.0</v>
      </c>
      <c r="G22" s="517" t="s">
        <v>80</v>
      </c>
      <c r="H22" s="517">
        <v>1130.0</v>
      </c>
      <c r="I22" s="68" t="str">
        <f>IFERROR(VLOOKUP(C:C,'R22 RELATÓRIO ACC'!B:F,5,FALSE),"NOT PUBLISHED")</f>
        <v>V29</v>
      </c>
      <c r="J22" s="68" t="str">
        <f>IFERROR(VLOOKUP(C:C,'R22 RELATÓRIO ACC'!B:P,15,FALSE),"NOT PUBLISHED")</f>
        <v>13/04/2026</v>
      </c>
      <c r="K22" s="70" t="str">
        <f>IFERROR(VLOOKUP(B:B,'RELATÓRIO ACC'!B:F,5,FALSE),"NOT PUBLISHED")</f>
        <v>V3</v>
      </c>
      <c r="L22" s="518" t="str">
        <f>IFERROR(VLOOKUP(B:B,'RELATÓRIO ACC'!B:P,15,FALSE),"NOT PUBLISHED")</f>
        <v>03/06/2026</v>
      </c>
      <c r="M22" s="661" t="s">
        <v>400</v>
      </c>
      <c r="N22" s="662">
        <v>46176.0</v>
      </c>
      <c r="O22" s="538" t="s">
        <v>378</v>
      </c>
      <c r="P22" s="663" t="s">
        <v>397</v>
      </c>
      <c r="Q22" s="550" t="s">
        <v>379</v>
      </c>
      <c r="R22" s="558">
        <v>0.0</v>
      </c>
      <c r="S22" s="550" t="s">
        <v>379</v>
      </c>
      <c r="T22" s="550" t="s">
        <v>379</v>
      </c>
      <c r="U22" s="558">
        <v>0.0</v>
      </c>
      <c r="V22" s="550" t="s">
        <v>379</v>
      </c>
      <c r="W22" s="550" t="s">
        <v>381</v>
      </c>
      <c r="X22" s="550" t="s">
        <v>421</v>
      </c>
      <c r="Y22" s="667">
        <v>0.62</v>
      </c>
      <c r="Z22" s="550" t="s">
        <v>379</v>
      </c>
      <c r="AA22" s="550" t="s">
        <v>401</v>
      </c>
      <c r="AB22" s="550" t="s">
        <v>379</v>
      </c>
      <c r="AC22" s="550" t="s">
        <v>383</v>
      </c>
      <c r="AD22" s="550" t="s">
        <v>401</v>
      </c>
      <c r="AE22" s="550" t="s">
        <v>383</v>
      </c>
      <c r="AF22" s="550" t="s">
        <v>381</v>
      </c>
      <c r="AG22" s="550" t="s">
        <v>402</v>
      </c>
      <c r="AH22" s="664">
        <v>0.81</v>
      </c>
      <c r="AI22" s="550" t="s">
        <v>379</v>
      </c>
      <c r="AJ22" s="550" t="s">
        <v>402</v>
      </c>
      <c r="AK22" s="550" t="s">
        <v>379</v>
      </c>
      <c r="AL22" s="550" t="s">
        <v>383</v>
      </c>
      <c r="AM22" s="550" t="s">
        <v>402</v>
      </c>
      <c r="AN22" s="550" t="s">
        <v>383</v>
      </c>
      <c r="AO22" s="550" t="s">
        <v>381</v>
      </c>
      <c r="AP22" s="550" t="s">
        <v>403</v>
      </c>
      <c r="AQ22" s="664">
        <v>0.9</v>
      </c>
      <c r="AR22" s="550" t="s">
        <v>383</v>
      </c>
      <c r="AS22" s="550" t="s">
        <v>403</v>
      </c>
      <c r="AT22" s="550" t="s">
        <v>383</v>
      </c>
      <c r="AU22" s="550" t="s">
        <v>398</v>
      </c>
      <c r="AV22" s="550" t="s">
        <v>403</v>
      </c>
      <c r="AW22" s="550" t="s">
        <v>398</v>
      </c>
      <c r="AX22" s="550" t="s">
        <v>398</v>
      </c>
      <c r="AY22" s="550" t="s">
        <v>405</v>
      </c>
      <c r="AZ22" s="550" t="s">
        <v>398</v>
      </c>
      <c r="BA22" s="550" t="s">
        <v>383</v>
      </c>
      <c r="BB22" s="550" t="s">
        <v>405</v>
      </c>
      <c r="BC22" s="550" t="s">
        <v>383</v>
      </c>
      <c r="BD22" s="550" t="s">
        <v>398</v>
      </c>
      <c r="BE22" s="550" t="s">
        <v>406</v>
      </c>
      <c r="BF22" s="550" t="s">
        <v>398</v>
      </c>
      <c r="BG22" s="550" t="s">
        <v>379</v>
      </c>
      <c r="BH22" s="550" t="s">
        <v>406</v>
      </c>
      <c r="BI22" s="550" t="s">
        <v>379</v>
      </c>
      <c r="BJ22" s="550" t="s">
        <v>379</v>
      </c>
      <c r="BK22" s="550" t="s">
        <v>406</v>
      </c>
      <c r="BL22" s="550" t="s">
        <v>379</v>
      </c>
      <c r="BM22" s="550" t="s">
        <v>379</v>
      </c>
      <c r="BN22" s="550" t="s">
        <v>406</v>
      </c>
      <c r="BO22" s="550" t="s">
        <v>379</v>
      </c>
      <c r="BP22" s="550" t="s">
        <v>381</v>
      </c>
      <c r="BQ22" s="550" t="s">
        <v>406</v>
      </c>
      <c r="BR22" s="671">
        <v>0.87</v>
      </c>
      <c r="BS22" s="550" t="s">
        <v>379</v>
      </c>
      <c r="BT22" s="550" t="s">
        <v>406</v>
      </c>
      <c r="BU22" s="672" t="s">
        <v>379</v>
      </c>
      <c r="BV22" s="673" t="s">
        <v>379</v>
      </c>
      <c r="BW22" s="673" t="s">
        <v>406</v>
      </c>
      <c r="BX22" s="673" t="s">
        <v>379</v>
      </c>
      <c r="BY22" s="673" t="s">
        <v>381</v>
      </c>
      <c r="BZ22" s="673" t="s">
        <v>408</v>
      </c>
      <c r="CA22" s="683">
        <v>0.77</v>
      </c>
      <c r="CB22" s="673" t="s">
        <v>379</v>
      </c>
      <c r="CC22" s="673" t="s">
        <v>408</v>
      </c>
      <c r="CD22" s="673" t="s">
        <v>379</v>
      </c>
      <c r="CE22" s="673" t="s">
        <v>379</v>
      </c>
      <c r="CF22" s="673" t="s">
        <v>408</v>
      </c>
      <c r="CG22" s="673" t="s">
        <v>379</v>
      </c>
      <c r="CH22" s="673" t="s">
        <v>379</v>
      </c>
      <c r="CI22" s="673" t="s">
        <v>408</v>
      </c>
      <c r="CJ22" s="673" t="s">
        <v>379</v>
      </c>
      <c r="CK22" s="673" t="s">
        <v>379</v>
      </c>
      <c r="CL22" s="673" t="s">
        <v>408</v>
      </c>
      <c r="CM22" s="673" t="s">
        <v>379</v>
      </c>
      <c r="CN22" s="528" t="s">
        <v>383</v>
      </c>
      <c r="CO22" s="673" t="s">
        <v>408</v>
      </c>
      <c r="CP22" s="528" t="s">
        <v>383</v>
      </c>
      <c r="CQ22" s="528" t="s">
        <v>383</v>
      </c>
      <c r="CR22" s="673" t="s">
        <v>408</v>
      </c>
      <c r="CS22" s="528" t="s">
        <v>383</v>
      </c>
      <c r="CT22" s="528" t="s">
        <v>386</v>
      </c>
      <c r="CU22" s="673" t="s">
        <v>400</v>
      </c>
      <c r="CV22" s="568">
        <v>1.0</v>
      </c>
      <c r="CW22" s="550" t="s">
        <v>413</v>
      </c>
      <c r="CX22" s="673" t="s">
        <v>400</v>
      </c>
      <c r="CY22" s="671">
        <v>1.0</v>
      </c>
      <c r="CZ22" s="550" t="s">
        <v>413</v>
      </c>
      <c r="DA22" s="673" t="s">
        <v>400</v>
      </c>
      <c r="DB22" s="671">
        <v>1.0</v>
      </c>
      <c r="DC22" s="550" t="s">
        <v>413</v>
      </c>
      <c r="DD22" s="673" t="s">
        <v>400</v>
      </c>
      <c r="DE22" s="671">
        <v>1.0</v>
      </c>
      <c r="DF22" s="550" t="s">
        <v>413</v>
      </c>
      <c r="DG22" s="673" t="s">
        <v>400</v>
      </c>
      <c r="DH22" s="671">
        <v>1.0</v>
      </c>
      <c r="DI22" s="550" t="s">
        <v>413</v>
      </c>
      <c r="DJ22" s="673" t="s">
        <v>400</v>
      </c>
      <c r="DK22" s="671">
        <v>1.0</v>
      </c>
      <c r="DL22" s="550" t="s">
        <v>413</v>
      </c>
      <c r="DM22" s="673" t="s">
        <v>400</v>
      </c>
      <c r="DN22" s="671">
        <v>1.0</v>
      </c>
    </row>
    <row r="23" ht="15.0" hidden="1" customHeight="1">
      <c r="A23" s="53">
        <v>22.0</v>
      </c>
      <c r="B23" s="146" t="s">
        <v>158</v>
      </c>
      <c r="C23" s="147"/>
      <c r="D23" s="148"/>
      <c r="E23" s="148"/>
      <c r="F23" s="148"/>
      <c r="G23" s="148"/>
      <c r="H23" s="150"/>
      <c r="I23" s="148"/>
      <c r="J23" s="148"/>
      <c r="K23" s="151"/>
      <c r="L23" s="148"/>
      <c r="M23" s="684"/>
      <c r="N23" s="684"/>
      <c r="O23" s="684"/>
      <c r="P23" s="663"/>
      <c r="Q23" s="583"/>
      <c r="R23" s="583"/>
      <c r="S23" s="685"/>
      <c r="T23" s="583"/>
      <c r="U23" s="583"/>
      <c r="V23" s="685"/>
      <c r="W23" s="583"/>
      <c r="X23" s="583"/>
      <c r="Y23" s="685"/>
      <c r="Z23" s="583"/>
      <c r="AA23" s="583"/>
      <c r="AB23" s="685"/>
      <c r="AC23" s="583"/>
      <c r="AD23" s="583"/>
      <c r="AE23" s="685"/>
      <c r="AF23" s="685"/>
      <c r="AG23" s="685"/>
      <c r="AH23" s="685"/>
      <c r="AI23" s="685"/>
      <c r="AJ23" s="685"/>
      <c r="AK23" s="685"/>
      <c r="AL23" s="685"/>
      <c r="AM23" s="685"/>
      <c r="AN23" s="685"/>
      <c r="AO23" s="685"/>
      <c r="AP23" s="685"/>
      <c r="AQ23" s="685"/>
      <c r="AR23" s="685"/>
      <c r="AS23" s="685"/>
      <c r="AT23" s="685"/>
      <c r="AU23" s="685"/>
      <c r="AV23" s="685"/>
      <c r="AW23" s="685"/>
      <c r="AX23" s="685"/>
      <c r="AY23" s="685"/>
      <c r="AZ23" s="685"/>
      <c r="BA23" s="685"/>
      <c r="BB23" s="685"/>
      <c r="BC23" s="685"/>
      <c r="BD23" s="685"/>
      <c r="BE23" s="685"/>
      <c r="BF23" s="685"/>
      <c r="BG23" s="685"/>
      <c r="BH23" s="685"/>
      <c r="BI23" s="685"/>
      <c r="BJ23" s="685"/>
      <c r="BK23" s="685"/>
      <c r="BL23" s="685"/>
      <c r="BM23" s="685"/>
      <c r="BN23" s="685"/>
      <c r="BO23" s="685"/>
      <c r="BP23" s="685"/>
      <c r="BQ23" s="685"/>
      <c r="BR23" s="685"/>
      <c r="BS23" s="685"/>
      <c r="BT23" s="685"/>
      <c r="BU23" s="686"/>
      <c r="BV23" s="687"/>
      <c r="BW23" s="687"/>
      <c r="BX23" s="687"/>
      <c r="BY23" s="687"/>
      <c r="BZ23" s="687"/>
      <c r="CA23" s="687"/>
      <c r="CB23" s="687"/>
      <c r="CC23" s="687"/>
      <c r="CD23" s="687"/>
      <c r="CE23" s="687"/>
      <c r="CF23" s="687"/>
      <c r="CG23" s="687"/>
      <c r="CH23" s="585"/>
      <c r="CI23" s="585"/>
      <c r="CJ23" s="585"/>
      <c r="CK23" s="585"/>
      <c r="CL23" s="585"/>
      <c r="CM23" s="585"/>
      <c r="CN23" s="585"/>
      <c r="CO23" s="585"/>
      <c r="CP23" s="585"/>
      <c r="CQ23" s="585"/>
      <c r="CR23" s="585"/>
      <c r="CS23" s="585"/>
      <c r="CT23" s="585"/>
      <c r="CU23" s="585"/>
      <c r="CV23" s="585"/>
      <c r="CW23" s="585"/>
      <c r="CX23" s="585"/>
      <c r="CY23" s="585"/>
      <c r="CZ23" s="585"/>
      <c r="DA23" s="585"/>
      <c r="DB23" s="585"/>
      <c r="DC23" s="585"/>
      <c r="DD23" s="585"/>
      <c r="DE23" s="585"/>
      <c r="DF23" s="585"/>
      <c r="DG23" s="585"/>
      <c r="DH23" s="585"/>
      <c r="DI23" s="585"/>
      <c r="DJ23" s="585"/>
      <c r="DK23" s="585"/>
      <c r="DL23" s="585"/>
      <c r="DM23" s="585"/>
      <c r="DN23" s="585"/>
    </row>
    <row r="24" ht="15.0" customHeight="1">
      <c r="A24" s="53">
        <v>12.0</v>
      </c>
      <c r="B24" s="100" t="s">
        <v>118</v>
      </c>
      <c r="C24" s="100" t="s">
        <v>119</v>
      </c>
      <c r="D24" s="101" t="str">
        <f>MID(B24,FIND(CHAR(160),SUBSTITUTE(B24,"-",CHAR(160),3)) + 1,FIND(CHAR(160),SUBSTITUTE(B24,"-",CHAR(160),4)) - 1 - (FIND(CHAR(160),SUBSTITUTE(B24,"-",CHAR(160),3))))</f>
        <v>DATA</v>
      </c>
      <c r="E24" s="101" t="s">
        <v>120</v>
      </c>
      <c r="F24" s="102">
        <v>1110.0</v>
      </c>
      <c r="G24" s="517" t="s">
        <v>121</v>
      </c>
      <c r="H24" s="517">
        <v>1128.0</v>
      </c>
      <c r="I24" s="68" t="str">
        <f>IFERROR(VLOOKUP(C:C,'R22 RELATÓRIO ACC'!B:F,5,FALSE),"NOT PUBLISHED")</f>
        <v>V25</v>
      </c>
      <c r="J24" s="68" t="str">
        <f>IFERROR(VLOOKUP(C:C,'R22 RELATÓRIO ACC'!B:P,15,FALSE),"NOT PUBLISHED")</f>
        <v>06/05/2026</v>
      </c>
      <c r="K24" s="70" t="str">
        <f>IFERROR(VLOOKUP(B:B,'RELATÓRIO ACC'!B:F,5,FALSE),"NOT PUBLISHED")</f>
        <v>V3</v>
      </c>
      <c r="L24" s="518" t="str">
        <f>IFERROR(VLOOKUP(B:B,'RELATÓRIO ACC'!B:P,15,FALSE),"NOT PUBLISHED")</f>
        <v>07/07/2026</v>
      </c>
      <c r="M24" s="661" t="s">
        <v>403</v>
      </c>
      <c r="N24" s="662">
        <v>46100.0</v>
      </c>
      <c r="O24" s="538" t="s">
        <v>410</v>
      </c>
      <c r="P24" s="663" t="s">
        <v>397</v>
      </c>
      <c r="Q24" s="550" t="s">
        <v>379</v>
      </c>
      <c r="R24" s="558">
        <v>0.0</v>
      </c>
      <c r="S24" s="550" t="s">
        <v>379</v>
      </c>
      <c r="T24" s="550" t="s">
        <v>379</v>
      </c>
      <c r="U24" s="558">
        <v>0.0</v>
      </c>
      <c r="V24" s="550" t="s">
        <v>379</v>
      </c>
      <c r="W24" s="550" t="s">
        <v>379</v>
      </c>
      <c r="X24" s="558">
        <v>0.0</v>
      </c>
      <c r="Y24" s="550" t="s">
        <v>379</v>
      </c>
      <c r="Z24" s="550" t="s">
        <v>381</v>
      </c>
      <c r="AA24" s="550" t="s">
        <v>384</v>
      </c>
      <c r="AB24" s="667">
        <v>0.54</v>
      </c>
      <c r="AC24" s="550" t="s">
        <v>383</v>
      </c>
      <c r="AD24" s="550">
        <v>0.0</v>
      </c>
      <c r="AE24" s="550" t="s">
        <v>383</v>
      </c>
      <c r="AF24" s="550" t="s">
        <v>381</v>
      </c>
      <c r="AG24" s="550" t="s">
        <v>385</v>
      </c>
      <c r="AH24" s="664">
        <v>0.88</v>
      </c>
      <c r="AI24" s="550" t="s">
        <v>379</v>
      </c>
      <c r="AJ24" s="550" t="s">
        <v>385</v>
      </c>
      <c r="AK24" s="550" t="s">
        <v>379</v>
      </c>
      <c r="AL24" s="550" t="s">
        <v>383</v>
      </c>
      <c r="AM24" s="550" t="s">
        <v>385</v>
      </c>
      <c r="AN24" s="550" t="s">
        <v>383</v>
      </c>
      <c r="AO24" s="550" t="s">
        <v>398</v>
      </c>
      <c r="AP24" s="550" t="s">
        <v>417</v>
      </c>
      <c r="AQ24" s="550" t="s">
        <v>398</v>
      </c>
      <c r="AR24" s="550" t="s">
        <v>381</v>
      </c>
      <c r="AS24" s="550" t="s">
        <v>418</v>
      </c>
      <c r="AT24" s="664">
        <v>0.88</v>
      </c>
      <c r="AU24" s="550" t="s">
        <v>398</v>
      </c>
      <c r="AV24" s="550" t="s">
        <v>419</v>
      </c>
      <c r="AW24" s="550" t="s">
        <v>398</v>
      </c>
      <c r="AX24" s="550" t="s">
        <v>398</v>
      </c>
      <c r="AY24" s="550" t="s">
        <v>419</v>
      </c>
      <c r="AZ24" s="550" t="s">
        <v>398</v>
      </c>
      <c r="BA24" s="550" t="s">
        <v>398</v>
      </c>
      <c r="BB24" s="550" t="s">
        <v>419</v>
      </c>
      <c r="BC24" s="550" t="s">
        <v>398</v>
      </c>
      <c r="BD24" s="550" t="s">
        <v>379</v>
      </c>
      <c r="BE24" s="550" t="s">
        <v>419</v>
      </c>
      <c r="BF24" s="550" t="s">
        <v>379</v>
      </c>
      <c r="BG24" s="550" t="s">
        <v>379</v>
      </c>
      <c r="BH24" s="550" t="s">
        <v>419</v>
      </c>
      <c r="BI24" s="550" t="s">
        <v>379</v>
      </c>
      <c r="BJ24" s="550" t="s">
        <v>381</v>
      </c>
      <c r="BK24" s="550" t="s">
        <v>401</v>
      </c>
      <c r="BL24" s="671">
        <v>0.88</v>
      </c>
      <c r="BM24" s="550" t="s">
        <v>379</v>
      </c>
      <c r="BN24" s="550" t="s">
        <v>401</v>
      </c>
      <c r="BO24" s="550" t="s">
        <v>379</v>
      </c>
      <c r="BP24" s="550" t="s">
        <v>383</v>
      </c>
      <c r="BQ24" s="550" t="s">
        <v>403</v>
      </c>
      <c r="BR24" s="550" t="s">
        <v>386</v>
      </c>
      <c r="BS24" s="671">
        <v>1.0</v>
      </c>
      <c r="BT24" s="550" t="s">
        <v>403</v>
      </c>
      <c r="BU24" s="688">
        <v>1.0</v>
      </c>
      <c r="BV24" s="673" t="s">
        <v>413</v>
      </c>
      <c r="BW24" s="673" t="s">
        <v>403</v>
      </c>
      <c r="BX24" s="678">
        <v>1.0</v>
      </c>
      <c r="BY24" s="673" t="s">
        <v>413</v>
      </c>
      <c r="BZ24" s="673" t="s">
        <v>403</v>
      </c>
      <c r="CA24" s="678">
        <v>1.0</v>
      </c>
      <c r="CB24" s="673" t="s">
        <v>413</v>
      </c>
      <c r="CC24" s="673" t="s">
        <v>403</v>
      </c>
      <c r="CD24" s="678">
        <v>1.0</v>
      </c>
      <c r="CE24" s="673" t="s">
        <v>413</v>
      </c>
      <c r="CF24" s="673" t="s">
        <v>403</v>
      </c>
      <c r="CG24" s="678">
        <v>1.0</v>
      </c>
      <c r="CH24" s="673" t="s">
        <v>413</v>
      </c>
      <c r="CI24" s="673" t="s">
        <v>403</v>
      </c>
      <c r="CJ24" s="678">
        <v>1.0</v>
      </c>
      <c r="CK24" s="673" t="s">
        <v>413</v>
      </c>
      <c r="CL24" s="673" t="s">
        <v>403</v>
      </c>
      <c r="CM24" s="678">
        <v>1.0</v>
      </c>
      <c r="CN24" s="673" t="s">
        <v>413</v>
      </c>
      <c r="CO24" s="673" t="s">
        <v>403</v>
      </c>
      <c r="CP24" s="678">
        <v>1.0</v>
      </c>
      <c r="CQ24" s="528" t="s">
        <v>413</v>
      </c>
      <c r="CR24" s="673" t="s">
        <v>403</v>
      </c>
      <c r="CS24" s="568">
        <v>1.0</v>
      </c>
      <c r="CT24" s="528" t="s">
        <v>413</v>
      </c>
      <c r="CU24" s="673" t="s">
        <v>403</v>
      </c>
      <c r="CV24" s="568">
        <v>1.0</v>
      </c>
      <c r="CW24" s="528" t="s">
        <v>413</v>
      </c>
      <c r="CX24" s="673" t="s">
        <v>403</v>
      </c>
      <c r="CY24" s="568">
        <v>1.0</v>
      </c>
      <c r="CZ24" s="528" t="s">
        <v>413</v>
      </c>
      <c r="DA24" s="673" t="s">
        <v>403</v>
      </c>
      <c r="DB24" s="568">
        <v>1.0</v>
      </c>
      <c r="DC24" s="528" t="s">
        <v>413</v>
      </c>
      <c r="DD24" s="673" t="s">
        <v>403</v>
      </c>
      <c r="DE24" s="568">
        <v>1.0</v>
      </c>
      <c r="DF24" s="528" t="s">
        <v>413</v>
      </c>
      <c r="DG24" s="673" t="s">
        <v>403</v>
      </c>
      <c r="DH24" s="568">
        <v>1.0</v>
      </c>
      <c r="DI24" s="528" t="s">
        <v>413</v>
      </c>
      <c r="DJ24" s="673" t="s">
        <v>403</v>
      </c>
      <c r="DK24" s="568">
        <v>1.0</v>
      </c>
      <c r="DL24" s="528" t="s">
        <v>413</v>
      </c>
      <c r="DM24" s="673" t="s">
        <v>403</v>
      </c>
      <c r="DN24" s="568">
        <v>1.0</v>
      </c>
    </row>
    <row r="25" ht="13.5" hidden="1" customHeight="1">
      <c r="A25" s="53">
        <v>24.0</v>
      </c>
      <c r="B25" s="146" t="s">
        <v>162</v>
      </c>
      <c r="C25" s="147"/>
      <c r="D25" s="148"/>
      <c r="E25" s="148"/>
      <c r="F25" s="148"/>
      <c r="G25" s="148"/>
      <c r="H25" s="150"/>
      <c r="I25" s="148"/>
      <c r="J25" s="148"/>
      <c r="K25" s="151"/>
      <c r="L25" s="148"/>
      <c r="M25" s="684"/>
      <c r="N25" s="684"/>
      <c r="O25" s="684"/>
      <c r="P25" s="663"/>
      <c r="Q25" s="583"/>
      <c r="R25" s="583"/>
      <c r="S25" s="685"/>
      <c r="T25" s="583"/>
      <c r="U25" s="583"/>
      <c r="V25" s="685"/>
      <c r="W25" s="583"/>
      <c r="X25" s="583"/>
      <c r="Y25" s="685"/>
      <c r="Z25" s="583"/>
      <c r="AA25" s="583"/>
      <c r="AB25" s="685"/>
      <c r="AC25" s="583"/>
      <c r="AD25" s="583"/>
      <c r="AE25" s="685"/>
      <c r="AF25" s="685"/>
      <c r="AG25" s="685"/>
      <c r="AH25" s="685"/>
      <c r="AI25" s="685"/>
      <c r="AJ25" s="685"/>
      <c r="AK25" s="685"/>
      <c r="AL25" s="685"/>
      <c r="AM25" s="685"/>
      <c r="AN25" s="685"/>
      <c r="AO25" s="685"/>
      <c r="AP25" s="685"/>
      <c r="AQ25" s="685"/>
      <c r="AR25" s="685"/>
      <c r="AS25" s="685"/>
      <c r="AT25" s="685"/>
      <c r="AU25" s="685"/>
      <c r="AV25" s="685"/>
      <c r="AW25" s="685"/>
      <c r="AX25" s="685"/>
      <c r="AY25" s="685"/>
      <c r="AZ25" s="685"/>
      <c r="BA25" s="685"/>
      <c r="BB25" s="685"/>
      <c r="BC25" s="685"/>
      <c r="BD25" s="685"/>
      <c r="BE25" s="685"/>
      <c r="BF25" s="685"/>
      <c r="BG25" s="685"/>
      <c r="BH25" s="685"/>
      <c r="BI25" s="685"/>
      <c r="BJ25" s="685"/>
      <c r="BK25" s="685"/>
      <c r="BL25" s="685"/>
      <c r="BM25" s="685"/>
      <c r="BN25" s="685"/>
      <c r="BO25" s="685"/>
      <c r="BP25" s="685"/>
      <c r="BQ25" s="685"/>
      <c r="BR25" s="685"/>
      <c r="BS25" s="685"/>
      <c r="BT25" s="685"/>
      <c r="BU25" s="686"/>
      <c r="BV25" s="687"/>
      <c r="BW25" s="687"/>
      <c r="BX25" s="687"/>
      <c r="BY25" s="687"/>
      <c r="BZ25" s="687"/>
      <c r="CA25" s="687"/>
      <c r="CB25" s="687"/>
      <c r="CC25" s="687"/>
      <c r="CD25" s="687"/>
      <c r="CE25" s="687"/>
      <c r="CF25" s="687"/>
      <c r="CG25" s="687"/>
      <c r="CH25" s="585"/>
      <c r="CI25" s="585"/>
      <c r="CJ25" s="585"/>
      <c r="CK25" s="585"/>
      <c r="CL25" s="585"/>
      <c r="CM25" s="585"/>
      <c r="CN25" s="585"/>
      <c r="CO25" s="585"/>
      <c r="CP25" s="585"/>
      <c r="CQ25" s="585"/>
      <c r="CR25" s="585"/>
      <c r="CS25" s="585"/>
      <c r="CT25" s="585"/>
      <c r="CU25" s="585"/>
      <c r="CV25" s="585"/>
      <c r="CW25" s="585"/>
      <c r="CX25" s="585"/>
      <c r="CY25" s="585"/>
      <c r="CZ25" s="585"/>
      <c r="DA25" s="585"/>
      <c r="DB25" s="585"/>
      <c r="DC25" s="585"/>
      <c r="DD25" s="585"/>
      <c r="DE25" s="585"/>
      <c r="DF25" s="585"/>
      <c r="DG25" s="585"/>
      <c r="DH25" s="585"/>
      <c r="DI25" s="585"/>
      <c r="DJ25" s="585"/>
      <c r="DK25" s="585"/>
      <c r="DL25" s="585"/>
      <c r="DM25" s="585"/>
      <c r="DN25" s="585"/>
    </row>
    <row r="26" ht="15.0" customHeight="1">
      <c r="A26" s="53">
        <v>7.0</v>
      </c>
      <c r="B26" s="100" t="s">
        <v>95</v>
      </c>
      <c r="C26" s="100" t="s">
        <v>96</v>
      </c>
      <c r="D26" s="101" t="str">
        <f>MID(B26,17,4)</f>
        <v>DATA</v>
      </c>
      <c r="E26" s="101" t="s">
        <v>97</v>
      </c>
      <c r="F26" s="102">
        <v>1105.0</v>
      </c>
      <c r="G26" s="534" t="s">
        <v>92</v>
      </c>
      <c r="H26" s="517">
        <v>1105.0</v>
      </c>
      <c r="I26" s="68" t="str">
        <f>IFERROR(VLOOKUP(C:C,'R22 RELATÓRIO ACC'!B:F,5,FALSE),"NOT PUBLISHED")</f>
        <v>V9</v>
      </c>
      <c r="J26" s="68" t="str">
        <f>IFERROR(VLOOKUP(C:C,'R22 RELATÓRIO ACC'!B:P,15,FALSE),"NOT PUBLISHED")</f>
        <v>27/03/2026</v>
      </c>
      <c r="K26" s="70" t="str">
        <f>IFERROR(VLOOKUP(B:B,'RELATÓRIO ACC'!B:F,5,FALSE),"NOT PUBLISHED")</f>
        <v>V2</v>
      </c>
      <c r="L26" s="518" t="str">
        <f>IFERROR(VLOOKUP(B:B,'RELATÓRIO ACC'!B:P,15,FALSE),"NOT PUBLISHED")</f>
        <v>26/06/2026</v>
      </c>
      <c r="M26" s="661" t="s">
        <v>384</v>
      </c>
      <c r="N26" s="668" t="s">
        <v>409</v>
      </c>
      <c r="O26" s="538" t="s">
        <v>410</v>
      </c>
      <c r="P26" s="663"/>
      <c r="Q26" s="550" t="s">
        <v>379</v>
      </c>
      <c r="R26" s="558">
        <v>0.0</v>
      </c>
      <c r="S26" s="550" t="s">
        <v>379</v>
      </c>
      <c r="T26" s="550" t="s">
        <v>379</v>
      </c>
      <c r="U26" s="558">
        <v>0.0</v>
      </c>
      <c r="V26" s="550" t="s">
        <v>379</v>
      </c>
      <c r="W26" s="550" t="s">
        <v>379</v>
      </c>
      <c r="X26" s="558">
        <v>0.0</v>
      </c>
      <c r="Y26" s="550" t="s">
        <v>379</v>
      </c>
      <c r="Z26" s="550" t="s">
        <v>379</v>
      </c>
      <c r="AA26" s="550" t="s">
        <v>380</v>
      </c>
      <c r="AB26" s="550" t="s">
        <v>379</v>
      </c>
      <c r="AC26" s="550" t="s">
        <v>379</v>
      </c>
      <c r="AD26" s="550" t="s">
        <v>380</v>
      </c>
      <c r="AE26" s="550" t="s">
        <v>379</v>
      </c>
      <c r="AF26" s="550" t="s">
        <v>381</v>
      </c>
      <c r="AG26" s="550" t="s">
        <v>399</v>
      </c>
      <c r="AH26" s="664">
        <v>0.95</v>
      </c>
      <c r="AI26" s="550" t="s">
        <v>379</v>
      </c>
      <c r="AJ26" s="550" t="s">
        <v>399</v>
      </c>
      <c r="AK26" s="550" t="s">
        <v>379</v>
      </c>
      <c r="AL26" s="550" t="s">
        <v>383</v>
      </c>
      <c r="AM26" s="550" t="s">
        <v>399</v>
      </c>
      <c r="AN26" s="550" t="s">
        <v>383</v>
      </c>
      <c r="AO26" s="550" t="s">
        <v>381</v>
      </c>
      <c r="AP26" s="550" t="s">
        <v>411</v>
      </c>
      <c r="AQ26" s="664">
        <v>0.95</v>
      </c>
      <c r="AR26" s="550" t="s">
        <v>379</v>
      </c>
      <c r="AS26" s="550" t="s">
        <v>411</v>
      </c>
      <c r="AT26" s="550" t="s">
        <v>379</v>
      </c>
      <c r="AU26" s="550" t="s">
        <v>379</v>
      </c>
      <c r="AV26" s="661" t="s">
        <v>412</v>
      </c>
      <c r="AW26" s="550" t="s">
        <v>379</v>
      </c>
      <c r="AX26" s="550" t="s">
        <v>379</v>
      </c>
      <c r="AY26" s="661" t="s">
        <v>412</v>
      </c>
      <c r="AZ26" s="550" t="s">
        <v>379</v>
      </c>
      <c r="BA26" s="550" t="s">
        <v>383</v>
      </c>
      <c r="BB26" s="661" t="s">
        <v>412</v>
      </c>
      <c r="BC26" s="550" t="s">
        <v>383</v>
      </c>
      <c r="BD26" s="550" t="s">
        <v>398</v>
      </c>
      <c r="BE26" s="661" t="s">
        <v>382</v>
      </c>
      <c r="BF26" s="550" t="s">
        <v>398</v>
      </c>
      <c r="BG26" s="550" t="s">
        <v>379</v>
      </c>
      <c r="BH26" s="661" t="s">
        <v>382</v>
      </c>
      <c r="BI26" s="550" t="s">
        <v>379</v>
      </c>
      <c r="BJ26" s="550" t="s">
        <v>379</v>
      </c>
      <c r="BK26" s="661" t="s">
        <v>382</v>
      </c>
      <c r="BL26" s="550" t="s">
        <v>379</v>
      </c>
      <c r="BM26" s="550" t="s">
        <v>379</v>
      </c>
      <c r="BN26" s="661" t="s">
        <v>382</v>
      </c>
      <c r="BO26" s="550" t="s">
        <v>379</v>
      </c>
      <c r="BP26" s="550" t="s">
        <v>379</v>
      </c>
      <c r="BQ26" s="661" t="s">
        <v>382</v>
      </c>
      <c r="BR26" s="550" t="s">
        <v>379</v>
      </c>
      <c r="BS26" s="550" t="s">
        <v>383</v>
      </c>
      <c r="BT26" s="661" t="s">
        <v>382</v>
      </c>
      <c r="BU26" s="672" t="s">
        <v>383</v>
      </c>
      <c r="BV26" s="673" t="s">
        <v>386</v>
      </c>
      <c r="BW26" s="677" t="s">
        <v>384</v>
      </c>
      <c r="BX26" s="678">
        <v>1.0</v>
      </c>
      <c r="BY26" s="673" t="s">
        <v>413</v>
      </c>
      <c r="BZ26" s="677" t="s">
        <v>384</v>
      </c>
      <c r="CA26" s="678">
        <v>1.0</v>
      </c>
      <c r="CB26" s="673" t="s">
        <v>413</v>
      </c>
      <c r="CC26" s="677" t="s">
        <v>384</v>
      </c>
      <c r="CD26" s="678">
        <v>1.0</v>
      </c>
      <c r="CE26" s="673" t="s">
        <v>413</v>
      </c>
      <c r="CF26" s="677" t="s">
        <v>384</v>
      </c>
      <c r="CG26" s="678">
        <v>1.0</v>
      </c>
      <c r="CH26" s="673" t="s">
        <v>413</v>
      </c>
      <c r="CI26" s="677" t="s">
        <v>384</v>
      </c>
      <c r="CJ26" s="678">
        <v>1.0</v>
      </c>
      <c r="CK26" s="673" t="s">
        <v>413</v>
      </c>
      <c r="CL26" s="677" t="s">
        <v>384</v>
      </c>
      <c r="CM26" s="678">
        <v>1.0</v>
      </c>
      <c r="CN26" s="673" t="s">
        <v>413</v>
      </c>
      <c r="CO26" s="677" t="s">
        <v>384</v>
      </c>
      <c r="CP26" s="678">
        <v>1.0</v>
      </c>
      <c r="CQ26" s="673" t="s">
        <v>413</v>
      </c>
      <c r="CR26" s="677" t="s">
        <v>384</v>
      </c>
      <c r="CS26" s="678">
        <v>1.0</v>
      </c>
      <c r="CT26" s="673" t="s">
        <v>413</v>
      </c>
      <c r="CU26" s="677" t="s">
        <v>384</v>
      </c>
      <c r="CV26" s="678">
        <v>1.0</v>
      </c>
      <c r="CW26" s="673" t="s">
        <v>413</v>
      </c>
      <c r="CX26" s="677" t="s">
        <v>384</v>
      </c>
      <c r="CY26" s="678">
        <v>1.0</v>
      </c>
      <c r="CZ26" s="673" t="s">
        <v>413</v>
      </c>
      <c r="DA26" s="677" t="s">
        <v>384</v>
      </c>
      <c r="DB26" s="678">
        <v>1.0</v>
      </c>
      <c r="DC26" s="673" t="s">
        <v>413</v>
      </c>
      <c r="DD26" s="677" t="s">
        <v>384</v>
      </c>
      <c r="DE26" s="678">
        <v>1.0</v>
      </c>
      <c r="DF26" s="673" t="s">
        <v>413</v>
      </c>
      <c r="DG26" s="677" t="s">
        <v>384</v>
      </c>
      <c r="DH26" s="678">
        <v>1.0</v>
      </c>
      <c r="DI26" s="673" t="s">
        <v>413</v>
      </c>
      <c r="DJ26" s="677" t="s">
        <v>384</v>
      </c>
      <c r="DK26" s="678">
        <v>1.0</v>
      </c>
      <c r="DL26" s="673" t="s">
        <v>413</v>
      </c>
      <c r="DM26" s="677" t="s">
        <v>384</v>
      </c>
      <c r="DN26" s="678">
        <v>1.0</v>
      </c>
    </row>
    <row r="27" ht="15.0" hidden="1" customHeight="1">
      <c r="A27" s="53">
        <v>26.0</v>
      </c>
      <c r="B27" s="146" t="s">
        <v>168</v>
      </c>
      <c r="C27" s="147"/>
      <c r="D27" s="148"/>
      <c r="E27" s="148"/>
      <c r="F27" s="148"/>
      <c r="G27" s="148"/>
      <c r="H27" s="150"/>
      <c r="I27" s="148"/>
      <c r="J27" s="148"/>
      <c r="K27" s="151"/>
      <c r="L27" s="150"/>
      <c r="M27" s="684"/>
      <c r="N27" s="684"/>
      <c r="O27" s="684"/>
      <c r="P27" s="663"/>
      <c r="Q27" s="583"/>
      <c r="R27" s="583"/>
      <c r="S27" s="685"/>
      <c r="T27" s="583"/>
      <c r="U27" s="583"/>
      <c r="V27" s="685"/>
      <c r="W27" s="583"/>
      <c r="X27" s="583"/>
      <c r="Y27" s="685"/>
      <c r="Z27" s="583"/>
      <c r="AA27" s="583"/>
      <c r="AB27" s="685"/>
      <c r="AC27" s="583"/>
      <c r="AD27" s="583"/>
      <c r="AE27" s="685"/>
      <c r="AF27" s="685"/>
      <c r="AG27" s="685"/>
      <c r="AH27" s="685"/>
      <c r="AI27" s="685"/>
      <c r="AJ27" s="685"/>
      <c r="AK27" s="685"/>
      <c r="AL27" s="685"/>
      <c r="AM27" s="685"/>
      <c r="AN27" s="685"/>
      <c r="AO27" s="685"/>
      <c r="AP27" s="685"/>
      <c r="AQ27" s="685"/>
      <c r="AR27" s="685"/>
      <c r="AS27" s="685"/>
      <c r="AT27" s="685"/>
      <c r="AU27" s="685"/>
      <c r="AV27" s="685"/>
      <c r="AW27" s="685"/>
      <c r="AX27" s="685"/>
      <c r="AY27" s="685"/>
      <c r="AZ27" s="685"/>
      <c r="BA27" s="685"/>
      <c r="BB27" s="685"/>
      <c r="BC27" s="685"/>
      <c r="BD27" s="685"/>
      <c r="BE27" s="685"/>
      <c r="BF27" s="685"/>
      <c r="BG27" s="685"/>
      <c r="BH27" s="685"/>
      <c r="BI27" s="685"/>
      <c r="BJ27" s="685"/>
      <c r="BK27" s="685"/>
      <c r="BL27" s="685"/>
      <c r="BM27" s="685"/>
      <c r="BN27" s="685"/>
      <c r="BO27" s="685"/>
      <c r="BP27" s="685"/>
      <c r="BQ27" s="685"/>
      <c r="BR27" s="685"/>
      <c r="BS27" s="685"/>
      <c r="BT27" s="685"/>
      <c r="BU27" s="686"/>
      <c r="BV27" s="687"/>
      <c r="BW27" s="687"/>
      <c r="BX27" s="687"/>
      <c r="BY27" s="687"/>
      <c r="BZ27" s="687"/>
      <c r="CA27" s="687"/>
      <c r="CB27" s="687"/>
      <c r="CC27" s="687"/>
      <c r="CD27" s="687"/>
      <c r="CE27" s="687"/>
      <c r="CF27" s="687"/>
      <c r="CG27" s="687"/>
      <c r="CH27" s="585"/>
      <c r="CI27" s="585"/>
      <c r="CJ27" s="585"/>
      <c r="CK27" s="585"/>
      <c r="CL27" s="585"/>
      <c r="CM27" s="585"/>
      <c r="CN27" s="585"/>
      <c r="CO27" s="585"/>
      <c r="CP27" s="585"/>
      <c r="CQ27" s="585"/>
      <c r="CR27" s="585"/>
      <c r="CS27" s="585"/>
      <c r="CT27" s="585"/>
      <c r="CU27" s="585"/>
      <c r="CV27" s="585"/>
      <c r="CW27" s="585"/>
      <c r="CX27" s="585"/>
      <c r="CY27" s="585"/>
      <c r="CZ27" s="585"/>
      <c r="DA27" s="585"/>
      <c r="DB27" s="585"/>
      <c r="DC27" s="585"/>
      <c r="DD27" s="585"/>
      <c r="DE27" s="585"/>
      <c r="DF27" s="585"/>
      <c r="DG27" s="585"/>
      <c r="DH27" s="585"/>
      <c r="DI27" s="585"/>
      <c r="DJ27" s="585"/>
      <c r="DK27" s="585"/>
      <c r="DL27" s="585"/>
      <c r="DM27" s="585"/>
      <c r="DN27" s="585"/>
    </row>
    <row r="28" ht="15.0" customHeight="1">
      <c r="A28" s="53">
        <v>15.0</v>
      </c>
      <c r="B28" s="100" t="s">
        <v>130</v>
      </c>
      <c r="C28" s="100" t="s">
        <v>131</v>
      </c>
      <c r="D28" s="101" t="str">
        <f>MID(B28,FIND(CHAR(160),SUBSTITUTE(B28,"-",CHAR(160),3)) + 1,FIND(CHAR(160),SUBSTITUTE(B28,"-",CHAR(160),4)) - 1 - (FIND(CHAR(160),SUBSTITUTE(B28,"-",CHAR(160),3))))</f>
        <v>C12A</v>
      </c>
      <c r="E28" s="101" t="s">
        <v>126</v>
      </c>
      <c r="F28" s="118">
        <v>1101.0</v>
      </c>
      <c r="G28" s="517" t="s">
        <v>127</v>
      </c>
      <c r="H28" s="517">
        <v>1126.0</v>
      </c>
      <c r="I28" s="68" t="str">
        <f>IFERROR(VLOOKUP(C:C,'R22 RELATÓRIO ACC'!B:F,5,FALSE),"NOT PUBLISHED")</f>
        <v>V24</v>
      </c>
      <c r="J28" s="68" t="str">
        <f>IFERROR(VLOOKUP(C:C,'R22 RELATÓRIO ACC'!B:P,15,FALSE),"NOT PUBLISHED")</f>
        <v>07/04/2026</v>
      </c>
      <c r="K28" s="70" t="str">
        <f>IFERROR(VLOOKUP(B:B,'RELATÓRIO ACC'!B:F,5,FALSE),"NOT PUBLISHED")</f>
        <v>V2</v>
      </c>
      <c r="L28" s="518" t="str">
        <f>IFERROR(VLOOKUP(B:B,'RELATÓRIO ACC'!B:P,15,FALSE),"NOT PUBLISHED")</f>
        <v>27/05/2026</v>
      </c>
      <c r="M28" s="661" t="s">
        <v>405</v>
      </c>
      <c r="N28" s="662">
        <v>46119.0</v>
      </c>
      <c r="O28" s="538" t="s">
        <v>410</v>
      </c>
      <c r="P28" s="663" t="s">
        <v>416</v>
      </c>
      <c r="Q28" s="550" t="s">
        <v>379</v>
      </c>
      <c r="R28" s="558">
        <v>0.0</v>
      </c>
      <c r="S28" s="550" t="s">
        <v>379</v>
      </c>
      <c r="T28" s="550" t="s">
        <v>381</v>
      </c>
      <c r="U28" s="550" t="s">
        <v>421</v>
      </c>
      <c r="V28" s="667">
        <v>0.23</v>
      </c>
      <c r="W28" s="550" t="s">
        <v>379</v>
      </c>
      <c r="X28" s="550">
        <v>0.0</v>
      </c>
      <c r="Y28" s="550" t="s">
        <v>379</v>
      </c>
      <c r="Z28" s="550" t="s">
        <v>398</v>
      </c>
      <c r="AA28" s="550" t="s">
        <v>415</v>
      </c>
      <c r="AB28" s="550" t="s">
        <v>398</v>
      </c>
      <c r="AC28" s="550" t="s">
        <v>383</v>
      </c>
      <c r="AD28" s="550" t="s">
        <v>415</v>
      </c>
      <c r="AE28" s="550" t="s">
        <v>383</v>
      </c>
      <c r="AF28" s="550" t="s">
        <v>398</v>
      </c>
      <c r="AG28" s="550" t="s">
        <v>418</v>
      </c>
      <c r="AH28" s="550" t="s">
        <v>398</v>
      </c>
      <c r="AI28" s="550" t="s">
        <v>381</v>
      </c>
      <c r="AJ28" s="550" t="s">
        <v>425</v>
      </c>
      <c r="AK28" s="664">
        <v>0.73</v>
      </c>
      <c r="AL28" s="550" t="s">
        <v>383</v>
      </c>
      <c r="AM28" s="550" t="s">
        <v>425</v>
      </c>
      <c r="AN28" s="550" t="s">
        <v>383</v>
      </c>
      <c r="AO28" s="550" t="s">
        <v>398</v>
      </c>
      <c r="AP28" s="550" t="s">
        <v>419</v>
      </c>
      <c r="AQ28" s="550" t="s">
        <v>398</v>
      </c>
      <c r="AR28" s="550" t="s">
        <v>398</v>
      </c>
      <c r="AS28" s="550" t="s">
        <v>426</v>
      </c>
      <c r="AT28" s="550" t="s">
        <v>398</v>
      </c>
      <c r="AU28" s="550" t="s">
        <v>398</v>
      </c>
      <c r="AV28" s="550" t="s">
        <v>427</v>
      </c>
      <c r="AW28" s="550" t="s">
        <v>398</v>
      </c>
      <c r="AX28" s="550" t="s">
        <v>398</v>
      </c>
      <c r="AY28" s="550" t="s">
        <v>401</v>
      </c>
      <c r="AZ28" s="550" t="s">
        <v>398</v>
      </c>
      <c r="BA28" s="550" t="s">
        <v>398</v>
      </c>
      <c r="BB28" s="550" t="s">
        <v>402</v>
      </c>
      <c r="BC28" s="550" t="s">
        <v>398</v>
      </c>
      <c r="BD28" s="550" t="s">
        <v>398</v>
      </c>
      <c r="BE28" s="550" t="s">
        <v>422</v>
      </c>
      <c r="BF28" s="550" t="s">
        <v>398</v>
      </c>
      <c r="BG28" s="550" t="s">
        <v>381</v>
      </c>
      <c r="BH28" s="550" t="s">
        <v>403</v>
      </c>
      <c r="BI28" s="671">
        <v>0.95</v>
      </c>
      <c r="BJ28" s="550" t="s">
        <v>381</v>
      </c>
      <c r="BK28" s="550" t="s">
        <v>404</v>
      </c>
      <c r="BL28" s="671">
        <v>0.95</v>
      </c>
      <c r="BM28" s="550" t="s">
        <v>379</v>
      </c>
      <c r="BN28" s="550" t="s">
        <v>404</v>
      </c>
      <c r="BO28" s="550" t="s">
        <v>379</v>
      </c>
      <c r="BP28" s="550" t="s">
        <v>379</v>
      </c>
      <c r="BQ28" s="550" t="s">
        <v>404</v>
      </c>
      <c r="BR28" s="550" t="s">
        <v>379</v>
      </c>
      <c r="BS28" s="550" t="s">
        <v>379</v>
      </c>
      <c r="BT28" s="550" t="s">
        <v>404</v>
      </c>
      <c r="BU28" s="672" t="s">
        <v>379</v>
      </c>
      <c r="BV28" s="673" t="s">
        <v>383</v>
      </c>
      <c r="BW28" s="673" t="s">
        <v>404</v>
      </c>
      <c r="BX28" s="673" t="s">
        <v>383</v>
      </c>
      <c r="BY28" s="673" t="s">
        <v>386</v>
      </c>
      <c r="BZ28" s="673" t="s">
        <v>405</v>
      </c>
      <c r="CA28" s="683">
        <v>1.0</v>
      </c>
      <c r="CB28" s="673" t="s">
        <v>413</v>
      </c>
      <c r="CC28" s="673" t="s">
        <v>405</v>
      </c>
      <c r="CD28" s="683">
        <v>1.0</v>
      </c>
      <c r="CE28" s="673" t="s">
        <v>413</v>
      </c>
      <c r="CF28" s="673" t="s">
        <v>405</v>
      </c>
      <c r="CG28" s="683">
        <v>1.0</v>
      </c>
      <c r="CH28" s="673" t="s">
        <v>413</v>
      </c>
      <c r="CI28" s="673" t="s">
        <v>405</v>
      </c>
      <c r="CJ28" s="683">
        <v>1.0</v>
      </c>
      <c r="CK28" s="673" t="s">
        <v>413</v>
      </c>
      <c r="CL28" s="673" t="s">
        <v>405</v>
      </c>
      <c r="CM28" s="683">
        <v>1.0</v>
      </c>
      <c r="CN28" s="673" t="s">
        <v>413</v>
      </c>
      <c r="CO28" s="673" t="s">
        <v>405</v>
      </c>
      <c r="CP28" s="683">
        <v>1.0</v>
      </c>
      <c r="CQ28" s="673" t="s">
        <v>413</v>
      </c>
      <c r="CR28" s="673" t="s">
        <v>405</v>
      </c>
      <c r="CS28" s="683">
        <v>1.0</v>
      </c>
      <c r="CT28" s="673" t="s">
        <v>413</v>
      </c>
      <c r="CU28" s="673" t="s">
        <v>405</v>
      </c>
      <c r="CV28" s="683">
        <v>1.0</v>
      </c>
      <c r="CW28" s="673" t="s">
        <v>413</v>
      </c>
      <c r="CX28" s="673" t="s">
        <v>405</v>
      </c>
      <c r="CY28" s="683">
        <v>1.0</v>
      </c>
      <c r="CZ28" s="673" t="s">
        <v>413</v>
      </c>
      <c r="DA28" s="673" t="s">
        <v>405</v>
      </c>
      <c r="DB28" s="683">
        <v>1.0</v>
      </c>
      <c r="DC28" s="673" t="s">
        <v>413</v>
      </c>
      <c r="DD28" s="673" t="s">
        <v>405</v>
      </c>
      <c r="DE28" s="683">
        <v>1.0</v>
      </c>
      <c r="DF28" s="673" t="s">
        <v>413</v>
      </c>
      <c r="DG28" s="673" t="s">
        <v>405</v>
      </c>
      <c r="DH28" s="683">
        <v>1.0</v>
      </c>
      <c r="DI28" s="673" t="s">
        <v>413</v>
      </c>
      <c r="DJ28" s="673" t="s">
        <v>405</v>
      </c>
      <c r="DK28" s="683">
        <v>1.0</v>
      </c>
      <c r="DL28" s="673" t="s">
        <v>413</v>
      </c>
      <c r="DM28" s="673" t="s">
        <v>405</v>
      </c>
      <c r="DN28" s="683">
        <v>1.0</v>
      </c>
    </row>
    <row r="29" ht="15.0" hidden="1" customHeight="1">
      <c r="A29" s="53">
        <v>28.0</v>
      </c>
      <c r="B29" s="146" t="s">
        <v>173</v>
      </c>
      <c r="C29" s="147"/>
      <c r="D29" s="148"/>
      <c r="E29" s="148"/>
      <c r="F29" s="148"/>
      <c r="G29" s="148"/>
      <c r="H29" s="150"/>
      <c r="I29" s="148"/>
      <c r="J29" s="148"/>
      <c r="K29" s="151"/>
      <c r="L29" s="150"/>
      <c r="M29" s="684"/>
      <c r="N29" s="684"/>
      <c r="O29" s="684"/>
      <c r="P29" s="663"/>
      <c r="Q29" s="583"/>
      <c r="R29" s="583"/>
      <c r="S29" s="685"/>
      <c r="T29" s="583"/>
      <c r="U29" s="583"/>
      <c r="V29" s="685"/>
      <c r="W29" s="583"/>
      <c r="X29" s="583"/>
      <c r="Y29" s="685"/>
      <c r="Z29" s="583"/>
      <c r="AA29" s="583"/>
      <c r="AB29" s="685"/>
      <c r="AC29" s="583"/>
      <c r="AD29" s="583"/>
      <c r="AE29" s="685"/>
      <c r="AF29" s="685"/>
      <c r="AG29" s="685"/>
      <c r="AH29" s="685"/>
      <c r="AI29" s="685"/>
      <c r="AJ29" s="685"/>
      <c r="AK29" s="685"/>
      <c r="AL29" s="685"/>
      <c r="AM29" s="685"/>
      <c r="AN29" s="685"/>
      <c r="AO29" s="685"/>
      <c r="AP29" s="685"/>
      <c r="AQ29" s="685"/>
      <c r="AR29" s="685"/>
      <c r="AS29" s="685"/>
      <c r="AT29" s="685"/>
      <c r="AU29" s="685"/>
      <c r="AV29" s="685"/>
      <c r="AW29" s="685"/>
      <c r="AX29" s="685"/>
      <c r="AY29" s="685"/>
      <c r="AZ29" s="685"/>
      <c r="BA29" s="685"/>
      <c r="BB29" s="685"/>
      <c r="BC29" s="685"/>
      <c r="BD29" s="685"/>
      <c r="BE29" s="685"/>
      <c r="BF29" s="685"/>
      <c r="BG29" s="685"/>
      <c r="BH29" s="685"/>
      <c r="BI29" s="685"/>
      <c r="BJ29" s="685"/>
      <c r="BK29" s="685"/>
      <c r="BL29" s="685"/>
      <c r="BM29" s="685"/>
      <c r="BN29" s="685"/>
      <c r="BO29" s="685"/>
      <c r="BP29" s="685"/>
      <c r="BQ29" s="685"/>
      <c r="BR29" s="685"/>
      <c r="BS29" s="685"/>
      <c r="BT29" s="685"/>
      <c r="BU29" s="686"/>
      <c r="BV29" s="687"/>
      <c r="BW29" s="687"/>
      <c r="BX29" s="687"/>
      <c r="BY29" s="687"/>
      <c r="BZ29" s="687"/>
      <c r="CA29" s="687"/>
      <c r="CB29" s="687"/>
      <c r="CC29" s="687"/>
      <c r="CD29" s="687"/>
      <c r="CE29" s="687"/>
      <c r="CF29" s="687"/>
      <c r="CG29" s="687"/>
      <c r="CH29" s="585"/>
      <c r="CI29" s="585"/>
      <c r="CJ29" s="585"/>
      <c r="CK29" s="585"/>
      <c r="CL29" s="585"/>
      <c r="CM29" s="585"/>
      <c r="CN29" s="585"/>
      <c r="CO29" s="585"/>
      <c r="CP29" s="585"/>
      <c r="CQ29" s="585"/>
      <c r="CR29" s="585"/>
      <c r="CS29" s="585"/>
      <c r="CT29" s="585"/>
      <c r="CU29" s="585"/>
      <c r="CV29" s="585"/>
      <c r="CW29" s="585"/>
      <c r="CX29" s="585"/>
      <c r="CY29" s="585"/>
      <c r="CZ29" s="585"/>
      <c r="DA29" s="585"/>
      <c r="DB29" s="585"/>
      <c r="DC29" s="585"/>
      <c r="DD29" s="585"/>
      <c r="DE29" s="585"/>
      <c r="DF29" s="585"/>
      <c r="DG29" s="585"/>
      <c r="DH29" s="585"/>
      <c r="DI29" s="585"/>
      <c r="DJ29" s="585"/>
      <c r="DK29" s="585"/>
      <c r="DL29" s="585"/>
      <c r="DM29" s="585"/>
      <c r="DN29" s="585"/>
    </row>
    <row r="30" ht="15.0" customHeight="1">
      <c r="A30" s="53">
        <v>13.0</v>
      </c>
      <c r="B30" s="100" t="s">
        <v>122</v>
      </c>
      <c r="C30" s="100" t="s">
        <v>123</v>
      </c>
      <c r="D30" s="101" t="str">
        <f>MID(B30,FIND(CHAR(160),SUBSTITUTE(B30,"-",CHAR(160),3)) + 1,FIND(CHAR(160),SUBSTITUTE(B30,"-",CHAR(160),4)) - 1 - (FIND(CHAR(160),SUBSTITUTE(B30,"-",CHAR(160),3))))</f>
        <v>DATA</v>
      </c>
      <c r="E30" s="101" t="s">
        <v>120</v>
      </c>
      <c r="F30" s="102">
        <v>1110.0</v>
      </c>
      <c r="G30" s="517" t="s">
        <v>121</v>
      </c>
      <c r="H30" s="517">
        <v>1128.0</v>
      </c>
      <c r="I30" s="68" t="str">
        <f>IFERROR(VLOOKUP(C:C,'R22 RELATÓRIO ACC'!B:F,5,FALSE),"NOT PUBLISHED")</f>
        <v>V30</v>
      </c>
      <c r="J30" s="68" t="str">
        <f>IFERROR(VLOOKUP(C:C,'R22 RELATÓRIO ACC'!B:P,15,FALSE),"NOT PUBLISHED")</f>
        <v>26/03/2026</v>
      </c>
      <c r="K30" s="70" t="str">
        <f>IFERROR(VLOOKUP(B:B,'RELATÓRIO ACC'!B:F,5,FALSE),"NOT PUBLISHED")</f>
        <v>V2</v>
      </c>
      <c r="L30" s="518" t="str">
        <f>IFERROR(VLOOKUP(B:B,'RELATÓRIO ACC'!B:P,15,FALSE),"NOT PUBLISHED")</f>
        <v>20/05/2026</v>
      </c>
      <c r="M30" s="661" t="s">
        <v>436</v>
      </c>
      <c r="N30" s="662">
        <v>46107.0</v>
      </c>
      <c r="O30" s="538" t="s">
        <v>410</v>
      </c>
      <c r="P30" s="663" t="s">
        <v>397</v>
      </c>
      <c r="Q30" s="550" t="s">
        <v>379</v>
      </c>
      <c r="R30" s="558">
        <v>0.0</v>
      </c>
      <c r="S30" s="550" t="s">
        <v>379</v>
      </c>
      <c r="T30" s="550" t="s">
        <v>381</v>
      </c>
      <c r="U30" s="550" t="s">
        <v>421</v>
      </c>
      <c r="V30" s="667">
        <v>0.02</v>
      </c>
      <c r="W30" s="550" t="s">
        <v>379</v>
      </c>
      <c r="X30" s="550">
        <v>0.0</v>
      </c>
      <c r="Y30" s="550" t="s">
        <v>379</v>
      </c>
      <c r="Z30" s="550" t="s">
        <v>398</v>
      </c>
      <c r="AA30" s="550" t="s">
        <v>402</v>
      </c>
      <c r="AB30" s="550" t="s">
        <v>398</v>
      </c>
      <c r="AC30" s="550" t="s">
        <v>398</v>
      </c>
      <c r="AD30" s="550" t="s">
        <v>422</v>
      </c>
      <c r="AE30" s="550" t="s">
        <v>398</v>
      </c>
      <c r="AF30" s="550" t="s">
        <v>381</v>
      </c>
      <c r="AG30" s="550" t="s">
        <v>403</v>
      </c>
      <c r="AH30" s="664">
        <v>0.92</v>
      </c>
      <c r="AI30" s="550" t="s">
        <v>379</v>
      </c>
      <c r="AJ30" s="550" t="s">
        <v>403</v>
      </c>
      <c r="AK30" s="550" t="s">
        <v>379</v>
      </c>
      <c r="AL30" s="550" t="s">
        <v>383</v>
      </c>
      <c r="AM30" s="550" t="s">
        <v>403</v>
      </c>
      <c r="AN30" s="550" t="s">
        <v>383</v>
      </c>
      <c r="AO30" s="550" t="s">
        <v>398</v>
      </c>
      <c r="AP30" s="550" t="s">
        <v>404</v>
      </c>
      <c r="AQ30" s="550" t="s">
        <v>398</v>
      </c>
      <c r="AR30" s="550" t="s">
        <v>381</v>
      </c>
      <c r="AS30" s="550" t="s">
        <v>423</v>
      </c>
      <c r="AT30" s="664">
        <v>0.92</v>
      </c>
      <c r="AU30" s="550" t="s">
        <v>398</v>
      </c>
      <c r="AV30" s="550" t="s">
        <v>406</v>
      </c>
      <c r="AW30" s="550" t="s">
        <v>398</v>
      </c>
      <c r="AX30" s="550" t="s">
        <v>398</v>
      </c>
      <c r="AY30" s="550" t="s">
        <v>407</v>
      </c>
      <c r="AZ30" s="550" t="s">
        <v>398</v>
      </c>
      <c r="BA30" s="550" t="s">
        <v>379</v>
      </c>
      <c r="BB30" s="550" t="s">
        <v>407</v>
      </c>
      <c r="BC30" s="550" t="s">
        <v>379</v>
      </c>
      <c r="BD30" s="550" t="s">
        <v>379</v>
      </c>
      <c r="BE30" s="550" t="s">
        <v>407</v>
      </c>
      <c r="BF30" s="550" t="s">
        <v>379</v>
      </c>
      <c r="BG30" s="550" t="s">
        <v>379</v>
      </c>
      <c r="BH30" s="550" t="s">
        <v>407</v>
      </c>
      <c r="BI30" s="550" t="s">
        <v>379</v>
      </c>
      <c r="BJ30" s="550" t="s">
        <v>383</v>
      </c>
      <c r="BK30" s="550" t="s">
        <v>420</v>
      </c>
      <c r="BL30" s="550" t="s">
        <v>383</v>
      </c>
      <c r="BM30" s="550" t="s">
        <v>383</v>
      </c>
      <c r="BN30" s="550" t="s">
        <v>420</v>
      </c>
      <c r="BO30" s="550" t="s">
        <v>383</v>
      </c>
      <c r="BP30" s="550" t="s">
        <v>386</v>
      </c>
      <c r="BQ30" s="550" t="s">
        <v>436</v>
      </c>
      <c r="BR30" s="671">
        <v>1.0</v>
      </c>
      <c r="BS30" s="550" t="s">
        <v>413</v>
      </c>
      <c r="BT30" s="550" t="s">
        <v>436</v>
      </c>
      <c r="BU30" s="688">
        <v>1.0</v>
      </c>
      <c r="BV30" s="673" t="s">
        <v>413</v>
      </c>
      <c r="BW30" s="673" t="s">
        <v>436</v>
      </c>
      <c r="BX30" s="678">
        <v>1.0</v>
      </c>
      <c r="BY30" s="673" t="s">
        <v>413</v>
      </c>
      <c r="BZ30" s="673" t="s">
        <v>436</v>
      </c>
      <c r="CA30" s="678">
        <v>1.0</v>
      </c>
      <c r="CB30" s="673" t="s">
        <v>413</v>
      </c>
      <c r="CC30" s="673" t="s">
        <v>436</v>
      </c>
      <c r="CD30" s="678">
        <v>1.0</v>
      </c>
      <c r="CE30" s="673" t="s">
        <v>413</v>
      </c>
      <c r="CF30" s="673" t="s">
        <v>436</v>
      </c>
      <c r="CG30" s="678">
        <v>1.0</v>
      </c>
      <c r="CH30" s="673" t="s">
        <v>413</v>
      </c>
      <c r="CI30" s="673" t="s">
        <v>436</v>
      </c>
      <c r="CJ30" s="678">
        <v>1.0</v>
      </c>
      <c r="CK30" s="673" t="s">
        <v>413</v>
      </c>
      <c r="CL30" s="673" t="s">
        <v>436</v>
      </c>
      <c r="CM30" s="678">
        <v>1.0</v>
      </c>
      <c r="CN30" s="673" t="s">
        <v>413</v>
      </c>
      <c r="CO30" s="673" t="s">
        <v>436</v>
      </c>
      <c r="CP30" s="678">
        <v>1.0</v>
      </c>
      <c r="CQ30" s="673" t="s">
        <v>413</v>
      </c>
      <c r="CR30" s="673" t="s">
        <v>436</v>
      </c>
      <c r="CS30" s="678">
        <v>1.0</v>
      </c>
      <c r="CT30" s="673" t="s">
        <v>413</v>
      </c>
      <c r="CU30" s="673" t="s">
        <v>436</v>
      </c>
      <c r="CV30" s="678">
        <v>1.0</v>
      </c>
      <c r="CW30" s="673" t="s">
        <v>413</v>
      </c>
      <c r="CX30" s="673" t="s">
        <v>436</v>
      </c>
      <c r="CY30" s="678">
        <v>1.0</v>
      </c>
      <c r="CZ30" s="673" t="s">
        <v>413</v>
      </c>
      <c r="DA30" s="673" t="s">
        <v>436</v>
      </c>
      <c r="DB30" s="678">
        <v>1.0</v>
      </c>
      <c r="DC30" s="673" t="s">
        <v>413</v>
      </c>
      <c r="DD30" s="673" t="s">
        <v>436</v>
      </c>
      <c r="DE30" s="678">
        <v>1.0</v>
      </c>
      <c r="DF30" s="673" t="s">
        <v>413</v>
      </c>
      <c r="DG30" s="673" t="s">
        <v>436</v>
      </c>
      <c r="DH30" s="678">
        <v>1.0</v>
      </c>
      <c r="DI30" s="673" t="s">
        <v>413</v>
      </c>
      <c r="DJ30" s="673" t="s">
        <v>436</v>
      </c>
      <c r="DK30" s="678">
        <v>1.0</v>
      </c>
      <c r="DL30" s="673" t="s">
        <v>413</v>
      </c>
      <c r="DM30" s="673" t="s">
        <v>436</v>
      </c>
      <c r="DN30" s="678">
        <v>1.0</v>
      </c>
    </row>
    <row r="31" ht="15.0" hidden="1" customHeight="1">
      <c r="A31" s="53">
        <v>30.0</v>
      </c>
      <c r="B31" s="124" t="s">
        <v>178</v>
      </c>
      <c r="C31" s="125"/>
      <c r="D31" s="167"/>
      <c r="E31" s="167"/>
      <c r="F31" s="167"/>
      <c r="G31" s="167"/>
      <c r="H31" s="169"/>
      <c r="I31" s="167"/>
      <c r="J31" s="167"/>
      <c r="K31" s="170"/>
      <c r="L31" s="169"/>
      <c r="M31" s="689"/>
      <c r="N31" s="689"/>
      <c r="O31" s="689"/>
      <c r="P31" s="663"/>
      <c r="Q31" s="576"/>
      <c r="R31" s="576"/>
      <c r="S31" s="680"/>
      <c r="T31" s="576"/>
      <c r="U31" s="576"/>
      <c r="V31" s="680"/>
      <c r="W31" s="576"/>
      <c r="X31" s="576"/>
      <c r="Y31" s="680"/>
      <c r="Z31" s="576"/>
      <c r="AA31" s="576"/>
      <c r="AB31" s="680"/>
      <c r="AC31" s="576"/>
      <c r="AD31" s="576"/>
      <c r="AE31" s="680"/>
      <c r="AF31" s="680"/>
      <c r="AG31" s="680"/>
      <c r="AH31" s="680"/>
      <c r="AI31" s="680"/>
      <c r="AJ31" s="680"/>
      <c r="AK31" s="680"/>
      <c r="AL31" s="680"/>
      <c r="AM31" s="680"/>
      <c r="AN31" s="680"/>
      <c r="AO31" s="680"/>
      <c r="AP31" s="680"/>
      <c r="AQ31" s="680"/>
      <c r="AR31" s="680"/>
      <c r="AS31" s="680"/>
      <c r="AT31" s="680"/>
      <c r="AU31" s="680"/>
      <c r="AV31" s="680"/>
      <c r="AW31" s="680"/>
      <c r="AX31" s="680"/>
      <c r="AY31" s="680"/>
      <c r="AZ31" s="680"/>
      <c r="BA31" s="680"/>
      <c r="BB31" s="680"/>
      <c r="BC31" s="680"/>
      <c r="BD31" s="680"/>
      <c r="BE31" s="680"/>
      <c r="BF31" s="680"/>
      <c r="BG31" s="680"/>
      <c r="BH31" s="680"/>
      <c r="BI31" s="680"/>
      <c r="BJ31" s="680"/>
      <c r="BK31" s="680"/>
      <c r="BL31" s="680"/>
      <c r="BM31" s="680"/>
      <c r="BN31" s="680"/>
      <c r="BO31" s="680"/>
      <c r="BP31" s="680"/>
      <c r="BQ31" s="680"/>
      <c r="BR31" s="680"/>
      <c r="BS31" s="680"/>
      <c r="BT31" s="680"/>
      <c r="BU31" s="681"/>
      <c r="BV31" s="682"/>
      <c r="BW31" s="682"/>
      <c r="BX31" s="682"/>
      <c r="BY31" s="682"/>
      <c r="BZ31" s="682"/>
      <c r="CA31" s="682"/>
      <c r="CB31" s="682"/>
      <c r="CC31" s="682"/>
      <c r="CD31" s="682"/>
      <c r="CE31" s="682"/>
      <c r="CF31" s="682"/>
      <c r="CG31" s="682"/>
      <c r="CH31" s="578"/>
      <c r="CI31" s="578"/>
      <c r="CJ31" s="578"/>
      <c r="CK31" s="578"/>
      <c r="CL31" s="578"/>
      <c r="CM31" s="578"/>
      <c r="CN31" s="578"/>
      <c r="CO31" s="578"/>
      <c r="CP31" s="578"/>
      <c r="CQ31" s="578"/>
      <c r="CR31" s="578"/>
      <c r="CS31" s="578"/>
      <c r="CT31" s="578"/>
      <c r="CU31" s="578"/>
      <c r="CV31" s="578"/>
      <c r="CW31" s="578"/>
      <c r="CX31" s="578"/>
      <c r="CY31" s="578"/>
      <c r="CZ31" s="578"/>
      <c r="DA31" s="578"/>
      <c r="DB31" s="578"/>
      <c r="DC31" s="578"/>
      <c r="DD31" s="578"/>
      <c r="DE31" s="578"/>
      <c r="DF31" s="578"/>
      <c r="DG31" s="578"/>
      <c r="DH31" s="578"/>
      <c r="DI31" s="578"/>
      <c r="DJ31" s="578"/>
      <c r="DK31" s="578"/>
      <c r="DL31" s="578"/>
      <c r="DM31" s="578"/>
      <c r="DN31" s="578"/>
    </row>
    <row r="32" ht="15.0" customHeight="1">
      <c r="A32" s="53">
        <v>8.0</v>
      </c>
      <c r="B32" s="100" t="s">
        <v>98</v>
      </c>
      <c r="C32" s="100" t="s">
        <v>99</v>
      </c>
      <c r="D32" s="101" t="str">
        <f>MID(B32,17,4)</f>
        <v>DATA</v>
      </c>
      <c r="E32" s="111" t="s">
        <v>91</v>
      </c>
      <c r="F32" s="102">
        <v>1104.0</v>
      </c>
      <c r="G32" s="517" t="s">
        <v>92</v>
      </c>
      <c r="H32" s="517">
        <v>1127.0</v>
      </c>
      <c r="I32" s="68" t="str">
        <f>IFERROR(VLOOKUP(C:C,'R22 RELATÓRIO ACC'!B:F,5,FALSE),"NOT PUBLISHED")</f>
        <v>V13</v>
      </c>
      <c r="J32" s="68" t="str">
        <f>IFERROR(VLOOKUP(C:C,'R22 RELATÓRIO ACC'!B:P,15,FALSE),"NOT PUBLISHED")</f>
        <v>02/03/2026</v>
      </c>
      <c r="K32" s="70" t="str">
        <f>IFERROR(VLOOKUP(B:B,'RELATÓRIO ACC'!B:F,5,FALSE),"NOT PUBLISHED")</f>
        <v>V3</v>
      </c>
      <c r="L32" s="518" t="str">
        <f>IFERROR(VLOOKUP(B:B,'RELATÓRIO ACC'!B:P,15,FALSE),"NOT PUBLISHED")</f>
        <v>24/06/2026</v>
      </c>
      <c r="M32" s="661" t="s">
        <v>387</v>
      </c>
      <c r="N32" s="662">
        <v>46171.0</v>
      </c>
      <c r="O32" s="538" t="s">
        <v>378</v>
      </c>
      <c r="P32" s="663"/>
      <c r="Q32" s="550" t="s">
        <v>379</v>
      </c>
      <c r="R32" s="558">
        <v>0.0</v>
      </c>
      <c r="S32" s="550" t="s">
        <v>379</v>
      </c>
      <c r="T32" s="550" t="s">
        <v>379</v>
      </c>
      <c r="U32" s="558">
        <v>0.0</v>
      </c>
      <c r="V32" s="550" t="s">
        <v>379</v>
      </c>
      <c r="W32" s="550" t="s">
        <v>379</v>
      </c>
      <c r="X32" s="558">
        <v>0.0</v>
      </c>
      <c r="Y32" s="550" t="s">
        <v>379</v>
      </c>
      <c r="Z32" s="550" t="s">
        <v>379</v>
      </c>
      <c r="AA32" s="550" t="s">
        <v>380</v>
      </c>
      <c r="AB32" s="550" t="s">
        <v>379</v>
      </c>
      <c r="AC32" s="550" t="s">
        <v>379</v>
      </c>
      <c r="AD32" s="550" t="s">
        <v>380</v>
      </c>
      <c r="AE32" s="550" t="s">
        <v>379</v>
      </c>
      <c r="AF32" s="550" t="s">
        <v>381</v>
      </c>
      <c r="AG32" s="550" t="s">
        <v>385</v>
      </c>
      <c r="AH32" s="664">
        <v>0.52</v>
      </c>
      <c r="AI32" s="550" t="s">
        <v>379</v>
      </c>
      <c r="AJ32" s="550" t="s">
        <v>385</v>
      </c>
      <c r="AK32" s="550" t="s">
        <v>379</v>
      </c>
      <c r="AL32" s="550" t="s">
        <v>383</v>
      </c>
      <c r="AM32" s="550" t="s">
        <v>385</v>
      </c>
      <c r="AN32" s="550" t="s">
        <v>383</v>
      </c>
      <c r="AO32" s="550" t="s">
        <v>381</v>
      </c>
      <c r="AP32" s="550" t="s">
        <v>414</v>
      </c>
      <c r="AQ32" s="664">
        <v>0.86</v>
      </c>
      <c r="AR32" s="550" t="s">
        <v>379</v>
      </c>
      <c r="AS32" s="550" t="s">
        <v>414</v>
      </c>
      <c r="AT32" s="550" t="s">
        <v>379</v>
      </c>
      <c r="AU32" s="550" t="s">
        <v>379</v>
      </c>
      <c r="AV32" s="550" t="s">
        <v>414</v>
      </c>
      <c r="AW32" s="550" t="s">
        <v>379</v>
      </c>
      <c r="AX32" s="550" t="s">
        <v>379</v>
      </c>
      <c r="AY32" s="550" t="s">
        <v>415</v>
      </c>
      <c r="AZ32" s="550" t="s">
        <v>379</v>
      </c>
      <c r="BA32" s="550" t="s">
        <v>379</v>
      </c>
      <c r="BB32" s="550" t="s">
        <v>415</v>
      </c>
      <c r="BC32" s="550" t="s">
        <v>379</v>
      </c>
      <c r="BD32" s="550" t="s">
        <v>379</v>
      </c>
      <c r="BE32" s="550" t="s">
        <v>415</v>
      </c>
      <c r="BF32" s="550" t="s">
        <v>379</v>
      </c>
      <c r="BG32" s="550" t="s">
        <v>379</v>
      </c>
      <c r="BH32" s="550" t="s">
        <v>415</v>
      </c>
      <c r="BI32" s="550" t="s">
        <v>379</v>
      </c>
      <c r="BJ32" s="550" t="s">
        <v>379</v>
      </c>
      <c r="BK32" s="550" t="s">
        <v>415</v>
      </c>
      <c r="BL32" s="550" t="s">
        <v>379</v>
      </c>
      <c r="BM32" s="550" t="s">
        <v>379</v>
      </c>
      <c r="BN32" s="550" t="s">
        <v>415</v>
      </c>
      <c r="BO32" s="550" t="s">
        <v>379</v>
      </c>
      <c r="BP32" s="550" t="s">
        <v>379</v>
      </c>
      <c r="BQ32" s="550" t="s">
        <v>415</v>
      </c>
      <c r="BR32" s="550" t="s">
        <v>379</v>
      </c>
      <c r="BS32" s="550" t="s">
        <v>379</v>
      </c>
      <c r="BT32" s="550" t="s">
        <v>415</v>
      </c>
      <c r="BU32" s="672" t="s">
        <v>379</v>
      </c>
      <c r="BV32" s="673" t="s">
        <v>379</v>
      </c>
      <c r="BW32" s="673" t="s">
        <v>415</v>
      </c>
      <c r="BX32" s="673" t="s">
        <v>379</v>
      </c>
      <c r="BY32" s="673" t="s">
        <v>381</v>
      </c>
      <c r="BZ32" s="673" t="s">
        <v>415</v>
      </c>
      <c r="CA32" s="683">
        <v>0.89</v>
      </c>
      <c r="CB32" s="673" t="s">
        <v>379</v>
      </c>
      <c r="CC32" s="673" t="s">
        <v>415</v>
      </c>
      <c r="CD32" s="673" t="s">
        <v>379</v>
      </c>
      <c r="CE32" s="673" t="s">
        <v>379</v>
      </c>
      <c r="CF32" s="673" t="s">
        <v>415</v>
      </c>
      <c r="CG32" s="673" t="s">
        <v>379</v>
      </c>
      <c r="CH32" s="673" t="s">
        <v>379</v>
      </c>
      <c r="CI32" s="673" t="s">
        <v>415</v>
      </c>
      <c r="CJ32" s="673" t="s">
        <v>379</v>
      </c>
      <c r="CK32" s="673" t="s">
        <v>379</v>
      </c>
      <c r="CL32" s="673" t="s">
        <v>415</v>
      </c>
      <c r="CM32" s="673" t="s">
        <v>379</v>
      </c>
      <c r="CN32" s="673" t="s">
        <v>383</v>
      </c>
      <c r="CO32" s="673" t="s">
        <v>415</v>
      </c>
      <c r="CP32" s="673" t="s">
        <v>383</v>
      </c>
      <c r="CQ32" s="673" t="s">
        <v>386</v>
      </c>
      <c r="CR32" s="673" t="s">
        <v>415</v>
      </c>
      <c r="CS32" s="683">
        <v>1.0</v>
      </c>
      <c r="CT32" s="673" t="s">
        <v>413</v>
      </c>
      <c r="CU32" s="673" t="s">
        <v>415</v>
      </c>
      <c r="CV32" s="683">
        <v>1.0</v>
      </c>
      <c r="CW32" s="673" t="s">
        <v>413</v>
      </c>
      <c r="CX32" s="673" t="s">
        <v>415</v>
      </c>
      <c r="CY32" s="683">
        <v>1.0</v>
      </c>
      <c r="CZ32" s="673" t="s">
        <v>413</v>
      </c>
      <c r="DA32" s="673" t="s">
        <v>415</v>
      </c>
      <c r="DB32" s="683">
        <v>1.0</v>
      </c>
      <c r="DC32" s="673" t="s">
        <v>413</v>
      </c>
      <c r="DD32" s="673" t="s">
        <v>415</v>
      </c>
      <c r="DE32" s="683">
        <v>1.0</v>
      </c>
      <c r="DF32" s="673" t="s">
        <v>413</v>
      </c>
      <c r="DG32" s="673" t="s">
        <v>415</v>
      </c>
      <c r="DH32" s="683">
        <v>1.0</v>
      </c>
      <c r="DI32" s="673" t="s">
        <v>413</v>
      </c>
      <c r="DJ32" s="673" t="s">
        <v>415</v>
      </c>
      <c r="DK32" s="683">
        <v>1.0</v>
      </c>
      <c r="DL32" s="673" t="s">
        <v>413</v>
      </c>
      <c r="DM32" s="673" t="s">
        <v>415</v>
      </c>
      <c r="DN32" s="683">
        <v>1.0</v>
      </c>
    </row>
    <row r="33" ht="15.0" hidden="1" customHeight="1">
      <c r="A33" s="53">
        <v>32.0</v>
      </c>
      <c r="B33" s="146" t="s">
        <v>183</v>
      </c>
      <c r="C33" s="147"/>
      <c r="D33" s="148"/>
      <c r="E33" s="148"/>
      <c r="F33" s="148"/>
      <c r="G33" s="148"/>
      <c r="H33" s="150"/>
      <c r="I33" s="148"/>
      <c r="J33" s="148"/>
      <c r="K33" s="151"/>
      <c r="L33" s="148"/>
      <c r="M33" s="684"/>
      <c r="N33" s="684"/>
      <c r="O33" s="684"/>
      <c r="P33" s="663"/>
      <c r="Q33" s="595"/>
      <c r="R33" s="595"/>
      <c r="S33" s="685"/>
      <c r="T33" s="595"/>
      <c r="U33" s="595"/>
      <c r="V33" s="685"/>
      <c r="W33" s="595"/>
      <c r="X33" s="595"/>
      <c r="Y33" s="685"/>
      <c r="Z33" s="595"/>
      <c r="AA33" s="595"/>
      <c r="AB33" s="685"/>
      <c r="AC33" s="595"/>
      <c r="AD33" s="595"/>
      <c r="AE33" s="685"/>
      <c r="AF33" s="685"/>
      <c r="AG33" s="685"/>
      <c r="AH33" s="685"/>
      <c r="AI33" s="685"/>
      <c r="AJ33" s="685"/>
      <c r="AK33" s="685"/>
      <c r="AL33" s="685"/>
      <c r="AM33" s="685"/>
      <c r="AN33" s="685"/>
      <c r="AO33" s="685"/>
      <c r="AP33" s="685"/>
      <c r="AQ33" s="685"/>
      <c r="AR33" s="685"/>
      <c r="AS33" s="685"/>
      <c r="AT33" s="685"/>
      <c r="AU33" s="685"/>
      <c r="AV33" s="685"/>
      <c r="AW33" s="685"/>
      <c r="AX33" s="685"/>
      <c r="AY33" s="685"/>
      <c r="AZ33" s="685"/>
      <c r="BA33" s="685"/>
      <c r="BB33" s="685"/>
      <c r="BC33" s="685"/>
      <c r="BD33" s="685"/>
      <c r="BE33" s="685"/>
      <c r="BF33" s="685"/>
      <c r="BG33" s="685"/>
      <c r="BH33" s="685"/>
      <c r="BI33" s="685"/>
      <c r="BJ33" s="685"/>
      <c r="BK33" s="685"/>
      <c r="BL33" s="685"/>
      <c r="BM33" s="685"/>
      <c r="BN33" s="685"/>
      <c r="BO33" s="685"/>
      <c r="BP33" s="685"/>
      <c r="BQ33" s="685"/>
      <c r="BR33" s="685"/>
      <c r="BS33" s="685"/>
      <c r="BT33" s="685"/>
      <c r="BU33" s="686"/>
      <c r="BV33" s="687"/>
      <c r="BW33" s="687"/>
      <c r="BX33" s="687"/>
      <c r="BY33" s="687"/>
      <c r="BZ33" s="687"/>
      <c r="CA33" s="687"/>
      <c r="CB33" s="687"/>
      <c r="CC33" s="687"/>
      <c r="CD33" s="687"/>
      <c r="CE33" s="687"/>
      <c r="CF33" s="687"/>
      <c r="CG33" s="687"/>
      <c r="CH33" s="585"/>
      <c r="CI33" s="585"/>
      <c r="CJ33" s="585"/>
      <c r="CK33" s="585"/>
      <c r="CL33" s="585"/>
      <c r="CM33" s="585"/>
      <c r="CN33" s="585"/>
      <c r="CO33" s="585"/>
      <c r="CP33" s="585"/>
      <c r="CQ33" s="585"/>
      <c r="CR33" s="585"/>
      <c r="CS33" s="585"/>
      <c r="CT33" s="585"/>
      <c r="CU33" s="585"/>
      <c r="CV33" s="585"/>
      <c r="CW33" s="585"/>
      <c r="CX33" s="585"/>
      <c r="CY33" s="585"/>
      <c r="CZ33" s="585"/>
      <c r="DA33" s="585"/>
      <c r="DB33" s="585"/>
      <c r="DC33" s="585"/>
      <c r="DD33" s="585"/>
      <c r="DE33" s="585"/>
      <c r="DF33" s="585"/>
      <c r="DG33" s="585"/>
      <c r="DH33" s="585"/>
      <c r="DI33" s="585"/>
      <c r="DJ33" s="585"/>
      <c r="DK33" s="585"/>
      <c r="DL33" s="585"/>
      <c r="DM33" s="585"/>
      <c r="DN33" s="585"/>
    </row>
    <row r="34" ht="15.0" customHeight="1">
      <c r="A34" s="53">
        <v>33.0</v>
      </c>
      <c r="B34" s="100" t="s">
        <v>186</v>
      </c>
      <c r="C34" s="100" t="s">
        <v>187</v>
      </c>
      <c r="D34" s="101" t="str">
        <f>MID(B34,FIND(CHAR(160),SUBSTITUTE(B34,"-",CHAR(160),3)) + 1,FIND(CHAR(160),SUBSTITUTE(B34,"-",CHAR(160),4)) - 1 - (FIND(CHAR(160),SUBSTITUTE(B34,"-",CHAR(160),3))))</f>
        <v>DATA</v>
      </c>
      <c r="E34" s="101" t="s">
        <v>165</v>
      </c>
      <c r="F34" s="102">
        <v>1114.0</v>
      </c>
      <c r="G34" s="517" t="s">
        <v>165</v>
      </c>
      <c r="H34" s="517">
        <v>1114.0</v>
      </c>
      <c r="I34" s="68" t="str">
        <f>IFERROR(VLOOKUP(C:C,'R22 RELATÓRIO ACC'!B:F,5,FALSE),"NOT PUBLISHED")</f>
        <v>V20</v>
      </c>
      <c r="J34" s="68" t="str">
        <f>IFERROR(VLOOKUP(C:C,'R22 RELATÓRIO ACC'!B:P,15,FALSE),"NOT PUBLISHED")</f>
        <v>05/05/2026</v>
      </c>
      <c r="K34" s="70" t="str">
        <f>IFERROR(VLOOKUP(B:B,'RELATÓRIO ACC'!B:F,5,FALSE),"NOT PUBLISHED")</f>
        <v>V2</v>
      </c>
      <c r="L34" s="518" t="str">
        <f>IFERROR(VLOOKUP(B:B,'RELATÓRIO ACC'!B:P,15,FALSE),"NOT PUBLISHED")</f>
        <v>12/07/2026</v>
      </c>
      <c r="M34" s="661" t="s">
        <v>415</v>
      </c>
      <c r="N34" s="668" t="s">
        <v>460</v>
      </c>
      <c r="O34" s="538" t="s">
        <v>410</v>
      </c>
      <c r="P34" s="663"/>
      <c r="Q34" s="550" t="s">
        <v>379</v>
      </c>
      <c r="R34" s="558">
        <v>0.0</v>
      </c>
      <c r="S34" s="550" t="s">
        <v>379</v>
      </c>
      <c r="T34" s="550" t="s">
        <v>379</v>
      </c>
      <c r="U34" s="558">
        <v>0.0</v>
      </c>
      <c r="V34" s="550" t="s">
        <v>379</v>
      </c>
      <c r="W34" s="550" t="s">
        <v>381</v>
      </c>
      <c r="X34" s="550" t="s">
        <v>421</v>
      </c>
      <c r="Y34" s="667">
        <v>0.01</v>
      </c>
      <c r="Z34" s="550" t="s">
        <v>379</v>
      </c>
      <c r="AA34" s="550" t="s">
        <v>414</v>
      </c>
      <c r="AB34" s="550" t="s">
        <v>379</v>
      </c>
      <c r="AC34" s="550" t="s">
        <v>379</v>
      </c>
      <c r="AD34" s="550" t="s">
        <v>414</v>
      </c>
      <c r="AE34" s="550" t="s">
        <v>379</v>
      </c>
      <c r="AF34" s="550" t="s">
        <v>383</v>
      </c>
      <c r="AG34" s="550" t="s">
        <v>414</v>
      </c>
      <c r="AH34" s="550" t="s">
        <v>383</v>
      </c>
      <c r="AI34" s="690" t="s">
        <v>386</v>
      </c>
      <c r="AJ34" s="550" t="s">
        <v>415</v>
      </c>
      <c r="AK34" s="664">
        <v>1.0</v>
      </c>
      <c r="AL34" s="550" t="s">
        <v>413</v>
      </c>
      <c r="AM34" s="550" t="s">
        <v>415</v>
      </c>
      <c r="AN34" s="664">
        <v>1.0</v>
      </c>
      <c r="AO34" s="550" t="s">
        <v>413</v>
      </c>
      <c r="AP34" s="550" t="s">
        <v>415</v>
      </c>
      <c r="AQ34" s="664">
        <v>1.0</v>
      </c>
      <c r="AR34" s="550" t="s">
        <v>413</v>
      </c>
      <c r="AS34" s="550" t="s">
        <v>415</v>
      </c>
      <c r="AT34" s="664">
        <v>1.0</v>
      </c>
      <c r="AU34" s="550" t="s">
        <v>413</v>
      </c>
      <c r="AV34" s="550" t="s">
        <v>415</v>
      </c>
      <c r="AW34" s="664">
        <v>1.0</v>
      </c>
      <c r="AX34" s="550" t="s">
        <v>413</v>
      </c>
      <c r="AY34" s="550" t="s">
        <v>415</v>
      </c>
      <c r="AZ34" s="664">
        <v>1.0</v>
      </c>
      <c r="BA34" s="550" t="s">
        <v>413</v>
      </c>
      <c r="BB34" s="550" t="s">
        <v>415</v>
      </c>
      <c r="BC34" s="664">
        <v>1.0</v>
      </c>
      <c r="BD34" s="550" t="s">
        <v>413</v>
      </c>
      <c r="BE34" s="550" t="s">
        <v>415</v>
      </c>
      <c r="BF34" s="664">
        <v>1.0</v>
      </c>
      <c r="BG34" s="550" t="s">
        <v>413</v>
      </c>
      <c r="BH34" s="550" t="s">
        <v>415</v>
      </c>
      <c r="BI34" s="664">
        <v>1.0</v>
      </c>
      <c r="BJ34" s="550" t="s">
        <v>413</v>
      </c>
      <c r="BK34" s="550" t="s">
        <v>415</v>
      </c>
      <c r="BL34" s="664">
        <v>1.0</v>
      </c>
      <c r="BM34" s="550" t="s">
        <v>413</v>
      </c>
      <c r="BN34" s="550" t="s">
        <v>415</v>
      </c>
      <c r="BO34" s="664">
        <v>1.0</v>
      </c>
      <c r="BP34" s="550" t="s">
        <v>413</v>
      </c>
      <c r="BQ34" s="550" t="s">
        <v>415</v>
      </c>
      <c r="BR34" s="664">
        <v>1.0</v>
      </c>
      <c r="BS34" s="550" t="s">
        <v>413</v>
      </c>
      <c r="BT34" s="550" t="s">
        <v>415</v>
      </c>
      <c r="BU34" s="691">
        <v>1.0</v>
      </c>
      <c r="BV34" s="673" t="s">
        <v>413</v>
      </c>
      <c r="BW34" s="673" t="s">
        <v>415</v>
      </c>
      <c r="BX34" s="683">
        <v>1.0</v>
      </c>
      <c r="BY34" s="673" t="s">
        <v>413</v>
      </c>
      <c r="BZ34" s="673" t="s">
        <v>415</v>
      </c>
      <c r="CA34" s="683">
        <v>1.0</v>
      </c>
      <c r="CB34" s="673" t="s">
        <v>413</v>
      </c>
      <c r="CC34" s="673" t="s">
        <v>415</v>
      </c>
      <c r="CD34" s="683">
        <v>1.0</v>
      </c>
      <c r="CE34" s="673" t="s">
        <v>413</v>
      </c>
      <c r="CF34" s="673" t="s">
        <v>415</v>
      </c>
      <c r="CG34" s="683">
        <v>1.0</v>
      </c>
      <c r="CH34" s="673" t="s">
        <v>413</v>
      </c>
      <c r="CI34" s="673" t="s">
        <v>415</v>
      </c>
      <c r="CJ34" s="683">
        <v>1.0</v>
      </c>
      <c r="CK34" s="673" t="s">
        <v>413</v>
      </c>
      <c r="CL34" s="673" t="s">
        <v>415</v>
      </c>
      <c r="CM34" s="683">
        <v>1.0</v>
      </c>
      <c r="CN34" s="673" t="s">
        <v>413</v>
      </c>
      <c r="CO34" s="673" t="s">
        <v>415</v>
      </c>
      <c r="CP34" s="683">
        <v>1.0</v>
      </c>
      <c r="CQ34" s="673" t="s">
        <v>413</v>
      </c>
      <c r="CR34" s="673" t="s">
        <v>415</v>
      </c>
      <c r="CS34" s="683">
        <v>1.0</v>
      </c>
      <c r="CT34" s="673" t="s">
        <v>413</v>
      </c>
      <c r="CU34" s="673" t="s">
        <v>415</v>
      </c>
      <c r="CV34" s="683">
        <v>1.0</v>
      </c>
      <c r="CW34" s="673" t="s">
        <v>413</v>
      </c>
      <c r="CX34" s="673" t="s">
        <v>415</v>
      </c>
      <c r="CY34" s="683">
        <v>1.0</v>
      </c>
      <c r="CZ34" s="673" t="s">
        <v>413</v>
      </c>
      <c r="DA34" s="673" t="s">
        <v>415</v>
      </c>
      <c r="DB34" s="683">
        <v>1.0</v>
      </c>
      <c r="DC34" s="673" t="s">
        <v>413</v>
      </c>
      <c r="DD34" s="673" t="s">
        <v>415</v>
      </c>
      <c r="DE34" s="683">
        <v>1.0</v>
      </c>
      <c r="DF34" s="673" t="s">
        <v>413</v>
      </c>
      <c r="DG34" s="673" t="s">
        <v>415</v>
      </c>
      <c r="DH34" s="683">
        <v>1.0</v>
      </c>
      <c r="DI34" s="673" t="s">
        <v>413</v>
      </c>
      <c r="DJ34" s="673" t="s">
        <v>415</v>
      </c>
      <c r="DK34" s="683">
        <v>1.0</v>
      </c>
      <c r="DL34" s="673" t="s">
        <v>413</v>
      </c>
      <c r="DM34" s="673" t="s">
        <v>415</v>
      </c>
      <c r="DN34" s="683">
        <v>1.0</v>
      </c>
    </row>
    <row r="35" ht="15.0" hidden="1" customHeight="1">
      <c r="A35" s="53">
        <v>34.0</v>
      </c>
      <c r="B35" s="124" t="s">
        <v>188</v>
      </c>
      <c r="C35" s="125"/>
      <c r="D35" s="126"/>
      <c r="E35" s="126"/>
      <c r="F35" s="126"/>
      <c r="G35" s="126"/>
      <c r="H35" s="128"/>
      <c r="I35" s="126"/>
      <c r="J35" s="126"/>
      <c r="K35" s="129"/>
      <c r="L35" s="128"/>
      <c r="M35" s="679"/>
      <c r="N35" s="679"/>
      <c r="O35" s="679"/>
      <c r="P35" s="663"/>
      <c r="Q35" s="576"/>
      <c r="R35" s="576"/>
      <c r="S35" s="680"/>
      <c r="T35" s="576"/>
      <c r="U35" s="576"/>
      <c r="V35" s="680"/>
      <c r="W35" s="576"/>
      <c r="X35" s="576"/>
      <c r="Y35" s="680"/>
      <c r="Z35" s="576"/>
      <c r="AA35" s="576"/>
      <c r="AB35" s="680"/>
      <c r="AC35" s="576"/>
      <c r="AD35" s="576"/>
      <c r="AE35" s="680"/>
      <c r="AF35" s="680"/>
      <c r="AG35" s="680"/>
      <c r="AH35" s="680"/>
      <c r="AI35" s="680"/>
      <c r="AJ35" s="680"/>
      <c r="AK35" s="680"/>
      <c r="AL35" s="680"/>
      <c r="AM35" s="680"/>
      <c r="AN35" s="680"/>
      <c r="AO35" s="680"/>
      <c r="AP35" s="680"/>
      <c r="AQ35" s="680"/>
      <c r="AR35" s="680"/>
      <c r="AS35" s="680"/>
      <c r="AT35" s="680"/>
      <c r="AU35" s="680"/>
      <c r="AV35" s="680"/>
      <c r="AW35" s="680"/>
      <c r="AX35" s="680"/>
      <c r="AY35" s="680"/>
      <c r="AZ35" s="680"/>
      <c r="BA35" s="680"/>
      <c r="BB35" s="680"/>
      <c r="BC35" s="680"/>
      <c r="BD35" s="680"/>
      <c r="BE35" s="680"/>
      <c r="BF35" s="680"/>
      <c r="BG35" s="680"/>
      <c r="BH35" s="680"/>
      <c r="BI35" s="680"/>
      <c r="BJ35" s="680"/>
      <c r="BK35" s="680"/>
      <c r="BL35" s="680"/>
      <c r="BM35" s="680"/>
      <c r="BN35" s="680"/>
      <c r="BO35" s="680"/>
      <c r="BP35" s="680"/>
      <c r="BQ35" s="680"/>
      <c r="BR35" s="680"/>
      <c r="BS35" s="680"/>
      <c r="BT35" s="680"/>
      <c r="BU35" s="681"/>
      <c r="BV35" s="682"/>
      <c r="BW35" s="682"/>
      <c r="BX35" s="682"/>
      <c r="BY35" s="682"/>
      <c r="BZ35" s="682"/>
      <c r="CA35" s="682"/>
      <c r="CB35" s="682"/>
      <c r="CC35" s="682"/>
      <c r="CD35" s="682"/>
      <c r="CE35" s="682"/>
      <c r="CF35" s="682"/>
      <c r="CG35" s="682"/>
      <c r="CH35" s="578"/>
      <c r="CI35" s="578"/>
      <c r="CJ35" s="578"/>
      <c r="CK35" s="578"/>
      <c r="CL35" s="578"/>
      <c r="CM35" s="578"/>
      <c r="CN35" s="578"/>
      <c r="CO35" s="578"/>
      <c r="CP35" s="578"/>
      <c r="CQ35" s="578"/>
      <c r="CR35" s="578"/>
      <c r="CS35" s="578"/>
      <c r="CT35" s="578"/>
      <c r="CU35" s="578"/>
      <c r="CV35" s="578"/>
      <c r="CW35" s="578"/>
      <c r="CX35" s="578"/>
      <c r="CY35" s="578"/>
      <c r="CZ35" s="578"/>
      <c r="DA35" s="578"/>
      <c r="DB35" s="578"/>
      <c r="DC35" s="578"/>
      <c r="DD35" s="578"/>
      <c r="DE35" s="578"/>
      <c r="DF35" s="578"/>
      <c r="DG35" s="578"/>
      <c r="DH35" s="578"/>
      <c r="DI35" s="578"/>
      <c r="DJ35" s="578"/>
      <c r="DK35" s="578"/>
      <c r="DL35" s="578"/>
      <c r="DM35" s="578"/>
      <c r="DN35" s="578"/>
    </row>
    <row r="36" ht="16.5" customHeight="1">
      <c r="A36" s="53">
        <v>31.0</v>
      </c>
      <c r="B36" s="145" t="s">
        <v>179</v>
      </c>
      <c r="C36" s="145" t="s">
        <v>180</v>
      </c>
      <c r="D36" s="101" t="str">
        <f>MID(B36,FIND(CHAR(160),SUBSTITUTE(B36,"-",CHAR(160),3)) + 1,FIND(CHAR(160),SUBSTITUTE(B36,"-",CHAR(160),4)) - 1 - (FIND(CHAR(160),SUBSTITUTE(B36,"-",CHAR(160),3))))</f>
        <v>DATA</v>
      </c>
      <c r="E36" s="101" t="s">
        <v>154</v>
      </c>
      <c r="F36" s="102">
        <v>1112.0</v>
      </c>
      <c r="G36" s="517" t="s">
        <v>155</v>
      </c>
      <c r="H36" s="517">
        <v>1129.0</v>
      </c>
      <c r="I36" s="68" t="str">
        <f>IFERROR(VLOOKUP(C:C,'R22 RELATÓRIO ACC'!B:F,5,FALSE),"NOT PUBLISHED")</f>
        <v>V33</v>
      </c>
      <c r="J36" s="68" t="str">
        <f>IFERROR(VLOOKUP(C:C,'R22 RELATÓRIO ACC'!B:P,15,FALSE),"NOT PUBLISHED")</f>
        <v>04/03/2026</v>
      </c>
      <c r="K36" s="70" t="str">
        <f>IFERROR(VLOOKUP(B:B,'RELATÓRIO ACC'!B:F,5,FALSE),"NOT PUBLISHED")</f>
        <v>V2</v>
      </c>
      <c r="L36" s="518" t="str">
        <f>IFERROR(VLOOKUP(B:B,'RELATÓRIO ACC'!B:P,15,FALSE),"NOT PUBLISHED")</f>
        <v>13/07/2026</v>
      </c>
      <c r="M36" s="661" t="s">
        <v>432</v>
      </c>
      <c r="N36" s="668" t="s">
        <v>435</v>
      </c>
      <c r="O36" s="538" t="s">
        <v>410</v>
      </c>
      <c r="P36" s="663" t="s">
        <v>445</v>
      </c>
      <c r="Q36" s="550" t="s">
        <v>379</v>
      </c>
      <c r="R36" s="558">
        <v>0.0</v>
      </c>
      <c r="S36" s="550" t="s">
        <v>379</v>
      </c>
      <c r="T36" s="550" t="s">
        <v>379</v>
      </c>
      <c r="U36" s="558">
        <v>0.0</v>
      </c>
      <c r="V36" s="550" t="s">
        <v>379</v>
      </c>
      <c r="W36" s="550" t="s">
        <v>381</v>
      </c>
      <c r="X36" s="550" t="s">
        <v>421</v>
      </c>
      <c r="Y36" s="667">
        <v>0.16</v>
      </c>
      <c r="Z36" s="550" t="s">
        <v>383</v>
      </c>
      <c r="AA36" s="550" t="s">
        <v>406</v>
      </c>
      <c r="AB36" s="550" t="s">
        <v>383</v>
      </c>
      <c r="AC36" s="690" t="s">
        <v>381</v>
      </c>
      <c r="AD36" s="690" t="s">
        <v>420</v>
      </c>
      <c r="AE36" s="671">
        <v>0.62</v>
      </c>
      <c r="AF36" s="690" t="s">
        <v>383</v>
      </c>
      <c r="AG36" s="690" t="s">
        <v>420</v>
      </c>
      <c r="AH36" s="690" t="s">
        <v>383</v>
      </c>
      <c r="AI36" s="550" t="s">
        <v>383</v>
      </c>
      <c r="AJ36" s="550" t="s">
        <v>431</v>
      </c>
      <c r="AK36" s="550" t="s">
        <v>383</v>
      </c>
      <c r="AL36" s="550" t="s">
        <v>381</v>
      </c>
      <c r="AM36" s="550" t="s">
        <v>436</v>
      </c>
      <c r="AN36" s="671">
        <v>0.74</v>
      </c>
      <c r="AO36" s="550" t="s">
        <v>381</v>
      </c>
      <c r="AP36" s="550" t="s">
        <v>437</v>
      </c>
      <c r="AQ36" s="671">
        <v>0.99</v>
      </c>
      <c r="AR36" s="550" t="s">
        <v>386</v>
      </c>
      <c r="AS36" s="550" t="s">
        <v>432</v>
      </c>
      <c r="AT36" s="671">
        <v>1.0</v>
      </c>
      <c r="AU36" s="550" t="s">
        <v>413</v>
      </c>
      <c r="AV36" s="550" t="s">
        <v>432</v>
      </c>
      <c r="AW36" s="671">
        <v>1.0</v>
      </c>
      <c r="AX36" s="550" t="s">
        <v>413</v>
      </c>
      <c r="AY36" s="550" t="s">
        <v>432</v>
      </c>
      <c r="AZ36" s="671">
        <v>1.0</v>
      </c>
      <c r="BA36" s="550" t="s">
        <v>413</v>
      </c>
      <c r="BB36" s="550" t="s">
        <v>432</v>
      </c>
      <c r="BC36" s="671">
        <v>1.0</v>
      </c>
      <c r="BD36" s="550" t="s">
        <v>413</v>
      </c>
      <c r="BE36" s="550" t="s">
        <v>432</v>
      </c>
      <c r="BF36" s="671">
        <v>1.0</v>
      </c>
      <c r="BG36" s="550" t="s">
        <v>413</v>
      </c>
      <c r="BH36" s="550" t="s">
        <v>432</v>
      </c>
      <c r="BI36" s="671">
        <v>1.0</v>
      </c>
      <c r="BJ36" s="550" t="s">
        <v>413</v>
      </c>
      <c r="BK36" s="550" t="s">
        <v>432</v>
      </c>
      <c r="BL36" s="671">
        <v>1.0</v>
      </c>
      <c r="BM36" s="550" t="s">
        <v>413</v>
      </c>
      <c r="BN36" s="550" t="s">
        <v>432</v>
      </c>
      <c r="BO36" s="671">
        <v>1.0</v>
      </c>
      <c r="BP36" s="550" t="s">
        <v>413</v>
      </c>
      <c r="BQ36" s="550" t="s">
        <v>432</v>
      </c>
      <c r="BR36" s="671">
        <v>1.0</v>
      </c>
      <c r="BS36" s="550" t="s">
        <v>413</v>
      </c>
      <c r="BT36" s="550" t="s">
        <v>432</v>
      </c>
      <c r="BU36" s="688">
        <v>1.0</v>
      </c>
      <c r="BV36" s="673" t="s">
        <v>413</v>
      </c>
      <c r="BW36" s="673" t="s">
        <v>432</v>
      </c>
      <c r="BX36" s="678">
        <v>1.0</v>
      </c>
      <c r="BY36" s="673" t="s">
        <v>413</v>
      </c>
      <c r="BZ36" s="673" t="s">
        <v>432</v>
      </c>
      <c r="CA36" s="678">
        <v>1.0</v>
      </c>
      <c r="CB36" s="673" t="s">
        <v>413</v>
      </c>
      <c r="CC36" s="673" t="s">
        <v>432</v>
      </c>
      <c r="CD36" s="678">
        <v>1.0</v>
      </c>
      <c r="CE36" s="673" t="s">
        <v>413</v>
      </c>
      <c r="CF36" s="673" t="s">
        <v>432</v>
      </c>
      <c r="CG36" s="678">
        <v>1.0</v>
      </c>
      <c r="CH36" s="673" t="s">
        <v>413</v>
      </c>
      <c r="CI36" s="673" t="s">
        <v>432</v>
      </c>
      <c r="CJ36" s="678">
        <v>1.0</v>
      </c>
      <c r="CK36" s="673" t="s">
        <v>413</v>
      </c>
      <c r="CL36" s="673" t="s">
        <v>432</v>
      </c>
      <c r="CM36" s="678">
        <v>1.0</v>
      </c>
      <c r="CN36" s="673" t="s">
        <v>413</v>
      </c>
      <c r="CO36" s="673" t="s">
        <v>432</v>
      </c>
      <c r="CP36" s="678">
        <v>1.0</v>
      </c>
      <c r="CQ36" s="673" t="s">
        <v>413</v>
      </c>
      <c r="CR36" s="673" t="s">
        <v>432</v>
      </c>
      <c r="CS36" s="678">
        <v>1.0</v>
      </c>
      <c r="CT36" s="673" t="s">
        <v>413</v>
      </c>
      <c r="CU36" s="673" t="s">
        <v>432</v>
      </c>
      <c r="CV36" s="678">
        <v>1.0</v>
      </c>
      <c r="CW36" s="673" t="s">
        <v>413</v>
      </c>
      <c r="CX36" s="673" t="s">
        <v>432</v>
      </c>
      <c r="CY36" s="678">
        <v>1.0</v>
      </c>
      <c r="CZ36" s="673" t="s">
        <v>413</v>
      </c>
      <c r="DA36" s="673" t="s">
        <v>432</v>
      </c>
      <c r="DB36" s="678">
        <v>1.0</v>
      </c>
      <c r="DC36" s="673" t="s">
        <v>413</v>
      </c>
      <c r="DD36" s="673" t="s">
        <v>432</v>
      </c>
      <c r="DE36" s="678">
        <v>1.0</v>
      </c>
      <c r="DF36" s="673" t="s">
        <v>413</v>
      </c>
      <c r="DG36" s="673" t="s">
        <v>432</v>
      </c>
      <c r="DH36" s="678">
        <v>1.0</v>
      </c>
      <c r="DI36" s="673" t="s">
        <v>413</v>
      </c>
      <c r="DJ36" s="673" t="s">
        <v>432</v>
      </c>
      <c r="DK36" s="678">
        <v>1.0</v>
      </c>
      <c r="DL36" s="673" t="s">
        <v>413</v>
      </c>
      <c r="DM36" s="673" t="s">
        <v>432</v>
      </c>
      <c r="DN36" s="678">
        <v>1.0</v>
      </c>
    </row>
    <row r="37" ht="15.0" hidden="1" customHeight="1">
      <c r="A37" s="53">
        <v>36.0</v>
      </c>
      <c r="B37" s="146" t="s">
        <v>193</v>
      </c>
      <c r="C37" s="147"/>
      <c r="D37" s="148"/>
      <c r="E37" s="148"/>
      <c r="F37" s="148"/>
      <c r="G37" s="148"/>
      <c r="H37" s="150"/>
      <c r="I37" s="148"/>
      <c r="J37" s="148"/>
      <c r="K37" s="151"/>
      <c r="L37" s="150"/>
      <c r="M37" s="684"/>
      <c r="N37" s="684"/>
      <c r="O37" s="684"/>
      <c r="P37" s="663"/>
      <c r="Q37" s="583"/>
      <c r="R37" s="583"/>
      <c r="S37" s="685"/>
      <c r="T37" s="583"/>
      <c r="U37" s="583"/>
      <c r="V37" s="685"/>
      <c r="W37" s="583"/>
      <c r="X37" s="583"/>
      <c r="Y37" s="685"/>
      <c r="Z37" s="583"/>
      <c r="AA37" s="583"/>
      <c r="AB37" s="685"/>
      <c r="AC37" s="583"/>
      <c r="AD37" s="583"/>
      <c r="AE37" s="685"/>
      <c r="AF37" s="685"/>
      <c r="AG37" s="685"/>
      <c r="AH37" s="685"/>
      <c r="AI37" s="685"/>
      <c r="AJ37" s="685"/>
      <c r="AK37" s="685"/>
      <c r="AL37" s="685"/>
      <c r="AM37" s="685"/>
      <c r="AN37" s="685"/>
      <c r="AO37" s="685"/>
      <c r="AP37" s="685"/>
      <c r="AQ37" s="685"/>
      <c r="AR37" s="685"/>
      <c r="AS37" s="685"/>
      <c r="AT37" s="685"/>
      <c r="AU37" s="685"/>
      <c r="AV37" s="685"/>
      <c r="AW37" s="685"/>
      <c r="AX37" s="685"/>
      <c r="AY37" s="685"/>
      <c r="AZ37" s="685"/>
      <c r="BA37" s="685"/>
      <c r="BB37" s="685"/>
      <c r="BC37" s="685"/>
      <c r="BD37" s="685"/>
      <c r="BE37" s="685"/>
      <c r="BF37" s="685"/>
      <c r="BG37" s="685"/>
      <c r="BH37" s="685"/>
      <c r="BI37" s="685"/>
      <c r="BJ37" s="685"/>
      <c r="BK37" s="685"/>
      <c r="BL37" s="685"/>
      <c r="BM37" s="685"/>
      <c r="BN37" s="685"/>
      <c r="BO37" s="685"/>
      <c r="BP37" s="685"/>
      <c r="BQ37" s="685"/>
      <c r="BR37" s="685"/>
      <c r="BS37" s="685"/>
      <c r="BT37" s="685"/>
      <c r="BU37" s="686"/>
      <c r="BV37" s="687"/>
      <c r="BW37" s="687"/>
      <c r="BX37" s="687"/>
      <c r="BY37" s="687"/>
      <c r="BZ37" s="687"/>
      <c r="CA37" s="687"/>
      <c r="CB37" s="687"/>
      <c r="CC37" s="687"/>
      <c r="CD37" s="687"/>
      <c r="CE37" s="687"/>
      <c r="CF37" s="687"/>
      <c r="CG37" s="687"/>
      <c r="CH37" s="585"/>
      <c r="CI37" s="585"/>
      <c r="CJ37" s="585"/>
      <c r="CK37" s="585"/>
      <c r="CL37" s="585"/>
      <c r="CM37" s="585"/>
      <c r="CN37" s="585"/>
      <c r="CO37" s="585"/>
      <c r="CP37" s="585"/>
      <c r="CQ37" s="585"/>
      <c r="CR37" s="585"/>
      <c r="CS37" s="585"/>
      <c r="CT37" s="585"/>
      <c r="CU37" s="585"/>
      <c r="CV37" s="585"/>
      <c r="CW37" s="585"/>
      <c r="CX37" s="585"/>
      <c r="CY37" s="585"/>
      <c r="CZ37" s="585"/>
      <c r="DA37" s="585"/>
      <c r="DB37" s="585"/>
      <c r="DC37" s="585"/>
      <c r="DD37" s="585"/>
      <c r="DE37" s="585"/>
      <c r="DF37" s="585"/>
      <c r="DG37" s="585"/>
      <c r="DH37" s="585"/>
      <c r="DI37" s="585"/>
      <c r="DJ37" s="585"/>
      <c r="DK37" s="585"/>
      <c r="DL37" s="585"/>
      <c r="DM37" s="585"/>
      <c r="DN37" s="585"/>
    </row>
    <row r="38" ht="15.0" customHeight="1">
      <c r="A38" s="53">
        <v>43.0</v>
      </c>
      <c r="B38" s="100" t="s">
        <v>212</v>
      </c>
      <c r="C38" s="100" t="s">
        <v>213</v>
      </c>
      <c r="D38" s="101" t="str">
        <f>MID(B38,FIND(CHAR(160),SUBSTITUTE(B38,"-",CHAR(160),3)) + 1,FIND(CHAR(160),SUBSTITUTE(B38,"-",CHAR(160),4)) - 1 - (FIND(CHAR(160),SUBSTITUTE(B38,"-",CHAR(160),3))))</f>
        <v>DATA</v>
      </c>
      <c r="E38" s="101" t="s">
        <v>214</v>
      </c>
      <c r="F38" s="102">
        <v>1116.0</v>
      </c>
      <c r="G38" s="517" t="s">
        <v>214</v>
      </c>
      <c r="H38" s="517">
        <v>1116.0</v>
      </c>
      <c r="I38" s="68" t="str">
        <f>IFERROR(VLOOKUP(C:C,'R22 RELATÓRIO ACC'!B:F,5,FALSE),"NOT PUBLISHED")</f>
        <v>V15</v>
      </c>
      <c r="J38" s="68" t="str">
        <f>IFERROR(VLOOKUP(C:C,'R22 RELATÓRIO ACC'!B:P,15,FALSE),"NOT PUBLISHED")</f>
        <v>15/04/2026</v>
      </c>
      <c r="K38" s="70" t="str">
        <f>IFERROR(VLOOKUP(B:B,'RELATÓRIO ACC'!B:F,5,FALSE),"NOT PUBLISHED")</f>
        <v>V2</v>
      </c>
      <c r="L38" s="518" t="str">
        <f>IFERROR(VLOOKUP(B:B,'RELATÓRIO ACC'!B:P,15,FALSE),"NOT PUBLISHED")</f>
        <v>02/06/2026</v>
      </c>
      <c r="M38" s="661" t="s">
        <v>414</v>
      </c>
      <c r="N38" s="662">
        <v>46000.0</v>
      </c>
      <c r="O38" s="538" t="s">
        <v>410</v>
      </c>
      <c r="P38" s="663"/>
      <c r="Q38" s="550" t="s">
        <v>381</v>
      </c>
      <c r="R38" s="550" t="s">
        <v>421</v>
      </c>
      <c r="S38" s="667">
        <v>0.03</v>
      </c>
      <c r="T38" s="550" t="s">
        <v>379</v>
      </c>
      <c r="U38" s="550">
        <v>0.0</v>
      </c>
      <c r="V38" s="550" t="s">
        <v>379</v>
      </c>
      <c r="W38" s="550" t="s">
        <v>379</v>
      </c>
      <c r="X38" s="550">
        <v>0.0</v>
      </c>
      <c r="Y38" s="550" t="s">
        <v>379</v>
      </c>
      <c r="Z38" s="550" t="s">
        <v>381</v>
      </c>
      <c r="AA38" s="550" t="s">
        <v>384</v>
      </c>
      <c r="AB38" s="667">
        <v>0.53</v>
      </c>
      <c r="AC38" s="550" t="s">
        <v>381</v>
      </c>
      <c r="AD38" s="550" t="s">
        <v>385</v>
      </c>
      <c r="AE38" s="667">
        <v>0.63</v>
      </c>
      <c r="AF38" s="690" t="s">
        <v>383</v>
      </c>
      <c r="AG38" s="550" t="s">
        <v>385</v>
      </c>
      <c r="AH38" s="690" t="s">
        <v>383</v>
      </c>
      <c r="AI38" s="690" t="s">
        <v>381</v>
      </c>
      <c r="AJ38" s="550" t="s">
        <v>431</v>
      </c>
      <c r="AK38" s="664">
        <v>0.86</v>
      </c>
      <c r="AL38" s="550" t="s">
        <v>383</v>
      </c>
      <c r="AM38" s="550" t="s">
        <v>431</v>
      </c>
      <c r="AN38" s="550" t="s">
        <v>383</v>
      </c>
      <c r="AO38" s="550" t="s">
        <v>386</v>
      </c>
      <c r="AP38" s="550" t="s">
        <v>414</v>
      </c>
      <c r="AQ38" s="664">
        <v>1.0</v>
      </c>
      <c r="AR38" s="550" t="s">
        <v>413</v>
      </c>
      <c r="AS38" s="550" t="s">
        <v>414</v>
      </c>
      <c r="AT38" s="664">
        <v>1.0</v>
      </c>
      <c r="AU38" s="550" t="s">
        <v>413</v>
      </c>
      <c r="AV38" s="550" t="s">
        <v>414</v>
      </c>
      <c r="AW38" s="664">
        <v>1.0</v>
      </c>
      <c r="AX38" s="550" t="s">
        <v>413</v>
      </c>
      <c r="AY38" s="550" t="s">
        <v>414</v>
      </c>
      <c r="AZ38" s="664">
        <v>1.0</v>
      </c>
      <c r="BA38" s="550" t="s">
        <v>413</v>
      </c>
      <c r="BB38" s="550" t="s">
        <v>414</v>
      </c>
      <c r="BC38" s="664">
        <v>1.0</v>
      </c>
      <c r="BD38" s="550" t="s">
        <v>413</v>
      </c>
      <c r="BE38" s="550" t="s">
        <v>414</v>
      </c>
      <c r="BF38" s="664">
        <v>1.0</v>
      </c>
      <c r="BG38" s="550" t="s">
        <v>413</v>
      </c>
      <c r="BH38" s="550" t="s">
        <v>414</v>
      </c>
      <c r="BI38" s="664">
        <v>1.0</v>
      </c>
      <c r="BJ38" s="550" t="s">
        <v>413</v>
      </c>
      <c r="BK38" s="550" t="s">
        <v>414</v>
      </c>
      <c r="BL38" s="664">
        <v>1.0</v>
      </c>
      <c r="BM38" s="550" t="s">
        <v>413</v>
      </c>
      <c r="BN38" s="550" t="s">
        <v>414</v>
      </c>
      <c r="BO38" s="664">
        <v>1.0</v>
      </c>
      <c r="BP38" s="550" t="s">
        <v>413</v>
      </c>
      <c r="BQ38" s="550" t="s">
        <v>414</v>
      </c>
      <c r="BR38" s="664">
        <v>1.0</v>
      </c>
      <c r="BS38" s="550" t="s">
        <v>413</v>
      </c>
      <c r="BT38" s="550" t="s">
        <v>414</v>
      </c>
      <c r="BU38" s="691">
        <v>1.0</v>
      </c>
      <c r="BV38" s="673" t="s">
        <v>413</v>
      </c>
      <c r="BW38" s="673" t="s">
        <v>414</v>
      </c>
      <c r="BX38" s="683">
        <v>1.0</v>
      </c>
      <c r="BY38" s="673" t="s">
        <v>413</v>
      </c>
      <c r="BZ38" s="673" t="s">
        <v>414</v>
      </c>
      <c r="CA38" s="683">
        <v>1.0</v>
      </c>
      <c r="CB38" s="673" t="s">
        <v>413</v>
      </c>
      <c r="CC38" s="673" t="s">
        <v>414</v>
      </c>
      <c r="CD38" s="683">
        <v>1.0</v>
      </c>
      <c r="CE38" s="673" t="s">
        <v>413</v>
      </c>
      <c r="CF38" s="673" t="s">
        <v>414</v>
      </c>
      <c r="CG38" s="683">
        <v>1.0</v>
      </c>
      <c r="CH38" s="673" t="s">
        <v>413</v>
      </c>
      <c r="CI38" s="673" t="s">
        <v>414</v>
      </c>
      <c r="CJ38" s="683">
        <v>1.0</v>
      </c>
      <c r="CK38" s="673" t="s">
        <v>413</v>
      </c>
      <c r="CL38" s="673" t="s">
        <v>414</v>
      </c>
      <c r="CM38" s="683">
        <v>1.0</v>
      </c>
      <c r="CN38" s="673" t="s">
        <v>413</v>
      </c>
      <c r="CO38" s="673" t="s">
        <v>414</v>
      </c>
      <c r="CP38" s="683">
        <v>1.0</v>
      </c>
      <c r="CQ38" s="673" t="s">
        <v>413</v>
      </c>
      <c r="CR38" s="673" t="s">
        <v>414</v>
      </c>
      <c r="CS38" s="683">
        <v>1.0</v>
      </c>
      <c r="CT38" s="673" t="s">
        <v>413</v>
      </c>
      <c r="CU38" s="673" t="s">
        <v>414</v>
      </c>
      <c r="CV38" s="683">
        <v>1.0</v>
      </c>
      <c r="CW38" s="673" t="s">
        <v>413</v>
      </c>
      <c r="CX38" s="673" t="s">
        <v>414</v>
      </c>
      <c r="CY38" s="683">
        <v>1.0</v>
      </c>
      <c r="CZ38" s="673" t="s">
        <v>413</v>
      </c>
      <c r="DA38" s="673" t="s">
        <v>414</v>
      </c>
      <c r="DB38" s="683">
        <v>1.0</v>
      </c>
      <c r="DC38" s="673" t="s">
        <v>413</v>
      </c>
      <c r="DD38" s="673" t="s">
        <v>414</v>
      </c>
      <c r="DE38" s="683">
        <v>1.0</v>
      </c>
      <c r="DF38" s="673" t="s">
        <v>413</v>
      </c>
      <c r="DG38" s="673" t="s">
        <v>414</v>
      </c>
      <c r="DH38" s="683">
        <v>1.0</v>
      </c>
      <c r="DI38" s="673" t="s">
        <v>413</v>
      </c>
      <c r="DJ38" s="673" t="s">
        <v>414</v>
      </c>
      <c r="DK38" s="683">
        <v>1.0</v>
      </c>
      <c r="DL38" s="673" t="s">
        <v>413</v>
      </c>
      <c r="DM38" s="673" t="s">
        <v>414</v>
      </c>
      <c r="DN38" s="683">
        <v>1.0</v>
      </c>
    </row>
    <row r="39" ht="15.0" hidden="1" customHeight="1">
      <c r="A39" s="53">
        <v>38.0</v>
      </c>
      <c r="B39" s="188" t="s">
        <v>201</v>
      </c>
      <c r="C39" s="189"/>
      <c r="D39" s="190"/>
      <c r="E39" s="190"/>
      <c r="F39" s="190"/>
      <c r="G39" s="190"/>
      <c r="H39" s="192"/>
      <c r="I39" s="190"/>
      <c r="J39" s="190"/>
      <c r="K39" s="193"/>
      <c r="L39" s="192"/>
      <c r="M39" s="692"/>
      <c r="N39" s="692"/>
      <c r="O39" s="692"/>
      <c r="P39" s="663"/>
      <c r="Q39" s="601"/>
      <c r="R39" s="601"/>
      <c r="S39" s="693"/>
      <c r="T39" s="601"/>
      <c r="U39" s="601"/>
      <c r="V39" s="693"/>
      <c r="W39" s="601"/>
      <c r="X39" s="601"/>
      <c r="Y39" s="693"/>
      <c r="Z39" s="601"/>
      <c r="AA39" s="601"/>
      <c r="AB39" s="693"/>
      <c r="AC39" s="601"/>
      <c r="AD39" s="601"/>
      <c r="AE39" s="693"/>
      <c r="AF39" s="693"/>
      <c r="AG39" s="693"/>
      <c r="AH39" s="693"/>
      <c r="AI39" s="693"/>
      <c r="AJ39" s="693"/>
      <c r="AK39" s="693"/>
      <c r="AL39" s="693"/>
      <c r="AM39" s="693"/>
      <c r="AN39" s="693"/>
      <c r="AO39" s="693"/>
      <c r="AP39" s="693"/>
      <c r="AQ39" s="693"/>
      <c r="AR39" s="693"/>
      <c r="AS39" s="693"/>
      <c r="AT39" s="693"/>
      <c r="AU39" s="693"/>
      <c r="AV39" s="693"/>
      <c r="AW39" s="693"/>
      <c r="AX39" s="693"/>
      <c r="AY39" s="693"/>
      <c r="AZ39" s="693"/>
      <c r="BA39" s="693"/>
      <c r="BB39" s="693"/>
      <c r="BC39" s="693"/>
      <c r="BD39" s="693"/>
      <c r="BE39" s="693"/>
      <c r="BF39" s="693"/>
      <c r="BG39" s="693"/>
      <c r="BH39" s="693"/>
      <c r="BI39" s="693"/>
      <c r="BJ39" s="693"/>
      <c r="BK39" s="693"/>
      <c r="BL39" s="693"/>
      <c r="BM39" s="693"/>
      <c r="BN39" s="693"/>
      <c r="BO39" s="693"/>
      <c r="BP39" s="693"/>
      <c r="BQ39" s="693"/>
      <c r="BR39" s="693"/>
      <c r="BS39" s="693"/>
      <c r="BT39" s="693"/>
      <c r="BU39" s="694"/>
      <c r="BV39" s="695"/>
      <c r="BW39" s="695"/>
      <c r="BX39" s="695"/>
      <c r="BY39" s="695"/>
      <c r="BZ39" s="695"/>
      <c r="CA39" s="695"/>
      <c r="CB39" s="695"/>
      <c r="CC39" s="695"/>
      <c r="CD39" s="695"/>
      <c r="CE39" s="695"/>
      <c r="CF39" s="695"/>
      <c r="CG39" s="695"/>
      <c r="CH39" s="603"/>
      <c r="CI39" s="603"/>
      <c r="CJ39" s="603"/>
      <c r="CK39" s="603"/>
      <c r="CL39" s="603"/>
      <c r="CM39" s="603"/>
      <c r="CN39" s="603"/>
      <c r="CO39" s="603"/>
      <c r="CP39" s="603"/>
      <c r="CQ39" s="603"/>
      <c r="CR39" s="603"/>
      <c r="CS39" s="603"/>
      <c r="CT39" s="603"/>
      <c r="CU39" s="603"/>
      <c r="CV39" s="603"/>
      <c r="CW39" s="603"/>
      <c r="CX39" s="603"/>
      <c r="CY39" s="603"/>
      <c r="CZ39" s="603"/>
      <c r="DA39" s="603"/>
      <c r="DB39" s="603"/>
      <c r="DC39" s="603"/>
      <c r="DD39" s="603"/>
      <c r="DE39" s="603"/>
      <c r="DF39" s="603"/>
      <c r="DG39" s="603"/>
      <c r="DH39" s="603"/>
      <c r="DI39" s="603"/>
      <c r="DJ39" s="603"/>
      <c r="DK39" s="603"/>
      <c r="DL39" s="603"/>
      <c r="DM39" s="603"/>
      <c r="DN39" s="603"/>
    </row>
    <row r="40" ht="15.0" customHeight="1">
      <c r="A40" s="53">
        <v>23.0</v>
      </c>
      <c r="B40" s="100" t="s">
        <v>159</v>
      </c>
      <c r="C40" s="100" t="s">
        <v>160</v>
      </c>
      <c r="D40" s="101" t="str">
        <f>MID(B40,FIND(CHAR(160),SUBSTITUTE(B40,"-",CHAR(160),3)) + 1,FIND(CHAR(160),SUBSTITUTE(B40,"-",CHAR(160),4)) - 1 - (FIND(CHAR(160),SUBSTITUTE(B40,"-",CHAR(160),3))))</f>
        <v>DATA</v>
      </c>
      <c r="E40" s="101" t="s">
        <v>161</v>
      </c>
      <c r="F40" s="102">
        <v>1113.0</v>
      </c>
      <c r="G40" s="517" t="s">
        <v>161</v>
      </c>
      <c r="H40" s="517">
        <v>1113.0</v>
      </c>
      <c r="I40" s="68" t="str">
        <f>IFERROR(VLOOKUP(C:C,'R22 RELATÓRIO ACC'!B:F,5,FALSE),"NOT PUBLISHED")</f>
        <v>V28</v>
      </c>
      <c r="J40" s="68" t="str">
        <f>IFERROR(VLOOKUP(C:C,'R22 RELATÓRIO ACC'!B:P,15,FALSE),"NOT PUBLISHED")</f>
        <v>16/04/2026</v>
      </c>
      <c r="K40" s="70" t="str">
        <f>IFERROR(VLOOKUP(B:B,'RELATÓRIO ACC'!B:F,5,FALSE),"NOT PUBLISHED")</f>
        <v>V4</v>
      </c>
      <c r="L40" s="518" t="str">
        <f>IFERROR(VLOOKUP(B:B,'RELATÓRIO ACC'!B:P,15,FALSE),"NOT PUBLISHED")</f>
        <v>26/06/2026</v>
      </c>
      <c r="M40" s="661" t="s">
        <v>422</v>
      </c>
      <c r="N40" s="662">
        <v>45996.0</v>
      </c>
      <c r="O40" s="538" t="s">
        <v>410</v>
      </c>
      <c r="P40" s="663"/>
      <c r="Q40" s="550" t="s">
        <v>381</v>
      </c>
      <c r="R40" s="550" t="s">
        <v>421</v>
      </c>
      <c r="S40" s="667">
        <v>0.01</v>
      </c>
      <c r="T40" s="550" t="s">
        <v>379</v>
      </c>
      <c r="U40" s="550">
        <v>0.0</v>
      </c>
      <c r="V40" s="550" t="s">
        <v>379</v>
      </c>
      <c r="W40" s="550" t="s">
        <v>381</v>
      </c>
      <c r="X40" s="550" t="s">
        <v>421</v>
      </c>
      <c r="Y40" s="667">
        <v>0.07</v>
      </c>
      <c r="Z40" s="550" t="s">
        <v>379</v>
      </c>
      <c r="AA40" s="550" t="s">
        <v>401</v>
      </c>
      <c r="AB40" s="550" t="s">
        <v>379</v>
      </c>
      <c r="AC40" s="550" t="s">
        <v>383</v>
      </c>
      <c r="AD40" s="550" t="s">
        <v>401</v>
      </c>
      <c r="AE40" s="550" t="s">
        <v>383</v>
      </c>
      <c r="AF40" s="550" t="s">
        <v>381</v>
      </c>
      <c r="AG40" s="550" t="s">
        <v>402</v>
      </c>
      <c r="AH40" s="664">
        <v>0.36</v>
      </c>
      <c r="AI40" s="550" t="s">
        <v>379</v>
      </c>
      <c r="AJ40" s="550" t="s">
        <v>402</v>
      </c>
      <c r="AK40" s="550" t="s">
        <v>379</v>
      </c>
      <c r="AL40" s="550" t="s">
        <v>383</v>
      </c>
      <c r="AM40" s="550" t="s">
        <v>402</v>
      </c>
      <c r="AN40" s="550" t="s">
        <v>383</v>
      </c>
      <c r="AO40" s="550" t="s">
        <v>386</v>
      </c>
      <c r="AP40" s="550" t="s">
        <v>422</v>
      </c>
      <c r="AQ40" s="664">
        <v>1.0</v>
      </c>
      <c r="AR40" s="550" t="s">
        <v>413</v>
      </c>
      <c r="AS40" s="550" t="s">
        <v>422</v>
      </c>
      <c r="AT40" s="664">
        <v>1.0</v>
      </c>
      <c r="AU40" s="550" t="s">
        <v>413</v>
      </c>
      <c r="AV40" s="550" t="s">
        <v>422</v>
      </c>
      <c r="AW40" s="664">
        <v>1.0</v>
      </c>
      <c r="AX40" s="550" t="s">
        <v>413</v>
      </c>
      <c r="AY40" s="550" t="s">
        <v>422</v>
      </c>
      <c r="AZ40" s="664">
        <v>1.0</v>
      </c>
      <c r="BA40" s="550" t="s">
        <v>413</v>
      </c>
      <c r="BB40" s="550" t="s">
        <v>422</v>
      </c>
      <c r="BC40" s="664">
        <v>1.0</v>
      </c>
      <c r="BD40" s="550" t="s">
        <v>413</v>
      </c>
      <c r="BE40" s="550" t="s">
        <v>422</v>
      </c>
      <c r="BF40" s="664">
        <v>1.0</v>
      </c>
      <c r="BG40" s="550" t="s">
        <v>413</v>
      </c>
      <c r="BH40" s="550" t="s">
        <v>422</v>
      </c>
      <c r="BI40" s="664">
        <v>1.0</v>
      </c>
      <c r="BJ40" s="550" t="s">
        <v>413</v>
      </c>
      <c r="BK40" s="550" t="s">
        <v>422</v>
      </c>
      <c r="BL40" s="664">
        <v>1.0</v>
      </c>
      <c r="BM40" s="550" t="s">
        <v>413</v>
      </c>
      <c r="BN40" s="550" t="s">
        <v>422</v>
      </c>
      <c r="BO40" s="664">
        <v>1.0</v>
      </c>
      <c r="BP40" s="550" t="s">
        <v>413</v>
      </c>
      <c r="BQ40" s="550" t="s">
        <v>422</v>
      </c>
      <c r="BR40" s="664">
        <v>1.0</v>
      </c>
      <c r="BS40" s="550" t="s">
        <v>413</v>
      </c>
      <c r="BT40" s="550" t="s">
        <v>422</v>
      </c>
      <c r="BU40" s="691">
        <v>1.0</v>
      </c>
      <c r="BV40" s="673" t="s">
        <v>413</v>
      </c>
      <c r="BW40" s="673" t="s">
        <v>422</v>
      </c>
      <c r="BX40" s="683">
        <v>1.0</v>
      </c>
      <c r="BY40" s="673" t="s">
        <v>413</v>
      </c>
      <c r="BZ40" s="673" t="s">
        <v>422</v>
      </c>
      <c r="CA40" s="683">
        <v>1.0</v>
      </c>
      <c r="CB40" s="673" t="s">
        <v>413</v>
      </c>
      <c r="CC40" s="673" t="s">
        <v>422</v>
      </c>
      <c r="CD40" s="683">
        <v>1.0</v>
      </c>
      <c r="CE40" s="673" t="s">
        <v>413</v>
      </c>
      <c r="CF40" s="673" t="s">
        <v>422</v>
      </c>
      <c r="CG40" s="683">
        <v>1.0</v>
      </c>
      <c r="CH40" s="673" t="s">
        <v>413</v>
      </c>
      <c r="CI40" s="673" t="s">
        <v>422</v>
      </c>
      <c r="CJ40" s="683">
        <v>1.0</v>
      </c>
      <c r="CK40" s="673" t="s">
        <v>413</v>
      </c>
      <c r="CL40" s="673" t="s">
        <v>422</v>
      </c>
      <c r="CM40" s="683">
        <v>1.0</v>
      </c>
      <c r="CN40" s="673" t="s">
        <v>413</v>
      </c>
      <c r="CO40" s="673" t="s">
        <v>422</v>
      </c>
      <c r="CP40" s="683">
        <v>1.0</v>
      </c>
      <c r="CQ40" s="673" t="s">
        <v>413</v>
      </c>
      <c r="CR40" s="673" t="s">
        <v>422</v>
      </c>
      <c r="CS40" s="683">
        <v>1.0</v>
      </c>
      <c r="CT40" s="673" t="s">
        <v>413</v>
      </c>
      <c r="CU40" s="673" t="s">
        <v>422</v>
      </c>
      <c r="CV40" s="683">
        <v>1.0</v>
      </c>
      <c r="CW40" s="673" t="s">
        <v>413</v>
      </c>
      <c r="CX40" s="673" t="s">
        <v>422</v>
      </c>
      <c r="CY40" s="683">
        <v>1.0</v>
      </c>
      <c r="CZ40" s="673" t="s">
        <v>413</v>
      </c>
      <c r="DA40" s="673" t="s">
        <v>422</v>
      </c>
      <c r="DB40" s="683">
        <v>1.0</v>
      </c>
      <c r="DC40" s="673" t="s">
        <v>413</v>
      </c>
      <c r="DD40" s="673" t="s">
        <v>422</v>
      </c>
      <c r="DE40" s="683">
        <v>1.0</v>
      </c>
      <c r="DF40" s="673" t="s">
        <v>413</v>
      </c>
      <c r="DG40" s="673" t="s">
        <v>422</v>
      </c>
      <c r="DH40" s="683">
        <v>1.0</v>
      </c>
      <c r="DI40" s="673" t="s">
        <v>413</v>
      </c>
      <c r="DJ40" s="673" t="s">
        <v>422</v>
      </c>
      <c r="DK40" s="683">
        <v>1.0</v>
      </c>
      <c r="DL40" s="673" t="s">
        <v>413</v>
      </c>
      <c r="DM40" s="673" t="s">
        <v>422</v>
      </c>
      <c r="DN40" s="683">
        <v>1.0</v>
      </c>
    </row>
    <row r="41" ht="15.0" hidden="1" customHeight="1">
      <c r="A41" s="53">
        <v>40.0</v>
      </c>
      <c r="B41" s="209" t="s">
        <v>206</v>
      </c>
      <c r="C41" s="210"/>
      <c r="D41" s="211"/>
      <c r="E41" s="211"/>
      <c r="F41" s="211"/>
      <c r="G41" s="211"/>
      <c r="H41" s="213"/>
      <c r="I41" s="211"/>
      <c r="J41" s="211"/>
      <c r="K41" s="214"/>
      <c r="L41" s="211"/>
      <c r="M41" s="696"/>
      <c r="N41" s="696"/>
      <c r="O41" s="696"/>
      <c r="P41" s="663"/>
      <c r="Q41" s="608"/>
      <c r="R41" s="608"/>
      <c r="S41" s="697"/>
      <c r="T41" s="608"/>
      <c r="U41" s="608"/>
      <c r="V41" s="697"/>
      <c r="W41" s="608"/>
      <c r="X41" s="608"/>
      <c r="Y41" s="697"/>
      <c r="Z41" s="608"/>
      <c r="AA41" s="608"/>
      <c r="AB41" s="697"/>
      <c r="AC41" s="608"/>
      <c r="AD41" s="608"/>
      <c r="AE41" s="697"/>
      <c r="AF41" s="697"/>
      <c r="AG41" s="697"/>
      <c r="AH41" s="697"/>
      <c r="AI41" s="697"/>
      <c r="AJ41" s="697"/>
      <c r="AK41" s="697"/>
      <c r="AL41" s="697"/>
      <c r="AM41" s="697"/>
      <c r="AN41" s="697"/>
      <c r="AO41" s="697"/>
      <c r="AP41" s="697"/>
      <c r="AQ41" s="697"/>
      <c r="AR41" s="697"/>
      <c r="AS41" s="697"/>
      <c r="AT41" s="697"/>
      <c r="AU41" s="697"/>
      <c r="AV41" s="697"/>
      <c r="AW41" s="697"/>
      <c r="AX41" s="697"/>
      <c r="AY41" s="697"/>
      <c r="AZ41" s="697"/>
      <c r="BA41" s="697"/>
      <c r="BB41" s="697"/>
      <c r="BC41" s="697"/>
      <c r="BD41" s="697"/>
      <c r="BE41" s="697"/>
      <c r="BF41" s="697"/>
      <c r="BG41" s="697"/>
      <c r="BH41" s="697"/>
      <c r="BI41" s="697"/>
      <c r="BJ41" s="697"/>
      <c r="BK41" s="697"/>
      <c r="BL41" s="697"/>
      <c r="BM41" s="697"/>
      <c r="BN41" s="697"/>
      <c r="BO41" s="697"/>
      <c r="BP41" s="697"/>
      <c r="BQ41" s="697"/>
      <c r="BR41" s="697"/>
      <c r="BS41" s="697"/>
      <c r="BT41" s="697"/>
      <c r="BU41" s="698"/>
      <c r="BV41" s="699"/>
      <c r="BW41" s="699"/>
      <c r="BX41" s="699"/>
      <c r="BY41" s="699"/>
      <c r="BZ41" s="699"/>
      <c r="CA41" s="699"/>
      <c r="CB41" s="699"/>
      <c r="CC41" s="699"/>
      <c r="CD41" s="699"/>
      <c r="CE41" s="699"/>
      <c r="CF41" s="699"/>
      <c r="CG41" s="699"/>
      <c r="CH41" s="610"/>
      <c r="CI41" s="610"/>
      <c r="CJ41" s="610"/>
      <c r="CK41" s="610"/>
      <c r="CL41" s="610"/>
      <c r="CM41" s="610"/>
      <c r="CN41" s="610"/>
      <c r="CO41" s="610"/>
      <c r="CP41" s="610"/>
      <c r="CQ41" s="610"/>
      <c r="CR41" s="610"/>
      <c r="CS41" s="610"/>
      <c r="CT41" s="610"/>
      <c r="CU41" s="610"/>
      <c r="CV41" s="610"/>
      <c r="CW41" s="610"/>
      <c r="CX41" s="610"/>
      <c r="CY41" s="610"/>
      <c r="CZ41" s="610"/>
      <c r="DA41" s="610"/>
      <c r="DB41" s="610"/>
      <c r="DC41" s="610"/>
      <c r="DD41" s="610"/>
      <c r="DE41" s="610"/>
      <c r="DF41" s="610"/>
      <c r="DG41" s="610"/>
      <c r="DH41" s="610"/>
      <c r="DI41" s="610"/>
      <c r="DJ41" s="610"/>
      <c r="DK41" s="610"/>
      <c r="DL41" s="610"/>
      <c r="DM41" s="610"/>
      <c r="DN41" s="610"/>
    </row>
    <row r="42" ht="15.0" customHeight="1">
      <c r="A42" s="53">
        <v>39.0</v>
      </c>
      <c r="B42" s="145" t="s">
        <v>204</v>
      </c>
      <c r="C42" s="145" t="s">
        <v>205</v>
      </c>
      <c r="D42" s="101" t="str">
        <f>MID(B42,FIND(CHAR(160),SUBSTITUTE(B42,"-",CHAR(160),3)) + 1,FIND(CHAR(160),SUBSTITUTE(B42,"-",CHAR(160),4)) - 1 - (FIND(CHAR(160),SUBSTITUTE(B42,"-",CHAR(160),3))))</f>
        <v>DATA</v>
      </c>
      <c r="E42" s="101" t="s">
        <v>154</v>
      </c>
      <c r="F42" s="102">
        <v>1112.0</v>
      </c>
      <c r="G42" s="101" t="s">
        <v>155</v>
      </c>
      <c r="H42" s="517">
        <v>1129.0</v>
      </c>
      <c r="I42" s="68" t="str">
        <f>IFERROR(VLOOKUP(C:C,'R22 RELATÓRIO ACC'!B:F,5,FALSE),"NOT PUBLISHED")</f>
        <v>V52</v>
      </c>
      <c r="J42" s="68" t="str">
        <f>IFERROR(VLOOKUP(C:C,'R22 RELATÓRIO ACC'!B:P,15,FALSE),"NOT PUBLISHED")</f>
        <v>30/04/2026</v>
      </c>
      <c r="K42" s="70" t="str">
        <f>IFERROR(VLOOKUP(B:B,'RELATÓRIO ACC'!B:F,5,FALSE),"NOT PUBLISHED")</f>
        <v>V4</v>
      </c>
      <c r="L42" s="518" t="str">
        <f>IFERROR(VLOOKUP(B:B,'RELATÓRIO ACC'!B:P,15,FALSE),"NOT PUBLISHED")</f>
        <v>06/07/2026</v>
      </c>
      <c r="M42" s="661" t="s">
        <v>440</v>
      </c>
      <c r="N42" s="668" t="s">
        <v>435</v>
      </c>
      <c r="O42" s="538" t="s">
        <v>410</v>
      </c>
      <c r="P42" s="663" t="s">
        <v>461</v>
      </c>
      <c r="Q42" s="550" t="s">
        <v>381</v>
      </c>
      <c r="R42" s="550" t="s">
        <v>421</v>
      </c>
      <c r="S42" s="667">
        <v>0.09</v>
      </c>
      <c r="T42" s="550" t="s">
        <v>379</v>
      </c>
      <c r="U42" s="550">
        <v>0.0</v>
      </c>
      <c r="V42" s="550" t="s">
        <v>379</v>
      </c>
      <c r="W42" s="550" t="s">
        <v>381</v>
      </c>
      <c r="X42" s="550" t="s">
        <v>421</v>
      </c>
      <c r="Y42" s="667">
        <v>0.19</v>
      </c>
      <c r="Z42" s="550" t="s">
        <v>383</v>
      </c>
      <c r="AA42" s="550" t="s">
        <v>429</v>
      </c>
      <c r="AB42" s="550" t="s">
        <v>383</v>
      </c>
      <c r="AC42" s="550" t="s">
        <v>381</v>
      </c>
      <c r="AD42" s="550" t="s">
        <v>431</v>
      </c>
      <c r="AE42" s="667">
        <v>0.38</v>
      </c>
      <c r="AF42" s="550" t="s">
        <v>398</v>
      </c>
      <c r="AG42" s="550" t="s">
        <v>442</v>
      </c>
      <c r="AH42" s="550" t="s">
        <v>398</v>
      </c>
      <c r="AI42" s="550" t="s">
        <v>383</v>
      </c>
      <c r="AJ42" s="550" t="s">
        <v>431</v>
      </c>
      <c r="AK42" s="550" t="s">
        <v>383</v>
      </c>
      <c r="AL42" s="550" t="s">
        <v>381</v>
      </c>
      <c r="AM42" s="550" t="s">
        <v>443</v>
      </c>
      <c r="AN42" s="671">
        <v>0.44</v>
      </c>
      <c r="AO42" s="550" t="s">
        <v>381</v>
      </c>
      <c r="AP42" s="550" t="s">
        <v>444</v>
      </c>
      <c r="AQ42" s="671">
        <v>0.96</v>
      </c>
      <c r="AR42" s="550" t="s">
        <v>386</v>
      </c>
      <c r="AS42" s="550" t="s">
        <v>444</v>
      </c>
      <c r="AT42" s="671">
        <v>1.0</v>
      </c>
      <c r="AU42" s="550" t="s">
        <v>413</v>
      </c>
      <c r="AV42" s="550" t="s">
        <v>444</v>
      </c>
      <c r="AW42" s="671">
        <v>1.0</v>
      </c>
      <c r="AX42" s="550" t="s">
        <v>413</v>
      </c>
      <c r="AY42" s="550" t="s">
        <v>444</v>
      </c>
      <c r="AZ42" s="671">
        <v>1.0</v>
      </c>
      <c r="BA42" s="550" t="s">
        <v>413</v>
      </c>
      <c r="BB42" s="550" t="s">
        <v>444</v>
      </c>
      <c r="BC42" s="671">
        <v>1.0</v>
      </c>
      <c r="BD42" s="550" t="s">
        <v>413</v>
      </c>
      <c r="BE42" s="550" t="s">
        <v>444</v>
      </c>
      <c r="BF42" s="671">
        <v>1.0</v>
      </c>
      <c r="BG42" s="550" t="s">
        <v>413</v>
      </c>
      <c r="BH42" s="550" t="s">
        <v>444</v>
      </c>
      <c r="BI42" s="671">
        <v>1.0</v>
      </c>
      <c r="BJ42" s="550" t="s">
        <v>413</v>
      </c>
      <c r="BK42" s="550" t="s">
        <v>444</v>
      </c>
      <c r="BL42" s="671">
        <v>1.0</v>
      </c>
      <c r="BM42" s="550" t="s">
        <v>413</v>
      </c>
      <c r="BN42" s="550" t="s">
        <v>444</v>
      </c>
      <c r="BO42" s="671">
        <v>1.0</v>
      </c>
      <c r="BP42" s="550" t="s">
        <v>413</v>
      </c>
      <c r="BQ42" s="550" t="s">
        <v>444</v>
      </c>
      <c r="BR42" s="671">
        <v>1.0</v>
      </c>
      <c r="BS42" s="550" t="s">
        <v>413</v>
      </c>
      <c r="BT42" s="550" t="s">
        <v>444</v>
      </c>
      <c r="BU42" s="688">
        <v>1.0</v>
      </c>
      <c r="BV42" s="673" t="s">
        <v>413</v>
      </c>
      <c r="BW42" s="673" t="s">
        <v>444</v>
      </c>
      <c r="BX42" s="678">
        <v>1.0</v>
      </c>
      <c r="BY42" s="673" t="s">
        <v>413</v>
      </c>
      <c r="BZ42" s="673" t="s">
        <v>444</v>
      </c>
      <c r="CA42" s="678">
        <v>1.0</v>
      </c>
      <c r="CB42" s="673" t="s">
        <v>413</v>
      </c>
      <c r="CC42" s="673" t="s">
        <v>444</v>
      </c>
      <c r="CD42" s="678">
        <v>1.0</v>
      </c>
      <c r="CE42" s="673" t="s">
        <v>413</v>
      </c>
      <c r="CF42" s="673" t="s">
        <v>444</v>
      </c>
      <c r="CG42" s="678">
        <v>1.0</v>
      </c>
      <c r="CH42" s="673" t="s">
        <v>413</v>
      </c>
      <c r="CI42" s="673" t="s">
        <v>444</v>
      </c>
      <c r="CJ42" s="678">
        <v>1.0</v>
      </c>
      <c r="CK42" s="673" t="s">
        <v>413</v>
      </c>
      <c r="CL42" s="673" t="s">
        <v>444</v>
      </c>
      <c r="CM42" s="678">
        <v>1.0</v>
      </c>
      <c r="CN42" s="673" t="s">
        <v>413</v>
      </c>
      <c r="CO42" s="673" t="s">
        <v>444</v>
      </c>
      <c r="CP42" s="678">
        <v>1.0</v>
      </c>
      <c r="CQ42" s="673" t="s">
        <v>413</v>
      </c>
      <c r="CR42" s="673" t="s">
        <v>444</v>
      </c>
      <c r="CS42" s="678">
        <v>1.0</v>
      </c>
      <c r="CT42" s="673" t="s">
        <v>413</v>
      </c>
      <c r="CU42" s="673" t="s">
        <v>444</v>
      </c>
      <c r="CV42" s="678">
        <v>1.0</v>
      </c>
      <c r="CW42" s="673" t="s">
        <v>413</v>
      </c>
      <c r="CX42" s="673" t="s">
        <v>444</v>
      </c>
      <c r="CY42" s="678">
        <v>1.0</v>
      </c>
      <c r="CZ42" s="673" t="s">
        <v>413</v>
      </c>
      <c r="DA42" s="673" t="s">
        <v>444</v>
      </c>
      <c r="DB42" s="678">
        <v>1.0</v>
      </c>
      <c r="DC42" s="673" t="s">
        <v>413</v>
      </c>
      <c r="DD42" s="673" t="s">
        <v>444</v>
      </c>
      <c r="DE42" s="678">
        <v>1.0</v>
      </c>
      <c r="DF42" s="673" t="s">
        <v>413</v>
      </c>
      <c r="DG42" s="673" t="s">
        <v>444</v>
      </c>
      <c r="DH42" s="678">
        <v>1.0</v>
      </c>
      <c r="DI42" s="673" t="s">
        <v>413</v>
      </c>
      <c r="DJ42" s="673" t="s">
        <v>444</v>
      </c>
      <c r="DK42" s="678">
        <v>1.0</v>
      </c>
      <c r="DL42" s="673" t="s">
        <v>413</v>
      </c>
      <c r="DM42" s="673" t="s">
        <v>444</v>
      </c>
      <c r="DN42" s="678">
        <v>1.0</v>
      </c>
    </row>
    <row r="43" ht="15.0" hidden="1" customHeight="1">
      <c r="A43" s="53">
        <v>42.0</v>
      </c>
      <c r="B43" s="209" t="s">
        <v>211</v>
      </c>
      <c r="C43" s="210"/>
      <c r="D43" s="211"/>
      <c r="E43" s="211"/>
      <c r="F43" s="211"/>
      <c r="G43" s="211"/>
      <c r="H43" s="213"/>
      <c r="I43" s="211"/>
      <c r="J43" s="211"/>
      <c r="K43" s="214"/>
      <c r="L43" s="211"/>
      <c r="M43" s="696"/>
      <c r="N43" s="696"/>
      <c r="O43" s="696"/>
      <c r="P43" s="663"/>
      <c r="Q43" s="608"/>
      <c r="R43" s="608"/>
      <c r="S43" s="697"/>
      <c r="T43" s="608"/>
      <c r="U43" s="608"/>
      <c r="V43" s="697"/>
      <c r="W43" s="608"/>
      <c r="X43" s="608"/>
      <c r="Y43" s="697"/>
      <c r="Z43" s="608"/>
      <c r="AA43" s="608"/>
      <c r="AB43" s="697"/>
      <c r="AC43" s="608"/>
      <c r="AD43" s="608"/>
      <c r="AE43" s="697"/>
      <c r="AF43" s="697"/>
      <c r="AG43" s="697"/>
      <c r="AH43" s="697"/>
      <c r="AI43" s="697"/>
      <c r="AJ43" s="697"/>
      <c r="AK43" s="697"/>
      <c r="AL43" s="697"/>
      <c r="AM43" s="697"/>
      <c r="AN43" s="697"/>
      <c r="AO43" s="697"/>
      <c r="AP43" s="697"/>
      <c r="AQ43" s="697"/>
      <c r="AR43" s="697"/>
      <c r="AS43" s="697"/>
      <c r="AT43" s="697"/>
      <c r="AU43" s="697"/>
      <c r="AV43" s="697"/>
      <c r="AW43" s="697"/>
      <c r="AX43" s="697"/>
      <c r="AY43" s="697"/>
      <c r="AZ43" s="697"/>
      <c r="BA43" s="697"/>
      <c r="BB43" s="697"/>
      <c r="BC43" s="697"/>
      <c r="BD43" s="697"/>
      <c r="BE43" s="697"/>
      <c r="BF43" s="697"/>
      <c r="BG43" s="697"/>
      <c r="BH43" s="697"/>
      <c r="BI43" s="697"/>
      <c r="BJ43" s="697"/>
      <c r="BK43" s="697"/>
      <c r="BL43" s="697"/>
      <c r="BM43" s="697"/>
      <c r="BN43" s="697"/>
      <c r="BO43" s="697"/>
      <c r="BP43" s="697"/>
      <c r="BQ43" s="697"/>
      <c r="BR43" s="697"/>
      <c r="BS43" s="697"/>
      <c r="BT43" s="697"/>
      <c r="BU43" s="698"/>
      <c r="BV43" s="699"/>
      <c r="BW43" s="699"/>
      <c r="BX43" s="699"/>
      <c r="BY43" s="699"/>
      <c r="BZ43" s="699"/>
      <c r="CA43" s="699"/>
      <c r="CB43" s="699"/>
      <c r="CC43" s="699"/>
      <c r="CD43" s="699"/>
      <c r="CE43" s="699"/>
      <c r="CF43" s="699"/>
      <c r="CG43" s="699"/>
      <c r="CH43" s="610"/>
      <c r="CI43" s="610"/>
      <c r="CJ43" s="610"/>
      <c r="CK43" s="610"/>
      <c r="CL43" s="610"/>
      <c r="CM43" s="610"/>
      <c r="CN43" s="610"/>
      <c r="CO43" s="610"/>
      <c r="CP43" s="610"/>
      <c r="CQ43" s="610"/>
      <c r="CR43" s="610"/>
      <c r="CS43" s="610"/>
      <c r="CT43" s="610"/>
      <c r="CU43" s="610"/>
      <c r="CV43" s="610"/>
      <c r="CW43" s="610"/>
      <c r="CX43" s="610"/>
      <c r="CY43" s="610"/>
      <c r="CZ43" s="610"/>
      <c r="DA43" s="610"/>
      <c r="DB43" s="610"/>
      <c r="DC43" s="610"/>
      <c r="DD43" s="610"/>
      <c r="DE43" s="610"/>
      <c r="DF43" s="610"/>
      <c r="DG43" s="610"/>
      <c r="DH43" s="610"/>
      <c r="DI43" s="610"/>
      <c r="DJ43" s="610"/>
      <c r="DK43" s="610"/>
      <c r="DL43" s="610"/>
      <c r="DM43" s="610"/>
      <c r="DN43" s="610"/>
    </row>
    <row r="44" ht="15.0" customHeight="1">
      <c r="A44" s="53">
        <v>41.0</v>
      </c>
      <c r="B44" s="100" t="s">
        <v>207</v>
      </c>
      <c r="C44" s="100" t="s">
        <v>208</v>
      </c>
      <c r="D44" s="101" t="str">
        <f>MID(B44,FIND(CHAR(160),SUBSTITUTE(B44,"-",CHAR(160),3)) + 1,FIND(CHAR(160),SUBSTITUTE(B44,"-",CHAR(160),4)) - 1 - (FIND(CHAR(160),SUBSTITUTE(B44,"-",CHAR(160),3))))</f>
        <v>DATA</v>
      </c>
      <c r="E44" s="101" t="s">
        <v>154</v>
      </c>
      <c r="F44" s="102">
        <v>1112.0</v>
      </c>
      <c r="G44" s="517" t="s">
        <v>154</v>
      </c>
      <c r="H44" s="517"/>
      <c r="I44" s="68" t="str">
        <f>IFERROR(VLOOKUP(C:C,'R22 RELATÓRIO ACC'!B:F,5,FALSE),"NOT PUBLISHED")</f>
        <v>V13</v>
      </c>
      <c r="J44" s="68" t="str">
        <f>IFERROR(VLOOKUP(C:C,'R22 RELATÓRIO ACC'!B:P,15,FALSE),"NOT PUBLISHED")</f>
        <v>12/05/2026</v>
      </c>
      <c r="K44" s="70" t="str">
        <f>IFERROR(VLOOKUP(B:B,'RELATÓRIO ACC'!B:F,5,FALSE),"NOT PUBLISHED")</f>
        <v>V5</v>
      </c>
      <c r="L44" s="518" t="str">
        <f>IFERROR(VLOOKUP(B:B,'RELATÓRIO ACC'!B:P,15,FALSE),"NOT PUBLISHED")</f>
        <v>13/07/2026</v>
      </c>
      <c r="M44" s="661" t="s">
        <v>411</v>
      </c>
      <c r="N44" s="662">
        <v>46008.0</v>
      </c>
      <c r="O44" s="538" t="s">
        <v>410</v>
      </c>
      <c r="P44" s="663"/>
      <c r="Q44" s="550" t="s">
        <v>388</v>
      </c>
      <c r="R44" s="558" t="s">
        <v>380</v>
      </c>
      <c r="S44" s="550" t="s">
        <v>388</v>
      </c>
      <c r="T44" s="550" t="s">
        <v>388</v>
      </c>
      <c r="U44" s="558" t="s">
        <v>380</v>
      </c>
      <c r="V44" s="550" t="s">
        <v>388</v>
      </c>
      <c r="W44" s="550" t="s">
        <v>388</v>
      </c>
      <c r="X44" s="558" t="s">
        <v>380</v>
      </c>
      <c r="Y44" s="550" t="s">
        <v>388</v>
      </c>
      <c r="Z44" s="550" t="s">
        <v>381</v>
      </c>
      <c r="AA44" s="550" t="s">
        <v>380</v>
      </c>
      <c r="AB44" s="667">
        <v>0.01</v>
      </c>
      <c r="AC44" s="550" t="s">
        <v>398</v>
      </c>
      <c r="AD44" s="550" t="s">
        <v>387</v>
      </c>
      <c r="AE44" s="550" t="s">
        <v>398</v>
      </c>
      <c r="AF44" s="550" t="s">
        <v>381</v>
      </c>
      <c r="AG44" s="550" t="s">
        <v>400</v>
      </c>
      <c r="AH44" s="664">
        <v>0.01</v>
      </c>
      <c r="AI44" s="550" t="s">
        <v>379</v>
      </c>
      <c r="AJ44" s="550" t="s">
        <v>400</v>
      </c>
      <c r="AK44" s="550" t="s">
        <v>379</v>
      </c>
      <c r="AL44" s="550" t="s">
        <v>383</v>
      </c>
      <c r="AM44" s="550" t="s">
        <v>400</v>
      </c>
      <c r="AN44" s="550" t="s">
        <v>383</v>
      </c>
      <c r="AO44" s="550" t="s">
        <v>386</v>
      </c>
      <c r="AP44" s="550" t="s">
        <v>411</v>
      </c>
      <c r="AQ44" s="664">
        <v>1.0</v>
      </c>
      <c r="AR44" s="550" t="s">
        <v>413</v>
      </c>
      <c r="AS44" s="550" t="s">
        <v>411</v>
      </c>
      <c r="AT44" s="664">
        <v>1.0</v>
      </c>
      <c r="AU44" s="550" t="s">
        <v>413</v>
      </c>
      <c r="AV44" s="550" t="s">
        <v>411</v>
      </c>
      <c r="AW44" s="664">
        <v>1.0</v>
      </c>
      <c r="AX44" s="550" t="s">
        <v>413</v>
      </c>
      <c r="AY44" s="550" t="s">
        <v>411</v>
      </c>
      <c r="AZ44" s="664">
        <v>1.0</v>
      </c>
      <c r="BA44" s="550" t="s">
        <v>413</v>
      </c>
      <c r="BB44" s="550" t="s">
        <v>411</v>
      </c>
      <c r="BC44" s="664">
        <v>1.0</v>
      </c>
      <c r="BD44" s="550" t="s">
        <v>413</v>
      </c>
      <c r="BE44" s="550" t="s">
        <v>411</v>
      </c>
      <c r="BF44" s="664">
        <v>1.0</v>
      </c>
      <c r="BG44" s="550" t="s">
        <v>413</v>
      </c>
      <c r="BH44" s="550" t="s">
        <v>411</v>
      </c>
      <c r="BI44" s="664">
        <v>1.0</v>
      </c>
      <c r="BJ44" s="550" t="s">
        <v>413</v>
      </c>
      <c r="BK44" s="550" t="s">
        <v>411</v>
      </c>
      <c r="BL44" s="664">
        <v>1.0</v>
      </c>
      <c r="BM44" s="550" t="s">
        <v>413</v>
      </c>
      <c r="BN44" s="550" t="s">
        <v>411</v>
      </c>
      <c r="BO44" s="664">
        <v>1.0</v>
      </c>
      <c r="BP44" s="550" t="s">
        <v>413</v>
      </c>
      <c r="BQ44" s="550" t="s">
        <v>411</v>
      </c>
      <c r="BR44" s="664">
        <v>1.0</v>
      </c>
      <c r="BS44" s="550" t="s">
        <v>413</v>
      </c>
      <c r="BT44" s="550" t="s">
        <v>411</v>
      </c>
      <c r="BU44" s="691">
        <v>1.0</v>
      </c>
      <c r="BV44" s="673" t="s">
        <v>413</v>
      </c>
      <c r="BW44" s="673" t="s">
        <v>411</v>
      </c>
      <c r="BX44" s="683">
        <v>1.0</v>
      </c>
      <c r="BY44" s="673" t="s">
        <v>413</v>
      </c>
      <c r="BZ44" s="673" t="s">
        <v>411</v>
      </c>
      <c r="CA44" s="683">
        <v>1.0</v>
      </c>
      <c r="CB44" s="673" t="s">
        <v>413</v>
      </c>
      <c r="CC44" s="673" t="s">
        <v>411</v>
      </c>
      <c r="CD44" s="683">
        <v>1.0</v>
      </c>
      <c r="CE44" s="673" t="s">
        <v>413</v>
      </c>
      <c r="CF44" s="673" t="s">
        <v>411</v>
      </c>
      <c r="CG44" s="683">
        <v>1.0</v>
      </c>
      <c r="CH44" s="673" t="s">
        <v>413</v>
      </c>
      <c r="CI44" s="673" t="s">
        <v>411</v>
      </c>
      <c r="CJ44" s="683">
        <v>1.0</v>
      </c>
      <c r="CK44" s="673" t="s">
        <v>413</v>
      </c>
      <c r="CL44" s="673" t="s">
        <v>411</v>
      </c>
      <c r="CM44" s="683">
        <v>1.0</v>
      </c>
      <c r="CN44" s="673" t="s">
        <v>413</v>
      </c>
      <c r="CO44" s="673" t="s">
        <v>411</v>
      </c>
      <c r="CP44" s="683">
        <v>1.0</v>
      </c>
      <c r="CQ44" s="673" t="s">
        <v>413</v>
      </c>
      <c r="CR44" s="673" t="s">
        <v>411</v>
      </c>
      <c r="CS44" s="683">
        <v>1.0</v>
      </c>
      <c r="CT44" s="673" t="s">
        <v>413</v>
      </c>
      <c r="CU44" s="673" t="s">
        <v>411</v>
      </c>
      <c r="CV44" s="683">
        <v>1.0</v>
      </c>
      <c r="CW44" s="673" t="s">
        <v>413</v>
      </c>
      <c r="CX44" s="673" t="s">
        <v>411</v>
      </c>
      <c r="CY44" s="683">
        <v>1.0</v>
      </c>
      <c r="CZ44" s="673" t="s">
        <v>413</v>
      </c>
      <c r="DA44" s="673" t="s">
        <v>411</v>
      </c>
      <c r="DB44" s="683">
        <v>1.0</v>
      </c>
      <c r="DC44" s="673" t="s">
        <v>413</v>
      </c>
      <c r="DD44" s="673" t="s">
        <v>411</v>
      </c>
      <c r="DE44" s="683">
        <v>1.0</v>
      </c>
      <c r="DF44" s="673" t="s">
        <v>413</v>
      </c>
      <c r="DG44" s="673" t="s">
        <v>411</v>
      </c>
      <c r="DH44" s="683">
        <v>1.0</v>
      </c>
      <c r="DI44" s="673" t="s">
        <v>413</v>
      </c>
      <c r="DJ44" s="673" t="s">
        <v>411</v>
      </c>
      <c r="DK44" s="683">
        <v>1.0</v>
      </c>
      <c r="DL44" s="673" t="s">
        <v>413</v>
      </c>
      <c r="DM44" s="673" t="s">
        <v>411</v>
      </c>
      <c r="DN44" s="683">
        <v>1.0</v>
      </c>
    </row>
    <row r="45" ht="15.0" hidden="1" customHeight="1">
      <c r="A45" s="53">
        <v>44.0</v>
      </c>
      <c r="B45" s="230" t="s">
        <v>215</v>
      </c>
      <c r="C45" s="231"/>
      <c r="D45" s="232"/>
      <c r="E45" s="232"/>
      <c r="F45" s="232"/>
      <c r="G45" s="232"/>
      <c r="H45" s="234"/>
      <c r="I45" s="232"/>
      <c r="J45" s="232"/>
      <c r="K45" s="235"/>
      <c r="L45" s="232"/>
      <c r="M45" s="700"/>
      <c r="N45" s="700"/>
      <c r="O45" s="700"/>
      <c r="P45" s="663"/>
      <c r="Q45" s="615"/>
      <c r="R45" s="615"/>
      <c r="S45" s="701"/>
      <c r="T45" s="615"/>
      <c r="U45" s="615"/>
      <c r="V45" s="701"/>
      <c r="W45" s="615"/>
      <c r="X45" s="615"/>
      <c r="Y45" s="701"/>
      <c r="Z45" s="615"/>
      <c r="AA45" s="615"/>
      <c r="AB45" s="701"/>
      <c r="AC45" s="615"/>
      <c r="AD45" s="615"/>
      <c r="AE45" s="701"/>
      <c r="AF45" s="701"/>
      <c r="AG45" s="701"/>
      <c r="AH45" s="701"/>
      <c r="AI45" s="701"/>
      <c r="AJ45" s="701"/>
      <c r="AK45" s="701"/>
      <c r="AL45" s="701"/>
      <c r="AM45" s="701"/>
      <c r="AN45" s="701"/>
      <c r="AO45" s="701"/>
      <c r="AP45" s="701"/>
      <c r="AQ45" s="701"/>
      <c r="AR45" s="701"/>
      <c r="AS45" s="701"/>
      <c r="AT45" s="701"/>
      <c r="AU45" s="701"/>
      <c r="AV45" s="701"/>
      <c r="AW45" s="701"/>
      <c r="AX45" s="701"/>
      <c r="AY45" s="701"/>
      <c r="AZ45" s="701"/>
      <c r="BA45" s="701"/>
      <c r="BB45" s="701"/>
      <c r="BC45" s="701"/>
      <c r="BD45" s="701"/>
      <c r="BE45" s="701"/>
      <c r="BF45" s="701"/>
      <c r="BG45" s="701"/>
      <c r="BH45" s="701"/>
      <c r="BI45" s="701"/>
      <c r="BJ45" s="701"/>
      <c r="BK45" s="701"/>
      <c r="BL45" s="701"/>
      <c r="BM45" s="701"/>
      <c r="BN45" s="701"/>
      <c r="BO45" s="701"/>
      <c r="BP45" s="701"/>
      <c r="BQ45" s="701"/>
      <c r="BR45" s="701"/>
      <c r="BS45" s="701"/>
      <c r="BT45" s="701"/>
      <c r="BU45" s="702"/>
      <c r="BV45" s="703"/>
      <c r="BW45" s="703"/>
      <c r="BX45" s="703"/>
      <c r="BY45" s="703"/>
      <c r="BZ45" s="703"/>
      <c r="CA45" s="703"/>
      <c r="CB45" s="703"/>
      <c r="CC45" s="703"/>
      <c r="CD45" s="703"/>
      <c r="CE45" s="703"/>
      <c r="CF45" s="703"/>
      <c r="CG45" s="703"/>
      <c r="CH45" s="617"/>
      <c r="CI45" s="617"/>
      <c r="CJ45" s="617"/>
      <c r="CK45" s="617"/>
      <c r="CL45" s="617"/>
      <c r="CM45" s="617"/>
      <c r="CN45" s="617"/>
      <c r="CO45" s="617"/>
      <c r="CP45" s="617"/>
      <c r="CQ45" s="617"/>
      <c r="CR45" s="617"/>
      <c r="CS45" s="617"/>
      <c r="CT45" s="617"/>
      <c r="CU45" s="617"/>
      <c r="CV45" s="617"/>
      <c r="CW45" s="617"/>
      <c r="CX45" s="617"/>
      <c r="CY45" s="617"/>
      <c r="CZ45" s="617"/>
      <c r="DA45" s="617"/>
      <c r="DB45" s="617"/>
      <c r="DC45" s="617"/>
      <c r="DD45" s="617"/>
      <c r="DE45" s="617"/>
      <c r="DF45" s="617"/>
      <c r="DG45" s="617"/>
      <c r="DH45" s="617"/>
      <c r="DI45" s="617"/>
      <c r="DJ45" s="617"/>
      <c r="DK45" s="617"/>
      <c r="DL45" s="617"/>
      <c r="DM45" s="617"/>
      <c r="DN45" s="617"/>
    </row>
    <row r="46" ht="15.0" customHeight="1">
      <c r="A46" s="53">
        <v>25.0</v>
      </c>
      <c r="B46" s="100" t="s">
        <v>163</v>
      </c>
      <c r="C46" s="100" t="s">
        <v>164</v>
      </c>
      <c r="D46" s="101" t="str">
        <f>MID(B46,FIND(CHAR(160),SUBSTITUTE(B46,"-",CHAR(160),3)) + 1,FIND(CHAR(160),SUBSTITUTE(B46,"-",CHAR(160),4)) - 1 - (FIND(CHAR(160),SUBSTITUTE(B46,"-",CHAR(160),3))))</f>
        <v>DATA</v>
      </c>
      <c r="E46" s="101" t="s">
        <v>165</v>
      </c>
      <c r="F46" s="102">
        <v>1114.0</v>
      </c>
      <c r="G46" s="517" t="s">
        <v>165</v>
      </c>
      <c r="H46" s="517">
        <v>1114.0</v>
      </c>
      <c r="I46" s="68" t="str">
        <f>IFERROR(VLOOKUP(C:C,'R22 RELATÓRIO ACC'!B:F,5,FALSE),"NOT PUBLISHED")</f>
        <v>V15</v>
      </c>
      <c r="J46" s="68" t="str">
        <f>IFERROR(VLOOKUP(C:C,'R22 RELATÓRIO ACC'!B:P,15,FALSE),"NOT PUBLISHED")</f>
        <v>27/04/2026</v>
      </c>
      <c r="K46" s="70" t="str">
        <f>IFERROR(VLOOKUP(B:B,'RELATÓRIO ACC'!B:F,5,FALSE),"NOT PUBLISHED")</f>
        <v>V3</v>
      </c>
      <c r="L46" s="518" t="str">
        <f>IFERROR(VLOOKUP(B:B,'RELATÓRIO ACC'!B:P,15,FALSE),"NOT PUBLISHED")</f>
        <v>12/07/2026</v>
      </c>
      <c r="M46" s="661" t="s">
        <v>414</v>
      </c>
      <c r="N46" s="668" t="s">
        <v>433</v>
      </c>
      <c r="O46" s="538" t="s">
        <v>410</v>
      </c>
      <c r="P46" s="663"/>
      <c r="Q46" s="550" t="s">
        <v>379</v>
      </c>
      <c r="R46" s="558">
        <v>0.0</v>
      </c>
      <c r="S46" s="550" t="s">
        <v>379</v>
      </c>
      <c r="T46" s="550" t="s">
        <v>381</v>
      </c>
      <c r="U46" s="550" t="s">
        <v>421</v>
      </c>
      <c r="V46" s="667">
        <v>0.18</v>
      </c>
      <c r="W46" s="550" t="s">
        <v>379</v>
      </c>
      <c r="X46" s="550">
        <v>0.0</v>
      </c>
      <c r="Y46" s="550" t="s">
        <v>379</v>
      </c>
      <c r="Z46" s="550" t="s">
        <v>379</v>
      </c>
      <c r="AA46" s="550" t="s">
        <v>417</v>
      </c>
      <c r="AB46" s="550" t="s">
        <v>379</v>
      </c>
      <c r="AC46" s="550" t="s">
        <v>379</v>
      </c>
      <c r="AD46" s="550" t="s">
        <v>417</v>
      </c>
      <c r="AE46" s="550" t="s">
        <v>379</v>
      </c>
      <c r="AF46" s="550" t="s">
        <v>383</v>
      </c>
      <c r="AG46" s="550" t="s">
        <v>417</v>
      </c>
      <c r="AH46" s="550" t="s">
        <v>383</v>
      </c>
      <c r="AI46" s="550" t="s">
        <v>381</v>
      </c>
      <c r="AJ46" s="550" t="s">
        <v>414</v>
      </c>
      <c r="AK46" s="664">
        <v>0.94</v>
      </c>
      <c r="AL46" s="550" t="s">
        <v>379</v>
      </c>
      <c r="AM46" s="550" t="s">
        <v>414</v>
      </c>
      <c r="AN46" s="550" t="s">
        <v>379</v>
      </c>
      <c r="AO46" s="550" t="s">
        <v>386</v>
      </c>
      <c r="AP46" s="550" t="s">
        <v>414</v>
      </c>
      <c r="AQ46" s="664">
        <v>1.0</v>
      </c>
      <c r="AR46" s="550" t="s">
        <v>413</v>
      </c>
      <c r="AS46" s="550" t="s">
        <v>414</v>
      </c>
      <c r="AT46" s="664">
        <v>1.0</v>
      </c>
      <c r="AU46" s="550" t="s">
        <v>413</v>
      </c>
      <c r="AV46" s="550" t="s">
        <v>414</v>
      </c>
      <c r="AW46" s="664">
        <v>1.0</v>
      </c>
      <c r="AX46" s="550" t="s">
        <v>413</v>
      </c>
      <c r="AY46" s="550" t="s">
        <v>414</v>
      </c>
      <c r="AZ46" s="664">
        <v>1.0</v>
      </c>
      <c r="BA46" s="550" t="s">
        <v>413</v>
      </c>
      <c r="BB46" s="550" t="s">
        <v>414</v>
      </c>
      <c r="BC46" s="664">
        <v>1.0</v>
      </c>
      <c r="BD46" s="550" t="s">
        <v>413</v>
      </c>
      <c r="BE46" s="550" t="s">
        <v>414</v>
      </c>
      <c r="BF46" s="664">
        <v>1.0</v>
      </c>
      <c r="BG46" s="550" t="s">
        <v>413</v>
      </c>
      <c r="BH46" s="550" t="s">
        <v>414</v>
      </c>
      <c r="BI46" s="664">
        <v>1.0</v>
      </c>
      <c r="BJ46" s="550" t="s">
        <v>413</v>
      </c>
      <c r="BK46" s="550" t="s">
        <v>414</v>
      </c>
      <c r="BL46" s="664">
        <v>1.0</v>
      </c>
      <c r="BM46" s="550" t="s">
        <v>413</v>
      </c>
      <c r="BN46" s="550" t="s">
        <v>414</v>
      </c>
      <c r="BO46" s="664">
        <v>1.0</v>
      </c>
      <c r="BP46" s="550" t="s">
        <v>413</v>
      </c>
      <c r="BQ46" s="550" t="s">
        <v>414</v>
      </c>
      <c r="BR46" s="664">
        <v>1.0</v>
      </c>
      <c r="BS46" s="550" t="s">
        <v>413</v>
      </c>
      <c r="BT46" s="550" t="s">
        <v>414</v>
      </c>
      <c r="BU46" s="691">
        <v>1.0</v>
      </c>
      <c r="BV46" s="673" t="s">
        <v>413</v>
      </c>
      <c r="BW46" s="673" t="s">
        <v>414</v>
      </c>
      <c r="BX46" s="683">
        <v>1.0</v>
      </c>
      <c r="BY46" s="523" t="s">
        <v>413</v>
      </c>
      <c r="BZ46" s="673" t="s">
        <v>414</v>
      </c>
      <c r="CA46" s="529">
        <v>1.0</v>
      </c>
      <c r="CB46" s="523" t="s">
        <v>413</v>
      </c>
      <c r="CC46" s="673" t="s">
        <v>414</v>
      </c>
      <c r="CD46" s="683">
        <v>1.0</v>
      </c>
      <c r="CE46" s="523" t="s">
        <v>413</v>
      </c>
      <c r="CF46" s="673" t="s">
        <v>414</v>
      </c>
      <c r="CG46" s="683">
        <v>1.0</v>
      </c>
      <c r="CH46" s="523" t="s">
        <v>413</v>
      </c>
      <c r="CI46" s="673" t="s">
        <v>414</v>
      </c>
      <c r="CJ46" s="683">
        <v>1.0</v>
      </c>
      <c r="CK46" s="523" t="s">
        <v>413</v>
      </c>
      <c r="CL46" s="673" t="s">
        <v>414</v>
      </c>
      <c r="CM46" s="683">
        <v>1.0</v>
      </c>
      <c r="CN46" s="523" t="s">
        <v>413</v>
      </c>
      <c r="CO46" s="673" t="s">
        <v>414</v>
      </c>
      <c r="CP46" s="683">
        <v>1.0</v>
      </c>
      <c r="CQ46" s="523" t="s">
        <v>413</v>
      </c>
      <c r="CR46" s="673" t="s">
        <v>414</v>
      </c>
      <c r="CS46" s="683">
        <v>1.0</v>
      </c>
      <c r="CT46" s="523" t="s">
        <v>413</v>
      </c>
      <c r="CU46" s="673" t="s">
        <v>414</v>
      </c>
      <c r="CV46" s="683">
        <v>1.0</v>
      </c>
      <c r="CW46" s="523" t="s">
        <v>413</v>
      </c>
      <c r="CX46" s="673" t="s">
        <v>414</v>
      </c>
      <c r="CY46" s="683">
        <v>1.0</v>
      </c>
      <c r="CZ46" s="523" t="s">
        <v>413</v>
      </c>
      <c r="DA46" s="673" t="s">
        <v>414</v>
      </c>
      <c r="DB46" s="683">
        <v>1.0</v>
      </c>
      <c r="DC46" s="523" t="s">
        <v>413</v>
      </c>
      <c r="DD46" s="673" t="s">
        <v>414</v>
      </c>
      <c r="DE46" s="683">
        <v>1.0</v>
      </c>
      <c r="DF46" s="523" t="s">
        <v>413</v>
      </c>
      <c r="DG46" s="673" t="s">
        <v>414</v>
      </c>
      <c r="DH46" s="683">
        <v>1.0</v>
      </c>
      <c r="DI46" s="523" t="s">
        <v>413</v>
      </c>
      <c r="DJ46" s="673" t="s">
        <v>414</v>
      </c>
      <c r="DK46" s="683">
        <v>1.0</v>
      </c>
      <c r="DL46" s="523" t="s">
        <v>413</v>
      </c>
      <c r="DM46" s="673" t="s">
        <v>414</v>
      </c>
      <c r="DN46" s="683">
        <v>1.0</v>
      </c>
    </row>
    <row r="47" ht="15.0" hidden="1" customHeight="1">
      <c r="A47" s="53">
        <v>46.0</v>
      </c>
      <c r="B47" s="251" t="s">
        <v>220</v>
      </c>
      <c r="C47" s="252"/>
      <c r="D47" s="253"/>
      <c r="E47" s="253"/>
      <c r="F47" s="253"/>
      <c r="G47" s="253"/>
      <c r="H47" s="255"/>
      <c r="I47" s="253"/>
      <c r="J47" s="253"/>
      <c r="K47" s="256"/>
      <c r="L47" s="253"/>
      <c r="M47" s="704"/>
      <c r="N47" s="704"/>
      <c r="O47" s="704"/>
      <c r="P47" s="663"/>
      <c r="Q47" s="622"/>
      <c r="R47" s="622"/>
      <c r="S47" s="705"/>
      <c r="T47" s="622"/>
      <c r="U47" s="622"/>
      <c r="V47" s="705"/>
      <c r="W47" s="622"/>
      <c r="X47" s="622"/>
      <c r="Y47" s="705"/>
      <c r="Z47" s="622"/>
      <c r="AA47" s="622"/>
      <c r="AB47" s="705"/>
      <c r="AC47" s="622"/>
      <c r="AD47" s="622"/>
      <c r="AE47" s="705"/>
      <c r="AF47" s="705"/>
      <c r="AG47" s="705"/>
      <c r="AH47" s="705"/>
      <c r="AI47" s="705"/>
      <c r="AJ47" s="705"/>
      <c r="AK47" s="705"/>
      <c r="AL47" s="705"/>
      <c r="AM47" s="705"/>
      <c r="AN47" s="705"/>
      <c r="AO47" s="705"/>
      <c r="AP47" s="705"/>
      <c r="AQ47" s="705"/>
      <c r="AR47" s="705"/>
      <c r="AS47" s="705"/>
      <c r="AT47" s="705"/>
      <c r="AU47" s="705"/>
      <c r="AV47" s="705"/>
      <c r="AW47" s="705"/>
      <c r="AX47" s="705"/>
      <c r="AY47" s="705"/>
      <c r="AZ47" s="705"/>
      <c r="BA47" s="705"/>
      <c r="BB47" s="705"/>
      <c r="BC47" s="705"/>
      <c r="BD47" s="705"/>
      <c r="BE47" s="705"/>
      <c r="BF47" s="705"/>
      <c r="BG47" s="705"/>
      <c r="BH47" s="705"/>
      <c r="BI47" s="705"/>
      <c r="BJ47" s="705"/>
      <c r="BK47" s="705"/>
      <c r="BL47" s="705"/>
      <c r="BM47" s="705"/>
      <c r="BN47" s="705"/>
      <c r="BO47" s="705"/>
      <c r="BP47" s="705"/>
      <c r="BQ47" s="705"/>
      <c r="BR47" s="705"/>
      <c r="BS47" s="705"/>
      <c r="BT47" s="705"/>
      <c r="BU47" s="706"/>
      <c r="BV47" s="707"/>
      <c r="BW47" s="707"/>
      <c r="BX47" s="707"/>
      <c r="BY47" s="707"/>
      <c r="BZ47" s="707"/>
      <c r="CA47" s="707"/>
      <c r="CB47" s="707"/>
      <c r="CC47" s="707"/>
      <c r="CD47" s="707"/>
      <c r="CE47" s="707"/>
      <c r="CF47" s="707"/>
      <c r="CG47" s="707"/>
      <c r="CH47" s="624"/>
      <c r="CI47" s="624"/>
      <c r="CJ47" s="624"/>
      <c r="CK47" s="624"/>
      <c r="CL47" s="624"/>
      <c r="CM47" s="624"/>
      <c r="CN47" s="624"/>
      <c r="CO47" s="624"/>
      <c r="CP47" s="624"/>
      <c r="CQ47" s="624"/>
      <c r="CR47" s="624"/>
      <c r="CS47" s="624"/>
      <c r="CT47" s="624"/>
      <c r="CU47" s="624"/>
      <c r="CV47" s="624"/>
      <c r="CW47" s="624"/>
      <c r="CX47" s="624"/>
      <c r="CY47" s="624"/>
      <c r="CZ47" s="624"/>
      <c r="DA47" s="624"/>
      <c r="DB47" s="624"/>
      <c r="DC47" s="624"/>
      <c r="DD47" s="624"/>
      <c r="DE47" s="624"/>
      <c r="DF47" s="624"/>
      <c r="DG47" s="624"/>
      <c r="DH47" s="624"/>
      <c r="DI47" s="624"/>
      <c r="DJ47" s="624"/>
      <c r="DK47" s="624"/>
      <c r="DL47" s="624"/>
      <c r="DM47" s="624"/>
      <c r="DN47" s="624"/>
    </row>
    <row r="48" ht="15.0" customHeight="1">
      <c r="A48" s="53">
        <v>45.0</v>
      </c>
      <c r="B48" s="100" t="s">
        <v>218</v>
      </c>
      <c r="C48" s="100" t="s">
        <v>219</v>
      </c>
      <c r="D48" s="101" t="str">
        <f>MID(B48,FIND(CHAR(160),SUBSTITUTE(B48,"-",CHAR(160),3)) + 1,FIND(CHAR(160),SUBSTITUTE(B48,"-",CHAR(160),4)) - 1 - (FIND(CHAR(160),SUBSTITUTE(B48,"-",CHAR(160),3))))</f>
        <v>DATA</v>
      </c>
      <c r="E48" s="101" t="s">
        <v>154</v>
      </c>
      <c r="F48" s="102">
        <v>1112.0</v>
      </c>
      <c r="G48" s="517" t="s">
        <v>154</v>
      </c>
      <c r="H48" s="517">
        <v>1112.0</v>
      </c>
      <c r="I48" s="68" t="str">
        <f>IFERROR(VLOOKUP(C:C,'R22 RELATÓRIO ACC'!B:F,5,FALSE),"NOT PUBLISHED")</f>
        <v>V24</v>
      </c>
      <c r="J48" s="68" t="str">
        <f>IFERROR(VLOOKUP(C:C,'R22 RELATÓRIO ACC'!B:P,15,FALSE),"NOT PUBLISHED")</f>
        <v>15/05/2026</v>
      </c>
      <c r="K48" s="70" t="str">
        <f>IFERROR(VLOOKUP(B:B,'RELATÓRIO ACC'!B:F,5,FALSE),"NOT PUBLISHED")</f>
        <v>V2</v>
      </c>
      <c r="L48" s="518" t="str">
        <f>IFERROR(VLOOKUP(B:B,'RELATÓRIO ACC'!B:P,15,FALSE),"NOT PUBLISHED")</f>
        <v>06/07/2026</v>
      </c>
      <c r="M48" s="661" t="s">
        <v>422</v>
      </c>
      <c r="N48" s="708">
        <v>46129.0</v>
      </c>
      <c r="O48" s="538" t="s">
        <v>410</v>
      </c>
      <c r="P48" s="663" t="s">
        <v>397</v>
      </c>
      <c r="Q48" s="550" t="s">
        <v>379</v>
      </c>
      <c r="R48" s="558">
        <v>0.0</v>
      </c>
      <c r="S48" s="550" t="s">
        <v>379</v>
      </c>
      <c r="T48" s="550" t="s">
        <v>379</v>
      </c>
      <c r="U48" s="558">
        <v>0.0</v>
      </c>
      <c r="V48" s="550" t="s">
        <v>379</v>
      </c>
      <c r="W48" s="550" t="s">
        <v>379</v>
      </c>
      <c r="X48" s="558">
        <v>0.0</v>
      </c>
      <c r="Y48" s="550" t="s">
        <v>379</v>
      </c>
      <c r="Z48" s="550" t="s">
        <v>379</v>
      </c>
      <c r="AA48" s="550" t="s">
        <v>380</v>
      </c>
      <c r="AB48" s="550" t="s">
        <v>379</v>
      </c>
      <c r="AC48" s="550" t="s">
        <v>379</v>
      </c>
      <c r="AD48" s="550" t="s">
        <v>380</v>
      </c>
      <c r="AE48" s="550" t="s">
        <v>379</v>
      </c>
      <c r="AF48" s="550" t="s">
        <v>383</v>
      </c>
      <c r="AG48" s="550" t="s">
        <v>380</v>
      </c>
      <c r="AH48" s="550" t="s">
        <v>383</v>
      </c>
      <c r="AI48" s="690" t="s">
        <v>381</v>
      </c>
      <c r="AJ48" s="550" t="s">
        <v>412</v>
      </c>
      <c r="AK48" s="664">
        <v>0.08</v>
      </c>
      <c r="AL48" s="550" t="s">
        <v>383</v>
      </c>
      <c r="AM48" s="550" t="s">
        <v>412</v>
      </c>
      <c r="AN48" s="550" t="s">
        <v>383</v>
      </c>
      <c r="AO48" s="550" t="s">
        <v>398</v>
      </c>
      <c r="AP48" s="550" t="s">
        <v>382</v>
      </c>
      <c r="AQ48" s="550" t="s">
        <v>398</v>
      </c>
      <c r="AR48" s="550" t="s">
        <v>398</v>
      </c>
      <c r="AS48" s="550" t="s">
        <v>384</v>
      </c>
      <c r="AT48" s="550" t="s">
        <v>398</v>
      </c>
      <c r="AU48" s="550" t="s">
        <v>379</v>
      </c>
      <c r="AV48" s="550" t="s">
        <v>384</v>
      </c>
      <c r="AW48" s="550" t="s">
        <v>379</v>
      </c>
      <c r="AX48" s="550" t="s">
        <v>398</v>
      </c>
      <c r="AY48" s="550" t="s">
        <v>385</v>
      </c>
      <c r="AZ48" s="550" t="s">
        <v>398</v>
      </c>
      <c r="BA48" s="550" t="s">
        <v>383</v>
      </c>
      <c r="BB48" s="550" t="s">
        <v>385</v>
      </c>
      <c r="BC48" s="550" t="s">
        <v>383</v>
      </c>
      <c r="BD48" s="550" t="s">
        <v>383</v>
      </c>
      <c r="BE48" s="550" t="s">
        <v>417</v>
      </c>
      <c r="BF48" s="550" t="s">
        <v>383</v>
      </c>
      <c r="BG48" s="550" t="s">
        <v>381</v>
      </c>
      <c r="BH48" s="550" t="s">
        <v>417</v>
      </c>
      <c r="BI48" s="671">
        <v>0.16</v>
      </c>
      <c r="BJ48" s="550" t="s">
        <v>381</v>
      </c>
      <c r="BK48" s="550" t="s">
        <v>414</v>
      </c>
      <c r="BL48" s="671">
        <v>0.16</v>
      </c>
      <c r="BM48" s="550" t="s">
        <v>379</v>
      </c>
      <c r="BN48" s="550" t="s">
        <v>414</v>
      </c>
      <c r="BO48" s="550" t="s">
        <v>379</v>
      </c>
      <c r="BP48" s="550" t="s">
        <v>381</v>
      </c>
      <c r="BQ48" s="550" t="s">
        <v>419</v>
      </c>
      <c r="BR48" s="671">
        <v>0.52</v>
      </c>
      <c r="BS48" s="550" t="s">
        <v>383</v>
      </c>
      <c r="BT48" s="550" t="s">
        <v>419</v>
      </c>
      <c r="BU48" s="528" t="s">
        <v>383</v>
      </c>
      <c r="BV48" s="673" t="s">
        <v>381</v>
      </c>
      <c r="BW48" s="673" t="s">
        <v>401</v>
      </c>
      <c r="BX48" s="678">
        <v>0.88</v>
      </c>
      <c r="BY48" s="673" t="s">
        <v>383</v>
      </c>
      <c r="BZ48" s="673" t="s">
        <v>401</v>
      </c>
      <c r="CA48" s="673" t="s">
        <v>383</v>
      </c>
      <c r="CB48" s="523" t="s">
        <v>386</v>
      </c>
      <c r="CC48" s="673" t="s">
        <v>422</v>
      </c>
      <c r="CD48" s="565">
        <v>1.0</v>
      </c>
      <c r="CE48" s="523" t="s">
        <v>413</v>
      </c>
      <c r="CF48" s="673" t="s">
        <v>422</v>
      </c>
      <c r="CG48" s="678">
        <v>1.0</v>
      </c>
      <c r="CH48" s="523" t="s">
        <v>413</v>
      </c>
      <c r="CI48" s="673" t="s">
        <v>422</v>
      </c>
      <c r="CJ48" s="678">
        <v>1.0</v>
      </c>
      <c r="CK48" s="523" t="s">
        <v>413</v>
      </c>
      <c r="CL48" s="673" t="s">
        <v>422</v>
      </c>
      <c r="CM48" s="678">
        <v>1.0</v>
      </c>
      <c r="CN48" s="523" t="s">
        <v>413</v>
      </c>
      <c r="CO48" s="673" t="s">
        <v>422</v>
      </c>
      <c r="CP48" s="678">
        <v>1.0</v>
      </c>
      <c r="CQ48" s="523" t="s">
        <v>413</v>
      </c>
      <c r="CR48" s="673" t="s">
        <v>422</v>
      </c>
      <c r="CS48" s="678">
        <v>1.0</v>
      </c>
      <c r="CT48" s="523" t="s">
        <v>413</v>
      </c>
      <c r="CU48" s="673" t="s">
        <v>422</v>
      </c>
      <c r="CV48" s="678">
        <v>1.0</v>
      </c>
      <c r="CW48" s="523" t="s">
        <v>413</v>
      </c>
      <c r="CX48" s="673" t="s">
        <v>422</v>
      </c>
      <c r="CY48" s="678">
        <v>1.0</v>
      </c>
      <c r="CZ48" s="523" t="s">
        <v>413</v>
      </c>
      <c r="DA48" s="673" t="s">
        <v>422</v>
      </c>
      <c r="DB48" s="678">
        <v>1.0</v>
      </c>
      <c r="DC48" s="523" t="s">
        <v>413</v>
      </c>
      <c r="DD48" s="673" t="s">
        <v>422</v>
      </c>
      <c r="DE48" s="678">
        <v>1.0</v>
      </c>
      <c r="DF48" s="523" t="s">
        <v>413</v>
      </c>
      <c r="DG48" s="673" t="s">
        <v>422</v>
      </c>
      <c r="DH48" s="678">
        <v>1.0</v>
      </c>
      <c r="DI48" s="523" t="s">
        <v>413</v>
      </c>
      <c r="DJ48" s="673" t="s">
        <v>422</v>
      </c>
      <c r="DK48" s="678">
        <v>1.0</v>
      </c>
      <c r="DL48" s="523" t="s">
        <v>413</v>
      </c>
      <c r="DM48" s="673" t="s">
        <v>422</v>
      </c>
      <c r="DN48" s="678">
        <v>1.0</v>
      </c>
    </row>
    <row r="49" ht="15.0" hidden="1" customHeight="1">
      <c r="A49" s="53">
        <v>48.0</v>
      </c>
      <c r="B49" s="271" t="s">
        <v>228</v>
      </c>
      <c r="C49" s="272"/>
      <c r="D49" s="273"/>
      <c r="E49" s="273"/>
      <c r="F49" s="273"/>
      <c r="G49" s="273"/>
      <c r="H49" s="275"/>
      <c r="I49" s="273"/>
      <c r="J49" s="273"/>
      <c r="K49" s="276"/>
      <c r="L49" s="273"/>
      <c r="M49" s="709"/>
      <c r="N49" s="709"/>
      <c r="O49" s="709"/>
      <c r="P49" s="663"/>
      <c r="Q49" s="629"/>
      <c r="R49" s="629"/>
      <c r="S49" s="710"/>
      <c r="T49" s="629"/>
      <c r="U49" s="629"/>
      <c r="V49" s="710"/>
      <c r="W49" s="629"/>
      <c r="X49" s="629"/>
      <c r="Y49" s="710"/>
      <c r="Z49" s="629"/>
      <c r="AA49" s="629"/>
      <c r="AB49" s="710"/>
      <c r="AC49" s="629"/>
      <c r="AD49" s="629"/>
      <c r="AE49" s="710"/>
      <c r="AF49" s="710"/>
      <c r="AG49" s="710"/>
      <c r="AH49" s="710"/>
      <c r="AI49" s="710"/>
      <c r="AJ49" s="710"/>
      <c r="AK49" s="710"/>
      <c r="AL49" s="710"/>
      <c r="AM49" s="710"/>
      <c r="AN49" s="710"/>
      <c r="AO49" s="710"/>
      <c r="AP49" s="710"/>
      <c r="AQ49" s="710"/>
      <c r="AR49" s="710"/>
      <c r="AS49" s="710"/>
      <c r="AT49" s="710"/>
      <c r="AU49" s="710"/>
      <c r="AV49" s="710"/>
      <c r="AW49" s="710"/>
      <c r="AX49" s="710"/>
      <c r="AY49" s="710"/>
      <c r="AZ49" s="710"/>
      <c r="BA49" s="710"/>
      <c r="BB49" s="710"/>
      <c r="BC49" s="710"/>
      <c r="BD49" s="710"/>
      <c r="BE49" s="710"/>
      <c r="BF49" s="710"/>
      <c r="BG49" s="710"/>
      <c r="BH49" s="710"/>
      <c r="BI49" s="710"/>
      <c r="BJ49" s="710"/>
      <c r="BK49" s="710"/>
      <c r="BL49" s="710"/>
      <c r="BM49" s="710"/>
      <c r="BN49" s="710"/>
      <c r="BO49" s="710"/>
      <c r="BP49" s="710"/>
      <c r="BQ49" s="710"/>
      <c r="BR49" s="710"/>
      <c r="BS49" s="710"/>
      <c r="BT49" s="710"/>
      <c r="BU49" s="711"/>
      <c r="BV49" s="712"/>
      <c r="BW49" s="712"/>
      <c r="BX49" s="712"/>
      <c r="BY49" s="712"/>
      <c r="BZ49" s="712"/>
      <c r="CA49" s="712"/>
      <c r="CB49" s="712"/>
      <c r="CC49" s="712"/>
      <c r="CD49" s="712"/>
      <c r="CE49" s="712"/>
      <c r="CF49" s="712"/>
      <c r="CG49" s="712"/>
      <c r="CH49" s="631"/>
      <c r="CI49" s="631"/>
      <c r="CJ49" s="631"/>
      <c r="CK49" s="631"/>
      <c r="CL49" s="631"/>
      <c r="CM49" s="631"/>
      <c r="CN49" s="631"/>
      <c r="CO49" s="631"/>
      <c r="CP49" s="631"/>
      <c r="CQ49" s="631"/>
      <c r="CR49" s="631"/>
      <c r="CS49" s="631"/>
      <c r="CT49" s="631"/>
      <c r="CU49" s="631"/>
      <c r="CV49" s="631"/>
      <c r="CW49" s="631"/>
      <c r="CX49" s="631"/>
      <c r="CY49" s="631"/>
      <c r="CZ49" s="631"/>
      <c r="DA49" s="631"/>
      <c r="DB49" s="631"/>
      <c r="DC49" s="631"/>
      <c r="DD49" s="631"/>
      <c r="DE49" s="631"/>
      <c r="DF49" s="631"/>
      <c r="DG49" s="631"/>
      <c r="DH49" s="631"/>
      <c r="DI49" s="631"/>
      <c r="DJ49" s="631"/>
      <c r="DK49" s="631"/>
      <c r="DL49" s="631"/>
      <c r="DM49" s="631"/>
      <c r="DN49" s="631"/>
    </row>
    <row r="50" ht="15.75" customHeight="1">
      <c r="A50" s="53">
        <v>47.0</v>
      </c>
      <c r="B50" s="100" t="s">
        <v>223</v>
      </c>
      <c r="C50" s="100" t="s">
        <v>224</v>
      </c>
      <c r="D50" s="101" t="str">
        <f t="shared" ref="D50:D51" si="4">MID(B50,FIND(CHAR(160),SUBSTITUTE(B50,"-",CHAR(160),3)) + 1,FIND(CHAR(160),SUBSTITUTE(B50,"-",CHAR(160),4)) - 1 - (FIND(CHAR(160),SUBSTITUTE(B50,"-",CHAR(160),3))))</f>
        <v>DATA</v>
      </c>
      <c r="E50" s="101" t="s">
        <v>154</v>
      </c>
      <c r="F50" s="102">
        <v>1112.0</v>
      </c>
      <c r="G50" s="517" t="s">
        <v>154</v>
      </c>
      <c r="H50" s="517">
        <v>1112.0</v>
      </c>
      <c r="I50" s="68" t="str">
        <f>IFERROR(VLOOKUP(C:C,'R22 RELATÓRIO ACC'!B:F,5,FALSE),"NOT PUBLISHED")</f>
        <v>V17</v>
      </c>
      <c r="J50" s="68" t="str">
        <f>IFERROR(VLOOKUP(C:C,'R22 RELATÓRIO ACC'!B:P,15,FALSE),"NOT PUBLISHED")</f>
        <v>14/05/2026</v>
      </c>
      <c r="K50" s="70" t="str">
        <f>IFERROR(VLOOKUP(B:B,'RELATÓRIO ACC'!B:F,5,FALSE),"NOT PUBLISHED")</f>
        <v>V4</v>
      </c>
      <c r="L50" s="518" t="str">
        <f>IFERROR(VLOOKUP(B:B,'RELATÓRIO ACC'!B:P,15,FALSE),"NOT PUBLISHED")</f>
        <v>25/06/2026</v>
      </c>
      <c r="M50" s="661" t="s">
        <v>425</v>
      </c>
      <c r="N50" s="662">
        <v>46126.0</v>
      </c>
      <c r="O50" s="538" t="s">
        <v>410</v>
      </c>
      <c r="P50" s="663" t="s">
        <v>397</v>
      </c>
      <c r="Q50" s="550" t="s">
        <v>379</v>
      </c>
      <c r="R50" s="558">
        <v>0.0</v>
      </c>
      <c r="S50" s="550" t="s">
        <v>379</v>
      </c>
      <c r="T50" s="550" t="s">
        <v>379</v>
      </c>
      <c r="U50" s="558">
        <v>0.0</v>
      </c>
      <c r="V50" s="550" t="s">
        <v>379</v>
      </c>
      <c r="W50" s="550" t="s">
        <v>379</v>
      </c>
      <c r="X50" s="558">
        <v>0.0</v>
      </c>
      <c r="Y50" s="550" t="s">
        <v>379</v>
      </c>
      <c r="Z50" s="550" t="s">
        <v>379</v>
      </c>
      <c r="AA50" s="550" t="s">
        <v>380</v>
      </c>
      <c r="AB50" s="550" t="s">
        <v>379</v>
      </c>
      <c r="AC50" s="550" t="s">
        <v>379</v>
      </c>
      <c r="AD50" s="550" t="s">
        <v>380</v>
      </c>
      <c r="AE50" s="550" t="s">
        <v>379</v>
      </c>
      <c r="AF50" s="550" t="s">
        <v>383</v>
      </c>
      <c r="AG50" s="550" t="s">
        <v>380</v>
      </c>
      <c r="AH50" s="550" t="s">
        <v>383</v>
      </c>
      <c r="AI50" s="550" t="s">
        <v>381</v>
      </c>
      <c r="AJ50" s="550" t="s">
        <v>412</v>
      </c>
      <c r="AK50" s="667">
        <v>0.05</v>
      </c>
      <c r="AL50" s="550" t="s">
        <v>383</v>
      </c>
      <c r="AM50" s="550" t="s">
        <v>412</v>
      </c>
      <c r="AN50" s="550" t="s">
        <v>383</v>
      </c>
      <c r="AO50" s="550" t="s">
        <v>398</v>
      </c>
      <c r="AP50" s="550" t="s">
        <v>384</v>
      </c>
      <c r="AQ50" s="550" t="s">
        <v>398</v>
      </c>
      <c r="AR50" s="550" t="s">
        <v>398</v>
      </c>
      <c r="AS50" s="550" t="s">
        <v>385</v>
      </c>
      <c r="AT50" s="550" t="s">
        <v>398</v>
      </c>
      <c r="AU50" s="550" t="s">
        <v>379</v>
      </c>
      <c r="AV50" s="550" t="s">
        <v>385</v>
      </c>
      <c r="AW50" s="550" t="s">
        <v>379</v>
      </c>
      <c r="AX50" s="550" t="s">
        <v>398</v>
      </c>
      <c r="AY50" s="550" t="s">
        <v>417</v>
      </c>
      <c r="AZ50" s="550" t="s">
        <v>398</v>
      </c>
      <c r="BA50" s="550" t="s">
        <v>383</v>
      </c>
      <c r="BB50" s="550" t="s">
        <v>417</v>
      </c>
      <c r="BC50" s="550" t="s">
        <v>383</v>
      </c>
      <c r="BD50" s="550" t="s">
        <v>383</v>
      </c>
      <c r="BE50" s="550" t="s">
        <v>417</v>
      </c>
      <c r="BF50" s="550" t="s">
        <v>383</v>
      </c>
      <c r="BG50" s="550" t="s">
        <v>381</v>
      </c>
      <c r="BH50" s="550" t="s">
        <v>414</v>
      </c>
      <c r="BI50" s="671">
        <v>0.25</v>
      </c>
      <c r="BJ50" s="550" t="s">
        <v>381</v>
      </c>
      <c r="BK50" s="550" t="s">
        <v>415</v>
      </c>
      <c r="BL50" s="671">
        <v>0.25</v>
      </c>
      <c r="BM50" s="550" t="s">
        <v>379</v>
      </c>
      <c r="BN50" s="550" t="s">
        <v>415</v>
      </c>
      <c r="BO50" s="550" t="s">
        <v>379</v>
      </c>
      <c r="BP50" s="550" t="s">
        <v>379</v>
      </c>
      <c r="BQ50" s="550" t="s">
        <v>415</v>
      </c>
      <c r="BR50" s="550" t="s">
        <v>379</v>
      </c>
      <c r="BS50" s="550" t="s">
        <v>381</v>
      </c>
      <c r="BT50" s="550" t="s">
        <v>415</v>
      </c>
      <c r="BU50" s="688">
        <v>0.63</v>
      </c>
      <c r="BV50" s="673" t="s">
        <v>379</v>
      </c>
      <c r="BW50" s="673" t="s">
        <v>415</v>
      </c>
      <c r="BX50" s="673" t="s">
        <v>379</v>
      </c>
      <c r="BY50" s="673" t="s">
        <v>383</v>
      </c>
      <c r="BZ50" s="673" t="s">
        <v>415</v>
      </c>
      <c r="CA50" s="673" t="s">
        <v>383</v>
      </c>
      <c r="CB50" s="673" t="s">
        <v>383</v>
      </c>
      <c r="CC50" s="673" t="s">
        <v>415</v>
      </c>
      <c r="CD50" s="673" t="s">
        <v>383</v>
      </c>
      <c r="CE50" s="673" t="s">
        <v>386</v>
      </c>
      <c r="CF50" s="673" t="s">
        <v>425</v>
      </c>
      <c r="CG50" s="678">
        <v>1.0</v>
      </c>
      <c r="CH50" s="673" t="s">
        <v>413</v>
      </c>
      <c r="CI50" s="673" t="s">
        <v>425</v>
      </c>
      <c r="CJ50" s="678">
        <v>1.0</v>
      </c>
      <c r="CK50" s="673" t="s">
        <v>413</v>
      </c>
      <c r="CL50" s="673" t="s">
        <v>425</v>
      </c>
      <c r="CM50" s="678">
        <v>1.0</v>
      </c>
      <c r="CN50" s="673" t="s">
        <v>413</v>
      </c>
      <c r="CO50" s="673" t="s">
        <v>425</v>
      </c>
      <c r="CP50" s="678">
        <v>1.0</v>
      </c>
      <c r="CQ50" s="673" t="s">
        <v>413</v>
      </c>
      <c r="CR50" s="673" t="s">
        <v>425</v>
      </c>
      <c r="CS50" s="678">
        <v>1.0</v>
      </c>
      <c r="CT50" s="673" t="s">
        <v>413</v>
      </c>
      <c r="CU50" s="673" t="s">
        <v>425</v>
      </c>
      <c r="CV50" s="678">
        <v>1.0</v>
      </c>
      <c r="CW50" s="673" t="s">
        <v>413</v>
      </c>
      <c r="CX50" s="673" t="s">
        <v>425</v>
      </c>
      <c r="CY50" s="678">
        <v>1.0</v>
      </c>
      <c r="CZ50" s="673" t="s">
        <v>413</v>
      </c>
      <c r="DA50" s="673" t="s">
        <v>425</v>
      </c>
      <c r="DB50" s="678">
        <v>1.0</v>
      </c>
      <c r="DC50" s="673" t="s">
        <v>413</v>
      </c>
      <c r="DD50" s="673" t="s">
        <v>425</v>
      </c>
      <c r="DE50" s="678">
        <v>1.0</v>
      </c>
      <c r="DF50" s="673" t="s">
        <v>413</v>
      </c>
      <c r="DG50" s="673" t="s">
        <v>425</v>
      </c>
      <c r="DH50" s="678">
        <v>1.0</v>
      </c>
      <c r="DI50" s="673" t="s">
        <v>413</v>
      </c>
      <c r="DJ50" s="673" t="s">
        <v>425</v>
      </c>
      <c r="DK50" s="678">
        <v>1.0</v>
      </c>
      <c r="DL50" s="673" t="s">
        <v>413</v>
      </c>
      <c r="DM50" s="673" t="s">
        <v>425</v>
      </c>
      <c r="DN50" s="678">
        <v>1.0</v>
      </c>
    </row>
    <row r="51" ht="15.0" customHeight="1">
      <c r="A51" s="53">
        <v>52.0</v>
      </c>
      <c r="B51" s="100" t="s">
        <v>243</v>
      </c>
      <c r="C51" s="100" t="s">
        <v>244</v>
      </c>
      <c r="D51" s="101" t="str">
        <f t="shared" si="4"/>
        <v>DATA</v>
      </c>
      <c r="E51" s="101" t="s">
        <v>237</v>
      </c>
      <c r="F51" s="102">
        <v>1118.0</v>
      </c>
      <c r="G51" s="517" t="s">
        <v>237</v>
      </c>
      <c r="H51" s="517">
        <v>1118.0</v>
      </c>
      <c r="I51" s="68" t="str">
        <f>IFERROR(VLOOKUP(C:C,'R22 RELATÓRIO ACC'!B:F,5,FALSE),"NOT PUBLISHED")</f>
        <v>V59</v>
      </c>
      <c r="J51" s="68" t="str">
        <f>IFERROR(VLOOKUP(C:C,'R22 RELATÓRIO ACC'!B:P,15,FALSE),"NOT PUBLISHED")</f>
        <v>17/04/2026</v>
      </c>
      <c r="K51" s="70" t="str">
        <f>IFERROR(VLOOKUP(B:B,'RELATÓRIO ACC'!B:F,5,FALSE),"NOT PUBLISHED")</f>
        <v>V5</v>
      </c>
      <c r="L51" s="518" t="str">
        <f>IFERROR(VLOOKUP(B:B,'RELATÓRIO ACC'!B:P,15,FALSE),"NOT PUBLISHED")</f>
        <v>06/07/2026</v>
      </c>
      <c r="M51" s="661" t="s">
        <v>448</v>
      </c>
      <c r="N51" s="662">
        <v>45995.0</v>
      </c>
      <c r="O51" s="538" t="s">
        <v>410</v>
      </c>
      <c r="P51" s="663"/>
      <c r="Q51" s="550" t="s">
        <v>381</v>
      </c>
      <c r="R51" s="550" t="s">
        <v>421</v>
      </c>
      <c r="S51" s="667">
        <v>0.1</v>
      </c>
      <c r="T51" s="550" t="s">
        <v>381</v>
      </c>
      <c r="U51" s="550" t="s">
        <v>421</v>
      </c>
      <c r="V51" s="667">
        <v>0.13</v>
      </c>
      <c r="W51" s="550" t="s">
        <v>381</v>
      </c>
      <c r="X51" s="550" t="s">
        <v>421</v>
      </c>
      <c r="Y51" s="667">
        <v>0.14</v>
      </c>
      <c r="Z51" s="550" t="s">
        <v>398</v>
      </c>
      <c r="AA51" s="550" t="s">
        <v>449</v>
      </c>
      <c r="AB51" s="550" t="s">
        <v>398</v>
      </c>
      <c r="AC51" s="550" t="s">
        <v>381</v>
      </c>
      <c r="AD51" s="550" t="s">
        <v>451</v>
      </c>
      <c r="AE51" s="671">
        <v>0.7</v>
      </c>
      <c r="AF51" s="690" t="s">
        <v>383</v>
      </c>
      <c r="AG51" s="550" t="s">
        <v>451</v>
      </c>
      <c r="AH51" s="690" t="s">
        <v>383</v>
      </c>
      <c r="AI51" s="690" t="s">
        <v>381</v>
      </c>
      <c r="AJ51" s="550" t="s">
        <v>431</v>
      </c>
      <c r="AK51" s="664">
        <v>0.97</v>
      </c>
      <c r="AL51" s="550" t="s">
        <v>386</v>
      </c>
      <c r="AM51" s="550" t="s">
        <v>448</v>
      </c>
      <c r="AN51" s="664">
        <v>1.0</v>
      </c>
      <c r="AO51" s="550" t="s">
        <v>413</v>
      </c>
      <c r="AP51" s="550" t="s">
        <v>448</v>
      </c>
      <c r="AQ51" s="664">
        <v>1.0</v>
      </c>
      <c r="AR51" s="550" t="s">
        <v>413</v>
      </c>
      <c r="AS51" s="550" t="s">
        <v>448</v>
      </c>
      <c r="AT51" s="664">
        <v>1.0</v>
      </c>
      <c r="AU51" s="550" t="s">
        <v>413</v>
      </c>
      <c r="AV51" s="550" t="s">
        <v>448</v>
      </c>
      <c r="AW51" s="664">
        <v>1.0</v>
      </c>
      <c r="AX51" s="550" t="s">
        <v>413</v>
      </c>
      <c r="AY51" s="550" t="s">
        <v>448</v>
      </c>
      <c r="AZ51" s="664">
        <v>1.0</v>
      </c>
      <c r="BA51" s="550" t="s">
        <v>413</v>
      </c>
      <c r="BB51" s="550" t="s">
        <v>448</v>
      </c>
      <c r="BC51" s="664">
        <v>1.0</v>
      </c>
      <c r="BD51" s="550" t="s">
        <v>413</v>
      </c>
      <c r="BE51" s="550" t="s">
        <v>448</v>
      </c>
      <c r="BF51" s="664">
        <v>1.0</v>
      </c>
      <c r="BG51" s="550" t="s">
        <v>413</v>
      </c>
      <c r="BH51" s="550" t="s">
        <v>448</v>
      </c>
      <c r="BI51" s="664">
        <v>1.0</v>
      </c>
      <c r="BJ51" s="550" t="s">
        <v>413</v>
      </c>
      <c r="BK51" s="550" t="s">
        <v>448</v>
      </c>
      <c r="BL51" s="664">
        <v>1.0</v>
      </c>
      <c r="BM51" s="550" t="s">
        <v>413</v>
      </c>
      <c r="BN51" s="550" t="s">
        <v>448</v>
      </c>
      <c r="BO51" s="664">
        <v>1.0</v>
      </c>
      <c r="BP51" s="550" t="s">
        <v>413</v>
      </c>
      <c r="BQ51" s="550" t="s">
        <v>448</v>
      </c>
      <c r="BR51" s="664">
        <v>1.0</v>
      </c>
      <c r="BS51" s="550" t="s">
        <v>413</v>
      </c>
      <c r="BT51" s="550" t="s">
        <v>448</v>
      </c>
      <c r="BU51" s="691">
        <v>1.0</v>
      </c>
      <c r="BV51" s="673" t="s">
        <v>413</v>
      </c>
      <c r="BW51" s="673" t="s">
        <v>448</v>
      </c>
      <c r="BX51" s="683">
        <v>1.0</v>
      </c>
      <c r="BY51" s="673" t="s">
        <v>413</v>
      </c>
      <c r="BZ51" s="673" t="s">
        <v>448</v>
      </c>
      <c r="CA51" s="683">
        <v>1.0</v>
      </c>
      <c r="CB51" s="673" t="s">
        <v>413</v>
      </c>
      <c r="CC51" s="673" t="s">
        <v>448</v>
      </c>
      <c r="CD51" s="683">
        <v>1.0</v>
      </c>
      <c r="CE51" s="673" t="s">
        <v>413</v>
      </c>
      <c r="CF51" s="673" t="s">
        <v>448</v>
      </c>
      <c r="CG51" s="683">
        <v>1.0</v>
      </c>
      <c r="CH51" s="673" t="s">
        <v>413</v>
      </c>
      <c r="CI51" s="673" t="s">
        <v>448</v>
      </c>
      <c r="CJ51" s="683">
        <v>1.0</v>
      </c>
      <c r="CK51" s="673" t="s">
        <v>413</v>
      </c>
      <c r="CL51" s="673" t="s">
        <v>448</v>
      </c>
      <c r="CM51" s="683">
        <v>1.0</v>
      </c>
      <c r="CN51" s="673" t="s">
        <v>413</v>
      </c>
      <c r="CO51" s="673" t="s">
        <v>448</v>
      </c>
      <c r="CP51" s="683">
        <v>1.0</v>
      </c>
      <c r="CQ51" s="673" t="s">
        <v>413</v>
      </c>
      <c r="CR51" s="673" t="s">
        <v>448</v>
      </c>
      <c r="CS51" s="683">
        <v>1.0</v>
      </c>
      <c r="CT51" s="673" t="s">
        <v>413</v>
      </c>
      <c r="CU51" s="673" t="s">
        <v>448</v>
      </c>
      <c r="CV51" s="683">
        <v>1.0</v>
      </c>
      <c r="CW51" s="673" t="s">
        <v>413</v>
      </c>
      <c r="CX51" s="673" t="s">
        <v>448</v>
      </c>
      <c r="CY51" s="683">
        <v>1.0</v>
      </c>
      <c r="CZ51" s="673" t="s">
        <v>413</v>
      </c>
      <c r="DA51" s="673" t="s">
        <v>448</v>
      </c>
      <c r="DB51" s="683">
        <v>1.0</v>
      </c>
      <c r="DC51" s="673" t="s">
        <v>413</v>
      </c>
      <c r="DD51" s="673" t="s">
        <v>448</v>
      </c>
      <c r="DE51" s="683">
        <v>1.0</v>
      </c>
      <c r="DF51" s="673" t="s">
        <v>413</v>
      </c>
      <c r="DG51" s="673" t="s">
        <v>448</v>
      </c>
      <c r="DH51" s="683">
        <v>1.0</v>
      </c>
      <c r="DI51" s="673" t="s">
        <v>413</v>
      </c>
      <c r="DJ51" s="673" t="s">
        <v>448</v>
      </c>
      <c r="DK51" s="683">
        <v>1.0</v>
      </c>
      <c r="DL51" s="673" t="s">
        <v>413</v>
      </c>
      <c r="DM51" s="673" t="s">
        <v>448</v>
      </c>
      <c r="DN51" s="683">
        <v>1.0</v>
      </c>
    </row>
    <row r="52" ht="15.0" hidden="1" customHeight="1">
      <c r="A52" s="53">
        <v>51.0</v>
      </c>
      <c r="B52" s="291" t="s">
        <v>242</v>
      </c>
      <c r="C52" s="292"/>
      <c r="D52" s="293"/>
      <c r="E52" s="293"/>
      <c r="F52" s="293"/>
      <c r="G52" s="293"/>
      <c r="H52" s="295"/>
      <c r="I52" s="293"/>
      <c r="J52" s="293"/>
      <c r="K52" s="296"/>
      <c r="L52" s="295"/>
      <c r="M52" s="713"/>
      <c r="N52" s="713"/>
      <c r="O52" s="713"/>
      <c r="P52" s="663"/>
      <c r="Q52" s="637"/>
      <c r="R52" s="637"/>
      <c r="S52" s="714"/>
      <c r="T52" s="637"/>
      <c r="U52" s="637"/>
      <c r="V52" s="714"/>
      <c r="W52" s="637"/>
      <c r="X52" s="637"/>
      <c r="Y52" s="714"/>
      <c r="Z52" s="637"/>
      <c r="AA52" s="637"/>
      <c r="AB52" s="714"/>
      <c r="AC52" s="637"/>
      <c r="AD52" s="637"/>
      <c r="AE52" s="714"/>
      <c r="AF52" s="714"/>
      <c r="AG52" s="714"/>
      <c r="AH52" s="714"/>
      <c r="AI52" s="714"/>
      <c r="AJ52" s="714"/>
      <c r="AK52" s="714"/>
      <c r="AL52" s="714"/>
      <c r="AM52" s="714"/>
      <c r="AN52" s="714"/>
      <c r="AO52" s="714"/>
      <c r="AP52" s="714"/>
      <c r="AQ52" s="714"/>
      <c r="AR52" s="714"/>
      <c r="AS52" s="714"/>
      <c r="AT52" s="714"/>
      <c r="AU52" s="714"/>
      <c r="AV52" s="714"/>
      <c r="AW52" s="714"/>
      <c r="AX52" s="714"/>
      <c r="AY52" s="714"/>
      <c r="AZ52" s="714"/>
      <c r="BA52" s="714"/>
      <c r="BB52" s="714"/>
      <c r="BC52" s="714"/>
      <c r="BD52" s="714"/>
      <c r="BE52" s="714"/>
      <c r="BF52" s="714"/>
      <c r="BG52" s="714"/>
      <c r="BH52" s="714"/>
      <c r="BI52" s="714"/>
      <c r="BJ52" s="714"/>
      <c r="BK52" s="714"/>
      <c r="BL52" s="714"/>
      <c r="BM52" s="714"/>
      <c r="BN52" s="714"/>
      <c r="BO52" s="714"/>
      <c r="BP52" s="714"/>
      <c r="BQ52" s="714"/>
      <c r="BR52" s="714"/>
      <c r="BS52" s="714"/>
      <c r="BT52" s="714"/>
      <c r="BU52" s="715"/>
      <c r="BV52" s="716"/>
      <c r="BW52" s="716"/>
      <c r="BX52" s="716"/>
      <c r="BY52" s="716"/>
      <c r="BZ52" s="716"/>
      <c r="CA52" s="716"/>
      <c r="CB52" s="716"/>
      <c r="CC52" s="716"/>
      <c r="CD52" s="716"/>
      <c r="CE52" s="716"/>
      <c r="CF52" s="716"/>
      <c r="CG52" s="716"/>
      <c r="CH52" s="639"/>
      <c r="CI52" s="639"/>
      <c r="CJ52" s="639"/>
      <c r="CK52" s="639"/>
      <c r="CL52" s="639"/>
      <c r="CM52" s="639"/>
      <c r="CN52" s="639"/>
      <c r="CO52" s="639"/>
      <c r="CP52" s="639"/>
      <c r="CQ52" s="639"/>
      <c r="CR52" s="639"/>
      <c r="CS52" s="639"/>
      <c r="CT52" s="639"/>
      <c r="CU52" s="639"/>
      <c r="CV52" s="639"/>
      <c r="CW52" s="639"/>
      <c r="CX52" s="639"/>
      <c r="CY52" s="639"/>
      <c r="CZ52" s="639"/>
      <c r="DA52" s="639"/>
      <c r="DB52" s="639"/>
      <c r="DC52" s="639"/>
      <c r="DD52" s="639"/>
      <c r="DE52" s="639"/>
      <c r="DF52" s="639"/>
      <c r="DG52" s="639"/>
      <c r="DH52" s="639"/>
      <c r="DI52" s="639"/>
      <c r="DJ52" s="639"/>
      <c r="DK52" s="639"/>
      <c r="DL52" s="639"/>
      <c r="DM52" s="639"/>
      <c r="DN52" s="639"/>
    </row>
    <row r="53" ht="15.0" customHeight="1">
      <c r="A53" s="53">
        <v>50.0</v>
      </c>
      <c r="B53" s="145" t="s">
        <v>238</v>
      </c>
      <c r="C53" s="145" t="s">
        <v>239</v>
      </c>
      <c r="D53" s="101" t="str">
        <f>MID(B53,FIND(CHAR(160),SUBSTITUTE(B53,"-",CHAR(160),3)) + 1,FIND(CHAR(160),SUBSTITUTE(B53,"-",CHAR(160),4)) - 1 - (FIND(CHAR(160),SUBSTITUTE(B53,"-",CHAR(160),3))))</f>
        <v>DATA</v>
      </c>
      <c r="E53" s="101" t="s">
        <v>237</v>
      </c>
      <c r="F53" s="102">
        <v>1118.0</v>
      </c>
      <c r="G53" s="517" t="s">
        <v>237</v>
      </c>
      <c r="H53" s="517">
        <v>1118.0</v>
      </c>
      <c r="I53" s="68" t="str">
        <f>IFERROR(VLOOKUP(C:C,'R22 RELATÓRIO ACC'!B:F,5,FALSE),"NOT PUBLISHED")</f>
        <v>V39</v>
      </c>
      <c r="J53" s="68" t="str">
        <f>IFERROR(VLOOKUP(C:C,'R22 RELATÓRIO ACC'!B:P,15,FALSE),"NOT PUBLISHED")</f>
        <v>30/04/2026</v>
      </c>
      <c r="K53" s="70" t="str">
        <f>IFERROR(VLOOKUP(B:B,'RELATÓRIO ACC'!B:F,5,FALSE),"NOT PUBLISHED")</f>
        <v>V3</v>
      </c>
      <c r="L53" s="518" t="str">
        <f>IFERROR(VLOOKUP(B:B,'RELATÓRIO ACC'!B:P,15,FALSE),"NOT PUBLISHED")</f>
        <v>01/07/2026</v>
      </c>
      <c r="M53" s="661" t="s">
        <v>429</v>
      </c>
      <c r="N53" s="662">
        <v>46050.0</v>
      </c>
      <c r="O53" s="538" t="s">
        <v>410</v>
      </c>
      <c r="P53" s="663" t="s">
        <v>445</v>
      </c>
      <c r="Q53" s="550" t="s">
        <v>379</v>
      </c>
      <c r="R53" s="558">
        <v>0.0</v>
      </c>
      <c r="S53" s="550" t="s">
        <v>379</v>
      </c>
      <c r="T53" s="550" t="s">
        <v>379</v>
      </c>
      <c r="U53" s="558">
        <v>0.0</v>
      </c>
      <c r="V53" s="550" t="s">
        <v>379</v>
      </c>
      <c r="W53" s="550" t="s">
        <v>379</v>
      </c>
      <c r="X53" s="558">
        <v>0.0</v>
      </c>
      <c r="Y53" s="550" t="s">
        <v>379</v>
      </c>
      <c r="Z53" s="550" t="s">
        <v>381</v>
      </c>
      <c r="AA53" s="550" t="s">
        <v>380</v>
      </c>
      <c r="AB53" s="667">
        <v>0.27</v>
      </c>
      <c r="AC53" s="550" t="s">
        <v>379</v>
      </c>
      <c r="AD53" s="550" t="s">
        <v>436</v>
      </c>
      <c r="AE53" s="550" t="s">
        <v>379</v>
      </c>
      <c r="AF53" s="550" t="s">
        <v>398</v>
      </c>
      <c r="AG53" s="550" t="s">
        <v>437</v>
      </c>
      <c r="AH53" s="550" t="s">
        <v>398</v>
      </c>
      <c r="AI53" s="550" t="s">
        <v>383</v>
      </c>
      <c r="AJ53" s="550" t="s">
        <v>437</v>
      </c>
      <c r="AK53" s="550" t="s">
        <v>383</v>
      </c>
      <c r="AL53" s="550" t="s">
        <v>381</v>
      </c>
      <c r="AM53" s="550" t="s">
        <v>432</v>
      </c>
      <c r="AN53" s="671">
        <v>0.94</v>
      </c>
      <c r="AO53" s="550" t="s">
        <v>379</v>
      </c>
      <c r="AP53" s="550" t="s">
        <v>432</v>
      </c>
      <c r="AQ53" s="550" t="s">
        <v>379</v>
      </c>
      <c r="AR53" s="550" t="s">
        <v>381</v>
      </c>
      <c r="AS53" s="550" t="s">
        <v>432</v>
      </c>
      <c r="AT53" s="671">
        <v>0.98</v>
      </c>
      <c r="AU53" s="550" t="s">
        <v>386</v>
      </c>
      <c r="AV53" s="550" t="s">
        <v>429</v>
      </c>
      <c r="AW53" s="664">
        <v>1.0</v>
      </c>
      <c r="AX53" s="550" t="s">
        <v>413</v>
      </c>
      <c r="AY53" s="550" t="s">
        <v>429</v>
      </c>
      <c r="AZ53" s="664">
        <v>1.0</v>
      </c>
      <c r="BA53" s="550" t="s">
        <v>413</v>
      </c>
      <c r="BB53" s="550" t="s">
        <v>429</v>
      </c>
      <c r="BC53" s="664">
        <v>1.0</v>
      </c>
      <c r="BD53" s="550" t="s">
        <v>413</v>
      </c>
      <c r="BE53" s="550" t="s">
        <v>429</v>
      </c>
      <c r="BF53" s="664">
        <v>1.0</v>
      </c>
      <c r="BG53" s="550" t="s">
        <v>413</v>
      </c>
      <c r="BH53" s="550" t="s">
        <v>429</v>
      </c>
      <c r="BI53" s="664">
        <v>1.0</v>
      </c>
      <c r="BJ53" s="550" t="s">
        <v>413</v>
      </c>
      <c r="BK53" s="550" t="s">
        <v>429</v>
      </c>
      <c r="BL53" s="664">
        <v>1.0</v>
      </c>
      <c r="BM53" s="550" t="s">
        <v>413</v>
      </c>
      <c r="BN53" s="550" t="s">
        <v>429</v>
      </c>
      <c r="BO53" s="664">
        <v>1.0</v>
      </c>
      <c r="BP53" s="550" t="s">
        <v>413</v>
      </c>
      <c r="BQ53" s="550" t="s">
        <v>429</v>
      </c>
      <c r="BR53" s="664">
        <v>1.0</v>
      </c>
      <c r="BS53" s="550" t="s">
        <v>413</v>
      </c>
      <c r="BT53" s="550" t="s">
        <v>429</v>
      </c>
      <c r="BU53" s="691">
        <v>1.0</v>
      </c>
      <c r="BV53" s="673" t="s">
        <v>413</v>
      </c>
      <c r="BW53" s="673" t="s">
        <v>429</v>
      </c>
      <c r="BX53" s="683">
        <v>1.0</v>
      </c>
      <c r="BY53" s="673" t="s">
        <v>413</v>
      </c>
      <c r="BZ53" s="673" t="s">
        <v>429</v>
      </c>
      <c r="CA53" s="683">
        <v>1.0</v>
      </c>
      <c r="CB53" s="673" t="s">
        <v>413</v>
      </c>
      <c r="CC53" s="673" t="s">
        <v>429</v>
      </c>
      <c r="CD53" s="683">
        <v>1.0</v>
      </c>
      <c r="CE53" s="673" t="s">
        <v>413</v>
      </c>
      <c r="CF53" s="673" t="s">
        <v>429</v>
      </c>
      <c r="CG53" s="683">
        <v>1.0</v>
      </c>
      <c r="CH53" s="673" t="s">
        <v>413</v>
      </c>
      <c r="CI53" s="673" t="s">
        <v>429</v>
      </c>
      <c r="CJ53" s="683">
        <v>1.0</v>
      </c>
      <c r="CK53" s="673" t="s">
        <v>413</v>
      </c>
      <c r="CL53" s="673" t="s">
        <v>429</v>
      </c>
      <c r="CM53" s="683">
        <v>1.0</v>
      </c>
      <c r="CN53" s="673" t="s">
        <v>413</v>
      </c>
      <c r="CO53" s="673" t="s">
        <v>429</v>
      </c>
      <c r="CP53" s="683">
        <v>1.0</v>
      </c>
      <c r="CQ53" s="673" t="s">
        <v>413</v>
      </c>
      <c r="CR53" s="673" t="s">
        <v>429</v>
      </c>
      <c r="CS53" s="683">
        <v>1.0</v>
      </c>
      <c r="CT53" s="673" t="s">
        <v>413</v>
      </c>
      <c r="CU53" s="673" t="s">
        <v>429</v>
      </c>
      <c r="CV53" s="683">
        <v>1.0</v>
      </c>
      <c r="CW53" s="673" t="s">
        <v>413</v>
      </c>
      <c r="CX53" s="673" t="s">
        <v>429</v>
      </c>
      <c r="CY53" s="683">
        <v>1.0</v>
      </c>
      <c r="CZ53" s="673" t="s">
        <v>413</v>
      </c>
      <c r="DA53" s="673" t="s">
        <v>429</v>
      </c>
      <c r="DB53" s="683">
        <v>1.0</v>
      </c>
      <c r="DC53" s="673" t="s">
        <v>413</v>
      </c>
      <c r="DD53" s="673" t="s">
        <v>429</v>
      </c>
      <c r="DE53" s="683">
        <v>1.0</v>
      </c>
      <c r="DF53" s="673" t="s">
        <v>413</v>
      </c>
      <c r="DG53" s="673" t="s">
        <v>429</v>
      </c>
      <c r="DH53" s="683">
        <v>1.0</v>
      </c>
      <c r="DI53" s="673" t="s">
        <v>413</v>
      </c>
      <c r="DJ53" s="673" t="s">
        <v>429</v>
      </c>
      <c r="DK53" s="683">
        <v>1.0</v>
      </c>
      <c r="DL53" s="673" t="s">
        <v>413</v>
      </c>
      <c r="DM53" s="673" t="s">
        <v>429</v>
      </c>
      <c r="DN53" s="683">
        <v>1.0</v>
      </c>
    </row>
    <row r="54" ht="15.0" hidden="1" customHeight="1">
      <c r="A54" s="53">
        <v>53.0</v>
      </c>
      <c r="B54" s="354" t="s">
        <v>266</v>
      </c>
      <c r="C54" s="355"/>
      <c r="D54" s="356"/>
      <c r="E54" s="356"/>
      <c r="F54" s="356"/>
      <c r="G54" s="356"/>
      <c r="H54" s="358"/>
      <c r="I54" s="356"/>
      <c r="J54" s="356"/>
      <c r="K54" s="359"/>
      <c r="L54" s="356"/>
      <c r="M54" s="717"/>
      <c r="N54" s="717"/>
      <c r="O54" s="717"/>
      <c r="P54" s="663"/>
      <c r="Q54" s="644"/>
      <c r="R54" s="644"/>
      <c r="S54" s="718"/>
      <c r="T54" s="644"/>
      <c r="U54" s="644"/>
      <c r="V54" s="718"/>
      <c r="W54" s="644"/>
      <c r="X54" s="644"/>
      <c r="Y54" s="718"/>
      <c r="Z54" s="644"/>
      <c r="AA54" s="644"/>
      <c r="AB54" s="718"/>
      <c r="AC54" s="644"/>
      <c r="AD54" s="644"/>
      <c r="AE54" s="718"/>
      <c r="AF54" s="718"/>
      <c r="AG54" s="718"/>
      <c r="AH54" s="718"/>
      <c r="AI54" s="718"/>
      <c r="AJ54" s="718"/>
      <c r="AK54" s="718"/>
      <c r="AL54" s="718"/>
      <c r="AM54" s="718"/>
      <c r="AN54" s="718"/>
      <c r="AO54" s="718"/>
      <c r="AP54" s="718"/>
      <c r="AQ54" s="718"/>
      <c r="AR54" s="718"/>
      <c r="AS54" s="718"/>
      <c r="AT54" s="718"/>
      <c r="AU54" s="718"/>
      <c r="AV54" s="718"/>
      <c r="AW54" s="718"/>
      <c r="AX54" s="718"/>
      <c r="AY54" s="718"/>
      <c r="AZ54" s="718"/>
      <c r="BA54" s="718"/>
      <c r="BB54" s="718"/>
      <c r="BC54" s="718"/>
      <c r="BD54" s="718"/>
      <c r="BE54" s="718"/>
      <c r="BF54" s="718"/>
      <c r="BG54" s="718"/>
      <c r="BH54" s="718"/>
      <c r="BI54" s="718"/>
      <c r="BJ54" s="718"/>
      <c r="BK54" s="718"/>
      <c r="BL54" s="718"/>
      <c r="BM54" s="718"/>
      <c r="BN54" s="718"/>
      <c r="BO54" s="718"/>
      <c r="BP54" s="718"/>
      <c r="BQ54" s="718"/>
      <c r="BR54" s="718"/>
      <c r="BS54" s="718"/>
      <c r="BT54" s="718"/>
      <c r="BU54" s="719"/>
      <c r="BV54" s="720"/>
      <c r="BW54" s="720"/>
      <c r="BX54" s="720"/>
      <c r="BY54" s="720"/>
      <c r="BZ54" s="720"/>
      <c r="CA54" s="720"/>
      <c r="CB54" s="720"/>
      <c r="CC54" s="720"/>
      <c r="CD54" s="720"/>
      <c r="CE54" s="720"/>
      <c r="CF54" s="720"/>
      <c r="CG54" s="720"/>
      <c r="CH54" s="646"/>
      <c r="CI54" s="646"/>
      <c r="CJ54" s="646"/>
      <c r="CK54" s="646"/>
      <c r="CL54" s="646"/>
      <c r="CM54" s="646"/>
      <c r="CN54" s="646"/>
      <c r="CO54" s="646"/>
      <c r="CP54" s="646"/>
      <c r="CQ54" s="646"/>
      <c r="CR54" s="646"/>
      <c r="CS54" s="646"/>
      <c r="CT54" s="646"/>
      <c r="CU54" s="646"/>
      <c r="CV54" s="646"/>
      <c r="CW54" s="646"/>
      <c r="CX54" s="646"/>
      <c r="CY54" s="646"/>
      <c r="CZ54" s="646"/>
      <c r="DA54" s="646"/>
      <c r="DB54" s="646"/>
      <c r="DC54" s="646"/>
      <c r="DD54" s="646"/>
      <c r="DE54" s="646"/>
      <c r="DF54" s="646"/>
      <c r="DG54" s="646"/>
      <c r="DH54" s="646"/>
      <c r="DI54" s="646"/>
      <c r="DJ54" s="646"/>
      <c r="DK54" s="646"/>
      <c r="DL54" s="646"/>
      <c r="DM54" s="646"/>
      <c r="DN54" s="646"/>
    </row>
    <row r="55" ht="15.0" customHeight="1">
      <c r="A55" s="53">
        <v>49.0</v>
      </c>
      <c r="B55" s="145" t="s">
        <v>231</v>
      </c>
      <c r="C55" s="145" t="s">
        <v>232</v>
      </c>
      <c r="D55" s="101" t="str">
        <f t="shared" ref="D55:D60" si="5">MID(B55,FIND(CHAR(160),SUBSTITUTE(B55,"-",CHAR(160),3)) + 1,FIND(CHAR(160),SUBSTITUTE(B55,"-",CHAR(160),4)) - 1 - (FIND(CHAR(160),SUBSTITUTE(B55,"-",CHAR(160),3))))</f>
        <v>DATA</v>
      </c>
      <c r="E55" s="101" t="s">
        <v>154</v>
      </c>
      <c r="F55" s="104">
        <v>1112.0</v>
      </c>
      <c r="G55" s="517" t="s">
        <v>155</v>
      </c>
      <c r="H55" s="517">
        <v>1129.0</v>
      </c>
      <c r="I55" s="68" t="str">
        <f>IFERROR(VLOOKUP(C:C,'R22 RELATÓRIO ACC'!B:F,5,FALSE),"NOT PUBLISHED")</f>
        <v>V30</v>
      </c>
      <c r="J55" s="68" t="str">
        <f>IFERROR(VLOOKUP(C:C,'R22 RELATÓRIO ACC'!B:P,15,FALSE),"NOT PUBLISHED")</f>
        <v>24/03/2026</v>
      </c>
      <c r="K55" s="70" t="str">
        <f>IFERROR(VLOOKUP(B:B,'RELATÓRIO ACC'!B:F,5,FALSE),"NOT PUBLISHED")</f>
        <v>V2</v>
      </c>
      <c r="L55" s="518" t="str">
        <f>IFERROR(VLOOKUP(B:B,'RELATÓRIO ACC'!B:P,15,FALSE),"NOT PUBLISHED")</f>
        <v>13/07/2026</v>
      </c>
      <c r="M55" s="661" t="s">
        <v>423</v>
      </c>
      <c r="N55" s="662">
        <v>46014.0</v>
      </c>
      <c r="O55" s="538" t="s">
        <v>410</v>
      </c>
      <c r="P55" s="663" t="s">
        <v>445</v>
      </c>
      <c r="Q55" s="550" t="s">
        <v>379</v>
      </c>
      <c r="R55" s="558">
        <v>0.0</v>
      </c>
      <c r="S55" s="550" t="s">
        <v>379</v>
      </c>
      <c r="T55" s="550" t="s">
        <v>379</v>
      </c>
      <c r="U55" s="558">
        <v>0.0</v>
      </c>
      <c r="V55" s="550" t="s">
        <v>379</v>
      </c>
      <c r="W55" s="550" t="s">
        <v>381</v>
      </c>
      <c r="X55" s="550" t="s">
        <v>421</v>
      </c>
      <c r="Y55" s="667">
        <v>0.2</v>
      </c>
      <c r="Z55" s="550" t="s">
        <v>379</v>
      </c>
      <c r="AA55" s="550" t="s">
        <v>422</v>
      </c>
      <c r="AB55" s="550" t="s">
        <v>379</v>
      </c>
      <c r="AC55" s="550" t="s">
        <v>381</v>
      </c>
      <c r="AD55" s="550" t="s">
        <v>403</v>
      </c>
      <c r="AE55" s="671">
        <v>0.25</v>
      </c>
      <c r="AF55" s="550" t="s">
        <v>379</v>
      </c>
      <c r="AG55" s="550" t="s">
        <v>403</v>
      </c>
      <c r="AH55" s="550" t="s">
        <v>379</v>
      </c>
      <c r="AI55" s="550" t="s">
        <v>383</v>
      </c>
      <c r="AJ55" s="550" t="s">
        <v>431</v>
      </c>
      <c r="AK55" s="550" t="s">
        <v>383</v>
      </c>
      <c r="AL55" s="550" t="s">
        <v>381</v>
      </c>
      <c r="AM55" s="550" t="s">
        <v>404</v>
      </c>
      <c r="AN55" s="671">
        <v>0.67</v>
      </c>
      <c r="AO55" s="550" t="s">
        <v>386</v>
      </c>
      <c r="AP55" s="550" t="s">
        <v>423</v>
      </c>
      <c r="AQ55" s="671">
        <v>1.0</v>
      </c>
      <c r="AR55" s="550" t="s">
        <v>413</v>
      </c>
      <c r="AS55" s="550" t="s">
        <v>423</v>
      </c>
      <c r="AT55" s="671">
        <v>1.0</v>
      </c>
      <c r="AU55" s="550" t="s">
        <v>413</v>
      </c>
      <c r="AV55" s="550" t="s">
        <v>423</v>
      </c>
      <c r="AW55" s="671">
        <v>1.0</v>
      </c>
      <c r="AX55" s="550" t="s">
        <v>413</v>
      </c>
      <c r="AY55" s="550" t="s">
        <v>423</v>
      </c>
      <c r="AZ55" s="671">
        <v>1.0</v>
      </c>
      <c r="BA55" s="550" t="s">
        <v>413</v>
      </c>
      <c r="BB55" s="550" t="s">
        <v>423</v>
      </c>
      <c r="BC55" s="671">
        <v>1.0</v>
      </c>
      <c r="BD55" s="550" t="s">
        <v>413</v>
      </c>
      <c r="BE55" s="550" t="s">
        <v>423</v>
      </c>
      <c r="BF55" s="671">
        <v>1.0</v>
      </c>
      <c r="BG55" s="550" t="s">
        <v>413</v>
      </c>
      <c r="BH55" s="550" t="s">
        <v>423</v>
      </c>
      <c r="BI55" s="671">
        <v>1.0</v>
      </c>
      <c r="BJ55" s="550" t="s">
        <v>413</v>
      </c>
      <c r="BK55" s="550" t="s">
        <v>423</v>
      </c>
      <c r="BL55" s="671">
        <v>1.0</v>
      </c>
      <c r="BM55" s="550" t="s">
        <v>413</v>
      </c>
      <c r="BN55" s="550" t="s">
        <v>423</v>
      </c>
      <c r="BO55" s="671">
        <v>1.0</v>
      </c>
      <c r="BP55" s="550" t="s">
        <v>413</v>
      </c>
      <c r="BQ55" s="550" t="s">
        <v>423</v>
      </c>
      <c r="BR55" s="671">
        <v>1.0</v>
      </c>
      <c r="BS55" s="550" t="s">
        <v>413</v>
      </c>
      <c r="BT55" s="550" t="s">
        <v>423</v>
      </c>
      <c r="BU55" s="688">
        <v>1.0</v>
      </c>
      <c r="BV55" s="673" t="s">
        <v>413</v>
      </c>
      <c r="BW55" s="673" t="s">
        <v>423</v>
      </c>
      <c r="BX55" s="678">
        <v>1.0</v>
      </c>
      <c r="BY55" s="673" t="s">
        <v>413</v>
      </c>
      <c r="BZ55" s="673" t="s">
        <v>423</v>
      </c>
      <c r="CA55" s="678">
        <v>1.0</v>
      </c>
      <c r="CB55" s="673" t="s">
        <v>413</v>
      </c>
      <c r="CC55" s="673" t="s">
        <v>423</v>
      </c>
      <c r="CD55" s="678">
        <v>1.0</v>
      </c>
      <c r="CE55" s="673" t="s">
        <v>413</v>
      </c>
      <c r="CF55" s="673" t="s">
        <v>423</v>
      </c>
      <c r="CG55" s="678">
        <v>1.0</v>
      </c>
      <c r="CH55" s="673" t="s">
        <v>413</v>
      </c>
      <c r="CI55" s="673" t="s">
        <v>423</v>
      </c>
      <c r="CJ55" s="678">
        <v>1.0</v>
      </c>
      <c r="CK55" s="673" t="s">
        <v>413</v>
      </c>
      <c r="CL55" s="673" t="s">
        <v>423</v>
      </c>
      <c r="CM55" s="678">
        <v>1.0</v>
      </c>
      <c r="CN55" s="673" t="s">
        <v>413</v>
      </c>
      <c r="CO55" s="673" t="s">
        <v>423</v>
      </c>
      <c r="CP55" s="678">
        <v>1.0</v>
      </c>
      <c r="CQ55" s="673" t="s">
        <v>413</v>
      </c>
      <c r="CR55" s="673" t="s">
        <v>423</v>
      </c>
      <c r="CS55" s="678">
        <v>1.0</v>
      </c>
      <c r="CT55" s="523" t="s">
        <v>413</v>
      </c>
      <c r="CU55" s="526" t="s">
        <v>423</v>
      </c>
      <c r="CV55" s="721">
        <v>1.0</v>
      </c>
      <c r="CW55" s="523" t="s">
        <v>413</v>
      </c>
      <c r="CX55" s="526" t="s">
        <v>423</v>
      </c>
      <c r="CY55" s="721">
        <v>1.0</v>
      </c>
      <c r="CZ55" s="523" t="s">
        <v>413</v>
      </c>
      <c r="DA55" s="526" t="s">
        <v>423</v>
      </c>
      <c r="DB55" s="721">
        <v>1.0</v>
      </c>
      <c r="DC55" s="523" t="s">
        <v>413</v>
      </c>
      <c r="DD55" s="526" t="s">
        <v>423</v>
      </c>
      <c r="DE55" s="721">
        <v>1.0</v>
      </c>
      <c r="DF55" s="523" t="s">
        <v>413</v>
      </c>
      <c r="DG55" s="526" t="s">
        <v>423</v>
      </c>
      <c r="DH55" s="721">
        <v>1.0</v>
      </c>
      <c r="DI55" s="523" t="s">
        <v>413</v>
      </c>
      <c r="DJ55" s="526" t="s">
        <v>423</v>
      </c>
      <c r="DK55" s="721">
        <v>1.0</v>
      </c>
      <c r="DL55" s="523" t="s">
        <v>413</v>
      </c>
      <c r="DM55" s="526" t="s">
        <v>423</v>
      </c>
      <c r="DN55" s="721">
        <v>1.0</v>
      </c>
    </row>
    <row r="56" ht="15.0" customHeight="1">
      <c r="A56" s="53">
        <v>27.0</v>
      </c>
      <c r="B56" s="100" t="s">
        <v>171</v>
      </c>
      <c r="C56" s="100" t="s">
        <v>172</v>
      </c>
      <c r="D56" s="101" t="str">
        <f t="shared" si="5"/>
        <v>DATA</v>
      </c>
      <c r="E56" s="101" t="s">
        <v>161</v>
      </c>
      <c r="F56" s="104">
        <v>1113.0</v>
      </c>
      <c r="G56" s="517" t="s">
        <v>161</v>
      </c>
      <c r="H56" s="517">
        <v>1113.0</v>
      </c>
      <c r="I56" s="68" t="str">
        <f>IFERROR(VLOOKUP(C:C,'R22 RELATÓRIO ACC'!B:F,5,FALSE),"NOT PUBLISHED")</f>
        <v>V36</v>
      </c>
      <c r="J56" s="68" t="str">
        <f>IFERROR(VLOOKUP(C:C,'R22 RELATÓRIO ACC'!B:P,15,FALSE),"NOT PUBLISHED")</f>
        <v>08/05/2026</v>
      </c>
      <c r="K56" s="70" t="str">
        <f>IFERROR(VLOOKUP(B:B,'RELATÓRIO ACC'!B:F,5,FALSE),"NOT PUBLISHED")</f>
        <v>V2</v>
      </c>
      <c r="L56" s="518" t="str">
        <f>IFERROR(VLOOKUP(B:B,'RELATÓRIO ACC'!B:P,15,FALSE),"NOT PUBLISHED")</f>
        <v>03/06/2026</v>
      </c>
      <c r="M56" s="661" t="s">
        <v>405</v>
      </c>
      <c r="N56" s="668" t="s">
        <v>434</v>
      </c>
      <c r="O56" s="538" t="s">
        <v>410</v>
      </c>
      <c r="P56" s="663"/>
      <c r="Q56" s="550" t="s">
        <v>381</v>
      </c>
      <c r="R56" s="550" t="s">
        <v>421</v>
      </c>
      <c r="S56" s="667">
        <v>0.15</v>
      </c>
      <c r="T56" s="550" t="s">
        <v>379</v>
      </c>
      <c r="U56" s="550">
        <v>0.0</v>
      </c>
      <c r="V56" s="550" t="s">
        <v>379</v>
      </c>
      <c r="W56" s="550" t="s">
        <v>379</v>
      </c>
      <c r="X56" s="550">
        <v>0.0</v>
      </c>
      <c r="Y56" s="550" t="s">
        <v>379</v>
      </c>
      <c r="Z56" s="550" t="s">
        <v>398</v>
      </c>
      <c r="AA56" s="550" t="s">
        <v>403</v>
      </c>
      <c r="AB56" s="550" t="s">
        <v>398</v>
      </c>
      <c r="AC56" s="550" t="s">
        <v>383</v>
      </c>
      <c r="AD56" s="550" t="s">
        <v>421</v>
      </c>
      <c r="AE56" s="550" t="s">
        <v>383</v>
      </c>
      <c r="AF56" s="550" t="s">
        <v>386</v>
      </c>
      <c r="AG56" s="550" t="s">
        <v>405</v>
      </c>
      <c r="AH56" s="664">
        <v>1.0</v>
      </c>
      <c r="AI56" s="550" t="s">
        <v>413</v>
      </c>
      <c r="AJ56" s="550" t="s">
        <v>405</v>
      </c>
      <c r="AK56" s="664">
        <v>1.0</v>
      </c>
      <c r="AL56" s="550" t="s">
        <v>413</v>
      </c>
      <c r="AM56" s="550" t="s">
        <v>405</v>
      </c>
      <c r="AN56" s="664">
        <v>1.0</v>
      </c>
      <c r="AO56" s="550" t="s">
        <v>413</v>
      </c>
      <c r="AP56" s="550" t="s">
        <v>405</v>
      </c>
      <c r="AQ56" s="664">
        <v>1.0</v>
      </c>
      <c r="AR56" s="550" t="s">
        <v>413</v>
      </c>
      <c r="AS56" s="550" t="s">
        <v>405</v>
      </c>
      <c r="AT56" s="664">
        <v>1.0</v>
      </c>
      <c r="AU56" s="550" t="s">
        <v>413</v>
      </c>
      <c r="AV56" s="550" t="s">
        <v>405</v>
      </c>
      <c r="AW56" s="664">
        <v>1.0</v>
      </c>
      <c r="AX56" s="550" t="s">
        <v>413</v>
      </c>
      <c r="AY56" s="550" t="s">
        <v>405</v>
      </c>
      <c r="AZ56" s="664">
        <v>1.0</v>
      </c>
      <c r="BA56" s="550" t="s">
        <v>413</v>
      </c>
      <c r="BB56" s="550" t="s">
        <v>405</v>
      </c>
      <c r="BC56" s="664">
        <v>1.0</v>
      </c>
      <c r="BD56" s="550" t="s">
        <v>413</v>
      </c>
      <c r="BE56" s="550" t="s">
        <v>405</v>
      </c>
      <c r="BF56" s="664">
        <v>1.0</v>
      </c>
      <c r="BG56" s="550" t="s">
        <v>413</v>
      </c>
      <c r="BH56" s="550" t="s">
        <v>405</v>
      </c>
      <c r="BI56" s="664">
        <v>1.0</v>
      </c>
      <c r="BJ56" s="550" t="s">
        <v>413</v>
      </c>
      <c r="BK56" s="550" t="s">
        <v>405</v>
      </c>
      <c r="BL56" s="664">
        <v>1.0</v>
      </c>
      <c r="BM56" s="550" t="s">
        <v>413</v>
      </c>
      <c r="BN56" s="550" t="s">
        <v>405</v>
      </c>
      <c r="BO56" s="664">
        <v>1.0</v>
      </c>
      <c r="BP56" s="550" t="s">
        <v>413</v>
      </c>
      <c r="BQ56" s="550" t="s">
        <v>405</v>
      </c>
      <c r="BR56" s="664">
        <v>1.0</v>
      </c>
      <c r="BS56" s="550" t="s">
        <v>413</v>
      </c>
      <c r="BT56" s="550" t="s">
        <v>405</v>
      </c>
      <c r="BU56" s="691">
        <v>1.0</v>
      </c>
      <c r="BV56" s="673" t="s">
        <v>413</v>
      </c>
      <c r="BW56" s="673" t="s">
        <v>405</v>
      </c>
      <c r="BX56" s="683">
        <v>1.0</v>
      </c>
      <c r="BY56" s="673" t="s">
        <v>413</v>
      </c>
      <c r="BZ56" s="673" t="s">
        <v>405</v>
      </c>
      <c r="CA56" s="683">
        <v>1.0</v>
      </c>
      <c r="CB56" s="673" t="s">
        <v>413</v>
      </c>
      <c r="CC56" s="673" t="s">
        <v>405</v>
      </c>
      <c r="CD56" s="683">
        <v>1.0</v>
      </c>
      <c r="CE56" s="673" t="s">
        <v>413</v>
      </c>
      <c r="CF56" s="673" t="s">
        <v>405</v>
      </c>
      <c r="CG56" s="683">
        <v>1.0</v>
      </c>
      <c r="CH56" s="673" t="s">
        <v>413</v>
      </c>
      <c r="CI56" s="673" t="s">
        <v>405</v>
      </c>
      <c r="CJ56" s="683">
        <v>1.0</v>
      </c>
      <c r="CK56" s="673" t="s">
        <v>413</v>
      </c>
      <c r="CL56" s="673" t="s">
        <v>405</v>
      </c>
      <c r="CM56" s="683">
        <v>1.0</v>
      </c>
      <c r="CN56" s="673" t="s">
        <v>413</v>
      </c>
      <c r="CO56" s="673" t="s">
        <v>405</v>
      </c>
      <c r="CP56" s="683">
        <v>1.0</v>
      </c>
      <c r="CQ56" s="673" t="s">
        <v>413</v>
      </c>
      <c r="CR56" s="673" t="s">
        <v>405</v>
      </c>
      <c r="CS56" s="683">
        <v>1.0</v>
      </c>
      <c r="CT56" s="673" t="s">
        <v>413</v>
      </c>
      <c r="CU56" s="673" t="s">
        <v>405</v>
      </c>
      <c r="CV56" s="683">
        <v>1.0</v>
      </c>
      <c r="CW56" s="673" t="s">
        <v>413</v>
      </c>
      <c r="CX56" s="673" t="s">
        <v>405</v>
      </c>
      <c r="CY56" s="683">
        <v>1.0</v>
      </c>
      <c r="CZ56" s="673" t="s">
        <v>413</v>
      </c>
      <c r="DA56" s="673" t="s">
        <v>405</v>
      </c>
      <c r="DB56" s="683">
        <v>1.0</v>
      </c>
      <c r="DC56" s="673" t="s">
        <v>413</v>
      </c>
      <c r="DD56" s="673" t="s">
        <v>405</v>
      </c>
      <c r="DE56" s="683">
        <v>1.0</v>
      </c>
      <c r="DF56" s="673" t="s">
        <v>413</v>
      </c>
      <c r="DG56" s="673" t="s">
        <v>405</v>
      </c>
      <c r="DH56" s="683">
        <v>1.0</v>
      </c>
      <c r="DI56" s="673" t="s">
        <v>413</v>
      </c>
      <c r="DJ56" s="673" t="s">
        <v>405</v>
      </c>
      <c r="DK56" s="683">
        <v>1.0</v>
      </c>
      <c r="DL56" s="673" t="s">
        <v>413</v>
      </c>
      <c r="DM56" s="673" t="s">
        <v>405</v>
      </c>
      <c r="DN56" s="683">
        <v>1.0</v>
      </c>
    </row>
    <row r="57" ht="15.0" customHeight="1">
      <c r="A57" s="53">
        <v>37.0</v>
      </c>
      <c r="B57" s="100" t="s">
        <v>197</v>
      </c>
      <c r="C57" s="100" t="s">
        <v>198</v>
      </c>
      <c r="D57" s="101" t="str">
        <f t="shared" si="5"/>
        <v>DATA</v>
      </c>
      <c r="E57" s="101" t="s">
        <v>196</v>
      </c>
      <c r="F57" s="102">
        <v>1115.0</v>
      </c>
      <c r="G57" s="517" t="s">
        <v>196</v>
      </c>
      <c r="H57" s="517">
        <v>1115.0</v>
      </c>
      <c r="I57" s="68" t="str">
        <f>IFERROR(VLOOKUP(C:C,'R22 RELATÓRIO ACC'!B:F,5,FALSE),"NOT PUBLISHED")</f>
        <v>V40</v>
      </c>
      <c r="J57" s="68" t="str">
        <f>IFERROR(VLOOKUP(C:C,'R22 RELATÓRIO ACC'!B:P,15,FALSE),"NOT PUBLISHED")</f>
        <v>06/05/2026</v>
      </c>
      <c r="K57" s="70" t="str">
        <f>IFERROR(VLOOKUP(B:B,'RELATÓRIO ACC'!B:F,5,FALSE),"NOT PUBLISHED")</f>
        <v>V3</v>
      </c>
      <c r="L57" s="518" t="str">
        <f>IFERROR(VLOOKUP(B:B,'RELATÓRIO ACC'!B:P,15,FALSE),"NOT PUBLISHED")</f>
        <v>13/07/2026</v>
      </c>
      <c r="M57" s="677" t="s">
        <v>408</v>
      </c>
      <c r="N57" s="722" t="s">
        <v>439</v>
      </c>
      <c r="O57" s="538" t="s">
        <v>410</v>
      </c>
      <c r="P57" s="663"/>
      <c r="Q57" s="550" t="s">
        <v>381</v>
      </c>
      <c r="R57" s="550" t="s">
        <v>421</v>
      </c>
      <c r="S57" s="667">
        <v>0.01</v>
      </c>
      <c r="T57" s="550" t="s">
        <v>381</v>
      </c>
      <c r="U57" s="550" t="s">
        <v>421</v>
      </c>
      <c r="V57" s="667">
        <v>0.07</v>
      </c>
      <c r="W57" s="550" t="s">
        <v>381</v>
      </c>
      <c r="X57" s="550" t="s">
        <v>421</v>
      </c>
      <c r="Y57" s="667">
        <v>0.8</v>
      </c>
      <c r="Z57" s="550" t="s">
        <v>383</v>
      </c>
      <c r="AA57" s="550" t="s">
        <v>407</v>
      </c>
      <c r="AB57" s="550" t="s">
        <v>383</v>
      </c>
      <c r="AC57" s="550" t="s">
        <v>381</v>
      </c>
      <c r="AD57" s="550" t="s">
        <v>431</v>
      </c>
      <c r="AE57" s="667">
        <v>0.91</v>
      </c>
      <c r="AF57" s="550" t="s">
        <v>386</v>
      </c>
      <c r="AG57" s="550" t="s">
        <v>408</v>
      </c>
      <c r="AH57" s="664">
        <v>1.0</v>
      </c>
      <c r="AI57" s="550" t="s">
        <v>413</v>
      </c>
      <c r="AJ57" s="550" t="s">
        <v>408</v>
      </c>
      <c r="AK57" s="664">
        <v>1.0</v>
      </c>
      <c r="AL57" s="550" t="s">
        <v>413</v>
      </c>
      <c r="AM57" s="550" t="s">
        <v>408</v>
      </c>
      <c r="AN57" s="664">
        <v>1.0</v>
      </c>
      <c r="AO57" s="550" t="s">
        <v>413</v>
      </c>
      <c r="AP57" s="550" t="s">
        <v>408</v>
      </c>
      <c r="AQ57" s="664">
        <v>1.0</v>
      </c>
      <c r="AR57" s="550" t="s">
        <v>413</v>
      </c>
      <c r="AS57" s="550" t="s">
        <v>408</v>
      </c>
      <c r="AT57" s="664">
        <v>1.0</v>
      </c>
      <c r="AU57" s="550" t="s">
        <v>413</v>
      </c>
      <c r="AV57" s="550" t="s">
        <v>408</v>
      </c>
      <c r="AW57" s="664">
        <v>1.0</v>
      </c>
      <c r="AX57" s="550" t="s">
        <v>413</v>
      </c>
      <c r="AY57" s="550" t="s">
        <v>408</v>
      </c>
      <c r="AZ57" s="664">
        <v>1.0</v>
      </c>
      <c r="BA57" s="550" t="s">
        <v>413</v>
      </c>
      <c r="BB57" s="550" t="s">
        <v>408</v>
      </c>
      <c r="BC57" s="664">
        <v>1.0</v>
      </c>
      <c r="BD57" s="550" t="s">
        <v>413</v>
      </c>
      <c r="BE57" s="550" t="s">
        <v>408</v>
      </c>
      <c r="BF57" s="664">
        <v>1.0</v>
      </c>
      <c r="BG57" s="550" t="s">
        <v>413</v>
      </c>
      <c r="BH57" s="550" t="s">
        <v>408</v>
      </c>
      <c r="BI57" s="664">
        <v>1.0</v>
      </c>
      <c r="BJ57" s="550" t="s">
        <v>413</v>
      </c>
      <c r="BK57" s="550" t="s">
        <v>408</v>
      </c>
      <c r="BL57" s="664">
        <v>1.0</v>
      </c>
      <c r="BM57" s="550" t="s">
        <v>413</v>
      </c>
      <c r="BN57" s="550" t="s">
        <v>408</v>
      </c>
      <c r="BO57" s="664">
        <v>1.0</v>
      </c>
      <c r="BP57" s="550" t="s">
        <v>413</v>
      </c>
      <c r="BQ57" s="550" t="s">
        <v>408</v>
      </c>
      <c r="BR57" s="664">
        <v>1.0</v>
      </c>
      <c r="BS57" s="550" t="s">
        <v>413</v>
      </c>
      <c r="BT57" s="550" t="s">
        <v>408</v>
      </c>
      <c r="BU57" s="691">
        <v>1.0</v>
      </c>
      <c r="BV57" s="673" t="s">
        <v>413</v>
      </c>
      <c r="BW57" s="673" t="s">
        <v>408</v>
      </c>
      <c r="BX57" s="683">
        <v>1.0</v>
      </c>
      <c r="BY57" s="673" t="s">
        <v>413</v>
      </c>
      <c r="BZ57" s="673" t="s">
        <v>408</v>
      </c>
      <c r="CA57" s="683">
        <v>1.0</v>
      </c>
      <c r="CB57" s="673" t="s">
        <v>413</v>
      </c>
      <c r="CC57" s="673" t="s">
        <v>408</v>
      </c>
      <c r="CD57" s="683">
        <v>1.0</v>
      </c>
      <c r="CE57" s="673" t="s">
        <v>413</v>
      </c>
      <c r="CF57" s="673" t="s">
        <v>408</v>
      </c>
      <c r="CG57" s="683">
        <v>1.0</v>
      </c>
      <c r="CH57" s="673" t="s">
        <v>413</v>
      </c>
      <c r="CI57" s="673" t="s">
        <v>408</v>
      </c>
      <c r="CJ57" s="683">
        <v>1.0</v>
      </c>
      <c r="CK57" s="673" t="s">
        <v>413</v>
      </c>
      <c r="CL57" s="673" t="s">
        <v>408</v>
      </c>
      <c r="CM57" s="683">
        <v>1.0</v>
      </c>
      <c r="CN57" s="673" t="s">
        <v>413</v>
      </c>
      <c r="CO57" s="673" t="s">
        <v>408</v>
      </c>
      <c r="CP57" s="683">
        <v>1.0</v>
      </c>
      <c r="CQ57" s="673" t="s">
        <v>413</v>
      </c>
      <c r="CR57" s="673" t="s">
        <v>408</v>
      </c>
      <c r="CS57" s="683">
        <v>1.0</v>
      </c>
      <c r="CT57" s="673" t="s">
        <v>413</v>
      </c>
      <c r="CU57" s="673" t="s">
        <v>408</v>
      </c>
      <c r="CV57" s="683">
        <v>1.0</v>
      </c>
      <c r="CW57" s="673" t="s">
        <v>413</v>
      </c>
      <c r="CX57" s="673" t="s">
        <v>408</v>
      </c>
      <c r="CY57" s="683">
        <v>1.0</v>
      </c>
      <c r="CZ57" s="673" t="s">
        <v>413</v>
      </c>
      <c r="DA57" s="673" t="s">
        <v>408</v>
      </c>
      <c r="DB57" s="683">
        <v>1.0</v>
      </c>
      <c r="DC57" s="673" t="s">
        <v>413</v>
      </c>
      <c r="DD57" s="673" t="s">
        <v>408</v>
      </c>
      <c r="DE57" s="683">
        <v>1.0</v>
      </c>
      <c r="DF57" s="673" t="s">
        <v>413</v>
      </c>
      <c r="DG57" s="673" t="s">
        <v>408</v>
      </c>
      <c r="DH57" s="683">
        <v>1.0</v>
      </c>
      <c r="DI57" s="673" t="s">
        <v>413</v>
      </c>
      <c r="DJ57" s="673" t="s">
        <v>408</v>
      </c>
      <c r="DK57" s="683">
        <v>1.0</v>
      </c>
      <c r="DL57" s="673" t="s">
        <v>413</v>
      </c>
      <c r="DM57" s="673" t="s">
        <v>408</v>
      </c>
      <c r="DN57" s="683">
        <v>1.0</v>
      </c>
    </row>
    <row r="58" ht="15.0" customHeight="1">
      <c r="A58" s="53">
        <v>35.0</v>
      </c>
      <c r="B58" s="145" t="s">
        <v>189</v>
      </c>
      <c r="C58" s="145" t="s">
        <v>190</v>
      </c>
      <c r="D58" s="101" t="str">
        <f t="shared" si="5"/>
        <v>DATA</v>
      </c>
      <c r="E58" s="101" t="s">
        <v>154</v>
      </c>
      <c r="F58" s="102">
        <v>1112.0</v>
      </c>
      <c r="G58" s="517" t="s">
        <v>155</v>
      </c>
      <c r="H58" s="517">
        <v>1129.0</v>
      </c>
      <c r="I58" s="68" t="str">
        <f>IFERROR(VLOOKUP(C:C,'R22 RELATÓRIO ACC'!B:F,5,FALSE),"NOT PUBLISHED")</f>
        <v>V39</v>
      </c>
      <c r="J58" s="68" t="str">
        <f>IFERROR(VLOOKUP(C:C,'R22 RELATÓRIO ACC'!B:P,15,FALSE),"NOT PUBLISHED")</f>
        <v>19/03/2026</v>
      </c>
      <c r="K58" s="70" t="str">
        <f>IFERROR(VLOOKUP(B:B,'RELATÓRIO ACC'!B:F,5,FALSE),"NOT PUBLISHED")</f>
        <v>V5</v>
      </c>
      <c r="L58" s="518" t="str">
        <f>IFERROR(VLOOKUP(B:B,'RELATÓRIO ACC'!B:P,15,FALSE),"NOT PUBLISHED")</f>
        <v>10/07/2026</v>
      </c>
      <c r="M58" s="661" t="s">
        <v>429</v>
      </c>
      <c r="N58" s="662">
        <v>46002.0</v>
      </c>
      <c r="O58" s="538" t="s">
        <v>410</v>
      </c>
      <c r="P58" s="663" t="s">
        <v>445</v>
      </c>
      <c r="Q58" s="550" t="s">
        <v>381</v>
      </c>
      <c r="R58" s="550" t="s">
        <v>421</v>
      </c>
      <c r="S58" s="667">
        <v>0.08</v>
      </c>
      <c r="T58" s="550" t="s">
        <v>379</v>
      </c>
      <c r="U58" s="550">
        <v>0.0</v>
      </c>
      <c r="V58" s="550" t="s">
        <v>379</v>
      </c>
      <c r="W58" s="550" t="s">
        <v>381</v>
      </c>
      <c r="X58" s="550" t="s">
        <v>421</v>
      </c>
      <c r="Y58" s="667">
        <v>0.08</v>
      </c>
      <c r="Z58" s="550" t="s">
        <v>383</v>
      </c>
      <c r="AA58" s="550" t="s">
        <v>408</v>
      </c>
      <c r="AB58" s="550" t="s">
        <v>383</v>
      </c>
      <c r="AC58" s="550" t="s">
        <v>381</v>
      </c>
      <c r="AD58" s="550" t="s">
        <v>432</v>
      </c>
      <c r="AE58" s="671">
        <v>0.56</v>
      </c>
      <c r="AF58" s="690" t="s">
        <v>383</v>
      </c>
      <c r="AG58" s="550" t="s">
        <v>432</v>
      </c>
      <c r="AH58" s="690" t="s">
        <v>383</v>
      </c>
      <c r="AI58" s="550" t="s">
        <v>383</v>
      </c>
      <c r="AJ58" s="550" t="s">
        <v>431</v>
      </c>
      <c r="AK58" s="550" t="s">
        <v>383</v>
      </c>
      <c r="AL58" s="550" t="s">
        <v>381</v>
      </c>
      <c r="AM58" s="550" t="s">
        <v>438</v>
      </c>
      <c r="AN58" s="671">
        <v>0.75</v>
      </c>
      <c r="AO58" s="550" t="s">
        <v>386</v>
      </c>
      <c r="AP58" s="550" t="s">
        <v>429</v>
      </c>
      <c r="AQ58" s="671">
        <v>1.0</v>
      </c>
      <c r="AR58" s="550" t="s">
        <v>413</v>
      </c>
      <c r="AS58" s="550" t="s">
        <v>429</v>
      </c>
      <c r="AT58" s="671">
        <v>1.0</v>
      </c>
      <c r="AU58" s="550" t="s">
        <v>413</v>
      </c>
      <c r="AV58" s="550" t="s">
        <v>429</v>
      </c>
      <c r="AW58" s="671">
        <v>1.0</v>
      </c>
      <c r="AX58" s="550" t="s">
        <v>413</v>
      </c>
      <c r="AY58" s="550" t="s">
        <v>429</v>
      </c>
      <c r="AZ58" s="671">
        <v>1.0</v>
      </c>
      <c r="BA58" s="550" t="s">
        <v>413</v>
      </c>
      <c r="BB58" s="550" t="s">
        <v>429</v>
      </c>
      <c r="BC58" s="671">
        <v>1.0</v>
      </c>
      <c r="BD58" s="550" t="s">
        <v>413</v>
      </c>
      <c r="BE58" s="550" t="s">
        <v>429</v>
      </c>
      <c r="BF58" s="671">
        <v>1.0</v>
      </c>
      <c r="BG58" s="550" t="s">
        <v>413</v>
      </c>
      <c r="BH58" s="550" t="s">
        <v>429</v>
      </c>
      <c r="BI58" s="671">
        <v>1.0</v>
      </c>
      <c r="BJ58" s="550" t="s">
        <v>413</v>
      </c>
      <c r="BK58" s="550" t="s">
        <v>429</v>
      </c>
      <c r="BL58" s="671">
        <v>1.0</v>
      </c>
      <c r="BM58" s="550" t="s">
        <v>413</v>
      </c>
      <c r="BN58" s="550" t="s">
        <v>429</v>
      </c>
      <c r="BO58" s="671">
        <v>1.0</v>
      </c>
      <c r="BP58" s="550" t="s">
        <v>413</v>
      </c>
      <c r="BQ58" s="550" t="s">
        <v>429</v>
      </c>
      <c r="BR58" s="671">
        <v>1.0</v>
      </c>
      <c r="BS58" s="550" t="s">
        <v>413</v>
      </c>
      <c r="BT58" s="550" t="s">
        <v>429</v>
      </c>
      <c r="BU58" s="688">
        <v>1.0</v>
      </c>
      <c r="BV58" s="673" t="s">
        <v>413</v>
      </c>
      <c r="BW58" s="673" t="s">
        <v>429</v>
      </c>
      <c r="BX58" s="678">
        <v>1.0</v>
      </c>
      <c r="BY58" s="673" t="s">
        <v>413</v>
      </c>
      <c r="BZ58" s="673" t="s">
        <v>429</v>
      </c>
      <c r="CA58" s="678">
        <v>1.0</v>
      </c>
      <c r="CB58" s="673" t="s">
        <v>413</v>
      </c>
      <c r="CC58" s="673" t="s">
        <v>429</v>
      </c>
      <c r="CD58" s="678">
        <v>1.0</v>
      </c>
      <c r="CE58" s="673" t="s">
        <v>413</v>
      </c>
      <c r="CF58" s="673" t="s">
        <v>429</v>
      </c>
      <c r="CG58" s="678">
        <v>1.0</v>
      </c>
      <c r="CH58" s="673" t="s">
        <v>413</v>
      </c>
      <c r="CI58" s="673" t="s">
        <v>429</v>
      </c>
      <c r="CJ58" s="678">
        <v>1.0</v>
      </c>
      <c r="CK58" s="673" t="s">
        <v>413</v>
      </c>
      <c r="CL58" s="673" t="s">
        <v>429</v>
      </c>
      <c r="CM58" s="678">
        <v>1.0</v>
      </c>
      <c r="CN58" s="673" t="s">
        <v>413</v>
      </c>
      <c r="CO58" s="673" t="s">
        <v>429</v>
      </c>
      <c r="CP58" s="678">
        <v>1.0</v>
      </c>
      <c r="CQ58" s="673" t="s">
        <v>413</v>
      </c>
      <c r="CR58" s="673" t="s">
        <v>429</v>
      </c>
      <c r="CS58" s="678">
        <v>1.0</v>
      </c>
      <c r="CT58" s="673" t="s">
        <v>413</v>
      </c>
      <c r="CU58" s="673" t="s">
        <v>429</v>
      </c>
      <c r="CV58" s="678">
        <v>1.0</v>
      </c>
      <c r="CW58" s="673" t="s">
        <v>413</v>
      </c>
      <c r="CX58" s="673" t="s">
        <v>429</v>
      </c>
      <c r="CY58" s="678">
        <v>1.0</v>
      </c>
      <c r="CZ58" s="673" t="s">
        <v>413</v>
      </c>
      <c r="DA58" s="673" t="s">
        <v>429</v>
      </c>
      <c r="DB58" s="678">
        <v>1.0</v>
      </c>
      <c r="DC58" s="673" t="s">
        <v>413</v>
      </c>
      <c r="DD58" s="673" t="s">
        <v>429</v>
      </c>
      <c r="DE58" s="678">
        <v>1.0</v>
      </c>
      <c r="DF58" s="673" t="s">
        <v>413</v>
      </c>
      <c r="DG58" s="673" t="s">
        <v>429</v>
      </c>
      <c r="DH58" s="678">
        <v>1.0</v>
      </c>
      <c r="DI58" s="673" t="s">
        <v>413</v>
      </c>
      <c r="DJ58" s="673" t="s">
        <v>429</v>
      </c>
      <c r="DK58" s="678">
        <v>1.0</v>
      </c>
      <c r="DL58" s="673" t="s">
        <v>413</v>
      </c>
      <c r="DM58" s="673" t="s">
        <v>429</v>
      </c>
      <c r="DN58" s="678">
        <v>1.0</v>
      </c>
    </row>
    <row r="59" ht="15.0" customHeight="1">
      <c r="A59" s="53">
        <v>54.0</v>
      </c>
      <c r="B59" s="100" t="s">
        <v>267</v>
      </c>
      <c r="C59" s="100" t="s">
        <v>268</v>
      </c>
      <c r="D59" s="101" t="str">
        <f t="shared" si="5"/>
        <v>DATA</v>
      </c>
      <c r="E59" s="101" t="s">
        <v>269</v>
      </c>
      <c r="F59" s="102"/>
      <c r="G59" s="534" t="s">
        <v>270</v>
      </c>
      <c r="H59" s="535"/>
      <c r="I59" s="68" t="str">
        <f>IFERROR(VLOOKUP(C:C,'R22 RELATÓRIO ACC'!B:F,5,FALSE),"NOT PUBLISHED")</f>
        <v>V10</v>
      </c>
      <c r="J59" s="68" t="str">
        <f>IFERROR(VLOOKUP(C:C,'R22 RELATÓRIO ACC'!B:P,15,FALSE),"NOT PUBLISHED")</f>
        <v>22/04/2026</v>
      </c>
      <c r="K59" s="70" t="str">
        <f>IFERROR(VLOOKUP(B:B,'RELATÓRIO ACC'!B:F,5,FALSE),"NOT PUBLISHED")</f>
        <v>V1</v>
      </c>
      <c r="L59" s="518" t="str">
        <f>IFERROR(VLOOKUP(B:B,'RELATÓRIO ACC'!B:P,15,FALSE),"NOT PUBLISHED")</f>
        <v>15/05/2026</v>
      </c>
      <c r="M59" s="661" t="s">
        <v>412</v>
      </c>
      <c r="N59" s="662">
        <v>46001.0</v>
      </c>
      <c r="O59" s="538" t="s">
        <v>410</v>
      </c>
      <c r="P59" s="663"/>
      <c r="Q59" s="550" t="s">
        <v>381</v>
      </c>
      <c r="R59" s="550" t="s">
        <v>421</v>
      </c>
      <c r="S59" s="667">
        <v>0.01</v>
      </c>
      <c r="T59" s="550" t="s">
        <v>379</v>
      </c>
      <c r="U59" s="550">
        <v>0.0</v>
      </c>
      <c r="V59" s="550" t="s">
        <v>379</v>
      </c>
      <c r="W59" s="550" t="s">
        <v>381</v>
      </c>
      <c r="X59" s="550" t="s">
        <v>421</v>
      </c>
      <c r="Y59" s="667">
        <v>0.22</v>
      </c>
      <c r="Z59" s="550" t="s">
        <v>383</v>
      </c>
      <c r="AA59" s="550" t="s">
        <v>399</v>
      </c>
      <c r="AB59" s="550" t="s">
        <v>383</v>
      </c>
      <c r="AC59" s="550" t="s">
        <v>398</v>
      </c>
      <c r="AD59" s="550" t="s">
        <v>411</v>
      </c>
      <c r="AE59" s="550" t="s">
        <v>398</v>
      </c>
      <c r="AF59" s="690" t="s">
        <v>383</v>
      </c>
      <c r="AG59" s="550" t="s">
        <v>411</v>
      </c>
      <c r="AH59" s="690" t="s">
        <v>383</v>
      </c>
      <c r="AI59" s="690" t="s">
        <v>381</v>
      </c>
      <c r="AJ59" s="550" t="s">
        <v>428</v>
      </c>
      <c r="AK59" s="664">
        <v>0.81</v>
      </c>
      <c r="AL59" s="550" t="s">
        <v>383</v>
      </c>
      <c r="AM59" s="550" t="s">
        <v>428</v>
      </c>
      <c r="AN59" s="550" t="s">
        <v>383</v>
      </c>
      <c r="AO59" s="550" t="s">
        <v>386</v>
      </c>
      <c r="AP59" s="550" t="s">
        <v>412</v>
      </c>
      <c r="AQ59" s="664">
        <v>1.0</v>
      </c>
      <c r="AR59" s="550" t="s">
        <v>413</v>
      </c>
      <c r="AS59" s="550" t="s">
        <v>412</v>
      </c>
      <c r="AT59" s="664">
        <v>1.0</v>
      </c>
      <c r="AU59" s="550" t="s">
        <v>413</v>
      </c>
      <c r="AV59" s="550" t="s">
        <v>412</v>
      </c>
      <c r="AW59" s="664">
        <v>1.0</v>
      </c>
      <c r="AX59" s="550" t="s">
        <v>413</v>
      </c>
      <c r="AY59" s="550" t="s">
        <v>412</v>
      </c>
      <c r="AZ59" s="664">
        <v>1.0</v>
      </c>
      <c r="BA59" s="550" t="s">
        <v>413</v>
      </c>
      <c r="BB59" s="550" t="s">
        <v>412</v>
      </c>
      <c r="BC59" s="664">
        <v>1.0</v>
      </c>
      <c r="BD59" s="550" t="s">
        <v>413</v>
      </c>
      <c r="BE59" s="550" t="s">
        <v>412</v>
      </c>
      <c r="BF59" s="664">
        <v>1.0</v>
      </c>
      <c r="BG59" s="550" t="s">
        <v>413</v>
      </c>
      <c r="BH59" s="550" t="s">
        <v>412</v>
      </c>
      <c r="BI59" s="664">
        <v>1.0</v>
      </c>
      <c r="BJ59" s="550" t="s">
        <v>413</v>
      </c>
      <c r="BK59" s="550" t="s">
        <v>412</v>
      </c>
      <c r="BL59" s="664">
        <v>1.0</v>
      </c>
      <c r="BM59" s="550" t="s">
        <v>413</v>
      </c>
      <c r="BN59" s="550" t="s">
        <v>412</v>
      </c>
      <c r="BO59" s="664">
        <v>1.0</v>
      </c>
      <c r="BP59" s="550" t="s">
        <v>413</v>
      </c>
      <c r="BQ59" s="550" t="s">
        <v>412</v>
      </c>
      <c r="BR59" s="664">
        <v>1.0</v>
      </c>
      <c r="BS59" s="550" t="s">
        <v>413</v>
      </c>
      <c r="BT59" s="550" t="s">
        <v>412</v>
      </c>
      <c r="BU59" s="691">
        <v>1.0</v>
      </c>
      <c r="BV59" s="673" t="s">
        <v>413</v>
      </c>
      <c r="BW59" s="673" t="s">
        <v>412</v>
      </c>
      <c r="BX59" s="683">
        <v>1.0</v>
      </c>
      <c r="BY59" s="673" t="s">
        <v>413</v>
      </c>
      <c r="BZ59" s="673" t="s">
        <v>412</v>
      </c>
      <c r="CA59" s="683">
        <v>1.0</v>
      </c>
      <c r="CB59" s="673" t="s">
        <v>413</v>
      </c>
      <c r="CC59" s="673" t="s">
        <v>412</v>
      </c>
      <c r="CD59" s="683">
        <v>1.0</v>
      </c>
      <c r="CE59" s="673" t="s">
        <v>413</v>
      </c>
      <c r="CF59" s="673" t="s">
        <v>412</v>
      </c>
      <c r="CG59" s="683">
        <v>1.0</v>
      </c>
      <c r="CH59" s="673" t="s">
        <v>413</v>
      </c>
      <c r="CI59" s="673" t="s">
        <v>412</v>
      </c>
      <c r="CJ59" s="683">
        <v>1.0</v>
      </c>
      <c r="CK59" s="673" t="s">
        <v>413</v>
      </c>
      <c r="CL59" s="673" t="s">
        <v>412</v>
      </c>
      <c r="CM59" s="683">
        <v>1.0</v>
      </c>
      <c r="CN59" s="673" t="s">
        <v>413</v>
      </c>
      <c r="CO59" s="673" t="s">
        <v>412</v>
      </c>
      <c r="CP59" s="683">
        <v>1.0</v>
      </c>
      <c r="CQ59" s="673" t="s">
        <v>413</v>
      </c>
      <c r="CR59" s="673" t="s">
        <v>412</v>
      </c>
      <c r="CS59" s="683">
        <v>1.0</v>
      </c>
      <c r="CT59" s="673" t="s">
        <v>413</v>
      </c>
      <c r="CU59" s="673" t="s">
        <v>412</v>
      </c>
      <c r="CV59" s="683">
        <v>1.0</v>
      </c>
      <c r="CW59" s="673" t="s">
        <v>413</v>
      </c>
      <c r="CX59" s="673" t="s">
        <v>412</v>
      </c>
      <c r="CY59" s="683">
        <v>1.0</v>
      </c>
      <c r="CZ59" s="673" t="s">
        <v>413</v>
      </c>
      <c r="DA59" s="673" t="s">
        <v>412</v>
      </c>
      <c r="DB59" s="683">
        <v>1.0</v>
      </c>
      <c r="DC59" s="673" t="s">
        <v>413</v>
      </c>
      <c r="DD59" s="673" t="s">
        <v>412</v>
      </c>
      <c r="DE59" s="683">
        <v>1.0</v>
      </c>
      <c r="DF59" s="673" t="s">
        <v>413</v>
      </c>
      <c r="DG59" s="673" t="s">
        <v>412</v>
      </c>
      <c r="DH59" s="683">
        <v>1.0</v>
      </c>
      <c r="DI59" s="673" t="s">
        <v>413</v>
      </c>
      <c r="DJ59" s="673" t="s">
        <v>412</v>
      </c>
      <c r="DK59" s="683">
        <v>1.0</v>
      </c>
      <c r="DL59" s="673" t="s">
        <v>413</v>
      </c>
      <c r="DM59" s="673" t="s">
        <v>412</v>
      </c>
      <c r="DN59" s="683">
        <v>1.0</v>
      </c>
    </row>
    <row r="60" ht="15.0" customHeight="1">
      <c r="A60" s="53">
        <v>55.0</v>
      </c>
      <c r="B60" s="100" t="s">
        <v>273</v>
      </c>
      <c r="C60" s="100" t="s">
        <v>274</v>
      </c>
      <c r="D60" s="111" t="str">
        <f t="shared" si="5"/>
        <v>DATA</v>
      </c>
      <c r="E60" s="101" t="s">
        <v>269</v>
      </c>
      <c r="F60" s="102"/>
      <c r="G60" s="118" t="s">
        <v>270</v>
      </c>
      <c r="H60" s="723">
        <v>0.0</v>
      </c>
      <c r="I60" s="68" t="str">
        <f>IFERROR(VLOOKUP(C:C,'R22 RELATÓRIO ACC'!B:F,5,FALSE),"NOT PUBLISHED")</f>
        <v>V11</v>
      </c>
      <c r="J60" s="68" t="str">
        <f>IFERROR(VLOOKUP(C:C,'R22 RELATÓRIO ACC'!B:P,15,FALSE),"NOT PUBLISHED")</f>
        <v>28/04/2026</v>
      </c>
      <c r="K60" s="70" t="str">
        <f>IFERROR(VLOOKUP(B:B,'RELATÓRIO ACC'!B:F,5,FALSE),"NOT PUBLISHED")</f>
        <v>V1</v>
      </c>
      <c r="L60" s="518" t="str">
        <f>IFERROR(VLOOKUP(B:B,'RELATÓRIO ACC'!B:P,15,FALSE),"NOT PUBLISHED")</f>
        <v>15/05/2026</v>
      </c>
      <c r="M60" s="661" t="s">
        <v>382</v>
      </c>
      <c r="N60" s="668" t="s">
        <v>453</v>
      </c>
      <c r="O60" s="538" t="s">
        <v>410</v>
      </c>
      <c r="P60" s="663"/>
      <c r="Q60" s="550" t="s">
        <v>381</v>
      </c>
      <c r="R60" s="550" t="s">
        <v>421</v>
      </c>
      <c r="S60" s="667">
        <v>0.01</v>
      </c>
      <c r="T60" s="550" t="s">
        <v>379</v>
      </c>
      <c r="U60" s="550">
        <v>0.0</v>
      </c>
      <c r="V60" s="550" t="s">
        <v>379</v>
      </c>
      <c r="W60" s="550" t="s">
        <v>381</v>
      </c>
      <c r="X60" s="550" t="s">
        <v>421</v>
      </c>
      <c r="Y60" s="667">
        <v>0.21</v>
      </c>
      <c r="Z60" s="550" t="s">
        <v>383</v>
      </c>
      <c r="AA60" s="550" t="s">
        <v>399</v>
      </c>
      <c r="AB60" s="550" t="s">
        <v>383</v>
      </c>
      <c r="AC60" s="550" t="s">
        <v>398</v>
      </c>
      <c r="AD60" s="550" t="s">
        <v>411</v>
      </c>
      <c r="AE60" s="550" t="s">
        <v>398</v>
      </c>
      <c r="AF60" s="690" t="s">
        <v>383</v>
      </c>
      <c r="AG60" s="550" t="s">
        <v>411</v>
      </c>
      <c r="AH60" s="690" t="s">
        <v>383</v>
      </c>
      <c r="AI60" s="690" t="s">
        <v>381</v>
      </c>
      <c r="AJ60" s="550" t="s">
        <v>428</v>
      </c>
      <c r="AK60" s="664">
        <v>0.79</v>
      </c>
      <c r="AL60" s="550" t="s">
        <v>383</v>
      </c>
      <c r="AM60" s="550" t="s">
        <v>428</v>
      </c>
      <c r="AN60" s="550" t="s">
        <v>383</v>
      </c>
      <c r="AO60" s="550" t="s">
        <v>381</v>
      </c>
      <c r="AP60" s="550" t="s">
        <v>412</v>
      </c>
      <c r="AQ60" s="664">
        <v>0.86</v>
      </c>
      <c r="AR60" s="550" t="s">
        <v>383</v>
      </c>
      <c r="AS60" s="550" t="s">
        <v>412</v>
      </c>
      <c r="AT60" s="550" t="s">
        <v>383</v>
      </c>
      <c r="AU60" s="550" t="s">
        <v>386</v>
      </c>
      <c r="AV60" s="550" t="s">
        <v>382</v>
      </c>
      <c r="AW60" s="664">
        <v>1.0</v>
      </c>
      <c r="AX60" s="550" t="s">
        <v>413</v>
      </c>
      <c r="AY60" s="550" t="s">
        <v>382</v>
      </c>
      <c r="AZ60" s="664">
        <v>1.0</v>
      </c>
      <c r="BA60" s="550" t="s">
        <v>413</v>
      </c>
      <c r="BB60" s="550" t="s">
        <v>382</v>
      </c>
      <c r="BC60" s="664">
        <v>1.0</v>
      </c>
      <c r="BD60" s="550" t="s">
        <v>413</v>
      </c>
      <c r="BE60" s="550" t="s">
        <v>382</v>
      </c>
      <c r="BF60" s="664">
        <v>1.0</v>
      </c>
      <c r="BG60" s="550" t="s">
        <v>413</v>
      </c>
      <c r="BH60" s="550" t="s">
        <v>382</v>
      </c>
      <c r="BI60" s="664">
        <v>1.0</v>
      </c>
      <c r="BJ60" s="550" t="s">
        <v>413</v>
      </c>
      <c r="BK60" s="550" t="s">
        <v>382</v>
      </c>
      <c r="BL60" s="664">
        <v>1.0</v>
      </c>
      <c r="BM60" s="550" t="s">
        <v>413</v>
      </c>
      <c r="BN60" s="550" t="s">
        <v>382</v>
      </c>
      <c r="BO60" s="664">
        <v>1.0</v>
      </c>
      <c r="BP60" s="550" t="s">
        <v>413</v>
      </c>
      <c r="BQ60" s="550" t="s">
        <v>382</v>
      </c>
      <c r="BR60" s="664">
        <v>1.0</v>
      </c>
      <c r="BS60" s="550" t="s">
        <v>413</v>
      </c>
      <c r="BT60" s="550" t="s">
        <v>382</v>
      </c>
      <c r="BU60" s="691">
        <v>1.0</v>
      </c>
      <c r="BV60" s="673" t="s">
        <v>413</v>
      </c>
      <c r="BW60" s="673" t="s">
        <v>382</v>
      </c>
      <c r="BX60" s="683">
        <v>1.0</v>
      </c>
      <c r="BY60" s="673" t="s">
        <v>413</v>
      </c>
      <c r="BZ60" s="673" t="s">
        <v>382</v>
      </c>
      <c r="CA60" s="683">
        <v>1.0</v>
      </c>
      <c r="CB60" s="673" t="s">
        <v>413</v>
      </c>
      <c r="CC60" s="673" t="s">
        <v>382</v>
      </c>
      <c r="CD60" s="683">
        <v>1.0</v>
      </c>
      <c r="CE60" s="673" t="s">
        <v>413</v>
      </c>
      <c r="CF60" s="673" t="s">
        <v>382</v>
      </c>
      <c r="CG60" s="683">
        <v>1.0</v>
      </c>
      <c r="CH60" s="673" t="s">
        <v>413</v>
      </c>
      <c r="CI60" s="673" t="s">
        <v>382</v>
      </c>
      <c r="CJ60" s="683">
        <v>1.0</v>
      </c>
      <c r="CK60" s="673" t="s">
        <v>413</v>
      </c>
      <c r="CL60" s="673" t="s">
        <v>382</v>
      </c>
      <c r="CM60" s="683">
        <v>1.0</v>
      </c>
      <c r="CN60" s="673" t="s">
        <v>413</v>
      </c>
      <c r="CO60" s="673" t="s">
        <v>382</v>
      </c>
      <c r="CP60" s="683">
        <v>1.0</v>
      </c>
      <c r="CQ60" s="673" t="s">
        <v>413</v>
      </c>
      <c r="CR60" s="673" t="s">
        <v>382</v>
      </c>
      <c r="CS60" s="683">
        <v>1.0</v>
      </c>
      <c r="CT60" s="673" t="s">
        <v>413</v>
      </c>
      <c r="CU60" s="673" t="s">
        <v>382</v>
      </c>
      <c r="CV60" s="683">
        <v>1.0</v>
      </c>
      <c r="CW60" s="673" t="s">
        <v>413</v>
      </c>
      <c r="CX60" s="673" t="s">
        <v>382</v>
      </c>
      <c r="CY60" s="683">
        <v>1.0</v>
      </c>
      <c r="CZ60" s="673" t="s">
        <v>413</v>
      </c>
      <c r="DA60" s="673" t="s">
        <v>382</v>
      </c>
      <c r="DB60" s="683">
        <v>1.0</v>
      </c>
      <c r="DC60" s="673" t="s">
        <v>413</v>
      </c>
      <c r="DD60" s="673" t="s">
        <v>382</v>
      </c>
      <c r="DE60" s="683">
        <v>1.0</v>
      </c>
      <c r="DF60" s="673" t="s">
        <v>413</v>
      </c>
      <c r="DG60" s="673" t="s">
        <v>382</v>
      </c>
      <c r="DH60" s="683">
        <v>1.0</v>
      </c>
      <c r="DI60" s="673" t="s">
        <v>413</v>
      </c>
      <c r="DJ60" s="673" t="s">
        <v>382</v>
      </c>
      <c r="DK60" s="683">
        <v>1.0</v>
      </c>
      <c r="DL60" s="673" t="s">
        <v>413</v>
      </c>
      <c r="DM60" s="673" t="s">
        <v>382</v>
      </c>
      <c r="DN60" s="683">
        <v>1.0</v>
      </c>
    </row>
    <row r="61" ht="15.0" customHeight="1">
      <c r="A61" s="53">
        <v>58.0</v>
      </c>
      <c r="B61" s="100" t="s">
        <v>290</v>
      </c>
      <c r="C61" s="100" t="s">
        <v>290</v>
      </c>
      <c r="D61" s="101" t="str">
        <f>MID(B61,17,4)</f>
        <v>COL1</v>
      </c>
      <c r="E61" s="111" t="s">
        <v>289</v>
      </c>
      <c r="F61" s="102">
        <v>1125.0</v>
      </c>
      <c r="G61" s="102" t="s">
        <v>289</v>
      </c>
      <c r="H61" s="517">
        <v>1125.0</v>
      </c>
      <c r="I61" s="68" t="str">
        <f>IFERROR(VLOOKUP(C:C,'R22 RELATÓRIO ACC'!B:F,5,FALSE),"NOT PUBLISHED")</f>
        <v>V7</v>
      </c>
      <c r="J61" s="68" t="str">
        <f>IFERROR(VLOOKUP(C:C,'R22 RELATÓRIO ACC'!B:P,15,FALSE),"NOT PUBLISHED")</f>
        <v>07/11/2025</v>
      </c>
      <c r="K61" s="70" t="str">
        <f>IFERROR(VLOOKUP(B:B,'RELATÓRIO ACC'!B:F,5,FALSE),"NOT PUBLISHED")</f>
        <v>V1</v>
      </c>
      <c r="L61" s="518" t="str">
        <f>IFERROR(VLOOKUP(B:B,'RELATÓRIO ACC'!B:P,15,FALSE),"NOT PUBLISHED")</f>
        <v>21/05/2026</v>
      </c>
      <c r="M61" s="661" t="s">
        <v>412</v>
      </c>
      <c r="N61" s="668" t="s">
        <v>454</v>
      </c>
      <c r="O61" s="538" t="s">
        <v>410</v>
      </c>
      <c r="P61" s="663"/>
      <c r="Q61" s="550" t="s">
        <v>379</v>
      </c>
      <c r="R61" s="558">
        <v>0.0</v>
      </c>
      <c r="S61" s="550" t="s">
        <v>379</v>
      </c>
      <c r="T61" s="550" t="s">
        <v>379</v>
      </c>
      <c r="U61" s="558">
        <v>0.0</v>
      </c>
      <c r="V61" s="550" t="s">
        <v>379</v>
      </c>
      <c r="W61" s="550" t="s">
        <v>379</v>
      </c>
      <c r="X61" s="558">
        <v>0.0</v>
      </c>
      <c r="Y61" s="550" t="s">
        <v>379</v>
      </c>
      <c r="Z61" s="550" t="s">
        <v>379</v>
      </c>
      <c r="AA61" s="550" t="s">
        <v>380</v>
      </c>
      <c r="AB61" s="550" t="s">
        <v>379</v>
      </c>
      <c r="AC61" s="550" t="s">
        <v>379</v>
      </c>
      <c r="AD61" s="550" t="s">
        <v>380</v>
      </c>
      <c r="AE61" s="550" t="s">
        <v>379</v>
      </c>
      <c r="AF61" s="550" t="s">
        <v>386</v>
      </c>
      <c r="AG61" s="550" t="s">
        <v>412</v>
      </c>
      <c r="AH61" s="664">
        <v>1.0</v>
      </c>
      <c r="AI61" s="550" t="s">
        <v>413</v>
      </c>
      <c r="AJ61" s="550" t="s">
        <v>412</v>
      </c>
      <c r="AK61" s="664">
        <v>1.0</v>
      </c>
      <c r="AL61" s="550" t="s">
        <v>413</v>
      </c>
      <c r="AM61" s="550" t="s">
        <v>412</v>
      </c>
      <c r="AN61" s="664">
        <v>1.0</v>
      </c>
      <c r="AO61" s="550" t="s">
        <v>413</v>
      </c>
      <c r="AP61" s="550" t="s">
        <v>412</v>
      </c>
      <c r="AQ61" s="664">
        <v>1.0</v>
      </c>
      <c r="AR61" s="550" t="s">
        <v>413</v>
      </c>
      <c r="AS61" s="550" t="s">
        <v>412</v>
      </c>
      <c r="AT61" s="664">
        <v>1.0</v>
      </c>
      <c r="AU61" s="550" t="s">
        <v>413</v>
      </c>
      <c r="AV61" s="550" t="s">
        <v>412</v>
      </c>
      <c r="AW61" s="664">
        <v>1.0</v>
      </c>
      <c r="AX61" s="550" t="s">
        <v>413</v>
      </c>
      <c r="AY61" s="550" t="s">
        <v>412</v>
      </c>
      <c r="AZ61" s="664">
        <v>1.0</v>
      </c>
      <c r="BA61" s="550" t="s">
        <v>413</v>
      </c>
      <c r="BB61" s="550" t="s">
        <v>412</v>
      </c>
      <c r="BC61" s="664">
        <v>1.0</v>
      </c>
      <c r="BD61" s="550" t="s">
        <v>413</v>
      </c>
      <c r="BE61" s="550" t="s">
        <v>412</v>
      </c>
      <c r="BF61" s="664">
        <v>1.0</v>
      </c>
      <c r="BG61" s="550" t="s">
        <v>413</v>
      </c>
      <c r="BH61" s="550" t="s">
        <v>412</v>
      </c>
      <c r="BI61" s="664">
        <v>1.0</v>
      </c>
      <c r="BJ61" s="550" t="s">
        <v>413</v>
      </c>
      <c r="BK61" s="550" t="s">
        <v>412</v>
      </c>
      <c r="BL61" s="664">
        <v>1.0</v>
      </c>
      <c r="BM61" s="550" t="s">
        <v>413</v>
      </c>
      <c r="BN61" s="550" t="s">
        <v>412</v>
      </c>
      <c r="BO61" s="664">
        <v>1.0</v>
      </c>
      <c r="BP61" s="550" t="s">
        <v>413</v>
      </c>
      <c r="BQ61" s="550" t="s">
        <v>412</v>
      </c>
      <c r="BR61" s="664">
        <v>1.0</v>
      </c>
      <c r="BS61" s="550" t="s">
        <v>413</v>
      </c>
      <c r="BT61" s="550" t="s">
        <v>412</v>
      </c>
      <c r="BU61" s="691">
        <v>1.0</v>
      </c>
      <c r="BV61" s="673" t="s">
        <v>413</v>
      </c>
      <c r="BW61" s="673" t="s">
        <v>412</v>
      </c>
      <c r="BX61" s="683">
        <v>1.0</v>
      </c>
      <c r="BY61" s="673" t="s">
        <v>413</v>
      </c>
      <c r="BZ61" s="673" t="s">
        <v>412</v>
      </c>
      <c r="CA61" s="683">
        <v>1.0</v>
      </c>
      <c r="CB61" s="673" t="s">
        <v>413</v>
      </c>
      <c r="CC61" s="673" t="s">
        <v>412</v>
      </c>
      <c r="CD61" s="683">
        <v>1.0</v>
      </c>
      <c r="CE61" s="673" t="s">
        <v>413</v>
      </c>
      <c r="CF61" s="673" t="s">
        <v>412</v>
      </c>
      <c r="CG61" s="683">
        <v>1.0</v>
      </c>
      <c r="CH61" s="673" t="s">
        <v>413</v>
      </c>
      <c r="CI61" s="673" t="s">
        <v>412</v>
      </c>
      <c r="CJ61" s="683">
        <v>1.0</v>
      </c>
      <c r="CK61" s="673" t="s">
        <v>413</v>
      </c>
      <c r="CL61" s="673" t="s">
        <v>412</v>
      </c>
      <c r="CM61" s="683">
        <v>1.0</v>
      </c>
      <c r="CN61" s="673" t="s">
        <v>413</v>
      </c>
      <c r="CO61" s="673" t="s">
        <v>412</v>
      </c>
      <c r="CP61" s="683">
        <v>1.0</v>
      </c>
      <c r="CQ61" s="673" t="s">
        <v>413</v>
      </c>
      <c r="CR61" s="673" t="s">
        <v>412</v>
      </c>
      <c r="CS61" s="683">
        <v>1.0</v>
      </c>
      <c r="CT61" s="673" t="s">
        <v>413</v>
      </c>
      <c r="CU61" s="673" t="s">
        <v>412</v>
      </c>
      <c r="CV61" s="683">
        <v>1.0</v>
      </c>
      <c r="CW61" s="673" t="s">
        <v>413</v>
      </c>
      <c r="CX61" s="673" t="s">
        <v>412</v>
      </c>
      <c r="CY61" s="683">
        <v>1.0</v>
      </c>
      <c r="CZ61" s="673" t="s">
        <v>413</v>
      </c>
      <c r="DA61" s="673" t="s">
        <v>412</v>
      </c>
      <c r="DB61" s="683">
        <v>1.0</v>
      </c>
      <c r="DC61" s="673" t="s">
        <v>413</v>
      </c>
      <c r="DD61" s="673" t="s">
        <v>412</v>
      </c>
      <c r="DE61" s="683">
        <v>1.0</v>
      </c>
      <c r="DF61" s="673" t="s">
        <v>413</v>
      </c>
      <c r="DG61" s="673" t="s">
        <v>412</v>
      </c>
      <c r="DH61" s="683">
        <v>1.0</v>
      </c>
      <c r="DI61" s="673" t="s">
        <v>413</v>
      </c>
      <c r="DJ61" s="673" t="s">
        <v>412</v>
      </c>
      <c r="DK61" s="683">
        <v>1.0</v>
      </c>
      <c r="DL61" s="673" t="s">
        <v>413</v>
      </c>
      <c r="DM61" s="673" t="s">
        <v>412</v>
      </c>
      <c r="DN61" s="683">
        <v>1.0</v>
      </c>
    </row>
    <row r="62">
      <c r="A62" s="53">
        <v>21.0</v>
      </c>
      <c r="B62" s="145" t="s">
        <v>152</v>
      </c>
      <c r="C62" s="145" t="s">
        <v>153</v>
      </c>
      <c r="D62" s="101" t="str">
        <f t="shared" ref="D62:D63" si="6">MID(B62,FIND(CHAR(160),SUBSTITUTE(B62,"-",CHAR(160),3)) + 1,FIND(CHAR(160),SUBSTITUTE(B62,"-",CHAR(160),4)) - 1 - (FIND(CHAR(160),SUBSTITUTE(B62,"-",CHAR(160),3))))</f>
        <v>DATA</v>
      </c>
      <c r="E62" s="101" t="s">
        <v>154</v>
      </c>
      <c r="F62" s="102">
        <v>1112.0</v>
      </c>
      <c r="G62" s="102" t="s">
        <v>155</v>
      </c>
      <c r="H62" s="517">
        <v>1129.0</v>
      </c>
      <c r="I62" s="68" t="str">
        <f>IFERROR(VLOOKUP(C:C,'R22 RELATÓRIO ACC'!B:F,5,FALSE),"NOT PUBLISHED")</f>
        <v>V40</v>
      </c>
      <c r="J62" s="68" t="str">
        <f>IFERROR(VLOOKUP(C:C,'R22 RELATÓRIO ACC'!B:P,15,FALSE),"NOT PUBLISHED")</f>
        <v>10/04/2026</v>
      </c>
      <c r="K62" s="70" t="str">
        <f>IFERROR(VLOOKUP(B:B,'RELATÓRIO ACC'!B:F,5,FALSE),"NOT PUBLISHED")</f>
        <v>V3</v>
      </c>
      <c r="L62" s="518" t="str">
        <f>IFERROR(VLOOKUP(B:B,'RELATÓRIO ACC'!B:P,15,FALSE),"NOT PUBLISHED")</f>
        <v>13/07/2026</v>
      </c>
      <c r="M62" s="661" t="s">
        <v>429</v>
      </c>
      <c r="N62" s="662">
        <v>46029.0</v>
      </c>
      <c r="O62" s="538" t="s">
        <v>410</v>
      </c>
      <c r="P62" s="663" t="s">
        <v>445</v>
      </c>
      <c r="Q62" s="550" t="s">
        <v>381</v>
      </c>
      <c r="R62" s="550" t="s">
        <v>421</v>
      </c>
      <c r="S62" s="667">
        <v>0.17</v>
      </c>
      <c r="T62" s="550" t="s">
        <v>379</v>
      </c>
      <c r="U62" s="550" t="s">
        <v>421</v>
      </c>
      <c r="V62" s="550" t="s">
        <v>379</v>
      </c>
      <c r="W62" s="550" t="s">
        <v>381</v>
      </c>
      <c r="X62" s="550">
        <v>0.0</v>
      </c>
      <c r="Y62" s="667">
        <v>0.18</v>
      </c>
      <c r="Z62" s="550" t="s">
        <v>383</v>
      </c>
      <c r="AA62" s="550" t="s">
        <v>406</v>
      </c>
      <c r="AB62" s="550" t="s">
        <v>383</v>
      </c>
      <c r="AC62" s="550" t="s">
        <v>381</v>
      </c>
      <c r="AD62" s="550" t="s">
        <v>408</v>
      </c>
      <c r="AE62" s="671">
        <v>0.55</v>
      </c>
      <c r="AF62" s="690" t="s">
        <v>383</v>
      </c>
      <c r="AG62" s="550" t="s">
        <v>408</v>
      </c>
      <c r="AH62" s="690" t="s">
        <v>383</v>
      </c>
      <c r="AI62" s="550" t="s">
        <v>383</v>
      </c>
      <c r="AJ62" s="550" t="s">
        <v>431</v>
      </c>
      <c r="AK62" s="550" t="s">
        <v>383</v>
      </c>
      <c r="AL62" s="550" t="s">
        <v>381</v>
      </c>
      <c r="AM62" s="550" t="s">
        <v>432</v>
      </c>
      <c r="AN62" s="671">
        <v>0.57</v>
      </c>
      <c r="AO62" s="550" t="s">
        <v>381</v>
      </c>
      <c r="AP62" s="550" t="s">
        <v>429</v>
      </c>
      <c r="AQ62" s="671">
        <v>0.98</v>
      </c>
      <c r="AR62" s="550" t="s">
        <v>386</v>
      </c>
      <c r="AS62" s="550" t="s">
        <v>429</v>
      </c>
      <c r="AT62" s="671">
        <v>1.0</v>
      </c>
      <c r="AU62" s="550" t="s">
        <v>413</v>
      </c>
      <c r="AV62" s="550" t="s">
        <v>429</v>
      </c>
      <c r="AW62" s="671">
        <v>1.0</v>
      </c>
      <c r="AX62" s="550" t="s">
        <v>413</v>
      </c>
      <c r="AY62" s="550" t="s">
        <v>429</v>
      </c>
      <c r="AZ62" s="671">
        <v>1.0</v>
      </c>
      <c r="BA62" s="550" t="s">
        <v>413</v>
      </c>
      <c r="BB62" s="550" t="s">
        <v>429</v>
      </c>
      <c r="BC62" s="671">
        <v>1.0</v>
      </c>
      <c r="BD62" s="550" t="s">
        <v>413</v>
      </c>
      <c r="BE62" s="550" t="s">
        <v>429</v>
      </c>
      <c r="BF62" s="671">
        <v>1.0</v>
      </c>
      <c r="BG62" s="550" t="s">
        <v>413</v>
      </c>
      <c r="BH62" s="550" t="s">
        <v>429</v>
      </c>
      <c r="BI62" s="671">
        <v>1.0</v>
      </c>
      <c r="BJ62" s="550" t="s">
        <v>413</v>
      </c>
      <c r="BK62" s="550" t="s">
        <v>429</v>
      </c>
      <c r="BL62" s="671">
        <v>1.0</v>
      </c>
      <c r="BM62" s="550" t="s">
        <v>413</v>
      </c>
      <c r="BN62" s="550" t="s">
        <v>429</v>
      </c>
      <c r="BO62" s="671">
        <v>1.0</v>
      </c>
      <c r="BP62" s="550" t="s">
        <v>413</v>
      </c>
      <c r="BQ62" s="550" t="s">
        <v>429</v>
      </c>
      <c r="BR62" s="671">
        <v>1.0</v>
      </c>
      <c r="BS62" s="550" t="s">
        <v>413</v>
      </c>
      <c r="BT62" s="550" t="s">
        <v>429</v>
      </c>
      <c r="BU62" s="688">
        <v>1.0</v>
      </c>
      <c r="BV62" s="673" t="s">
        <v>413</v>
      </c>
      <c r="BW62" s="673" t="s">
        <v>429</v>
      </c>
      <c r="BX62" s="678">
        <v>1.0</v>
      </c>
      <c r="BY62" s="673" t="s">
        <v>413</v>
      </c>
      <c r="BZ62" s="673" t="s">
        <v>429</v>
      </c>
      <c r="CA62" s="678">
        <v>1.0</v>
      </c>
      <c r="CB62" s="673" t="s">
        <v>413</v>
      </c>
      <c r="CC62" s="673" t="s">
        <v>429</v>
      </c>
      <c r="CD62" s="678">
        <v>1.0</v>
      </c>
      <c r="CE62" s="673" t="s">
        <v>413</v>
      </c>
      <c r="CF62" s="673" t="s">
        <v>429</v>
      </c>
      <c r="CG62" s="678">
        <v>1.0</v>
      </c>
      <c r="CH62" s="673" t="s">
        <v>413</v>
      </c>
      <c r="CI62" s="673" t="s">
        <v>429</v>
      </c>
      <c r="CJ62" s="678">
        <v>1.0</v>
      </c>
      <c r="CK62" s="673" t="s">
        <v>413</v>
      </c>
      <c r="CL62" s="673" t="s">
        <v>429</v>
      </c>
      <c r="CM62" s="678">
        <v>1.0</v>
      </c>
      <c r="CN62" s="673" t="s">
        <v>413</v>
      </c>
      <c r="CO62" s="673" t="s">
        <v>429</v>
      </c>
      <c r="CP62" s="678">
        <v>1.0</v>
      </c>
      <c r="CQ62" s="673" t="s">
        <v>413</v>
      </c>
      <c r="CR62" s="673" t="s">
        <v>429</v>
      </c>
      <c r="CS62" s="678">
        <v>1.0</v>
      </c>
      <c r="CT62" s="673" t="s">
        <v>413</v>
      </c>
      <c r="CU62" s="673" t="s">
        <v>429</v>
      </c>
      <c r="CV62" s="678">
        <v>1.0</v>
      </c>
      <c r="CW62" s="673" t="s">
        <v>413</v>
      </c>
      <c r="CX62" s="673" t="s">
        <v>429</v>
      </c>
      <c r="CY62" s="678">
        <v>1.0</v>
      </c>
      <c r="CZ62" s="673" t="s">
        <v>413</v>
      </c>
      <c r="DA62" s="673" t="s">
        <v>429</v>
      </c>
      <c r="DB62" s="678">
        <v>1.0</v>
      </c>
      <c r="DC62" s="673" t="s">
        <v>413</v>
      </c>
      <c r="DD62" s="673" t="s">
        <v>429</v>
      </c>
      <c r="DE62" s="678">
        <v>1.0</v>
      </c>
      <c r="DF62" s="673" t="s">
        <v>413</v>
      </c>
      <c r="DG62" s="673" t="s">
        <v>429</v>
      </c>
      <c r="DH62" s="678">
        <v>1.0</v>
      </c>
      <c r="DI62" s="673" t="s">
        <v>413</v>
      </c>
      <c r="DJ62" s="673" t="s">
        <v>429</v>
      </c>
      <c r="DK62" s="678">
        <v>1.0</v>
      </c>
      <c r="DL62" s="673" t="s">
        <v>413</v>
      </c>
      <c r="DM62" s="673" t="s">
        <v>429</v>
      </c>
      <c r="DN62" s="678">
        <v>1.0</v>
      </c>
    </row>
    <row r="63">
      <c r="A63" s="53">
        <v>29.0</v>
      </c>
      <c r="B63" s="100" t="s">
        <v>176</v>
      </c>
      <c r="C63" s="100" t="s">
        <v>177</v>
      </c>
      <c r="D63" s="101" t="str">
        <f t="shared" si="6"/>
        <v>DATA</v>
      </c>
      <c r="E63" s="101" t="s">
        <v>165</v>
      </c>
      <c r="F63" s="102">
        <v>1114.0</v>
      </c>
      <c r="G63" s="102" t="s">
        <v>165</v>
      </c>
      <c r="H63" s="517">
        <v>1114.0</v>
      </c>
      <c r="I63" s="68" t="str">
        <f>IFERROR(VLOOKUP(C:C,'R22 RELATÓRIO ACC'!B:F,5,FALSE),"NOT PUBLISHED")</f>
        <v>V18</v>
      </c>
      <c r="J63" s="68" t="str">
        <f>IFERROR(VLOOKUP(C:C,'R22 RELATÓRIO ACC'!B:P,15,FALSE),"NOT PUBLISHED")</f>
        <v>30/04/2026</v>
      </c>
      <c r="K63" s="70" t="str">
        <f>IFERROR(VLOOKUP(B:B,'RELATÓRIO ACC'!B:F,5,FALSE),"NOT PUBLISHED")</f>
        <v>V3</v>
      </c>
      <c r="L63" s="518" t="str">
        <f>IFERROR(VLOOKUP(B:B,'RELATÓRIO ACC'!B:P,15,FALSE),"NOT PUBLISHED")</f>
        <v>29/06/2026</v>
      </c>
      <c r="M63" s="661" t="s">
        <v>418</v>
      </c>
      <c r="N63" s="668" t="s">
        <v>433</v>
      </c>
      <c r="O63" s="538" t="s">
        <v>410</v>
      </c>
      <c r="P63" s="663"/>
      <c r="Q63" s="550" t="s">
        <v>379</v>
      </c>
      <c r="R63" s="558">
        <v>0.0</v>
      </c>
      <c r="S63" s="550" t="s">
        <v>379</v>
      </c>
      <c r="T63" s="550" t="s">
        <v>379</v>
      </c>
      <c r="U63" s="558">
        <v>0.0</v>
      </c>
      <c r="V63" s="550" t="s">
        <v>379</v>
      </c>
      <c r="W63" s="550" t="s">
        <v>381</v>
      </c>
      <c r="X63" s="558">
        <v>0.0</v>
      </c>
      <c r="Y63" s="667">
        <v>0.2</v>
      </c>
      <c r="Z63" s="550" t="s">
        <v>379</v>
      </c>
      <c r="AA63" s="550" t="s">
        <v>415</v>
      </c>
      <c r="AB63" s="550" t="s">
        <v>379</v>
      </c>
      <c r="AC63" s="550" t="s">
        <v>379</v>
      </c>
      <c r="AD63" s="550" t="s">
        <v>415</v>
      </c>
      <c r="AE63" s="550" t="s">
        <v>379</v>
      </c>
      <c r="AF63" s="550" t="s">
        <v>383</v>
      </c>
      <c r="AG63" s="550" t="s">
        <v>415</v>
      </c>
      <c r="AH63" s="550" t="s">
        <v>383</v>
      </c>
      <c r="AI63" s="550" t="s">
        <v>386</v>
      </c>
      <c r="AJ63" s="550" t="s">
        <v>418</v>
      </c>
      <c r="AK63" s="664">
        <v>1.0</v>
      </c>
      <c r="AL63" s="550" t="s">
        <v>413</v>
      </c>
      <c r="AM63" s="550" t="s">
        <v>418</v>
      </c>
      <c r="AN63" s="664">
        <v>1.0</v>
      </c>
      <c r="AO63" s="550" t="s">
        <v>413</v>
      </c>
      <c r="AP63" s="550" t="s">
        <v>418</v>
      </c>
      <c r="AQ63" s="664">
        <v>1.0</v>
      </c>
      <c r="AR63" s="550" t="s">
        <v>413</v>
      </c>
      <c r="AS63" s="550" t="s">
        <v>418</v>
      </c>
      <c r="AT63" s="664">
        <v>1.0</v>
      </c>
      <c r="AU63" s="550" t="s">
        <v>413</v>
      </c>
      <c r="AV63" s="550" t="s">
        <v>418</v>
      </c>
      <c r="AW63" s="664">
        <v>1.0</v>
      </c>
      <c r="AX63" s="550" t="s">
        <v>413</v>
      </c>
      <c r="AY63" s="550" t="s">
        <v>418</v>
      </c>
      <c r="AZ63" s="664">
        <v>1.0</v>
      </c>
      <c r="BA63" s="550" t="s">
        <v>413</v>
      </c>
      <c r="BB63" s="550" t="s">
        <v>418</v>
      </c>
      <c r="BC63" s="664">
        <v>1.0</v>
      </c>
      <c r="BD63" s="550" t="s">
        <v>413</v>
      </c>
      <c r="BE63" s="550" t="s">
        <v>418</v>
      </c>
      <c r="BF63" s="664">
        <v>1.0</v>
      </c>
      <c r="BG63" s="550" t="s">
        <v>413</v>
      </c>
      <c r="BH63" s="550" t="s">
        <v>418</v>
      </c>
      <c r="BI63" s="664">
        <v>1.0</v>
      </c>
      <c r="BJ63" s="550" t="s">
        <v>413</v>
      </c>
      <c r="BK63" s="550" t="s">
        <v>418</v>
      </c>
      <c r="BL63" s="664">
        <v>1.0</v>
      </c>
      <c r="BM63" s="550" t="s">
        <v>413</v>
      </c>
      <c r="BN63" s="550" t="s">
        <v>418</v>
      </c>
      <c r="BO63" s="664">
        <v>1.0</v>
      </c>
      <c r="BP63" s="550" t="s">
        <v>413</v>
      </c>
      <c r="BQ63" s="550" t="s">
        <v>418</v>
      </c>
      <c r="BR63" s="664">
        <v>1.0</v>
      </c>
      <c r="BS63" s="550" t="s">
        <v>413</v>
      </c>
      <c r="BT63" s="550" t="s">
        <v>418</v>
      </c>
      <c r="BU63" s="691">
        <v>1.0</v>
      </c>
      <c r="BV63" s="673" t="s">
        <v>413</v>
      </c>
      <c r="BW63" s="673" t="s">
        <v>418</v>
      </c>
      <c r="BX63" s="683">
        <v>1.0</v>
      </c>
      <c r="BY63" s="673" t="s">
        <v>413</v>
      </c>
      <c r="BZ63" s="673" t="s">
        <v>418</v>
      </c>
      <c r="CA63" s="683">
        <v>1.0</v>
      </c>
      <c r="CB63" s="673" t="s">
        <v>413</v>
      </c>
      <c r="CC63" s="673" t="s">
        <v>418</v>
      </c>
      <c r="CD63" s="683">
        <v>1.0</v>
      </c>
      <c r="CE63" s="673" t="s">
        <v>413</v>
      </c>
      <c r="CF63" s="673" t="s">
        <v>418</v>
      </c>
      <c r="CG63" s="683">
        <v>1.0</v>
      </c>
      <c r="CH63" s="673" t="s">
        <v>413</v>
      </c>
      <c r="CI63" s="673" t="s">
        <v>418</v>
      </c>
      <c r="CJ63" s="683">
        <v>1.0</v>
      </c>
      <c r="CK63" s="673" t="s">
        <v>413</v>
      </c>
      <c r="CL63" s="673" t="s">
        <v>418</v>
      </c>
      <c r="CM63" s="683">
        <v>1.0</v>
      </c>
      <c r="CN63" s="673" t="s">
        <v>413</v>
      </c>
      <c r="CO63" s="673" t="s">
        <v>418</v>
      </c>
      <c r="CP63" s="683">
        <v>1.0</v>
      </c>
      <c r="CQ63" s="673" t="s">
        <v>413</v>
      </c>
      <c r="CR63" s="673" t="s">
        <v>418</v>
      </c>
      <c r="CS63" s="683">
        <v>1.0</v>
      </c>
      <c r="CT63" s="673" t="s">
        <v>413</v>
      </c>
      <c r="CU63" s="673" t="s">
        <v>418</v>
      </c>
      <c r="CV63" s="683">
        <v>1.0</v>
      </c>
      <c r="CW63" s="673" t="s">
        <v>413</v>
      </c>
      <c r="CX63" s="673" t="s">
        <v>418</v>
      </c>
      <c r="CY63" s="683">
        <v>1.0</v>
      </c>
      <c r="CZ63" s="673" t="s">
        <v>413</v>
      </c>
      <c r="DA63" s="673" t="s">
        <v>418</v>
      </c>
      <c r="DB63" s="683">
        <v>1.0</v>
      </c>
      <c r="DC63" s="673" t="s">
        <v>413</v>
      </c>
      <c r="DD63" s="673" t="s">
        <v>418</v>
      </c>
      <c r="DE63" s="683">
        <v>1.0</v>
      </c>
      <c r="DF63" s="673" t="s">
        <v>413</v>
      </c>
      <c r="DG63" s="673" t="s">
        <v>418</v>
      </c>
      <c r="DH63" s="683">
        <v>1.0</v>
      </c>
      <c r="DI63" s="673" t="s">
        <v>413</v>
      </c>
      <c r="DJ63" s="673" t="s">
        <v>418</v>
      </c>
      <c r="DK63" s="683">
        <v>1.0</v>
      </c>
      <c r="DL63" s="673" t="s">
        <v>413</v>
      </c>
      <c r="DM63" s="673" t="s">
        <v>418</v>
      </c>
      <c r="DN63" s="683">
        <v>1.0</v>
      </c>
    </row>
    <row r="64" ht="189.75" customHeight="1">
      <c r="A64" s="556"/>
      <c r="B64" s="556"/>
      <c r="C64" s="556"/>
      <c r="D64" s="653"/>
      <c r="E64" s="653"/>
      <c r="F64" s="653"/>
      <c r="G64" s="653"/>
      <c r="H64" s="653"/>
      <c r="I64" s="556"/>
      <c r="J64" s="556"/>
      <c r="K64" s="556"/>
      <c r="L64" s="556"/>
      <c r="M64" s="556"/>
      <c r="N64" s="556"/>
      <c r="O64" s="556"/>
      <c r="P64" s="556"/>
      <c r="Q64" s="556"/>
      <c r="R64" s="654"/>
      <c r="S64" s="568"/>
      <c r="T64" s="568"/>
      <c r="U64" s="568"/>
      <c r="V64" s="568"/>
      <c r="W64" s="568"/>
      <c r="X64" s="568"/>
      <c r="Y64" s="568"/>
      <c r="Z64" s="568"/>
      <c r="AA64" s="568"/>
      <c r="AB64" s="568"/>
      <c r="AC64" s="568"/>
      <c r="AD64" s="568"/>
      <c r="AE64" s="568"/>
      <c r="AF64" s="568"/>
      <c r="AG64" s="568"/>
      <c r="AH64" s="568"/>
      <c r="AI64" s="568"/>
      <c r="AJ64" s="568"/>
      <c r="AK64" s="568"/>
      <c r="AL64" s="568"/>
      <c r="AM64" s="568"/>
      <c r="AN64" s="568"/>
      <c r="AO64" s="568"/>
      <c r="AP64" s="568"/>
      <c r="AQ64" s="568"/>
      <c r="AR64" s="568"/>
      <c r="AS64" s="568"/>
      <c r="AT64" s="568"/>
      <c r="AU64" s="568"/>
      <c r="AV64" s="568"/>
      <c r="AW64" s="568"/>
      <c r="AX64" s="568"/>
      <c r="AY64" s="568"/>
      <c r="AZ64" s="568"/>
      <c r="BA64" s="568"/>
      <c r="BB64" s="568"/>
      <c r="BC64" s="568"/>
      <c r="BD64" s="568"/>
      <c r="BE64" s="568"/>
      <c r="BF64" s="568"/>
      <c r="BG64" s="568"/>
      <c r="BH64" s="568"/>
      <c r="BI64" s="568"/>
      <c r="BJ64" s="568"/>
      <c r="BK64" s="568"/>
      <c r="BL64" s="568"/>
      <c r="BM64" s="568"/>
      <c r="BN64" s="568"/>
      <c r="BO64" s="568"/>
      <c r="BP64" s="568"/>
      <c r="BQ64" s="568"/>
      <c r="BR64" s="568"/>
      <c r="BS64" s="568"/>
      <c r="BT64" s="568"/>
      <c r="BU64" s="568"/>
      <c r="BV64" s="568"/>
      <c r="BW64" s="568"/>
      <c r="BX64" s="568"/>
      <c r="BY64" s="568"/>
      <c r="BZ64" s="568"/>
      <c r="CA64" s="568"/>
      <c r="CB64" s="568"/>
      <c r="CC64" s="568"/>
      <c r="CD64" s="568"/>
      <c r="CE64" s="568"/>
      <c r="CF64" s="568"/>
      <c r="CG64" s="568"/>
      <c r="CH64" s="568"/>
      <c r="CI64" s="568"/>
      <c r="CJ64" s="568"/>
      <c r="CK64" s="568"/>
      <c r="CL64" s="568"/>
      <c r="CM64" s="568"/>
      <c r="CN64" s="568"/>
      <c r="CO64" s="568"/>
      <c r="CP64" s="568"/>
      <c r="CQ64" s="568"/>
      <c r="CR64" s="568"/>
      <c r="CS64" s="568"/>
      <c r="CT64" s="568"/>
      <c r="CU64" s="568"/>
      <c r="CV64" s="568"/>
      <c r="CW64" s="568"/>
      <c r="CX64" s="568"/>
      <c r="CY64" s="568"/>
      <c r="CZ64" s="568"/>
      <c r="DA64" s="568"/>
      <c r="DB64" s="568"/>
      <c r="DC64" s="568"/>
      <c r="DD64" s="568"/>
      <c r="DE64" s="568"/>
      <c r="DF64" s="568"/>
      <c r="DG64" s="568"/>
      <c r="DH64" s="568"/>
      <c r="DI64" s="568"/>
      <c r="DJ64" s="568"/>
      <c r="DK64" s="568"/>
      <c r="DL64" s="568"/>
      <c r="DM64" s="568"/>
      <c r="DN64" s="568"/>
    </row>
  </sheetData>
  <autoFilter ref="$A$2:$DN$63">
    <filterColumn colId="3">
      <filters>
        <filter val="C12A"/>
        <filter val="DATA"/>
        <filter val="ADMN"/>
        <filter val="COL5"/>
        <filter val="COL4"/>
        <filter val="COL3"/>
        <filter val="COL2"/>
        <filter val="C345"/>
        <filter val="COL1"/>
      </filters>
    </filterColumn>
  </autoFilter>
  <mergeCells count="3">
    <mergeCell ref="D1:AF1"/>
    <mergeCell ref="AG1:AH1"/>
    <mergeCell ref="AM1:AN1"/>
  </mergeCells>
  <conditionalFormatting sqref="CT55:DN55">
    <cfRule type="cellIs" dxfId="3" priority="1" operator="between">
      <formula>"0%"</formula>
      <formula>"50%"</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15" priority="2" operator="greaterThanOrEqual">
      <formula>70%</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3" priority="3" operator="between">
      <formula>"1%"</formula>
      <formula>"48%"</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17" priority="4" operator="equal">
      <formula>"N/A"</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10" priority="5" operator="equal">
      <formula>"NOT PUBLISHED"</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6" priority="6" operator="equal">
      <formula>"OUTDATED"</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7" priority="7" operator="equal">
      <formula>"ANALYSING"</formula>
    </cfRule>
  </conditionalFormatting>
  <conditionalFormatting sqref="AN3:AN12 AO3:DN20 AH4:AJ9 AK4:AM12 AH11:AJ12 AH14:AH15 AI14:AI19 AJ14:AJ17 AK14:AN19 AH17 CN22:CN27 CP22:DN27 AQ23 AR23:AR31 AS23 AT23:AT27 AU23:AU31 AV23:AW27 AX23:AX31 AY23:AZ27 BA23:BA31 BB23:BC27 BD23:BD31 BE23:BF27 BG23:BG31 BH23:BI27 BJ23:BJ31 BK23:BL27 BM23:BM31 BN23:BO27 BP23:BP31 BQ23:BR27 BS23:BS31 BT23:BU27 BV23:BV31 BW23:BX27 BY23:BY31 BZ23:CA27 CB23:CB31 CC23:CD27 CE23:CE31 CF23:CM27 CO23:CO27 AQ25 AS25 AQ27 AS27 AQ29 AS29:AT31 AV29:AW31 AY29:AZ31 BB29:BC31 BE29:BF31 BH29:BI31 BK29:BL31 BN29:BO31 BQ29:BR31 BT29:BU31 BW29:BX31 BZ29:CA31 CC29:CD31 CF29:DN31 AW33:DN33 AQ39:DN39 BI46:DN46 AX48:DN48">
    <cfRule type="cellIs" dxfId="16" priority="8" operator="equal">
      <formula>"NEXT ROUND"</formula>
    </cfRule>
  </conditionalFormatting>
  <conditionalFormatting sqref="M3:M63 N11:N14 O11:O13 AV13:AV15 AY13:AY15 BB13:BB15 BE13:BE15 BH13:BH15 BK13:BK15 BN13:BN15 BQ13:BQ15 BT13:BT15 BW13:BW15 BZ13:BZ15 CC13:CC15 CF13:CF15 CI13:CI15 CL13:CL15 CO13:CO15 CR13:CR15 CU13:CU15 CX13:CX15 DA13:DA15 DD13:DD15 DG13:DG15 DJ13:DJ15 DM13:DM15 AJ15 AM15 AP15 AS15 BK17 BN17 BQ17 BT17 BW17 BZ17 CC17 CF17 CI17 CL17 CO17 CR17 CU17 CX17 DA17 DD17 DG17 DJ17 DM17 N18:O19 N57">
    <cfRule type="expression" dxfId="2" priority="9">
      <formula>IFERROR(ARRAYFORMULA(VALUE(MID(K3,2,10))) &gt; VALUE(MID(M3,2,10)), FALSE)</formula>
    </cfRule>
  </conditionalFormatting>
  <conditionalFormatting sqref="I3:K63">
    <cfRule type="beginsWith" dxfId="5" priority="10" operator="beginsWith" text="V">
      <formula>LEFT((I3),LEN("V"))=("V")</formula>
    </cfRule>
  </conditionalFormatting>
  <conditionalFormatting sqref="AG1:AG4 AH1:AJ11 AK1:DN64 S2:S3 T2:T4 U2:U64 V2:V3 W2:W56 X2:X64 Y2:Y4 Z2:Z56 AA2:AA64 AB2:AB4 AC2:AC56 AD2:AD64 AE2:AF4 T8:T10 AB8:AB10 AE8:AG10 S13 T13:T52 V13 Y13 AB13:AB17 AE13:AH17 AI13:AI64 AJ13:AJ18 V15:V17 Y15:Y17 S16:S17 S20:S25 V20:V29 Y20:Y45 AB20:AB56 AE20:AE56 AF20:AH64 AJ20:AJ64 S27:S29 S31 V31 S33 V33 S35:S41 V35:V45 S43:S45 S47 V47 Y47 S49 V49 Y49:Y50 S52:S56 V52:V56 Y52:Y56 T54:T56 M57:N57 T58:T61 W58:W64 Z58:Z64 AB58:AC64 AE58:AE64 S59:S64 V59:V64 Y59:Y64 T63:T64">
    <cfRule type="cellIs" dxfId="1" priority="11" operator="greaterThanOrEqual">
      <formula>"70%"</formula>
    </cfRule>
  </conditionalFormatting>
  <conditionalFormatting sqref="AG1:AG4 AH1:AH17 AI1:AI64 AJ1:AJ18 AK1:DN64 S2:S3 T2:T4 U2:U64 V2:V3 W2:W56 X2:X64 Y2:Y4 Z2:Z56 AA2:AA64 AB2:AB4 AC2:AC56 AD2:AD64 AE2:AF4 T8:T10 AB8:AB10 AE8:AG10 S13 T13:T52 V13 Y13 AB13:AB17 AE13:AG17 V15:V17 Y15:Y17 S16:S17 S20:S25 V20:V29 Y20:Y45 AB20:AB56 AE20:AE56 AF20:AH64 AJ20:AJ64 S27:S29 S31 V31 S33 V33 S35:S41 V35:V45 S43:S45 S47 V47 Y47 S49 V49 Y49:Y50 S52:S56 V52:V56 Y52:Y56 T54:T56 M57:N57 T58:T61 W58:W64 Z58:Z64 AB58:AC64 AE58:AE64 S59:S64 V59:V64 Y59:Y64 T63:T64">
    <cfRule type="cellIs" dxfId="2" priority="12" operator="between">
      <formula>"49%"</formula>
      <formula>"69%"</formula>
    </cfRule>
  </conditionalFormatting>
  <conditionalFormatting sqref="AG1:AG4 AH1:AJ11 AK1:DN64 S2:S3 T2:T4 U2:U64 V2:V3 W2:W56 X2:X64 Y2:Y4 Z2:Z56 AA2:AA64 AB2:AB4 AC2:AC56 AD2:AD64 AE2:AF4 T8:T10 AB8:AB10 AE8:AG10 S13 T13:T52 V13 Y13 AB13:AB17 AE13:AH17 AI13:AI64 AJ13:AJ18 V15:V17 Y15:Y17 S16:S17 S20:S25 V20:V29 Y20:Y45 AB20:AB56 AE20:AE56 AF20:AH64 AJ20:AJ64 S27:S29 S31 V31 S33 V33 S35:S41 V35:V45 S43:S45 S47 V47 Y47 S49 V49 Y49:Y50 S52:S56 V52:V56 Y52:Y56 T54:T56 M57:N57 T58:T61 W58:W64 Z58:Z64 AB58:AC64 AE58:AE64 S59:S64 V59:V64 Y59:Y64 T63:T64">
    <cfRule type="cellIs" dxfId="3" priority="13" operator="between">
      <formula>"1%"</formula>
      <formula>"50%"</formula>
    </cfRule>
  </conditionalFormatting>
  <conditionalFormatting sqref="P3 P64">
    <cfRule type="cellIs" dxfId="18" priority="14" operator="equal">
      <formula>"YASMIN"</formula>
    </cfRule>
  </conditionalFormatting>
  <conditionalFormatting sqref="P3 P64">
    <cfRule type="cellIs" dxfId="19" priority="15" operator="equal">
      <formula>"LETÍCIA"</formula>
    </cfRule>
  </conditionalFormatting>
  <conditionalFormatting sqref="P3 P64">
    <cfRule type="cellIs" dxfId="20" priority="16" operator="equal">
      <formula>"CICI"</formula>
    </cfRule>
  </conditionalFormatting>
  <conditionalFormatting sqref="P3 P64">
    <cfRule type="cellIs" dxfId="2" priority="17" operator="equal">
      <formula>"ALINNE"</formula>
    </cfRule>
  </conditionalFormatting>
  <conditionalFormatting sqref="P3 P64">
    <cfRule type="cellIs" dxfId="15" priority="18" operator="equal">
      <formula>"GUILHERME"</formula>
    </cfRule>
  </conditionalFormatting>
  <conditionalFormatting sqref="P3 P64">
    <cfRule type="cellIs" dxfId="15" priority="19" operator="equal">
      <formula>"GUILHERME"</formula>
    </cfRule>
  </conditionalFormatting>
  <conditionalFormatting sqref="P3 P64">
    <cfRule type="cellIs" dxfId="15" priority="20" operator="equal">
      <formula>"GUILHERME"</formula>
    </cfRule>
  </conditionalFormatting>
  <conditionalFormatting sqref="P3 P64">
    <cfRule type="cellIs" dxfId="15" priority="21" operator="equal">
      <formula>"GUILHERME"</formula>
    </cfRule>
  </conditionalFormatting>
  <dataValidations>
    <dataValidation type="list" allowBlank="1" showErrorMessage="1" sqref="P4:P11 P13:P20 P22 P24 P26 P28 P30 P32 P34 P36 P38 P40 P42 P44 P46 P53 P55:P63">
      <formula1>"CICI,YASMIN,GUI,BIANCA,ALINNE,IURY,LUIZA,MAYUMI,INGRYD"</formula1>
    </dataValidation>
    <dataValidation type="list" allowBlank="1" showErrorMessage="1" sqref="O4:O20 O22 O24 O26 O28 O30 O32 O34 O36 O38 O40 O42 O44 O46 O48 O50:O51 O53 O55:O63">
      <formula1>"R22,R24,AWAITING APPROVAL,N/A,NOT PUBLISHED"</formula1>
    </dataValidation>
    <dataValidation type="list" allowBlank="1" showDropDown="1" showErrorMessage="1" sqref="S4:T4 V4:W4 Y4:Z4 AB4:AC4 AE4 AH5:AI5 AI6 AF5:AF7 AE8:AF8 T5:T12 W5:W12 Z5:Z12 AC5:AC12 AF9:AF12 AK5:AL18 AN5:AO18 AQ5:AR18 AT5:AU18 AW5:AX18 AZ5:BA18 BC5:BD18 BF5:BG18 BI5:BJ18 BL5:BM18 BO5:BP18 BR5:BS18 BU5:BV18 BX5:BY18 CA5:CB18 CD5:CE18 CG5:CH18 CJ5:CK18 CM5:CN18 CP5:CQ18 CS5:CT18 CV5:CW18 CY5:CZ18 DB5:DC18 DE5:DF18 DH5:DI18 DK5:DL18 DN5:DN18 Q4:Q20 S13:T20 V13:W20 Y13:Z20 AB13:AC20 AE13:AF20 AH7:AI20 AK20:AL20 AN20:AO20 AQ20:AR20 AT20:AU20 AW20:AX20 AZ20:BA20 BC20:BD20 BF20:BG20 BI20:BJ20 BL20:BM20 BO20:BP20 BR20:BS20 BU20:BV20 BX20:BY20 CA20:CB20 CD20:CE20 CG20:CH20 CJ20:CS20 Q22 S22:T22 V22:W22 Z22 AB22:AC22 AE22 Q24 S24:T24 V24:W24 Y24 AC24 AE24 Q26 S26:T26 V26:W26 Y26:Z26 AB26:AC26 AE26 Q28 S28:T28 AC28 AE28 Q30 S30 Q32 S32:T32 V32:W32 Y32:Z32 AB32:AC32 AE32 Q34 S34:T34 V34:W34 Z34 AB34:AC34 AE34:AF34 AH34 Q36 S36:T36 V36:W36 Z36 AB36 T38 W38 T40 W40 Z40 AB40:AC40 AE40 T42 W42 Z42 AB42 Q44 S44:T44 V44:W44 Y44:Z44 Q46 S46:T46 Z46 AB46:AC46 AE46:AF46 AH46 Q48 S48:T48 V48:W48 Y48:Z48 AB48:AC48 AE48:AF48 AH48 S50:T50 V50:W50 Y50:Z50 AB50:AC50 AE50:AF50 AH50 Q50:Q51 T51 Q53 S53:T53 V53:W53 Y53:Z53 AC53 AE53 AX53 BA53 BD53 BG53 BJ53 BM53 BP53 BS53 BV53 BY53 CB53 CE53 CH53 CK53 CN53 CQ53 CT53 CW53 CZ53 DC53 DF53 DI53 DL53 S55:T55 V55:W55 Z55 AB55 W56 AC56 AE56 Q55:Q58 T56:T59 W58:W60 Z57:Z60 AB57:AB60 S61:T61 V61:W61 Y61:Z61 AB61:AC61 AE61:AF61 AI61 AL61 AO61 AR61 AU61 AX60:AX61 BA60:BA61 BD60:BD61 BG60:BG61 BJ60:BJ61 BM60:BM61 BP60:BP61 BS60:BS61 BV60:BV61 BY60:BY61 CB60:CB61 CE60:CE61 CH60:CH61 CK60:CK61 CN60:CN61 CQ60:CQ61 CT60:CT61 CW60:CW61 CZ60:CZ61 DC60:DC61 DF60:DF61 DI60:DI61 DL60:DL61 T62 W62 AB62 Q61:Q63 S63:T63 V63:W63 Z62:Z63 AB63:AC63 AE63:AF63 AH63">
      <formula1>"APPROVED,REPROVED,N/A,ANALYSING,NOT PUBLISHED,OUTDATED,PREVIOUSLY APPROVED,NEXT ROUND"</formula1>
    </dataValidation>
    <dataValidation type="list" allowBlank="1" showDropDown="1" showErrorMessage="1" sqref="CT20 AI34 AC36 AF36 AH36 AF38 AH38:AI38 AI48 AF51 AH51:AI51 AH58 AF58:AF60 AH59:AI60 AF62 AH62">
      <formula1>"APPROVED,REPROVED,N/A,ANALYSING,NOT PUBLISHED,OUTDATED,PREVIOUSLY APPROVED,NEXT ROUND,IMPROPER"</formula1>
    </dataValidation>
    <dataValidation type="list" allowBlank="1" showErrorMessage="1" sqref="P48 P50">
      <formula1>"CICI,YASMIN,GUI,BIANCA,ALINNE,IURY,CLARISSA,LUIZA,INGRYD"</formula1>
    </dataValidation>
    <dataValidation type="list" allowBlank="1" showDropDown="1" showErrorMessage="1" sqref="Z24">
      <formula1>"APPROVED,REPROVED,N/A,ANALYSING,NOT PUBLISHED,OUTDATED,PREVIOUSLY APPROVED,NEXT ROUND"</formula1>
    </dataValidation>
    <dataValidation type="list" allowBlank="1" showDropDown="1" showErrorMessage="1" sqref="W28 Y28 T30 W30 Y30 Q38 V38 Y38:Z38 Q40 V40 Q42 V42 W46 Y46 W51 V56 Y56 W57 Q59:Q60 T60 V58:V60 V62">
      <formula1>"APPROVED,REPROVED,N/A,IN ANALYSIS,NOT FOUND,TO BE AUDITED,OUTDATED,PREVIOUSLY APPROVED"</formula1>
    </dataValidation>
    <dataValidation type="list" allowBlank="1" showErrorMessage="1" sqref="P51">
      <formula1>"CICI,YASMIN,IURY"</formula1>
    </dataValidation>
    <dataValidation type="list" allowBlank="1" showErrorMessage="1" sqref="P21 P23 P25 P27 P29 P31 P33 P35 P37 P39 P41 P43 P45 P47 P49 P52 P54">
      <formula1>"CICI,YASMIN,JAKE"</formula1>
    </dataValidation>
    <dataValidation type="list" allowBlank="1" showDropDown="1" showErrorMessage="1" sqref="Z28 AB28 Z30 AB30:AC30 AE30 AC38 AC42 AC44 AE44 Z51 AB51:AC51 AC55 AF55 AH55 Z56 AB56 AC57:AC59 AE59 AC62">
      <formula1>"APPROVED,REPROVED,N/A,NOT FOUND,ANALYSING,OUTDATED,PREVIOUSLY APPROVED,IMPROPER"</formula1>
    </dataValidation>
    <dataValidation type="list" allowBlank="1" showDropDown="1" showErrorMessage="1" sqref="AF4 AI4 AK4:AL4 AN4:AO4 AR4 AT4:AU4 AW4:AX4 AZ4:BA4 BC4:BD4 BF4:BG4 BI4:BJ4 BL4:BM4 BO4:BP4 BR4:BS4 BU4:BV4 BX4:BY4 CA4:CB4 CD4:CE4 CG4:CH4 CJ4:CK4 CM4:CN4 CP4:CQ4 CS4:CT4 CV4:CW4 CY4:CZ4 DB4:DC4 DE4:DF4 DH4:DI4 DK4:DL4 DN4 AL19 AN19:AO19 AQ19:AR19 AT19:AU19 AW19:AX19 AZ19:BA19 BC19:BD19 BF19:BG19 BI19:BJ19 BL19:BM19 BO19:BP19 BR19:BS19 BV19 BX19:BY19 CA19:CB19 CD19:CE19 CG19:CH19 CJ19:CK19 CM19:CN19 CP19:CQ19 CS19:CT19 CV19:CW19 DE19:DF19 CW20 CY19:CZ20 DB19:DC20 DF20 DH19:DI20 DK19:DL20 DN19:DN20 AF22 AI22 AK22:AL22 AN22:AO22 AR22 AT22:AU22 AW22:AX22 AZ22:BA22 BC22:BD22 BF22:BG22 BI22:BJ22 BL22:BM22 BO22:BP22 BS22 BU22:BV22 BX22:BY22 CB22 CD22:CE22 CG22:CH22 CJ22:CK22 CM22:CN22 CP22:CQ22 CS22:CT22 CW22 CZ22 DC22 DF22 DI22 DL22 AF24 AI24 AK24:AL24 AN24:AO24 AQ24:AR24 AU24 AW24:AX24 AZ24:BA24 BC24:BD24 BF24:BG24 BI24:BJ24 BM24 BO24:BP24 BR24 BV24 BY24 CB24 CE24 CH24 CK24 CN24 CQ24 CT24 CW24 CZ24 DC24 DF24 DI24 DL24 AF26 AI26 AK26:AL26 AN26:AO26 AR26 AT26:AU26 AW26:AX26 AZ26:BA26 BC26:BD26 BF26:BG26 BI26:BJ26 BL26:BM26 BO26:BP26 BR26:BS26 BU26:BV26 BY26 CB26 CE26 CH26 CK26 CN26 CQ26 CT26 CW26 CZ26 DC26 DF26 DI26 DL26 AF28 AH28:AI28 AL28 AN28:AO28 AQ28:AR28 AT28:AU28 AW28:AX28 AZ28:BA28 BC28:BD28 BF28:BG28 BJ28 BM28 BO28:BP28 BR28:BS28 BU28:BV28 BX28:BY28 CB28 CE28 CH28 CK28 CN28 CQ28 CT28 CW28 CZ28 DC28 DF28 DI28 DL28 AF30 AI30 AK30:AL30 AN30:AO30 AQ30:AR30 AU30 AW30:AX30 AZ30:BA30 BC30:BD30 BF30:BG30 BI30:BJ30 BL30:BM30 BO30:BP30 BS30 BV30 BY30 CB30 CE30 CH30 CK30 CN30 CQ30 CT30 CW30 CZ30 DC30 DF30 DI30 DL30 AF32 AI32 AK32:AL32 AN32:AO32 AR32 AT32:AU32 AW32:AX32 AZ32:BA32 BC32:BD32 BF32:BG32 BI32:BJ32 BL32:BM32 BO32:BP32 BR32:BS32 BU32:BV32 BX32:BY32 CB32 CD32:CE32 CG32:CH32 CJ32:CK32 CM32:CN32 CP32:CQ32 CT32 CW32 CZ32 DC32 DF32 DI32 DL32 AL34 AO34 AR34 AU34 AX34 BA34 BD34 BG34 BJ34 BM34 BP34 BS34 BV34 BY34 CB34 CE34 CH34 CK34 CN34 CQ34 CT34 CW34 CZ34 DC34 DF34 DI34 DL34 AI36 AK36:AL36 AO36 AR36 AU36 AX36 BA36 BD36 BG36 BJ36 BM36 BP36 BS36 BV36 BY36 CB36 CE36 CH36 CK36 CN36 CQ36 CT36 CW36 CZ36 DC36 DF36 DI36 DL36 AL38 AN38:AO38 AR38 AU38 AX38 BA38 BD38 BG38 BJ38 BM38 BP38 BS38 BV38 BY38 CB38 CE38 CH38 CK38 CN38 CQ38 CT38 CW38 CZ38 DC38 DF38 DI38 DL38 AF40 AI40 AK40:AL40 AN40:AO40 AR40 AU40 AX40 BA40 BD40 BG40 BJ40 BM40 BP40 BS40 BV40 BY40 CB40 CE40 CH40 CK40 CN40 CQ40 CT40 CW40 CZ40 DC40 DF40 DI40 DL40 AF42 AH42:AI42 AK42:AL42 AO42 AR42 AU42 AX42 BA42 BD42 BG42 BJ42 BM42 BP42 BS42 BV42 BY42 CB42 CE42 CH42 CK42 CN42 CQ42 CT42 CW42 CZ42 DC42 DF42 DI42 DL42 AF44 AI44 AK44:AL44 AN44:AO44 AR44 AU44 AX44 BA44 BD44 BG44 BJ44 BM44 BP44 BS44 BV44 BY44 CB44 CE44 CH44 CK44 CN44 CQ44 CT44 CW44 CZ44 DC44 DF44 DI44 DL44 AI46 AL46 AN46:AO46 AR46 AU46 AX46 BA46 BD46 BG46 BJ46 BM46 BP46 BS46 BV46 BY46 CB46 CE46 CH46 CK46 CN46 CQ46 CT46 CW46 CZ46 DC46 DF46 DI46 DL46 AL48 AN48:AO48 AQ48:AR48 AT48:AU48 AW48:AX48 AZ48:BA48 BC48:BD48 BF48:BG48 BJ48 BM48 BO48:BP48 BS48 BU48:BV48 BY48 CA48:CB48 CE48 CH48 CK48 CN48 CQ48 CT48 CW48 CZ48 DC48 DF48 DI48 DL48 AI50 AN50:AO50 AQ50:AR50 AT50:AU50 AW50:AX50 AZ50:BA50 BC50:BD50 BF50:BG50 BO50:BP50 BR50:BS50 BX50:BY50 CA50:CB50 CD50:CE50 AL50:AL51 AO51 AR51 AU51 AX51 BA51 BD51 BG51 BJ50:BJ51 BM50:BM51 BP51 BS51 BV50:BV51 BY51 CB51 CE51 CH50:CH51 CK50:CK51 CN50:CN51 CQ50:CQ51 CT50:CT51 CW50:CW51 CZ50:CZ51 DC50:DC51 DF50:DF51 DI50:DI51 DL50:DL51 AF53 AH53:AI53 AK53:AL53 AO53 AQ53:AR53 AU53 AK55:AL55 AF56:AF57 AL56:AL57 AI55:AI58 AK58:AL58 AO55:AO58 AU55:AU59 AX55:AX59 BA55:BA59 BD55:BD59 BG55:BG59 BJ55:BJ59 BM55:BM59 BP55:BP59 BS55:BS59 BV55:BV59 BY55:BY59 CB55:CB59 CE55:CE59 CH55:CH59 CK55:CK59 CN55:CN59 CQ55:CQ59 CT55:CT59 CW55:CW59 CZ55:CZ59 DC55:DC59 DF55:DF59 DI55:DI59 DL55:DL59 AC60 AE60 AL59:AL60 AN59:AO60 AR55:AR60 AT60:AU60 AK62:AL62 AI62:AI63 AL63 AO62:AO63 AR62:AR63 AU62:AU63 AX62:AX63 BA62:BA63 BD62:BD63 BG62:BG63 BJ62:BJ63 BM62:BM63 BP62:BP63 BS62:BS63 BV62:BV63 BY62:BY63 CB62:CB63 CE62:CE63 CH62:CH63 CK62:CK63 CN62:CN63 CQ62:CQ63 CT62:CT63 CW62:CW63 CZ62:CZ63 DC62:DC63 DF62:DF63 DI62:DI63 DL62:DL63">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88"/>
    <col customWidth="1" min="2" max="3" width="33.88"/>
    <col customWidth="1" min="4" max="4" width="10.88"/>
    <col customWidth="1" min="5" max="5" width="19.75"/>
    <col customWidth="1" hidden="1" min="6" max="6" width="10.75"/>
    <col customWidth="1" min="7" max="7" width="18.63"/>
    <col customWidth="1" min="8" max="8" width="9.38"/>
    <col customWidth="1" min="9" max="11" width="16.0"/>
    <col customWidth="1" min="12" max="12" width="15.88"/>
    <col customWidth="1" min="13" max="13" width="16.25"/>
    <col customWidth="1" min="14" max="15" width="14.63"/>
    <col customWidth="1" min="16" max="16" width="16.0"/>
    <col customWidth="1" min="17" max="17" width="15.38"/>
    <col customWidth="1" min="18" max="18" width="17.13"/>
    <col customWidth="1" min="19" max="118" width="16.38"/>
  </cols>
  <sheetData>
    <row r="1" ht="51.0" customHeight="1">
      <c r="A1" s="1"/>
      <c r="B1" s="491"/>
      <c r="C1" s="492"/>
      <c r="D1" s="492" t="s">
        <v>462</v>
      </c>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5"/>
      <c r="AH1" s="494"/>
      <c r="AJ1" s="495"/>
      <c r="AK1" s="494"/>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c r="DL1" s="497"/>
      <c r="DM1" s="497"/>
      <c r="DN1" s="497"/>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655" t="s">
        <v>463</v>
      </c>
      <c r="P2" s="505" t="s">
        <v>308</v>
      </c>
      <c r="Q2" s="506" t="s">
        <v>309</v>
      </c>
      <c r="R2" s="506" t="s">
        <v>310</v>
      </c>
      <c r="S2" s="506" t="s">
        <v>30</v>
      </c>
      <c r="T2" s="507" t="s">
        <v>311</v>
      </c>
      <c r="U2" s="507" t="s">
        <v>312</v>
      </c>
      <c r="V2" s="507" t="s">
        <v>31</v>
      </c>
      <c r="W2" s="724" t="s">
        <v>313</v>
      </c>
      <c r="X2" s="724" t="s">
        <v>314</v>
      </c>
      <c r="Y2" s="724" t="s">
        <v>32</v>
      </c>
      <c r="Z2" s="724" t="s">
        <v>315</v>
      </c>
      <c r="AA2" s="724" t="s">
        <v>316</v>
      </c>
      <c r="AB2" s="724" t="s">
        <v>33</v>
      </c>
      <c r="AC2" s="724" t="s">
        <v>317</v>
      </c>
      <c r="AD2" s="724" t="s">
        <v>318</v>
      </c>
      <c r="AE2" s="724" t="s">
        <v>34</v>
      </c>
      <c r="AF2" s="724" t="s">
        <v>319</v>
      </c>
      <c r="AG2" s="724" t="s">
        <v>320</v>
      </c>
      <c r="AH2" s="724" t="s">
        <v>35</v>
      </c>
      <c r="AI2" s="724" t="s">
        <v>321</v>
      </c>
      <c r="AJ2" s="724" t="s">
        <v>322</v>
      </c>
      <c r="AK2" s="724" t="s">
        <v>36</v>
      </c>
      <c r="AL2" s="724" t="s">
        <v>323</v>
      </c>
      <c r="AM2" s="724" t="s">
        <v>324</v>
      </c>
      <c r="AN2" s="724" t="s">
        <v>37</v>
      </c>
      <c r="AO2" s="724" t="s">
        <v>325</v>
      </c>
      <c r="AP2" s="724" t="s">
        <v>326</v>
      </c>
      <c r="AQ2" s="724" t="s">
        <v>38</v>
      </c>
      <c r="AR2" s="724" t="s">
        <v>458</v>
      </c>
      <c r="AS2" s="724" t="s">
        <v>328</v>
      </c>
      <c r="AT2" s="724" t="s">
        <v>39</v>
      </c>
      <c r="AU2" s="724" t="s">
        <v>329</v>
      </c>
      <c r="AV2" s="724" t="s">
        <v>330</v>
      </c>
      <c r="AW2" s="724" t="s">
        <v>40</v>
      </c>
      <c r="AX2" s="724" t="s">
        <v>331</v>
      </c>
      <c r="AY2" s="724" t="s">
        <v>332</v>
      </c>
      <c r="AZ2" s="724"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c r="BM2" s="507" t="s">
        <v>341</v>
      </c>
      <c r="BN2" s="507" t="s">
        <v>342</v>
      </c>
      <c r="BO2" s="507" t="s">
        <v>46</v>
      </c>
      <c r="BP2" s="507" t="s">
        <v>343</v>
      </c>
      <c r="BQ2" s="507" t="s">
        <v>344</v>
      </c>
      <c r="BR2" s="507" t="s">
        <v>47</v>
      </c>
      <c r="BS2" s="507" t="s">
        <v>345</v>
      </c>
      <c r="BT2" s="507" t="s">
        <v>346</v>
      </c>
      <c r="BU2" s="507" t="s">
        <v>48</v>
      </c>
      <c r="BV2" s="507" t="s">
        <v>347</v>
      </c>
      <c r="BW2" s="507" t="s">
        <v>348</v>
      </c>
      <c r="BX2" s="507" t="s">
        <v>49</v>
      </c>
      <c r="BY2" s="507" t="s">
        <v>349</v>
      </c>
      <c r="BZ2" s="507" t="s">
        <v>350</v>
      </c>
      <c r="CA2" s="507" t="s">
        <v>50</v>
      </c>
      <c r="CB2" s="507" t="s">
        <v>351</v>
      </c>
      <c r="CC2" s="507" t="s">
        <v>352</v>
      </c>
      <c r="CD2" s="507" t="s">
        <v>51</v>
      </c>
      <c r="CE2" s="507" t="s">
        <v>353</v>
      </c>
      <c r="CF2" s="507" t="s">
        <v>354</v>
      </c>
      <c r="CG2" s="507" t="s">
        <v>52</v>
      </c>
      <c r="CH2" s="507" t="s">
        <v>355</v>
      </c>
      <c r="CI2" s="507" t="s">
        <v>356</v>
      </c>
      <c r="CJ2" s="507" t="s">
        <v>53</v>
      </c>
      <c r="CK2" s="507" t="s">
        <v>357</v>
      </c>
      <c r="CL2" s="507" t="s">
        <v>358</v>
      </c>
      <c r="CM2" s="507" t="s">
        <v>54</v>
      </c>
      <c r="CN2" s="507" t="s">
        <v>359</v>
      </c>
      <c r="CO2" s="507" t="s">
        <v>360</v>
      </c>
      <c r="CP2" s="507" t="s">
        <v>55</v>
      </c>
      <c r="CQ2" s="507" t="s">
        <v>361</v>
      </c>
      <c r="CR2" s="507" t="s">
        <v>362</v>
      </c>
      <c r="CS2" s="507" t="s">
        <v>56</v>
      </c>
      <c r="CT2" s="507" t="s">
        <v>363</v>
      </c>
      <c r="CU2" s="507" t="s">
        <v>364</v>
      </c>
      <c r="CV2" s="507" t="s">
        <v>57</v>
      </c>
      <c r="CW2" s="507" t="s">
        <v>365</v>
      </c>
      <c r="CX2" s="507" t="s">
        <v>366</v>
      </c>
      <c r="CY2" s="507" t="s">
        <v>58</v>
      </c>
      <c r="CZ2" s="507" t="s">
        <v>367</v>
      </c>
      <c r="DA2" s="507" t="s">
        <v>368</v>
      </c>
      <c r="DB2" s="507" t="s">
        <v>59</v>
      </c>
      <c r="DC2" s="507" t="s">
        <v>369</v>
      </c>
      <c r="DD2" s="507" t="s">
        <v>370</v>
      </c>
      <c r="DE2" s="507" t="s">
        <v>60</v>
      </c>
      <c r="DF2" s="507" t="s">
        <v>371</v>
      </c>
      <c r="DG2" s="507" t="s">
        <v>372</v>
      </c>
      <c r="DH2" s="507" t="s">
        <v>61</v>
      </c>
      <c r="DI2" s="507" t="s">
        <v>373</v>
      </c>
      <c r="DJ2" s="507" t="s">
        <v>374</v>
      </c>
      <c r="DK2" s="507" t="s">
        <v>62</v>
      </c>
      <c r="DL2" s="507" t="s">
        <v>375</v>
      </c>
      <c r="DM2" s="507" t="s">
        <v>376</v>
      </c>
      <c r="DN2" s="507" t="s">
        <v>63</v>
      </c>
    </row>
    <row r="3" hidden="1">
      <c r="A3" s="53">
        <v>1.0</v>
      </c>
      <c r="B3" s="508" t="s">
        <v>77</v>
      </c>
      <c r="C3" s="656"/>
      <c r="D3" s="58"/>
      <c r="E3" s="657"/>
      <c r="F3" s="58"/>
      <c r="G3" s="58"/>
      <c r="H3" s="509"/>
      <c r="I3" s="509"/>
      <c r="J3" s="509"/>
      <c r="K3" s="510"/>
      <c r="L3" s="58"/>
      <c r="M3" s="510"/>
      <c r="N3" s="509"/>
      <c r="O3" s="509"/>
      <c r="P3" s="725"/>
      <c r="Q3" s="512"/>
      <c r="R3" s="513"/>
      <c r="S3" s="726"/>
      <c r="T3" s="512"/>
      <c r="U3" s="513"/>
      <c r="V3" s="726"/>
      <c r="W3" s="727"/>
      <c r="X3" s="728"/>
      <c r="Y3" s="729"/>
      <c r="Z3" s="727"/>
      <c r="AA3" s="728"/>
      <c r="AB3" s="729"/>
      <c r="AC3" s="727"/>
      <c r="AD3" s="728"/>
      <c r="AE3" s="729"/>
      <c r="AF3" s="730"/>
      <c r="AG3" s="731"/>
      <c r="AH3" s="732"/>
      <c r="AI3" s="730"/>
      <c r="AJ3" s="731"/>
      <c r="AK3" s="730"/>
      <c r="AL3" s="733"/>
      <c r="AM3" s="733"/>
      <c r="AN3" s="733"/>
      <c r="AO3" s="733"/>
      <c r="AP3" s="733"/>
      <c r="AQ3" s="733"/>
      <c r="AR3" s="733"/>
      <c r="AS3" s="733"/>
      <c r="AT3" s="733"/>
      <c r="AU3" s="733"/>
      <c r="AV3" s="733"/>
      <c r="AW3" s="733"/>
      <c r="AX3" s="733"/>
      <c r="AY3" s="733"/>
      <c r="AZ3" s="733"/>
      <c r="BA3" s="733"/>
      <c r="BB3" s="733"/>
      <c r="BC3" s="733"/>
      <c r="BD3" s="733"/>
      <c r="BE3" s="733"/>
      <c r="BF3" s="733"/>
      <c r="BG3" s="733"/>
      <c r="BH3" s="733"/>
      <c r="BI3" s="733"/>
      <c r="BJ3" s="733"/>
      <c r="BK3" s="733"/>
      <c r="BL3" s="733"/>
      <c r="BM3" s="733"/>
      <c r="BN3" s="733"/>
      <c r="BO3" s="733"/>
      <c r="BP3" s="733"/>
      <c r="BQ3" s="733"/>
      <c r="BR3" s="733"/>
      <c r="BS3" s="733"/>
      <c r="BT3" s="733"/>
      <c r="BU3" s="733"/>
      <c r="BV3" s="733"/>
      <c r="BW3" s="733"/>
      <c r="BX3" s="733"/>
      <c r="BY3" s="733"/>
      <c r="BZ3" s="733"/>
      <c r="CA3" s="733"/>
      <c r="CB3" s="733"/>
      <c r="CC3" s="733"/>
      <c r="CD3" s="733"/>
      <c r="CE3" s="733"/>
      <c r="CF3" s="733"/>
      <c r="CG3" s="733"/>
      <c r="CH3" s="733"/>
      <c r="CI3" s="733"/>
      <c r="CJ3" s="733"/>
      <c r="CK3" s="733"/>
      <c r="CL3" s="733"/>
      <c r="CM3" s="733"/>
      <c r="CN3" s="733"/>
      <c r="CO3" s="733"/>
      <c r="CP3" s="733"/>
      <c r="CQ3" s="733"/>
      <c r="CR3" s="733"/>
      <c r="CS3" s="733"/>
      <c r="CT3" s="733"/>
      <c r="CU3" s="733"/>
      <c r="CV3" s="733"/>
      <c r="CW3" s="733"/>
      <c r="CX3" s="733"/>
      <c r="CY3" s="733"/>
      <c r="CZ3" s="733"/>
      <c r="DA3" s="733"/>
      <c r="DB3" s="733"/>
      <c r="DC3" s="733"/>
      <c r="DD3" s="733"/>
      <c r="DE3" s="733"/>
      <c r="DF3" s="733"/>
      <c r="DG3" s="733"/>
      <c r="DH3" s="733"/>
      <c r="DI3" s="733"/>
      <c r="DJ3" s="733"/>
      <c r="DK3" s="733"/>
      <c r="DL3" s="733"/>
      <c r="DM3" s="733"/>
      <c r="DN3" s="733"/>
    </row>
    <row r="4" ht="16.5" customHeight="1">
      <c r="A4" s="53">
        <v>6.0</v>
      </c>
      <c r="B4" s="100" t="s">
        <v>89</v>
      </c>
      <c r="C4" s="100" t="s">
        <v>90</v>
      </c>
      <c r="D4" s="101" t="str">
        <f t="shared" ref="D4:D20" si="1">MID(B4,17,4)</f>
        <v>DATA</v>
      </c>
      <c r="E4" s="111" t="s">
        <v>91</v>
      </c>
      <c r="F4" s="102">
        <v>1104.0</v>
      </c>
      <c r="G4" s="517" t="s">
        <v>92</v>
      </c>
      <c r="H4" s="517">
        <v>1127.0</v>
      </c>
      <c r="I4" s="68" t="str">
        <f>IFERROR(VLOOKUP(C:C,'R22 RELATÓRIO ACC'!B:F,5,FALSE),"NOT PUBLISHED")</f>
        <v>V12</v>
      </c>
      <c r="J4" s="68" t="str">
        <f>IFERROR(VLOOKUP(C:C,'R22 RELATÓRIO ACC'!B:P,15,FALSE),"NOT PUBLISHED")</f>
        <v>08/04/2026</v>
      </c>
      <c r="K4" s="70" t="str">
        <f>IFERROR(VLOOKUP(B:B,'RELATÓRIO ACC'!B:F,5,FALSE),"NOT PUBLISHED")</f>
        <v>V1</v>
      </c>
      <c r="L4" s="518" t="str">
        <f>IFERROR(VLOOKUP(B:B,'RELATÓRIO ACC'!B:P,15,FALSE),"NOT PUBLISHED")</f>
        <v>15/05/2026</v>
      </c>
      <c r="M4" s="519" t="s">
        <v>377</v>
      </c>
      <c r="N4" s="520">
        <v>46157.0</v>
      </c>
      <c r="O4" s="538" t="s">
        <v>378</v>
      </c>
      <c r="P4" s="522"/>
      <c r="Q4" s="523" t="s">
        <v>379</v>
      </c>
      <c r="R4" s="558">
        <v>0.0</v>
      </c>
      <c r="S4" s="523" t="s">
        <v>379</v>
      </c>
      <c r="T4" s="523" t="s">
        <v>379</v>
      </c>
      <c r="U4" s="558">
        <v>0.0</v>
      </c>
      <c r="V4" s="523" t="s">
        <v>379</v>
      </c>
      <c r="W4" s="734" t="s">
        <v>379</v>
      </c>
      <c r="X4" s="735">
        <v>0.0</v>
      </c>
      <c r="Y4" s="550" t="s">
        <v>379</v>
      </c>
      <c r="Z4" s="734" t="s">
        <v>379</v>
      </c>
      <c r="AA4" s="690" t="s">
        <v>380</v>
      </c>
      <c r="AB4" s="530" t="s">
        <v>379</v>
      </c>
      <c r="AC4" s="734" t="s">
        <v>379</v>
      </c>
      <c r="AD4" s="735" t="s">
        <v>380</v>
      </c>
      <c r="AE4" s="530" t="s">
        <v>379</v>
      </c>
      <c r="AF4" s="523" t="s">
        <v>381</v>
      </c>
      <c r="AG4" s="526" t="s">
        <v>382</v>
      </c>
      <c r="AH4" s="527">
        <v>0.86</v>
      </c>
      <c r="AI4" s="523" t="s">
        <v>379</v>
      </c>
      <c r="AJ4" s="526" t="s">
        <v>382</v>
      </c>
      <c r="AK4" s="523" t="s">
        <v>379</v>
      </c>
      <c r="AL4" s="528" t="s">
        <v>383</v>
      </c>
      <c r="AM4" s="528" t="s">
        <v>382</v>
      </c>
      <c r="AN4" s="528" t="s">
        <v>383</v>
      </c>
      <c r="AO4" s="528" t="s">
        <v>381</v>
      </c>
      <c r="AP4" s="528" t="s">
        <v>384</v>
      </c>
      <c r="AQ4" s="532">
        <v>0.9</v>
      </c>
      <c r="AR4" s="528" t="s">
        <v>379</v>
      </c>
      <c r="AS4" s="528" t="s">
        <v>384</v>
      </c>
      <c r="AT4" s="528" t="s">
        <v>379</v>
      </c>
      <c r="AU4" s="528" t="s">
        <v>379</v>
      </c>
      <c r="AV4" s="648" t="s">
        <v>385</v>
      </c>
      <c r="AW4" s="528" t="s">
        <v>379</v>
      </c>
      <c r="AX4" s="528" t="s">
        <v>379</v>
      </c>
      <c r="AY4" s="648" t="s">
        <v>385</v>
      </c>
      <c r="AZ4" s="528" t="s">
        <v>379</v>
      </c>
      <c r="BA4" s="528" t="s">
        <v>379</v>
      </c>
      <c r="BB4" s="648" t="s">
        <v>385</v>
      </c>
      <c r="BC4" s="528" t="s">
        <v>379</v>
      </c>
      <c r="BD4" s="528" t="s">
        <v>379</v>
      </c>
      <c r="BE4" s="648" t="s">
        <v>385</v>
      </c>
      <c r="BF4" s="528" t="s">
        <v>379</v>
      </c>
      <c r="BG4" s="528" t="s">
        <v>379</v>
      </c>
      <c r="BH4" s="648" t="s">
        <v>385</v>
      </c>
      <c r="BI4" s="528" t="s">
        <v>379</v>
      </c>
      <c r="BJ4" s="523" t="s">
        <v>379</v>
      </c>
      <c r="BK4" s="593" t="s">
        <v>385</v>
      </c>
      <c r="BL4" s="523" t="s">
        <v>379</v>
      </c>
      <c r="BM4" s="523" t="s">
        <v>379</v>
      </c>
      <c r="BN4" s="593" t="s">
        <v>385</v>
      </c>
      <c r="BO4" s="523" t="s">
        <v>379</v>
      </c>
      <c r="BP4" s="550" t="s">
        <v>379</v>
      </c>
      <c r="BQ4" s="661" t="s">
        <v>385</v>
      </c>
      <c r="BR4" s="550" t="s">
        <v>379</v>
      </c>
      <c r="BS4" s="550" t="s">
        <v>383</v>
      </c>
      <c r="BT4" s="661" t="s">
        <v>385</v>
      </c>
      <c r="BU4" s="550" t="s">
        <v>383</v>
      </c>
      <c r="BV4" s="550" t="s">
        <v>381</v>
      </c>
      <c r="BW4" s="661" t="s">
        <v>414</v>
      </c>
      <c r="BX4" s="664">
        <v>0.83</v>
      </c>
      <c r="BY4" s="550" t="s">
        <v>379</v>
      </c>
      <c r="BZ4" s="661" t="s">
        <v>414</v>
      </c>
      <c r="CA4" s="550" t="s">
        <v>379</v>
      </c>
      <c r="CB4" s="550" t="s">
        <v>379</v>
      </c>
      <c r="CC4" s="661" t="s">
        <v>414</v>
      </c>
      <c r="CD4" s="550" t="s">
        <v>379</v>
      </c>
      <c r="CE4" s="550" t="s">
        <v>379</v>
      </c>
      <c r="CF4" s="661" t="s">
        <v>414</v>
      </c>
      <c r="CG4" s="550" t="s">
        <v>379</v>
      </c>
      <c r="CH4" s="550" t="s">
        <v>379</v>
      </c>
      <c r="CI4" s="661" t="s">
        <v>414</v>
      </c>
      <c r="CJ4" s="550" t="s">
        <v>379</v>
      </c>
      <c r="CK4" s="550" t="s">
        <v>379</v>
      </c>
      <c r="CL4" s="661" t="s">
        <v>414</v>
      </c>
      <c r="CM4" s="550" t="s">
        <v>379</v>
      </c>
      <c r="CN4" s="550" t="s">
        <v>383</v>
      </c>
      <c r="CO4" s="661" t="s">
        <v>414</v>
      </c>
      <c r="CP4" s="523" t="s">
        <v>383</v>
      </c>
      <c r="CQ4" s="550" t="s">
        <v>383</v>
      </c>
      <c r="CR4" s="661" t="s">
        <v>414</v>
      </c>
      <c r="CS4" s="550" t="s">
        <v>383</v>
      </c>
      <c r="CT4" s="550" t="s">
        <v>383</v>
      </c>
      <c r="CU4" s="661" t="s">
        <v>414</v>
      </c>
      <c r="CV4" s="550" t="s">
        <v>383</v>
      </c>
      <c r="CW4" s="550" t="s">
        <v>383</v>
      </c>
      <c r="CX4" s="661" t="s">
        <v>414</v>
      </c>
      <c r="CY4" s="550" t="s">
        <v>383</v>
      </c>
      <c r="CZ4" s="550" t="s">
        <v>383</v>
      </c>
      <c r="DA4" s="661" t="s">
        <v>414</v>
      </c>
      <c r="DB4" s="550" t="s">
        <v>383</v>
      </c>
      <c r="DC4" s="550" t="s">
        <v>383</v>
      </c>
      <c r="DD4" s="661" t="s">
        <v>414</v>
      </c>
      <c r="DE4" s="550" t="s">
        <v>383</v>
      </c>
      <c r="DF4" s="550" t="s">
        <v>383</v>
      </c>
      <c r="DG4" s="661" t="s">
        <v>414</v>
      </c>
      <c r="DH4" s="550" t="s">
        <v>383</v>
      </c>
      <c r="DI4" s="550" t="s">
        <v>383</v>
      </c>
      <c r="DJ4" s="661" t="s">
        <v>414</v>
      </c>
      <c r="DK4" s="550" t="s">
        <v>383</v>
      </c>
      <c r="DL4" s="550" t="s">
        <v>386</v>
      </c>
      <c r="DM4" s="661" t="s">
        <v>377</v>
      </c>
      <c r="DN4" s="568">
        <v>1.0</v>
      </c>
    </row>
    <row r="5">
      <c r="A5" s="53">
        <v>11.0</v>
      </c>
      <c r="B5" s="100" t="s">
        <v>112</v>
      </c>
      <c r="C5" s="100" t="s">
        <v>113</v>
      </c>
      <c r="D5" s="101" t="str">
        <f t="shared" si="1"/>
        <v>DATA</v>
      </c>
      <c r="E5" s="101" t="s">
        <v>114</v>
      </c>
      <c r="F5" s="102">
        <v>1108.0</v>
      </c>
      <c r="G5" s="517" t="s">
        <v>114</v>
      </c>
      <c r="H5" s="517">
        <v>1108.0</v>
      </c>
      <c r="I5" s="68" t="str">
        <f>IFERROR(VLOOKUP(C:C,'R22 RELATÓRIO ACC'!B:F,5,FALSE),"NOT PUBLISHED")</f>
        <v>V4</v>
      </c>
      <c r="J5" s="68" t="str">
        <f>IFERROR(VLOOKUP(C:C,'R22 RELATÓRIO ACC'!B:P,15,FALSE),"NOT PUBLISHED")</f>
        <v>10/04/2026</v>
      </c>
      <c r="K5" s="70" t="str">
        <f>IFERROR(VLOOKUP(B:B,'RELATÓRIO ACC'!B:F,5,FALSE),"NOT PUBLISHED")</f>
        <v>V2</v>
      </c>
      <c r="L5" s="518" t="str">
        <f>IFERROR(VLOOKUP(B:B,'RELATÓRIO ACC'!B:P,15,FALSE),"NOT PUBLISHED")</f>
        <v>04/06/2026</v>
      </c>
      <c r="M5" s="519" t="s">
        <v>388</v>
      </c>
      <c r="N5" s="557" t="s">
        <v>388</v>
      </c>
      <c r="O5" s="538" t="s">
        <v>380</v>
      </c>
      <c r="P5" s="522"/>
      <c r="Q5" s="523" t="s">
        <v>380</v>
      </c>
      <c r="R5" s="550" t="s">
        <v>380</v>
      </c>
      <c r="S5" s="542" t="s">
        <v>380</v>
      </c>
      <c r="T5" s="523" t="s">
        <v>380</v>
      </c>
      <c r="U5" s="550" t="s">
        <v>380</v>
      </c>
      <c r="V5" s="542" t="s">
        <v>380</v>
      </c>
      <c r="W5" s="523" t="s">
        <v>380</v>
      </c>
      <c r="X5" s="550" t="s">
        <v>380</v>
      </c>
      <c r="Y5" s="542" t="s">
        <v>380</v>
      </c>
      <c r="Z5" s="523" t="s">
        <v>380</v>
      </c>
      <c r="AA5" s="550" t="s">
        <v>380</v>
      </c>
      <c r="AB5" s="551" t="s">
        <v>380</v>
      </c>
      <c r="AC5" s="523" t="s">
        <v>380</v>
      </c>
      <c r="AD5" s="550" t="s">
        <v>380</v>
      </c>
      <c r="AE5" s="551" t="s">
        <v>380</v>
      </c>
      <c r="AF5" s="523" t="s">
        <v>380</v>
      </c>
      <c r="AG5" s="526" t="s">
        <v>380</v>
      </c>
      <c r="AH5" s="539" t="s">
        <v>380</v>
      </c>
      <c r="AI5" s="523" t="s">
        <v>380</v>
      </c>
      <c r="AJ5" s="526" t="s">
        <v>380</v>
      </c>
      <c r="AK5" s="523" t="s">
        <v>380</v>
      </c>
      <c r="AL5" s="523" t="s">
        <v>380</v>
      </c>
      <c r="AM5" s="526" t="s">
        <v>380</v>
      </c>
      <c r="AN5" s="528" t="s">
        <v>380</v>
      </c>
      <c r="AO5" s="528" t="s">
        <v>380</v>
      </c>
      <c r="AP5" s="526" t="s">
        <v>380</v>
      </c>
      <c r="AQ5" s="528" t="s">
        <v>380</v>
      </c>
      <c r="AR5" s="528" t="s">
        <v>380</v>
      </c>
      <c r="AS5" s="526" t="s">
        <v>380</v>
      </c>
      <c r="AT5" s="528" t="s">
        <v>380</v>
      </c>
      <c r="AU5" s="528" t="s">
        <v>380</v>
      </c>
      <c r="AV5" s="526" t="s">
        <v>380</v>
      </c>
      <c r="AW5" s="528" t="s">
        <v>380</v>
      </c>
      <c r="AX5" s="528" t="s">
        <v>380</v>
      </c>
      <c r="AY5" s="526" t="s">
        <v>380</v>
      </c>
      <c r="AZ5" s="528" t="s">
        <v>380</v>
      </c>
      <c r="BA5" s="528" t="s">
        <v>380</v>
      </c>
      <c r="BB5" s="526" t="s">
        <v>380</v>
      </c>
      <c r="BC5" s="528" t="s">
        <v>380</v>
      </c>
      <c r="BD5" s="528" t="s">
        <v>380</v>
      </c>
      <c r="BE5" s="526" t="s">
        <v>380</v>
      </c>
      <c r="BF5" s="528" t="s">
        <v>380</v>
      </c>
      <c r="BG5" s="528" t="s">
        <v>380</v>
      </c>
      <c r="BH5" s="526" t="s">
        <v>380</v>
      </c>
      <c r="BI5" s="528" t="s">
        <v>380</v>
      </c>
      <c r="BJ5" s="528" t="s">
        <v>380</v>
      </c>
      <c r="BK5" s="526" t="s">
        <v>380</v>
      </c>
      <c r="BL5" s="528" t="s">
        <v>380</v>
      </c>
      <c r="BM5" s="528" t="s">
        <v>380</v>
      </c>
      <c r="BN5" s="526" t="s">
        <v>380</v>
      </c>
      <c r="BO5" s="528" t="s">
        <v>380</v>
      </c>
      <c r="BP5" s="528" t="s">
        <v>380</v>
      </c>
      <c r="BQ5" s="526" t="s">
        <v>380</v>
      </c>
      <c r="BR5" s="528" t="s">
        <v>380</v>
      </c>
      <c r="BS5" s="528" t="s">
        <v>380</v>
      </c>
      <c r="BT5" s="526" t="s">
        <v>380</v>
      </c>
      <c r="BU5" s="528" t="s">
        <v>380</v>
      </c>
      <c r="BV5" s="528" t="s">
        <v>380</v>
      </c>
      <c r="BW5" s="526" t="s">
        <v>380</v>
      </c>
      <c r="BX5" s="528" t="s">
        <v>380</v>
      </c>
      <c r="BY5" s="528" t="s">
        <v>380</v>
      </c>
      <c r="BZ5" s="526" t="s">
        <v>380</v>
      </c>
      <c r="CA5" s="528" t="s">
        <v>380</v>
      </c>
      <c r="CB5" s="528" t="s">
        <v>380</v>
      </c>
      <c r="CC5" s="526" t="s">
        <v>380</v>
      </c>
      <c r="CD5" s="528" t="s">
        <v>380</v>
      </c>
      <c r="CE5" s="528" t="s">
        <v>380</v>
      </c>
      <c r="CF5" s="526" t="s">
        <v>380</v>
      </c>
      <c r="CG5" s="528" t="s">
        <v>380</v>
      </c>
      <c r="CH5" s="528" t="s">
        <v>380</v>
      </c>
      <c r="CI5" s="526" t="s">
        <v>380</v>
      </c>
      <c r="CJ5" s="528" t="s">
        <v>380</v>
      </c>
      <c r="CK5" s="528" t="s">
        <v>380</v>
      </c>
      <c r="CL5" s="526" t="s">
        <v>380</v>
      </c>
      <c r="CM5" s="528" t="s">
        <v>380</v>
      </c>
      <c r="CN5" s="528" t="s">
        <v>380</v>
      </c>
      <c r="CO5" s="526" t="s">
        <v>380</v>
      </c>
      <c r="CP5" s="528" t="s">
        <v>380</v>
      </c>
      <c r="CQ5" s="528" t="s">
        <v>380</v>
      </c>
      <c r="CR5" s="526" t="s">
        <v>380</v>
      </c>
      <c r="CS5" s="528" t="s">
        <v>380</v>
      </c>
      <c r="CT5" s="550" t="s">
        <v>380</v>
      </c>
      <c r="CU5" s="526" t="s">
        <v>380</v>
      </c>
      <c r="CV5" s="550" t="s">
        <v>380</v>
      </c>
      <c r="CW5" s="550" t="s">
        <v>380</v>
      </c>
      <c r="CX5" s="526" t="s">
        <v>380</v>
      </c>
      <c r="CY5" s="550" t="s">
        <v>380</v>
      </c>
      <c r="CZ5" s="550" t="s">
        <v>380</v>
      </c>
      <c r="DA5" s="526" t="s">
        <v>380</v>
      </c>
      <c r="DB5" s="550" t="s">
        <v>380</v>
      </c>
      <c r="DC5" s="550" t="s">
        <v>380</v>
      </c>
      <c r="DD5" s="526" t="s">
        <v>380</v>
      </c>
      <c r="DE5" s="550" t="s">
        <v>380</v>
      </c>
      <c r="DF5" s="550" t="s">
        <v>380</v>
      </c>
      <c r="DG5" s="526" t="s">
        <v>380</v>
      </c>
      <c r="DH5" s="550" t="s">
        <v>380</v>
      </c>
      <c r="DI5" s="550" t="s">
        <v>380</v>
      </c>
      <c r="DJ5" s="526" t="s">
        <v>380</v>
      </c>
      <c r="DK5" s="550" t="s">
        <v>380</v>
      </c>
      <c r="DL5" s="550" t="s">
        <v>380</v>
      </c>
      <c r="DM5" s="526" t="s">
        <v>380</v>
      </c>
      <c r="DN5" s="550" t="s">
        <v>380</v>
      </c>
    </row>
    <row r="6" ht="15.0" customHeight="1">
      <c r="A6" s="53">
        <v>14.0</v>
      </c>
      <c r="B6" s="100" t="s">
        <v>128</v>
      </c>
      <c r="C6" s="100" t="s">
        <v>129</v>
      </c>
      <c r="D6" s="101" t="str">
        <f t="shared" si="1"/>
        <v>C345</v>
      </c>
      <c r="E6" s="101" t="s">
        <v>126</v>
      </c>
      <c r="F6" s="118">
        <v>1101.0</v>
      </c>
      <c r="G6" s="517" t="s">
        <v>127</v>
      </c>
      <c r="H6" s="517">
        <v>1126.0</v>
      </c>
      <c r="I6" s="68" t="str">
        <f>IFERROR(VLOOKUP(C:C,'R22 RELATÓRIO ACC'!B:F,5,FALSE),"NOT PUBLISHED")</f>
        <v>V14</v>
      </c>
      <c r="J6" s="68" t="str">
        <f>IFERROR(VLOOKUP(C:C,'R22 RELATÓRIO ACC'!B:P,15,FALSE),"NOT PUBLISHED")</f>
        <v>30/01/2026</v>
      </c>
      <c r="K6" s="70" t="str">
        <f>IFERROR(VLOOKUP(B:B,'RELATÓRIO ACC'!B:F,5,FALSE),"NOT PUBLISHED")</f>
        <v>V1</v>
      </c>
      <c r="L6" s="518" t="str">
        <f>IFERROR(VLOOKUP(B:B,'RELATÓRIO ACC'!B:P,15,FALSE),"NOT PUBLISHED")</f>
        <v>19/05/2026</v>
      </c>
      <c r="M6" s="519" t="s">
        <v>380</v>
      </c>
      <c r="N6" s="549" t="s">
        <v>380</v>
      </c>
      <c r="O6" s="538" t="s">
        <v>380</v>
      </c>
      <c r="P6" s="587"/>
      <c r="Q6" s="523" t="s">
        <v>380</v>
      </c>
      <c r="R6" s="550" t="s">
        <v>380</v>
      </c>
      <c r="S6" s="546" t="s">
        <v>380</v>
      </c>
      <c r="T6" s="523" t="s">
        <v>380</v>
      </c>
      <c r="U6" s="550" t="s">
        <v>380</v>
      </c>
      <c r="V6" s="546" t="s">
        <v>380</v>
      </c>
      <c r="W6" s="734" t="s">
        <v>380</v>
      </c>
      <c r="X6" s="735" t="s">
        <v>380</v>
      </c>
      <c r="Y6" s="734" t="s">
        <v>380</v>
      </c>
      <c r="Z6" s="734" t="s">
        <v>380</v>
      </c>
      <c r="AA6" s="735" t="s">
        <v>380</v>
      </c>
      <c r="AB6" s="734" t="s">
        <v>380</v>
      </c>
      <c r="AC6" s="734" t="s">
        <v>380</v>
      </c>
      <c r="AD6" s="735" t="s">
        <v>380</v>
      </c>
      <c r="AE6" s="734" t="s">
        <v>380</v>
      </c>
      <c r="AF6" s="734" t="s">
        <v>380</v>
      </c>
      <c r="AG6" s="541" t="s">
        <v>380</v>
      </c>
      <c r="AH6" s="736" t="s">
        <v>380</v>
      </c>
      <c r="AI6" s="734" t="s">
        <v>380</v>
      </c>
      <c r="AJ6" s="526" t="s">
        <v>431</v>
      </c>
      <c r="AK6" s="734" t="s">
        <v>380</v>
      </c>
      <c r="AL6" s="734" t="s">
        <v>380</v>
      </c>
      <c r="AM6" s="526" t="s">
        <v>431</v>
      </c>
      <c r="AN6" s="737" t="s">
        <v>380</v>
      </c>
      <c r="AO6" s="737" t="s">
        <v>380</v>
      </c>
      <c r="AP6" s="526" t="s">
        <v>431</v>
      </c>
      <c r="AQ6" s="737" t="s">
        <v>380</v>
      </c>
      <c r="AR6" s="737" t="s">
        <v>380</v>
      </c>
      <c r="AS6" s="526" t="s">
        <v>431</v>
      </c>
      <c r="AT6" s="737" t="s">
        <v>380</v>
      </c>
      <c r="AU6" s="737" t="s">
        <v>380</v>
      </c>
      <c r="AV6" s="526" t="s">
        <v>431</v>
      </c>
      <c r="AW6" s="737" t="s">
        <v>380</v>
      </c>
      <c r="AX6" s="737" t="s">
        <v>380</v>
      </c>
      <c r="AY6" s="526" t="s">
        <v>431</v>
      </c>
      <c r="AZ6" s="737" t="s">
        <v>380</v>
      </c>
      <c r="BA6" s="737" t="s">
        <v>380</v>
      </c>
      <c r="BB6" s="526" t="s">
        <v>431</v>
      </c>
      <c r="BC6" s="737" t="s">
        <v>380</v>
      </c>
      <c r="BD6" s="737" t="s">
        <v>380</v>
      </c>
      <c r="BE6" s="526" t="s">
        <v>431</v>
      </c>
      <c r="BF6" s="737" t="s">
        <v>380</v>
      </c>
      <c r="BG6" s="737" t="s">
        <v>380</v>
      </c>
      <c r="BH6" s="526" t="s">
        <v>431</v>
      </c>
      <c r="BI6" s="737" t="s">
        <v>380</v>
      </c>
      <c r="BJ6" s="737" t="s">
        <v>380</v>
      </c>
      <c r="BK6" s="526" t="s">
        <v>431</v>
      </c>
      <c r="BL6" s="737" t="s">
        <v>380</v>
      </c>
      <c r="BM6" s="737" t="s">
        <v>380</v>
      </c>
      <c r="BN6" s="526" t="s">
        <v>431</v>
      </c>
      <c r="BO6" s="737" t="s">
        <v>380</v>
      </c>
      <c r="BP6" s="737" t="s">
        <v>380</v>
      </c>
      <c r="BQ6" s="526" t="s">
        <v>431</v>
      </c>
      <c r="BR6" s="737" t="s">
        <v>380</v>
      </c>
      <c r="BS6" s="737" t="s">
        <v>380</v>
      </c>
      <c r="BT6" s="526" t="s">
        <v>431</v>
      </c>
      <c r="BU6" s="737" t="s">
        <v>380</v>
      </c>
      <c r="BV6" s="737" t="s">
        <v>380</v>
      </c>
      <c r="BW6" s="526" t="s">
        <v>431</v>
      </c>
      <c r="BX6" s="737" t="s">
        <v>380</v>
      </c>
      <c r="BY6" s="737" t="s">
        <v>380</v>
      </c>
      <c r="BZ6" s="526" t="s">
        <v>431</v>
      </c>
      <c r="CA6" s="737" t="s">
        <v>380</v>
      </c>
      <c r="CB6" s="737" t="s">
        <v>380</v>
      </c>
      <c r="CC6" s="526" t="s">
        <v>431</v>
      </c>
      <c r="CD6" s="737" t="s">
        <v>380</v>
      </c>
      <c r="CE6" s="737" t="s">
        <v>380</v>
      </c>
      <c r="CF6" s="526" t="s">
        <v>431</v>
      </c>
      <c r="CG6" s="737" t="s">
        <v>380</v>
      </c>
      <c r="CH6" s="737" t="s">
        <v>380</v>
      </c>
      <c r="CI6" s="526" t="s">
        <v>431</v>
      </c>
      <c r="CJ6" s="737" t="s">
        <v>380</v>
      </c>
      <c r="CK6" s="737" t="s">
        <v>380</v>
      </c>
      <c r="CL6" s="526" t="s">
        <v>431</v>
      </c>
      <c r="CM6" s="737" t="s">
        <v>380</v>
      </c>
      <c r="CN6" s="737" t="s">
        <v>380</v>
      </c>
      <c r="CO6" s="526" t="s">
        <v>431</v>
      </c>
      <c r="CP6" s="737" t="s">
        <v>380</v>
      </c>
      <c r="CQ6" s="737" t="s">
        <v>380</v>
      </c>
      <c r="CR6" s="526" t="s">
        <v>431</v>
      </c>
      <c r="CS6" s="737" t="s">
        <v>380</v>
      </c>
      <c r="CT6" s="737" t="s">
        <v>380</v>
      </c>
      <c r="CU6" s="526" t="s">
        <v>431</v>
      </c>
      <c r="CV6" s="737" t="s">
        <v>380</v>
      </c>
      <c r="CW6" s="737" t="s">
        <v>380</v>
      </c>
      <c r="CX6" s="526" t="s">
        <v>431</v>
      </c>
      <c r="CY6" s="737" t="s">
        <v>380</v>
      </c>
      <c r="CZ6" s="737" t="s">
        <v>380</v>
      </c>
      <c r="DA6" s="526" t="s">
        <v>431</v>
      </c>
      <c r="DB6" s="737" t="s">
        <v>380</v>
      </c>
      <c r="DC6" s="737" t="s">
        <v>380</v>
      </c>
      <c r="DD6" s="526" t="s">
        <v>431</v>
      </c>
      <c r="DE6" s="737" t="s">
        <v>380</v>
      </c>
      <c r="DF6" s="737" t="s">
        <v>380</v>
      </c>
      <c r="DG6" s="526" t="s">
        <v>431</v>
      </c>
      <c r="DH6" s="737" t="s">
        <v>380</v>
      </c>
      <c r="DI6" s="737" t="s">
        <v>380</v>
      </c>
      <c r="DJ6" s="526" t="s">
        <v>431</v>
      </c>
      <c r="DK6" s="737" t="s">
        <v>380</v>
      </c>
      <c r="DL6" s="737" t="s">
        <v>380</v>
      </c>
      <c r="DM6" s="526" t="s">
        <v>431</v>
      </c>
      <c r="DN6" s="737" t="s">
        <v>380</v>
      </c>
    </row>
    <row r="7" ht="15.0" customHeight="1">
      <c r="A7" s="53">
        <v>18.0</v>
      </c>
      <c r="B7" s="100" t="s">
        <v>145</v>
      </c>
      <c r="C7" s="100" t="s">
        <v>146</v>
      </c>
      <c r="D7" s="101" t="str">
        <f t="shared" si="1"/>
        <v>DATA</v>
      </c>
      <c r="E7" s="111" t="s">
        <v>147</v>
      </c>
      <c r="F7" s="111" t="s">
        <v>147</v>
      </c>
      <c r="G7" s="111" t="s">
        <v>147</v>
      </c>
      <c r="H7" s="535"/>
      <c r="I7" s="68" t="str">
        <f>IFERROR(VLOOKUP(C:C,'R22 RELATÓRIO ACC'!B:F,5,FALSE),"NOT PUBLISHED")</f>
        <v>V9</v>
      </c>
      <c r="J7" s="68" t="str">
        <f>IFERROR(VLOOKUP(C:C,'R22 RELATÓRIO ACC'!B:P,15,FALSE),"NOT PUBLISHED")</f>
        <v>28/02/2026</v>
      </c>
      <c r="K7" s="70" t="str">
        <f>IFERROR(VLOOKUP(B:B,'RELATÓRIO ACC'!B:F,5,FALSE),"NOT PUBLISHED")</f>
        <v>V1</v>
      </c>
      <c r="L7" s="518" t="str">
        <f>IFERROR(VLOOKUP(B:B,'RELATÓRIO ACC'!B:P,15,FALSE),"NOT PUBLISHED")</f>
        <v>20/05/2026</v>
      </c>
      <c r="M7" s="519" t="s">
        <v>380</v>
      </c>
      <c r="N7" s="549" t="s">
        <v>380</v>
      </c>
      <c r="O7" s="538" t="s">
        <v>380</v>
      </c>
      <c r="P7" s="587"/>
      <c r="Q7" s="523" t="s">
        <v>380</v>
      </c>
      <c r="R7" s="526" t="s">
        <v>380</v>
      </c>
      <c r="S7" s="546" t="s">
        <v>380</v>
      </c>
      <c r="T7" s="523" t="s">
        <v>380</v>
      </c>
      <c r="U7" s="550" t="s">
        <v>380</v>
      </c>
      <c r="V7" s="546" t="s">
        <v>380</v>
      </c>
      <c r="W7" s="734" t="s">
        <v>380</v>
      </c>
      <c r="X7" s="735" t="s">
        <v>380</v>
      </c>
      <c r="Y7" s="734" t="s">
        <v>380</v>
      </c>
      <c r="Z7" s="734" t="s">
        <v>380</v>
      </c>
      <c r="AA7" s="690" t="s">
        <v>380</v>
      </c>
      <c r="AB7" s="734" t="s">
        <v>380</v>
      </c>
      <c r="AC7" s="734" t="s">
        <v>380</v>
      </c>
      <c r="AD7" s="690" t="s">
        <v>431</v>
      </c>
      <c r="AE7" s="530" t="s">
        <v>380</v>
      </c>
      <c r="AF7" s="734" t="s">
        <v>380</v>
      </c>
      <c r="AG7" s="544" t="s">
        <v>431</v>
      </c>
      <c r="AH7" s="736" t="s">
        <v>380</v>
      </c>
      <c r="AI7" s="734" t="s">
        <v>380</v>
      </c>
      <c r="AJ7" s="541" t="s">
        <v>380</v>
      </c>
      <c r="AK7" s="734" t="s">
        <v>380</v>
      </c>
      <c r="AL7" s="737" t="s">
        <v>380</v>
      </c>
      <c r="AM7" s="737" t="s">
        <v>380</v>
      </c>
      <c r="AN7" s="737" t="s">
        <v>380</v>
      </c>
      <c r="AO7" s="737" t="s">
        <v>380</v>
      </c>
      <c r="AP7" s="737" t="s">
        <v>380</v>
      </c>
      <c r="AQ7" s="737" t="s">
        <v>380</v>
      </c>
      <c r="AR7" s="737" t="s">
        <v>380</v>
      </c>
      <c r="AS7" s="737" t="s">
        <v>380</v>
      </c>
      <c r="AT7" s="737" t="s">
        <v>380</v>
      </c>
      <c r="AU7" s="737" t="s">
        <v>380</v>
      </c>
      <c r="AV7" s="737" t="s">
        <v>380</v>
      </c>
      <c r="AW7" s="737" t="s">
        <v>380</v>
      </c>
      <c r="AX7" s="737" t="s">
        <v>380</v>
      </c>
      <c r="AY7" s="737" t="s">
        <v>380</v>
      </c>
      <c r="AZ7" s="737" t="s">
        <v>380</v>
      </c>
      <c r="BA7" s="737" t="s">
        <v>380</v>
      </c>
      <c r="BB7" s="737" t="s">
        <v>380</v>
      </c>
      <c r="BC7" s="737" t="s">
        <v>380</v>
      </c>
      <c r="BD7" s="737" t="s">
        <v>380</v>
      </c>
      <c r="BE7" s="737" t="s">
        <v>380</v>
      </c>
      <c r="BF7" s="737" t="s">
        <v>380</v>
      </c>
      <c r="BG7" s="737" t="s">
        <v>380</v>
      </c>
      <c r="BH7" s="737" t="s">
        <v>380</v>
      </c>
      <c r="BI7" s="737" t="s">
        <v>380</v>
      </c>
      <c r="BJ7" s="737" t="s">
        <v>380</v>
      </c>
      <c r="BK7" s="737" t="s">
        <v>380</v>
      </c>
      <c r="BL7" s="737" t="s">
        <v>380</v>
      </c>
      <c r="BM7" s="737" t="s">
        <v>380</v>
      </c>
      <c r="BN7" s="737" t="s">
        <v>380</v>
      </c>
      <c r="BO7" s="737" t="s">
        <v>380</v>
      </c>
      <c r="BP7" s="737" t="s">
        <v>380</v>
      </c>
      <c r="BQ7" s="737" t="s">
        <v>380</v>
      </c>
      <c r="BR7" s="737" t="s">
        <v>380</v>
      </c>
      <c r="BS7" s="737" t="s">
        <v>380</v>
      </c>
      <c r="BT7" s="737" t="s">
        <v>380</v>
      </c>
      <c r="BU7" s="737" t="s">
        <v>380</v>
      </c>
      <c r="BV7" s="737" t="s">
        <v>380</v>
      </c>
      <c r="BW7" s="737" t="s">
        <v>380</v>
      </c>
      <c r="BX7" s="737" t="s">
        <v>380</v>
      </c>
      <c r="BY7" s="737" t="s">
        <v>380</v>
      </c>
      <c r="BZ7" s="737" t="s">
        <v>380</v>
      </c>
      <c r="CA7" s="737" t="s">
        <v>380</v>
      </c>
      <c r="CB7" s="737" t="s">
        <v>380</v>
      </c>
      <c r="CC7" s="737" t="s">
        <v>380</v>
      </c>
      <c r="CD7" s="737" t="s">
        <v>380</v>
      </c>
      <c r="CE7" s="737" t="s">
        <v>380</v>
      </c>
      <c r="CF7" s="737" t="s">
        <v>380</v>
      </c>
      <c r="CG7" s="737" t="s">
        <v>380</v>
      </c>
      <c r="CH7" s="737" t="s">
        <v>380</v>
      </c>
      <c r="CI7" s="737" t="s">
        <v>380</v>
      </c>
      <c r="CJ7" s="737" t="s">
        <v>380</v>
      </c>
      <c r="CK7" s="737" t="s">
        <v>380</v>
      </c>
      <c r="CL7" s="737" t="s">
        <v>380</v>
      </c>
      <c r="CM7" s="737" t="s">
        <v>380</v>
      </c>
      <c r="CN7" s="737" t="s">
        <v>380</v>
      </c>
      <c r="CO7" s="737" t="s">
        <v>380</v>
      </c>
      <c r="CP7" s="737" t="s">
        <v>380</v>
      </c>
      <c r="CQ7" s="737" t="s">
        <v>380</v>
      </c>
      <c r="CR7" s="737" t="s">
        <v>380</v>
      </c>
      <c r="CS7" s="737" t="s">
        <v>380</v>
      </c>
      <c r="CT7" s="737" t="s">
        <v>380</v>
      </c>
      <c r="CU7" s="737" t="s">
        <v>380</v>
      </c>
      <c r="CV7" s="737" t="s">
        <v>380</v>
      </c>
      <c r="CW7" s="737" t="s">
        <v>380</v>
      </c>
      <c r="CX7" s="737" t="s">
        <v>380</v>
      </c>
      <c r="CY7" s="737" t="s">
        <v>380</v>
      </c>
      <c r="CZ7" s="737" t="s">
        <v>380</v>
      </c>
      <c r="DA7" s="737" t="s">
        <v>380</v>
      </c>
      <c r="DB7" s="737" t="s">
        <v>380</v>
      </c>
      <c r="DC7" s="737" t="s">
        <v>380</v>
      </c>
      <c r="DD7" s="737" t="s">
        <v>380</v>
      </c>
      <c r="DE7" s="737" t="s">
        <v>380</v>
      </c>
      <c r="DF7" s="737" t="s">
        <v>380</v>
      </c>
      <c r="DG7" s="737" t="s">
        <v>380</v>
      </c>
      <c r="DH7" s="737" t="s">
        <v>380</v>
      </c>
      <c r="DI7" s="737" t="s">
        <v>380</v>
      </c>
      <c r="DJ7" s="737" t="s">
        <v>380</v>
      </c>
      <c r="DK7" s="737" t="s">
        <v>380</v>
      </c>
      <c r="DL7" s="737" t="s">
        <v>380</v>
      </c>
      <c r="DM7" s="737" t="s">
        <v>380</v>
      </c>
      <c r="DN7" s="737" t="s">
        <v>380</v>
      </c>
    </row>
    <row r="8" ht="15.0" customHeight="1">
      <c r="A8" s="53">
        <v>57.0</v>
      </c>
      <c r="B8" s="100" t="s">
        <v>288</v>
      </c>
      <c r="C8" s="100" t="s">
        <v>288</v>
      </c>
      <c r="D8" s="101" t="str">
        <f t="shared" si="1"/>
        <v>ADMN</v>
      </c>
      <c r="E8" s="101" t="s">
        <v>289</v>
      </c>
      <c r="F8" s="102">
        <v>1125.0</v>
      </c>
      <c r="G8" s="517" t="s">
        <v>289</v>
      </c>
      <c r="H8" s="517">
        <v>1125.0</v>
      </c>
      <c r="I8" s="68" t="str">
        <f>IFERROR(VLOOKUP(C:C,'R22 RELATÓRIO ACC'!B:F,5,FALSE),"NOT PUBLISHED")</f>
        <v>V8</v>
      </c>
      <c r="J8" s="68" t="str">
        <f>IFERROR(VLOOKUP(C:C,'R22 RELATÓRIO ACC'!B:P,15,FALSE),"NOT PUBLISHED")</f>
        <v>07/11/2025</v>
      </c>
      <c r="K8" s="70" t="str">
        <f>IFERROR(VLOOKUP(B:B,'RELATÓRIO ACC'!B:F,5,FALSE),"NOT PUBLISHED")</f>
        <v>V1</v>
      </c>
      <c r="L8" s="518" t="str">
        <f>IFERROR(VLOOKUP(B:B,'RELATÓRIO ACC'!B:P,15,FALSE),"NOT PUBLISHED")</f>
        <v>21/05/2026</v>
      </c>
      <c r="M8" s="519" t="s">
        <v>380</v>
      </c>
      <c r="N8" s="549" t="s">
        <v>380</v>
      </c>
      <c r="O8" s="538" t="s">
        <v>380</v>
      </c>
      <c r="P8" s="587"/>
      <c r="Q8" s="523" t="s">
        <v>380</v>
      </c>
      <c r="R8" s="550" t="s">
        <v>380</v>
      </c>
      <c r="S8" s="546" t="s">
        <v>380</v>
      </c>
      <c r="T8" s="523" t="s">
        <v>380</v>
      </c>
      <c r="U8" s="550" t="s">
        <v>380</v>
      </c>
      <c r="V8" s="546" t="s">
        <v>380</v>
      </c>
      <c r="W8" s="734" t="s">
        <v>380</v>
      </c>
      <c r="X8" s="735" t="s">
        <v>380</v>
      </c>
      <c r="Y8" s="734" t="s">
        <v>380</v>
      </c>
      <c r="Z8" s="734" t="s">
        <v>380</v>
      </c>
      <c r="AA8" s="735" t="s">
        <v>380</v>
      </c>
      <c r="AB8" s="738" t="s">
        <v>380</v>
      </c>
      <c r="AC8" s="734" t="s">
        <v>380</v>
      </c>
      <c r="AD8" s="735" t="s">
        <v>380</v>
      </c>
      <c r="AE8" s="734" t="s">
        <v>380</v>
      </c>
      <c r="AF8" s="734" t="s">
        <v>380</v>
      </c>
      <c r="AG8" s="541" t="s">
        <v>380</v>
      </c>
      <c r="AH8" s="734" t="s">
        <v>380</v>
      </c>
      <c r="AI8" s="734" t="s">
        <v>380</v>
      </c>
      <c r="AJ8" s="541" t="s">
        <v>380</v>
      </c>
      <c r="AK8" s="734" t="s">
        <v>380</v>
      </c>
      <c r="AL8" s="734" t="s">
        <v>380</v>
      </c>
      <c r="AM8" s="541" t="s">
        <v>380</v>
      </c>
      <c r="AN8" s="737" t="s">
        <v>380</v>
      </c>
      <c r="AO8" s="734" t="s">
        <v>380</v>
      </c>
      <c r="AP8" s="541" t="s">
        <v>380</v>
      </c>
      <c r="AQ8" s="734" t="s">
        <v>380</v>
      </c>
      <c r="AR8" s="734" t="s">
        <v>380</v>
      </c>
      <c r="AS8" s="541" t="s">
        <v>380</v>
      </c>
      <c r="AT8" s="734" t="s">
        <v>380</v>
      </c>
      <c r="AU8" s="737" t="s">
        <v>380</v>
      </c>
      <c r="AV8" s="737" t="s">
        <v>380</v>
      </c>
      <c r="AW8" s="734" t="s">
        <v>380</v>
      </c>
      <c r="AX8" s="737" t="s">
        <v>380</v>
      </c>
      <c r="AY8" s="737" t="s">
        <v>380</v>
      </c>
      <c r="AZ8" s="734" t="s">
        <v>380</v>
      </c>
      <c r="BA8" s="737" t="s">
        <v>380</v>
      </c>
      <c r="BB8" s="737" t="s">
        <v>380</v>
      </c>
      <c r="BC8" s="734" t="s">
        <v>380</v>
      </c>
      <c r="BD8" s="737" t="s">
        <v>380</v>
      </c>
      <c r="BE8" s="737" t="s">
        <v>380</v>
      </c>
      <c r="BF8" s="734" t="s">
        <v>380</v>
      </c>
      <c r="BG8" s="737" t="s">
        <v>380</v>
      </c>
      <c r="BH8" s="737" t="s">
        <v>380</v>
      </c>
      <c r="BI8" s="734" t="s">
        <v>380</v>
      </c>
      <c r="BJ8" s="737" t="s">
        <v>380</v>
      </c>
      <c r="BK8" s="737" t="s">
        <v>380</v>
      </c>
      <c r="BL8" s="734" t="s">
        <v>380</v>
      </c>
      <c r="BM8" s="737" t="s">
        <v>380</v>
      </c>
      <c r="BN8" s="737" t="s">
        <v>380</v>
      </c>
      <c r="BO8" s="734" t="s">
        <v>380</v>
      </c>
      <c r="BP8" s="737" t="s">
        <v>380</v>
      </c>
      <c r="BQ8" s="737" t="s">
        <v>380</v>
      </c>
      <c r="BR8" s="734" t="s">
        <v>380</v>
      </c>
      <c r="BS8" s="737" t="s">
        <v>380</v>
      </c>
      <c r="BT8" s="737" t="s">
        <v>380</v>
      </c>
      <c r="BU8" s="734" t="s">
        <v>380</v>
      </c>
      <c r="BV8" s="737" t="s">
        <v>380</v>
      </c>
      <c r="BW8" s="737" t="s">
        <v>380</v>
      </c>
      <c r="BX8" s="734" t="s">
        <v>380</v>
      </c>
      <c r="BY8" s="737" t="s">
        <v>380</v>
      </c>
      <c r="BZ8" s="737" t="s">
        <v>380</v>
      </c>
      <c r="CA8" s="737" t="s">
        <v>380</v>
      </c>
      <c r="CB8" s="737" t="s">
        <v>380</v>
      </c>
      <c r="CC8" s="737" t="s">
        <v>380</v>
      </c>
      <c r="CD8" s="737" t="s">
        <v>380</v>
      </c>
      <c r="CE8" s="737" t="s">
        <v>380</v>
      </c>
      <c r="CF8" s="737" t="s">
        <v>380</v>
      </c>
      <c r="CG8" s="737" t="s">
        <v>380</v>
      </c>
      <c r="CH8" s="737" t="s">
        <v>380</v>
      </c>
      <c r="CI8" s="737" t="s">
        <v>380</v>
      </c>
      <c r="CJ8" s="737" t="s">
        <v>380</v>
      </c>
      <c r="CK8" s="737" t="s">
        <v>380</v>
      </c>
      <c r="CL8" s="737" t="s">
        <v>380</v>
      </c>
      <c r="CM8" s="737" t="s">
        <v>380</v>
      </c>
      <c r="CN8" s="737" t="s">
        <v>380</v>
      </c>
      <c r="CO8" s="737" t="s">
        <v>380</v>
      </c>
      <c r="CP8" s="737" t="s">
        <v>380</v>
      </c>
      <c r="CQ8" s="737" t="s">
        <v>380</v>
      </c>
      <c r="CR8" s="737" t="s">
        <v>380</v>
      </c>
      <c r="CS8" s="737" t="s">
        <v>380</v>
      </c>
      <c r="CT8" s="737" t="s">
        <v>380</v>
      </c>
      <c r="CU8" s="737" t="s">
        <v>380</v>
      </c>
      <c r="CV8" s="737" t="s">
        <v>380</v>
      </c>
      <c r="CW8" s="737" t="s">
        <v>380</v>
      </c>
      <c r="CX8" s="737" t="s">
        <v>380</v>
      </c>
      <c r="CY8" s="737" t="s">
        <v>380</v>
      </c>
      <c r="CZ8" s="737" t="s">
        <v>380</v>
      </c>
      <c r="DA8" s="737" t="s">
        <v>380</v>
      </c>
      <c r="DB8" s="737" t="s">
        <v>380</v>
      </c>
      <c r="DC8" s="737" t="s">
        <v>380</v>
      </c>
      <c r="DD8" s="737" t="s">
        <v>380</v>
      </c>
      <c r="DE8" s="737" t="s">
        <v>380</v>
      </c>
      <c r="DF8" s="737" t="s">
        <v>380</v>
      </c>
      <c r="DG8" s="737" t="s">
        <v>380</v>
      </c>
      <c r="DH8" s="737" t="s">
        <v>380</v>
      </c>
      <c r="DI8" s="737" t="s">
        <v>380</v>
      </c>
      <c r="DJ8" s="737" t="s">
        <v>380</v>
      </c>
      <c r="DK8" s="737" t="s">
        <v>380</v>
      </c>
      <c r="DL8" s="737" t="s">
        <v>380</v>
      </c>
      <c r="DM8" s="737" t="s">
        <v>380</v>
      </c>
      <c r="DN8" s="737" t="s">
        <v>380</v>
      </c>
    </row>
    <row r="9" ht="15.0" customHeight="1">
      <c r="A9" s="53">
        <v>58.0</v>
      </c>
      <c r="B9" s="100" t="s">
        <v>290</v>
      </c>
      <c r="C9" s="100" t="s">
        <v>290</v>
      </c>
      <c r="D9" s="101" t="str">
        <f t="shared" si="1"/>
        <v>COL1</v>
      </c>
      <c r="E9" s="111" t="s">
        <v>289</v>
      </c>
      <c r="F9" s="102">
        <v>1125.0</v>
      </c>
      <c r="G9" s="517" t="s">
        <v>289</v>
      </c>
      <c r="H9" s="517">
        <v>1125.0</v>
      </c>
      <c r="I9" s="68" t="str">
        <f>IFERROR(VLOOKUP(C:C,'R22 RELATÓRIO ACC'!B:F,5,FALSE),"NOT PUBLISHED")</f>
        <v>V7</v>
      </c>
      <c r="J9" s="68" t="str">
        <f>IFERROR(VLOOKUP(C:C,'R22 RELATÓRIO ACC'!B:P,15,FALSE),"NOT PUBLISHED")</f>
        <v>07/11/2025</v>
      </c>
      <c r="K9" s="70" t="str">
        <f>IFERROR(VLOOKUP(B:B,'RELATÓRIO ACC'!B:F,5,FALSE),"NOT PUBLISHED")</f>
        <v>V1</v>
      </c>
      <c r="L9" s="518" t="str">
        <f>IFERROR(VLOOKUP(B:B,'RELATÓRIO ACC'!B:P,15,FALSE),"NOT PUBLISHED")</f>
        <v>21/05/2026</v>
      </c>
      <c r="M9" s="519" t="s">
        <v>380</v>
      </c>
      <c r="N9" s="70" t="s">
        <v>380</v>
      </c>
      <c r="O9" s="538" t="s">
        <v>380</v>
      </c>
      <c r="P9" s="587"/>
      <c r="Q9" s="523" t="s">
        <v>380</v>
      </c>
      <c r="R9" s="550" t="s">
        <v>380</v>
      </c>
      <c r="S9" s="546" t="s">
        <v>380</v>
      </c>
      <c r="T9" s="523" t="s">
        <v>380</v>
      </c>
      <c r="U9" s="550" t="s">
        <v>380</v>
      </c>
      <c r="V9" s="546" t="s">
        <v>380</v>
      </c>
      <c r="W9" s="734" t="s">
        <v>380</v>
      </c>
      <c r="X9" s="735" t="s">
        <v>380</v>
      </c>
      <c r="Y9" s="734" t="s">
        <v>380</v>
      </c>
      <c r="Z9" s="734" t="s">
        <v>380</v>
      </c>
      <c r="AA9" s="735" t="s">
        <v>380</v>
      </c>
      <c r="AB9" s="734" t="s">
        <v>380</v>
      </c>
      <c r="AC9" s="734" t="s">
        <v>380</v>
      </c>
      <c r="AD9" s="735" t="s">
        <v>380</v>
      </c>
      <c r="AE9" s="734" t="s">
        <v>380</v>
      </c>
      <c r="AF9" s="734" t="s">
        <v>380</v>
      </c>
      <c r="AG9" s="541" t="s">
        <v>380</v>
      </c>
      <c r="AH9" s="734" t="s">
        <v>380</v>
      </c>
      <c r="AI9" s="734" t="s">
        <v>380</v>
      </c>
      <c r="AJ9" s="541" t="s">
        <v>380</v>
      </c>
      <c r="AK9" s="734" t="s">
        <v>380</v>
      </c>
      <c r="AL9" s="734" t="s">
        <v>380</v>
      </c>
      <c r="AM9" s="541" t="s">
        <v>380</v>
      </c>
      <c r="AN9" s="734" t="s">
        <v>380</v>
      </c>
      <c r="AO9" s="734" t="s">
        <v>380</v>
      </c>
      <c r="AP9" s="541" t="s">
        <v>380</v>
      </c>
      <c r="AQ9" s="734" t="s">
        <v>380</v>
      </c>
      <c r="AR9" s="734" t="s">
        <v>380</v>
      </c>
      <c r="AS9" s="541" t="s">
        <v>380</v>
      </c>
      <c r="AT9" s="734" t="s">
        <v>380</v>
      </c>
      <c r="AU9" s="734" t="s">
        <v>380</v>
      </c>
      <c r="AV9" s="541" t="s">
        <v>380</v>
      </c>
      <c r="AW9" s="734" t="s">
        <v>380</v>
      </c>
      <c r="AX9" s="734" t="s">
        <v>380</v>
      </c>
      <c r="AY9" s="541" t="s">
        <v>380</v>
      </c>
      <c r="AZ9" s="734" t="s">
        <v>380</v>
      </c>
      <c r="BA9" s="734" t="s">
        <v>380</v>
      </c>
      <c r="BB9" s="541" t="s">
        <v>380</v>
      </c>
      <c r="BC9" s="734" t="s">
        <v>380</v>
      </c>
      <c r="BD9" s="734" t="s">
        <v>380</v>
      </c>
      <c r="BE9" s="541" t="s">
        <v>380</v>
      </c>
      <c r="BF9" s="734" t="s">
        <v>380</v>
      </c>
      <c r="BG9" s="734" t="s">
        <v>380</v>
      </c>
      <c r="BH9" s="541" t="s">
        <v>380</v>
      </c>
      <c r="BI9" s="734" t="s">
        <v>380</v>
      </c>
      <c r="BJ9" s="734" t="s">
        <v>380</v>
      </c>
      <c r="BK9" s="541" t="s">
        <v>380</v>
      </c>
      <c r="BL9" s="734" t="s">
        <v>380</v>
      </c>
      <c r="BM9" s="734" t="s">
        <v>380</v>
      </c>
      <c r="BN9" s="541" t="s">
        <v>380</v>
      </c>
      <c r="BO9" s="734" t="s">
        <v>380</v>
      </c>
      <c r="BP9" s="734" t="s">
        <v>380</v>
      </c>
      <c r="BQ9" s="541" t="s">
        <v>380</v>
      </c>
      <c r="BR9" s="734" t="s">
        <v>380</v>
      </c>
      <c r="BS9" s="734" t="s">
        <v>380</v>
      </c>
      <c r="BT9" s="541" t="s">
        <v>380</v>
      </c>
      <c r="BU9" s="734" t="s">
        <v>380</v>
      </c>
      <c r="BV9" s="737" t="s">
        <v>380</v>
      </c>
      <c r="BW9" s="541" t="s">
        <v>380</v>
      </c>
      <c r="BX9" s="735" t="s">
        <v>380</v>
      </c>
      <c r="BY9" s="737" t="s">
        <v>380</v>
      </c>
      <c r="BZ9" s="541" t="s">
        <v>380</v>
      </c>
      <c r="CA9" s="735" t="s">
        <v>380</v>
      </c>
      <c r="CB9" s="737" t="s">
        <v>380</v>
      </c>
      <c r="CC9" s="541" t="s">
        <v>380</v>
      </c>
      <c r="CD9" s="735" t="s">
        <v>380</v>
      </c>
      <c r="CE9" s="737" t="s">
        <v>380</v>
      </c>
      <c r="CF9" s="541" t="s">
        <v>380</v>
      </c>
      <c r="CG9" s="735" t="s">
        <v>380</v>
      </c>
      <c r="CH9" s="737" t="s">
        <v>380</v>
      </c>
      <c r="CI9" s="541" t="s">
        <v>380</v>
      </c>
      <c r="CJ9" s="735" t="s">
        <v>380</v>
      </c>
      <c r="CK9" s="737" t="s">
        <v>380</v>
      </c>
      <c r="CL9" s="541" t="s">
        <v>380</v>
      </c>
      <c r="CM9" s="735" t="s">
        <v>380</v>
      </c>
      <c r="CN9" s="737" t="s">
        <v>380</v>
      </c>
      <c r="CO9" s="541" t="s">
        <v>380</v>
      </c>
      <c r="CP9" s="735" t="s">
        <v>380</v>
      </c>
      <c r="CQ9" s="737" t="s">
        <v>380</v>
      </c>
      <c r="CR9" s="541" t="s">
        <v>380</v>
      </c>
      <c r="CS9" s="735" t="s">
        <v>380</v>
      </c>
      <c r="CT9" s="737" t="s">
        <v>380</v>
      </c>
      <c r="CU9" s="541" t="s">
        <v>380</v>
      </c>
      <c r="CV9" s="735" t="s">
        <v>380</v>
      </c>
      <c r="CW9" s="737" t="s">
        <v>380</v>
      </c>
      <c r="CX9" s="541" t="s">
        <v>380</v>
      </c>
      <c r="CY9" s="735" t="s">
        <v>380</v>
      </c>
      <c r="CZ9" s="737" t="s">
        <v>380</v>
      </c>
      <c r="DA9" s="541" t="s">
        <v>380</v>
      </c>
      <c r="DB9" s="735" t="s">
        <v>380</v>
      </c>
      <c r="DC9" s="737" t="s">
        <v>380</v>
      </c>
      <c r="DD9" s="541" t="s">
        <v>380</v>
      </c>
      <c r="DE9" s="735" t="s">
        <v>380</v>
      </c>
      <c r="DF9" s="737" t="s">
        <v>380</v>
      </c>
      <c r="DG9" s="541" t="s">
        <v>380</v>
      </c>
      <c r="DH9" s="735" t="s">
        <v>380</v>
      </c>
      <c r="DI9" s="737" t="s">
        <v>380</v>
      </c>
      <c r="DJ9" s="541" t="s">
        <v>380</v>
      </c>
      <c r="DK9" s="735" t="s">
        <v>380</v>
      </c>
      <c r="DL9" s="737" t="s">
        <v>380</v>
      </c>
      <c r="DM9" s="541" t="s">
        <v>380</v>
      </c>
      <c r="DN9" s="735" t="s">
        <v>380</v>
      </c>
    </row>
    <row r="10" ht="15.0" customHeight="1">
      <c r="A10" s="53">
        <v>60.0</v>
      </c>
      <c r="B10" s="100" t="s">
        <v>292</v>
      </c>
      <c r="C10" s="100" t="s">
        <v>292</v>
      </c>
      <c r="D10" s="101" t="str">
        <f t="shared" si="1"/>
        <v>COL3</v>
      </c>
      <c r="E10" s="111" t="s">
        <v>289</v>
      </c>
      <c r="F10" s="102">
        <v>1125.0</v>
      </c>
      <c r="G10" s="517" t="s">
        <v>289</v>
      </c>
      <c r="H10" s="517">
        <v>1125.0</v>
      </c>
      <c r="I10" s="68" t="str">
        <f>IFERROR(VLOOKUP(C:C,'R22 RELATÓRIO ACC'!B:F,5,FALSE),"NOT PUBLISHED")</f>
        <v>V6</v>
      </c>
      <c r="J10" s="68" t="str">
        <f>IFERROR(VLOOKUP(C:C,'R22 RELATÓRIO ACC'!B:P,15,FALSE),"NOT PUBLISHED")</f>
        <v>07/11/2025</v>
      </c>
      <c r="K10" s="70" t="str">
        <f>IFERROR(VLOOKUP(B:B,'RELATÓRIO ACC'!B:F,5,FALSE),"NOT PUBLISHED")</f>
        <v>V1</v>
      </c>
      <c r="L10" s="518" t="str">
        <f>IFERROR(VLOOKUP(B:B,'RELATÓRIO ACC'!B:P,15,FALSE),"NOT PUBLISHED")</f>
        <v>21/05/2026</v>
      </c>
      <c r="M10" s="519" t="s">
        <v>380</v>
      </c>
      <c r="N10" s="549" t="s">
        <v>380</v>
      </c>
      <c r="O10" s="538" t="s">
        <v>380</v>
      </c>
      <c r="P10" s="587"/>
      <c r="Q10" s="523" t="s">
        <v>380</v>
      </c>
      <c r="R10" s="526" t="s">
        <v>380</v>
      </c>
      <c r="S10" s="546" t="s">
        <v>380</v>
      </c>
      <c r="T10" s="523" t="s">
        <v>380</v>
      </c>
      <c r="U10" s="526" t="s">
        <v>380</v>
      </c>
      <c r="V10" s="546" t="s">
        <v>380</v>
      </c>
      <c r="W10" s="734" t="s">
        <v>380</v>
      </c>
      <c r="X10" s="541" t="s">
        <v>380</v>
      </c>
      <c r="Y10" s="734" t="s">
        <v>380</v>
      </c>
      <c r="Z10" s="734" t="s">
        <v>380</v>
      </c>
      <c r="AA10" s="541" t="s">
        <v>380</v>
      </c>
      <c r="AB10" s="739" t="s">
        <v>380</v>
      </c>
      <c r="AC10" s="734" t="s">
        <v>380</v>
      </c>
      <c r="AD10" s="541" t="s">
        <v>380</v>
      </c>
      <c r="AE10" s="734" t="s">
        <v>380</v>
      </c>
      <c r="AF10" s="734" t="s">
        <v>380</v>
      </c>
      <c r="AG10" s="735" t="s">
        <v>380</v>
      </c>
      <c r="AH10" s="736" t="s">
        <v>380</v>
      </c>
      <c r="AI10" s="734" t="s">
        <v>380</v>
      </c>
      <c r="AJ10" s="735" t="s">
        <v>380</v>
      </c>
      <c r="AK10" s="734" t="s">
        <v>380</v>
      </c>
      <c r="AL10" s="737" t="s">
        <v>380</v>
      </c>
      <c r="AM10" s="735" t="s">
        <v>380</v>
      </c>
      <c r="AN10" s="734" t="s">
        <v>380</v>
      </c>
      <c r="AO10" s="737" t="s">
        <v>380</v>
      </c>
      <c r="AP10" s="735" t="s">
        <v>380</v>
      </c>
      <c r="AQ10" s="734" t="s">
        <v>380</v>
      </c>
      <c r="AR10" s="737" t="s">
        <v>380</v>
      </c>
      <c r="AS10" s="735" t="s">
        <v>380</v>
      </c>
      <c r="AT10" s="734" t="s">
        <v>380</v>
      </c>
      <c r="AU10" s="737" t="s">
        <v>380</v>
      </c>
      <c r="AV10" s="735" t="s">
        <v>380</v>
      </c>
      <c r="AW10" s="734" t="s">
        <v>380</v>
      </c>
      <c r="AX10" s="734" t="s">
        <v>380</v>
      </c>
      <c r="AY10" s="735" t="s">
        <v>380</v>
      </c>
      <c r="AZ10" s="734" t="s">
        <v>380</v>
      </c>
      <c r="BA10" s="734" t="s">
        <v>380</v>
      </c>
      <c r="BB10" s="735" t="s">
        <v>380</v>
      </c>
      <c r="BC10" s="734" t="s">
        <v>380</v>
      </c>
      <c r="BD10" s="734" t="s">
        <v>380</v>
      </c>
      <c r="BE10" s="735" t="s">
        <v>380</v>
      </c>
      <c r="BF10" s="734" t="s">
        <v>380</v>
      </c>
      <c r="BG10" s="734" t="s">
        <v>380</v>
      </c>
      <c r="BH10" s="735" t="s">
        <v>380</v>
      </c>
      <c r="BI10" s="734" t="s">
        <v>380</v>
      </c>
      <c r="BJ10" s="734" t="s">
        <v>380</v>
      </c>
      <c r="BK10" s="735" t="s">
        <v>380</v>
      </c>
      <c r="BL10" s="734" t="s">
        <v>380</v>
      </c>
      <c r="BM10" s="734" t="s">
        <v>380</v>
      </c>
      <c r="BN10" s="735" t="s">
        <v>380</v>
      </c>
      <c r="BO10" s="734" t="s">
        <v>380</v>
      </c>
      <c r="BP10" s="734" t="s">
        <v>380</v>
      </c>
      <c r="BQ10" s="735" t="s">
        <v>380</v>
      </c>
      <c r="BR10" s="734" t="s">
        <v>380</v>
      </c>
      <c r="BS10" s="734" t="s">
        <v>380</v>
      </c>
      <c r="BT10" s="735" t="s">
        <v>380</v>
      </c>
      <c r="BU10" s="734" t="s">
        <v>380</v>
      </c>
      <c r="BV10" s="734" t="s">
        <v>380</v>
      </c>
      <c r="BW10" s="735" t="s">
        <v>380</v>
      </c>
      <c r="BX10" s="734" t="s">
        <v>380</v>
      </c>
      <c r="BY10" s="734" t="s">
        <v>380</v>
      </c>
      <c r="BZ10" s="541" t="s">
        <v>380</v>
      </c>
      <c r="CA10" s="734" t="s">
        <v>380</v>
      </c>
      <c r="CB10" s="734" t="s">
        <v>380</v>
      </c>
      <c r="CC10" s="541" t="s">
        <v>380</v>
      </c>
      <c r="CD10" s="734" t="s">
        <v>380</v>
      </c>
      <c r="CE10" s="734" t="s">
        <v>380</v>
      </c>
      <c r="CF10" s="541" t="s">
        <v>380</v>
      </c>
      <c r="CG10" s="734" t="s">
        <v>380</v>
      </c>
      <c r="CH10" s="734" t="s">
        <v>380</v>
      </c>
      <c r="CI10" s="541" t="s">
        <v>380</v>
      </c>
      <c r="CJ10" s="734" t="s">
        <v>380</v>
      </c>
      <c r="CK10" s="734" t="s">
        <v>380</v>
      </c>
      <c r="CL10" s="541" t="s">
        <v>380</v>
      </c>
      <c r="CM10" s="734" t="s">
        <v>380</v>
      </c>
      <c r="CN10" s="734" t="s">
        <v>380</v>
      </c>
      <c r="CO10" s="541" t="s">
        <v>380</v>
      </c>
      <c r="CP10" s="734" t="s">
        <v>380</v>
      </c>
      <c r="CQ10" s="734" t="s">
        <v>380</v>
      </c>
      <c r="CR10" s="541" t="s">
        <v>380</v>
      </c>
      <c r="CS10" s="734" t="s">
        <v>380</v>
      </c>
      <c r="CT10" s="734" t="s">
        <v>380</v>
      </c>
      <c r="CU10" s="541" t="s">
        <v>380</v>
      </c>
      <c r="CV10" s="734" t="s">
        <v>380</v>
      </c>
      <c r="CW10" s="734" t="s">
        <v>380</v>
      </c>
      <c r="CX10" s="541" t="s">
        <v>380</v>
      </c>
      <c r="CY10" s="734" t="s">
        <v>380</v>
      </c>
      <c r="CZ10" s="734" t="s">
        <v>380</v>
      </c>
      <c r="DA10" s="541" t="s">
        <v>380</v>
      </c>
      <c r="DB10" s="734" t="s">
        <v>380</v>
      </c>
      <c r="DC10" s="734" t="s">
        <v>380</v>
      </c>
      <c r="DD10" s="541" t="s">
        <v>380</v>
      </c>
      <c r="DE10" s="734" t="s">
        <v>380</v>
      </c>
      <c r="DF10" s="734" t="s">
        <v>380</v>
      </c>
      <c r="DG10" s="541" t="s">
        <v>380</v>
      </c>
      <c r="DH10" s="734" t="s">
        <v>380</v>
      </c>
      <c r="DI10" s="734" t="s">
        <v>380</v>
      </c>
      <c r="DJ10" s="541" t="s">
        <v>380</v>
      </c>
      <c r="DK10" s="734" t="s">
        <v>380</v>
      </c>
      <c r="DL10" s="734" t="s">
        <v>380</v>
      </c>
      <c r="DM10" s="541" t="s">
        <v>380</v>
      </c>
      <c r="DN10" s="734" t="s">
        <v>380</v>
      </c>
    </row>
    <row r="11" ht="15.0" customHeight="1">
      <c r="A11" s="53">
        <v>61.0</v>
      </c>
      <c r="B11" s="100" t="s">
        <v>293</v>
      </c>
      <c r="C11" s="100" t="s">
        <v>293</v>
      </c>
      <c r="D11" s="101" t="str">
        <f t="shared" si="1"/>
        <v>COL4</v>
      </c>
      <c r="E11" s="111" t="s">
        <v>289</v>
      </c>
      <c r="F11" s="102">
        <v>1125.0</v>
      </c>
      <c r="G11" s="517" t="s">
        <v>289</v>
      </c>
      <c r="H11" s="517">
        <v>1125.0</v>
      </c>
      <c r="I11" s="68" t="str">
        <f>IFERROR(VLOOKUP(C:C,'R22 RELATÓRIO ACC'!B:F,5,FALSE),"NOT PUBLISHED")</f>
        <v>V7</v>
      </c>
      <c r="J11" s="68" t="str">
        <f>IFERROR(VLOOKUP(C:C,'R22 RELATÓRIO ACC'!B:P,15,FALSE),"NOT PUBLISHED")</f>
        <v>05/12/2025</v>
      </c>
      <c r="K11" s="70" t="str">
        <f>IFERROR(VLOOKUP(B:B,'RELATÓRIO ACC'!B:F,5,FALSE),"NOT PUBLISHED")</f>
        <v>V1</v>
      </c>
      <c r="L11" s="518" t="str">
        <f>IFERROR(VLOOKUP(B:B,'RELATÓRIO ACC'!B:P,15,FALSE),"NOT PUBLISHED")</f>
        <v>21/05/2026</v>
      </c>
      <c r="M11" s="519" t="str">
        <f>IFERROR(VLOOKUP(#REF!,'RELATÓRIO ACC'!C:P,15,FALSE),"N/A")</f>
        <v>N/A</v>
      </c>
      <c r="N11" s="549" t="s">
        <v>380</v>
      </c>
      <c r="O11" s="538" t="s">
        <v>380</v>
      </c>
      <c r="P11" s="587"/>
      <c r="Q11" s="523" t="s">
        <v>380</v>
      </c>
      <c r="R11" s="526" t="s">
        <v>380</v>
      </c>
      <c r="S11" s="546" t="s">
        <v>380</v>
      </c>
      <c r="T11" s="523" t="s">
        <v>380</v>
      </c>
      <c r="U11" s="526" t="s">
        <v>380</v>
      </c>
      <c r="V11" s="546" t="s">
        <v>380</v>
      </c>
      <c r="W11" s="734" t="s">
        <v>380</v>
      </c>
      <c r="X11" s="541" t="s">
        <v>380</v>
      </c>
      <c r="Y11" s="734" t="s">
        <v>380</v>
      </c>
      <c r="Z11" s="734" t="s">
        <v>380</v>
      </c>
      <c r="AA11" s="735" t="s">
        <v>380</v>
      </c>
      <c r="AB11" s="734" t="s">
        <v>380</v>
      </c>
      <c r="AC11" s="734" t="s">
        <v>380</v>
      </c>
      <c r="AD11" s="735" t="s">
        <v>380</v>
      </c>
      <c r="AE11" s="734" t="s">
        <v>380</v>
      </c>
      <c r="AF11" s="734" t="s">
        <v>380</v>
      </c>
      <c r="AG11" s="541" t="s">
        <v>380</v>
      </c>
      <c r="AH11" s="736" t="s">
        <v>380</v>
      </c>
      <c r="AI11" s="734" t="s">
        <v>380</v>
      </c>
      <c r="AJ11" s="541" t="s">
        <v>380</v>
      </c>
      <c r="AK11" s="734" t="s">
        <v>380</v>
      </c>
      <c r="AL11" s="737" t="s">
        <v>380</v>
      </c>
      <c r="AM11" s="541" t="s">
        <v>380</v>
      </c>
      <c r="AN11" s="734" t="s">
        <v>380</v>
      </c>
      <c r="AO11" s="737" t="s">
        <v>380</v>
      </c>
      <c r="AP11" s="541" t="s">
        <v>380</v>
      </c>
      <c r="AQ11" s="734" t="s">
        <v>380</v>
      </c>
      <c r="AR11" s="737" t="s">
        <v>380</v>
      </c>
      <c r="AS11" s="541" t="s">
        <v>380</v>
      </c>
      <c r="AT11" s="737" t="s">
        <v>380</v>
      </c>
      <c r="AU11" s="734" t="s">
        <v>380</v>
      </c>
      <c r="AV11" s="541" t="s">
        <v>380</v>
      </c>
      <c r="AW11" s="734" t="s">
        <v>380</v>
      </c>
      <c r="AX11" s="734" t="s">
        <v>380</v>
      </c>
      <c r="AY11" s="541" t="s">
        <v>380</v>
      </c>
      <c r="AZ11" s="734" t="s">
        <v>380</v>
      </c>
      <c r="BA11" s="734" t="s">
        <v>380</v>
      </c>
      <c r="BB11" s="541" t="s">
        <v>380</v>
      </c>
      <c r="BC11" s="734" t="s">
        <v>380</v>
      </c>
      <c r="BD11" s="734" t="s">
        <v>380</v>
      </c>
      <c r="BE11" s="541" t="s">
        <v>380</v>
      </c>
      <c r="BF11" s="734" t="s">
        <v>380</v>
      </c>
      <c r="BG11" s="734" t="s">
        <v>380</v>
      </c>
      <c r="BH11" s="541" t="s">
        <v>380</v>
      </c>
      <c r="BI11" s="734" t="s">
        <v>380</v>
      </c>
      <c r="BJ11" s="734" t="s">
        <v>380</v>
      </c>
      <c r="BK11" s="541" t="s">
        <v>380</v>
      </c>
      <c r="BL11" s="734" t="s">
        <v>380</v>
      </c>
      <c r="BM11" s="734" t="s">
        <v>380</v>
      </c>
      <c r="BN11" s="541" t="s">
        <v>380</v>
      </c>
      <c r="BO11" s="734" t="s">
        <v>380</v>
      </c>
      <c r="BP11" s="734" t="s">
        <v>380</v>
      </c>
      <c r="BQ11" s="541" t="s">
        <v>380</v>
      </c>
      <c r="BR11" s="734" t="s">
        <v>380</v>
      </c>
      <c r="BS11" s="734" t="s">
        <v>380</v>
      </c>
      <c r="BT11" s="541" t="s">
        <v>380</v>
      </c>
      <c r="BU11" s="734" t="s">
        <v>380</v>
      </c>
      <c r="BV11" s="734" t="s">
        <v>380</v>
      </c>
      <c r="BW11" s="541" t="s">
        <v>380</v>
      </c>
      <c r="BX11" s="734" t="s">
        <v>380</v>
      </c>
      <c r="BY11" s="734" t="s">
        <v>380</v>
      </c>
      <c r="BZ11" s="541" t="s">
        <v>380</v>
      </c>
      <c r="CA11" s="734" t="s">
        <v>380</v>
      </c>
      <c r="CB11" s="734" t="s">
        <v>380</v>
      </c>
      <c r="CC11" s="541" t="s">
        <v>380</v>
      </c>
      <c r="CD11" s="734" t="s">
        <v>380</v>
      </c>
      <c r="CE11" s="734" t="s">
        <v>380</v>
      </c>
      <c r="CF11" s="541" t="s">
        <v>380</v>
      </c>
      <c r="CG11" s="734" t="s">
        <v>380</v>
      </c>
      <c r="CH11" s="734" t="s">
        <v>380</v>
      </c>
      <c r="CI11" s="541" t="s">
        <v>380</v>
      </c>
      <c r="CJ11" s="734" t="s">
        <v>380</v>
      </c>
      <c r="CK11" s="734" t="s">
        <v>380</v>
      </c>
      <c r="CL11" s="541" t="s">
        <v>380</v>
      </c>
      <c r="CM11" s="734" t="s">
        <v>380</v>
      </c>
      <c r="CN11" s="734" t="s">
        <v>380</v>
      </c>
      <c r="CO11" s="541" t="s">
        <v>380</v>
      </c>
      <c r="CP11" s="734" t="s">
        <v>380</v>
      </c>
      <c r="CQ11" s="734" t="s">
        <v>380</v>
      </c>
      <c r="CR11" s="541" t="s">
        <v>380</v>
      </c>
      <c r="CS11" s="734" t="s">
        <v>380</v>
      </c>
      <c r="CT11" s="734" t="s">
        <v>380</v>
      </c>
      <c r="CU11" s="541" t="s">
        <v>380</v>
      </c>
      <c r="CV11" s="734" t="s">
        <v>380</v>
      </c>
      <c r="CW11" s="734" t="s">
        <v>380</v>
      </c>
      <c r="CX11" s="541" t="s">
        <v>380</v>
      </c>
      <c r="CY11" s="734" t="s">
        <v>380</v>
      </c>
      <c r="CZ11" s="734" t="s">
        <v>380</v>
      </c>
      <c r="DA11" s="541" t="s">
        <v>380</v>
      </c>
      <c r="DB11" s="734" t="s">
        <v>380</v>
      </c>
      <c r="DC11" s="734" t="s">
        <v>380</v>
      </c>
      <c r="DD11" s="541" t="s">
        <v>380</v>
      </c>
      <c r="DE11" s="734" t="s">
        <v>380</v>
      </c>
      <c r="DF11" s="734" t="s">
        <v>380</v>
      </c>
      <c r="DG11" s="541" t="s">
        <v>380</v>
      </c>
      <c r="DH11" s="734" t="s">
        <v>380</v>
      </c>
      <c r="DI11" s="734" t="s">
        <v>380</v>
      </c>
      <c r="DJ11" s="541" t="s">
        <v>380</v>
      </c>
      <c r="DK11" s="734" t="s">
        <v>380</v>
      </c>
      <c r="DL11" s="734" t="s">
        <v>380</v>
      </c>
      <c r="DM11" s="541" t="s">
        <v>380</v>
      </c>
      <c r="DN11" s="734" t="s">
        <v>380</v>
      </c>
    </row>
    <row r="12" ht="15.0" customHeight="1">
      <c r="A12" s="53">
        <v>62.0</v>
      </c>
      <c r="B12" s="100" t="s">
        <v>294</v>
      </c>
      <c r="C12" s="100" t="s">
        <v>294</v>
      </c>
      <c r="D12" s="101" t="str">
        <f t="shared" si="1"/>
        <v>COL5</v>
      </c>
      <c r="E12" s="111" t="s">
        <v>289</v>
      </c>
      <c r="F12" s="102">
        <v>1125.0</v>
      </c>
      <c r="G12" s="517" t="s">
        <v>289</v>
      </c>
      <c r="H12" s="517">
        <v>1125.0</v>
      </c>
      <c r="I12" s="68" t="str">
        <f>IFERROR(VLOOKUP(C:C,'R22 RELATÓRIO ACC'!B:F,5,FALSE),"NOT PUBLISHED")</f>
        <v>V6</v>
      </c>
      <c r="J12" s="68" t="str">
        <f>IFERROR(VLOOKUP(C:C,'R22 RELATÓRIO ACC'!B:P,15,FALSE),"NOT PUBLISHED")</f>
        <v>07/11/2025</v>
      </c>
      <c r="K12" s="70" t="str">
        <f>IFERROR(VLOOKUP(B:B,'RELATÓRIO ACC'!B:F,5,FALSE),"NOT PUBLISHED")</f>
        <v>V1</v>
      </c>
      <c r="L12" s="518" t="str">
        <f>IFERROR(VLOOKUP(B:B,'RELATÓRIO ACC'!B:P,15,FALSE),"NOT PUBLISHED")</f>
        <v>21/05/2026</v>
      </c>
      <c r="M12" s="519" t="s">
        <v>380</v>
      </c>
      <c r="N12" s="549" t="s">
        <v>380</v>
      </c>
      <c r="O12" s="538" t="s">
        <v>380</v>
      </c>
      <c r="P12" s="587"/>
      <c r="Q12" s="523" t="s">
        <v>380</v>
      </c>
      <c r="R12" s="526" t="s">
        <v>380</v>
      </c>
      <c r="S12" s="542" t="s">
        <v>380</v>
      </c>
      <c r="T12" s="523" t="s">
        <v>380</v>
      </c>
      <c r="U12" s="526" t="s">
        <v>380</v>
      </c>
      <c r="V12" s="542" t="s">
        <v>380</v>
      </c>
      <c r="W12" s="734" t="s">
        <v>380</v>
      </c>
      <c r="X12" s="541" t="s">
        <v>380</v>
      </c>
      <c r="Y12" s="739" t="s">
        <v>380</v>
      </c>
      <c r="Z12" s="734" t="s">
        <v>380</v>
      </c>
      <c r="AA12" s="735" t="s">
        <v>380</v>
      </c>
      <c r="AB12" s="738" t="s">
        <v>380</v>
      </c>
      <c r="AC12" s="734" t="s">
        <v>380</v>
      </c>
      <c r="AD12" s="735" t="s">
        <v>380</v>
      </c>
      <c r="AE12" s="739" t="s">
        <v>380</v>
      </c>
      <c r="AF12" s="734" t="s">
        <v>380</v>
      </c>
      <c r="AG12" s="541" t="s">
        <v>380</v>
      </c>
      <c r="AH12" s="736" t="s">
        <v>380</v>
      </c>
      <c r="AI12" s="734" t="s">
        <v>380</v>
      </c>
      <c r="AJ12" s="541" t="s">
        <v>380</v>
      </c>
      <c r="AK12" s="734" t="s">
        <v>380</v>
      </c>
      <c r="AL12" s="737" t="s">
        <v>380</v>
      </c>
      <c r="AM12" s="541" t="s">
        <v>380</v>
      </c>
      <c r="AN12" s="734" t="s">
        <v>380</v>
      </c>
      <c r="AO12" s="737" t="s">
        <v>380</v>
      </c>
      <c r="AP12" s="541" t="s">
        <v>380</v>
      </c>
      <c r="AQ12" s="734" t="s">
        <v>380</v>
      </c>
      <c r="AR12" s="737" t="s">
        <v>380</v>
      </c>
      <c r="AS12" s="541" t="s">
        <v>380</v>
      </c>
      <c r="AT12" s="734" t="s">
        <v>380</v>
      </c>
      <c r="AU12" s="737" t="s">
        <v>380</v>
      </c>
      <c r="AV12" s="541" t="s">
        <v>380</v>
      </c>
      <c r="AW12" s="734" t="s">
        <v>380</v>
      </c>
      <c r="AX12" s="737" t="s">
        <v>380</v>
      </c>
      <c r="AY12" s="541" t="s">
        <v>380</v>
      </c>
      <c r="AZ12" s="734" t="s">
        <v>380</v>
      </c>
      <c r="BA12" s="737" t="s">
        <v>380</v>
      </c>
      <c r="BB12" s="541" t="s">
        <v>380</v>
      </c>
      <c r="BC12" s="734" t="s">
        <v>380</v>
      </c>
      <c r="BD12" s="737" t="s">
        <v>380</v>
      </c>
      <c r="BE12" s="541" t="s">
        <v>380</v>
      </c>
      <c r="BF12" s="734" t="s">
        <v>380</v>
      </c>
      <c r="BG12" s="737" t="s">
        <v>380</v>
      </c>
      <c r="BH12" s="541" t="s">
        <v>380</v>
      </c>
      <c r="BI12" s="734" t="s">
        <v>380</v>
      </c>
      <c r="BJ12" s="737" t="s">
        <v>380</v>
      </c>
      <c r="BK12" s="541" t="s">
        <v>380</v>
      </c>
      <c r="BL12" s="734" t="s">
        <v>380</v>
      </c>
      <c r="BM12" s="737" t="s">
        <v>380</v>
      </c>
      <c r="BN12" s="541" t="s">
        <v>380</v>
      </c>
      <c r="BO12" s="734" t="s">
        <v>380</v>
      </c>
      <c r="BP12" s="737" t="s">
        <v>380</v>
      </c>
      <c r="BQ12" s="541" t="s">
        <v>380</v>
      </c>
      <c r="BR12" s="734" t="s">
        <v>380</v>
      </c>
      <c r="BS12" s="737" t="s">
        <v>380</v>
      </c>
      <c r="BT12" s="541" t="s">
        <v>380</v>
      </c>
      <c r="BU12" s="734" t="s">
        <v>380</v>
      </c>
      <c r="BV12" s="737" t="s">
        <v>380</v>
      </c>
      <c r="BW12" s="541" t="s">
        <v>380</v>
      </c>
      <c r="BX12" s="734" t="s">
        <v>380</v>
      </c>
      <c r="BY12" s="737" t="s">
        <v>380</v>
      </c>
      <c r="BZ12" s="541" t="s">
        <v>380</v>
      </c>
      <c r="CA12" s="734" t="s">
        <v>380</v>
      </c>
      <c r="CB12" s="737" t="s">
        <v>380</v>
      </c>
      <c r="CC12" s="541" t="s">
        <v>380</v>
      </c>
      <c r="CD12" s="734" t="s">
        <v>380</v>
      </c>
      <c r="CE12" s="737" t="s">
        <v>380</v>
      </c>
      <c r="CF12" s="541" t="s">
        <v>380</v>
      </c>
      <c r="CG12" s="734" t="s">
        <v>380</v>
      </c>
      <c r="CH12" s="737" t="s">
        <v>380</v>
      </c>
      <c r="CI12" s="541" t="s">
        <v>380</v>
      </c>
      <c r="CJ12" s="734" t="s">
        <v>380</v>
      </c>
      <c r="CK12" s="737" t="s">
        <v>380</v>
      </c>
      <c r="CL12" s="541" t="s">
        <v>380</v>
      </c>
      <c r="CM12" s="734" t="s">
        <v>380</v>
      </c>
      <c r="CN12" s="737" t="s">
        <v>380</v>
      </c>
      <c r="CO12" s="541" t="s">
        <v>380</v>
      </c>
      <c r="CP12" s="734" t="s">
        <v>380</v>
      </c>
      <c r="CQ12" s="737" t="s">
        <v>380</v>
      </c>
      <c r="CR12" s="541" t="s">
        <v>380</v>
      </c>
      <c r="CS12" s="737" t="s">
        <v>380</v>
      </c>
      <c r="CT12" s="737" t="s">
        <v>380</v>
      </c>
      <c r="CU12" s="541" t="s">
        <v>380</v>
      </c>
      <c r="CV12" s="737" t="s">
        <v>380</v>
      </c>
      <c r="CW12" s="737" t="s">
        <v>380</v>
      </c>
      <c r="CX12" s="541" t="s">
        <v>380</v>
      </c>
      <c r="CY12" s="737" t="s">
        <v>380</v>
      </c>
      <c r="CZ12" s="737" t="s">
        <v>380</v>
      </c>
      <c r="DA12" s="541" t="s">
        <v>380</v>
      </c>
      <c r="DB12" s="737" t="s">
        <v>380</v>
      </c>
      <c r="DC12" s="737" t="s">
        <v>380</v>
      </c>
      <c r="DD12" s="541" t="s">
        <v>380</v>
      </c>
      <c r="DE12" s="737" t="s">
        <v>380</v>
      </c>
      <c r="DF12" s="737" t="s">
        <v>380</v>
      </c>
      <c r="DG12" s="541" t="s">
        <v>380</v>
      </c>
      <c r="DH12" s="737" t="s">
        <v>380</v>
      </c>
      <c r="DI12" s="737" t="s">
        <v>380</v>
      </c>
      <c r="DJ12" s="541" t="s">
        <v>380</v>
      </c>
      <c r="DK12" s="737" t="s">
        <v>380</v>
      </c>
      <c r="DL12" s="737" t="s">
        <v>380</v>
      </c>
      <c r="DM12" s="541" t="s">
        <v>380</v>
      </c>
      <c r="DN12" s="737" t="s">
        <v>380</v>
      </c>
    </row>
    <row r="13" ht="15.0" customHeight="1">
      <c r="A13" s="53">
        <v>4.0</v>
      </c>
      <c r="B13" s="100" t="s">
        <v>393</v>
      </c>
      <c r="C13" s="100" t="s">
        <v>394</v>
      </c>
      <c r="D13" s="101" t="str">
        <f t="shared" si="1"/>
        <v>DATA</v>
      </c>
      <c r="E13" s="101" t="s">
        <v>395</v>
      </c>
      <c r="F13" s="102">
        <v>1102.0</v>
      </c>
      <c r="G13" s="517" t="s">
        <v>80</v>
      </c>
      <c r="H13" s="517">
        <v>1130.0</v>
      </c>
      <c r="I13" s="68" t="str">
        <f>IFERROR(VLOOKUP(C:C,'R22 RELATÓRIO ACC'!B:F,5,FALSE),"NOT PUBLISHED")</f>
        <v>NOT PUBLISHED</v>
      </c>
      <c r="J13" s="68" t="str">
        <f>IFERROR(VLOOKUP(C:C,'R22 RELATÓRIO ACC'!B:P,15,FALSE),"NOT PUBLISHED")</f>
        <v>NOT PUBLISHED</v>
      </c>
      <c r="K13" s="70" t="str">
        <f>IFERROR(VLOOKUP(B:B,'RELATÓRIO ACC'!B:F,5,FALSE),"NOT PUBLISHED")</f>
        <v>NOT PUBLISHED</v>
      </c>
      <c r="L13" s="518" t="str">
        <f>IFERROR(VLOOKUP(B:B,'RELATÓRIO ACC'!B:P,15,FALSE),"NOT PUBLISHED")</f>
        <v>NOT PUBLISHED</v>
      </c>
      <c r="M13" s="519" t="s">
        <v>388</v>
      </c>
      <c r="N13" s="519" t="s">
        <v>388</v>
      </c>
      <c r="O13" s="538" t="s">
        <v>388</v>
      </c>
      <c r="P13" s="587"/>
      <c r="Q13" s="523" t="s">
        <v>388</v>
      </c>
      <c r="R13" s="558" t="s">
        <v>380</v>
      </c>
      <c r="S13" s="525" t="s">
        <v>388</v>
      </c>
      <c r="T13" s="523" t="s">
        <v>388</v>
      </c>
      <c r="U13" s="558" t="s">
        <v>380</v>
      </c>
      <c r="V13" s="525" t="s">
        <v>388</v>
      </c>
      <c r="W13" s="530" t="s">
        <v>388</v>
      </c>
      <c r="X13" s="735" t="s">
        <v>380</v>
      </c>
      <c r="Y13" s="525" t="s">
        <v>388</v>
      </c>
      <c r="Z13" s="530" t="s">
        <v>388</v>
      </c>
      <c r="AA13" s="735" t="s">
        <v>380</v>
      </c>
      <c r="AB13" s="740" t="s">
        <v>388</v>
      </c>
      <c r="AC13" s="530" t="s">
        <v>388</v>
      </c>
      <c r="AD13" s="735" t="s">
        <v>380</v>
      </c>
      <c r="AE13" s="740" t="s">
        <v>388</v>
      </c>
      <c r="AF13" s="530" t="s">
        <v>388</v>
      </c>
      <c r="AG13" s="735" t="s">
        <v>380</v>
      </c>
      <c r="AH13" s="530" t="s">
        <v>388</v>
      </c>
      <c r="AI13" s="530" t="s">
        <v>388</v>
      </c>
      <c r="AJ13" s="735" t="s">
        <v>380</v>
      </c>
      <c r="AK13" s="530" t="s">
        <v>388</v>
      </c>
      <c r="AL13" s="530" t="s">
        <v>388</v>
      </c>
      <c r="AM13" s="735" t="s">
        <v>380</v>
      </c>
      <c r="AN13" s="530" t="s">
        <v>388</v>
      </c>
      <c r="AO13" s="531" t="s">
        <v>388</v>
      </c>
      <c r="AP13" s="737" t="s">
        <v>380</v>
      </c>
      <c r="AQ13" s="531" t="s">
        <v>388</v>
      </c>
      <c r="AR13" s="530" t="s">
        <v>388</v>
      </c>
      <c r="AS13" s="737" t="s">
        <v>380</v>
      </c>
      <c r="AT13" s="530" t="s">
        <v>388</v>
      </c>
      <c r="AU13" s="530" t="s">
        <v>388</v>
      </c>
      <c r="AV13" s="737" t="s">
        <v>380</v>
      </c>
      <c r="AW13" s="530" t="s">
        <v>388</v>
      </c>
      <c r="AX13" s="530" t="s">
        <v>388</v>
      </c>
      <c r="AY13" s="737" t="s">
        <v>380</v>
      </c>
      <c r="AZ13" s="530" t="s">
        <v>388</v>
      </c>
      <c r="BA13" s="530" t="s">
        <v>388</v>
      </c>
      <c r="BB13" s="737" t="s">
        <v>380</v>
      </c>
      <c r="BC13" s="530" t="s">
        <v>388</v>
      </c>
      <c r="BD13" s="530" t="s">
        <v>388</v>
      </c>
      <c r="BE13" s="737" t="s">
        <v>380</v>
      </c>
      <c r="BF13" s="530" t="s">
        <v>388</v>
      </c>
      <c r="BG13" s="530" t="s">
        <v>388</v>
      </c>
      <c r="BH13" s="737" t="s">
        <v>380</v>
      </c>
      <c r="BI13" s="530" t="s">
        <v>388</v>
      </c>
      <c r="BJ13" s="530" t="s">
        <v>388</v>
      </c>
      <c r="BK13" s="737" t="s">
        <v>380</v>
      </c>
      <c r="BL13" s="530" t="s">
        <v>388</v>
      </c>
      <c r="BM13" s="530" t="s">
        <v>388</v>
      </c>
      <c r="BN13" s="737" t="s">
        <v>380</v>
      </c>
      <c r="BO13" s="530" t="s">
        <v>388</v>
      </c>
      <c r="BP13" s="530" t="s">
        <v>388</v>
      </c>
      <c r="BQ13" s="737" t="s">
        <v>380</v>
      </c>
      <c r="BR13" s="530" t="s">
        <v>388</v>
      </c>
      <c r="BS13" s="530" t="s">
        <v>388</v>
      </c>
      <c r="BT13" s="737" t="s">
        <v>380</v>
      </c>
      <c r="BU13" s="530" t="s">
        <v>388</v>
      </c>
      <c r="BV13" s="530" t="s">
        <v>388</v>
      </c>
      <c r="BW13" s="737" t="s">
        <v>380</v>
      </c>
      <c r="BX13" s="530" t="s">
        <v>388</v>
      </c>
      <c r="BY13" s="530" t="s">
        <v>388</v>
      </c>
      <c r="BZ13" s="737" t="s">
        <v>380</v>
      </c>
      <c r="CA13" s="530" t="s">
        <v>388</v>
      </c>
      <c r="CB13" s="530" t="s">
        <v>388</v>
      </c>
      <c r="CC13" s="737" t="s">
        <v>380</v>
      </c>
      <c r="CD13" s="530" t="s">
        <v>388</v>
      </c>
      <c r="CE13" s="530" t="s">
        <v>388</v>
      </c>
      <c r="CF13" s="737" t="s">
        <v>380</v>
      </c>
      <c r="CG13" s="530" t="s">
        <v>388</v>
      </c>
      <c r="CH13" s="530" t="s">
        <v>388</v>
      </c>
      <c r="CI13" s="737" t="s">
        <v>380</v>
      </c>
      <c r="CJ13" s="530" t="s">
        <v>388</v>
      </c>
      <c r="CK13" s="530" t="s">
        <v>388</v>
      </c>
      <c r="CL13" s="737" t="s">
        <v>380</v>
      </c>
      <c r="CM13" s="530" t="s">
        <v>388</v>
      </c>
      <c r="CN13" s="530" t="s">
        <v>388</v>
      </c>
      <c r="CO13" s="737" t="s">
        <v>380</v>
      </c>
      <c r="CP13" s="530" t="s">
        <v>388</v>
      </c>
      <c r="CQ13" s="530" t="s">
        <v>388</v>
      </c>
      <c r="CR13" s="737" t="s">
        <v>380</v>
      </c>
      <c r="CS13" s="530" t="s">
        <v>388</v>
      </c>
      <c r="CT13" s="530" t="s">
        <v>388</v>
      </c>
      <c r="CU13" s="737" t="s">
        <v>380</v>
      </c>
      <c r="CV13" s="530" t="s">
        <v>388</v>
      </c>
      <c r="CW13" s="531" t="s">
        <v>388</v>
      </c>
      <c r="CX13" s="737" t="s">
        <v>380</v>
      </c>
      <c r="CY13" s="531" t="s">
        <v>388</v>
      </c>
      <c r="CZ13" s="531" t="s">
        <v>388</v>
      </c>
      <c r="DA13" s="737" t="s">
        <v>380</v>
      </c>
      <c r="DB13" s="531" t="s">
        <v>388</v>
      </c>
      <c r="DC13" s="531" t="s">
        <v>388</v>
      </c>
      <c r="DD13" s="737" t="s">
        <v>380</v>
      </c>
      <c r="DE13" s="531" t="s">
        <v>388</v>
      </c>
      <c r="DF13" s="531" t="s">
        <v>388</v>
      </c>
      <c r="DG13" s="737" t="s">
        <v>380</v>
      </c>
      <c r="DH13" s="531" t="s">
        <v>388</v>
      </c>
      <c r="DI13" s="531" t="s">
        <v>388</v>
      </c>
      <c r="DJ13" s="737" t="s">
        <v>380</v>
      </c>
      <c r="DK13" s="531" t="s">
        <v>388</v>
      </c>
      <c r="DL13" s="531" t="s">
        <v>388</v>
      </c>
      <c r="DM13" s="737" t="s">
        <v>380</v>
      </c>
      <c r="DN13" s="531" t="s">
        <v>388</v>
      </c>
    </row>
    <row r="14" ht="15.0" customHeight="1">
      <c r="A14" s="53">
        <v>16.0</v>
      </c>
      <c r="B14" s="100" t="s">
        <v>132</v>
      </c>
      <c r="C14" s="100" t="s">
        <v>133</v>
      </c>
      <c r="D14" s="101" t="str">
        <f t="shared" si="1"/>
        <v>DATA</v>
      </c>
      <c r="E14" s="101" t="s">
        <v>105</v>
      </c>
      <c r="F14" s="115">
        <v>0.0</v>
      </c>
      <c r="G14" s="535" t="s">
        <v>105</v>
      </c>
      <c r="H14" s="535">
        <v>0.0</v>
      </c>
      <c r="I14" s="68" t="str">
        <f>IFERROR(VLOOKUP(C:C,'R22 RELATÓRIO ACC'!B:F,5,FALSE),"NOT PUBLISHED")</f>
        <v>NOT PUBLISHED</v>
      </c>
      <c r="J14" s="68" t="str">
        <f>IFERROR(VLOOKUP(C:C,'R22 RELATÓRIO ACC'!B:P,15,FALSE),"NOT PUBLISHED")</f>
        <v>NOT PUBLISHED</v>
      </c>
      <c r="K14" s="70" t="str">
        <f>IFERROR(VLOOKUP(B:B,'RELATÓRIO ACC'!B:F,5,FALSE),"NOT PUBLISHED")</f>
        <v>NOT PUBLISHED</v>
      </c>
      <c r="L14" s="518" t="str">
        <f>IFERROR(VLOOKUP(B:B,'RELATÓRIO ACC'!B:P,15,FALSE),"NOT PUBLISHED")</f>
        <v>NOT PUBLISHED</v>
      </c>
      <c r="M14" s="593" t="s">
        <v>388</v>
      </c>
      <c r="N14" s="593" t="s">
        <v>388</v>
      </c>
      <c r="O14" s="538" t="s">
        <v>388</v>
      </c>
      <c r="P14" s="587"/>
      <c r="Q14" s="523" t="s">
        <v>388</v>
      </c>
      <c r="R14" s="558" t="s">
        <v>380</v>
      </c>
      <c r="S14" s="523" t="s">
        <v>388</v>
      </c>
      <c r="T14" s="523" t="s">
        <v>388</v>
      </c>
      <c r="U14" s="558" t="s">
        <v>380</v>
      </c>
      <c r="V14" s="523" t="s">
        <v>388</v>
      </c>
      <c r="W14" s="530" t="s">
        <v>388</v>
      </c>
      <c r="X14" s="735" t="s">
        <v>380</v>
      </c>
      <c r="Y14" s="523" t="s">
        <v>388</v>
      </c>
      <c r="Z14" s="530" t="s">
        <v>388</v>
      </c>
      <c r="AA14" s="541" t="s">
        <v>380</v>
      </c>
      <c r="AB14" s="741" t="s">
        <v>388</v>
      </c>
      <c r="AC14" s="530" t="s">
        <v>388</v>
      </c>
      <c r="AD14" s="541" t="s">
        <v>380</v>
      </c>
      <c r="AE14" s="530" t="s">
        <v>388</v>
      </c>
      <c r="AF14" s="530" t="s">
        <v>388</v>
      </c>
      <c r="AG14" s="541" t="s">
        <v>380</v>
      </c>
      <c r="AH14" s="530" t="s">
        <v>388</v>
      </c>
      <c r="AI14" s="530" t="s">
        <v>388</v>
      </c>
      <c r="AJ14" s="742" t="s">
        <v>380</v>
      </c>
      <c r="AK14" s="530" t="s">
        <v>388</v>
      </c>
      <c r="AL14" s="531" t="s">
        <v>388</v>
      </c>
      <c r="AM14" s="742" t="s">
        <v>380</v>
      </c>
      <c r="AN14" s="530" t="s">
        <v>388</v>
      </c>
      <c r="AO14" s="531" t="s">
        <v>388</v>
      </c>
      <c r="AP14" s="742" t="s">
        <v>380</v>
      </c>
      <c r="AQ14" s="531" t="s">
        <v>388</v>
      </c>
      <c r="AR14" s="530" t="s">
        <v>388</v>
      </c>
      <c r="AS14" s="541" t="s">
        <v>380</v>
      </c>
      <c r="AT14" s="530" t="s">
        <v>388</v>
      </c>
      <c r="AU14" s="530" t="s">
        <v>388</v>
      </c>
      <c r="AV14" s="541" t="s">
        <v>380</v>
      </c>
      <c r="AW14" s="530" t="s">
        <v>388</v>
      </c>
      <c r="AX14" s="530" t="s">
        <v>388</v>
      </c>
      <c r="AY14" s="541" t="s">
        <v>380</v>
      </c>
      <c r="AZ14" s="530" t="s">
        <v>388</v>
      </c>
      <c r="BA14" s="530" t="s">
        <v>388</v>
      </c>
      <c r="BB14" s="541" t="s">
        <v>380</v>
      </c>
      <c r="BC14" s="530" t="s">
        <v>388</v>
      </c>
      <c r="BD14" s="530" t="s">
        <v>388</v>
      </c>
      <c r="BE14" s="541" t="s">
        <v>380</v>
      </c>
      <c r="BF14" s="530" t="s">
        <v>388</v>
      </c>
      <c r="BG14" s="530" t="s">
        <v>388</v>
      </c>
      <c r="BH14" s="541" t="s">
        <v>380</v>
      </c>
      <c r="BI14" s="530" t="s">
        <v>388</v>
      </c>
      <c r="BJ14" s="530" t="s">
        <v>388</v>
      </c>
      <c r="BK14" s="541" t="s">
        <v>380</v>
      </c>
      <c r="BL14" s="531" t="s">
        <v>388</v>
      </c>
      <c r="BM14" s="531" t="s">
        <v>388</v>
      </c>
      <c r="BN14" s="541" t="s">
        <v>380</v>
      </c>
      <c r="BO14" s="531" t="s">
        <v>388</v>
      </c>
      <c r="BP14" s="530" t="s">
        <v>388</v>
      </c>
      <c r="BQ14" s="541" t="s">
        <v>380</v>
      </c>
      <c r="BR14" s="531" t="s">
        <v>388</v>
      </c>
      <c r="BS14" s="530" t="s">
        <v>388</v>
      </c>
      <c r="BT14" s="541" t="s">
        <v>380</v>
      </c>
      <c r="BU14" s="531" t="s">
        <v>388</v>
      </c>
      <c r="BV14" s="531" t="s">
        <v>388</v>
      </c>
      <c r="BW14" s="541" t="s">
        <v>380</v>
      </c>
      <c r="BX14" s="531" t="s">
        <v>388</v>
      </c>
      <c r="BY14" s="531" t="s">
        <v>388</v>
      </c>
      <c r="BZ14" s="541" t="s">
        <v>380</v>
      </c>
      <c r="CA14" s="531" t="s">
        <v>388</v>
      </c>
      <c r="CB14" s="531" t="s">
        <v>388</v>
      </c>
      <c r="CC14" s="541" t="s">
        <v>380</v>
      </c>
      <c r="CD14" s="531" t="s">
        <v>388</v>
      </c>
      <c r="CE14" s="531" t="s">
        <v>388</v>
      </c>
      <c r="CF14" s="541" t="s">
        <v>380</v>
      </c>
      <c r="CG14" s="531" t="s">
        <v>388</v>
      </c>
      <c r="CH14" s="531" t="s">
        <v>388</v>
      </c>
      <c r="CI14" s="541" t="s">
        <v>380</v>
      </c>
      <c r="CJ14" s="531" t="s">
        <v>388</v>
      </c>
      <c r="CK14" s="531" t="s">
        <v>388</v>
      </c>
      <c r="CL14" s="541" t="s">
        <v>380</v>
      </c>
      <c r="CM14" s="531" t="s">
        <v>388</v>
      </c>
      <c r="CN14" s="531" t="s">
        <v>388</v>
      </c>
      <c r="CO14" s="541" t="s">
        <v>380</v>
      </c>
      <c r="CP14" s="531" t="s">
        <v>388</v>
      </c>
      <c r="CQ14" s="531" t="s">
        <v>388</v>
      </c>
      <c r="CR14" s="541" t="s">
        <v>380</v>
      </c>
      <c r="CS14" s="531" t="s">
        <v>388</v>
      </c>
      <c r="CT14" s="531" t="s">
        <v>388</v>
      </c>
      <c r="CU14" s="541" t="s">
        <v>380</v>
      </c>
      <c r="CV14" s="531" t="s">
        <v>388</v>
      </c>
      <c r="CW14" s="531" t="s">
        <v>388</v>
      </c>
      <c r="CX14" s="541" t="s">
        <v>380</v>
      </c>
      <c r="CY14" s="531" t="s">
        <v>388</v>
      </c>
      <c r="CZ14" s="531" t="s">
        <v>388</v>
      </c>
      <c r="DA14" s="541" t="s">
        <v>380</v>
      </c>
      <c r="DB14" s="531" t="s">
        <v>388</v>
      </c>
      <c r="DC14" s="531" t="s">
        <v>388</v>
      </c>
      <c r="DD14" s="541" t="s">
        <v>380</v>
      </c>
      <c r="DE14" s="531" t="s">
        <v>388</v>
      </c>
      <c r="DF14" s="531" t="s">
        <v>388</v>
      </c>
      <c r="DG14" s="541" t="s">
        <v>380</v>
      </c>
      <c r="DH14" s="531" t="s">
        <v>388</v>
      </c>
      <c r="DI14" s="531" t="s">
        <v>388</v>
      </c>
      <c r="DJ14" s="541" t="s">
        <v>380</v>
      </c>
      <c r="DK14" s="531" t="s">
        <v>388</v>
      </c>
      <c r="DL14" s="531" t="s">
        <v>388</v>
      </c>
      <c r="DM14" s="541" t="s">
        <v>380</v>
      </c>
      <c r="DN14" s="531" t="s">
        <v>388</v>
      </c>
    </row>
    <row r="15" ht="15.0" customHeight="1">
      <c r="A15" s="53">
        <v>3.0</v>
      </c>
      <c r="B15" s="100" t="s">
        <v>390</v>
      </c>
      <c r="C15" s="100" t="s">
        <v>391</v>
      </c>
      <c r="D15" s="101" t="str">
        <f t="shared" si="1"/>
        <v>DATA</v>
      </c>
      <c r="E15" s="552" t="s">
        <v>392</v>
      </c>
      <c r="F15" s="118">
        <v>1111.0</v>
      </c>
      <c r="G15" s="517" t="s">
        <v>80</v>
      </c>
      <c r="H15" s="517">
        <v>1130.0</v>
      </c>
      <c r="I15" s="68" t="str">
        <f>IFERROR(VLOOKUP(C:C,'R22 RELATÓRIO ACC'!B:F,5,FALSE),"NOT PUBLISHED")</f>
        <v>NOT PUBLISHED</v>
      </c>
      <c r="J15" s="68" t="str">
        <f>IFERROR(VLOOKUP(C:C,'R22 RELATÓRIO ACC'!B:P,15,FALSE),"NOT PUBLISHED")</f>
        <v>NOT PUBLISHED</v>
      </c>
      <c r="K15" s="70" t="str">
        <f>IFERROR(VLOOKUP(B:B,'RELATÓRIO ACC'!B:F,5,FALSE),"NOT PUBLISHED")</f>
        <v>NOT PUBLISHED</v>
      </c>
      <c r="L15" s="518" t="str">
        <f>IFERROR(VLOOKUP(B:B,'RELATÓRIO ACC'!B:P,15,FALSE),"NOT PUBLISHED")</f>
        <v>NOT PUBLISHED</v>
      </c>
      <c r="M15" s="519" t="s">
        <v>388</v>
      </c>
      <c r="N15" s="557" t="s">
        <v>388</v>
      </c>
      <c r="O15" s="538" t="s">
        <v>388</v>
      </c>
      <c r="P15" s="587"/>
      <c r="Q15" s="523" t="s">
        <v>388</v>
      </c>
      <c r="R15" s="558" t="s">
        <v>380</v>
      </c>
      <c r="S15" s="523" t="s">
        <v>388</v>
      </c>
      <c r="T15" s="523" t="s">
        <v>388</v>
      </c>
      <c r="U15" s="558" t="s">
        <v>380</v>
      </c>
      <c r="V15" s="543" t="s">
        <v>388</v>
      </c>
      <c r="W15" s="530" t="s">
        <v>388</v>
      </c>
      <c r="X15" s="735" t="s">
        <v>380</v>
      </c>
      <c r="Y15" s="523" t="s">
        <v>388</v>
      </c>
      <c r="Z15" s="530" t="s">
        <v>388</v>
      </c>
      <c r="AA15" s="541" t="s">
        <v>380</v>
      </c>
      <c r="AB15" s="530" t="s">
        <v>388</v>
      </c>
      <c r="AC15" s="530" t="s">
        <v>388</v>
      </c>
      <c r="AD15" s="541" t="s">
        <v>380</v>
      </c>
      <c r="AE15" s="743" t="s">
        <v>388</v>
      </c>
      <c r="AF15" s="530" t="s">
        <v>388</v>
      </c>
      <c r="AG15" s="541" t="s">
        <v>380</v>
      </c>
      <c r="AH15" s="744" t="s">
        <v>388</v>
      </c>
      <c r="AI15" s="530" t="s">
        <v>388</v>
      </c>
      <c r="AJ15" s="541" t="s">
        <v>380</v>
      </c>
      <c r="AK15" s="530" t="s">
        <v>388</v>
      </c>
      <c r="AL15" s="530" t="s">
        <v>388</v>
      </c>
      <c r="AM15" s="541" t="s">
        <v>380</v>
      </c>
      <c r="AN15" s="530" t="s">
        <v>388</v>
      </c>
      <c r="AO15" s="530" t="s">
        <v>388</v>
      </c>
      <c r="AP15" s="541" t="s">
        <v>380</v>
      </c>
      <c r="AQ15" s="530" t="s">
        <v>388</v>
      </c>
      <c r="AR15" s="530" t="s">
        <v>388</v>
      </c>
      <c r="AS15" s="541" t="s">
        <v>380</v>
      </c>
      <c r="AT15" s="530" t="s">
        <v>388</v>
      </c>
      <c r="AU15" s="530" t="s">
        <v>388</v>
      </c>
      <c r="AV15" s="541" t="s">
        <v>380</v>
      </c>
      <c r="AW15" s="530" t="s">
        <v>388</v>
      </c>
      <c r="AX15" s="530" t="s">
        <v>388</v>
      </c>
      <c r="AY15" s="541" t="s">
        <v>380</v>
      </c>
      <c r="AZ15" s="530" t="s">
        <v>388</v>
      </c>
      <c r="BA15" s="530" t="s">
        <v>388</v>
      </c>
      <c r="BB15" s="541" t="s">
        <v>380</v>
      </c>
      <c r="BC15" s="530" t="s">
        <v>388</v>
      </c>
      <c r="BD15" s="530" t="s">
        <v>388</v>
      </c>
      <c r="BE15" s="541" t="s">
        <v>380</v>
      </c>
      <c r="BF15" s="530" t="s">
        <v>388</v>
      </c>
      <c r="BG15" s="530" t="s">
        <v>388</v>
      </c>
      <c r="BH15" s="541" t="s">
        <v>380</v>
      </c>
      <c r="BI15" s="530" t="s">
        <v>388</v>
      </c>
      <c r="BJ15" s="530" t="s">
        <v>388</v>
      </c>
      <c r="BK15" s="541" t="s">
        <v>380</v>
      </c>
      <c r="BL15" s="530" t="s">
        <v>388</v>
      </c>
      <c r="BM15" s="530" t="s">
        <v>388</v>
      </c>
      <c r="BN15" s="541" t="s">
        <v>380</v>
      </c>
      <c r="BO15" s="530" t="s">
        <v>388</v>
      </c>
      <c r="BP15" s="530" t="s">
        <v>388</v>
      </c>
      <c r="BQ15" s="541" t="s">
        <v>380</v>
      </c>
      <c r="BR15" s="530" t="s">
        <v>388</v>
      </c>
      <c r="BS15" s="530" t="s">
        <v>388</v>
      </c>
      <c r="BT15" s="541" t="s">
        <v>380</v>
      </c>
      <c r="BU15" s="531" t="s">
        <v>388</v>
      </c>
      <c r="BV15" s="530" t="s">
        <v>388</v>
      </c>
      <c r="BW15" s="541" t="s">
        <v>380</v>
      </c>
      <c r="BX15" s="530" t="s">
        <v>388</v>
      </c>
      <c r="BY15" s="530" t="s">
        <v>388</v>
      </c>
      <c r="BZ15" s="541" t="s">
        <v>380</v>
      </c>
      <c r="CA15" s="531" t="s">
        <v>388</v>
      </c>
      <c r="CB15" s="530" t="s">
        <v>388</v>
      </c>
      <c r="CC15" s="541" t="s">
        <v>380</v>
      </c>
      <c r="CD15" s="530" t="s">
        <v>388</v>
      </c>
      <c r="CE15" s="530" t="s">
        <v>388</v>
      </c>
      <c r="CF15" s="541" t="s">
        <v>380</v>
      </c>
      <c r="CG15" s="530" t="s">
        <v>388</v>
      </c>
      <c r="CH15" s="530" t="s">
        <v>388</v>
      </c>
      <c r="CI15" s="541" t="s">
        <v>380</v>
      </c>
      <c r="CJ15" s="530" t="s">
        <v>388</v>
      </c>
      <c r="CK15" s="530" t="s">
        <v>388</v>
      </c>
      <c r="CL15" s="541" t="s">
        <v>380</v>
      </c>
      <c r="CM15" s="530" t="s">
        <v>388</v>
      </c>
      <c r="CN15" s="530" t="s">
        <v>388</v>
      </c>
      <c r="CO15" s="541" t="s">
        <v>380</v>
      </c>
      <c r="CP15" s="530" t="s">
        <v>388</v>
      </c>
      <c r="CQ15" s="530" t="s">
        <v>388</v>
      </c>
      <c r="CR15" s="541" t="s">
        <v>380</v>
      </c>
      <c r="CS15" s="530" t="s">
        <v>388</v>
      </c>
      <c r="CT15" s="530" t="s">
        <v>388</v>
      </c>
      <c r="CU15" s="541" t="s">
        <v>380</v>
      </c>
      <c r="CV15" s="530" t="s">
        <v>388</v>
      </c>
      <c r="CW15" s="530" t="s">
        <v>388</v>
      </c>
      <c r="CX15" s="541" t="s">
        <v>380</v>
      </c>
      <c r="CY15" s="530" t="s">
        <v>388</v>
      </c>
      <c r="CZ15" s="530" t="s">
        <v>388</v>
      </c>
      <c r="DA15" s="541" t="s">
        <v>380</v>
      </c>
      <c r="DB15" s="530" t="s">
        <v>388</v>
      </c>
      <c r="DC15" s="530" t="s">
        <v>388</v>
      </c>
      <c r="DD15" s="541" t="s">
        <v>380</v>
      </c>
      <c r="DE15" s="530" t="s">
        <v>388</v>
      </c>
      <c r="DF15" s="530" t="s">
        <v>388</v>
      </c>
      <c r="DG15" s="541" t="s">
        <v>380</v>
      </c>
      <c r="DH15" s="530" t="s">
        <v>388</v>
      </c>
      <c r="DI15" s="530" t="s">
        <v>388</v>
      </c>
      <c r="DJ15" s="541" t="s">
        <v>380</v>
      </c>
      <c r="DK15" s="530" t="s">
        <v>388</v>
      </c>
      <c r="DL15" s="530" t="s">
        <v>388</v>
      </c>
      <c r="DM15" s="541" t="s">
        <v>380</v>
      </c>
      <c r="DN15" s="530" t="s">
        <v>388</v>
      </c>
    </row>
    <row r="16" ht="15.0" customHeight="1">
      <c r="A16" s="53">
        <v>9.0</v>
      </c>
      <c r="B16" s="100" t="s">
        <v>102</v>
      </c>
      <c r="C16" s="100" t="s">
        <v>103</v>
      </c>
      <c r="D16" s="101" t="str">
        <f t="shared" si="1"/>
        <v>DATA</v>
      </c>
      <c r="E16" s="111" t="s">
        <v>104</v>
      </c>
      <c r="F16" s="115">
        <v>1106.0</v>
      </c>
      <c r="G16" s="517" t="s">
        <v>105</v>
      </c>
      <c r="H16" s="535">
        <v>0.0</v>
      </c>
      <c r="I16" s="68" t="str">
        <f>IFERROR(VLOOKUP(C:C,'R22 RELATÓRIO ACC'!B:F,5,FALSE),"NOT PUBLISHED")</f>
        <v>NOT PUBLISHED</v>
      </c>
      <c r="J16" s="68" t="str">
        <f>IFERROR(VLOOKUP(C:C,'R22 RELATÓRIO ACC'!B:P,15,FALSE),"NOT PUBLISHED")</f>
        <v>NOT PUBLISHED</v>
      </c>
      <c r="K16" s="70" t="str">
        <f>IFERROR(VLOOKUP(B:B,'RELATÓRIO ACC'!B:F,5,FALSE),"NOT PUBLISHED")</f>
        <v>NOT PUBLISHED</v>
      </c>
      <c r="L16" s="518" t="str">
        <f>IFERROR(VLOOKUP(B:B,'RELATÓRIO ACC'!B:P,15,FALSE),"NOT PUBLISHED")</f>
        <v>NOT PUBLISHED</v>
      </c>
      <c r="M16" s="538" t="s">
        <v>380</v>
      </c>
      <c r="N16" s="745" t="s">
        <v>380</v>
      </c>
      <c r="O16" s="538" t="s">
        <v>388</v>
      </c>
      <c r="P16" s="587"/>
      <c r="Q16" s="523" t="s">
        <v>388</v>
      </c>
      <c r="R16" s="558" t="s">
        <v>380</v>
      </c>
      <c r="S16" s="525" t="s">
        <v>388</v>
      </c>
      <c r="T16" s="523" t="s">
        <v>388</v>
      </c>
      <c r="U16" s="558" t="s">
        <v>380</v>
      </c>
      <c r="V16" s="525" t="s">
        <v>388</v>
      </c>
      <c r="W16" s="523" t="s">
        <v>388</v>
      </c>
      <c r="X16" s="735" t="s">
        <v>380</v>
      </c>
      <c r="Y16" s="525" t="s">
        <v>388</v>
      </c>
      <c r="Z16" s="523" t="s">
        <v>388</v>
      </c>
      <c r="AA16" s="735" t="s">
        <v>380</v>
      </c>
      <c r="AB16" s="525" t="s">
        <v>388</v>
      </c>
      <c r="AC16" s="523" t="s">
        <v>388</v>
      </c>
      <c r="AD16" s="735" t="s">
        <v>380</v>
      </c>
      <c r="AE16" s="525" t="s">
        <v>388</v>
      </c>
      <c r="AF16" s="523" t="s">
        <v>388</v>
      </c>
      <c r="AG16" s="735" t="s">
        <v>380</v>
      </c>
      <c r="AH16" s="525" t="s">
        <v>388</v>
      </c>
      <c r="AI16" s="523" t="s">
        <v>388</v>
      </c>
      <c r="AJ16" s="541" t="s">
        <v>380</v>
      </c>
      <c r="AK16" s="523" t="s">
        <v>388</v>
      </c>
      <c r="AL16" s="523" t="s">
        <v>388</v>
      </c>
      <c r="AM16" s="541" t="s">
        <v>380</v>
      </c>
      <c r="AN16" s="523" t="s">
        <v>388</v>
      </c>
      <c r="AO16" s="523" t="s">
        <v>388</v>
      </c>
      <c r="AP16" s="541" t="s">
        <v>380</v>
      </c>
      <c r="AQ16" s="523" t="s">
        <v>388</v>
      </c>
      <c r="AR16" s="523" t="s">
        <v>388</v>
      </c>
      <c r="AS16" s="541" t="s">
        <v>380</v>
      </c>
      <c r="AT16" s="523" t="s">
        <v>388</v>
      </c>
      <c r="AU16" s="523" t="s">
        <v>388</v>
      </c>
      <c r="AV16" s="541" t="s">
        <v>380</v>
      </c>
      <c r="AW16" s="523" t="s">
        <v>388</v>
      </c>
      <c r="AX16" s="523" t="s">
        <v>388</v>
      </c>
      <c r="AY16" s="541" t="s">
        <v>380</v>
      </c>
      <c r="AZ16" s="523" t="s">
        <v>388</v>
      </c>
      <c r="BA16" s="523" t="s">
        <v>388</v>
      </c>
      <c r="BB16" s="541" t="s">
        <v>380</v>
      </c>
      <c r="BC16" s="523" t="s">
        <v>388</v>
      </c>
      <c r="BD16" s="523" t="s">
        <v>388</v>
      </c>
      <c r="BE16" s="541" t="s">
        <v>380</v>
      </c>
      <c r="BF16" s="523" t="s">
        <v>388</v>
      </c>
      <c r="BG16" s="523" t="s">
        <v>388</v>
      </c>
      <c r="BH16" s="541" t="s">
        <v>380</v>
      </c>
      <c r="BI16" s="523" t="s">
        <v>388</v>
      </c>
      <c r="BJ16" s="523" t="s">
        <v>388</v>
      </c>
      <c r="BK16" s="541" t="s">
        <v>380</v>
      </c>
      <c r="BL16" s="523" t="s">
        <v>388</v>
      </c>
      <c r="BM16" s="523" t="s">
        <v>388</v>
      </c>
      <c r="BN16" s="541" t="s">
        <v>380</v>
      </c>
      <c r="BO16" s="523" t="s">
        <v>388</v>
      </c>
      <c r="BP16" s="523" t="s">
        <v>388</v>
      </c>
      <c r="BQ16" s="541" t="s">
        <v>380</v>
      </c>
      <c r="BR16" s="523" t="s">
        <v>388</v>
      </c>
      <c r="BS16" s="523" t="s">
        <v>388</v>
      </c>
      <c r="BT16" s="541" t="s">
        <v>380</v>
      </c>
      <c r="BU16" s="523" t="s">
        <v>388</v>
      </c>
      <c r="BV16" s="523" t="s">
        <v>388</v>
      </c>
      <c r="BW16" s="541" t="s">
        <v>380</v>
      </c>
      <c r="BX16" s="523" t="s">
        <v>388</v>
      </c>
      <c r="BY16" s="523" t="s">
        <v>388</v>
      </c>
      <c r="BZ16" s="541" t="s">
        <v>380</v>
      </c>
      <c r="CA16" s="523" t="s">
        <v>388</v>
      </c>
      <c r="CB16" s="523" t="s">
        <v>388</v>
      </c>
      <c r="CC16" s="541" t="s">
        <v>380</v>
      </c>
      <c r="CD16" s="523" t="s">
        <v>388</v>
      </c>
      <c r="CE16" s="523" t="s">
        <v>388</v>
      </c>
      <c r="CF16" s="541" t="s">
        <v>380</v>
      </c>
      <c r="CG16" s="523" t="s">
        <v>388</v>
      </c>
      <c r="CH16" s="523" t="s">
        <v>388</v>
      </c>
      <c r="CI16" s="541" t="s">
        <v>380</v>
      </c>
      <c r="CJ16" s="523" t="s">
        <v>388</v>
      </c>
      <c r="CK16" s="523" t="s">
        <v>388</v>
      </c>
      <c r="CL16" s="541" t="s">
        <v>380</v>
      </c>
      <c r="CM16" s="523" t="s">
        <v>388</v>
      </c>
      <c r="CN16" s="523" t="s">
        <v>388</v>
      </c>
      <c r="CO16" s="541" t="s">
        <v>380</v>
      </c>
      <c r="CP16" s="523" t="s">
        <v>388</v>
      </c>
      <c r="CQ16" s="523" t="s">
        <v>388</v>
      </c>
      <c r="CR16" s="541" t="s">
        <v>380</v>
      </c>
      <c r="CS16" s="523" t="s">
        <v>388</v>
      </c>
      <c r="CT16" s="523" t="s">
        <v>388</v>
      </c>
      <c r="CU16" s="541" t="s">
        <v>380</v>
      </c>
      <c r="CV16" s="523" t="s">
        <v>388</v>
      </c>
      <c r="CW16" s="523" t="s">
        <v>388</v>
      </c>
      <c r="CX16" s="541" t="s">
        <v>380</v>
      </c>
      <c r="CY16" s="523" t="s">
        <v>388</v>
      </c>
      <c r="CZ16" s="523" t="s">
        <v>388</v>
      </c>
      <c r="DA16" s="541" t="s">
        <v>380</v>
      </c>
      <c r="DB16" s="523" t="s">
        <v>388</v>
      </c>
      <c r="DC16" s="523" t="s">
        <v>388</v>
      </c>
      <c r="DD16" s="541" t="s">
        <v>380</v>
      </c>
      <c r="DE16" s="523" t="s">
        <v>388</v>
      </c>
      <c r="DF16" s="523" t="s">
        <v>388</v>
      </c>
      <c r="DG16" s="541" t="s">
        <v>380</v>
      </c>
      <c r="DH16" s="523" t="s">
        <v>388</v>
      </c>
      <c r="DI16" s="523" t="s">
        <v>388</v>
      </c>
      <c r="DJ16" s="541" t="s">
        <v>380</v>
      </c>
      <c r="DK16" s="523" t="s">
        <v>388</v>
      </c>
      <c r="DL16" s="523" t="s">
        <v>388</v>
      </c>
      <c r="DM16" s="541" t="s">
        <v>380</v>
      </c>
      <c r="DN16" s="523" t="s">
        <v>388</v>
      </c>
    </row>
    <row r="17" ht="15.0" customHeight="1">
      <c r="A17" s="53">
        <v>5.0</v>
      </c>
      <c r="B17" s="100" t="s">
        <v>86</v>
      </c>
      <c r="C17" s="100" t="s">
        <v>87</v>
      </c>
      <c r="D17" s="101" t="str">
        <f t="shared" si="1"/>
        <v>DATA</v>
      </c>
      <c r="E17" s="111" t="s">
        <v>88</v>
      </c>
      <c r="F17" s="118" t="s">
        <v>88</v>
      </c>
      <c r="G17" s="534" t="s">
        <v>88</v>
      </c>
      <c r="H17" s="517"/>
      <c r="I17" s="68" t="str">
        <f>IFERROR(VLOOKUP(C:C,'R22 RELATÓRIO ACC'!B:F,5,FALSE),"NOT PUBLISHED")</f>
        <v>NOT PUBLISHED</v>
      </c>
      <c r="J17" s="68" t="str">
        <f>IFERROR(VLOOKUP(C:C,'R22 RELATÓRIO ACC'!B:P,15,FALSE),"NOT PUBLISHED")</f>
        <v>NOT PUBLISHED</v>
      </c>
      <c r="K17" s="70" t="str">
        <f>IFERROR(VLOOKUP(B:B,'RELATÓRIO ACC'!B:F,5,FALSE),"NOT PUBLISHED")</f>
        <v>NOT PUBLISHED</v>
      </c>
      <c r="L17" s="518" t="str">
        <f>IFERROR(VLOOKUP(B:B,'RELATÓRIO ACC'!B:P,15,FALSE),"NOT PUBLISHED")</f>
        <v>NOT PUBLISHED</v>
      </c>
      <c r="M17" s="519" t="s">
        <v>388</v>
      </c>
      <c r="N17" s="557" t="s">
        <v>388</v>
      </c>
      <c r="O17" s="538" t="s">
        <v>388</v>
      </c>
      <c r="P17" s="587"/>
      <c r="Q17" s="523" t="s">
        <v>388</v>
      </c>
      <c r="R17" s="558" t="s">
        <v>380</v>
      </c>
      <c r="S17" s="523" t="s">
        <v>388</v>
      </c>
      <c r="T17" s="523" t="s">
        <v>388</v>
      </c>
      <c r="U17" s="558" t="s">
        <v>380</v>
      </c>
      <c r="V17" s="525" t="s">
        <v>388</v>
      </c>
      <c r="W17" s="530" t="s">
        <v>388</v>
      </c>
      <c r="X17" s="735" t="s">
        <v>380</v>
      </c>
      <c r="Y17" s="523" t="s">
        <v>388</v>
      </c>
      <c r="Z17" s="530" t="s">
        <v>388</v>
      </c>
      <c r="AA17" s="541" t="s">
        <v>380</v>
      </c>
      <c r="AB17" s="530" t="s">
        <v>388</v>
      </c>
      <c r="AC17" s="530" t="s">
        <v>388</v>
      </c>
      <c r="AD17" s="541" t="s">
        <v>380</v>
      </c>
      <c r="AE17" s="530" t="s">
        <v>388</v>
      </c>
      <c r="AF17" s="530" t="s">
        <v>388</v>
      </c>
      <c r="AG17" s="541" t="s">
        <v>380</v>
      </c>
      <c r="AH17" s="530" t="s">
        <v>388</v>
      </c>
      <c r="AI17" s="530" t="s">
        <v>388</v>
      </c>
      <c r="AJ17" s="541" t="s">
        <v>380</v>
      </c>
      <c r="AK17" s="530" t="s">
        <v>388</v>
      </c>
      <c r="AL17" s="530" t="s">
        <v>388</v>
      </c>
      <c r="AM17" s="541" t="s">
        <v>380</v>
      </c>
      <c r="AN17" s="530" t="s">
        <v>388</v>
      </c>
      <c r="AO17" s="530" t="s">
        <v>388</v>
      </c>
      <c r="AP17" s="541" t="s">
        <v>380</v>
      </c>
      <c r="AQ17" s="530" t="s">
        <v>388</v>
      </c>
      <c r="AR17" s="530" t="s">
        <v>388</v>
      </c>
      <c r="AS17" s="541" t="s">
        <v>380</v>
      </c>
      <c r="AT17" s="530" t="s">
        <v>388</v>
      </c>
      <c r="AU17" s="530" t="s">
        <v>388</v>
      </c>
      <c r="AV17" s="541" t="s">
        <v>380</v>
      </c>
      <c r="AW17" s="530" t="s">
        <v>388</v>
      </c>
      <c r="AX17" s="530" t="s">
        <v>388</v>
      </c>
      <c r="AY17" s="541" t="s">
        <v>380</v>
      </c>
      <c r="AZ17" s="530" t="s">
        <v>388</v>
      </c>
      <c r="BA17" s="530" t="s">
        <v>388</v>
      </c>
      <c r="BB17" s="541" t="s">
        <v>380</v>
      </c>
      <c r="BC17" s="530" t="s">
        <v>388</v>
      </c>
      <c r="BD17" s="530" t="s">
        <v>388</v>
      </c>
      <c r="BE17" s="541" t="s">
        <v>380</v>
      </c>
      <c r="BF17" s="530" t="s">
        <v>388</v>
      </c>
      <c r="BG17" s="530" t="s">
        <v>388</v>
      </c>
      <c r="BH17" s="541" t="s">
        <v>380</v>
      </c>
      <c r="BI17" s="531" t="s">
        <v>388</v>
      </c>
      <c r="BJ17" s="530" t="s">
        <v>388</v>
      </c>
      <c r="BK17" s="742" t="s">
        <v>380</v>
      </c>
      <c r="BL17" s="531" t="s">
        <v>388</v>
      </c>
      <c r="BM17" s="531" t="s">
        <v>388</v>
      </c>
      <c r="BN17" s="742" t="s">
        <v>380</v>
      </c>
      <c r="BO17" s="531" t="s">
        <v>388</v>
      </c>
      <c r="BP17" s="531" t="s">
        <v>388</v>
      </c>
      <c r="BQ17" s="742" t="s">
        <v>380</v>
      </c>
      <c r="BR17" s="531" t="s">
        <v>388</v>
      </c>
      <c r="BS17" s="531" t="s">
        <v>388</v>
      </c>
      <c r="BT17" s="742" t="s">
        <v>380</v>
      </c>
      <c r="BU17" s="531" t="s">
        <v>388</v>
      </c>
      <c r="BV17" s="531" t="s">
        <v>388</v>
      </c>
      <c r="BW17" s="742" t="s">
        <v>380</v>
      </c>
      <c r="BX17" s="531" t="s">
        <v>388</v>
      </c>
      <c r="BY17" s="530" t="s">
        <v>388</v>
      </c>
      <c r="BZ17" s="742" t="s">
        <v>380</v>
      </c>
      <c r="CA17" s="531" t="s">
        <v>388</v>
      </c>
      <c r="CB17" s="530" t="s">
        <v>388</v>
      </c>
      <c r="CC17" s="742" t="s">
        <v>380</v>
      </c>
      <c r="CD17" s="531" t="s">
        <v>388</v>
      </c>
      <c r="CE17" s="530" t="s">
        <v>388</v>
      </c>
      <c r="CF17" s="742" t="s">
        <v>380</v>
      </c>
      <c r="CG17" s="531" t="s">
        <v>388</v>
      </c>
      <c r="CH17" s="530" t="s">
        <v>388</v>
      </c>
      <c r="CI17" s="742" t="s">
        <v>380</v>
      </c>
      <c r="CJ17" s="531" t="s">
        <v>388</v>
      </c>
      <c r="CK17" s="531" t="s">
        <v>388</v>
      </c>
      <c r="CL17" s="742" t="s">
        <v>380</v>
      </c>
      <c r="CM17" s="531" t="s">
        <v>388</v>
      </c>
      <c r="CN17" s="531" t="s">
        <v>388</v>
      </c>
      <c r="CO17" s="742" t="s">
        <v>380</v>
      </c>
      <c r="CP17" s="531" t="s">
        <v>388</v>
      </c>
      <c r="CQ17" s="531" t="s">
        <v>388</v>
      </c>
      <c r="CR17" s="742" t="s">
        <v>380</v>
      </c>
      <c r="CS17" s="531" t="s">
        <v>388</v>
      </c>
      <c r="CT17" s="531" t="s">
        <v>388</v>
      </c>
      <c r="CU17" s="742" t="s">
        <v>380</v>
      </c>
      <c r="CV17" s="531" t="s">
        <v>388</v>
      </c>
      <c r="CW17" s="531" t="s">
        <v>388</v>
      </c>
      <c r="CX17" s="742" t="s">
        <v>380</v>
      </c>
      <c r="CY17" s="531" t="s">
        <v>388</v>
      </c>
      <c r="CZ17" s="531" t="s">
        <v>388</v>
      </c>
      <c r="DA17" s="742" t="s">
        <v>380</v>
      </c>
      <c r="DB17" s="531" t="s">
        <v>388</v>
      </c>
      <c r="DC17" s="531" t="s">
        <v>388</v>
      </c>
      <c r="DD17" s="742" t="s">
        <v>380</v>
      </c>
      <c r="DE17" s="531" t="s">
        <v>388</v>
      </c>
      <c r="DF17" s="531" t="s">
        <v>388</v>
      </c>
      <c r="DG17" s="742" t="s">
        <v>380</v>
      </c>
      <c r="DH17" s="531" t="s">
        <v>388</v>
      </c>
      <c r="DI17" s="531" t="s">
        <v>388</v>
      </c>
      <c r="DJ17" s="742" t="s">
        <v>380</v>
      </c>
      <c r="DK17" s="531" t="s">
        <v>388</v>
      </c>
      <c r="DL17" s="531" t="s">
        <v>388</v>
      </c>
      <c r="DM17" s="742" t="s">
        <v>380</v>
      </c>
      <c r="DN17" s="531" t="s">
        <v>388</v>
      </c>
    </row>
    <row r="18" ht="15.0" customHeight="1">
      <c r="A18" s="53">
        <v>10.0</v>
      </c>
      <c r="B18" s="100" t="s">
        <v>106</v>
      </c>
      <c r="C18" s="100" t="s">
        <v>107</v>
      </c>
      <c r="D18" s="101" t="str">
        <f t="shared" si="1"/>
        <v>DATA</v>
      </c>
      <c r="E18" s="101" t="s">
        <v>108</v>
      </c>
      <c r="F18" s="115">
        <v>1107.0</v>
      </c>
      <c r="G18" s="534" t="s">
        <v>109</v>
      </c>
      <c r="H18" s="535">
        <v>0.0</v>
      </c>
      <c r="I18" s="68" t="str">
        <f>IFERROR(VLOOKUP(C:C,'R22 RELATÓRIO ACC'!B:F,5,FALSE),"NOT PUBLISHED")</f>
        <v>NOT PUBLISHED</v>
      </c>
      <c r="J18" s="68" t="str">
        <f>IFERROR(VLOOKUP(C:C,'R22 RELATÓRIO ACC'!B:P,15,FALSE),"NOT PUBLISHED")</f>
        <v>NOT PUBLISHED</v>
      </c>
      <c r="K18" s="70" t="str">
        <f>IFERROR(VLOOKUP(B:B,'RELATÓRIO ACC'!B:F,5,FALSE),"NOT PUBLISHED")</f>
        <v>NOT PUBLISHED</v>
      </c>
      <c r="L18" s="518" t="str">
        <f>IFERROR(VLOOKUP(B:B,'RELATÓRIO ACC'!B:P,15,FALSE),"NOT PUBLISHED")</f>
        <v>NOT PUBLISHED</v>
      </c>
      <c r="M18" s="519" t="s">
        <v>388</v>
      </c>
      <c r="N18" s="557" t="s">
        <v>388</v>
      </c>
      <c r="O18" s="538" t="s">
        <v>388</v>
      </c>
      <c r="P18" s="587"/>
      <c r="Q18" s="523" t="s">
        <v>388</v>
      </c>
      <c r="R18" s="524" t="s">
        <v>380</v>
      </c>
      <c r="S18" s="543" t="s">
        <v>388</v>
      </c>
      <c r="T18" s="523" t="s">
        <v>388</v>
      </c>
      <c r="U18" s="524" t="s">
        <v>380</v>
      </c>
      <c r="V18" s="543" t="s">
        <v>388</v>
      </c>
      <c r="W18" s="530" t="s">
        <v>388</v>
      </c>
      <c r="X18" s="541" t="s">
        <v>380</v>
      </c>
      <c r="Y18" s="543" t="s">
        <v>388</v>
      </c>
      <c r="Z18" s="530" t="s">
        <v>388</v>
      </c>
      <c r="AA18" s="735" t="s">
        <v>380</v>
      </c>
      <c r="AB18" s="740" t="s">
        <v>388</v>
      </c>
      <c r="AC18" s="530" t="s">
        <v>388</v>
      </c>
      <c r="AD18" s="735" t="s">
        <v>380</v>
      </c>
      <c r="AE18" s="740" t="s">
        <v>388</v>
      </c>
      <c r="AF18" s="530" t="s">
        <v>388</v>
      </c>
      <c r="AG18" s="541" t="s">
        <v>380</v>
      </c>
      <c r="AH18" s="744" t="s">
        <v>388</v>
      </c>
      <c r="AI18" s="530" t="s">
        <v>388</v>
      </c>
      <c r="AJ18" s="541" t="s">
        <v>380</v>
      </c>
      <c r="AK18" s="530" t="s">
        <v>388</v>
      </c>
      <c r="AL18" s="530" t="s">
        <v>388</v>
      </c>
      <c r="AM18" s="541" t="s">
        <v>380</v>
      </c>
      <c r="AN18" s="530" t="s">
        <v>388</v>
      </c>
      <c r="AO18" s="531" t="s">
        <v>388</v>
      </c>
      <c r="AP18" s="737" t="s">
        <v>380</v>
      </c>
      <c r="AQ18" s="531" t="s">
        <v>388</v>
      </c>
      <c r="AR18" s="531" t="s">
        <v>388</v>
      </c>
      <c r="AS18" s="737" t="s">
        <v>380</v>
      </c>
      <c r="AT18" s="531" t="s">
        <v>388</v>
      </c>
      <c r="AU18" s="531" t="s">
        <v>388</v>
      </c>
      <c r="AV18" s="737" t="s">
        <v>380</v>
      </c>
      <c r="AW18" s="531" t="s">
        <v>388</v>
      </c>
      <c r="AX18" s="531" t="s">
        <v>388</v>
      </c>
      <c r="AY18" s="737" t="s">
        <v>380</v>
      </c>
      <c r="AZ18" s="531" t="s">
        <v>388</v>
      </c>
      <c r="BA18" s="531" t="s">
        <v>388</v>
      </c>
      <c r="BB18" s="737" t="s">
        <v>380</v>
      </c>
      <c r="BC18" s="531" t="s">
        <v>388</v>
      </c>
      <c r="BD18" s="531" t="s">
        <v>388</v>
      </c>
      <c r="BE18" s="737" t="s">
        <v>380</v>
      </c>
      <c r="BF18" s="531" t="s">
        <v>388</v>
      </c>
      <c r="BG18" s="531" t="s">
        <v>388</v>
      </c>
      <c r="BH18" s="737" t="s">
        <v>380</v>
      </c>
      <c r="BI18" s="531" t="s">
        <v>388</v>
      </c>
      <c r="BJ18" s="531" t="s">
        <v>388</v>
      </c>
      <c r="BK18" s="737" t="s">
        <v>380</v>
      </c>
      <c r="BL18" s="531" t="s">
        <v>388</v>
      </c>
      <c r="BM18" s="531" t="s">
        <v>388</v>
      </c>
      <c r="BN18" s="737" t="s">
        <v>380</v>
      </c>
      <c r="BO18" s="531" t="s">
        <v>388</v>
      </c>
      <c r="BP18" s="531" t="s">
        <v>388</v>
      </c>
      <c r="BQ18" s="737" t="s">
        <v>380</v>
      </c>
      <c r="BR18" s="531" t="s">
        <v>388</v>
      </c>
      <c r="BS18" s="531" t="s">
        <v>388</v>
      </c>
      <c r="BT18" s="737" t="s">
        <v>380</v>
      </c>
      <c r="BU18" s="531" t="s">
        <v>388</v>
      </c>
      <c r="BV18" s="531" t="s">
        <v>388</v>
      </c>
      <c r="BW18" s="737" t="s">
        <v>380</v>
      </c>
      <c r="BX18" s="531" t="s">
        <v>388</v>
      </c>
      <c r="BY18" s="531" t="s">
        <v>388</v>
      </c>
      <c r="BZ18" s="737" t="s">
        <v>380</v>
      </c>
      <c r="CA18" s="531" t="s">
        <v>388</v>
      </c>
      <c r="CB18" s="531" t="s">
        <v>388</v>
      </c>
      <c r="CC18" s="737" t="s">
        <v>380</v>
      </c>
      <c r="CD18" s="531" t="s">
        <v>388</v>
      </c>
      <c r="CE18" s="531" t="s">
        <v>388</v>
      </c>
      <c r="CF18" s="737" t="s">
        <v>380</v>
      </c>
      <c r="CG18" s="531" t="s">
        <v>388</v>
      </c>
      <c r="CH18" s="531" t="s">
        <v>388</v>
      </c>
      <c r="CI18" s="737" t="s">
        <v>380</v>
      </c>
      <c r="CJ18" s="531" t="s">
        <v>388</v>
      </c>
      <c r="CK18" s="531" t="s">
        <v>388</v>
      </c>
      <c r="CL18" s="737" t="s">
        <v>380</v>
      </c>
      <c r="CM18" s="531" t="s">
        <v>388</v>
      </c>
      <c r="CN18" s="531" t="s">
        <v>388</v>
      </c>
      <c r="CO18" s="737" t="s">
        <v>380</v>
      </c>
      <c r="CP18" s="531" t="s">
        <v>388</v>
      </c>
      <c r="CQ18" s="531" t="s">
        <v>388</v>
      </c>
      <c r="CR18" s="737" t="s">
        <v>380</v>
      </c>
      <c r="CS18" s="531" t="s">
        <v>388</v>
      </c>
      <c r="CT18" s="531" t="s">
        <v>388</v>
      </c>
      <c r="CU18" s="737" t="s">
        <v>380</v>
      </c>
      <c r="CV18" s="531" t="s">
        <v>388</v>
      </c>
      <c r="CW18" s="531" t="s">
        <v>388</v>
      </c>
      <c r="CX18" s="737" t="s">
        <v>380</v>
      </c>
      <c r="CY18" s="531" t="s">
        <v>388</v>
      </c>
      <c r="CZ18" s="531" t="s">
        <v>388</v>
      </c>
      <c r="DA18" s="737" t="s">
        <v>380</v>
      </c>
      <c r="DB18" s="531" t="s">
        <v>388</v>
      </c>
      <c r="DC18" s="531" t="s">
        <v>388</v>
      </c>
      <c r="DD18" s="737" t="s">
        <v>380</v>
      </c>
      <c r="DE18" s="531" t="s">
        <v>388</v>
      </c>
      <c r="DF18" s="531" t="s">
        <v>388</v>
      </c>
      <c r="DG18" s="737" t="s">
        <v>380</v>
      </c>
      <c r="DH18" s="531" t="s">
        <v>388</v>
      </c>
      <c r="DI18" s="531" t="s">
        <v>388</v>
      </c>
      <c r="DJ18" s="737" t="s">
        <v>380</v>
      </c>
      <c r="DK18" s="531" t="s">
        <v>388</v>
      </c>
      <c r="DL18" s="531" t="s">
        <v>388</v>
      </c>
      <c r="DM18" s="737" t="s">
        <v>380</v>
      </c>
      <c r="DN18" s="531" t="s">
        <v>388</v>
      </c>
    </row>
    <row r="19" ht="15.0" customHeight="1">
      <c r="A19" s="53">
        <v>17.0</v>
      </c>
      <c r="B19" s="100" t="s">
        <v>139</v>
      </c>
      <c r="C19" s="100" t="s">
        <v>140</v>
      </c>
      <c r="D19" s="101" t="str">
        <f t="shared" si="1"/>
        <v>DATA</v>
      </c>
      <c r="E19" s="111" t="s">
        <v>141</v>
      </c>
      <c r="F19" s="115">
        <v>0.0</v>
      </c>
      <c r="G19" s="563" t="s">
        <v>142</v>
      </c>
      <c r="H19" s="535"/>
      <c r="I19" s="68" t="str">
        <f>IFERROR(VLOOKUP(C:C,'R22 RELATÓRIO ACC'!B:F,5,FALSE),"NOT PUBLISHED")</f>
        <v>V4</v>
      </c>
      <c r="J19" s="68" t="str">
        <f>IFERROR(VLOOKUP(C:C,'R22 RELATÓRIO ACC'!B:P,15,FALSE),"NOT PUBLISHED")</f>
        <v>29/04/2026</v>
      </c>
      <c r="K19" s="70" t="str">
        <f>IFERROR(VLOOKUP(B:B,'RELATÓRIO ACC'!B:F,5,FALSE),"NOT PUBLISHED")</f>
        <v>V1</v>
      </c>
      <c r="L19" s="518" t="str">
        <f>IFERROR(VLOOKUP(B:B,'RELATÓRIO ACC'!B:P,15,FALSE),"NOT PUBLISHED")</f>
        <v>04/06/2026</v>
      </c>
      <c r="M19" s="519" t="s">
        <v>377</v>
      </c>
      <c r="N19" s="564" t="s">
        <v>396</v>
      </c>
      <c r="O19" s="538" t="s">
        <v>378</v>
      </c>
      <c r="P19" s="587" t="s">
        <v>397</v>
      </c>
      <c r="Q19" s="523" t="s">
        <v>388</v>
      </c>
      <c r="R19" s="524" t="s">
        <v>380</v>
      </c>
      <c r="S19" s="523" t="s">
        <v>388</v>
      </c>
      <c r="T19" s="523" t="s">
        <v>388</v>
      </c>
      <c r="U19" s="524" t="s">
        <v>380</v>
      </c>
      <c r="V19" s="523" t="s">
        <v>388</v>
      </c>
      <c r="W19" s="530" t="s">
        <v>388</v>
      </c>
      <c r="X19" s="541" t="s">
        <v>380</v>
      </c>
      <c r="Y19" s="523" t="s">
        <v>388</v>
      </c>
      <c r="Z19" s="530" t="s">
        <v>388</v>
      </c>
      <c r="AA19" s="735" t="s">
        <v>380</v>
      </c>
      <c r="AB19" s="530" t="s">
        <v>388</v>
      </c>
      <c r="AC19" s="530" t="s">
        <v>388</v>
      </c>
      <c r="AD19" s="735" t="s">
        <v>380</v>
      </c>
      <c r="AE19" s="530" t="s">
        <v>388</v>
      </c>
      <c r="AF19" s="530" t="s">
        <v>383</v>
      </c>
      <c r="AG19" s="735" t="s">
        <v>380</v>
      </c>
      <c r="AH19" s="530" t="s">
        <v>383</v>
      </c>
      <c r="AI19" s="530" t="s">
        <v>381</v>
      </c>
      <c r="AJ19" s="526" t="s">
        <v>377</v>
      </c>
      <c r="AK19" s="529">
        <v>0.01</v>
      </c>
      <c r="AL19" s="523" t="s">
        <v>379</v>
      </c>
      <c r="AM19" s="526" t="s">
        <v>377</v>
      </c>
      <c r="AN19" s="523" t="s">
        <v>379</v>
      </c>
      <c r="AO19" s="528" t="s">
        <v>379</v>
      </c>
      <c r="AP19" s="528" t="s">
        <v>377</v>
      </c>
      <c r="AQ19" s="528" t="s">
        <v>379</v>
      </c>
      <c r="AR19" s="528" t="s">
        <v>379</v>
      </c>
      <c r="AS19" s="526" t="s">
        <v>377</v>
      </c>
      <c r="AT19" s="528" t="s">
        <v>379</v>
      </c>
      <c r="AU19" s="528" t="s">
        <v>379</v>
      </c>
      <c r="AV19" s="526" t="s">
        <v>377</v>
      </c>
      <c r="AW19" s="528" t="s">
        <v>379</v>
      </c>
      <c r="AX19" s="528" t="s">
        <v>379</v>
      </c>
      <c r="AY19" s="526" t="s">
        <v>377</v>
      </c>
      <c r="AZ19" s="528" t="s">
        <v>379</v>
      </c>
      <c r="BA19" s="528" t="s">
        <v>379</v>
      </c>
      <c r="BB19" s="526" t="s">
        <v>377</v>
      </c>
      <c r="BC19" s="528" t="s">
        <v>379</v>
      </c>
      <c r="BD19" s="528" t="s">
        <v>379</v>
      </c>
      <c r="BE19" s="526" t="s">
        <v>377</v>
      </c>
      <c r="BF19" s="528" t="s">
        <v>379</v>
      </c>
      <c r="BG19" s="528" t="s">
        <v>398</v>
      </c>
      <c r="BH19" s="526" t="s">
        <v>387</v>
      </c>
      <c r="BI19" s="528" t="s">
        <v>398</v>
      </c>
      <c r="BJ19" s="528" t="s">
        <v>379</v>
      </c>
      <c r="BK19" s="526" t="s">
        <v>387</v>
      </c>
      <c r="BL19" s="528" t="s">
        <v>379</v>
      </c>
      <c r="BM19" s="528" t="s">
        <v>379</v>
      </c>
      <c r="BN19" s="526" t="s">
        <v>387</v>
      </c>
      <c r="BO19" s="528" t="s">
        <v>379</v>
      </c>
      <c r="BP19" s="523" t="s">
        <v>383</v>
      </c>
      <c r="BQ19" s="526" t="s">
        <v>387</v>
      </c>
      <c r="BR19" s="523" t="s">
        <v>383</v>
      </c>
      <c r="BS19" s="523" t="s">
        <v>381</v>
      </c>
      <c r="BT19" s="526" t="s">
        <v>400</v>
      </c>
      <c r="BU19" s="532">
        <v>0.01</v>
      </c>
      <c r="BV19" s="523" t="s">
        <v>379</v>
      </c>
      <c r="BW19" s="526" t="s">
        <v>400</v>
      </c>
      <c r="BX19" s="523" t="s">
        <v>379</v>
      </c>
      <c r="BY19" s="523" t="s">
        <v>379</v>
      </c>
      <c r="BZ19" s="526" t="s">
        <v>400</v>
      </c>
      <c r="CA19" s="523" t="s">
        <v>379</v>
      </c>
      <c r="CB19" s="523" t="s">
        <v>379</v>
      </c>
      <c r="CC19" s="526" t="s">
        <v>400</v>
      </c>
      <c r="CD19" s="523" t="s">
        <v>379</v>
      </c>
      <c r="CE19" s="523" t="s">
        <v>383</v>
      </c>
      <c r="CF19" s="526" t="s">
        <v>400</v>
      </c>
      <c r="CG19" s="523" t="s">
        <v>383</v>
      </c>
      <c r="CH19" s="528" t="s">
        <v>398</v>
      </c>
      <c r="CI19" s="526" t="s">
        <v>399</v>
      </c>
      <c r="CJ19" s="528" t="s">
        <v>398</v>
      </c>
      <c r="CK19" s="528" t="s">
        <v>379</v>
      </c>
      <c r="CL19" s="526" t="s">
        <v>399</v>
      </c>
      <c r="CM19" s="528" t="s">
        <v>379</v>
      </c>
      <c r="CN19" s="528" t="s">
        <v>383</v>
      </c>
      <c r="CO19" s="526" t="s">
        <v>399</v>
      </c>
      <c r="CP19" s="528" t="s">
        <v>383</v>
      </c>
      <c r="CQ19" s="528" t="s">
        <v>398</v>
      </c>
      <c r="CR19" s="526" t="s">
        <v>399</v>
      </c>
      <c r="CS19" s="528" t="s">
        <v>398</v>
      </c>
      <c r="CT19" s="528" t="s">
        <v>383</v>
      </c>
      <c r="CU19" s="526" t="s">
        <v>399</v>
      </c>
      <c r="CV19" s="528" t="s">
        <v>383</v>
      </c>
      <c r="CW19" s="528" t="s">
        <v>398</v>
      </c>
      <c r="CX19" s="526" t="s">
        <v>399</v>
      </c>
      <c r="CY19" s="528" t="s">
        <v>398</v>
      </c>
      <c r="CZ19" s="528" t="s">
        <v>379</v>
      </c>
      <c r="DA19" s="526" t="s">
        <v>399</v>
      </c>
      <c r="DB19" s="528" t="s">
        <v>379</v>
      </c>
      <c r="DC19" s="528" t="s">
        <v>379</v>
      </c>
      <c r="DD19" s="526" t="s">
        <v>399</v>
      </c>
      <c r="DE19" s="528" t="s">
        <v>379</v>
      </c>
      <c r="DF19" s="528" t="s">
        <v>379</v>
      </c>
      <c r="DG19" s="526" t="s">
        <v>399</v>
      </c>
      <c r="DH19" s="528" t="s">
        <v>379</v>
      </c>
      <c r="DI19" s="528" t="s">
        <v>379</v>
      </c>
      <c r="DJ19" s="526" t="s">
        <v>399</v>
      </c>
      <c r="DK19" s="528" t="s">
        <v>379</v>
      </c>
      <c r="DL19" s="528" t="s">
        <v>379</v>
      </c>
      <c r="DM19" s="526" t="s">
        <v>399</v>
      </c>
      <c r="DN19" s="528" t="s">
        <v>379</v>
      </c>
    </row>
    <row r="20" ht="15.0" customHeight="1">
      <c r="A20" s="53">
        <v>56.0</v>
      </c>
      <c r="B20" s="100" t="s">
        <v>278</v>
      </c>
      <c r="C20" s="100" t="s">
        <v>279</v>
      </c>
      <c r="D20" s="101" t="str">
        <f t="shared" si="1"/>
        <v>DATA</v>
      </c>
      <c r="E20" s="111" t="s">
        <v>280</v>
      </c>
      <c r="F20" s="101">
        <v>1121.0</v>
      </c>
      <c r="G20" s="111" t="s">
        <v>280</v>
      </c>
      <c r="H20" s="535">
        <v>0.0</v>
      </c>
      <c r="I20" s="68" t="str">
        <f>IFERROR(VLOOKUP(C:C,'R22 RELATÓRIO ACC'!B:F,5,FALSE),"NOT PUBLISHED")</f>
        <v>V1</v>
      </c>
      <c r="J20" s="68" t="str">
        <f>IFERROR(VLOOKUP(C:C,'R22 RELATÓRIO ACC'!B:P,15,FALSE),"NOT PUBLISHED")</f>
        <v>05/05/2026</v>
      </c>
      <c r="K20" s="70" t="str">
        <f>IFERROR(VLOOKUP(B:B,'RELATÓRIO ACC'!B:F,5,FALSE),"NOT PUBLISHED")</f>
        <v>V3</v>
      </c>
      <c r="L20" s="518" t="str">
        <f>IFERROR(VLOOKUP(B:B,'RELATÓRIO ACC'!B:P,15,FALSE),"NOT PUBLISHED")</f>
        <v>20/06/2026</v>
      </c>
      <c r="M20" s="536" t="s">
        <v>400</v>
      </c>
      <c r="N20" s="746">
        <v>46193.0</v>
      </c>
      <c r="O20" s="538" t="s">
        <v>380</v>
      </c>
      <c r="P20" s="587"/>
      <c r="Q20" s="523" t="s">
        <v>388</v>
      </c>
      <c r="R20" s="558" t="s">
        <v>380</v>
      </c>
      <c r="S20" s="523" t="s">
        <v>388</v>
      </c>
      <c r="T20" s="523" t="s">
        <v>388</v>
      </c>
      <c r="U20" s="558" t="s">
        <v>380</v>
      </c>
      <c r="V20" s="523" t="s">
        <v>388</v>
      </c>
      <c r="W20" s="530" t="s">
        <v>388</v>
      </c>
      <c r="X20" s="735" t="s">
        <v>380</v>
      </c>
      <c r="Y20" s="523" t="s">
        <v>388</v>
      </c>
      <c r="Z20" s="530" t="s">
        <v>388</v>
      </c>
      <c r="AA20" s="735" t="s">
        <v>380</v>
      </c>
      <c r="AB20" s="530" t="s">
        <v>388</v>
      </c>
      <c r="AC20" s="530" t="s">
        <v>388</v>
      </c>
      <c r="AD20" s="735" t="s">
        <v>380</v>
      </c>
      <c r="AE20" s="530" t="s">
        <v>388</v>
      </c>
      <c r="AF20" s="530" t="s">
        <v>388</v>
      </c>
      <c r="AG20" s="735" t="s">
        <v>380</v>
      </c>
      <c r="AH20" s="530" t="s">
        <v>388</v>
      </c>
      <c r="AI20" s="530" t="s">
        <v>388</v>
      </c>
      <c r="AJ20" s="541" t="s">
        <v>380</v>
      </c>
      <c r="AK20" s="530" t="s">
        <v>388</v>
      </c>
      <c r="AL20" s="530" t="s">
        <v>388</v>
      </c>
      <c r="AM20" s="541" t="s">
        <v>380</v>
      </c>
      <c r="AN20" s="530" t="s">
        <v>388</v>
      </c>
      <c r="AO20" s="530" t="s">
        <v>388</v>
      </c>
      <c r="AP20" s="541" t="s">
        <v>380</v>
      </c>
      <c r="AQ20" s="530" t="s">
        <v>388</v>
      </c>
      <c r="AR20" s="530" t="s">
        <v>388</v>
      </c>
      <c r="AS20" s="541" t="s">
        <v>380</v>
      </c>
      <c r="AT20" s="530" t="s">
        <v>388</v>
      </c>
      <c r="AU20" s="530" t="s">
        <v>388</v>
      </c>
      <c r="AV20" s="541" t="s">
        <v>380</v>
      </c>
      <c r="AW20" s="530" t="s">
        <v>388</v>
      </c>
      <c r="AX20" s="530" t="s">
        <v>388</v>
      </c>
      <c r="AY20" s="541" t="s">
        <v>380</v>
      </c>
      <c r="AZ20" s="530" t="s">
        <v>388</v>
      </c>
      <c r="BA20" s="530" t="s">
        <v>388</v>
      </c>
      <c r="BB20" s="541" t="s">
        <v>380</v>
      </c>
      <c r="BC20" s="530" t="s">
        <v>388</v>
      </c>
      <c r="BD20" s="530" t="s">
        <v>388</v>
      </c>
      <c r="BE20" s="541" t="s">
        <v>380</v>
      </c>
      <c r="BF20" s="530" t="s">
        <v>388</v>
      </c>
      <c r="BG20" s="530" t="s">
        <v>388</v>
      </c>
      <c r="BH20" s="541" t="s">
        <v>380</v>
      </c>
      <c r="BI20" s="530" t="s">
        <v>388</v>
      </c>
      <c r="BJ20" s="530" t="s">
        <v>388</v>
      </c>
      <c r="BK20" s="541" t="s">
        <v>380</v>
      </c>
      <c r="BL20" s="530" t="s">
        <v>388</v>
      </c>
      <c r="BM20" s="530" t="s">
        <v>388</v>
      </c>
      <c r="BN20" s="541" t="s">
        <v>380</v>
      </c>
      <c r="BO20" s="530" t="s">
        <v>388</v>
      </c>
      <c r="BP20" s="530" t="s">
        <v>388</v>
      </c>
      <c r="BQ20" s="541" t="s">
        <v>380</v>
      </c>
      <c r="BR20" s="530" t="s">
        <v>388</v>
      </c>
      <c r="BS20" s="530" t="s">
        <v>388</v>
      </c>
      <c r="BT20" s="541" t="s">
        <v>380</v>
      </c>
      <c r="BU20" s="530" t="s">
        <v>388</v>
      </c>
      <c r="BV20" s="530" t="s">
        <v>388</v>
      </c>
      <c r="BW20" s="541" t="s">
        <v>380</v>
      </c>
      <c r="BX20" s="530" t="s">
        <v>388</v>
      </c>
      <c r="BY20" s="530" t="s">
        <v>388</v>
      </c>
      <c r="BZ20" s="541" t="s">
        <v>380</v>
      </c>
      <c r="CA20" s="530" t="s">
        <v>388</v>
      </c>
      <c r="CB20" s="530" t="s">
        <v>388</v>
      </c>
      <c r="CC20" s="541" t="s">
        <v>380</v>
      </c>
      <c r="CD20" s="530" t="s">
        <v>388</v>
      </c>
      <c r="CE20" s="530" t="s">
        <v>388</v>
      </c>
      <c r="CF20" s="541" t="s">
        <v>380</v>
      </c>
      <c r="CG20" s="530" t="s">
        <v>388</v>
      </c>
      <c r="CH20" s="530" t="s">
        <v>388</v>
      </c>
      <c r="CI20" s="541" t="s">
        <v>380</v>
      </c>
      <c r="CJ20" s="530" t="s">
        <v>388</v>
      </c>
      <c r="CK20" s="734" t="s">
        <v>380</v>
      </c>
      <c r="CL20" s="541" t="s">
        <v>380</v>
      </c>
      <c r="CM20" s="734" t="s">
        <v>380</v>
      </c>
      <c r="CN20" s="734" t="s">
        <v>380</v>
      </c>
      <c r="CO20" s="541" t="s">
        <v>380</v>
      </c>
      <c r="CP20" s="734" t="s">
        <v>380</v>
      </c>
      <c r="CQ20" s="734" t="s">
        <v>380</v>
      </c>
      <c r="CR20" s="541" t="s">
        <v>380</v>
      </c>
      <c r="CS20" s="734" t="s">
        <v>380</v>
      </c>
      <c r="CT20" s="530" t="s">
        <v>383</v>
      </c>
      <c r="CU20" s="541" t="s">
        <v>380</v>
      </c>
      <c r="CV20" s="546">
        <v>0.0</v>
      </c>
      <c r="CW20" s="523" t="s">
        <v>383</v>
      </c>
      <c r="CX20" s="541" t="s">
        <v>380</v>
      </c>
      <c r="CY20" s="523" t="s">
        <v>383</v>
      </c>
      <c r="CZ20" s="523" t="s">
        <v>383</v>
      </c>
      <c r="DA20" s="541" t="s">
        <v>380</v>
      </c>
      <c r="DB20" s="523" t="s">
        <v>383</v>
      </c>
      <c r="DC20" s="523" t="s">
        <v>381</v>
      </c>
      <c r="DD20" s="544" t="s">
        <v>400</v>
      </c>
      <c r="DE20" s="565">
        <v>0.01</v>
      </c>
      <c r="DF20" s="523" t="s">
        <v>379</v>
      </c>
      <c r="DG20" s="544" t="s">
        <v>400</v>
      </c>
      <c r="DH20" s="523" t="s">
        <v>379</v>
      </c>
      <c r="DI20" s="523" t="s">
        <v>379</v>
      </c>
      <c r="DJ20" s="544" t="s">
        <v>400</v>
      </c>
      <c r="DK20" s="523" t="s">
        <v>379</v>
      </c>
      <c r="DL20" s="523" t="s">
        <v>379</v>
      </c>
      <c r="DM20" s="544" t="s">
        <v>400</v>
      </c>
      <c r="DN20" s="523" t="s">
        <v>379</v>
      </c>
    </row>
    <row r="21" ht="15.0" hidden="1" customHeight="1">
      <c r="A21" s="53">
        <v>20.0</v>
      </c>
      <c r="B21" s="124" t="s">
        <v>151</v>
      </c>
      <c r="C21" s="125"/>
      <c r="D21" s="126"/>
      <c r="E21" s="126"/>
      <c r="F21" s="126"/>
      <c r="G21" s="126"/>
      <c r="H21" s="128"/>
      <c r="I21" s="126"/>
      <c r="J21" s="126"/>
      <c r="K21" s="129"/>
      <c r="L21" s="573"/>
      <c r="M21" s="126"/>
      <c r="N21" s="126"/>
      <c r="O21" s="126"/>
      <c r="P21" s="522"/>
      <c r="Q21" s="575"/>
      <c r="R21" s="576"/>
      <c r="S21" s="577"/>
      <c r="T21" s="575"/>
      <c r="U21" s="576"/>
      <c r="V21" s="577"/>
      <c r="W21" s="747"/>
      <c r="X21" s="748"/>
      <c r="Y21" s="749"/>
      <c r="Z21" s="747"/>
      <c r="AA21" s="748"/>
      <c r="AB21" s="749"/>
      <c r="AC21" s="747"/>
      <c r="AD21" s="748"/>
      <c r="AE21" s="749"/>
      <c r="AF21" s="750"/>
      <c r="AG21" s="750"/>
      <c r="AH21" s="750"/>
      <c r="AI21" s="751"/>
      <c r="AJ21" s="752"/>
      <c r="AK21" s="751"/>
      <c r="AL21" s="751"/>
      <c r="AM21" s="752"/>
      <c r="AN21" s="751"/>
      <c r="AO21" s="751"/>
      <c r="AP21" s="752"/>
      <c r="AQ21" s="751"/>
      <c r="AR21" s="751"/>
      <c r="AS21" s="752"/>
      <c r="AT21" s="751"/>
      <c r="AU21" s="751"/>
      <c r="AV21" s="752"/>
      <c r="AW21" s="751"/>
      <c r="AX21" s="751"/>
      <c r="AY21" s="752"/>
      <c r="AZ21" s="751"/>
      <c r="BA21" s="751"/>
      <c r="BB21" s="752"/>
      <c r="BC21" s="751"/>
      <c r="BD21" s="751"/>
      <c r="BE21" s="752"/>
      <c r="BF21" s="751"/>
      <c r="BG21" s="751"/>
      <c r="BH21" s="752"/>
      <c r="BI21" s="751"/>
      <c r="BJ21" s="751"/>
      <c r="BK21" s="752"/>
      <c r="BL21" s="751"/>
      <c r="BM21" s="751"/>
      <c r="BN21" s="752"/>
      <c r="BO21" s="751"/>
      <c r="BP21" s="751"/>
      <c r="BQ21" s="752"/>
      <c r="BR21" s="751"/>
      <c r="BS21" s="751"/>
      <c r="BT21" s="752"/>
      <c r="BU21" s="751"/>
      <c r="BV21" s="751"/>
      <c r="BW21" s="752"/>
      <c r="BX21" s="751"/>
      <c r="BY21" s="751"/>
      <c r="BZ21" s="752"/>
      <c r="CA21" s="751"/>
      <c r="CB21" s="751"/>
      <c r="CC21" s="752"/>
      <c r="CD21" s="751"/>
      <c r="CE21" s="751"/>
      <c r="CF21" s="752"/>
      <c r="CG21" s="751"/>
      <c r="CH21" s="750"/>
      <c r="CI21" s="750"/>
      <c r="CJ21" s="750"/>
      <c r="CK21" s="750"/>
      <c r="CL21" s="750"/>
      <c r="CM21" s="750"/>
      <c r="CN21" s="750"/>
      <c r="CO21" s="750"/>
      <c r="CP21" s="750"/>
      <c r="CQ21" s="750"/>
      <c r="CR21" s="750"/>
      <c r="CS21" s="750"/>
      <c r="CT21" s="750"/>
      <c r="CU21" s="750"/>
      <c r="CV21" s="750"/>
      <c r="CW21" s="750"/>
      <c r="CX21" s="750"/>
      <c r="CY21" s="750"/>
      <c r="CZ21" s="750"/>
      <c r="DA21" s="750"/>
      <c r="DB21" s="750"/>
      <c r="DC21" s="750"/>
      <c r="DD21" s="750"/>
      <c r="DE21" s="750"/>
      <c r="DF21" s="750"/>
      <c r="DG21" s="750"/>
      <c r="DH21" s="750"/>
      <c r="DI21" s="750"/>
      <c r="DJ21" s="750"/>
      <c r="DK21" s="750"/>
      <c r="DL21" s="750"/>
      <c r="DM21" s="750"/>
      <c r="DN21" s="750"/>
    </row>
    <row r="22" ht="15.0" customHeight="1">
      <c r="A22" s="53">
        <v>13.0</v>
      </c>
      <c r="B22" s="100" t="s">
        <v>78</v>
      </c>
      <c r="C22" s="100" t="s">
        <v>79</v>
      </c>
      <c r="D22" s="101" t="str">
        <f>MID(B22,17,4)</f>
        <v>DATA</v>
      </c>
      <c r="E22" s="101" t="s">
        <v>80</v>
      </c>
      <c r="F22" s="102">
        <v>1130.0</v>
      </c>
      <c r="G22" s="517" t="s">
        <v>80</v>
      </c>
      <c r="H22" s="517">
        <v>1130.0</v>
      </c>
      <c r="I22" s="68" t="str">
        <f>IFERROR(VLOOKUP(C:C,'R22 RELATÓRIO ACC'!B:F,5,FALSE),"NOT PUBLISHED")</f>
        <v>V29</v>
      </c>
      <c r="J22" s="68" t="str">
        <f>IFERROR(VLOOKUP(C:C,'R22 RELATÓRIO ACC'!B:P,15,FALSE),"NOT PUBLISHED")</f>
        <v>13/04/2026</v>
      </c>
      <c r="K22" s="70" t="str">
        <f>IFERROR(VLOOKUP(B:B,'RELATÓRIO ACC'!B:F,5,FALSE),"NOT PUBLISHED")</f>
        <v>V3</v>
      </c>
      <c r="L22" s="518" t="str">
        <f>IFERROR(VLOOKUP(B:B,'RELATÓRIO ACC'!B:P,15,FALSE),"NOT PUBLISHED")</f>
        <v>03/06/2026</v>
      </c>
      <c r="M22" s="519" t="s">
        <v>400</v>
      </c>
      <c r="N22" s="520">
        <v>46115.0</v>
      </c>
      <c r="O22" s="538" t="s">
        <v>378</v>
      </c>
      <c r="P22" s="587" t="s">
        <v>397</v>
      </c>
      <c r="Q22" s="523" t="s">
        <v>379</v>
      </c>
      <c r="R22" s="524">
        <v>0.0</v>
      </c>
      <c r="S22" s="525" t="s">
        <v>379</v>
      </c>
      <c r="T22" s="523" t="s">
        <v>379</v>
      </c>
      <c r="U22" s="524">
        <v>0.0</v>
      </c>
      <c r="V22" s="523" t="s">
        <v>379</v>
      </c>
      <c r="W22" s="530" t="s">
        <v>381</v>
      </c>
      <c r="X22" s="690" t="s">
        <v>421</v>
      </c>
      <c r="Y22" s="753">
        <v>0.43</v>
      </c>
      <c r="Z22" s="734" t="s">
        <v>379</v>
      </c>
      <c r="AA22" s="690" t="s">
        <v>401</v>
      </c>
      <c r="AB22" s="530" t="s">
        <v>379</v>
      </c>
      <c r="AC22" s="530" t="s">
        <v>383</v>
      </c>
      <c r="AD22" s="735" t="s">
        <v>401</v>
      </c>
      <c r="AE22" s="743" t="s">
        <v>383</v>
      </c>
      <c r="AF22" s="523" t="s">
        <v>381</v>
      </c>
      <c r="AG22" s="550" t="s">
        <v>402</v>
      </c>
      <c r="AH22" s="529">
        <v>0.69</v>
      </c>
      <c r="AI22" s="528" t="s">
        <v>379</v>
      </c>
      <c r="AJ22" s="528" t="s">
        <v>402</v>
      </c>
      <c r="AK22" s="528" t="s">
        <v>379</v>
      </c>
      <c r="AL22" s="528" t="s">
        <v>383</v>
      </c>
      <c r="AM22" s="528" t="s">
        <v>402</v>
      </c>
      <c r="AN22" s="528" t="s">
        <v>383</v>
      </c>
      <c r="AO22" s="528" t="s">
        <v>381</v>
      </c>
      <c r="AP22" s="528" t="s">
        <v>403</v>
      </c>
      <c r="AQ22" s="532">
        <v>0.86</v>
      </c>
      <c r="AR22" s="528" t="s">
        <v>383</v>
      </c>
      <c r="AS22" s="528" t="s">
        <v>403</v>
      </c>
      <c r="AT22" s="528" t="s">
        <v>383</v>
      </c>
      <c r="AU22" s="528" t="s">
        <v>398</v>
      </c>
      <c r="AV22" s="528" t="s">
        <v>403</v>
      </c>
      <c r="AW22" s="528" t="s">
        <v>398</v>
      </c>
      <c r="AX22" s="528" t="s">
        <v>398</v>
      </c>
      <c r="AY22" s="528" t="s">
        <v>405</v>
      </c>
      <c r="AZ22" s="528" t="s">
        <v>398</v>
      </c>
      <c r="BA22" s="528" t="s">
        <v>383</v>
      </c>
      <c r="BB22" s="528" t="s">
        <v>405</v>
      </c>
      <c r="BC22" s="528" t="s">
        <v>383</v>
      </c>
      <c r="BD22" s="528" t="s">
        <v>398</v>
      </c>
      <c r="BE22" s="528" t="s">
        <v>406</v>
      </c>
      <c r="BF22" s="528" t="s">
        <v>398</v>
      </c>
      <c r="BG22" s="528" t="s">
        <v>379</v>
      </c>
      <c r="BH22" s="528" t="s">
        <v>406</v>
      </c>
      <c r="BI22" s="528" t="s">
        <v>379</v>
      </c>
      <c r="BJ22" s="528" t="s">
        <v>379</v>
      </c>
      <c r="BK22" s="528" t="s">
        <v>406</v>
      </c>
      <c r="BL22" s="528" t="s">
        <v>379</v>
      </c>
      <c r="BM22" s="528" t="s">
        <v>379</v>
      </c>
      <c r="BN22" s="528" t="s">
        <v>406</v>
      </c>
      <c r="BO22" s="528" t="s">
        <v>379</v>
      </c>
      <c r="BP22" s="528" t="s">
        <v>383</v>
      </c>
      <c r="BQ22" s="528" t="s">
        <v>406</v>
      </c>
      <c r="BR22" s="528" t="s">
        <v>383</v>
      </c>
      <c r="BS22" s="528" t="s">
        <v>381</v>
      </c>
      <c r="BT22" s="528" t="s">
        <v>407</v>
      </c>
      <c r="BU22" s="568">
        <v>0.81</v>
      </c>
      <c r="BV22" s="528" t="s">
        <v>379</v>
      </c>
      <c r="BW22" s="528" t="s">
        <v>407</v>
      </c>
      <c r="BX22" s="528" t="s">
        <v>379</v>
      </c>
      <c r="BY22" s="528" t="s">
        <v>381</v>
      </c>
      <c r="BZ22" s="528" t="s">
        <v>408</v>
      </c>
      <c r="CA22" s="568">
        <v>0.74</v>
      </c>
      <c r="CB22" s="528" t="s">
        <v>379</v>
      </c>
      <c r="CC22" s="528" t="s">
        <v>408</v>
      </c>
      <c r="CD22" s="528" t="s">
        <v>379</v>
      </c>
      <c r="CE22" s="528" t="s">
        <v>379</v>
      </c>
      <c r="CF22" s="528" t="s">
        <v>408</v>
      </c>
      <c r="CG22" s="528" t="s">
        <v>379</v>
      </c>
      <c r="CH22" s="528" t="s">
        <v>379</v>
      </c>
      <c r="CI22" s="528" t="s">
        <v>408</v>
      </c>
      <c r="CJ22" s="528" t="s">
        <v>379</v>
      </c>
      <c r="CK22" s="528" t="s">
        <v>379</v>
      </c>
      <c r="CL22" s="528" t="s">
        <v>408</v>
      </c>
      <c r="CM22" s="528" t="s">
        <v>379</v>
      </c>
      <c r="CN22" s="528" t="s">
        <v>383</v>
      </c>
      <c r="CO22" s="528" t="s">
        <v>408</v>
      </c>
      <c r="CP22" s="528" t="s">
        <v>383</v>
      </c>
      <c r="CQ22" s="528" t="s">
        <v>383</v>
      </c>
      <c r="CR22" s="528" t="s">
        <v>408</v>
      </c>
      <c r="CS22" s="528" t="s">
        <v>383</v>
      </c>
      <c r="CT22" s="528" t="s">
        <v>383</v>
      </c>
      <c r="CU22" s="528" t="s">
        <v>408</v>
      </c>
      <c r="CV22" s="528" t="s">
        <v>383</v>
      </c>
      <c r="CW22" s="528" t="s">
        <v>386</v>
      </c>
      <c r="CX22" s="528" t="s">
        <v>400</v>
      </c>
      <c r="CY22" s="568">
        <v>1.0</v>
      </c>
      <c r="CZ22" s="528" t="s">
        <v>413</v>
      </c>
      <c r="DA22" s="528" t="s">
        <v>400</v>
      </c>
      <c r="DB22" s="568">
        <v>1.0</v>
      </c>
      <c r="DC22" s="528" t="s">
        <v>413</v>
      </c>
      <c r="DD22" s="528" t="s">
        <v>400</v>
      </c>
      <c r="DE22" s="568">
        <v>1.0</v>
      </c>
      <c r="DF22" s="528" t="s">
        <v>413</v>
      </c>
      <c r="DG22" s="528" t="s">
        <v>400</v>
      </c>
      <c r="DH22" s="568">
        <v>1.0</v>
      </c>
      <c r="DI22" s="528" t="s">
        <v>413</v>
      </c>
      <c r="DJ22" s="528" t="s">
        <v>400</v>
      </c>
      <c r="DK22" s="568">
        <v>1.0</v>
      </c>
      <c r="DL22" s="528" t="s">
        <v>413</v>
      </c>
      <c r="DM22" s="528" t="s">
        <v>400</v>
      </c>
      <c r="DN22" s="568">
        <v>1.0</v>
      </c>
    </row>
    <row r="23" ht="15.0" hidden="1" customHeight="1">
      <c r="A23" s="53">
        <v>22.0</v>
      </c>
      <c r="B23" s="146" t="s">
        <v>158</v>
      </c>
      <c r="C23" s="147"/>
      <c r="D23" s="148"/>
      <c r="E23" s="148"/>
      <c r="F23" s="148"/>
      <c r="G23" s="148"/>
      <c r="H23" s="150"/>
      <c r="I23" s="148"/>
      <c r="J23" s="148"/>
      <c r="K23" s="151"/>
      <c r="L23" s="581"/>
      <c r="M23" s="148"/>
      <c r="N23" s="148"/>
      <c r="O23" s="148"/>
      <c r="P23" s="522"/>
      <c r="Q23" s="582"/>
      <c r="R23" s="583"/>
      <c r="S23" s="584"/>
      <c r="T23" s="582"/>
      <c r="U23" s="583"/>
      <c r="V23" s="584"/>
      <c r="W23" s="754"/>
      <c r="X23" s="755"/>
      <c r="Y23" s="756"/>
      <c r="Z23" s="754"/>
      <c r="AA23" s="755"/>
      <c r="AB23" s="756"/>
      <c r="AC23" s="754"/>
      <c r="AD23" s="755"/>
      <c r="AE23" s="756"/>
      <c r="AF23" s="757"/>
      <c r="AG23" s="757"/>
      <c r="AH23" s="757"/>
      <c r="AI23" s="757"/>
      <c r="AJ23" s="757"/>
      <c r="AK23" s="757"/>
      <c r="AL23" s="757"/>
      <c r="AM23" s="757"/>
      <c r="AN23" s="757"/>
      <c r="AO23" s="758"/>
      <c r="AP23" s="757"/>
      <c r="AQ23" s="758"/>
      <c r="AR23" s="758"/>
      <c r="AS23" s="757"/>
      <c r="AT23" s="758"/>
      <c r="AU23" s="758"/>
      <c r="AV23" s="759"/>
      <c r="AW23" s="758"/>
      <c r="AX23" s="758"/>
      <c r="AY23" s="759"/>
      <c r="AZ23" s="758"/>
      <c r="BA23" s="758"/>
      <c r="BB23" s="759"/>
      <c r="BC23" s="758"/>
      <c r="BD23" s="758"/>
      <c r="BE23" s="759"/>
      <c r="BF23" s="758"/>
      <c r="BG23" s="758"/>
      <c r="BH23" s="759"/>
      <c r="BI23" s="758"/>
      <c r="BJ23" s="758"/>
      <c r="BK23" s="759"/>
      <c r="BL23" s="758"/>
      <c r="BM23" s="758"/>
      <c r="BN23" s="759"/>
      <c r="BO23" s="758"/>
      <c r="BP23" s="758"/>
      <c r="BQ23" s="759"/>
      <c r="BR23" s="758"/>
      <c r="BS23" s="758"/>
      <c r="BT23" s="759"/>
      <c r="BU23" s="758"/>
      <c r="BV23" s="758"/>
      <c r="BW23" s="759"/>
      <c r="BX23" s="758"/>
      <c r="BY23" s="758"/>
      <c r="BZ23" s="759"/>
      <c r="CA23" s="758"/>
      <c r="CB23" s="758"/>
      <c r="CC23" s="759"/>
      <c r="CD23" s="758"/>
      <c r="CE23" s="758"/>
      <c r="CF23" s="759"/>
      <c r="CG23" s="758"/>
      <c r="CH23" s="757"/>
      <c r="CI23" s="757"/>
      <c r="CJ23" s="757"/>
      <c r="CK23" s="757"/>
      <c r="CL23" s="757"/>
      <c r="CM23" s="757"/>
      <c r="CN23" s="757"/>
      <c r="CO23" s="757"/>
      <c r="CP23" s="757"/>
      <c r="CQ23" s="757"/>
      <c r="CR23" s="757"/>
      <c r="CS23" s="757"/>
      <c r="CT23" s="757"/>
      <c r="CU23" s="757"/>
      <c r="CV23" s="757"/>
      <c r="CW23" s="757"/>
      <c r="CX23" s="757"/>
      <c r="CY23" s="757"/>
      <c r="CZ23" s="757"/>
      <c r="DA23" s="757"/>
      <c r="DB23" s="757"/>
      <c r="DC23" s="757"/>
      <c r="DD23" s="757"/>
      <c r="DE23" s="757"/>
      <c r="DF23" s="757"/>
      <c r="DG23" s="757"/>
      <c r="DH23" s="757"/>
      <c r="DI23" s="757"/>
      <c r="DJ23" s="757"/>
      <c r="DK23" s="757"/>
      <c r="DL23" s="757"/>
      <c r="DM23" s="757"/>
      <c r="DN23" s="757"/>
    </row>
    <row r="24" ht="15.0" customHeight="1">
      <c r="A24" s="53">
        <v>12.0</v>
      </c>
      <c r="B24" s="100" t="s">
        <v>118</v>
      </c>
      <c r="C24" s="100" t="s">
        <v>119</v>
      </c>
      <c r="D24" s="101" t="str">
        <f>MID(B24,17,4)</f>
        <v>DATA</v>
      </c>
      <c r="E24" s="101" t="s">
        <v>120</v>
      </c>
      <c r="F24" s="102">
        <v>1110.0</v>
      </c>
      <c r="G24" s="517" t="s">
        <v>121</v>
      </c>
      <c r="H24" s="517">
        <v>1128.0</v>
      </c>
      <c r="I24" s="68" t="str">
        <f>IFERROR(VLOOKUP(C:C,'R22 RELATÓRIO ACC'!B:F,5,FALSE),"NOT PUBLISHED")</f>
        <v>V25</v>
      </c>
      <c r="J24" s="68" t="str">
        <f>IFERROR(VLOOKUP(C:C,'R22 RELATÓRIO ACC'!B:P,15,FALSE),"NOT PUBLISHED")</f>
        <v>06/05/2026</v>
      </c>
      <c r="K24" s="70" t="str">
        <f>IFERROR(VLOOKUP(B:B,'RELATÓRIO ACC'!B:F,5,FALSE),"NOT PUBLISHED")</f>
        <v>V3</v>
      </c>
      <c r="L24" s="518" t="str">
        <f>IFERROR(VLOOKUP(B:B,'RELATÓRIO ACC'!B:P,15,FALSE),"NOT PUBLISHED")</f>
        <v>07/07/2026</v>
      </c>
      <c r="M24" s="519" t="s">
        <v>404</v>
      </c>
      <c r="N24" s="520">
        <v>46108.0</v>
      </c>
      <c r="O24" s="538" t="s">
        <v>410</v>
      </c>
      <c r="P24" s="587" t="s">
        <v>397</v>
      </c>
      <c r="Q24" s="523" t="s">
        <v>379</v>
      </c>
      <c r="R24" s="558">
        <v>0.0</v>
      </c>
      <c r="S24" s="525" t="s">
        <v>379</v>
      </c>
      <c r="T24" s="523" t="s">
        <v>379</v>
      </c>
      <c r="U24" s="558">
        <v>0.0</v>
      </c>
      <c r="V24" s="523" t="s">
        <v>379</v>
      </c>
      <c r="W24" s="734" t="s">
        <v>379</v>
      </c>
      <c r="X24" s="735">
        <v>0.0</v>
      </c>
      <c r="Y24" s="740" t="s">
        <v>379</v>
      </c>
      <c r="Z24" s="523" t="s">
        <v>381</v>
      </c>
      <c r="AA24" s="550" t="s">
        <v>384</v>
      </c>
      <c r="AB24" s="551">
        <v>0.5</v>
      </c>
      <c r="AC24" s="530" t="s">
        <v>383</v>
      </c>
      <c r="AD24" s="550" t="s">
        <v>384</v>
      </c>
      <c r="AE24" s="530" t="s">
        <v>383</v>
      </c>
      <c r="AF24" s="523" t="s">
        <v>381</v>
      </c>
      <c r="AG24" s="550" t="s">
        <v>385</v>
      </c>
      <c r="AH24" s="529">
        <v>0.88</v>
      </c>
      <c r="AI24" s="523" t="s">
        <v>379</v>
      </c>
      <c r="AJ24" s="550" t="s">
        <v>385</v>
      </c>
      <c r="AK24" s="523" t="s">
        <v>379</v>
      </c>
      <c r="AL24" s="523" t="s">
        <v>383</v>
      </c>
      <c r="AM24" s="550" t="s">
        <v>385</v>
      </c>
      <c r="AN24" s="523" t="s">
        <v>383</v>
      </c>
      <c r="AO24" s="523" t="s">
        <v>398</v>
      </c>
      <c r="AP24" s="550" t="s">
        <v>417</v>
      </c>
      <c r="AQ24" s="523" t="s">
        <v>398</v>
      </c>
      <c r="AR24" s="523" t="s">
        <v>381</v>
      </c>
      <c r="AS24" s="550" t="s">
        <v>418</v>
      </c>
      <c r="AT24" s="529">
        <v>0.88</v>
      </c>
      <c r="AU24" s="523" t="s">
        <v>398</v>
      </c>
      <c r="AV24" s="536" t="s">
        <v>419</v>
      </c>
      <c r="AW24" s="523" t="s">
        <v>398</v>
      </c>
      <c r="AX24" s="523" t="s">
        <v>398</v>
      </c>
      <c r="AY24" s="536" t="s">
        <v>419</v>
      </c>
      <c r="AZ24" s="523" t="s">
        <v>398</v>
      </c>
      <c r="BA24" s="523" t="s">
        <v>398</v>
      </c>
      <c r="BB24" s="536" t="s">
        <v>419</v>
      </c>
      <c r="BC24" s="523" t="s">
        <v>398</v>
      </c>
      <c r="BD24" s="523" t="s">
        <v>379</v>
      </c>
      <c r="BE24" s="536" t="s">
        <v>419</v>
      </c>
      <c r="BF24" s="523" t="s">
        <v>379</v>
      </c>
      <c r="BG24" s="523" t="s">
        <v>379</v>
      </c>
      <c r="BH24" s="536" t="s">
        <v>419</v>
      </c>
      <c r="BI24" s="523" t="s">
        <v>379</v>
      </c>
      <c r="BJ24" s="523" t="s">
        <v>381</v>
      </c>
      <c r="BK24" s="536" t="s">
        <v>401</v>
      </c>
      <c r="BL24" s="565">
        <v>0.88</v>
      </c>
      <c r="BM24" s="523" t="s">
        <v>383</v>
      </c>
      <c r="BN24" s="536" t="s">
        <v>401</v>
      </c>
      <c r="BO24" s="523" t="s">
        <v>383</v>
      </c>
      <c r="BP24" s="523" t="s">
        <v>386</v>
      </c>
      <c r="BQ24" s="536" t="s">
        <v>403</v>
      </c>
      <c r="BR24" s="565">
        <v>1.0</v>
      </c>
      <c r="BS24" s="523" t="s">
        <v>386</v>
      </c>
      <c r="BT24" s="536" t="s">
        <v>403</v>
      </c>
      <c r="BU24" s="565">
        <v>1.0</v>
      </c>
      <c r="BV24" s="523" t="s">
        <v>413</v>
      </c>
      <c r="BW24" s="536" t="s">
        <v>403</v>
      </c>
      <c r="BX24" s="565">
        <v>1.0</v>
      </c>
      <c r="BY24" s="523" t="s">
        <v>413</v>
      </c>
      <c r="BZ24" s="536" t="s">
        <v>403</v>
      </c>
      <c r="CA24" s="565">
        <v>1.0</v>
      </c>
      <c r="CB24" s="523" t="s">
        <v>413</v>
      </c>
      <c r="CC24" s="536" t="s">
        <v>403</v>
      </c>
      <c r="CD24" s="565">
        <v>1.0</v>
      </c>
      <c r="CE24" s="523" t="s">
        <v>413</v>
      </c>
      <c r="CF24" s="536" t="s">
        <v>403</v>
      </c>
      <c r="CG24" s="565">
        <v>1.0</v>
      </c>
      <c r="CH24" s="523" t="s">
        <v>413</v>
      </c>
      <c r="CI24" s="536" t="s">
        <v>403</v>
      </c>
      <c r="CJ24" s="565">
        <v>1.0</v>
      </c>
      <c r="CK24" s="523" t="s">
        <v>413</v>
      </c>
      <c r="CL24" s="536" t="s">
        <v>403</v>
      </c>
      <c r="CM24" s="565">
        <v>1.0</v>
      </c>
      <c r="CN24" s="528" t="s">
        <v>413</v>
      </c>
      <c r="CO24" s="536" t="s">
        <v>403</v>
      </c>
      <c r="CP24" s="568">
        <v>1.0</v>
      </c>
      <c r="CQ24" s="528" t="s">
        <v>413</v>
      </c>
      <c r="CR24" s="536" t="s">
        <v>403</v>
      </c>
      <c r="CS24" s="568">
        <v>1.0</v>
      </c>
      <c r="CT24" s="528" t="s">
        <v>413</v>
      </c>
      <c r="CU24" s="536" t="s">
        <v>403</v>
      </c>
      <c r="CV24" s="568">
        <v>1.0</v>
      </c>
      <c r="CW24" s="528" t="s">
        <v>413</v>
      </c>
      <c r="CX24" s="536" t="s">
        <v>403</v>
      </c>
      <c r="CY24" s="568">
        <v>1.0</v>
      </c>
      <c r="CZ24" s="528" t="s">
        <v>413</v>
      </c>
      <c r="DA24" s="536" t="s">
        <v>403</v>
      </c>
      <c r="DB24" s="568">
        <v>1.0</v>
      </c>
      <c r="DC24" s="528" t="s">
        <v>413</v>
      </c>
      <c r="DD24" s="536" t="s">
        <v>403</v>
      </c>
      <c r="DE24" s="568">
        <v>1.0</v>
      </c>
      <c r="DF24" s="528" t="s">
        <v>413</v>
      </c>
      <c r="DG24" s="536" t="s">
        <v>403</v>
      </c>
      <c r="DH24" s="568">
        <v>1.0</v>
      </c>
      <c r="DI24" s="528" t="s">
        <v>413</v>
      </c>
      <c r="DJ24" s="536" t="s">
        <v>403</v>
      </c>
      <c r="DK24" s="568">
        <v>1.0</v>
      </c>
      <c r="DL24" s="528" t="s">
        <v>413</v>
      </c>
      <c r="DM24" s="536" t="s">
        <v>403</v>
      </c>
      <c r="DN24" s="568">
        <v>1.0</v>
      </c>
    </row>
    <row r="25" ht="13.5" hidden="1" customHeight="1">
      <c r="A25" s="53">
        <v>24.0</v>
      </c>
      <c r="B25" s="146" t="s">
        <v>162</v>
      </c>
      <c r="C25" s="147"/>
      <c r="D25" s="148"/>
      <c r="E25" s="148"/>
      <c r="F25" s="148"/>
      <c r="G25" s="148"/>
      <c r="H25" s="150"/>
      <c r="I25" s="148"/>
      <c r="J25" s="148"/>
      <c r="K25" s="151"/>
      <c r="L25" s="581"/>
      <c r="M25" s="148"/>
      <c r="N25" s="148"/>
      <c r="O25" s="148"/>
      <c r="P25" s="522"/>
      <c r="Q25" s="582"/>
      <c r="R25" s="583"/>
      <c r="S25" s="584"/>
      <c r="T25" s="582"/>
      <c r="U25" s="583"/>
      <c r="V25" s="584"/>
      <c r="W25" s="754"/>
      <c r="X25" s="755"/>
      <c r="Y25" s="756"/>
      <c r="Z25" s="754"/>
      <c r="AA25" s="755"/>
      <c r="AB25" s="756"/>
      <c r="AC25" s="754"/>
      <c r="AD25" s="755"/>
      <c r="AE25" s="756"/>
      <c r="AF25" s="757"/>
      <c r="AG25" s="757"/>
      <c r="AH25" s="757"/>
      <c r="AI25" s="757"/>
      <c r="AJ25" s="757"/>
      <c r="AK25" s="757"/>
      <c r="AL25" s="757"/>
      <c r="AM25" s="757"/>
      <c r="AN25" s="757"/>
      <c r="AO25" s="758"/>
      <c r="AP25" s="757"/>
      <c r="AQ25" s="758"/>
      <c r="AR25" s="758"/>
      <c r="AS25" s="757"/>
      <c r="AT25" s="758"/>
      <c r="AU25" s="758"/>
      <c r="AV25" s="757"/>
      <c r="AW25" s="758"/>
      <c r="AX25" s="758"/>
      <c r="AY25" s="757"/>
      <c r="AZ25" s="758"/>
      <c r="BA25" s="758"/>
      <c r="BB25" s="757"/>
      <c r="BC25" s="758"/>
      <c r="BD25" s="758"/>
      <c r="BE25" s="757"/>
      <c r="BF25" s="758"/>
      <c r="BG25" s="758"/>
      <c r="BH25" s="757"/>
      <c r="BI25" s="758"/>
      <c r="BJ25" s="758"/>
      <c r="BK25" s="757"/>
      <c r="BL25" s="758"/>
      <c r="BM25" s="758"/>
      <c r="BN25" s="757"/>
      <c r="BO25" s="758"/>
      <c r="BP25" s="758"/>
      <c r="BQ25" s="757"/>
      <c r="BR25" s="758"/>
      <c r="BS25" s="758"/>
      <c r="BT25" s="757"/>
      <c r="BU25" s="758"/>
      <c r="BV25" s="758"/>
      <c r="BW25" s="757"/>
      <c r="BX25" s="758"/>
      <c r="BY25" s="758"/>
      <c r="BZ25" s="757"/>
      <c r="CA25" s="758"/>
      <c r="CB25" s="758"/>
      <c r="CC25" s="757"/>
      <c r="CD25" s="758"/>
      <c r="CE25" s="758"/>
      <c r="CF25" s="757"/>
      <c r="CG25" s="758"/>
      <c r="CH25" s="757"/>
      <c r="CI25" s="757"/>
      <c r="CJ25" s="757"/>
      <c r="CK25" s="757"/>
      <c r="CL25" s="757"/>
      <c r="CM25" s="757"/>
      <c r="CN25" s="757"/>
      <c r="CO25" s="757"/>
      <c r="CP25" s="757"/>
      <c r="CQ25" s="757"/>
      <c r="CR25" s="757"/>
      <c r="CS25" s="757"/>
      <c r="CT25" s="757"/>
      <c r="CU25" s="757"/>
      <c r="CV25" s="757"/>
      <c r="CW25" s="757"/>
      <c r="CX25" s="757"/>
      <c r="CY25" s="757"/>
      <c r="CZ25" s="757"/>
      <c r="DA25" s="757"/>
      <c r="DB25" s="757"/>
      <c r="DC25" s="757"/>
      <c r="DD25" s="757"/>
      <c r="DE25" s="757"/>
      <c r="DF25" s="757"/>
      <c r="DG25" s="757"/>
      <c r="DH25" s="757"/>
      <c r="DI25" s="757"/>
      <c r="DJ25" s="757"/>
      <c r="DK25" s="757"/>
      <c r="DL25" s="757"/>
      <c r="DM25" s="757"/>
      <c r="DN25" s="757"/>
    </row>
    <row r="26" ht="15.0" customHeight="1">
      <c r="A26" s="53">
        <v>7.0</v>
      </c>
      <c r="B26" s="100" t="s">
        <v>95</v>
      </c>
      <c r="C26" s="100" t="s">
        <v>96</v>
      </c>
      <c r="D26" s="101" t="str">
        <f>MID(B26,17,4)</f>
        <v>DATA</v>
      </c>
      <c r="E26" s="101" t="s">
        <v>97</v>
      </c>
      <c r="F26" s="102">
        <v>1105.0</v>
      </c>
      <c r="G26" s="534" t="s">
        <v>92</v>
      </c>
      <c r="H26" s="517">
        <v>1105.0</v>
      </c>
      <c r="I26" s="68" t="str">
        <f>IFERROR(VLOOKUP(C:C,'R22 RELATÓRIO ACC'!B:F,5,FALSE),"NOT PUBLISHED")</f>
        <v>V9</v>
      </c>
      <c r="J26" s="68" t="str">
        <f>IFERROR(VLOOKUP(C:C,'R22 RELATÓRIO ACC'!B:P,15,FALSE),"NOT PUBLISHED")</f>
        <v>27/03/2026</v>
      </c>
      <c r="K26" s="70" t="str">
        <f>IFERROR(VLOOKUP(B:B,'RELATÓRIO ACC'!B:F,5,FALSE),"NOT PUBLISHED")</f>
        <v>V2</v>
      </c>
      <c r="L26" s="518" t="str">
        <f>IFERROR(VLOOKUP(B:B,'RELATÓRIO ACC'!B:P,15,FALSE),"NOT PUBLISHED")</f>
        <v>26/06/2026</v>
      </c>
      <c r="M26" s="519" t="s">
        <v>384</v>
      </c>
      <c r="N26" s="520">
        <v>46108.0</v>
      </c>
      <c r="O26" s="538" t="s">
        <v>410</v>
      </c>
      <c r="P26" s="587"/>
      <c r="Q26" s="523" t="s">
        <v>379</v>
      </c>
      <c r="R26" s="558">
        <v>0.0</v>
      </c>
      <c r="S26" s="523" t="s">
        <v>379</v>
      </c>
      <c r="T26" s="523" t="s">
        <v>379</v>
      </c>
      <c r="U26" s="558">
        <v>0.0</v>
      </c>
      <c r="V26" s="525" t="s">
        <v>379</v>
      </c>
      <c r="W26" s="734" t="s">
        <v>379</v>
      </c>
      <c r="X26" s="735">
        <v>0.0</v>
      </c>
      <c r="Y26" s="523" t="s">
        <v>379</v>
      </c>
      <c r="Z26" s="734" t="s">
        <v>379</v>
      </c>
      <c r="AA26" s="690" t="s">
        <v>380</v>
      </c>
      <c r="AB26" s="740" t="s">
        <v>379</v>
      </c>
      <c r="AC26" s="734" t="s">
        <v>379</v>
      </c>
      <c r="AD26" s="735" t="s">
        <v>380</v>
      </c>
      <c r="AE26" s="530" t="s">
        <v>379</v>
      </c>
      <c r="AF26" s="523" t="s">
        <v>381</v>
      </c>
      <c r="AG26" s="550" t="s">
        <v>399</v>
      </c>
      <c r="AH26" s="529">
        <v>0.95</v>
      </c>
      <c r="AI26" s="523" t="s">
        <v>379</v>
      </c>
      <c r="AJ26" s="550" t="s">
        <v>399</v>
      </c>
      <c r="AK26" s="523" t="s">
        <v>379</v>
      </c>
      <c r="AL26" s="523" t="s">
        <v>383</v>
      </c>
      <c r="AM26" s="550" t="s">
        <v>399</v>
      </c>
      <c r="AN26" s="523" t="s">
        <v>383</v>
      </c>
      <c r="AO26" s="523" t="s">
        <v>381</v>
      </c>
      <c r="AP26" s="550" t="s">
        <v>411</v>
      </c>
      <c r="AQ26" s="529">
        <v>0.95</v>
      </c>
      <c r="AR26" s="523" t="s">
        <v>379</v>
      </c>
      <c r="AS26" s="526" t="s">
        <v>411</v>
      </c>
      <c r="AT26" s="523" t="s">
        <v>379</v>
      </c>
      <c r="AU26" s="523" t="s">
        <v>379</v>
      </c>
      <c r="AV26" s="593" t="s">
        <v>412</v>
      </c>
      <c r="AW26" s="523" t="s">
        <v>379</v>
      </c>
      <c r="AX26" s="523" t="s">
        <v>379</v>
      </c>
      <c r="AY26" s="593" t="s">
        <v>412</v>
      </c>
      <c r="AZ26" s="523" t="s">
        <v>379</v>
      </c>
      <c r="BA26" s="523" t="s">
        <v>383</v>
      </c>
      <c r="BB26" s="593" t="s">
        <v>412</v>
      </c>
      <c r="BC26" s="523" t="s">
        <v>383</v>
      </c>
      <c r="BD26" s="523" t="s">
        <v>398</v>
      </c>
      <c r="BE26" s="593" t="s">
        <v>382</v>
      </c>
      <c r="BF26" s="523" t="s">
        <v>398</v>
      </c>
      <c r="BG26" s="523" t="s">
        <v>379</v>
      </c>
      <c r="BH26" s="593" t="s">
        <v>382</v>
      </c>
      <c r="BI26" s="523" t="s">
        <v>379</v>
      </c>
      <c r="BJ26" s="523" t="s">
        <v>379</v>
      </c>
      <c r="BK26" s="593" t="s">
        <v>382</v>
      </c>
      <c r="BL26" s="523" t="s">
        <v>379</v>
      </c>
      <c r="BM26" s="523" t="s">
        <v>379</v>
      </c>
      <c r="BN26" s="593" t="s">
        <v>382</v>
      </c>
      <c r="BO26" s="523" t="s">
        <v>379</v>
      </c>
      <c r="BP26" s="523" t="s">
        <v>379</v>
      </c>
      <c r="BQ26" s="593" t="s">
        <v>382</v>
      </c>
      <c r="BR26" s="523" t="s">
        <v>379</v>
      </c>
      <c r="BS26" s="523" t="s">
        <v>383</v>
      </c>
      <c r="BT26" s="593" t="s">
        <v>382</v>
      </c>
      <c r="BU26" s="523" t="s">
        <v>383</v>
      </c>
      <c r="BV26" s="523" t="s">
        <v>386</v>
      </c>
      <c r="BW26" s="593" t="s">
        <v>384</v>
      </c>
      <c r="BX26" s="565">
        <v>1.0</v>
      </c>
      <c r="BY26" s="523" t="s">
        <v>413</v>
      </c>
      <c r="BZ26" s="593" t="s">
        <v>384</v>
      </c>
      <c r="CA26" s="565">
        <v>1.0</v>
      </c>
      <c r="CB26" s="523" t="s">
        <v>413</v>
      </c>
      <c r="CC26" s="593" t="s">
        <v>384</v>
      </c>
      <c r="CD26" s="565">
        <v>1.0</v>
      </c>
      <c r="CE26" s="523" t="s">
        <v>413</v>
      </c>
      <c r="CF26" s="593" t="s">
        <v>384</v>
      </c>
      <c r="CG26" s="565">
        <v>1.0</v>
      </c>
      <c r="CH26" s="523" t="s">
        <v>413</v>
      </c>
      <c r="CI26" s="593" t="s">
        <v>384</v>
      </c>
      <c r="CJ26" s="565">
        <v>1.0</v>
      </c>
      <c r="CK26" s="523" t="s">
        <v>413</v>
      </c>
      <c r="CL26" s="593" t="s">
        <v>384</v>
      </c>
      <c r="CM26" s="565">
        <v>1.0</v>
      </c>
      <c r="CN26" s="523" t="s">
        <v>413</v>
      </c>
      <c r="CO26" s="593" t="s">
        <v>384</v>
      </c>
      <c r="CP26" s="565">
        <v>1.0</v>
      </c>
      <c r="CQ26" s="528" t="s">
        <v>413</v>
      </c>
      <c r="CR26" s="593" t="s">
        <v>384</v>
      </c>
      <c r="CS26" s="568">
        <v>1.0</v>
      </c>
      <c r="CT26" s="528" t="s">
        <v>413</v>
      </c>
      <c r="CU26" s="593" t="s">
        <v>384</v>
      </c>
      <c r="CV26" s="568">
        <v>1.0</v>
      </c>
      <c r="CW26" s="528" t="s">
        <v>413</v>
      </c>
      <c r="CX26" s="593" t="s">
        <v>384</v>
      </c>
      <c r="CY26" s="568">
        <v>1.0</v>
      </c>
      <c r="CZ26" s="528" t="s">
        <v>413</v>
      </c>
      <c r="DA26" s="593" t="s">
        <v>384</v>
      </c>
      <c r="DB26" s="568">
        <v>1.0</v>
      </c>
      <c r="DC26" s="528" t="s">
        <v>413</v>
      </c>
      <c r="DD26" s="593" t="s">
        <v>384</v>
      </c>
      <c r="DE26" s="568">
        <v>1.0</v>
      </c>
      <c r="DF26" s="528" t="s">
        <v>413</v>
      </c>
      <c r="DG26" s="593" t="s">
        <v>384</v>
      </c>
      <c r="DH26" s="568">
        <v>1.0</v>
      </c>
      <c r="DI26" s="528" t="s">
        <v>413</v>
      </c>
      <c r="DJ26" s="593" t="s">
        <v>384</v>
      </c>
      <c r="DK26" s="568">
        <v>1.0</v>
      </c>
      <c r="DL26" s="528" t="s">
        <v>413</v>
      </c>
      <c r="DM26" s="593" t="s">
        <v>384</v>
      </c>
      <c r="DN26" s="568">
        <v>1.0</v>
      </c>
    </row>
    <row r="27" ht="15.0" hidden="1" customHeight="1">
      <c r="A27" s="53">
        <v>26.0</v>
      </c>
      <c r="B27" s="146" t="s">
        <v>168</v>
      </c>
      <c r="C27" s="147"/>
      <c r="D27" s="148"/>
      <c r="E27" s="148"/>
      <c r="F27" s="148"/>
      <c r="G27" s="148"/>
      <c r="H27" s="150"/>
      <c r="I27" s="148"/>
      <c r="J27" s="148"/>
      <c r="K27" s="151"/>
      <c r="L27" s="580"/>
      <c r="M27" s="148"/>
      <c r="N27" s="148"/>
      <c r="O27" s="148"/>
      <c r="P27" s="522"/>
      <c r="Q27" s="582"/>
      <c r="R27" s="583"/>
      <c r="S27" s="584"/>
      <c r="T27" s="582"/>
      <c r="U27" s="583"/>
      <c r="V27" s="584"/>
      <c r="W27" s="754"/>
      <c r="X27" s="755"/>
      <c r="Y27" s="756"/>
      <c r="Z27" s="754"/>
      <c r="AA27" s="755"/>
      <c r="AB27" s="756"/>
      <c r="AC27" s="754"/>
      <c r="AD27" s="755"/>
      <c r="AE27" s="756"/>
      <c r="AF27" s="757"/>
      <c r="AG27" s="757"/>
      <c r="AH27" s="757"/>
      <c r="AI27" s="757"/>
      <c r="AJ27" s="757"/>
      <c r="AK27" s="757"/>
      <c r="AL27" s="757"/>
      <c r="AM27" s="757"/>
      <c r="AN27" s="757"/>
      <c r="AO27" s="758"/>
      <c r="AP27" s="757"/>
      <c r="AQ27" s="758"/>
      <c r="AR27" s="758"/>
      <c r="AS27" s="757"/>
      <c r="AT27" s="758"/>
      <c r="AU27" s="758"/>
      <c r="AV27" s="757"/>
      <c r="AW27" s="758"/>
      <c r="AX27" s="758"/>
      <c r="AY27" s="757"/>
      <c r="AZ27" s="758"/>
      <c r="BA27" s="758"/>
      <c r="BB27" s="757"/>
      <c r="BC27" s="758"/>
      <c r="BD27" s="758"/>
      <c r="BE27" s="757"/>
      <c r="BF27" s="758"/>
      <c r="BG27" s="758"/>
      <c r="BH27" s="757"/>
      <c r="BI27" s="758"/>
      <c r="BJ27" s="758"/>
      <c r="BK27" s="757"/>
      <c r="BL27" s="758"/>
      <c r="BM27" s="758"/>
      <c r="BN27" s="757"/>
      <c r="BO27" s="758"/>
      <c r="BP27" s="758"/>
      <c r="BQ27" s="757"/>
      <c r="BR27" s="758"/>
      <c r="BS27" s="758"/>
      <c r="BT27" s="757"/>
      <c r="BU27" s="758"/>
      <c r="BV27" s="758"/>
      <c r="BW27" s="757"/>
      <c r="BX27" s="758"/>
      <c r="BY27" s="758"/>
      <c r="BZ27" s="757"/>
      <c r="CA27" s="758"/>
      <c r="CB27" s="758"/>
      <c r="CC27" s="757"/>
      <c r="CD27" s="758"/>
      <c r="CE27" s="758"/>
      <c r="CF27" s="757"/>
      <c r="CG27" s="758"/>
      <c r="CH27" s="757"/>
      <c r="CI27" s="757"/>
      <c r="CJ27" s="757"/>
      <c r="CK27" s="757"/>
      <c r="CL27" s="757"/>
      <c r="CM27" s="757"/>
      <c r="CN27" s="757"/>
      <c r="CO27" s="757"/>
      <c r="CP27" s="757"/>
      <c r="CQ27" s="757"/>
      <c r="CR27" s="757"/>
      <c r="CS27" s="757"/>
      <c r="CT27" s="757"/>
      <c r="CU27" s="757"/>
      <c r="CV27" s="757"/>
      <c r="CW27" s="757"/>
      <c r="CX27" s="757"/>
      <c r="CY27" s="757"/>
      <c r="CZ27" s="757"/>
      <c r="DA27" s="757"/>
      <c r="DB27" s="757"/>
      <c r="DC27" s="757"/>
      <c r="DD27" s="757"/>
      <c r="DE27" s="757"/>
      <c r="DF27" s="757"/>
      <c r="DG27" s="757"/>
      <c r="DH27" s="757"/>
      <c r="DI27" s="757"/>
      <c r="DJ27" s="757"/>
      <c r="DK27" s="757"/>
      <c r="DL27" s="757"/>
      <c r="DM27" s="757"/>
      <c r="DN27" s="757"/>
    </row>
    <row r="28" ht="15.0" customHeight="1">
      <c r="A28" s="53">
        <v>15.0</v>
      </c>
      <c r="B28" s="100" t="s">
        <v>130</v>
      </c>
      <c r="C28" s="100" t="s">
        <v>131</v>
      </c>
      <c r="D28" s="101" t="str">
        <f>MID(B28,17,4)</f>
        <v>C12A</v>
      </c>
      <c r="E28" s="101" t="s">
        <v>126</v>
      </c>
      <c r="F28" s="118">
        <v>1101.0</v>
      </c>
      <c r="G28" s="517" t="s">
        <v>127</v>
      </c>
      <c r="H28" s="517">
        <v>1126.0</v>
      </c>
      <c r="I28" s="68" t="str">
        <f>IFERROR(VLOOKUP(C:C,'R22 RELATÓRIO ACC'!B:F,5,FALSE),"NOT PUBLISHED")</f>
        <v>V24</v>
      </c>
      <c r="J28" s="68" t="str">
        <f>IFERROR(VLOOKUP(C:C,'R22 RELATÓRIO ACC'!B:P,15,FALSE),"NOT PUBLISHED")</f>
        <v>07/04/2026</v>
      </c>
      <c r="K28" s="70" t="str">
        <f>IFERROR(VLOOKUP(B:B,'RELATÓRIO ACC'!B:F,5,FALSE),"NOT PUBLISHED")</f>
        <v>V2</v>
      </c>
      <c r="L28" s="518" t="str">
        <f>IFERROR(VLOOKUP(B:B,'RELATÓRIO ACC'!B:P,15,FALSE),"NOT PUBLISHED")</f>
        <v>27/05/2026</v>
      </c>
      <c r="M28" s="519" t="s">
        <v>405</v>
      </c>
      <c r="N28" s="520">
        <v>46119.0</v>
      </c>
      <c r="O28" s="538" t="s">
        <v>410</v>
      </c>
      <c r="P28" s="587" t="s">
        <v>397</v>
      </c>
      <c r="Q28" s="523" t="s">
        <v>379</v>
      </c>
      <c r="R28" s="558">
        <v>0.0</v>
      </c>
      <c r="S28" s="525" t="s">
        <v>379</v>
      </c>
      <c r="T28" s="523" t="s">
        <v>381</v>
      </c>
      <c r="U28" s="550" t="s">
        <v>421</v>
      </c>
      <c r="V28" s="546">
        <v>0.23</v>
      </c>
      <c r="W28" s="530" t="s">
        <v>379</v>
      </c>
      <c r="X28" s="760">
        <v>0.0</v>
      </c>
      <c r="Y28" s="530" t="s">
        <v>379</v>
      </c>
      <c r="Z28" s="523" t="s">
        <v>398</v>
      </c>
      <c r="AA28" s="550" t="s">
        <v>415</v>
      </c>
      <c r="AB28" s="523" t="s">
        <v>398</v>
      </c>
      <c r="AC28" s="530" t="s">
        <v>383</v>
      </c>
      <c r="AD28" s="550" t="s">
        <v>415</v>
      </c>
      <c r="AE28" s="530" t="s">
        <v>383</v>
      </c>
      <c r="AF28" s="523" t="s">
        <v>398</v>
      </c>
      <c r="AG28" s="550" t="s">
        <v>418</v>
      </c>
      <c r="AH28" s="523" t="s">
        <v>398</v>
      </c>
      <c r="AI28" s="523" t="s">
        <v>381</v>
      </c>
      <c r="AJ28" s="550" t="s">
        <v>425</v>
      </c>
      <c r="AK28" s="529">
        <v>0.73</v>
      </c>
      <c r="AL28" s="523" t="s">
        <v>383</v>
      </c>
      <c r="AM28" s="550" t="s">
        <v>425</v>
      </c>
      <c r="AN28" s="523" t="s">
        <v>383</v>
      </c>
      <c r="AO28" s="523" t="s">
        <v>398</v>
      </c>
      <c r="AP28" s="550" t="s">
        <v>419</v>
      </c>
      <c r="AQ28" s="523" t="s">
        <v>398</v>
      </c>
      <c r="AR28" s="523" t="s">
        <v>398</v>
      </c>
      <c r="AS28" s="550" t="s">
        <v>426</v>
      </c>
      <c r="AT28" s="523" t="s">
        <v>398</v>
      </c>
      <c r="AU28" s="523" t="s">
        <v>398</v>
      </c>
      <c r="AV28" s="550" t="s">
        <v>427</v>
      </c>
      <c r="AW28" s="523" t="s">
        <v>398</v>
      </c>
      <c r="AX28" s="523" t="s">
        <v>398</v>
      </c>
      <c r="AY28" s="550" t="s">
        <v>401</v>
      </c>
      <c r="AZ28" s="523" t="s">
        <v>398</v>
      </c>
      <c r="BA28" s="523" t="s">
        <v>398</v>
      </c>
      <c r="BB28" s="550" t="s">
        <v>402</v>
      </c>
      <c r="BC28" s="523" t="s">
        <v>398</v>
      </c>
      <c r="BD28" s="523" t="s">
        <v>398</v>
      </c>
      <c r="BE28" s="550" t="s">
        <v>422</v>
      </c>
      <c r="BF28" s="523" t="s">
        <v>398</v>
      </c>
      <c r="BG28" s="523" t="s">
        <v>381</v>
      </c>
      <c r="BH28" s="550" t="s">
        <v>403</v>
      </c>
      <c r="BI28" s="565">
        <v>0.99</v>
      </c>
      <c r="BJ28" s="523" t="s">
        <v>381</v>
      </c>
      <c r="BK28" s="550" t="s">
        <v>404</v>
      </c>
      <c r="BL28" s="565">
        <v>0.95</v>
      </c>
      <c r="BM28" s="523" t="s">
        <v>379</v>
      </c>
      <c r="BN28" s="550" t="s">
        <v>404</v>
      </c>
      <c r="BO28" s="523" t="s">
        <v>379</v>
      </c>
      <c r="BP28" s="523" t="s">
        <v>379</v>
      </c>
      <c r="BQ28" s="550" t="s">
        <v>404</v>
      </c>
      <c r="BR28" s="523" t="s">
        <v>379</v>
      </c>
      <c r="BS28" s="523" t="s">
        <v>379</v>
      </c>
      <c r="BT28" s="550" t="s">
        <v>404</v>
      </c>
      <c r="BU28" s="523" t="s">
        <v>379</v>
      </c>
      <c r="BV28" s="523" t="s">
        <v>383</v>
      </c>
      <c r="BW28" s="550" t="s">
        <v>404</v>
      </c>
      <c r="BX28" s="523" t="s">
        <v>383</v>
      </c>
      <c r="BY28" s="523" t="s">
        <v>386</v>
      </c>
      <c r="BZ28" s="550" t="s">
        <v>405</v>
      </c>
      <c r="CA28" s="565">
        <v>1.0</v>
      </c>
      <c r="CB28" s="523" t="s">
        <v>413</v>
      </c>
      <c r="CC28" s="550" t="s">
        <v>405</v>
      </c>
      <c r="CD28" s="565">
        <v>1.0</v>
      </c>
      <c r="CE28" s="523" t="s">
        <v>413</v>
      </c>
      <c r="CF28" s="550" t="s">
        <v>405</v>
      </c>
      <c r="CG28" s="565">
        <v>1.0</v>
      </c>
      <c r="CH28" s="523" t="s">
        <v>413</v>
      </c>
      <c r="CI28" s="550" t="s">
        <v>405</v>
      </c>
      <c r="CJ28" s="565">
        <v>1.0</v>
      </c>
      <c r="CK28" s="523" t="s">
        <v>413</v>
      </c>
      <c r="CL28" s="550" t="s">
        <v>405</v>
      </c>
      <c r="CM28" s="565">
        <v>1.0</v>
      </c>
      <c r="CN28" s="523" t="s">
        <v>413</v>
      </c>
      <c r="CO28" s="550" t="s">
        <v>405</v>
      </c>
      <c r="CP28" s="565">
        <v>1.0</v>
      </c>
      <c r="CQ28" s="523" t="s">
        <v>413</v>
      </c>
      <c r="CR28" s="550" t="s">
        <v>405</v>
      </c>
      <c r="CS28" s="565">
        <v>1.0</v>
      </c>
      <c r="CT28" s="523" t="s">
        <v>413</v>
      </c>
      <c r="CU28" s="550" t="s">
        <v>405</v>
      </c>
      <c r="CV28" s="565">
        <v>1.0</v>
      </c>
      <c r="CW28" s="523" t="s">
        <v>413</v>
      </c>
      <c r="CX28" s="550" t="s">
        <v>405</v>
      </c>
      <c r="CY28" s="565">
        <v>1.0</v>
      </c>
      <c r="CZ28" s="523" t="s">
        <v>413</v>
      </c>
      <c r="DA28" s="550" t="s">
        <v>405</v>
      </c>
      <c r="DB28" s="565">
        <v>1.0</v>
      </c>
      <c r="DC28" s="523" t="s">
        <v>413</v>
      </c>
      <c r="DD28" s="550" t="s">
        <v>405</v>
      </c>
      <c r="DE28" s="565">
        <v>1.0</v>
      </c>
      <c r="DF28" s="523" t="s">
        <v>413</v>
      </c>
      <c r="DG28" s="550" t="s">
        <v>405</v>
      </c>
      <c r="DH28" s="565">
        <v>1.0</v>
      </c>
      <c r="DI28" s="523" t="s">
        <v>413</v>
      </c>
      <c r="DJ28" s="550" t="s">
        <v>405</v>
      </c>
      <c r="DK28" s="565">
        <v>1.0</v>
      </c>
      <c r="DL28" s="523" t="s">
        <v>413</v>
      </c>
      <c r="DM28" s="550" t="s">
        <v>405</v>
      </c>
      <c r="DN28" s="565">
        <v>1.0</v>
      </c>
    </row>
    <row r="29" ht="15.0" hidden="1" customHeight="1">
      <c r="A29" s="53">
        <v>28.0</v>
      </c>
      <c r="B29" s="146" t="s">
        <v>173</v>
      </c>
      <c r="C29" s="147"/>
      <c r="D29" s="148"/>
      <c r="E29" s="148"/>
      <c r="F29" s="148"/>
      <c r="G29" s="148"/>
      <c r="H29" s="150"/>
      <c r="I29" s="148"/>
      <c r="J29" s="148"/>
      <c r="K29" s="151"/>
      <c r="L29" s="580"/>
      <c r="M29" s="148"/>
      <c r="N29" s="148"/>
      <c r="O29" s="148"/>
      <c r="P29" s="522"/>
      <c r="Q29" s="582"/>
      <c r="R29" s="583"/>
      <c r="S29" s="584"/>
      <c r="T29" s="582"/>
      <c r="U29" s="583"/>
      <c r="V29" s="584"/>
      <c r="W29" s="754"/>
      <c r="X29" s="755"/>
      <c r="Y29" s="756"/>
      <c r="Z29" s="754"/>
      <c r="AA29" s="755"/>
      <c r="AB29" s="756"/>
      <c r="AC29" s="754"/>
      <c r="AD29" s="755"/>
      <c r="AE29" s="756"/>
      <c r="AF29" s="757"/>
      <c r="AG29" s="757"/>
      <c r="AH29" s="757"/>
      <c r="AI29" s="758"/>
      <c r="AJ29" s="761"/>
      <c r="AK29" s="757"/>
      <c r="AL29" s="758"/>
      <c r="AM29" s="761"/>
      <c r="AN29" s="757"/>
      <c r="AO29" s="758"/>
      <c r="AP29" s="761"/>
      <c r="AQ29" s="757"/>
      <c r="AR29" s="758"/>
      <c r="AS29" s="761"/>
      <c r="AT29" s="757"/>
      <c r="AU29" s="758"/>
      <c r="AV29" s="761"/>
      <c r="AW29" s="757"/>
      <c r="AX29" s="758"/>
      <c r="AY29" s="761"/>
      <c r="AZ29" s="757"/>
      <c r="BA29" s="758"/>
      <c r="BB29" s="761"/>
      <c r="BC29" s="757"/>
      <c r="BD29" s="758"/>
      <c r="BE29" s="761"/>
      <c r="BF29" s="757"/>
      <c r="BG29" s="758"/>
      <c r="BH29" s="761"/>
      <c r="BI29" s="757"/>
      <c r="BJ29" s="758"/>
      <c r="BK29" s="761"/>
      <c r="BL29" s="757"/>
      <c r="BM29" s="758"/>
      <c r="BN29" s="761"/>
      <c r="BO29" s="757"/>
      <c r="BP29" s="758"/>
      <c r="BQ29" s="761"/>
      <c r="BR29" s="757"/>
      <c r="BS29" s="758"/>
      <c r="BT29" s="761"/>
      <c r="BU29" s="757"/>
      <c r="BV29" s="758"/>
      <c r="BW29" s="761"/>
      <c r="BX29" s="757"/>
      <c r="BY29" s="758"/>
      <c r="BZ29" s="761"/>
      <c r="CA29" s="757"/>
      <c r="CB29" s="758"/>
      <c r="CC29" s="761"/>
      <c r="CD29" s="757"/>
      <c r="CE29" s="758"/>
      <c r="CF29" s="761"/>
      <c r="CG29" s="757"/>
      <c r="CH29" s="757"/>
      <c r="CI29" s="757"/>
      <c r="CJ29" s="757"/>
      <c r="CK29" s="757"/>
      <c r="CL29" s="757"/>
      <c r="CM29" s="757"/>
      <c r="CN29" s="757"/>
      <c r="CO29" s="757"/>
      <c r="CP29" s="757"/>
      <c r="CQ29" s="757"/>
      <c r="CR29" s="757"/>
      <c r="CS29" s="757"/>
      <c r="CT29" s="757"/>
      <c r="CU29" s="757"/>
      <c r="CV29" s="757"/>
      <c r="CW29" s="757"/>
      <c r="CX29" s="757"/>
      <c r="CY29" s="757"/>
      <c r="CZ29" s="757"/>
      <c r="DA29" s="757"/>
      <c r="DB29" s="757"/>
      <c r="DC29" s="757"/>
      <c r="DD29" s="757"/>
      <c r="DE29" s="757"/>
      <c r="DF29" s="757"/>
      <c r="DG29" s="757"/>
      <c r="DH29" s="757"/>
      <c r="DI29" s="757"/>
      <c r="DJ29" s="757"/>
      <c r="DK29" s="757"/>
      <c r="DL29" s="757"/>
      <c r="DM29" s="757"/>
      <c r="DN29" s="757"/>
    </row>
    <row r="30" ht="15.0" customHeight="1">
      <c r="A30" s="53">
        <v>2.0</v>
      </c>
      <c r="B30" s="100" t="s">
        <v>122</v>
      </c>
      <c r="C30" s="100" t="s">
        <v>123</v>
      </c>
      <c r="D30" s="101" t="str">
        <f>MID(B30,17,4)</f>
        <v>DATA</v>
      </c>
      <c r="E30" s="101" t="s">
        <v>120</v>
      </c>
      <c r="F30" s="102">
        <v>1110.0</v>
      </c>
      <c r="G30" s="517" t="s">
        <v>121</v>
      </c>
      <c r="H30" s="517">
        <v>1128.0</v>
      </c>
      <c r="I30" s="68" t="str">
        <f>IFERROR(VLOOKUP(C:C,'R22 RELATÓRIO ACC'!B:F,5,FALSE),"NOT PUBLISHED")</f>
        <v>V30</v>
      </c>
      <c r="J30" s="68" t="str">
        <f>IFERROR(VLOOKUP(C:C,'R22 RELATÓRIO ACC'!B:P,15,FALSE),"NOT PUBLISHED")</f>
        <v>26/03/2026</v>
      </c>
      <c r="K30" s="70" t="str">
        <f>IFERROR(VLOOKUP(B:B,'RELATÓRIO ACC'!B:F,5,FALSE),"NOT PUBLISHED")</f>
        <v>V2</v>
      </c>
      <c r="L30" s="518" t="str">
        <f>IFERROR(VLOOKUP(B:B,'RELATÓRIO ACC'!B:P,15,FALSE),"NOT PUBLISHED")</f>
        <v>20/05/2026</v>
      </c>
      <c r="M30" s="519" t="s">
        <v>436</v>
      </c>
      <c r="N30" s="567">
        <v>46107.0</v>
      </c>
      <c r="O30" s="538" t="s">
        <v>410</v>
      </c>
      <c r="P30" s="587"/>
      <c r="Q30" s="523" t="s">
        <v>379</v>
      </c>
      <c r="R30" s="558">
        <v>0.0</v>
      </c>
      <c r="S30" s="523" t="s">
        <v>379</v>
      </c>
      <c r="T30" s="523" t="s">
        <v>381</v>
      </c>
      <c r="U30" s="550" t="s">
        <v>421</v>
      </c>
      <c r="V30" s="546">
        <v>0.02</v>
      </c>
      <c r="W30" s="530" t="s">
        <v>379</v>
      </c>
      <c r="X30" s="760">
        <v>0.0</v>
      </c>
      <c r="Y30" s="690" t="s">
        <v>379</v>
      </c>
      <c r="Z30" s="523" t="s">
        <v>398</v>
      </c>
      <c r="AA30" s="550" t="s">
        <v>402</v>
      </c>
      <c r="AB30" s="525" t="s">
        <v>398</v>
      </c>
      <c r="AC30" s="530" t="s">
        <v>398</v>
      </c>
      <c r="AD30" s="550" t="s">
        <v>422</v>
      </c>
      <c r="AE30" s="530" t="s">
        <v>398</v>
      </c>
      <c r="AF30" s="523" t="s">
        <v>381</v>
      </c>
      <c r="AG30" s="550" t="s">
        <v>403</v>
      </c>
      <c r="AH30" s="529">
        <v>0.91</v>
      </c>
      <c r="AI30" s="523" t="s">
        <v>379</v>
      </c>
      <c r="AJ30" s="526" t="s">
        <v>403</v>
      </c>
      <c r="AK30" s="523" t="s">
        <v>379</v>
      </c>
      <c r="AL30" s="523" t="s">
        <v>383</v>
      </c>
      <c r="AM30" s="526" t="s">
        <v>403</v>
      </c>
      <c r="AN30" s="523" t="s">
        <v>383</v>
      </c>
      <c r="AO30" s="523" t="s">
        <v>398</v>
      </c>
      <c r="AP30" s="526" t="s">
        <v>404</v>
      </c>
      <c r="AQ30" s="523" t="s">
        <v>398</v>
      </c>
      <c r="AR30" s="523" t="s">
        <v>381</v>
      </c>
      <c r="AS30" s="526" t="s">
        <v>423</v>
      </c>
      <c r="AT30" s="529">
        <v>0.91</v>
      </c>
      <c r="AU30" s="523" t="s">
        <v>398</v>
      </c>
      <c r="AV30" s="526" t="s">
        <v>406</v>
      </c>
      <c r="AW30" s="523" t="s">
        <v>398</v>
      </c>
      <c r="AX30" s="523" t="s">
        <v>398</v>
      </c>
      <c r="AY30" s="526" t="s">
        <v>407</v>
      </c>
      <c r="AZ30" s="523" t="s">
        <v>398</v>
      </c>
      <c r="BA30" s="523" t="s">
        <v>379</v>
      </c>
      <c r="BB30" s="526" t="s">
        <v>407</v>
      </c>
      <c r="BC30" s="523" t="s">
        <v>379</v>
      </c>
      <c r="BD30" s="523" t="s">
        <v>379</v>
      </c>
      <c r="BE30" s="526" t="s">
        <v>407</v>
      </c>
      <c r="BF30" s="523" t="s">
        <v>379</v>
      </c>
      <c r="BG30" s="523" t="s">
        <v>379</v>
      </c>
      <c r="BH30" s="526" t="s">
        <v>407</v>
      </c>
      <c r="BI30" s="523" t="s">
        <v>379</v>
      </c>
      <c r="BJ30" s="523" t="s">
        <v>383</v>
      </c>
      <c r="BK30" s="526" t="s">
        <v>420</v>
      </c>
      <c r="BL30" s="523" t="s">
        <v>383</v>
      </c>
      <c r="BM30" s="523" t="s">
        <v>383</v>
      </c>
      <c r="BN30" s="526" t="s">
        <v>420</v>
      </c>
      <c r="BO30" s="523" t="s">
        <v>383</v>
      </c>
      <c r="BP30" s="523" t="s">
        <v>386</v>
      </c>
      <c r="BQ30" s="526" t="s">
        <v>436</v>
      </c>
      <c r="BR30" s="565">
        <v>1.0</v>
      </c>
      <c r="BS30" s="523" t="s">
        <v>413</v>
      </c>
      <c r="BT30" s="526" t="s">
        <v>436</v>
      </c>
      <c r="BU30" s="565">
        <v>1.0</v>
      </c>
      <c r="BV30" s="523" t="s">
        <v>413</v>
      </c>
      <c r="BW30" s="526" t="s">
        <v>436</v>
      </c>
      <c r="BX30" s="565">
        <v>1.0</v>
      </c>
      <c r="BY30" s="523" t="s">
        <v>413</v>
      </c>
      <c r="BZ30" s="526" t="s">
        <v>436</v>
      </c>
      <c r="CA30" s="565">
        <v>1.0</v>
      </c>
      <c r="CB30" s="523" t="s">
        <v>413</v>
      </c>
      <c r="CC30" s="526" t="s">
        <v>436</v>
      </c>
      <c r="CD30" s="565">
        <v>1.0</v>
      </c>
      <c r="CE30" s="523" t="s">
        <v>413</v>
      </c>
      <c r="CF30" s="526" t="s">
        <v>436</v>
      </c>
      <c r="CG30" s="565">
        <v>1.0</v>
      </c>
      <c r="CH30" s="523" t="s">
        <v>413</v>
      </c>
      <c r="CI30" s="526" t="s">
        <v>436</v>
      </c>
      <c r="CJ30" s="565">
        <v>1.0</v>
      </c>
      <c r="CK30" s="523" t="s">
        <v>413</v>
      </c>
      <c r="CL30" s="526" t="s">
        <v>436</v>
      </c>
      <c r="CM30" s="565">
        <v>1.0</v>
      </c>
      <c r="CN30" s="523" t="s">
        <v>413</v>
      </c>
      <c r="CO30" s="526" t="s">
        <v>436</v>
      </c>
      <c r="CP30" s="565">
        <v>1.0</v>
      </c>
      <c r="CQ30" s="523" t="s">
        <v>413</v>
      </c>
      <c r="CR30" s="526" t="s">
        <v>436</v>
      </c>
      <c r="CS30" s="565">
        <v>1.0</v>
      </c>
      <c r="CT30" s="523" t="s">
        <v>413</v>
      </c>
      <c r="CU30" s="526" t="s">
        <v>436</v>
      </c>
      <c r="CV30" s="565">
        <v>1.0</v>
      </c>
      <c r="CW30" s="523" t="s">
        <v>413</v>
      </c>
      <c r="CX30" s="526" t="s">
        <v>436</v>
      </c>
      <c r="CY30" s="565">
        <v>1.0</v>
      </c>
      <c r="CZ30" s="523" t="s">
        <v>413</v>
      </c>
      <c r="DA30" s="526" t="s">
        <v>436</v>
      </c>
      <c r="DB30" s="565">
        <v>1.0</v>
      </c>
      <c r="DC30" s="523" t="s">
        <v>413</v>
      </c>
      <c r="DD30" s="526" t="s">
        <v>436</v>
      </c>
      <c r="DE30" s="565">
        <v>1.0</v>
      </c>
      <c r="DF30" s="523" t="s">
        <v>413</v>
      </c>
      <c r="DG30" s="526" t="s">
        <v>436</v>
      </c>
      <c r="DH30" s="565">
        <v>1.0</v>
      </c>
      <c r="DI30" s="523" t="s">
        <v>413</v>
      </c>
      <c r="DJ30" s="526" t="s">
        <v>436</v>
      </c>
      <c r="DK30" s="565">
        <v>1.0</v>
      </c>
      <c r="DL30" s="523" t="s">
        <v>413</v>
      </c>
      <c r="DM30" s="526" t="s">
        <v>436</v>
      </c>
      <c r="DN30" s="565">
        <v>1.0</v>
      </c>
    </row>
    <row r="31" ht="15.0" hidden="1" customHeight="1">
      <c r="A31" s="53">
        <v>30.0</v>
      </c>
      <c r="B31" s="124" t="s">
        <v>178</v>
      </c>
      <c r="C31" s="125"/>
      <c r="D31" s="167"/>
      <c r="E31" s="167"/>
      <c r="F31" s="167"/>
      <c r="G31" s="167"/>
      <c r="H31" s="169"/>
      <c r="I31" s="167"/>
      <c r="J31" s="167"/>
      <c r="K31" s="170"/>
      <c r="L31" s="591"/>
      <c r="M31" s="167"/>
      <c r="N31" s="167"/>
      <c r="O31" s="167"/>
      <c r="P31" s="522"/>
      <c r="Q31" s="575"/>
      <c r="R31" s="576"/>
      <c r="S31" s="577"/>
      <c r="T31" s="575"/>
      <c r="U31" s="576"/>
      <c r="V31" s="577"/>
      <c r="W31" s="747"/>
      <c r="X31" s="748"/>
      <c r="Y31" s="749"/>
      <c r="Z31" s="747"/>
      <c r="AA31" s="748"/>
      <c r="AB31" s="749"/>
      <c r="AC31" s="747"/>
      <c r="AD31" s="748"/>
      <c r="AE31" s="749"/>
      <c r="AF31" s="750"/>
      <c r="AG31" s="750"/>
      <c r="AH31" s="750"/>
      <c r="AI31" s="750"/>
      <c r="AJ31" s="750"/>
      <c r="AK31" s="750"/>
      <c r="AL31" s="750"/>
      <c r="AM31" s="750"/>
      <c r="AN31" s="750"/>
      <c r="AO31" s="751"/>
      <c r="AP31" s="750"/>
      <c r="AQ31" s="751"/>
      <c r="AR31" s="751"/>
      <c r="AS31" s="750"/>
      <c r="AT31" s="751"/>
      <c r="AU31" s="751"/>
      <c r="AV31" s="750"/>
      <c r="AW31" s="751"/>
      <c r="AX31" s="751"/>
      <c r="AY31" s="750"/>
      <c r="AZ31" s="751"/>
      <c r="BA31" s="751"/>
      <c r="BB31" s="750"/>
      <c r="BC31" s="751"/>
      <c r="BD31" s="751"/>
      <c r="BE31" s="750"/>
      <c r="BF31" s="751"/>
      <c r="BG31" s="751"/>
      <c r="BH31" s="750"/>
      <c r="BI31" s="751"/>
      <c r="BJ31" s="751"/>
      <c r="BK31" s="750"/>
      <c r="BL31" s="751"/>
      <c r="BM31" s="751"/>
      <c r="BN31" s="750"/>
      <c r="BO31" s="751"/>
      <c r="BP31" s="751"/>
      <c r="BQ31" s="750"/>
      <c r="BR31" s="751"/>
      <c r="BS31" s="751"/>
      <c r="BT31" s="750"/>
      <c r="BU31" s="751"/>
      <c r="BV31" s="751"/>
      <c r="BW31" s="750"/>
      <c r="BX31" s="751"/>
      <c r="BY31" s="751"/>
      <c r="BZ31" s="750"/>
      <c r="CA31" s="751"/>
      <c r="CB31" s="751"/>
      <c r="CC31" s="750"/>
      <c r="CD31" s="751"/>
      <c r="CE31" s="751"/>
      <c r="CF31" s="750"/>
      <c r="CG31" s="751"/>
      <c r="CH31" s="750"/>
      <c r="CI31" s="750"/>
      <c r="CJ31" s="750"/>
      <c r="CK31" s="750"/>
      <c r="CL31" s="750"/>
      <c r="CM31" s="750"/>
      <c r="CN31" s="750"/>
      <c r="CO31" s="750"/>
      <c r="CP31" s="750"/>
      <c r="CQ31" s="750"/>
      <c r="CR31" s="750"/>
      <c r="CS31" s="750"/>
      <c r="CT31" s="750"/>
      <c r="CU31" s="750"/>
      <c r="CV31" s="750"/>
      <c r="CW31" s="750"/>
      <c r="CX31" s="750"/>
      <c r="CY31" s="750"/>
      <c r="CZ31" s="750"/>
      <c r="DA31" s="750"/>
      <c r="DB31" s="750"/>
      <c r="DC31" s="750"/>
      <c r="DD31" s="750"/>
      <c r="DE31" s="750"/>
      <c r="DF31" s="750"/>
      <c r="DG31" s="750"/>
      <c r="DH31" s="750"/>
      <c r="DI31" s="750"/>
      <c r="DJ31" s="750"/>
      <c r="DK31" s="750"/>
      <c r="DL31" s="750"/>
      <c r="DM31" s="750"/>
      <c r="DN31" s="750"/>
    </row>
    <row r="32" ht="15.0" customHeight="1">
      <c r="A32" s="53">
        <v>8.0</v>
      </c>
      <c r="B32" s="100" t="s">
        <v>98</v>
      </c>
      <c r="C32" s="100" t="s">
        <v>99</v>
      </c>
      <c r="D32" s="101" t="str">
        <f>MID(B32,17,4)</f>
        <v>DATA</v>
      </c>
      <c r="E32" s="111" t="s">
        <v>91</v>
      </c>
      <c r="F32" s="102">
        <v>1104.0</v>
      </c>
      <c r="G32" s="517" t="s">
        <v>92</v>
      </c>
      <c r="H32" s="517">
        <v>1127.0</v>
      </c>
      <c r="I32" s="68" t="str">
        <f>IFERROR(VLOOKUP(C:C,'R22 RELATÓRIO ACC'!B:F,5,FALSE),"NOT PUBLISHED")</f>
        <v>V13</v>
      </c>
      <c r="J32" s="68" t="str">
        <f>IFERROR(VLOOKUP(C:C,'R22 RELATÓRIO ACC'!B:P,15,FALSE),"NOT PUBLISHED")</f>
        <v>02/03/2026</v>
      </c>
      <c r="K32" s="70" t="str">
        <f>IFERROR(VLOOKUP(B:B,'RELATÓRIO ACC'!B:F,5,FALSE),"NOT PUBLISHED")</f>
        <v>V3</v>
      </c>
      <c r="L32" s="518" t="str">
        <f>IFERROR(VLOOKUP(B:B,'RELATÓRIO ACC'!B:P,15,FALSE),"NOT PUBLISHED")</f>
        <v>24/06/2026</v>
      </c>
      <c r="M32" s="519" t="s">
        <v>387</v>
      </c>
      <c r="N32" s="520">
        <v>46171.0</v>
      </c>
      <c r="O32" s="538" t="s">
        <v>378</v>
      </c>
      <c r="P32" s="587"/>
      <c r="Q32" s="523" t="s">
        <v>379</v>
      </c>
      <c r="R32" s="558">
        <v>0.0</v>
      </c>
      <c r="S32" s="523" t="s">
        <v>379</v>
      </c>
      <c r="T32" s="523" t="s">
        <v>379</v>
      </c>
      <c r="U32" s="558">
        <v>0.0</v>
      </c>
      <c r="V32" s="523" t="s">
        <v>379</v>
      </c>
      <c r="W32" s="734" t="s">
        <v>379</v>
      </c>
      <c r="X32" s="735">
        <v>0.0</v>
      </c>
      <c r="Y32" s="523" t="s">
        <v>379</v>
      </c>
      <c r="Z32" s="734" t="s">
        <v>379</v>
      </c>
      <c r="AA32" s="690" t="s">
        <v>380</v>
      </c>
      <c r="AB32" s="530" t="s">
        <v>379</v>
      </c>
      <c r="AC32" s="734" t="s">
        <v>379</v>
      </c>
      <c r="AD32" s="735" t="s">
        <v>380</v>
      </c>
      <c r="AE32" s="743" t="s">
        <v>379</v>
      </c>
      <c r="AF32" s="523" t="s">
        <v>381</v>
      </c>
      <c r="AG32" s="550" t="s">
        <v>385</v>
      </c>
      <c r="AH32" s="571">
        <v>0.52</v>
      </c>
      <c r="AI32" s="523" t="s">
        <v>379</v>
      </c>
      <c r="AJ32" s="550" t="s">
        <v>385</v>
      </c>
      <c r="AK32" s="570" t="s">
        <v>379</v>
      </c>
      <c r="AL32" s="523" t="s">
        <v>383</v>
      </c>
      <c r="AM32" s="550" t="s">
        <v>385</v>
      </c>
      <c r="AN32" s="570" t="s">
        <v>383</v>
      </c>
      <c r="AO32" s="523" t="s">
        <v>381</v>
      </c>
      <c r="AP32" s="550" t="s">
        <v>414</v>
      </c>
      <c r="AQ32" s="571">
        <v>0.86</v>
      </c>
      <c r="AR32" s="523" t="s">
        <v>379</v>
      </c>
      <c r="AS32" s="550" t="s">
        <v>414</v>
      </c>
      <c r="AT32" s="570" t="s">
        <v>379</v>
      </c>
      <c r="AU32" s="523" t="s">
        <v>379</v>
      </c>
      <c r="AV32" s="550" t="s">
        <v>414</v>
      </c>
      <c r="AW32" s="570" t="s">
        <v>379</v>
      </c>
      <c r="AX32" s="523" t="s">
        <v>379</v>
      </c>
      <c r="AY32" s="550" t="s">
        <v>415</v>
      </c>
      <c r="AZ32" s="570" t="s">
        <v>379</v>
      </c>
      <c r="BA32" s="523" t="s">
        <v>379</v>
      </c>
      <c r="BB32" s="550" t="s">
        <v>415</v>
      </c>
      <c r="BC32" s="570" t="s">
        <v>379</v>
      </c>
      <c r="BD32" s="523" t="s">
        <v>379</v>
      </c>
      <c r="BE32" s="550" t="s">
        <v>415</v>
      </c>
      <c r="BF32" s="570" t="s">
        <v>379</v>
      </c>
      <c r="BG32" s="523" t="s">
        <v>379</v>
      </c>
      <c r="BH32" s="550" t="s">
        <v>415</v>
      </c>
      <c r="BI32" s="570" t="s">
        <v>379</v>
      </c>
      <c r="BJ32" s="523" t="s">
        <v>379</v>
      </c>
      <c r="BK32" s="550" t="s">
        <v>415</v>
      </c>
      <c r="BL32" s="570" t="s">
        <v>379</v>
      </c>
      <c r="BM32" s="523" t="s">
        <v>379</v>
      </c>
      <c r="BN32" s="550" t="s">
        <v>415</v>
      </c>
      <c r="BO32" s="570" t="s">
        <v>379</v>
      </c>
      <c r="BP32" s="523" t="s">
        <v>379</v>
      </c>
      <c r="BQ32" s="550" t="s">
        <v>415</v>
      </c>
      <c r="BR32" s="570" t="s">
        <v>379</v>
      </c>
      <c r="BS32" s="523" t="s">
        <v>379</v>
      </c>
      <c r="BT32" s="550" t="s">
        <v>415</v>
      </c>
      <c r="BU32" s="570" t="s">
        <v>379</v>
      </c>
      <c r="BV32" s="523" t="s">
        <v>379</v>
      </c>
      <c r="BW32" s="550" t="s">
        <v>415</v>
      </c>
      <c r="BX32" s="570" t="s">
        <v>379</v>
      </c>
      <c r="BY32" s="523" t="s">
        <v>381</v>
      </c>
      <c r="BZ32" s="550" t="s">
        <v>415</v>
      </c>
      <c r="CA32" s="571">
        <v>0.89</v>
      </c>
      <c r="CB32" s="523" t="s">
        <v>379</v>
      </c>
      <c r="CC32" s="550" t="s">
        <v>415</v>
      </c>
      <c r="CD32" s="570" t="s">
        <v>379</v>
      </c>
      <c r="CE32" s="523" t="s">
        <v>379</v>
      </c>
      <c r="CF32" s="550" t="s">
        <v>415</v>
      </c>
      <c r="CG32" s="570" t="s">
        <v>379</v>
      </c>
      <c r="CH32" s="523" t="s">
        <v>379</v>
      </c>
      <c r="CI32" s="550" t="s">
        <v>415</v>
      </c>
      <c r="CJ32" s="570" t="s">
        <v>379</v>
      </c>
      <c r="CK32" s="523" t="s">
        <v>379</v>
      </c>
      <c r="CL32" s="550" t="s">
        <v>415</v>
      </c>
      <c r="CM32" s="570" t="s">
        <v>379</v>
      </c>
      <c r="CN32" s="523" t="s">
        <v>383</v>
      </c>
      <c r="CO32" s="550" t="s">
        <v>415</v>
      </c>
      <c r="CP32" s="570" t="s">
        <v>383</v>
      </c>
      <c r="CQ32" s="523" t="s">
        <v>386</v>
      </c>
      <c r="CR32" s="550" t="s">
        <v>415</v>
      </c>
      <c r="CS32" s="571">
        <v>1.0</v>
      </c>
      <c r="CT32" s="523" t="s">
        <v>413</v>
      </c>
      <c r="CU32" s="550" t="s">
        <v>415</v>
      </c>
      <c r="CV32" s="571">
        <v>1.0</v>
      </c>
      <c r="CW32" s="523" t="s">
        <v>413</v>
      </c>
      <c r="CX32" s="550" t="s">
        <v>415</v>
      </c>
      <c r="CY32" s="571">
        <v>1.0</v>
      </c>
      <c r="CZ32" s="523" t="s">
        <v>413</v>
      </c>
      <c r="DA32" s="550" t="s">
        <v>415</v>
      </c>
      <c r="DB32" s="571">
        <v>1.0</v>
      </c>
      <c r="DC32" s="523" t="s">
        <v>413</v>
      </c>
      <c r="DD32" s="550" t="s">
        <v>415</v>
      </c>
      <c r="DE32" s="571">
        <v>1.0</v>
      </c>
      <c r="DF32" s="523" t="s">
        <v>413</v>
      </c>
      <c r="DG32" s="550" t="s">
        <v>415</v>
      </c>
      <c r="DH32" s="571">
        <v>1.0</v>
      </c>
      <c r="DI32" s="523" t="s">
        <v>413</v>
      </c>
      <c r="DJ32" s="550" t="s">
        <v>415</v>
      </c>
      <c r="DK32" s="571">
        <v>1.0</v>
      </c>
      <c r="DL32" s="523" t="s">
        <v>413</v>
      </c>
      <c r="DM32" s="550" t="s">
        <v>415</v>
      </c>
      <c r="DN32" s="571">
        <v>1.0</v>
      </c>
    </row>
    <row r="33" ht="15.0" hidden="1" customHeight="1">
      <c r="A33" s="53">
        <v>32.0</v>
      </c>
      <c r="B33" s="146" t="s">
        <v>183</v>
      </c>
      <c r="C33" s="147"/>
      <c r="D33" s="148"/>
      <c r="E33" s="148"/>
      <c r="F33" s="148"/>
      <c r="G33" s="148"/>
      <c r="H33" s="150"/>
      <c r="I33" s="148"/>
      <c r="J33" s="148"/>
      <c r="K33" s="151"/>
      <c r="L33" s="581"/>
      <c r="M33" s="148"/>
      <c r="N33" s="148"/>
      <c r="O33" s="148"/>
      <c r="P33" s="522"/>
      <c r="Q33" s="594"/>
      <c r="R33" s="595"/>
      <c r="S33" s="584"/>
      <c r="T33" s="594"/>
      <c r="U33" s="595"/>
      <c r="V33" s="584"/>
      <c r="W33" s="762"/>
      <c r="X33" s="763"/>
      <c r="Y33" s="756"/>
      <c r="Z33" s="762"/>
      <c r="AA33" s="763"/>
      <c r="AB33" s="756"/>
      <c r="AC33" s="762"/>
      <c r="AD33" s="763"/>
      <c r="AE33" s="756"/>
      <c r="AF33" s="757"/>
      <c r="AG33" s="757"/>
      <c r="AH33" s="757"/>
      <c r="AI33" s="758"/>
      <c r="AJ33" s="761"/>
      <c r="AK33" s="758"/>
      <c r="AL33" s="758"/>
      <c r="AM33" s="761"/>
      <c r="AN33" s="758"/>
      <c r="AO33" s="758"/>
      <c r="AP33" s="761"/>
      <c r="AQ33" s="758"/>
      <c r="AR33" s="758"/>
      <c r="AS33" s="761"/>
      <c r="AT33" s="758"/>
      <c r="AU33" s="758"/>
      <c r="AV33" s="761"/>
      <c r="AW33" s="758"/>
      <c r="AX33" s="758"/>
      <c r="AY33" s="761"/>
      <c r="AZ33" s="758"/>
      <c r="BA33" s="758"/>
      <c r="BB33" s="761"/>
      <c r="BC33" s="758"/>
      <c r="BD33" s="758"/>
      <c r="BE33" s="761"/>
      <c r="BF33" s="758"/>
      <c r="BG33" s="758"/>
      <c r="BH33" s="761"/>
      <c r="BI33" s="758"/>
      <c r="BJ33" s="758"/>
      <c r="BK33" s="761"/>
      <c r="BL33" s="758"/>
      <c r="BM33" s="758"/>
      <c r="BN33" s="761"/>
      <c r="BO33" s="758"/>
      <c r="BP33" s="758"/>
      <c r="BQ33" s="761"/>
      <c r="BR33" s="758"/>
      <c r="BS33" s="758"/>
      <c r="BT33" s="761"/>
      <c r="BU33" s="758"/>
      <c r="BV33" s="758"/>
      <c r="BW33" s="761"/>
      <c r="BX33" s="758"/>
      <c r="BY33" s="758"/>
      <c r="BZ33" s="761"/>
      <c r="CA33" s="758"/>
      <c r="CB33" s="758"/>
      <c r="CC33" s="761"/>
      <c r="CD33" s="758"/>
      <c r="CE33" s="758"/>
      <c r="CF33" s="761"/>
      <c r="CG33" s="758"/>
      <c r="CH33" s="757"/>
      <c r="CI33" s="757"/>
      <c r="CJ33" s="757"/>
      <c r="CK33" s="757"/>
      <c r="CL33" s="757"/>
      <c r="CM33" s="757"/>
      <c r="CN33" s="757"/>
      <c r="CO33" s="757"/>
      <c r="CP33" s="757"/>
      <c r="CQ33" s="757"/>
      <c r="CR33" s="757"/>
      <c r="CS33" s="757"/>
      <c r="CT33" s="757"/>
      <c r="CU33" s="757"/>
      <c r="CV33" s="757"/>
      <c r="CW33" s="757"/>
      <c r="CX33" s="757"/>
      <c r="CY33" s="757"/>
      <c r="CZ33" s="757"/>
      <c r="DA33" s="757"/>
      <c r="DB33" s="757"/>
      <c r="DC33" s="757"/>
      <c r="DD33" s="757"/>
      <c r="DE33" s="757"/>
      <c r="DF33" s="757"/>
      <c r="DG33" s="757"/>
      <c r="DH33" s="757"/>
      <c r="DI33" s="757"/>
      <c r="DJ33" s="757"/>
      <c r="DK33" s="757"/>
      <c r="DL33" s="757"/>
      <c r="DM33" s="757"/>
      <c r="DN33" s="757"/>
    </row>
    <row r="34" ht="15.0" customHeight="1">
      <c r="A34" s="53">
        <v>33.0</v>
      </c>
      <c r="B34" s="100" t="s">
        <v>186</v>
      </c>
      <c r="C34" s="100" t="s">
        <v>187</v>
      </c>
      <c r="D34" s="101" t="str">
        <f>MID(B34,17,4)</f>
        <v>DATA</v>
      </c>
      <c r="E34" s="101" t="s">
        <v>165</v>
      </c>
      <c r="F34" s="102">
        <v>1114.0</v>
      </c>
      <c r="G34" s="517" t="s">
        <v>165</v>
      </c>
      <c r="H34" s="517">
        <v>1114.0</v>
      </c>
      <c r="I34" s="68" t="str">
        <f>IFERROR(VLOOKUP(C:C,'R22 RELATÓRIO ACC'!B:F,5,FALSE),"NOT PUBLISHED")</f>
        <v>V20</v>
      </c>
      <c r="J34" s="68" t="str">
        <f>IFERROR(VLOOKUP(C:C,'R22 RELATÓRIO ACC'!B:P,15,FALSE),"NOT PUBLISHED")</f>
        <v>05/05/2026</v>
      </c>
      <c r="K34" s="70" t="str">
        <f>IFERROR(VLOOKUP(B:B,'RELATÓRIO ACC'!B:F,5,FALSE),"NOT PUBLISHED")</f>
        <v>V2</v>
      </c>
      <c r="L34" s="518" t="str">
        <f>IFERROR(VLOOKUP(B:B,'RELATÓRIO ACC'!B:P,15,FALSE),"NOT PUBLISHED")</f>
        <v>12/07/2026</v>
      </c>
      <c r="M34" s="519" t="s">
        <v>418</v>
      </c>
      <c r="N34" s="520">
        <v>45999.0</v>
      </c>
      <c r="O34" s="538" t="s">
        <v>410</v>
      </c>
      <c r="P34" s="587"/>
      <c r="Q34" s="523" t="s">
        <v>379</v>
      </c>
      <c r="R34" s="558">
        <v>0.0</v>
      </c>
      <c r="S34" s="523" t="s">
        <v>379</v>
      </c>
      <c r="T34" s="523" t="s">
        <v>379</v>
      </c>
      <c r="U34" s="558">
        <v>0.0</v>
      </c>
      <c r="V34" s="523" t="s">
        <v>379</v>
      </c>
      <c r="W34" s="530" t="s">
        <v>381</v>
      </c>
      <c r="X34" s="690" t="s">
        <v>421</v>
      </c>
      <c r="Y34" s="546">
        <v>0.01</v>
      </c>
      <c r="Z34" s="734" t="s">
        <v>379</v>
      </c>
      <c r="AA34" s="690" t="s">
        <v>414</v>
      </c>
      <c r="AB34" s="740" t="s">
        <v>379</v>
      </c>
      <c r="AC34" s="734" t="s">
        <v>379</v>
      </c>
      <c r="AD34" s="735" t="s">
        <v>414</v>
      </c>
      <c r="AE34" s="530" t="s">
        <v>379</v>
      </c>
      <c r="AF34" s="530" t="s">
        <v>383</v>
      </c>
      <c r="AG34" s="735" t="s">
        <v>414</v>
      </c>
      <c r="AH34" s="530" t="s">
        <v>383</v>
      </c>
      <c r="AI34" s="531" t="s">
        <v>381</v>
      </c>
      <c r="AJ34" s="528" t="s">
        <v>415</v>
      </c>
      <c r="AK34" s="532">
        <v>0.97</v>
      </c>
      <c r="AL34" s="528" t="s">
        <v>383</v>
      </c>
      <c r="AM34" s="528" t="s">
        <v>415</v>
      </c>
      <c r="AN34" s="528" t="s">
        <v>383</v>
      </c>
      <c r="AO34" s="528" t="s">
        <v>386</v>
      </c>
      <c r="AP34" s="528" t="s">
        <v>418</v>
      </c>
      <c r="AQ34" s="532">
        <v>1.0</v>
      </c>
      <c r="AR34" s="528" t="s">
        <v>413</v>
      </c>
      <c r="AS34" s="528" t="s">
        <v>418</v>
      </c>
      <c r="AT34" s="532">
        <v>1.0</v>
      </c>
      <c r="AU34" s="528" t="s">
        <v>413</v>
      </c>
      <c r="AV34" s="528" t="s">
        <v>418</v>
      </c>
      <c r="AW34" s="532">
        <v>1.0</v>
      </c>
      <c r="AX34" s="528" t="s">
        <v>413</v>
      </c>
      <c r="AY34" s="528" t="s">
        <v>418</v>
      </c>
      <c r="AZ34" s="532">
        <v>1.0</v>
      </c>
      <c r="BA34" s="528" t="s">
        <v>413</v>
      </c>
      <c r="BB34" s="528" t="s">
        <v>418</v>
      </c>
      <c r="BC34" s="532">
        <v>1.0</v>
      </c>
      <c r="BD34" s="528" t="s">
        <v>413</v>
      </c>
      <c r="BE34" s="528" t="s">
        <v>418</v>
      </c>
      <c r="BF34" s="532">
        <v>1.0</v>
      </c>
      <c r="BG34" s="528" t="s">
        <v>413</v>
      </c>
      <c r="BH34" s="528" t="s">
        <v>418</v>
      </c>
      <c r="BI34" s="532">
        <v>1.0</v>
      </c>
      <c r="BJ34" s="528" t="s">
        <v>413</v>
      </c>
      <c r="BK34" s="528" t="s">
        <v>418</v>
      </c>
      <c r="BL34" s="532">
        <v>1.0</v>
      </c>
      <c r="BM34" s="528" t="s">
        <v>413</v>
      </c>
      <c r="BN34" s="528" t="s">
        <v>418</v>
      </c>
      <c r="BO34" s="532">
        <v>1.0</v>
      </c>
      <c r="BP34" s="528" t="s">
        <v>413</v>
      </c>
      <c r="BQ34" s="528" t="s">
        <v>418</v>
      </c>
      <c r="BR34" s="532">
        <v>1.0</v>
      </c>
      <c r="BS34" s="528" t="s">
        <v>413</v>
      </c>
      <c r="BT34" s="528" t="s">
        <v>418</v>
      </c>
      <c r="BU34" s="532">
        <v>1.0</v>
      </c>
      <c r="BV34" s="528" t="s">
        <v>413</v>
      </c>
      <c r="BW34" s="528" t="s">
        <v>418</v>
      </c>
      <c r="BX34" s="532">
        <v>1.0</v>
      </c>
      <c r="BY34" s="528" t="s">
        <v>413</v>
      </c>
      <c r="BZ34" s="528" t="s">
        <v>418</v>
      </c>
      <c r="CA34" s="532">
        <v>1.0</v>
      </c>
      <c r="CB34" s="528" t="s">
        <v>413</v>
      </c>
      <c r="CC34" s="528" t="s">
        <v>418</v>
      </c>
      <c r="CD34" s="532">
        <v>1.0</v>
      </c>
      <c r="CE34" s="528" t="s">
        <v>413</v>
      </c>
      <c r="CF34" s="528" t="s">
        <v>418</v>
      </c>
      <c r="CG34" s="532">
        <v>1.0</v>
      </c>
      <c r="CH34" s="528" t="s">
        <v>413</v>
      </c>
      <c r="CI34" s="528" t="s">
        <v>418</v>
      </c>
      <c r="CJ34" s="532">
        <v>1.0</v>
      </c>
      <c r="CK34" s="528" t="s">
        <v>413</v>
      </c>
      <c r="CL34" s="528" t="s">
        <v>418</v>
      </c>
      <c r="CM34" s="532">
        <v>1.0</v>
      </c>
      <c r="CN34" s="528" t="s">
        <v>413</v>
      </c>
      <c r="CO34" s="528" t="s">
        <v>418</v>
      </c>
      <c r="CP34" s="532">
        <v>1.0</v>
      </c>
      <c r="CQ34" s="528" t="s">
        <v>413</v>
      </c>
      <c r="CR34" s="528" t="s">
        <v>418</v>
      </c>
      <c r="CS34" s="532">
        <v>1.0</v>
      </c>
      <c r="CT34" s="528" t="s">
        <v>413</v>
      </c>
      <c r="CU34" s="528" t="s">
        <v>418</v>
      </c>
      <c r="CV34" s="532">
        <v>1.0</v>
      </c>
      <c r="CW34" s="528" t="s">
        <v>413</v>
      </c>
      <c r="CX34" s="528" t="s">
        <v>418</v>
      </c>
      <c r="CY34" s="532">
        <v>1.0</v>
      </c>
      <c r="CZ34" s="528" t="s">
        <v>413</v>
      </c>
      <c r="DA34" s="528" t="s">
        <v>418</v>
      </c>
      <c r="DB34" s="532">
        <v>1.0</v>
      </c>
      <c r="DC34" s="528" t="s">
        <v>413</v>
      </c>
      <c r="DD34" s="528" t="s">
        <v>418</v>
      </c>
      <c r="DE34" s="532">
        <v>1.0</v>
      </c>
      <c r="DF34" s="528" t="s">
        <v>413</v>
      </c>
      <c r="DG34" s="528" t="s">
        <v>418</v>
      </c>
      <c r="DH34" s="532">
        <v>1.0</v>
      </c>
      <c r="DI34" s="528" t="s">
        <v>413</v>
      </c>
      <c r="DJ34" s="528" t="s">
        <v>418</v>
      </c>
      <c r="DK34" s="532">
        <v>1.0</v>
      </c>
      <c r="DL34" s="528" t="s">
        <v>413</v>
      </c>
      <c r="DM34" s="528" t="s">
        <v>418</v>
      </c>
      <c r="DN34" s="532">
        <v>1.0</v>
      </c>
    </row>
    <row r="35" ht="15.0" hidden="1" customHeight="1">
      <c r="A35" s="53">
        <v>34.0</v>
      </c>
      <c r="B35" s="124" t="s">
        <v>188</v>
      </c>
      <c r="C35" s="125"/>
      <c r="D35" s="126"/>
      <c r="E35" s="126"/>
      <c r="F35" s="126"/>
      <c r="G35" s="126"/>
      <c r="H35" s="128"/>
      <c r="I35" s="126"/>
      <c r="J35" s="126"/>
      <c r="K35" s="129"/>
      <c r="L35" s="573"/>
      <c r="M35" s="126"/>
      <c r="N35" s="126"/>
      <c r="O35" s="126"/>
      <c r="P35" s="522"/>
      <c r="Q35" s="575"/>
      <c r="R35" s="576"/>
      <c r="S35" s="577"/>
      <c r="T35" s="575"/>
      <c r="U35" s="576"/>
      <c r="V35" s="577"/>
      <c r="W35" s="747"/>
      <c r="X35" s="748"/>
      <c r="Y35" s="749"/>
      <c r="Z35" s="747"/>
      <c r="AA35" s="748"/>
      <c r="AB35" s="749"/>
      <c r="AC35" s="747"/>
      <c r="AD35" s="748"/>
      <c r="AE35" s="749"/>
      <c r="AF35" s="750"/>
      <c r="AG35" s="750"/>
      <c r="AH35" s="750"/>
      <c r="AI35" s="750"/>
      <c r="AJ35" s="750"/>
      <c r="AK35" s="750"/>
      <c r="AL35" s="750"/>
      <c r="AM35" s="750"/>
      <c r="AN35" s="750"/>
      <c r="AO35" s="750"/>
      <c r="AP35" s="750"/>
      <c r="AQ35" s="750"/>
      <c r="AR35" s="750"/>
      <c r="AS35" s="750"/>
      <c r="AT35" s="750"/>
      <c r="AU35" s="750"/>
      <c r="AV35" s="750"/>
      <c r="AW35" s="750"/>
      <c r="AX35" s="750"/>
      <c r="AY35" s="750"/>
      <c r="AZ35" s="750"/>
      <c r="BA35" s="750"/>
      <c r="BB35" s="750"/>
      <c r="BC35" s="750"/>
      <c r="BD35" s="750"/>
      <c r="BE35" s="750"/>
      <c r="BF35" s="750"/>
      <c r="BG35" s="750"/>
      <c r="BH35" s="750"/>
      <c r="BI35" s="750"/>
      <c r="BJ35" s="750"/>
      <c r="BK35" s="750"/>
      <c r="BL35" s="750"/>
      <c r="BM35" s="750"/>
      <c r="BN35" s="750"/>
      <c r="BO35" s="750"/>
      <c r="BP35" s="750"/>
      <c r="BQ35" s="750"/>
      <c r="BR35" s="750"/>
      <c r="BS35" s="750"/>
      <c r="BT35" s="750"/>
      <c r="BU35" s="750"/>
      <c r="BV35" s="750"/>
      <c r="BW35" s="750"/>
      <c r="BX35" s="750"/>
      <c r="BY35" s="750"/>
      <c r="BZ35" s="750"/>
      <c r="CA35" s="750"/>
      <c r="CB35" s="750"/>
      <c r="CC35" s="750"/>
      <c r="CD35" s="750"/>
      <c r="CE35" s="750"/>
      <c r="CF35" s="750"/>
      <c r="CG35" s="750"/>
      <c r="CH35" s="750"/>
      <c r="CI35" s="750"/>
      <c r="CJ35" s="750"/>
      <c r="CK35" s="750"/>
      <c r="CL35" s="750"/>
      <c r="CM35" s="750"/>
      <c r="CN35" s="750"/>
      <c r="CO35" s="750"/>
      <c r="CP35" s="750"/>
      <c r="CQ35" s="750"/>
      <c r="CR35" s="750"/>
      <c r="CS35" s="750"/>
      <c r="CT35" s="750"/>
      <c r="CU35" s="750"/>
      <c r="CV35" s="750"/>
      <c r="CW35" s="750"/>
      <c r="CX35" s="750"/>
      <c r="CY35" s="750"/>
      <c r="CZ35" s="750"/>
      <c r="DA35" s="750"/>
      <c r="DB35" s="750"/>
      <c r="DC35" s="750"/>
      <c r="DD35" s="750"/>
      <c r="DE35" s="750"/>
      <c r="DF35" s="750"/>
      <c r="DG35" s="750"/>
      <c r="DH35" s="750"/>
      <c r="DI35" s="750"/>
      <c r="DJ35" s="750"/>
      <c r="DK35" s="750"/>
      <c r="DL35" s="750"/>
      <c r="DM35" s="750"/>
      <c r="DN35" s="750"/>
    </row>
    <row r="36" ht="16.5" customHeight="1">
      <c r="A36" s="53">
        <v>31.0</v>
      </c>
      <c r="B36" s="145" t="s">
        <v>179</v>
      </c>
      <c r="C36" s="145" t="s">
        <v>180</v>
      </c>
      <c r="D36" s="101" t="str">
        <f>MID(B36,17,4)</f>
        <v>DATA</v>
      </c>
      <c r="E36" s="101" t="s">
        <v>154</v>
      </c>
      <c r="F36" s="102">
        <v>1112.0</v>
      </c>
      <c r="G36" s="517" t="s">
        <v>155</v>
      </c>
      <c r="H36" s="517">
        <v>1129.0</v>
      </c>
      <c r="I36" s="68" t="str">
        <f>IFERROR(VLOOKUP(C:C,'R22 RELATÓRIO ACC'!B:F,5,FALSE),"NOT PUBLISHED")</f>
        <v>V33</v>
      </c>
      <c r="J36" s="68" t="str">
        <f>IFERROR(VLOOKUP(C:C,'R22 RELATÓRIO ACC'!B:P,15,FALSE),"NOT PUBLISHED")</f>
        <v>04/03/2026</v>
      </c>
      <c r="K36" s="70" t="str">
        <f>IFERROR(VLOOKUP(B:B,'RELATÓRIO ACC'!B:F,5,FALSE),"NOT PUBLISHED")</f>
        <v>V2</v>
      </c>
      <c r="L36" s="518" t="str">
        <f>IFERROR(VLOOKUP(B:B,'RELATÓRIO ACC'!B:P,15,FALSE),"NOT PUBLISHED")</f>
        <v>13/07/2026</v>
      </c>
      <c r="M36" s="519" t="s">
        <v>432</v>
      </c>
      <c r="N36" s="569" t="s">
        <v>435</v>
      </c>
      <c r="O36" s="538" t="s">
        <v>410</v>
      </c>
      <c r="P36" s="587" t="s">
        <v>430</v>
      </c>
      <c r="Q36" s="523" t="s">
        <v>379</v>
      </c>
      <c r="R36" s="558">
        <v>0.0</v>
      </c>
      <c r="S36" s="525" t="s">
        <v>379</v>
      </c>
      <c r="T36" s="523" t="s">
        <v>379</v>
      </c>
      <c r="U36" s="558">
        <v>0.0</v>
      </c>
      <c r="V36" s="523" t="s">
        <v>379</v>
      </c>
      <c r="W36" s="530" t="s">
        <v>381</v>
      </c>
      <c r="X36" s="690" t="s">
        <v>421</v>
      </c>
      <c r="Y36" s="551">
        <v>0.16</v>
      </c>
      <c r="Z36" s="530" t="s">
        <v>383</v>
      </c>
      <c r="AA36" s="690" t="s">
        <v>406</v>
      </c>
      <c r="AB36" s="530" t="s">
        <v>383</v>
      </c>
      <c r="AC36" s="530" t="s">
        <v>381</v>
      </c>
      <c r="AD36" s="690" t="s">
        <v>420</v>
      </c>
      <c r="AE36" s="632">
        <v>0.62</v>
      </c>
      <c r="AF36" s="530" t="s">
        <v>383</v>
      </c>
      <c r="AG36" s="690" t="s">
        <v>420</v>
      </c>
      <c r="AH36" s="743" t="s">
        <v>383</v>
      </c>
      <c r="AI36" s="528" t="s">
        <v>383</v>
      </c>
      <c r="AJ36" s="528" t="s">
        <v>431</v>
      </c>
      <c r="AK36" s="528" t="s">
        <v>383</v>
      </c>
      <c r="AL36" s="528" t="s">
        <v>381</v>
      </c>
      <c r="AM36" s="528" t="s">
        <v>436</v>
      </c>
      <c r="AN36" s="568">
        <v>0.74</v>
      </c>
      <c r="AO36" s="528" t="s">
        <v>381</v>
      </c>
      <c r="AP36" s="528" t="s">
        <v>437</v>
      </c>
      <c r="AQ36" s="568">
        <v>0.99</v>
      </c>
      <c r="AR36" s="528" t="s">
        <v>386</v>
      </c>
      <c r="AS36" s="528" t="s">
        <v>432</v>
      </c>
      <c r="AT36" s="568">
        <v>1.0</v>
      </c>
      <c r="AU36" s="528" t="s">
        <v>413</v>
      </c>
      <c r="AV36" s="528" t="s">
        <v>432</v>
      </c>
      <c r="AW36" s="568">
        <v>1.0</v>
      </c>
      <c r="AX36" s="528" t="s">
        <v>413</v>
      </c>
      <c r="AY36" s="528" t="s">
        <v>432</v>
      </c>
      <c r="AZ36" s="568">
        <v>1.0</v>
      </c>
      <c r="BA36" s="528" t="s">
        <v>413</v>
      </c>
      <c r="BB36" s="528" t="s">
        <v>432</v>
      </c>
      <c r="BC36" s="568">
        <v>1.0</v>
      </c>
      <c r="BD36" s="528" t="s">
        <v>413</v>
      </c>
      <c r="BE36" s="528" t="s">
        <v>432</v>
      </c>
      <c r="BF36" s="568">
        <v>1.0</v>
      </c>
      <c r="BG36" s="528" t="s">
        <v>413</v>
      </c>
      <c r="BH36" s="528" t="s">
        <v>432</v>
      </c>
      <c r="BI36" s="568">
        <v>1.0</v>
      </c>
      <c r="BJ36" s="528" t="s">
        <v>413</v>
      </c>
      <c r="BK36" s="528" t="s">
        <v>432</v>
      </c>
      <c r="BL36" s="568">
        <v>1.0</v>
      </c>
      <c r="BM36" s="528" t="s">
        <v>413</v>
      </c>
      <c r="BN36" s="528" t="s">
        <v>432</v>
      </c>
      <c r="BO36" s="568">
        <v>1.0</v>
      </c>
      <c r="BP36" s="528" t="s">
        <v>413</v>
      </c>
      <c r="BQ36" s="528" t="s">
        <v>432</v>
      </c>
      <c r="BR36" s="568">
        <v>1.0</v>
      </c>
      <c r="BS36" s="528" t="s">
        <v>413</v>
      </c>
      <c r="BT36" s="528" t="s">
        <v>432</v>
      </c>
      <c r="BU36" s="568">
        <v>1.0</v>
      </c>
      <c r="BV36" s="528" t="s">
        <v>413</v>
      </c>
      <c r="BW36" s="528" t="s">
        <v>432</v>
      </c>
      <c r="BX36" s="568">
        <v>1.0</v>
      </c>
      <c r="BY36" s="528" t="s">
        <v>413</v>
      </c>
      <c r="BZ36" s="528" t="s">
        <v>432</v>
      </c>
      <c r="CA36" s="568">
        <v>1.0</v>
      </c>
      <c r="CB36" s="528" t="s">
        <v>413</v>
      </c>
      <c r="CC36" s="528" t="s">
        <v>432</v>
      </c>
      <c r="CD36" s="568">
        <v>1.0</v>
      </c>
      <c r="CE36" s="528" t="s">
        <v>413</v>
      </c>
      <c r="CF36" s="528" t="s">
        <v>432</v>
      </c>
      <c r="CG36" s="568">
        <v>1.0</v>
      </c>
      <c r="CH36" s="528" t="s">
        <v>413</v>
      </c>
      <c r="CI36" s="528" t="s">
        <v>432</v>
      </c>
      <c r="CJ36" s="568">
        <v>1.0</v>
      </c>
      <c r="CK36" s="528" t="s">
        <v>413</v>
      </c>
      <c r="CL36" s="528" t="s">
        <v>432</v>
      </c>
      <c r="CM36" s="568">
        <v>1.0</v>
      </c>
      <c r="CN36" s="528" t="s">
        <v>413</v>
      </c>
      <c r="CO36" s="528" t="s">
        <v>432</v>
      </c>
      <c r="CP36" s="568">
        <v>1.0</v>
      </c>
      <c r="CQ36" s="528" t="s">
        <v>413</v>
      </c>
      <c r="CR36" s="528" t="s">
        <v>432</v>
      </c>
      <c r="CS36" s="568">
        <v>1.0</v>
      </c>
      <c r="CT36" s="528" t="s">
        <v>413</v>
      </c>
      <c r="CU36" s="528" t="s">
        <v>432</v>
      </c>
      <c r="CV36" s="568">
        <v>1.0</v>
      </c>
      <c r="CW36" s="528" t="s">
        <v>413</v>
      </c>
      <c r="CX36" s="528" t="s">
        <v>432</v>
      </c>
      <c r="CY36" s="568">
        <v>1.0</v>
      </c>
      <c r="CZ36" s="528" t="s">
        <v>413</v>
      </c>
      <c r="DA36" s="528" t="s">
        <v>432</v>
      </c>
      <c r="DB36" s="568">
        <v>1.0</v>
      </c>
      <c r="DC36" s="528" t="s">
        <v>413</v>
      </c>
      <c r="DD36" s="528" t="s">
        <v>432</v>
      </c>
      <c r="DE36" s="568">
        <v>1.0</v>
      </c>
      <c r="DF36" s="528" t="s">
        <v>413</v>
      </c>
      <c r="DG36" s="528" t="s">
        <v>432</v>
      </c>
      <c r="DH36" s="568">
        <v>1.0</v>
      </c>
      <c r="DI36" s="528" t="s">
        <v>413</v>
      </c>
      <c r="DJ36" s="528" t="s">
        <v>432</v>
      </c>
      <c r="DK36" s="568">
        <v>1.0</v>
      </c>
      <c r="DL36" s="528" t="s">
        <v>413</v>
      </c>
      <c r="DM36" s="528" t="s">
        <v>432</v>
      </c>
      <c r="DN36" s="568">
        <v>1.0</v>
      </c>
    </row>
    <row r="37" ht="15.0" hidden="1" customHeight="1">
      <c r="A37" s="53">
        <v>36.0</v>
      </c>
      <c r="B37" s="146" t="s">
        <v>193</v>
      </c>
      <c r="C37" s="147"/>
      <c r="D37" s="148"/>
      <c r="E37" s="148"/>
      <c r="F37" s="148"/>
      <c r="G37" s="148"/>
      <c r="H37" s="150"/>
      <c r="I37" s="148"/>
      <c r="J37" s="148"/>
      <c r="K37" s="151"/>
      <c r="L37" s="580"/>
      <c r="M37" s="148"/>
      <c r="N37" s="148"/>
      <c r="O37" s="148"/>
      <c r="P37" s="522"/>
      <c r="Q37" s="582"/>
      <c r="R37" s="583"/>
      <c r="S37" s="584"/>
      <c r="T37" s="582"/>
      <c r="U37" s="583"/>
      <c r="V37" s="584"/>
      <c r="W37" s="754"/>
      <c r="X37" s="755"/>
      <c r="Y37" s="756"/>
      <c r="Z37" s="754"/>
      <c r="AA37" s="755"/>
      <c r="AB37" s="756"/>
      <c r="AC37" s="754"/>
      <c r="AD37" s="755"/>
      <c r="AE37" s="756"/>
      <c r="AF37" s="757"/>
      <c r="AG37" s="757"/>
      <c r="AH37" s="757"/>
      <c r="AI37" s="758"/>
      <c r="AJ37" s="761"/>
      <c r="AK37" s="757"/>
      <c r="AL37" s="758"/>
      <c r="AM37" s="761"/>
      <c r="AN37" s="757"/>
      <c r="AO37" s="758"/>
      <c r="AP37" s="761"/>
      <c r="AQ37" s="757"/>
      <c r="AR37" s="758"/>
      <c r="AS37" s="761"/>
      <c r="AT37" s="757"/>
      <c r="AU37" s="758"/>
      <c r="AV37" s="761"/>
      <c r="AW37" s="757"/>
      <c r="AX37" s="758"/>
      <c r="AY37" s="761"/>
      <c r="AZ37" s="757"/>
      <c r="BA37" s="758"/>
      <c r="BB37" s="761"/>
      <c r="BC37" s="757"/>
      <c r="BD37" s="758"/>
      <c r="BE37" s="761"/>
      <c r="BF37" s="757"/>
      <c r="BG37" s="758"/>
      <c r="BH37" s="761"/>
      <c r="BI37" s="757"/>
      <c r="BJ37" s="758"/>
      <c r="BK37" s="761"/>
      <c r="BL37" s="757"/>
      <c r="BM37" s="758"/>
      <c r="BN37" s="761"/>
      <c r="BO37" s="757"/>
      <c r="BP37" s="758"/>
      <c r="BQ37" s="761"/>
      <c r="BR37" s="757"/>
      <c r="BS37" s="758"/>
      <c r="BT37" s="761"/>
      <c r="BU37" s="757"/>
      <c r="BV37" s="758"/>
      <c r="BW37" s="761"/>
      <c r="BX37" s="757"/>
      <c r="BY37" s="758"/>
      <c r="BZ37" s="761"/>
      <c r="CA37" s="757"/>
      <c r="CB37" s="758"/>
      <c r="CC37" s="761"/>
      <c r="CD37" s="757"/>
      <c r="CE37" s="758"/>
      <c r="CF37" s="761"/>
      <c r="CG37" s="757"/>
      <c r="CH37" s="757"/>
      <c r="CI37" s="757"/>
      <c r="CJ37" s="757"/>
      <c r="CK37" s="757"/>
      <c r="CL37" s="757"/>
      <c r="CM37" s="757"/>
      <c r="CN37" s="757"/>
      <c r="CO37" s="757"/>
      <c r="CP37" s="757"/>
      <c r="CQ37" s="757"/>
      <c r="CR37" s="757"/>
      <c r="CS37" s="757"/>
      <c r="CT37" s="757"/>
      <c r="CU37" s="757"/>
      <c r="CV37" s="757"/>
      <c r="CW37" s="757"/>
      <c r="CX37" s="757"/>
      <c r="CY37" s="757"/>
      <c r="CZ37" s="757"/>
      <c r="DA37" s="757"/>
      <c r="DB37" s="757"/>
      <c r="DC37" s="757"/>
      <c r="DD37" s="757"/>
      <c r="DE37" s="757"/>
      <c r="DF37" s="757"/>
      <c r="DG37" s="757"/>
      <c r="DH37" s="757"/>
      <c r="DI37" s="757"/>
      <c r="DJ37" s="757"/>
      <c r="DK37" s="757"/>
      <c r="DL37" s="757"/>
      <c r="DM37" s="757"/>
      <c r="DN37" s="757"/>
    </row>
    <row r="38" ht="15.0" customHeight="1">
      <c r="A38" s="53">
        <v>43.0</v>
      </c>
      <c r="B38" s="100" t="s">
        <v>212</v>
      </c>
      <c r="C38" s="100" t="s">
        <v>213</v>
      </c>
      <c r="D38" s="101" t="str">
        <f>MID(B38,17,4)</f>
        <v>DATA</v>
      </c>
      <c r="E38" s="101" t="s">
        <v>214</v>
      </c>
      <c r="F38" s="102">
        <v>1116.0</v>
      </c>
      <c r="G38" s="517" t="s">
        <v>214</v>
      </c>
      <c r="H38" s="517">
        <v>1116.0</v>
      </c>
      <c r="I38" s="68" t="str">
        <f>IFERROR(VLOOKUP(C:C,'R22 RELATÓRIO ACC'!B:F,5,FALSE),"NOT PUBLISHED")</f>
        <v>V15</v>
      </c>
      <c r="J38" s="68" t="str">
        <f>IFERROR(VLOOKUP(C:C,'R22 RELATÓRIO ACC'!B:P,15,FALSE),"NOT PUBLISHED")</f>
        <v>15/04/2026</v>
      </c>
      <c r="K38" s="70" t="str">
        <f>IFERROR(VLOOKUP(B:B,'RELATÓRIO ACC'!B:F,5,FALSE),"NOT PUBLISHED")</f>
        <v>V2</v>
      </c>
      <c r="L38" s="518" t="str">
        <f>IFERROR(VLOOKUP(B:B,'RELATÓRIO ACC'!B:P,15,FALSE),"NOT PUBLISHED")</f>
        <v>02/06/2026</v>
      </c>
      <c r="M38" s="519" t="s">
        <v>414</v>
      </c>
      <c r="N38" s="520">
        <v>46000.0</v>
      </c>
      <c r="O38" s="538" t="s">
        <v>410</v>
      </c>
      <c r="P38" s="587"/>
      <c r="Q38" s="523" t="s">
        <v>381</v>
      </c>
      <c r="R38" s="550" t="s">
        <v>421</v>
      </c>
      <c r="S38" s="551">
        <v>0.03</v>
      </c>
      <c r="T38" s="523" t="s">
        <v>379</v>
      </c>
      <c r="U38" s="550">
        <v>0.0</v>
      </c>
      <c r="V38" s="740" t="s">
        <v>379</v>
      </c>
      <c r="W38" s="734" t="s">
        <v>379</v>
      </c>
      <c r="X38" s="735">
        <v>0.0</v>
      </c>
      <c r="Y38" s="740" t="s">
        <v>379</v>
      </c>
      <c r="Z38" s="523" t="s">
        <v>381</v>
      </c>
      <c r="AA38" s="550" t="s">
        <v>384</v>
      </c>
      <c r="AB38" s="546">
        <v>0.53</v>
      </c>
      <c r="AC38" s="530" t="s">
        <v>381</v>
      </c>
      <c r="AD38" s="550" t="s">
        <v>385</v>
      </c>
      <c r="AE38" s="546">
        <v>0.63</v>
      </c>
      <c r="AF38" s="530" t="s">
        <v>383</v>
      </c>
      <c r="AG38" s="550" t="s">
        <v>385</v>
      </c>
      <c r="AH38" s="530" t="s">
        <v>383</v>
      </c>
      <c r="AI38" s="531" t="s">
        <v>381</v>
      </c>
      <c r="AJ38" s="528" t="s">
        <v>431</v>
      </c>
      <c r="AK38" s="532">
        <v>0.86</v>
      </c>
      <c r="AL38" s="528" t="s">
        <v>383</v>
      </c>
      <c r="AM38" s="528" t="s">
        <v>431</v>
      </c>
      <c r="AN38" s="528" t="s">
        <v>383</v>
      </c>
      <c r="AO38" s="528" t="s">
        <v>386</v>
      </c>
      <c r="AP38" s="528" t="s">
        <v>414</v>
      </c>
      <c r="AQ38" s="532">
        <v>1.0</v>
      </c>
      <c r="AR38" s="528" t="s">
        <v>413</v>
      </c>
      <c r="AS38" s="528" t="s">
        <v>414</v>
      </c>
      <c r="AT38" s="532">
        <v>1.0</v>
      </c>
      <c r="AU38" s="528" t="s">
        <v>413</v>
      </c>
      <c r="AV38" s="528" t="s">
        <v>414</v>
      </c>
      <c r="AW38" s="532">
        <v>1.0</v>
      </c>
      <c r="AX38" s="528" t="s">
        <v>413</v>
      </c>
      <c r="AY38" s="528" t="s">
        <v>414</v>
      </c>
      <c r="AZ38" s="532">
        <v>1.0</v>
      </c>
      <c r="BA38" s="528" t="s">
        <v>413</v>
      </c>
      <c r="BB38" s="528" t="s">
        <v>414</v>
      </c>
      <c r="BC38" s="532">
        <v>1.0</v>
      </c>
      <c r="BD38" s="528" t="s">
        <v>413</v>
      </c>
      <c r="BE38" s="528" t="s">
        <v>414</v>
      </c>
      <c r="BF38" s="532">
        <v>1.0</v>
      </c>
      <c r="BG38" s="528" t="s">
        <v>413</v>
      </c>
      <c r="BH38" s="528" t="s">
        <v>414</v>
      </c>
      <c r="BI38" s="532">
        <v>1.0</v>
      </c>
      <c r="BJ38" s="528" t="s">
        <v>413</v>
      </c>
      <c r="BK38" s="528" t="s">
        <v>414</v>
      </c>
      <c r="BL38" s="532">
        <v>1.0</v>
      </c>
      <c r="BM38" s="528" t="s">
        <v>413</v>
      </c>
      <c r="BN38" s="528" t="s">
        <v>414</v>
      </c>
      <c r="BO38" s="532">
        <v>1.0</v>
      </c>
      <c r="BP38" s="528" t="s">
        <v>413</v>
      </c>
      <c r="BQ38" s="528" t="s">
        <v>414</v>
      </c>
      <c r="BR38" s="532">
        <v>1.0</v>
      </c>
      <c r="BS38" s="528" t="s">
        <v>413</v>
      </c>
      <c r="BT38" s="528" t="s">
        <v>414</v>
      </c>
      <c r="BU38" s="532">
        <v>1.0</v>
      </c>
      <c r="BV38" s="528" t="s">
        <v>413</v>
      </c>
      <c r="BW38" s="528" t="s">
        <v>414</v>
      </c>
      <c r="BX38" s="532">
        <v>1.0</v>
      </c>
      <c r="BY38" s="528" t="s">
        <v>413</v>
      </c>
      <c r="BZ38" s="528" t="s">
        <v>414</v>
      </c>
      <c r="CA38" s="532">
        <v>1.0</v>
      </c>
      <c r="CB38" s="528" t="s">
        <v>413</v>
      </c>
      <c r="CC38" s="528" t="s">
        <v>414</v>
      </c>
      <c r="CD38" s="532">
        <v>1.0</v>
      </c>
      <c r="CE38" s="528" t="s">
        <v>413</v>
      </c>
      <c r="CF38" s="528" t="s">
        <v>414</v>
      </c>
      <c r="CG38" s="532">
        <v>1.0</v>
      </c>
      <c r="CH38" s="528" t="s">
        <v>413</v>
      </c>
      <c r="CI38" s="528" t="s">
        <v>414</v>
      </c>
      <c r="CJ38" s="532">
        <v>1.0</v>
      </c>
      <c r="CK38" s="528" t="s">
        <v>413</v>
      </c>
      <c r="CL38" s="528" t="s">
        <v>414</v>
      </c>
      <c r="CM38" s="532">
        <v>1.0</v>
      </c>
      <c r="CN38" s="528" t="s">
        <v>413</v>
      </c>
      <c r="CO38" s="528" t="s">
        <v>414</v>
      </c>
      <c r="CP38" s="532">
        <v>1.0</v>
      </c>
      <c r="CQ38" s="528" t="s">
        <v>413</v>
      </c>
      <c r="CR38" s="528" t="s">
        <v>414</v>
      </c>
      <c r="CS38" s="532">
        <v>1.0</v>
      </c>
      <c r="CT38" s="528" t="s">
        <v>413</v>
      </c>
      <c r="CU38" s="528" t="s">
        <v>414</v>
      </c>
      <c r="CV38" s="532">
        <v>1.0</v>
      </c>
      <c r="CW38" s="528" t="s">
        <v>413</v>
      </c>
      <c r="CX38" s="528" t="s">
        <v>414</v>
      </c>
      <c r="CY38" s="532">
        <v>1.0</v>
      </c>
      <c r="CZ38" s="528" t="s">
        <v>413</v>
      </c>
      <c r="DA38" s="528" t="s">
        <v>414</v>
      </c>
      <c r="DB38" s="532">
        <v>1.0</v>
      </c>
      <c r="DC38" s="528" t="s">
        <v>413</v>
      </c>
      <c r="DD38" s="528" t="s">
        <v>414</v>
      </c>
      <c r="DE38" s="532">
        <v>1.0</v>
      </c>
      <c r="DF38" s="528" t="s">
        <v>413</v>
      </c>
      <c r="DG38" s="528" t="s">
        <v>414</v>
      </c>
      <c r="DH38" s="532">
        <v>1.0</v>
      </c>
      <c r="DI38" s="528" t="s">
        <v>413</v>
      </c>
      <c r="DJ38" s="528" t="s">
        <v>414</v>
      </c>
      <c r="DK38" s="532">
        <v>1.0</v>
      </c>
      <c r="DL38" s="528" t="s">
        <v>413</v>
      </c>
      <c r="DM38" s="528" t="s">
        <v>414</v>
      </c>
      <c r="DN38" s="532">
        <v>1.0</v>
      </c>
    </row>
    <row r="39" ht="15.0" hidden="1" customHeight="1">
      <c r="A39" s="53">
        <v>38.0</v>
      </c>
      <c r="B39" s="188" t="s">
        <v>201</v>
      </c>
      <c r="C39" s="189"/>
      <c r="D39" s="190"/>
      <c r="E39" s="190"/>
      <c r="F39" s="190"/>
      <c r="G39" s="190"/>
      <c r="H39" s="192"/>
      <c r="I39" s="190"/>
      <c r="J39" s="190"/>
      <c r="K39" s="193"/>
      <c r="L39" s="598"/>
      <c r="M39" s="190"/>
      <c r="N39" s="190"/>
      <c r="O39" s="190"/>
      <c r="P39" s="522"/>
      <c r="Q39" s="600"/>
      <c r="R39" s="601"/>
      <c r="S39" s="602"/>
      <c r="T39" s="600"/>
      <c r="U39" s="601"/>
      <c r="V39" s="602"/>
      <c r="W39" s="764"/>
      <c r="X39" s="765"/>
      <c r="Y39" s="766"/>
      <c r="Z39" s="764"/>
      <c r="AA39" s="765"/>
      <c r="AB39" s="766"/>
      <c r="AC39" s="764"/>
      <c r="AD39" s="765"/>
      <c r="AE39" s="766"/>
      <c r="AF39" s="767"/>
      <c r="AG39" s="767"/>
      <c r="AH39" s="767"/>
      <c r="AI39" s="767"/>
      <c r="AJ39" s="767"/>
      <c r="AK39" s="767"/>
      <c r="AL39" s="767"/>
      <c r="AM39" s="767"/>
      <c r="AN39" s="767"/>
      <c r="AO39" s="767"/>
      <c r="AP39" s="767"/>
      <c r="AQ39" s="767"/>
      <c r="AR39" s="767"/>
      <c r="AS39" s="767"/>
      <c r="AT39" s="767"/>
      <c r="AU39" s="767"/>
      <c r="AV39" s="767"/>
      <c r="AW39" s="767"/>
      <c r="AX39" s="767"/>
      <c r="AY39" s="767"/>
      <c r="AZ39" s="767"/>
      <c r="BA39" s="767"/>
      <c r="BB39" s="767"/>
      <c r="BC39" s="767"/>
      <c r="BD39" s="767"/>
      <c r="BE39" s="767"/>
      <c r="BF39" s="767"/>
      <c r="BG39" s="767"/>
      <c r="BH39" s="767"/>
      <c r="BI39" s="767"/>
      <c r="BJ39" s="767"/>
      <c r="BK39" s="767"/>
      <c r="BL39" s="767"/>
      <c r="BM39" s="767"/>
      <c r="BN39" s="767"/>
      <c r="BO39" s="767"/>
      <c r="BP39" s="767"/>
      <c r="BQ39" s="767"/>
      <c r="BR39" s="767"/>
      <c r="BS39" s="767"/>
      <c r="BT39" s="767"/>
      <c r="BU39" s="767"/>
      <c r="BV39" s="767"/>
      <c r="BW39" s="767"/>
      <c r="BX39" s="767"/>
      <c r="BY39" s="767"/>
      <c r="BZ39" s="767"/>
      <c r="CA39" s="767"/>
      <c r="CB39" s="767"/>
      <c r="CC39" s="767"/>
      <c r="CD39" s="767"/>
      <c r="CE39" s="767"/>
      <c r="CF39" s="767"/>
      <c r="CG39" s="767"/>
      <c r="CH39" s="767"/>
      <c r="CI39" s="767"/>
      <c r="CJ39" s="767"/>
      <c r="CK39" s="767"/>
      <c r="CL39" s="767"/>
      <c r="CM39" s="767"/>
      <c r="CN39" s="767"/>
      <c r="CO39" s="767"/>
      <c r="CP39" s="767"/>
      <c r="CQ39" s="767"/>
      <c r="CR39" s="767"/>
      <c r="CS39" s="767"/>
      <c r="CT39" s="767"/>
      <c r="CU39" s="767"/>
      <c r="CV39" s="767"/>
      <c r="CW39" s="767"/>
      <c r="CX39" s="767"/>
      <c r="CY39" s="767"/>
      <c r="CZ39" s="767"/>
      <c r="DA39" s="767"/>
      <c r="DB39" s="767"/>
      <c r="DC39" s="767"/>
      <c r="DD39" s="767"/>
      <c r="DE39" s="767"/>
      <c r="DF39" s="767"/>
      <c r="DG39" s="767"/>
      <c r="DH39" s="767"/>
      <c r="DI39" s="767"/>
      <c r="DJ39" s="767"/>
      <c r="DK39" s="767"/>
      <c r="DL39" s="767"/>
      <c r="DM39" s="767"/>
      <c r="DN39" s="767"/>
    </row>
    <row r="40" ht="15.0" customHeight="1">
      <c r="A40" s="53">
        <v>23.0</v>
      </c>
      <c r="B40" s="100" t="s">
        <v>159</v>
      </c>
      <c r="C40" s="100" t="s">
        <v>160</v>
      </c>
      <c r="D40" s="101" t="str">
        <f>MID(B40,17,4)</f>
        <v>DATA</v>
      </c>
      <c r="E40" s="101" t="s">
        <v>161</v>
      </c>
      <c r="F40" s="102">
        <v>1113.0</v>
      </c>
      <c r="G40" s="517" t="s">
        <v>161</v>
      </c>
      <c r="H40" s="517">
        <v>1113.0</v>
      </c>
      <c r="I40" s="68" t="str">
        <f>IFERROR(VLOOKUP(C:C,'R22 RELATÓRIO ACC'!B:F,5,FALSE),"NOT PUBLISHED")</f>
        <v>V28</v>
      </c>
      <c r="J40" s="68" t="str">
        <f>IFERROR(VLOOKUP(C:C,'R22 RELATÓRIO ACC'!B:P,15,FALSE),"NOT PUBLISHED")</f>
        <v>16/04/2026</v>
      </c>
      <c r="K40" s="70" t="str">
        <f>IFERROR(VLOOKUP(B:B,'RELATÓRIO ACC'!B:F,5,FALSE),"NOT PUBLISHED")</f>
        <v>V4</v>
      </c>
      <c r="L40" s="518" t="str">
        <f>IFERROR(VLOOKUP(B:B,'RELATÓRIO ACC'!B:P,15,FALSE),"NOT PUBLISHED")</f>
        <v>26/06/2026</v>
      </c>
      <c r="M40" s="519" t="s">
        <v>422</v>
      </c>
      <c r="N40" s="520">
        <v>45996.0</v>
      </c>
      <c r="O40" s="538" t="s">
        <v>380</v>
      </c>
      <c r="P40" s="587" t="s">
        <v>397</v>
      </c>
      <c r="Q40" s="523" t="s">
        <v>381</v>
      </c>
      <c r="R40" s="526" t="s">
        <v>421</v>
      </c>
      <c r="S40" s="551">
        <v>0.01</v>
      </c>
      <c r="T40" s="523" t="s">
        <v>379</v>
      </c>
      <c r="U40" s="526">
        <v>0.0</v>
      </c>
      <c r="V40" s="530" t="s">
        <v>379</v>
      </c>
      <c r="W40" s="530" t="s">
        <v>381</v>
      </c>
      <c r="X40" s="544" t="s">
        <v>421</v>
      </c>
      <c r="Y40" s="768">
        <v>0.07</v>
      </c>
      <c r="Z40" s="734" t="s">
        <v>379</v>
      </c>
      <c r="AA40" s="690" t="s">
        <v>401</v>
      </c>
      <c r="AB40" s="530" t="s">
        <v>379</v>
      </c>
      <c r="AC40" s="530" t="s">
        <v>383</v>
      </c>
      <c r="AD40" s="735" t="s">
        <v>427</v>
      </c>
      <c r="AE40" s="769" t="s">
        <v>383</v>
      </c>
      <c r="AF40" s="523" t="s">
        <v>381</v>
      </c>
      <c r="AG40" s="550" t="s">
        <v>402</v>
      </c>
      <c r="AH40" s="529">
        <v>0.3</v>
      </c>
      <c r="AI40" s="523" t="s">
        <v>379</v>
      </c>
      <c r="AJ40" s="526" t="s">
        <v>402</v>
      </c>
      <c r="AK40" s="523" t="s">
        <v>379</v>
      </c>
      <c r="AL40" s="523" t="s">
        <v>383</v>
      </c>
      <c r="AM40" s="526" t="s">
        <v>402</v>
      </c>
      <c r="AN40" s="523" t="s">
        <v>383</v>
      </c>
      <c r="AO40" s="523" t="s">
        <v>386</v>
      </c>
      <c r="AP40" s="526" t="s">
        <v>422</v>
      </c>
      <c r="AQ40" s="529">
        <v>1.0</v>
      </c>
      <c r="AR40" s="523" t="s">
        <v>413</v>
      </c>
      <c r="AS40" s="526" t="s">
        <v>422</v>
      </c>
      <c r="AT40" s="529">
        <v>1.0</v>
      </c>
      <c r="AU40" s="523" t="s">
        <v>413</v>
      </c>
      <c r="AV40" s="526" t="s">
        <v>422</v>
      </c>
      <c r="AW40" s="529">
        <v>1.0</v>
      </c>
      <c r="AX40" s="523" t="s">
        <v>413</v>
      </c>
      <c r="AY40" s="526" t="s">
        <v>422</v>
      </c>
      <c r="AZ40" s="529">
        <v>1.0</v>
      </c>
      <c r="BA40" s="523" t="s">
        <v>413</v>
      </c>
      <c r="BB40" s="526" t="s">
        <v>422</v>
      </c>
      <c r="BC40" s="529">
        <v>1.0</v>
      </c>
      <c r="BD40" s="523" t="s">
        <v>413</v>
      </c>
      <c r="BE40" s="526" t="s">
        <v>422</v>
      </c>
      <c r="BF40" s="529">
        <v>1.0</v>
      </c>
      <c r="BG40" s="523" t="s">
        <v>413</v>
      </c>
      <c r="BH40" s="526" t="s">
        <v>422</v>
      </c>
      <c r="BI40" s="529">
        <v>1.0</v>
      </c>
      <c r="BJ40" s="523" t="s">
        <v>413</v>
      </c>
      <c r="BK40" s="526" t="s">
        <v>422</v>
      </c>
      <c r="BL40" s="529">
        <v>1.0</v>
      </c>
      <c r="BM40" s="523" t="s">
        <v>413</v>
      </c>
      <c r="BN40" s="526" t="s">
        <v>422</v>
      </c>
      <c r="BO40" s="529">
        <v>1.0</v>
      </c>
      <c r="BP40" s="523" t="s">
        <v>413</v>
      </c>
      <c r="BQ40" s="526" t="s">
        <v>422</v>
      </c>
      <c r="BR40" s="529">
        <v>1.0</v>
      </c>
      <c r="BS40" s="523" t="s">
        <v>413</v>
      </c>
      <c r="BT40" s="526" t="s">
        <v>422</v>
      </c>
      <c r="BU40" s="529">
        <v>1.0</v>
      </c>
      <c r="BV40" s="523" t="s">
        <v>413</v>
      </c>
      <c r="BW40" s="526" t="s">
        <v>422</v>
      </c>
      <c r="BX40" s="529">
        <v>1.0</v>
      </c>
      <c r="BY40" s="523" t="s">
        <v>413</v>
      </c>
      <c r="BZ40" s="526" t="s">
        <v>422</v>
      </c>
      <c r="CA40" s="529">
        <v>1.0</v>
      </c>
      <c r="CB40" s="523" t="s">
        <v>413</v>
      </c>
      <c r="CC40" s="526" t="s">
        <v>422</v>
      </c>
      <c r="CD40" s="529">
        <v>1.0</v>
      </c>
      <c r="CE40" s="523" t="s">
        <v>413</v>
      </c>
      <c r="CF40" s="526" t="s">
        <v>422</v>
      </c>
      <c r="CG40" s="529">
        <v>1.0</v>
      </c>
      <c r="CH40" s="523" t="s">
        <v>413</v>
      </c>
      <c r="CI40" s="526" t="s">
        <v>422</v>
      </c>
      <c r="CJ40" s="529">
        <v>1.0</v>
      </c>
      <c r="CK40" s="523" t="s">
        <v>413</v>
      </c>
      <c r="CL40" s="526" t="s">
        <v>422</v>
      </c>
      <c r="CM40" s="529">
        <v>1.0</v>
      </c>
      <c r="CN40" s="523" t="s">
        <v>413</v>
      </c>
      <c r="CO40" s="526" t="s">
        <v>422</v>
      </c>
      <c r="CP40" s="529">
        <v>1.0</v>
      </c>
      <c r="CQ40" s="523" t="s">
        <v>413</v>
      </c>
      <c r="CR40" s="526" t="s">
        <v>422</v>
      </c>
      <c r="CS40" s="529">
        <v>1.0</v>
      </c>
      <c r="CT40" s="523" t="s">
        <v>413</v>
      </c>
      <c r="CU40" s="526" t="s">
        <v>422</v>
      </c>
      <c r="CV40" s="529">
        <v>1.0</v>
      </c>
      <c r="CW40" s="523" t="s">
        <v>413</v>
      </c>
      <c r="CX40" s="526" t="s">
        <v>422</v>
      </c>
      <c r="CY40" s="529">
        <v>1.0</v>
      </c>
      <c r="CZ40" s="523" t="s">
        <v>413</v>
      </c>
      <c r="DA40" s="526" t="s">
        <v>422</v>
      </c>
      <c r="DB40" s="529">
        <v>1.0</v>
      </c>
      <c r="DC40" s="523" t="s">
        <v>413</v>
      </c>
      <c r="DD40" s="526" t="s">
        <v>422</v>
      </c>
      <c r="DE40" s="529">
        <v>1.0</v>
      </c>
      <c r="DF40" s="523" t="s">
        <v>413</v>
      </c>
      <c r="DG40" s="526" t="s">
        <v>422</v>
      </c>
      <c r="DH40" s="529">
        <v>1.0</v>
      </c>
      <c r="DI40" s="523" t="s">
        <v>413</v>
      </c>
      <c r="DJ40" s="526" t="s">
        <v>422</v>
      </c>
      <c r="DK40" s="529">
        <v>1.0</v>
      </c>
      <c r="DL40" s="523" t="s">
        <v>413</v>
      </c>
      <c r="DM40" s="526" t="s">
        <v>422</v>
      </c>
      <c r="DN40" s="529">
        <v>1.0</v>
      </c>
    </row>
    <row r="41" ht="15.0" hidden="1" customHeight="1">
      <c r="A41" s="53">
        <v>40.0</v>
      </c>
      <c r="B41" s="209" t="s">
        <v>206</v>
      </c>
      <c r="C41" s="210"/>
      <c r="D41" s="211"/>
      <c r="E41" s="211"/>
      <c r="F41" s="211"/>
      <c r="G41" s="211"/>
      <c r="H41" s="213"/>
      <c r="I41" s="211"/>
      <c r="J41" s="211"/>
      <c r="K41" s="214"/>
      <c r="L41" s="606"/>
      <c r="M41" s="211"/>
      <c r="N41" s="211"/>
      <c r="O41" s="211"/>
      <c r="P41" s="522"/>
      <c r="Q41" s="607"/>
      <c r="R41" s="608"/>
      <c r="S41" s="609"/>
      <c r="T41" s="607"/>
      <c r="U41" s="608"/>
      <c r="V41" s="609"/>
      <c r="W41" s="770"/>
      <c r="X41" s="771"/>
      <c r="Y41" s="772"/>
      <c r="Z41" s="770"/>
      <c r="AA41" s="771"/>
      <c r="AB41" s="772"/>
      <c r="AC41" s="770"/>
      <c r="AD41" s="771"/>
      <c r="AE41" s="772"/>
      <c r="AF41" s="773"/>
      <c r="AG41" s="773"/>
      <c r="AH41" s="773"/>
      <c r="AI41" s="773"/>
      <c r="AJ41" s="773"/>
      <c r="AK41" s="773"/>
      <c r="AL41" s="773"/>
      <c r="AM41" s="773"/>
      <c r="AN41" s="773"/>
      <c r="AO41" s="773"/>
      <c r="AP41" s="773"/>
      <c r="AQ41" s="773"/>
      <c r="AR41" s="773"/>
      <c r="AS41" s="773"/>
      <c r="AT41" s="773"/>
      <c r="AU41" s="773"/>
      <c r="AV41" s="773"/>
      <c r="AW41" s="773"/>
      <c r="AX41" s="773"/>
      <c r="AY41" s="773"/>
      <c r="AZ41" s="773"/>
      <c r="BA41" s="773"/>
      <c r="BB41" s="773"/>
      <c r="BC41" s="773"/>
      <c r="BD41" s="773"/>
      <c r="BE41" s="773"/>
      <c r="BF41" s="773"/>
      <c r="BG41" s="773"/>
      <c r="BH41" s="773"/>
      <c r="BI41" s="773"/>
      <c r="BJ41" s="773"/>
      <c r="BK41" s="773"/>
      <c r="BL41" s="773"/>
      <c r="BM41" s="773"/>
      <c r="BN41" s="773"/>
      <c r="BO41" s="773"/>
      <c r="BP41" s="773"/>
      <c r="BQ41" s="773"/>
      <c r="BR41" s="773"/>
      <c r="BS41" s="773"/>
      <c r="BT41" s="773"/>
      <c r="BU41" s="773"/>
      <c r="BV41" s="773"/>
      <c r="BW41" s="773"/>
      <c r="BX41" s="773"/>
      <c r="BY41" s="773"/>
      <c r="BZ41" s="773"/>
      <c r="CA41" s="773"/>
      <c r="CB41" s="773"/>
      <c r="CC41" s="773"/>
      <c r="CD41" s="773"/>
      <c r="CE41" s="773"/>
      <c r="CF41" s="773"/>
      <c r="CG41" s="773"/>
      <c r="CH41" s="773"/>
      <c r="CI41" s="773"/>
      <c r="CJ41" s="773"/>
      <c r="CK41" s="773"/>
      <c r="CL41" s="773"/>
      <c r="CM41" s="773"/>
      <c r="CN41" s="773"/>
      <c r="CO41" s="773"/>
      <c r="CP41" s="773"/>
      <c r="CQ41" s="773"/>
      <c r="CR41" s="773"/>
      <c r="CS41" s="773"/>
      <c r="CT41" s="773"/>
      <c r="CU41" s="773"/>
      <c r="CV41" s="773"/>
      <c r="CW41" s="773"/>
      <c r="CX41" s="773"/>
      <c r="CY41" s="773"/>
      <c r="CZ41" s="773"/>
      <c r="DA41" s="773"/>
      <c r="DB41" s="773"/>
      <c r="DC41" s="773"/>
      <c r="DD41" s="773"/>
      <c r="DE41" s="773"/>
      <c r="DF41" s="773"/>
      <c r="DG41" s="773"/>
      <c r="DH41" s="773"/>
      <c r="DI41" s="773"/>
      <c r="DJ41" s="773"/>
      <c r="DK41" s="773"/>
      <c r="DL41" s="773"/>
      <c r="DM41" s="773"/>
      <c r="DN41" s="773"/>
    </row>
    <row r="42" ht="15.0" customHeight="1">
      <c r="A42" s="53">
        <v>39.0</v>
      </c>
      <c r="B42" s="145" t="s">
        <v>204</v>
      </c>
      <c r="C42" s="145" t="s">
        <v>205</v>
      </c>
      <c r="D42" s="101" t="str">
        <f>MID(B42,17,4)</f>
        <v>DATA</v>
      </c>
      <c r="E42" s="101" t="s">
        <v>154</v>
      </c>
      <c r="F42" s="101">
        <v>1112.0</v>
      </c>
      <c r="G42" s="101" t="s">
        <v>155</v>
      </c>
      <c r="H42" s="517">
        <v>1129.0</v>
      </c>
      <c r="I42" s="68" t="str">
        <f>IFERROR(VLOOKUP(C:C,'R22 RELATÓRIO ACC'!B:F,5,FALSE),"NOT PUBLISHED")</f>
        <v>V52</v>
      </c>
      <c r="J42" s="68" t="str">
        <f>IFERROR(VLOOKUP(C:C,'R22 RELATÓRIO ACC'!B:P,15,FALSE),"NOT PUBLISHED")</f>
        <v>30/04/2026</v>
      </c>
      <c r="K42" s="70" t="str">
        <f>IFERROR(VLOOKUP(B:B,'RELATÓRIO ACC'!B:F,5,FALSE),"NOT PUBLISHED")</f>
        <v>V4</v>
      </c>
      <c r="L42" s="518" t="str">
        <f>IFERROR(VLOOKUP(B:B,'RELATÓRIO ACC'!B:P,15,FALSE),"NOT PUBLISHED")</f>
        <v>06/07/2026</v>
      </c>
      <c r="M42" s="519" t="s">
        <v>440</v>
      </c>
      <c r="N42" s="569" t="s">
        <v>435</v>
      </c>
      <c r="O42" s="538" t="s">
        <v>410</v>
      </c>
      <c r="P42" s="587" t="s">
        <v>461</v>
      </c>
      <c r="Q42" s="523" t="s">
        <v>381</v>
      </c>
      <c r="R42" s="526" t="s">
        <v>421</v>
      </c>
      <c r="S42" s="546">
        <v>0.09</v>
      </c>
      <c r="T42" s="523" t="s">
        <v>379</v>
      </c>
      <c r="U42" s="526">
        <v>0.0</v>
      </c>
      <c r="V42" s="530" t="s">
        <v>379</v>
      </c>
      <c r="W42" s="530" t="s">
        <v>381</v>
      </c>
      <c r="X42" s="544" t="s">
        <v>421</v>
      </c>
      <c r="Y42" s="546">
        <v>0.19</v>
      </c>
      <c r="Z42" s="530" t="s">
        <v>383</v>
      </c>
      <c r="AA42" s="690" t="s">
        <v>438</v>
      </c>
      <c r="AB42" s="530" t="s">
        <v>383</v>
      </c>
      <c r="AC42" s="530" t="s">
        <v>381</v>
      </c>
      <c r="AD42" s="690" t="s">
        <v>431</v>
      </c>
      <c r="AE42" s="77">
        <v>0.38</v>
      </c>
      <c r="AF42" s="528" t="s">
        <v>398</v>
      </c>
      <c r="AG42" s="550" t="s">
        <v>442</v>
      </c>
      <c r="AH42" s="528" t="s">
        <v>398</v>
      </c>
      <c r="AI42" s="523" t="s">
        <v>383</v>
      </c>
      <c r="AJ42" s="526" t="s">
        <v>431</v>
      </c>
      <c r="AK42" s="528" t="s">
        <v>383</v>
      </c>
      <c r="AL42" s="523" t="s">
        <v>381</v>
      </c>
      <c r="AM42" s="526" t="s">
        <v>443</v>
      </c>
      <c r="AN42" s="568">
        <v>0.43</v>
      </c>
      <c r="AO42" s="523" t="s">
        <v>381</v>
      </c>
      <c r="AP42" s="526" t="s">
        <v>444</v>
      </c>
      <c r="AQ42" s="568">
        <v>0.95</v>
      </c>
      <c r="AR42" s="523" t="s">
        <v>386</v>
      </c>
      <c r="AS42" s="526" t="s">
        <v>440</v>
      </c>
      <c r="AT42" s="568">
        <v>1.0</v>
      </c>
      <c r="AU42" s="523" t="s">
        <v>413</v>
      </c>
      <c r="AV42" s="526" t="s">
        <v>440</v>
      </c>
      <c r="AW42" s="568">
        <v>1.0</v>
      </c>
      <c r="AX42" s="523" t="s">
        <v>413</v>
      </c>
      <c r="AY42" s="526" t="s">
        <v>440</v>
      </c>
      <c r="AZ42" s="568">
        <v>1.0</v>
      </c>
      <c r="BA42" s="523" t="s">
        <v>413</v>
      </c>
      <c r="BB42" s="526" t="s">
        <v>440</v>
      </c>
      <c r="BC42" s="568">
        <v>1.0</v>
      </c>
      <c r="BD42" s="523" t="s">
        <v>413</v>
      </c>
      <c r="BE42" s="526" t="s">
        <v>440</v>
      </c>
      <c r="BF42" s="568">
        <v>1.0</v>
      </c>
      <c r="BG42" s="523" t="s">
        <v>413</v>
      </c>
      <c r="BH42" s="526" t="s">
        <v>440</v>
      </c>
      <c r="BI42" s="568">
        <v>1.0</v>
      </c>
      <c r="BJ42" s="523" t="s">
        <v>413</v>
      </c>
      <c r="BK42" s="526" t="s">
        <v>440</v>
      </c>
      <c r="BL42" s="568">
        <v>1.0</v>
      </c>
      <c r="BM42" s="523" t="s">
        <v>413</v>
      </c>
      <c r="BN42" s="526" t="s">
        <v>440</v>
      </c>
      <c r="BO42" s="568">
        <v>1.0</v>
      </c>
      <c r="BP42" s="523" t="s">
        <v>413</v>
      </c>
      <c r="BQ42" s="526" t="s">
        <v>440</v>
      </c>
      <c r="BR42" s="568">
        <v>1.0</v>
      </c>
      <c r="BS42" s="523" t="s">
        <v>413</v>
      </c>
      <c r="BT42" s="526" t="s">
        <v>440</v>
      </c>
      <c r="BU42" s="568">
        <v>1.0</v>
      </c>
      <c r="BV42" s="523" t="s">
        <v>413</v>
      </c>
      <c r="BW42" s="526" t="s">
        <v>440</v>
      </c>
      <c r="BX42" s="568">
        <v>1.0</v>
      </c>
      <c r="BY42" s="523" t="s">
        <v>413</v>
      </c>
      <c r="BZ42" s="526" t="s">
        <v>440</v>
      </c>
      <c r="CA42" s="568">
        <v>1.0</v>
      </c>
      <c r="CB42" s="523" t="s">
        <v>413</v>
      </c>
      <c r="CC42" s="526" t="s">
        <v>440</v>
      </c>
      <c r="CD42" s="568">
        <v>1.0</v>
      </c>
      <c r="CE42" s="523" t="s">
        <v>413</v>
      </c>
      <c r="CF42" s="526" t="s">
        <v>440</v>
      </c>
      <c r="CG42" s="568">
        <v>1.0</v>
      </c>
      <c r="CH42" s="523" t="s">
        <v>413</v>
      </c>
      <c r="CI42" s="526" t="s">
        <v>440</v>
      </c>
      <c r="CJ42" s="568">
        <v>1.0</v>
      </c>
      <c r="CK42" s="523" t="s">
        <v>413</v>
      </c>
      <c r="CL42" s="526" t="s">
        <v>440</v>
      </c>
      <c r="CM42" s="568">
        <v>1.0</v>
      </c>
      <c r="CN42" s="523" t="s">
        <v>413</v>
      </c>
      <c r="CO42" s="526" t="s">
        <v>440</v>
      </c>
      <c r="CP42" s="568">
        <v>1.0</v>
      </c>
      <c r="CQ42" s="523" t="s">
        <v>413</v>
      </c>
      <c r="CR42" s="526" t="s">
        <v>440</v>
      </c>
      <c r="CS42" s="568">
        <v>1.0</v>
      </c>
      <c r="CT42" s="523" t="s">
        <v>413</v>
      </c>
      <c r="CU42" s="526" t="s">
        <v>440</v>
      </c>
      <c r="CV42" s="568">
        <v>1.0</v>
      </c>
      <c r="CW42" s="523" t="s">
        <v>413</v>
      </c>
      <c r="CX42" s="526" t="s">
        <v>440</v>
      </c>
      <c r="CY42" s="568">
        <v>1.0</v>
      </c>
      <c r="CZ42" s="523" t="s">
        <v>413</v>
      </c>
      <c r="DA42" s="526" t="s">
        <v>440</v>
      </c>
      <c r="DB42" s="568">
        <v>1.0</v>
      </c>
      <c r="DC42" s="523" t="s">
        <v>413</v>
      </c>
      <c r="DD42" s="526" t="s">
        <v>440</v>
      </c>
      <c r="DE42" s="568">
        <v>1.0</v>
      </c>
      <c r="DF42" s="523" t="s">
        <v>413</v>
      </c>
      <c r="DG42" s="526" t="s">
        <v>440</v>
      </c>
      <c r="DH42" s="568">
        <v>1.0</v>
      </c>
      <c r="DI42" s="523" t="s">
        <v>413</v>
      </c>
      <c r="DJ42" s="526" t="s">
        <v>440</v>
      </c>
      <c r="DK42" s="568">
        <v>1.0</v>
      </c>
      <c r="DL42" s="523" t="s">
        <v>413</v>
      </c>
      <c r="DM42" s="526" t="s">
        <v>440</v>
      </c>
      <c r="DN42" s="568">
        <v>1.0</v>
      </c>
    </row>
    <row r="43" ht="15.0" hidden="1" customHeight="1">
      <c r="A43" s="53">
        <v>42.0</v>
      </c>
      <c r="B43" s="209" t="s">
        <v>211</v>
      </c>
      <c r="C43" s="210"/>
      <c r="D43" s="211"/>
      <c r="E43" s="211"/>
      <c r="F43" s="211"/>
      <c r="G43" s="211"/>
      <c r="H43" s="213"/>
      <c r="I43" s="211"/>
      <c r="J43" s="211"/>
      <c r="K43" s="214"/>
      <c r="L43" s="606"/>
      <c r="M43" s="211"/>
      <c r="N43" s="211"/>
      <c r="O43" s="211"/>
      <c r="P43" s="522"/>
      <c r="Q43" s="607"/>
      <c r="R43" s="608"/>
      <c r="S43" s="609"/>
      <c r="T43" s="607"/>
      <c r="U43" s="608"/>
      <c r="V43" s="609"/>
      <c r="W43" s="770"/>
      <c r="X43" s="771"/>
      <c r="Y43" s="772"/>
      <c r="Z43" s="770"/>
      <c r="AA43" s="771"/>
      <c r="AB43" s="772"/>
      <c r="AC43" s="770"/>
      <c r="AD43" s="771"/>
      <c r="AE43" s="772"/>
      <c r="AF43" s="773"/>
      <c r="AG43" s="773"/>
      <c r="AH43" s="773"/>
      <c r="AI43" s="773"/>
      <c r="AJ43" s="773"/>
      <c r="AK43" s="773"/>
      <c r="AL43" s="773"/>
      <c r="AM43" s="773"/>
      <c r="AN43" s="773"/>
      <c r="AO43" s="773"/>
      <c r="AP43" s="773"/>
      <c r="AQ43" s="773"/>
      <c r="AR43" s="773"/>
      <c r="AS43" s="773"/>
      <c r="AT43" s="773"/>
      <c r="AU43" s="773"/>
      <c r="AV43" s="773"/>
      <c r="AW43" s="773"/>
      <c r="AX43" s="773"/>
      <c r="AY43" s="773"/>
      <c r="AZ43" s="773"/>
      <c r="BA43" s="773"/>
      <c r="BB43" s="773"/>
      <c r="BC43" s="773"/>
      <c r="BD43" s="773"/>
      <c r="BE43" s="773"/>
      <c r="BF43" s="773"/>
      <c r="BG43" s="773"/>
      <c r="BH43" s="773"/>
      <c r="BI43" s="773"/>
      <c r="BJ43" s="773"/>
      <c r="BK43" s="773"/>
      <c r="BL43" s="773"/>
      <c r="BM43" s="773"/>
      <c r="BN43" s="773"/>
      <c r="BO43" s="773"/>
      <c r="BP43" s="773"/>
      <c r="BQ43" s="773"/>
      <c r="BR43" s="773"/>
      <c r="BS43" s="773"/>
      <c r="BT43" s="773"/>
      <c r="BU43" s="773"/>
      <c r="BV43" s="773"/>
      <c r="BW43" s="773"/>
      <c r="BX43" s="773"/>
      <c r="BY43" s="773"/>
      <c r="BZ43" s="773"/>
      <c r="CA43" s="773"/>
      <c r="CB43" s="773"/>
      <c r="CC43" s="773"/>
      <c r="CD43" s="773"/>
      <c r="CE43" s="773"/>
      <c r="CF43" s="773"/>
      <c r="CG43" s="773"/>
      <c r="CH43" s="773"/>
      <c r="CI43" s="773"/>
      <c r="CJ43" s="773"/>
      <c r="CK43" s="773"/>
      <c r="CL43" s="773"/>
      <c r="CM43" s="773"/>
      <c r="CN43" s="773"/>
      <c r="CO43" s="773"/>
      <c r="CP43" s="773"/>
      <c r="CQ43" s="773"/>
      <c r="CR43" s="773"/>
      <c r="CS43" s="773"/>
      <c r="CT43" s="773"/>
      <c r="CU43" s="773"/>
      <c r="CV43" s="773"/>
      <c r="CW43" s="773"/>
      <c r="CX43" s="773"/>
      <c r="CY43" s="773"/>
      <c r="CZ43" s="773"/>
      <c r="DA43" s="773"/>
      <c r="DB43" s="773"/>
      <c r="DC43" s="773"/>
      <c r="DD43" s="773"/>
      <c r="DE43" s="773"/>
      <c r="DF43" s="773"/>
      <c r="DG43" s="773"/>
      <c r="DH43" s="773"/>
      <c r="DI43" s="773"/>
      <c r="DJ43" s="773"/>
      <c r="DK43" s="773"/>
      <c r="DL43" s="773"/>
      <c r="DM43" s="773"/>
      <c r="DN43" s="773"/>
    </row>
    <row r="44" ht="15.0" customHeight="1">
      <c r="A44" s="53">
        <v>41.0</v>
      </c>
      <c r="B44" s="100" t="s">
        <v>207</v>
      </c>
      <c r="C44" s="100" t="s">
        <v>208</v>
      </c>
      <c r="D44" s="101" t="str">
        <f>MID(B44,17,4)</f>
        <v>DATA</v>
      </c>
      <c r="E44" s="101" t="s">
        <v>154</v>
      </c>
      <c r="F44" s="102" t="s">
        <v>154</v>
      </c>
      <c r="G44" s="517" t="s">
        <v>154</v>
      </c>
      <c r="H44" s="517"/>
      <c r="I44" s="68" t="str">
        <f>IFERROR(VLOOKUP(C:C,'R22 RELATÓRIO ACC'!B:F,5,FALSE),"NOT PUBLISHED")</f>
        <v>V13</v>
      </c>
      <c r="J44" s="68" t="str">
        <f>IFERROR(VLOOKUP(C:C,'R22 RELATÓRIO ACC'!B:P,15,FALSE),"NOT PUBLISHED")</f>
        <v>12/05/2026</v>
      </c>
      <c r="K44" s="70" t="str">
        <f>IFERROR(VLOOKUP(B:B,'RELATÓRIO ACC'!B:F,5,FALSE),"NOT PUBLISHED")</f>
        <v>V5</v>
      </c>
      <c r="L44" s="518" t="str">
        <f>IFERROR(VLOOKUP(B:B,'RELATÓRIO ACC'!B:P,15,FALSE),"NOT PUBLISHED")</f>
        <v>13/07/2026</v>
      </c>
      <c r="M44" s="519" t="s">
        <v>411</v>
      </c>
      <c r="N44" s="520">
        <v>46008.0</v>
      </c>
      <c r="O44" s="538" t="s">
        <v>410</v>
      </c>
      <c r="P44" s="587"/>
      <c r="Q44" s="523" t="s">
        <v>388</v>
      </c>
      <c r="R44" s="524" t="s">
        <v>380</v>
      </c>
      <c r="S44" s="525" t="s">
        <v>388</v>
      </c>
      <c r="T44" s="523" t="s">
        <v>388</v>
      </c>
      <c r="U44" s="524" t="s">
        <v>380</v>
      </c>
      <c r="V44" s="523" t="s">
        <v>388</v>
      </c>
      <c r="W44" s="530" t="s">
        <v>388</v>
      </c>
      <c r="X44" s="735" t="s">
        <v>380</v>
      </c>
      <c r="Y44" s="530" t="s">
        <v>388</v>
      </c>
      <c r="Z44" s="530" t="s">
        <v>388</v>
      </c>
      <c r="AA44" s="544" t="s">
        <v>380</v>
      </c>
      <c r="AB44" s="740" t="s">
        <v>388</v>
      </c>
      <c r="AC44" s="530" t="s">
        <v>398</v>
      </c>
      <c r="AD44" s="544" t="s">
        <v>387</v>
      </c>
      <c r="AE44" s="740" t="s">
        <v>398</v>
      </c>
      <c r="AF44" s="523" t="s">
        <v>381</v>
      </c>
      <c r="AG44" s="526" t="s">
        <v>400</v>
      </c>
      <c r="AH44" s="529">
        <v>0.01</v>
      </c>
      <c r="AI44" s="523" t="s">
        <v>379</v>
      </c>
      <c r="AJ44" s="526" t="s">
        <v>400</v>
      </c>
      <c r="AK44" s="523" t="s">
        <v>379</v>
      </c>
      <c r="AL44" s="523" t="s">
        <v>383</v>
      </c>
      <c r="AM44" s="526" t="s">
        <v>400</v>
      </c>
      <c r="AN44" s="523" t="s">
        <v>383</v>
      </c>
      <c r="AO44" s="523" t="s">
        <v>386</v>
      </c>
      <c r="AP44" s="526" t="s">
        <v>411</v>
      </c>
      <c r="AQ44" s="529">
        <v>1.0</v>
      </c>
      <c r="AR44" s="523" t="s">
        <v>413</v>
      </c>
      <c r="AS44" s="526" t="s">
        <v>411</v>
      </c>
      <c r="AT44" s="529">
        <v>1.0</v>
      </c>
      <c r="AU44" s="523" t="s">
        <v>413</v>
      </c>
      <c r="AV44" s="526" t="s">
        <v>411</v>
      </c>
      <c r="AW44" s="529">
        <v>1.0</v>
      </c>
      <c r="AX44" s="523" t="s">
        <v>413</v>
      </c>
      <c r="AY44" s="526" t="s">
        <v>411</v>
      </c>
      <c r="AZ44" s="529">
        <v>1.0</v>
      </c>
      <c r="BA44" s="523" t="s">
        <v>413</v>
      </c>
      <c r="BB44" s="526" t="s">
        <v>411</v>
      </c>
      <c r="BC44" s="529">
        <v>1.0</v>
      </c>
      <c r="BD44" s="523" t="s">
        <v>413</v>
      </c>
      <c r="BE44" s="526" t="s">
        <v>411</v>
      </c>
      <c r="BF44" s="529">
        <v>1.0</v>
      </c>
      <c r="BG44" s="523" t="s">
        <v>413</v>
      </c>
      <c r="BH44" s="526" t="s">
        <v>411</v>
      </c>
      <c r="BI44" s="529">
        <v>1.0</v>
      </c>
      <c r="BJ44" s="523" t="s">
        <v>413</v>
      </c>
      <c r="BK44" s="526" t="s">
        <v>411</v>
      </c>
      <c r="BL44" s="529">
        <v>1.0</v>
      </c>
      <c r="BM44" s="523" t="s">
        <v>413</v>
      </c>
      <c r="BN44" s="526" t="s">
        <v>411</v>
      </c>
      <c r="BO44" s="529">
        <v>1.0</v>
      </c>
      <c r="BP44" s="523" t="s">
        <v>413</v>
      </c>
      <c r="BQ44" s="526" t="s">
        <v>411</v>
      </c>
      <c r="BR44" s="529">
        <v>1.0</v>
      </c>
      <c r="BS44" s="523" t="s">
        <v>413</v>
      </c>
      <c r="BT44" s="526" t="s">
        <v>411</v>
      </c>
      <c r="BU44" s="529">
        <v>1.0</v>
      </c>
      <c r="BV44" s="523" t="s">
        <v>413</v>
      </c>
      <c r="BW44" s="526" t="s">
        <v>411</v>
      </c>
      <c r="BX44" s="529">
        <v>1.0</v>
      </c>
      <c r="BY44" s="523" t="s">
        <v>413</v>
      </c>
      <c r="BZ44" s="526" t="s">
        <v>411</v>
      </c>
      <c r="CA44" s="529">
        <v>1.0</v>
      </c>
      <c r="CB44" s="523" t="s">
        <v>413</v>
      </c>
      <c r="CC44" s="526" t="s">
        <v>411</v>
      </c>
      <c r="CD44" s="529">
        <v>1.0</v>
      </c>
      <c r="CE44" s="523" t="s">
        <v>413</v>
      </c>
      <c r="CF44" s="526" t="s">
        <v>411</v>
      </c>
      <c r="CG44" s="529">
        <v>1.0</v>
      </c>
      <c r="CH44" s="523" t="s">
        <v>413</v>
      </c>
      <c r="CI44" s="526" t="s">
        <v>411</v>
      </c>
      <c r="CJ44" s="529">
        <v>1.0</v>
      </c>
      <c r="CK44" s="523" t="s">
        <v>413</v>
      </c>
      <c r="CL44" s="526" t="s">
        <v>411</v>
      </c>
      <c r="CM44" s="529">
        <v>1.0</v>
      </c>
      <c r="CN44" s="523" t="s">
        <v>413</v>
      </c>
      <c r="CO44" s="526" t="s">
        <v>411</v>
      </c>
      <c r="CP44" s="529">
        <v>1.0</v>
      </c>
      <c r="CQ44" s="523" t="s">
        <v>413</v>
      </c>
      <c r="CR44" s="526" t="s">
        <v>411</v>
      </c>
      <c r="CS44" s="529">
        <v>1.0</v>
      </c>
      <c r="CT44" s="523" t="s">
        <v>413</v>
      </c>
      <c r="CU44" s="526" t="s">
        <v>411</v>
      </c>
      <c r="CV44" s="529">
        <v>1.0</v>
      </c>
      <c r="CW44" s="523" t="s">
        <v>413</v>
      </c>
      <c r="CX44" s="526" t="s">
        <v>411</v>
      </c>
      <c r="CY44" s="529">
        <v>1.0</v>
      </c>
      <c r="CZ44" s="523" t="s">
        <v>413</v>
      </c>
      <c r="DA44" s="526" t="s">
        <v>411</v>
      </c>
      <c r="DB44" s="529">
        <v>1.0</v>
      </c>
      <c r="DC44" s="523" t="s">
        <v>413</v>
      </c>
      <c r="DD44" s="526" t="s">
        <v>411</v>
      </c>
      <c r="DE44" s="529">
        <v>1.0</v>
      </c>
      <c r="DF44" s="523" t="s">
        <v>413</v>
      </c>
      <c r="DG44" s="526" t="s">
        <v>411</v>
      </c>
      <c r="DH44" s="529">
        <v>1.0</v>
      </c>
      <c r="DI44" s="523" t="s">
        <v>413</v>
      </c>
      <c r="DJ44" s="526" t="s">
        <v>411</v>
      </c>
      <c r="DK44" s="529">
        <v>1.0</v>
      </c>
      <c r="DL44" s="523" t="s">
        <v>413</v>
      </c>
      <c r="DM44" s="526" t="s">
        <v>411</v>
      </c>
      <c r="DN44" s="529">
        <v>1.0</v>
      </c>
    </row>
    <row r="45" ht="15.0" hidden="1" customHeight="1">
      <c r="A45" s="53">
        <v>44.0</v>
      </c>
      <c r="B45" s="230" t="s">
        <v>215</v>
      </c>
      <c r="C45" s="231"/>
      <c r="D45" s="232"/>
      <c r="E45" s="232"/>
      <c r="F45" s="232"/>
      <c r="G45" s="232"/>
      <c r="H45" s="234"/>
      <c r="I45" s="232"/>
      <c r="J45" s="232"/>
      <c r="K45" s="235"/>
      <c r="L45" s="613"/>
      <c r="M45" s="232"/>
      <c r="N45" s="232"/>
      <c r="O45" s="232"/>
      <c r="P45" s="522"/>
      <c r="Q45" s="614"/>
      <c r="R45" s="615"/>
      <c r="S45" s="616"/>
      <c r="T45" s="614"/>
      <c r="U45" s="615"/>
      <c r="V45" s="616"/>
      <c r="W45" s="774"/>
      <c r="X45" s="775"/>
      <c r="Y45" s="776"/>
      <c r="Z45" s="774"/>
      <c r="AA45" s="775"/>
      <c r="AB45" s="776"/>
      <c r="AC45" s="774"/>
      <c r="AD45" s="775"/>
      <c r="AE45" s="776"/>
      <c r="AF45" s="777"/>
      <c r="AG45" s="777"/>
      <c r="AH45" s="777"/>
      <c r="AI45" s="777"/>
      <c r="AJ45" s="777"/>
      <c r="AK45" s="777"/>
      <c r="AL45" s="777"/>
      <c r="AM45" s="777"/>
      <c r="AN45" s="777"/>
      <c r="AO45" s="777"/>
      <c r="AP45" s="777"/>
      <c r="AQ45" s="777"/>
      <c r="AR45" s="777"/>
      <c r="AS45" s="777"/>
      <c r="AT45" s="777"/>
      <c r="AU45" s="777"/>
      <c r="AV45" s="777"/>
      <c r="AW45" s="777"/>
      <c r="AX45" s="777"/>
      <c r="AY45" s="777"/>
      <c r="AZ45" s="777"/>
      <c r="BA45" s="777"/>
      <c r="BB45" s="777"/>
      <c r="BC45" s="777"/>
      <c r="BD45" s="777"/>
      <c r="BE45" s="777"/>
      <c r="BF45" s="777"/>
      <c r="BG45" s="777"/>
      <c r="BH45" s="777"/>
      <c r="BI45" s="777"/>
      <c r="BJ45" s="777"/>
      <c r="BK45" s="777"/>
      <c r="BL45" s="777"/>
      <c r="BM45" s="777"/>
      <c r="BN45" s="777"/>
      <c r="BO45" s="777"/>
      <c r="BP45" s="777"/>
      <c r="BQ45" s="777"/>
      <c r="BR45" s="777"/>
      <c r="BS45" s="777"/>
      <c r="BT45" s="777"/>
      <c r="BU45" s="777"/>
      <c r="BV45" s="777"/>
      <c r="BW45" s="777"/>
      <c r="BX45" s="777"/>
      <c r="BY45" s="777"/>
      <c r="BZ45" s="777"/>
      <c r="CA45" s="777"/>
      <c r="CB45" s="777"/>
      <c r="CC45" s="777"/>
      <c r="CD45" s="777"/>
      <c r="CE45" s="777"/>
      <c r="CF45" s="777"/>
      <c r="CG45" s="777"/>
      <c r="CH45" s="777"/>
      <c r="CI45" s="777"/>
      <c r="CJ45" s="777"/>
      <c r="CK45" s="777"/>
      <c r="CL45" s="777"/>
      <c r="CM45" s="777"/>
      <c r="CN45" s="777"/>
      <c r="CO45" s="777"/>
      <c r="CP45" s="777"/>
      <c r="CQ45" s="777"/>
      <c r="CR45" s="777"/>
      <c r="CS45" s="777"/>
      <c r="CT45" s="777"/>
      <c r="CU45" s="777"/>
      <c r="CV45" s="777"/>
      <c r="CW45" s="777"/>
      <c r="CX45" s="777"/>
      <c r="CY45" s="777"/>
      <c r="CZ45" s="777"/>
      <c r="DA45" s="777"/>
      <c r="DB45" s="777"/>
      <c r="DC45" s="777"/>
      <c r="DD45" s="777"/>
      <c r="DE45" s="777"/>
      <c r="DF45" s="777"/>
      <c r="DG45" s="777"/>
      <c r="DH45" s="777"/>
      <c r="DI45" s="777"/>
      <c r="DJ45" s="777"/>
      <c r="DK45" s="777"/>
      <c r="DL45" s="777"/>
      <c r="DM45" s="777"/>
      <c r="DN45" s="777"/>
    </row>
    <row r="46" ht="15.0" customHeight="1">
      <c r="A46" s="53">
        <v>25.0</v>
      </c>
      <c r="B46" s="100" t="s">
        <v>163</v>
      </c>
      <c r="C46" s="100" t="s">
        <v>164</v>
      </c>
      <c r="D46" s="101" t="str">
        <f>MID(B46,17,4)</f>
        <v>DATA</v>
      </c>
      <c r="E46" s="101" t="s">
        <v>165</v>
      </c>
      <c r="F46" s="102">
        <v>1114.0</v>
      </c>
      <c r="G46" s="517" t="s">
        <v>165</v>
      </c>
      <c r="H46" s="517">
        <v>1114.0</v>
      </c>
      <c r="I46" s="68" t="str">
        <f>IFERROR(VLOOKUP(C:C,'R22 RELATÓRIO ACC'!B:F,5,FALSE),"NOT PUBLISHED")</f>
        <v>V15</v>
      </c>
      <c r="J46" s="68" t="str">
        <f>IFERROR(VLOOKUP(C:C,'R22 RELATÓRIO ACC'!B:P,15,FALSE),"NOT PUBLISHED")</f>
        <v>27/04/2026</v>
      </c>
      <c r="K46" s="70" t="str">
        <f>IFERROR(VLOOKUP(B:B,'RELATÓRIO ACC'!B:F,5,FALSE),"NOT PUBLISHED")</f>
        <v>V3</v>
      </c>
      <c r="L46" s="518" t="str">
        <f>IFERROR(VLOOKUP(B:B,'RELATÓRIO ACC'!B:P,15,FALSE),"NOT PUBLISHED")</f>
        <v>12/07/2026</v>
      </c>
      <c r="M46" s="519" t="s">
        <v>414</v>
      </c>
      <c r="N46" s="569" t="s">
        <v>433</v>
      </c>
      <c r="O46" s="538" t="s">
        <v>410</v>
      </c>
      <c r="P46" s="587"/>
      <c r="Q46" s="523" t="s">
        <v>379</v>
      </c>
      <c r="R46" s="558">
        <v>0.0</v>
      </c>
      <c r="S46" s="523" t="s">
        <v>379</v>
      </c>
      <c r="T46" s="523" t="s">
        <v>381</v>
      </c>
      <c r="U46" s="550" t="s">
        <v>421</v>
      </c>
      <c r="V46" s="546">
        <v>0.18</v>
      </c>
      <c r="W46" s="530" t="s">
        <v>379</v>
      </c>
      <c r="X46" s="760">
        <v>0.0</v>
      </c>
      <c r="Y46" s="530" t="s">
        <v>379</v>
      </c>
      <c r="Z46" s="734" t="s">
        <v>379</v>
      </c>
      <c r="AA46" s="690" t="s">
        <v>417</v>
      </c>
      <c r="AB46" s="740" t="s">
        <v>379</v>
      </c>
      <c r="AC46" s="734" t="s">
        <v>379</v>
      </c>
      <c r="AD46" s="735" t="s">
        <v>417</v>
      </c>
      <c r="AE46" s="530" t="s">
        <v>379</v>
      </c>
      <c r="AF46" s="531" t="s">
        <v>383</v>
      </c>
      <c r="AG46" s="735" t="s">
        <v>417</v>
      </c>
      <c r="AH46" s="531" t="s">
        <v>383</v>
      </c>
      <c r="AI46" s="523" t="s">
        <v>381</v>
      </c>
      <c r="AJ46" s="526" t="s">
        <v>414</v>
      </c>
      <c r="AK46" s="532">
        <v>0.94</v>
      </c>
      <c r="AL46" s="523" t="s">
        <v>379</v>
      </c>
      <c r="AM46" s="526" t="s">
        <v>414</v>
      </c>
      <c r="AN46" s="528" t="s">
        <v>379</v>
      </c>
      <c r="AO46" s="523" t="s">
        <v>386</v>
      </c>
      <c r="AP46" s="526" t="s">
        <v>414</v>
      </c>
      <c r="AQ46" s="532">
        <v>1.0</v>
      </c>
      <c r="AR46" s="523" t="s">
        <v>413</v>
      </c>
      <c r="AS46" s="526" t="s">
        <v>414</v>
      </c>
      <c r="AT46" s="532">
        <v>1.0</v>
      </c>
      <c r="AU46" s="523" t="s">
        <v>413</v>
      </c>
      <c r="AV46" s="526" t="s">
        <v>414</v>
      </c>
      <c r="AW46" s="532">
        <v>1.0</v>
      </c>
      <c r="AX46" s="523" t="s">
        <v>413</v>
      </c>
      <c r="AY46" s="528" t="s">
        <v>414</v>
      </c>
      <c r="AZ46" s="529">
        <v>1.0</v>
      </c>
      <c r="BA46" s="523" t="s">
        <v>413</v>
      </c>
      <c r="BB46" s="528" t="s">
        <v>414</v>
      </c>
      <c r="BC46" s="529">
        <v>1.0</v>
      </c>
      <c r="BD46" s="523" t="s">
        <v>413</v>
      </c>
      <c r="BE46" s="528" t="s">
        <v>414</v>
      </c>
      <c r="BF46" s="529">
        <v>1.0</v>
      </c>
      <c r="BG46" s="523" t="s">
        <v>413</v>
      </c>
      <c r="BH46" s="528" t="s">
        <v>414</v>
      </c>
      <c r="BI46" s="532">
        <v>1.0</v>
      </c>
      <c r="BJ46" s="523" t="s">
        <v>413</v>
      </c>
      <c r="BK46" s="528" t="s">
        <v>414</v>
      </c>
      <c r="BL46" s="532">
        <v>1.0</v>
      </c>
      <c r="BM46" s="528" t="s">
        <v>413</v>
      </c>
      <c r="BN46" s="528" t="s">
        <v>414</v>
      </c>
      <c r="BO46" s="532">
        <v>1.0</v>
      </c>
      <c r="BP46" s="523" t="s">
        <v>413</v>
      </c>
      <c r="BQ46" s="528" t="s">
        <v>414</v>
      </c>
      <c r="BR46" s="532">
        <v>1.0</v>
      </c>
      <c r="BS46" s="523" t="s">
        <v>413</v>
      </c>
      <c r="BT46" s="528" t="s">
        <v>414</v>
      </c>
      <c r="BU46" s="529">
        <v>1.0</v>
      </c>
      <c r="BV46" s="523" t="s">
        <v>413</v>
      </c>
      <c r="BW46" s="528" t="s">
        <v>414</v>
      </c>
      <c r="BX46" s="529">
        <v>1.0</v>
      </c>
      <c r="BY46" s="523" t="s">
        <v>413</v>
      </c>
      <c r="BZ46" s="528" t="s">
        <v>414</v>
      </c>
      <c r="CA46" s="529">
        <v>1.0</v>
      </c>
      <c r="CB46" s="523" t="s">
        <v>413</v>
      </c>
      <c r="CC46" s="528" t="s">
        <v>414</v>
      </c>
      <c r="CD46" s="529">
        <v>1.0</v>
      </c>
      <c r="CE46" s="523" t="s">
        <v>413</v>
      </c>
      <c r="CF46" s="528" t="s">
        <v>414</v>
      </c>
      <c r="CG46" s="529">
        <v>1.0</v>
      </c>
      <c r="CH46" s="523" t="s">
        <v>413</v>
      </c>
      <c r="CI46" s="528" t="s">
        <v>414</v>
      </c>
      <c r="CJ46" s="529">
        <v>1.0</v>
      </c>
      <c r="CK46" s="523" t="s">
        <v>413</v>
      </c>
      <c r="CL46" s="528" t="s">
        <v>414</v>
      </c>
      <c r="CM46" s="529">
        <v>1.0</v>
      </c>
      <c r="CN46" s="523" t="s">
        <v>413</v>
      </c>
      <c r="CO46" s="528" t="s">
        <v>414</v>
      </c>
      <c r="CP46" s="529">
        <v>1.0</v>
      </c>
      <c r="CQ46" s="523" t="s">
        <v>413</v>
      </c>
      <c r="CR46" s="528" t="s">
        <v>414</v>
      </c>
      <c r="CS46" s="529">
        <v>1.0</v>
      </c>
      <c r="CT46" s="523" t="s">
        <v>413</v>
      </c>
      <c r="CU46" s="528" t="s">
        <v>414</v>
      </c>
      <c r="CV46" s="529">
        <v>1.0</v>
      </c>
      <c r="CW46" s="523" t="s">
        <v>413</v>
      </c>
      <c r="CX46" s="528" t="s">
        <v>414</v>
      </c>
      <c r="CY46" s="529">
        <v>1.0</v>
      </c>
      <c r="CZ46" s="523" t="s">
        <v>413</v>
      </c>
      <c r="DA46" s="528" t="s">
        <v>414</v>
      </c>
      <c r="DB46" s="529">
        <v>1.0</v>
      </c>
      <c r="DC46" s="523" t="s">
        <v>413</v>
      </c>
      <c r="DD46" s="528" t="s">
        <v>414</v>
      </c>
      <c r="DE46" s="529">
        <v>1.0</v>
      </c>
      <c r="DF46" s="523" t="s">
        <v>413</v>
      </c>
      <c r="DG46" s="528" t="s">
        <v>414</v>
      </c>
      <c r="DH46" s="529">
        <v>1.0</v>
      </c>
      <c r="DI46" s="523" t="s">
        <v>413</v>
      </c>
      <c r="DJ46" s="528" t="s">
        <v>414</v>
      </c>
      <c r="DK46" s="529">
        <v>1.0</v>
      </c>
      <c r="DL46" s="523" t="s">
        <v>413</v>
      </c>
      <c r="DM46" s="528" t="s">
        <v>414</v>
      </c>
      <c r="DN46" s="529">
        <v>1.0</v>
      </c>
    </row>
    <row r="47" ht="15.0" hidden="1" customHeight="1">
      <c r="A47" s="53">
        <v>46.0</v>
      </c>
      <c r="B47" s="251" t="s">
        <v>220</v>
      </c>
      <c r="C47" s="252"/>
      <c r="D47" s="253"/>
      <c r="E47" s="253"/>
      <c r="F47" s="253"/>
      <c r="G47" s="253"/>
      <c r="H47" s="255"/>
      <c r="I47" s="253"/>
      <c r="J47" s="253"/>
      <c r="K47" s="256"/>
      <c r="L47" s="620"/>
      <c r="M47" s="253"/>
      <c r="N47" s="253"/>
      <c r="O47" s="253"/>
      <c r="P47" s="522"/>
      <c r="Q47" s="621"/>
      <c r="R47" s="622"/>
      <c r="S47" s="623"/>
      <c r="T47" s="621"/>
      <c r="U47" s="622"/>
      <c r="V47" s="623"/>
      <c r="W47" s="778"/>
      <c r="X47" s="779"/>
      <c r="Y47" s="780"/>
      <c r="Z47" s="778"/>
      <c r="AA47" s="779"/>
      <c r="AB47" s="780"/>
      <c r="AC47" s="778"/>
      <c r="AD47" s="779"/>
      <c r="AE47" s="780"/>
      <c r="AF47" s="781"/>
      <c r="AG47" s="781"/>
      <c r="AH47" s="781"/>
      <c r="AI47" s="781"/>
      <c r="AJ47" s="781"/>
      <c r="AK47" s="781"/>
      <c r="AL47" s="781"/>
      <c r="AM47" s="781"/>
      <c r="AN47" s="781"/>
      <c r="AO47" s="781"/>
      <c r="AP47" s="781"/>
      <c r="AQ47" s="781"/>
      <c r="AR47" s="781"/>
      <c r="AS47" s="781"/>
      <c r="AT47" s="781"/>
      <c r="AU47" s="781"/>
      <c r="AV47" s="781"/>
      <c r="AW47" s="781"/>
      <c r="AX47" s="781"/>
      <c r="AY47" s="781"/>
      <c r="AZ47" s="781"/>
      <c r="BA47" s="781"/>
      <c r="BB47" s="781"/>
      <c r="BC47" s="781"/>
      <c r="BD47" s="781"/>
      <c r="BE47" s="781"/>
      <c r="BF47" s="781"/>
      <c r="BG47" s="781"/>
      <c r="BH47" s="781"/>
      <c r="BI47" s="781"/>
      <c r="BJ47" s="781"/>
      <c r="BK47" s="781"/>
      <c r="BL47" s="781"/>
      <c r="BM47" s="781"/>
      <c r="BN47" s="781"/>
      <c r="BO47" s="781"/>
      <c r="BP47" s="781"/>
      <c r="BQ47" s="781"/>
      <c r="BR47" s="781"/>
      <c r="BS47" s="781"/>
      <c r="BT47" s="781"/>
      <c r="BU47" s="781"/>
      <c r="BV47" s="781"/>
      <c r="BW47" s="781"/>
      <c r="BX47" s="781"/>
      <c r="BY47" s="781"/>
      <c r="BZ47" s="781"/>
      <c r="CA47" s="781"/>
      <c r="CB47" s="781"/>
      <c r="CC47" s="781"/>
      <c r="CD47" s="781"/>
      <c r="CE47" s="781"/>
      <c r="CF47" s="781"/>
      <c r="CG47" s="781"/>
      <c r="CH47" s="781"/>
      <c r="CI47" s="781"/>
      <c r="CJ47" s="781"/>
      <c r="CK47" s="781"/>
      <c r="CL47" s="781"/>
      <c r="CM47" s="781"/>
      <c r="CN47" s="781"/>
      <c r="CO47" s="781"/>
      <c r="CP47" s="781"/>
      <c r="CQ47" s="781"/>
      <c r="CR47" s="781"/>
      <c r="CS47" s="781"/>
      <c r="CT47" s="781"/>
      <c r="CU47" s="781"/>
      <c r="CV47" s="781"/>
      <c r="CW47" s="781"/>
      <c r="CX47" s="781"/>
      <c r="CY47" s="781"/>
      <c r="CZ47" s="781"/>
      <c r="DA47" s="781"/>
      <c r="DB47" s="781"/>
      <c r="DC47" s="781"/>
      <c r="DD47" s="781"/>
      <c r="DE47" s="781"/>
      <c r="DF47" s="781"/>
      <c r="DG47" s="781"/>
      <c r="DH47" s="781"/>
      <c r="DI47" s="781"/>
      <c r="DJ47" s="781"/>
      <c r="DK47" s="781"/>
      <c r="DL47" s="781"/>
      <c r="DM47" s="781"/>
      <c r="DN47" s="781"/>
    </row>
    <row r="48" ht="15.0" customHeight="1">
      <c r="A48" s="53">
        <v>45.0</v>
      </c>
      <c r="B48" s="100" t="s">
        <v>218</v>
      </c>
      <c r="C48" s="100" t="s">
        <v>219</v>
      </c>
      <c r="D48" s="101" t="str">
        <f>MID(B48,17,4)</f>
        <v>DATA</v>
      </c>
      <c r="E48" s="101" t="s">
        <v>154</v>
      </c>
      <c r="F48" s="102">
        <v>1112.0</v>
      </c>
      <c r="G48" s="517" t="s">
        <v>154</v>
      </c>
      <c r="H48" s="517">
        <v>1112.0</v>
      </c>
      <c r="I48" s="68" t="str">
        <f>IFERROR(VLOOKUP(C:C,'R22 RELATÓRIO ACC'!B:F,5,FALSE),"NOT PUBLISHED")</f>
        <v>V24</v>
      </c>
      <c r="J48" s="68" t="str">
        <f>IFERROR(VLOOKUP(C:C,'R22 RELATÓRIO ACC'!B:P,15,FALSE),"NOT PUBLISHED")</f>
        <v>15/05/2026</v>
      </c>
      <c r="K48" s="70" t="str">
        <f>IFERROR(VLOOKUP(B:B,'RELATÓRIO ACC'!B:F,5,FALSE),"NOT PUBLISHED")</f>
        <v>V2</v>
      </c>
      <c r="L48" s="518" t="str">
        <f>IFERROR(VLOOKUP(B:B,'RELATÓRIO ACC'!B:P,15,FALSE),"NOT PUBLISHED")</f>
        <v>06/07/2026</v>
      </c>
      <c r="M48" s="519" t="s">
        <v>403</v>
      </c>
      <c r="N48" s="520">
        <v>46139.0</v>
      </c>
      <c r="O48" s="538" t="s">
        <v>410</v>
      </c>
      <c r="P48" s="587" t="s">
        <v>397</v>
      </c>
      <c r="Q48" s="523" t="s">
        <v>379</v>
      </c>
      <c r="R48" s="558">
        <v>0.0</v>
      </c>
      <c r="S48" s="523" t="s">
        <v>379</v>
      </c>
      <c r="T48" s="523" t="s">
        <v>379</v>
      </c>
      <c r="U48" s="558">
        <v>0.0</v>
      </c>
      <c r="V48" s="523" t="s">
        <v>379</v>
      </c>
      <c r="W48" s="734" t="s">
        <v>379</v>
      </c>
      <c r="X48" s="735">
        <v>0.0</v>
      </c>
      <c r="Y48" s="734" t="s">
        <v>379</v>
      </c>
      <c r="Z48" s="734" t="s">
        <v>379</v>
      </c>
      <c r="AA48" s="690" t="s">
        <v>380</v>
      </c>
      <c r="AB48" s="740" t="s">
        <v>379</v>
      </c>
      <c r="AC48" s="734" t="s">
        <v>379</v>
      </c>
      <c r="AD48" s="735" t="s">
        <v>380</v>
      </c>
      <c r="AE48" s="530" t="s">
        <v>379</v>
      </c>
      <c r="AF48" s="530" t="s">
        <v>383</v>
      </c>
      <c r="AG48" s="735" t="s">
        <v>380</v>
      </c>
      <c r="AH48" s="530" t="s">
        <v>383</v>
      </c>
      <c r="AI48" s="531" t="s">
        <v>381</v>
      </c>
      <c r="AJ48" s="528" t="s">
        <v>412</v>
      </c>
      <c r="AK48" s="532">
        <v>0.32</v>
      </c>
      <c r="AL48" s="528" t="s">
        <v>383</v>
      </c>
      <c r="AM48" s="528" t="s">
        <v>412</v>
      </c>
      <c r="AN48" s="528" t="s">
        <v>383</v>
      </c>
      <c r="AO48" s="528" t="s">
        <v>398</v>
      </c>
      <c r="AP48" s="528" t="s">
        <v>382</v>
      </c>
      <c r="AQ48" s="528" t="s">
        <v>398</v>
      </c>
      <c r="AR48" s="528" t="s">
        <v>398</v>
      </c>
      <c r="AS48" s="528" t="s">
        <v>384</v>
      </c>
      <c r="AT48" s="528" t="s">
        <v>398</v>
      </c>
      <c r="AU48" s="528" t="s">
        <v>379</v>
      </c>
      <c r="AV48" s="528" t="s">
        <v>384</v>
      </c>
      <c r="AW48" s="528" t="s">
        <v>379</v>
      </c>
      <c r="AX48" s="523" t="s">
        <v>398</v>
      </c>
      <c r="AY48" s="526" t="s">
        <v>385</v>
      </c>
      <c r="AZ48" s="523" t="s">
        <v>398</v>
      </c>
      <c r="BA48" s="523" t="s">
        <v>383</v>
      </c>
      <c r="BB48" s="526" t="s">
        <v>385</v>
      </c>
      <c r="BC48" s="523" t="s">
        <v>383</v>
      </c>
      <c r="BD48" s="523" t="s">
        <v>383</v>
      </c>
      <c r="BE48" s="526" t="s">
        <v>417</v>
      </c>
      <c r="BF48" s="523" t="s">
        <v>383</v>
      </c>
      <c r="BG48" s="523" t="s">
        <v>381</v>
      </c>
      <c r="BH48" s="526" t="s">
        <v>417</v>
      </c>
      <c r="BI48" s="532">
        <v>0.47</v>
      </c>
      <c r="BJ48" s="523" t="s">
        <v>381</v>
      </c>
      <c r="BK48" s="526" t="s">
        <v>414</v>
      </c>
      <c r="BL48" s="568">
        <v>0.47</v>
      </c>
      <c r="BM48" s="528" t="s">
        <v>379</v>
      </c>
      <c r="BN48" s="526" t="s">
        <v>414</v>
      </c>
      <c r="BO48" s="528" t="s">
        <v>379</v>
      </c>
      <c r="BP48" s="528" t="s">
        <v>381</v>
      </c>
      <c r="BQ48" s="526" t="s">
        <v>414</v>
      </c>
      <c r="BR48" s="568">
        <v>0.63</v>
      </c>
      <c r="BS48" s="523" t="s">
        <v>383</v>
      </c>
      <c r="BT48" s="526" t="s">
        <v>414</v>
      </c>
      <c r="BU48" s="528" t="s">
        <v>383</v>
      </c>
      <c r="BV48" s="523" t="s">
        <v>381</v>
      </c>
      <c r="BW48" s="526" t="s">
        <v>401</v>
      </c>
      <c r="BX48" s="529">
        <v>0.99</v>
      </c>
      <c r="BY48" s="523" t="s">
        <v>383</v>
      </c>
      <c r="BZ48" s="526" t="s">
        <v>401</v>
      </c>
      <c r="CA48" s="523" t="s">
        <v>383</v>
      </c>
      <c r="CB48" s="523" t="s">
        <v>381</v>
      </c>
      <c r="CC48" s="526" t="s">
        <v>422</v>
      </c>
      <c r="CD48" s="529">
        <v>0.99</v>
      </c>
      <c r="CE48" s="523" t="s">
        <v>383</v>
      </c>
      <c r="CF48" s="526" t="s">
        <v>422</v>
      </c>
      <c r="CG48" s="523" t="s">
        <v>383</v>
      </c>
      <c r="CH48" s="523" t="s">
        <v>386</v>
      </c>
      <c r="CI48" s="526" t="s">
        <v>403</v>
      </c>
      <c r="CJ48" s="529">
        <v>1.0</v>
      </c>
      <c r="CK48" s="523" t="s">
        <v>413</v>
      </c>
      <c r="CL48" s="526" t="s">
        <v>403</v>
      </c>
      <c r="CM48" s="529">
        <v>1.0</v>
      </c>
      <c r="CN48" s="523" t="s">
        <v>413</v>
      </c>
      <c r="CO48" s="526" t="s">
        <v>403</v>
      </c>
      <c r="CP48" s="529">
        <v>1.0</v>
      </c>
      <c r="CQ48" s="523" t="s">
        <v>413</v>
      </c>
      <c r="CR48" s="526" t="s">
        <v>403</v>
      </c>
      <c r="CS48" s="529">
        <v>1.0</v>
      </c>
      <c r="CT48" s="523" t="s">
        <v>413</v>
      </c>
      <c r="CU48" s="526" t="s">
        <v>403</v>
      </c>
      <c r="CV48" s="529">
        <v>1.0</v>
      </c>
      <c r="CW48" s="523" t="s">
        <v>413</v>
      </c>
      <c r="CX48" s="526" t="s">
        <v>403</v>
      </c>
      <c r="CY48" s="529">
        <v>1.0</v>
      </c>
      <c r="CZ48" s="523" t="s">
        <v>413</v>
      </c>
      <c r="DA48" s="526" t="s">
        <v>403</v>
      </c>
      <c r="DB48" s="529">
        <v>1.0</v>
      </c>
      <c r="DC48" s="523" t="s">
        <v>413</v>
      </c>
      <c r="DD48" s="526" t="s">
        <v>403</v>
      </c>
      <c r="DE48" s="529">
        <v>1.0</v>
      </c>
      <c r="DF48" s="523" t="s">
        <v>413</v>
      </c>
      <c r="DG48" s="526" t="s">
        <v>403</v>
      </c>
      <c r="DH48" s="529">
        <v>1.0</v>
      </c>
      <c r="DI48" s="523" t="s">
        <v>413</v>
      </c>
      <c r="DJ48" s="526" t="s">
        <v>403</v>
      </c>
      <c r="DK48" s="529">
        <v>1.0</v>
      </c>
      <c r="DL48" s="523" t="s">
        <v>413</v>
      </c>
      <c r="DM48" s="526" t="s">
        <v>403</v>
      </c>
      <c r="DN48" s="529">
        <v>1.0</v>
      </c>
    </row>
    <row r="49" ht="15.0" hidden="1" customHeight="1">
      <c r="A49" s="53">
        <v>48.0</v>
      </c>
      <c r="B49" s="271" t="s">
        <v>228</v>
      </c>
      <c r="C49" s="272"/>
      <c r="D49" s="273"/>
      <c r="E49" s="273"/>
      <c r="F49" s="273"/>
      <c r="G49" s="273"/>
      <c r="H49" s="275"/>
      <c r="I49" s="273"/>
      <c r="J49" s="273"/>
      <c r="K49" s="276"/>
      <c r="L49" s="627"/>
      <c r="M49" s="273"/>
      <c r="N49" s="273"/>
      <c r="O49" s="273"/>
      <c r="P49" s="522"/>
      <c r="Q49" s="628"/>
      <c r="R49" s="629"/>
      <c r="S49" s="630"/>
      <c r="T49" s="628"/>
      <c r="U49" s="629"/>
      <c r="V49" s="630"/>
      <c r="W49" s="782"/>
      <c r="X49" s="783"/>
      <c r="Y49" s="784"/>
      <c r="Z49" s="782"/>
      <c r="AA49" s="783"/>
      <c r="AB49" s="784"/>
      <c r="AC49" s="782"/>
      <c r="AD49" s="783"/>
      <c r="AE49" s="784"/>
      <c r="AF49" s="785"/>
      <c r="AG49" s="785"/>
      <c r="AH49" s="785"/>
      <c r="AI49" s="786"/>
      <c r="AJ49" s="787"/>
      <c r="AK49" s="785"/>
      <c r="AL49" s="786"/>
      <c r="AM49" s="787"/>
      <c r="AN49" s="785"/>
      <c r="AO49" s="786"/>
      <c r="AP49" s="787"/>
      <c r="AQ49" s="785"/>
      <c r="AR49" s="786"/>
      <c r="AS49" s="787"/>
      <c r="AT49" s="785"/>
      <c r="AU49" s="786"/>
      <c r="AV49" s="787"/>
      <c r="AW49" s="785"/>
      <c r="AX49" s="786"/>
      <c r="AY49" s="787"/>
      <c r="AZ49" s="785"/>
      <c r="BA49" s="786"/>
      <c r="BB49" s="787"/>
      <c r="BC49" s="785"/>
      <c r="BD49" s="786"/>
      <c r="BE49" s="787"/>
      <c r="BF49" s="785"/>
      <c r="BG49" s="786"/>
      <c r="BH49" s="787"/>
      <c r="BI49" s="785"/>
      <c r="BJ49" s="786"/>
      <c r="BK49" s="787"/>
      <c r="BL49" s="785"/>
      <c r="BM49" s="786"/>
      <c r="BN49" s="787"/>
      <c r="BO49" s="785"/>
      <c r="BP49" s="786"/>
      <c r="BQ49" s="787"/>
      <c r="BR49" s="785"/>
      <c r="BS49" s="786"/>
      <c r="BT49" s="787"/>
      <c r="BU49" s="785"/>
      <c r="BV49" s="786"/>
      <c r="BW49" s="787"/>
      <c r="BX49" s="785"/>
      <c r="BY49" s="786"/>
      <c r="BZ49" s="787"/>
      <c r="CA49" s="785"/>
      <c r="CB49" s="786"/>
      <c r="CC49" s="787"/>
      <c r="CD49" s="785"/>
      <c r="CE49" s="786"/>
      <c r="CF49" s="787"/>
      <c r="CG49" s="785"/>
      <c r="CH49" s="785"/>
      <c r="CI49" s="785"/>
      <c r="CJ49" s="785"/>
      <c r="CK49" s="785"/>
      <c r="CL49" s="785"/>
      <c r="CM49" s="785"/>
      <c r="CN49" s="785"/>
      <c r="CO49" s="785"/>
      <c r="CP49" s="785"/>
      <c r="CQ49" s="785"/>
      <c r="CR49" s="785"/>
      <c r="CS49" s="785"/>
      <c r="CT49" s="785"/>
      <c r="CU49" s="785"/>
      <c r="CV49" s="785"/>
      <c r="CW49" s="785"/>
      <c r="CX49" s="785"/>
      <c r="CY49" s="785"/>
      <c r="CZ49" s="785"/>
      <c r="DA49" s="785"/>
      <c r="DB49" s="785"/>
      <c r="DC49" s="785"/>
      <c r="DD49" s="785"/>
      <c r="DE49" s="785"/>
      <c r="DF49" s="785"/>
      <c r="DG49" s="785"/>
      <c r="DH49" s="785"/>
      <c r="DI49" s="785"/>
      <c r="DJ49" s="785"/>
      <c r="DK49" s="785"/>
      <c r="DL49" s="785"/>
      <c r="DM49" s="785"/>
      <c r="DN49" s="785"/>
    </row>
    <row r="50" ht="15.75" customHeight="1">
      <c r="A50" s="53">
        <v>52.0</v>
      </c>
      <c r="B50" s="100" t="s">
        <v>243</v>
      </c>
      <c r="C50" s="100" t="s">
        <v>244</v>
      </c>
      <c r="D50" s="101" t="str">
        <f t="shared" ref="D50:D51" si="2">MID(B50,17,4)</f>
        <v>DATA</v>
      </c>
      <c r="E50" s="101" t="s">
        <v>237</v>
      </c>
      <c r="F50" s="102">
        <v>1118.0</v>
      </c>
      <c r="G50" s="517" t="s">
        <v>237</v>
      </c>
      <c r="H50" s="517">
        <v>1118.0</v>
      </c>
      <c r="I50" s="68" t="str">
        <f>IFERROR(VLOOKUP(C:C,'R22 RELATÓRIO ACC'!B:F,5,FALSE),"NOT PUBLISHED")</f>
        <v>V59</v>
      </c>
      <c r="J50" s="68" t="str">
        <f>IFERROR(VLOOKUP(C:C,'R22 RELATÓRIO ACC'!B:P,15,FALSE),"NOT PUBLISHED")</f>
        <v>17/04/2026</v>
      </c>
      <c r="K50" s="70" t="str">
        <f>IFERROR(VLOOKUP(B:B,'RELATÓRIO ACC'!B:F,5,FALSE),"NOT PUBLISHED")</f>
        <v>V5</v>
      </c>
      <c r="L50" s="518" t="str">
        <f>IFERROR(VLOOKUP(B:B,'RELATÓRIO ACC'!B:P,15,FALSE),"NOT PUBLISHED")</f>
        <v>06/07/2026</v>
      </c>
      <c r="M50" s="519" t="s">
        <v>448</v>
      </c>
      <c r="N50" s="520">
        <v>45995.0</v>
      </c>
      <c r="O50" s="538" t="s">
        <v>410</v>
      </c>
      <c r="P50" s="587"/>
      <c r="Q50" s="523" t="s">
        <v>381</v>
      </c>
      <c r="R50" s="550" t="s">
        <v>421</v>
      </c>
      <c r="S50" s="546">
        <v>0.1</v>
      </c>
      <c r="T50" s="523" t="s">
        <v>381</v>
      </c>
      <c r="U50" s="550" t="s">
        <v>421</v>
      </c>
      <c r="V50" s="546">
        <v>0.15</v>
      </c>
      <c r="W50" s="530" t="s">
        <v>381</v>
      </c>
      <c r="X50" s="690" t="s">
        <v>421</v>
      </c>
      <c r="Y50" s="546">
        <v>0.11</v>
      </c>
      <c r="Z50" s="523" t="s">
        <v>398</v>
      </c>
      <c r="AA50" s="690" t="s">
        <v>464</v>
      </c>
      <c r="AB50" s="525" t="s">
        <v>398</v>
      </c>
      <c r="AC50" s="530" t="s">
        <v>381</v>
      </c>
      <c r="AD50" s="690" t="s">
        <v>451</v>
      </c>
      <c r="AE50" s="565">
        <v>0.65</v>
      </c>
      <c r="AF50" s="530" t="s">
        <v>383</v>
      </c>
      <c r="AG50" s="690" t="s">
        <v>451</v>
      </c>
      <c r="AH50" s="530" t="s">
        <v>383</v>
      </c>
      <c r="AI50" s="531" t="s">
        <v>381</v>
      </c>
      <c r="AJ50" s="528" t="s">
        <v>431</v>
      </c>
      <c r="AK50" s="532">
        <v>0.95</v>
      </c>
      <c r="AL50" s="528" t="s">
        <v>386</v>
      </c>
      <c r="AM50" s="528" t="s">
        <v>448</v>
      </c>
      <c r="AN50" s="532">
        <v>1.0</v>
      </c>
      <c r="AO50" s="528" t="s">
        <v>413</v>
      </c>
      <c r="AP50" s="528" t="s">
        <v>448</v>
      </c>
      <c r="AQ50" s="532">
        <v>1.0</v>
      </c>
      <c r="AR50" s="528" t="s">
        <v>413</v>
      </c>
      <c r="AS50" s="528" t="s">
        <v>448</v>
      </c>
      <c r="AT50" s="532">
        <v>1.0</v>
      </c>
      <c r="AU50" s="528" t="s">
        <v>413</v>
      </c>
      <c r="AV50" s="528" t="s">
        <v>448</v>
      </c>
      <c r="AW50" s="532">
        <v>1.0</v>
      </c>
      <c r="AX50" s="528" t="s">
        <v>413</v>
      </c>
      <c r="AY50" s="528" t="s">
        <v>448</v>
      </c>
      <c r="AZ50" s="532">
        <v>1.0</v>
      </c>
      <c r="BA50" s="528" t="s">
        <v>413</v>
      </c>
      <c r="BB50" s="528" t="s">
        <v>448</v>
      </c>
      <c r="BC50" s="532">
        <v>1.0</v>
      </c>
      <c r="BD50" s="528" t="s">
        <v>413</v>
      </c>
      <c r="BE50" s="528" t="s">
        <v>448</v>
      </c>
      <c r="BF50" s="532">
        <v>1.0</v>
      </c>
      <c r="BG50" s="528" t="s">
        <v>413</v>
      </c>
      <c r="BH50" s="528" t="s">
        <v>448</v>
      </c>
      <c r="BI50" s="532">
        <v>1.0</v>
      </c>
      <c r="BJ50" s="528" t="s">
        <v>413</v>
      </c>
      <c r="BK50" s="528" t="s">
        <v>448</v>
      </c>
      <c r="BL50" s="532">
        <v>1.0</v>
      </c>
      <c r="BM50" s="528" t="s">
        <v>413</v>
      </c>
      <c r="BN50" s="528" t="s">
        <v>448</v>
      </c>
      <c r="BO50" s="532">
        <v>1.0</v>
      </c>
      <c r="BP50" s="528" t="s">
        <v>413</v>
      </c>
      <c r="BQ50" s="528" t="s">
        <v>448</v>
      </c>
      <c r="BR50" s="532">
        <v>1.0</v>
      </c>
      <c r="BS50" s="528" t="s">
        <v>413</v>
      </c>
      <c r="BT50" s="528" t="s">
        <v>448</v>
      </c>
      <c r="BU50" s="532">
        <v>1.0</v>
      </c>
      <c r="BV50" s="528" t="s">
        <v>413</v>
      </c>
      <c r="BW50" s="528" t="s">
        <v>448</v>
      </c>
      <c r="BX50" s="532">
        <v>1.0</v>
      </c>
      <c r="BY50" s="528" t="s">
        <v>413</v>
      </c>
      <c r="BZ50" s="528" t="s">
        <v>448</v>
      </c>
      <c r="CA50" s="532">
        <v>1.0</v>
      </c>
      <c r="CB50" s="528" t="s">
        <v>413</v>
      </c>
      <c r="CC50" s="528" t="s">
        <v>448</v>
      </c>
      <c r="CD50" s="532">
        <v>1.0</v>
      </c>
      <c r="CE50" s="528" t="s">
        <v>413</v>
      </c>
      <c r="CF50" s="528" t="s">
        <v>448</v>
      </c>
      <c r="CG50" s="532">
        <v>1.0</v>
      </c>
      <c r="CH50" s="528" t="s">
        <v>413</v>
      </c>
      <c r="CI50" s="528" t="s">
        <v>448</v>
      </c>
      <c r="CJ50" s="532">
        <v>1.0</v>
      </c>
      <c r="CK50" s="528" t="s">
        <v>413</v>
      </c>
      <c r="CL50" s="528" t="s">
        <v>448</v>
      </c>
      <c r="CM50" s="532">
        <v>1.0</v>
      </c>
      <c r="CN50" s="528" t="s">
        <v>413</v>
      </c>
      <c r="CO50" s="528" t="s">
        <v>448</v>
      </c>
      <c r="CP50" s="532">
        <v>1.0</v>
      </c>
      <c r="CQ50" s="528" t="s">
        <v>413</v>
      </c>
      <c r="CR50" s="528" t="s">
        <v>448</v>
      </c>
      <c r="CS50" s="532">
        <v>1.0</v>
      </c>
      <c r="CT50" s="528" t="s">
        <v>413</v>
      </c>
      <c r="CU50" s="528" t="s">
        <v>448</v>
      </c>
      <c r="CV50" s="532">
        <v>1.0</v>
      </c>
      <c r="CW50" s="528" t="s">
        <v>413</v>
      </c>
      <c r="CX50" s="528" t="s">
        <v>448</v>
      </c>
      <c r="CY50" s="532">
        <v>1.0</v>
      </c>
      <c r="CZ50" s="528" t="s">
        <v>413</v>
      </c>
      <c r="DA50" s="528" t="s">
        <v>448</v>
      </c>
      <c r="DB50" s="532">
        <v>1.0</v>
      </c>
      <c r="DC50" s="528" t="s">
        <v>413</v>
      </c>
      <c r="DD50" s="528" t="s">
        <v>448</v>
      </c>
      <c r="DE50" s="532">
        <v>1.0</v>
      </c>
      <c r="DF50" s="528" t="s">
        <v>413</v>
      </c>
      <c r="DG50" s="528" t="s">
        <v>448</v>
      </c>
      <c r="DH50" s="532">
        <v>1.0</v>
      </c>
      <c r="DI50" s="528" t="s">
        <v>413</v>
      </c>
      <c r="DJ50" s="528" t="s">
        <v>448</v>
      </c>
      <c r="DK50" s="532">
        <v>1.0</v>
      </c>
      <c r="DL50" s="528" t="s">
        <v>413</v>
      </c>
      <c r="DM50" s="528" t="s">
        <v>448</v>
      </c>
      <c r="DN50" s="532">
        <v>1.0</v>
      </c>
    </row>
    <row r="51" ht="15.0" customHeight="1">
      <c r="A51" s="53">
        <v>50.0</v>
      </c>
      <c r="B51" s="145" t="s">
        <v>238</v>
      </c>
      <c r="C51" s="145" t="s">
        <v>239</v>
      </c>
      <c r="D51" s="101" t="str">
        <f t="shared" si="2"/>
        <v>DATA</v>
      </c>
      <c r="E51" s="101" t="s">
        <v>237</v>
      </c>
      <c r="F51" s="102">
        <v>1118.0</v>
      </c>
      <c r="G51" s="517" t="s">
        <v>237</v>
      </c>
      <c r="H51" s="517">
        <v>1118.0</v>
      </c>
      <c r="I51" s="68" t="str">
        <f>IFERROR(VLOOKUP(C:C,'R22 RELATÓRIO ACC'!B:F,5,FALSE),"NOT PUBLISHED")</f>
        <v>V39</v>
      </c>
      <c r="J51" s="68" t="str">
        <f>IFERROR(VLOOKUP(C:C,'R22 RELATÓRIO ACC'!B:P,15,FALSE),"NOT PUBLISHED")</f>
        <v>30/04/2026</v>
      </c>
      <c r="K51" s="70" t="str">
        <f>IFERROR(VLOOKUP(B:B,'RELATÓRIO ACC'!B:F,5,FALSE),"NOT PUBLISHED")</f>
        <v>V3</v>
      </c>
      <c r="L51" s="518" t="str">
        <f>IFERROR(VLOOKUP(B:B,'RELATÓRIO ACC'!B:P,15,FALSE),"NOT PUBLISHED")</f>
        <v>01/07/2026</v>
      </c>
      <c r="M51" s="788" t="s">
        <v>438</v>
      </c>
      <c r="N51" s="569" t="s">
        <v>465</v>
      </c>
      <c r="O51" s="538" t="s">
        <v>410</v>
      </c>
      <c r="P51" s="587" t="s">
        <v>445</v>
      </c>
      <c r="Q51" s="523" t="s">
        <v>379</v>
      </c>
      <c r="R51" s="558">
        <v>0.0</v>
      </c>
      <c r="S51" s="523" t="s">
        <v>379</v>
      </c>
      <c r="T51" s="523" t="s">
        <v>379</v>
      </c>
      <c r="U51" s="558">
        <v>0.0</v>
      </c>
      <c r="V51" s="523" t="s">
        <v>379</v>
      </c>
      <c r="W51" s="734" t="s">
        <v>379</v>
      </c>
      <c r="X51" s="735">
        <v>0.0</v>
      </c>
      <c r="Y51" s="734" t="s">
        <v>379</v>
      </c>
      <c r="Z51" s="523" t="s">
        <v>381</v>
      </c>
      <c r="AA51" s="550" t="s">
        <v>380</v>
      </c>
      <c r="AB51" s="551">
        <v>0.27</v>
      </c>
      <c r="AC51" s="734" t="s">
        <v>379</v>
      </c>
      <c r="AD51" s="550" t="s">
        <v>436</v>
      </c>
      <c r="AE51" s="530" t="s">
        <v>379</v>
      </c>
      <c r="AF51" s="528" t="s">
        <v>398</v>
      </c>
      <c r="AG51" s="550" t="s">
        <v>437</v>
      </c>
      <c r="AH51" s="528" t="s">
        <v>398</v>
      </c>
      <c r="AI51" s="523" t="s">
        <v>383</v>
      </c>
      <c r="AJ51" s="526" t="s">
        <v>437</v>
      </c>
      <c r="AK51" s="528" t="s">
        <v>383</v>
      </c>
      <c r="AL51" s="523" t="s">
        <v>381</v>
      </c>
      <c r="AM51" s="526" t="s">
        <v>432</v>
      </c>
      <c r="AN51" s="568">
        <v>0.94</v>
      </c>
      <c r="AO51" s="523" t="s">
        <v>379</v>
      </c>
      <c r="AP51" s="526" t="s">
        <v>432</v>
      </c>
      <c r="AQ51" s="528" t="s">
        <v>379</v>
      </c>
      <c r="AR51" s="523" t="s">
        <v>381</v>
      </c>
      <c r="AS51" s="526" t="s">
        <v>432</v>
      </c>
      <c r="AT51" s="568">
        <v>0.98</v>
      </c>
      <c r="AU51" s="523" t="s">
        <v>386</v>
      </c>
      <c r="AV51" s="526" t="s">
        <v>429</v>
      </c>
      <c r="AW51" s="532">
        <v>1.0</v>
      </c>
      <c r="AX51" s="523" t="s">
        <v>413</v>
      </c>
      <c r="AY51" s="526" t="s">
        <v>429</v>
      </c>
      <c r="AZ51" s="532">
        <v>1.0</v>
      </c>
      <c r="BA51" s="523" t="s">
        <v>413</v>
      </c>
      <c r="BB51" s="526" t="s">
        <v>429</v>
      </c>
      <c r="BC51" s="532">
        <v>1.0</v>
      </c>
      <c r="BD51" s="523" t="s">
        <v>413</v>
      </c>
      <c r="BE51" s="526" t="s">
        <v>429</v>
      </c>
      <c r="BF51" s="532">
        <v>1.0</v>
      </c>
      <c r="BG51" s="523" t="s">
        <v>413</v>
      </c>
      <c r="BH51" s="526" t="s">
        <v>429</v>
      </c>
      <c r="BI51" s="532">
        <v>1.0</v>
      </c>
      <c r="BJ51" s="523" t="s">
        <v>413</v>
      </c>
      <c r="BK51" s="526" t="s">
        <v>429</v>
      </c>
      <c r="BL51" s="532">
        <v>1.0</v>
      </c>
      <c r="BM51" s="523" t="s">
        <v>413</v>
      </c>
      <c r="BN51" s="526" t="s">
        <v>429</v>
      </c>
      <c r="BO51" s="532">
        <v>1.0</v>
      </c>
      <c r="BP51" s="523" t="s">
        <v>413</v>
      </c>
      <c r="BQ51" s="526" t="s">
        <v>429</v>
      </c>
      <c r="BR51" s="532">
        <v>1.0</v>
      </c>
      <c r="BS51" s="523" t="s">
        <v>413</v>
      </c>
      <c r="BT51" s="526" t="s">
        <v>429</v>
      </c>
      <c r="BU51" s="532">
        <v>1.0</v>
      </c>
      <c r="BV51" s="523" t="s">
        <v>413</v>
      </c>
      <c r="BW51" s="526" t="s">
        <v>429</v>
      </c>
      <c r="BX51" s="532">
        <v>1.0</v>
      </c>
      <c r="BY51" s="523" t="s">
        <v>413</v>
      </c>
      <c r="BZ51" s="526" t="s">
        <v>429</v>
      </c>
      <c r="CA51" s="532">
        <v>1.0</v>
      </c>
      <c r="CB51" s="523" t="s">
        <v>413</v>
      </c>
      <c r="CC51" s="526" t="s">
        <v>429</v>
      </c>
      <c r="CD51" s="532">
        <v>1.0</v>
      </c>
      <c r="CE51" s="523" t="s">
        <v>413</v>
      </c>
      <c r="CF51" s="526" t="s">
        <v>429</v>
      </c>
      <c r="CG51" s="532">
        <v>1.0</v>
      </c>
      <c r="CH51" s="523" t="s">
        <v>413</v>
      </c>
      <c r="CI51" s="526" t="s">
        <v>429</v>
      </c>
      <c r="CJ51" s="532">
        <v>1.0</v>
      </c>
      <c r="CK51" s="523" t="s">
        <v>413</v>
      </c>
      <c r="CL51" s="526" t="s">
        <v>429</v>
      </c>
      <c r="CM51" s="532">
        <v>1.0</v>
      </c>
      <c r="CN51" s="523" t="s">
        <v>413</v>
      </c>
      <c r="CO51" s="526" t="s">
        <v>429</v>
      </c>
      <c r="CP51" s="532">
        <v>1.0</v>
      </c>
      <c r="CQ51" s="523" t="s">
        <v>413</v>
      </c>
      <c r="CR51" s="526" t="s">
        <v>429</v>
      </c>
      <c r="CS51" s="532">
        <v>1.0</v>
      </c>
      <c r="CT51" s="523" t="s">
        <v>413</v>
      </c>
      <c r="CU51" s="526" t="s">
        <v>429</v>
      </c>
      <c r="CV51" s="532">
        <v>1.0</v>
      </c>
      <c r="CW51" s="523" t="s">
        <v>413</v>
      </c>
      <c r="CX51" s="526" t="s">
        <v>429</v>
      </c>
      <c r="CY51" s="532">
        <v>1.0</v>
      </c>
      <c r="CZ51" s="523" t="s">
        <v>413</v>
      </c>
      <c r="DA51" s="526" t="s">
        <v>429</v>
      </c>
      <c r="DB51" s="532">
        <v>1.0</v>
      </c>
      <c r="DC51" s="523" t="s">
        <v>413</v>
      </c>
      <c r="DD51" s="526" t="s">
        <v>429</v>
      </c>
      <c r="DE51" s="532">
        <v>1.0</v>
      </c>
      <c r="DF51" s="523" t="s">
        <v>413</v>
      </c>
      <c r="DG51" s="526" t="s">
        <v>429</v>
      </c>
      <c r="DH51" s="532">
        <v>1.0</v>
      </c>
      <c r="DI51" s="523" t="s">
        <v>413</v>
      </c>
      <c r="DJ51" s="526" t="s">
        <v>429</v>
      </c>
      <c r="DK51" s="532">
        <v>1.0</v>
      </c>
      <c r="DL51" s="523" t="s">
        <v>413</v>
      </c>
      <c r="DM51" s="526" t="s">
        <v>429</v>
      </c>
      <c r="DN51" s="532">
        <v>1.0</v>
      </c>
    </row>
    <row r="52" ht="15.0" hidden="1" customHeight="1">
      <c r="A52" s="53">
        <v>51.0</v>
      </c>
      <c r="B52" s="291" t="s">
        <v>242</v>
      </c>
      <c r="C52" s="292"/>
      <c r="D52" s="293"/>
      <c r="E52" s="293"/>
      <c r="F52" s="293"/>
      <c r="G52" s="293"/>
      <c r="H52" s="295"/>
      <c r="I52" s="293"/>
      <c r="J52" s="293"/>
      <c r="K52" s="296"/>
      <c r="L52" s="634"/>
      <c r="M52" s="293"/>
      <c r="N52" s="293"/>
      <c r="O52" s="293"/>
      <c r="P52" s="522"/>
      <c r="Q52" s="636"/>
      <c r="R52" s="637"/>
      <c r="S52" s="638"/>
      <c r="T52" s="636"/>
      <c r="U52" s="637"/>
      <c r="V52" s="638"/>
      <c r="W52" s="789"/>
      <c r="X52" s="790"/>
      <c r="Y52" s="791"/>
      <c r="Z52" s="789"/>
      <c r="AA52" s="790"/>
      <c r="AB52" s="791"/>
      <c r="AC52" s="789"/>
      <c r="AD52" s="790"/>
      <c r="AE52" s="791"/>
      <c r="AF52" s="792"/>
      <c r="AG52" s="792"/>
      <c r="AH52" s="792"/>
      <c r="AI52" s="792"/>
      <c r="AJ52" s="792"/>
      <c r="AK52" s="792"/>
      <c r="AL52" s="792"/>
      <c r="AM52" s="792"/>
      <c r="AN52" s="792"/>
      <c r="AO52" s="792"/>
      <c r="AP52" s="792"/>
      <c r="AQ52" s="792"/>
      <c r="AR52" s="792"/>
      <c r="AS52" s="792"/>
      <c r="AT52" s="792"/>
      <c r="AU52" s="792"/>
      <c r="AV52" s="792"/>
      <c r="AW52" s="792"/>
      <c r="AX52" s="792"/>
      <c r="AY52" s="792"/>
      <c r="AZ52" s="792"/>
      <c r="BA52" s="792"/>
      <c r="BB52" s="792"/>
      <c r="BC52" s="792"/>
      <c r="BD52" s="792"/>
      <c r="BE52" s="792"/>
      <c r="BF52" s="792"/>
      <c r="BG52" s="792"/>
      <c r="BH52" s="792"/>
      <c r="BI52" s="792"/>
      <c r="BJ52" s="792"/>
      <c r="BK52" s="792"/>
      <c r="BL52" s="792"/>
      <c r="BM52" s="792"/>
      <c r="BN52" s="792"/>
      <c r="BO52" s="792"/>
      <c r="BP52" s="792"/>
      <c r="BQ52" s="792"/>
      <c r="BR52" s="792"/>
      <c r="BS52" s="792"/>
      <c r="BT52" s="792"/>
      <c r="BU52" s="792"/>
      <c r="BV52" s="792"/>
      <c r="BW52" s="792"/>
      <c r="BX52" s="792"/>
      <c r="BY52" s="792"/>
      <c r="BZ52" s="792"/>
      <c r="CA52" s="792"/>
      <c r="CB52" s="792"/>
      <c r="CC52" s="792"/>
      <c r="CD52" s="792"/>
      <c r="CE52" s="792"/>
      <c r="CF52" s="792"/>
      <c r="CG52" s="792"/>
      <c r="CH52" s="792"/>
      <c r="CI52" s="792"/>
      <c r="CJ52" s="792"/>
      <c r="CK52" s="792"/>
      <c r="CL52" s="792"/>
      <c r="CM52" s="792"/>
      <c r="CN52" s="792"/>
      <c r="CO52" s="792"/>
      <c r="CP52" s="792"/>
      <c r="CQ52" s="792"/>
      <c r="CR52" s="792"/>
      <c r="CS52" s="792"/>
      <c r="CT52" s="792"/>
      <c r="CU52" s="792"/>
      <c r="CV52" s="792"/>
      <c r="CW52" s="792"/>
      <c r="CX52" s="792"/>
      <c r="CY52" s="792"/>
      <c r="CZ52" s="792"/>
      <c r="DA52" s="792"/>
      <c r="DB52" s="792"/>
      <c r="DC52" s="792"/>
      <c r="DD52" s="792"/>
      <c r="DE52" s="792"/>
      <c r="DF52" s="792"/>
      <c r="DG52" s="792"/>
      <c r="DH52" s="792"/>
      <c r="DI52" s="792"/>
      <c r="DJ52" s="792"/>
      <c r="DK52" s="792"/>
      <c r="DL52" s="792"/>
      <c r="DM52" s="792"/>
      <c r="DN52" s="792"/>
    </row>
    <row r="53" ht="15.0" customHeight="1">
      <c r="A53" s="53">
        <v>49.0</v>
      </c>
      <c r="B53" s="145" t="s">
        <v>231</v>
      </c>
      <c r="C53" s="145" t="s">
        <v>232</v>
      </c>
      <c r="D53" s="101" t="str">
        <f>MID(B53,17,4)</f>
        <v>DATA</v>
      </c>
      <c r="E53" s="101" t="s">
        <v>154</v>
      </c>
      <c r="F53" s="102">
        <v>1112.0</v>
      </c>
      <c r="G53" s="517" t="s">
        <v>155</v>
      </c>
      <c r="H53" s="517">
        <v>1129.0</v>
      </c>
      <c r="I53" s="68" t="str">
        <f>IFERROR(VLOOKUP(C:C,'R22 RELATÓRIO ACC'!B:F,5,FALSE),"NOT PUBLISHED")</f>
        <v>V30</v>
      </c>
      <c r="J53" s="68" t="str">
        <f>IFERROR(VLOOKUP(C:C,'R22 RELATÓRIO ACC'!B:P,15,FALSE),"NOT PUBLISHED")</f>
        <v>24/03/2026</v>
      </c>
      <c r="K53" s="70" t="str">
        <f>IFERROR(VLOOKUP(B:B,'RELATÓRIO ACC'!B:F,5,FALSE),"NOT PUBLISHED")</f>
        <v>V2</v>
      </c>
      <c r="L53" s="518" t="str">
        <f>IFERROR(VLOOKUP(B:B,'RELATÓRIO ACC'!B:P,15,FALSE),"NOT PUBLISHED")</f>
        <v>13/07/2026</v>
      </c>
      <c r="M53" s="519" t="s">
        <v>423</v>
      </c>
      <c r="N53" s="520">
        <v>46014.0</v>
      </c>
      <c r="O53" s="538" t="s">
        <v>410</v>
      </c>
      <c r="P53" s="587" t="s">
        <v>445</v>
      </c>
      <c r="Q53" s="523" t="s">
        <v>379</v>
      </c>
      <c r="R53" s="558">
        <v>0.0</v>
      </c>
      <c r="S53" s="525" t="s">
        <v>379</v>
      </c>
      <c r="T53" s="523" t="s">
        <v>379</v>
      </c>
      <c r="U53" s="558">
        <v>0.0</v>
      </c>
      <c r="V53" s="525" t="s">
        <v>379</v>
      </c>
      <c r="W53" s="530" t="s">
        <v>381</v>
      </c>
      <c r="X53" s="690" t="s">
        <v>421</v>
      </c>
      <c r="Y53" s="546">
        <v>0.19</v>
      </c>
      <c r="Z53" s="734" t="s">
        <v>379</v>
      </c>
      <c r="AA53" s="690" t="s">
        <v>380</v>
      </c>
      <c r="AB53" s="530" t="s">
        <v>379</v>
      </c>
      <c r="AC53" s="530" t="s">
        <v>381</v>
      </c>
      <c r="AD53" s="690" t="s">
        <v>403</v>
      </c>
      <c r="AE53" s="565">
        <v>0.25</v>
      </c>
      <c r="AF53" s="737" t="s">
        <v>379</v>
      </c>
      <c r="AG53" s="690" t="s">
        <v>403</v>
      </c>
      <c r="AH53" s="737" t="s">
        <v>379</v>
      </c>
      <c r="AI53" s="523" t="s">
        <v>383</v>
      </c>
      <c r="AJ53" s="526" t="s">
        <v>431</v>
      </c>
      <c r="AK53" s="528" t="s">
        <v>383</v>
      </c>
      <c r="AL53" s="523" t="s">
        <v>381</v>
      </c>
      <c r="AM53" s="526" t="s">
        <v>404</v>
      </c>
      <c r="AN53" s="568">
        <v>0.57</v>
      </c>
      <c r="AO53" s="523" t="s">
        <v>386</v>
      </c>
      <c r="AP53" s="526" t="s">
        <v>423</v>
      </c>
      <c r="AQ53" s="568">
        <v>1.0</v>
      </c>
      <c r="AR53" s="523" t="s">
        <v>413</v>
      </c>
      <c r="AS53" s="526" t="s">
        <v>423</v>
      </c>
      <c r="AT53" s="568">
        <v>1.0</v>
      </c>
      <c r="AU53" s="523" t="s">
        <v>413</v>
      </c>
      <c r="AV53" s="526" t="s">
        <v>423</v>
      </c>
      <c r="AW53" s="568">
        <v>1.0</v>
      </c>
      <c r="AX53" s="523" t="s">
        <v>413</v>
      </c>
      <c r="AY53" s="526" t="s">
        <v>423</v>
      </c>
      <c r="AZ53" s="568">
        <v>1.0</v>
      </c>
      <c r="BA53" s="523" t="s">
        <v>413</v>
      </c>
      <c r="BB53" s="526" t="s">
        <v>423</v>
      </c>
      <c r="BC53" s="568">
        <v>1.0</v>
      </c>
      <c r="BD53" s="523" t="s">
        <v>413</v>
      </c>
      <c r="BE53" s="526" t="s">
        <v>423</v>
      </c>
      <c r="BF53" s="568">
        <v>1.0</v>
      </c>
      <c r="BG53" s="523" t="s">
        <v>413</v>
      </c>
      <c r="BH53" s="526" t="s">
        <v>423</v>
      </c>
      <c r="BI53" s="568">
        <v>1.0</v>
      </c>
      <c r="BJ53" s="523" t="s">
        <v>413</v>
      </c>
      <c r="BK53" s="526" t="s">
        <v>423</v>
      </c>
      <c r="BL53" s="568">
        <v>1.0</v>
      </c>
      <c r="BM53" s="523" t="s">
        <v>413</v>
      </c>
      <c r="BN53" s="526" t="s">
        <v>423</v>
      </c>
      <c r="BO53" s="568">
        <v>1.0</v>
      </c>
      <c r="BP53" s="523" t="s">
        <v>413</v>
      </c>
      <c r="BQ53" s="526" t="s">
        <v>423</v>
      </c>
      <c r="BR53" s="568">
        <v>1.0</v>
      </c>
      <c r="BS53" s="523" t="s">
        <v>413</v>
      </c>
      <c r="BT53" s="526" t="s">
        <v>423</v>
      </c>
      <c r="BU53" s="568">
        <v>1.0</v>
      </c>
      <c r="BV53" s="523" t="s">
        <v>413</v>
      </c>
      <c r="BW53" s="526" t="s">
        <v>423</v>
      </c>
      <c r="BX53" s="568">
        <v>1.0</v>
      </c>
      <c r="BY53" s="523" t="s">
        <v>413</v>
      </c>
      <c r="BZ53" s="526" t="s">
        <v>423</v>
      </c>
      <c r="CA53" s="568">
        <v>1.0</v>
      </c>
      <c r="CB53" s="523" t="s">
        <v>413</v>
      </c>
      <c r="CC53" s="526" t="s">
        <v>423</v>
      </c>
      <c r="CD53" s="568">
        <v>1.0</v>
      </c>
      <c r="CE53" s="523" t="s">
        <v>413</v>
      </c>
      <c r="CF53" s="526" t="s">
        <v>423</v>
      </c>
      <c r="CG53" s="568">
        <v>1.0</v>
      </c>
      <c r="CH53" s="523" t="s">
        <v>413</v>
      </c>
      <c r="CI53" s="526" t="s">
        <v>423</v>
      </c>
      <c r="CJ53" s="568">
        <v>1.0</v>
      </c>
      <c r="CK53" s="523" t="s">
        <v>413</v>
      </c>
      <c r="CL53" s="526" t="s">
        <v>423</v>
      </c>
      <c r="CM53" s="568">
        <v>1.0</v>
      </c>
      <c r="CN53" s="523" t="s">
        <v>413</v>
      </c>
      <c r="CO53" s="526" t="s">
        <v>423</v>
      </c>
      <c r="CP53" s="568">
        <v>1.0</v>
      </c>
      <c r="CQ53" s="523" t="s">
        <v>413</v>
      </c>
      <c r="CR53" s="526" t="s">
        <v>423</v>
      </c>
      <c r="CS53" s="568">
        <v>1.0</v>
      </c>
      <c r="CT53" s="523" t="s">
        <v>413</v>
      </c>
      <c r="CU53" s="526" t="s">
        <v>423</v>
      </c>
      <c r="CV53" s="568">
        <v>1.0</v>
      </c>
      <c r="CW53" s="523" t="s">
        <v>413</v>
      </c>
      <c r="CX53" s="526" t="s">
        <v>423</v>
      </c>
      <c r="CY53" s="568">
        <v>1.0</v>
      </c>
      <c r="CZ53" s="523" t="s">
        <v>413</v>
      </c>
      <c r="DA53" s="526" t="s">
        <v>423</v>
      </c>
      <c r="DB53" s="568">
        <v>1.0</v>
      </c>
      <c r="DC53" s="523" t="s">
        <v>413</v>
      </c>
      <c r="DD53" s="526" t="s">
        <v>423</v>
      </c>
      <c r="DE53" s="568">
        <v>1.0</v>
      </c>
      <c r="DF53" s="523" t="s">
        <v>413</v>
      </c>
      <c r="DG53" s="526" t="s">
        <v>423</v>
      </c>
      <c r="DH53" s="568">
        <v>1.0</v>
      </c>
      <c r="DI53" s="523" t="s">
        <v>413</v>
      </c>
      <c r="DJ53" s="526" t="s">
        <v>423</v>
      </c>
      <c r="DK53" s="568">
        <v>1.0</v>
      </c>
      <c r="DL53" s="523" t="s">
        <v>413</v>
      </c>
      <c r="DM53" s="526" t="s">
        <v>423</v>
      </c>
      <c r="DN53" s="568">
        <v>1.0</v>
      </c>
    </row>
    <row r="54" ht="15.0" hidden="1" customHeight="1">
      <c r="A54" s="53">
        <v>53.0</v>
      </c>
      <c r="B54" s="354" t="s">
        <v>266</v>
      </c>
      <c r="C54" s="355"/>
      <c r="D54" s="356"/>
      <c r="E54" s="356"/>
      <c r="F54" s="356"/>
      <c r="G54" s="356"/>
      <c r="H54" s="358"/>
      <c r="I54" s="356"/>
      <c r="J54" s="356"/>
      <c r="K54" s="359"/>
      <c r="L54" s="642"/>
      <c r="M54" s="356"/>
      <c r="N54" s="356"/>
      <c r="O54" s="356"/>
      <c r="P54" s="522"/>
      <c r="Q54" s="643"/>
      <c r="R54" s="644"/>
      <c r="S54" s="645"/>
      <c r="T54" s="643"/>
      <c r="U54" s="644"/>
      <c r="V54" s="645"/>
      <c r="W54" s="793"/>
      <c r="X54" s="794"/>
      <c r="Y54" s="795"/>
      <c r="Z54" s="793"/>
      <c r="AA54" s="794"/>
      <c r="AB54" s="795"/>
      <c r="AC54" s="793"/>
      <c r="AD54" s="794"/>
      <c r="AE54" s="795"/>
      <c r="AF54" s="796"/>
      <c r="AG54" s="796"/>
      <c r="AH54" s="796"/>
      <c r="AI54" s="796"/>
      <c r="AJ54" s="796"/>
      <c r="AK54" s="796"/>
      <c r="AL54" s="796"/>
      <c r="AM54" s="796"/>
      <c r="AN54" s="796"/>
      <c r="AO54" s="796"/>
      <c r="AP54" s="796"/>
      <c r="AQ54" s="796"/>
      <c r="AR54" s="796"/>
      <c r="AS54" s="796"/>
      <c r="AT54" s="796"/>
      <c r="AU54" s="796"/>
      <c r="AV54" s="796"/>
      <c r="AW54" s="796"/>
      <c r="AX54" s="796"/>
      <c r="AY54" s="796"/>
      <c r="AZ54" s="796"/>
      <c r="BA54" s="796"/>
      <c r="BB54" s="796"/>
      <c r="BC54" s="796"/>
      <c r="BD54" s="796"/>
      <c r="BE54" s="796"/>
      <c r="BF54" s="796"/>
      <c r="BG54" s="796"/>
      <c r="BH54" s="796"/>
      <c r="BI54" s="796"/>
      <c r="BJ54" s="796"/>
      <c r="BK54" s="796"/>
      <c r="BL54" s="796"/>
      <c r="BM54" s="796"/>
      <c r="BN54" s="796"/>
      <c r="BO54" s="796"/>
      <c r="BP54" s="796"/>
      <c r="BQ54" s="796"/>
      <c r="BR54" s="796"/>
      <c r="BS54" s="796"/>
      <c r="BT54" s="796"/>
      <c r="BU54" s="796"/>
      <c r="BV54" s="796"/>
      <c r="BW54" s="796"/>
      <c r="BX54" s="796"/>
      <c r="BY54" s="796"/>
      <c r="BZ54" s="796"/>
      <c r="CA54" s="796"/>
      <c r="CB54" s="796"/>
      <c r="CC54" s="796"/>
      <c r="CD54" s="796"/>
      <c r="CE54" s="796"/>
      <c r="CF54" s="796"/>
      <c r="CG54" s="796"/>
      <c r="CH54" s="796"/>
      <c r="CI54" s="796"/>
      <c r="CJ54" s="796"/>
      <c r="CK54" s="796"/>
      <c r="CL54" s="796"/>
      <c r="CM54" s="796"/>
      <c r="CN54" s="796"/>
      <c r="CO54" s="796"/>
      <c r="CP54" s="796"/>
      <c r="CQ54" s="796"/>
      <c r="CR54" s="796"/>
      <c r="CS54" s="796"/>
      <c r="CT54" s="796"/>
      <c r="CU54" s="796"/>
      <c r="CV54" s="796"/>
      <c r="CW54" s="796"/>
      <c r="CX54" s="796"/>
      <c r="CY54" s="796"/>
      <c r="CZ54" s="796"/>
      <c r="DA54" s="796"/>
      <c r="DB54" s="796"/>
      <c r="DC54" s="796"/>
      <c r="DD54" s="796"/>
      <c r="DE54" s="796"/>
      <c r="DF54" s="796"/>
      <c r="DG54" s="796"/>
      <c r="DH54" s="796"/>
      <c r="DI54" s="796"/>
      <c r="DJ54" s="796"/>
      <c r="DK54" s="796"/>
      <c r="DL54" s="796"/>
      <c r="DM54" s="796"/>
      <c r="DN54" s="796"/>
    </row>
    <row r="55" ht="15.0" customHeight="1">
      <c r="A55" s="53">
        <v>27.0</v>
      </c>
      <c r="B55" s="100" t="s">
        <v>171</v>
      </c>
      <c r="C55" s="100" t="s">
        <v>172</v>
      </c>
      <c r="D55" s="101" t="str">
        <f t="shared" ref="D55:D63" si="3">MID(B55,17,4)</f>
        <v>DATA</v>
      </c>
      <c r="E55" s="101" t="s">
        <v>161</v>
      </c>
      <c r="F55" s="104">
        <v>1113.0</v>
      </c>
      <c r="G55" s="517" t="s">
        <v>161</v>
      </c>
      <c r="H55" s="517">
        <v>1113.0</v>
      </c>
      <c r="I55" s="68" t="str">
        <f>IFERROR(VLOOKUP(C:C,'R22 RELATÓRIO ACC'!B:F,5,FALSE),"NOT PUBLISHED")</f>
        <v>V36</v>
      </c>
      <c r="J55" s="68" t="str">
        <f>IFERROR(VLOOKUP(C:C,'R22 RELATÓRIO ACC'!B:P,15,FALSE),"NOT PUBLISHED")</f>
        <v>08/05/2026</v>
      </c>
      <c r="K55" s="70" t="str">
        <f>IFERROR(VLOOKUP(B:B,'RELATÓRIO ACC'!B:F,5,FALSE),"NOT PUBLISHED")</f>
        <v>V2</v>
      </c>
      <c r="L55" s="518" t="str">
        <f>IFERROR(VLOOKUP(B:B,'RELATÓRIO ACC'!B:P,15,FALSE),"NOT PUBLISHED")</f>
        <v>03/06/2026</v>
      </c>
      <c r="M55" s="519" t="s">
        <v>405</v>
      </c>
      <c r="N55" s="797" t="s">
        <v>434</v>
      </c>
      <c r="O55" s="538" t="s">
        <v>410</v>
      </c>
      <c r="P55" s="587"/>
      <c r="Q55" s="523" t="s">
        <v>381</v>
      </c>
      <c r="R55" s="526" t="s">
        <v>421</v>
      </c>
      <c r="S55" s="551">
        <v>0.03</v>
      </c>
      <c r="T55" s="523" t="s">
        <v>379</v>
      </c>
      <c r="U55" s="526">
        <v>0.0</v>
      </c>
      <c r="V55" s="530" t="s">
        <v>379</v>
      </c>
      <c r="W55" s="734" t="s">
        <v>379</v>
      </c>
      <c r="X55" s="541">
        <v>0.0</v>
      </c>
      <c r="Y55" s="530" t="s">
        <v>379</v>
      </c>
      <c r="Z55" s="523" t="s">
        <v>398</v>
      </c>
      <c r="AA55" s="690" t="s">
        <v>403</v>
      </c>
      <c r="AB55" s="523" t="s">
        <v>398</v>
      </c>
      <c r="AC55" s="530" t="s">
        <v>383</v>
      </c>
      <c r="AD55" s="690" t="s">
        <v>403</v>
      </c>
      <c r="AE55" s="530" t="s">
        <v>383</v>
      </c>
      <c r="AF55" s="523" t="s">
        <v>386</v>
      </c>
      <c r="AG55" s="550" t="s">
        <v>405</v>
      </c>
      <c r="AH55" s="529">
        <v>1.0</v>
      </c>
      <c r="AI55" s="523" t="s">
        <v>413</v>
      </c>
      <c r="AJ55" s="526" t="s">
        <v>405</v>
      </c>
      <c r="AK55" s="529">
        <v>1.0</v>
      </c>
      <c r="AL55" s="523" t="s">
        <v>413</v>
      </c>
      <c r="AM55" s="526" t="s">
        <v>405</v>
      </c>
      <c r="AN55" s="529">
        <v>1.0</v>
      </c>
      <c r="AO55" s="523" t="s">
        <v>413</v>
      </c>
      <c r="AP55" s="526" t="s">
        <v>405</v>
      </c>
      <c r="AQ55" s="529">
        <v>1.0</v>
      </c>
      <c r="AR55" s="523" t="s">
        <v>413</v>
      </c>
      <c r="AS55" s="526" t="s">
        <v>405</v>
      </c>
      <c r="AT55" s="529">
        <v>1.0</v>
      </c>
      <c r="AU55" s="523" t="s">
        <v>413</v>
      </c>
      <c r="AV55" s="526" t="s">
        <v>405</v>
      </c>
      <c r="AW55" s="529">
        <v>1.0</v>
      </c>
      <c r="AX55" s="523" t="s">
        <v>413</v>
      </c>
      <c r="AY55" s="526" t="s">
        <v>405</v>
      </c>
      <c r="AZ55" s="529">
        <v>1.0</v>
      </c>
      <c r="BA55" s="523" t="s">
        <v>413</v>
      </c>
      <c r="BB55" s="526" t="s">
        <v>405</v>
      </c>
      <c r="BC55" s="529">
        <v>1.0</v>
      </c>
      <c r="BD55" s="523" t="s">
        <v>413</v>
      </c>
      <c r="BE55" s="526" t="s">
        <v>405</v>
      </c>
      <c r="BF55" s="529">
        <v>1.0</v>
      </c>
      <c r="BG55" s="523" t="s">
        <v>413</v>
      </c>
      <c r="BH55" s="526" t="s">
        <v>405</v>
      </c>
      <c r="BI55" s="529">
        <v>1.0</v>
      </c>
      <c r="BJ55" s="523" t="s">
        <v>413</v>
      </c>
      <c r="BK55" s="526" t="s">
        <v>405</v>
      </c>
      <c r="BL55" s="529">
        <v>1.0</v>
      </c>
      <c r="BM55" s="523" t="s">
        <v>413</v>
      </c>
      <c r="BN55" s="526" t="s">
        <v>405</v>
      </c>
      <c r="BO55" s="529">
        <v>1.0</v>
      </c>
      <c r="BP55" s="523" t="s">
        <v>413</v>
      </c>
      <c r="BQ55" s="526" t="s">
        <v>405</v>
      </c>
      <c r="BR55" s="529">
        <v>1.0</v>
      </c>
      <c r="BS55" s="523" t="s">
        <v>413</v>
      </c>
      <c r="BT55" s="526" t="s">
        <v>405</v>
      </c>
      <c r="BU55" s="529">
        <v>1.0</v>
      </c>
      <c r="BV55" s="523" t="s">
        <v>413</v>
      </c>
      <c r="BW55" s="526" t="s">
        <v>405</v>
      </c>
      <c r="BX55" s="529">
        <v>1.0</v>
      </c>
      <c r="BY55" s="523" t="s">
        <v>413</v>
      </c>
      <c r="BZ55" s="526" t="s">
        <v>405</v>
      </c>
      <c r="CA55" s="529">
        <v>1.0</v>
      </c>
      <c r="CB55" s="523" t="s">
        <v>413</v>
      </c>
      <c r="CC55" s="526" t="s">
        <v>405</v>
      </c>
      <c r="CD55" s="529">
        <v>1.0</v>
      </c>
      <c r="CE55" s="523" t="s">
        <v>413</v>
      </c>
      <c r="CF55" s="526" t="s">
        <v>405</v>
      </c>
      <c r="CG55" s="529">
        <v>1.0</v>
      </c>
      <c r="CH55" s="523" t="s">
        <v>413</v>
      </c>
      <c r="CI55" s="526" t="s">
        <v>405</v>
      </c>
      <c r="CJ55" s="529">
        <v>1.0</v>
      </c>
      <c r="CK55" s="523" t="s">
        <v>413</v>
      </c>
      <c r="CL55" s="526" t="s">
        <v>405</v>
      </c>
      <c r="CM55" s="529">
        <v>1.0</v>
      </c>
      <c r="CN55" s="523" t="s">
        <v>413</v>
      </c>
      <c r="CO55" s="526" t="s">
        <v>405</v>
      </c>
      <c r="CP55" s="529">
        <v>1.0</v>
      </c>
      <c r="CQ55" s="523" t="s">
        <v>413</v>
      </c>
      <c r="CR55" s="526" t="s">
        <v>405</v>
      </c>
      <c r="CS55" s="529">
        <v>1.0</v>
      </c>
      <c r="CT55" s="523" t="s">
        <v>413</v>
      </c>
      <c r="CU55" s="526" t="s">
        <v>405</v>
      </c>
      <c r="CV55" s="647">
        <v>1.0</v>
      </c>
      <c r="CW55" s="523" t="s">
        <v>413</v>
      </c>
      <c r="CX55" s="526" t="s">
        <v>405</v>
      </c>
      <c r="CY55" s="647">
        <v>1.0</v>
      </c>
      <c r="CZ55" s="523" t="s">
        <v>413</v>
      </c>
      <c r="DA55" s="526" t="s">
        <v>405</v>
      </c>
      <c r="DB55" s="647">
        <v>1.0</v>
      </c>
      <c r="DC55" s="523" t="s">
        <v>413</v>
      </c>
      <c r="DD55" s="526" t="s">
        <v>405</v>
      </c>
      <c r="DE55" s="647">
        <v>1.0</v>
      </c>
      <c r="DF55" s="523" t="s">
        <v>413</v>
      </c>
      <c r="DG55" s="526" t="s">
        <v>405</v>
      </c>
      <c r="DH55" s="647">
        <v>1.0</v>
      </c>
      <c r="DI55" s="523" t="s">
        <v>413</v>
      </c>
      <c r="DJ55" s="526" t="s">
        <v>405</v>
      </c>
      <c r="DK55" s="647">
        <v>1.0</v>
      </c>
      <c r="DL55" s="523" t="s">
        <v>413</v>
      </c>
      <c r="DM55" s="526" t="s">
        <v>405</v>
      </c>
      <c r="DN55" s="647">
        <v>1.0</v>
      </c>
    </row>
    <row r="56" ht="15.0" customHeight="1">
      <c r="A56" s="53">
        <v>37.0</v>
      </c>
      <c r="B56" s="100" t="s">
        <v>197</v>
      </c>
      <c r="C56" s="100" t="s">
        <v>198</v>
      </c>
      <c r="D56" s="101" t="str">
        <f t="shared" si="3"/>
        <v>DATA</v>
      </c>
      <c r="E56" s="101" t="s">
        <v>196</v>
      </c>
      <c r="F56" s="102">
        <v>1115.0</v>
      </c>
      <c r="G56" s="517" t="s">
        <v>196</v>
      </c>
      <c r="H56" s="517">
        <v>1115.0</v>
      </c>
      <c r="I56" s="68" t="str">
        <f>IFERROR(VLOOKUP(C:C,'R22 RELATÓRIO ACC'!B:F,5,FALSE),"NOT PUBLISHED")</f>
        <v>V40</v>
      </c>
      <c r="J56" s="68" t="str">
        <f>IFERROR(VLOOKUP(C:C,'R22 RELATÓRIO ACC'!B:P,15,FALSE),"NOT PUBLISHED")</f>
        <v>06/05/2026</v>
      </c>
      <c r="K56" s="70" t="str">
        <f>IFERROR(VLOOKUP(B:B,'RELATÓRIO ACC'!B:F,5,FALSE),"NOT PUBLISHED")</f>
        <v>V3</v>
      </c>
      <c r="L56" s="518" t="str">
        <f>IFERROR(VLOOKUP(B:B,'RELATÓRIO ACC'!B:P,15,FALSE),"NOT PUBLISHED")</f>
        <v>13/07/2026</v>
      </c>
      <c r="M56" s="519" t="s">
        <v>408</v>
      </c>
      <c r="N56" s="569" t="s">
        <v>439</v>
      </c>
      <c r="O56" s="538" t="s">
        <v>410</v>
      </c>
      <c r="P56" s="587"/>
      <c r="Q56" s="523" t="s">
        <v>381</v>
      </c>
      <c r="R56" s="526" t="s">
        <v>421</v>
      </c>
      <c r="S56" s="551">
        <v>0.01</v>
      </c>
      <c r="T56" s="523" t="s">
        <v>381</v>
      </c>
      <c r="U56" s="526" t="s">
        <v>421</v>
      </c>
      <c r="V56" s="546">
        <v>0.07</v>
      </c>
      <c r="W56" s="522" t="s">
        <v>381</v>
      </c>
      <c r="X56" s="798" t="s">
        <v>421</v>
      </c>
      <c r="Y56" s="565">
        <v>0.82</v>
      </c>
      <c r="Z56" s="530" t="s">
        <v>383</v>
      </c>
      <c r="AA56" s="690" t="s">
        <v>407</v>
      </c>
      <c r="AB56" s="530" t="s">
        <v>383</v>
      </c>
      <c r="AC56" s="530" t="s">
        <v>381</v>
      </c>
      <c r="AD56" s="544" t="s">
        <v>431</v>
      </c>
      <c r="AE56" s="546">
        <v>0.91</v>
      </c>
      <c r="AF56" s="523" t="s">
        <v>386</v>
      </c>
      <c r="AG56" s="526" t="s">
        <v>408</v>
      </c>
      <c r="AH56" s="529">
        <v>1.0</v>
      </c>
      <c r="AI56" s="528" t="s">
        <v>413</v>
      </c>
      <c r="AJ56" s="528" t="s">
        <v>408</v>
      </c>
      <c r="AK56" s="532">
        <v>1.0</v>
      </c>
      <c r="AL56" s="528" t="s">
        <v>413</v>
      </c>
      <c r="AM56" s="528" t="s">
        <v>408</v>
      </c>
      <c r="AN56" s="532">
        <v>1.0</v>
      </c>
      <c r="AO56" s="528" t="s">
        <v>413</v>
      </c>
      <c r="AP56" s="528" t="s">
        <v>408</v>
      </c>
      <c r="AQ56" s="532">
        <v>1.0</v>
      </c>
      <c r="AR56" s="528" t="s">
        <v>413</v>
      </c>
      <c r="AS56" s="528" t="s">
        <v>408</v>
      </c>
      <c r="AT56" s="532">
        <v>1.0</v>
      </c>
      <c r="AU56" s="528" t="s">
        <v>413</v>
      </c>
      <c r="AV56" s="528" t="s">
        <v>408</v>
      </c>
      <c r="AW56" s="532">
        <v>1.0</v>
      </c>
      <c r="AX56" s="523" t="s">
        <v>413</v>
      </c>
      <c r="AY56" s="528" t="s">
        <v>408</v>
      </c>
      <c r="AZ56" s="532">
        <v>1.0</v>
      </c>
      <c r="BA56" s="523" t="s">
        <v>413</v>
      </c>
      <c r="BB56" s="528" t="s">
        <v>408</v>
      </c>
      <c r="BC56" s="532">
        <v>1.0</v>
      </c>
      <c r="BD56" s="523" t="s">
        <v>413</v>
      </c>
      <c r="BE56" s="528" t="s">
        <v>408</v>
      </c>
      <c r="BF56" s="532">
        <v>1.0</v>
      </c>
      <c r="BG56" s="523" t="s">
        <v>413</v>
      </c>
      <c r="BH56" s="528" t="s">
        <v>408</v>
      </c>
      <c r="BI56" s="532">
        <v>1.0</v>
      </c>
      <c r="BJ56" s="523" t="s">
        <v>413</v>
      </c>
      <c r="BK56" s="528" t="s">
        <v>408</v>
      </c>
      <c r="BL56" s="532">
        <v>1.0</v>
      </c>
      <c r="BM56" s="523" t="s">
        <v>413</v>
      </c>
      <c r="BN56" s="528" t="s">
        <v>408</v>
      </c>
      <c r="BO56" s="532">
        <v>1.0</v>
      </c>
      <c r="BP56" s="523" t="s">
        <v>413</v>
      </c>
      <c r="BQ56" s="528" t="s">
        <v>408</v>
      </c>
      <c r="BR56" s="532">
        <v>1.0</v>
      </c>
      <c r="BS56" s="523" t="s">
        <v>413</v>
      </c>
      <c r="BT56" s="528" t="s">
        <v>408</v>
      </c>
      <c r="BU56" s="532">
        <v>1.0</v>
      </c>
      <c r="BV56" s="523" t="s">
        <v>413</v>
      </c>
      <c r="BW56" s="528" t="s">
        <v>408</v>
      </c>
      <c r="BX56" s="532">
        <v>1.0</v>
      </c>
      <c r="BY56" s="523" t="s">
        <v>413</v>
      </c>
      <c r="BZ56" s="528" t="s">
        <v>408</v>
      </c>
      <c r="CA56" s="532">
        <v>1.0</v>
      </c>
      <c r="CB56" s="523" t="s">
        <v>413</v>
      </c>
      <c r="CC56" s="528" t="s">
        <v>408</v>
      </c>
      <c r="CD56" s="532">
        <v>1.0</v>
      </c>
      <c r="CE56" s="523" t="s">
        <v>413</v>
      </c>
      <c r="CF56" s="528" t="s">
        <v>408</v>
      </c>
      <c r="CG56" s="532">
        <v>1.0</v>
      </c>
      <c r="CH56" s="523" t="s">
        <v>413</v>
      </c>
      <c r="CI56" s="528" t="s">
        <v>408</v>
      </c>
      <c r="CJ56" s="532">
        <v>1.0</v>
      </c>
      <c r="CK56" s="523" t="s">
        <v>413</v>
      </c>
      <c r="CL56" s="528" t="s">
        <v>408</v>
      </c>
      <c r="CM56" s="532">
        <v>1.0</v>
      </c>
      <c r="CN56" s="523" t="s">
        <v>413</v>
      </c>
      <c r="CO56" s="528" t="s">
        <v>408</v>
      </c>
      <c r="CP56" s="532">
        <v>1.0</v>
      </c>
      <c r="CQ56" s="523" t="s">
        <v>413</v>
      </c>
      <c r="CR56" s="528" t="s">
        <v>408</v>
      </c>
      <c r="CS56" s="532">
        <v>1.0</v>
      </c>
      <c r="CT56" s="523" t="s">
        <v>413</v>
      </c>
      <c r="CU56" s="528" t="s">
        <v>408</v>
      </c>
      <c r="CV56" s="532">
        <v>1.0</v>
      </c>
      <c r="CW56" s="523" t="s">
        <v>413</v>
      </c>
      <c r="CX56" s="528" t="s">
        <v>408</v>
      </c>
      <c r="CY56" s="532">
        <v>1.0</v>
      </c>
      <c r="CZ56" s="523" t="s">
        <v>413</v>
      </c>
      <c r="DA56" s="528" t="s">
        <v>408</v>
      </c>
      <c r="DB56" s="532">
        <v>1.0</v>
      </c>
      <c r="DC56" s="523" t="s">
        <v>413</v>
      </c>
      <c r="DD56" s="528" t="s">
        <v>408</v>
      </c>
      <c r="DE56" s="532">
        <v>1.0</v>
      </c>
      <c r="DF56" s="523" t="s">
        <v>413</v>
      </c>
      <c r="DG56" s="528" t="s">
        <v>408</v>
      </c>
      <c r="DH56" s="532">
        <v>1.0</v>
      </c>
      <c r="DI56" s="523" t="s">
        <v>413</v>
      </c>
      <c r="DJ56" s="528" t="s">
        <v>408</v>
      </c>
      <c r="DK56" s="532">
        <v>1.0</v>
      </c>
      <c r="DL56" s="523" t="s">
        <v>413</v>
      </c>
      <c r="DM56" s="528" t="s">
        <v>408</v>
      </c>
      <c r="DN56" s="532">
        <v>1.0</v>
      </c>
    </row>
    <row r="57" ht="15.0" customHeight="1">
      <c r="A57" s="53">
        <v>35.0</v>
      </c>
      <c r="B57" s="145" t="s">
        <v>189</v>
      </c>
      <c r="C57" s="145" t="s">
        <v>190</v>
      </c>
      <c r="D57" s="101" t="str">
        <f t="shared" si="3"/>
        <v>DATA</v>
      </c>
      <c r="E57" s="101" t="s">
        <v>154</v>
      </c>
      <c r="F57" s="102">
        <v>1112.0</v>
      </c>
      <c r="G57" s="517" t="s">
        <v>155</v>
      </c>
      <c r="H57" s="517">
        <v>1129.0</v>
      </c>
      <c r="I57" s="68" t="str">
        <f>IFERROR(VLOOKUP(C:C,'R22 RELATÓRIO ACC'!B:F,5,FALSE),"NOT PUBLISHED")</f>
        <v>V39</v>
      </c>
      <c r="J57" s="68" t="str">
        <f>IFERROR(VLOOKUP(C:C,'R22 RELATÓRIO ACC'!B:P,15,FALSE),"NOT PUBLISHED")</f>
        <v>19/03/2026</v>
      </c>
      <c r="K57" s="70" t="str">
        <f>IFERROR(VLOOKUP(B:B,'RELATÓRIO ACC'!B:F,5,FALSE),"NOT PUBLISHED")</f>
        <v>V5</v>
      </c>
      <c r="L57" s="518" t="str">
        <f>IFERROR(VLOOKUP(B:B,'RELATÓRIO ACC'!B:P,15,FALSE),"NOT PUBLISHED")</f>
        <v>10/07/2026</v>
      </c>
      <c r="M57" s="648" t="s">
        <v>429</v>
      </c>
      <c r="N57" s="649">
        <v>46002.0</v>
      </c>
      <c r="O57" s="538" t="s">
        <v>410</v>
      </c>
      <c r="P57" s="587" t="s">
        <v>397</v>
      </c>
      <c r="Q57" s="522" t="s">
        <v>381</v>
      </c>
      <c r="R57" s="798" t="s">
        <v>421</v>
      </c>
      <c r="S57" s="721">
        <v>0.08</v>
      </c>
      <c r="T57" s="523" t="s">
        <v>379</v>
      </c>
      <c r="U57" s="798">
        <v>0.0</v>
      </c>
      <c r="V57" s="741" t="s">
        <v>379</v>
      </c>
      <c r="W57" s="522" t="s">
        <v>381</v>
      </c>
      <c r="X57" s="798" t="s">
        <v>421</v>
      </c>
      <c r="Y57" s="721">
        <v>0.08</v>
      </c>
      <c r="Z57" s="530" t="s">
        <v>383</v>
      </c>
      <c r="AA57" s="690" t="s">
        <v>408</v>
      </c>
      <c r="AB57" s="741" t="s">
        <v>383</v>
      </c>
      <c r="AC57" s="523" t="s">
        <v>381</v>
      </c>
      <c r="AD57" s="550" t="s">
        <v>432</v>
      </c>
      <c r="AE57" s="721">
        <v>0.56</v>
      </c>
      <c r="AF57" s="530" t="s">
        <v>383</v>
      </c>
      <c r="AG57" s="550" t="s">
        <v>432</v>
      </c>
      <c r="AH57" s="530" t="s">
        <v>383</v>
      </c>
      <c r="AI57" s="523" t="s">
        <v>383</v>
      </c>
      <c r="AJ57" s="526" t="s">
        <v>431</v>
      </c>
      <c r="AK57" s="523" t="s">
        <v>383</v>
      </c>
      <c r="AL57" s="523" t="s">
        <v>381</v>
      </c>
      <c r="AM57" s="526" t="s">
        <v>438</v>
      </c>
      <c r="AN57" s="565">
        <v>0.75</v>
      </c>
      <c r="AO57" s="523" t="s">
        <v>386</v>
      </c>
      <c r="AP57" s="526" t="s">
        <v>429</v>
      </c>
      <c r="AQ57" s="565">
        <v>1.0</v>
      </c>
      <c r="AR57" s="523" t="s">
        <v>413</v>
      </c>
      <c r="AS57" s="526" t="s">
        <v>429</v>
      </c>
      <c r="AT57" s="565">
        <v>1.0</v>
      </c>
      <c r="AU57" s="523" t="s">
        <v>413</v>
      </c>
      <c r="AV57" s="526" t="s">
        <v>429</v>
      </c>
      <c r="AW57" s="565">
        <v>1.0</v>
      </c>
      <c r="AX57" s="523" t="s">
        <v>413</v>
      </c>
      <c r="AY57" s="526" t="s">
        <v>429</v>
      </c>
      <c r="AZ57" s="565">
        <v>1.0</v>
      </c>
      <c r="BA57" s="523" t="s">
        <v>413</v>
      </c>
      <c r="BB57" s="526" t="s">
        <v>429</v>
      </c>
      <c r="BC57" s="565">
        <v>1.0</v>
      </c>
      <c r="BD57" s="523" t="s">
        <v>413</v>
      </c>
      <c r="BE57" s="526" t="s">
        <v>429</v>
      </c>
      <c r="BF57" s="565">
        <v>1.0</v>
      </c>
      <c r="BG57" s="523" t="s">
        <v>413</v>
      </c>
      <c r="BH57" s="526" t="s">
        <v>429</v>
      </c>
      <c r="BI57" s="565">
        <v>1.0</v>
      </c>
      <c r="BJ57" s="523" t="s">
        <v>413</v>
      </c>
      <c r="BK57" s="526" t="s">
        <v>429</v>
      </c>
      <c r="BL57" s="565">
        <v>1.0</v>
      </c>
      <c r="BM57" s="523" t="s">
        <v>413</v>
      </c>
      <c r="BN57" s="526" t="s">
        <v>429</v>
      </c>
      <c r="BO57" s="565">
        <v>1.0</v>
      </c>
      <c r="BP57" s="523" t="s">
        <v>413</v>
      </c>
      <c r="BQ57" s="526" t="s">
        <v>429</v>
      </c>
      <c r="BR57" s="565">
        <v>1.0</v>
      </c>
      <c r="BS57" s="523" t="s">
        <v>413</v>
      </c>
      <c r="BT57" s="526" t="s">
        <v>429</v>
      </c>
      <c r="BU57" s="565">
        <v>1.0</v>
      </c>
      <c r="BV57" s="523" t="s">
        <v>413</v>
      </c>
      <c r="BW57" s="526" t="s">
        <v>429</v>
      </c>
      <c r="BX57" s="565">
        <v>1.0</v>
      </c>
      <c r="BY57" s="523" t="s">
        <v>413</v>
      </c>
      <c r="BZ57" s="526" t="s">
        <v>429</v>
      </c>
      <c r="CA57" s="565">
        <v>1.0</v>
      </c>
      <c r="CB57" s="523" t="s">
        <v>413</v>
      </c>
      <c r="CC57" s="526" t="s">
        <v>429</v>
      </c>
      <c r="CD57" s="565">
        <v>1.0</v>
      </c>
      <c r="CE57" s="523" t="s">
        <v>413</v>
      </c>
      <c r="CF57" s="526" t="s">
        <v>429</v>
      </c>
      <c r="CG57" s="565">
        <v>1.0</v>
      </c>
      <c r="CH57" s="523" t="s">
        <v>413</v>
      </c>
      <c r="CI57" s="526" t="s">
        <v>429</v>
      </c>
      <c r="CJ57" s="565">
        <v>1.0</v>
      </c>
      <c r="CK57" s="528" t="s">
        <v>413</v>
      </c>
      <c r="CL57" s="526" t="s">
        <v>429</v>
      </c>
      <c r="CM57" s="568">
        <v>1.0</v>
      </c>
      <c r="CN57" s="528" t="s">
        <v>413</v>
      </c>
      <c r="CO57" s="526" t="s">
        <v>429</v>
      </c>
      <c r="CP57" s="568">
        <v>1.0</v>
      </c>
      <c r="CQ57" s="528" t="s">
        <v>413</v>
      </c>
      <c r="CR57" s="526" t="s">
        <v>429</v>
      </c>
      <c r="CS57" s="568">
        <v>1.0</v>
      </c>
      <c r="CT57" s="528" t="s">
        <v>413</v>
      </c>
      <c r="CU57" s="526" t="s">
        <v>429</v>
      </c>
      <c r="CV57" s="568">
        <v>1.0</v>
      </c>
      <c r="CW57" s="528" t="s">
        <v>413</v>
      </c>
      <c r="CX57" s="526" t="s">
        <v>429</v>
      </c>
      <c r="CY57" s="568">
        <v>1.0</v>
      </c>
      <c r="CZ57" s="528" t="s">
        <v>413</v>
      </c>
      <c r="DA57" s="526" t="s">
        <v>429</v>
      </c>
      <c r="DB57" s="568">
        <v>1.0</v>
      </c>
      <c r="DC57" s="528" t="s">
        <v>413</v>
      </c>
      <c r="DD57" s="526" t="s">
        <v>429</v>
      </c>
      <c r="DE57" s="568">
        <v>1.0</v>
      </c>
      <c r="DF57" s="528" t="s">
        <v>413</v>
      </c>
      <c r="DG57" s="526" t="s">
        <v>429</v>
      </c>
      <c r="DH57" s="568">
        <v>1.0</v>
      </c>
      <c r="DI57" s="528" t="s">
        <v>413</v>
      </c>
      <c r="DJ57" s="526" t="s">
        <v>429</v>
      </c>
      <c r="DK57" s="568">
        <v>1.0</v>
      </c>
      <c r="DL57" s="528" t="s">
        <v>413</v>
      </c>
      <c r="DM57" s="526" t="s">
        <v>429</v>
      </c>
      <c r="DN57" s="568">
        <v>1.0</v>
      </c>
    </row>
    <row r="58" ht="15.0" customHeight="1">
      <c r="A58" s="53">
        <v>54.0</v>
      </c>
      <c r="B58" s="100" t="s">
        <v>267</v>
      </c>
      <c r="C58" s="100" t="s">
        <v>268</v>
      </c>
      <c r="D58" s="101" t="str">
        <f t="shared" si="3"/>
        <v>DATA</v>
      </c>
      <c r="E58" s="101" t="s">
        <v>269</v>
      </c>
      <c r="F58" s="102"/>
      <c r="G58" s="534" t="s">
        <v>452</v>
      </c>
      <c r="H58" s="535"/>
      <c r="I58" s="68" t="str">
        <f>IFERROR(VLOOKUP(C:C,'R22 RELATÓRIO ACC'!B:F,5,FALSE),"NOT PUBLISHED")</f>
        <v>V10</v>
      </c>
      <c r="J58" s="68" t="str">
        <f>IFERROR(VLOOKUP(C:C,'R22 RELATÓRIO ACC'!B:P,15,FALSE),"NOT PUBLISHED")</f>
        <v>22/04/2026</v>
      </c>
      <c r="K58" s="70" t="str">
        <f>IFERROR(VLOOKUP(B:B,'RELATÓRIO ACC'!B:F,5,FALSE),"NOT PUBLISHED")</f>
        <v>V1</v>
      </c>
      <c r="L58" s="518" t="str">
        <f>IFERROR(VLOOKUP(B:B,'RELATÓRIO ACC'!B:P,15,FALSE),"NOT PUBLISHED")</f>
        <v>15/05/2026</v>
      </c>
      <c r="M58" s="519" t="s">
        <v>412</v>
      </c>
      <c r="N58" s="520">
        <v>46001.0</v>
      </c>
      <c r="O58" s="538" t="s">
        <v>410</v>
      </c>
      <c r="P58" s="587"/>
      <c r="Q58" s="523" t="s">
        <v>381</v>
      </c>
      <c r="R58" s="550" t="s">
        <v>421</v>
      </c>
      <c r="S58" s="551">
        <v>0.01</v>
      </c>
      <c r="T58" s="523" t="s">
        <v>379</v>
      </c>
      <c r="U58" s="550">
        <v>0.0</v>
      </c>
      <c r="V58" s="740" t="s">
        <v>379</v>
      </c>
      <c r="W58" s="530" t="s">
        <v>381</v>
      </c>
      <c r="X58" s="690" t="s">
        <v>421</v>
      </c>
      <c r="Y58" s="551">
        <v>0.22</v>
      </c>
      <c r="Z58" s="530" t="s">
        <v>383</v>
      </c>
      <c r="AA58" s="690" t="s">
        <v>399</v>
      </c>
      <c r="AB58" s="740" t="s">
        <v>383</v>
      </c>
      <c r="AC58" s="530" t="s">
        <v>398</v>
      </c>
      <c r="AD58" s="690" t="s">
        <v>411</v>
      </c>
      <c r="AE58" s="740" t="s">
        <v>398</v>
      </c>
      <c r="AF58" s="530" t="s">
        <v>383</v>
      </c>
      <c r="AG58" s="690" t="s">
        <v>411</v>
      </c>
      <c r="AH58" s="530" t="s">
        <v>383</v>
      </c>
      <c r="AI58" s="531" t="s">
        <v>381</v>
      </c>
      <c r="AJ58" s="528" t="s">
        <v>428</v>
      </c>
      <c r="AK58" s="532">
        <v>0.81</v>
      </c>
      <c r="AL58" s="528" t="s">
        <v>383</v>
      </c>
      <c r="AM58" s="528" t="s">
        <v>428</v>
      </c>
      <c r="AN58" s="528" t="s">
        <v>383</v>
      </c>
      <c r="AO58" s="528" t="s">
        <v>386</v>
      </c>
      <c r="AP58" s="528" t="s">
        <v>412</v>
      </c>
      <c r="AQ58" s="532">
        <v>1.0</v>
      </c>
      <c r="AR58" s="528" t="s">
        <v>413</v>
      </c>
      <c r="AS58" s="528" t="s">
        <v>412</v>
      </c>
      <c r="AT58" s="532">
        <v>1.0</v>
      </c>
      <c r="AU58" s="528" t="s">
        <v>413</v>
      </c>
      <c r="AV58" s="528" t="s">
        <v>412</v>
      </c>
      <c r="AW58" s="532">
        <v>1.0</v>
      </c>
      <c r="AX58" s="528" t="s">
        <v>413</v>
      </c>
      <c r="AY58" s="528" t="s">
        <v>412</v>
      </c>
      <c r="AZ58" s="532">
        <v>1.0</v>
      </c>
      <c r="BA58" s="528" t="s">
        <v>413</v>
      </c>
      <c r="BB58" s="528" t="s">
        <v>412</v>
      </c>
      <c r="BC58" s="532">
        <v>1.0</v>
      </c>
      <c r="BD58" s="528" t="s">
        <v>413</v>
      </c>
      <c r="BE58" s="528" t="s">
        <v>412</v>
      </c>
      <c r="BF58" s="532">
        <v>1.0</v>
      </c>
      <c r="BG58" s="528" t="s">
        <v>413</v>
      </c>
      <c r="BH58" s="528" t="s">
        <v>412</v>
      </c>
      <c r="BI58" s="532">
        <v>1.0</v>
      </c>
      <c r="BJ58" s="528" t="s">
        <v>413</v>
      </c>
      <c r="BK58" s="528" t="s">
        <v>412</v>
      </c>
      <c r="BL58" s="532">
        <v>1.0</v>
      </c>
      <c r="BM58" s="528" t="s">
        <v>413</v>
      </c>
      <c r="BN58" s="528" t="s">
        <v>412</v>
      </c>
      <c r="BO58" s="532">
        <v>1.0</v>
      </c>
      <c r="BP58" s="528" t="s">
        <v>413</v>
      </c>
      <c r="BQ58" s="528" t="s">
        <v>412</v>
      </c>
      <c r="BR58" s="532">
        <v>1.0</v>
      </c>
      <c r="BS58" s="528" t="s">
        <v>413</v>
      </c>
      <c r="BT58" s="528" t="s">
        <v>412</v>
      </c>
      <c r="BU58" s="532">
        <v>1.0</v>
      </c>
      <c r="BV58" s="528" t="s">
        <v>413</v>
      </c>
      <c r="BW58" s="528" t="s">
        <v>412</v>
      </c>
      <c r="BX58" s="532">
        <v>1.0</v>
      </c>
      <c r="BY58" s="528" t="s">
        <v>413</v>
      </c>
      <c r="BZ58" s="528" t="s">
        <v>412</v>
      </c>
      <c r="CA58" s="532">
        <v>1.0</v>
      </c>
      <c r="CB58" s="528" t="s">
        <v>413</v>
      </c>
      <c r="CC58" s="528" t="s">
        <v>412</v>
      </c>
      <c r="CD58" s="532">
        <v>1.0</v>
      </c>
      <c r="CE58" s="528" t="s">
        <v>413</v>
      </c>
      <c r="CF58" s="528" t="s">
        <v>412</v>
      </c>
      <c r="CG58" s="532">
        <v>1.0</v>
      </c>
      <c r="CH58" s="528" t="s">
        <v>413</v>
      </c>
      <c r="CI58" s="528" t="s">
        <v>412</v>
      </c>
      <c r="CJ58" s="532">
        <v>1.0</v>
      </c>
      <c r="CK58" s="528" t="s">
        <v>413</v>
      </c>
      <c r="CL58" s="528" t="s">
        <v>412</v>
      </c>
      <c r="CM58" s="532">
        <v>1.0</v>
      </c>
      <c r="CN58" s="528" t="s">
        <v>413</v>
      </c>
      <c r="CO58" s="528" t="s">
        <v>412</v>
      </c>
      <c r="CP58" s="532">
        <v>1.0</v>
      </c>
      <c r="CQ58" s="528" t="s">
        <v>413</v>
      </c>
      <c r="CR58" s="528" t="s">
        <v>412</v>
      </c>
      <c r="CS58" s="532">
        <v>1.0</v>
      </c>
      <c r="CT58" s="528" t="s">
        <v>413</v>
      </c>
      <c r="CU58" s="528" t="s">
        <v>412</v>
      </c>
      <c r="CV58" s="532">
        <v>1.0</v>
      </c>
      <c r="CW58" s="528" t="s">
        <v>413</v>
      </c>
      <c r="CX58" s="528" t="s">
        <v>412</v>
      </c>
      <c r="CY58" s="532">
        <v>1.0</v>
      </c>
      <c r="CZ58" s="528" t="s">
        <v>413</v>
      </c>
      <c r="DA58" s="528" t="s">
        <v>412</v>
      </c>
      <c r="DB58" s="532">
        <v>1.0</v>
      </c>
      <c r="DC58" s="528" t="s">
        <v>413</v>
      </c>
      <c r="DD58" s="528" t="s">
        <v>412</v>
      </c>
      <c r="DE58" s="532">
        <v>1.0</v>
      </c>
      <c r="DF58" s="528" t="s">
        <v>413</v>
      </c>
      <c r="DG58" s="528" t="s">
        <v>412</v>
      </c>
      <c r="DH58" s="532">
        <v>1.0</v>
      </c>
      <c r="DI58" s="528" t="s">
        <v>413</v>
      </c>
      <c r="DJ58" s="528" t="s">
        <v>412</v>
      </c>
      <c r="DK58" s="532">
        <v>1.0</v>
      </c>
      <c r="DL58" s="528" t="s">
        <v>413</v>
      </c>
      <c r="DM58" s="528" t="s">
        <v>412</v>
      </c>
      <c r="DN58" s="532">
        <v>1.0</v>
      </c>
    </row>
    <row r="59" ht="15.0" customHeight="1">
      <c r="A59" s="53">
        <v>55.0</v>
      </c>
      <c r="B59" s="100" t="s">
        <v>273</v>
      </c>
      <c r="C59" s="100" t="s">
        <v>274</v>
      </c>
      <c r="D59" s="101" t="str">
        <f t="shared" si="3"/>
        <v>DATA</v>
      </c>
      <c r="E59" s="111" t="s">
        <v>275</v>
      </c>
      <c r="F59" s="102"/>
      <c r="G59" s="534" t="s">
        <v>452</v>
      </c>
      <c r="H59" s="535"/>
      <c r="I59" s="68" t="str">
        <f>IFERROR(VLOOKUP(C:C,'R22 RELATÓRIO ACC'!B:F,5,FALSE),"NOT PUBLISHED")</f>
        <v>V11</v>
      </c>
      <c r="J59" s="68" t="str">
        <f>IFERROR(VLOOKUP(C:C,'R22 RELATÓRIO ACC'!B:P,15,FALSE),"NOT PUBLISHED")</f>
        <v>28/04/2026</v>
      </c>
      <c r="K59" s="70" t="str">
        <f>IFERROR(VLOOKUP(B:B,'RELATÓRIO ACC'!B:F,5,FALSE),"NOT PUBLISHED")</f>
        <v>V1</v>
      </c>
      <c r="L59" s="518" t="str">
        <f>IFERROR(VLOOKUP(B:B,'RELATÓRIO ACC'!B:P,15,FALSE),"NOT PUBLISHED")</f>
        <v>15/05/2026</v>
      </c>
      <c r="M59" s="519" t="s">
        <v>382</v>
      </c>
      <c r="N59" s="569" t="s">
        <v>453</v>
      </c>
      <c r="O59" s="538" t="s">
        <v>410</v>
      </c>
      <c r="P59" s="587" t="s">
        <v>445</v>
      </c>
      <c r="Q59" s="523" t="s">
        <v>381</v>
      </c>
      <c r="R59" s="550" t="s">
        <v>421</v>
      </c>
      <c r="S59" s="551">
        <v>0.01</v>
      </c>
      <c r="T59" s="523" t="s">
        <v>379</v>
      </c>
      <c r="U59" s="550">
        <v>0.0</v>
      </c>
      <c r="V59" s="740" t="s">
        <v>379</v>
      </c>
      <c r="W59" s="530" t="s">
        <v>381</v>
      </c>
      <c r="X59" s="690" t="s">
        <v>421</v>
      </c>
      <c r="Y59" s="551">
        <v>0.21</v>
      </c>
      <c r="Z59" s="530" t="s">
        <v>383</v>
      </c>
      <c r="AA59" s="690" t="s">
        <v>399</v>
      </c>
      <c r="AB59" s="740" t="s">
        <v>383</v>
      </c>
      <c r="AC59" s="523" t="s">
        <v>398</v>
      </c>
      <c r="AD59" s="550" t="s">
        <v>411</v>
      </c>
      <c r="AE59" s="525" t="s">
        <v>398</v>
      </c>
      <c r="AF59" s="530" t="s">
        <v>383</v>
      </c>
      <c r="AG59" s="550" t="s">
        <v>411</v>
      </c>
      <c r="AH59" s="530" t="s">
        <v>383</v>
      </c>
      <c r="AI59" s="531" t="s">
        <v>381</v>
      </c>
      <c r="AJ59" s="528" t="s">
        <v>431</v>
      </c>
      <c r="AK59" s="532">
        <v>0.79</v>
      </c>
      <c r="AL59" s="528" t="s">
        <v>383</v>
      </c>
      <c r="AM59" s="528" t="s">
        <v>431</v>
      </c>
      <c r="AN59" s="528" t="s">
        <v>383</v>
      </c>
      <c r="AO59" s="528" t="s">
        <v>381</v>
      </c>
      <c r="AP59" s="528" t="s">
        <v>412</v>
      </c>
      <c r="AQ59" s="532">
        <v>0.86</v>
      </c>
      <c r="AR59" s="528" t="s">
        <v>383</v>
      </c>
      <c r="AS59" s="528" t="s">
        <v>412</v>
      </c>
      <c r="AT59" s="528" t="s">
        <v>383</v>
      </c>
      <c r="AU59" s="528" t="s">
        <v>386</v>
      </c>
      <c r="AV59" s="528" t="s">
        <v>382</v>
      </c>
      <c r="AW59" s="532">
        <v>1.0</v>
      </c>
      <c r="AX59" s="528" t="s">
        <v>413</v>
      </c>
      <c r="AY59" s="528" t="s">
        <v>382</v>
      </c>
      <c r="AZ59" s="532">
        <v>1.0</v>
      </c>
      <c r="BA59" s="528" t="s">
        <v>413</v>
      </c>
      <c r="BB59" s="528" t="s">
        <v>382</v>
      </c>
      <c r="BC59" s="532">
        <v>1.0</v>
      </c>
      <c r="BD59" s="528" t="s">
        <v>413</v>
      </c>
      <c r="BE59" s="528" t="s">
        <v>382</v>
      </c>
      <c r="BF59" s="532">
        <v>1.0</v>
      </c>
      <c r="BG59" s="528" t="s">
        <v>413</v>
      </c>
      <c r="BH59" s="528" t="s">
        <v>382</v>
      </c>
      <c r="BI59" s="532">
        <v>1.0</v>
      </c>
      <c r="BJ59" s="528" t="s">
        <v>413</v>
      </c>
      <c r="BK59" s="528" t="s">
        <v>382</v>
      </c>
      <c r="BL59" s="532">
        <v>1.0</v>
      </c>
      <c r="BM59" s="528" t="s">
        <v>413</v>
      </c>
      <c r="BN59" s="528" t="s">
        <v>382</v>
      </c>
      <c r="BO59" s="532">
        <v>1.0</v>
      </c>
      <c r="BP59" s="528" t="s">
        <v>413</v>
      </c>
      <c r="BQ59" s="528" t="s">
        <v>382</v>
      </c>
      <c r="BR59" s="532">
        <v>1.0</v>
      </c>
      <c r="BS59" s="528" t="s">
        <v>413</v>
      </c>
      <c r="BT59" s="528" t="s">
        <v>382</v>
      </c>
      <c r="BU59" s="532">
        <v>1.0</v>
      </c>
      <c r="BV59" s="528" t="s">
        <v>413</v>
      </c>
      <c r="BW59" s="528" t="s">
        <v>382</v>
      </c>
      <c r="BX59" s="532">
        <v>1.0</v>
      </c>
      <c r="BY59" s="528" t="s">
        <v>413</v>
      </c>
      <c r="BZ59" s="528" t="s">
        <v>382</v>
      </c>
      <c r="CA59" s="532">
        <v>1.0</v>
      </c>
      <c r="CB59" s="528" t="s">
        <v>413</v>
      </c>
      <c r="CC59" s="528" t="s">
        <v>382</v>
      </c>
      <c r="CD59" s="532">
        <v>1.0</v>
      </c>
      <c r="CE59" s="528" t="s">
        <v>413</v>
      </c>
      <c r="CF59" s="528" t="s">
        <v>382</v>
      </c>
      <c r="CG59" s="532">
        <v>1.0</v>
      </c>
      <c r="CH59" s="528" t="s">
        <v>413</v>
      </c>
      <c r="CI59" s="528" t="s">
        <v>382</v>
      </c>
      <c r="CJ59" s="532">
        <v>1.0</v>
      </c>
      <c r="CK59" s="528" t="s">
        <v>413</v>
      </c>
      <c r="CL59" s="528" t="s">
        <v>382</v>
      </c>
      <c r="CM59" s="532">
        <v>1.0</v>
      </c>
      <c r="CN59" s="528" t="s">
        <v>413</v>
      </c>
      <c r="CO59" s="528" t="s">
        <v>382</v>
      </c>
      <c r="CP59" s="532">
        <v>1.0</v>
      </c>
      <c r="CQ59" s="528" t="s">
        <v>413</v>
      </c>
      <c r="CR59" s="528" t="s">
        <v>382</v>
      </c>
      <c r="CS59" s="532">
        <v>1.0</v>
      </c>
      <c r="CT59" s="528" t="s">
        <v>413</v>
      </c>
      <c r="CU59" s="528" t="s">
        <v>382</v>
      </c>
      <c r="CV59" s="532">
        <v>1.0</v>
      </c>
      <c r="CW59" s="528" t="s">
        <v>413</v>
      </c>
      <c r="CX59" s="528" t="s">
        <v>382</v>
      </c>
      <c r="CY59" s="532">
        <v>1.0</v>
      </c>
      <c r="CZ59" s="528" t="s">
        <v>413</v>
      </c>
      <c r="DA59" s="528" t="s">
        <v>382</v>
      </c>
      <c r="DB59" s="532">
        <v>1.0</v>
      </c>
      <c r="DC59" s="528" t="s">
        <v>413</v>
      </c>
      <c r="DD59" s="528" t="s">
        <v>382</v>
      </c>
      <c r="DE59" s="532">
        <v>1.0</v>
      </c>
      <c r="DF59" s="528" t="s">
        <v>413</v>
      </c>
      <c r="DG59" s="528" t="s">
        <v>382</v>
      </c>
      <c r="DH59" s="532">
        <v>1.0</v>
      </c>
      <c r="DI59" s="528" t="s">
        <v>413</v>
      </c>
      <c r="DJ59" s="528" t="s">
        <v>382</v>
      </c>
      <c r="DK59" s="532">
        <v>1.0</v>
      </c>
      <c r="DL59" s="528" t="s">
        <v>413</v>
      </c>
      <c r="DM59" s="528" t="s">
        <v>382</v>
      </c>
      <c r="DN59" s="532">
        <v>1.0</v>
      </c>
    </row>
    <row r="60" ht="15.0" customHeight="1">
      <c r="A60" s="53">
        <v>59.0</v>
      </c>
      <c r="B60" s="100" t="s">
        <v>291</v>
      </c>
      <c r="C60" s="100" t="s">
        <v>291</v>
      </c>
      <c r="D60" s="101" t="str">
        <f t="shared" si="3"/>
        <v>COL2</v>
      </c>
      <c r="E60" s="111" t="s">
        <v>289</v>
      </c>
      <c r="F60" s="102">
        <v>1125.0</v>
      </c>
      <c r="G60" s="102" t="s">
        <v>289</v>
      </c>
      <c r="H60" s="650">
        <v>1125.0</v>
      </c>
      <c r="I60" s="68" t="str">
        <f>IFERROR(VLOOKUP(C:C,'R22 RELATÓRIO ACC'!B:F,5,FALSE),"NOT PUBLISHED")</f>
        <v>V6</v>
      </c>
      <c r="J60" s="68" t="str">
        <f>IFERROR(VLOOKUP(C:C,'R22 RELATÓRIO ACC'!B:P,15,FALSE),"NOT PUBLISHED")</f>
        <v>07/11/2025</v>
      </c>
      <c r="K60" s="70" t="str">
        <f>IFERROR(VLOOKUP(B:B,'RELATÓRIO ACC'!B:F,5,FALSE),"NOT PUBLISHED")</f>
        <v>V1</v>
      </c>
      <c r="L60" s="518" t="str">
        <f>IFERROR(VLOOKUP(B:B,'RELATÓRIO ACC'!B:P,15,FALSE),"NOT PUBLISHED")</f>
        <v>21/05/2026</v>
      </c>
      <c r="M60" s="519" t="s">
        <v>428</v>
      </c>
      <c r="N60" s="569" t="s">
        <v>454</v>
      </c>
      <c r="O60" s="538" t="s">
        <v>410</v>
      </c>
      <c r="P60" s="587"/>
      <c r="Q60" s="523" t="s">
        <v>379</v>
      </c>
      <c r="R60" s="558">
        <v>0.0</v>
      </c>
      <c r="S60" s="523" t="s">
        <v>379</v>
      </c>
      <c r="T60" s="523" t="s">
        <v>379</v>
      </c>
      <c r="U60" s="558">
        <v>0.0</v>
      </c>
      <c r="V60" s="523" t="s">
        <v>379</v>
      </c>
      <c r="W60" s="734" t="s">
        <v>379</v>
      </c>
      <c r="X60" s="735">
        <v>0.0</v>
      </c>
      <c r="Y60" s="734" t="s">
        <v>379</v>
      </c>
      <c r="Z60" s="734" t="s">
        <v>379</v>
      </c>
      <c r="AA60" s="690" t="s">
        <v>380</v>
      </c>
      <c r="AB60" s="740" t="s">
        <v>379</v>
      </c>
      <c r="AC60" s="734" t="s">
        <v>379</v>
      </c>
      <c r="AD60" s="735" t="s">
        <v>380</v>
      </c>
      <c r="AE60" s="530" t="s">
        <v>379</v>
      </c>
      <c r="AF60" s="523" t="s">
        <v>386</v>
      </c>
      <c r="AG60" s="550" t="s">
        <v>428</v>
      </c>
      <c r="AH60" s="529">
        <v>1.0</v>
      </c>
      <c r="AI60" s="528" t="s">
        <v>413</v>
      </c>
      <c r="AJ60" s="528" t="s">
        <v>428</v>
      </c>
      <c r="AK60" s="532">
        <v>1.0</v>
      </c>
      <c r="AL60" s="528" t="s">
        <v>413</v>
      </c>
      <c r="AM60" s="528" t="s">
        <v>428</v>
      </c>
      <c r="AN60" s="532">
        <v>1.0</v>
      </c>
      <c r="AO60" s="528" t="s">
        <v>413</v>
      </c>
      <c r="AP60" s="528" t="s">
        <v>428</v>
      </c>
      <c r="AQ60" s="532">
        <v>1.0</v>
      </c>
      <c r="AR60" s="528" t="s">
        <v>413</v>
      </c>
      <c r="AS60" s="528" t="s">
        <v>428</v>
      </c>
      <c r="AT60" s="532">
        <v>1.0</v>
      </c>
      <c r="AU60" s="528" t="s">
        <v>413</v>
      </c>
      <c r="AV60" s="528" t="s">
        <v>428</v>
      </c>
      <c r="AW60" s="532">
        <v>1.0</v>
      </c>
      <c r="AX60" s="528" t="s">
        <v>413</v>
      </c>
      <c r="AY60" s="528" t="s">
        <v>428</v>
      </c>
      <c r="AZ60" s="532">
        <v>1.0</v>
      </c>
      <c r="BA60" s="528" t="s">
        <v>413</v>
      </c>
      <c r="BB60" s="528" t="s">
        <v>428</v>
      </c>
      <c r="BC60" s="532">
        <v>1.0</v>
      </c>
      <c r="BD60" s="528" t="s">
        <v>413</v>
      </c>
      <c r="BE60" s="528" t="s">
        <v>428</v>
      </c>
      <c r="BF60" s="532">
        <v>1.0</v>
      </c>
      <c r="BG60" s="528" t="s">
        <v>413</v>
      </c>
      <c r="BH60" s="528" t="s">
        <v>428</v>
      </c>
      <c r="BI60" s="532">
        <v>1.0</v>
      </c>
      <c r="BJ60" s="528" t="s">
        <v>413</v>
      </c>
      <c r="BK60" s="528" t="s">
        <v>428</v>
      </c>
      <c r="BL60" s="532">
        <v>1.0</v>
      </c>
      <c r="BM60" s="528" t="s">
        <v>413</v>
      </c>
      <c r="BN60" s="528" t="s">
        <v>428</v>
      </c>
      <c r="BO60" s="532">
        <v>1.0</v>
      </c>
      <c r="BP60" s="528" t="s">
        <v>413</v>
      </c>
      <c r="BQ60" s="528" t="s">
        <v>428</v>
      </c>
      <c r="BR60" s="532">
        <v>1.0</v>
      </c>
      <c r="BS60" s="528" t="s">
        <v>413</v>
      </c>
      <c r="BT60" s="528" t="s">
        <v>428</v>
      </c>
      <c r="BU60" s="532">
        <v>1.0</v>
      </c>
      <c r="BV60" s="528" t="s">
        <v>413</v>
      </c>
      <c r="BW60" s="528" t="s">
        <v>428</v>
      </c>
      <c r="BX60" s="532">
        <v>1.0</v>
      </c>
      <c r="BY60" s="528" t="s">
        <v>413</v>
      </c>
      <c r="BZ60" s="528" t="s">
        <v>428</v>
      </c>
      <c r="CA60" s="532">
        <v>1.0</v>
      </c>
      <c r="CB60" s="528" t="s">
        <v>413</v>
      </c>
      <c r="CC60" s="528" t="s">
        <v>428</v>
      </c>
      <c r="CD60" s="532">
        <v>1.0</v>
      </c>
      <c r="CE60" s="528" t="s">
        <v>413</v>
      </c>
      <c r="CF60" s="528" t="s">
        <v>428</v>
      </c>
      <c r="CG60" s="532">
        <v>1.0</v>
      </c>
      <c r="CH60" s="528" t="s">
        <v>413</v>
      </c>
      <c r="CI60" s="528" t="s">
        <v>428</v>
      </c>
      <c r="CJ60" s="532">
        <v>1.0</v>
      </c>
      <c r="CK60" s="528" t="s">
        <v>413</v>
      </c>
      <c r="CL60" s="528" t="s">
        <v>428</v>
      </c>
      <c r="CM60" s="532">
        <v>1.0</v>
      </c>
      <c r="CN60" s="528" t="s">
        <v>413</v>
      </c>
      <c r="CO60" s="528" t="s">
        <v>428</v>
      </c>
      <c r="CP60" s="532">
        <v>1.0</v>
      </c>
      <c r="CQ60" s="528" t="s">
        <v>413</v>
      </c>
      <c r="CR60" s="528" t="s">
        <v>428</v>
      </c>
      <c r="CS60" s="532">
        <v>1.0</v>
      </c>
      <c r="CT60" s="528" t="s">
        <v>413</v>
      </c>
      <c r="CU60" s="528" t="s">
        <v>428</v>
      </c>
      <c r="CV60" s="532">
        <v>1.0</v>
      </c>
      <c r="CW60" s="528" t="s">
        <v>413</v>
      </c>
      <c r="CX60" s="528" t="s">
        <v>428</v>
      </c>
      <c r="CY60" s="532">
        <v>1.0</v>
      </c>
      <c r="CZ60" s="528" t="s">
        <v>413</v>
      </c>
      <c r="DA60" s="528" t="s">
        <v>428</v>
      </c>
      <c r="DB60" s="532">
        <v>1.0</v>
      </c>
      <c r="DC60" s="528" t="s">
        <v>413</v>
      </c>
      <c r="DD60" s="528" t="s">
        <v>428</v>
      </c>
      <c r="DE60" s="532">
        <v>1.0</v>
      </c>
      <c r="DF60" s="528" t="s">
        <v>413</v>
      </c>
      <c r="DG60" s="528" t="s">
        <v>428</v>
      </c>
      <c r="DH60" s="532">
        <v>1.0</v>
      </c>
      <c r="DI60" s="528" t="s">
        <v>413</v>
      </c>
      <c r="DJ60" s="528" t="s">
        <v>428</v>
      </c>
      <c r="DK60" s="532">
        <v>1.0</v>
      </c>
      <c r="DL60" s="528" t="s">
        <v>413</v>
      </c>
      <c r="DM60" s="528" t="s">
        <v>428</v>
      </c>
      <c r="DN60" s="532">
        <v>1.0</v>
      </c>
    </row>
    <row r="61" ht="15.0" customHeight="1">
      <c r="A61" s="53">
        <v>21.0</v>
      </c>
      <c r="B61" s="145" t="s">
        <v>152</v>
      </c>
      <c r="C61" s="145" t="s">
        <v>153</v>
      </c>
      <c r="D61" s="101" t="str">
        <f t="shared" si="3"/>
        <v>DATA</v>
      </c>
      <c r="E61" s="101" t="s">
        <v>154</v>
      </c>
      <c r="F61" s="102">
        <v>1112.0</v>
      </c>
      <c r="G61" s="102" t="s">
        <v>155</v>
      </c>
      <c r="H61" s="517">
        <v>1129.0</v>
      </c>
      <c r="I61" s="68" t="str">
        <f>IFERROR(VLOOKUP(C:C,'R22 RELATÓRIO ACC'!B:F,5,FALSE),"NOT PUBLISHED")</f>
        <v>V40</v>
      </c>
      <c r="J61" s="68" t="str">
        <f>IFERROR(VLOOKUP(C:C,'R22 RELATÓRIO ACC'!B:P,15,FALSE),"NOT PUBLISHED")</f>
        <v>10/04/2026</v>
      </c>
      <c r="K61" s="70" t="str">
        <f>IFERROR(VLOOKUP(B:B,'RELATÓRIO ACC'!B:F,5,FALSE),"NOT PUBLISHED")</f>
        <v>V3</v>
      </c>
      <c r="L61" s="518" t="str">
        <f>IFERROR(VLOOKUP(B:B,'RELATÓRIO ACC'!B:P,15,FALSE),"NOT PUBLISHED")</f>
        <v>13/07/2026</v>
      </c>
      <c r="M61" s="519" t="s">
        <v>429</v>
      </c>
      <c r="N61" s="520">
        <v>46029.0</v>
      </c>
      <c r="O61" s="538" t="s">
        <v>410</v>
      </c>
      <c r="P61" s="587" t="s">
        <v>430</v>
      </c>
      <c r="Q61" s="523" t="s">
        <v>381</v>
      </c>
      <c r="R61" s="550" t="s">
        <v>421</v>
      </c>
      <c r="S61" s="551">
        <v>0.17</v>
      </c>
      <c r="T61" s="523" t="s">
        <v>379</v>
      </c>
      <c r="U61" s="550">
        <v>0.0</v>
      </c>
      <c r="V61" s="740" t="s">
        <v>379</v>
      </c>
      <c r="W61" s="530" t="s">
        <v>381</v>
      </c>
      <c r="X61" s="690" t="s">
        <v>421</v>
      </c>
      <c r="Y61" s="753">
        <v>0.16</v>
      </c>
      <c r="Z61" s="530" t="s">
        <v>383</v>
      </c>
      <c r="AA61" s="690" t="s">
        <v>423</v>
      </c>
      <c r="AB61" s="740" t="s">
        <v>383</v>
      </c>
      <c r="AC61" s="530" t="s">
        <v>381</v>
      </c>
      <c r="AD61" s="690" t="s">
        <v>408</v>
      </c>
      <c r="AE61" s="651">
        <v>0.57</v>
      </c>
      <c r="AF61" s="531" t="s">
        <v>383</v>
      </c>
      <c r="AG61" s="690" t="s">
        <v>408</v>
      </c>
      <c r="AH61" s="531" t="s">
        <v>383</v>
      </c>
      <c r="AI61" s="523" t="s">
        <v>383</v>
      </c>
      <c r="AJ61" s="526" t="s">
        <v>431</v>
      </c>
      <c r="AK61" s="528" t="s">
        <v>383</v>
      </c>
      <c r="AL61" s="523" t="s">
        <v>381</v>
      </c>
      <c r="AM61" s="526" t="s">
        <v>432</v>
      </c>
      <c r="AN61" s="568">
        <v>0.57</v>
      </c>
      <c r="AO61" s="523" t="s">
        <v>381</v>
      </c>
      <c r="AP61" s="526" t="s">
        <v>429</v>
      </c>
      <c r="AQ61" s="568">
        <v>0.97</v>
      </c>
      <c r="AR61" s="523" t="s">
        <v>386</v>
      </c>
      <c r="AS61" s="526" t="s">
        <v>429</v>
      </c>
      <c r="AT61" s="568">
        <v>1.0</v>
      </c>
      <c r="AU61" s="523" t="s">
        <v>413</v>
      </c>
      <c r="AV61" s="526" t="s">
        <v>429</v>
      </c>
      <c r="AW61" s="568">
        <v>1.0</v>
      </c>
      <c r="AX61" s="523" t="s">
        <v>413</v>
      </c>
      <c r="AY61" s="526" t="s">
        <v>429</v>
      </c>
      <c r="AZ61" s="568">
        <v>1.0</v>
      </c>
      <c r="BA61" s="523" t="s">
        <v>413</v>
      </c>
      <c r="BB61" s="526" t="s">
        <v>429</v>
      </c>
      <c r="BC61" s="568">
        <v>1.0</v>
      </c>
      <c r="BD61" s="523" t="s">
        <v>413</v>
      </c>
      <c r="BE61" s="526" t="s">
        <v>429</v>
      </c>
      <c r="BF61" s="568">
        <v>1.0</v>
      </c>
      <c r="BG61" s="523" t="s">
        <v>413</v>
      </c>
      <c r="BH61" s="526" t="s">
        <v>429</v>
      </c>
      <c r="BI61" s="568">
        <v>1.0</v>
      </c>
      <c r="BJ61" s="523" t="s">
        <v>413</v>
      </c>
      <c r="BK61" s="526" t="s">
        <v>429</v>
      </c>
      <c r="BL61" s="568">
        <v>1.0</v>
      </c>
      <c r="BM61" s="523" t="s">
        <v>413</v>
      </c>
      <c r="BN61" s="526" t="s">
        <v>429</v>
      </c>
      <c r="BO61" s="568">
        <v>1.0</v>
      </c>
      <c r="BP61" s="523" t="s">
        <v>413</v>
      </c>
      <c r="BQ61" s="526" t="s">
        <v>429</v>
      </c>
      <c r="BR61" s="568">
        <v>1.0</v>
      </c>
      <c r="BS61" s="523" t="s">
        <v>413</v>
      </c>
      <c r="BT61" s="526" t="s">
        <v>429</v>
      </c>
      <c r="BU61" s="568">
        <v>1.0</v>
      </c>
      <c r="BV61" s="523" t="s">
        <v>413</v>
      </c>
      <c r="BW61" s="526" t="s">
        <v>429</v>
      </c>
      <c r="BX61" s="568">
        <v>1.0</v>
      </c>
      <c r="BY61" s="523" t="s">
        <v>413</v>
      </c>
      <c r="BZ61" s="526" t="s">
        <v>429</v>
      </c>
      <c r="CA61" s="568">
        <v>1.0</v>
      </c>
      <c r="CB61" s="523" t="s">
        <v>413</v>
      </c>
      <c r="CC61" s="526" t="s">
        <v>429</v>
      </c>
      <c r="CD61" s="568">
        <v>1.0</v>
      </c>
      <c r="CE61" s="523" t="s">
        <v>413</v>
      </c>
      <c r="CF61" s="526" t="s">
        <v>429</v>
      </c>
      <c r="CG61" s="568">
        <v>1.0</v>
      </c>
      <c r="CH61" s="523" t="s">
        <v>413</v>
      </c>
      <c r="CI61" s="526" t="s">
        <v>429</v>
      </c>
      <c r="CJ61" s="568">
        <v>1.0</v>
      </c>
      <c r="CK61" s="523" t="s">
        <v>413</v>
      </c>
      <c r="CL61" s="526" t="s">
        <v>429</v>
      </c>
      <c r="CM61" s="568">
        <v>1.0</v>
      </c>
      <c r="CN61" s="523" t="s">
        <v>413</v>
      </c>
      <c r="CO61" s="526" t="s">
        <v>429</v>
      </c>
      <c r="CP61" s="568">
        <v>1.0</v>
      </c>
      <c r="CQ61" s="523" t="s">
        <v>413</v>
      </c>
      <c r="CR61" s="526" t="s">
        <v>429</v>
      </c>
      <c r="CS61" s="568">
        <v>1.0</v>
      </c>
      <c r="CT61" s="523" t="s">
        <v>413</v>
      </c>
      <c r="CU61" s="526" t="s">
        <v>429</v>
      </c>
      <c r="CV61" s="568">
        <v>1.0</v>
      </c>
      <c r="CW61" s="523" t="s">
        <v>413</v>
      </c>
      <c r="CX61" s="526" t="s">
        <v>429</v>
      </c>
      <c r="CY61" s="568">
        <v>1.0</v>
      </c>
      <c r="CZ61" s="523" t="s">
        <v>413</v>
      </c>
      <c r="DA61" s="526" t="s">
        <v>429</v>
      </c>
      <c r="DB61" s="568">
        <v>1.0</v>
      </c>
      <c r="DC61" s="523" t="s">
        <v>413</v>
      </c>
      <c r="DD61" s="526" t="s">
        <v>429</v>
      </c>
      <c r="DE61" s="568">
        <v>1.0</v>
      </c>
      <c r="DF61" s="523" t="s">
        <v>413</v>
      </c>
      <c r="DG61" s="526" t="s">
        <v>429</v>
      </c>
      <c r="DH61" s="568">
        <v>1.0</v>
      </c>
      <c r="DI61" s="523" t="s">
        <v>413</v>
      </c>
      <c r="DJ61" s="526" t="s">
        <v>429</v>
      </c>
      <c r="DK61" s="568">
        <v>1.0</v>
      </c>
      <c r="DL61" s="523" t="s">
        <v>413</v>
      </c>
      <c r="DM61" s="526" t="s">
        <v>429</v>
      </c>
      <c r="DN61" s="568">
        <v>1.0</v>
      </c>
    </row>
    <row r="62" ht="15.0" customHeight="1">
      <c r="A62" s="53">
        <v>29.0</v>
      </c>
      <c r="B62" s="100" t="s">
        <v>176</v>
      </c>
      <c r="C62" s="100" t="s">
        <v>177</v>
      </c>
      <c r="D62" s="101" t="str">
        <f t="shared" si="3"/>
        <v>DATA</v>
      </c>
      <c r="E62" s="101" t="s">
        <v>165</v>
      </c>
      <c r="F62" s="102">
        <v>1114.0</v>
      </c>
      <c r="G62" s="102" t="s">
        <v>165</v>
      </c>
      <c r="H62" s="517">
        <v>1114.0</v>
      </c>
      <c r="I62" s="68" t="str">
        <f>IFERROR(VLOOKUP(C:C,'R22 RELATÓRIO ACC'!B:F,5,FALSE),"NOT PUBLISHED")</f>
        <v>V18</v>
      </c>
      <c r="J62" s="68" t="str">
        <f>IFERROR(VLOOKUP(C:C,'R22 RELATÓRIO ACC'!B:P,15,FALSE),"NOT PUBLISHED")</f>
        <v>30/04/2026</v>
      </c>
      <c r="K62" s="70" t="str">
        <f>IFERROR(VLOOKUP(B:B,'RELATÓRIO ACC'!B:F,5,FALSE),"NOT PUBLISHED")</f>
        <v>V3</v>
      </c>
      <c r="L62" s="518" t="str">
        <f>IFERROR(VLOOKUP(B:B,'RELATÓRIO ACC'!B:P,15,FALSE),"NOT PUBLISHED")</f>
        <v>29/06/2026</v>
      </c>
      <c r="M62" s="519" t="s">
        <v>418</v>
      </c>
      <c r="N62" s="569" t="s">
        <v>433</v>
      </c>
      <c r="O62" s="538" t="s">
        <v>410</v>
      </c>
      <c r="P62" s="587"/>
      <c r="Q62" s="523" t="s">
        <v>379</v>
      </c>
      <c r="R62" s="558">
        <v>0.0</v>
      </c>
      <c r="S62" s="525" t="s">
        <v>379</v>
      </c>
      <c r="T62" s="523" t="s">
        <v>379</v>
      </c>
      <c r="U62" s="558">
        <v>0.0</v>
      </c>
      <c r="V62" s="525" t="s">
        <v>379</v>
      </c>
      <c r="W62" s="530" t="s">
        <v>381</v>
      </c>
      <c r="X62" s="690" t="s">
        <v>421</v>
      </c>
      <c r="Y62" s="753">
        <v>0.12</v>
      </c>
      <c r="Z62" s="734" t="s">
        <v>379</v>
      </c>
      <c r="AA62" s="690" t="s">
        <v>415</v>
      </c>
      <c r="AB62" s="740" t="s">
        <v>379</v>
      </c>
      <c r="AC62" s="734" t="s">
        <v>379</v>
      </c>
      <c r="AD62" s="735" t="s">
        <v>415</v>
      </c>
      <c r="AE62" s="740" t="s">
        <v>379</v>
      </c>
      <c r="AF62" s="531" t="s">
        <v>383</v>
      </c>
      <c r="AG62" s="735" t="s">
        <v>415</v>
      </c>
      <c r="AH62" s="531" t="s">
        <v>383</v>
      </c>
      <c r="AI62" s="523" t="s">
        <v>386</v>
      </c>
      <c r="AJ62" s="526" t="s">
        <v>418</v>
      </c>
      <c r="AK62" s="532">
        <v>1.0</v>
      </c>
      <c r="AL62" s="523" t="s">
        <v>413</v>
      </c>
      <c r="AM62" s="526" t="s">
        <v>418</v>
      </c>
      <c r="AN62" s="532">
        <v>1.0</v>
      </c>
      <c r="AO62" s="523" t="s">
        <v>413</v>
      </c>
      <c r="AP62" s="526" t="s">
        <v>418</v>
      </c>
      <c r="AQ62" s="532">
        <v>1.0</v>
      </c>
      <c r="AR62" s="523" t="s">
        <v>413</v>
      </c>
      <c r="AS62" s="526" t="s">
        <v>418</v>
      </c>
      <c r="AT62" s="532">
        <v>1.0</v>
      </c>
      <c r="AU62" s="523" t="s">
        <v>413</v>
      </c>
      <c r="AV62" s="526" t="s">
        <v>418</v>
      </c>
      <c r="AW62" s="532">
        <v>1.0</v>
      </c>
      <c r="AX62" s="523" t="s">
        <v>413</v>
      </c>
      <c r="AY62" s="526" t="s">
        <v>418</v>
      </c>
      <c r="AZ62" s="532">
        <v>1.0</v>
      </c>
      <c r="BA62" s="523" t="s">
        <v>413</v>
      </c>
      <c r="BB62" s="526" t="s">
        <v>418</v>
      </c>
      <c r="BC62" s="532">
        <v>1.0</v>
      </c>
      <c r="BD62" s="523" t="s">
        <v>413</v>
      </c>
      <c r="BE62" s="526" t="s">
        <v>418</v>
      </c>
      <c r="BF62" s="532">
        <v>1.0</v>
      </c>
      <c r="BG62" s="523" t="s">
        <v>413</v>
      </c>
      <c r="BH62" s="526" t="s">
        <v>418</v>
      </c>
      <c r="BI62" s="532">
        <v>1.0</v>
      </c>
      <c r="BJ62" s="523" t="s">
        <v>413</v>
      </c>
      <c r="BK62" s="526" t="s">
        <v>418</v>
      </c>
      <c r="BL62" s="532">
        <v>1.0</v>
      </c>
      <c r="BM62" s="523" t="s">
        <v>413</v>
      </c>
      <c r="BN62" s="526" t="s">
        <v>418</v>
      </c>
      <c r="BO62" s="532">
        <v>1.0</v>
      </c>
      <c r="BP62" s="523" t="s">
        <v>413</v>
      </c>
      <c r="BQ62" s="526" t="s">
        <v>418</v>
      </c>
      <c r="BR62" s="532">
        <v>1.0</v>
      </c>
      <c r="BS62" s="523" t="s">
        <v>413</v>
      </c>
      <c r="BT62" s="526" t="s">
        <v>418</v>
      </c>
      <c r="BU62" s="532">
        <v>1.0</v>
      </c>
      <c r="BV62" s="523" t="s">
        <v>413</v>
      </c>
      <c r="BW62" s="526" t="s">
        <v>418</v>
      </c>
      <c r="BX62" s="532">
        <v>1.0</v>
      </c>
      <c r="BY62" s="523" t="s">
        <v>413</v>
      </c>
      <c r="BZ62" s="526" t="s">
        <v>418</v>
      </c>
      <c r="CA62" s="532">
        <v>1.0</v>
      </c>
      <c r="CB62" s="523" t="s">
        <v>413</v>
      </c>
      <c r="CC62" s="526" t="s">
        <v>418</v>
      </c>
      <c r="CD62" s="532">
        <v>1.0</v>
      </c>
      <c r="CE62" s="523" t="s">
        <v>413</v>
      </c>
      <c r="CF62" s="526" t="s">
        <v>418</v>
      </c>
      <c r="CG62" s="532">
        <v>1.0</v>
      </c>
      <c r="CH62" s="523" t="s">
        <v>413</v>
      </c>
      <c r="CI62" s="526" t="s">
        <v>418</v>
      </c>
      <c r="CJ62" s="532">
        <v>1.0</v>
      </c>
      <c r="CK62" s="523" t="s">
        <v>413</v>
      </c>
      <c r="CL62" s="526" t="s">
        <v>418</v>
      </c>
      <c r="CM62" s="532">
        <v>1.0</v>
      </c>
      <c r="CN62" s="523" t="s">
        <v>413</v>
      </c>
      <c r="CO62" s="526" t="s">
        <v>418</v>
      </c>
      <c r="CP62" s="532">
        <v>1.0</v>
      </c>
      <c r="CQ62" s="523" t="s">
        <v>413</v>
      </c>
      <c r="CR62" s="526" t="s">
        <v>418</v>
      </c>
      <c r="CS62" s="532">
        <v>1.0</v>
      </c>
      <c r="CT62" s="523" t="s">
        <v>413</v>
      </c>
      <c r="CU62" s="526" t="s">
        <v>418</v>
      </c>
      <c r="CV62" s="532">
        <v>1.0</v>
      </c>
      <c r="CW62" s="523" t="s">
        <v>413</v>
      </c>
      <c r="CX62" s="526" t="s">
        <v>418</v>
      </c>
      <c r="CY62" s="532">
        <v>1.0</v>
      </c>
      <c r="CZ62" s="523" t="s">
        <v>413</v>
      </c>
      <c r="DA62" s="526" t="s">
        <v>418</v>
      </c>
      <c r="DB62" s="532">
        <v>1.0</v>
      </c>
      <c r="DC62" s="523" t="s">
        <v>413</v>
      </c>
      <c r="DD62" s="526" t="s">
        <v>418</v>
      </c>
      <c r="DE62" s="532">
        <v>1.0</v>
      </c>
      <c r="DF62" s="523" t="s">
        <v>413</v>
      </c>
      <c r="DG62" s="526" t="s">
        <v>418</v>
      </c>
      <c r="DH62" s="529">
        <v>1.0</v>
      </c>
      <c r="DI62" s="523" t="s">
        <v>413</v>
      </c>
      <c r="DJ62" s="526" t="s">
        <v>418</v>
      </c>
      <c r="DK62" s="529">
        <v>1.0</v>
      </c>
      <c r="DL62" s="523" t="s">
        <v>413</v>
      </c>
      <c r="DM62" s="526" t="s">
        <v>418</v>
      </c>
      <c r="DN62" s="529">
        <v>1.0</v>
      </c>
    </row>
    <row r="63" ht="15.0" customHeight="1">
      <c r="A63" s="53">
        <v>47.0</v>
      </c>
      <c r="B63" s="100" t="s">
        <v>223</v>
      </c>
      <c r="C63" s="100" t="s">
        <v>224</v>
      </c>
      <c r="D63" s="101" t="str">
        <f t="shared" si="3"/>
        <v>DATA</v>
      </c>
      <c r="E63" s="101" t="s">
        <v>154</v>
      </c>
      <c r="F63" s="102">
        <v>1112.0</v>
      </c>
      <c r="G63" s="102" t="s">
        <v>154</v>
      </c>
      <c r="H63" s="517">
        <v>1112.0</v>
      </c>
      <c r="I63" s="68" t="str">
        <f>IFERROR(VLOOKUP(C:C,'R22 RELATÓRIO ACC'!B:F,5,FALSE),"NOT PUBLISHED")</f>
        <v>V17</v>
      </c>
      <c r="J63" s="68" t="str">
        <f>IFERROR(VLOOKUP(C:C,'R22 RELATÓRIO ACC'!B:P,15,FALSE),"NOT PUBLISHED")</f>
        <v>14/05/2026</v>
      </c>
      <c r="K63" s="70" t="str">
        <f>IFERROR(VLOOKUP(B:B,'RELATÓRIO ACC'!B:F,5,FALSE),"NOT PUBLISHED")</f>
        <v>V4</v>
      </c>
      <c r="L63" s="518" t="str">
        <f>IFERROR(VLOOKUP(B:B,'RELATÓRIO ACC'!B:P,15,FALSE),"NOT PUBLISHED")</f>
        <v>25/06/2026</v>
      </c>
      <c r="M63" s="519" t="s">
        <v>399</v>
      </c>
      <c r="N63" s="520">
        <v>46198.0</v>
      </c>
      <c r="O63" s="538" t="s">
        <v>378</v>
      </c>
      <c r="P63" s="587" t="s">
        <v>397</v>
      </c>
      <c r="Q63" s="523" t="s">
        <v>379</v>
      </c>
      <c r="R63" s="558">
        <v>0.0</v>
      </c>
      <c r="S63" s="525" t="s">
        <v>379</v>
      </c>
      <c r="T63" s="523" t="s">
        <v>379</v>
      </c>
      <c r="U63" s="558">
        <v>0.0</v>
      </c>
      <c r="V63" s="525" t="s">
        <v>379</v>
      </c>
      <c r="W63" s="734" t="s">
        <v>379</v>
      </c>
      <c r="X63" s="735">
        <v>0.0</v>
      </c>
      <c r="Y63" s="738" t="s">
        <v>379</v>
      </c>
      <c r="Z63" s="734" t="s">
        <v>379</v>
      </c>
      <c r="AA63" s="690" t="s">
        <v>380</v>
      </c>
      <c r="AB63" s="740" t="s">
        <v>379</v>
      </c>
      <c r="AC63" s="734" t="s">
        <v>379</v>
      </c>
      <c r="AD63" s="735" t="s">
        <v>380</v>
      </c>
      <c r="AE63" s="740" t="s">
        <v>379</v>
      </c>
      <c r="AF63" s="530" t="s">
        <v>383</v>
      </c>
      <c r="AG63" s="735" t="s">
        <v>380</v>
      </c>
      <c r="AH63" s="530" t="s">
        <v>383</v>
      </c>
      <c r="AI63" s="523" t="s">
        <v>381</v>
      </c>
      <c r="AJ63" s="550" t="s">
        <v>412</v>
      </c>
      <c r="AK63" s="546">
        <v>0.05</v>
      </c>
      <c r="AL63" s="523" t="s">
        <v>383</v>
      </c>
      <c r="AM63" s="550" t="s">
        <v>412</v>
      </c>
      <c r="AN63" s="523" t="s">
        <v>383</v>
      </c>
      <c r="AO63" s="523" t="s">
        <v>398</v>
      </c>
      <c r="AP63" s="550" t="s">
        <v>384</v>
      </c>
      <c r="AQ63" s="523" t="s">
        <v>398</v>
      </c>
      <c r="AR63" s="523" t="s">
        <v>398</v>
      </c>
      <c r="AS63" s="550" t="s">
        <v>385</v>
      </c>
      <c r="AT63" s="523" t="s">
        <v>398</v>
      </c>
      <c r="AU63" s="523" t="s">
        <v>379</v>
      </c>
      <c r="AV63" s="550" t="s">
        <v>385</v>
      </c>
      <c r="AW63" s="523" t="s">
        <v>379</v>
      </c>
      <c r="AX63" s="523" t="s">
        <v>398</v>
      </c>
      <c r="AY63" s="550" t="s">
        <v>417</v>
      </c>
      <c r="AZ63" s="523" t="s">
        <v>398</v>
      </c>
      <c r="BA63" s="523" t="s">
        <v>383</v>
      </c>
      <c r="BB63" s="550" t="s">
        <v>417</v>
      </c>
      <c r="BC63" s="523" t="s">
        <v>383</v>
      </c>
      <c r="BD63" s="523" t="s">
        <v>383</v>
      </c>
      <c r="BE63" s="550" t="s">
        <v>414</v>
      </c>
      <c r="BF63" s="523" t="s">
        <v>383</v>
      </c>
      <c r="BG63" s="523" t="s">
        <v>381</v>
      </c>
      <c r="BH63" s="550" t="s">
        <v>414</v>
      </c>
      <c r="BI63" s="529">
        <v>0.24</v>
      </c>
      <c r="BJ63" s="523" t="s">
        <v>381</v>
      </c>
      <c r="BK63" s="550" t="s">
        <v>415</v>
      </c>
      <c r="BL63" s="529">
        <v>0.24</v>
      </c>
      <c r="BM63" s="523" t="s">
        <v>379</v>
      </c>
      <c r="BN63" s="550" t="s">
        <v>415</v>
      </c>
      <c r="BO63" s="523" t="s">
        <v>379</v>
      </c>
      <c r="BP63" s="523" t="s">
        <v>379</v>
      </c>
      <c r="BQ63" s="550" t="s">
        <v>415</v>
      </c>
      <c r="BR63" s="523" t="s">
        <v>379</v>
      </c>
      <c r="BS63" s="523" t="s">
        <v>381</v>
      </c>
      <c r="BT63" s="550" t="s">
        <v>418</v>
      </c>
      <c r="BU63" s="565">
        <v>0.78</v>
      </c>
      <c r="BV63" s="523" t="s">
        <v>379</v>
      </c>
      <c r="BW63" s="550" t="s">
        <v>418</v>
      </c>
      <c r="BX63" s="523" t="s">
        <v>379</v>
      </c>
      <c r="BY63" s="523" t="s">
        <v>383</v>
      </c>
      <c r="BZ63" s="550" t="s">
        <v>418</v>
      </c>
      <c r="CA63" s="523" t="s">
        <v>383</v>
      </c>
      <c r="CB63" s="523" t="s">
        <v>383</v>
      </c>
      <c r="CC63" s="550" t="s">
        <v>418</v>
      </c>
      <c r="CD63" s="523" t="s">
        <v>383</v>
      </c>
      <c r="CE63" s="523" t="s">
        <v>381</v>
      </c>
      <c r="CF63" s="550" t="s">
        <v>425</v>
      </c>
      <c r="CG63" s="529">
        <v>0.97</v>
      </c>
      <c r="CH63" s="523" t="s">
        <v>383</v>
      </c>
      <c r="CI63" s="550" t="s">
        <v>425</v>
      </c>
      <c r="CJ63" s="523" t="s">
        <v>383</v>
      </c>
      <c r="CK63" s="523" t="s">
        <v>383</v>
      </c>
      <c r="CL63" s="550" t="s">
        <v>425</v>
      </c>
      <c r="CM63" s="523" t="s">
        <v>383</v>
      </c>
      <c r="CN63" s="523" t="s">
        <v>381</v>
      </c>
      <c r="CO63" s="550" t="s">
        <v>377</v>
      </c>
      <c r="CP63" s="565">
        <v>0.99</v>
      </c>
      <c r="CQ63" s="523" t="s">
        <v>379</v>
      </c>
      <c r="CR63" s="550" t="s">
        <v>377</v>
      </c>
      <c r="CS63" s="523" t="s">
        <v>379</v>
      </c>
      <c r="CT63" s="523" t="s">
        <v>379</v>
      </c>
      <c r="CU63" s="550" t="s">
        <v>377</v>
      </c>
      <c r="CV63" s="523" t="s">
        <v>379</v>
      </c>
      <c r="CW63" s="523" t="s">
        <v>379</v>
      </c>
      <c r="CX63" s="550" t="s">
        <v>377</v>
      </c>
      <c r="CY63" s="523" t="s">
        <v>379</v>
      </c>
      <c r="CZ63" s="523" t="s">
        <v>383</v>
      </c>
      <c r="DA63" s="550" t="s">
        <v>377</v>
      </c>
      <c r="DB63" s="523" t="s">
        <v>383</v>
      </c>
      <c r="DC63" s="523" t="s">
        <v>381</v>
      </c>
      <c r="DD63" s="550" t="s">
        <v>387</v>
      </c>
      <c r="DE63" s="565">
        <v>0.99</v>
      </c>
      <c r="DF63" s="523" t="s">
        <v>386</v>
      </c>
      <c r="DG63" s="550" t="s">
        <v>399</v>
      </c>
      <c r="DH63" s="532">
        <v>1.0</v>
      </c>
      <c r="DI63" s="523" t="s">
        <v>413</v>
      </c>
      <c r="DJ63" s="550" t="s">
        <v>399</v>
      </c>
      <c r="DK63" s="532">
        <v>1.0</v>
      </c>
      <c r="DL63" s="523" t="s">
        <v>413</v>
      </c>
      <c r="DM63" s="550" t="s">
        <v>399</v>
      </c>
      <c r="DN63" s="532">
        <v>1.0</v>
      </c>
    </row>
    <row r="64" ht="189.75" customHeight="1">
      <c r="A64" s="556"/>
      <c r="B64" s="556"/>
      <c r="C64" s="556"/>
      <c r="D64" s="799"/>
      <c r="E64" s="653"/>
      <c r="F64" s="653"/>
      <c r="G64" s="653"/>
      <c r="H64" s="653"/>
      <c r="I64" s="556"/>
      <c r="J64" s="556"/>
      <c r="K64" s="556"/>
      <c r="L64" s="556"/>
      <c r="M64" s="556"/>
      <c r="N64" s="556"/>
      <c r="O64" s="556"/>
      <c r="P64" s="556"/>
      <c r="Q64" s="556"/>
      <c r="R64" s="654"/>
      <c r="S64" s="568"/>
      <c r="T64" s="568"/>
      <c r="U64" s="568"/>
      <c r="V64" s="568"/>
      <c r="W64" s="800"/>
      <c r="X64" s="800"/>
      <c r="Y64" s="800"/>
      <c r="Z64" s="800"/>
      <c r="AA64" s="800"/>
      <c r="AB64" s="800"/>
      <c r="AC64" s="800"/>
      <c r="AD64" s="800"/>
      <c r="AE64" s="800"/>
      <c r="AF64" s="800"/>
      <c r="AG64" s="800"/>
      <c r="AH64" s="800"/>
      <c r="AI64" s="800"/>
      <c r="AJ64" s="800"/>
      <c r="AK64" s="800"/>
      <c r="AL64" s="800"/>
      <c r="AM64" s="800"/>
      <c r="AN64" s="800"/>
      <c r="AO64" s="800"/>
      <c r="AP64" s="800"/>
      <c r="AQ64" s="800"/>
      <c r="AR64" s="800"/>
      <c r="AS64" s="800"/>
      <c r="AT64" s="800"/>
      <c r="AU64" s="800"/>
      <c r="AV64" s="800"/>
      <c r="AW64" s="800"/>
      <c r="AX64" s="800"/>
      <c r="AY64" s="800"/>
      <c r="AZ64" s="800"/>
      <c r="BA64" s="800"/>
      <c r="BB64" s="800"/>
      <c r="BC64" s="800"/>
      <c r="BD64" s="800"/>
      <c r="BE64" s="800"/>
      <c r="BF64" s="800"/>
      <c r="BG64" s="800"/>
      <c r="BH64" s="800"/>
      <c r="BI64" s="800"/>
      <c r="BJ64" s="800"/>
      <c r="BK64" s="800"/>
      <c r="BL64" s="800"/>
      <c r="BM64" s="800"/>
      <c r="BN64" s="800"/>
      <c r="BO64" s="800"/>
      <c r="BP64" s="800"/>
      <c r="BQ64" s="800"/>
      <c r="BR64" s="800"/>
      <c r="BS64" s="800"/>
      <c r="BT64" s="800"/>
      <c r="BU64" s="800"/>
      <c r="BV64" s="800"/>
      <c r="BW64" s="800"/>
      <c r="BX64" s="800"/>
      <c r="BY64" s="800"/>
      <c r="BZ64" s="800"/>
      <c r="CA64" s="800"/>
      <c r="CB64" s="800"/>
      <c r="CC64" s="800"/>
      <c r="CD64" s="800"/>
      <c r="CE64" s="800"/>
      <c r="CF64" s="800"/>
      <c r="CG64" s="800"/>
      <c r="CH64" s="800"/>
      <c r="CI64" s="800"/>
      <c r="CJ64" s="800"/>
      <c r="CK64" s="800"/>
      <c r="CL64" s="800"/>
      <c r="CM64" s="800"/>
      <c r="CN64" s="800"/>
      <c r="CO64" s="800"/>
      <c r="CP64" s="800"/>
      <c r="CQ64" s="800"/>
      <c r="CR64" s="800"/>
      <c r="CS64" s="800"/>
      <c r="CT64" s="800"/>
      <c r="CU64" s="800"/>
      <c r="CV64" s="800"/>
      <c r="CW64" s="800"/>
      <c r="CX64" s="800"/>
      <c r="CY64" s="800"/>
      <c r="CZ64" s="800"/>
      <c r="DA64" s="800"/>
      <c r="DB64" s="800"/>
      <c r="DC64" s="800"/>
      <c r="DD64" s="800"/>
      <c r="DE64" s="800"/>
      <c r="DF64" s="800"/>
      <c r="DG64" s="800"/>
      <c r="DH64" s="800"/>
      <c r="DI64" s="800"/>
      <c r="DJ64" s="800"/>
      <c r="DK64" s="800"/>
      <c r="DL64" s="800"/>
      <c r="DM64" s="800"/>
      <c r="DN64" s="800"/>
    </row>
  </sheetData>
  <autoFilter ref="$A$2:$DN$63">
    <filterColumn colId="3">
      <filters>
        <filter val="C12A"/>
        <filter val="DATA"/>
        <filter val="ADMN"/>
        <filter val="COL5"/>
        <filter val="COL4"/>
        <filter val="COL3"/>
        <filter val="COL2"/>
        <filter val="C345"/>
        <filter val="COL1"/>
      </filters>
    </filterColumn>
  </autoFilter>
  <mergeCells count="3">
    <mergeCell ref="D1:AF1"/>
    <mergeCell ref="AG1:AH1"/>
    <mergeCell ref="AJ1:AK1"/>
  </mergeCells>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15" priority="1" operator="greaterThanOrEqual">
      <formula>70%</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3" priority="2" operator="between">
      <formula>"1%"</formula>
      <formula>"48%"</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17" priority="3" operator="equal">
      <formula>"N/A"</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10" priority="4" operator="equal">
      <formula>"NOT PUBLISHED"</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6" priority="5" operator="equal">
      <formula>"OUTDATED"</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7" priority="6" operator="equal">
      <formula>"ANALYSING"</formula>
    </cfRule>
  </conditionalFormatting>
  <conditionalFormatting sqref="AH3:AH7 AI3:AI29 AJ3:AJ7 AK3:AK18 AL3:AL29 AM3:AN18 AO3:AZ19 BA3:BA48 BB3:BB19 BC3:DN48 AH10:AH13 AJ10:AJ16 M14:N14 AH15 AH18 AJ18 AQ21 AR21:AR31 AS21:AT21 AU21:AU31 AV21:AW21 AX21:AX31 AY21:AZ21 BB21 AO23:AO29 AQ23:AQ26 AS23:AT26 AV23:AW26 AY23:AZ26 BB23:BB26 AS30:AT31 AV30:AW31 AY30:AZ31 BB30:BB31 AQ31 AX48:AZ48 BB48">
    <cfRule type="cellIs" dxfId="16" priority="7" operator="equal">
      <formula>"NEXT ROUND"</formula>
    </cfRule>
  </conditionalFormatting>
  <conditionalFormatting sqref="M3:M63 N4:O4 BQ4 BT4 BW4 BZ4 CC4 CF4 N6:O7 N9:O9 N13:N14 O13 AJ14 AM14 AP14 AS14 AV14 AY14 BB14 BE14 BH14 BK14 BN14 BQ14 BT14 BW14 BZ14 CC14 CF14 BK17 BN17 BQ17 BT17 BW17 BZ17 CC17 CF17 N19:O20 AV23:AV24 AY23:AY24 BB23:BB24 BE23:BE24 BH23:BH24 BK23:BK24 BN23:BN24 BQ23:BQ24 BT23:BT24 BW23:BW24 BZ23:BZ24 CC23:CC24 CF23:CF24 CI24 CL24 CO24 CR24 CU24 CX24 DA24 DD24 DG24 DJ24 DM24 N30:O30 N55">
    <cfRule type="expression" dxfId="2" priority="8">
      <formula>IFERROR(ARRAYFORMULA(VALUE(MID(K3,2,10))) &gt; VALUE(MID(M3,2,10)), FALSE)</formula>
    </cfRule>
  </conditionalFormatting>
  <conditionalFormatting sqref="I3:K63">
    <cfRule type="beginsWith" dxfId="5" priority="9" operator="beginsWith" text="V">
      <formula>LEFT((I3),LEN("V"))=("V")</formula>
    </cfRule>
  </conditionalFormatting>
  <conditionalFormatting sqref="AG1:DN64 S2:S3 T2:U64 V2:V5 W2:W10 X2:X64 Y2:Y5 Z2:Z10 AA2:AA64 AB2:AB10 AC2:AF64 S5 S8 V8:V10 Y8:Y10 S10 S12:S18 V12:V18 W12:W64 Y12:Y18 Z12:Z64 AB12:AB64 M14:N14 S21:S41 V21:V45 Y21:Y64 S43:S49 V47 V49 S52:S59 V52:V54 V56:V59 M57:N57 S61:S64 V61:V64">
    <cfRule type="cellIs" dxfId="1" priority="10" operator="greaterThanOrEqual">
      <formula>"70%"</formula>
    </cfRule>
  </conditionalFormatting>
  <conditionalFormatting sqref="AG1:DN64 S2:S3 T2:U64 V2:V5 W2:W10 X2:X64 Y2:Y5 Z2:Z10 AA2:AA64 AB2:AB10 AC2:AF64 S5 S8 V8:V10 Y8:Y10 S10 S12:S18 V12:V18 W12:W64 Y12:Y18 Z12:Z64 AB12:AB64 M14:N14 S21:S41 V21:V45 Y21:Y64 S43:S49 V47 V49 S52:S59 V52:V54 V56:V59 M57:N57 S61:S64 V61:V64">
    <cfRule type="cellIs" dxfId="2" priority="11" operator="between">
      <formula>"49%"</formula>
      <formula>"69%"</formula>
    </cfRule>
  </conditionalFormatting>
  <conditionalFormatting sqref="AG1:DN64 S2:S3 T2:U64 V2:V5 W2:W10 X2:X64 Y2:Y5 Z2:Z10 AA2:AA64 AB2:AB10 AC2:AF64 S5 S8 V8:V10 Y8:Y10 S10 S12:S18 V12:V18 W12:W64 Y12:Y18 Z12:Z64 AB12:AB64 M14:N14 S21:S41 V21:V45 Y21:Y64 S43:S49 V47 V49 S52:S59 V52:V54 V56:V59 M57:N57 S61:S64 V61:V64">
    <cfRule type="cellIs" dxfId="3" priority="12" operator="between">
      <formula>"0%"</formula>
      <formula>"50%"</formula>
    </cfRule>
  </conditionalFormatting>
  <conditionalFormatting sqref="P3 P64">
    <cfRule type="cellIs" dxfId="18" priority="13" operator="equal">
      <formula>"YASMIN"</formula>
    </cfRule>
  </conditionalFormatting>
  <conditionalFormatting sqref="P3 P64">
    <cfRule type="cellIs" dxfId="19" priority="14" operator="equal">
      <formula>"LETÍCIA"</formula>
    </cfRule>
  </conditionalFormatting>
  <conditionalFormatting sqref="P3 P64">
    <cfRule type="cellIs" dxfId="20" priority="15" operator="equal">
      <formula>"CICI"</formula>
    </cfRule>
  </conditionalFormatting>
  <conditionalFormatting sqref="P3 P64">
    <cfRule type="cellIs" dxfId="2" priority="16" operator="equal">
      <formula>"ALINNE"</formula>
    </cfRule>
  </conditionalFormatting>
  <conditionalFormatting sqref="P3 P64">
    <cfRule type="cellIs" dxfId="15" priority="17" operator="equal">
      <formula>"GUILHERME"</formula>
    </cfRule>
  </conditionalFormatting>
  <conditionalFormatting sqref="P3 P64">
    <cfRule type="cellIs" dxfId="15" priority="18" operator="equal">
      <formula>"GUILHERME"</formula>
    </cfRule>
  </conditionalFormatting>
  <conditionalFormatting sqref="P3 P64">
    <cfRule type="cellIs" dxfId="15" priority="19" operator="equal">
      <formula>"GUILHERME"</formula>
    </cfRule>
  </conditionalFormatting>
  <conditionalFormatting sqref="P3 P64">
    <cfRule type="cellIs" dxfId="15" priority="20" operator="equal">
      <formula>"GUILHERME"</formula>
    </cfRule>
  </conditionalFormatting>
  <dataValidations>
    <dataValidation type="list" allowBlank="1" showErrorMessage="1" sqref="O4:O20 O22 O24 O26 O28 O30 O32 O34 O36 O38 O40 O42 O44 O46 O48 O50:O51 O53 O55:O63">
      <formula1>"R22,R24,AWAITING APPROVAL,N/A,NOT PUBLISHED"</formula1>
    </dataValidation>
    <dataValidation type="list" allowBlank="1" showDropDown="1" showErrorMessage="1" sqref="Q4 S4:T4 V4:W4 Y4:Z4 AC4 AF6 AI6 AL6 AO6 AR6 AU6 AX6 BA6 BD6 BG6 BJ6 BM6 BP6 BS6 BV6 BY6 CB6 CE6 CH6 CK6 CN6 CQ6 CT6 CW6 CZ6 DC6 DF6 DI6 DL6 AE7:AF7 T6:T12 W6:W12 Z6:Z12 AC6:AC12 AF8:AF12 AK7:AL18 AN7:AO18 AQ7:AR18 AT7:AU18 AW7:AX18 AZ7:BA18 BC7:BD18 BF7:BG18 BI7:BJ18 BL7:BM18 BO7:BP18 BR7:BS18 BU7:BV18 BX7:BY18 CA7:CB18 CD7:CE18 CG7:CH18 CJ7:CK18 CM7:CN18 CP7:CQ18 CS7:CT18 CV7:CW18 CY7:CZ18 DB7:DC18 DE7:DF18 DH7:DI18 DK7:DL18 DN7:DN18 Q6:Q20 S13:T20 V13:W20 Y13:Z20 AB13:AC20 AE13:AF20 AH7:AI20 AK20:AL20 AN20:AO20 AQ20:AR20 AT20:AU20 AW20:AX20 AZ20:BA20 BC20:BD20 BF20:BG20 BI20:BJ20 BL20:BM20 BO20:BP20 BR20:BS20 BU20:BV20 BX20:BY20 CA20:CB20 CD20:CE20 CG20:CH20 CJ20:CK20 CM20:CN20 CP20:CQ20 CS20:CT20 Q22 S22:T22 V22:W22 Z22 AC22 AE22 Q24 S24:T24 V24:W24 AC24 AE24 Q26 S26:T26 V26:W26 Y26:Z26 AC26 Q28 S28:T28 AC28 AE28 Q30 S30 AC30 AE30 Q32 S32:T32 V32:W32 Y32:Z32 AC32 Q34 S34:T34 V34:W34 Z34 AC34 AF34 AH34:AI34 Q36 S36:T36 V36:W36 Z36 AB36:AC36 AF36 AH36 T38 W38 AC38 AF38 AH38:AI38 T40 W40 Z40 AC40 AE40 T42 W42 Z42 AB42:AC42 Q44 S44:T44 V44:W44 Y44:Z44 AB44:AC44 AE44 Q46 S46:T46 Z46 AC46 AF46 AH46 Q48 S48:T48 V48:W48 Y48:Z48 AC48 AF48 AH48:AI48 T50 AF50 AH50:AI50 Q50:Q51 S51:T51 V51:W51 Y51:Z51 AC50:AC51 Q53 S53:T53 V53:W53 Z53 AC53 AF53 AH53 AC55 AE55 AB56:AC56 Q55:Q57 AB57 AF57 AH57 AB58:AC58 AE58:AF58 T55:T59 W55:W59 Z56:Z59 AB59 AF59 AH58:AI59 S60:T60 V60:W60 Y60:Z60 AC60 T61 W61 AB61:AC61 Z61:Z62 Q59:Q63 S62:T63 V62:W63 Y63:Z63 AC62:AC63 AF61:AF63 AH61:AH63">
      <formula1>"APPROVED,REPROVED,N/A,ANALYSING,NOT PUBLISHED,OUTDATED,PREVIOUSLY APPROVED,NEXT ROUND,IMPROPER"</formula1>
    </dataValidation>
    <dataValidation type="list" allowBlank="1" showDropDown="1" showErrorMessage="1" sqref="Q5 T5 W5 Z5 AC5 AF5 AH5:AI5 AK5:AL5 AN5:AO5 AQ5:AR5 AT5:AU5 AW5:AX5 AZ5:BA5 BC5:BD5 BF5:BG5 BI5:BJ5 BL5:BM5 BO5:BP5 BR5:BS5 BU5:BV5 BX5:BY5 CA5:CB5 CD5:CE5 CG5:CH5 CJ5:CK5 CM5:CN5 CP5:CQ5 CS5:CT5 CV5:CW5 CY5:CZ5 DB5:DC5 DE5:DF5 DH5:DI5 DK5:DL5 DN5">
      <formula1>"APPROVED,REPROVED,N/A,ANALYSING,NOT PUBLISHED,OUTDATED,PREVIOUSLY APPROVED,NEXT ROUND"</formula1>
    </dataValidation>
    <dataValidation type="list" allowBlank="1" showErrorMessage="1" sqref="P4:P20 P22 P24 P26 P28 P30 P32 P34 P36 P38 P40 P42 P44 P46 P50:P51 P53 P55:P62">
      <formula1>"CICI,YASMIN,GUI,JAKE,ALINNE,IURY,CAROL,LUIZA,INGRYD"</formula1>
    </dataValidation>
    <dataValidation type="list" allowBlank="1" showErrorMessage="1" sqref="P48 P63">
      <formula1>"CICI,YASMIN,GUI,BIANCA,ALINNE,IURY,CLARISSA,LUIZA,INGRYD"</formula1>
    </dataValidation>
    <dataValidation type="list" allowBlank="1" showDropDown="1" showErrorMessage="1" sqref="AB4 AE4 AB22 Y24 AB26 AE26 W28 Y28 T30 W30 Y30 AB32 AE32 AB34 AE34 Q38 V38 Y38:Z38 Q40 V40 AB40 Q42 V42 W46 Y46 AB46 AE46 AB48 AE48 W50 AE51 AB53 V55 Y55 Q58 V57:V59 AB60 AE60 V61 AB62:AB63 AE62:AE63">
      <formula1>"APPROVED,REPROVED,N/A,IN ANALYSIS,NOT FOUND,TO BE AUDITED,OUTDATED,PREVIOUSLY APPROVED"</formula1>
    </dataValidation>
    <dataValidation type="list" allowBlank="1" showDropDown="1" showErrorMessage="1" sqref="Z24">
      <formula1>"APPROVED,REPROVED,N/A,ANALYSING,NOT PUBLISHED,OUTDATED,PREVIOUSLY APPROVED,NEXT ROUND"</formula1>
    </dataValidation>
    <dataValidation type="list" allowBlank="1" showErrorMessage="1" sqref="P21 P23 P25 P27 P29 P31 P33 P35 P37 P39 P41 P43 P45 P47 P49 P52 P54">
      <formula1>"CICI,YASMIN,JAKE"</formula1>
    </dataValidation>
    <dataValidation type="list" allowBlank="1" showDropDown="1" showErrorMessage="1" sqref="AC57">
      <formula1>"APPROVED,REPROVED,N/A,NOT FOUND,ANALYSING,OUTDATED,PREVIOUSLY APPROVED,IMPROPER"</formula1>
    </dataValidation>
    <dataValidation type="list" allowBlank="1" showDropDown="1" showErrorMessage="1" sqref="AF4 AI4 AK4:AL4 AN4:AO4 AR4 AT4:AU4 AW4:AX4 AZ4:BA4 BC4:BD4 BF4:BG4 BI4:BJ4 BL4:BM4 BO4:BP4 BR4:BS4 BU4:BV4 BY4 CA4:CB4 CD4:CE4 CG4:CH4 CJ4:CK4 CM4:CN4 CP4:CQ4 CS4:CT4 CV4:CW4 CY4:CZ4 DB4:DC4 DE4:DF4 DH4:DI4 DK4:DL4 AL19 AN19:AO19 AQ19:AR19 AT19:AU19 AW19:AX19 AZ19:BA19 BC19:BD19 BF19:BG19 BI19:BJ19 BL19:BM19 BO19:BP19 BR19:BS19 BV19 BX19:BY19 CA19:CB19 CD19:CE19 CG19:CH19 CJ19:CK19 CM19:CN19 CP19:CQ19 CS19:CT19 CV19:CW19 DE19:DF19 CW20 CY19:CZ20 DB19:DC20 DF20 DH19:DI20 DK19:DL20 DN19:DN20 AF22 AI22 AK22:AL22 AN22:AO22 AR22 AT22:AU22 AW22:AX22 AZ22:BA22 BC22:BD22 BF22:BG22 BI22:BJ22 BL22:BM22 BO22:BP22 BR22:BS22 BV22 BX22:BY22 CB22 CD22:CE22 CG22:CH22 CJ22:CK22 CM22:CN22 CP22:CQ22 CS22:CT22 CV22:CW22 CZ22 DC22 DF22 DI22 DL22 AF24 AI24 AK24:AL24 AN24:AO24 AQ24:AR24 AU24 AW24:AX24 AZ24:BA24 BC24:BD24 BF24:BG24 BI24:BJ24 BM24 BO24:BP24 BS24 BV24 BY24 CB24 CE24 CH24 CK24 CN24 CQ24 CT24 CW24 CZ24 DC24 DF24 DI24 DL24 AF26 AI26 AK26:AL26 AN26:AO26 AR26 AT26:AU26 AW26:AX26 AZ26:BA26 BC26:BD26 BF26:BG26 BI26:BJ26 BL26:BM26 BO26:BP26 BR26:BS26 BU26:BV26 BY26 CB26 CE26 CH26 CK26 CN26 CQ26 CT26 CW26 CZ26 DC26 DF26 DI26 DL26 AF28 AH28:AI28 AL28 AN28:AO28 AQ28:AR28 AT28:AU28 AW28:AX28 AZ28:BA28 BC28:BD28 BF28:BG28 BJ28 BM28 BO28:BP28 BR28:BS28 BU28:BV28 BX28:BY28 CB28 CE28 CH28 CK28 CN28 CQ28 CT28 CW28 CZ28 DC28 DF28 DI28 DL28 AF30 AI30 AK30:AL30 AN30:AO30 AQ30:AR30 AU30 AW30:AX30 AZ30:BA30 BC30:BD30 BF30:BG30 BI30:BJ30 BL30:BM30 BO30:BP30 BS30 BV30 BY30 CB30 CE30 CH30 CK30 CN30 CQ30 CT30 CW30 CZ30 DC30 DF30 DI30 DL30 AF32 AI32 AK32:AL32 AN32:AO32 AR32 AT32:AU32 AW32:AX32 AZ32:BA32 BC32:BD32 BF32:BG32 BI32:BJ32 BL32:BM32 BO32:BP32 BR32:BS32 BU32:BV32 BX32:BY32 CB32 CD32:CE32 CG32:CH32 CJ32:CK32 CM32:CN32 CP32:CQ32 CT32 CW32 CZ32 DC32 DF32 DI32 DL32 AL34 AN34:AO34 AR34 AU34 AX34 BA34 BD34 BG34 BJ34 BM34 BP34 BS34 BV34 BY34 CB34 CE34 CH34 CK34 CN34 CQ34 CT34 CW34 CZ34 DC34 DF34 DI34 DL34 AI36 AK36:AL36 AO36 AR36 AU36 AX36 BA36 BD36 BG36 BJ36 BM36 BP36 BS36 BV36 BY36 CB36 CE36 CH36 CK36 CN36 CQ36 CT36 CW36 CZ36 DC36 DF36 DI36 DL36 AL38 AN38:AO38 AR38 AU38 AX38 BA38 BD38 BG38 BJ38 BM38 BP38 BS38 BV38 BY38 CB38 CE38 CH38 CK38 CN38 CQ38 CT38 CW38 CZ38 DC38 DF38 DI38 DL38 AF40 AI40 AK40:AL40 AN40:AO40 AR40 AU40 AX40 BA40 BD40 BG40 BJ40 BM40 BP40 BS40 BV40 BY40 CB40 CE40 CH40 CK40 CN40 CQ40 CT40 CW40 CZ40 DC40 DF40 DI40 DL40 AF42 AH42:AI42 AK42:AL42 AO42 AR42 AU42 AX42 BA42 BD42 BG42 BJ42 BM42 BP42 BS42 BV42 BY42 CB42 CE42 CH42 CK42 CN42 CQ42 CT42 CW42 CZ42 DC42 DF42 DI42 DL42 AF44 AI44 AK44:AL44 AN44:AO44 AR44 AU44 AX44 BA44 BD44 BG44 BJ44 BM44 BP44 BS44 BV44 BY44 CB44 CE44 CH44 CK44 CN44 CQ44 CT44 CW44 CZ44 DC44 DF44 DI44 DL44 AI46 AL46 AN46:AO46 AR46 AU46 AX46 BA46 BD46 BG46 BJ46 BM46 BP46 BS46 BV46 BY46 CB46 CE46 CH46 CK46 CN46 CQ46 CT46 CW46 CZ46 DC46 DF46 DI46 DL46 AL48 AN48:AO48 AQ48:AR48 AT48:AU48 AW48:AX48 AZ48:BA48 BC48:BD48 BF48:BG48 BJ48 BM48 BO48:BP48 BS48 BU48:BV48 BY48 CA48:CB48 CE48 CG48:CH48 CK48 CN48 CQ48 CT48 CW48 CZ48 DC48 DF48 DI48 DL48 AL50 AR50 AF51 AH51:AI51 AK51:AL51 AO50:AO51 AQ51:AR51 AU50:AU51 AX50:AX51 BA50:BA51 BD50:BD51 BG50:BG51 BJ50:BJ51 BM50:BM51 BP50:BP51 BS50:BS51 BV50:BV51 BY50:BY51 CB50:CB51 CE50:CE51 CH50:CH51 CK50:CK51 CN50:CN51 CQ50:CQ51 CT50:CT51 CW50:CW51 CZ50:CZ51 DC50:DC51 DF50:DF51 DI50:DI51 DL50:DL51 AI53 AK53:AL53 AO53 AR53 AU53 AX53 BA53 BD53 BG53 BJ53 BM53 BP53 BS53 BV53 BY53 CB53 CE53 CH53 CK53 CN53 CQ53 CT53 CW53 CZ53 DC53 DF53 DI53 DL53 AF55:AF56 AL55:AL56 AI55:AI57 AK57:AL57 AO55:AO57 AU55:AU58 AC59 AE59 AN58:AO59 AT59:AU59 AF60 AL58:AL60 AK61:AL61 AO60:AO62 AR55:AR62 AU60:AU62 AX55:AX62 BA55:BA62 BD55:BD62 BG55:BG62 BP55:BP62 BS55:BS62 BY55:BY62 CB55:CB62 CE55:CE62 CK55:CK62 CN55:CN62 CT55:CT62 CW55:CW62 CZ55:CZ62 DC55:DC62 AI60:AI63 AL62:AL63 AN63:AO63 AQ63:AR63 AT63:AU63 AW63:AX63 AZ63:BA63 BC63:BD63 BF63:BG63 BJ55:BJ63 BM55:BM63 BO63:BP63 BR63:BS63 BV55:BV63 BX63:BY63 CA63:CB63 CD63:CE63 CH55:CH63 CJ63:CK63 CM63:CN63 CQ55:CQ63 CS63:CT63 CV63:CW63 CY63:CZ63 DB63:DC63 DF55:DF63 DI55:DI63 DL55:DL63">
      <formula1>"APPROVED,REPROVED,N/A,ANALYSING,NOT PUBLISHED,OUTDATED,PREVIOUSLY APPROVED,NEXT ROUND,IMPROPER"</formula1>
    </dataValidation>
    <dataValidation type="list" allowBlank="1" showDropDown="1" showErrorMessage="1" sqref="Z28 AB28 Z30 AB30 Z50 AB50 Z55 AB55">
      <formula1>"APPROVED,REPROVED,N/A,IN ANALYSIS,NOT FOUND,TO BE AUDITED,OUTDATED,PREVIOUSLY APPROVED,IMPROPER"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hidden="1" min="1" max="1" width="5.88"/>
    <col customWidth="1" min="2" max="3" width="33.88"/>
    <col customWidth="1" min="4" max="4" width="10.88"/>
    <col customWidth="1" min="5" max="5" width="19.75"/>
    <col customWidth="1" min="6" max="6" width="10.75"/>
    <col customWidth="1" min="7" max="7" width="18.63"/>
    <col customWidth="1" min="8" max="8" width="9.38"/>
    <col customWidth="1" min="9" max="11" width="16.0"/>
    <col customWidth="1" min="12" max="12" width="15.88"/>
    <col customWidth="1" min="13" max="13" width="16.25"/>
    <col customWidth="1" min="14" max="15" width="14.63"/>
    <col customWidth="1" min="16" max="16" width="16.0"/>
    <col customWidth="1" min="17" max="17" width="15.38"/>
    <col customWidth="1" min="18" max="18" width="17.13"/>
    <col customWidth="1" min="19" max="64" width="16.38"/>
  </cols>
  <sheetData>
    <row r="1" ht="51.0" customHeight="1">
      <c r="A1" s="1"/>
      <c r="B1" s="491"/>
      <c r="C1" s="492"/>
      <c r="D1" s="492" t="s">
        <v>466</v>
      </c>
      <c r="E1" s="494"/>
      <c r="F1" s="494"/>
      <c r="G1" s="494"/>
      <c r="H1" s="494"/>
      <c r="I1" s="494"/>
      <c r="J1" s="494"/>
      <c r="K1" s="494"/>
      <c r="L1" s="494"/>
      <c r="M1" s="494"/>
      <c r="N1" s="494"/>
      <c r="O1" s="494"/>
      <c r="P1" s="494"/>
      <c r="Q1" s="494"/>
      <c r="R1" s="494"/>
      <c r="S1" s="494"/>
      <c r="T1" s="801"/>
      <c r="U1" s="801"/>
      <c r="V1" s="801"/>
      <c r="W1" s="801"/>
      <c r="X1" s="801"/>
      <c r="Y1" s="801"/>
      <c r="Z1" s="801"/>
      <c r="AA1" s="801"/>
      <c r="AB1" s="801"/>
      <c r="AC1" s="801"/>
      <c r="AD1" s="801"/>
      <c r="AE1" s="801"/>
      <c r="AF1" s="801"/>
      <c r="AG1" s="801"/>
      <c r="AH1" s="801"/>
      <c r="AI1" s="801"/>
      <c r="AJ1" s="801"/>
      <c r="AK1" s="801"/>
      <c r="AL1" s="801"/>
      <c r="AM1" s="801"/>
      <c r="AN1" s="801"/>
      <c r="AO1" s="801"/>
      <c r="AP1" s="801"/>
      <c r="AQ1" s="801"/>
      <c r="AR1" s="801"/>
      <c r="AS1" s="801"/>
      <c r="AT1" s="801"/>
      <c r="AU1" s="801"/>
      <c r="AV1" s="801"/>
      <c r="AW1" s="801"/>
      <c r="AX1" s="801"/>
      <c r="AY1" s="801"/>
      <c r="AZ1" s="801"/>
      <c r="BA1" s="801"/>
      <c r="BB1" s="801"/>
      <c r="BC1" s="801"/>
      <c r="BD1" s="801"/>
      <c r="BE1" s="801"/>
      <c r="BF1" s="801"/>
      <c r="BG1" s="801"/>
      <c r="BH1" s="801"/>
      <c r="BI1" s="801"/>
      <c r="BJ1" s="801"/>
      <c r="BK1" s="801"/>
      <c r="BL1" s="801"/>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655" t="s">
        <v>467</v>
      </c>
      <c r="P2" s="505" t="s">
        <v>308</v>
      </c>
      <c r="Q2" s="802" t="s">
        <v>309</v>
      </c>
      <c r="R2" s="506" t="s">
        <v>310</v>
      </c>
      <c r="S2" s="506" t="s">
        <v>30</v>
      </c>
      <c r="T2" s="803" t="s">
        <v>311</v>
      </c>
      <c r="U2" s="507" t="s">
        <v>312</v>
      </c>
      <c r="V2" s="507" t="s">
        <v>31</v>
      </c>
      <c r="W2" s="803" t="s">
        <v>313</v>
      </c>
      <c r="X2" s="507" t="s">
        <v>314</v>
      </c>
      <c r="Y2" s="507" t="s">
        <v>32</v>
      </c>
      <c r="Z2" s="507" t="s">
        <v>315</v>
      </c>
      <c r="AA2" s="507" t="s">
        <v>316</v>
      </c>
      <c r="AB2" s="507" t="s">
        <v>33</v>
      </c>
      <c r="AC2" s="507" t="s">
        <v>317</v>
      </c>
      <c r="AD2" s="507" t="s">
        <v>318</v>
      </c>
      <c r="AE2" s="507" t="s">
        <v>34</v>
      </c>
      <c r="AF2" s="507" t="s">
        <v>319</v>
      </c>
      <c r="AG2" s="507" t="s">
        <v>320</v>
      </c>
      <c r="AH2" s="507" t="s">
        <v>35</v>
      </c>
      <c r="AI2" s="507" t="s">
        <v>321</v>
      </c>
      <c r="AJ2" s="507" t="s">
        <v>322</v>
      </c>
      <c r="AK2" s="507" t="s">
        <v>36</v>
      </c>
      <c r="AL2" s="507" t="s">
        <v>323</v>
      </c>
      <c r="AM2" s="507" t="s">
        <v>324</v>
      </c>
      <c r="AN2" s="507" t="s">
        <v>37</v>
      </c>
      <c r="AO2" s="507" t="s">
        <v>325</v>
      </c>
      <c r="AP2" s="507" t="s">
        <v>326</v>
      </c>
      <c r="AQ2" s="507" t="s">
        <v>38</v>
      </c>
      <c r="AR2" s="507" t="s">
        <v>458</v>
      </c>
      <c r="AS2" s="507" t="s">
        <v>328</v>
      </c>
      <c r="AT2" s="507" t="s">
        <v>39</v>
      </c>
      <c r="AU2" s="507" t="s">
        <v>329</v>
      </c>
      <c r="AV2" s="507" t="s">
        <v>330</v>
      </c>
      <c r="AW2" s="507" t="s">
        <v>40</v>
      </c>
      <c r="AX2" s="507" t="s">
        <v>331</v>
      </c>
      <c r="AY2" s="507" t="s">
        <v>332</v>
      </c>
      <c r="AZ2" s="507"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row>
    <row r="3" hidden="1">
      <c r="A3" s="53">
        <v>1.0</v>
      </c>
      <c r="B3" s="508" t="s">
        <v>77</v>
      </c>
      <c r="C3" s="656"/>
      <c r="D3" s="58"/>
      <c r="E3" s="657"/>
      <c r="F3" s="58"/>
      <c r="G3" s="58"/>
      <c r="H3" s="509"/>
      <c r="I3" s="509"/>
      <c r="J3" s="509"/>
      <c r="K3" s="510"/>
      <c r="L3" s="58"/>
      <c r="M3" s="510"/>
      <c r="N3" s="509"/>
      <c r="O3" s="509"/>
      <c r="P3" s="657"/>
      <c r="Q3" s="804"/>
      <c r="R3" s="513"/>
      <c r="S3" s="726"/>
      <c r="T3" s="805"/>
      <c r="U3" s="513"/>
      <c r="V3" s="726"/>
      <c r="W3" s="805"/>
      <c r="X3" s="513"/>
      <c r="Y3" s="726"/>
      <c r="Z3" s="806"/>
      <c r="AA3" s="806"/>
      <c r="AB3" s="806"/>
      <c r="AC3" s="806"/>
      <c r="AD3" s="806"/>
      <c r="AE3" s="806"/>
      <c r="AF3" s="806"/>
      <c r="AG3" s="806"/>
      <c r="AH3" s="806"/>
      <c r="AI3" s="806"/>
      <c r="AJ3" s="806"/>
      <c r="AK3" s="806"/>
      <c r="AL3" s="806"/>
      <c r="AM3" s="806"/>
      <c r="AN3" s="806"/>
      <c r="AO3" s="806"/>
      <c r="AP3" s="806"/>
      <c r="AQ3" s="806"/>
      <c r="AR3" s="806"/>
      <c r="AS3" s="806"/>
      <c r="AT3" s="806"/>
      <c r="AU3" s="806"/>
      <c r="AV3" s="806"/>
      <c r="AW3" s="806"/>
      <c r="AX3" s="806"/>
      <c r="AY3" s="806"/>
      <c r="AZ3" s="806"/>
      <c r="BA3" s="806"/>
      <c r="BB3" s="806"/>
      <c r="BC3" s="806"/>
      <c r="BD3" s="806"/>
      <c r="BE3" s="806"/>
      <c r="BF3" s="806"/>
      <c r="BG3" s="806"/>
      <c r="BH3" s="806"/>
      <c r="BI3" s="806"/>
      <c r="BJ3" s="806"/>
      <c r="BK3" s="806"/>
      <c r="BL3" s="806"/>
    </row>
    <row r="4" ht="16.5" customHeight="1">
      <c r="A4" s="53">
        <v>6.0</v>
      </c>
      <c r="B4" s="100" t="s">
        <v>89</v>
      </c>
      <c r="C4" s="100" t="s">
        <v>90</v>
      </c>
      <c r="D4" s="101" t="str">
        <f t="shared" ref="D4:D20" si="1">MID(B4,17,4)</f>
        <v>DATA</v>
      </c>
      <c r="E4" s="111" t="s">
        <v>91</v>
      </c>
      <c r="F4" s="102">
        <v>1104.0</v>
      </c>
      <c r="G4" s="517" t="s">
        <v>92</v>
      </c>
      <c r="H4" s="517">
        <v>1127.0</v>
      </c>
      <c r="I4" s="68" t="str">
        <f>IFERROR(VLOOKUP(C:C,'R22 RELATÓRIO ACC'!B:F,5,FALSE),"NOT PUBLISHED")</f>
        <v>V12</v>
      </c>
      <c r="J4" s="68" t="str">
        <f>IFERROR(VLOOKUP(C:C,'R22 RELATÓRIO ACC'!B:P,15,FALSE),"NOT PUBLISHED")</f>
        <v>08/04/2026</v>
      </c>
      <c r="K4" s="70" t="str">
        <f>IFERROR(VLOOKUP(B:B,'RELATÓRIO ACC'!B:F,5,FALSE),"NOT PUBLISHED")</f>
        <v>V1</v>
      </c>
      <c r="L4" s="518" t="str">
        <f>IFERROR(VLOOKUP(B:B,'RELATÓRIO ACC'!B:P,15,FALSE),"NOT PUBLISHED")</f>
        <v>15/05/2026</v>
      </c>
      <c r="M4" s="538" t="s">
        <v>377</v>
      </c>
      <c r="N4" s="807">
        <v>46157.0</v>
      </c>
      <c r="O4" s="538" t="s">
        <v>378</v>
      </c>
      <c r="P4" s="808"/>
      <c r="Q4" s="809" t="s">
        <v>383</v>
      </c>
      <c r="R4" s="810" t="s">
        <v>380</v>
      </c>
      <c r="S4" s="551">
        <v>0.0</v>
      </c>
      <c r="T4" s="809" t="s">
        <v>381</v>
      </c>
      <c r="U4" s="811" t="s">
        <v>414</v>
      </c>
      <c r="V4" s="551">
        <v>0.83</v>
      </c>
      <c r="W4" s="809" t="s">
        <v>379</v>
      </c>
      <c r="X4" s="811" t="s">
        <v>414</v>
      </c>
      <c r="Y4" s="525" t="s">
        <v>379</v>
      </c>
      <c r="Z4" s="809" t="s">
        <v>379</v>
      </c>
      <c r="AA4" s="811" t="s">
        <v>414</v>
      </c>
      <c r="AB4" s="525" t="s">
        <v>379</v>
      </c>
      <c r="AC4" s="809" t="s">
        <v>379</v>
      </c>
      <c r="AD4" s="811" t="s">
        <v>414</v>
      </c>
      <c r="AE4" s="525" t="s">
        <v>379</v>
      </c>
      <c r="AF4" s="809" t="s">
        <v>379</v>
      </c>
      <c r="AG4" s="811" t="s">
        <v>414</v>
      </c>
      <c r="AH4" s="525" t="s">
        <v>379</v>
      </c>
      <c r="AI4" s="809" t="s">
        <v>379</v>
      </c>
      <c r="AJ4" s="811" t="s">
        <v>414</v>
      </c>
      <c r="AK4" s="809" t="s">
        <v>379</v>
      </c>
      <c r="AL4" s="528" t="s">
        <v>383</v>
      </c>
      <c r="AM4" s="811" t="s">
        <v>414</v>
      </c>
      <c r="AN4" s="528" t="s">
        <v>383</v>
      </c>
      <c r="AO4" s="528" t="s">
        <v>383</v>
      </c>
      <c r="AP4" s="811" t="s">
        <v>414</v>
      </c>
      <c r="AQ4" s="523" t="s">
        <v>383</v>
      </c>
      <c r="AR4" s="528" t="s">
        <v>383</v>
      </c>
      <c r="AS4" s="811" t="s">
        <v>414</v>
      </c>
      <c r="AT4" s="528" t="s">
        <v>383</v>
      </c>
      <c r="AU4" s="528" t="s">
        <v>383</v>
      </c>
      <c r="AV4" s="811" t="s">
        <v>414</v>
      </c>
      <c r="AW4" s="523" t="s">
        <v>383</v>
      </c>
      <c r="AX4" s="528" t="s">
        <v>383</v>
      </c>
      <c r="AY4" s="811" t="s">
        <v>414</v>
      </c>
      <c r="AZ4" s="528" t="s">
        <v>383</v>
      </c>
      <c r="BA4" s="528" t="s">
        <v>383</v>
      </c>
      <c r="BB4" s="811" t="s">
        <v>414</v>
      </c>
      <c r="BC4" s="528" t="s">
        <v>383</v>
      </c>
      <c r="BD4" s="528" t="s">
        <v>383</v>
      </c>
      <c r="BE4" s="811" t="s">
        <v>414</v>
      </c>
      <c r="BF4" s="528" t="s">
        <v>383</v>
      </c>
      <c r="BG4" s="528" t="s">
        <v>383</v>
      </c>
      <c r="BH4" s="811" t="s">
        <v>414</v>
      </c>
      <c r="BI4" s="528" t="s">
        <v>383</v>
      </c>
      <c r="BJ4" s="528" t="s">
        <v>386</v>
      </c>
      <c r="BK4" s="811" t="s">
        <v>377</v>
      </c>
      <c r="BL4" s="548">
        <v>1.0</v>
      </c>
    </row>
    <row r="5">
      <c r="A5" s="53">
        <v>45.0</v>
      </c>
      <c r="B5" s="100" t="s">
        <v>218</v>
      </c>
      <c r="C5" s="100" t="s">
        <v>219</v>
      </c>
      <c r="D5" s="101" t="str">
        <f t="shared" si="1"/>
        <v>DATA</v>
      </c>
      <c r="E5" s="101" t="s">
        <v>154</v>
      </c>
      <c r="F5" s="102">
        <v>1112.0</v>
      </c>
      <c r="G5" s="517" t="s">
        <v>154</v>
      </c>
      <c r="H5" s="517">
        <v>1112.0</v>
      </c>
      <c r="I5" s="68" t="str">
        <f>IFERROR(VLOOKUP(C:C,'R22 RELATÓRIO ACC'!B:F,5,FALSE),"NOT PUBLISHED")</f>
        <v>V24</v>
      </c>
      <c r="J5" s="68" t="str">
        <f>IFERROR(VLOOKUP(C:C,'R22 RELATÓRIO ACC'!B:P,15,FALSE),"NOT PUBLISHED")</f>
        <v>15/05/2026</v>
      </c>
      <c r="K5" s="70" t="str">
        <f>IFERROR(VLOOKUP(B:B,'RELATÓRIO ACC'!B:F,5,FALSE),"NOT PUBLISHED")</f>
        <v>V2</v>
      </c>
      <c r="L5" s="518" t="str">
        <f>IFERROR(VLOOKUP(B:B,'RELATÓRIO ACC'!B:P,15,FALSE),"NOT PUBLISHED")</f>
        <v>06/07/2026</v>
      </c>
      <c r="M5" s="812" t="s">
        <v>387</v>
      </c>
      <c r="N5" s="813">
        <v>46209.0</v>
      </c>
      <c r="O5" s="538" t="s">
        <v>378</v>
      </c>
      <c r="P5" s="808" t="s">
        <v>397</v>
      </c>
      <c r="Q5" s="809" t="s">
        <v>383</v>
      </c>
      <c r="R5" s="810" t="s">
        <v>380</v>
      </c>
      <c r="S5" s="542">
        <v>0.0</v>
      </c>
      <c r="T5" s="809" t="s">
        <v>383</v>
      </c>
      <c r="U5" s="810" t="s">
        <v>380</v>
      </c>
      <c r="V5" s="809" t="s">
        <v>398</v>
      </c>
      <c r="W5" s="523" t="s">
        <v>398</v>
      </c>
      <c r="X5" s="810" t="s">
        <v>380</v>
      </c>
      <c r="Y5" s="523" t="s">
        <v>398</v>
      </c>
      <c r="Z5" s="523" t="s">
        <v>398</v>
      </c>
      <c r="AA5" s="811" t="s">
        <v>422</v>
      </c>
      <c r="AB5" s="523" t="s">
        <v>398</v>
      </c>
      <c r="AC5" s="523" t="s">
        <v>383</v>
      </c>
      <c r="AD5" s="811" t="s">
        <v>422</v>
      </c>
      <c r="AE5" s="523" t="s">
        <v>383</v>
      </c>
      <c r="AF5" s="523" t="s">
        <v>383</v>
      </c>
      <c r="AG5" s="811" t="s">
        <v>422</v>
      </c>
      <c r="AH5" s="523" t="s">
        <v>383</v>
      </c>
      <c r="AI5" s="809" t="s">
        <v>383</v>
      </c>
      <c r="AJ5" s="811" t="s">
        <v>405</v>
      </c>
      <c r="AK5" s="809" t="s">
        <v>383</v>
      </c>
      <c r="AL5" s="528" t="s">
        <v>398</v>
      </c>
      <c r="AM5" s="811" t="s">
        <v>377</v>
      </c>
      <c r="AN5" s="528" t="s">
        <v>398</v>
      </c>
      <c r="AO5" s="528" t="s">
        <v>398</v>
      </c>
      <c r="AP5" s="811" t="s">
        <v>377</v>
      </c>
      <c r="AQ5" s="528" t="s">
        <v>398</v>
      </c>
      <c r="AR5" s="528" t="s">
        <v>379</v>
      </c>
      <c r="AS5" s="811" t="s">
        <v>377</v>
      </c>
      <c r="AT5" s="528" t="s">
        <v>379</v>
      </c>
      <c r="AU5" s="528" t="s">
        <v>379</v>
      </c>
      <c r="AV5" s="811" t="s">
        <v>377</v>
      </c>
      <c r="AW5" s="528" t="s">
        <v>379</v>
      </c>
      <c r="AX5" s="528" t="s">
        <v>379</v>
      </c>
      <c r="AY5" s="811" t="s">
        <v>377</v>
      </c>
      <c r="AZ5" s="528" t="s">
        <v>379</v>
      </c>
      <c r="BA5" s="528" t="s">
        <v>379</v>
      </c>
      <c r="BB5" s="811" t="s">
        <v>377</v>
      </c>
      <c r="BC5" s="528" t="s">
        <v>379</v>
      </c>
      <c r="BD5" s="528" t="s">
        <v>379</v>
      </c>
      <c r="BE5" s="811" t="s">
        <v>377</v>
      </c>
      <c r="BF5" s="523" t="s">
        <v>379</v>
      </c>
      <c r="BG5" s="528" t="s">
        <v>383</v>
      </c>
      <c r="BH5" s="811" t="s">
        <v>377</v>
      </c>
      <c r="BI5" s="523" t="s">
        <v>383</v>
      </c>
      <c r="BJ5" s="528" t="s">
        <v>381</v>
      </c>
      <c r="BK5" s="811" t="s">
        <v>387</v>
      </c>
      <c r="BL5" s="548">
        <v>0.72</v>
      </c>
    </row>
    <row r="6" ht="15.0" customHeight="1">
      <c r="A6" s="53">
        <v>11.0</v>
      </c>
      <c r="B6" s="100" t="s">
        <v>112</v>
      </c>
      <c r="C6" s="100" t="s">
        <v>113</v>
      </c>
      <c r="D6" s="101" t="str">
        <f t="shared" si="1"/>
        <v>DATA</v>
      </c>
      <c r="E6" s="101" t="s">
        <v>114</v>
      </c>
      <c r="F6" s="102">
        <v>1108.0</v>
      </c>
      <c r="G6" s="517" t="s">
        <v>114</v>
      </c>
      <c r="H6" s="517">
        <v>1108.0</v>
      </c>
      <c r="I6" s="68" t="str">
        <f>IFERROR(VLOOKUP(C:C,'R22 RELATÓRIO ACC'!B:F,5,FALSE),"NOT PUBLISHED")</f>
        <v>V4</v>
      </c>
      <c r="J6" s="68" t="str">
        <f>IFERROR(VLOOKUP(C:C,'R22 RELATÓRIO ACC'!B:P,15,FALSE),"NOT PUBLISHED")</f>
        <v>10/04/2026</v>
      </c>
      <c r="K6" s="70" t="str">
        <f>IFERROR(VLOOKUP(B:B,'RELATÓRIO ACC'!B:F,5,FALSE),"NOT PUBLISHED")</f>
        <v>V2</v>
      </c>
      <c r="L6" s="518" t="str">
        <f>IFERROR(VLOOKUP(B:B,'RELATÓRIO ACC'!B:P,15,FALSE),"NOT PUBLISHED")</f>
        <v>04/06/2026</v>
      </c>
      <c r="M6" s="519" t="s">
        <v>380</v>
      </c>
      <c r="N6" s="549" t="s">
        <v>380</v>
      </c>
      <c r="O6" s="538" t="s">
        <v>380</v>
      </c>
      <c r="P6" s="814"/>
      <c r="Q6" s="809" t="s">
        <v>380</v>
      </c>
      <c r="R6" s="810" t="s">
        <v>380</v>
      </c>
      <c r="S6" s="542" t="s">
        <v>380</v>
      </c>
      <c r="T6" s="523" t="s">
        <v>380</v>
      </c>
      <c r="U6" s="810" t="s">
        <v>380</v>
      </c>
      <c r="V6" s="542" t="s">
        <v>380</v>
      </c>
      <c r="W6" s="523" t="s">
        <v>380</v>
      </c>
      <c r="X6" s="810" t="s">
        <v>380</v>
      </c>
      <c r="Y6" s="542" t="s">
        <v>380</v>
      </c>
      <c r="Z6" s="523" t="s">
        <v>380</v>
      </c>
      <c r="AA6" s="810" t="s">
        <v>380</v>
      </c>
      <c r="AB6" s="542" t="s">
        <v>380</v>
      </c>
      <c r="AC6" s="523" t="s">
        <v>380</v>
      </c>
      <c r="AD6" s="810" t="s">
        <v>380</v>
      </c>
      <c r="AE6" s="542" t="s">
        <v>380</v>
      </c>
      <c r="AF6" s="523" t="s">
        <v>380</v>
      </c>
      <c r="AG6" s="810" t="s">
        <v>380</v>
      </c>
      <c r="AH6" s="542" t="s">
        <v>380</v>
      </c>
      <c r="AI6" s="809" t="s">
        <v>380</v>
      </c>
      <c r="AJ6" s="810" t="s">
        <v>380</v>
      </c>
      <c r="AK6" s="815" t="s">
        <v>380</v>
      </c>
      <c r="AL6" s="528" t="s">
        <v>380</v>
      </c>
      <c r="AM6" s="810" t="s">
        <v>380</v>
      </c>
      <c r="AN6" s="548" t="s">
        <v>380</v>
      </c>
      <c r="AO6" s="528" t="s">
        <v>380</v>
      </c>
      <c r="AP6" s="810" t="s">
        <v>380</v>
      </c>
      <c r="AQ6" s="546" t="s">
        <v>380</v>
      </c>
      <c r="AR6" s="528" t="s">
        <v>380</v>
      </c>
      <c r="AS6" s="810" t="s">
        <v>380</v>
      </c>
      <c r="AT6" s="548" t="s">
        <v>380</v>
      </c>
      <c r="AU6" s="528" t="s">
        <v>380</v>
      </c>
      <c r="AV6" s="810" t="s">
        <v>380</v>
      </c>
      <c r="AW6" s="548" t="s">
        <v>380</v>
      </c>
      <c r="AX6" s="528" t="s">
        <v>380</v>
      </c>
      <c r="AY6" s="810" t="s">
        <v>380</v>
      </c>
      <c r="AZ6" s="548" t="s">
        <v>380</v>
      </c>
      <c r="BA6" s="528" t="s">
        <v>380</v>
      </c>
      <c r="BB6" s="810" t="s">
        <v>380</v>
      </c>
      <c r="BC6" s="548" t="s">
        <v>380</v>
      </c>
      <c r="BD6" s="528" t="s">
        <v>380</v>
      </c>
      <c r="BE6" s="810" t="s">
        <v>380</v>
      </c>
      <c r="BF6" s="546" t="s">
        <v>380</v>
      </c>
      <c r="BG6" s="528" t="s">
        <v>380</v>
      </c>
      <c r="BH6" s="810" t="s">
        <v>380</v>
      </c>
      <c r="BI6" s="546" t="s">
        <v>380</v>
      </c>
      <c r="BJ6" s="528" t="s">
        <v>380</v>
      </c>
      <c r="BK6" s="810" t="s">
        <v>380</v>
      </c>
      <c r="BL6" s="546" t="s">
        <v>380</v>
      </c>
    </row>
    <row r="7" ht="15.0" customHeight="1">
      <c r="A7" s="53">
        <v>15.0</v>
      </c>
      <c r="B7" s="100" t="s">
        <v>130</v>
      </c>
      <c r="C7" s="100" t="s">
        <v>131</v>
      </c>
      <c r="D7" s="101" t="str">
        <f t="shared" si="1"/>
        <v>C12A</v>
      </c>
      <c r="E7" s="101" t="s">
        <v>126</v>
      </c>
      <c r="F7" s="111">
        <v>1101.0</v>
      </c>
      <c r="G7" s="101" t="s">
        <v>127</v>
      </c>
      <c r="H7" s="517">
        <v>1126.0</v>
      </c>
      <c r="I7" s="68" t="str">
        <f>IFERROR(VLOOKUP(C:C,'R22 RELATÓRIO ACC'!B:F,5,FALSE),"NOT PUBLISHED")</f>
        <v>V24</v>
      </c>
      <c r="J7" s="68" t="str">
        <f>IFERROR(VLOOKUP(C:C,'R22 RELATÓRIO ACC'!B:P,15,FALSE),"NOT PUBLISHED")</f>
        <v>07/04/2026</v>
      </c>
      <c r="K7" s="70" t="str">
        <f>IFERROR(VLOOKUP(B:B,'RELATÓRIO ACC'!B:F,5,FALSE),"NOT PUBLISHED")</f>
        <v>V2</v>
      </c>
      <c r="L7" s="518" t="str">
        <f>IFERROR(VLOOKUP(B:B,'RELATÓRIO ACC'!B:P,15,FALSE),"NOT PUBLISHED")</f>
        <v>27/05/2026</v>
      </c>
      <c r="M7" s="519" t="s">
        <v>380</v>
      </c>
      <c r="N7" s="549" t="s">
        <v>380</v>
      </c>
      <c r="O7" s="538" t="s">
        <v>380</v>
      </c>
      <c r="P7" s="814"/>
      <c r="Q7" s="809" t="s">
        <v>380</v>
      </c>
      <c r="R7" s="810" t="s">
        <v>380</v>
      </c>
      <c r="S7" s="542" t="s">
        <v>380</v>
      </c>
      <c r="T7" s="523" t="s">
        <v>380</v>
      </c>
      <c r="U7" s="810" t="s">
        <v>380</v>
      </c>
      <c r="V7" s="551" t="s">
        <v>380</v>
      </c>
      <c r="W7" s="523" t="s">
        <v>380</v>
      </c>
      <c r="X7" s="810" t="s">
        <v>380</v>
      </c>
      <c r="Y7" s="551" t="s">
        <v>380</v>
      </c>
      <c r="Z7" s="523" t="s">
        <v>380</v>
      </c>
      <c r="AA7" s="810" t="s">
        <v>380</v>
      </c>
      <c r="AB7" s="551" t="s">
        <v>380</v>
      </c>
      <c r="AC7" s="523" t="s">
        <v>380</v>
      </c>
      <c r="AD7" s="810" t="s">
        <v>380</v>
      </c>
      <c r="AE7" s="551" t="s">
        <v>380</v>
      </c>
      <c r="AF7" s="523" t="s">
        <v>380</v>
      </c>
      <c r="AG7" s="810" t="s">
        <v>380</v>
      </c>
      <c r="AH7" s="542" t="s">
        <v>380</v>
      </c>
      <c r="AI7" s="809" t="s">
        <v>380</v>
      </c>
      <c r="AJ7" s="810" t="s">
        <v>380</v>
      </c>
      <c r="AK7" s="815" t="s">
        <v>380</v>
      </c>
      <c r="AL7" s="528" t="s">
        <v>380</v>
      </c>
      <c r="AM7" s="810" t="s">
        <v>380</v>
      </c>
      <c r="AN7" s="548" t="s">
        <v>380</v>
      </c>
      <c r="AO7" s="528" t="s">
        <v>380</v>
      </c>
      <c r="AP7" s="810" t="s">
        <v>380</v>
      </c>
      <c r="AQ7" s="548" t="s">
        <v>380</v>
      </c>
      <c r="AR7" s="528" t="s">
        <v>380</v>
      </c>
      <c r="AS7" s="810" t="s">
        <v>380</v>
      </c>
      <c r="AT7" s="548" t="s">
        <v>380</v>
      </c>
      <c r="AU7" s="528" t="s">
        <v>380</v>
      </c>
      <c r="AV7" s="810" t="s">
        <v>380</v>
      </c>
      <c r="AW7" s="548" t="s">
        <v>380</v>
      </c>
      <c r="AX7" s="528" t="s">
        <v>380</v>
      </c>
      <c r="AY7" s="810" t="s">
        <v>380</v>
      </c>
      <c r="AZ7" s="548" t="s">
        <v>380</v>
      </c>
      <c r="BA7" s="528" t="s">
        <v>380</v>
      </c>
      <c r="BB7" s="810" t="s">
        <v>380</v>
      </c>
      <c r="BC7" s="548" t="s">
        <v>380</v>
      </c>
      <c r="BD7" s="528" t="s">
        <v>380</v>
      </c>
      <c r="BE7" s="810" t="s">
        <v>380</v>
      </c>
      <c r="BF7" s="548" t="s">
        <v>380</v>
      </c>
      <c r="BG7" s="528" t="s">
        <v>380</v>
      </c>
      <c r="BH7" s="810" t="s">
        <v>380</v>
      </c>
      <c r="BI7" s="548" t="s">
        <v>380</v>
      </c>
      <c r="BJ7" s="528" t="s">
        <v>380</v>
      </c>
      <c r="BK7" s="810" t="s">
        <v>380</v>
      </c>
      <c r="BL7" s="548" t="s">
        <v>380</v>
      </c>
    </row>
    <row r="8" ht="15.0" customHeight="1">
      <c r="A8" s="53">
        <v>18.0</v>
      </c>
      <c r="B8" s="100" t="s">
        <v>145</v>
      </c>
      <c r="C8" s="100" t="s">
        <v>146</v>
      </c>
      <c r="D8" s="101" t="str">
        <f t="shared" si="1"/>
        <v>DATA</v>
      </c>
      <c r="E8" s="111" t="s">
        <v>147</v>
      </c>
      <c r="F8" s="118" t="s">
        <v>147</v>
      </c>
      <c r="G8" s="534" t="s">
        <v>147</v>
      </c>
      <c r="H8" s="535"/>
      <c r="I8" s="68" t="str">
        <f>IFERROR(VLOOKUP(C:C,'R22 RELATÓRIO ACC'!B:F,5,FALSE),"NOT PUBLISHED")</f>
        <v>V9</v>
      </c>
      <c r="J8" s="68" t="str">
        <f>IFERROR(VLOOKUP(C:C,'R22 RELATÓRIO ACC'!B:P,15,FALSE),"NOT PUBLISHED")</f>
        <v>28/02/2026</v>
      </c>
      <c r="K8" s="70" t="str">
        <f>IFERROR(VLOOKUP(B:B,'RELATÓRIO ACC'!B:F,5,FALSE),"NOT PUBLISHED")</f>
        <v>V1</v>
      </c>
      <c r="L8" s="518" t="str">
        <f>IFERROR(VLOOKUP(B:B,'RELATÓRIO ACC'!B:P,15,FALSE),"NOT PUBLISHED")</f>
        <v>20/05/2026</v>
      </c>
      <c r="M8" s="816" t="s">
        <v>380</v>
      </c>
      <c r="N8" s="817" t="s">
        <v>380</v>
      </c>
      <c r="O8" s="538" t="s">
        <v>380</v>
      </c>
      <c r="P8" s="814"/>
      <c r="Q8" s="809" t="s">
        <v>380</v>
      </c>
      <c r="R8" s="810" t="s">
        <v>380</v>
      </c>
      <c r="S8" s="551" t="s">
        <v>380</v>
      </c>
      <c r="T8" s="809" t="s">
        <v>380</v>
      </c>
      <c r="U8" s="810" t="s">
        <v>380</v>
      </c>
      <c r="V8" s="551" t="s">
        <v>380</v>
      </c>
      <c r="W8" s="809" t="s">
        <v>380</v>
      </c>
      <c r="X8" s="810" t="s">
        <v>380</v>
      </c>
      <c r="Y8" s="815" t="s">
        <v>380</v>
      </c>
      <c r="Z8" s="809" t="s">
        <v>380</v>
      </c>
      <c r="AA8" s="810" t="s">
        <v>380</v>
      </c>
      <c r="AB8" s="815" t="s">
        <v>380</v>
      </c>
      <c r="AC8" s="809" t="s">
        <v>380</v>
      </c>
      <c r="AD8" s="810" t="s">
        <v>380</v>
      </c>
      <c r="AE8" s="815" t="s">
        <v>380</v>
      </c>
      <c r="AF8" s="809" t="s">
        <v>380</v>
      </c>
      <c r="AG8" s="810" t="s">
        <v>380</v>
      </c>
      <c r="AH8" s="815" t="s">
        <v>380</v>
      </c>
      <c r="AI8" s="809" t="s">
        <v>380</v>
      </c>
      <c r="AJ8" s="810" t="s">
        <v>380</v>
      </c>
      <c r="AK8" s="815" t="s">
        <v>380</v>
      </c>
      <c r="AL8" s="528" t="s">
        <v>380</v>
      </c>
      <c r="AM8" s="810" t="s">
        <v>380</v>
      </c>
      <c r="AN8" s="548" t="s">
        <v>380</v>
      </c>
      <c r="AO8" s="528" t="s">
        <v>380</v>
      </c>
      <c r="AP8" s="810" t="s">
        <v>380</v>
      </c>
      <c r="AQ8" s="548" t="s">
        <v>380</v>
      </c>
      <c r="AR8" s="528" t="s">
        <v>380</v>
      </c>
      <c r="AS8" s="810" t="s">
        <v>380</v>
      </c>
      <c r="AT8" s="548" t="s">
        <v>380</v>
      </c>
      <c r="AU8" s="528" t="s">
        <v>380</v>
      </c>
      <c r="AV8" s="810" t="s">
        <v>380</v>
      </c>
      <c r="AW8" s="548" t="s">
        <v>380</v>
      </c>
      <c r="AX8" s="528" t="s">
        <v>380</v>
      </c>
      <c r="AY8" s="810" t="s">
        <v>380</v>
      </c>
      <c r="AZ8" s="548" t="s">
        <v>380</v>
      </c>
      <c r="BA8" s="528" t="s">
        <v>380</v>
      </c>
      <c r="BB8" s="810" t="s">
        <v>380</v>
      </c>
      <c r="BC8" s="548" t="s">
        <v>380</v>
      </c>
      <c r="BD8" s="528" t="s">
        <v>380</v>
      </c>
      <c r="BE8" s="810" t="s">
        <v>380</v>
      </c>
      <c r="BF8" s="548" t="s">
        <v>380</v>
      </c>
      <c r="BG8" s="528" t="s">
        <v>380</v>
      </c>
      <c r="BH8" s="810" t="s">
        <v>380</v>
      </c>
      <c r="BI8" s="548" t="s">
        <v>380</v>
      </c>
      <c r="BJ8" s="528" t="s">
        <v>380</v>
      </c>
      <c r="BK8" s="810" t="s">
        <v>380</v>
      </c>
      <c r="BL8" s="548" t="s">
        <v>380</v>
      </c>
    </row>
    <row r="9" ht="15.0" customHeight="1">
      <c r="A9" s="53">
        <v>57.0</v>
      </c>
      <c r="B9" s="100" t="s">
        <v>288</v>
      </c>
      <c r="C9" s="100" t="s">
        <v>288</v>
      </c>
      <c r="D9" s="101" t="str">
        <f t="shared" si="1"/>
        <v>ADMN</v>
      </c>
      <c r="E9" s="101" t="s">
        <v>289</v>
      </c>
      <c r="F9" s="102">
        <v>1125.0</v>
      </c>
      <c r="G9" s="517" t="s">
        <v>289</v>
      </c>
      <c r="H9" s="517">
        <v>1125.0</v>
      </c>
      <c r="I9" s="68" t="str">
        <f>IFERROR(VLOOKUP(C:C,'R22 RELATÓRIO ACC'!B:F,5,FALSE),"NOT PUBLISHED")</f>
        <v>V8</v>
      </c>
      <c r="J9" s="68" t="str">
        <f>IFERROR(VLOOKUP(C:C,'R22 RELATÓRIO ACC'!B:P,15,FALSE),"NOT PUBLISHED")</f>
        <v>07/11/2025</v>
      </c>
      <c r="K9" s="70" t="str">
        <f>IFERROR(VLOOKUP(B:B,'RELATÓRIO ACC'!B:F,5,FALSE),"NOT PUBLISHED")</f>
        <v>V1</v>
      </c>
      <c r="L9" s="518" t="str">
        <f>IFERROR(VLOOKUP(B:B,'RELATÓRIO ACC'!B:P,15,FALSE),"NOT PUBLISHED")</f>
        <v>21/05/2026</v>
      </c>
      <c r="M9" s="538" t="s">
        <v>380</v>
      </c>
      <c r="N9" s="745" t="s">
        <v>380</v>
      </c>
      <c r="O9" s="538" t="s">
        <v>380</v>
      </c>
      <c r="P9" s="814"/>
      <c r="Q9" s="809" t="s">
        <v>380</v>
      </c>
      <c r="R9" s="811" t="s">
        <v>380</v>
      </c>
      <c r="S9" s="551" t="s">
        <v>380</v>
      </c>
      <c r="T9" s="523" t="s">
        <v>380</v>
      </c>
      <c r="U9" s="811" t="s">
        <v>380</v>
      </c>
      <c r="V9" s="551" t="s">
        <v>380</v>
      </c>
      <c r="W9" s="523" t="s">
        <v>380</v>
      </c>
      <c r="X9" s="811" t="s">
        <v>380</v>
      </c>
      <c r="Y9" s="551" t="s">
        <v>380</v>
      </c>
      <c r="Z9" s="523" t="s">
        <v>380</v>
      </c>
      <c r="AA9" s="811" t="s">
        <v>380</v>
      </c>
      <c r="AB9" s="551" t="s">
        <v>380</v>
      </c>
      <c r="AC9" s="523" t="s">
        <v>380</v>
      </c>
      <c r="AD9" s="811" t="s">
        <v>380</v>
      </c>
      <c r="AE9" s="551" t="s">
        <v>380</v>
      </c>
      <c r="AF9" s="528" t="s">
        <v>380</v>
      </c>
      <c r="AG9" s="811" t="s">
        <v>380</v>
      </c>
      <c r="AH9" s="548" t="s">
        <v>380</v>
      </c>
      <c r="AI9" s="809" t="s">
        <v>380</v>
      </c>
      <c r="AJ9" s="811" t="s">
        <v>380</v>
      </c>
      <c r="AK9" s="815" t="s">
        <v>380</v>
      </c>
      <c r="AL9" s="528" t="s">
        <v>380</v>
      </c>
      <c r="AM9" s="811" t="s">
        <v>380</v>
      </c>
      <c r="AN9" s="548" t="s">
        <v>380</v>
      </c>
      <c r="AO9" s="528" t="s">
        <v>380</v>
      </c>
      <c r="AP9" s="811" t="s">
        <v>380</v>
      </c>
      <c r="AQ9" s="548" t="s">
        <v>380</v>
      </c>
      <c r="AR9" s="528" t="s">
        <v>380</v>
      </c>
      <c r="AS9" s="811" t="s">
        <v>380</v>
      </c>
      <c r="AT9" s="548" t="s">
        <v>380</v>
      </c>
      <c r="AU9" s="528" t="s">
        <v>380</v>
      </c>
      <c r="AV9" s="811" t="s">
        <v>380</v>
      </c>
      <c r="AW9" s="548" t="s">
        <v>380</v>
      </c>
      <c r="AX9" s="528" t="s">
        <v>380</v>
      </c>
      <c r="AY9" s="811" t="s">
        <v>380</v>
      </c>
      <c r="AZ9" s="548" t="s">
        <v>380</v>
      </c>
      <c r="BA9" s="528" t="s">
        <v>380</v>
      </c>
      <c r="BB9" s="811" t="s">
        <v>380</v>
      </c>
      <c r="BC9" s="548" t="s">
        <v>380</v>
      </c>
      <c r="BD9" s="528" t="s">
        <v>380</v>
      </c>
      <c r="BE9" s="811" t="s">
        <v>380</v>
      </c>
      <c r="BF9" s="548" t="s">
        <v>380</v>
      </c>
      <c r="BG9" s="528" t="s">
        <v>380</v>
      </c>
      <c r="BH9" s="811" t="s">
        <v>380</v>
      </c>
      <c r="BI9" s="548" t="s">
        <v>380</v>
      </c>
      <c r="BJ9" s="528" t="s">
        <v>380</v>
      </c>
      <c r="BK9" s="811" t="s">
        <v>380</v>
      </c>
      <c r="BL9" s="548" t="s">
        <v>380</v>
      </c>
    </row>
    <row r="10" ht="15.0" customHeight="1">
      <c r="A10" s="53">
        <v>58.0</v>
      </c>
      <c r="B10" s="100" t="s">
        <v>290</v>
      </c>
      <c r="C10" s="100" t="s">
        <v>290</v>
      </c>
      <c r="D10" s="101" t="str">
        <f t="shared" si="1"/>
        <v>COL1</v>
      </c>
      <c r="E10" s="111" t="s">
        <v>289</v>
      </c>
      <c r="F10" s="102">
        <v>1125.0</v>
      </c>
      <c r="G10" s="517" t="s">
        <v>289</v>
      </c>
      <c r="H10" s="517">
        <v>1125.0</v>
      </c>
      <c r="I10" s="68" t="str">
        <f>IFERROR(VLOOKUP(C:C,'R22 RELATÓRIO ACC'!B:F,5,FALSE),"NOT PUBLISHED")</f>
        <v>V7</v>
      </c>
      <c r="J10" s="68" t="str">
        <f>IFERROR(VLOOKUP(C:C,'R22 RELATÓRIO ACC'!B:P,15,FALSE),"NOT PUBLISHED")</f>
        <v>07/11/2025</v>
      </c>
      <c r="K10" s="70" t="str">
        <f>IFERROR(VLOOKUP(B:B,'RELATÓRIO ACC'!B:F,5,FALSE),"NOT PUBLISHED")</f>
        <v>V1</v>
      </c>
      <c r="L10" s="518" t="str">
        <f>IFERROR(VLOOKUP(B:B,'RELATÓRIO ACC'!B:P,15,FALSE),"NOT PUBLISHED")</f>
        <v>21/05/2026</v>
      </c>
      <c r="M10" s="538" t="s">
        <v>380</v>
      </c>
      <c r="N10" s="745" t="s">
        <v>380</v>
      </c>
      <c r="O10" s="538" t="s">
        <v>380</v>
      </c>
      <c r="P10" s="814"/>
      <c r="Q10" s="809" t="s">
        <v>380</v>
      </c>
      <c r="R10" s="811" t="s">
        <v>380</v>
      </c>
      <c r="S10" s="551" t="s">
        <v>380</v>
      </c>
      <c r="T10" s="523" t="s">
        <v>380</v>
      </c>
      <c r="U10" s="811" t="s">
        <v>380</v>
      </c>
      <c r="V10" s="551" t="s">
        <v>380</v>
      </c>
      <c r="W10" s="523" t="s">
        <v>380</v>
      </c>
      <c r="X10" s="811" t="s">
        <v>380</v>
      </c>
      <c r="Y10" s="551" t="s">
        <v>380</v>
      </c>
      <c r="Z10" s="523" t="s">
        <v>380</v>
      </c>
      <c r="AA10" s="811" t="s">
        <v>380</v>
      </c>
      <c r="AB10" s="551" t="s">
        <v>380</v>
      </c>
      <c r="AC10" s="523" t="s">
        <v>380</v>
      </c>
      <c r="AD10" s="811" t="s">
        <v>380</v>
      </c>
      <c r="AE10" s="546" t="s">
        <v>380</v>
      </c>
      <c r="AF10" s="528" t="s">
        <v>380</v>
      </c>
      <c r="AG10" s="811" t="s">
        <v>380</v>
      </c>
      <c r="AH10" s="548" t="s">
        <v>380</v>
      </c>
      <c r="AI10" s="809" t="s">
        <v>380</v>
      </c>
      <c r="AJ10" s="811" t="s">
        <v>380</v>
      </c>
      <c r="AK10" s="815" t="s">
        <v>380</v>
      </c>
      <c r="AL10" s="528" t="s">
        <v>380</v>
      </c>
      <c r="AM10" s="811" t="s">
        <v>380</v>
      </c>
      <c r="AN10" s="548" t="s">
        <v>380</v>
      </c>
      <c r="AO10" s="528" t="s">
        <v>380</v>
      </c>
      <c r="AP10" s="811" t="s">
        <v>380</v>
      </c>
      <c r="AQ10" s="548" t="s">
        <v>380</v>
      </c>
      <c r="AR10" s="528" t="s">
        <v>380</v>
      </c>
      <c r="AS10" s="811" t="s">
        <v>380</v>
      </c>
      <c r="AT10" s="548" t="s">
        <v>380</v>
      </c>
      <c r="AU10" s="528" t="s">
        <v>380</v>
      </c>
      <c r="AV10" s="811" t="s">
        <v>380</v>
      </c>
      <c r="AW10" s="548" t="s">
        <v>380</v>
      </c>
      <c r="AX10" s="528" t="s">
        <v>380</v>
      </c>
      <c r="AY10" s="811" t="s">
        <v>380</v>
      </c>
      <c r="AZ10" s="546" t="s">
        <v>380</v>
      </c>
      <c r="BA10" s="528" t="s">
        <v>380</v>
      </c>
      <c r="BB10" s="811" t="s">
        <v>380</v>
      </c>
      <c r="BC10" s="546" t="s">
        <v>380</v>
      </c>
      <c r="BD10" s="528" t="s">
        <v>380</v>
      </c>
      <c r="BE10" s="811" t="s">
        <v>380</v>
      </c>
      <c r="BF10" s="546" t="s">
        <v>380</v>
      </c>
      <c r="BG10" s="528" t="s">
        <v>380</v>
      </c>
      <c r="BH10" s="811" t="s">
        <v>380</v>
      </c>
      <c r="BI10" s="546" t="s">
        <v>380</v>
      </c>
      <c r="BJ10" s="528" t="s">
        <v>380</v>
      </c>
      <c r="BK10" s="811" t="s">
        <v>380</v>
      </c>
      <c r="BL10" s="546" t="s">
        <v>380</v>
      </c>
    </row>
    <row r="11" ht="15.0" customHeight="1">
      <c r="A11" s="53">
        <v>59.0</v>
      </c>
      <c r="B11" s="100" t="s">
        <v>291</v>
      </c>
      <c r="C11" s="100" t="s">
        <v>291</v>
      </c>
      <c r="D11" s="101" t="str">
        <f t="shared" si="1"/>
        <v>COL2</v>
      </c>
      <c r="E11" s="111" t="s">
        <v>289</v>
      </c>
      <c r="F11" s="102">
        <v>1125.0</v>
      </c>
      <c r="G11" s="517" t="s">
        <v>289</v>
      </c>
      <c r="H11" s="517">
        <v>1125.0</v>
      </c>
      <c r="I11" s="68" t="str">
        <f>IFERROR(VLOOKUP(C:C,'R22 RELATÓRIO ACC'!B:F,5,FALSE),"NOT PUBLISHED")</f>
        <v>V6</v>
      </c>
      <c r="J11" s="68" t="str">
        <f>IFERROR(VLOOKUP(C:C,'R22 RELATÓRIO ACC'!B:P,15,FALSE),"NOT PUBLISHED")</f>
        <v>07/11/2025</v>
      </c>
      <c r="K11" s="70" t="str">
        <f>IFERROR(VLOOKUP(B:B,'RELATÓRIO ACC'!B:F,5,FALSE),"NOT PUBLISHED")</f>
        <v>V1</v>
      </c>
      <c r="L11" s="518" t="str">
        <f>IFERROR(VLOOKUP(B:B,'RELATÓRIO ACC'!B:P,15,FALSE),"NOT PUBLISHED")</f>
        <v>21/05/2026</v>
      </c>
      <c r="M11" s="818" t="s">
        <v>380</v>
      </c>
      <c r="N11" s="819" t="s">
        <v>380</v>
      </c>
      <c r="O11" s="538" t="s">
        <v>380</v>
      </c>
      <c r="P11" s="814"/>
      <c r="Q11" s="809" t="s">
        <v>380</v>
      </c>
      <c r="R11" s="811" t="s">
        <v>380</v>
      </c>
      <c r="S11" s="542" t="s">
        <v>380</v>
      </c>
      <c r="T11" s="523" t="s">
        <v>380</v>
      </c>
      <c r="U11" s="811" t="s">
        <v>380</v>
      </c>
      <c r="V11" s="542" t="s">
        <v>380</v>
      </c>
      <c r="W11" s="523" t="s">
        <v>380</v>
      </c>
      <c r="X11" s="811" t="s">
        <v>380</v>
      </c>
      <c r="Y11" s="542" t="s">
        <v>380</v>
      </c>
      <c r="Z11" s="523" t="s">
        <v>380</v>
      </c>
      <c r="AA11" s="811" t="s">
        <v>380</v>
      </c>
      <c r="AB11" s="542" t="s">
        <v>380</v>
      </c>
      <c r="AC11" s="523" t="s">
        <v>380</v>
      </c>
      <c r="AD11" s="811" t="s">
        <v>380</v>
      </c>
      <c r="AE11" s="542" t="s">
        <v>380</v>
      </c>
      <c r="AF11" s="528" t="s">
        <v>380</v>
      </c>
      <c r="AG11" s="811" t="s">
        <v>380</v>
      </c>
      <c r="AH11" s="548" t="s">
        <v>380</v>
      </c>
      <c r="AI11" s="528" t="s">
        <v>380</v>
      </c>
      <c r="AJ11" s="811" t="s">
        <v>380</v>
      </c>
      <c r="AK11" s="548" t="s">
        <v>380</v>
      </c>
      <c r="AL11" s="528" t="s">
        <v>380</v>
      </c>
      <c r="AM11" s="811" t="s">
        <v>380</v>
      </c>
      <c r="AN11" s="548" t="s">
        <v>380</v>
      </c>
      <c r="AO11" s="528" t="s">
        <v>380</v>
      </c>
      <c r="AP11" s="811" t="s">
        <v>380</v>
      </c>
      <c r="AQ11" s="548" t="s">
        <v>380</v>
      </c>
      <c r="AR11" s="528" t="s">
        <v>380</v>
      </c>
      <c r="AS11" s="811" t="s">
        <v>380</v>
      </c>
      <c r="AT11" s="548" t="s">
        <v>380</v>
      </c>
      <c r="AU11" s="528" t="s">
        <v>380</v>
      </c>
      <c r="AV11" s="811" t="s">
        <v>380</v>
      </c>
      <c r="AW11" s="548" t="s">
        <v>380</v>
      </c>
      <c r="AX11" s="528" t="s">
        <v>380</v>
      </c>
      <c r="AY11" s="811" t="s">
        <v>380</v>
      </c>
      <c r="AZ11" s="548" t="s">
        <v>380</v>
      </c>
      <c r="BA11" s="528" t="s">
        <v>380</v>
      </c>
      <c r="BB11" s="811" t="s">
        <v>380</v>
      </c>
      <c r="BC11" s="548" t="s">
        <v>380</v>
      </c>
      <c r="BD11" s="528" t="s">
        <v>380</v>
      </c>
      <c r="BE11" s="811" t="s">
        <v>380</v>
      </c>
      <c r="BF11" s="548" t="s">
        <v>380</v>
      </c>
      <c r="BG11" s="528" t="s">
        <v>380</v>
      </c>
      <c r="BH11" s="811" t="s">
        <v>380</v>
      </c>
      <c r="BI11" s="548" t="s">
        <v>380</v>
      </c>
      <c r="BJ11" s="528" t="s">
        <v>380</v>
      </c>
      <c r="BK11" s="811" t="s">
        <v>380</v>
      </c>
      <c r="BL11" s="548" t="s">
        <v>380</v>
      </c>
    </row>
    <row r="12" ht="15.0" customHeight="1">
      <c r="A12" s="53">
        <v>61.0</v>
      </c>
      <c r="B12" s="100" t="s">
        <v>293</v>
      </c>
      <c r="C12" s="100" t="s">
        <v>293</v>
      </c>
      <c r="D12" s="101" t="str">
        <f t="shared" si="1"/>
        <v>COL4</v>
      </c>
      <c r="E12" s="111" t="s">
        <v>289</v>
      </c>
      <c r="F12" s="102">
        <v>1125.0</v>
      </c>
      <c r="G12" s="517" t="s">
        <v>289</v>
      </c>
      <c r="H12" s="517">
        <v>1125.0</v>
      </c>
      <c r="I12" s="68" t="str">
        <f>IFERROR(VLOOKUP(C:C,'R22 RELATÓRIO ACC'!B:F,5,FALSE),"NOT PUBLISHED")</f>
        <v>V7</v>
      </c>
      <c r="J12" s="68" t="str">
        <f>IFERROR(VLOOKUP(C:C,'R22 RELATÓRIO ACC'!B:P,15,FALSE),"NOT PUBLISHED")</f>
        <v>05/12/2025</v>
      </c>
      <c r="K12" s="70" t="str">
        <f>IFERROR(VLOOKUP(B:B,'RELATÓRIO ACC'!B:F,5,FALSE),"NOT PUBLISHED")</f>
        <v>V1</v>
      </c>
      <c r="L12" s="518" t="str">
        <f>IFERROR(VLOOKUP(B:B,'RELATÓRIO ACC'!B:P,15,FALSE),"NOT PUBLISHED")</f>
        <v>21/05/2026</v>
      </c>
      <c r="M12" s="519" t="str">
        <f>IFERROR(VLOOKUP(#REF!,'RELATÓRIO ACC'!C:P,15,FALSE),"N/A")</f>
        <v>N/A</v>
      </c>
      <c r="N12" s="549" t="s">
        <v>380</v>
      </c>
      <c r="O12" s="538" t="s">
        <v>380</v>
      </c>
      <c r="P12" s="814"/>
      <c r="Q12" s="809" t="s">
        <v>380</v>
      </c>
      <c r="R12" s="811" t="s">
        <v>380</v>
      </c>
      <c r="S12" s="542" t="s">
        <v>380</v>
      </c>
      <c r="T12" s="523" t="s">
        <v>380</v>
      </c>
      <c r="U12" s="811" t="s">
        <v>380</v>
      </c>
      <c r="V12" s="542" t="s">
        <v>380</v>
      </c>
      <c r="W12" s="523" t="s">
        <v>380</v>
      </c>
      <c r="X12" s="811" t="s">
        <v>380</v>
      </c>
      <c r="Y12" s="542" t="s">
        <v>380</v>
      </c>
      <c r="Z12" s="523" t="s">
        <v>380</v>
      </c>
      <c r="AA12" s="811" t="s">
        <v>380</v>
      </c>
      <c r="AB12" s="542" t="s">
        <v>380</v>
      </c>
      <c r="AC12" s="523" t="s">
        <v>380</v>
      </c>
      <c r="AD12" s="811" t="s">
        <v>380</v>
      </c>
      <c r="AE12" s="542" t="s">
        <v>380</v>
      </c>
      <c r="AF12" s="523" t="s">
        <v>380</v>
      </c>
      <c r="AG12" s="811" t="s">
        <v>380</v>
      </c>
      <c r="AH12" s="542" t="s">
        <v>380</v>
      </c>
      <c r="AI12" s="809" t="s">
        <v>380</v>
      </c>
      <c r="AJ12" s="811" t="s">
        <v>380</v>
      </c>
      <c r="AK12" s="815" t="s">
        <v>380</v>
      </c>
      <c r="AL12" s="809" t="s">
        <v>380</v>
      </c>
      <c r="AM12" s="811" t="s">
        <v>380</v>
      </c>
      <c r="AN12" s="815" t="s">
        <v>380</v>
      </c>
      <c r="AO12" s="528" t="s">
        <v>380</v>
      </c>
      <c r="AP12" s="811" t="s">
        <v>380</v>
      </c>
      <c r="AQ12" s="548" t="s">
        <v>380</v>
      </c>
      <c r="AR12" s="528" t="s">
        <v>380</v>
      </c>
      <c r="AS12" s="811" t="s">
        <v>380</v>
      </c>
      <c r="AT12" s="548" t="s">
        <v>380</v>
      </c>
      <c r="AU12" s="528" t="s">
        <v>380</v>
      </c>
      <c r="AV12" s="811" t="s">
        <v>380</v>
      </c>
      <c r="AW12" s="548" t="s">
        <v>380</v>
      </c>
      <c r="AX12" s="528" t="s">
        <v>380</v>
      </c>
      <c r="AY12" s="811" t="s">
        <v>380</v>
      </c>
      <c r="AZ12" s="546" t="s">
        <v>380</v>
      </c>
      <c r="BA12" s="528" t="s">
        <v>380</v>
      </c>
      <c r="BB12" s="811" t="s">
        <v>380</v>
      </c>
      <c r="BC12" s="546" t="s">
        <v>380</v>
      </c>
      <c r="BD12" s="528" t="s">
        <v>380</v>
      </c>
      <c r="BE12" s="811" t="s">
        <v>380</v>
      </c>
      <c r="BF12" s="546" t="s">
        <v>380</v>
      </c>
      <c r="BG12" s="528" t="s">
        <v>380</v>
      </c>
      <c r="BH12" s="811" t="s">
        <v>380</v>
      </c>
      <c r="BI12" s="546" t="s">
        <v>380</v>
      </c>
      <c r="BJ12" s="528" t="s">
        <v>380</v>
      </c>
      <c r="BK12" s="811" t="s">
        <v>380</v>
      </c>
      <c r="BL12" s="546" t="s">
        <v>380</v>
      </c>
    </row>
    <row r="13" ht="15.0" customHeight="1">
      <c r="A13" s="53">
        <v>62.0</v>
      </c>
      <c r="B13" s="100" t="s">
        <v>294</v>
      </c>
      <c r="C13" s="100" t="s">
        <v>294</v>
      </c>
      <c r="D13" s="101" t="str">
        <f t="shared" si="1"/>
        <v>COL5</v>
      </c>
      <c r="E13" s="111" t="s">
        <v>289</v>
      </c>
      <c r="F13" s="102">
        <v>1125.0</v>
      </c>
      <c r="G13" s="517" t="s">
        <v>289</v>
      </c>
      <c r="H13" s="517">
        <v>1125.0</v>
      </c>
      <c r="I13" s="68" t="str">
        <f>IFERROR(VLOOKUP(C:C,'R22 RELATÓRIO ACC'!B:F,5,FALSE),"NOT PUBLISHED")</f>
        <v>V6</v>
      </c>
      <c r="J13" s="68" t="str">
        <f>IFERROR(VLOOKUP(C:C,'R22 RELATÓRIO ACC'!B:P,15,FALSE),"NOT PUBLISHED")</f>
        <v>07/11/2025</v>
      </c>
      <c r="K13" s="70" t="str">
        <f>IFERROR(VLOOKUP(B:B,'RELATÓRIO ACC'!B:F,5,FALSE),"NOT PUBLISHED")</f>
        <v>V1</v>
      </c>
      <c r="L13" s="518" t="str">
        <f>IFERROR(VLOOKUP(B:B,'RELATÓRIO ACC'!B:P,15,FALSE),"NOT PUBLISHED")</f>
        <v>21/05/2026</v>
      </c>
      <c r="M13" s="538" t="s">
        <v>380</v>
      </c>
      <c r="N13" s="549" t="s">
        <v>380</v>
      </c>
      <c r="O13" s="538" t="s">
        <v>380</v>
      </c>
      <c r="P13" s="814"/>
      <c r="Q13" s="809" t="s">
        <v>380</v>
      </c>
      <c r="R13" s="811" t="s">
        <v>380</v>
      </c>
      <c r="S13" s="551" t="s">
        <v>380</v>
      </c>
      <c r="T13" s="809" t="s">
        <v>380</v>
      </c>
      <c r="U13" s="811" t="s">
        <v>380</v>
      </c>
      <c r="V13" s="551" t="s">
        <v>380</v>
      </c>
      <c r="W13" s="809" t="s">
        <v>380</v>
      </c>
      <c r="X13" s="811" t="s">
        <v>380</v>
      </c>
      <c r="Y13" s="551" t="s">
        <v>380</v>
      </c>
      <c r="Z13" s="809" t="s">
        <v>380</v>
      </c>
      <c r="AA13" s="811" t="s">
        <v>380</v>
      </c>
      <c r="AB13" s="551" t="s">
        <v>380</v>
      </c>
      <c r="AC13" s="809" t="s">
        <v>380</v>
      </c>
      <c r="AD13" s="811" t="s">
        <v>380</v>
      </c>
      <c r="AE13" s="551" t="s">
        <v>380</v>
      </c>
      <c r="AF13" s="523" t="s">
        <v>380</v>
      </c>
      <c r="AG13" s="811" t="s">
        <v>380</v>
      </c>
      <c r="AH13" s="542" t="s">
        <v>380</v>
      </c>
      <c r="AI13" s="809" t="s">
        <v>380</v>
      </c>
      <c r="AJ13" s="811" t="s">
        <v>380</v>
      </c>
      <c r="AK13" s="815" t="s">
        <v>380</v>
      </c>
      <c r="AL13" s="809" t="s">
        <v>380</v>
      </c>
      <c r="AM13" s="811" t="s">
        <v>380</v>
      </c>
      <c r="AN13" s="815" t="s">
        <v>380</v>
      </c>
      <c r="AO13" s="809" t="s">
        <v>380</v>
      </c>
      <c r="AP13" s="811" t="s">
        <v>380</v>
      </c>
      <c r="AQ13" s="815" t="s">
        <v>380</v>
      </c>
      <c r="AR13" s="809" t="s">
        <v>380</v>
      </c>
      <c r="AS13" s="811" t="s">
        <v>380</v>
      </c>
      <c r="AT13" s="815" t="s">
        <v>380</v>
      </c>
      <c r="AU13" s="528" t="s">
        <v>380</v>
      </c>
      <c r="AV13" s="811" t="s">
        <v>380</v>
      </c>
      <c r="AW13" s="548" t="s">
        <v>380</v>
      </c>
      <c r="AX13" s="528" t="s">
        <v>380</v>
      </c>
      <c r="AY13" s="811" t="s">
        <v>380</v>
      </c>
      <c r="AZ13" s="548" t="s">
        <v>380</v>
      </c>
      <c r="BA13" s="528" t="s">
        <v>380</v>
      </c>
      <c r="BB13" s="811" t="s">
        <v>380</v>
      </c>
      <c r="BC13" s="548" t="s">
        <v>380</v>
      </c>
      <c r="BD13" s="528" t="s">
        <v>380</v>
      </c>
      <c r="BE13" s="811" t="s">
        <v>380</v>
      </c>
      <c r="BF13" s="548" t="s">
        <v>380</v>
      </c>
      <c r="BG13" s="528" t="s">
        <v>380</v>
      </c>
      <c r="BH13" s="811" t="s">
        <v>380</v>
      </c>
      <c r="BI13" s="548" t="s">
        <v>380</v>
      </c>
      <c r="BJ13" s="528" t="s">
        <v>380</v>
      </c>
      <c r="BK13" s="811" t="s">
        <v>380</v>
      </c>
      <c r="BL13" s="548" t="s">
        <v>380</v>
      </c>
    </row>
    <row r="14" ht="15.0" customHeight="1">
      <c r="A14" s="53">
        <v>4.0</v>
      </c>
      <c r="B14" s="100" t="s">
        <v>393</v>
      </c>
      <c r="C14" s="100" t="s">
        <v>394</v>
      </c>
      <c r="D14" s="101" t="str">
        <f t="shared" si="1"/>
        <v>DATA</v>
      </c>
      <c r="E14" s="101" t="s">
        <v>395</v>
      </c>
      <c r="F14" s="102">
        <v>1102.0</v>
      </c>
      <c r="G14" s="517" t="s">
        <v>80</v>
      </c>
      <c r="H14" s="517">
        <v>1130.0</v>
      </c>
      <c r="I14" s="68" t="str">
        <f>IFERROR(VLOOKUP(C:C,'R22 RELATÓRIO ACC'!B:F,5,FALSE),"NOT PUBLISHED")</f>
        <v>NOT PUBLISHED</v>
      </c>
      <c r="J14" s="68" t="str">
        <f>IFERROR(VLOOKUP(C:C,'R22 RELATÓRIO ACC'!B:P,15,FALSE),"NOT PUBLISHED")</f>
        <v>NOT PUBLISHED</v>
      </c>
      <c r="K14" s="70" t="str">
        <f>IFERROR(VLOOKUP(B:B,'RELATÓRIO ACC'!B:F,5,FALSE),"NOT PUBLISHED")</f>
        <v>NOT PUBLISHED</v>
      </c>
      <c r="L14" s="518" t="str">
        <f>IFERROR(VLOOKUP(B:B,'RELATÓRIO ACC'!B:P,15,FALSE),"NOT PUBLISHED")</f>
        <v>NOT PUBLISHED</v>
      </c>
      <c r="M14" s="538" t="s">
        <v>388</v>
      </c>
      <c r="N14" s="820" t="s">
        <v>388</v>
      </c>
      <c r="O14" s="538" t="s">
        <v>388</v>
      </c>
      <c r="P14" s="814"/>
      <c r="Q14" s="809" t="s">
        <v>388</v>
      </c>
      <c r="R14" s="810" t="s">
        <v>380</v>
      </c>
      <c r="S14" s="525" t="s">
        <v>388</v>
      </c>
      <c r="T14" s="523" t="s">
        <v>388</v>
      </c>
      <c r="U14" s="810" t="s">
        <v>380</v>
      </c>
      <c r="V14" s="525" t="s">
        <v>388</v>
      </c>
      <c r="W14" s="523" t="s">
        <v>388</v>
      </c>
      <c r="X14" s="810" t="s">
        <v>380</v>
      </c>
      <c r="Y14" s="525" t="s">
        <v>388</v>
      </c>
      <c r="Z14" s="523" t="s">
        <v>388</v>
      </c>
      <c r="AA14" s="810" t="s">
        <v>380</v>
      </c>
      <c r="AB14" s="525" t="s">
        <v>388</v>
      </c>
      <c r="AC14" s="523" t="s">
        <v>388</v>
      </c>
      <c r="AD14" s="810" t="s">
        <v>380</v>
      </c>
      <c r="AE14" s="525" t="s">
        <v>388</v>
      </c>
      <c r="AF14" s="528" t="s">
        <v>388</v>
      </c>
      <c r="AG14" s="810" t="s">
        <v>380</v>
      </c>
      <c r="AH14" s="528" t="s">
        <v>388</v>
      </c>
      <c r="AI14" s="809" t="s">
        <v>388</v>
      </c>
      <c r="AJ14" s="810" t="s">
        <v>380</v>
      </c>
      <c r="AK14" s="809" t="s">
        <v>388</v>
      </c>
      <c r="AL14" s="809" t="s">
        <v>388</v>
      </c>
      <c r="AM14" s="810" t="s">
        <v>380</v>
      </c>
      <c r="AN14" s="809" t="s">
        <v>388</v>
      </c>
      <c r="AO14" s="809" t="s">
        <v>388</v>
      </c>
      <c r="AP14" s="810" t="s">
        <v>380</v>
      </c>
      <c r="AQ14" s="809" t="s">
        <v>388</v>
      </c>
      <c r="AR14" s="809" t="s">
        <v>388</v>
      </c>
      <c r="AS14" s="810" t="s">
        <v>380</v>
      </c>
      <c r="AT14" s="809" t="s">
        <v>388</v>
      </c>
      <c r="AU14" s="809" t="s">
        <v>388</v>
      </c>
      <c r="AV14" s="810" t="s">
        <v>380</v>
      </c>
      <c r="AW14" s="809" t="s">
        <v>388</v>
      </c>
      <c r="AX14" s="809" t="s">
        <v>388</v>
      </c>
      <c r="AY14" s="810" t="s">
        <v>380</v>
      </c>
      <c r="AZ14" s="809" t="s">
        <v>388</v>
      </c>
      <c r="BA14" s="528" t="s">
        <v>388</v>
      </c>
      <c r="BB14" s="810" t="s">
        <v>380</v>
      </c>
      <c r="BC14" s="523" t="s">
        <v>388</v>
      </c>
      <c r="BD14" s="528" t="s">
        <v>388</v>
      </c>
      <c r="BE14" s="810" t="s">
        <v>380</v>
      </c>
      <c r="BF14" s="523" t="s">
        <v>388</v>
      </c>
      <c r="BG14" s="528" t="s">
        <v>388</v>
      </c>
      <c r="BH14" s="810" t="s">
        <v>380</v>
      </c>
      <c r="BI14" s="523" t="s">
        <v>388</v>
      </c>
      <c r="BJ14" s="528" t="s">
        <v>388</v>
      </c>
      <c r="BK14" s="810" t="s">
        <v>380</v>
      </c>
      <c r="BL14" s="523" t="s">
        <v>388</v>
      </c>
    </row>
    <row r="15" ht="15.0" customHeight="1">
      <c r="A15" s="53">
        <v>16.0</v>
      </c>
      <c r="B15" s="100" t="s">
        <v>132</v>
      </c>
      <c r="C15" s="100" t="s">
        <v>133</v>
      </c>
      <c r="D15" s="101" t="str">
        <f t="shared" si="1"/>
        <v>DATA</v>
      </c>
      <c r="E15" s="101" t="s">
        <v>105</v>
      </c>
      <c r="F15" s="115">
        <v>0.0</v>
      </c>
      <c r="G15" s="535" t="s">
        <v>105</v>
      </c>
      <c r="H15" s="535">
        <v>0.0</v>
      </c>
      <c r="I15" s="68" t="str">
        <f>IFERROR(VLOOKUP(C:C,'R22 RELATÓRIO ACC'!B:F,5,FALSE),"NOT PUBLISHED")</f>
        <v>NOT PUBLISHED</v>
      </c>
      <c r="J15" s="68" t="str">
        <f>IFERROR(VLOOKUP(C:C,'R22 RELATÓRIO ACC'!B:P,15,FALSE),"NOT PUBLISHED")</f>
        <v>NOT PUBLISHED</v>
      </c>
      <c r="K15" s="70" t="str">
        <f>IFERROR(VLOOKUP(B:B,'RELATÓRIO ACC'!B:F,5,FALSE),"NOT PUBLISHED")</f>
        <v>NOT PUBLISHED</v>
      </c>
      <c r="L15" s="518" t="str">
        <f>IFERROR(VLOOKUP(B:B,'RELATÓRIO ACC'!B:P,15,FALSE),"NOT PUBLISHED")</f>
        <v>NOT PUBLISHED</v>
      </c>
      <c r="M15" s="538" t="s">
        <v>388</v>
      </c>
      <c r="N15" s="559" t="s">
        <v>388</v>
      </c>
      <c r="O15" s="538" t="s">
        <v>388</v>
      </c>
      <c r="P15" s="814"/>
      <c r="Q15" s="809" t="s">
        <v>388</v>
      </c>
      <c r="R15" s="810" t="s">
        <v>380</v>
      </c>
      <c r="S15" s="525" t="s">
        <v>388</v>
      </c>
      <c r="T15" s="809" t="s">
        <v>388</v>
      </c>
      <c r="U15" s="810" t="s">
        <v>380</v>
      </c>
      <c r="V15" s="525" t="s">
        <v>388</v>
      </c>
      <c r="W15" s="523" t="s">
        <v>388</v>
      </c>
      <c r="X15" s="810" t="s">
        <v>380</v>
      </c>
      <c r="Y15" s="523" t="s">
        <v>388</v>
      </c>
      <c r="Z15" s="523" t="s">
        <v>388</v>
      </c>
      <c r="AA15" s="810" t="s">
        <v>380</v>
      </c>
      <c r="AB15" s="523" t="s">
        <v>388</v>
      </c>
      <c r="AC15" s="523" t="s">
        <v>388</v>
      </c>
      <c r="AD15" s="810" t="s">
        <v>380</v>
      </c>
      <c r="AE15" s="523" t="s">
        <v>388</v>
      </c>
      <c r="AF15" s="528" t="s">
        <v>388</v>
      </c>
      <c r="AG15" s="810" t="s">
        <v>380</v>
      </c>
      <c r="AH15" s="528" t="s">
        <v>388</v>
      </c>
      <c r="AI15" s="528" t="s">
        <v>388</v>
      </c>
      <c r="AJ15" s="810" t="s">
        <v>380</v>
      </c>
      <c r="AK15" s="528" t="s">
        <v>388</v>
      </c>
      <c r="AL15" s="528" t="s">
        <v>388</v>
      </c>
      <c r="AM15" s="810" t="s">
        <v>380</v>
      </c>
      <c r="AN15" s="528" t="s">
        <v>388</v>
      </c>
      <c r="AO15" s="528" t="s">
        <v>388</v>
      </c>
      <c r="AP15" s="810" t="s">
        <v>380</v>
      </c>
      <c r="AQ15" s="528" t="s">
        <v>388</v>
      </c>
      <c r="AR15" s="528" t="s">
        <v>388</v>
      </c>
      <c r="AS15" s="810" t="s">
        <v>380</v>
      </c>
      <c r="AT15" s="528" t="s">
        <v>388</v>
      </c>
      <c r="AU15" s="528" t="s">
        <v>388</v>
      </c>
      <c r="AV15" s="810" t="s">
        <v>380</v>
      </c>
      <c r="AW15" s="528" t="s">
        <v>388</v>
      </c>
      <c r="AX15" s="528" t="s">
        <v>388</v>
      </c>
      <c r="AY15" s="810" t="s">
        <v>380</v>
      </c>
      <c r="AZ15" s="528" t="s">
        <v>388</v>
      </c>
      <c r="BA15" s="528" t="s">
        <v>388</v>
      </c>
      <c r="BB15" s="810" t="s">
        <v>380</v>
      </c>
      <c r="BC15" s="528" t="s">
        <v>388</v>
      </c>
      <c r="BD15" s="528" t="s">
        <v>388</v>
      </c>
      <c r="BE15" s="810" t="s">
        <v>380</v>
      </c>
      <c r="BF15" s="528" t="s">
        <v>388</v>
      </c>
      <c r="BG15" s="528" t="s">
        <v>388</v>
      </c>
      <c r="BH15" s="810" t="s">
        <v>380</v>
      </c>
      <c r="BI15" s="528" t="s">
        <v>388</v>
      </c>
      <c r="BJ15" s="528" t="s">
        <v>388</v>
      </c>
      <c r="BK15" s="810" t="s">
        <v>380</v>
      </c>
      <c r="BL15" s="528" t="s">
        <v>388</v>
      </c>
    </row>
    <row r="16" ht="15.0" customHeight="1">
      <c r="A16" s="53">
        <v>3.0</v>
      </c>
      <c r="B16" s="100" t="s">
        <v>390</v>
      </c>
      <c r="C16" s="100" t="s">
        <v>391</v>
      </c>
      <c r="D16" s="101" t="str">
        <f t="shared" si="1"/>
        <v>DATA</v>
      </c>
      <c r="E16" s="552" t="s">
        <v>392</v>
      </c>
      <c r="F16" s="118">
        <v>1111.0</v>
      </c>
      <c r="G16" s="517" t="s">
        <v>80</v>
      </c>
      <c r="H16" s="517">
        <v>1130.0</v>
      </c>
      <c r="I16" s="68" t="str">
        <f>IFERROR(VLOOKUP(C:C,'R22 RELATÓRIO ACC'!B:F,5,FALSE),"NOT PUBLISHED")</f>
        <v>NOT PUBLISHED</v>
      </c>
      <c r="J16" s="68" t="str">
        <f>IFERROR(VLOOKUP(C:C,'R22 RELATÓRIO ACC'!B:P,15,FALSE),"NOT PUBLISHED")</f>
        <v>NOT PUBLISHED</v>
      </c>
      <c r="K16" s="70" t="str">
        <f>IFERROR(VLOOKUP(B:B,'RELATÓRIO ACC'!B:F,5,FALSE),"NOT PUBLISHED")</f>
        <v>NOT PUBLISHED</v>
      </c>
      <c r="L16" s="518" t="str">
        <f>IFERROR(VLOOKUP(B:B,'RELATÓRIO ACC'!B:P,15,FALSE),"NOT PUBLISHED")</f>
        <v>NOT PUBLISHED</v>
      </c>
      <c r="M16" s="538" t="s">
        <v>388</v>
      </c>
      <c r="N16" s="820" t="s">
        <v>388</v>
      </c>
      <c r="O16" s="538" t="s">
        <v>388</v>
      </c>
      <c r="P16" s="814"/>
      <c r="Q16" s="809" t="s">
        <v>388</v>
      </c>
      <c r="R16" s="810" t="s">
        <v>380</v>
      </c>
      <c r="S16" s="525" t="s">
        <v>388</v>
      </c>
      <c r="T16" s="809" t="s">
        <v>388</v>
      </c>
      <c r="U16" s="810" t="s">
        <v>380</v>
      </c>
      <c r="V16" s="525" t="s">
        <v>388</v>
      </c>
      <c r="W16" s="523" t="s">
        <v>388</v>
      </c>
      <c r="X16" s="810" t="s">
        <v>380</v>
      </c>
      <c r="Y16" s="543" t="s">
        <v>388</v>
      </c>
      <c r="Z16" s="523" t="s">
        <v>388</v>
      </c>
      <c r="AA16" s="810" t="s">
        <v>380</v>
      </c>
      <c r="AB16" s="523" t="s">
        <v>388</v>
      </c>
      <c r="AC16" s="523" t="s">
        <v>388</v>
      </c>
      <c r="AD16" s="810" t="s">
        <v>380</v>
      </c>
      <c r="AE16" s="523" t="s">
        <v>388</v>
      </c>
      <c r="AF16" s="528" t="s">
        <v>388</v>
      </c>
      <c r="AG16" s="810" t="s">
        <v>380</v>
      </c>
      <c r="AH16" s="528" t="s">
        <v>388</v>
      </c>
      <c r="AI16" s="528" t="s">
        <v>388</v>
      </c>
      <c r="AJ16" s="810" t="s">
        <v>380</v>
      </c>
      <c r="AK16" s="528" t="s">
        <v>388</v>
      </c>
      <c r="AL16" s="528" t="s">
        <v>388</v>
      </c>
      <c r="AM16" s="810" t="s">
        <v>380</v>
      </c>
      <c r="AN16" s="528" t="s">
        <v>388</v>
      </c>
      <c r="AO16" s="528" t="s">
        <v>388</v>
      </c>
      <c r="AP16" s="810" t="s">
        <v>380</v>
      </c>
      <c r="AQ16" s="528" t="s">
        <v>388</v>
      </c>
      <c r="AR16" s="528" t="s">
        <v>388</v>
      </c>
      <c r="AS16" s="810" t="s">
        <v>380</v>
      </c>
      <c r="AT16" s="528" t="s">
        <v>388</v>
      </c>
      <c r="AU16" s="528" t="s">
        <v>388</v>
      </c>
      <c r="AV16" s="810" t="s">
        <v>380</v>
      </c>
      <c r="AW16" s="528" t="s">
        <v>388</v>
      </c>
      <c r="AX16" s="528" t="s">
        <v>388</v>
      </c>
      <c r="AY16" s="810" t="s">
        <v>380</v>
      </c>
      <c r="AZ16" s="528" t="s">
        <v>388</v>
      </c>
      <c r="BA16" s="528" t="s">
        <v>388</v>
      </c>
      <c r="BB16" s="810" t="s">
        <v>380</v>
      </c>
      <c r="BC16" s="528" t="s">
        <v>388</v>
      </c>
      <c r="BD16" s="528" t="s">
        <v>388</v>
      </c>
      <c r="BE16" s="810" t="s">
        <v>380</v>
      </c>
      <c r="BF16" s="528" t="s">
        <v>388</v>
      </c>
      <c r="BG16" s="528" t="s">
        <v>388</v>
      </c>
      <c r="BH16" s="810" t="s">
        <v>380</v>
      </c>
      <c r="BI16" s="528" t="s">
        <v>388</v>
      </c>
      <c r="BJ16" s="528" t="s">
        <v>388</v>
      </c>
      <c r="BK16" s="810" t="s">
        <v>380</v>
      </c>
      <c r="BL16" s="528" t="s">
        <v>388</v>
      </c>
    </row>
    <row r="17" ht="15.0" customHeight="1">
      <c r="A17" s="53">
        <v>9.0</v>
      </c>
      <c r="B17" s="100" t="s">
        <v>102</v>
      </c>
      <c r="C17" s="100" t="s">
        <v>103</v>
      </c>
      <c r="D17" s="101" t="str">
        <f t="shared" si="1"/>
        <v>DATA</v>
      </c>
      <c r="E17" s="111" t="s">
        <v>104</v>
      </c>
      <c r="F17" s="115">
        <v>1106.0</v>
      </c>
      <c r="G17" s="517" t="s">
        <v>105</v>
      </c>
      <c r="H17" s="535">
        <v>0.0</v>
      </c>
      <c r="I17" s="68" t="str">
        <f>IFERROR(VLOOKUP(C:C,'R22 RELATÓRIO ACC'!B:F,5,FALSE),"NOT PUBLISHED")</f>
        <v>NOT PUBLISHED</v>
      </c>
      <c r="J17" s="68" t="str">
        <f>IFERROR(VLOOKUP(C:C,'R22 RELATÓRIO ACC'!B:P,15,FALSE),"NOT PUBLISHED")</f>
        <v>NOT PUBLISHED</v>
      </c>
      <c r="K17" s="70" t="str">
        <f>IFERROR(VLOOKUP(B:B,'RELATÓRIO ACC'!B:F,5,FALSE),"NOT PUBLISHED")</f>
        <v>NOT PUBLISHED</v>
      </c>
      <c r="L17" s="518" t="str">
        <f>IFERROR(VLOOKUP(B:B,'RELATÓRIO ACC'!B:P,15,FALSE),"NOT PUBLISHED")</f>
        <v>NOT PUBLISHED</v>
      </c>
      <c r="M17" s="821" t="str">
        <f>IFERROR(VLOOKUP(E:E,'RELATÓRIO ACC'!D:H,5,FALSE),"NOT PUBLISHED")</f>
        <v>NOT PUBLISHED</v>
      </c>
      <c r="N17" s="822" t="str">
        <f>IFERROR(VLOOKUP(E:E,'RELATÓRIO ACC'!D:R,15,FALSE),"NOT PUBLISHED")</f>
        <v>NOT PUBLISHED</v>
      </c>
      <c r="O17" s="538" t="s">
        <v>388</v>
      </c>
      <c r="P17" s="814"/>
      <c r="Q17" s="809" t="s">
        <v>388</v>
      </c>
      <c r="R17" s="810" t="s">
        <v>380</v>
      </c>
      <c r="S17" s="525" t="s">
        <v>388</v>
      </c>
      <c r="T17" s="809" t="s">
        <v>388</v>
      </c>
      <c r="U17" s="810" t="s">
        <v>380</v>
      </c>
      <c r="V17" s="525" t="s">
        <v>388</v>
      </c>
      <c r="W17" s="809" t="s">
        <v>388</v>
      </c>
      <c r="X17" s="810" t="s">
        <v>380</v>
      </c>
      <c r="Y17" s="525" t="s">
        <v>388</v>
      </c>
      <c r="Z17" s="809" t="s">
        <v>388</v>
      </c>
      <c r="AA17" s="810" t="s">
        <v>380</v>
      </c>
      <c r="AB17" s="525" t="s">
        <v>388</v>
      </c>
      <c r="AC17" s="523" t="s">
        <v>388</v>
      </c>
      <c r="AD17" s="810" t="s">
        <v>380</v>
      </c>
      <c r="AE17" s="523" t="s">
        <v>388</v>
      </c>
      <c r="AF17" s="523" t="s">
        <v>388</v>
      </c>
      <c r="AG17" s="810" t="s">
        <v>380</v>
      </c>
      <c r="AH17" s="523" t="s">
        <v>388</v>
      </c>
      <c r="AI17" s="528" t="s">
        <v>388</v>
      </c>
      <c r="AJ17" s="810" t="s">
        <v>380</v>
      </c>
      <c r="AK17" s="523" t="s">
        <v>388</v>
      </c>
      <c r="AL17" s="528" t="s">
        <v>388</v>
      </c>
      <c r="AM17" s="810" t="s">
        <v>380</v>
      </c>
      <c r="AN17" s="523" t="s">
        <v>388</v>
      </c>
      <c r="AO17" s="528" t="s">
        <v>388</v>
      </c>
      <c r="AP17" s="810" t="s">
        <v>380</v>
      </c>
      <c r="AQ17" s="523" t="s">
        <v>388</v>
      </c>
      <c r="AR17" s="528" t="s">
        <v>388</v>
      </c>
      <c r="AS17" s="810" t="s">
        <v>380</v>
      </c>
      <c r="AT17" s="523" t="s">
        <v>388</v>
      </c>
      <c r="AU17" s="528" t="s">
        <v>388</v>
      </c>
      <c r="AV17" s="810" t="s">
        <v>380</v>
      </c>
      <c r="AW17" s="523" t="s">
        <v>388</v>
      </c>
      <c r="AX17" s="528" t="s">
        <v>388</v>
      </c>
      <c r="AY17" s="810" t="s">
        <v>380</v>
      </c>
      <c r="AZ17" s="523" t="s">
        <v>388</v>
      </c>
      <c r="BA17" s="528" t="s">
        <v>388</v>
      </c>
      <c r="BB17" s="810" t="s">
        <v>380</v>
      </c>
      <c r="BC17" s="523" t="s">
        <v>388</v>
      </c>
      <c r="BD17" s="528" t="s">
        <v>388</v>
      </c>
      <c r="BE17" s="810" t="s">
        <v>380</v>
      </c>
      <c r="BF17" s="523" t="s">
        <v>388</v>
      </c>
      <c r="BG17" s="528" t="s">
        <v>388</v>
      </c>
      <c r="BH17" s="810" t="s">
        <v>380</v>
      </c>
      <c r="BI17" s="523" t="s">
        <v>388</v>
      </c>
      <c r="BJ17" s="528" t="s">
        <v>388</v>
      </c>
      <c r="BK17" s="810" t="s">
        <v>380</v>
      </c>
      <c r="BL17" s="523" t="s">
        <v>388</v>
      </c>
    </row>
    <row r="18" ht="15.0" customHeight="1">
      <c r="A18" s="53">
        <v>5.0</v>
      </c>
      <c r="B18" s="100" t="s">
        <v>86</v>
      </c>
      <c r="C18" s="100" t="s">
        <v>87</v>
      </c>
      <c r="D18" s="101" t="str">
        <f t="shared" si="1"/>
        <v>DATA</v>
      </c>
      <c r="E18" s="111" t="s">
        <v>88</v>
      </c>
      <c r="F18" s="118" t="s">
        <v>88</v>
      </c>
      <c r="G18" s="534" t="s">
        <v>88</v>
      </c>
      <c r="H18" s="517"/>
      <c r="I18" s="68" t="str">
        <f>IFERROR(VLOOKUP(C:C,'R22 RELATÓRIO ACC'!B:F,5,FALSE),"NOT PUBLISHED")</f>
        <v>NOT PUBLISHED</v>
      </c>
      <c r="J18" s="68" t="str">
        <f>IFERROR(VLOOKUP(C:C,'R22 RELATÓRIO ACC'!B:P,15,FALSE),"NOT PUBLISHED")</f>
        <v>NOT PUBLISHED</v>
      </c>
      <c r="K18" s="70" t="str">
        <f>IFERROR(VLOOKUP(B:B,'RELATÓRIO ACC'!B:F,5,FALSE),"NOT PUBLISHED")</f>
        <v>NOT PUBLISHED</v>
      </c>
      <c r="L18" s="518" t="str">
        <f>IFERROR(VLOOKUP(B:B,'RELATÓRIO ACC'!B:P,15,FALSE),"NOT PUBLISHED")</f>
        <v>NOT PUBLISHED</v>
      </c>
      <c r="M18" s="519" t="s">
        <v>388</v>
      </c>
      <c r="N18" s="557" t="s">
        <v>388</v>
      </c>
      <c r="O18" s="538" t="s">
        <v>388</v>
      </c>
      <c r="P18" s="814"/>
      <c r="Q18" s="809" t="s">
        <v>388</v>
      </c>
      <c r="R18" s="810" t="s">
        <v>380</v>
      </c>
      <c r="S18" s="543" t="s">
        <v>388</v>
      </c>
      <c r="T18" s="523" t="s">
        <v>388</v>
      </c>
      <c r="U18" s="810" t="s">
        <v>380</v>
      </c>
      <c r="V18" s="543" t="s">
        <v>388</v>
      </c>
      <c r="W18" s="523" t="s">
        <v>388</v>
      </c>
      <c r="X18" s="810" t="s">
        <v>380</v>
      </c>
      <c r="Y18" s="543" t="s">
        <v>388</v>
      </c>
      <c r="Z18" s="523" t="s">
        <v>388</v>
      </c>
      <c r="AA18" s="810" t="s">
        <v>380</v>
      </c>
      <c r="AB18" s="543" t="s">
        <v>388</v>
      </c>
      <c r="AC18" s="523" t="s">
        <v>388</v>
      </c>
      <c r="AD18" s="810" t="s">
        <v>380</v>
      </c>
      <c r="AE18" s="523" t="s">
        <v>388</v>
      </c>
      <c r="AF18" s="523" t="s">
        <v>388</v>
      </c>
      <c r="AG18" s="810" t="s">
        <v>380</v>
      </c>
      <c r="AH18" s="523" t="s">
        <v>388</v>
      </c>
      <c r="AI18" s="528" t="s">
        <v>388</v>
      </c>
      <c r="AJ18" s="810" t="s">
        <v>380</v>
      </c>
      <c r="AK18" s="523" t="s">
        <v>388</v>
      </c>
      <c r="AL18" s="528" t="s">
        <v>388</v>
      </c>
      <c r="AM18" s="810" t="s">
        <v>380</v>
      </c>
      <c r="AN18" s="523" t="s">
        <v>388</v>
      </c>
      <c r="AO18" s="528" t="s">
        <v>388</v>
      </c>
      <c r="AP18" s="810" t="s">
        <v>380</v>
      </c>
      <c r="AQ18" s="528" t="s">
        <v>388</v>
      </c>
      <c r="AR18" s="528" t="s">
        <v>388</v>
      </c>
      <c r="AS18" s="810" t="s">
        <v>380</v>
      </c>
      <c r="AT18" s="528" t="s">
        <v>388</v>
      </c>
      <c r="AU18" s="528" t="s">
        <v>388</v>
      </c>
      <c r="AV18" s="810" t="s">
        <v>380</v>
      </c>
      <c r="AW18" s="528" t="s">
        <v>388</v>
      </c>
      <c r="AX18" s="528" t="s">
        <v>388</v>
      </c>
      <c r="AY18" s="810" t="s">
        <v>380</v>
      </c>
      <c r="AZ18" s="528" t="s">
        <v>388</v>
      </c>
      <c r="BA18" s="528" t="s">
        <v>388</v>
      </c>
      <c r="BB18" s="810" t="s">
        <v>380</v>
      </c>
      <c r="BC18" s="528" t="s">
        <v>388</v>
      </c>
      <c r="BD18" s="528" t="s">
        <v>388</v>
      </c>
      <c r="BE18" s="810" t="s">
        <v>380</v>
      </c>
      <c r="BF18" s="528" t="s">
        <v>388</v>
      </c>
      <c r="BG18" s="528" t="s">
        <v>388</v>
      </c>
      <c r="BH18" s="810" t="s">
        <v>380</v>
      </c>
      <c r="BI18" s="528" t="s">
        <v>388</v>
      </c>
      <c r="BJ18" s="528" t="s">
        <v>388</v>
      </c>
      <c r="BK18" s="810" t="s">
        <v>380</v>
      </c>
      <c r="BL18" s="528" t="s">
        <v>388</v>
      </c>
    </row>
    <row r="19" ht="15.0" customHeight="1">
      <c r="A19" s="53">
        <v>10.0</v>
      </c>
      <c r="B19" s="100" t="s">
        <v>106</v>
      </c>
      <c r="C19" s="100" t="s">
        <v>107</v>
      </c>
      <c r="D19" s="101" t="str">
        <f t="shared" si="1"/>
        <v>DATA</v>
      </c>
      <c r="E19" s="101" t="s">
        <v>108</v>
      </c>
      <c r="F19" s="115">
        <v>1107.0</v>
      </c>
      <c r="G19" s="534" t="s">
        <v>109</v>
      </c>
      <c r="H19" s="535">
        <v>0.0</v>
      </c>
      <c r="I19" s="68" t="str">
        <f>IFERROR(VLOOKUP(C:C,'R22 RELATÓRIO ACC'!B:F,5,FALSE),"NOT PUBLISHED")</f>
        <v>NOT PUBLISHED</v>
      </c>
      <c r="J19" s="68" t="str">
        <f>IFERROR(VLOOKUP(C:C,'R22 RELATÓRIO ACC'!B:P,15,FALSE),"NOT PUBLISHED")</f>
        <v>NOT PUBLISHED</v>
      </c>
      <c r="K19" s="70" t="str">
        <f>IFERROR(VLOOKUP(B:B,'RELATÓRIO ACC'!B:F,5,FALSE),"NOT PUBLISHED")</f>
        <v>NOT PUBLISHED</v>
      </c>
      <c r="L19" s="518" t="str">
        <f>IFERROR(VLOOKUP(B:B,'RELATÓRIO ACC'!B:P,15,FALSE),"NOT PUBLISHED")</f>
        <v>NOT PUBLISHED</v>
      </c>
      <c r="M19" s="538" t="s">
        <v>388</v>
      </c>
      <c r="N19" s="820" t="s">
        <v>388</v>
      </c>
      <c r="O19" s="538" t="s">
        <v>388</v>
      </c>
      <c r="P19" s="814"/>
      <c r="Q19" s="809" t="s">
        <v>388</v>
      </c>
      <c r="R19" s="823" t="s">
        <v>380</v>
      </c>
      <c r="S19" s="525" t="s">
        <v>388</v>
      </c>
      <c r="T19" s="809" t="s">
        <v>388</v>
      </c>
      <c r="U19" s="823" t="s">
        <v>380</v>
      </c>
      <c r="V19" s="525" t="s">
        <v>388</v>
      </c>
      <c r="W19" s="523" t="s">
        <v>388</v>
      </c>
      <c r="X19" s="823" t="s">
        <v>380</v>
      </c>
      <c r="Y19" s="525" t="s">
        <v>388</v>
      </c>
      <c r="Z19" s="523" t="s">
        <v>388</v>
      </c>
      <c r="AA19" s="823" t="s">
        <v>380</v>
      </c>
      <c r="AB19" s="525" t="s">
        <v>388</v>
      </c>
      <c r="AC19" s="523" t="s">
        <v>388</v>
      </c>
      <c r="AD19" s="823" t="s">
        <v>380</v>
      </c>
      <c r="AE19" s="523" t="s">
        <v>388</v>
      </c>
      <c r="AF19" s="523" t="s">
        <v>388</v>
      </c>
      <c r="AG19" s="823" t="s">
        <v>380</v>
      </c>
      <c r="AH19" s="523" t="s">
        <v>388</v>
      </c>
      <c r="AI19" s="528" t="s">
        <v>388</v>
      </c>
      <c r="AJ19" s="823" t="s">
        <v>380</v>
      </c>
      <c r="AK19" s="528" t="s">
        <v>388</v>
      </c>
      <c r="AL19" s="528" t="s">
        <v>388</v>
      </c>
      <c r="AM19" s="823" t="s">
        <v>380</v>
      </c>
      <c r="AN19" s="528" t="s">
        <v>388</v>
      </c>
      <c r="AO19" s="528" t="s">
        <v>388</v>
      </c>
      <c r="AP19" s="823" t="s">
        <v>380</v>
      </c>
      <c r="AQ19" s="528" t="s">
        <v>388</v>
      </c>
      <c r="AR19" s="528" t="s">
        <v>388</v>
      </c>
      <c r="AS19" s="823" t="s">
        <v>380</v>
      </c>
      <c r="AT19" s="528" t="s">
        <v>388</v>
      </c>
      <c r="AU19" s="528" t="s">
        <v>388</v>
      </c>
      <c r="AV19" s="823" t="s">
        <v>380</v>
      </c>
      <c r="AW19" s="528" t="s">
        <v>388</v>
      </c>
      <c r="AX19" s="528" t="s">
        <v>388</v>
      </c>
      <c r="AY19" s="823" t="s">
        <v>380</v>
      </c>
      <c r="AZ19" s="528" t="s">
        <v>388</v>
      </c>
      <c r="BA19" s="528" t="s">
        <v>388</v>
      </c>
      <c r="BB19" s="823" t="s">
        <v>380</v>
      </c>
      <c r="BC19" s="528" t="s">
        <v>388</v>
      </c>
      <c r="BD19" s="528" t="s">
        <v>388</v>
      </c>
      <c r="BE19" s="823" t="s">
        <v>380</v>
      </c>
      <c r="BF19" s="528" t="s">
        <v>388</v>
      </c>
      <c r="BG19" s="528" t="s">
        <v>388</v>
      </c>
      <c r="BH19" s="823" t="s">
        <v>380</v>
      </c>
      <c r="BI19" s="528" t="s">
        <v>388</v>
      </c>
      <c r="BJ19" s="528" t="s">
        <v>388</v>
      </c>
      <c r="BK19" s="823" t="s">
        <v>380</v>
      </c>
      <c r="BL19" s="528" t="s">
        <v>388</v>
      </c>
    </row>
    <row r="20" ht="15.0" customHeight="1">
      <c r="A20" s="53">
        <v>17.0</v>
      </c>
      <c r="B20" s="100" t="s">
        <v>139</v>
      </c>
      <c r="C20" s="100" t="s">
        <v>140</v>
      </c>
      <c r="D20" s="101" t="str">
        <f t="shared" si="1"/>
        <v>DATA</v>
      </c>
      <c r="E20" s="111" t="s">
        <v>141</v>
      </c>
      <c r="F20" s="824">
        <v>0.0</v>
      </c>
      <c r="G20" s="825" t="s">
        <v>142</v>
      </c>
      <c r="H20" s="535"/>
      <c r="I20" s="68" t="str">
        <f>IFERROR(VLOOKUP(C:C,'R22 RELATÓRIO ACC'!B:F,5,FALSE),"NOT PUBLISHED")</f>
        <v>V4</v>
      </c>
      <c r="J20" s="68" t="str">
        <f>IFERROR(VLOOKUP(C:C,'R22 RELATÓRIO ACC'!B:P,15,FALSE),"NOT PUBLISHED")</f>
        <v>29/04/2026</v>
      </c>
      <c r="K20" s="70" t="str">
        <f>IFERROR(VLOOKUP(B:B,'RELATÓRIO ACC'!B:F,5,FALSE),"NOT PUBLISHED")</f>
        <v>V1</v>
      </c>
      <c r="L20" s="518" t="str">
        <f>IFERROR(VLOOKUP(B:B,'RELATÓRIO ACC'!B:P,15,FALSE),"NOT PUBLISHED")</f>
        <v>04/06/2026</v>
      </c>
      <c r="M20" s="530" t="s">
        <v>377</v>
      </c>
      <c r="N20" s="826">
        <v>46177.0</v>
      </c>
      <c r="O20" s="538" t="s">
        <v>378</v>
      </c>
      <c r="P20" s="814" t="s">
        <v>397</v>
      </c>
      <c r="Q20" s="809" t="s">
        <v>383</v>
      </c>
      <c r="R20" s="827" t="s">
        <v>380</v>
      </c>
      <c r="S20" s="828">
        <v>0.0</v>
      </c>
      <c r="T20" s="523" t="s">
        <v>383</v>
      </c>
      <c r="U20" s="827" t="s">
        <v>380</v>
      </c>
      <c r="V20" s="828">
        <v>0.0</v>
      </c>
      <c r="W20" s="523" t="s">
        <v>381</v>
      </c>
      <c r="X20" s="829" t="s">
        <v>400</v>
      </c>
      <c r="Y20" s="828">
        <v>0.01</v>
      </c>
      <c r="Z20" s="523" t="s">
        <v>379</v>
      </c>
      <c r="AA20" s="829" t="s">
        <v>400</v>
      </c>
      <c r="AB20" s="828">
        <v>0.01</v>
      </c>
      <c r="AC20" s="523" t="s">
        <v>383</v>
      </c>
      <c r="AD20" s="829" t="s">
        <v>400</v>
      </c>
      <c r="AE20" s="830" t="s">
        <v>383</v>
      </c>
      <c r="AF20" s="523" t="s">
        <v>398</v>
      </c>
      <c r="AG20" s="829" t="s">
        <v>399</v>
      </c>
      <c r="AH20" s="830" t="s">
        <v>398</v>
      </c>
      <c r="AI20" s="523" t="s">
        <v>379</v>
      </c>
      <c r="AJ20" s="829" t="s">
        <v>399</v>
      </c>
      <c r="AK20" s="830" t="s">
        <v>379</v>
      </c>
      <c r="AL20" s="523" t="s">
        <v>383</v>
      </c>
      <c r="AM20" s="829" t="s">
        <v>399</v>
      </c>
      <c r="AN20" s="830" t="s">
        <v>383</v>
      </c>
      <c r="AO20" s="523" t="s">
        <v>398</v>
      </c>
      <c r="AP20" s="829" t="s">
        <v>399</v>
      </c>
      <c r="AQ20" s="830" t="s">
        <v>398</v>
      </c>
      <c r="AR20" s="523" t="s">
        <v>383</v>
      </c>
      <c r="AS20" s="829" t="s">
        <v>399</v>
      </c>
      <c r="AT20" s="830" t="s">
        <v>383</v>
      </c>
      <c r="AU20" s="523" t="s">
        <v>398</v>
      </c>
      <c r="AV20" s="829" t="s">
        <v>399</v>
      </c>
      <c r="AW20" s="830" t="s">
        <v>398</v>
      </c>
      <c r="AX20" s="523" t="s">
        <v>379</v>
      </c>
      <c r="AY20" s="829" t="s">
        <v>399</v>
      </c>
      <c r="AZ20" s="830" t="s">
        <v>379</v>
      </c>
      <c r="BA20" s="523" t="s">
        <v>379</v>
      </c>
      <c r="BB20" s="829" t="s">
        <v>399</v>
      </c>
      <c r="BC20" s="830" t="s">
        <v>379</v>
      </c>
      <c r="BD20" s="523" t="s">
        <v>379</v>
      </c>
      <c r="BE20" s="829" t="s">
        <v>399</v>
      </c>
      <c r="BF20" s="830" t="s">
        <v>379</v>
      </c>
      <c r="BG20" s="523" t="s">
        <v>379</v>
      </c>
      <c r="BH20" s="829" t="s">
        <v>399</v>
      </c>
      <c r="BI20" s="830" t="s">
        <v>379</v>
      </c>
      <c r="BJ20" s="523" t="s">
        <v>379</v>
      </c>
      <c r="BK20" s="829" t="s">
        <v>399</v>
      </c>
      <c r="BL20" s="830" t="s">
        <v>379</v>
      </c>
    </row>
    <row r="21" ht="15.0" hidden="1" customHeight="1">
      <c r="A21" s="53">
        <v>20.0</v>
      </c>
      <c r="B21" s="124" t="s">
        <v>151</v>
      </c>
      <c r="C21" s="125"/>
      <c r="D21" s="126"/>
      <c r="E21" s="126"/>
      <c r="F21" s="126"/>
      <c r="G21" s="126"/>
      <c r="H21" s="128"/>
      <c r="I21" s="126"/>
      <c r="J21" s="126"/>
      <c r="K21" s="129"/>
      <c r="L21" s="573"/>
      <c r="M21" s="126"/>
      <c r="N21" s="126"/>
      <c r="O21" s="126"/>
      <c r="P21" s="808"/>
      <c r="Q21" s="831"/>
      <c r="R21" s="832"/>
      <c r="S21" s="577"/>
      <c r="T21" s="833"/>
      <c r="U21" s="832"/>
      <c r="V21" s="577"/>
      <c r="W21" s="833"/>
      <c r="X21" s="832"/>
      <c r="Y21" s="577"/>
      <c r="Z21" s="833"/>
      <c r="AA21" s="832"/>
      <c r="AB21" s="577"/>
      <c r="AC21" s="833"/>
      <c r="AD21" s="832"/>
      <c r="AE21" s="577"/>
      <c r="AF21" s="578"/>
      <c r="AG21" s="578"/>
      <c r="AH21" s="578"/>
      <c r="AI21" s="578"/>
      <c r="AJ21" s="578"/>
      <c r="AK21" s="578"/>
      <c r="AL21" s="578"/>
      <c r="AM21" s="578"/>
      <c r="AN21" s="578"/>
      <c r="AO21" s="578"/>
      <c r="AP21" s="578"/>
      <c r="AQ21" s="578"/>
      <c r="AR21" s="578"/>
      <c r="AS21" s="578"/>
      <c r="AT21" s="578"/>
      <c r="AU21" s="578"/>
      <c r="AV21" s="578"/>
      <c r="AW21" s="578"/>
      <c r="AX21" s="578"/>
      <c r="AY21" s="578"/>
      <c r="AZ21" s="578"/>
      <c r="BA21" s="578"/>
      <c r="BB21" s="578"/>
      <c r="BC21" s="578"/>
      <c r="BD21" s="578"/>
      <c r="BE21" s="578"/>
      <c r="BF21" s="578"/>
      <c r="BG21" s="578"/>
      <c r="BH21" s="578"/>
      <c r="BI21" s="578"/>
      <c r="BJ21" s="578"/>
      <c r="BK21" s="578"/>
      <c r="BL21" s="578"/>
    </row>
    <row r="22" ht="15.0" customHeight="1">
      <c r="A22" s="53">
        <v>14.0</v>
      </c>
      <c r="B22" s="100" t="s">
        <v>128</v>
      </c>
      <c r="C22" s="100" t="s">
        <v>129</v>
      </c>
      <c r="D22" s="101" t="str">
        <f>MID(B22,17,4)</f>
        <v>C345</v>
      </c>
      <c r="E22" s="101" t="s">
        <v>126</v>
      </c>
      <c r="F22" s="118">
        <v>1101.0</v>
      </c>
      <c r="G22" s="517" t="s">
        <v>127</v>
      </c>
      <c r="H22" s="517">
        <v>1126.0</v>
      </c>
      <c r="I22" s="68" t="str">
        <f>IFERROR(VLOOKUP(C:C,'R22 RELATÓRIO ACC'!B:F,5,FALSE),"NOT PUBLISHED")</f>
        <v>V14</v>
      </c>
      <c r="J22" s="68" t="str">
        <f>IFERROR(VLOOKUP(C:C,'R22 RELATÓRIO ACC'!B:P,15,FALSE),"NOT PUBLISHED")</f>
        <v>30/01/2026</v>
      </c>
      <c r="K22" s="70" t="str">
        <f>IFERROR(VLOOKUP(B:B,'RELATÓRIO ACC'!B:F,5,FALSE),"NOT PUBLISHED")</f>
        <v>V1</v>
      </c>
      <c r="L22" s="518" t="str">
        <f>IFERROR(VLOOKUP(B:B,'RELATÓRIO ACC'!B:P,15,FALSE),"NOT PUBLISHED")</f>
        <v>19/05/2026</v>
      </c>
      <c r="M22" s="538" t="s">
        <v>377</v>
      </c>
      <c r="N22" s="826">
        <v>46161.0</v>
      </c>
      <c r="O22" s="538" t="s">
        <v>378</v>
      </c>
      <c r="P22" s="814"/>
      <c r="Q22" s="809" t="s">
        <v>383</v>
      </c>
      <c r="R22" s="810" t="s">
        <v>380</v>
      </c>
      <c r="S22" s="551">
        <v>0.0</v>
      </c>
      <c r="T22" s="809" t="s">
        <v>383</v>
      </c>
      <c r="U22" s="810" t="s">
        <v>380</v>
      </c>
      <c r="V22" s="551">
        <v>0.0</v>
      </c>
      <c r="W22" s="523" t="s">
        <v>381</v>
      </c>
      <c r="X22" s="811" t="s">
        <v>418</v>
      </c>
      <c r="Y22" s="551">
        <v>0.74</v>
      </c>
      <c r="Z22" s="523" t="s">
        <v>379</v>
      </c>
      <c r="AA22" s="811" t="s">
        <v>418</v>
      </c>
      <c r="AB22" s="525" t="s">
        <v>379</v>
      </c>
      <c r="AC22" s="523" t="s">
        <v>379</v>
      </c>
      <c r="AD22" s="811" t="s">
        <v>418</v>
      </c>
      <c r="AE22" s="525" t="s">
        <v>379</v>
      </c>
      <c r="AF22" s="523" t="s">
        <v>379</v>
      </c>
      <c r="AG22" s="811" t="s">
        <v>418</v>
      </c>
      <c r="AH22" s="525" t="s">
        <v>379</v>
      </c>
      <c r="AI22" s="523" t="s">
        <v>379</v>
      </c>
      <c r="AJ22" s="811" t="s">
        <v>418</v>
      </c>
      <c r="AK22" s="525" t="s">
        <v>379</v>
      </c>
      <c r="AL22" s="523" t="s">
        <v>398</v>
      </c>
      <c r="AM22" s="811" t="s">
        <v>418</v>
      </c>
      <c r="AN22" s="525" t="s">
        <v>398</v>
      </c>
      <c r="AO22" s="523" t="s">
        <v>379</v>
      </c>
      <c r="AP22" s="811" t="s">
        <v>418</v>
      </c>
      <c r="AQ22" s="525" t="s">
        <v>379</v>
      </c>
      <c r="AR22" s="523" t="s">
        <v>379</v>
      </c>
      <c r="AS22" s="811" t="s">
        <v>418</v>
      </c>
      <c r="AT22" s="525" t="s">
        <v>379</v>
      </c>
      <c r="AU22" s="528" t="s">
        <v>379</v>
      </c>
      <c r="AV22" s="811" t="s">
        <v>418</v>
      </c>
      <c r="AW22" s="528" t="s">
        <v>379</v>
      </c>
      <c r="AX22" s="528" t="s">
        <v>379</v>
      </c>
      <c r="AY22" s="811" t="s">
        <v>418</v>
      </c>
      <c r="AZ22" s="528" t="s">
        <v>379</v>
      </c>
      <c r="BA22" s="528" t="s">
        <v>379</v>
      </c>
      <c r="BB22" s="811" t="s">
        <v>418</v>
      </c>
      <c r="BC22" s="528" t="s">
        <v>379</v>
      </c>
      <c r="BD22" s="528" t="s">
        <v>379</v>
      </c>
      <c r="BE22" s="811" t="s">
        <v>418</v>
      </c>
      <c r="BF22" s="528" t="s">
        <v>379</v>
      </c>
      <c r="BG22" s="528" t="s">
        <v>379</v>
      </c>
      <c r="BH22" s="811" t="s">
        <v>418</v>
      </c>
      <c r="BI22" s="528" t="s">
        <v>379</v>
      </c>
      <c r="BJ22" s="528" t="s">
        <v>379</v>
      </c>
      <c r="BK22" s="811" t="s">
        <v>418</v>
      </c>
      <c r="BL22" s="528" t="s">
        <v>379</v>
      </c>
    </row>
    <row r="23" ht="15.0" hidden="1" customHeight="1">
      <c r="A23" s="53">
        <v>22.0</v>
      </c>
      <c r="B23" s="146" t="s">
        <v>158</v>
      </c>
      <c r="C23" s="147"/>
      <c r="D23" s="148"/>
      <c r="E23" s="148"/>
      <c r="F23" s="148"/>
      <c r="G23" s="148"/>
      <c r="H23" s="150"/>
      <c r="I23" s="148"/>
      <c r="J23" s="148"/>
      <c r="K23" s="151"/>
      <c r="L23" s="581"/>
      <c r="M23" s="148"/>
      <c r="N23" s="148"/>
      <c r="O23" s="148"/>
      <c r="P23" s="808"/>
      <c r="Q23" s="834"/>
      <c r="R23" s="835"/>
      <c r="S23" s="584"/>
      <c r="T23" s="834"/>
      <c r="U23" s="835"/>
      <c r="V23" s="584"/>
      <c r="W23" s="834"/>
      <c r="X23" s="835"/>
      <c r="Y23" s="584"/>
      <c r="Z23" s="834"/>
      <c r="AA23" s="835"/>
      <c r="AB23" s="584"/>
      <c r="AC23" s="834"/>
      <c r="AD23" s="835"/>
      <c r="AE23" s="584"/>
      <c r="AF23" s="585"/>
      <c r="AG23" s="585"/>
      <c r="AH23" s="585"/>
      <c r="AI23" s="585"/>
      <c r="AJ23" s="585"/>
      <c r="AK23" s="585"/>
      <c r="AL23" s="585"/>
      <c r="AM23" s="585"/>
      <c r="AN23" s="585"/>
      <c r="AO23" s="585"/>
      <c r="AP23" s="585"/>
      <c r="AQ23" s="585"/>
      <c r="AR23" s="585"/>
      <c r="AS23" s="585"/>
      <c r="AT23" s="585"/>
      <c r="AU23" s="585"/>
      <c r="AV23" s="585"/>
      <c r="AW23" s="585"/>
      <c r="AX23" s="585"/>
      <c r="AY23" s="585"/>
      <c r="AZ23" s="585"/>
      <c r="BA23" s="585"/>
      <c r="BB23" s="585"/>
      <c r="BC23" s="585"/>
      <c r="BD23" s="585"/>
      <c r="BE23" s="585"/>
      <c r="BF23" s="585"/>
      <c r="BG23" s="585"/>
      <c r="BH23" s="585"/>
      <c r="BI23" s="585"/>
      <c r="BJ23" s="585"/>
      <c r="BK23" s="585"/>
      <c r="BL23" s="585"/>
    </row>
    <row r="24" ht="15.0" customHeight="1">
      <c r="A24" s="53">
        <v>56.0</v>
      </c>
      <c r="B24" s="100" t="s">
        <v>278</v>
      </c>
      <c r="C24" s="100" t="s">
        <v>279</v>
      </c>
      <c r="D24" s="101" t="str">
        <f>MID(B24,17,4)</f>
        <v>DATA</v>
      </c>
      <c r="E24" s="111" t="s">
        <v>280</v>
      </c>
      <c r="F24" s="102">
        <v>1121.0</v>
      </c>
      <c r="G24" s="534" t="s">
        <v>280</v>
      </c>
      <c r="H24" s="535">
        <v>0.0</v>
      </c>
      <c r="I24" s="68" t="str">
        <f>IFERROR(VLOOKUP(C:C,'R22 RELATÓRIO ACC'!B:F,5,FALSE),"NOT PUBLISHED")</f>
        <v>V1</v>
      </c>
      <c r="J24" s="68" t="str">
        <f>IFERROR(VLOOKUP(C:C,'R22 RELATÓRIO ACC'!B:P,15,FALSE),"NOT PUBLISHED")</f>
        <v>05/05/2026</v>
      </c>
      <c r="K24" s="70" t="str">
        <f>IFERROR(VLOOKUP(B:B,'RELATÓRIO ACC'!B:F,5,FALSE),"NOT PUBLISHED")</f>
        <v>V3</v>
      </c>
      <c r="L24" s="518" t="str">
        <f>IFERROR(VLOOKUP(B:B,'RELATÓRIO ACC'!B:P,15,FALSE),"NOT PUBLISHED")</f>
        <v>20/06/2026</v>
      </c>
      <c r="M24" s="523" t="s">
        <v>400</v>
      </c>
      <c r="N24" s="836">
        <v>46193.0</v>
      </c>
      <c r="O24" s="538" t="s">
        <v>410</v>
      </c>
      <c r="P24" s="814"/>
      <c r="Q24" s="809" t="s">
        <v>388</v>
      </c>
      <c r="R24" s="810" t="s">
        <v>380</v>
      </c>
      <c r="S24" s="525" t="s">
        <v>388</v>
      </c>
      <c r="T24" s="523" t="s">
        <v>388</v>
      </c>
      <c r="U24" s="810" t="s">
        <v>380</v>
      </c>
      <c r="V24" s="525" t="s">
        <v>388</v>
      </c>
      <c r="W24" s="523" t="s">
        <v>388</v>
      </c>
      <c r="X24" s="810" t="s">
        <v>380</v>
      </c>
      <c r="Y24" s="525" t="s">
        <v>388</v>
      </c>
      <c r="Z24" s="523" t="s">
        <v>388</v>
      </c>
      <c r="AA24" s="810" t="s">
        <v>380</v>
      </c>
      <c r="AB24" s="525" t="s">
        <v>388</v>
      </c>
      <c r="AC24" s="523" t="s">
        <v>388</v>
      </c>
      <c r="AD24" s="810" t="s">
        <v>380</v>
      </c>
      <c r="AE24" s="525" t="s">
        <v>388</v>
      </c>
      <c r="AF24" s="523" t="s">
        <v>388</v>
      </c>
      <c r="AG24" s="810" t="s">
        <v>380</v>
      </c>
      <c r="AH24" s="525" t="s">
        <v>388</v>
      </c>
      <c r="AI24" s="837" t="s">
        <v>380</v>
      </c>
      <c r="AJ24" s="810" t="s">
        <v>380</v>
      </c>
      <c r="AK24" s="838" t="s">
        <v>380</v>
      </c>
      <c r="AL24" s="837" t="s">
        <v>380</v>
      </c>
      <c r="AM24" s="810" t="s">
        <v>380</v>
      </c>
      <c r="AN24" s="838" t="s">
        <v>380</v>
      </c>
      <c r="AO24" s="837" t="s">
        <v>380</v>
      </c>
      <c r="AP24" s="810" t="s">
        <v>380</v>
      </c>
      <c r="AQ24" s="838" t="s">
        <v>380</v>
      </c>
      <c r="AR24" s="530" t="s">
        <v>383</v>
      </c>
      <c r="AS24" s="839" t="s">
        <v>380</v>
      </c>
      <c r="AT24" s="551">
        <v>0.0</v>
      </c>
      <c r="AU24" s="523" t="s">
        <v>383</v>
      </c>
      <c r="AV24" s="839" t="s">
        <v>380</v>
      </c>
      <c r="AW24" s="525" t="s">
        <v>383</v>
      </c>
      <c r="AX24" s="523" t="s">
        <v>383</v>
      </c>
      <c r="AY24" s="839" t="s">
        <v>380</v>
      </c>
      <c r="AZ24" s="525" t="s">
        <v>383</v>
      </c>
      <c r="BA24" s="523" t="s">
        <v>381</v>
      </c>
      <c r="BB24" s="840" t="s">
        <v>400</v>
      </c>
      <c r="BC24" s="651">
        <v>0.01</v>
      </c>
      <c r="BD24" s="523" t="s">
        <v>379</v>
      </c>
      <c r="BE24" s="840" t="s">
        <v>387</v>
      </c>
      <c r="BF24" s="525" t="s">
        <v>379</v>
      </c>
      <c r="BG24" s="523" t="s">
        <v>379</v>
      </c>
      <c r="BH24" s="840" t="s">
        <v>387</v>
      </c>
      <c r="BI24" s="525" t="s">
        <v>379</v>
      </c>
      <c r="BJ24" s="523" t="s">
        <v>379</v>
      </c>
      <c r="BK24" s="840" t="s">
        <v>387</v>
      </c>
      <c r="BL24" s="525" t="s">
        <v>379</v>
      </c>
    </row>
    <row r="25" ht="13.5" hidden="1" customHeight="1">
      <c r="A25" s="53">
        <v>24.0</v>
      </c>
      <c r="B25" s="146" t="s">
        <v>162</v>
      </c>
      <c r="C25" s="147"/>
      <c r="D25" s="148"/>
      <c r="E25" s="148"/>
      <c r="F25" s="148"/>
      <c r="G25" s="148"/>
      <c r="H25" s="150"/>
      <c r="I25" s="148"/>
      <c r="J25" s="148"/>
      <c r="K25" s="151"/>
      <c r="L25" s="581"/>
      <c r="M25" s="148"/>
      <c r="N25" s="148"/>
      <c r="O25" s="148"/>
      <c r="P25" s="808"/>
      <c r="Q25" s="834"/>
      <c r="R25" s="835"/>
      <c r="S25" s="584"/>
      <c r="T25" s="841"/>
      <c r="U25" s="835"/>
      <c r="V25" s="584"/>
      <c r="W25" s="841"/>
      <c r="X25" s="835"/>
      <c r="Y25" s="584"/>
      <c r="Z25" s="841"/>
      <c r="AA25" s="835"/>
      <c r="AB25" s="584"/>
      <c r="AC25" s="841"/>
      <c r="AD25" s="835"/>
      <c r="AE25" s="584"/>
      <c r="AF25" s="585"/>
      <c r="AG25" s="585"/>
      <c r="AH25" s="585"/>
      <c r="AI25" s="585"/>
      <c r="AJ25" s="585"/>
      <c r="AK25" s="585"/>
      <c r="AL25" s="585"/>
      <c r="AM25" s="585"/>
      <c r="AN25" s="585"/>
      <c r="AO25" s="585"/>
      <c r="AP25" s="585"/>
      <c r="AQ25" s="585"/>
      <c r="AR25" s="585"/>
      <c r="AS25" s="585"/>
      <c r="AT25" s="585"/>
      <c r="AU25" s="585"/>
      <c r="AV25" s="585"/>
      <c r="AW25" s="585"/>
      <c r="AX25" s="585"/>
      <c r="AY25" s="585"/>
      <c r="AZ25" s="585"/>
      <c r="BA25" s="585"/>
      <c r="BB25" s="585"/>
      <c r="BC25" s="585"/>
      <c r="BD25" s="585"/>
      <c r="BE25" s="585"/>
      <c r="BF25" s="585"/>
      <c r="BG25" s="585"/>
      <c r="BH25" s="585"/>
      <c r="BI25" s="585"/>
      <c r="BJ25" s="585"/>
      <c r="BK25" s="585"/>
      <c r="BL25" s="585"/>
    </row>
    <row r="26" ht="15.0" customHeight="1">
      <c r="A26" s="53">
        <v>50.0</v>
      </c>
      <c r="B26" s="145" t="s">
        <v>238</v>
      </c>
      <c r="C26" s="145" t="s">
        <v>239</v>
      </c>
      <c r="D26" s="101" t="str">
        <f>MID(B26,17,4)</f>
        <v>DATA</v>
      </c>
      <c r="E26" s="101" t="s">
        <v>237</v>
      </c>
      <c r="F26" s="102">
        <v>1118.0</v>
      </c>
      <c r="G26" s="517" t="s">
        <v>237</v>
      </c>
      <c r="H26" s="517">
        <v>1118.0</v>
      </c>
      <c r="I26" s="68" t="str">
        <f>IFERROR(VLOOKUP(C:C,'R22 RELATÓRIO ACC'!B:F,5,FALSE),"NOT PUBLISHED")</f>
        <v>V39</v>
      </c>
      <c r="J26" s="68" t="str">
        <f>IFERROR(VLOOKUP(C:C,'R22 RELATÓRIO ACC'!B:P,15,FALSE),"NOT PUBLISHED")</f>
        <v>30/04/2026</v>
      </c>
      <c r="K26" s="70" t="str">
        <f>IFERROR(VLOOKUP(B:B,'RELATÓRIO ACC'!B:F,5,FALSE),"NOT PUBLISHED")</f>
        <v>V3</v>
      </c>
      <c r="L26" s="518" t="str">
        <f>IFERROR(VLOOKUP(B:B,'RELATÓRIO ACC'!B:P,15,FALSE),"NOT PUBLISHED")</f>
        <v>01/07/2026</v>
      </c>
      <c r="M26" s="530" t="s">
        <v>400</v>
      </c>
      <c r="N26" s="826">
        <v>46204.0</v>
      </c>
      <c r="O26" s="538" t="s">
        <v>378</v>
      </c>
      <c r="P26" s="814" t="s">
        <v>397</v>
      </c>
      <c r="Q26" s="809" t="s">
        <v>383</v>
      </c>
      <c r="R26" s="810" t="s">
        <v>380</v>
      </c>
      <c r="S26" s="551">
        <v>0.0</v>
      </c>
      <c r="T26" s="523" t="s">
        <v>383</v>
      </c>
      <c r="U26" s="810" t="s">
        <v>380</v>
      </c>
      <c r="V26" s="551">
        <v>0.0</v>
      </c>
      <c r="W26" s="523" t="s">
        <v>383</v>
      </c>
      <c r="X26" s="810" t="s">
        <v>380</v>
      </c>
      <c r="Y26" s="546">
        <v>0.0</v>
      </c>
      <c r="Z26" s="523" t="s">
        <v>381</v>
      </c>
      <c r="AA26" s="811" t="s">
        <v>468</v>
      </c>
      <c r="AB26" s="542">
        <v>0.8</v>
      </c>
      <c r="AC26" s="523" t="s">
        <v>383</v>
      </c>
      <c r="AD26" s="811" t="s">
        <v>468</v>
      </c>
      <c r="AE26" s="543" t="s">
        <v>383</v>
      </c>
      <c r="AF26" s="523" t="s">
        <v>383</v>
      </c>
      <c r="AG26" s="811" t="s">
        <v>468</v>
      </c>
      <c r="AH26" s="543" t="s">
        <v>383</v>
      </c>
      <c r="AI26" s="523" t="s">
        <v>383</v>
      </c>
      <c r="AJ26" s="811" t="s">
        <v>468</v>
      </c>
      <c r="AK26" s="543" t="s">
        <v>383</v>
      </c>
      <c r="AL26" s="523" t="s">
        <v>383</v>
      </c>
      <c r="AM26" s="811" t="s">
        <v>468</v>
      </c>
      <c r="AN26" s="543" t="s">
        <v>383</v>
      </c>
      <c r="AO26" s="528" t="s">
        <v>383</v>
      </c>
      <c r="AP26" s="811" t="s">
        <v>468</v>
      </c>
      <c r="AQ26" s="528" t="s">
        <v>383</v>
      </c>
      <c r="AR26" s="528" t="s">
        <v>383</v>
      </c>
      <c r="AS26" s="811" t="s">
        <v>468</v>
      </c>
      <c r="AT26" s="528" t="s">
        <v>383</v>
      </c>
      <c r="AU26" s="528" t="s">
        <v>383</v>
      </c>
      <c r="AV26" s="811" t="s">
        <v>468</v>
      </c>
      <c r="AW26" s="528" t="s">
        <v>383</v>
      </c>
      <c r="AX26" s="528" t="s">
        <v>383</v>
      </c>
      <c r="AY26" s="811" t="s">
        <v>468</v>
      </c>
      <c r="AZ26" s="528" t="s">
        <v>383</v>
      </c>
      <c r="BA26" s="528" t="s">
        <v>381</v>
      </c>
      <c r="BB26" s="811" t="s">
        <v>387</v>
      </c>
      <c r="BC26" s="548">
        <v>0.94</v>
      </c>
      <c r="BD26" s="528" t="s">
        <v>383</v>
      </c>
      <c r="BE26" s="811" t="s">
        <v>387</v>
      </c>
      <c r="BF26" s="528" t="s">
        <v>383</v>
      </c>
      <c r="BG26" s="528" t="s">
        <v>386</v>
      </c>
      <c r="BH26" s="811" t="s">
        <v>400</v>
      </c>
      <c r="BI26" s="548">
        <v>1.0</v>
      </c>
      <c r="BJ26" s="528" t="s">
        <v>413</v>
      </c>
      <c r="BK26" s="811" t="s">
        <v>400</v>
      </c>
      <c r="BL26" s="548">
        <v>1.0</v>
      </c>
    </row>
    <row r="27" ht="15.0" hidden="1" customHeight="1">
      <c r="A27" s="53">
        <v>26.0</v>
      </c>
      <c r="B27" s="146" t="s">
        <v>168</v>
      </c>
      <c r="C27" s="147"/>
      <c r="D27" s="148"/>
      <c r="E27" s="148"/>
      <c r="F27" s="148"/>
      <c r="G27" s="148"/>
      <c r="H27" s="150"/>
      <c r="I27" s="148"/>
      <c r="J27" s="148"/>
      <c r="K27" s="151"/>
      <c r="L27" s="580"/>
      <c r="M27" s="148"/>
      <c r="N27" s="148"/>
      <c r="O27" s="148"/>
      <c r="P27" s="808"/>
      <c r="Q27" s="834"/>
      <c r="R27" s="835"/>
      <c r="S27" s="584"/>
      <c r="T27" s="841"/>
      <c r="U27" s="835"/>
      <c r="V27" s="584"/>
      <c r="W27" s="841"/>
      <c r="X27" s="835"/>
      <c r="Y27" s="584"/>
      <c r="Z27" s="841"/>
      <c r="AA27" s="835"/>
      <c r="AB27" s="584"/>
      <c r="AC27" s="841"/>
      <c r="AD27" s="835"/>
      <c r="AE27" s="584"/>
      <c r="AF27" s="585"/>
      <c r="AG27" s="585"/>
      <c r="AH27" s="585"/>
      <c r="AI27" s="585"/>
      <c r="AJ27" s="585"/>
      <c r="AK27" s="585"/>
      <c r="AL27" s="585"/>
      <c r="AM27" s="585"/>
      <c r="AN27" s="585"/>
      <c r="AO27" s="585"/>
      <c r="AP27" s="585"/>
      <c r="AQ27" s="585"/>
      <c r="AR27" s="585"/>
      <c r="AS27" s="585"/>
      <c r="AT27" s="585"/>
      <c r="AU27" s="585"/>
      <c r="AV27" s="585"/>
      <c r="AW27" s="585"/>
      <c r="AX27" s="585"/>
      <c r="AY27" s="585"/>
      <c r="AZ27" s="585"/>
      <c r="BA27" s="585"/>
      <c r="BB27" s="585"/>
      <c r="BC27" s="585"/>
      <c r="BD27" s="585"/>
      <c r="BE27" s="585"/>
      <c r="BF27" s="585"/>
      <c r="BG27" s="585"/>
      <c r="BH27" s="585"/>
      <c r="BI27" s="585"/>
      <c r="BJ27" s="585"/>
      <c r="BK27" s="585"/>
      <c r="BL27" s="585"/>
    </row>
    <row r="28" ht="15.0" customHeight="1">
      <c r="A28" s="53">
        <v>41.0</v>
      </c>
      <c r="B28" s="100" t="s">
        <v>207</v>
      </c>
      <c r="C28" s="100" t="s">
        <v>208</v>
      </c>
      <c r="D28" s="101" t="str">
        <f>MID(B28,17,4)</f>
        <v>DATA</v>
      </c>
      <c r="E28" s="101" t="s">
        <v>154</v>
      </c>
      <c r="F28" s="102" t="s">
        <v>154</v>
      </c>
      <c r="G28" s="517" t="s">
        <v>154</v>
      </c>
      <c r="H28" s="517"/>
      <c r="I28" s="68" t="str">
        <f>IFERROR(VLOOKUP(C:C,'R22 RELATÓRIO ACC'!B:F,5,FALSE),"NOT PUBLISHED")</f>
        <v>V13</v>
      </c>
      <c r="J28" s="68" t="str">
        <f>IFERROR(VLOOKUP(C:C,'R22 RELATÓRIO ACC'!B:P,15,FALSE),"NOT PUBLISHED")</f>
        <v>12/05/2026</v>
      </c>
      <c r="K28" s="70" t="str">
        <f>IFERROR(VLOOKUP(B:B,'RELATÓRIO ACC'!B:F,5,FALSE),"NOT PUBLISHED")</f>
        <v>V5</v>
      </c>
      <c r="L28" s="518" t="str">
        <f>IFERROR(VLOOKUP(B:B,'RELATÓRIO ACC'!B:P,15,FALSE),"NOT PUBLISHED")</f>
        <v>13/07/2026</v>
      </c>
      <c r="M28" s="530" t="s">
        <v>399</v>
      </c>
      <c r="N28" s="842">
        <v>46206.0</v>
      </c>
      <c r="O28" s="538" t="s">
        <v>378</v>
      </c>
      <c r="P28" s="814" t="s">
        <v>397</v>
      </c>
      <c r="Q28" s="809" t="s">
        <v>383</v>
      </c>
      <c r="R28" s="810" t="s">
        <v>380</v>
      </c>
      <c r="S28" s="551">
        <v>0.0</v>
      </c>
      <c r="T28" s="523" t="s">
        <v>383</v>
      </c>
      <c r="U28" s="810" t="s">
        <v>380</v>
      </c>
      <c r="V28" s="551">
        <v>0.0</v>
      </c>
      <c r="W28" s="523" t="s">
        <v>381</v>
      </c>
      <c r="X28" s="811" t="s">
        <v>385</v>
      </c>
      <c r="Y28" s="551">
        <v>0.21</v>
      </c>
      <c r="Z28" s="523" t="s">
        <v>381</v>
      </c>
      <c r="AA28" s="811" t="s">
        <v>417</v>
      </c>
      <c r="AB28" s="551">
        <v>0.51</v>
      </c>
      <c r="AC28" s="523" t="s">
        <v>383</v>
      </c>
      <c r="AD28" s="811" t="s">
        <v>417</v>
      </c>
      <c r="AE28" s="525" t="s">
        <v>383</v>
      </c>
      <c r="AF28" s="523" t="s">
        <v>381</v>
      </c>
      <c r="AG28" s="811" t="s">
        <v>414</v>
      </c>
      <c r="AH28" s="551">
        <v>0.6</v>
      </c>
      <c r="AI28" s="523" t="s">
        <v>383</v>
      </c>
      <c r="AJ28" s="811" t="s">
        <v>414</v>
      </c>
      <c r="AK28" s="525" t="s">
        <v>383</v>
      </c>
      <c r="AL28" s="523" t="s">
        <v>383</v>
      </c>
      <c r="AM28" s="811" t="s">
        <v>414</v>
      </c>
      <c r="AN28" s="525" t="s">
        <v>383</v>
      </c>
      <c r="AO28" s="528" t="s">
        <v>383</v>
      </c>
      <c r="AP28" s="811" t="s">
        <v>414</v>
      </c>
      <c r="AQ28" s="528" t="s">
        <v>383</v>
      </c>
      <c r="AR28" s="528" t="s">
        <v>383</v>
      </c>
      <c r="AS28" s="811" t="s">
        <v>414</v>
      </c>
      <c r="AT28" s="528" t="s">
        <v>383</v>
      </c>
      <c r="AU28" s="528" t="s">
        <v>383</v>
      </c>
      <c r="AV28" s="811" t="s">
        <v>414</v>
      </c>
      <c r="AW28" s="528" t="s">
        <v>383</v>
      </c>
      <c r="AX28" s="528" t="s">
        <v>381</v>
      </c>
      <c r="AY28" s="811" t="s">
        <v>387</v>
      </c>
      <c r="AZ28" s="548">
        <v>0.77</v>
      </c>
      <c r="BA28" s="528" t="s">
        <v>383</v>
      </c>
      <c r="BB28" s="811" t="s">
        <v>387</v>
      </c>
      <c r="BC28" s="528" t="s">
        <v>383</v>
      </c>
      <c r="BD28" s="528" t="s">
        <v>381</v>
      </c>
      <c r="BE28" s="811" t="s">
        <v>400</v>
      </c>
      <c r="BF28" s="548">
        <v>0.98</v>
      </c>
      <c r="BG28" s="528" t="s">
        <v>386</v>
      </c>
      <c r="BH28" s="811" t="s">
        <v>399</v>
      </c>
      <c r="BI28" s="548">
        <v>1.0</v>
      </c>
      <c r="BJ28" s="528" t="s">
        <v>413</v>
      </c>
      <c r="BK28" s="811" t="s">
        <v>399</v>
      </c>
      <c r="BL28" s="548">
        <v>1.0</v>
      </c>
    </row>
    <row r="29" ht="15.0" hidden="1" customHeight="1">
      <c r="A29" s="53">
        <v>28.0</v>
      </c>
      <c r="B29" s="146" t="s">
        <v>173</v>
      </c>
      <c r="C29" s="147"/>
      <c r="D29" s="148"/>
      <c r="E29" s="148"/>
      <c r="F29" s="148"/>
      <c r="G29" s="148"/>
      <c r="H29" s="150"/>
      <c r="I29" s="148"/>
      <c r="J29" s="148"/>
      <c r="K29" s="151"/>
      <c r="L29" s="580"/>
      <c r="M29" s="148"/>
      <c r="N29" s="148"/>
      <c r="O29" s="148"/>
      <c r="P29" s="808"/>
      <c r="Q29" s="834"/>
      <c r="R29" s="835"/>
      <c r="S29" s="584"/>
      <c r="T29" s="841"/>
      <c r="U29" s="835"/>
      <c r="V29" s="584"/>
      <c r="W29" s="841"/>
      <c r="X29" s="835"/>
      <c r="Y29" s="584"/>
      <c r="Z29" s="841"/>
      <c r="AA29" s="835"/>
      <c r="AB29" s="584"/>
      <c r="AC29" s="841"/>
      <c r="AD29" s="835"/>
      <c r="AE29" s="584"/>
      <c r="AF29" s="585"/>
      <c r="AG29" s="585"/>
      <c r="AH29" s="585"/>
      <c r="AI29" s="585"/>
      <c r="AJ29" s="585"/>
      <c r="AK29" s="585"/>
      <c r="AL29" s="585"/>
      <c r="AM29" s="585"/>
      <c r="AN29" s="585"/>
      <c r="AO29" s="585"/>
      <c r="AP29" s="585"/>
      <c r="AQ29" s="585"/>
      <c r="AR29" s="585"/>
      <c r="AS29" s="585"/>
      <c r="AT29" s="585"/>
      <c r="AU29" s="585"/>
      <c r="AV29" s="585"/>
      <c r="AW29" s="585"/>
      <c r="AX29" s="585"/>
      <c r="AY29" s="585"/>
      <c r="AZ29" s="585"/>
      <c r="BA29" s="585"/>
      <c r="BB29" s="585"/>
      <c r="BC29" s="585"/>
      <c r="BD29" s="585"/>
      <c r="BE29" s="585"/>
      <c r="BF29" s="585"/>
      <c r="BG29" s="585"/>
      <c r="BH29" s="585"/>
      <c r="BI29" s="585"/>
      <c r="BJ29" s="585"/>
      <c r="BK29" s="585"/>
      <c r="BL29" s="585"/>
    </row>
    <row r="30" ht="15.0" customHeight="1">
      <c r="A30" s="53">
        <v>39.0</v>
      </c>
      <c r="B30" s="145" t="s">
        <v>204</v>
      </c>
      <c r="C30" s="145" t="s">
        <v>205</v>
      </c>
      <c r="D30" s="101" t="str">
        <f>MID(B30,17,4)</f>
        <v>DATA</v>
      </c>
      <c r="E30" s="101" t="s">
        <v>154</v>
      </c>
      <c r="F30" s="102">
        <v>1112.0</v>
      </c>
      <c r="G30" s="517" t="s">
        <v>155</v>
      </c>
      <c r="H30" s="517">
        <v>1129.0</v>
      </c>
      <c r="I30" s="68" t="str">
        <f>IFERROR(VLOOKUP(C:C,'R22 RELATÓRIO ACC'!B:F,5,FALSE),"NOT PUBLISHED")</f>
        <v>V52</v>
      </c>
      <c r="J30" s="68" t="str">
        <f>IFERROR(VLOOKUP(C:C,'R22 RELATÓRIO ACC'!B:P,15,FALSE),"NOT PUBLISHED")</f>
        <v>30/04/2026</v>
      </c>
      <c r="K30" s="70" t="str">
        <f>IFERROR(VLOOKUP(B:B,'RELATÓRIO ACC'!B:F,5,FALSE),"NOT PUBLISHED")</f>
        <v>V4</v>
      </c>
      <c r="L30" s="518" t="str">
        <f>IFERROR(VLOOKUP(B:B,'RELATÓRIO ACC'!B:P,15,FALSE),"NOT PUBLISHED")</f>
        <v>06/07/2026</v>
      </c>
      <c r="M30" s="530" t="s">
        <v>399</v>
      </c>
      <c r="N30" s="826">
        <v>46209.0</v>
      </c>
      <c r="O30" s="538" t="s">
        <v>378</v>
      </c>
      <c r="P30" s="587" t="s">
        <v>397</v>
      </c>
      <c r="Q30" s="843" t="s">
        <v>383</v>
      </c>
      <c r="R30" s="558" t="s">
        <v>380</v>
      </c>
      <c r="S30" s="551">
        <v>0.0</v>
      </c>
      <c r="T30" s="809" t="s">
        <v>383</v>
      </c>
      <c r="U30" s="558" t="s">
        <v>380</v>
      </c>
      <c r="V30" s="551">
        <v>0.0</v>
      </c>
      <c r="W30" s="523" t="s">
        <v>381</v>
      </c>
      <c r="X30" s="550" t="s">
        <v>469</v>
      </c>
      <c r="Y30" s="546">
        <v>0.8</v>
      </c>
      <c r="Z30" s="523" t="s">
        <v>379</v>
      </c>
      <c r="AA30" s="550" t="s">
        <v>469</v>
      </c>
      <c r="AB30" s="523" t="s">
        <v>379</v>
      </c>
      <c r="AC30" s="523" t="s">
        <v>383</v>
      </c>
      <c r="AD30" s="550" t="s">
        <v>469</v>
      </c>
      <c r="AE30" s="523" t="s">
        <v>383</v>
      </c>
      <c r="AF30" s="523" t="s">
        <v>383</v>
      </c>
      <c r="AG30" s="550" t="s">
        <v>469</v>
      </c>
      <c r="AH30" s="523" t="s">
        <v>383</v>
      </c>
      <c r="AI30" s="523" t="s">
        <v>383</v>
      </c>
      <c r="AJ30" s="550" t="s">
        <v>469</v>
      </c>
      <c r="AK30" s="523" t="s">
        <v>383</v>
      </c>
      <c r="AL30" s="523" t="s">
        <v>383</v>
      </c>
      <c r="AM30" s="550" t="s">
        <v>469</v>
      </c>
      <c r="AN30" s="523" t="s">
        <v>383</v>
      </c>
      <c r="AO30" s="528" t="s">
        <v>383</v>
      </c>
      <c r="AP30" s="550" t="s">
        <v>469</v>
      </c>
      <c r="AQ30" s="528" t="s">
        <v>383</v>
      </c>
      <c r="AR30" s="528" t="s">
        <v>383</v>
      </c>
      <c r="AS30" s="550" t="s">
        <v>469</v>
      </c>
      <c r="AT30" s="528" t="s">
        <v>383</v>
      </c>
      <c r="AU30" s="528" t="s">
        <v>383</v>
      </c>
      <c r="AV30" s="550" t="s">
        <v>469</v>
      </c>
      <c r="AW30" s="528" t="s">
        <v>383</v>
      </c>
      <c r="AX30" s="528" t="s">
        <v>381</v>
      </c>
      <c r="AY30" s="550" t="s">
        <v>387</v>
      </c>
      <c r="AZ30" s="548">
        <v>0.82</v>
      </c>
      <c r="BA30" s="528" t="s">
        <v>379</v>
      </c>
      <c r="BB30" s="550" t="s">
        <v>387</v>
      </c>
      <c r="BC30" s="528" t="s">
        <v>379</v>
      </c>
      <c r="BD30" s="528" t="s">
        <v>379</v>
      </c>
      <c r="BE30" s="550" t="s">
        <v>387</v>
      </c>
      <c r="BF30" s="528" t="s">
        <v>379</v>
      </c>
      <c r="BG30" s="528" t="s">
        <v>386</v>
      </c>
      <c r="BH30" s="550" t="s">
        <v>399</v>
      </c>
      <c r="BI30" s="548">
        <v>1.0</v>
      </c>
      <c r="BJ30" s="528" t="s">
        <v>413</v>
      </c>
      <c r="BK30" s="550" t="s">
        <v>399</v>
      </c>
      <c r="BL30" s="548">
        <v>1.0</v>
      </c>
    </row>
    <row r="31" ht="15.0" hidden="1" customHeight="1">
      <c r="A31" s="53">
        <v>30.0</v>
      </c>
      <c r="B31" s="124" t="s">
        <v>178</v>
      </c>
      <c r="C31" s="125"/>
      <c r="D31" s="167"/>
      <c r="E31" s="167"/>
      <c r="F31" s="167"/>
      <c r="G31" s="167"/>
      <c r="H31" s="169"/>
      <c r="I31" s="167"/>
      <c r="J31" s="167"/>
      <c r="K31" s="170"/>
      <c r="L31" s="591"/>
      <c r="M31" s="167"/>
      <c r="N31" s="167"/>
      <c r="O31" s="167"/>
      <c r="P31" s="522"/>
      <c r="Q31" s="575"/>
      <c r="R31" s="576"/>
      <c r="S31" s="577"/>
      <c r="T31" s="575"/>
      <c r="U31" s="576"/>
      <c r="V31" s="577"/>
      <c r="W31" s="575"/>
      <c r="X31" s="576"/>
      <c r="Y31" s="577"/>
      <c r="Z31" s="575"/>
      <c r="AA31" s="576"/>
      <c r="AB31" s="577"/>
      <c r="AC31" s="575"/>
      <c r="AD31" s="576"/>
      <c r="AE31" s="577"/>
      <c r="AF31" s="578"/>
      <c r="AG31" s="578"/>
      <c r="AH31" s="578"/>
      <c r="AI31" s="578"/>
      <c r="AJ31" s="578"/>
      <c r="AK31" s="578"/>
      <c r="AL31" s="578"/>
      <c r="AM31" s="578"/>
      <c r="AN31" s="578"/>
      <c r="AO31" s="578"/>
      <c r="AP31" s="578"/>
      <c r="AQ31" s="578"/>
      <c r="AR31" s="578"/>
      <c r="AS31" s="578"/>
      <c r="AT31" s="578"/>
      <c r="AU31" s="578"/>
      <c r="AV31" s="578"/>
      <c r="AW31" s="578"/>
      <c r="AX31" s="578"/>
      <c r="AY31" s="578"/>
      <c r="AZ31" s="578"/>
      <c r="BA31" s="578"/>
      <c r="BB31" s="578"/>
      <c r="BC31" s="578"/>
      <c r="BD31" s="578"/>
      <c r="BE31" s="578"/>
      <c r="BF31" s="578"/>
      <c r="BG31" s="578"/>
      <c r="BH31" s="578"/>
      <c r="BI31" s="578"/>
      <c r="BJ31" s="578"/>
      <c r="BK31" s="578"/>
      <c r="BL31" s="578"/>
    </row>
    <row r="32" ht="15.0" customHeight="1">
      <c r="A32" s="53">
        <v>49.0</v>
      </c>
      <c r="B32" s="145" t="s">
        <v>231</v>
      </c>
      <c r="C32" s="145" t="s">
        <v>232</v>
      </c>
      <c r="D32" s="101" t="str">
        <f>MID(B32,17,4)</f>
        <v>DATA</v>
      </c>
      <c r="E32" s="101" t="s">
        <v>154</v>
      </c>
      <c r="F32" s="102">
        <v>1112.0</v>
      </c>
      <c r="G32" s="517" t="s">
        <v>155</v>
      </c>
      <c r="H32" s="517">
        <v>1129.0</v>
      </c>
      <c r="I32" s="68" t="str">
        <f>IFERROR(VLOOKUP(C:C,'R22 RELATÓRIO ACC'!B:F,5,FALSE),"NOT PUBLISHED")</f>
        <v>V30</v>
      </c>
      <c r="J32" s="68" t="str">
        <f>IFERROR(VLOOKUP(C:C,'R22 RELATÓRIO ACC'!B:P,15,FALSE),"NOT PUBLISHED")</f>
        <v>24/03/2026</v>
      </c>
      <c r="K32" s="70" t="str">
        <f>IFERROR(VLOOKUP(B:B,'RELATÓRIO ACC'!B:F,5,FALSE),"NOT PUBLISHED")</f>
        <v>V2</v>
      </c>
      <c r="L32" s="518" t="str">
        <f>IFERROR(VLOOKUP(B:B,'RELATÓRIO ACC'!B:P,15,FALSE),"NOT PUBLISHED")</f>
        <v>13/07/2026</v>
      </c>
      <c r="M32" s="530" t="s">
        <v>377</v>
      </c>
      <c r="N32" s="844">
        <v>46161.0</v>
      </c>
      <c r="O32" s="538" t="s">
        <v>378</v>
      </c>
      <c r="P32" s="587"/>
      <c r="Q32" s="523" t="s">
        <v>383</v>
      </c>
      <c r="R32" s="558" t="s">
        <v>380</v>
      </c>
      <c r="S32" s="551">
        <v>0.0</v>
      </c>
      <c r="T32" s="523" t="s">
        <v>383</v>
      </c>
      <c r="U32" s="558" t="s">
        <v>380</v>
      </c>
      <c r="V32" s="551">
        <v>0.0</v>
      </c>
      <c r="W32" s="523" t="s">
        <v>381</v>
      </c>
      <c r="X32" s="550" t="s">
        <v>436</v>
      </c>
      <c r="Y32" s="551">
        <v>0.76</v>
      </c>
      <c r="Z32" s="523" t="s">
        <v>379</v>
      </c>
      <c r="AA32" s="550" t="s">
        <v>436</v>
      </c>
      <c r="AB32" s="525" t="s">
        <v>379</v>
      </c>
      <c r="AC32" s="523" t="s">
        <v>379</v>
      </c>
      <c r="AD32" s="550" t="s">
        <v>436</v>
      </c>
      <c r="AE32" s="525" t="s">
        <v>379</v>
      </c>
      <c r="AF32" s="523" t="s">
        <v>379</v>
      </c>
      <c r="AG32" s="550" t="s">
        <v>436</v>
      </c>
      <c r="AH32" s="525" t="s">
        <v>379</v>
      </c>
      <c r="AI32" s="523" t="s">
        <v>379</v>
      </c>
      <c r="AJ32" s="550" t="s">
        <v>436</v>
      </c>
      <c r="AK32" s="525" t="s">
        <v>379</v>
      </c>
      <c r="AL32" s="523" t="s">
        <v>383</v>
      </c>
      <c r="AM32" s="550" t="s">
        <v>436</v>
      </c>
      <c r="AN32" s="525" t="s">
        <v>383</v>
      </c>
      <c r="AO32" s="528" t="s">
        <v>383</v>
      </c>
      <c r="AP32" s="550" t="s">
        <v>436</v>
      </c>
      <c r="AQ32" s="528" t="s">
        <v>383</v>
      </c>
      <c r="AR32" s="528" t="s">
        <v>383</v>
      </c>
      <c r="AS32" s="550" t="s">
        <v>436</v>
      </c>
      <c r="AT32" s="528" t="s">
        <v>383</v>
      </c>
      <c r="AU32" s="528" t="s">
        <v>383</v>
      </c>
      <c r="AV32" s="550" t="s">
        <v>436</v>
      </c>
      <c r="AW32" s="528" t="s">
        <v>383</v>
      </c>
      <c r="AX32" s="528" t="s">
        <v>381</v>
      </c>
      <c r="AY32" s="550" t="s">
        <v>377</v>
      </c>
      <c r="AZ32" s="548">
        <v>0.87</v>
      </c>
      <c r="BA32" s="528" t="s">
        <v>379</v>
      </c>
      <c r="BB32" s="550" t="s">
        <v>377</v>
      </c>
      <c r="BC32" s="528" t="s">
        <v>379</v>
      </c>
      <c r="BD32" s="528" t="s">
        <v>379</v>
      </c>
      <c r="BE32" s="550" t="s">
        <v>377</v>
      </c>
      <c r="BF32" s="528" t="s">
        <v>379</v>
      </c>
      <c r="BG32" s="528" t="s">
        <v>386</v>
      </c>
      <c r="BH32" s="550" t="s">
        <v>377</v>
      </c>
      <c r="BI32" s="548">
        <v>1.0</v>
      </c>
      <c r="BJ32" s="528" t="s">
        <v>413</v>
      </c>
      <c r="BK32" s="550" t="s">
        <v>377</v>
      </c>
      <c r="BL32" s="548">
        <v>1.0</v>
      </c>
    </row>
    <row r="33" ht="15.0" hidden="1" customHeight="1">
      <c r="A33" s="53">
        <v>32.0</v>
      </c>
      <c r="B33" s="146" t="s">
        <v>183</v>
      </c>
      <c r="C33" s="147"/>
      <c r="D33" s="148"/>
      <c r="E33" s="148"/>
      <c r="F33" s="148"/>
      <c r="G33" s="148"/>
      <c r="H33" s="150"/>
      <c r="I33" s="148"/>
      <c r="J33" s="148"/>
      <c r="K33" s="151"/>
      <c r="L33" s="581"/>
      <c r="M33" s="148"/>
      <c r="N33" s="148"/>
      <c r="O33" s="148"/>
      <c r="P33" s="522"/>
      <c r="Q33" s="594"/>
      <c r="R33" s="595"/>
      <c r="S33" s="584"/>
      <c r="T33" s="594"/>
      <c r="U33" s="595"/>
      <c r="V33" s="584"/>
      <c r="W33" s="594"/>
      <c r="X33" s="595"/>
      <c r="Y33" s="584"/>
      <c r="Z33" s="594"/>
      <c r="AA33" s="595"/>
      <c r="AB33" s="584"/>
      <c r="AC33" s="594"/>
      <c r="AD33" s="595"/>
      <c r="AE33" s="584"/>
      <c r="AF33" s="585"/>
      <c r="AG33" s="585"/>
      <c r="AH33" s="585"/>
      <c r="AI33" s="585"/>
      <c r="AJ33" s="585"/>
      <c r="AK33" s="585"/>
      <c r="AL33" s="585"/>
      <c r="AM33" s="585"/>
      <c r="AN33" s="585"/>
      <c r="AO33" s="585"/>
      <c r="AP33" s="585"/>
      <c r="AQ33" s="585"/>
      <c r="AR33" s="585"/>
      <c r="AS33" s="585"/>
      <c r="AT33" s="585"/>
      <c r="AU33" s="585"/>
      <c r="AV33" s="585"/>
      <c r="AW33" s="585"/>
      <c r="AX33" s="585"/>
      <c r="AY33" s="585"/>
      <c r="AZ33" s="585"/>
      <c r="BA33" s="585"/>
      <c r="BB33" s="585"/>
      <c r="BC33" s="585"/>
      <c r="BD33" s="585"/>
      <c r="BE33" s="585"/>
      <c r="BF33" s="585"/>
      <c r="BG33" s="585"/>
      <c r="BH33" s="585"/>
      <c r="BI33" s="585"/>
      <c r="BJ33" s="585"/>
      <c r="BK33" s="585"/>
      <c r="BL33" s="585"/>
    </row>
    <row r="34" ht="15.0" customHeight="1">
      <c r="A34" s="53">
        <v>21.0</v>
      </c>
      <c r="B34" s="145" t="s">
        <v>152</v>
      </c>
      <c r="C34" s="145" t="s">
        <v>153</v>
      </c>
      <c r="D34" s="101" t="str">
        <f>MID(B34,17,4)</f>
        <v>DATA</v>
      </c>
      <c r="E34" s="101" t="s">
        <v>154</v>
      </c>
      <c r="F34" s="102">
        <v>1112.0</v>
      </c>
      <c r="G34" s="517" t="s">
        <v>155</v>
      </c>
      <c r="H34" s="517">
        <v>1129.0</v>
      </c>
      <c r="I34" s="68" t="str">
        <f>IFERROR(VLOOKUP(C:C,'R22 RELATÓRIO ACC'!B:F,5,FALSE),"NOT PUBLISHED")</f>
        <v>V40</v>
      </c>
      <c r="J34" s="68" t="str">
        <f>IFERROR(VLOOKUP(C:C,'R22 RELATÓRIO ACC'!B:P,15,FALSE),"NOT PUBLISHED")</f>
        <v>10/04/2026</v>
      </c>
      <c r="K34" s="70" t="str">
        <f>IFERROR(VLOOKUP(B:B,'RELATÓRIO ACC'!B:F,5,FALSE),"NOT PUBLISHED")</f>
        <v>V3</v>
      </c>
      <c r="L34" s="518" t="str">
        <f>IFERROR(VLOOKUP(B:B,'RELATÓRIO ACC'!B:P,15,FALSE),"NOT PUBLISHED")</f>
        <v>13/07/2026</v>
      </c>
      <c r="M34" s="530" t="s">
        <v>387</v>
      </c>
      <c r="N34" s="826">
        <v>46176.0</v>
      </c>
      <c r="O34" s="538" t="s">
        <v>378</v>
      </c>
      <c r="P34" s="587" t="s">
        <v>397</v>
      </c>
      <c r="Q34" s="523" t="s">
        <v>383</v>
      </c>
      <c r="R34" s="558" t="s">
        <v>380</v>
      </c>
      <c r="S34" s="551">
        <v>0.0</v>
      </c>
      <c r="T34" s="523" t="s">
        <v>383</v>
      </c>
      <c r="U34" s="558" t="s">
        <v>380</v>
      </c>
      <c r="V34" s="551">
        <v>0.0</v>
      </c>
      <c r="W34" s="523" t="s">
        <v>381</v>
      </c>
      <c r="X34" s="550" t="s">
        <v>443</v>
      </c>
      <c r="Y34" s="546">
        <v>0.87</v>
      </c>
      <c r="Z34" s="523" t="s">
        <v>379</v>
      </c>
      <c r="AA34" s="550" t="s">
        <v>443</v>
      </c>
      <c r="AB34" s="523" t="s">
        <v>379</v>
      </c>
      <c r="AC34" s="523" t="s">
        <v>379</v>
      </c>
      <c r="AD34" s="550" t="s">
        <v>443</v>
      </c>
      <c r="AE34" s="523" t="s">
        <v>379</v>
      </c>
      <c r="AF34" s="523" t="s">
        <v>379</v>
      </c>
      <c r="AG34" s="550" t="s">
        <v>443</v>
      </c>
      <c r="AH34" s="523" t="s">
        <v>379</v>
      </c>
      <c r="AI34" s="523" t="s">
        <v>379</v>
      </c>
      <c r="AJ34" s="550" t="s">
        <v>443</v>
      </c>
      <c r="AK34" s="523" t="s">
        <v>379</v>
      </c>
      <c r="AL34" s="523" t="s">
        <v>383</v>
      </c>
      <c r="AM34" s="550" t="s">
        <v>443</v>
      </c>
      <c r="AN34" s="523" t="s">
        <v>383</v>
      </c>
      <c r="AO34" s="523" t="s">
        <v>383</v>
      </c>
      <c r="AP34" s="550" t="s">
        <v>443</v>
      </c>
      <c r="AQ34" s="523" t="s">
        <v>383</v>
      </c>
      <c r="AR34" s="523" t="s">
        <v>383</v>
      </c>
      <c r="AS34" s="550" t="s">
        <v>443</v>
      </c>
      <c r="AT34" s="523" t="s">
        <v>383</v>
      </c>
      <c r="AU34" s="523" t="s">
        <v>383</v>
      </c>
      <c r="AV34" s="550" t="s">
        <v>443</v>
      </c>
      <c r="AW34" s="523" t="s">
        <v>383</v>
      </c>
      <c r="AX34" s="523" t="s">
        <v>381</v>
      </c>
      <c r="AY34" s="550" t="s">
        <v>387</v>
      </c>
      <c r="AZ34" s="546">
        <v>0.87</v>
      </c>
      <c r="BA34" s="523" t="s">
        <v>379</v>
      </c>
      <c r="BB34" s="550" t="s">
        <v>387</v>
      </c>
      <c r="BC34" s="523" t="s">
        <v>379</v>
      </c>
      <c r="BD34" s="523" t="s">
        <v>379</v>
      </c>
      <c r="BE34" s="550" t="s">
        <v>387</v>
      </c>
      <c r="BF34" s="523" t="s">
        <v>379</v>
      </c>
      <c r="BG34" s="523" t="s">
        <v>386</v>
      </c>
      <c r="BH34" s="550" t="s">
        <v>387</v>
      </c>
      <c r="BI34" s="546">
        <v>1.0</v>
      </c>
      <c r="BJ34" s="523" t="s">
        <v>413</v>
      </c>
      <c r="BK34" s="550" t="s">
        <v>387</v>
      </c>
      <c r="BL34" s="546">
        <v>1.0</v>
      </c>
    </row>
    <row r="35" ht="15.0" hidden="1" customHeight="1">
      <c r="A35" s="53">
        <v>34.0</v>
      </c>
      <c r="B35" s="124" t="s">
        <v>188</v>
      </c>
      <c r="C35" s="125"/>
      <c r="D35" s="126"/>
      <c r="E35" s="126"/>
      <c r="F35" s="126"/>
      <c r="G35" s="126"/>
      <c r="H35" s="128"/>
      <c r="I35" s="126"/>
      <c r="J35" s="126"/>
      <c r="K35" s="129"/>
      <c r="L35" s="573"/>
      <c r="M35" s="126"/>
      <c r="N35" s="126"/>
      <c r="O35" s="126"/>
      <c r="P35" s="522"/>
      <c r="Q35" s="575"/>
      <c r="R35" s="576"/>
      <c r="S35" s="577"/>
      <c r="T35" s="575"/>
      <c r="U35" s="576"/>
      <c r="V35" s="577"/>
      <c r="W35" s="575"/>
      <c r="X35" s="576"/>
      <c r="Y35" s="577"/>
      <c r="Z35" s="575"/>
      <c r="AA35" s="576"/>
      <c r="AB35" s="577"/>
      <c r="AC35" s="575"/>
      <c r="AD35" s="576"/>
      <c r="AE35" s="577"/>
      <c r="AF35" s="578"/>
      <c r="AG35" s="578"/>
      <c r="AH35" s="578"/>
      <c r="AI35" s="578"/>
      <c r="AJ35" s="578"/>
      <c r="AK35" s="578"/>
      <c r="AL35" s="578"/>
      <c r="AM35" s="578"/>
      <c r="AN35" s="578"/>
      <c r="AO35" s="578"/>
      <c r="AP35" s="578"/>
      <c r="AQ35" s="578"/>
      <c r="AR35" s="578"/>
      <c r="AS35" s="578"/>
      <c r="AT35" s="578"/>
      <c r="AU35" s="578"/>
      <c r="AV35" s="578"/>
      <c r="AW35" s="578"/>
      <c r="AX35" s="578"/>
      <c r="AY35" s="578"/>
      <c r="AZ35" s="578"/>
      <c r="BA35" s="578"/>
      <c r="BB35" s="578"/>
      <c r="BC35" s="578"/>
      <c r="BD35" s="578"/>
      <c r="BE35" s="578"/>
      <c r="BF35" s="578"/>
      <c r="BG35" s="578"/>
      <c r="BH35" s="578"/>
      <c r="BI35" s="578"/>
      <c r="BJ35" s="578"/>
      <c r="BK35" s="578"/>
      <c r="BL35" s="578"/>
    </row>
    <row r="36" ht="16.5" customHeight="1">
      <c r="A36" s="53">
        <v>35.0</v>
      </c>
      <c r="B36" s="145" t="s">
        <v>189</v>
      </c>
      <c r="C36" s="145" t="s">
        <v>190</v>
      </c>
      <c r="D36" s="101" t="str">
        <f>MID(B36,17,4)</f>
        <v>DATA</v>
      </c>
      <c r="E36" s="101" t="s">
        <v>154</v>
      </c>
      <c r="F36" s="102">
        <v>1112.0</v>
      </c>
      <c r="G36" s="517" t="s">
        <v>155</v>
      </c>
      <c r="H36" s="517">
        <v>1129.0</v>
      </c>
      <c r="I36" s="68" t="str">
        <f>IFERROR(VLOOKUP(C:C,'R22 RELATÓRIO ACC'!B:F,5,FALSE),"NOT PUBLISHED")</f>
        <v>V39</v>
      </c>
      <c r="J36" s="68" t="str">
        <f>IFERROR(VLOOKUP(C:C,'R22 RELATÓRIO ACC'!B:P,15,FALSE),"NOT PUBLISHED")</f>
        <v>19/03/2026</v>
      </c>
      <c r="K36" s="70" t="str">
        <f>IFERROR(VLOOKUP(B:B,'RELATÓRIO ACC'!B:F,5,FALSE),"NOT PUBLISHED")</f>
        <v>V5</v>
      </c>
      <c r="L36" s="518" t="str">
        <f>IFERROR(VLOOKUP(B:B,'RELATÓRIO ACC'!B:P,15,FALSE),"NOT PUBLISHED")</f>
        <v>10/07/2026</v>
      </c>
      <c r="M36" s="530" t="s">
        <v>399</v>
      </c>
      <c r="N36" s="842">
        <v>46199.0</v>
      </c>
      <c r="O36" s="538" t="s">
        <v>378</v>
      </c>
      <c r="P36" s="587" t="s">
        <v>397</v>
      </c>
      <c r="Q36" s="523" t="s">
        <v>383</v>
      </c>
      <c r="R36" s="558" t="s">
        <v>380</v>
      </c>
      <c r="S36" s="551">
        <v>0.0</v>
      </c>
      <c r="T36" s="523" t="s">
        <v>383</v>
      </c>
      <c r="U36" s="558" t="s">
        <v>380</v>
      </c>
      <c r="V36" s="551">
        <v>0.0</v>
      </c>
      <c r="W36" s="523" t="s">
        <v>381</v>
      </c>
      <c r="X36" s="550" t="s">
        <v>443</v>
      </c>
      <c r="Y36" s="551">
        <v>0.83</v>
      </c>
      <c r="Z36" s="523" t="s">
        <v>379</v>
      </c>
      <c r="AA36" s="550" t="s">
        <v>443</v>
      </c>
      <c r="AB36" s="525" t="s">
        <v>379</v>
      </c>
      <c r="AC36" s="523" t="s">
        <v>379</v>
      </c>
      <c r="AD36" s="550" t="s">
        <v>443</v>
      </c>
      <c r="AE36" s="525" t="s">
        <v>379</v>
      </c>
      <c r="AF36" s="523" t="s">
        <v>379</v>
      </c>
      <c r="AG36" s="550" t="s">
        <v>443</v>
      </c>
      <c r="AH36" s="525" t="s">
        <v>379</v>
      </c>
      <c r="AI36" s="523" t="s">
        <v>379</v>
      </c>
      <c r="AJ36" s="550" t="s">
        <v>443</v>
      </c>
      <c r="AK36" s="525" t="s">
        <v>379</v>
      </c>
      <c r="AL36" s="523" t="s">
        <v>383</v>
      </c>
      <c r="AM36" s="550" t="s">
        <v>443</v>
      </c>
      <c r="AN36" s="525" t="s">
        <v>383</v>
      </c>
      <c r="AO36" s="523" t="s">
        <v>383</v>
      </c>
      <c r="AP36" s="550" t="s">
        <v>443</v>
      </c>
      <c r="AQ36" s="525" t="s">
        <v>383</v>
      </c>
      <c r="AR36" s="523" t="s">
        <v>383</v>
      </c>
      <c r="AS36" s="550" t="s">
        <v>443</v>
      </c>
      <c r="AT36" s="525" t="s">
        <v>383</v>
      </c>
      <c r="AU36" s="528" t="s">
        <v>383</v>
      </c>
      <c r="AV36" s="550" t="s">
        <v>443</v>
      </c>
      <c r="AW36" s="528" t="s">
        <v>383</v>
      </c>
      <c r="AX36" s="528" t="s">
        <v>383</v>
      </c>
      <c r="AY36" s="550" t="s">
        <v>443</v>
      </c>
      <c r="AZ36" s="528" t="s">
        <v>383</v>
      </c>
      <c r="BA36" s="528" t="s">
        <v>398</v>
      </c>
      <c r="BB36" s="550" t="s">
        <v>400</v>
      </c>
      <c r="BC36" s="528" t="s">
        <v>398</v>
      </c>
      <c r="BD36" s="528" t="s">
        <v>386</v>
      </c>
      <c r="BE36" s="550" t="s">
        <v>399</v>
      </c>
      <c r="BF36" s="548">
        <v>1.0</v>
      </c>
      <c r="BG36" s="528" t="s">
        <v>413</v>
      </c>
      <c r="BH36" s="550" t="s">
        <v>399</v>
      </c>
      <c r="BI36" s="548">
        <v>1.0</v>
      </c>
      <c r="BJ36" s="528" t="s">
        <v>413</v>
      </c>
      <c r="BK36" s="550" t="s">
        <v>399</v>
      </c>
      <c r="BL36" s="548">
        <v>1.0</v>
      </c>
    </row>
    <row r="37" ht="15.0" hidden="1" customHeight="1">
      <c r="A37" s="53">
        <v>36.0</v>
      </c>
      <c r="B37" s="146" t="s">
        <v>193</v>
      </c>
      <c r="C37" s="147"/>
      <c r="D37" s="148"/>
      <c r="E37" s="148"/>
      <c r="F37" s="148"/>
      <c r="G37" s="148"/>
      <c r="H37" s="150"/>
      <c r="I37" s="148"/>
      <c r="J37" s="148"/>
      <c r="K37" s="151"/>
      <c r="L37" s="580"/>
      <c r="M37" s="148"/>
      <c r="N37" s="148"/>
      <c r="O37" s="148"/>
      <c r="P37" s="522"/>
      <c r="Q37" s="582"/>
      <c r="R37" s="583"/>
      <c r="S37" s="584"/>
      <c r="T37" s="582"/>
      <c r="U37" s="583"/>
      <c r="V37" s="584"/>
      <c r="W37" s="582"/>
      <c r="X37" s="583"/>
      <c r="Y37" s="584"/>
      <c r="Z37" s="582"/>
      <c r="AA37" s="583"/>
      <c r="AB37" s="584"/>
      <c r="AC37" s="582"/>
      <c r="AD37" s="583"/>
      <c r="AE37" s="584"/>
      <c r="AF37" s="585"/>
      <c r="AG37" s="585"/>
      <c r="AH37" s="585"/>
      <c r="AI37" s="585"/>
      <c r="AJ37" s="585"/>
      <c r="AK37" s="585"/>
      <c r="AL37" s="585"/>
      <c r="AM37" s="585"/>
      <c r="AN37" s="585"/>
      <c r="AO37" s="585"/>
      <c r="AP37" s="585"/>
      <c r="AQ37" s="585"/>
      <c r="AR37" s="585"/>
      <c r="AS37" s="585"/>
      <c r="AT37" s="585"/>
      <c r="AU37" s="585"/>
      <c r="AV37" s="585"/>
      <c r="AW37" s="585"/>
      <c r="AX37" s="585"/>
      <c r="AY37" s="585"/>
      <c r="AZ37" s="585"/>
      <c r="BA37" s="585"/>
      <c r="BB37" s="585"/>
      <c r="BC37" s="585"/>
      <c r="BD37" s="585"/>
      <c r="BE37" s="585"/>
      <c r="BF37" s="585"/>
      <c r="BG37" s="585"/>
      <c r="BH37" s="585"/>
      <c r="BI37" s="585"/>
      <c r="BJ37" s="585"/>
      <c r="BK37" s="585"/>
      <c r="BL37" s="585"/>
    </row>
    <row r="38" ht="15.0" customHeight="1">
      <c r="A38" s="53">
        <v>47.0</v>
      </c>
      <c r="B38" s="100" t="s">
        <v>223</v>
      </c>
      <c r="C38" s="100" t="s">
        <v>224</v>
      </c>
      <c r="D38" s="101" t="str">
        <f>MID(B38,17,4)</f>
        <v>DATA</v>
      </c>
      <c r="E38" s="101" t="s">
        <v>154</v>
      </c>
      <c r="F38" s="102">
        <v>1112.0</v>
      </c>
      <c r="G38" s="517" t="s">
        <v>154</v>
      </c>
      <c r="H38" s="517">
        <v>1112.0</v>
      </c>
      <c r="I38" s="68" t="str">
        <f>IFERROR(VLOOKUP(C:C,'R22 RELATÓRIO ACC'!B:F,5,FALSE),"NOT PUBLISHED")</f>
        <v>V17</v>
      </c>
      <c r="J38" s="68" t="str">
        <f>IFERROR(VLOOKUP(C:C,'R22 RELATÓRIO ACC'!B:P,15,FALSE),"NOT PUBLISHED")</f>
        <v>14/05/2026</v>
      </c>
      <c r="K38" s="70" t="str">
        <f>IFERROR(VLOOKUP(B:B,'RELATÓRIO ACC'!B:F,5,FALSE),"NOT PUBLISHED")</f>
        <v>V4</v>
      </c>
      <c r="L38" s="518" t="str">
        <f>IFERROR(VLOOKUP(B:B,'RELATÓRIO ACC'!B:P,15,FALSE),"NOT PUBLISHED")</f>
        <v>25/06/2026</v>
      </c>
      <c r="M38" s="530" t="s">
        <v>387</v>
      </c>
      <c r="N38" s="826">
        <v>46189.0</v>
      </c>
      <c r="O38" s="538" t="s">
        <v>378</v>
      </c>
      <c r="P38" s="587" t="s">
        <v>397</v>
      </c>
      <c r="Q38" s="523" t="s">
        <v>383</v>
      </c>
      <c r="R38" s="558" t="s">
        <v>380</v>
      </c>
      <c r="S38" s="551">
        <v>0.0</v>
      </c>
      <c r="T38" s="523" t="s">
        <v>383</v>
      </c>
      <c r="U38" s="558" t="s">
        <v>380</v>
      </c>
      <c r="V38" s="551">
        <v>0.0</v>
      </c>
      <c r="W38" s="523" t="s">
        <v>381</v>
      </c>
      <c r="X38" s="550" t="s">
        <v>418</v>
      </c>
      <c r="Y38" s="551">
        <v>0.66</v>
      </c>
      <c r="Z38" s="523" t="s">
        <v>383</v>
      </c>
      <c r="AA38" s="550" t="s">
        <v>418</v>
      </c>
      <c r="AB38" s="523" t="s">
        <v>383</v>
      </c>
      <c r="AC38" s="523" t="s">
        <v>383</v>
      </c>
      <c r="AD38" s="550" t="s">
        <v>418</v>
      </c>
      <c r="AE38" s="523" t="s">
        <v>383</v>
      </c>
      <c r="AF38" s="523" t="s">
        <v>383</v>
      </c>
      <c r="AG38" s="550" t="s">
        <v>418</v>
      </c>
      <c r="AH38" s="523" t="s">
        <v>383</v>
      </c>
      <c r="AI38" s="523" t="s">
        <v>383</v>
      </c>
      <c r="AJ38" s="550" t="s">
        <v>418</v>
      </c>
      <c r="AK38" s="523" t="s">
        <v>383</v>
      </c>
      <c r="AL38" s="523" t="s">
        <v>383</v>
      </c>
      <c r="AM38" s="550" t="s">
        <v>418</v>
      </c>
      <c r="AN38" s="523" t="s">
        <v>383</v>
      </c>
      <c r="AO38" s="523" t="s">
        <v>381</v>
      </c>
      <c r="AP38" s="550" t="s">
        <v>377</v>
      </c>
      <c r="AQ38" s="546">
        <v>0.97</v>
      </c>
      <c r="AR38" s="523" t="s">
        <v>379</v>
      </c>
      <c r="AS38" s="550" t="s">
        <v>377</v>
      </c>
      <c r="AT38" s="525" t="s">
        <v>379</v>
      </c>
      <c r="AU38" s="523" t="s">
        <v>379</v>
      </c>
      <c r="AV38" s="550" t="s">
        <v>377</v>
      </c>
      <c r="AW38" s="525" t="s">
        <v>379</v>
      </c>
      <c r="AX38" s="523" t="s">
        <v>381</v>
      </c>
      <c r="AY38" s="550" t="s">
        <v>377</v>
      </c>
      <c r="AZ38" s="551">
        <v>0.95</v>
      </c>
      <c r="BA38" s="523" t="s">
        <v>386</v>
      </c>
      <c r="BB38" s="550" t="s">
        <v>387</v>
      </c>
      <c r="BC38" s="551">
        <v>1.0</v>
      </c>
      <c r="BD38" s="523" t="s">
        <v>413</v>
      </c>
      <c r="BE38" s="550" t="s">
        <v>387</v>
      </c>
      <c r="BF38" s="551">
        <v>1.0</v>
      </c>
      <c r="BG38" s="523" t="s">
        <v>413</v>
      </c>
      <c r="BH38" s="550" t="s">
        <v>387</v>
      </c>
      <c r="BI38" s="551">
        <v>1.0</v>
      </c>
      <c r="BJ38" s="523" t="s">
        <v>413</v>
      </c>
      <c r="BK38" s="550" t="s">
        <v>387</v>
      </c>
      <c r="BL38" s="551">
        <v>1.0</v>
      </c>
    </row>
    <row r="39" ht="15.0" hidden="1" customHeight="1">
      <c r="A39" s="53">
        <v>38.0</v>
      </c>
      <c r="B39" s="188" t="s">
        <v>201</v>
      </c>
      <c r="C39" s="189"/>
      <c r="D39" s="190"/>
      <c r="E39" s="190"/>
      <c r="F39" s="190"/>
      <c r="G39" s="190"/>
      <c r="H39" s="192"/>
      <c r="I39" s="190"/>
      <c r="J39" s="190"/>
      <c r="K39" s="193"/>
      <c r="L39" s="598"/>
      <c r="M39" s="190"/>
      <c r="N39" s="190"/>
      <c r="O39" s="190"/>
      <c r="P39" s="522"/>
      <c r="Q39" s="600"/>
      <c r="R39" s="601"/>
      <c r="S39" s="602"/>
      <c r="T39" s="600"/>
      <c r="U39" s="601"/>
      <c r="V39" s="602"/>
      <c r="W39" s="600"/>
      <c r="X39" s="601"/>
      <c r="Y39" s="602"/>
      <c r="Z39" s="600"/>
      <c r="AA39" s="601"/>
      <c r="AB39" s="602"/>
      <c r="AC39" s="600"/>
      <c r="AD39" s="601"/>
      <c r="AE39" s="602"/>
      <c r="AF39" s="603"/>
      <c r="AG39" s="603"/>
      <c r="AH39" s="603"/>
      <c r="AI39" s="603"/>
      <c r="AJ39" s="603"/>
      <c r="AK39" s="603"/>
      <c r="AL39" s="603"/>
      <c r="AM39" s="603"/>
      <c r="AN39" s="603"/>
      <c r="AO39" s="603"/>
      <c r="AP39" s="603"/>
      <c r="AQ39" s="603"/>
      <c r="AR39" s="603"/>
      <c r="AS39" s="603"/>
      <c r="AT39" s="603"/>
      <c r="AU39" s="603"/>
      <c r="AV39" s="603"/>
      <c r="AW39" s="603"/>
      <c r="AX39" s="603"/>
      <c r="AY39" s="603"/>
      <c r="AZ39" s="603"/>
      <c r="BA39" s="603"/>
      <c r="BB39" s="603"/>
      <c r="BC39" s="603"/>
      <c r="BD39" s="603"/>
      <c r="BE39" s="603"/>
      <c r="BF39" s="603"/>
      <c r="BG39" s="603"/>
      <c r="BH39" s="603"/>
      <c r="BI39" s="603"/>
      <c r="BJ39" s="603"/>
      <c r="BK39" s="603"/>
      <c r="BL39" s="603"/>
    </row>
    <row r="40" ht="15.0" customHeight="1">
      <c r="A40" s="53">
        <v>52.0</v>
      </c>
      <c r="B40" s="100" t="s">
        <v>243</v>
      </c>
      <c r="C40" s="100" t="s">
        <v>244</v>
      </c>
      <c r="D40" s="101" t="str">
        <f>MID(B40,17,4)</f>
        <v>DATA</v>
      </c>
      <c r="E40" s="101" t="s">
        <v>237</v>
      </c>
      <c r="F40" s="102">
        <v>1118.0</v>
      </c>
      <c r="G40" s="517" t="s">
        <v>237</v>
      </c>
      <c r="H40" s="517">
        <v>1118.0</v>
      </c>
      <c r="I40" s="68" t="str">
        <f>IFERROR(VLOOKUP(C:C,'R22 RELATÓRIO ACC'!B:F,5,FALSE),"NOT PUBLISHED")</f>
        <v>V59</v>
      </c>
      <c r="J40" s="68" t="str">
        <f>IFERROR(VLOOKUP(C:C,'R22 RELATÓRIO ACC'!B:P,15,FALSE),"NOT PUBLISHED")</f>
        <v>17/04/2026</v>
      </c>
      <c r="K40" s="70" t="str">
        <f>IFERROR(VLOOKUP(B:B,'RELATÓRIO ACC'!B:F,5,FALSE),"NOT PUBLISHED")</f>
        <v>V5</v>
      </c>
      <c r="L40" s="518" t="str">
        <f>IFERROR(VLOOKUP(B:B,'RELATÓRIO ACC'!B:P,15,FALSE),"NOT PUBLISHED")</f>
        <v>06/07/2026</v>
      </c>
      <c r="M40" s="530" t="s">
        <v>387</v>
      </c>
      <c r="N40" s="845">
        <v>46159.0</v>
      </c>
      <c r="O40" s="538" t="s">
        <v>378</v>
      </c>
      <c r="P40" s="587" t="s">
        <v>397</v>
      </c>
      <c r="Q40" s="523" t="s">
        <v>383</v>
      </c>
      <c r="R40" s="558" t="s">
        <v>380</v>
      </c>
      <c r="S40" s="551">
        <v>0.0</v>
      </c>
      <c r="T40" s="523" t="s">
        <v>383</v>
      </c>
      <c r="U40" s="558" t="s">
        <v>380</v>
      </c>
      <c r="V40" s="551">
        <v>0.0</v>
      </c>
      <c r="W40" s="523" t="s">
        <v>381</v>
      </c>
      <c r="X40" s="550" t="s">
        <v>470</v>
      </c>
      <c r="Y40" s="551">
        <v>0.98</v>
      </c>
      <c r="Z40" s="523" t="s">
        <v>383</v>
      </c>
      <c r="AA40" s="550" t="s">
        <v>470</v>
      </c>
      <c r="AB40" s="525" t="s">
        <v>383</v>
      </c>
      <c r="AC40" s="523" t="s">
        <v>383</v>
      </c>
      <c r="AD40" s="550" t="s">
        <v>470</v>
      </c>
      <c r="AE40" s="525" t="s">
        <v>383</v>
      </c>
      <c r="AF40" s="523" t="s">
        <v>383</v>
      </c>
      <c r="AG40" s="550" t="s">
        <v>470</v>
      </c>
      <c r="AH40" s="525" t="s">
        <v>383</v>
      </c>
      <c r="AI40" s="523" t="s">
        <v>383</v>
      </c>
      <c r="AJ40" s="550" t="s">
        <v>470</v>
      </c>
      <c r="AK40" s="525" t="s">
        <v>383</v>
      </c>
      <c r="AL40" s="523" t="s">
        <v>383</v>
      </c>
      <c r="AM40" s="550" t="s">
        <v>470</v>
      </c>
      <c r="AN40" s="525" t="s">
        <v>383</v>
      </c>
      <c r="AO40" s="528" t="s">
        <v>383</v>
      </c>
      <c r="AP40" s="550" t="s">
        <v>470</v>
      </c>
      <c r="AQ40" s="528" t="s">
        <v>383</v>
      </c>
      <c r="AR40" s="528" t="s">
        <v>383</v>
      </c>
      <c r="AS40" s="550" t="s">
        <v>470</v>
      </c>
      <c r="AT40" s="528" t="s">
        <v>383</v>
      </c>
      <c r="AU40" s="528" t="s">
        <v>383</v>
      </c>
      <c r="AV40" s="550" t="s">
        <v>470</v>
      </c>
      <c r="AW40" s="528" t="s">
        <v>383</v>
      </c>
      <c r="AX40" s="528" t="s">
        <v>386</v>
      </c>
      <c r="AY40" s="550" t="s">
        <v>387</v>
      </c>
      <c r="AZ40" s="548">
        <v>1.0</v>
      </c>
      <c r="BA40" s="528" t="s">
        <v>413</v>
      </c>
      <c r="BB40" s="550" t="s">
        <v>387</v>
      </c>
      <c r="BC40" s="548">
        <v>1.0</v>
      </c>
      <c r="BD40" s="528" t="s">
        <v>413</v>
      </c>
      <c r="BE40" s="550" t="s">
        <v>387</v>
      </c>
      <c r="BF40" s="548">
        <v>1.0</v>
      </c>
      <c r="BG40" s="528" t="s">
        <v>413</v>
      </c>
      <c r="BH40" s="550" t="s">
        <v>387</v>
      </c>
      <c r="BI40" s="548">
        <v>1.0</v>
      </c>
      <c r="BJ40" s="528" t="s">
        <v>413</v>
      </c>
      <c r="BK40" s="550" t="s">
        <v>387</v>
      </c>
      <c r="BL40" s="548">
        <v>1.0</v>
      </c>
    </row>
    <row r="41" ht="15.0" hidden="1" customHeight="1">
      <c r="A41" s="53">
        <v>40.0</v>
      </c>
      <c r="B41" s="209" t="s">
        <v>206</v>
      </c>
      <c r="C41" s="210"/>
      <c r="D41" s="211"/>
      <c r="E41" s="211"/>
      <c r="F41" s="211"/>
      <c r="G41" s="211"/>
      <c r="H41" s="213"/>
      <c r="I41" s="211"/>
      <c r="J41" s="211"/>
      <c r="K41" s="214"/>
      <c r="L41" s="606"/>
      <c r="M41" s="211"/>
      <c r="N41" s="211"/>
      <c r="O41" s="211"/>
      <c r="P41" s="522"/>
      <c r="Q41" s="607"/>
      <c r="R41" s="608"/>
      <c r="S41" s="609"/>
      <c r="T41" s="607"/>
      <c r="U41" s="608"/>
      <c r="V41" s="609"/>
      <c r="W41" s="607"/>
      <c r="X41" s="608"/>
      <c r="Y41" s="609"/>
      <c r="Z41" s="607"/>
      <c r="AA41" s="608"/>
      <c r="AB41" s="609"/>
      <c r="AC41" s="607"/>
      <c r="AD41" s="608"/>
      <c r="AE41" s="609"/>
      <c r="AF41" s="610"/>
      <c r="AG41" s="610"/>
      <c r="AH41" s="610"/>
      <c r="AI41" s="610"/>
      <c r="AJ41" s="610"/>
      <c r="AK41" s="610"/>
      <c r="AL41" s="610"/>
      <c r="AM41" s="610"/>
      <c r="AN41" s="610"/>
      <c r="AO41" s="610"/>
      <c r="AP41" s="610"/>
      <c r="AQ41" s="610"/>
      <c r="AR41" s="610"/>
      <c r="AS41" s="610"/>
      <c r="AT41" s="610"/>
      <c r="AU41" s="610"/>
      <c r="AV41" s="610"/>
      <c r="AW41" s="610"/>
      <c r="AX41" s="610"/>
      <c r="AY41" s="610"/>
      <c r="AZ41" s="610"/>
      <c r="BA41" s="610"/>
      <c r="BB41" s="610"/>
      <c r="BC41" s="610"/>
      <c r="BD41" s="610"/>
      <c r="BE41" s="610"/>
      <c r="BF41" s="610"/>
      <c r="BG41" s="610"/>
      <c r="BH41" s="610"/>
      <c r="BI41" s="610"/>
      <c r="BJ41" s="610"/>
      <c r="BK41" s="610"/>
      <c r="BL41" s="610"/>
    </row>
    <row r="42" ht="15.0" customHeight="1">
      <c r="A42" s="53">
        <v>13.0</v>
      </c>
      <c r="B42" s="100" t="s">
        <v>78</v>
      </c>
      <c r="C42" s="100" t="s">
        <v>79</v>
      </c>
      <c r="D42" s="101" t="str">
        <f>MID(B42,17,4)</f>
        <v>DATA</v>
      </c>
      <c r="E42" s="101" t="s">
        <v>80</v>
      </c>
      <c r="F42" s="101">
        <v>1130.0</v>
      </c>
      <c r="G42" s="101" t="s">
        <v>80</v>
      </c>
      <c r="H42" s="517">
        <v>1130.0</v>
      </c>
      <c r="I42" s="68" t="str">
        <f>IFERROR(VLOOKUP(C:C,'R22 RELATÓRIO ACC'!B:F,5,FALSE),"NOT PUBLISHED")</f>
        <v>V29</v>
      </c>
      <c r="J42" s="68" t="str">
        <f>IFERROR(VLOOKUP(C:C,'R22 RELATÓRIO ACC'!B:P,15,FALSE),"NOT PUBLISHED")</f>
        <v>13/04/2026</v>
      </c>
      <c r="K42" s="70" t="str">
        <f>IFERROR(VLOOKUP(B:B,'RELATÓRIO ACC'!B:F,5,FALSE),"NOT PUBLISHED")</f>
        <v>V3</v>
      </c>
      <c r="L42" s="518" t="str">
        <f>IFERROR(VLOOKUP(B:B,'RELATÓRIO ACC'!B:P,15,FALSE),"NOT PUBLISHED")</f>
        <v>03/06/2026</v>
      </c>
      <c r="M42" s="538" t="s">
        <v>400</v>
      </c>
      <c r="N42" s="807">
        <v>46176.0</v>
      </c>
      <c r="O42" s="538" t="s">
        <v>378</v>
      </c>
      <c r="P42" s="587"/>
      <c r="Q42" s="523" t="s">
        <v>383</v>
      </c>
      <c r="R42" s="558" t="s">
        <v>380</v>
      </c>
      <c r="S42" s="551">
        <v>0.0</v>
      </c>
      <c r="T42" s="523" t="s">
        <v>381</v>
      </c>
      <c r="U42" s="550" t="s">
        <v>407</v>
      </c>
      <c r="V42" s="551">
        <v>0.74</v>
      </c>
      <c r="W42" s="523" t="s">
        <v>381</v>
      </c>
      <c r="X42" s="550" t="s">
        <v>408</v>
      </c>
      <c r="Y42" s="551">
        <v>0.79</v>
      </c>
      <c r="Z42" s="523" t="s">
        <v>379</v>
      </c>
      <c r="AA42" s="550" t="s">
        <v>408</v>
      </c>
      <c r="AB42" s="523" t="s">
        <v>379</v>
      </c>
      <c r="AC42" s="523" t="s">
        <v>379</v>
      </c>
      <c r="AD42" s="550" t="s">
        <v>408</v>
      </c>
      <c r="AE42" s="523" t="s">
        <v>379</v>
      </c>
      <c r="AF42" s="523" t="s">
        <v>379</v>
      </c>
      <c r="AG42" s="550" t="s">
        <v>408</v>
      </c>
      <c r="AH42" s="523" t="s">
        <v>379</v>
      </c>
      <c r="AI42" s="523" t="s">
        <v>379</v>
      </c>
      <c r="AJ42" s="550" t="s">
        <v>408</v>
      </c>
      <c r="AK42" s="523" t="s">
        <v>379</v>
      </c>
      <c r="AL42" s="523" t="s">
        <v>383</v>
      </c>
      <c r="AM42" s="550" t="s">
        <v>408</v>
      </c>
      <c r="AN42" s="523" t="s">
        <v>383</v>
      </c>
      <c r="AO42" s="528" t="s">
        <v>383</v>
      </c>
      <c r="AP42" s="550" t="s">
        <v>408</v>
      </c>
      <c r="AQ42" s="528" t="s">
        <v>383</v>
      </c>
      <c r="AR42" s="528" t="s">
        <v>383</v>
      </c>
      <c r="AS42" s="550" t="s">
        <v>408</v>
      </c>
      <c r="AT42" s="528" t="s">
        <v>383</v>
      </c>
      <c r="AU42" s="528" t="s">
        <v>413</v>
      </c>
      <c r="AV42" s="550" t="s">
        <v>400</v>
      </c>
      <c r="AW42" s="548">
        <v>1.0</v>
      </c>
      <c r="AX42" s="528" t="s">
        <v>413</v>
      </c>
      <c r="AY42" s="550" t="s">
        <v>400</v>
      </c>
      <c r="AZ42" s="548">
        <v>1.0</v>
      </c>
      <c r="BA42" s="528" t="s">
        <v>413</v>
      </c>
      <c r="BB42" s="550" t="s">
        <v>400</v>
      </c>
      <c r="BC42" s="548">
        <v>1.0</v>
      </c>
      <c r="BD42" s="528" t="s">
        <v>413</v>
      </c>
      <c r="BE42" s="550" t="s">
        <v>400</v>
      </c>
      <c r="BF42" s="548">
        <v>1.0</v>
      </c>
      <c r="BG42" s="528" t="s">
        <v>413</v>
      </c>
      <c r="BH42" s="550" t="s">
        <v>400</v>
      </c>
      <c r="BI42" s="548">
        <v>1.0</v>
      </c>
      <c r="BJ42" s="528" t="s">
        <v>413</v>
      </c>
      <c r="BK42" s="550" t="s">
        <v>400</v>
      </c>
      <c r="BL42" s="548">
        <v>1.0</v>
      </c>
    </row>
    <row r="43" ht="15.0" hidden="1" customHeight="1">
      <c r="A43" s="53">
        <v>42.0</v>
      </c>
      <c r="B43" s="209" t="s">
        <v>211</v>
      </c>
      <c r="C43" s="210"/>
      <c r="D43" s="211"/>
      <c r="E43" s="211"/>
      <c r="F43" s="211"/>
      <c r="G43" s="211"/>
      <c r="H43" s="213"/>
      <c r="I43" s="211"/>
      <c r="J43" s="211"/>
      <c r="K43" s="214"/>
      <c r="L43" s="606"/>
      <c r="M43" s="211"/>
      <c r="N43" s="211"/>
      <c r="O43" s="211"/>
      <c r="P43" s="522"/>
      <c r="Q43" s="607"/>
      <c r="R43" s="608"/>
      <c r="S43" s="609"/>
      <c r="T43" s="607"/>
      <c r="U43" s="608"/>
      <c r="V43" s="609"/>
      <c r="W43" s="607"/>
      <c r="X43" s="608"/>
      <c r="Y43" s="609"/>
      <c r="Z43" s="607"/>
      <c r="AA43" s="608"/>
      <c r="AB43" s="609"/>
      <c r="AC43" s="607"/>
      <c r="AD43" s="608"/>
      <c r="AE43" s="609"/>
      <c r="AF43" s="610"/>
      <c r="AG43" s="610"/>
      <c r="AH43" s="610"/>
      <c r="AI43" s="610"/>
      <c r="AJ43" s="610"/>
      <c r="AK43" s="610"/>
      <c r="AL43" s="610"/>
      <c r="AM43" s="610"/>
      <c r="AN43" s="610"/>
      <c r="AO43" s="610"/>
      <c r="AP43" s="610"/>
      <c r="AQ43" s="610"/>
      <c r="AR43" s="610"/>
      <c r="AS43" s="610"/>
      <c r="AT43" s="610"/>
      <c r="AU43" s="610"/>
      <c r="AV43" s="610"/>
      <c r="AW43" s="610"/>
      <c r="AX43" s="610"/>
      <c r="AY43" s="610"/>
      <c r="AZ43" s="610"/>
      <c r="BA43" s="610"/>
      <c r="BB43" s="610"/>
      <c r="BC43" s="610"/>
      <c r="BD43" s="610"/>
      <c r="BE43" s="610"/>
      <c r="BF43" s="610"/>
      <c r="BG43" s="610"/>
      <c r="BH43" s="610"/>
      <c r="BI43" s="610"/>
      <c r="BJ43" s="610"/>
      <c r="BK43" s="610"/>
      <c r="BL43" s="610"/>
    </row>
    <row r="44" ht="15.0" customHeight="1">
      <c r="A44" s="53">
        <v>12.0</v>
      </c>
      <c r="B44" s="100" t="s">
        <v>118</v>
      </c>
      <c r="C44" s="100" t="s">
        <v>119</v>
      </c>
      <c r="D44" s="101" t="str">
        <f>MID(B44,17,4)</f>
        <v>DATA</v>
      </c>
      <c r="E44" s="101" t="s">
        <v>120</v>
      </c>
      <c r="F44" s="102">
        <v>1110.0</v>
      </c>
      <c r="G44" s="517" t="s">
        <v>121</v>
      </c>
      <c r="H44" s="517">
        <v>1128.0</v>
      </c>
      <c r="I44" s="68" t="str">
        <f>IFERROR(VLOOKUP(C:C,'R22 RELATÓRIO ACC'!B:F,5,FALSE),"NOT PUBLISHED")</f>
        <v>V25</v>
      </c>
      <c r="J44" s="68" t="str">
        <f>IFERROR(VLOOKUP(C:C,'R22 RELATÓRIO ACC'!B:P,15,FALSE),"NOT PUBLISHED")</f>
        <v>06/05/2026</v>
      </c>
      <c r="K44" s="70" t="str">
        <f>IFERROR(VLOOKUP(B:B,'RELATÓRIO ACC'!B:F,5,FALSE),"NOT PUBLISHED")</f>
        <v>V3</v>
      </c>
      <c r="L44" s="518" t="str">
        <f>IFERROR(VLOOKUP(B:B,'RELATÓRIO ACC'!B:P,15,FALSE),"NOT PUBLISHED")</f>
        <v>07/07/2026</v>
      </c>
      <c r="M44" s="538" t="s">
        <v>404</v>
      </c>
      <c r="N44" s="807">
        <v>46108.0</v>
      </c>
      <c r="O44" s="538" t="s">
        <v>410</v>
      </c>
      <c r="P44" s="587"/>
      <c r="Q44" s="523" t="s">
        <v>383</v>
      </c>
      <c r="R44" s="558" t="s">
        <v>380</v>
      </c>
      <c r="S44" s="551">
        <v>0.0</v>
      </c>
      <c r="T44" s="523" t="s">
        <v>386</v>
      </c>
      <c r="U44" s="550" t="s">
        <v>404</v>
      </c>
      <c r="V44" s="551">
        <v>1.0</v>
      </c>
      <c r="W44" s="523" t="s">
        <v>413</v>
      </c>
      <c r="X44" s="550" t="s">
        <v>404</v>
      </c>
      <c r="Y44" s="546">
        <v>1.0</v>
      </c>
      <c r="Z44" s="523" t="s">
        <v>413</v>
      </c>
      <c r="AA44" s="550" t="s">
        <v>404</v>
      </c>
      <c r="AB44" s="546">
        <v>1.0</v>
      </c>
      <c r="AC44" s="523" t="s">
        <v>413</v>
      </c>
      <c r="AD44" s="550" t="s">
        <v>404</v>
      </c>
      <c r="AE44" s="546">
        <v>1.0</v>
      </c>
      <c r="AF44" s="523" t="s">
        <v>413</v>
      </c>
      <c r="AG44" s="550" t="s">
        <v>404</v>
      </c>
      <c r="AH44" s="546">
        <v>1.0</v>
      </c>
      <c r="AI44" s="523" t="s">
        <v>413</v>
      </c>
      <c r="AJ44" s="550" t="s">
        <v>404</v>
      </c>
      <c r="AK44" s="546">
        <v>1.0</v>
      </c>
      <c r="AL44" s="523" t="s">
        <v>413</v>
      </c>
      <c r="AM44" s="550" t="s">
        <v>404</v>
      </c>
      <c r="AN44" s="546">
        <v>1.0</v>
      </c>
      <c r="AO44" s="528" t="s">
        <v>413</v>
      </c>
      <c r="AP44" s="550" t="s">
        <v>404</v>
      </c>
      <c r="AQ44" s="548">
        <v>1.0</v>
      </c>
      <c r="AR44" s="528" t="s">
        <v>413</v>
      </c>
      <c r="AS44" s="550" t="s">
        <v>404</v>
      </c>
      <c r="AT44" s="548">
        <v>1.0</v>
      </c>
      <c r="AU44" s="528" t="s">
        <v>413</v>
      </c>
      <c r="AV44" s="550" t="s">
        <v>404</v>
      </c>
      <c r="AW44" s="548">
        <v>1.0</v>
      </c>
      <c r="AX44" s="528" t="s">
        <v>413</v>
      </c>
      <c r="AY44" s="550" t="s">
        <v>404</v>
      </c>
      <c r="AZ44" s="548">
        <v>1.0</v>
      </c>
      <c r="BA44" s="528" t="s">
        <v>413</v>
      </c>
      <c r="BB44" s="550" t="s">
        <v>404</v>
      </c>
      <c r="BC44" s="548">
        <v>1.0</v>
      </c>
      <c r="BD44" s="528" t="s">
        <v>413</v>
      </c>
      <c r="BE44" s="550" t="s">
        <v>404</v>
      </c>
      <c r="BF44" s="548">
        <v>1.0</v>
      </c>
      <c r="BG44" s="528" t="s">
        <v>413</v>
      </c>
      <c r="BH44" s="550" t="s">
        <v>404</v>
      </c>
      <c r="BI44" s="548">
        <v>1.0</v>
      </c>
      <c r="BJ44" s="528" t="s">
        <v>413</v>
      </c>
      <c r="BK44" s="550" t="s">
        <v>404</v>
      </c>
      <c r="BL44" s="548">
        <v>1.0</v>
      </c>
    </row>
    <row r="45" ht="15.0" hidden="1" customHeight="1">
      <c r="A45" s="53">
        <v>44.0</v>
      </c>
      <c r="B45" s="230" t="s">
        <v>215</v>
      </c>
      <c r="C45" s="231"/>
      <c r="D45" s="232"/>
      <c r="E45" s="232"/>
      <c r="F45" s="232"/>
      <c r="G45" s="232"/>
      <c r="H45" s="234"/>
      <c r="I45" s="232"/>
      <c r="J45" s="232"/>
      <c r="K45" s="235"/>
      <c r="L45" s="613"/>
      <c r="M45" s="232"/>
      <c r="N45" s="232"/>
      <c r="O45" s="232"/>
      <c r="P45" s="522"/>
      <c r="Q45" s="614"/>
      <c r="R45" s="615"/>
      <c r="S45" s="616"/>
      <c r="T45" s="614"/>
      <c r="U45" s="615"/>
      <c r="V45" s="616"/>
      <c r="W45" s="614"/>
      <c r="X45" s="615"/>
      <c r="Y45" s="616"/>
      <c r="Z45" s="614"/>
      <c r="AA45" s="615"/>
      <c r="AB45" s="616"/>
      <c r="AC45" s="614"/>
      <c r="AD45" s="615"/>
      <c r="AE45" s="616"/>
      <c r="AF45" s="617"/>
      <c r="AG45" s="617"/>
      <c r="AH45" s="617"/>
      <c r="AI45" s="617"/>
      <c r="AJ45" s="617"/>
      <c r="AK45" s="617"/>
      <c r="AL45" s="617"/>
      <c r="AM45" s="617"/>
      <c r="AN45" s="617"/>
      <c r="AO45" s="617"/>
      <c r="AP45" s="617"/>
      <c r="AQ45" s="617"/>
      <c r="AR45" s="617"/>
      <c r="AS45" s="617"/>
      <c r="AT45" s="617"/>
      <c r="AU45" s="617"/>
      <c r="AV45" s="617"/>
      <c r="AW45" s="617"/>
      <c r="AX45" s="617"/>
      <c r="AY45" s="617"/>
      <c r="AZ45" s="617"/>
      <c r="BA45" s="617"/>
      <c r="BB45" s="617"/>
      <c r="BC45" s="617"/>
      <c r="BD45" s="617"/>
      <c r="BE45" s="617"/>
      <c r="BF45" s="617"/>
      <c r="BG45" s="617"/>
      <c r="BH45" s="617"/>
      <c r="BI45" s="617"/>
      <c r="BJ45" s="617"/>
      <c r="BK45" s="617"/>
      <c r="BL45" s="617"/>
    </row>
    <row r="46" ht="15.0" customHeight="1">
      <c r="A46" s="53">
        <v>7.0</v>
      </c>
      <c r="B46" s="100" t="s">
        <v>95</v>
      </c>
      <c r="C46" s="100" t="s">
        <v>96</v>
      </c>
      <c r="D46" s="101" t="str">
        <f>MID(B46,17,4)</f>
        <v>DATA</v>
      </c>
      <c r="E46" s="101" t="s">
        <v>97</v>
      </c>
      <c r="F46" s="102">
        <v>1105.0</v>
      </c>
      <c r="G46" s="534" t="s">
        <v>92</v>
      </c>
      <c r="H46" s="517">
        <v>1105.0</v>
      </c>
      <c r="I46" s="68" t="str">
        <f>IFERROR(VLOOKUP(C:C,'R22 RELATÓRIO ACC'!B:F,5,FALSE),"NOT PUBLISHED")</f>
        <v>V9</v>
      </c>
      <c r="J46" s="68" t="str">
        <f>IFERROR(VLOOKUP(C:C,'R22 RELATÓRIO ACC'!B:P,15,FALSE),"NOT PUBLISHED")</f>
        <v>27/03/2026</v>
      </c>
      <c r="K46" s="70" t="str">
        <f>IFERROR(VLOOKUP(B:B,'RELATÓRIO ACC'!B:F,5,FALSE),"NOT PUBLISHED")</f>
        <v>V2</v>
      </c>
      <c r="L46" s="518" t="str">
        <f>IFERROR(VLOOKUP(B:B,'RELATÓRIO ACC'!B:P,15,FALSE),"NOT PUBLISHED")</f>
        <v>26/06/2026</v>
      </c>
      <c r="M46" s="538" t="s">
        <v>384</v>
      </c>
      <c r="N46" s="807">
        <v>46108.0</v>
      </c>
      <c r="O46" s="538" t="s">
        <v>410</v>
      </c>
      <c r="P46" s="587"/>
      <c r="Q46" s="523" t="s">
        <v>383</v>
      </c>
      <c r="R46" s="558" t="s">
        <v>380</v>
      </c>
      <c r="S46" s="551">
        <v>0.0</v>
      </c>
      <c r="T46" s="523" t="s">
        <v>386</v>
      </c>
      <c r="U46" s="550" t="s">
        <v>384</v>
      </c>
      <c r="V46" s="551">
        <v>1.0</v>
      </c>
      <c r="W46" s="523" t="s">
        <v>413</v>
      </c>
      <c r="X46" s="550" t="s">
        <v>384</v>
      </c>
      <c r="Y46" s="546">
        <v>1.0</v>
      </c>
      <c r="Z46" s="523" t="s">
        <v>413</v>
      </c>
      <c r="AA46" s="550" t="s">
        <v>384</v>
      </c>
      <c r="AB46" s="546">
        <v>1.0</v>
      </c>
      <c r="AC46" s="523" t="s">
        <v>413</v>
      </c>
      <c r="AD46" s="550" t="s">
        <v>384</v>
      </c>
      <c r="AE46" s="546">
        <v>1.0</v>
      </c>
      <c r="AF46" s="523" t="s">
        <v>413</v>
      </c>
      <c r="AG46" s="550" t="s">
        <v>384</v>
      </c>
      <c r="AH46" s="546">
        <v>1.0</v>
      </c>
      <c r="AI46" s="523" t="s">
        <v>413</v>
      </c>
      <c r="AJ46" s="550" t="s">
        <v>384</v>
      </c>
      <c r="AK46" s="546">
        <v>1.0</v>
      </c>
      <c r="AL46" s="809" t="s">
        <v>413</v>
      </c>
      <c r="AM46" s="550" t="s">
        <v>384</v>
      </c>
      <c r="AN46" s="815">
        <v>1.0</v>
      </c>
      <c r="AO46" s="528" t="s">
        <v>413</v>
      </c>
      <c r="AP46" s="550" t="s">
        <v>384</v>
      </c>
      <c r="AQ46" s="548">
        <v>1.0</v>
      </c>
      <c r="AR46" s="528" t="s">
        <v>413</v>
      </c>
      <c r="AS46" s="550" t="s">
        <v>384</v>
      </c>
      <c r="AT46" s="548">
        <v>1.0</v>
      </c>
      <c r="AU46" s="528" t="s">
        <v>413</v>
      </c>
      <c r="AV46" s="550" t="s">
        <v>384</v>
      </c>
      <c r="AW46" s="548">
        <v>1.0</v>
      </c>
      <c r="AX46" s="528" t="s">
        <v>413</v>
      </c>
      <c r="AY46" s="550" t="s">
        <v>384</v>
      </c>
      <c r="AZ46" s="548">
        <v>1.0</v>
      </c>
      <c r="BA46" s="528" t="s">
        <v>413</v>
      </c>
      <c r="BB46" s="550" t="s">
        <v>384</v>
      </c>
      <c r="BC46" s="548">
        <v>1.0</v>
      </c>
      <c r="BD46" s="528" t="s">
        <v>413</v>
      </c>
      <c r="BE46" s="550" t="s">
        <v>384</v>
      </c>
      <c r="BF46" s="548">
        <v>1.0</v>
      </c>
      <c r="BG46" s="528" t="s">
        <v>413</v>
      </c>
      <c r="BH46" s="550" t="s">
        <v>384</v>
      </c>
      <c r="BI46" s="548">
        <v>1.0</v>
      </c>
      <c r="BJ46" s="528" t="s">
        <v>413</v>
      </c>
      <c r="BK46" s="550" t="s">
        <v>384</v>
      </c>
      <c r="BL46" s="548">
        <v>1.0</v>
      </c>
    </row>
    <row r="47" ht="15.0" hidden="1" customHeight="1">
      <c r="A47" s="53">
        <v>46.0</v>
      </c>
      <c r="B47" s="251" t="s">
        <v>220</v>
      </c>
      <c r="C47" s="252"/>
      <c r="D47" s="253"/>
      <c r="E47" s="253"/>
      <c r="F47" s="253"/>
      <c r="G47" s="253"/>
      <c r="H47" s="255"/>
      <c r="I47" s="253"/>
      <c r="J47" s="253"/>
      <c r="K47" s="256"/>
      <c r="L47" s="620"/>
      <c r="M47" s="253"/>
      <c r="N47" s="253"/>
      <c r="O47" s="253"/>
      <c r="P47" s="522"/>
      <c r="Q47" s="621"/>
      <c r="R47" s="622"/>
      <c r="S47" s="623"/>
      <c r="T47" s="621"/>
      <c r="U47" s="622"/>
      <c r="V47" s="623"/>
      <c r="W47" s="621"/>
      <c r="X47" s="622"/>
      <c r="Y47" s="623"/>
      <c r="Z47" s="621"/>
      <c r="AA47" s="622"/>
      <c r="AB47" s="623"/>
      <c r="AC47" s="621"/>
      <c r="AD47" s="622"/>
      <c r="AE47" s="623"/>
      <c r="AF47" s="624"/>
      <c r="AG47" s="624"/>
      <c r="AH47" s="624"/>
      <c r="AI47" s="624"/>
      <c r="AJ47" s="624"/>
      <c r="AK47" s="624"/>
      <c r="AL47" s="624"/>
      <c r="AM47" s="624"/>
      <c r="AN47" s="624"/>
      <c r="AO47" s="624"/>
      <c r="AP47" s="624"/>
      <c r="AQ47" s="624"/>
      <c r="AR47" s="624"/>
      <c r="AS47" s="624"/>
      <c r="AT47" s="624"/>
      <c r="AU47" s="624"/>
      <c r="AV47" s="624"/>
      <c r="AW47" s="624"/>
      <c r="AX47" s="624"/>
      <c r="AY47" s="624"/>
      <c r="AZ47" s="624"/>
      <c r="BA47" s="624"/>
      <c r="BB47" s="624"/>
      <c r="BC47" s="624"/>
      <c r="BD47" s="624"/>
      <c r="BE47" s="624"/>
      <c r="BF47" s="624"/>
      <c r="BG47" s="624"/>
      <c r="BH47" s="624"/>
      <c r="BI47" s="624"/>
      <c r="BJ47" s="624"/>
      <c r="BK47" s="624"/>
      <c r="BL47" s="624"/>
    </row>
    <row r="48" ht="15.0" customHeight="1">
      <c r="A48" s="53">
        <v>2.0</v>
      </c>
      <c r="B48" s="100" t="s">
        <v>122</v>
      </c>
      <c r="C48" s="100" t="s">
        <v>123</v>
      </c>
      <c r="D48" s="101" t="str">
        <f>MID(B48,17,4)</f>
        <v>DATA</v>
      </c>
      <c r="E48" s="101" t="s">
        <v>120</v>
      </c>
      <c r="F48" s="102">
        <v>1110.0</v>
      </c>
      <c r="G48" s="517" t="s">
        <v>121</v>
      </c>
      <c r="H48" s="517">
        <v>1128.0</v>
      </c>
      <c r="I48" s="68" t="str">
        <f>IFERROR(VLOOKUP(C:C,'R22 RELATÓRIO ACC'!B:F,5,FALSE),"NOT PUBLISHED")</f>
        <v>V30</v>
      </c>
      <c r="J48" s="68" t="str">
        <f>IFERROR(VLOOKUP(C:C,'R22 RELATÓRIO ACC'!B:P,15,FALSE),"NOT PUBLISHED")</f>
        <v>26/03/2026</v>
      </c>
      <c r="K48" s="70" t="str">
        <f>IFERROR(VLOOKUP(B:B,'RELATÓRIO ACC'!B:F,5,FALSE),"NOT PUBLISHED")</f>
        <v>V2</v>
      </c>
      <c r="L48" s="518" t="str">
        <f>IFERROR(VLOOKUP(B:B,'RELATÓRIO ACC'!B:P,15,FALSE),"NOT PUBLISHED")</f>
        <v>20/05/2026</v>
      </c>
      <c r="M48" s="538" t="s">
        <v>436</v>
      </c>
      <c r="N48" s="807" t="s">
        <v>471</v>
      </c>
      <c r="O48" s="538" t="s">
        <v>410</v>
      </c>
      <c r="P48" s="587" t="s">
        <v>397</v>
      </c>
      <c r="Q48" s="523" t="s">
        <v>383</v>
      </c>
      <c r="R48" s="558" t="s">
        <v>380</v>
      </c>
      <c r="S48" s="551">
        <v>0.0</v>
      </c>
      <c r="T48" s="523" t="s">
        <v>383</v>
      </c>
      <c r="U48" s="558" t="s">
        <v>380</v>
      </c>
      <c r="V48" s="551">
        <v>0.0</v>
      </c>
      <c r="W48" s="523" t="s">
        <v>386</v>
      </c>
      <c r="X48" s="550" t="s">
        <v>436</v>
      </c>
      <c r="Y48" s="551">
        <v>1.0</v>
      </c>
      <c r="Z48" s="523" t="s">
        <v>413</v>
      </c>
      <c r="AA48" s="550" t="s">
        <v>436</v>
      </c>
      <c r="AB48" s="551">
        <v>1.0</v>
      </c>
      <c r="AC48" s="523" t="s">
        <v>413</v>
      </c>
      <c r="AD48" s="550" t="s">
        <v>436</v>
      </c>
      <c r="AE48" s="546">
        <v>1.0</v>
      </c>
      <c r="AF48" s="523" t="s">
        <v>413</v>
      </c>
      <c r="AG48" s="550" t="s">
        <v>436</v>
      </c>
      <c r="AH48" s="546">
        <v>1.0</v>
      </c>
      <c r="AI48" s="523" t="s">
        <v>413</v>
      </c>
      <c r="AJ48" s="550" t="s">
        <v>436</v>
      </c>
      <c r="AK48" s="546">
        <v>1.0</v>
      </c>
      <c r="AL48" s="523" t="s">
        <v>413</v>
      </c>
      <c r="AM48" s="550" t="s">
        <v>436</v>
      </c>
      <c r="AN48" s="546">
        <v>1.0</v>
      </c>
      <c r="AO48" s="523" t="s">
        <v>413</v>
      </c>
      <c r="AP48" s="550" t="s">
        <v>436</v>
      </c>
      <c r="AQ48" s="546">
        <v>1.0</v>
      </c>
      <c r="AR48" s="523" t="s">
        <v>413</v>
      </c>
      <c r="AS48" s="550" t="s">
        <v>436</v>
      </c>
      <c r="AT48" s="546">
        <v>1.0</v>
      </c>
      <c r="AU48" s="523" t="s">
        <v>413</v>
      </c>
      <c r="AV48" s="550" t="s">
        <v>436</v>
      </c>
      <c r="AW48" s="546">
        <v>1.0</v>
      </c>
      <c r="AX48" s="523" t="s">
        <v>413</v>
      </c>
      <c r="AY48" s="550" t="s">
        <v>436</v>
      </c>
      <c r="AZ48" s="546">
        <v>1.0</v>
      </c>
      <c r="BA48" s="523" t="s">
        <v>413</v>
      </c>
      <c r="BB48" s="550" t="s">
        <v>436</v>
      </c>
      <c r="BC48" s="546">
        <v>1.0</v>
      </c>
      <c r="BD48" s="523" t="s">
        <v>413</v>
      </c>
      <c r="BE48" s="550" t="s">
        <v>436</v>
      </c>
      <c r="BF48" s="546">
        <v>1.0</v>
      </c>
      <c r="BG48" s="523" t="s">
        <v>413</v>
      </c>
      <c r="BH48" s="550" t="s">
        <v>436</v>
      </c>
      <c r="BI48" s="546">
        <v>1.0</v>
      </c>
      <c r="BJ48" s="523" t="s">
        <v>413</v>
      </c>
      <c r="BK48" s="550" t="s">
        <v>436</v>
      </c>
      <c r="BL48" s="546">
        <v>1.0</v>
      </c>
    </row>
    <row r="49" ht="15.0" hidden="1" customHeight="1">
      <c r="A49" s="53">
        <v>48.0</v>
      </c>
      <c r="B49" s="271" t="s">
        <v>228</v>
      </c>
      <c r="C49" s="272"/>
      <c r="D49" s="273"/>
      <c r="E49" s="273"/>
      <c r="F49" s="273"/>
      <c r="G49" s="273"/>
      <c r="H49" s="275"/>
      <c r="I49" s="273"/>
      <c r="J49" s="273"/>
      <c r="K49" s="276"/>
      <c r="L49" s="627"/>
      <c r="M49" s="273"/>
      <c r="N49" s="273"/>
      <c r="O49" s="273"/>
      <c r="P49" s="522"/>
      <c r="Q49" s="628"/>
      <c r="R49" s="629"/>
      <c r="S49" s="630"/>
      <c r="T49" s="628"/>
      <c r="U49" s="629"/>
      <c r="V49" s="630"/>
      <c r="W49" s="628"/>
      <c r="X49" s="629"/>
      <c r="Y49" s="630"/>
      <c r="Z49" s="628"/>
      <c r="AA49" s="629"/>
      <c r="AB49" s="630"/>
      <c r="AC49" s="628"/>
      <c r="AD49" s="629"/>
      <c r="AE49" s="630"/>
      <c r="AF49" s="631"/>
      <c r="AG49" s="631"/>
      <c r="AH49" s="631"/>
      <c r="AI49" s="631"/>
      <c r="AJ49" s="631"/>
      <c r="AK49" s="631"/>
      <c r="AL49" s="631"/>
      <c r="AM49" s="631"/>
      <c r="AN49" s="631"/>
      <c r="AO49" s="631"/>
      <c r="AP49" s="631"/>
      <c r="AQ49" s="631"/>
      <c r="AR49" s="631"/>
      <c r="AS49" s="631"/>
      <c r="AT49" s="631"/>
      <c r="AU49" s="631"/>
      <c r="AV49" s="631"/>
      <c r="AW49" s="631"/>
      <c r="AX49" s="631"/>
      <c r="AY49" s="631"/>
      <c r="AZ49" s="631"/>
      <c r="BA49" s="631"/>
      <c r="BB49" s="631"/>
      <c r="BC49" s="631"/>
      <c r="BD49" s="631"/>
      <c r="BE49" s="631"/>
      <c r="BF49" s="631"/>
      <c r="BG49" s="631"/>
      <c r="BH49" s="631"/>
      <c r="BI49" s="631"/>
      <c r="BJ49" s="631"/>
      <c r="BK49" s="631"/>
      <c r="BL49" s="631"/>
    </row>
    <row r="50" ht="15.75" customHeight="1">
      <c r="A50" s="53">
        <v>8.0</v>
      </c>
      <c r="B50" s="100" t="s">
        <v>98</v>
      </c>
      <c r="C50" s="100" t="s">
        <v>99</v>
      </c>
      <c r="D50" s="101" t="str">
        <f t="shared" ref="D50:D51" si="2">MID(B50,17,4)</f>
        <v>DATA</v>
      </c>
      <c r="E50" s="111" t="s">
        <v>91</v>
      </c>
      <c r="F50" s="102">
        <v>1104.0</v>
      </c>
      <c r="G50" s="517" t="s">
        <v>92</v>
      </c>
      <c r="H50" s="517">
        <v>1127.0</v>
      </c>
      <c r="I50" s="68" t="str">
        <f>IFERROR(VLOOKUP(C:C,'R22 RELATÓRIO ACC'!B:F,5,FALSE),"NOT PUBLISHED")</f>
        <v>V13</v>
      </c>
      <c r="J50" s="68" t="str">
        <f>IFERROR(VLOOKUP(C:C,'R22 RELATÓRIO ACC'!B:P,15,FALSE),"NOT PUBLISHED")</f>
        <v>02/03/2026</v>
      </c>
      <c r="K50" s="70" t="str">
        <f>IFERROR(VLOOKUP(B:B,'RELATÓRIO ACC'!B:F,5,FALSE),"NOT PUBLISHED")</f>
        <v>V3</v>
      </c>
      <c r="L50" s="518" t="str">
        <f>IFERROR(VLOOKUP(B:B,'RELATÓRIO ACC'!B:P,15,FALSE),"NOT PUBLISHED")</f>
        <v>24/06/2026</v>
      </c>
      <c r="M50" s="538" t="s">
        <v>387</v>
      </c>
      <c r="N50" s="846">
        <v>46171.0</v>
      </c>
      <c r="O50" s="538" t="s">
        <v>378</v>
      </c>
      <c r="P50" s="587"/>
      <c r="Q50" s="523" t="s">
        <v>383</v>
      </c>
      <c r="R50" s="558" t="s">
        <v>380</v>
      </c>
      <c r="S50" s="551">
        <v>0.0</v>
      </c>
      <c r="T50" s="523" t="s">
        <v>383</v>
      </c>
      <c r="U50" s="558" t="s">
        <v>380</v>
      </c>
      <c r="V50" s="551">
        <v>0.0</v>
      </c>
      <c r="W50" s="523" t="s">
        <v>383</v>
      </c>
      <c r="X50" s="558" t="s">
        <v>380</v>
      </c>
      <c r="Y50" s="551">
        <v>0.0</v>
      </c>
      <c r="Z50" s="523" t="s">
        <v>381</v>
      </c>
      <c r="AA50" s="550" t="s">
        <v>415</v>
      </c>
      <c r="AB50" s="551">
        <v>0.89</v>
      </c>
      <c r="AC50" s="523" t="s">
        <v>379</v>
      </c>
      <c r="AD50" s="550" t="s">
        <v>415</v>
      </c>
      <c r="AE50" s="525" t="s">
        <v>379</v>
      </c>
      <c r="AF50" s="523" t="s">
        <v>379</v>
      </c>
      <c r="AG50" s="550" t="s">
        <v>415</v>
      </c>
      <c r="AH50" s="525" t="s">
        <v>379</v>
      </c>
      <c r="AI50" s="523" t="s">
        <v>379</v>
      </c>
      <c r="AJ50" s="550" t="s">
        <v>415</v>
      </c>
      <c r="AK50" s="525" t="s">
        <v>379</v>
      </c>
      <c r="AL50" s="523" t="s">
        <v>383</v>
      </c>
      <c r="AM50" s="550" t="s">
        <v>415</v>
      </c>
      <c r="AN50" s="525" t="s">
        <v>383</v>
      </c>
      <c r="AO50" s="528" t="s">
        <v>386</v>
      </c>
      <c r="AP50" s="550" t="s">
        <v>415</v>
      </c>
      <c r="AQ50" s="548">
        <v>1.0</v>
      </c>
      <c r="AR50" s="528" t="s">
        <v>413</v>
      </c>
      <c r="AS50" s="550" t="s">
        <v>415</v>
      </c>
      <c r="AT50" s="548">
        <v>1.0</v>
      </c>
      <c r="AU50" s="528" t="s">
        <v>413</v>
      </c>
      <c r="AV50" s="550" t="s">
        <v>415</v>
      </c>
      <c r="AW50" s="548">
        <v>1.0</v>
      </c>
      <c r="AX50" s="528" t="s">
        <v>413</v>
      </c>
      <c r="AY50" s="550" t="s">
        <v>415</v>
      </c>
      <c r="AZ50" s="548">
        <v>1.0</v>
      </c>
      <c r="BA50" s="528" t="s">
        <v>413</v>
      </c>
      <c r="BB50" s="550" t="s">
        <v>415</v>
      </c>
      <c r="BC50" s="548">
        <v>1.0</v>
      </c>
      <c r="BD50" s="528" t="s">
        <v>413</v>
      </c>
      <c r="BE50" s="550" t="s">
        <v>415</v>
      </c>
      <c r="BF50" s="548">
        <v>1.0</v>
      </c>
      <c r="BG50" s="528" t="s">
        <v>413</v>
      </c>
      <c r="BH50" s="550" t="s">
        <v>415</v>
      </c>
      <c r="BI50" s="548">
        <v>1.0</v>
      </c>
      <c r="BJ50" s="528" t="s">
        <v>413</v>
      </c>
      <c r="BK50" s="550" t="s">
        <v>415</v>
      </c>
      <c r="BL50" s="548">
        <v>1.0</v>
      </c>
    </row>
    <row r="51" ht="15.0" customHeight="1">
      <c r="A51" s="53">
        <v>33.0</v>
      </c>
      <c r="B51" s="100" t="s">
        <v>186</v>
      </c>
      <c r="C51" s="100" t="s">
        <v>187</v>
      </c>
      <c r="D51" s="101" t="str">
        <f t="shared" si="2"/>
        <v>DATA</v>
      </c>
      <c r="E51" s="101" t="s">
        <v>165</v>
      </c>
      <c r="F51" s="102">
        <v>1114.0</v>
      </c>
      <c r="G51" s="517" t="s">
        <v>165</v>
      </c>
      <c r="H51" s="517">
        <v>1114.0</v>
      </c>
      <c r="I51" s="68" t="str">
        <f>IFERROR(VLOOKUP(C:C,'R22 RELATÓRIO ACC'!B:F,5,FALSE),"NOT PUBLISHED")</f>
        <v>V20</v>
      </c>
      <c r="J51" s="68" t="str">
        <f>IFERROR(VLOOKUP(C:C,'R22 RELATÓRIO ACC'!B:P,15,FALSE),"NOT PUBLISHED")</f>
        <v>05/05/2026</v>
      </c>
      <c r="K51" s="70" t="str">
        <f>IFERROR(VLOOKUP(B:B,'RELATÓRIO ACC'!B:F,5,FALSE),"NOT PUBLISHED")</f>
        <v>V2</v>
      </c>
      <c r="L51" s="518" t="str">
        <f>IFERROR(VLOOKUP(B:B,'RELATÓRIO ACC'!B:P,15,FALSE),"NOT PUBLISHED")</f>
        <v>12/07/2026</v>
      </c>
      <c r="M51" s="530" t="s">
        <v>401</v>
      </c>
      <c r="N51" s="826">
        <v>46140.0</v>
      </c>
      <c r="O51" s="538" t="s">
        <v>410</v>
      </c>
      <c r="P51" s="587" t="s">
        <v>397</v>
      </c>
      <c r="Q51" s="523" t="s">
        <v>383</v>
      </c>
      <c r="R51" s="558" t="s">
        <v>380</v>
      </c>
      <c r="S51" s="551">
        <v>0.0</v>
      </c>
      <c r="T51" s="523" t="s">
        <v>381</v>
      </c>
      <c r="U51" s="550" t="s">
        <v>427</v>
      </c>
      <c r="V51" s="551">
        <v>0.38</v>
      </c>
      <c r="W51" s="523" t="s">
        <v>379</v>
      </c>
      <c r="X51" s="811" t="s">
        <v>427</v>
      </c>
      <c r="Y51" s="525" t="s">
        <v>379</v>
      </c>
      <c r="Z51" s="523" t="s">
        <v>379</v>
      </c>
      <c r="AA51" s="811" t="s">
        <v>427</v>
      </c>
      <c r="AB51" s="523" t="s">
        <v>379</v>
      </c>
      <c r="AC51" s="523" t="s">
        <v>383</v>
      </c>
      <c r="AD51" s="811" t="s">
        <v>427</v>
      </c>
      <c r="AE51" s="523" t="s">
        <v>383</v>
      </c>
      <c r="AF51" s="523" t="s">
        <v>386</v>
      </c>
      <c r="AG51" s="811" t="s">
        <v>401</v>
      </c>
      <c r="AH51" s="546">
        <v>1.0</v>
      </c>
      <c r="AI51" s="530" t="s">
        <v>413</v>
      </c>
      <c r="AJ51" s="811" t="s">
        <v>401</v>
      </c>
      <c r="AK51" s="546">
        <v>1.0</v>
      </c>
      <c r="AL51" s="530" t="s">
        <v>413</v>
      </c>
      <c r="AM51" s="811" t="s">
        <v>401</v>
      </c>
      <c r="AN51" s="546">
        <v>1.0</v>
      </c>
      <c r="AO51" s="530" t="s">
        <v>413</v>
      </c>
      <c r="AP51" s="811" t="s">
        <v>401</v>
      </c>
      <c r="AQ51" s="546">
        <v>1.0</v>
      </c>
      <c r="AR51" s="530" t="s">
        <v>413</v>
      </c>
      <c r="AS51" s="811" t="s">
        <v>401</v>
      </c>
      <c r="AT51" s="546">
        <v>1.0</v>
      </c>
      <c r="AU51" s="530" t="s">
        <v>413</v>
      </c>
      <c r="AV51" s="811" t="s">
        <v>401</v>
      </c>
      <c r="AW51" s="546">
        <v>1.0</v>
      </c>
      <c r="AX51" s="530" t="s">
        <v>413</v>
      </c>
      <c r="AY51" s="811" t="s">
        <v>401</v>
      </c>
      <c r="AZ51" s="546">
        <v>1.0</v>
      </c>
      <c r="BA51" s="530" t="s">
        <v>413</v>
      </c>
      <c r="BB51" s="811" t="s">
        <v>401</v>
      </c>
      <c r="BC51" s="546">
        <v>1.0</v>
      </c>
      <c r="BD51" s="530" t="s">
        <v>413</v>
      </c>
      <c r="BE51" s="811" t="s">
        <v>401</v>
      </c>
      <c r="BF51" s="546">
        <v>1.0</v>
      </c>
      <c r="BG51" s="530" t="s">
        <v>413</v>
      </c>
      <c r="BH51" s="811" t="s">
        <v>401</v>
      </c>
      <c r="BI51" s="546">
        <v>1.0</v>
      </c>
      <c r="BJ51" s="530" t="s">
        <v>413</v>
      </c>
      <c r="BK51" s="811" t="s">
        <v>401</v>
      </c>
      <c r="BL51" s="546">
        <v>1.0</v>
      </c>
    </row>
    <row r="52" ht="15.0" hidden="1" customHeight="1">
      <c r="A52" s="53">
        <v>51.0</v>
      </c>
      <c r="B52" s="291" t="s">
        <v>242</v>
      </c>
      <c r="C52" s="292"/>
      <c r="D52" s="293"/>
      <c r="E52" s="293"/>
      <c r="F52" s="293"/>
      <c r="G52" s="293"/>
      <c r="H52" s="295"/>
      <c r="I52" s="293"/>
      <c r="J52" s="293"/>
      <c r="K52" s="296"/>
      <c r="L52" s="634"/>
      <c r="M52" s="293"/>
      <c r="N52" s="293"/>
      <c r="O52" s="293"/>
      <c r="P52" s="522"/>
      <c r="Q52" s="636"/>
      <c r="R52" s="637"/>
      <c r="S52" s="638"/>
      <c r="T52" s="636"/>
      <c r="U52" s="637"/>
      <c r="V52" s="638"/>
      <c r="W52" s="636"/>
      <c r="X52" s="637"/>
      <c r="Y52" s="638"/>
      <c r="Z52" s="636"/>
      <c r="AA52" s="637"/>
      <c r="AB52" s="638"/>
      <c r="AC52" s="636"/>
      <c r="AD52" s="637"/>
      <c r="AE52" s="638"/>
      <c r="AF52" s="639"/>
      <c r="AG52" s="639"/>
      <c r="AH52" s="639"/>
      <c r="AI52" s="639"/>
      <c r="AJ52" s="639"/>
      <c r="AK52" s="639"/>
      <c r="AL52" s="639"/>
      <c r="AM52" s="639"/>
      <c r="AN52" s="639"/>
      <c r="AO52" s="639"/>
      <c r="AP52" s="639"/>
      <c r="AQ52" s="639"/>
      <c r="AR52" s="639"/>
      <c r="AS52" s="639"/>
      <c r="AT52" s="639"/>
      <c r="AU52" s="639"/>
      <c r="AV52" s="639"/>
      <c r="AW52" s="639"/>
      <c r="AX52" s="639"/>
      <c r="AY52" s="639"/>
      <c r="AZ52" s="639"/>
      <c r="BA52" s="639"/>
      <c r="BB52" s="639"/>
      <c r="BC52" s="639"/>
      <c r="BD52" s="639"/>
      <c r="BE52" s="639"/>
      <c r="BF52" s="639"/>
      <c r="BG52" s="639"/>
      <c r="BH52" s="639"/>
      <c r="BI52" s="639"/>
      <c r="BJ52" s="639"/>
      <c r="BK52" s="639"/>
      <c r="BL52" s="639"/>
    </row>
    <row r="53" ht="15.0" customHeight="1">
      <c r="A53" s="53">
        <v>31.0</v>
      </c>
      <c r="B53" s="145" t="s">
        <v>179</v>
      </c>
      <c r="C53" s="145" t="s">
        <v>180</v>
      </c>
      <c r="D53" s="101" t="str">
        <f>MID(B53,17,4)</f>
        <v>DATA</v>
      </c>
      <c r="E53" s="101" t="s">
        <v>154</v>
      </c>
      <c r="F53" s="102">
        <v>1112.0</v>
      </c>
      <c r="G53" s="517" t="s">
        <v>155</v>
      </c>
      <c r="H53" s="517">
        <v>1129.0</v>
      </c>
      <c r="I53" s="68" t="str">
        <f>IFERROR(VLOOKUP(C:C,'R22 RELATÓRIO ACC'!B:F,5,FALSE),"NOT PUBLISHED")</f>
        <v>V33</v>
      </c>
      <c r="J53" s="68" t="str">
        <f>IFERROR(VLOOKUP(C:C,'R22 RELATÓRIO ACC'!B:P,15,FALSE),"NOT PUBLISHED")</f>
        <v>04/03/2026</v>
      </c>
      <c r="K53" s="70" t="str">
        <f>IFERROR(VLOOKUP(B:B,'RELATÓRIO ACC'!B:F,5,FALSE),"NOT PUBLISHED")</f>
        <v>V2</v>
      </c>
      <c r="L53" s="518" t="str">
        <f>IFERROR(VLOOKUP(B:B,'RELATÓRIO ACC'!B:P,15,FALSE),"NOT PUBLISHED")</f>
        <v>13/07/2026</v>
      </c>
      <c r="M53" s="530" t="s">
        <v>446</v>
      </c>
      <c r="N53" s="826">
        <v>46085.0</v>
      </c>
      <c r="O53" s="538" t="s">
        <v>410</v>
      </c>
      <c r="P53" s="587"/>
      <c r="Q53" s="523" t="s">
        <v>383</v>
      </c>
      <c r="R53" s="558" t="s">
        <v>380</v>
      </c>
      <c r="S53" s="551">
        <v>0.0</v>
      </c>
      <c r="T53" s="523" t="s">
        <v>386</v>
      </c>
      <c r="U53" s="550" t="s">
        <v>446</v>
      </c>
      <c r="V53" s="551">
        <v>1.0</v>
      </c>
      <c r="W53" s="523" t="s">
        <v>413</v>
      </c>
      <c r="X53" s="550" t="s">
        <v>446</v>
      </c>
      <c r="Y53" s="551">
        <v>1.0</v>
      </c>
      <c r="Z53" s="523" t="s">
        <v>413</v>
      </c>
      <c r="AA53" s="550" t="s">
        <v>446</v>
      </c>
      <c r="AB53" s="551">
        <v>1.0</v>
      </c>
      <c r="AC53" s="523" t="s">
        <v>413</v>
      </c>
      <c r="AD53" s="550" t="s">
        <v>446</v>
      </c>
      <c r="AE53" s="546">
        <v>1.0</v>
      </c>
      <c r="AF53" s="523" t="s">
        <v>413</v>
      </c>
      <c r="AG53" s="550" t="s">
        <v>446</v>
      </c>
      <c r="AH53" s="546">
        <v>1.0</v>
      </c>
      <c r="AI53" s="523" t="s">
        <v>413</v>
      </c>
      <c r="AJ53" s="550" t="s">
        <v>446</v>
      </c>
      <c r="AK53" s="546">
        <v>1.0</v>
      </c>
      <c r="AL53" s="523" t="s">
        <v>413</v>
      </c>
      <c r="AM53" s="550" t="s">
        <v>446</v>
      </c>
      <c r="AN53" s="546">
        <v>1.0</v>
      </c>
      <c r="AO53" s="523" t="s">
        <v>413</v>
      </c>
      <c r="AP53" s="550" t="s">
        <v>446</v>
      </c>
      <c r="AQ53" s="546">
        <v>1.0</v>
      </c>
      <c r="AR53" s="523" t="s">
        <v>413</v>
      </c>
      <c r="AS53" s="550" t="s">
        <v>446</v>
      </c>
      <c r="AT53" s="546">
        <v>1.0</v>
      </c>
      <c r="AU53" s="523" t="s">
        <v>413</v>
      </c>
      <c r="AV53" s="550" t="s">
        <v>446</v>
      </c>
      <c r="AW53" s="546">
        <v>1.0</v>
      </c>
      <c r="AX53" s="523" t="s">
        <v>413</v>
      </c>
      <c r="AY53" s="550" t="s">
        <v>446</v>
      </c>
      <c r="AZ53" s="546">
        <v>1.0</v>
      </c>
      <c r="BA53" s="523" t="s">
        <v>413</v>
      </c>
      <c r="BB53" s="550" t="s">
        <v>446</v>
      </c>
      <c r="BC53" s="546">
        <v>1.0</v>
      </c>
      <c r="BD53" s="523" t="s">
        <v>413</v>
      </c>
      <c r="BE53" s="550" t="s">
        <v>446</v>
      </c>
      <c r="BF53" s="546">
        <v>1.0</v>
      </c>
      <c r="BG53" s="523" t="s">
        <v>413</v>
      </c>
      <c r="BH53" s="550" t="s">
        <v>446</v>
      </c>
      <c r="BI53" s="546">
        <v>1.0</v>
      </c>
      <c r="BJ53" s="523" t="s">
        <v>413</v>
      </c>
      <c r="BK53" s="550" t="s">
        <v>446</v>
      </c>
      <c r="BL53" s="546">
        <v>1.0</v>
      </c>
    </row>
    <row r="54" ht="15.0" hidden="1" customHeight="1">
      <c r="A54" s="53">
        <v>53.0</v>
      </c>
      <c r="B54" s="354" t="s">
        <v>266</v>
      </c>
      <c r="C54" s="355"/>
      <c r="D54" s="356"/>
      <c r="E54" s="356"/>
      <c r="F54" s="356"/>
      <c r="G54" s="356"/>
      <c r="H54" s="358"/>
      <c r="I54" s="356"/>
      <c r="J54" s="356"/>
      <c r="K54" s="359"/>
      <c r="L54" s="642"/>
      <c r="M54" s="356"/>
      <c r="N54" s="356"/>
      <c r="O54" s="356"/>
      <c r="P54" s="522"/>
      <c r="Q54" s="643"/>
      <c r="R54" s="644"/>
      <c r="S54" s="645"/>
      <c r="T54" s="643"/>
      <c r="U54" s="644"/>
      <c r="V54" s="645"/>
      <c r="W54" s="643"/>
      <c r="X54" s="644"/>
      <c r="Y54" s="645"/>
      <c r="Z54" s="643"/>
      <c r="AA54" s="644"/>
      <c r="AB54" s="645"/>
      <c r="AC54" s="643"/>
      <c r="AD54" s="644"/>
      <c r="AE54" s="645"/>
      <c r="AF54" s="646"/>
      <c r="AG54" s="646"/>
      <c r="AH54" s="646"/>
      <c r="AI54" s="646"/>
      <c r="AJ54" s="646"/>
      <c r="AK54" s="646"/>
      <c r="AL54" s="646"/>
      <c r="AM54" s="646"/>
      <c r="AN54" s="646"/>
      <c r="AO54" s="646"/>
      <c r="AP54" s="646"/>
      <c r="AQ54" s="646"/>
      <c r="AR54" s="646"/>
      <c r="AS54" s="646"/>
      <c r="AT54" s="646"/>
      <c r="AU54" s="646"/>
      <c r="AV54" s="646"/>
      <c r="AW54" s="646"/>
      <c r="AX54" s="646"/>
      <c r="AY54" s="646"/>
      <c r="AZ54" s="646"/>
      <c r="BA54" s="646"/>
      <c r="BB54" s="646"/>
      <c r="BC54" s="646"/>
      <c r="BD54" s="646"/>
      <c r="BE54" s="646"/>
      <c r="BF54" s="646"/>
      <c r="BG54" s="646"/>
      <c r="BH54" s="646"/>
      <c r="BI54" s="646"/>
      <c r="BJ54" s="646"/>
      <c r="BK54" s="646"/>
      <c r="BL54" s="646"/>
    </row>
    <row r="55" ht="15.0" customHeight="1">
      <c r="A55" s="53">
        <v>43.0</v>
      </c>
      <c r="B55" s="100" t="s">
        <v>212</v>
      </c>
      <c r="C55" s="100" t="s">
        <v>213</v>
      </c>
      <c r="D55" s="101" t="str">
        <f t="shared" ref="D55:D63" si="3">MID(B55,17,4)</f>
        <v>DATA</v>
      </c>
      <c r="E55" s="101" t="s">
        <v>214</v>
      </c>
      <c r="F55" s="104">
        <v>1116.0</v>
      </c>
      <c r="G55" s="517" t="s">
        <v>214</v>
      </c>
      <c r="H55" s="517">
        <v>1116.0</v>
      </c>
      <c r="I55" s="68" t="str">
        <f>IFERROR(VLOOKUP(C:C,'R22 RELATÓRIO ACC'!B:F,5,FALSE),"NOT PUBLISHED")</f>
        <v>V15</v>
      </c>
      <c r="J55" s="68" t="str">
        <f>IFERROR(VLOOKUP(C:C,'R22 RELATÓRIO ACC'!B:P,15,FALSE),"NOT PUBLISHED")</f>
        <v>15/04/2026</v>
      </c>
      <c r="K55" s="70" t="str">
        <f>IFERROR(VLOOKUP(B:B,'RELATÓRIO ACC'!B:F,5,FALSE),"NOT PUBLISHED")</f>
        <v>V2</v>
      </c>
      <c r="L55" s="518" t="str">
        <f>IFERROR(VLOOKUP(B:B,'RELATÓRIO ACC'!B:P,15,FALSE),"NOT PUBLISHED")</f>
        <v>02/06/2026</v>
      </c>
      <c r="M55" s="530" t="s">
        <v>425</v>
      </c>
      <c r="N55" s="826">
        <v>46127.0</v>
      </c>
      <c r="O55" s="538" t="s">
        <v>410</v>
      </c>
      <c r="P55" s="587" t="s">
        <v>397</v>
      </c>
      <c r="Q55" s="523" t="s">
        <v>383</v>
      </c>
      <c r="R55" s="558" t="s">
        <v>380</v>
      </c>
      <c r="S55" s="551">
        <v>0.0</v>
      </c>
      <c r="T55" s="523" t="s">
        <v>381</v>
      </c>
      <c r="U55" s="550" t="s">
        <v>418</v>
      </c>
      <c r="V55" s="551">
        <v>0.97</v>
      </c>
      <c r="W55" s="523" t="s">
        <v>383</v>
      </c>
      <c r="X55" s="550" t="s">
        <v>418</v>
      </c>
      <c r="Y55" s="525" t="s">
        <v>383</v>
      </c>
      <c r="Z55" s="523" t="s">
        <v>386</v>
      </c>
      <c r="AA55" s="550" t="s">
        <v>425</v>
      </c>
      <c r="AB55" s="551">
        <v>1.0</v>
      </c>
      <c r="AC55" s="523" t="s">
        <v>413</v>
      </c>
      <c r="AD55" s="550" t="s">
        <v>425</v>
      </c>
      <c r="AE55" s="551">
        <v>1.0</v>
      </c>
      <c r="AF55" s="523" t="s">
        <v>413</v>
      </c>
      <c r="AG55" s="550" t="s">
        <v>425</v>
      </c>
      <c r="AH55" s="551">
        <v>1.0</v>
      </c>
      <c r="AI55" s="523" t="s">
        <v>413</v>
      </c>
      <c r="AJ55" s="550" t="s">
        <v>425</v>
      </c>
      <c r="AK55" s="551">
        <v>1.0</v>
      </c>
      <c r="AL55" s="523" t="s">
        <v>413</v>
      </c>
      <c r="AM55" s="550" t="s">
        <v>425</v>
      </c>
      <c r="AN55" s="551">
        <v>1.0</v>
      </c>
      <c r="AO55" s="523" t="s">
        <v>413</v>
      </c>
      <c r="AP55" s="550" t="s">
        <v>425</v>
      </c>
      <c r="AQ55" s="551">
        <v>1.0</v>
      </c>
      <c r="AR55" s="523" t="s">
        <v>413</v>
      </c>
      <c r="AS55" s="526" t="s">
        <v>425</v>
      </c>
      <c r="AT55" s="542">
        <v>1.0</v>
      </c>
      <c r="AU55" s="523" t="s">
        <v>413</v>
      </c>
      <c r="AV55" s="526" t="s">
        <v>425</v>
      </c>
      <c r="AW55" s="542">
        <v>1.0</v>
      </c>
      <c r="AX55" s="523" t="s">
        <v>413</v>
      </c>
      <c r="AY55" s="526" t="s">
        <v>425</v>
      </c>
      <c r="AZ55" s="542">
        <v>1.0</v>
      </c>
      <c r="BA55" s="523" t="s">
        <v>413</v>
      </c>
      <c r="BB55" s="526" t="s">
        <v>425</v>
      </c>
      <c r="BC55" s="542">
        <v>1.0</v>
      </c>
      <c r="BD55" s="523" t="s">
        <v>413</v>
      </c>
      <c r="BE55" s="526" t="s">
        <v>425</v>
      </c>
      <c r="BF55" s="542">
        <v>1.0</v>
      </c>
      <c r="BG55" s="523" t="s">
        <v>413</v>
      </c>
      <c r="BH55" s="526" t="s">
        <v>425</v>
      </c>
      <c r="BI55" s="542">
        <v>1.0</v>
      </c>
      <c r="BJ55" s="523" t="s">
        <v>413</v>
      </c>
      <c r="BK55" s="526" t="s">
        <v>425</v>
      </c>
      <c r="BL55" s="542">
        <v>1.0</v>
      </c>
    </row>
    <row r="56" ht="15.0" customHeight="1">
      <c r="A56" s="53">
        <v>23.0</v>
      </c>
      <c r="B56" s="100" t="s">
        <v>159</v>
      </c>
      <c r="C56" s="100" t="s">
        <v>160</v>
      </c>
      <c r="D56" s="101" t="str">
        <f t="shared" si="3"/>
        <v>DATA</v>
      </c>
      <c r="E56" s="101" t="s">
        <v>161</v>
      </c>
      <c r="F56" s="102">
        <v>1113.0</v>
      </c>
      <c r="G56" s="517" t="s">
        <v>161</v>
      </c>
      <c r="H56" s="517">
        <v>1113.0</v>
      </c>
      <c r="I56" s="68" t="str">
        <f>IFERROR(VLOOKUP(C:C,'R22 RELATÓRIO ACC'!B:F,5,FALSE),"NOT PUBLISHED")</f>
        <v>V28</v>
      </c>
      <c r="J56" s="68" t="str">
        <f>IFERROR(VLOOKUP(C:C,'R22 RELATÓRIO ACC'!B:P,15,FALSE),"NOT PUBLISHED")</f>
        <v>16/04/2026</v>
      </c>
      <c r="K56" s="70" t="str">
        <f>IFERROR(VLOOKUP(B:B,'RELATÓRIO ACC'!B:F,5,FALSE),"NOT PUBLISHED")</f>
        <v>V4</v>
      </c>
      <c r="L56" s="518" t="str">
        <f>IFERROR(VLOOKUP(B:B,'RELATÓRIO ACC'!B:P,15,FALSE),"NOT PUBLISHED")</f>
        <v>26/06/2026</v>
      </c>
      <c r="M56" s="530" t="s">
        <v>407</v>
      </c>
      <c r="N56" s="844">
        <v>46114.0</v>
      </c>
      <c r="O56" s="538" t="s">
        <v>410</v>
      </c>
      <c r="P56" s="587" t="s">
        <v>397</v>
      </c>
      <c r="Q56" s="523" t="s">
        <v>383</v>
      </c>
      <c r="R56" s="558" t="s">
        <v>380</v>
      </c>
      <c r="S56" s="551">
        <v>0.0</v>
      </c>
      <c r="T56" s="523" t="s">
        <v>383</v>
      </c>
      <c r="U56" s="558" t="s">
        <v>380</v>
      </c>
      <c r="V56" s="551">
        <v>0.0</v>
      </c>
      <c r="W56" s="523" t="s">
        <v>386</v>
      </c>
      <c r="X56" s="550" t="s">
        <v>407</v>
      </c>
      <c r="Y56" s="551">
        <v>1.0</v>
      </c>
      <c r="Z56" s="523" t="s">
        <v>413</v>
      </c>
      <c r="AA56" s="550" t="s">
        <v>407</v>
      </c>
      <c r="AB56" s="551">
        <v>1.0</v>
      </c>
      <c r="AC56" s="523" t="s">
        <v>413</v>
      </c>
      <c r="AD56" s="550" t="s">
        <v>407</v>
      </c>
      <c r="AE56" s="551">
        <v>1.0</v>
      </c>
      <c r="AF56" s="523" t="s">
        <v>413</v>
      </c>
      <c r="AG56" s="550" t="s">
        <v>407</v>
      </c>
      <c r="AH56" s="551">
        <v>1.0</v>
      </c>
      <c r="AI56" s="523" t="s">
        <v>413</v>
      </c>
      <c r="AJ56" s="550" t="s">
        <v>407</v>
      </c>
      <c r="AK56" s="551">
        <v>1.0</v>
      </c>
      <c r="AL56" s="523" t="s">
        <v>413</v>
      </c>
      <c r="AM56" s="550" t="s">
        <v>407</v>
      </c>
      <c r="AN56" s="551">
        <v>1.0</v>
      </c>
      <c r="AO56" s="523" t="s">
        <v>413</v>
      </c>
      <c r="AP56" s="550" t="s">
        <v>407</v>
      </c>
      <c r="AQ56" s="551">
        <v>1.0</v>
      </c>
      <c r="AR56" s="523" t="s">
        <v>413</v>
      </c>
      <c r="AS56" s="550" t="s">
        <v>407</v>
      </c>
      <c r="AT56" s="551">
        <v>1.0</v>
      </c>
      <c r="AU56" s="523" t="s">
        <v>413</v>
      </c>
      <c r="AV56" s="550" t="s">
        <v>407</v>
      </c>
      <c r="AW56" s="551">
        <v>1.0</v>
      </c>
      <c r="AX56" s="523" t="s">
        <v>413</v>
      </c>
      <c r="AY56" s="550" t="s">
        <v>407</v>
      </c>
      <c r="AZ56" s="551">
        <v>1.0</v>
      </c>
      <c r="BA56" s="523" t="s">
        <v>413</v>
      </c>
      <c r="BB56" s="550" t="s">
        <v>407</v>
      </c>
      <c r="BC56" s="551">
        <v>1.0</v>
      </c>
      <c r="BD56" s="523" t="s">
        <v>413</v>
      </c>
      <c r="BE56" s="550" t="s">
        <v>407</v>
      </c>
      <c r="BF56" s="551">
        <v>1.0</v>
      </c>
      <c r="BG56" s="523" t="s">
        <v>413</v>
      </c>
      <c r="BH56" s="550" t="s">
        <v>407</v>
      </c>
      <c r="BI56" s="551">
        <v>1.0</v>
      </c>
      <c r="BJ56" s="523" t="s">
        <v>413</v>
      </c>
      <c r="BK56" s="550" t="s">
        <v>407</v>
      </c>
      <c r="BL56" s="551">
        <v>1.0</v>
      </c>
    </row>
    <row r="57" ht="15.0" customHeight="1">
      <c r="A57" s="53">
        <v>25.0</v>
      </c>
      <c r="B57" s="100" t="s">
        <v>163</v>
      </c>
      <c r="C57" s="100" t="s">
        <v>164</v>
      </c>
      <c r="D57" s="101" t="str">
        <f t="shared" si="3"/>
        <v>DATA</v>
      </c>
      <c r="E57" s="101" t="s">
        <v>165</v>
      </c>
      <c r="F57" s="102">
        <v>1114.0</v>
      </c>
      <c r="G57" s="517" t="s">
        <v>165</v>
      </c>
      <c r="H57" s="517">
        <v>1114.0</v>
      </c>
      <c r="I57" s="68" t="str">
        <f>IFERROR(VLOOKUP(C:C,'R22 RELATÓRIO ACC'!B:F,5,FALSE),"NOT PUBLISHED")</f>
        <v>V15</v>
      </c>
      <c r="J57" s="68" t="str">
        <f>IFERROR(VLOOKUP(C:C,'R22 RELATÓRIO ACC'!B:P,15,FALSE),"NOT PUBLISHED")</f>
        <v>27/04/2026</v>
      </c>
      <c r="K57" s="70" t="str">
        <f>IFERROR(VLOOKUP(B:B,'RELATÓRIO ACC'!B:F,5,FALSE),"NOT PUBLISHED")</f>
        <v>V3</v>
      </c>
      <c r="L57" s="518" t="str">
        <f>IFERROR(VLOOKUP(B:B,'RELATÓRIO ACC'!B:P,15,FALSE),"NOT PUBLISHED")</f>
        <v>12/07/2026</v>
      </c>
      <c r="M57" s="544" t="s">
        <v>425</v>
      </c>
      <c r="N57" s="847">
        <v>46139.0</v>
      </c>
      <c r="O57" s="538" t="s">
        <v>410</v>
      </c>
      <c r="P57" s="587" t="s">
        <v>397</v>
      </c>
      <c r="Q57" s="523" t="s">
        <v>383</v>
      </c>
      <c r="R57" s="524" t="s">
        <v>380</v>
      </c>
      <c r="S57" s="542">
        <v>0.0</v>
      </c>
      <c r="T57" s="523" t="s">
        <v>381</v>
      </c>
      <c r="U57" s="526" t="s">
        <v>418</v>
      </c>
      <c r="V57" s="542">
        <v>0.86</v>
      </c>
      <c r="W57" s="523" t="s">
        <v>379</v>
      </c>
      <c r="X57" s="526" t="s">
        <v>418</v>
      </c>
      <c r="Y57" s="543" t="s">
        <v>379</v>
      </c>
      <c r="Z57" s="523" t="s">
        <v>379</v>
      </c>
      <c r="AA57" s="526" t="s">
        <v>418</v>
      </c>
      <c r="AB57" s="543" t="s">
        <v>379</v>
      </c>
      <c r="AC57" s="523" t="s">
        <v>383</v>
      </c>
      <c r="AD57" s="526" t="s">
        <v>418</v>
      </c>
      <c r="AE57" s="543" t="s">
        <v>383</v>
      </c>
      <c r="AF57" s="523" t="s">
        <v>386</v>
      </c>
      <c r="AG57" s="526" t="s">
        <v>425</v>
      </c>
      <c r="AH57" s="542">
        <v>1.0</v>
      </c>
      <c r="AI57" s="544" t="s">
        <v>413</v>
      </c>
      <c r="AJ57" s="526" t="s">
        <v>425</v>
      </c>
      <c r="AK57" s="848">
        <v>1.0</v>
      </c>
      <c r="AL57" s="544" t="s">
        <v>413</v>
      </c>
      <c r="AM57" s="526" t="s">
        <v>425</v>
      </c>
      <c r="AN57" s="848">
        <v>1.0</v>
      </c>
      <c r="AO57" s="544" t="s">
        <v>413</v>
      </c>
      <c r="AP57" s="526" t="s">
        <v>425</v>
      </c>
      <c r="AQ57" s="848">
        <v>1.0</v>
      </c>
      <c r="AR57" s="544" t="s">
        <v>413</v>
      </c>
      <c r="AS57" s="526" t="s">
        <v>425</v>
      </c>
      <c r="AT57" s="848">
        <v>1.0</v>
      </c>
      <c r="AU57" s="544" t="s">
        <v>413</v>
      </c>
      <c r="AV57" s="526" t="s">
        <v>425</v>
      </c>
      <c r="AW57" s="848">
        <v>1.0</v>
      </c>
      <c r="AX57" s="544" t="s">
        <v>413</v>
      </c>
      <c r="AY57" s="526" t="s">
        <v>425</v>
      </c>
      <c r="AZ57" s="848">
        <v>1.0</v>
      </c>
      <c r="BA57" s="544" t="s">
        <v>413</v>
      </c>
      <c r="BB57" s="526" t="s">
        <v>425</v>
      </c>
      <c r="BC57" s="848">
        <v>1.0</v>
      </c>
      <c r="BD57" s="544" t="s">
        <v>413</v>
      </c>
      <c r="BE57" s="526" t="s">
        <v>425</v>
      </c>
      <c r="BF57" s="848">
        <v>1.0</v>
      </c>
      <c r="BG57" s="544" t="s">
        <v>413</v>
      </c>
      <c r="BH57" s="526" t="s">
        <v>425</v>
      </c>
      <c r="BI57" s="848">
        <v>1.0</v>
      </c>
      <c r="BJ57" s="544" t="s">
        <v>413</v>
      </c>
      <c r="BK57" s="526" t="s">
        <v>425</v>
      </c>
      <c r="BL57" s="848">
        <v>1.0</v>
      </c>
    </row>
    <row r="58" ht="15.0" customHeight="1">
      <c r="A58" s="53">
        <v>27.0</v>
      </c>
      <c r="B58" s="100" t="s">
        <v>171</v>
      </c>
      <c r="C58" s="100" t="s">
        <v>172</v>
      </c>
      <c r="D58" s="101" t="str">
        <f t="shared" si="3"/>
        <v>DATA</v>
      </c>
      <c r="E58" s="101" t="s">
        <v>161</v>
      </c>
      <c r="F58" s="102">
        <v>1113.0</v>
      </c>
      <c r="G58" s="517" t="s">
        <v>161</v>
      </c>
      <c r="H58" s="517">
        <v>1113.0</v>
      </c>
      <c r="I58" s="68" t="str">
        <f>IFERROR(VLOOKUP(C:C,'R22 RELATÓRIO ACC'!B:F,5,FALSE),"NOT PUBLISHED")</f>
        <v>V36</v>
      </c>
      <c r="J58" s="68" t="str">
        <f>IFERROR(VLOOKUP(C:C,'R22 RELATÓRIO ACC'!B:P,15,FALSE),"NOT PUBLISHED")</f>
        <v>08/05/2026</v>
      </c>
      <c r="K58" s="70" t="str">
        <f>IFERROR(VLOOKUP(B:B,'RELATÓRIO ACC'!B:F,5,FALSE),"NOT PUBLISHED")</f>
        <v>V2</v>
      </c>
      <c r="L58" s="518" t="str">
        <f>IFERROR(VLOOKUP(B:B,'RELATÓRIO ACC'!B:P,15,FALSE),"NOT PUBLISHED")</f>
        <v>03/06/2026</v>
      </c>
      <c r="M58" s="812" t="s">
        <v>438</v>
      </c>
      <c r="N58" s="849" t="s">
        <v>472</v>
      </c>
      <c r="O58" s="538" t="s">
        <v>410</v>
      </c>
      <c r="P58" s="587"/>
      <c r="Q58" s="523" t="s">
        <v>383</v>
      </c>
      <c r="R58" s="558" t="s">
        <v>380</v>
      </c>
      <c r="S58" s="551">
        <v>0.0</v>
      </c>
      <c r="T58" s="523" t="s">
        <v>383</v>
      </c>
      <c r="U58" s="550" t="s">
        <v>446</v>
      </c>
      <c r="V58" s="551">
        <v>0.0</v>
      </c>
      <c r="W58" s="523" t="s">
        <v>386</v>
      </c>
      <c r="X58" s="550" t="s">
        <v>438</v>
      </c>
      <c r="Y58" s="551">
        <v>1.0</v>
      </c>
      <c r="Z58" s="523" t="s">
        <v>413</v>
      </c>
      <c r="AA58" s="550" t="s">
        <v>438</v>
      </c>
      <c r="AB58" s="551">
        <v>1.0</v>
      </c>
      <c r="AC58" s="523" t="s">
        <v>413</v>
      </c>
      <c r="AD58" s="550" t="s">
        <v>438</v>
      </c>
      <c r="AE58" s="551">
        <v>1.0</v>
      </c>
      <c r="AF58" s="523" t="s">
        <v>413</v>
      </c>
      <c r="AG58" s="550" t="s">
        <v>438</v>
      </c>
      <c r="AH58" s="551">
        <v>1.0</v>
      </c>
      <c r="AI58" s="523" t="s">
        <v>413</v>
      </c>
      <c r="AJ58" s="550" t="s">
        <v>438</v>
      </c>
      <c r="AK58" s="551">
        <v>1.0</v>
      </c>
      <c r="AL58" s="523" t="s">
        <v>413</v>
      </c>
      <c r="AM58" s="550" t="s">
        <v>438</v>
      </c>
      <c r="AN58" s="551">
        <v>1.0</v>
      </c>
      <c r="AO58" s="523" t="s">
        <v>413</v>
      </c>
      <c r="AP58" s="550" t="s">
        <v>438</v>
      </c>
      <c r="AQ58" s="551">
        <v>1.0</v>
      </c>
      <c r="AR58" s="523" t="s">
        <v>413</v>
      </c>
      <c r="AS58" s="550" t="s">
        <v>438</v>
      </c>
      <c r="AT58" s="551">
        <v>1.0</v>
      </c>
      <c r="AU58" s="523" t="s">
        <v>413</v>
      </c>
      <c r="AV58" s="550" t="s">
        <v>438</v>
      </c>
      <c r="AW58" s="551">
        <v>1.0</v>
      </c>
      <c r="AX58" s="523" t="s">
        <v>413</v>
      </c>
      <c r="AY58" s="550" t="s">
        <v>438</v>
      </c>
      <c r="AZ58" s="551">
        <v>1.0</v>
      </c>
      <c r="BA58" s="523" t="s">
        <v>413</v>
      </c>
      <c r="BB58" s="550" t="s">
        <v>438</v>
      </c>
      <c r="BC58" s="551">
        <v>1.0</v>
      </c>
      <c r="BD58" s="523" t="s">
        <v>413</v>
      </c>
      <c r="BE58" s="550" t="s">
        <v>438</v>
      </c>
      <c r="BF58" s="551">
        <v>1.0</v>
      </c>
      <c r="BG58" s="523" t="s">
        <v>413</v>
      </c>
      <c r="BH58" s="550" t="s">
        <v>438</v>
      </c>
      <c r="BI58" s="551">
        <v>1.0</v>
      </c>
      <c r="BJ58" s="523" t="s">
        <v>413</v>
      </c>
      <c r="BK58" s="550" t="s">
        <v>438</v>
      </c>
      <c r="BL58" s="551">
        <v>1.0</v>
      </c>
    </row>
    <row r="59" ht="15.0" customHeight="1">
      <c r="A59" s="53">
        <v>37.0</v>
      </c>
      <c r="B59" s="100" t="s">
        <v>197</v>
      </c>
      <c r="C59" s="100" t="s">
        <v>198</v>
      </c>
      <c r="D59" s="101" t="str">
        <f t="shared" si="3"/>
        <v>DATA</v>
      </c>
      <c r="E59" s="101" t="s">
        <v>196</v>
      </c>
      <c r="F59" s="102">
        <v>1115.0</v>
      </c>
      <c r="G59" s="517" t="s">
        <v>196</v>
      </c>
      <c r="H59" s="517">
        <v>1115.0</v>
      </c>
      <c r="I59" s="68" t="str">
        <f>IFERROR(VLOOKUP(C:C,'R22 RELATÓRIO ACC'!B:F,5,FALSE),"NOT PUBLISHED")</f>
        <v>V40</v>
      </c>
      <c r="J59" s="68" t="str">
        <f>IFERROR(VLOOKUP(C:C,'R22 RELATÓRIO ACC'!B:P,15,FALSE),"NOT PUBLISHED")</f>
        <v>06/05/2026</v>
      </c>
      <c r="K59" s="70" t="str">
        <f>IFERROR(VLOOKUP(B:B,'RELATÓRIO ACC'!B:F,5,FALSE),"NOT PUBLISHED")</f>
        <v>V3</v>
      </c>
      <c r="L59" s="518" t="str">
        <f>IFERROR(VLOOKUP(B:B,'RELATÓRIO ACC'!B:P,15,FALSE),"NOT PUBLISHED")</f>
        <v>13/07/2026</v>
      </c>
      <c r="M59" s="812" t="s">
        <v>441</v>
      </c>
      <c r="N59" s="813">
        <v>46106.0</v>
      </c>
      <c r="O59" s="538" t="s">
        <v>410</v>
      </c>
      <c r="P59" s="587" t="s">
        <v>397</v>
      </c>
      <c r="Q59" s="523" t="s">
        <v>383</v>
      </c>
      <c r="R59" s="850" t="s">
        <v>380</v>
      </c>
      <c r="S59" s="551">
        <v>0.0</v>
      </c>
      <c r="T59" s="523" t="s">
        <v>386</v>
      </c>
      <c r="U59" s="850" t="s">
        <v>380</v>
      </c>
      <c r="V59" s="551">
        <v>1.0</v>
      </c>
      <c r="W59" s="523" t="s">
        <v>413</v>
      </c>
      <c r="X59" s="850" t="s">
        <v>380</v>
      </c>
      <c r="Y59" s="551">
        <v>1.0</v>
      </c>
      <c r="Z59" s="523" t="s">
        <v>413</v>
      </c>
      <c r="AA59" s="850" t="s">
        <v>380</v>
      </c>
      <c r="AB59" s="551">
        <v>1.0</v>
      </c>
      <c r="AC59" s="523" t="s">
        <v>413</v>
      </c>
      <c r="AD59" s="850" t="s">
        <v>380</v>
      </c>
      <c r="AE59" s="551">
        <v>1.0</v>
      </c>
      <c r="AF59" s="523" t="s">
        <v>413</v>
      </c>
      <c r="AG59" s="850" t="s">
        <v>380</v>
      </c>
      <c r="AH59" s="551">
        <v>1.0</v>
      </c>
      <c r="AI59" s="523" t="s">
        <v>413</v>
      </c>
      <c r="AJ59" s="850" t="s">
        <v>380</v>
      </c>
      <c r="AK59" s="551">
        <v>1.0</v>
      </c>
      <c r="AL59" s="523" t="s">
        <v>413</v>
      </c>
      <c r="AM59" s="850" t="s">
        <v>380</v>
      </c>
      <c r="AN59" s="551">
        <v>1.0</v>
      </c>
      <c r="AO59" s="523" t="s">
        <v>413</v>
      </c>
      <c r="AP59" s="850" t="s">
        <v>380</v>
      </c>
      <c r="AQ59" s="551">
        <v>1.0</v>
      </c>
      <c r="AR59" s="523" t="s">
        <v>413</v>
      </c>
      <c r="AS59" s="850" t="s">
        <v>380</v>
      </c>
      <c r="AT59" s="551">
        <v>1.0</v>
      </c>
      <c r="AU59" s="523" t="s">
        <v>413</v>
      </c>
      <c r="AV59" s="850" t="s">
        <v>380</v>
      </c>
      <c r="AW59" s="551">
        <v>1.0</v>
      </c>
      <c r="AX59" s="523" t="s">
        <v>413</v>
      </c>
      <c r="AY59" s="850" t="s">
        <v>380</v>
      </c>
      <c r="AZ59" s="551">
        <v>1.0</v>
      </c>
      <c r="BA59" s="523" t="s">
        <v>413</v>
      </c>
      <c r="BB59" s="850" t="s">
        <v>380</v>
      </c>
      <c r="BC59" s="546">
        <v>1.0</v>
      </c>
      <c r="BD59" s="523" t="s">
        <v>413</v>
      </c>
      <c r="BE59" s="850" t="s">
        <v>380</v>
      </c>
      <c r="BF59" s="546">
        <v>1.0</v>
      </c>
      <c r="BG59" s="523" t="s">
        <v>413</v>
      </c>
      <c r="BH59" s="850" t="s">
        <v>380</v>
      </c>
      <c r="BI59" s="546">
        <v>1.0</v>
      </c>
      <c r="BJ59" s="523" t="s">
        <v>413</v>
      </c>
      <c r="BK59" s="850" t="s">
        <v>380</v>
      </c>
      <c r="BL59" s="546">
        <v>1.0</v>
      </c>
    </row>
    <row r="60" ht="15.0" customHeight="1">
      <c r="A60" s="53">
        <v>54.0</v>
      </c>
      <c r="B60" s="100" t="s">
        <v>267</v>
      </c>
      <c r="C60" s="100" t="s">
        <v>268</v>
      </c>
      <c r="D60" s="101" t="str">
        <f t="shared" si="3"/>
        <v>DATA</v>
      </c>
      <c r="E60" s="101" t="s">
        <v>269</v>
      </c>
      <c r="F60" s="102"/>
      <c r="G60" s="118" t="s">
        <v>452</v>
      </c>
      <c r="H60" s="723"/>
      <c r="I60" s="68" t="str">
        <f>IFERROR(VLOOKUP(C:C,'R22 RELATÓRIO ACC'!B:F,5,FALSE),"NOT PUBLISHED")</f>
        <v>V10</v>
      </c>
      <c r="J60" s="68" t="str">
        <f>IFERROR(VLOOKUP(C:C,'R22 RELATÓRIO ACC'!B:P,15,FALSE),"NOT PUBLISHED")</f>
        <v>22/04/2026</v>
      </c>
      <c r="K60" s="70" t="str">
        <f>IFERROR(VLOOKUP(B:B,'RELATÓRIO ACC'!B:F,5,FALSE),"NOT PUBLISHED")</f>
        <v>V1</v>
      </c>
      <c r="L60" s="518" t="str">
        <f>IFERROR(VLOOKUP(B:B,'RELATÓRIO ACC'!B:P,15,FALSE),"NOT PUBLISHED")</f>
        <v>15/05/2026</v>
      </c>
      <c r="M60" s="530" t="s">
        <v>384</v>
      </c>
      <c r="N60" s="851" t="s">
        <v>473</v>
      </c>
      <c r="O60" s="538" t="s">
        <v>410</v>
      </c>
      <c r="P60" s="587"/>
      <c r="Q60" s="523" t="s">
        <v>383</v>
      </c>
      <c r="R60" s="850" t="s">
        <v>380</v>
      </c>
      <c r="S60" s="551">
        <v>0.0</v>
      </c>
      <c r="T60" s="523" t="s">
        <v>383</v>
      </c>
      <c r="U60" s="850" t="s">
        <v>380</v>
      </c>
      <c r="V60" s="551">
        <v>0.0</v>
      </c>
      <c r="W60" s="816" t="s">
        <v>386</v>
      </c>
      <c r="X60" s="852" t="s">
        <v>384</v>
      </c>
      <c r="Y60" s="853">
        <v>1.0</v>
      </c>
      <c r="Z60" s="530" t="s">
        <v>413</v>
      </c>
      <c r="AA60" s="852" t="s">
        <v>384</v>
      </c>
      <c r="AB60" s="853">
        <v>1.0</v>
      </c>
      <c r="AC60" s="530" t="s">
        <v>413</v>
      </c>
      <c r="AD60" s="852" t="s">
        <v>384</v>
      </c>
      <c r="AE60" s="853">
        <v>1.0</v>
      </c>
      <c r="AF60" s="530" t="s">
        <v>413</v>
      </c>
      <c r="AG60" s="852" t="s">
        <v>384</v>
      </c>
      <c r="AH60" s="853">
        <v>1.0</v>
      </c>
      <c r="AI60" s="530" t="s">
        <v>413</v>
      </c>
      <c r="AJ60" s="852" t="s">
        <v>384</v>
      </c>
      <c r="AK60" s="853">
        <v>1.0</v>
      </c>
      <c r="AL60" s="530" t="s">
        <v>413</v>
      </c>
      <c r="AM60" s="852" t="s">
        <v>384</v>
      </c>
      <c r="AN60" s="853">
        <v>1.0</v>
      </c>
      <c r="AO60" s="530" t="s">
        <v>413</v>
      </c>
      <c r="AP60" s="852" t="s">
        <v>384</v>
      </c>
      <c r="AQ60" s="853">
        <v>1.0</v>
      </c>
      <c r="AR60" s="530" t="s">
        <v>413</v>
      </c>
      <c r="AS60" s="852" t="s">
        <v>384</v>
      </c>
      <c r="AT60" s="853">
        <v>1.0</v>
      </c>
      <c r="AU60" s="530" t="s">
        <v>413</v>
      </c>
      <c r="AV60" s="852" t="s">
        <v>384</v>
      </c>
      <c r="AW60" s="853">
        <v>1.0</v>
      </c>
      <c r="AX60" s="530" t="s">
        <v>413</v>
      </c>
      <c r="AY60" s="852" t="s">
        <v>384</v>
      </c>
      <c r="AZ60" s="853">
        <v>1.0</v>
      </c>
      <c r="BA60" s="530" t="s">
        <v>413</v>
      </c>
      <c r="BB60" s="852" t="s">
        <v>384</v>
      </c>
      <c r="BC60" s="854">
        <v>1.0</v>
      </c>
      <c r="BD60" s="530" t="s">
        <v>413</v>
      </c>
      <c r="BE60" s="852" t="s">
        <v>384</v>
      </c>
      <c r="BF60" s="854">
        <v>1.0</v>
      </c>
      <c r="BG60" s="530" t="s">
        <v>413</v>
      </c>
      <c r="BH60" s="852" t="s">
        <v>384</v>
      </c>
      <c r="BI60" s="854">
        <v>1.0</v>
      </c>
      <c r="BJ60" s="530" t="s">
        <v>413</v>
      </c>
      <c r="BK60" s="852" t="s">
        <v>384</v>
      </c>
      <c r="BL60" s="854">
        <v>1.0</v>
      </c>
    </row>
    <row r="61" ht="15.0" customHeight="1">
      <c r="A61" s="53">
        <v>55.0</v>
      </c>
      <c r="B61" s="100" t="s">
        <v>273</v>
      </c>
      <c r="C61" s="100" t="s">
        <v>274</v>
      </c>
      <c r="D61" s="101" t="str">
        <f t="shared" si="3"/>
        <v>DATA</v>
      </c>
      <c r="E61" s="111" t="s">
        <v>275</v>
      </c>
      <c r="F61" s="102"/>
      <c r="G61" s="118" t="s">
        <v>452</v>
      </c>
      <c r="H61" s="535"/>
      <c r="I61" s="68" t="str">
        <f>IFERROR(VLOOKUP(C:C,'R22 RELATÓRIO ACC'!B:F,5,FALSE),"NOT PUBLISHED")</f>
        <v>V11</v>
      </c>
      <c r="J61" s="68" t="str">
        <f>IFERROR(VLOOKUP(C:C,'R22 RELATÓRIO ACC'!B:P,15,FALSE),"NOT PUBLISHED")</f>
        <v>28/04/2026</v>
      </c>
      <c r="K61" s="70" t="str">
        <f>IFERROR(VLOOKUP(B:B,'RELATÓRIO ACC'!B:F,5,FALSE),"NOT PUBLISHED")</f>
        <v>V1</v>
      </c>
      <c r="L61" s="518" t="str">
        <f>IFERROR(VLOOKUP(B:B,'RELATÓRIO ACC'!B:P,15,FALSE),"NOT PUBLISHED")</f>
        <v>15/05/2026</v>
      </c>
      <c r="M61" s="812" t="s">
        <v>417</v>
      </c>
      <c r="N61" s="813">
        <v>46140.0</v>
      </c>
      <c r="O61" s="538" t="s">
        <v>410</v>
      </c>
      <c r="P61" s="587"/>
      <c r="Q61" s="523" t="s">
        <v>383</v>
      </c>
      <c r="R61" s="558" t="s">
        <v>380</v>
      </c>
      <c r="S61" s="551">
        <v>0.0</v>
      </c>
      <c r="T61" s="523" t="s">
        <v>383</v>
      </c>
      <c r="U61" s="558" t="s">
        <v>380</v>
      </c>
      <c r="V61" s="551">
        <v>0.0</v>
      </c>
      <c r="W61" s="523" t="s">
        <v>383</v>
      </c>
      <c r="X61" s="558" t="s">
        <v>380</v>
      </c>
      <c r="Y61" s="551">
        <v>0.0</v>
      </c>
      <c r="Z61" s="523" t="s">
        <v>383</v>
      </c>
      <c r="AA61" s="558" t="s">
        <v>380</v>
      </c>
      <c r="AB61" s="551">
        <v>0.0</v>
      </c>
      <c r="AC61" s="523" t="s">
        <v>386</v>
      </c>
      <c r="AD61" s="550" t="s">
        <v>385</v>
      </c>
      <c r="AE61" s="853">
        <v>1.0</v>
      </c>
      <c r="AF61" s="523" t="s">
        <v>386</v>
      </c>
      <c r="AG61" s="550" t="s">
        <v>385</v>
      </c>
      <c r="AH61" s="853">
        <v>1.0</v>
      </c>
      <c r="AI61" s="530" t="s">
        <v>413</v>
      </c>
      <c r="AJ61" s="550" t="s">
        <v>385</v>
      </c>
      <c r="AK61" s="853">
        <v>1.0</v>
      </c>
      <c r="AL61" s="530" t="s">
        <v>413</v>
      </c>
      <c r="AM61" s="550" t="s">
        <v>385</v>
      </c>
      <c r="AN61" s="853">
        <v>1.0</v>
      </c>
      <c r="AO61" s="530" t="s">
        <v>413</v>
      </c>
      <c r="AP61" s="550" t="s">
        <v>385</v>
      </c>
      <c r="AQ61" s="853">
        <v>1.0</v>
      </c>
      <c r="AR61" s="530" t="s">
        <v>413</v>
      </c>
      <c r="AS61" s="550" t="s">
        <v>385</v>
      </c>
      <c r="AT61" s="853">
        <v>1.0</v>
      </c>
      <c r="AU61" s="530" t="s">
        <v>413</v>
      </c>
      <c r="AV61" s="550" t="s">
        <v>385</v>
      </c>
      <c r="AW61" s="853">
        <v>1.0</v>
      </c>
      <c r="AX61" s="530" t="s">
        <v>413</v>
      </c>
      <c r="AY61" s="550" t="s">
        <v>385</v>
      </c>
      <c r="AZ61" s="853">
        <v>1.0</v>
      </c>
      <c r="BA61" s="530" t="s">
        <v>413</v>
      </c>
      <c r="BB61" s="550" t="s">
        <v>385</v>
      </c>
      <c r="BC61" s="854">
        <v>1.0</v>
      </c>
      <c r="BD61" s="530" t="s">
        <v>413</v>
      </c>
      <c r="BE61" s="550" t="s">
        <v>385</v>
      </c>
      <c r="BF61" s="854">
        <v>1.0</v>
      </c>
      <c r="BG61" s="530" t="s">
        <v>413</v>
      </c>
      <c r="BH61" s="550" t="s">
        <v>385</v>
      </c>
      <c r="BI61" s="854">
        <v>1.0</v>
      </c>
      <c r="BJ61" s="530" t="s">
        <v>413</v>
      </c>
      <c r="BK61" s="550" t="s">
        <v>385</v>
      </c>
      <c r="BL61" s="854">
        <v>1.0</v>
      </c>
    </row>
    <row r="62" ht="15.0" customHeight="1">
      <c r="A62" s="53">
        <v>60.0</v>
      </c>
      <c r="B62" s="100" t="s">
        <v>292</v>
      </c>
      <c r="C62" s="100" t="s">
        <v>292</v>
      </c>
      <c r="D62" s="101" t="str">
        <f t="shared" si="3"/>
        <v>COL3</v>
      </c>
      <c r="E62" s="111" t="s">
        <v>289</v>
      </c>
      <c r="F62" s="102">
        <v>1125.0</v>
      </c>
      <c r="G62" s="102" t="s">
        <v>289</v>
      </c>
      <c r="H62" s="517">
        <v>1125.0</v>
      </c>
      <c r="I62" s="68" t="str">
        <f>IFERROR(VLOOKUP(C:C,'R22 RELATÓRIO ACC'!B:F,5,FALSE),"NOT PUBLISHED")</f>
        <v>V6</v>
      </c>
      <c r="J62" s="68" t="str">
        <f>IFERROR(VLOOKUP(C:C,'R22 RELATÓRIO ACC'!B:P,15,FALSE),"NOT PUBLISHED")</f>
        <v>07/11/2025</v>
      </c>
      <c r="K62" s="70" t="str">
        <f>IFERROR(VLOOKUP(B:B,'RELATÓRIO ACC'!B:F,5,FALSE),"NOT PUBLISHED")</f>
        <v>V1</v>
      </c>
      <c r="L62" s="518" t="str">
        <f>IFERROR(VLOOKUP(B:B,'RELATÓRIO ACC'!B:P,15,FALSE),"NOT PUBLISHED")</f>
        <v>21/05/2026</v>
      </c>
      <c r="M62" s="519" t="s">
        <v>428</v>
      </c>
      <c r="N62" s="569" t="s">
        <v>454</v>
      </c>
      <c r="O62" s="538" t="s">
        <v>410</v>
      </c>
      <c r="P62" s="587"/>
      <c r="Q62" s="523" t="s">
        <v>383</v>
      </c>
      <c r="R62" s="558" t="s">
        <v>380</v>
      </c>
      <c r="S62" s="551">
        <v>0.0</v>
      </c>
      <c r="T62" s="523" t="s">
        <v>386</v>
      </c>
      <c r="U62" s="550" t="s">
        <v>474</v>
      </c>
      <c r="V62" s="551">
        <v>1.0</v>
      </c>
      <c r="W62" s="523" t="s">
        <v>413</v>
      </c>
      <c r="X62" s="550" t="s">
        <v>474</v>
      </c>
      <c r="Y62" s="551">
        <v>1.0</v>
      </c>
      <c r="Z62" s="523" t="s">
        <v>413</v>
      </c>
      <c r="AA62" s="550" t="s">
        <v>474</v>
      </c>
      <c r="AB62" s="546">
        <v>1.0</v>
      </c>
      <c r="AC62" s="523" t="s">
        <v>413</v>
      </c>
      <c r="AD62" s="550" t="s">
        <v>474</v>
      </c>
      <c r="AE62" s="546">
        <v>1.0</v>
      </c>
      <c r="AF62" s="523" t="s">
        <v>413</v>
      </c>
      <c r="AG62" s="550" t="s">
        <v>474</v>
      </c>
      <c r="AH62" s="546">
        <v>1.0</v>
      </c>
      <c r="AI62" s="523" t="s">
        <v>413</v>
      </c>
      <c r="AJ62" s="550" t="s">
        <v>474</v>
      </c>
      <c r="AK62" s="546">
        <v>1.0</v>
      </c>
      <c r="AL62" s="523" t="s">
        <v>413</v>
      </c>
      <c r="AM62" s="550" t="s">
        <v>474</v>
      </c>
      <c r="AN62" s="546">
        <v>1.0</v>
      </c>
      <c r="AO62" s="528" t="s">
        <v>413</v>
      </c>
      <c r="AP62" s="550" t="s">
        <v>474</v>
      </c>
      <c r="AQ62" s="548">
        <v>1.0</v>
      </c>
      <c r="AR62" s="528" t="s">
        <v>413</v>
      </c>
      <c r="AS62" s="550" t="s">
        <v>474</v>
      </c>
      <c r="AT62" s="548">
        <v>1.0</v>
      </c>
      <c r="AU62" s="528" t="s">
        <v>413</v>
      </c>
      <c r="AV62" s="550" t="s">
        <v>474</v>
      </c>
      <c r="AW62" s="548">
        <v>1.0</v>
      </c>
      <c r="AX62" s="528" t="s">
        <v>413</v>
      </c>
      <c r="AY62" s="550" t="s">
        <v>474</v>
      </c>
      <c r="AZ62" s="548">
        <v>1.0</v>
      </c>
      <c r="BA62" s="523" t="s">
        <v>413</v>
      </c>
      <c r="BB62" s="550" t="s">
        <v>474</v>
      </c>
      <c r="BC62" s="546">
        <v>1.0</v>
      </c>
      <c r="BD62" s="523" t="s">
        <v>413</v>
      </c>
      <c r="BE62" s="550" t="s">
        <v>474</v>
      </c>
      <c r="BF62" s="546">
        <v>1.0</v>
      </c>
      <c r="BG62" s="523" t="s">
        <v>413</v>
      </c>
      <c r="BH62" s="550" t="s">
        <v>474</v>
      </c>
      <c r="BI62" s="546">
        <v>1.0</v>
      </c>
      <c r="BJ62" s="523" t="s">
        <v>413</v>
      </c>
      <c r="BK62" s="550" t="s">
        <v>474</v>
      </c>
      <c r="BL62" s="546">
        <v>1.0</v>
      </c>
    </row>
    <row r="63" ht="15.0" customHeight="1">
      <c r="A63" s="53">
        <v>29.0</v>
      </c>
      <c r="B63" s="100" t="s">
        <v>176</v>
      </c>
      <c r="C63" s="100" t="s">
        <v>177</v>
      </c>
      <c r="D63" s="101" t="str">
        <f t="shared" si="3"/>
        <v>DATA</v>
      </c>
      <c r="E63" s="101" t="s">
        <v>165</v>
      </c>
      <c r="F63" s="102">
        <v>1114.0</v>
      </c>
      <c r="G63" s="102" t="s">
        <v>165</v>
      </c>
      <c r="H63" s="517">
        <v>1114.0</v>
      </c>
      <c r="I63" s="68" t="str">
        <f>IFERROR(VLOOKUP(C:C,'R22 RELATÓRIO ACC'!B:F,5,FALSE),"NOT PUBLISHED")</f>
        <v>V18</v>
      </c>
      <c r="J63" s="68" t="str">
        <f>IFERROR(VLOOKUP(C:C,'R22 RELATÓRIO ACC'!B:P,15,FALSE),"NOT PUBLISHED")</f>
        <v>30/04/2026</v>
      </c>
      <c r="K63" s="70" t="str">
        <f>IFERROR(VLOOKUP(B:B,'RELATÓRIO ACC'!B:F,5,FALSE),"NOT PUBLISHED")</f>
        <v>V3</v>
      </c>
      <c r="L63" s="518" t="str">
        <f>IFERROR(VLOOKUP(B:B,'RELATÓRIO ACC'!B:P,15,FALSE),"NOT PUBLISHED")</f>
        <v>29/06/2026</v>
      </c>
      <c r="M63" s="812" t="s">
        <v>387</v>
      </c>
      <c r="N63" s="813">
        <v>46160.0</v>
      </c>
      <c r="O63" s="538" t="s">
        <v>378</v>
      </c>
      <c r="P63" s="587" t="s">
        <v>397</v>
      </c>
      <c r="Q63" s="523" t="s">
        <v>383</v>
      </c>
      <c r="R63" s="558" t="s">
        <v>380</v>
      </c>
      <c r="S63" s="551">
        <v>0.0</v>
      </c>
      <c r="T63" s="523" t="s">
        <v>381</v>
      </c>
      <c r="U63" s="550" t="s">
        <v>419</v>
      </c>
      <c r="V63" s="551">
        <v>0.4</v>
      </c>
      <c r="W63" s="523" t="s">
        <v>381</v>
      </c>
      <c r="X63" s="550" t="s">
        <v>419</v>
      </c>
      <c r="Y63" s="551">
        <v>0.33</v>
      </c>
      <c r="Z63" s="523" t="s">
        <v>379</v>
      </c>
      <c r="AA63" s="550" t="s">
        <v>419</v>
      </c>
      <c r="AB63" s="523" t="s">
        <v>379</v>
      </c>
      <c r="AC63" s="523" t="s">
        <v>383</v>
      </c>
      <c r="AD63" s="550" t="s">
        <v>419</v>
      </c>
      <c r="AE63" s="523" t="s">
        <v>383</v>
      </c>
      <c r="AF63" s="523" t="s">
        <v>383</v>
      </c>
      <c r="AG63" s="550" t="s">
        <v>419</v>
      </c>
      <c r="AH63" s="523" t="s">
        <v>383</v>
      </c>
      <c r="AI63" s="523" t="s">
        <v>383</v>
      </c>
      <c r="AJ63" s="550" t="s">
        <v>419</v>
      </c>
      <c r="AK63" s="523" t="s">
        <v>383</v>
      </c>
      <c r="AL63" s="523" t="s">
        <v>383</v>
      </c>
      <c r="AM63" s="550" t="s">
        <v>419</v>
      </c>
      <c r="AN63" s="523" t="s">
        <v>383</v>
      </c>
      <c r="AO63" s="523" t="s">
        <v>386</v>
      </c>
      <c r="AP63" s="550" t="s">
        <v>387</v>
      </c>
      <c r="AQ63" s="546">
        <v>1.0</v>
      </c>
      <c r="AR63" s="523" t="s">
        <v>413</v>
      </c>
      <c r="AS63" s="550" t="s">
        <v>387</v>
      </c>
      <c r="AT63" s="546">
        <v>1.0</v>
      </c>
      <c r="AU63" s="523" t="s">
        <v>413</v>
      </c>
      <c r="AV63" s="550" t="s">
        <v>387</v>
      </c>
      <c r="AW63" s="546">
        <v>1.0</v>
      </c>
      <c r="AX63" s="523" t="s">
        <v>413</v>
      </c>
      <c r="AY63" s="550" t="s">
        <v>387</v>
      </c>
      <c r="AZ63" s="546">
        <v>1.0</v>
      </c>
      <c r="BA63" s="528" t="s">
        <v>413</v>
      </c>
      <c r="BB63" s="550" t="s">
        <v>387</v>
      </c>
      <c r="BC63" s="546">
        <v>1.0</v>
      </c>
      <c r="BD63" s="523" t="s">
        <v>413</v>
      </c>
      <c r="BE63" s="550" t="s">
        <v>387</v>
      </c>
      <c r="BF63" s="546">
        <v>1.0</v>
      </c>
      <c r="BG63" s="523" t="s">
        <v>413</v>
      </c>
      <c r="BH63" s="550" t="s">
        <v>387</v>
      </c>
      <c r="BI63" s="546">
        <v>1.0</v>
      </c>
      <c r="BJ63" s="523" t="s">
        <v>413</v>
      </c>
      <c r="BK63" s="550" t="s">
        <v>387</v>
      </c>
      <c r="BL63" s="546">
        <v>1.0</v>
      </c>
    </row>
    <row r="64" ht="189.75" customHeight="1">
      <c r="A64" s="556"/>
      <c r="B64" s="556"/>
      <c r="C64" s="556"/>
      <c r="D64" s="799"/>
      <c r="E64" s="653"/>
      <c r="F64" s="653"/>
      <c r="G64" s="653"/>
      <c r="H64" s="653"/>
      <c r="I64" s="556"/>
      <c r="J64" s="556"/>
      <c r="K64" s="556"/>
      <c r="L64" s="556"/>
      <c r="M64" s="556"/>
      <c r="N64" s="556"/>
      <c r="O64" s="556"/>
      <c r="P64" s="556"/>
      <c r="Q64" s="556"/>
      <c r="R64" s="654"/>
      <c r="S64" s="568"/>
      <c r="T64" s="556"/>
      <c r="U64" s="654"/>
      <c r="V64" s="568"/>
      <c r="W64" s="568"/>
      <c r="X64" s="568"/>
      <c r="Y64" s="568"/>
      <c r="Z64" s="568"/>
      <c r="AA64" s="568"/>
      <c r="AB64" s="568"/>
      <c r="AC64" s="568"/>
      <c r="AD64" s="568"/>
      <c r="AE64" s="568"/>
      <c r="AF64" s="568"/>
      <c r="AG64" s="568"/>
      <c r="AH64" s="568"/>
      <c r="AI64" s="568"/>
      <c r="AJ64" s="568"/>
      <c r="AK64" s="568"/>
      <c r="AL64" s="568"/>
      <c r="AM64" s="568"/>
      <c r="AN64" s="568"/>
      <c r="AO64" s="568"/>
      <c r="AP64" s="568"/>
      <c r="AQ64" s="568"/>
      <c r="AR64" s="568"/>
      <c r="AS64" s="568"/>
      <c r="AT64" s="568"/>
      <c r="AU64" s="568"/>
      <c r="AV64" s="568"/>
      <c r="AW64" s="568"/>
      <c r="AX64" s="568"/>
      <c r="AY64" s="568"/>
      <c r="AZ64" s="568"/>
      <c r="BA64" s="568"/>
      <c r="BB64" s="568"/>
      <c r="BC64" s="568"/>
      <c r="BD64" s="568"/>
      <c r="BE64" s="568"/>
      <c r="BF64" s="568"/>
      <c r="BG64" s="568"/>
      <c r="BH64" s="568"/>
      <c r="BI64" s="568"/>
      <c r="BJ64" s="568"/>
      <c r="BK64" s="568"/>
      <c r="BL64" s="568"/>
    </row>
  </sheetData>
  <autoFilter ref="$A$2:$BL$63">
    <filterColumn colId="3">
      <filters>
        <filter val="C12A"/>
        <filter val="DATA"/>
        <filter val="ADMN"/>
        <filter val="COL5"/>
        <filter val="COL4"/>
        <filter val="COL3"/>
        <filter val="COL2"/>
        <filter val="COL1"/>
        <filter val="C345"/>
      </filters>
    </filterColumn>
    <sortState ref="A2:BL63">
      <sortCondition ref="BJ2:BJ63"/>
    </sortState>
  </autoFilter>
  <mergeCells count="1">
    <mergeCell ref="D1:S1"/>
  </mergeCells>
  <conditionalFormatting sqref="AX4:AX8 AZ4:BL8 BC16:BL16 AR55:BL55">
    <cfRule type="cellIs" dxfId="3" priority="1" operator="between">
      <formula>"0%"</formula>
      <formula>"50%"</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15" priority="2" operator="greaterThanOrEqual">
      <formula>70%</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3" priority="3" operator="between">
      <formula>"1%"</formula>
      <formula>"48%"</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17" priority="4" operator="equal">
      <formula>"N/A"</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10" priority="5" operator="equal">
      <formula>"NOT PUBLISHED"</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6" priority="6" operator="equal">
      <formula>"OUTDATED"</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7" priority="7" operator="equal">
      <formula>"ANALYSING"</formula>
    </cfRule>
  </conditionalFormatting>
  <conditionalFormatting sqref="T3 W3 AI4:AI11 AK4:AN11 AO4:AO19 AP4:AP11 AQ4:BK19 BL4:BL46 W5:W7 Y5 Z5:Z7 AA5:AB5 AC5:AC7 AD5 AE5:AG6 AH5:AH7 AJ5:AJ7 T6:T7 T9:T12 W9:W12 Z9:Z12 AC9:AC12 AF9:AF11 AH9:AH11 AJ9:AJ11 AE10 AG10 AI13:AI19 AK13:AN19 AP13:AP19 T14 W14:W16 Z14:Z16 AC14:AC22 AF14:AF19 AH14:AH19 AJ14:AJ19 Y15 AA15 AB15:AB16 AD15:AD16 AE15:AE19 AG15:AG19 T18 W18:W22 Z18:Z22 T20:T21 T24:T29 W24:W30 Z24:Z30 AC24:AC30 Y26 AA26:AB26 AD26:BK26 AE28:BF28 BG28:BG30 BH28:BK28 Y30 AA30:AB30 AD30:BF30 BH30 BI30:BK32 AO32 AQ32:BH32 BF34:BK34 W36 Z36 AC36 Z38 AB38:AK38 AL38:AL46 AM38 AN38:BK46 W40 Z40 AB40:AK40 AM40 W42 Z42 AB42:AK42 AM42 Z44 AB44:AK44 AM44 Z46 AB46:AK46 AM46 W48 Z48 AC48 AE48:BL48 W50:W51 Z50:Z51 AC50:AC51 AO50:AO51 AQ50:BH51 BI50:BL63 AB51 AD51:AN51 AP51 W53 Z53 AC53 AE53:BH53 W55:W56 Z55:Z56 AC55:AC56 AF55:AF56 AI55:AI56 AL55:AL56 AO55:AO56 AR55:AR56 AU55:AU56 AX55:AX56 BA55:BA56 BD55:BD56 BG55:BG56 AO62 AQ62:AZ62 BA62:BA63 BB62 BC62:BH63">
    <cfRule type="cellIs" dxfId="16" priority="8" operator="equal">
      <formula>"NEXT ROUND"</formula>
    </cfRule>
  </conditionalFormatting>
  <conditionalFormatting sqref="M3:M63 N4 O4:O10 N6:N10 O13:O17 N14 N16:N17 N19:N20 N30 N55:N56">
    <cfRule type="expression" dxfId="2" priority="9">
      <formula>IFERROR(ARRAYFORMULA(VALUE(MID(K3,2,10))) &gt; VALUE(MID(M3,2,10)), FALSE)</formula>
    </cfRule>
  </conditionalFormatting>
  <conditionalFormatting sqref="I3:K63 M11">
    <cfRule type="beginsWith" dxfId="5" priority="10" operator="beginsWith" text="V">
      <formula>LEFT((I3),LEN("V"))=("V")</formula>
    </cfRule>
  </conditionalFormatting>
  <conditionalFormatting sqref="S2:S19 T2:T64 U2:V19 W2:W64 X2:Y19 Z2:Z64 AA2:AB19 AC2:AC64 AD2:BK19 BL2:BL64 S21:S64 U21:V64 X21:Y64 AA21:AB64 AD21:BK64 M57:N57">
    <cfRule type="cellIs" dxfId="1" priority="11" operator="greaterThanOrEqual">
      <formula>"70%"</formula>
    </cfRule>
  </conditionalFormatting>
  <conditionalFormatting sqref="S2:S19 T2:T64 U2:V19 W2:W64 X2:Y19 Z2:Z64 AA2:AB19 AC2:AC64 AD2:BK19 BL2:BL64 S21:S64 U21:V64 X21:Y64 AA21:AB64 AD21:BK64 M57:N57">
    <cfRule type="cellIs" dxfId="2" priority="12" operator="between">
      <formula>"49%"</formula>
      <formula>"69%"</formula>
    </cfRule>
  </conditionalFormatting>
  <conditionalFormatting sqref="S2:S19 T2:T64 U2:V19 W2:W64 X2:Y19 Z2:Z64 AA2:AB19 AC2:AC64 AD2:BK19 BL2:BL64 S21:S64 U21:V64 X21:Y64 AA21:AB64 AD21:BK64 M57:N57">
    <cfRule type="cellIs" dxfId="3" priority="13" operator="between">
      <formula>"1%"</formula>
      <formula>"50%"</formula>
    </cfRule>
  </conditionalFormatting>
  <conditionalFormatting sqref="P3 P64">
    <cfRule type="cellIs" dxfId="18" priority="14" operator="equal">
      <formula>"YASMIN"</formula>
    </cfRule>
  </conditionalFormatting>
  <conditionalFormatting sqref="P3 P64">
    <cfRule type="cellIs" dxfId="19" priority="15" operator="equal">
      <formula>"LETÍCIA"</formula>
    </cfRule>
  </conditionalFormatting>
  <conditionalFormatting sqref="P3 P64">
    <cfRule type="cellIs" dxfId="20" priority="16" operator="equal">
      <formula>"CICI"</formula>
    </cfRule>
  </conditionalFormatting>
  <conditionalFormatting sqref="P3 P64">
    <cfRule type="cellIs" dxfId="2" priority="17" operator="equal">
      <formula>"ALINNE"</formula>
    </cfRule>
  </conditionalFormatting>
  <conditionalFormatting sqref="P3 P64">
    <cfRule type="cellIs" dxfId="15" priority="18" operator="equal">
      <formula>"GUILHERME"</formula>
    </cfRule>
  </conditionalFormatting>
  <conditionalFormatting sqref="P3 P64">
    <cfRule type="cellIs" dxfId="15" priority="19" operator="equal">
      <formula>"GUILHERME"</formula>
    </cfRule>
  </conditionalFormatting>
  <conditionalFormatting sqref="P3 P64">
    <cfRule type="cellIs" dxfId="15" priority="20" operator="equal">
      <formula>"GUILHERME"</formula>
    </cfRule>
  </conditionalFormatting>
  <conditionalFormatting sqref="P3 P64">
    <cfRule type="cellIs" dxfId="15" priority="21" operator="equal">
      <formula>"GUILHERME"</formula>
    </cfRule>
  </conditionalFormatting>
  <dataValidations>
    <dataValidation type="list" allowBlank="1" showErrorMessage="1" sqref="P4 P6:P20 P22 P24 P26 P28 P30 P32 P34 P36 P40 P42 P44 P46 P48 P50:P51 P53 P55:P63">
      <formula1>"CICI,YASMIN,GUI,JAKE,ALINNE,IURY,CAROL,LUIZA,INGRYD"</formula1>
    </dataValidation>
    <dataValidation type="list" allowBlank="1" showErrorMessage="1" sqref="O4:O20 O22 O24 O26 O28 O30 O32 O34 O36 O38 O40 O42 O44 O46 O48 O50:O51 O53 O55:O63">
      <formula1>"R22,R24,AWAITING APPROVAL,N/A,NOT PUBLISHED"</formula1>
    </dataValidation>
    <dataValidation type="list" allowBlank="1" showDropDown="1" showErrorMessage="1" sqref="W4 Y4:Z4 AB4:AC4 AE4:AF4 AH4:AI4 AK4 V5 AK5:AL5 AN5:AO5 AQ5:AR5 AT5:AU5 AW5:AX5 AZ5:BA5 BC5:BD5 BF5:BG5 BI5:BJ5 T4:T13 W6:W13 Z6:Z13 AC6:AC13 AF6:AF13 AI5:AI13 AL6:AL13 AO6:AO13 AR6:AR13 AU6:AU13 AX6:AX13 BA6:BA13 BD6:BD13 BG6:BG13 BJ6:BJ13 S14:T19 V14:W19 Y14:Z19 AB14:AC19 AE14:AF19 AH14:AI19 AN14:AO19 AQ14:AR19 AT14:AU19 AW14:AX19 AZ14:BA19 BC14:BD19 BF14:BG19 BI14:BJ19 BL14:BL19 Q4:Q20 Z20 AC20 AF20 AI20 AK14:AL20 AN20 Q22 Z22 AB22:AC22 AE22:AF22 AH22:AI22 AK22:AL22 AN22:AO22 AQ22:AR22 AT22:AU22 AW22:AX22 AZ22:BA22 BC22:BD22 BF22:BG22 BI22:BJ22 BL22 Q24 S24:T24 V24:W24 Y24:Z24 AB24:AC24 AE24:AF24 AH24 AR24 Q26 AI26 AK26 Q28 AI28 AK28 Q30 Z30 AB30 AI30 AK30 Q32 Z32 AB32:AC32 AE32:AF32 AH32:AI32 AK32:AL32 AN32 Q34 AL34 AN34 Q36 Z36 AB36:AC36 AE36:AF36 AH36:AI36 AK36:AL36 AN36 Q38 AI38 AK38 AT38 AW38 Q40 AI40 AK40 Q42 T42 Z42 AB42:AC42 AE42:AF42 AH42:AI42 AK42:AL42 AN42 Q44 Q46 T46 W46 Z46 AC46 AF46 AI46 AL46 AO46 AR46 AU46 AX46 BA46 BD46 BG46 BJ46 Q48 Q50:Q51 T51 W51 Y51:Z51 AB51:AC51 AE51:AF51 Q53 T53 W53 Z53 AC53 AF53 AI53 AL53 AO53 AR53 AU53 AX53 BA53 BD53 BG53 BJ53 T55 W55 Y55 T57 W57 Y57:Z57 AB57:AC57 AE57:AF57 T59 W59 Z59 AC59 AF59 AI59 AL59 AO59 AR59 AU59 AX59 BA59 BD59 BG59 BJ59 W62 Z62 AC62 AF62 AL62 AO62 AR62 AU62 AX62 BA62 BD62 BG62 BJ62 Q55:Q63 T62:T63 AI62:AI63 AK63">
      <formula1>"APPROVED,REPROVED,N/A,ANALYSING,NOT PUBLISHED,OUTDATED,PREVIOUSLY APPROVED,NEXT ROUND,IMPROPER"</formula1>
    </dataValidation>
    <dataValidation type="list" allowBlank="1" showErrorMessage="1" sqref="P5 P38">
      <formula1>"CICI,YASMIN,GUI,BIANCA,ALINNE,IURY,CLARISSA,LUIZA,INGRYD"</formula1>
    </dataValidation>
    <dataValidation type="list" allowBlank="1" showErrorMessage="1" sqref="P21 P23 P25 P27 P29 P31 P33 P35 P37 P39 P41 P43 P45 P47 P49 P52 P54">
      <formula1>"CICI,YASMIN,JAKE"</formula1>
    </dataValidation>
    <dataValidation type="list" allowBlank="1" showDropDown="1" showErrorMessage="1" sqref="AL4 AN4:AO4 AQ4:AR4 AT4:AU4 AW4:AX4 AZ4:BA4 BC4:BD4 BF4:BG4 BI4:BJ4 W5 Y5:Z5 AB5:AC5 AE5:AF5 AH5 T20 W20 AE20 AH20 AO20 AQ20:AR20 AT20:AU20 AW20:AX20 AZ20:BA20 BC20:BD20 BF20:BG20 BI20:BJ20 BL20 T22 W22 AU24 AW24:AX24 AZ24:BA24 BD24 BF24:BG24 BI24:BJ24 BL24 T26 W26 Z26 AC26 AE26:AF26 AH26 AL26 AN26:AO26 AQ26:AR26 AT26:AU26 AW26:AX26 AZ26:BA26 BD26 BF26:BG26 BJ26 T28 W28 Z28 AC28 AE28:AF28 AL28 AN28:AO28 AQ28:AR28 AT28:AU28 AW28:AX28 BA28 BC28:BD28 BG28 BJ28 T30 W30 AC30 AE30:AF30 AH30 AL30 AN30:AO30 AQ30:AR30 AT30:AU30 AW30:AX30 BA30 BC30:BD30 BF30:BG30 BJ30 T32 W32 AO32 AQ32:AR32 AT32:AU32 AW32:AX32 BA32 BC32:BD32 BF32:BG32 BJ32 T34 W34 Z34 AB34:AC34 AE34:AF34 AH34:AI34 AK34 AO34 AQ34:AR34 AT34:AU34 AW34:AX34 BA34 BC34:BD34 BF34:BG34 BJ34 T36 W36 AO36 AQ36:AR36 AT36:AU36 AW36:AX36 AZ36:BA36 BC36:BD36 BG36 BJ36 T38 W38 Z38 AB38:AC38 AE38:AF38 AH38 AL38 AN38:AO38 AR38 AU38 AX38 BA38 BD38 BG38 BJ38 T40 W40 Z40 AB40:AC40 AE40:AF40 AH40 AL40 AN40:AO40 AQ40:AR40 AT40:AU40 AW40:AX40 BA40 BD40 BG40 BJ40 W42 AO42 AQ42:AR42 AT42:AU42 AX42 BA42 BD42 BG42 BJ42 T44 W44 Z44 AC44 AF44 AI44 AL44 AO44 AR44 AU44 AX44 BA44 BD44 BG44 BJ44 T48 W48 Z48 AC48 AF48 AI48 AL48 AO48 AR48 AU48 AX48 BA48 BD48 BG48 BJ48 T50 W50 Z50 AC50 AE50:AF50 AH50:AI50 AK50:AL50 AN50:AO50 AI51 AL51 AO51 AR50:AR51 AU50:AU51 AX50:AX51 BA50:BA51 BD50:BD51 BG50:BG51 BJ50:BJ51 T56 W56 Z55:Z56 AC55:AC56 AF55:AF56 T58 W58 Z58 AC58 AF58 AI55:AI58 AL55:AL58 AO55:AO58 AR55:AR58 AU55:AU58 AX55:AX58 BA55:BA58 BD55:BD58 BG55:BG58 BJ55:BJ58 T60:T61 W60:W61 Z60:Z61 AC60:AC61 AF60:AF61 AI60:AI61 AL60:AL61 AO60:AO61 AR60:AR61 AU60:AU61 AX60:AX61 BA60:BA61 BD60:BD61 BG60:BG61 BJ60:BJ61 W63 Z63 AB63:AC63 AE63:AF63 AH63 AL63 AN63:AO63 AR63 AU63 AX63 BA63 BD63 BG63 BJ63">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hidden="1" min="1" max="1" width="5.88"/>
    <col customWidth="1" min="2" max="3" width="33.88"/>
    <col customWidth="1" min="4" max="4" width="10.88"/>
    <col customWidth="1" min="5" max="5" width="19.75"/>
    <col customWidth="1" min="6" max="6" width="10.75"/>
    <col customWidth="1" min="7" max="7" width="18.63"/>
    <col customWidth="1" min="8" max="8" width="9.38"/>
    <col customWidth="1" min="9" max="11" width="16.0"/>
    <col customWidth="1" min="12" max="12" width="15.88"/>
    <col customWidth="1" min="13" max="13" width="16.25"/>
    <col customWidth="1" min="14" max="15" width="14.63"/>
    <col customWidth="1" min="16" max="16" width="16.0"/>
    <col customWidth="1" min="17" max="17" width="15.38"/>
    <col customWidth="1" min="18" max="18" width="17.13"/>
    <col customWidth="1" min="19" max="19" width="16.38"/>
  </cols>
  <sheetData>
    <row r="1" ht="51.0" customHeight="1">
      <c r="A1" s="1"/>
      <c r="B1" s="491"/>
      <c r="C1" s="492"/>
      <c r="D1" s="492" t="s">
        <v>475</v>
      </c>
      <c r="E1" s="494"/>
      <c r="F1" s="494"/>
      <c r="G1" s="494"/>
      <c r="H1" s="494"/>
      <c r="I1" s="494"/>
      <c r="J1" s="494"/>
      <c r="K1" s="494"/>
      <c r="L1" s="494"/>
      <c r="M1" s="494"/>
      <c r="N1" s="494"/>
      <c r="O1" s="494"/>
      <c r="P1" s="494"/>
      <c r="Q1" s="494"/>
      <c r="R1" s="494"/>
      <c r="S1" s="494"/>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655" t="s">
        <v>467</v>
      </c>
      <c r="P2" s="505" t="s">
        <v>308</v>
      </c>
      <c r="Q2" s="802" t="s">
        <v>309</v>
      </c>
      <c r="R2" s="506" t="s">
        <v>310</v>
      </c>
      <c r="S2" s="506" t="s">
        <v>30</v>
      </c>
    </row>
    <row r="3" hidden="1">
      <c r="A3" s="53">
        <v>1.0</v>
      </c>
      <c r="B3" s="508" t="s">
        <v>77</v>
      </c>
      <c r="C3" s="656"/>
      <c r="D3" s="58"/>
      <c r="E3" s="657"/>
      <c r="F3" s="58"/>
      <c r="G3" s="58"/>
      <c r="H3" s="509"/>
      <c r="I3" s="509"/>
      <c r="J3" s="509"/>
      <c r="K3" s="510"/>
      <c r="L3" s="58"/>
      <c r="M3" s="510"/>
      <c r="N3" s="509"/>
      <c r="O3" s="509"/>
      <c r="P3" s="657"/>
      <c r="Q3" s="804"/>
      <c r="R3" s="513"/>
      <c r="S3" s="726"/>
    </row>
    <row r="4" ht="16.5" hidden="1" customHeight="1">
      <c r="A4" s="53">
        <v>6.0</v>
      </c>
      <c r="B4" s="100" t="s">
        <v>89</v>
      </c>
      <c r="C4" s="100" t="s">
        <v>90</v>
      </c>
      <c r="D4" s="101" t="str">
        <f t="shared" ref="D4:D20" si="1">MID(B4,17,4)</f>
        <v>DATA</v>
      </c>
      <c r="E4" s="111" t="s">
        <v>91</v>
      </c>
      <c r="F4" s="102">
        <v>1104.0</v>
      </c>
      <c r="G4" s="517" t="s">
        <v>92</v>
      </c>
      <c r="H4" s="517">
        <v>1127.0</v>
      </c>
      <c r="I4" s="68" t="str">
        <f>IFERROR(VLOOKUP(C:C,'R22 RELATÓRIO ACC'!B:F,5,FALSE),"NOT PUBLISHED")</f>
        <v>V12</v>
      </c>
      <c r="J4" s="68" t="str">
        <f>IFERROR(VLOOKUP(C:C,'R22 RELATÓRIO ACC'!B:P,15,FALSE),"NOT PUBLISHED")</f>
        <v>08/04/2026</v>
      </c>
      <c r="K4" s="70" t="str">
        <f>IFERROR(VLOOKUP(B:B,'RELATÓRIO ACC'!B:F,5,FALSE),"NOT PUBLISHED")</f>
        <v>V1</v>
      </c>
      <c r="L4" s="518" t="str">
        <f>IFERROR(VLOOKUP(B:B,'RELATÓRIO ACC'!B:P,15,FALSE),"NOT PUBLISHED")</f>
        <v>15/05/2026</v>
      </c>
      <c r="M4" s="519" t="s">
        <v>380</v>
      </c>
      <c r="N4" s="549" t="s">
        <v>380</v>
      </c>
      <c r="O4" s="538" t="s">
        <v>378</v>
      </c>
      <c r="P4" s="808"/>
      <c r="Q4" s="809" t="s">
        <v>380</v>
      </c>
      <c r="R4" s="810" t="s">
        <v>380</v>
      </c>
      <c r="S4" s="551">
        <v>0.0</v>
      </c>
    </row>
    <row r="5" hidden="1">
      <c r="A5" s="53">
        <v>45.0</v>
      </c>
      <c r="B5" s="100" t="s">
        <v>218</v>
      </c>
      <c r="C5" s="100" t="s">
        <v>219</v>
      </c>
      <c r="D5" s="101" t="str">
        <f t="shared" si="1"/>
        <v>DATA</v>
      </c>
      <c r="E5" s="101" t="s">
        <v>154</v>
      </c>
      <c r="F5" s="102">
        <v>1112.0</v>
      </c>
      <c r="G5" s="517" t="s">
        <v>154</v>
      </c>
      <c r="H5" s="517">
        <v>1112.0</v>
      </c>
      <c r="I5" s="68" t="str">
        <f>IFERROR(VLOOKUP(C:C,'R22 RELATÓRIO ACC'!B:F,5,FALSE),"NOT PUBLISHED")</f>
        <v>V24</v>
      </c>
      <c r="J5" s="68" t="str">
        <f>IFERROR(VLOOKUP(C:C,'R22 RELATÓRIO ACC'!B:P,15,FALSE),"NOT PUBLISHED")</f>
        <v>15/05/2026</v>
      </c>
      <c r="K5" s="70" t="str">
        <f>IFERROR(VLOOKUP(B:B,'RELATÓRIO ACC'!B:F,5,FALSE),"NOT PUBLISHED")</f>
        <v>V2</v>
      </c>
      <c r="L5" s="518" t="str">
        <f>IFERROR(VLOOKUP(B:B,'RELATÓRIO ACC'!B:P,15,FALSE),"NOT PUBLISHED")</f>
        <v>06/07/2026</v>
      </c>
      <c r="M5" s="519" t="s">
        <v>380</v>
      </c>
      <c r="N5" s="549" t="s">
        <v>380</v>
      </c>
      <c r="O5" s="538" t="s">
        <v>378</v>
      </c>
      <c r="P5" s="808" t="s">
        <v>397</v>
      </c>
      <c r="Q5" s="809" t="s">
        <v>380</v>
      </c>
      <c r="R5" s="810" t="s">
        <v>380</v>
      </c>
      <c r="S5" s="551">
        <v>0.0</v>
      </c>
    </row>
    <row r="6" ht="15.0" hidden="1" customHeight="1">
      <c r="A6" s="53">
        <v>11.0</v>
      </c>
      <c r="B6" s="100" t="s">
        <v>112</v>
      </c>
      <c r="C6" s="100" t="s">
        <v>113</v>
      </c>
      <c r="D6" s="101" t="str">
        <f t="shared" si="1"/>
        <v>DATA</v>
      </c>
      <c r="E6" s="101" t="s">
        <v>114</v>
      </c>
      <c r="F6" s="102">
        <v>1108.0</v>
      </c>
      <c r="G6" s="517" t="s">
        <v>114</v>
      </c>
      <c r="H6" s="517">
        <v>1108.0</v>
      </c>
      <c r="I6" s="68" t="str">
        <f>IFERROR(VLOOKUP(C:C,'R22 RELATÓRIO ACC'!B:F,5,FALSE),"NOT PUBLISHED")</f>
        <v>V4</v>
      </c>
      <c r="J6" s="68" t="str">
        <f>IFERROR(VLOOKUP(C:C,'R22 RELATÓRIO ACC'!B:P,15,FALSE),"NOT PUBLISHED")</f>
        <v>10/04/2026</v>
      </c>
      <c r="K6" s="70" t="str">
        <f>IFERROR(VLOOKUP(B:B,'RELATÓRIO ACC'!B:F,5,FALSE),"NOT PUBLISHED")</f>
        <v>V2</v>
      </c>
      <c r="L6" s="518" t="str">
        <f>IFERROR(VLOOKUP(B:B,'RELATÓRIO ACC'!B:P,15,FALSE),"NOT PUBLISHED")</f>
        <v>04/06/2026</v>
      </c>
      <c r="M6" s="519" t="s">
        <v>380</v>
      </c>
      <c r="N6" s="549" t="s">
        <v>380</v>
      </c>
      <c r="O6" s="538" t="s">
        <v>378</v>
      </c>
      <c r="P6" s="814"/>
      <c r="Q6" s="809" t="s">
        <v>380</v>
      </c>
      <c r="R6" s="810" t="s">
        <v>380</v>
      </c>
      <c r="S6" s="551">
        <v>0.0</v>
      </c>
    </row>
    <row r="7" ht="15.0" hidden="1" customHeight="1">
      <c r="A7" s="53">
        <v>15.0</v>
      </c>
      <c r="B7" s="100" t="s">
        <v>130</v>
      </c>
      <c r="C7" s="100" t="s">
        <v>131</v>
      </c>
      <c r="D7" s="101" t="str">
        <f t="shared" si="1"/>
        <v>C12A</v>
      </c>
      <c r="E7" s="101" t="s">
        <v>126</v>
      </c>
      <c r="F7" s="111">
        <v>1101.0</v>
      </c>
      <c r="G7" s="101" t="s">
        <v>127</v>
      </c>
      <c r="H7" s="517">
        <v>1126.0</v>
      </c>
      <c r="I7" s="68" t="str">
        <f>IFERROR(VLOOKUP(C:C,'R22 RELATÓRIO ACC'!B:F,5,FALSE),"NOT PUBLISHED")</f>
        <v>V24</v>
      </c>
      <c r="J7" s="68" t="str">
        <f>IFERROR(VLOOKUP(C:C,'R22 RELATÓRIO ACC'!B:P,15,FALSE),"NOT PUBLISHED")</f>
        <v>07/04/2026</v>
      </c>
      <c r="K7" s="70" t="str">
        <f>IFERROR(VLOOKUP(B:B,'RELATÓRIO ACC'!B:F,5,FALSE),"NOT PUBLISHED")</f>
        <v>V2</v>
      </c>
      <c r="L7" s="518" t="str">
        <f>IFERROR(VLOOKUP(B:B,'RELATÓRIO ACC'!B:P,15,FALSE),"NOT PUBLISHED")</f>
        <v>27/05/2026</v>
      </c>
      <c r="M7" s="519" t="s">
        <v>380</v>
      </c>
      <c r="N7" s="549" t="s">
        <v>380</v>
      </c>
      <c r="O7" s="538" t="s">
        <v>378</v>
      </c>
      <c r="P7" s="814"/>
      <c r="Q7" s="809" t="s">
        <v>380</v>
      </c>
      <c r="R7" s="810" t="s">
        <v>380</v>
      </c>
      <c r="S7" s="551">
        <v>0.0</v>
      </c>
    </row>
    <row r="8" ht="15.0" hidden="1" customHeight="1">
      <c r="A8" s="53">
        <v>18.0</v>
      </c>
      <c r="B8" s="100" t="s">
        <v>145</v>
      </c>
      <c r="C8" s="100" t="s">
        <v>146</v>
      </c>
      <c r="D8" s="101" t="str">
        <f t="shared" si="1"/>
        <v>DATA</v>
      </c>
      <c r="E8" s="111" t="s">
        <v>147</v>
      </c>
      <c r="F8" s="118" t="s">
        <v>147</v>
      </c>
      <c r="G8" s="534" t="s">
        <v>147</v>
      </c>
      <c r="H8" s="535"/>
      <c r="I8" s="68" t="str">
        <f>IFERROR(VLOOKUP(C:C,'R22 RELATÓRIO ACC'!B:F,5,FALSE),"NOT PUBLISHED")</f>
        <v>V9</v>
      </c>
      <c r="J8" s="68" t="str">
        <f>IFERROR(VLOOKUP(C:C,'R22 RELATÓRIO ACC'!B:P,15,FALSE),"NOT PUBLISHED")</f>
        <v>28/02/2026</v>
      </c>
      <c r="K8" s="70" t="str">
        <f>IFERROR(VLOOKUP(B:B,'RELATÓRIO ACC'!B:F,5,FALSE),"NOT PUBLISHED")</f>
        <v>V1</v>
      </c>
      <c r="L8" s="518" t="str">
        <f>IFERROR(VLOOKUP(B:B,'RELATÓRIO ACC'!B:P,15,FALSE),"NOT PUBLISHED")</f>
        <v>20/05/2026</v>
      </c>
      <c r="M8" s="519" t="s">
        <v>380</v>
      </c>
      <c r="N8" s="549" t="s">
        <v>380</v>
      </c>
      <c r="O8" s="538" t="s">
        <v>378</v>
      </c>
      <c r="P8" s="814"/>
      <c r="Q8" s="809" t="s">
        <v>380</v>
      </c>
      <c r="R8" s="810" t="s">
        <v>380</v>
      </c>
      <c r="S8" s="551">
        <v>0.0</v>
      </c>
    </row>
    <row r="9" ht="15.0" customHeight="1">
      <c r="A9" s="53">
        <v>57.0</v>
      </c>
      <c r="B9" s="100" t="s">
        <v>288</v>
      </c>
      <c r="C9" s="100" t="s">
        <v>288</v>
      </c>
      <c r="D9" s="101" t="str">
        <f t="shared" si="1"/>
        <v>ADMN</v>
      </c>
      <c r="E9" s="101" t="s">
        <v>289</v>
      </c>
      <c r="F9" s="102">
        <v>1125.0</v>
      </c>
      <c r="G9" s="517" t="s">
        <v>289</v>
      </c>
      <c r="H9" s="517">
        <v>1125.0</v>
      </c>
      <c r="I9" s="68" t="str">
        <f>IFERROR(VLOOKUP(C:C,'R22 RELATÓRIO ACC'!B:F,5,FALSE),"NOT PUBLISHED")</f>
        <v>V8</v>
      </c>
      <c r="J9" s="68" t="str">
        <f>IFERROR(VLOOKUP(C:C,'R22 RELATÓRIO ACC'!B:P,15,FALSE),"NOT PUBLISHED")</f>
        <v>07/11/2025</v>
      </c>
      <c r="K9" s="70" t="str">
        <f>IFERROR(VLOOKUP(B:B,'RELATÓRIO ACC'!B:F,5,FALSE),"NOT PUBLISHED")</f>
        <v>V1</v>
      </c>
      <c r="L9" s="518" t="str">
        <f>IFERROR(VLOOKUP(B:B,'RELATÓRIO ACC'!B:P,15,FALSE),"NOT PUBLISHED")</f>
        <v>21/05/2026</v>
      </c>
      <c r="M9" s="519" t="s">
        <v>380</v>
      </c>
      <c r="N9" s="549" t="s">
        <v>380</v>
      </c>
      <c r="O9" s="538" t="s">
        <v>378</v>
      </c>
      <c r="P9" s="814"/>
      <c r="Q9" s="809" t="s">
        <v>380</v>
      </c>
      <c r="R9" s="811" t="s">
        <v>380</v>
      </c>
      <c r="S9" s="551">
        <v>0.0</v>
      </c>
    </row>
    <row r="10" ht="15.0" customHeight="1">
      <c r="A10" s="53">
        <v>58.0</v>
      </c>
      <c r="B10" s="100" t="s">
        <v>290</v>
      </c>
      <c r="C10" s="100" t="s">
        <v>290</v>
      </c>
      <c r="D10" s="101" t="str">
        <f t="shared" si="1"/>
        <v>COL1</v>
      </c>
      <c r="E10" s="111" t="s">
        <v>289</v>
      </c>
      <c r="F10" s="102">
        <v>1125.0</v>
      </c>
      <c r="G10" s="517" t="s">
        <v>289</v>
      </c>
      <c r="H10" s="517">
        <v>1125.0</v>
      </c>
      <c r="I10" s="68" t="str">
        <f>IFERROR(VLOOKUP(C:C,'R22 RELATÓRIO ACC'!B:F,5,FALSE),"NOT PUBLISHED")</f>
        <v>V7</v>
      </c>
      <c r="J10" s="68" t="str">
        <f>IFERROR(VLOOKUP(C:C,'R22 RELATÓRIO ACC'!B:P,15,FALSE),"NOT PUBLISHED")</f>
        <v>07/11/2025</v>
      </c>
      <c r="K10" s="70" t="str">
        <f>IFERROR(VLOOKUP(B:B,'RELATÓRIO ACC'!B:F,5,FALSE),"NOT PUBLISHED")</f>
        <v>V1</v>
      </c>
      <c r="L10" s="518" t="str">
        <f>IFERROR(VLOOKUP(B:B,'RELATÓRIO ACC'!B:P,15,FALSE),"NOT PUBLISHED")</f>
        <v>21/05/2026</v>
      </c>
      <c r="M10" s="519" t="s">
        <v>380</v>
      </c>
      <c r="N10" s="549" t="s">
        <v>380</v>
      </c>
      <c r="O10" s="538" t="s">
        <v>378</v>
      </c>
      <c r="P10" s="814"/>
      <c r="Q10" s="809" t="s">
        <v>380</v>
      </c>
      <c r="R10" s="811" t="s">
        <v>380</v>
      </c>
      <c r="S10" s="551">
        <v>0.0</v>
      </c>
    </row>
    <row r="11" ht="15.0" customHeight="1">
      <c r="A11" s="53">
        <v>59.0</v>
      </c>
      <c r="B11" s="100" t="s">
        <v>291</v>
      </c>
      <c r="C11" s="100" t="s">
        <v>291</v>
      </c>
      <c r="D11" s="101" t="str">
        <f t="shared" si="1"/>
        <v>COL2</v>
      </c>
      <c r="E11" s="111" t="s">
        <v>289</v>
      </c>
      <c r="F11" s="102">
        <v>1125.0</v>
      </c>
      <c r="G11" s="517" t="s">
        <v>289</v>
      </c>
      <c r="H11" s="517">
        <v>1125.0</v>
      </c>
      <c r="I11" s="68" t="str">
        <f>IFERROR(VLOOKUP(C:C,'R22 RELATÓRIO ACC'!B:F,5,FALSE),"NOT PUBLISHED")</f>
        <v>V6</v>
      </c>
      <c r="J11" s="68" t="str">
        <f>IFERROR(VLOOKUP(C:C,'R22 RELATÓRIO ACC'!B:P,15,FALSE),"NOT PUBLISHED")</f>
        <v>07/11/2025</v>
      </c>
      <c r="K11" s="70" t="str">
        <f>IFERROR(VLOOKUP(B:B,'RELATÓRIO ACC'!B:F,5,FALSE),"NOT PUBLISHED")</f>
        <v>V1</v>
      </c>
      <c r="L11" s="518" t="str">
        <f>IFERROR(VLOOKUP(B:B,'RELATÓRIO ACC'!B:P,15,FALSE),"NOT PUBLISHED")</f>
        <v>21/05/2026</v>
      </c>
      <c r="M11" s="519" t="s">
        <v>380</v>
      </c>
      <c r="N11" s="549" t="s">
        <v>380</v>
      </c>
      <c r="O11" s="538" t="s">
        <v>378</v>
      </c>
      <c r="P11" s="814"/>
      <c r="Q11" s="809" t="s">
        <v>380</v>
      </c>
      <c r="R11" s="811" t="s">
        <v>380</v>
      </c>
      <c r="S11" s="551">
        <v>0.0</v>
      </c>
    </row>
    <row r="12" ht="15.0" customHeight="1">
      <c r="A12" s="53">
        <v>61.0</v>
      </c>
      <c r="B12" s="100" t="s">
        <v>292</v>
      </c>
      <c r="C12" s="100" t="s">
        <v>293</v>
      </c>
      <c r="D12" s="101" t="str">
        <f t="shared" si="1"/>
        <v>COL3</v>
      </c>
      <c r="E12" s="111" t="s">
        <v>289</v>
      </c>
      <c r="F12" s="102">
        <v>1125.0</v>
      </c>
      <c r="G12" s="517" t="s">
        <v>289</v>
      </c>
      <c r="H12" s="517">
        <v>1125.0</v>
      </c>
      <c r="I12" s="68" t="str">
        <f>IFERROR(VLOOKUP(C:C,'R22 RELATÓRIO ACC'!B:F,5,FALSE),"NOT PUBLISHED")</f>
        <v>V7</v>
      </c>
      <c r="J12" s="68" t="str">
        <f>IFERROR(VLOOKUP(C:C,'R22 RELATÓRIO ACC'!B:P,15,FALSE),"NOT PUBLISHED")</f>
        <v>05/12/2025</v>
      </c>
      <c r="K12" s="70" t="str">
        <f>IFERROR(VLOOKUP(B:B,'RELATÓRIO ACC'!B:F,5,FALSE),"NOT PUBLISHED")</f>
        <v>V1</v>
      </c>
      <c r="L12" s="518" t="str">
        <f>IFERROR(VLOOKUP(B:B,'RELATÓRIO ACC'!B:P,15,FALSE),"NOT PUBLISHED")</f>
        <v>21/05/2026</v>
      </c>
      <c r="M12" s="519" t="s">
        <v>380</v>
      </c>
      <c r="N12" s="549" t="s">
        <v>380</v>
      </c>
      <c r="O12" s="538" t="s">
        <v>378</v>
      </c>
      <c r="P12" s="814"/>
      <c r="Q12" s="809" t="s">
        <v>380</v>
      </c>
      <c r="R12" s="811" t="s">
        <v>476</v>
      </c>
      <c r="S12" s="551">
        <v>0.0</v>
      </c>
    </row>
    <row r="13" ht="15.0" customHeight="1">
      <c r="A13" s="53">
        <v>62.0</v>
      </c>
      <c r="B13" s="100" t="s">
        <v>294</v>
      </c>
      <c r="C13" s="100" t="s">
        <v>294</v>
      </c>
      <c r="D13" s="101" t="str">
        <f t="shared" si="1"/>
        <v>COL5</v>
      </c>
      <c r="E13" s="111" t="s">
        <v>289</v>
      </c>
      <c r="F13" s="102">
        <v>1125.0</v>
      </c>
      <c r="G13" s="517" t="s">
        <v>289</v>
      </c>
      <c r="H13" s="517">
        <v>1125.0</v>
      </c>
      <c r="I13" s="68" t="str">
        <f>IFERROR(VLOOKUP(C:C,'R22 RELATÓRIO ACC'!B:F,5,FALSE),"NOT PUBLISHED")</f>
        <v>V6</v>
      </c>
      <c r="J13" s="68" t="str">
        <f>IFERROR(VLOOKUP(C:C,'R22 RELATÓRIO ACC'!B:P,15,FALSE),"NOT PUBLISHED")</f>
        <v>07/11/2025</v>
      </c>
      <c r="K13" s="70" t="str">
        <f>IFERROR(VLOOKUP(B:B,'RELATÓRIO ACC'!B:F,5,FALSE),"NOT PUBLISHED")</f>
        <v>V1</v>
      </c>
      <c r="L13" s="518" t="str">
        <f>IFERROR(VLOOKUP(B:B,'RELATÓRIO ACC'!B:P,15,FALSE),"NOT PUBLISHED")</f>
        <v>21/05/2026</v>
      </c>
      <c r="M13" s="519" t="s">
        <v>380</v>
      </c>
      <c r="N13" s="549" t="s">
        <v>380</v>
      </c>
      <c r="O13" s="538" t="s">
        <v>378</v>
      </c>
      <c r="P13" s="814"/>
      <c r="Q13" s="809" t="s">
        <v>380</v>
      </c>
      <c r="R13" s="811" t="s">
        <v>380</v>
      </c>
      <c r="S13" s="551">
        <v>0.0</v>
      </c>
    </row>
    <row r="14" ht="15.0" hidden="1" customHeight="1">
      <c r="A14" s="53">
        <v>4.0</v>
      </c>
      <c r="B14" s="100" t="s">
        <v>393</v>
      </c>
      <c r="C14" s="100" t="s">
        <v>394</v>
      </c>
      <c r="D14" s="101" t="str">
        <f t="shared" si="1"/>
        <v>DATA</v>
      </c>
      <c r="E14" s="101" t="s">
        <v>395</v>
      </c>
      <c r="F14" s="102">
        <v>1102.0</v>
      </c>
      <c r="G14" s="517" t="s">
        <v>80</v>
      </c>
      <c r="H14" s="517">
        <v>1130.0</v>
      </c>
      <c r="I14" s="68" t="str">
        <f>IFERROR(VLOOKUP(C:C,'R22 RELATÓRIO ACC'!B:F,5,FALSE),"NOT PUBLISHED")</f>
        <v>NOT PUBLISHED</v>
      </c>
      <c r="J14" s="68" t="str">
        <f>IFERROR(VLOOKUP(C:C,'R22 RELATÓRIO ACC'!B:P,15,FALSE),"NOT PUBLISHED")</f>
        <v>NOT PUBLISHED</v>
      </c>
      <c r="K14" s="70" t="str">
        <f>IFERROR(VLOOKUP(B:B,'RELATÓRIO ACC'!B:F,5,FALSE),"NOT PUBLISHED")</f>
        <v>NOT PUBLISHED</v>
      </c>
      <c r="L14" s="518" t="str">
        <f>IFERROR(VLOOKUP(B:B,'RELATÓRIO ACC'!B:P,15,FALSE),"NOT PUBLISHED")</f>
        <v>NOT PUBLISHED</v>
      </c>
      <c r="M14" s="518" t="str">
        <f>IFERROR(VLOOKUP(C:C,'RELATÓRIO ACC'!C:Q,15,FALSE),"NOT PUBLISHED")</f>
        <v>NOT PUBLISHED</v>
      </c>
      <c r="N14" s="518" t="str">
        <f>IFERROR(VLOOKUP(D:D,'RELATÓRIO ACC'!D:R,15,FALSE),"NOT PUBLISHED")</f>
        <v>NOT PUBLISHED</v>
      </c>
      <c r="O14" s="538" t="s">
        <v>388</v>
      </c>
      <c r="P14" s="814"/>
      <c r="Q14" s="518" t="str">
        <f>IFERROR(VLOOKUP(G:G,'RELATÓRIO ACC'!G:U,15,FALSE),"NOT PUBLISHED")</f>
        <v>NOT PUBLISHED</v>
      </c>
      <c r="R14" s="518" t="str">
        <f>IFERROR(VLOOKUP(H:H,'RELATÓRIO ACC'!H:V,15,FALSE),"NOT PUBLISHED")</f>
        <v>NOT PUBLISHED</v>
      </c>
      <c r="S14" s="518" t="str">
        <f>IFERROR(VLOOKUP(I:I,'RELATÓRIO ACC'!I:W,15,FALSE),"NOT PUBLISHED")</f>
        <v>NOT PUBLISHED</v>
      </c>
    </row>
    <row r="15" ht="15.0" hidden="1" customHeight="1">
      <c r="A15" s="53">
        <v>16.0</v>
      </c>
      <c r="B15" s="100" t="s">
        <v>132</v>
      </c>
      <c r="C15" s="100" t="s">
        <v>133</v>
      </c>
      <c r="D15" s="101" t="str">
        <f t="shared" si="1"/>
        <v>DATA</v>
      </c>
      <c r="E15" s="101" t="s">
        <v>105</v>
      </c>
      <c r="F15" s="115">
        <v>0.0</v>
      </c>
      <c r="G15" s="535" t="s">
        <v>105</v>
      </c>
      <c r="H15" s="535">
        <v>0.0</v>
      </c>
      <c r="I15" s="68" t="str">
        <f>IFERROR(VLOOKUP(C:C,'R22 RELATÓRIO ACC'!B:F,5,FALSE),"NOT PUBLISHED")</f>
        <v>NOT PUBLISHED</v>
      </c>
      <c r="J15" s="68" t="str">
        <f>IFERROR(VLOOKUP(C:C,'R22 RELATÓRIO ACC'!B:P,15,FALSE),"NOT PUBLISHED")</f>
        <v>NOT PUBLISHED</v>
      </c>
      <c r="K15" s="70" t="str">
        <f>IFERROR(VLOOKUP(B:B,'RELATÓRIO ACC'!B:F,5,FALSE),"NOT PUBLISHED")</f>
        <v>NOT PUBLISHED</v>
      </c>
      <c r="L15" s="518" t="str">
        <f>IFERROR(VLOOKUP(B:B,'RELATÓRIO ACC'!B:P,15,FALSE),"NOT PUBLISHED")</f>
        <v>NOT PUBLISHED</v>
      </c>
      <c r="M15" s="518" t="str">
        <f>IFERROR(VLOOKUP(C:C,'RELATÓRIO ACC'!C:Q,15,FALSE),"NOT PUBLISHED")</f>
        <v>NOT PUBLISHED</v>
      </c>
      <c r="N15" s="518" t="str">
        <f>IFERROR(VLOOKUP(D:D,'RELATÓRIO ACC'!D:R,15,FALSE),"NOT PUBLISHED")</f>
        <v>NOT PUBLISHED</v>
      </c>
      <c r="O15" s="538" t="s">
        <v>388</v>
      </c>
      <c r="P15" s="814"/>
      <c r="Q15" s="518" t="str">
        <f>IFERROR(VLOOKUP(G:G,'RELATÓRIO ACC'!G:U,15,FALSE),"NOT PUBLISHED")</f>
        <v>NOT PUBLISHED</v>
      </c>
      <c r="R15" s="518" t="str">
        <f>IFERROR(VLOOKUP(H:H,'RELATÓRIO ACC'!H:V,15,FALSE),"NOT PUBLISHED")</f>
        <v>NOT PUBLISHED</v>
      </c>
      <c r="S15" s="518" t="str">
        <f>IFERROR(VLOOKUP(I:I,'RELATÓRIO ACC'!I:W,15,FALSE),"NOT PUBLISHED")</f>
        <v>NOT PUBLISHED</v>
      </c>
    </row>
    <row r="16" ht="15.0" hidden="1" customHeight="1">
      <c r="A16" s="53">
        <v>3.0</v>
      </c>
      <c r="B16" s="100" t="s">
        <v>390</v>
      </c>
      <c r="C16" s="100" t="s">
        <v>391</v>
      </c>
      <c r="D16" s="101" t="str">
        <f t="shared" si="1"/>
        <v>DATA</v>
      </c>
      <c r="E16" s="552" t="s">
        <v>392</v>
      </c>
      <c r="F16" s="118">
        <v>1111.0</v>
      </c>
      <c r="G16" s="517" t="s">
        <v>80</v>
      </c>
      <c r="H16" s="517">
        <v>1130.0</v>
      </c>
      <c r="I16" s="68" t="str">
        <f>IFERROR(VLOOKUP(C:C,'R22 RELATÓRIO ACC'!B:F,5,FALSE),"NOT PUBLISHED")</f>
        <v>NOT PUBLISHED</v>
      </c>
      <c r="J16" s="68" t="str">
        <f>IFERROR(VLOOKUP(C:C,'R22 RELATÓRIO ACC'!B:P,15,FALSE),"NOT PUBLISHED")</f>
        <v>NOT PUBLISHED</v>
      </c>
      <c r="K16" s="70" t="str">
        <f>IFERROR(VLOOKUP(B:B,'RELATÓRIO ACC'!B:F,5,FALSE),"NOT PUBLISHED")</f>
        <v>NOT PUBLISHED</v>
      </c>
      <c r="L16" s="518" t="str">
        <f>IFERROR(VLOOKUP(B:B,'RELATÓRIO ACC'!B:P,15,FALSE),"NOT PUBLISHED")</f>
        <v>NOT PUBLISHED</v>
      </c>
      <c r="M16" s="518" t="str">
        <f>IFERROR(VLOOKUP(C:C,'RELATÓRIO ACC'!C:Q,15,FALSE),"NOT PUBLISHED")</f>
        <v>NOT PUBLISHED</v>
      </c>
      <c r="N16" s="518" t="str">
        <f>IFERROR(VLOOKUP(D:D,'RELATÓRIO ACC'!D:R,15,FALSE),"NOT PUBLISHED")</f>
        <v>NOT PUBLISHED</v>
      </c>
      <c r="O16" s="538" t="s">
        <v>388</v>
      </c>
      <c r="P16" s="814"/>
      <c r="Q16" s="518" t="str">
        <f>IFERROR(VLOOKUP(G:G,'RELATÓRIO ACC'!G:U,15,FALSE),"NOT PUBLISHED")</f>
        <v>NOT PUBLISHED</v>
      </c>
      <c r="R16" s="518" t="str">
        <f>IFERROR(VLOOKUP(H:H,'RELATÓRIO ACC'!H:V,15,FALSE),"NOT PUBLISHED")</f>
        <v>NOT PUBLISHED</v>
      </c>
      <c r="S16" s="518" t="str">
        <f>IFERROR(VLOOKUP(I:I,'RELATÓRIO ACC'!I:W,15,FALSE),"NOT PUBLISHED")</f>
        <v>NOT PUBLISHED</v>
      </c>
    </row>
    <row r="17" ht="15.0" hidden="1" customHeight="1">
      <c r="A17" s="53">
        <v>9.0</v>
      </c>
      <c r="B17" s="100" t="s">
        <v>102</v>
      </c>
      <c r="C17" s="100" t="s">
        <v>103</v>
      </c>
      <c r="D17" s="101" t="str">
        <f t="shared" si="1"/>
        <v>DATA</v>
      </c>
      <c r="E17" s="111" t="s">
        <v>104</v>
      </c>
      <c r="F17" s="115">
        <v>1106.0</v>
      </c>
      <c r="G17" s="517" t="s">
        <v>105</v>
      </c>
      <c r="H17" s="535">
        <v>0.0</v>
      </c>
      <c r="I17" s="68" t="str">
        <f>IFERROR(VLOOKUP(C:C,'R22 RELATÓRIO ACC'!B:F,5,FALSE),"NOT PUBLISHED")</f>
        <v>NOT PUBLISHED</v>
      </c>
      <c r="J17" s="68" t="str">
        <f>IFERROR(VLOOKUP(C:C,'R22 RELATÓRIO ACC'!B:P,15,FALSE),"NOT PUBLISHED")</f>
        <v>NOT PUBLISHED</v>
      </c>
      <c r="K17" s="70" t="str">
        <f>IFERROR(VLOOKUP(B:B,'RELATÓRIO ACC'!B:F,5,FALSE),"NOT PUBLISHED")</f>
        <v>NOT PUBLISHED</v>
      </c>
      <c r="L17" s="518" t="str">
        <f>IFERROR(VLOOKUP(B:B,'RELATÓRIO ACC'!B:P,15,FALSE),"NOT PUBLISHED")</f>
        <v>NOT PUBLISHED</v>
      </c>
      <c r="M17" s="518" t="str">
        <f>IFERROR(VLOOKUP(C:C,'RELATÓRIO ACC'!C:Q,15,FALSE),"NOT PUBLISHED")</f>
        <v>NOT PUBLISHED</v>
      </c>
      <c r="N17" s="518" t="str">
        <f>IFERROR(VLOOKUP(D:D,'RELATÓRIO ACC'!D:R,15,FALSE),"NOT PUBLISHED")</f>
        <v>NOT PUBLISHED</v>
      </c>
      <c r="O17" s="538" t="s">
        <v>388</v>
      </c>
      <c r="P17" s="814"/>
      <c r="Q17" s="518" t="str">
        <f>IFERROR(VLOOKUP(G:G,'RELATÓRIO ACC'!G:U,15,FALSE),"NOT PUBLISHED")</f>
        <v>NOT PUBLISHED</v>
      </c>
      <c r="R17" s="518" t="str">
        <f>IFERROR(VLOOKUP(H:H,'RELATÓRIO ACC'!H:V,15,FALSE),"NOT PUBLISHED")</f>
        <v>NOT PUBLISHED</v>
      </c>
      <c r="S17" s="518" t="str">
        <f>IFERROR(VLOOKUP(I:I,'RELATÓRIO ACC'!I:W,15,FALSE),"NOT PUBLISHED")</f>
        <v>NOT PUBLISHED</v>
      </c>
    </row>
    <row r="18" ht="15.0" hidden="1" customHeight="1">
      <c r="A18" s="53">
        <v>5.0</v>
      </c>
      <c r="B18" s="100" t="s">
        <v>86</v>
      </c>
      <c r="C18" s="100" t="s">
        <v>87</v>
      </c>
      <c r="D18" s="101" t="str">
        <f t="shared" si="1"/>
        <v>DATA</v>
      </c>
      <c r="E18" s="111" t="s">
        <v>88</v>
      </c>
      <c r="F18" s="118" t="s">
        <v>88</v>
      </c>
      <c r="G18" s="534" t="s">
        <v>88</v>
      </c>
      <c r="H18" s="517"/>
      <c r="I18" s="68" t="str">
        <f>IFERROR(VLOOKUP(C:C,'R22 RELATÓRIO ACC'!B:F,5,FALSE),"NOT PUBLISHED")</f>
        <v>NOT PUBLISHED</v>
      </c>
      <c r="J18" s="68" t="str">
        <f>IFERROR(VLOOKUP(C:C,'R22 RELATÓRIO ACC'!B:P,15,FALSE),"NOT PUBLISHED")</f>
        <v>NOT PUBLISHED</v>
      </c>
      <c r="K18" s="70" t="str">
        <f>IFERROR(VLOOKUP(B:B,'RELATÓRIO ACC'!B:F,5,FALSE),"NOT PUBLISHED")</f>
        <v>NOT PUBLISHED</v>
      </c>
      <c r="L18" s="518" t="str">
        <f>IFERROR(VLOOKUP(B:B,'RELATÓRIO ACC'!B:P,15,FALSE),"NOT PUBLISHED")</f>
        <v>NOT PUBLISHED</v>
      </c>
      <c r="M18" s="518" t="str">
        <f>IFERROR(VLOOKUP(C:C,'RELATÓRIO ACC'!C:Q,15,FALSE),"NOT PUBLISHED")</f>
        <v>NOT PUBLISHED</v>
      </c>
      <c r="N18" s="518" t="str">
        <f>IFERROR(VLOOKUP(D:D,'RELATÓRIO ACC'!D:R,15,FALSE),"NOT PUBLISHED")</f>
        <v>NOT PUBLISHED</v>
      </c>
      <c r="O18" s="538" t="s">
        <v>388</v>
      </c>
      <c r="P18" s="814"/>
      <c r="Q18" s="518" t="str">
        <f>IFERROR(VLOOKUP(G:G,'RELATÓRIO ACC'!G:U,15,FALSE),"NOT PUBLISHED")</f>
        <v>NOT PUBLISHED</v>
      </c>
      <c r="R18" s="518" t="str">
        <f>IFERROR(VLOOKUP(H:H,'RELATÓRIO ACC'!H:V,15,FALSE),"NOT PUBLISHED")</f>
        <v>NOT PUBLISHED</v>
      </c>
      <c r="S18" s="518" t="str">
        <f>IFERROR(VLOOKUP(I:I,'RELATÓRIO ACC'!I:W,15,FALSE),"NOT PUBLISHED")</f>
        <v>NOT PUBLISHED</v>
      </c>
    </row>
    <row r="19" ht="15.0" hidden="1" customHeight="1">
      <c r="A19" s="53">
        <v>10.0</v>
      </c>
      <c r="B19" s="100" t="s">
        <v>106</v>
      </c>
      <c r="C19" s="100" t="s">
        <v>107</v>
      </c>
      <c r="D19" s="101" t="str">
        <f t="shared" si="1"/>
        <v>DATA</v>
      </c>
      <c r="E19" s="101" t="s">
        <v>108</v>
      </c>
      <c r="F19" s="115">
        <v>1107.0</v>
      </c>
      <c r="G19" s="534" t="s">
        <v>109</v>
      </c>
      <c r="H19" s="535">
        <v>0.0</v>
      </c>
      <c r="I19" s="68" t="str">
        <f>IFERROR(VLOOKUP(C:C,'R22 RELATÓRIO ACC'!B:F,5,FALSE),"NOT PUBLISHED")</f>
        <v>NOT PUBLISHED</v>
      </c>
      <c r="J19" s="68" t="str">
        <f>IFERROR(VLOOKUP(C:C,'R22 RELATÓRIO ACC'!B:P,15,FALSE),"NOT PUBLISHED")</f>
        <v>NOT PUBLISHED</v>
      </c>
      <c r="K19" s="70" t="str">
        <f>IFERROR(VLOOKUP(B:B,'RELATÓRIO ACC'!B:F,5,FALSE),"NOT PUBLISHED")</f>
        <v>NOT PUBLISHED</v>
      </c>
      <c r="L19" s="518" t="str">
        <f>IFERROR(VLOOKUP(B:B,'RELATÓRIO ACC'!B:P,15,FALSE),"NOT PUBLISHED")</f>
        <v>NOT PUBLISHED</v>
      </c>
      <c r="M19" s="518" t="str">
        <f>IFERROR(VLOOKUP(C:C,'RELATÓRIO ACC'!C:Q,15,FALSE),"NOT PUBLISHED")</f>
        <v>NOT PUBLISHED</v>
      </c>
      <c r="N19" s="518" t="str">
        <f>IFERROR(VLOOKUP(D:D,'RELATÓRIO ACC'!D:R,15,FALSE),"NOT PUBLISHED")</f>
        <v>NOT PUBLISHED</v>
      </c>
      <c r="O19" s="538" t="s">
        <v>388</v>
      </c>
      <c r="P19" s="814"/>
      <c r="Q19" s="518" t="str">
        <f>IFERROR(VLOOKUP(G:G,'RELATÓRIO ACC'!G:U,15,FALSE),"NOT PUBLISHED")</f>
        <v>NOT PUBLISHED</v>
      </c>
      <c r="R19" s="518" t="str">
        <f>IFERROR(VLOOKUP(H:H,'RELATÓRIO ACC'!H:V,15,FALSE),"NOT PUBLISHED")</f>
        <v>NOT PUBLISHED</v>
      </c>
      <c r="S19" s="518" t="str">
        <f>IFERROR(VLOOKUP(I:I,'RELATÓRIO ACC'!I:W,15,FALSE),"NOT PUBLISHED")</f>
        <v>NOT PUBLISHED</v>
      </c>
    </row>
    <row r="20" ht="15.0" hidden="1" customHeight="1">
      <c r="A20" s="53">
        <v>17.0</v>
      </c>
      <c r="B20" s="100" t="s">
        <v>139</v>
      </c>
      <c r="C20" s="100" t="s">
        <v>140</v>
      </c>
      <c r="D20" s="101" t="str">
        <f t="shared" si="1"/>
        <v>DATA</v>
      </c>
      <c r="E20" s="111" t="s">
        <v>141</v>
      </c>
      <c r="F20" s="824">
        <v>0.0</v>
      </c>
      <c r="G20" s="825" t="s">
        <v>142</v>
      </c>
      <c r="H20" s="535"/>
      <c r="I20" s="68" t="str">
        <f>IFERROR(VLOOKUP(C:C,'R22 RELATÓRIO ACC'!B:F,5,FALSE),"NOT PUBLISHED")</f>
        <v>V4</v>
      </c>
      <c r="J20" s="68" t="str">
        <f>IFERROR(VLOOKUP(C:C,'R22 RELATÓRIO ACC'!B:P,15,FALSE),"NOT PUBLISHED")</f>
        <v>29/04/2026</v>
      </c>
      <c r="K20" s="70" t="str">
        <f>IFERROR(VLOOKUP(B:B,'RELATÓRIO ACC'!B:F,5,FALSE),"NOT PUBLISHED")</f>
        <v>V1</v>
      </c>
      <c r="L20" s="518" t="str">
        <f>IFERROR(VLOOKUP(B:B,'RELATÓRIO ACC'!B:P,15,FALSE),"NOT PUBLISHED")</f>
        <v>04/06/2026</v>
      </c>
      <c r="M20" s="519" t="s">
        <v>380</v>
      </c>
      <c r="N20" s="549" t="s">
        <v>380</v>
      </c>
      <c r="O20" s="538" t="s">
        <v>378</v>
      </c>
      <c r="P20" s="814" t="s">
        <v>397</v>
      </c>
      <c r="Q20" s="809" t="s">
        <v>380</v>
      </c>
      <c r="R20" s="827" t="s">
        <v>380</v>
      </c>
      <c r="S20" s="551">
        <v>0.0</v>
      </c>
    </row>
    <row r="21" ht="15.0" hidden="1" customHeight="1">
      <c r="A21" s="53">
        <v>20.0</v>
      </c>
      <c r="B21" s="124" t="s">
        <v>151</v>
      </c>
      <c r="C21" s="125"/>
      <c r="D21" s="126"/>
      <c r="E21" s="126"/>
      <c r="F21" s="126"/>
      <c r="G21" s="126"/>
      <c r="H21" s="128"/>
      <c r="I21" s="126"/>
      <c r="J21" s="126"/>
      <c r="K21" s="129"/>
      <c r="L21" s="573"/>
      <c r="M21" s="126"/>
      <c r="N21" s="126"/>
      <c r="O21" s="126"/>
      <c r="P21" s="808"/>
      <c r="Q21" s="831"/>
      <c r="R21" s="832"/>
      <c r="S21" s="577"/>
    </row>
    <row r="22" ht="15.0" hidden="1" customHeight="1">
      <c r="A22" s="53">
        <v>14.0</v>
      </c>
      <c r="B22" s="100" t="s">
        <v>128</v>
      </c>
      <c r="C22" s="100" t="s">
        <v>129</v>
      </c>
      <c r="D22" s="101" t="str">
        <f>MID(B22,17,4)</f>
        <v>C345</v>
      </c>
      <c r="E22" s="101" t="s">
        <v>126</v>
      </c>
      <c r="F22" s="118">
        <v>1101.0</v>
      </c>
      <c r="G22" s="517" t="s">
        <v>127</v>
      </c>
      <c r="H22" s="517">
        <v>1126.0</v>
      </c>
      <c r="I22" s="68" t="str">
        <f>IFERROR(VLOOKUP(C:C,'R22 RELATÓRIO ACC'!B:F,5,FALSE),"NOT PUBLISHED")</f>
        <v>V14</v>
      </c>
      <c r="J22" s="68" t="str">
        <f>IFERROR(VLOOKUP(C:C,'R22 RELATÓRIO ACC'!B:P,15,FALSE),"NOT PUBLISHED")</f>
        <v>30/01/2026</v>
      </c>
      <c r="K22" s="70" t="str">
        <f>IFERROR(VLOOKUP(B:B,'RELATÓRIO ACC'!B:F,5,FALSE),"NOT PUBLISHED")</f>
        <v>V1</v>
      </c>
      <c r="L22" s="518" t="str">
        <f>IFERROR(VLOOKUP(B:B,'RELATÓRIO ACC'!B:P,15,FALSE),"NOT PUBLISHED")</f>
        <v>19/05/2026</v>
      </c>
      <c r="M22" s="519" t="s">
        <v>380</v>
      </c>
      <c r="N22" s="549" t="s">
        <v>380</v>
      </c>
      <c r="O22" s="538" t="s">
        <v>378</v>
      </c>
      <c r="P22" s="814"/>
      <c r="Q22" s="809" t="s">
        <v>380</v>
      </c>
      <c r="R22" s="810" t="s">
        <v>380</v>
      </c>
      <c r="S22" s="551">
        <v>0.0</v>
      </c>
    </row>
    <row r="23" ht="15.0" hidden="1" customHeight="1">
      <c r="A23" s="53">
        <v>22.0</v>
      </c>
      <c r="B23" s="146" t="s">
        <v>158</v>
      </c>
      <c r="C23" s="147"/>
      <c r="D23" s="148"/>
      <c r="E23" s="148"/>
      <c r="F23" s="148"/>
      <c r="G23" s="148"/>
      <c r="H23" s="150"/>
      <c r="I23" s="148"/>
      <c r="J23" s="148"/>
      <c r="K23" s="151"/>
      <c r="L23" s="581"/>
      <c r="M23" s="148"/>
      <c r="N23" s="148"/>
      <c r="O23" s="148"/>
      <c r="P23" s="808"/>
      <c r="Q23" s="834"/>
      <c r="R23" s="835"/>
      <c r="S23" s="584"/>
    </row>
    <row r="24" ht="15.0" hidden="1" customHeight="1">
      <c r="A24" s="53">
        <v>56.0</v>
      </c>
      <c r="B24" s="100" t="s">
        <v>278</v>
      </c>
      <c r="C24" s="100" t="s">
        <v>279</v>
      </c>
      <c r="D24" s="101" t="str">
        <f>MID(B24,17,4)</f>
        <v>DATA</v>
      </c>
      <c r="E24" s="111" t="s">
        <v>280</v>
      </c>
      <c r="F24" s="102">
        <v>1121.0</v>
      </c>
      <c r="G24" s="534" t="s">
        <v>280</v>
      </c>
      <c r="H24" s="535">
        <v>0.0</v>
      </c>
      <c r="I24" s="68" t="str">
        <f>IFERROR(VLOOKUP(C:C,'R22 RELATÓRIO ACC'!B:F,5,FALSE),"NOT PUBLISHED")</f>
        <v>V1</v>
      </c>
      <c r="J24" s="68" t="str">
        <f>IFERROR(VLOOKUP(C:C,'R22 RELATÓRIO ACC'!B:P,15,FALSE),"NOT PUBLISHED")</f>
        <v>05/05/2026</v>
      </c>
      <c r="K24" s="70" t="str">
        <f>IFERROR(VLOOKUP(B:B,'RELATÓRIO ACC'!B:F,5,FALSE),"NOT PUBLISHED")</f>
        <v>V3</v>
      </c>
      <c r="L24" s="518" t="str">
        <f>IFERROR(VLOOKUP(B:B,'RELATÓRIO ACC'!B:P,15,FALSE),"NOT PUBLISHED")</f>
        <v>20/06/2026</v>
      </c>
      <c r="M24" s="519" t="s">
        <v>380</v>
      </c>
      <c r="N24" s="549" t="s">
        <v>380</v>
      </c>
      <c r="O24" s="538" t="s">
        <v>378</v>
      </c>
      <c r="P24" s="814"/>
      <c r="Q24" s="809" t="s">
        <v>380</v>
      </c>
      <c r="R24" s="810" t="s">
        <v>380</v>
      </c>
      <c r="S24" s="551">
        <v>0.0</v>
      </c>
    </row>
    <row r="25" ht="13.5" hidden="1" customHeight="1">
      <c r="A25" s="53">
        <v>24.0</v>
      </c>
      <c r="B25" s="146" t="s">
        <v>162</v>
      </c>
      <c r="C25" s="147"/>
      <c r="D25" s="148"/>
      <c r="E25" s="148"/>
      <c r="F25" s="148"/>
      <c r="G25" s="148"/>
      <c r="H25" s="150"/>
      <c r="I25" s="148"/>
      <c r="J25" s="148"/>
      <c r="K25" s="151"/>
      <c r="L25" s="581"/>
      <c r="M25" s="148"/>
      <c r="N25" s="148"/>
      <c r="O25" s="148"/>
      <c r="P25" s="808"/>
      <c r="Q25" s="834"/>
      <c r="R25" s="835"/>
      <c r="S25" s="584"/>
    </row>
    <row r="26" ht="15.0" hidden="1" customHeight="1">
      <c r="A26" s="53">
        <v>50.0</v>
      </c>
      <c r="B26" s="145" t="s">
        <v>238</v>
      </c>
      <c r="C26" s="145" t="s">
        <v>239</v>
      </c>
      <c r="D26" s="101" t="str">
        <f>MID(B26,17,4)</f>
        <v>DATA</v>
      </c>
      <c r="E26" s="101" t="s">
        <v>237</v>
      </c>
      <c r="F26" s="102">
        <v>1118.0</v>
      </c>
      <c r="G26" s="517" t="s">
        <v>237</v>
      </c>
      <c r="H26" s="517">
        <v>1118.0</v>
      </c>
      <c r="I26" s="68" t="str">
        <f>IFERROR(VLOOKUP(C:C,'R22 RELATÓRIO ACC'!B:F,5,FALSE),"NOT PUBLISHED")</f>
        <v>V39</v>
      </c>
      <c r="J26" s="68" t="str">
        <f>IFERROR(VLOOKUP(C:C,'R22 RELATÓRIO ACC'!B:P,15,FALSE),"NOT PUBLISHED")</f>
        <v>30/04/2026</v>
      </c>
      <c r="K26" s="70" t="str">
        <f>IFERROR(VLOOKUP(B:B,'RELATÓRIO ACC'!B:F,5,FALSE),"NOT PUBLISHED")</f>
        <v>V3</v>
      </c>
      <c r="L26" s="518" t="str">
        <f>IFERROR(VLOOKUP(B:B,'RELATÓRIO ACC'!B:P,15,FALSE),"NOT PUBLISHED")</f>
        <v>01/07/2026</v>
      </c>
      <c r="M26" s="519" t="s">
        <v>380</v>
      </c>
      <c r="N26" s="549" t="s">
        <v>380</v>
      </c>
      <c r="O26" s="538" t="s">
        <v>378</v>
      </c>
      <c r="P26" s="814" t="s">
        <v>397</v>
      </c>
      <c r="Q26" s="809" t="s">
        <v>380</v>
      </c>
      <c r="R26" s="810" t="s">
        <v>380</v>
      </c>
      <c r="S26" s="551">
        <v>0.0</v>
      </c>
    </row>
    <row r="27" ht="15.0" hidden="1" customHeight="1">
      <c r="A27" s="53">
        <v>26.0</v>
      </c>
      <c r="B27" s="146" t="s">
        <v>168</v>
      </c>
      <c r="C27" s="147"/>
      <c r="D27" s="148"/>
      <c r="E27" s="148"/>
      <c r="F27" s="148"/>
      <c r="G27" s="148"/>
      <c r="H27" s="150"/>
      <c r="I27" s="148"/>
      <c r="J27" s="148"/>
      <c r="K27" s="151"/>
      <c r="L27" s="580"/>
      <c r="M27" s="148"/>
      <c r="N27" s="148"/>
      <c r="O27" s="148"/>
      <c r="P27" s="808"/>
      <c r="Q27" s="834"/>
      <c r="R27" s="835"/>
      <c r="S27" s="584"/>
    </row>
    <row r="28" ht="15.0" hidden="1" customHeight="1">
      <c r="A28" s="53">
        <v>41.0</v>
      </c>
      <c r="B28" s="100" t="s">
        <v>207</v>
      </c>
      <c r="C28" s="100" t="s">
        <v>208</v>
      </c>
      <c r="D28" s="101" t="str">
        <f>MID(B28,17,4)</f>
        <v>DATA</v>
      </c>
      <c r="E28" s="101" t="s">
        <v>154</v>
      </c>
      <c r="F28" s="102" t="s">
        <v>154</v>
      </c>
      <c r="G28" s="517" t="s">
        <v>154</v>
      </c>
      <c r="H28" s="517"/>
      <c r="I28" s="68" t="str">
        <f>IFERROR(VLOOKUP(C:C,'R22 RELATÓRIO ACC'!B:F,5,FALSE),"NOT PUBLISHED")</f>
        <v>V13</v>
      </c>
      <c r="J28" s="68" t="str">
        <f>IFERROR(VLOOKUP(C:C,'R22 RELATÓRIO ACC'!B:P,15,FALSE),"NOT PUBLISHED")</f>
        <v>12/05/2026</v>
      </c>
      <c r="K28" s="70" t="str">
        <f>IFERROR(VLOOKUP(B:B,'RELATÓRIO ACC'!B:F,5,FALSE),"NOT PUBLISHED")</f>
        <v>V5</v>
      </c>
      <c r="L28" s="518" t="str">
        <f>IFERROR(VLOOKUP(B:B,'RELATÓRIO ACC'!B:P,15,FALSE),"NOT PUBLISHED")</f>
        <v>13/07/2026</v>
      </c>
      <c r="M28" s="519" t="s">
        <v>380</v>
      </c>
      <c r="N28" s="549" t="s">
        <v>380</v>
      </c>
      <c r="O28" s="538" t="s">
        <v>378</v>
      </c>
      <c r="P28" s="814" t="s">
        <v>397</v>
      </c>
      <c r="Q28" s="809" t="s">
        <v>380</v>
      </c>
      <c r="R28" s="810" t="s">
        <v>380</v>
      </c>
      <c r="S28" s="551">
        <v>0.0</v>
      </c>
    </row>
    <row r="29" ht="15.0" hidden="1" customHeight="1">
      <c r="A29" s="53">
        <v>28.0</v>
      </c>
      <c r="B29" s="146" t="s">
        <v>173</v>
      </c>
      <c r="C29" s="147"/>
      <c r="D29" s="148"/>
      <c r="E29" s="148"/>
      <c r="F29" s="148"/>
      <c r="G29" s="148"/>
      <c r="H29" s="150"/>
      <c r="I29" s="148"/>
      <c r="J29" s="148"/>
      <c r="K29" s="151"/>
      <c r="L29" s="580"/>
      <c r="M29" s="148"/>
      <c r="N29" s="148"/>
      <c r="O29" s="148"/>
      <c r="P29" s="808"/>
      <c r="Q29" s="834"/>
      <c r="R29" s="835"/>
      <c r="S29" s="584"/>
    </row>
    <row r="30" ht="15.0" hidden="1" customHeight="1">
      <c r="A30" s="53">
        <v>39.0</v>
      </c>
      <c r="B30" s="145" t="s">
        <v>204</v>
      </c>
      <c r="C30" s="145" t="s">
        <v>205</v>
      </c>
      <c r="D30" s="101" t="str">
        <f>MID(B30,17,4)</f>
        <v>DATA</v>
      </c>
      <c r="E30" s="101" t="s">
        <v>154</v>
      </c>
      <c r="F30" s="102">
        <v>1112.0</v>
      </c>
      <c r="G30" s="517" t="s">
        <v>155</v>
      </c>
      <c r="H30" s="517">
        <v>1129.0</v>
      </c>
      <c r="I30" s="68" t="str">
        <f>IFERROR(VLOOKUP(C:C,'R22 RELATÓRIO ACC'!B:F,5,FALSE),"NOT PUBLISHED")</f>
        <v>V52</v>
      </c>
      <c r="J30" s="68" t="str">
        <f>IFERROR(VLOOKUP(C:C,'R22 RELATÓRIO ACC'!B:P,15,FALSE),"NOT PUBLISHED")</f>
        <v>30/04/2026</v>
      </c>
      <c r="K30" s="70" t="str">
        <f>IFERROR(VLOOKUP(B:B,'RELATÓRIO ACC'!B:F,5,FALSE),"NOT PUBLISHED")</f>
        <v>V4</v>
      </c>
      <c r="L30" s="518" t="str">
        <f>IFERROR(VLOOKUP(B:B,'RELATÓRIO ACC'!B:P,15,FALSE),"NOT PUBLISHED")</f>
        <v>06/07/2026</v>
      </c>
      <c r="M30" s="519" t="s">
        <v>380</v>
      </c>
      <c r="N30" s="549" t="s">
        <v>380</v>
      </c>
      <c r="O30" s="538" t="s">
        <v>378</v>
      </c>
      <c r="P30" s="587" t="s">
        <v>397</v>
      </c>
      <c r="Q30" s="809" t="s">
        <v>380</v>
      </c>
      <c r="R30" s="558" t="s">
        <v>380</v>
      </c>
      <c r="S30" s="551">
        <v>0.0</v>
      </c>
    </row>
    <row r="31" ht="15.0" hidden="1" customHeight="1">
      <c r="A31" s="53">
        <v>30.0</v>
      </c>
      <c r="B31" s="124" t="s">
        <v>178</v>
      </c>
      <c r="C31" s="125"/>
      <c r="D31" s="167"/>
      <c r="E31" s="167"/>
      <c r="F31" s="167"/>
      <c r="G31" s="167"/>
      <c r="H31" s="169"/>
      <c r="I31" s="167"/>
      <c r="J31" s="167"/>
      <c r="K31" s="170"/>
      <c r="L31" s="591"/>
      <c r="M31" s="167"/>
      <c r="N31" s="167"/>
      <c r="O31" s="167"/>
      <c r="P31" s="522"/>
      <c r="Q31" s="575"/>
      <c r="R31" s="576"/>
      <c r="S31" s="577"/>
    </row>
    <row r="32" ht="15.0" hidden="1" customHeight="1">
      <c r="A32" s="53">
        <v>49.0</v>
      </c>
      <c r="B32" s="145" t="s">
        <v>231</v>
      </c>
      <c r="C32" s="145" t="s">
        <v>232</v>
      </c>
      <c r="D32" s="101" t="str">
        <f>MID(B32,17,4)</f>
        <v>DATA</v>
      </c>
      <c r="E32" s="101" t="s">
        <v>154</v>
      </c>
      <c r="F32" s="102">
        <v>1112.0</v>
      </c>
      <c r="G32" s="517" t="s">
        <v>155</v>
      </c>
      <c r="H32" s="517">
        <v>1129.0</v>
      </c>
      <c r="I32" s="68" t="str">
        <f>IFERROR(VLOOKUP(C:C,'R22 RELATÓRIO ACC'!B:F,5,FALSE),"NOT PUBLISHED")</f>
        <v>V30</v>
      </c>
      <c r="J32" s="68" t="str">
        <f>IFERROR(VLOOKUP(C:C,'R22 RELATÓRIO ACC'!B:P,15,FALSE),"NOT PUBLISHED")</f>
        <v>24/03/2026</v>
      </c>
      <c r="K32" s="70" t="str">
        <f>IFERROR(VLOOKUP(B:B,'RELATÓRIO ACC'!B:F,5,FALSE),"NOT PUBLISHED")</f>
        <v>V2</v>
      </c>
      <c r="L32" s="518" t="str">
        <f>IFERROR(VLOOKUP(B:B,'RELATÓRIO ACC'!B:P,15,FALSE),"NOT PUBLISHED")</f>
        <v>13/07/2026</v>
      </c>
      <c r="M32" s="519" t="s">
        <v>380</v>
      </c>
      <c r="N32" s="549" t="s">
        <v>380</v>
      </c>
      <c r="O32" s="538" t="s">
        <v>378</v>
      </c>
      <c r="P32" s="587"/>
      <c r="Q32" s="809" t="s">
        <v>380</v>
      </c>
      <c r="R32" s="558" t="s">
        <v>380</v>
      </c>
      <c r="S32" s="551">
        <v>0.0</v>
      </c>
    </row>
    <row r="33" ht="15.0" hidden="1" customHeight="1">
      <c r="A33" s="53">
        <v>32.0</v>
      </c>
      <c r="B33" s="146" t="s">
        <v>183</v>
      </c>
      <c r="C33" s="147"/>
      <c r="D33" s="148"/>
      <c r="E33" s="148"/>
      <c r="F33" s="148"/>
      <c r="G33" s="148"/>
      <c r="H33" s="150"/>
      <c r="I33" s="148"/>
      <c r="J33" s="148"/>
      <c r="K33" s="151"/>
      <c r="L33" s="581"/>
      <c r="M33" s="148"/>
      <c r="N33" s="148"/>
      <c r="O33" s="148"/>
      <c r="P33" s="522"/>
      <c r="Q33" s="594"/>
      <c r="R33" s="595"/>
      <c r="S33" s="584"/>
    </row>
    <row r="34" ht="15.0" hidden="1" customHeight="1">
      <c r="A34" s="53">
        <v>21.0</v>
      </c>
      <c r="B34" s="145" t="s">
        <v>152</v>
      </c>
      <c r="C34" s="145" t="s">
        <v>153</v>
      </c>
      <c r="D34" s="101" t="str">
        <f>MID(B34,17,4)</f>
        <v>DATA</v>
      </c>
      <c r="E34" s="101" t="s">
        <v>154</v>
      </c>
      <c r="F34" s="102">
        <v>1112.0</v>
      </c>
      <c r="G34" s="517" t="s">
        <v>155</v>
      </c>
      <c r="H34" s="517">
        <v>1129.0</v>
      </c>
      <c r="I34" s="68" t="str">
        <f>IFERROR(VLOOKUP(C:C,'R22 RELATÓRIO ACC'!B:F,5,FALSE),"NOT PUBLISHED")</f>
        <v>V40</v>
      </c>
      <c r="J34" s="68" t="str">
        <f>IFERROR(VLOOKUP(C:C,'R22 RELATÓRIO ACC'!B:P,15,FALSE),"NOT PUBLISHED")</f>
        <v>10/04/2026</v>
      </c>
      <c r="K34" s="70" t="str">
        <f>IFERROR(VLOOKUP(B:B,'RELATÓRIO ACC'!B:F,5,FALSE),"NOT PUBLISHED")</f>
        <v>V3</v>
      </c>
      <c r="L34" s="518" t="str">
        <f>IFERROR(VLOOKUP(B:B,'RELATÓRIO ACC'!B:P,15,FALSE),"NOT PUBLISHED")</f>
        <v>13/07/2026</v>
      </c>
      <c r="M34" s="519" t="s">
        <v>380</v>
      </c>
      <c r="N34" s="549" t="s">
        <v>380</v>
      </c>
      <c r="O34" s="538" t="s">
        <v>378</v>
      </c>
      <c r="P34" s="587" t="s">
        <v>397</v>
      </c>
      <c r="Q34" s="809" t="s">
        <v>380</v>
      </c>
      <c r="R34" s="558" t="s">
        <v>380</v>
      </c>
      <c r="S34" s="551">
        <v>0.0</v>
      </c>
    </row>
    <row r="35" ht="15.0" hidden="1" customHeight="1">
      <c r="A35" s="53">
        <v>34.0</v>
      </c>
      <c r="B35" s="124" t="s">
        <v>188</v>
      </c>
      <c r="C35" s="125"/>
      <c r="D35" s="126"/>
      <c r="E35" s="126"/>
      <c r="F35" s="126"/>
      <c r="G35" s="126"/>
      <c r="H35" s="128"/>
      <c r="I35" s="126"/>
      <c r="J35" s="126"/>
      <c r="K35" s="129"/>
      <c r="L35" s="573"/>
      <c r="M35" s="126"/>
      <c r="N35" s="126"/>
      <c r="O35" s="126"/>
      <c r="P35" s="522"/>
      <c r="Q35" s="575"/>
      <c r="R35" s="576"/>
      <c r="S35" s="577"/>
    </row>
    <row r="36" ht="16.5" hidden="1" customHeight="1">
      <c r="A36" s="53">
        <v>35.0</v>
      </c>
      <c r="B36" s="145" t="s">
        <v>189</v>
      </c>
      <c r="C36" s="145" t="s">
        <v>190</v>
      </c>
      <c r="D36" s="101" t="str">
        <f>MID(B36,17,4)</f>
        <v>DATA</v>
      </c>
      <c r="E36" s="101" t="s">
        <v>154</v>
      </c>
      <c r="F36" s="102">
        <v>1112.0</v>
      </c>
      <c r="G36" s="517" t="s">
        <v>155</v>
      </c>
      <c r="H36" s="517">
        <v>1129.0</v>
      </c>
      <c r="I36" s="68" t="str">
        <f>IFERROR(VLOOKUP(C:C,'R22 RELATÓRIO ACC'!B:F,5,FALSE),"NOT PUBLISHED")</f>
        <v>V39</v>
      </c>
      <c r="J36" s="68" t="str">
        <f>IFERROR(VLOOKUP(C:C,'R22 RELATÓRIO ACC'!B:P,15,FALSE),"NOT PUBLISHED")</f>
        <v>19/03/2026</v>
      </c>
      <c r="K36" s="70" t="str">
        <f>IFERROR(VLOOKUP(B:B,'RELATÓRIO ACC'!B:F,5,FALSE),"NOT PUBLISHED")</f>
        <v>V5</v>
      </c>
      <c r="L36" s="518" t="str">
        <f>IFERROR(VLOOKUP(B:B,'RELATÓRIO ACC'!B:P,15,FALSE),"NOT PUBLISHED")</f>
        <v>10/07/2026</v>
      </c>
      <c r="M36" s="519" t="s">
        <v>380</v>
      </c>
      <c r="N36" s="549" t="s">
        <v>380</v>
      </c>
      <c r="O36" s="538" t="s">
        <v>378</v>
      </c>
      <c r="P36" s="587" t="s">
        <v>397</v>
      </c>
      <c r="Q36" s="809" t="s">
        <v>380</v>
      </c>
      <c r="R36" s="558" t="s">
        <v>380</v>
      </c>
      <c r="S36" s="551">
        <v>0.0</v>
      </c>
    </row>
    <row r="37" ht="15.0" hidden="1" customHeight="1">
      <c r="A37" s="53">
        <v>36.0</v>
      </c>
      <c r="B37" s="146" t="s">
        <v>193</v>
      </c>
      <c r="C37" s="147"/>
      <c r="D37" s="148"/>
      <c r="E37" s="148"/>
      <c r="F37" s="148"/>
      <c r="G37" s="148"/>
      <c r="H37" s="150"/>
      <c r="I37" s="148"/>
      <c r="J37" s="148"/>
      <c r="K37" s="151"/>
      <c r="L37" s="580"/>
      <c r="M37" s="148"/>
      <c r="N37" s="148"/>
      <c r="O37" s="148"/>
      <c r="P37" s="522"/>
      <c r="Q37" s="582"/>
      <c r="R37" s="583"/>
      <c r="S37" s="584"/>
    </row>
    <row r="38" ht="15.0" hidden="1" customHeight="1">
      <c r="A38" s="53">
        <v>47.0</v>
      </c>
      <c r="B38" s="100" t="s">
        <v>223</v>
      </c>
      <c r="C38" s="100" t="s">
        <v>224</v>
      </c>
      <c r="D38" s="101" t="str">
        <f>MID(B38,17,4)</f>
        <v>DATA</v>
      </c>
      <c r="E38" s="101" t="s">
        <v>154</v>
      </c>
      <c r="F38" s="102">
        <v>1112.0</v>
      </c>
      <c r="G38" s="517" t="s">
        <v>154</v>
      </c>
      <c r="H38" s="517">
        <v>1112.0</v>
      </c>
      <c r="I38" s="68" t="str">
        <f>IFERROR(VLOOKUP(C:C,'R22 RELATÓRIO ACC'!B:F,5,FALSE),"NOT PUBLISHED")</f>
        <v>V17</v>
      </c>
      <c r="J38" s="68" t="str">
        <f>IFERROR(VLOOKUP(C:C,'R22 RELATÓRIO ACC'!B:P,15,FALSE),"NOT PUBLISHED")</f>
        <v>14/05/2026</v>
      </c>
      <c r="K38" s="70" t="str">
        <f>IFERROR(VLOOKUP(B:B,'RELATÓRIO ACC'!B:F,5,FALSE),"NOT PUBLISHED")</f>
        <v>V4</v>
      </c>
      <c r="L38" s="518" t="str">
        <f>IFERROR(VLOOKUP(B:B,'RELATÓRIO ACC'!B:P,15,FALSE),"NOT PUBLISHED")</f>
        <v>25/06/2026</v>
      </c>
      <c r="M38" s="519" t="s">
        <v>380</v>
      </c>
      <c r="N38" s="549" t="s">
        <v>380</v>
      </c>
      <c r="O38" s="538" t="s">
        <v>378</v>
      </c>
      <c r="P38" s="587" t="s">
        <v>397</v>
      </c>
      <c r="Q38" s="809" t="s">
        <v>380</v>
      </c>
      <c r="R38" s="558" t="s">
        <v>380</v>
      </c>
      <c r="S38" s="551">
        <v>0.0</v>
      </c>
    </row>
    <row r="39" ht="15.0" hidden="1" customHeight="1">
      <c r="A39" s="53">
        <v>38.0</v>
      </c>
      <c r="B39" s="188" t="s">
        <v>201</v>
      </c>
      <c r="C39" s="189"/>
      <c r="D39" s="190"/>
      <c r="E39" s="190"/>
      <c r="F39" s="190"/>
      <c r="G39" s="190"/>
      <c r="H39" s="192"/>
      <c r="I39" s="190"/>
      <c r="J39" s="190"/>
      <c r="K39" s="193"/>
      <c r="L39" s="598"/>
      <c r="M39" s="190"/>
      <c r="N39" s="190"/>
      <c r="O39" s="190"/>
      <c r="P39" s="522"/>
      <c r="Q39" s="600"/>
      <c r="R39" s="601"/>
      <c r="S39" s="602"/>
    </row>
    <row r="40" ht="15.0" hidden="1" customHeight="1">
      <c r="A40" s="53">
        <v>52.0</v>
      </c>
      <c r="B40" s="100" t="s">
        <v>243</v>
      </c>
      <c r="C40" s="100" t="s">
        <v>244</v>
      </c>
      <c r="D40" s="101" t="str">
        <f>MID(B40,17,4)</f>
        <v>DATA</v>
      </c>
      <c r="E40" s="101" t="s">
        <v>237</v>
      </c>
      <c r="F40" s="102">
        <v>1118.0</v>
      </c>
      <c r="G40" s="517" t="s">
        <v>237</v>
      </c>
      <c r="H40" s="517">
        <v>1118.0</v>
      </c>
      <c r="I40" s="68" t="str">
        <f>IFERROR(VLOOKUP(C:C,'R22 RELATÓRIO ACC'!B:F,5,FALSE),"NOT PUBLISHED")</f>
        <v>V59</v>
      </c>
      <c r="J40" s="68" t="str">
        <f>IFERROR(VLOOKUP(C:C,'R22 RELATÓRIO ACC'!B:P,15,FALSE),"NOT PUBLISHED")</f>
        <v>17/04/2026</v>
      </c>
      <c r="K40" s="70" t="str">
        <f>IFERROR(VLOOKUP(B:B,'RELATÓRIO ACC'!B:F,5,FALSE),"NOT PUBLISHED")</f>
        <v>V5</v>
      </c>
      <c r="L40" s="518" t="str">
        <f>IFERROR(VLOOKUP(B:B,'RELATÓRIO ACC'!B:P,15,FALSE),"NOT PUBLISHED")</f>
        <v>06/07/2026</v>
      </c>
      <c r="M40" s="519" t="s">
        <v>380</v>
      </c>
      <c r="N40" s="549" t="s">
        <v>380</v>
      </c>
      <c r="O40" s="538" t="s">
        <v>378</v>
      </c>
      <c r="P40" s="587" t="s">
        <v>397</v>
      </c>
      <c r="Q40" s="809" t="s">
        <v>380</v>
      </c>
      <c r="R40" s="558" t="s">
        <v>380</v>
      </c>
      <c r="S40" s="551">
        <v>0.0</v>
      </c>
    </row>
    <row r="41" ht="15.0" hidden="1" customHeight="1">
      <c r="A41" s="53">
        <v>40.0</v>
      </c>
      <c r="B41" s="209" t="s">
        <v>206</v>
      </c>
      <c r="C41" s="210"/>
      <c r="D41" s="211"/>
      <c r="E41" s="211"/>
      <c r="F41" s="211"/>
      <c r="G41" s="211"/>
      <c r="H41" s="213"/>
      <c r="I41" s="211"/>
      <c r="J41" s="211"/>
      <c r="K41" s="214"/>
      <c r="L41" s="606"/>
      <c r="M41" s="211"/>
      <c r="N41" s="211"/>
      <c r="O41" s="211"/>
      <c r="P41" s="522"/>
      <c r="Q41" s="607"/>
      <c r="R41" s="608"/>
      <c r="S41" s="609"/>
    </row>
    <row r="42" ht="15.0" hidden="1" customHeight="1">
      <c r="A42" s="53">
        <v>13.0</v>
      </c>
      <c r="B42" s="100" t="s">
        <v>78</v>
      </c>
      <c r="C42" s="100" t="s">
        <v>79</v>
      </c>
      <c r="D42" s="101" t="str">
        <f>MID(B42,17,4)</f>
        <v>DATA</v>
      </c>
      <c r="E42" s="101" t="s">
        <v>80</v>
      </c>
      <c r="F42" s="101">
        <v>1130.0</v>
      </c>
      <c r="G42" s="101" t="s">
        <v>80</v>
      </c>
      <c r="H42" s="517">
        <v>1130.0</v>
      </c>
      <c r="I42" s="68" t="str">
        <f>IFERROR(VLOOKUP(C:C,'R22 RELATÓRIO ACC'!B:F,5,FALSE),"NOT PUBLISHED")</f>
        <v>V29</v>
      </c>
      <c r="J42" s="68" t="str">
        <f>IFERROR(VLOOKUP(C:C,'R22 RELATÓRIO ACC'!B:P,15,FALSE),"NOT PUBLISHED")</f>
        <v>13/04/2026</v>
      </c>
      <c r="K42" s="70" t="str">
        <f>IFERROR(VLOOKUP(B:B,'RELATÓRIO ACC'!B:F,5,FALSE),"NOT PUBLISHED")</f>
        <v>V3</v>
      </c>
      <c r="L42" s="518" t="str">
        <f>IFERROR(VLOOKUP(B:B,'RELATÓRIO ACC'!B:P,15,FALSE),"NOT PUBLISHED")</f>
        <v>03/06/2026</v>
      </c>
      <c r="M42" s="519" t="s">
        <v>380</v>
      </c>
      <c r="N42" s="549" t="s">
        <v>380</v>
      </c>
      <c r="O42" s="538" t="s">
        <v>378</v>
      </c>
      <c r="P42" s="587"/>
      <c r="Q42" s="809" t="s">
        <v>380</v>
      </c>
      <c r="R42" s="558" t="s">
        <v>380</v>
      </c>
      <c r="S42" s="551">
        <v>0.0</v>
      </c>
    </row>
    <row r="43" ht="15.0" hidden="1" customHeight="1">
      <c r="A43" s="53">
        <v>42.0</v>
      </c>
      <c r="B43" s="209" t="s">
        <v>211</v>
      </c>
      <c r="C43" s="210"/>
      <c r="D43" s="211"/>
      <c r="E43" s="211"/>
      <c r="F43" s="211"/>
      <c r="G43" s="211"/>
      <c r="H43" s="213"/>
      <c r="I43" s="211"/>
      <c r="J43" s="211"/>
      <c r="K43" s="214"/>
      <c r="L43" s="606"/>
      <c r="M43" s="211"/>
      <c r="N43" s="211"/>
      <c r="O43" s="211"/>
      <c r="P43" s="522"/>
      <c r="Q43" s="607"/>
      <c r="R43" s="608"/>
      <c r="S43" s="609"/>
    </row>
    <row r="44" ht="15.0" hidden="1" customHeight="1">
      <c r="A44" s="53">
        <v>12.0</v>
      </c>
      <c r="B44" s="100" t="s">
        <v>118</v>
      </c>
      <c r="C44" s="100" t="s">
        <v>119</v>
      </c>
      <c r="D44" s="101" t="str">
        <f>MID(B44,17,4)</f>
        <v>DATA</v>
      </c>
      <c r="E44" s="101" t="s">
        <v>120</v>
      </c>
      <c r="F44" s="102">
        <v>1110.0</v>
      </c>
      <c r="G44" s="517" t="s">
        <v>121</v>
      </c>
      <c r="H44" s="517">
        <v>1128.0</v>
      </c>
      <c r="I44" s="68" t="str">
        <f>IFERROR(VLOOKUP(C:C,'R22 RELATÓRIO ACC'!B:F,5,FALSE),"NOT PUBLISHED")</f>
        <v>V25</v>
      </c>
      <c r="J44" s="68" t="str">
        <f>IFERROR(VLOOKUP(C:C,'R22 RELATÓRIO ACC'!B:P,15,FALSE),"NOT PUBLISHED")</f>
        <v>06/05/2026</v>
      </c>
      <c r="K44" s="70" t="str">
        <f>IFERROR(VLOOKUP(B:B,'RELATÓRIO ACC'!B:F,5,FALSE),"NOT PUBLISHED")</f>
        <v>V3</v>
      </c>
      <c r="L44" s="518" t="str">
        <f>IFERROR(VLOOKUP(B:B,'RELATÓRIO ACC'!B:P,15,FALSE),"NOT PUBLISHED")</f>
        <v>07/07/2026</v>
      </c>
      <c r="M44" s="519" t="s">
        <v>380</v>
      </c>
      <c r="N44" s="549" t="s">
        <v>380</v>
      </c>
      <c r="O44" s="538" t="s">
        <v>378</v>
      </c>
      <c r="P44" s="587"/>
      <c r="Q44" s="809" t="s">
        <v>380</v>
      </c>
      <c r="R44" s="558" t="s">
        <v>380</v>
      </c>
      <c r="S44" s="551">
        <v>0.0</v>
      </c>
    </row>
    <row r="45" ht="15.0" hidden="1" customHeight="1">
      <c r="A45" s="53">
        <v>44.0</v>
      </c>
      <c r="B45" s="230" t="s">
        <v>215</v>
      </c>
      <c r="C45" s="231"/>
      <c r="D45" s="232"/>
      <c r="E45" s="232"/>
      <c r="F45" s="232"/>
      <c r="G45" s="232"/>
      <c r="H45" s="234"/>
      <c r="I45" s="232"/>
      <c r="J45" s="232"/>
      <c r="K45" s="235"/>
      <c r="L45" s="613"/>
      <c r="M45" s="232"/>
      <c r="N45" s="232"/>
      <c r="O45" s="232"/>
      <c r="P45" s="522"/>
      <c r="Q45" s="614"/>
      <c r="R45" s="615"/>
      <c r="S45" s="616"/>
    </row>
    <row r="46" ht="15.0" hidden="1" customHeight="1">
      <c r="A46" s="53">
        <v>7.0</v>
      </c>
      <c r="B46" s="100" t="s">
        <v>95</v>
      </c>
      <c r="C46" s="100" t="s">
        <v>96</v>
      </c>
      <c r="D46" s="101" t="str">
        <f>MID(B46,17,4)</f>
        <v>DATA</v>
      </c>
      <c r="E46" s="101" t="s">
        <v>97</v>
      </c>
      <c r="F46" s="102">
        <v>1105.0</v>
      </c>
      <c r="G46" s="534" t="s">
        <v>92</v>
      </c>
      <c r="H46" s="517">
        <v>1105.0</v>
      </c>
      <c r="I46" s="68" t="str">
        <f>IFERROR(VLOOKUP(C:C,'R22 RELATÓRIO ACC'!B:F,5,FALSE),"NOT PUBLISHED")</f>
        <v>V9</v>
      </c>
      <c r="J46" s="68" t="str">
        <f>IFERROR(VLOOKUP(C:C,'R22 RELATÓRIO ACC'!B:P,15,FALSE),"NOT PUBLISHED")</f>
        <v>27/03/2026</v>
      </c>
      <c r="K46" s="70" t="str">
        <f>IFERROR(VLOOKUP(B:B,'RELATÓRIO ACC'!B:F,5,FALSE),"NOT PUBLISHED")</f>
        <v>V2</v>
      </c>
      <c r="L46" s="518" t="str">
        <f>IFERROR(VLOOKUP(B:B,'RELATÓRIO ACC'!B:P,15,FALSE),"NOT PUBLISHED")</f>
        <v>26/06/2026</v>
      </c>
      <c r="M46" s="519" t="s">
        <v>380</v>
      </c>
      <c r="N46" s="549" t="s">
        <v>380</v>
      </c>
      <c r="O46" s="538" t="s">
        <v>378</v>
      </c>
      <c r="P46" s="587"/>
      <c r="Q46" s="809" t="s">
        <v>380</v>
      </c>
      <c r="R46" s="558" t="s">
        <v>380</v>
      </c>
      <c r="S46" s="551">
        <v>0.0</v>
      </c>
    </row>
    <row r="47" ht="15.0" hidden="1" customHeight="1">
      <c r="A47" s="53">
        <v>46.0</v>
      </c>
      <c r="B47" s="251" t="s">
        <v>220</v>
      </c>
      <c r="C47" s="252"/>
      <c r="D47" s="253"/>
      <c r="E47" s="253"/>
      <c r="F47" s="253"/>
      <c r="G47" s="253"/>
      <c r="H47" s="255"/>
      <c r="I47" s="253"/>
      <c r="J47" s="253"/>
      <c r="K47" s="256"/>
      <c r="L47" s="620"/>
      <c r="M47" s="253"/>
      <c r="N47" s="253"/>
      <c r="O47" s="253"/>
      <c r="P47" s="522"/>
      <c r="Q47" s="621"/>
      <c r="R47" s="622"/>
      <c r="S47" s="623"/>
    </row>
    <row r="48" ht="15.0" hidden="1" customHeight="1">
      <c r="A48" s="53">
        <v>2.0</v>
      </c>
      <c r="B48" s="100" t="s">
        <v>122</v>
      </c>
      <c r="C48" s="100" t="s">
        <v>123</v>
      </c>
      <c r="D48" s="101" t="str">
        <f>MID(B48,17,4)</f>
        <v>DATA</v>
      </c>
      <c r="E48" s="101" t="s">
        <v>120</v>
      </c>
      <c r="F48" s="102">
        <v>1110.0</v>
      </c>
      <c r="G48" s="517" t="s">
        <v>121</v>
      </c>
      <c r="H48" s="517">
        <v>1128.0</v>
      </c>
      <c r="I48" s="68" t="str">
        <f>IFERROR(VLOOKUP(C:C,'R22 RELATÓRIO ACC'!B:F,5,FALSE),"NOT PUBLISHED")</f>
        <v>V30</v>
      </c>
      <c r="J48" s="68" t="str">
        <f>IFERROR(VLOOKUP(C:C,'R22 RELATÓRIO ACC'!B:P,15,FALSE),"NOT PUBLISHED")</f>
        <v>26/03/2026</v>
      </c>
      <c r="K48" s="70" t="str">
        <f>IFERROR(VLOOKUP(B:B,'RELATÓRIO ACC'!B:F,5,FALSE),"NOT PUBLISHED")</f>
        <v>V2</v>
      </c>
      <c r="L48" s="518" t="str">
        <f>IFERROR(VLOOKUP(B:B,'RELATÓRIO ACC'!B:P,15,FALSE),"NOT PUBLISHED")</f>
        <v>20/05/2026</v>
      </c>
      <c r="M48" s="519" t="s">
        <v>380</v>
      </c>
      <c r="N48" s="549" t="s">
        <v>380</v>
      </c>
      <c r="O48" s="538" t="s">
        <v>378</v>
      </c>
      <c r="P48" s="587" t="s">
        <v>397</v>
      </c>
      <c r="Q48" s="809" t="s">
        <v>380</v>
      </c>
      <c r="R48" s="558" t="s">
        <v>380</v>
      </c>
      <c r="S48" s="551">
        <v>0.0</v>
      </c>
    </row>
    <row r="49" ht="15.0" hidden="1" customHeight="1">
      <c r="A49" s="53">
        <v>48.0</v>
      </c>
      <c r="B49" s="271" t="s">
        <v>228</v>
      </c>
      <c r="C49" s="272"/>
      <c r="D49" s="273"/>
      <c r="E49" s="273"/>
      <c r="F49" s="273"/>
      <c r="G49" s="273"/>
      <c r="H49" s="275"/>
      <c r="I49" s="273"/>
      <c r="J49" s="273"/>
      <c r="K49" s="276"/>
      <c r="L49" s="627"/>
      <c r="M49" s="273"/>
      <c r="N49" s="273"/>
      <c r="O49" s="273"/>
      <c r="P49" s="522"/>
      <c r="Q49" s="628"/>
      <c r="R49" s="629"/>
      <c r="S49" s="630"/>
    </row>
    <row r="50" ht="15.75" hidden="1" customHeight="1">
      <c r="A50" s="53">
        <v>8.0</v>
      </c>
      <c r="B50" s="100" t="s">
        <v>98</v>
      </c>
      <c r="C50" s="100" t="s">
        <v>99</v>
      </c>
      <c r="D50" s="101" t="str">
        <f t="shared" ref="D50:D51" si="2">MID(B50,17,4)</f>
        <v>DATA</v>
      </c>
      <c r="E50" s="111" t="s">
        <v>91</v>
      </c>
      <c r="F50" s="102">
        <v>1104.0</v>
      </c>
      <c r="G50" s="517" t="s">
        <v>92</v>
      </c>
      <c r="H50" s="517">
        <v>1127.0</v>
      </c>
      <c r="I50" s="68" t="str">
        <f>IFERROR(VLOOKUP(C:C,'R22 RELATÓRIO ACC'!B:F,5,FALSE),"NOT PUBLISHED")</f>
        <v>V13</v>
      </c>
      <c r="J50" s="68" t="str">
        <f>IFERROR(VLOOKUP(C:C,'R22 RELATÓRIO ACC'!B:P,15,FALSE),"NOT PUBLISHED")</f>
        <v>02/03/2026</v>
      </c>
      <c r="K50" s="70" t="str">
        <f>IFERROR(VLOOKUP(B:B,'RELATÓRIO ACC'!B:F,5,FALSE),"NOT PUBLISHED")</f>
        <v>V3</v>
      </c>
      <c r="L50" s="518" t="str">
        <f>IFERROR(VLOOKUP(B:B,'RELATÓRIO ACC'!B:P,15,FALSE),"NOT PUBLISHED")</f>
        <v>24/06/2026</v>
      </c>
      <c r="M50" s="519" t="s">
        <v>380</v>
      </c>
      <c r="N50" s="549" t="s">
        <v>380</v>
      </c>
      <c r="O50" s="538" t="s">
        <v>378</v>
      </c>
      <c r="P50" s="587"/>
      <c r="Q50" s="809" t="s">
        <v>380</v>
      </c>
      <c r="R50" s="558" t="s">
        <v>380</v>
      </c>
      <c r="S50" s="551">
        <v>0.0</v>
      </c>
    </row>
    <row r="51" ht="15.0" hidden="1" customHeight="1">
      <c r="A51" s="53">
        <v>33.0</v>
      </c>
      <c r="B51" s="100" t="s">
        <v>186</v>
      </c>
      <c r="C51" s="100" t="s">
        <v>187</v>
      </c>
      <c r="D51" s="101" t="str">
        <f t="shared" si="2"/>
        <v>DATA</v>
      </c>
      <c r="E51" s="101" t="s">
        <v>165</v>
      </c>
      <c r="F51" s="102">
        <v>1114.0</v>
      </c>
      <c r="G51" s="517" t="s">
        <v>165</v>
      </c>
      <c r="H51" s="517">
        <v>1114.0</v>
      </c>
      <c r="I51" s="68" t="str">
        <f>IFERROR(VLOOKUP(C:C,'R22 RELATÓRIO ACC'!B:F,5,FALSE),"NOT PUBLISHED")</f>
        <v>V20</v>
      </c>
      <c r="J51" s="68" t="str">
        <f>IFERROR(VLOOKUP(C:C,'R22 RELATÓRIO ACC'!B:P,15,FALSE),"NOT PUBLISHED")</f>
        <v>05/05/2026</v>
      </c>
      <c r="K51" s="70" t="str">
        <f>IFERROR(VLOOKUP(B:B,'RELATÓRIO ACC'!B:F,5,FALSE),"NOT PUBLISHED")</f>
        <v>V2</v>
      </c>
      <c r="L51" s="518" t="str">
        <f>IFERROR(VLOOKUP(B:B,'RELATÓRIO ACC'!B:P,15,FALSE),"NOT PUBLISHED")</f>
        <v>12/07/2026</v>
      </c>
      <c r="M51" s="519" t="s">
        <v>380</v>
      </c>
      <c r="N51" s="549" t="s">
        <v>380</v>
      </c>
      <c r="O51" s="538" t="s">
        <v>378</v>
      </c>
      <c r="P51" s="587" t="s">
        <v>397</v>
      </c>
      <c r="Q51" s="809" t="s">
        <v>380</v>
      </c>
      <c r="R51" s="558" t="s">
        <v>380</v>
      </c>
      <c r="S51" s="551">
        <v>0.0</v>
      </c>
    </row>
    <row r="52" ht="15.0" hidden="1" customHeight="1">
      <c r="A52" s="53">
        <v>51.0</v>
      </c>
      <c r="B52" s="291" t="s">
        <v>242</v>
      </c>
      <c r="C52" s="292"/>
      <c r="D52" s="293"/>
      <c r="E52" s="293"/>
      <c r="F52" s="293"/>
      <c r="G52" s="293"/>
      <c r="H52" s="295"/>
      <c r="I52" s="293"/>
      <c r="J52" s="293"/>
      <c r="K52" s="296"/>
      <c r="L52" s="634"/>
      <c r="M52" s="293"/>
      <c r="N52" s="293"/>
      <c r="O52" s="293"/>
      <c r="P52" s="522"/>
      <c r="Q52" s="636"/>
      <c r="R52" s="637"/>
      <c r="S52" s="638"/>
    </row>
    <row r="53" ht="15.0" hidden="1" customHeight="1">
      <c r="A53" s="53">
        <v>31.0</v>
      </c>
      <c r="B53" s="145" t="s">
        <v>179</v>
      </c>
      <c r="C53" s="145" t="s">
        <v>180</v>
      </c>
      <c r="D53" s="101" t="str">
        <f>MID(B53,17,4)</f>
        <v>DATA</v>
      </c>
      <c r="E53" s="101" t="s">
        <v>154</v>
      </c>
      <c r="F53" s="102">
        <v>1112.0</v>
      </c>
      <c r="G53" s="517" t="s">
        <v>155</v>
      </c>
      <c r="H53" s="517">
        <v>1129.0</v>
      </c>
      <c r="I53" s="68" t="str">
        <f>IFERROR(VLOOKUP(C:C,'R22 RELATÓRIO ACC'!B:F,5,FALSE),"NOT PUBLISHED")</f>
        <v>V33</v>
      </c>
      <c r="J53" s="68" t="str">
        <f>IFERROR(VLOOKUP(C:C,'R22 RELATÓRIO ACC'!B:P,15,FALSE),"NOT PUBLISHED")</f>
        <v>04/03/2026</v>
      </c>
      <c r="K53" s="70" t="str">
        <f>IFERROR(VLOOKUP(B:B,'RELATÓRIO ACC'!B:F,5,FALSE),"NOT PUBLISHED")</f>
        <v>V2</v>
      </c>
      <c r="L53" s="518" t="str">
        <f>IFERROR(VLOOKUP(B:B,'RELATÓRIO ACC'!B:P,15,FALSE),"NOT PUBLISHED")</f>
        <v>13/07/2026</v>
      </c>
      <c r="M53" s="519" t="s">
        <v>380</v>
      </c>
      <c r="N53" s="549" t="s">
        <v>380</v>
      </c>
      <c r="O53" s="538" t="s">
        <v>378</v>
      </c>
      <c r="P53" s="587"/>
      <c r="Q53" s="809" t="s">
        <v>380</v>
      </c>
      <c r="R53" s="558" t="s">
        <v>380</v>
      </c>
      <c r="S53" s="551">
        <v>0.0</v>
      </c>
    </row>
    <row r="54" ht="15.0" hidden="1" customHeight="1">
      <c r="A54" s="53">
        <v>53.0</v>
      </c>
      <c r="B54" s="354" t="s">
        <v>266</v>
      </c>
      <c r="C54" s="355"/>
      <c r="D54" s="356"/>
      <c r="E54" s="356"/>
      <c r="F54" s="356"/>
      <c r="G54" s="356"/>
      <c r="H54" s="358"/>
      <c r="I54" s="356"/>
      <c r="J54" s="356"/>
      <c r="K54" s="359"/>
      <c r="L54" s="642"/>
      <c r="M54" s="356"/>
      <c r="N54" s="356"/>
      <c r="O54" s="356"/>
      <c r="P54" s="522"/>
      <c r="Q54" s="643"/>
      <c r="R54" s="644"/>
      <c r="S54" s="645"/>
    </row>
    <row r="55" ht="15.0" hidden="1" customHeight="1">
      <c r="A55" s="53">
        <v>43.0</v>
      </c>
      <c r="B55" s="100" t="s">
        <v>212</v>
      </c>
      <c r="C55" s="100" t="s">
        <v>213</v>
      </c>
      <c r="D55" s="101" t="str">
        <f t="shared" ref="D55:D63" si="3">MID(B55,17,4)</f>
        <v>DATA</v>
      </c>
      <c r="E55" s="101" t="s">
        <v>214</v>
      </c>
      <c r="F55" s="104">
        <v>1116.0</v>
      </c>
      <c r="G55" s="517" t="s">
        <v>214</v>
      </c>
      <c r="H55" s="517">
        <v>1116.0</v>
      </c>
      <c r="I55" s="68" t="str">
        <f>IFERROR(VLOOKUP(C:C,'R22 RELATÓRIO ACC'!B:F,5,FALSE),"NOT PUBLISHED")</f>
        <v>V15</v>
      </c>
      <c r="J55" s="68" t="str">
        <f>IFERROR(VLOOKUP(C:C,'R22 RELATÓRIO ACC'!B:P,15,FALSE),"NOT PUBLISHED")</f>
        <v>15/04/2026</v>
      </c>
      <c r="K55" s="70" t="str">
        <f>IFERROR(VLOOKUP(B:B,'RELATÓRIO ACC'!B:F,5,FALSE),"NOT PUBLISHED")</f>
        <v>V2</v>
      </c>
      <c r="L55" s="518" t="str">
        <f>IFERROR(VLOOKUP(B:B,'RELATÓRIO ACC'!B:P,15,FALSE),"NOT PUBLISHED")</f>
        <v>02/06/2026</v>
      </c>
      <c r="M55" s="519" t="s">
        <v>380</v>
      </c>
      <c r="N55" s="549" t="s">
        <v>380</v>
      </c>
      <c r="O55" s="538" t="s">
        <v>378</v>
      </c>
      <c r="P55" s="587" t="s">
        <v>397</v>
      </c>
      <c r="Q55" s="558" t="s">
        <v>380</v>
      </c>
      <c r="R55" s="558" t="s">
        <v>380</v>
      </c>
      <c r="S55" s="551">
        <v>0.0</v>
      </c>
    </row>
    <row r="56" ht="15.0" hidden="1" customHeight="1">
      <c r="A56" s="53">
        <v>23.0</v>
      </c>
      <c r="B56" s="100" t="s">
        <v>159</v>
      </c>
      <c r="C56" s="100" t="s">
        <v>160</v>
      </c>
      <c r="D56" s="101" t="str">
        <f t="shared" si="3"/>
        <v>DATA</v>
      </c>
      <c r="E56" s="101" t="s">
        <v>161</v>
      </c>
      <c r="F56" s="102">
        <v>1113.0</v>
      </c>
      <c r="G56" s="517" t="s">
        <v>161</v>
      </c>
      <c r="H56" s="517">
        <v>1113.0</v>
      </c>
      <c r="I56" s="68" t="str">
        <f>IFERROR(VLOOKUP(C:C,'R22 RELATÓRIO ACC'!B:F,5,FALSE),"NOT PUBLISHED")</f>
        <v>V28</v>
      </c>
      <c r="J56" s="68" t="str">
        <f>IFERROR(VLOOKUP(C:C,'R22 RELATÓRIO ACC'!B:P,15,FALSE),"NOT PUBLISHED")</f>
        <v>16/04/2026</v>
      </c>
      <c r="K56" s="70" t="str">
        <f>IFERROR(VLOOKUP(B:B,'RELATÓRIO ACC'!B:F,5,FALSE),"NOT PUBLISHED")</f>
        <v>V4</v>
      </c>
      <c r="L56" s="518" t="str">
        <f>IFERROR(VLOOKUP(B:B,'RELATÓRIO ACC'!B:P,15,FALSE),"NOT PUBLISHED")</f>
        <v>26/06/2026</v>
      </c>
      <c r="M56" s="519" t="s">
        <v>380</v>
      </c>
      <c r="N56" s="549" t="s">
        <v>380</v>
      </c>
      <c r="O56" s="538" t="s">
        <v>378</v>
      </c>
      <c r="P56" s="587" t="s">
        <v>397</v>
      </c>
      <c r="Q56" s="558" t="s">
        <v>380</v>
      </c>
      <c r="R56" s="558" t="s">
        <v>380</v>
      </c>
      <c r="S56" s="551">
        <v>0.0</v>
      </c>
    </row>
    <row r="57" ht="15.0" hidden="1" customHeight="1">
      <c r="A57" s="53">
        <v>25.0</v>
      </c>
      <c r="B57" s="100" t="s">
        <v>163</v>
      </c>
      <c r="C57" s="100" t="s">
        <v>164</v>
      </c>
      <c r="D57" s="101" t="str">
        <f t="shared" si="3"/>
        <v>DATA</v>
      </c>
      <c r="E57" s="101" t="s">
        <v>165</v>
      </c>
      <c r="F57" s="102">
        <v>1114.0</v>
      </c>
      <c r="G57" s="517" t="s">
        <v>165</v>
      </c>
      <c r="H57" s="517">
        <v>1114.0</v>
      </c>
      <c r="I57" s="68" t="str">
        <f>IFERROR(VLOOKUP(C:C,'R22 RELATÓRIO ACC'!B:F,5,FALSE),"NOT PUBLISHED")</f>
        <v>V15</v>
      </c>
      <c r="J57" s="68" t="str">
        <f>IFERROR(VLOOKUP(C:C,'R22 RELATÓRIO ACC'!B:P,15,FALSE),"NOT PUBLISHED")</f>
        <v>27/04/2026</v>
      </c>
      <c r="K57" s="70" t="str">
        <f>IFERROR(VLOOKUP(B:B,'RELATÓRIO ACC'!B:F,5,FALSE),"NOT PUBLISHED")</f>
        <v>V3</v>
      </c>
      <c r="L57" s="518" t="str">
        <f>IFERROR(VLOOKUP(B:B,'RELATÓRIO ACC'!B:P,15,FALSE),"NOT PUBLISHED")</f>
        <v>12/07/2026</v>
      </c>
      <c r="M57" s="519" t="s">
        <v>380</v>
      </c>
      <c r="N57" s="549" t="s">
        <v>380</v>
      </c>
      <c r="O57" s="538" t="s">
        <v>378</v>
      </c>
      <c r="P57" s="587" t="s">
        <v>397</v>
      </c>
      <c r="Q57" s="524" t="s">
        <v>380</v>
      </c>
      <c r="R57" s="524" t="s">
        <v>380</v>
      </c>
      <c r="S57" s="542">
        <v>0.0</v>
      </c>
    </row>
    <row r="58" ht="15.0" hidden="1" customHeight="1">
      <c r="A58" s="53">
        <v>27.0</v>
      </c>
      <c r="B58" s="100" t="s">
        <v>171</v>
      </c>
      <c r="C58" s="100" t="s">
        <v>172</v>
      </c>
      <c r="D58" s="101" t="str">
        <f t="shared" si="3"/>
        <v>DATA</v>
      </c>
      <c r="E58" s="101" t="s">
        <v>161</v>
      </c>
      <c r="F58" s="102">
        <v>1113.0</v>
      </c>
      <c r="G58" s="517" t="s">
        <v>161</v>
      </c>
      <c r="H58" s="517">
        <v>1113.0</v>
      </c>
      <c r="I58" s="68" t="str">
        <f>IFERROR(VLOOKUP(C:C,'R22 RELATÓRIO ACC'!B:F,5,FALSE),"NOT PUBLISHED")</f>
        <v>V36</v>
      </c>
      <c r="J58" s="68" t="str">
        <f>IFERROR(VLOOKUP(C:C,'R22 RELATÓRIO ACC'!B:P,15,FALSE),"NOT PUBLISHED")</f>
        <v>08/05/2026</v>
      </c>
      <c r="K58" s="70" t="str">
        <f>IFERROR(VLOOKUP(B:B,'RELATÓRIO ACC'!B:F,5,FALSE),"NOT PUBLISHED")</f>
        <v>V2</v>
      </c>
      <c r="L58" s="518" t="str">
        <f>IFERROR(VLOOKUP(B:B,'RELATÓRIO ACC'!B:P,15,FALSE),"NOT PUBLISHED")</f>
        <v>03/06/2026</v>
      </c>
      <c r="M58" s="519" t="s">
        <v>380</v>
      </c>
      <c r="N58" s="549" t="s">
        <v>380</v>
      </c>
      <c r="O58" s="538" t="s">
        <v>378</v>
      </c>
      <c r="P58" s="587"/>
      <c r="Q58" s="558" t="s">
        <v>380</v>
      </c>
      <c r="R58" s="558" t="s">
        <v>380</v>
      </c>
      <c r="S58" s="551">
        <v>0.0</v>
      </c>
    </row>
    <row r="59" ht="15.0" hidden="1" customHeight="1">
      <c r="A59" s="53">
        <v>37.0</v>
      </c>
      <c r="B59" s="100" t="s">
        <v>197</v>
      </c>
      <c r="C59" s="100" t="s">
        <v>198</v>
      </c>
      <c r="D59" s="101" t="str">
        <f t="shared" si="3"/>
        <v>DATA</v>
      </c>
      <c r="E59" s="101" t="s">
        <v>196</v>
      </c>
      <c r="F59" s="102">
        <v>1115.0</v>
      </c>
      <c r="G59" s="517" t="s">
        <v>196</v>
      </c>
      <c r="H59" s="517">
        <v>1115.0</v>
      </c>
      <c r="I59" s="68" t="str">
        <f>IFERROR(VLOOKUP(C:C,'R22 RELATÓRIO ACC'!B:F,5,FALSE),"NOT PUBLISHED")</f>
        <v>V40</v>
      </c>
      <c r="J59" s="68" t="str">
        <f>IFERROR(VLOOKUP(C:C,'R22 RELATÓRIO ACC'!B:P,15,FALSE),"NOT PUBLISHED")</f>
        <v>06/05/2026</v>
      </c>
      <c r="K59" s="70" t="str">
        <f>IFERROR(VLOOKUP(B:B,'RELATÓRIO ACC'!B:F,5,FALSE),"NOT PUBLISHED")</f>
        <v>V3</v>
      </c>
      <c r="L59" s="518" t="str">
        <f>IFERROR(VLOOKUP(B:B,'RELATÓRIO ACC'!B:P,15,FALSE),"NOT PUBLISHED")</f>
        <v>13/07/2026</v>
      </c>
      <c r="M59" s="519" t="s">
        <v>380</v>
      </c>
      <c r="N59" s="549" t="s">
        <v>380</v>
      </c>
      <c r="O59" s="538" t="s">
        <v>378</v>
      </c>
      <c r="P59" s="587" t="s">
        <v>397</v>
      </c>
      <c r="Q59" s="850" t="s">
        <v>380</v>
      </c>
      <c r="R59" s="850" t="s">
        <v>380</v>
      </c>
      <c r="S59" s="551">
        <v>0.0</v>
      </c>
    </row>
    <row r="60" ht="15.0" hidden="1" customHeight="1">
      <c r="A60" s="53">
        <v>54.0</v>
      </c>
      <c r="B60" s="100" t="s">
        <v>267</v>
      </c>
      <c r="C60" s="100" t="s">
        <v>268</v>
      </c>
      <c r="D60" s="101" t="str">
        <f t="shared" si="3"/>
        <v>DATA</v>
      </c>
      <c r="E60" s="101" t="s">
        <v>269</v>
      </c>
      <c r="F60" s="102"/>
      <c r="G60" s="118" t="s">
        <v>452</v>
      </c>
      <c r="H60" s="723"/>
      <c r="I60" s="68" t="str">
        <f>IFERROR(VLOOKUP(C:C,'R22 RELATÓRIO ACC'!B:F,5,FALSE),"NOT PUBLISHED")</f>
        <v>V10</v>
      </c>
      <c r="J60" s="68" t="str">
        <f>IFERROR(VLOOKUP(C:C,'R22 RELATÓRIO ACC'!B:P,15,FALSE),"NOT PUBLISHED")</f>
        <v>22/04/2026</v>
      </c>
      <c r="K60" s="70" t="str">
        <f>IFERROR(VLOOKUP(B:B,'RELATÓRIO ACC'!B:F,5,FALSE),"NOT PUBLISHED")</f>
        <v>V1</v>
      </c>
      <c r="L60" s="518" t="str">
        <f>IFERROR(VLOOKUP(B:B,'RELATÓRIO ACC'!B:P,15,FALSE),"NOT PUBLISHED")</f>
        <v>15/05/2026</v>
      </c>
      <c r="M60" s="519" t="s">
        <v>380</v>
      </c>
      <c r="N60" s="549" t="s">
        <v>380</v>
      </c>
      <c r="O60" s="538" t="s">
        <v>378</v>
      </c>
      <c r="P60" s="587"/>
      <c r="Q60" s="850" t="s">
        <v>380</v>
      </c>
      <c r="R60" s="850" t="s">
        <v>380</v>
      </c>
      <c r="S60" s="551">
        <v>0.0</v>
      </c>
    </row>
    <row r="61" ht="15.0" hidden="1" customHeight="1">
      <c r="A61" s="53">
        <v>55.0</v>
      </c>
      <c r="B61" s="100" t="s">
        <v>273</v>
      </c>
      <c r="C61" s="100" t="s">
        <v>274</v>
      </c>
      <c r="D61" s="101" t="str">
        <f t="shared" si="3"/>
        <v>DATA</v>
      </c>
      <c r="E61" s="111" t="s">
        <v>275</v>
      </c>
      <c r="F61" s="102"/>
      <c r="G61" s="118" t="s">
        <v>452</v>
      </c>
      <c r="H61" s="535"/>
      <c r="I61" s="68" t="str">
        <f>IFERROR(VLOOKUP(C:C,'R22 RELATÓRIO ACC'!B:F,5,FALSE),"NOT PUBLISHED")</f>
        <v>V11</v>
      </c>
      <c r="J61" s="68" t="str">
        <f>IFERROR(VLOOKUP(C:C,'R22 RELATÓRIO ACC'!B:P,15,FALSE),"NOT PUBLISHED")</f>
        <v>28/04/2026</v>
      </c>
      <c r="K61" s="70" t="str">
        <f>IFERROR(VLOOKUP(B:B,'RELATÓRIO ACC'!B:F,5,FALSE),"NOT PUBLISHED")</f>
        <v>V1</v>
      </c>
      <c r="L61" s="518" t="str">
        <f>IFERROR(VLOOKUP(B:B,'RELATÓRIO ACC'!B:P,15,FALSE),"NOT PUBLISHED")</f>
        <v>15/05/2026</v>
      </c>
      <c r="M61" s="519" t="s">
        <v>380</v>
      </c>
      <c r="N61" s="549" t="s">
        <v>380</v>
      </c>
      <c r="O61" s="538" t="s">
        <v>378</v>
      </c>
      <c r="P61" s="587"/>
      <c r="Q61" s="558" t="s">
        <v>380</v>
      </c>
      <c r="R61" s="558" t="s">
        <v>380</v>
      </c>
      <c r="S61" s="551">
        <v>0.0</v>
      </c>
    </row>
    <row r="62" ht="15.0" customHeight="1">
      <c r="A62" s="53">
        <v>60.0</v>
      </c>
      <c r="B62" s="100" t="s">
        <v>293</v>
      </c>
      <c r="C62" s="100" t="s">
        <v>292</v>
      </c>
      <c r="D62" s="101" t="str">
        <f t="shared" si="3"/>
        <v>COL4</v>
      </c>
      <c r="E62" s="111" t="s">
        <v>289</v>
      </c>
      <c r="F62" s="102">
        <v>1125.0</v>
      </c>
      <c r="G62" s="102" t="s">
        <v>289</v>
      </c>
      <c r="H62" s="517">
        <v>1125.0</v>
      </c>
      <c r="I62" s="68" t="str">
        <f>IFERROR(VLOOKUP(C:C,'R22 RELATÓRIO ACC'!B:F,5,FALSE),"NOT PUBLISHED")</f>
        <v>V6</v>
      </c>
      <c r="J62" s="68" t="str">
        <f>IFERROR(VLOOKUP(C:C,'R22 RELATÓRIO ACC'!B:P,15,FALSE),"NOT PUBLISHED")</f>
        <v>07/11/2025</v>
      </c>
      <c r="K62" s="70" t="str">
        <f>IFERROR(VLOOKUP(B:B,'RELATÓRIO ACC'!B:F,5,FALSE),"NOT PUBLISHED")</f>
        <v>V1</v>
      </c>
      <c r="L62" s="518" t="str">
        <f>IFERROR(VLOOKUP(B:B,'RELATÓRIO ACC'!B:P,15,FALSE),"NOT PUBLISHED")</f>
        <v>21/05/2026</v>
      </c>
      <c r="M62" s="519" t="s">
        <v>377</v>
      </c>
      <c r="N62" s="596">
        <v>46163.0</v>
      </c>
      <c r="O62" s="538" t="s">
        <v>378</v>
      </c>
      <c r="P62" s="587" t="s">
        <v>397</v>
      </c>
      <c r="Q62" s="809" t="s">
        <v>386</v>
      </c>
      <c r="R62" s="550" t="s">
        <v>377</v>
      </c>
      <c r="S62" s="551">
        <v>1.0</v>
      </c>
    </row>
    <row r="63" ht="15.0" hidden="1" customHeight="1">
      <c r="A63" s="53">
        <v>29.0</v>
      </c>
      <c r="B63" s="100" t="s">
        <v>176</v>
      </c>
      <c r="C63" s="100" t="s">
        <v>177</v>
      </c>
      <c r="D63" s="101" t="str">
        <f t="shared" si="3"/>
        <v>DATA</v>
      </c>
      <c r="E63" s="101" t="s">
        <v>165</v>
      </c>
      <c r="F63" s="102">
        <v>1114.0</v>
      </c>
      <c r="G63" s="102" t="s">
        <v>165</v>
      </c>
      <c r="H63" s="517">
        <v>1114.0</v>
      </c>
      <c r="I63" s="68" t="str">
        <f>IFERROR(VLOOKUP(C:C,'R22 RELATÓRIO ACC'!B:F,5,FALSE),"NOT PUBLISHED")</f>
        <v>V18</v>
      </c>
      <c r="J63" s="68" t="str">
        <f>IFERROR(VLOOKUP(C:C,'R22 RELATÓRIO ACC'!B:P,15,FALSE),"NOT PUBLISHED")</f>
        <v>30/04/2026</v>
      </c>
      <c r="K63" s="70" t="str">
        <f>IFERROR(VLOOKUP(B:B,'RELATÓRIO ACC'!B:F,5,FALSE),"NOT PUBLISHED")</f>
        <v>V3</v>
      </c>
      <c r="L63" s="518" t="str">
        <f>IFERROR(VLOOKUP(B:B,'RELATÓRIO ACC'!B:P,15,FALSE),"NOT PUBLISHED")</f>
        <v>29/06/2026</v>
      </c>
      <c r="M63" s="519" t="s">
        <v>380</v>
      </c>
      <c r="N63" s="549" t="s">
        <v>380</v>
      </c>
      <c r="O63" s="538" t="s">
        <v>378</v>
      </c>
      <c r="P63" s="587" t="s">
        <v>397</v>
      </c>
      <c r="Q63" s="558" t="s">
        <v>380</v>
      </c>
      <c r="R63" s="558" t="s">
        <v>380</v>
      </c>
      <c r="S63" s="551">
        <v>0.0</v>
      </c>
    </row>
    <row r="64" ht="189.75" customHeight="1">
      <c r="A64" s="556"/>
      <c r="B64" s="556"/>
      <c r="C64" s="556"/>
      <c r="D64" s="799"/>
      <c r="E64" s="653"/>
      <c r="F64" s="653"/>
      <c r="G64" s="653"/>
      <c r="H64" s="653"/>
      <c r="I64" s="556"/>
      <c r="J64" s="556"/>
      <c r="K64" s="556"/>
      <c r="L64" s="556"/>
      <c r="M64" s="556"/>
      <c r="N64" s="556"/>
      <c r="O64" s="556"/>
      <c r="P64" s="556"/>
      <c r="Q64" s="556"/>
      <c r="R64" s="654"/>
      <c r="S64" s="568"/>
    </row>
  </sheetData>
  <autoFilter ref="$A$2:$S$63">
    <filterColumn colId="3">
      <filters>
        <filter val="C12A"/>
        <filter val="DATA"/>
        <filter val="ADMN"/>
        <filter val="COL5"/>
        <filter val="COL4"/>
        <filter val="COL3"/>
        <filter val="COL2"/>
        <filter val="COL1"/>
        <filter val="C345"/>
      </filters>
    </filterColumn>
    <filterColumn colId="1">
      <filters>
        <filter val="BAS-BUILDING AUTOMATION SYSTEM | INFRASTRUCTURE"/>
        <filter val="CPQ11-STRC-STEE-COL1-2X3.ifc"/>
        <filter val="SPDA | PROTECTION SYSTEM ATMOSPHERIC DISCHARGE"/>
        <filter val="FPRT-FIRE PROTECTION"/>
        <filter val="CPQ11-STRC-STEE-COL3-2X3.ifc"/>
        <filter val="DALI-DIGITAL ADDRESSABLE LIGHTING INTERFACE-DEVICES"/>
        <filter val="CPQ11-STRC-STEE-COL5-2X3.ifc"/>
        <filter val="PLMB-PLUMBING"/>
        <filter val="BAS | DEVICES"/>
        <filter val="DAS-DISTRIBUTED ANTENN/A SYSTEM | DEVICES"/>
        <filter val="TELECOM | DEVICES"/>
        <filter val="CPQ11-STRC-STEE-ADMN-2X3.ifc"/>
        <filter val="SCTY | DEVICES"/>
        <filter val="MECH-MECHANICAL"/>
        <filter val="FALM-FIRE ALARM"/>
        <filter val="CPQ11-STRC-STEE-COL2-2X3.ifc"/>
        <filter val="ELEC-ELETRICAL"/>
        <filter val="CPQ11-STRC-STEE-COL4-2X3.ifc"/>
        <filter val="ARCH | ARCHITECTURE"/>
        <filter val="STRC-STRUCTURE"/>
        <filter val="SYST-SYSTEMS | INFRASTRUCTURE"/>
        <filter val="ROIP-RADIO OVER IP | DEVICES"/>
        <filter val="SCTY-SECURITY | INFRASTRUCTURE"/>
        <filter val="EPMS-ELECTRICAL POWER MAN/AGEMENT SYSTEM | DEVICES"/>
      </filters>
    </filterColumn>
  </autoFilter>
  <mergeCells count="1">
    <mergeCell ref="D1:S1"/>
  </mergeCells>
  <conditionalFormatting sqref="M3:M13 N4:N13 O4:O10 O13:O17 M20:N63">
    <cfRule type="expression" dxfId="2" priority="1">
      <formula>IFERROR(ARRAYFORMULA(VALUE(MID(K3,2,10))) &gt; VALUE(MID(M3,2,10)), FALSE)</formula>
    </cfRule>
  </conditionalFormatting>
  <conditionalFormatting sqref="I3:K63 M11">
    <cfRule type="beginsWith" dxfId="5" priority="2" operator="beginsWith" text="V">
      <formula>LEFT((I3),LEN("V"))=("V")</formula>
    </cfRule>
  </conditionalFormatting>
  <conditionalFormatting sqref="S2:S13 S20:S64 M57:N57">
    <cfRule type="cellIs" dxfId="1" priority="3" operator="greaterThanOrEqual">
      <formula>"70%"</formula>
    </cfRule>
  </conditionalFormatting>
  <conditionalFormatting sqref="S2:S13 S20:S64 M57:N57">
    <cfRule type="cellIs" dxfId="2" priority="4" operator="between">
      <formula>"49%"</formula>
      <formula>"69%"</formula>
    </cfRule>
  </conditionalFormatting>
  <conditionalFormatting sqref="S2:S13 S20:S64 M57:N57">
    <cfRule type="cellIs" dxfId="3" priority="5" operator="between">
      <formula>"1%"</formula>
      <formula>"50%"</formula>
    </cfRule>
  </conditionalFormatting>
  <conditionalFormatting sqref="P3 P64">
    <cfRule type="cellIs" dxfId="18" priority="6" operator="equal">
      <formula>"YASMIN"</formula>
    </cfRule>
  </conditionalFormatting>
  <conditionalFormatting sqref="P3 P64">
    <cfRule type="cellIs" dxfId="19" priority="7" operator="equal">
      <formula>"LETÍCIA"</formula>
    </cfRule>
  </conditionalFormatting>
  <conditionalFormatting sqref="P3 P64">
    <cfRule type="cellIs" dxfId="20" priority="8" operator="equal">
      <formula>"CICI"</formula>
    </cfRule>
  </conditionalFormatting>
  <conditionalFormatting sqref="P3 P64">
    <cfRule type="cellIs" dxfId="2" priority="9" operator="equal">
      <formula>"ALINNE"</formula>
    </cfRule>
  </conditionalFormatting>
  <conditionalFormatting sqref="P3 P64">
    <cfRule type="cellIs" dxfId="15" priority="10" operator="equal">
      <formula>"GUILHERME"</formula>
    </cfRule>
  </conditionalFormatting>
  <conditionalFormatting sqref="P3 P64">
    <cfRule type="cellIs" dxfId="15" priority="11" operator="equal">
      <formula>"GUILHERME"</formula>
    </cfRule>
  </conditionalFormatting>
  <conditionalFormatting sqref="P3 P64">
    <cfRule type="cellIs" dxfId="15" priority="12" operator="equal">
      <formula>"GUILHERME"</formula>
    </cfRule>
  </conditionalFormatting>
  <conditionalFormatting sqref="P3 P64">
    <cfRule type="cellIs" dxfId="15" priority="13" operator="equal">
      <formula>"GUILHERME"</formula>
    </cfRule>
  </conditionalFormatting>
  <dataValidations>
    <dataValidation type="list" allowBlank="1" showErrorMessage="1" sqref="P4 P6:P20 P22 P24 P26 P28 P30 P32 P34 P36 P40 P42 P44 P46 P48 P50:P51 P53 P55:P63">
      <formula1>"CICI,YASMIN,GUI,JAKE,ALINNE,IURY,CAROL,LUIZA,INGRYD"</formula1>
    </dataValidation>
    <dataValidation type="list" allowBlank="1" showErrorMessage="1" sqref="O4:O20 O22 O24 O26 O28 O30 O32 O34 O36 O38 O40 O42 O44 O46 O48 O50:O51 O53 O55:O63">
      <formula1>"R22,R24,AWAITING APPROVAL,N/A,NOT PUBLISHED"</formula1>
    </dataValidation>
    <dataValidation type="list" allowBlank="1" showDropDown="1" showErrorMessage="1" sqref="Q4:Q13 Q20 Q22 Q24 Q26 Q28 Q30 Q32 Q34 Q36 Q38 Q40 Q42 Q44 Q46 Q48 Q50:Q51 Q53 Q62">
      <formula1>"APPROVED,REPROVED,N/A,ANALYSING,NOT PUBLISHED,OUTDATED,PREVIOUSLY APPROVED,NEXT ROUND,IMPROPER"</formula1>
    </dataValidation>
    <dataValidation type="list" allowBlank="1" showErrorMessage="1" sqref="P5 P38">
      <formula1>"CICI,YASMIN,GUI,BIANCA,ALINNE,IURY,CLARISSA,LUIZA,INGRYD"</formula1>
    </dataValidation>
    <dataValidation type="list" allowBlank="1" showErrorMessage="1" sqref="P21 P23 P25 P27 P29 P31 P33 P35 P37 P39 P41 P43 P45 P47 P49 P52 P54">
      <formula1>"CICI,YASMIN,JAKE"</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88"/>
    <col customWidth="1" min="4" max="4" width="10.88"/>
    <col customWidth="1" min="5" max="5" width="19.75"/>
    <col customWidth="1" min="6" max="6" width="10.75"/>
    <col customWidth="1" min="7" max="7" width="18.63"/>
    <col customWidth="1" min="8" max="8" width="9.38"/>
    <col customWidth="1" min="9" max="11" width="16.63"/>
    <col customWidth="1" min="12" max="12" width="16.0"/>
    <col customWidth="1" min="13" max="13" width="15.75"/>
    <col customWidth="1" min="14" max="15" width="14.38"/>
    <col customWidth="1" hidden="1" min="16" max="16" width="17.25"/>
    <col customWidth="1" hidden="1" min="17" max="17" width="15.38"/>
    <col customWidth="1" hidden="1" min="18" max="18" width="17.13"/>
    <col customWidth="1" hidden="1" min="19" max="66" width="16.38"/>
    <col customWidth="1" hidden="1" min="67" max="67" width="16.25"/>
    <col customWidth="1" hidden="1" min="68" max="109" width="16.38"/>
    <col customWidth="1" min="110" max="115" width="16.38"/>
  </cols>
  <sheetData>
    <row r="1" ht="52.5" customHeight="1">
      <c r="A1" s="1"/>
      <c r="B1" s="491"/>
      <c r="C1" s="492"/>
      <c r="D1" s="492" t="s">
        <v>477</v>
      </c>
      <c r="E1" s="494"/>
      <c r="F1" s="494"/>
      <c r="G1" s="494"/>
      <c r="H1" s="494"/>
      <c r="I1" s="494"/>
      <c r="J1" s="494"/>
      <c r="K1" s="494"/>
      <c r="L1" s="494"/>
      <c r="M1" s="494"/>
      <c r="N1" s="494"/>
      <c r="O1" s="494"/>
      <c r="P1" s="494"/>
      <c r="Q1" s="494"/>
      <c r="R1" s="495"/>
      <c r="S1" s="495"/>
      <c r="T1" s="495"/>
      <c r="U1" s="495"/>
      <c r="V1" s="498"/>
      <c r="W1" s="495"/>
      <c r="X1" s="495"/>
      <c r="Y1" s="498"/>
      <c r="Z1" s="495"/>
      <c r="AA1" s="495"/>
      <c r="AB1" s="498"/>
      <c r="AC1" s="495"/>
      <c r="AD1" s="495"/>
      <c r="AE1" s="498"/>
      <c r="AF1" s="497"/>
      <c r="AG1" s="497"/>
      <c r="AH1" s="497"/>
      <c r="AI1" s="497"/>
      <c r="AJ1" s="497"/>
      <c r="AK1" s="497"/>
      <c r="AL1" s="497"/>
      <c r="AM1" s="497"/>
      <c r="AN1" s="497"/>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c r="DC1" s="497"/>
      <c r="DD1" s="497"/>
      <c r="DE1" s="497"/>
      <c r="DF1" s="497"/>
      <c r="DG1" s="497"/>
      <c r="DH1" s="497"/>
      <c r="DI1" s="497"/>
      <c r="DJ1" s="497"/>
      <c r="DK1" s="497"/>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655" t="s">
        <v>478</v>
      </c>
      <c r="P2" s="505" t="s">
        <v>308</v>
      </c>
      <c r="Q2" s="506" t="s">
        <v>309</v>
      </c>
      <c r="R2" s="506" t="s">
        <v>310</v>
      </c>
      <c r="S2" s="506" t="s">
        <v>30</v>
      </c>
      <c r="T2" s="506" t="s">
        <v>311</v>
      </c>
      <c r="U2" s="506" t="s">
        <v>312</v>
      </c>
      <c r="V2" s="506" t="s">
        <v>31</v>
      </c>
      <c r="W2" s="506" t="s">
        <v>313</v>
      </c>
      <c r="X2" s="506" t="s">
        <v>314</v>
      </c>
      <c r="Y2" s="506" t="s">
        <v>32</v>
      </c>
      <c r="Z2" s="506" t="s">
        <v>315</v>
      </c>
      <c r="AA2" s="506" t="s">
        <v>316</v>
      </c>
      <c r="AB2" s="506" t="s">
        <v>33</v>
      </c>
      <c r="AC2" s="506" t="s">
        <v>317</v>
      </c>
      <c r="AD2" s="506" t="s">
        <v>318</v>
      </c>
      <c r="AE2" s="506" t="s">
        <v>34</v>
      </c>
      <c r="AF2" s="506" t="s">
        <v>319</v>
      </c>
      <c r="AG2" s="506" t="s">
        <v>320</v>
      </c>
      <c r="AH2" s="506" t="s">
        <v>35</v>
      </c>
      <c r="AI2" s="506" t="s">
        <v>321</v>
      </c>
      <c r="AJ2" s="506" t="s">
        <v>322</v>
      </c>
      <c r="AK2" s="506" t="s">
        <v>36</v>
      </c>
      <c r="AL2" s="506" t="s">
        <v>323</v>
      </c>
      <c r="AM2" s="506" t="s">
        <v>324</v>
      </c>
      <c r="AN2" s="506" t="s">
        <v>37</v>
      </c>
      <c r="AO2" s="506" t="s">
        <v>325</v>
      </c>
      <c r="AP2" s="506" t="s">
        <v>326</v>
      </c>
      <c r="AQ2" s="506" t="s">
        <v>38</v>
      </c>
      <c r="AR2" s="506" t="s">
        <v>458</v>
      </c>
      <c r="AS2" s="506" t="s">
        <v>328</v>
      </c>
      <c r="AT2" s="506" t="s">
        <v>39</v>
      </c>
      <c r="AU2" s="507" t="s">
        <v>329</v>
      </c>
      <c r="AV2" s="507" t="s">
        <v>330</v>
      </c>
      <c r="AW2" s="507" t="s">
        <v>40</v>
      </c>
      <c r="AX2" s="507" t="s">
        <v>331</v>
      </c>
      <c r="AY2" s="507" t="s">
        <v>332</v>
      </c>
      <c r="AZ2" s="507"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c r="BM2" s="507" t="s">
        <v>341</v>
      </c>
      <c r="BN2" s="507" t="s">
        <v>342</v>
      </c>
      <c r="BO2" s="507" t="s">
        <v>46</v>
      </c>
      <c r="BP2" s="507" t="s">
        <v>343</v>
      </c>
      <c r="BQ2" s="507" t="s">
        <v>344</v>
      </c>
      <c r="BR2" s="507" t="s">
        <v>47</v>
      </c>
      <c r="BS2" s="507" t="s">
        <v>345</v>
      </c>
      <c r="BT2" s="507" t="s">
        <v>346</v>
      </c>
      <c r="BU2" s="507" t="s">
        <v>48</v>
      </c>
      <c r="BV2" s="507" t="s">
        <v>347</v>
      </c>
      <c r="BW2" s="507" t="s">
        <v>348</v>
      </c>
      <c r="BX2" s="507" t="s">
        <v>49</v>
      </c>
      <c r="BY2" s="507" t="s">
        <v>349</v>
      </c>
      <c r="BZ2" s="507" t="s">
        <v>350</v>
      </c>
      <c r="CA2" s="507" t="s">
        <v>50</v>
      </c>
      <c r="CB2" s="507" t="s">
        <v>351</v>
      </c>
      <c r="CC2" s="507" t="s">
        <v>352</v>
      </c>
      <c r="CD2" s="507" t="s">
        <v>51</v>
      </c>
      <c r="CE2" s="507" t="s">
        <v>353</v>
      </c>
      <c r="CF2" s="507" t="s">
        <v>354</v>
      </c>
      <c r="CG2" s="507" t="s">
        <v>52</v>
      </c>
      <c r="CH2" s="507" t="s">
        <v>479</v>
      </c>
      <c r="CI2" s="507" t="s">
        <v>356</v>
      </c>
      <c r="CJ2" s="507" t="s">
        <v>53</v>
      </c>
      <c r="CK2" s="507" t="s">
        <v>480</v>
      </c>
      <c r="CL2" s="507" t="s">
        <v>358</v>
      </c>
      <c r="CM2" s="507" t="s">
        <v>54</v>
      </c>
      <c r="CN2" s="507" t="s">
        <v>481</v>
      </c>
      <c r="CO2" s="507" t="s">
        <v>360</v>
      </c>
      <c r="CP2" s="507" t="s">
        <v>55</v>
      </c>
      <c r="CQ2" s="507" t="s">
        <v>482</v>
      </c>
      <c r="CR2" s="507" t="s">
        <v>362</v>
      </c>
      <c r="CS2" s="507" t="s">
        <v>56</v>
      </c>
      <c r="CT2" s="507" t="s">
        <v>483</v>
      </c>
      <c r="CU2" s="507" t="s">
        <v>364</v>
      </c>
      <c r="CV2" s="507" t="s">
        <v>57</v>
      </c>
      <c r="CW2" s="507" t="s">
        <v>484</v>
      </c>
      <c r="CX2" s="507" t="s">
        <v>366</v>
      </c>
      <c r="CY2" s="507" t="s">
        <v>58</v>
      </c>
      <c r="CZ2" s="507" t="s">
        <v>485</v>
      </c>
      <c r="DA2" s="507" t="s">
        <v>368</v>
      </c>
      <c r="DB2" s="507" t="s">
        <v>59</v>
      </c>
      <c r="DC2" s="507" t="s">
        <v>486</v>
      </c>
      <c r="DD2" s="507" t="s">
        <v>370</v>
      </c>
      <c r="DE2" s="507" t="s">
        <v>60</v>
      </c>
      <c r="DF2" s="507" t="s">
        <v>487</v>
      </c>
      <c r="DG2" s="507" t="s">
        <v>372</v>
      </c>
      <c r="DH2" s="507" t="s">
        <v>61</v>
      </c>
      <c r="DI2" s="507" t="s">
        <v>488</v>
      </c>
      <c r="DJ2" s="507" t="s">
        <v>374</v>
      </c>
      <c r="DK2" s="507" t="s">
        <v>62</v>
      </c>
    </row>
    <row r="3" hidden="1">
      <c r="A3" s="53">
        <v>1.0</v>
      </c>
      <c r="B3" s="855" t="s">
        <v>77</v>
      </c>
      <c r="C3" s="423"/>
      <c r="D3" s="509"/>
      <c r="E3" s="58"/>
      <c r="F3" s="58"/>
      <c r="G3" s="58"/>
      <c r="H3" s="509"/>
      <c r="I3" s="509"/>
      <c r="J3" s="509"/>
      <c r="K3" s="657"/>
      <c r="L3" s="58"/>
      <c r="M3" s="657"/>
      <c r="N3" s="58"/>
      <c r="O3" s="58"/>
      <c r="P3" s="725"/>
      <c r="Q3" s="512"/>
      <c r="R3" s="513"/>
      <c r="S3" s="726"/>
      <c r="T3" s="512"/>
      <c r="U3" s="513"/>
      <c r="V3" s="726"/>
      <c r="W3" s="512"/>
      <c r="X3" s="513"/>
      <c r="Y3" s="726"/>
      <c r="Z3" s="512"/>
      <c r="AA3" s="513"/>
      <c r="AB3" s="726"/>
      <c r="AC3" s="512"/>
      <c r="AD3" s="513"/>
      <c r="AE3" s="726"/>
      <c r="AF3" s="806"/>
      <c r="AG3" s="806"/>
      <c r="AH3" s="806"/>
      <c r="AI3" s="806"/>
      <c r="AJ3" s="806"/>
      <c r="AK3" s="806"/>
      <c r="AL3" s="806"/>
      <c r="AM3" s="806"/>
      <c r="AN3" s="806"/>
      <c r="AO3" s="806"/>
      <c r="AP3" s="806"/>
      <c r="AQ3" s="806"/>
      <c r="AR3" s="806"/>
      <c r="AS3" s="806"/>
      <c r="AT3" s="806"/>
      <c r="AU3" s="806"/>
      <c r="AV3" s="806"/>
      <c r="AW3" s="806"/>
      <c r="AX3" s="806"/>
      <c r="AY3" s="806"/>
      <c r="AZ3" s="806"/>
      <c r="BA3" s="806"/>
      <c r="BB3" s="806"/>
      <c r="BC3" s="806"/>
      <c r="BD3" s="806"/>
      <c r="BE3" s="806"/>
      <c r="BF3" s="806"/>
      <c r="BG3" s="806"/>
      <c r="BH3" s="806"/>
      <c r="BI3" s="806"/>
      <c r="BJ3" s="806"/>
      <c r="BK3" s="806"/>
      <c r="BL3" s="806"/>
      <c r="BM3" s="806"/>
      <c r="BN3" s="806"/>
      <c r="BO3" s="806"/>
      <c r="BP3" s="806"/>
      <c r="BQ3" s="806"/>
      <c r="BR3" s="856"/>
      <c r="BS3" s="806"/>
      <c r="BT3" s="806"/>
      <c r="BU3" s="856"/>
      <c r="BV3" s="806"/>
      <c r="BW3" s="806"/>
      <c r="BX3" s="856"/>
      <c r="BY3" s="806"/>
      <c r="BZ3" s="806"/>
      <c r="CA3" s="806"/>
      <c r="CB3" s="806"/>
      <c r="CC3" s="806"/>
      <c r="CD3" s="806"/>
      <c r="CE3" s="806"/>
      <c r="CF3" s="806"/>
      <c r="CG3" s="806"/>
      <c r="CH3" s="806"/>
      <c r="CI3" s="806"/>
      <c r="CJ3" s="806"/>
      <c r="CK3" s="806"/>
      <c r="CL3" s="806"/>
      <c r="CM3" s="806"/>
      <c r="CN3" s="806"/>
      <c r="CO3" s="806"/>
      <c r="CP3" s="806"/>
      <c r="CQ3" s="806"/>
      <c r="CR3" s="806"/>
      <c r="CS3" s="806"/>
      <c r="CT3" s="806"/>
      <c r="CU3" s="806"/>
      <c r="CV3" s="806"/>
      <c r="CW3" s="806"/>
      <c r="CX3" s="806"/>
      <c r="CY3" s="806"/>
      <c r="CZ3" s="806"/>
      <c r="DA3" s="806"/>
      <c r="DB3" s="806"/>
      <c r="DC3" s="806"/>
      <c r="DD3" s="806"/>
      <c r="DE3" s="806"/>
      <c r="DF3" s="806"/>
      <c r="DG3" s="806"/>
      <c r="DH3" s="806"/>
      <c r="DI3" s="806"/>
      <c r="DJ3" s="806"/>
      <c r="DK3" s="806"/>
    </row>
    <row r="4" ht="15.0" customHeight="1">
      <c r="A4" s="53">
        <v>7.0</v>
      </c>
      <c r="B4" s="857" t="s">
        <v>93</v>
      </c>
      <c r="C4" s="857" t="s">
        <v>94</v>
      </c>
      <c r="D4" s="101" t="str">
        <f t="shared" ref="D4:D17" si="1">MID(B4,17,4)</f>
        <v>SITE</v>
      </c>
      <c r="E4" s="111" t="s">
        <v>91</v>
      </c>
      <c r="F4" s="102">
        <v>1104.0</v>
      </c>
      <c r="G4" s="517" t="s">
        <v>92</v>
      </c>
      <c r="H4" s="517">
        <v>1127.0</v>
      </c>
      <c r="I4" s="858" t="str">
        <f>IFERROR(VLOOKUP(C:C,'R22 RELATÓRIO ACC'!B:F,5,FALSE),"NOT PUBLISHED")</f>
        <v>V9</v>
      </c>
      <c r="J4" s="858" t="str">
        <f>IFERROR(VLOOKUP(C:C,'R22 RELATÓRIO ACC'!B:P,15,FALSE),"NOT PUBLISHED")</f>
        <v>10/04/2026</v>
      </c>
      <c r="K4" s="821" t="str">
        <f>IFERROR(VLOOKUP(B:B,'RELATÓRIO ACC'!B:F,5,FALSE),"NOT PUBLISHED")</f>
        <v>V1</v>
      </c>
      <c r="L4" s="822" t="str">
        <f>IFERROR(VLOOKUP(B:B,'RELATÓRIO ACC'!B:P,15,FALSE),"NOT PUBLISHED")</f>
        <v>15/05/2026</v>
      </c>
      <c r="M4" s="70" t="s">
        <v>377</v>
      </c>
      <c r="N4" s="846">
        <v>46157.0</v>
      </c>
      <c r="O4" s="538" t="s">
        <v>378</v>
      </c>
      <c r="P4" s="587" t="s">
        <v>489</v>
      </c>
      <c r="Q4" s="523" t="s">
        <v>379</v>
      </c>
      <c r="R4" s="524">
        <v>0.0</v>
      </c>
      <c r="S4" s="523" t="s">
        <v>379</v>
      </c>
      <c r="T4" s="523" t="s">
        <v>379</v>
      </c>
      <c r="U4" s="524">
        <v>0.0</v>
      </c>
      <c r="V4" s="523" t="s">
        <v>379</v>
      </c>
      <c r="W4" s="523" t="s">
        <v>379</v>
      </c>
      <c r="X4" s="526" t="s">
        <v>380</v>
      </c>
      <c r="Y4" s="525" t="s">
        <v>379</v>
      </c>
      <c r="Z4" s="523" t="s">
        <v>379</v>
      </c>
      <c r="AA4" s="526" t="s">
        <v>380</v>
      </c>
      <c r="AB4" s="523" t="s">
        <v>379</v>
      </c>
      <c r="AC4" s="523" t="s">
        <v>379</v>
      </c>
      <c r="AD4" s="526" t="s">
        <v>380</v>
      </c>
      <c r="AE4" s="523" t="s">
        <v>379</v>
      </c>
      <c r="AF4" s="523" t="s">
        <v>381</v>
      </c>
      <c r="AG4" s="526" t="s">
        <v>399</v>
      </c>
      <c r="AH4" s="859">
        <v>0.86</v>
      </c>
      <c r="AI4" s="523" t="s">
        <v>379</v>
      </c>
      <c r="AJ4" s="526" t="s">
        <v>399</v>
      </c>
      <c r="AK4" s="523" t="s">
        <v>379</v>
      </c>
      <c r="AL4" s="523" t="s">
        <v>490</v>
      </c>
      <c r="AM4" s="526" t="s">
        <v>399</v>
      </c>
      <c r="AN4" s="523" t="s">
        <v>490</v>
      </c>
      <c r="AO4" s="523" t="s">
        <v>381</v>
      </c>
      <c r="AP4" s="526" t="s">
        <v>399</v>
      </c>
      <c r="AQ4" s="565">
        <v>0.9</v>
      </c>
      <c r="AR4" s="523" t="s">
        <v>379</v>
      </c>
      <c r="AS4" s="526" t="s">
        <v>399</v>
      </c>
      <c r="AT4" s="565">
        <v>0.9</v>
      </c>
      <c r="AU4" s="523" t="s">
        <v>379</v>
      </c>
      <c r="AV4" s="526" t="s">
        <v>399</v>
      </c>
      <c r="AW4" s="565">
        <v>0.9</v>
      </c>
      <c r="AX4" s="523" t="s">
        <v>379</v>
      </c>
      <c r="AY4" s="526" t="s">
        <v>399</v>
      </c>
      <c r="AZ4" s="523" t="s">
        <v>379</v>
      </c>
      <c r="BA4" s="523" t="s">
        <v>379</v>
      </c>
      <c r="BB4" s="526" t="s">
        <v>399</v>
      </c>
      <c r="BC4" s="523" t="s">
        <v>379</v>
      </c>
      <c r="BD4" s="523" t="s">
        <v>379</v>
      </c>
      <c r="BE4" s="526" t="s">
        <v>399</v>
      </c>
      <c r="BF4" s="523" t="s">
        <v>379</v>
      </c>
      <c r="BG4" s="523" t="s">
        <v>379</v>
      </c>
      <c r="BH4" s="526" t="s">
        <v>399</v>
      </c>
      <c r="BI4" s="523" t="s">
        <v>379</v>
      </c>
      <c r="BJ4" s="523" t="s">
        <v>383</v>
      </c>
      <c r="BK4" s="526" t="s">
        <v>399</v>
      </c>
      <c r="BL4" s="523" t="s">
        <v>383</v>
      </c>
      <c r="BM4" s="523" t="s">
        <v>383</v>
      </c>
      <c r="BN4" s="526" t="s">
        <v>399</v>
      </c>
      <c r="BO4" s="523" t="s">
        <v>383</v>
      </c>
      <c r="BP4" s="528" t="s">
        <v>490</v>
      </c>
      <c r="BQ4" s="526" t="s">
        <v>399</v>
      </c>
      <c r="BR4" s="528" t="s">
        <v>490</v>
      </c>
      <c r="BS4" s="523" t="s">
        <v>383</v>
      </c>
      <c r="BT4" s="526" t="s">
        <v>399</v>
      </c>
      <c r="BU4" s="523" t="s">
        <v>383</v>
      </c>
      <c r="BV4" s="523" t="s">
        <v>383</v>
      </c>
      <c r="BW4" s="526" t="s">
        <v>399</v>
      </c>
      <c r="BX4" s="523" t="s">
        <v>383</v>
      </c>
      <c r="BY4" s="523" t="s">
        <v>383</v>
      </c>
      <c r="BZ4" s="526" t="s">
        <v>399</v>
      </c>
      <c r="CA4" s="523" t="s">
        <v>383</v>
      </c>
      <c r="CB4" s="523" t="s">
        <v>383</v>
      </c>
      <c r="CC4" s="526" t="s">
        <v>399</v>
      </c>
      <c r="CD4" s="523" t="s">
        <v>383</v>
      </c>
      <c r="CE4" s="523" t="s">
        <v>383</v>
      </c>
      <c r="CF4" s="526" t="s">
        <v>399</v>
      </c>
      <c r="CG4" s="523" t="s">
        <v>383</v>
      </c>
      <c r="CH4" s="523" t="s">
        <v>383</v>
      </c>
      <c r="CI4" s="526" t="s">
        <v>399</v>
      </c>
      <c r="CJ4" s="523" t="s">
        <v>383</v>
      </c>
      <c r="CK4" s="523" t="s">
        <v>490</v>
      </c>
      <c r="CL4" s="526" t="s">
        <v>399</v>
      </c>
      <c r="CM4" s="523" t="s">
        <v>490</v>
      </c>
      <c r="CN4" s="523" t="s">
        <v>383</v>
      </c>
      <c r="CO4" s="526" t="s">
        <v>399</v>
      </c>
      <c r="CP4" s="523" t="s">
        <v>383</v>
      </c>
      <c r="CQ4" s="523" t="s">
        <v>383</v>
      </c>
      <c r="CR4" s="526" t="s">
        <v>399</v>
      </c>
      <c r="CS4" s="523" t="s">
        <v>383</v>
      </c>
      <c r="CT4" s="523" t="s">
        <v>383</v>
      </c>
      <c r="CU4" s="526" t="s">
        <v>399</v>
      </c>
      <c r="CV4" s="523" t="s">
        <v>383</v>
      </c>
      <c r="CW4" s="523" t="s">
        <v>383</v>
      </c>
      <c r="CX4" s="526" t="s">
        <v>399</v>
      </c>
      <c r="CY4" s="523" t="s">
        <v>383</v>
      </c>
      <c r="CZ4" s="523" t="s">
        <v>383</v>
      </c>
      <c r="DA4" s="526" t="s">
        <v>399</v>
      </c>
      <c r="DB4" s="523" t="s">
        <v>383</v>
      </c>
      <c r="DC4" s="523" t="s">
        <v>383</v>
      </c>
      <c r="DD4" s="526" t="s">
        <v>399</v>
      </c>
      <c r="DE4" s="523" t="s">
        <v>383</v>
      </c>
      <c r="DF4" s="523" t="s">
        <v>383</v>
      </c>
      <c r="DG4" s="526" t="s">
        <v>399</v>
      </c>
      <c r="DH4" s="523" t="s">
        <v>383</v>
      </c>
      <c r="DI4" s="523" t="s">
        <v>386</v>
      </c>
      <c r="DJ4" s="526" t="s">
        <v>377</v>
      </c>
      <c r="DK4" s="546">
        <v>1.0</v>
      </c>
    </row>
    <row r="5">
      <c r="A5" s="53">
        <v>42.0</v>
      </c>
      <c r="B5" s="860" t="s">
        <v>225</v>
      </c>
      <c r="C5" s="860" t="s">
        <v>226</v>
      </c>
      <c r="D5" s="101" t="str">
        <f t="shared" si="1"/>
        <v>UTLS</v>
      </c>
      <c r="E5" s="101" t="s">
        <v>227</v>
      </c>
      <c r="F5" s="102">
        <v>1117.0</v>
      </c>
      <c r="G5" s="517" t="s">
        <v>121</v>
      </c>
      <c r="H5" s="517">
        <v>1128.0</v>
      </c>
      <c r="I5" s="858" t="str">
        <f>IFERROR(VLOOKUP(C:C,'R22 RELATÓRIO ACC'!B:F,5,FALSE),"NOT PUBLISHED")</f>
        <v>V16</v>
      </c>
      <c r="J5" s="858" t="str">
        <f>IFERROR(VLOOKUP(C:C,'R22 RELATÓRIO ACC'!B:P,15,FALSE),"NOT PUBLISHED")</f>
        <v>06/03/2026</v>
      </c>
      <c r="K5" s="821" t="str">
        <f>IFERROR(VLOOKUP(B:B,'RELATÓRIO ACC'!B:F,5,FALSE),"NOT PUBLISHED")</f>
        <v>V5</v>
      </c>
      <c r="L5" s="822" t="str">
        <f>IFERROR(VLOOKUP(B:B,'RELATÓRIO ACC'!B:P,15,FALSE),"NOT PUBLISHED")</f>
        <v>08/07/2026</v>
      </c>
      <c r="M5" s="830" t="s">
        <v>380</v>
      </c>
      <c r="N5" s="830" t="s">
        <v>380</v>
      </c>
      <c r="O5" s="538" t="s">
        <v>380</v>
      </c>
      <c r="P5" s="587" t="s">
        <v>445</v>
      </c>
      <c r="Q5" s="523" t="s">
        <v>380</v>
      </c>
      <c r="R5" s="526" t="s">
        <v>380</v>
      </c>
      <c r="S5" s="523" t="s">
        <v>380</v>
      </c>
      <c r="T5" s="523" t="s">
        <v>380</v>
      </c>
      <c r="U5" s="526" t="s">
        <v>380</v>
      </c>
      <c r="V5" s="523" t="s">
        <v>380</v>
      </c>
      <c r="W5" s="523" t="s">
        <v>380</v>
      </c>
      <c r="X5" s="526" t="s">
        <v>380</v>
      </c>
      <c r="Y5" s="523" t="s">
        <v>380</v>
      </c>
      <c r="Z5" s="523" t="s">
        <v>380</v>
      </c>
      <c r="AA5" s="526" t="s">
        <v>380</v>
      </c>
      <c r="AB5" s="523" t="s">
        <v>380</v>
      </c>
      <c r="AC5" s="523" t="s">
        <v>380</v>
      </c>
      <c r="AD5" s="526" t="s">
        <v>380</v>
      </c>
      <c r="AE5" s="523" t="s">
        <v>380</v>
      </c>
      <c r="AF5" s="523" t="s">
        <v>380</v>
      </c>
      <c r="AG5" s="526" t="s">
        <v>380</v>
      </c>
      <c r="AH5" s="523" t="s">
        <v>380</v>
      </c>
      <c r="AI5" s="523" t="s">
        <v>380</v>
      </c>
      <c r="AJ5" s="526" t="s">
        <v>380</v>
      </c>
      <c r="AK5" s="523" t="s">
        <v>380</v>
      </c>
      <c r="AL5" s="523" t="s">
        <v>380</v>
      </c>
      <c r="AM5" s="526" t="s">
        <v>380</v>
      </c>
      <c r="AN5" s="523" t="s">
        <v>380</v>
      </c>
      <c r="AO5" s="523" t="s">
        <v>380</v>
      </c>
      <c r="AP5" s="526" t="s">
        <v>380</v>
      </c>
      <c r="AQ5" s="523" t="s">
        <v>380</v>
      </c>
      <c r="AR5" s="523" t="s">
        <v>380</v>
      </c>
      <c r="AS5" s="526" t="s">
        <v>380</v>
      </c>
      <c r="AT5" s="523" t="s">
        <v>380</v>
      </c>
      <c r="AU5" s="523" t="s">
        <v>380</v>
      </c>
      <c r="AV5" s="526" t="s">
        <v>380</v>
      </c>
      <c r="AW5" s="523" t="s">
        <v>380</v>
      </c>
      <c r="AX5" s="523" t="s">
        <v>380</v>
      </c>
      <c r="AY5" s="526" t="s">
        <v>380</v>
      </c>
      <c r="AZ5" s="523" t="s">
        <v>380</v>
      </c>
      <c r="BA5" s="523" t="s">
        <v>380</v>
      </c>
      <c r="BB5" s="526" t="s">
        <v>380</v>
      </c>
      <c r="BC5" s="523" t="s">
        <v>380</v>
      </c>
      <c r="BD5" s="523" t="s">
        <v>380</v>
      </c>
      <c r="BE5" s="526" t="s">
        <v>380</v>
      </c>
      <c r="BF5" s="523" t="s">
        <v>380</v>
      </c>
      <c r="BG5" s="523" t="s">
        <v>380</v>
      </c>
      <c r="BH5" s="526" t="s">
        <v>380</v>
      </c>
      <c r="BI5" s="523" t="s">
        <v>380</v>
      </c>
      <c r="BJ5" s="523" t="s">
        <v>380</v>
      </c>
      <c r="BK5" s="526" t="s">
        <v>380</v>
      </c>
      <c r="BL5" s="523" t="s">
        <v>380</v>
      </c>
      <c r="BM5" s="523" t="s">
        <v>380</v>
      </c>
      <c r="BN5" s="526" t="s">
        <v>380</v>
      </c>
      <c r="BO5" s="523" t="s">
        <v>380</v>
      </c>
      <c r="BP5" s="528" t="s">
        <v>380</v>
      </c>
      <c r="BQ5" s="526" t="s">
        <v>380</v>
      </c>
      <c r="BR5" s="528" t="s">
        <v>380</v>
      </c>
      <c r="BS5" s="523" t="s">
        <v>380</v>
      </c>
      <c r="BT5" s="526" t="s">
        <v>380</v>
      </c>
      <c r="BU5" s="523" t="s">
        <v>380</v>
      </c>
      <c r="BV5" s="523" t="s">
        <v>380</v>
      </c>
      <c r="BW5" s="526" t="s">
        <v>380</v>
      </c>
      <c r="BX5" s="523" t="s">
        <v>380</v>
      </c>
      <c r="BY5" s="523" t="s">
        <v>380</v>
      </c>
      <c r="BZ5" s="526" t="s">
        <v>380</v>
      </c>
      <c r="CA5" s="523" t="s">
        <v>380</v>
      </c>
      <c r="CB5" s="523" t="s">
        <v>380</v>
      </c>
      <c r="CC5" s="526" t="s">
        <v>380</v>
      </c>
      <c r="CD5" s="523" t="s">
        <v>380</v>
      </c>
      <c r="CE5" s="528" t="s">
        <v>380</v>
      </c>
      <c r="CF5" s="526" t="s">
        <v>380</v>
      </c>
      <c r="CG5" s="528" t="s">
        <v>380</v>
      </c>
      <c r="CH5" s="809" t="s">
        <v>380</v>
      </c>
      <c r="CI5" s="526" t="s">
        <v>380</v>
      </c>
      <c r="CJ5" s="809" t="s">
        <v>380</v>
      </c>
      <c r="CK5" s="523" t="s">
        <v>380</v>
      </c>
      <c r="CL5" s="526" t="s">
        <v>380</v>
      </c>
      <c r="CM5" s="523" t="s">
        <v>380</v>
      </c>
      <c r="CN5" s="523" t="s">
        <v>380</v>
      </c>
      <c r="CO5" s="526" t="s">
        <v>380</v>
      </c>
      <c r="CP5" s="523" t="s">
        <v>380</v>
      </c>
      <c r="CQ5" s="528" t="s">
        <v>380</v>
      </c>
      <c r="CR5" s="526" t="s">
        <v>380</v>
      </c>
      <c r="CS5" s="528" t="s">
        <v>380</v>
      </c>
      <c r="CT5" s="523" t="s">
        <v>380</v>
      </c>
      <c r="CU5" s="526" t="s">
        <v>380</v>
      </c>
      <c r="CV5" s="523" t="s">
        <v>380</v>
      </c>
      <c r="CW5" s="523" t="s">
        <v>380</v>
      </c>
      <c r="CX5" s="526" t="s">
        <v>380</v>
      </c>
      <c r="CY5" s="523" t="s">
        <v>380</v>
      </c>
      <c r="CZ5" s="523" t="s">
        <v>380</v>
      </c>
      <c r="DA5" s="526" t="s">
        <v>380</v>
      </c>
      <c r="DB5" s="523" t="s">
        <v>380</v>
      </c>
      <c r="DC5" s="523" t="s">
        <v>380</v>
      </c>
      <c r="DD5" s="526" t="s">
        <v>380</v>
      </c>
      <c r="DE5" s="523" t="s">
        <v>380</v>
      </c>
      <c r="DF5" s="523" t="s">
        <v>380</v>
      </c>
      <c r="DG5" s="526" t="s">
        <v>380</v>
      </c>
      <c r="DH5" s="523" t="s">
        <v>380</v>
      </c>
      <c r="DI5" s="523" t="s">
        <v>380</v>
      </c>
      <c r="DJ5" s="526" t="s">
        <v>380</v>
      </c>
      <c r="DK5" s="523" t="s">
        <v>380</v>
      </c>
    </row>
    <row r="6" ht="15.0" customHeight="1">
      <c r="A6" s="53">
        <v>4.0</v>
      </c>
      <c r="B6" s="857" t="s">
        <v>491</v>
      </c>
      <c r="C6" s="857" t="s">
        <v>492</v>
      </c>
      <c r="D6" s="101" t="str">
        <f t="shared" si="1"/>
        <v>SITE</v>
      </c>
      <c r="E6" s="101" t="s">
        <v>395</v>
      </c>
      <c r="F6" s="102">
        <v>1102.0</v>
      </c>
      <c r="G6" s="517" t="s">
        <v>80</v>
      </c>
      <c r="H6" s="517">
        <v>1130.0</v>
      </c>
      <c r="I6" s="858" t="str">
        <f>IFERROR(VLOOKUP(C:C,'R22 RELATÓRIO ACC'!B:F,5,FALSE),"NOT PUBLISHED")</f>
        <v>NOT PUBLISHED</v>
      </c>
      <c r="J6" s="858" t="str">
        <f>IFERROR(VLOOKUP(C:C,'R22 RELATÓRIO ACC'!B:P,15,FALSE),"NOT PUBLISHED")</f>
        <v>NOT PUBLISHED</v>
      </c>
      <c r="K6" s="821" t="str">
        <f>IFERROR(VLOOKUP(B:B,'RELATÓRIO ACC'!B:F,5,FALSE),"NOT PUBLISHED")</f>
        <v>NOT PUBLISHED</v>
      </c>
      <c r="L6" s="822" t="str">
        <f>IFERROR(VLOOKUP(B:B,'RELATÓRIO ACC'!B:P,15,FALSE),"NOT PUBLISHED")</f>
        <v>NOT PUBLISHED</v>
      </c>
      <c r="M6" s="552" t="s">
        <v>388</v>
      </c>
      <c r="N6" s="552" t="s">
        <v>388</v>
      </c>
      <c r="O6" s="538" t="s">
        <v>388</v>
      </c>
      <c r="P6" s="587"/>
      <c r="Q6" s="523" t="s">
        <v>388</v>
      </c>
      <c r="R6" s="524" t="s">
        <v>380</v>
      </c>
      <c r="S6" s="523" t="s">
        <v>388</v>
      </c>
      <c r="T6" s="523" t="s">
        <v>388</v>
      </c>
      <c r="U6" s="524" t="s">
        <v>380</v>
      </c>
      <c r="V6" s="523" t="s">
        <v>388</v>
      </c>
      <c r="W6" s="523" t="s">
        <v>388</v>
      </c>
      <c r="X6" s="524" t="s">
        <v>380</v>
      </c>
      <c r="Y6" s="523" t="s">
        <v>388</v>
      </c>
      <c r="Z6" s="523" t="s">
        <v>388</v>
      </c>
      <c r="AA6" s="524" t="s">
        <v>380</v>
      </c>
      <c r="AB6" s="523" t="s">
        <v>388</v>
      </c>
      <c r="AC6" s="523" t="s">
        <v>388</v>
      </c>
      <c r="AD6" s="524" t="s">
        <v>380</v>
      </c>
      <c r="AE6" s="523" t="s">
        <v>388</v>
      </c>
      <c r="AF6" s="523" t="s">
        <v>388</v>
      </c>
      <c r="AG6" s="524" t="s">
        <v>380</v>
      </c>
      <c r="AH6" s="523" t="s">
        <v>388</v>
      </c>
      <c r="AI6" s="523" t="s">
        <v>388</v>
      </c>
      <c r="AJ6" s="524" t="s">
        <v>380</v>
      </c>
      <c r="AK6" s="525" t="s">
        <v>388</v>
      </c>
      <c r="AL6" s="523" t="s">
        <v>388</v>
      </c>
      <c r="AM6" s="524" t="s">
        <v>380</v>
      </c>
      <c r="AN6" s="525" t="s">
        <v>388</v>
      </c>
      <c r="AO6" s="523" t="s">
        <v>388</v>
      </c>
      <c r="AP6" s="524" t="s">
        <v>380</v>
      </c>
      <c r="AQ6" s="523" t="s">
        <v>388</v>
      </c>
      <c r="AR6" s="523" t="s">
        <v>388</v>
      </c>
      <c r="AS6" s="524" t="s">
        <v>380</v>
      </c>
      <c r="AT6" s="523" t="s">
        <v>388</v>
      </c>
      <c r="AU6" s="523" t="s">
        <v>388</v>
      </c>
      <c r="AV6" s="524" t="s">
        <v>380</v>
      </c>
      <c r="AW6" s="523" t="s">
        <v>388</v>
      </c>
      <c r="AX6" s="523" t="s">
        <v>388</v>
      </c>
      <c r="AY6" s="524" t="s">
        <v>380</v>
      </c>
      <c r="AZ6" s="523" t="s">
        <v>388</v>
      </c>
      <c r="BA6" s="523" t="s">
        <v>388</v>
      </c>
      <c r="BB6" s="524" t="s">
        <v>380</v>
      </c>
      <c r="BC6" s="523" t="s">
        <v>388</v>
      </c>
      <c r="BD6" s="523" t="s">
        <v>388</v>
      </c>
      <c r="BE6" s="524" t="s">
        <v>380</v>
      </c>
      <c r="BF6" s="523" t="s">
        <v>388</v>
      </c>
      <c r="BG6" s="523" t="s">
        <v>388</v>
      </c>
      <c r="BH6" s="524" t="s">
        <v>380</v>
      </c>
      <c r="BI6" s="523" t="s">
        <v>388</v>
      </c>
      <c r="BJ6" s="523" t="s">
        <v>388</v>
      </c>
      <c r="BK6" s="524" t="s">
        <v>380</v>
      </c>
      <c r="BL6" s="523" t="s">
        <v>388</v>
      </c>
      <c r="BM6" s="523" t="s">
        <v>388</v>
      </c>
      <c r="BN6" s="524" t="s">
        <v>380</v>
      </c>
      <c r="BO6" s="523" t="s">
        <v>388</v>
      </c>
      <c r="BP6" s="528" t="s">
        <v>388</v>
      </c>
      <c r="BQ6" s="524" t="s">
        <v>380</v>
      </c>
      <c r="BR6" s="528" t="s">
        <v>388</v>
      </c>
      <c r="BS6" s="523" t="s">
        <v>388</v>
      </c>
      <c r="BT6" s="524" t="s">
        <v>380</v>
      </c>
      <c r="BU6" s="523" t="s">
        <v>388</v>
      </c>
      <c r="BV6" s="523" t="s">
        <v>388</v>
      </c>
      <c r="BW6" s="524" t="s">
        <v>380</v>
      </c>
      <c r="BX6" s="523" t="s">
        <v>388</v>
      </c>
      <c r="BY6" s="523" t="s">
        <v>388</v>
      </c>
      <c r="BZ6" s="524" t="s">
        <v>380</v>
      </c>
      <c r="CA6" s="523" t="s">
        <v>388</v>
      </c>
      <c r="CB6" s="523" t="s">
        <v>388</v>
      </c>
      <c r="CC6" s="524" t="s">
        <v>380</v>
      </c>
      <c r="CD6" s="523" t="s">
        <v>388</v>
      </c>
      <c r="CE6" s="528" t="s">
        <v>388</v>
      </c>
      <c r="CF6" s="524" t="s">
        <v>380</v>
      </c>
      <c r="CG6" s="528" t="s">
        <v>388</v>
      </c>
      <c r="CH6" s="809" t="s">
        <v>388</v>
      </c>
      <c r="CI6" s="524" t="s">
        <v>380</v>
      </c>
      <c r="CJ6" s="809" t="s">
        <v>388</v>
      </c>
      <c r="CK6" s="523" t="s">
        <v>388</v>
      </c>
      <c r="CL6" s="524" t="s">
        <v>380</v>
      </c>
      <c r="CM6" s="523" t="s">
        <v>388</v>
      </c>
      <c r="CN6" s="528" t="s">
        <v>388</v>
      </c>
      <c r="CO6" s="524" t="s">
        <v>380</v>
      </c>
      <c r="CP6" s="528" t="s">
        <v>388</v>
      </c>
      <c r="CQ6" s="528" t="s">
        <v>388</v>
      </c>
      <c r="CR6" s="524" t="s">
        <v>380</v>
      </c>
      <c r="CS6" s="528" t="s">
        <v>388</v>
      </c>
      <c r="CT6" s="523" t="s">
        <v>388</v>
      </c>
      <c r="CU6" s="524" t="s">
        <v>380</v>
      </c>
      <c r="CV6" s="523" t="s">
        <v>388</v>
      </c>
      <c r="CW6" s="523" t="s">
        <v>388</v>
      </c>
      <c r="CX6" s="524" t="s">
        <v>380</v>
      </c>
      <c r="CY6" s="523" t="s">
        <v>388</v>
      </c>
      <c r="CZ6" s="523" t="s">
        <v>388</v>
      </c>
      <c r="DA6" s="524" t="s">
        <v>380</v>
      </c>
      <c r="DB6" s="523" t="s">
        <v>388</v>
      </c>
      <c r="DC6" s="523" t="s">
        <v>388</v>
      </c>
      <c r="DD6" s="524" t="s">
        <v>380</v>
      </c>
      <c r="DE6" s="523" t="s">
        <v>388</v>
      </c>
      <c r="DF6" s="523" t="s">
        <v>388</v>
      </c>
      <c r="DG6" s="524" t="s">
        <v>380</v>
      </c>
      <c r="DH6" s="523" t="s">
        <v>388</v>
      </c>
      <c r="DI6" s="523" t="s">
        <v>388</v>
      </c>
      <c r="DJ6" s="524" t="s">
        <v>380</v>
      </c>
      <c r="DK6" s="523" t="s">
        <v>388</v>
      </c>
    </row>
    <row r="7" ht="15.0" customHeight="1">
      <c r="A7" s="53">
        <v>5.0</v>
      </c>
      <c r="B7" s="857" t="s">
        <v>493</v>
      </c>
      <c r="C7" s="857" t="s">
        <v>494</v>
      </c>
      <c r="D7" s="101" t="str">
        <f t="shared" si="1"/>
        <v>SITE</v>
      </c>
      <c r="E7" s="101" t="s">
        <v>85</v>
      </c>
      <c r="F7" s="102">
        <v>1103.0</v>
      </c>
      <c r="G7" s="517" t="s">
        <v>80</v>
      </c>
      <c r="H7" s="517">
        <v>1130.0</v>
      </c>
      <c r="I7" s="858" t="str">
        <f>IFERROR(VLOOKUP(C:C,'R22 RELATÓRIO ACC'!B:F,5,FALSE),"NOT PUBLISHED")</f>
        <v>NOT PUBLISHED</v>
      </c>
      <c r="J7" s="858" t="str">
        <f>IFERROR(VLOOKUP(C:C,'R22 RELATÓRIO ACC'!B:P,15,FALSE),"NOT PUBLISHED")</f>
        <v>NOT PUBLISHED</v>
      </c>
      <c r="K7" s="821" t="str">
        <f>IFERROR(VLOOKUP(B:B,'RELATÓRIO ACC'!B:F,5,FALSE),"NOT PUBLISHED")</f>
        <v>NOT PUBLISHED</v>
      </c>
      <c r="L7" s="822" t="str">
        <f>IFERROR(VLOOKUP(B:B,'RELATÓRIO ACC'!B:P,15,FALSE),"NOT PUBLISHED")</f>
        <v>NOT PUBLISHED</v>
      </c>
      <c r="M7" s="669" t="s">
        <v>388</v>
      </c>
      <c r="N7" s="669" t="s">
        <v>388</v>
      </c>
      <c r="O7" s="538" t="s">
        <v>388</v>
      </c>
      <c r="P7" s="587"/>
      <c r="Q7" s="550" t="s">
        <v>388</v>
      </c>
      <c r="R7" s="558" t="s">
        <v>380</v>
      </c>
      <c r="S7" s="550" t="s">
        <v>388</v>
      </c>
      <c r="T7" s="550" t="s">
        <v>388</v>
      </c>
      <c r="U7" s="558" t="s">
        <v>380</v>
      </c>
      <c r="V7" s="550" t="s">
        <v>388</v>
      </c>
      <c r="W7" s="550" t="s">
        <v>388</v>
      </c>
      <c r="X7" s="558" t="s">
        <v>380</v>
      </c>
      <c r="Y7" s="550" t="s">
        <v>388</v>
      </c>
      <c r="Z7" s="550" t="s">
        <v>388</v>
      </c>
      <c r="AA7" s="558" t="s">
        <v>380</v>
      </c>
      <c r="AB7" s="550" t="s">
        <v>388</v>
      </c>
      <c r="AC7" s="550" t="s">
        <v>388</v>
      </c>
      <c r="AD7" s="558" t="s">
        <v>380</v>
      </c>
      <c r="AE7" s="550" t="s">
        <v>388</v>
      </c>
      <c r="AF7" s="550" t="s">
        <v>388</v>
      </c>
      <c r="AG7" s="558" t="s">
        <v>380</v>
      </c>
      <c r="AH7" s="550" t="s">
        <v>388</v>
      </c>
      <c r="AI7" s="550" t="s">
        <v>388</v>
      </c>
      <c r="AJ7" s="558" t="s">
        <v>380</v>
      </c>
      <c r="AK7" s="550" t="s">
        <v>388</v>
      </c>
      <c r="AL7" s="550" t="s">
        <v>388</v>
      </c>
      <c r="AM7" s="558" t="s">
        <v>380</v>
      </c>
      <c r="AN7" s="550" t="s">
        <v>388</v>
      </c>
      <c r="AO7" s="550" t="s">
        <v>388</v>
      </c>
      <c r="AP7" s="558" t="s">
        <v>380</v>
      </c>
      <c r="AQ7" s="550" t="s">
        <v>388</v>
      </c>
      <c r="AR7" s="550" t="s">
        <v>388</v>
      </c>
      <c r="AS7" s="558" t="s">
        <v>380</v>
      </c>
      <c r="AT7" s="550" t="s">
        <v>388</v>
      </c>
      <c r="AU7" s="550" t="s">
        <v>388</v>
      </c>
      <c r="AV7" s="558" t="s">
        <v>380</v>
      </c>
      <c r="AW7" s="550" t="s">
        <v>388</v>
      </c>
      <c r="AX7" s="550" t="s">
        <v>388</v>
      </c>
      <c r="AY7" s="558" t="s">
        <v>380</v>
      </c>
      <c r="AZ7" s="550" t="s">
        <v>388</v>
      </c>
      <c r="BA7" s="550" t="s">
        <v>388</v>
      </c>
      <c r="BB7" s="558" t="s">
        <v>380</v>
      </c>
      <c r="BC7" s="550" t="s">
        <v>388</v>
      </c>
      <c r="BD7" s="550" t="s">
        <v>388</v>
      </c>
      <c r="BE7" s="558" t="s">
        <v>380</v>
      </c>
      <c r="BF7" s="550" t="s">
        <v>388</v>
      </c>
      <c r="BG7" s="550" t="s">
        <v>388</v>
      </c>
      <c r="BH7" s="558" t="s">
        <v>380</v>
      </c>
      <c r="BI7" s="550" t="s">
        <v>388</v>
      </c>
      <c r="BJ7" s="550" t="s">
        <v>388</v>
      </c>
      <c r="BK7" s="558" t="s">
        <v>380</v>
      </c>
      <c r="BL7" s="550" t="s">
        <v>388</v>
      </c>
      <c r="BM7" s="550" t="s">
        <v>388</v>
      </c>
      <c r="BN7" s="558" t="s">
        <v>380</v>
      </c>
      <c r="BO7" s="550" t="s">
        <v>388</v>
      </c>
      <c r="BP7" s="550" t="s">
        <v>388</v>
      </c>
      <c r="BQ7" s="558" t="s">
        <v>380</v>
      </c>
      <c r="BR7" s="550" t="s">
        <v>388</v>
      </c>
      <c r="BS7" s="550" t="s">
        <v>388</v>
      </c>
      <c r="BT7" s="558" t="s">
        <v>380</v>
      </c>
      <c r="BU7" s="550" t="s">
        <v>388</v>
      </c>
      <c r="BV7" s="550" t="s">
        <v>388</v>
      </c>
      <c r="BW7" s="558" t="s">
        <v>380</v>
      </c>
      <c r="BX7" s="550" t="s">
        <v>388</v>
      </c>
      <c r="BY7" s="550" t="s">
        <v>388</v>
      </c>
      <c r="BZ7" s="558" t="s">
        <v>380</v>
      </c>
      <c r="CA7" s="550" t="s">
        <v>388</v>
      </c>
      <c r="CB7" s="550" t="s">
        <v>388</v>
      </c>
      <c r="CC7" s="558" t="s">
        <v>380</v>
      </c>
      <c r="CD7" s="550" t="s">
        <v>388</v>
      </c>
      <c r="CE7" s="550" t="s">
        <v>388</v>
      </c>
      <c r="CF7" s="558" t="s">
        <v>380</v>
      </c>
      <c r="CG7" s="550" t="s">
        <v>388</v>
      </c>
      <c r="CH7" s="550" t="s">
        <v>388</v>
      </c>
      <c r="CI7" s="558" t="s">
        <v>380</v>
      </c>
      <c r="CJ7" s="550" t="s">
        <v>388</v>
      </c>
      <c r="CK7" s="550" t="s">
        <v>388</v>
      </c>
      <c r="CL7" s="558" t="s">
        <v>380</v>
      </c>
      <c r="CM7" s="550" t="s">
        <v>388</v>
      </c>
      <c r="CN7" s="550" t="s">
        <v>388</v>
      </c>
      <c r="CO7" s="558" t="s">
        <v>380</v>
      </c>
      <c r="CP7" s="550" t="s">
        <v>388</v>
      </c>
      <c r="CQ7" s="528" t="s">
        <v>388</v>
      </c>
      <c r="CR7" s="558" t="s">
        <v>380</v>
      </c>
      <c r="CS7" s="528" t="s">
        <v>388</v>
      </c>
      <c r="CT7" s="528" t="s">
        <v>388</v>
      </c>
      <c r="CU7" s="558" t="s">
        <v>380</v>
      </c>
      <c r="CV7" s="528" t="s">
        <v>388</v>
      </c>
      <c r="CW7" s="528" t="s">
        <v>388</v>
      </c>
      <c r="CX7" s="558" t="s">
        <v>380</v>
      </c>
      <c r="CY7" s="528" t="s">
        <v>388</v>
      </c>
      <c r="CZ7" s="528" t="s">
        <v>388</v>
      </c>
      <c r="DA7" s="558" t="s">
        <v>380</v>
      </c>
      <c r="DB7" s="528" t="s">
        <v>388</v>
      </c>
      <c r="DC7" s="528" t="s">
        <v>388</v>
      </c>
      <c r="DD7" s="558" t="s">
        <v>380</v>
      </c>
      <c r="DE7" s="528" t="s">
        <v>388</v>
      </c>
      <c r="DF7" s="528" t="s">
        <v>388</v>
      </c>
      <c r="DG7" s="558" t="s">
        <v>380</v>
      </c>
      <c r="DH7" s="528" t="s">
        <v>388</v>
      </c>
      <c r="DI7" s="528" t="s">
        <v>388</v>
      </c>
      <c r="DJ7" s="558" t="s">
        <v>380</v>
      </c>
      <c r="DK7" s="528" t="s">
        <v>388</v>
      </c>
    </row>
    <row r="8" ht="15.0" customHeight="1">
      <c r="A8" s="53">
        <v>3.0</v>
      </c>
      <c r="B8" s="857" t="s">
        <v>495</v>
      </c>
      <c r="C8" s="857" t="s">
        <v>496</v>
      </c>
      <c r="D8" s="101" t="str">
        <f t="shared" si="1"/>
        <v>SITE</v>
      </c>
      <c r="E8" s="552" t="s">
        <v>392</v>
      </c>
      <c r="F8" s="111">
        <v>1111.0</v>
      </c>
      <c r="G8" s="517" t="s">
        <v>80</v>
      </c>
      <c r="H8" s="517">
        <v>1130.0</v>
      </c>
      <c r="I8" s="858" t="str">
        <f>IFERROR(VLOOKUP(C:C,'R22 RELATÓRIO ACC'!B:F,5,FALSE),"NOT PUBLISHED")</f>
        <v>NOT PUBLISHED</v>
      </c>
      <c r="J8" s="858" t="str">
        <f>IFERROR(VLOOKUP(C:C,'R22 RELATÓRIO ACC'!B:P,15,FALSE),"NOT PUBLISHED")</f>
        <v>NOT PUBLISHED</v>
      </c>
      <c r="K8" s="821" t="str">
        <f>IFERROR(VLOOKUP(B:B,'RELATÓRIO ACC'!B:F,5,FALSE),"NOT PUBLISHED")</f>
        <v>NOT PUBLISHED</v>
      </c>
      <c r="L8" s="822" t="str">
        <f>IFERROR(VLOOKUP(B:B,'RELATÓRIO ACC'!B:P,15,FALSE),"NOT PUBLISHED")</f>
        <v>NOT PUBLISHED</v>
      </c>
      <c r="M8" s="552" t="s">
        <v>388</v>
      </c>
      <c r="N8" s="745" t="s">
        <v>388</v>
      </c>
      <c r="O8" s="538" t="s">
        <v>388</v>
      </c>
      <c r="P8" s="587"/>
      <c r="Q8" s="523" t="s">
        <v>388</v>
      </c>
      <c r="R8" s="524" t="s">
        <v>380</v>
      </c>
      <c r="S8" s="543" t="s">
        <v>388</v>
      </c>
      <c r="T8" s="523" t="s">
        <v>388</v>
      </c>
      <c r="U8" s="558" t="s">
        <v>380</v>
      </c>
      <c r="V8" s="543" t="s">
        <v>388</v>
      </c>
      <c r="W8" s="523" t="s">
        <v>388</v>
      </c>
      <c r="X8" s="524" t="s">
        <v>380</v>
      </c>
      <c r="Y8" s="523" t="s">
        <v>388</v>
      </c>
      <c r="Z8" s="523" t="s">
        <v>388</v>
      </c>
      <c r="AA8" s="524" t="s">
        <v>380</v>
      </c>
      <c r="AB8" s="523" t="s">
        <v>388</v>
      </c>
      <c r="AC8" s="523" t="s">
        <v>388</v>
      </c>
      <c r="AD8" s="524" t="s">
        <v>380</v>
      </c>
      <c r="AE8" s="523" t="s">
        <v>388</v>
      </c>
      <c r="AF8" s="523" t="s">
        <v>388</v>
      </c>
      <c r="AG8" s="524" t="s">
        <v>380</v>
      </c>
      <c r="AH8" s="523" t="s">
        <v>388</v>
      </c>
      <c r="AI8" s="523" t="s">
        <v>388</v>
      </c>
      <c r="AJ8" s="524" t="s">
        <v>380</v>
      </c>
      <c r="AK8" s="523" t="s">
        <v>388</v>
      </c>
      <c r="AL8" s="523" t="s">
        <v>388</v>
      </c>
      <c r="AM8" s="524" t="s">
        <v>380</v>
      </c>
      <c r="AN8" s="523" t="s">
        <v>388</v>
      </c>
      <c r="AO8" s="523" t="s">
        <v>388</v>
      </c>
      <c r="AP8" s="524" t="s">
        <v>380</v>
      </c>
      <c r="AQ8" s="523" t="s">
        <v>388</v>
      </c>
      <c r="AR8" s="523" t="s">
        <v>388</v>
      </c>
      <c r="AS8" s="524" t="s">
        <v>380</v>
      </c>
      <c r="AT8" s="523" t="s">
        <v>388</v>
      </c>
      <c r="AU8" s="523" t="s">
        <v>388</v>
      </c>
      <c r="AV8" s="524" t="s">
        <v>380</v>
      </c>
      <c r="AW8" s="523" t="s">
        <v>388</v>
      </c>
      <c r="AX8" s="523" t="s">
        <v>388</v>
      </c>
      <c r="AY8" s="524" t="s">
        <v>380</v>
      </c>
      <c r="AZ8" s="523" t="s">
        <v>388</v>
      </c>
      <c r="BA8" s="523" t="s">
        <v>388</v>
      </c>
      <c r="BB8" s="524" t="s">
        <v>380</v>
      </c>
      <c r="BC8" s="523" t="s">
        <v>388</v>
      </c>
      <c r="BD8" s="523" t="s">
        <v>388</v>
      </c>
      <c r="BE8" s="524" t="s">
        <v>380</v>
      </c>
      <c r="BF8" s="523" t="s">
        <v>388</v>
      </c>
      <c r="BG8" s="523" t="s">
        <v>388</v>
      </c>
      <c r="BH8" s="524" t="s">
        <v>380</v>
      </c>
      <c r="BI8" s="523" t="s">
        <v>388</v>
      </c>
      <c r="BJ8" s="523" t="s">
        <v>388</v>
      </c>
      <c r="BK8" s="524" t="s">
        <v>380</v>
      </c>
      <c r="BL8" s="523" t="s">
        <v>388</v>
      </c>
      <c r="BM8" s="523" t="s">
        <v>388</v>
      </c>
      <c r="BN8" s="524" t="s">
        <v>380</v>
      </c>
      <c r="BO8" s="528" t="s">
        <v>388</v>
      </c>
      <c r="BP8" s="528" t="s">
        <v>388</v>
      </c>
      <c r="BQ8" s="524" t="s">
        <v>380</v>
      </c>
      <c r="BR8" s="528" t="s">
        <v>388</v>
      </c>
      <c r="BS8" s="528" t="s">
        <v>388</v>
      </c>
      <c r="BT8" s="524" t="s">
        <v>380</v>
      </c>
      <c r="BU8" s="523" t="s">
        <v>388</v>
      </c>
      <c r="BV8" s="523" t="s">
        <v>388</v>
      </c>
      <c r="BW8" s="524" t="s">
        <v>380</v>
      </c>
      <c r="BX8" s="523" t="s">
        <v>388</v>
      </c>
      <c r="BY8" s="523" t="s">
        <v>388</v>
      </c>
      <c r="BZ8" s="524" t="s">
        <v>380</v>
      </c>
      <c r="CA8" s="523" t="s">
        <v>388</v>
      </c>
      <c r="CB8" s="523" t="s">
        <v>388</v>
      </c>
      <c r="CC8" s="524" t="s">
        <v>380</v>
      </c>
      <c r="CD8" s="523" t="s">
        <v>388</v>
      </c>
      <c r="CE8" s="523" t="s">
        <v>388</v>
      </c>
      <c r="CF8" s="524" t="s">
        <v>380</v>
      </c>
      <c r="CG8" s="523" t="s">
        <v>388</v>
      </c>
      <c r="CH8" s="523" t="s">
        <v>388</v>
      </c>
      <c r="CI8" s="524" t="s">
        <v>380</v>
      </c>
      <c r="CJ8" s="523" t="s">
        <v>388</v>
      </c>
      <c r="CK8" s="523" t="s">
        <v>388</v>
      </c>
      <c r="CL8" s="524" t="s">
        <v>380</v>
      </c>
      <c r="CM8" s="523" t="s">
        <v>388</v>
      </c>
      <c r="CN8" s="523" t="s">
        <v>388</v>
      </c>
      <c r="CO8" s="524" t="s">
        <v>380</v>
      </c>
      <c r="CP8" s="523" t="s">
        <v>388</v>
      </c>
      <c r="CQ8" s="523" t="s">
        <v>388</v>
      </c>
      <c r="CR8" s="524" t="s">
        <v>380</v>
      </c>
      <c r="CS8" s="523" t="s">
        <v>388</v>
      </c>
      <c r="CT8" s="523" t="s">
        <v>388</v>
      </c>
      <c r="CU8" s="524" t="s">
        <v>380</v>
      </c>
      <c r="CV8" s="523" t="s">
        <v>388</v>
      </c>
      <c r="CW8" s="523" t="s">
        <v>388</v>
      </c>
      <c r="CX8" s="524" t="s">
        <v>380</v>
      </c>
      <c r="CY8" s="523" t="s">
        <v>388</v>
      </c>
      <c r="CZ8" s="523" t="s">
        <v>388</v>
      </c>
      <c r="DA8" s="524" t="s">
        <v>380</v>
      </c>
      <c r="DB8" s="523" t="s">
        <v>388</v>
      </c>
      <c r="DC8" s="523" t="s">
        <v>388</v>
      </c>
      <c r="DD8" s="524" t="s">
        <v>380</v>
      </c>
      <c r="DE8" s="523" t="s">
        <v>388</v>
      </c>
      <c r="DF8" s="523" t="s">
        <v>388</v>
      </c>
      <c r="DG8" s="524" t="s">
        <v>380</v>
      </c>
      <c r="DH8" s="523" t="s">
        <v>388</v>
      </c>
      <c r="DI8" s="523" t="s">
        <v>388</v>
      </c>
      <c r="DJ8" s="524" t="s">
        <v>380</v>
      </c>
      <c r="DK8" s="523" t="s">
        <v>388</v>
      </c>
    </row>
    <row r="9" ht="16.5" customHeight="1">
      <c r="A9" s="53">
        <v>14.0</v>
      </c>
      <c r="B9" s="857" t="s">
        <v>137</v>
      </c>
      <c r="C9" s="857" t="s">
        <v>138</v>
      </c>
      <c r="D9" s="101" t="str">
        <f t="shared" si="1"/>
        <v>SITE</v>
      </c>
      <c r="E9" s="101" t="s">
        <v>105</v>
      </c>
      <c r="F9" s="115">
        <v>0.0</v>
      </c>
      <c r="G9" s="535" t="s">
        <v>105</v>
      </c>
      <c r="H9" s="535"/>
      <c r="I9" s="858" t="str">
        <f>IFERROR(VLOOKUP(C:C,'R22 RELATÓRIO ACC'!B:F,5,FALSE),"NOT PUBLISHED")</f>
        <v>NOT PUBLISHED</v>
      </c>
      <c r="J9" s="858" t="str">
        <f>IFERROR(VLOOKUP(C:C,'R22 RELATÓRIO ACC'!B:P,15,FALSE),"NOT PUBLISHED")</f>
        <v>NOT PUBLISHED</v>
      </c>
      <c r="K9" s="821" t="str">
        <f>IFERROR(VLOOKUP(B:B,'RELATÓRIO ACC'!B:F,5,FALSE),"NOT PUBLISHED")</f>
        <v>NOT PUBLISHED</v>
      </c>
      <c r="L9" s="822" t="str">
        <f>IFERROR(VLOOKUP(B:B,'RELATÓRIO ACC'!B:P,15,FALSE),"NOT PUBLISHED")</f>
        <v>NOT PUBLISHED</v>
      </c>
      <c r="M9" s="552" t="s">
        <v>388</v>
      </c>
      <c r="N9" s="745" t="s">
        <v>388</v>
      </c>
      <c r="O9" s="538" t="s">
        <v>388</v>
      </c>
      <c r="P9" s="587"/>
      <c r="Q9" s="523" t="s">
        <v>388</v>
      </c>
      <c r="R9" s="558" t="s">
        <v>380</v>
      </c>
      <c r="S9" s="523" t="s">
        <v>388</v>
      </c>
      <c r="T9" s="523" t="s">
        <v>388</v>
      </c>
      <c r="U9" s="558" t="s">
        <v>380</v>
      </c>
      <c r="V9" s="543" t="s">
        <v>388</v>
      </c>
      <c r="W9" s="523" t="s">
        <v>388</v>
      </c>
      <c r="X9" s="524" t="s">
        <v>380</v>
      </c>
      <c r="Y9" s="523" t="s">
        <v>388</v>
      </c>
      <c r="Z9" s="523" t="s">
        <v>388</v>
      </c>
      <c r="AA9" s="524" t="s">
        <v>380</v>
      </c>
      <c r="AB9" s="523" t="s">
        <v>388</v>
      </c>
      <c r="AC9" s="523" t="s">
        <v>388</v>
      </c>
      <c r="AD9" s="524" t="s">
        <v>380</v>
      </c>
      <c r="AE9" s="523" t="s">
        <v>388</v>
      </c>
      <c r="AF9" s="523" t="s">
        <v>388</v>
      </c>
      <c r="AG9" s="524" t="s">
        <v>380</v>
      </c>
      <c r="AH9" s="523" t="s">
        <v>388</v>
      </c>
      <c r="AI9" s="523" t="s">
        <v>388</v>
      </c>
      <c r="AJ9" s="524" t="s">
        <v>380</v>
      </c>
      <c r="AK9" s="523" t="s">
        <v>388</v>
      </c>
      <c r="AL9" s="523" t="s">
        <v>388</v>
      </c>
      <c r="AM9" s="524" t="s">
        <v>380</v>
      </c>
      <c r="AN9" s="523" t="s">
        <v>388</v>
      </c>
      <c r="AO9" s="523" t="s">
        <v>388</v>
      </c>
      <c r="AP9" s="524" t="s">
        <v>380</v>
      </c>
      <c r="AQ9" s="523" t="s">
        <v>388</v>
      </c>
      <c r="AR9" s="523" t="s">
        <v>388</v>
      </c>
      <c r="AS9" s="524" t="s">
        <v>380</v>
      </c>
      <c r="AT9" s="523" t="s">
        <v>388</v>
      </c>
      <c r="AU9" s="523" t="s">
        <v>388</v>
      </c>
      <c r="AV9" s="524" t="s">
        <v>380</v>
      </c>
      <c r="AW9" s="523" t="s">
        <v>388</v>
      </c>
      <c r="AX9" s="523" t="s">
        <v>388</v>
      </c>
      <c r="AY9" s="524" t="s">
        <v>380</v>
      </c>
      <c r="AZ9" s="523" t="s">
        <v>388</v>
      </c>
      <c r="BA9" s="523" t="s">
        <v>388</v>
      </c>
      <c r="BB9" s="524" t="s">
        <v>380</v>
      </c>
      <c r="BC9" s="523" t="s">
        <v>388</v>
      </c>
      <c r="BD9" s="523" t="s">
        <v>388</v>
      </c>
      <c r="BE9" s="524" t="s">
        <v>380</v>
      </c>
      <c r="BF9" s="523" t="s">
        <v>388</v>
      </c>
      <c r="BG9" s="523" t="s">
        <v>388</v>
      </c>
      <c r="BH9" s="524" t="s">
        <v>380</v>
      </c>
      <c r="BI9" s="523" t="s">
        <v>388</v>
      </c>
      <c r="BJ9" s="861" t="s">
        <v>388</v>
      </c>
      <c r="BK9" s="524" t="s">
        <v>380</v>
      </c>
      <c r="BL9" s="861" t="s">
        <v>388</v>
      </c>
      <c r="BM9" s="523" t="s">
        <v>388</v>
      </c>
      <c r="BN9" s="524" t="s">
        <v>380</v>
      </c>
      <c r="BO9" s="523" t="s">
        <v>388</v>
      </c>
      <c r="BP9" s="523" t="s">
        <v>388</v>
      </c>
      <c r="BQ9" s="524" t="s">
        <v>380</v>
      </c>
      <c r="BR9" s="523" t="s">
        <v>388</v>
      </c>
      <c r="BS9" s="528" t="s">
        <v>388</v>
      </c>
      <c r="BT9" s="524" t="s">
        <v>380</v>
      </c>
      <c r="BU9" s="523" t="s">
        <v>388</v>
      </c>
      <c r="BV9" s="528" t="s">
        <v>388</v>
      </c>
      <c r="BW9" s="524" t="s">
        <v>380</v>
      </c>
      <c r="BX9" s="528" t="s">
        <v>388</v>
      </c>
      <c r="BY9" s="523" t="s">
        <v>388</v>
      </c>
      <c r="BZ9" s="524" t="s">
        <v>380</v>
      </c>
      <c r="CA9" s="523" t="s">
        <v>388</v>
      </c>
      <c r="CB9" s="523" t="s">
        <v>388</v>
      </c>
      <c r="CC9" s="524" t="s">
        <v>380</v>
      </c>
      <c r="CD9" s="523" t="s">
        <v>388</v>
      </c>
      <c r="CE9" s="523" t="s">
        <v>388</v>
      </c>
      <c r="CF9" s="524" t="s">
        <v>380</v>
      </c>
      <c r="CG9" s="523" t="s">
        <v>388</v>
      </c>
      <c r="CH9" s="523" t="s">
        <v>388</v>
      </c>
      <c r="CI9" s="524" t="s">
        <v>380</v>
      </c>
      <c r="CJ9" s="523" t="s">
        <v>388</v>
      </c>
      <c r="CK9" s="809" t="s">
        <v>388</v>
      </c>
      <c r="CL9" s="524" t="s">
        <v>380</v>
      </c>
      <c r="CM9" s="523" t="s">
        <v>388</v>
      </c>
      <c r="CN9" s="523" t="s">
        <v>388</v>
      </c>
      <c r="CO9" s="524" t="s">
        <v>380</v>
      </c>
      <c r="CP9" s="523" t="s">
        <v>388</v>
      </c>
      <c r="CQ9" s="523" t="s">
        <v>388</v>
      </c>
      <c r="CR9" s="524" t="s">
        <v>380</v>
      </c>
      <c r="CS9" s="523" t="s">
        <v>388</v>
      </c>
      <c r="CT9" s="523" t="s">
        <v>388</v>
      </c>
      <c r="CU9" s="524" t="s">
        <v>380</v>
      </c>
      <c r="CV9" s="523" t="s">
        <v>388</v>
      </c>
      <c r="CW9" s="523" t="s">
        <v>388</v>
      </c>
      <c r="CX9" s="524" t="s">
        <v>380</v>
      </c>
      <c r="CY9" s="523" t="s">
        <v>388</v>
      </c>
      <c r="CZ9" s="523" t="s">
        <v>388</v>
      </c>
      <c r="DA9" s="524" t="s">
        <v>380</v>
      </c>
      <c r="DB9" s="523" t="s">
        <v>388</v>
      </c>
      <c r="DC9" s="523" t="s">
        <v>388</v>
      </c>
      <c r="DD9" s="524" t="s">
        <v>380</v>
      </c>
      <c r="DE9" s="523" t="s">
        <v>388</v>
      </c>
      <c r="DF9" s="523" t="s">
        <v>388</v>
      </c>
      <c r="DG9" s="524" t="s">
        <v>380</v>
      </c>
      <c r="DH9" s="523" t="s">
        <v>388</v>
      </c>
      <c r="DI9" s="523" t="s">
        <v>388</v>
      </c>
      <c r="DJ9" s="524" t="s">
        <v>380</v>
      </c>
      <c r="DK9" s="523" t="s">
        <v>388</v>
      </c>
    </row>
    <row r="10" ht="15.0" customHeight="1">
      <c r="A10" s="53">
        <v>13.0</v>
      </c>
      <c r="B10" s="857" t="s">
        <v>134</v>
      </c>
      <c r="C10" s="857" t="s">
        <v>135</v>
      </c>
      <c r="D10" s="101" t="str">
        <f t="shared" si="1"/>
        <v>SITE</v>
      </c>
      <c r="E10" s="111" t="s">
        <v>136</v>
      </c>
      <c r="F10" s="115">
        <v>0.0</v>
      </c>
      <c r="G10" s="535" t="s">
        <v>105</v>
      </c>
      <c r="H10" s="535"/>
      <c r="I10" s="858" t="str">
        <f>IFERROR(VLOOKUP(C:C,'R22 RELATÓRIO ACC'!B:F,5,FALSE),"NOT PUBLISHED")</f>
        <v>NOT PUBLISHED</v>
      </c>
      <c r="J10" s="858" t="str">
        <f>IFERROR(VLOOKUP(C:C,'R22 RELATÓRIO ACC'!B:P,15,FALSE),"NOT PUBLISHED")</f>
        <v>NOT PUBLISHED</v>
      </c>
      <c r="K10" s="821" t="str">
        <f>IFERROR(VLOOKUP(B:B,'RELATÓRIO ACC'!B:F,5,FALSE),"NOT PUBLISHED")</f>
        <v>NOT PUBLISHED</v>
      </c>
      <c r="L10" s="822" t="str">
        <f>IFERROR(VLOOKUP(B:B,'RELATÓRIO ACC'!B:P,15,FALSE),"NOT PUBLISHED")</f>
        <v>NOT PUBLISHED</v>
      </c>
      <c r="M10" s="552" t="s">
        <v>388</v>
      </c>
      <c r="N10" s="745" t="s">
        <v>388</v>
      </c>
      <c r="O10" s="538" t="s">
        <v>388</v>
      </c>
      <c r="P10" s="587"/>
      <c r="Q10" s="523" t="s">
        <v>388</v>
      </c>
      <c r="R10" s="524" t="s">
        <v>380</v>
      </c>
      <c r="S10" s="523" t="s">
        <v>388</v>
      </c>
      <c r="T10" s="523" t="s">
        <v>388</v>
      </c>
      <c r="U10" s="524" t="s">
        <v>380</v>
      </c>
      <c r="V10" s="523" t="s">
        <v>388</v>
      </c>
      <c r="W10" s="523" t="s">
        <v>388</v>
      </c>
      <c r="X10" s="524" t="s">
        <v>380</v>
      </c>
      <c r="Y10" s="523" t="s">
        <v>388</v>
      </c>
      <c r="Z10" s="523" t="s">
        <v>388</v>
      </c>
      <c r="AA10" s="524" t="s">
        <v>380</v>
      </c>
      <c r="AB10" s="523" t="s">
        <v>388</v>
      </c>
      <c r="AC10" s="523" t="s">
        <v>388</v>
      </c>
      <c r="AD10" s="524" t="s">
        <v>380</v>
      </c>
      <c r="AE10" s="523" t="s">
        <v>388</v>
      </c>
      <c r="AF10" s="523" t="s">
        <v>388</v>
      </c>
      <c r="AG10" s="524" t="s">
        <v>380</v>
      </c>
      <c r="AH10" s="523" t="s">
        <v>388</v>
      </c>
      <c r="AI10" s="523" t="s">
        <v>388</v>
      </c>
      <c r="AJ10" s="524" t="s">
        <v>380</v>
      </c>
      <c r="AK10" s="523" t="s">
        <v>388</v>
      </c>
      <c r="AL10" s="523" t="s">
        <v>388</v>
      </c>
      <c r="AM10" s="524" t="s">
        <v>380</v>
      </c>
      <c r="AN10" s="523" t="s">
        <v>388</v>
      </c>
      <c r="AO10" s="523" t="s">
        <v>388</v>
      </c>
      <c r="AP10" s="524" t="s">
        <v>380</v>
      </c>
      <c r="AQ10" s="523" t="s">
        <v>388</v>
      </c>
      <c r="AR10" s="523" t="s">
        <v>388</v>
      </c>
      <c r="AS10" s="524" t="s">
        <v>380</v>
      </c>
      <c r="AT10" s="523" t="s">
        <v>388</v>
      </c>
      <c r="AU10" s="523" t="s">
        <v>388</v>
      </c>
      <c r="AV10" s="524" t="s">
        <v>380</v>
      </c>
      <c r="AW10" s="523" t="s">
        <v>388</v>
      </c>
      <c r="AX10" s="523" t="s">
        <v>388</v>
      </c>
      <c r="AY10" s="524" t="s">
        <v>380</v>
      </c>
      <c r="AZ10" s="523" t="s">
        <v>388</v>
      </c>
      <c r="BA10" s="523" t="s">
        <v>388</v>
      </c>
      <c r="BB10" s="524" t="s">
        <v>380</v>
      </c>
      <c r="BC10" s="523" t="s">
        <v>388</v>
      </c>
      <c r="BD10" s="523" t="s">
        <v>388</v>
      </c>
      <c r="BE10" s="524" t="s">
        <v>380</v>
      </c>
      <c r="BF10" s="523" t="s">
        <v>388</v>
      </c>
      <c r="BG10" s="523" t="s">
        <v>388</v>
      </c>
      <c r="BH10" s="524" t="s">
        <v>380</v>
      </c>
      <c r="BI10" s="523" t="s">
        <v>388</v>
      </c>
      <c r="BJ10" s="523" t="s">
        <v>388</v>
      </c>
      <c r="BK10" s="524" t="s">
        <v>380</v>
      </c>
      <c r="BL10" s="523" t="s">
        <v>388</v>
      </c>
      <c r="BM10" s="523" t="s">
        <v>388</v>
      </c>
      <c r="BN10" s="524" t="s">
        <v>380</v>
      </c>
      <c r="BO10" s="523" t="s">
        <v>388</v>
      </c>
      <c r="BP10" s="523" t="s">
        <v>388</v>
      </c>
      <c r="BQ10" s="524" t="s">
        <v>380</v>
      </c>
      <c r="BR10" s="523" t="s">
        <v>388</v>
      </c>
      <c r="BS10" s="528" t="s">
        <v>388</v>
      </c>
      <c r="BT10" s="524" t="s">
        <v>380</v>
      </c>
      <c r="BU10" s="523" t="s">
        <v>388</v>
      </c>
      <c r="BV10" s="528" t="s">
        <v>388</v>
      </c>
      <c r="BW10" s="524" t="s">
        <v>380</v>
      </c>
      <c r="BX10" s="528" t="s">
        <v>388</v>
      </c>
      <c r="BY10" s="523" t="s">
        <v>388</v>
      </c>
      <c r="BZ10" s="524" t="s">
        <v>380</v>
      </c>
      <c r="CA10" s="523" t="s">
        <v>388</v>
      </c>
      <c r="CB10" s="523" t="s">
        <v>388</v>
      </c>
      <c r="CC10" s="524" t="s">
        <v>380</v>
      </c>
      <c r="CD10" s="523" t="s">
        <v>388</v>
      </c>
      <c r="CE10" s="523" t="s">
        <v>388</v>
      </c>
      <c r="CF10" s="524" t="s">
        <v>380</v>
      </c>
      <c r="CG10" s="523" t="s">
        <v>388</v>
      </c>
      <c r="CH10" s="523" t="s">
        <v>388</v>
      </c>
      <c r="CI10" s="524" t="s">
        <v>380</v>
      </c>
      <c r="CJ10" s="523" t="s">
        <v>388</v>
      </c>
      <c r="CK10" s="809" t="s">
        <v>388</v>
      </c>
      <c r="CL10" s="524" t="s">
        <v>380</v>
      </c>
      <c r="CM10" s="809" t="s">
        <v>388</v>
      </c>
      <c r="CN10" s="809" t="s">
        <v>388</v>
      </c>
      <c r="CO10" s="524" t="s">
        <v>380</v>
      </c>
      <c r="CP10" s="809" t="s">
        <v>388</v>
      </c>
      <c r="CQ10" s="809" t="s">
        <v>388</v>
      </c>
      <c r="CR10" s="524" t="s">
        <v>380</v>
      </c>
      <c r="CS10" s="809" t="s">
        <v>388</v>
      </c>
      <c r="CT10" s="809" t="s">
        <v>388</v>
      </c>
      <c r="CU10" s="524" t="s">
        <v>380</v>
      </c>
      <c r="CV10" s="809" t="s">
        <v>388</v>
      </c>
      <c r="CW10" s="809" t="s">
        <v>388</v>
      </c>
      <c r="CX10" s="524" t="s">
        <v>380</v>
      </c>
      <c r="CY10" s="809" t="s">
        <v>388</v>
      </c>
      <c r="CZ10" s="809" t="s">
        <v>388</v>
      </c>
      <c r="DA10" s="524" t="s">
        <v>380</v>
      </c>
      <c r="DB10" s="809" t="s">
        <v>388</v>
      </c>
      <c r="DC10" s="809" t="s">
        <v>388</v>
      </c>
      <c r="DD10" s="524" t="s">
        <v>380</v>
      </c>
      <c r="DE10" s="809" t="s">
        <v>388</v>
      </c>
      <c r="DF10" s="809" t="s">
        <v>388</v>
      </c>
      <c r="DG10" s="524" t="s">
        <v>380</v>
      </c>
      <c r="DH10" s="809" t="s">
        <v>388</v>
      </c>
      <c r="DI10" s="809" t="s">
        <v>388</v>
      </c>
      <c r="DJ10" s="524" t="s">
        <v>380</v>
      </c>
      <c r="DK10" s="809" t="s">
        <v>388</v>
      </c>
    </row>
    <row r="11" ht="15.0" customHeight="1">
      <c r="A11" s="53">
        <v>10.0</v>
      </c>
      <c r="B11" s="857" t="s">
        <v>110</v>
      </c>
      <c r="C11" s="857" t="s">
        <v>111</v>
      </c>
      <c r="D11" s="101" t="str">
        <f t="shared" si="1"/>
        <v>SITE</v>
      </c>
      <c r="E11" s="101" t="s">
        <v>108</v>
      </c>
      <c r="F11" s="115">
        <v>1107.0</v>
      </c>
      <c r="G11" s="534" t="s">
        <v>109</v>
      </c>
      <c r="H11" s="535">
        <v>0.0</v>
      </c>
      <c r="I11" s="858" t="str">
        <f>IFERROR(VLOOKUP(C:C,'R22 RELATÓRIO ACC'!B:F,5,FALSE),"NOT PUBLISHED")</f>
        <v>NOT PUBLISHED</v>
      </c>
      <c r="J11" s="858" t="str">
        <f>IFERROR(VLOOKUP(C:C,'R22 RELATÓRIO ACC'!B:P,15,FALSE),"NOT PUBLISHED")</f>
        <v>NOT PUBLISHED</v>
      </c>
      <c r="K11" s="821" t="str">
        <f>IFERROR(VLOOKUP(B:B,'RELATÓRIO ACC'!B:F,5,FALSE),"NOT PUBLISHED")</f>
        <v>NOT PUBLISHED</v>
      </c>
      <c r="L11" s="822" t="str">
        <f>IFERROR(VLOOKUP(B:B,'RELATÓRIO ACC'!B:P,15,FALSE),"NOT PUBLISHED")</f>
        <v>NOT PUBLISHED</v>
      </c>
      <c r="M11" s="552" t="s">
        <v>388</v>
      </c>
      <c r="N11" s="552" t="s">
        <v>388</v>
      </c>
      <c r="O11" s="538" t="s">
        <v>388</v>
      </c>
      <c r="P11" s="587"/>
      <c r="Q11" s="523" t="s">
        <v>388</v>
      </c>
      <c r="R11" s="524" t="s">
        <v>380</v>
      </c>
      <c r="S11" s="523" t="s">
        <v>388</v>
      </c>
      <c r="T11" s="523" t="s">
        <v>388</v>
      </c>
      <c r="U11" s="524" t="s">
        <v>380</v>
      </c>
      <c r="V11" s="523" t="s">
        <v>388</v>
      </c>
      <c r="W11" s="523" t="s">
        <v>388</v>
      </c>
      <c r="X11" s="524" t="s">
        <v>380</v>
      </c>
      <c r="Y11" s="523" t="s">
        <v>388</v>
      </c>
      <c r="Z11" s="523" t="s">
        <v>388</v>
      </c>
      <c r="AA11" s="524" t="s">
        <v>380</v>
      </c>
      <c r="AB11" s="523" t="s">
        <v>388</v>
      </c>
      <c r="AC11" s="523" t="s">
        <v>388</v>
      </c>
      <c r="AD11" s="524" t="s">
        <v>380</v>
      </c>
      <c r="AE11" s="523" t="s">
        <v>388</v>
      </c>
      <c r="AF11" s="523" t="s">
        <v>388</v>
      </c>
      <c r="AG11" s="524" t="s">
        <v>380</v>
      </c>
      <c r="AH11" s="523" t="s">
        <v>388</v>
      </c>
      <c r="AI11" s="523" t="s">
        <v>388</v>
      </c>
      <c r="AJ11" s="524" t="s">
        <v>380</v>
      </c>
      <c r="AK11" s="523" t="s">
        <v>388</v>
      </c>
      <c r="AL11" s="523" t="s">
        <v>388</v>
      </c>
      <c r="AM11" s="524" t="s">
        <v>380</v>
      </c>
      <c r="AN11" s="523" t="s">
        <v>388</v>
      </c>
      <c r="AO11" s="523" t="s">
        <v>388</v>
      </c>
      <c r="AP11" s="524" t="s">
        <v>380</v>
      </c>
      <c r="AQ11" s="523" t="s">
        <v>388</v>
      </c>
      <c r="AR11" s="523" t="s">
        <v>388</v>
      </c>
      <c r="AS11" s="524" t="s">
        <v>380</v>
      </c>
      <c r="AT11" s="523" t="s">
        <v>388</v>
      </c>
      <c r="AU11" s="523" t="s">
        <v>388</v>
      </c>
      <c r="AV11" s="524" t="s">
        <v>380</v>
      </c>
      <c r="AW11" s="523" t="s">
        <v>388</v>
      </c>
      <c r="AX11" s="523" t="s">
        <v>388</v>
      </c>
      <c r="AY11" s="524" t="s">
        <v>380</v>
      </c>
      <c r="AZ11" s="523" t="s">
        <v>388</v>
      </c>
      <c r="BA11" s="523" t="s">
        <v>388</v>
      </c>
      <c r="BB11" s="524" t="s">
        <v>380</v>
      </c>
      <c r="BC11" s="523" t="s">
        <v>388</v>
      </c>
      <c r="BD11" s="523" t="s">
        <v>388</v>
      </c>
      <c r="BE11" s="524" t="s">
        <v>380</v>
      </c>
      <c r="BF11" s="523" t="s">
        <v>388</v>
      </c>
      <c r="BG11" s="523" t="s">
        <v>388</v>
      </c>
      <c r="BH11" s="524" t="s">
        <v>380</v>
      </c>
      <c r="BI11" s="523" t="s">
        <v>388</v>
      </c>
      <c r="BJ11" s="523" t="s">
        <v>388</v>
      </c>
      <c r="BK11" s="524" t="s">
        <v>380</v>
      </c>
      <c r="BL11" s="523" t="s">
        <v>388</v>
      </c>
      <c r="BM11" s="523" t="s">
        <v>388</v>
      </c>
      <c r="BN11" s="524" t="s">
        <v>380</v>
      </c>
      <c r="BO11" s="523" t="s">
        <v>388</v>
      </c>
      <c r="BP11" s="523" t="s">
        <v>388</v>
      </c>
      <c r="BQ11" s="524" t="s">
        <v>380</v>
      </c>
      <c r="BR11" s="523" t="s">
        <v>388</v>
      </c>
      <c r="BS11" s="523" t="s">
        <v>388</v>
      </c>
      <c r="BT11" s="524" t="s">
        <v>380</v>
      </c>
      <c r="BU11" s="523" t="s">
        <v>388</v>
      </c>
      <c r="BV11" s="523" t="s">
        <v>388</v>
      </c>
      <c r="BW11" s="524" t="s">
        <v>380</v>
      </c>
      <c r="BX11" s="523" t="s">
        <v>388</v>
      </c>
      <c r="BY11" s="523" t="s">
        <v>388</v>
      </c>
      <c r="BZ11" s="524" t="s">
        <v>380</v>
      </c>
      <c r="CA11" s="523" t="s">
        <v>388</v>
      </c>
      <c r="CB11" s="523" t="s">
        <v>388</v>
      </c>
      <c r="CC11" s="524" t="s">
        <v>380</v>
      </c>
      <c r="CD11" s="523" t="s">
        <v>388</v>
      </c>
      <c r="CE11" s="523" t="s">
        <v>388</v>
      </c>
      <c r="CF11" s="524" t="s">
        <v>380</v>
      </c>
      <c r="CG11" s="523" t="s">
        <v>388</v>
      </c>
      <c r="CH11" s="523" t="s">
        <v>388</v>
      </c>
      <c r="CI11" s="524" t="s">
        <v>380</v>
      </c>
      <c r="CJ11" s="523" t="s">
        <v>388</v>
      </c>
      <c r="CK11" s="523" t="s">
        <v>388</v>
      </c>
      <c r="CL11" s="524" t="s">
        <v>380</v>
      </c>
      <c r="CM11" s="523" t="s">
        <v>388</v>
      </c>
      <c r="CN11" s="528" t="s">
        <v>388</v>
      </c>
      <c r="CO11" s="524" t="s">
        <v>380</v>
      </c>
      <c r="CP11" s="528" t="s">
        <v>388</v>
      </c>
      <c r="CQ11" s="528" t="s">
        <v>388</v>
      </c>
      <c r="CR11" s="524" t="s">
        <v>380</v>
      </c>
      <c r="CS11" s="528" t="s">
        <v>388</v>
      </c>
      <c r="CT11" s="528" t="s">
        <v>388</v>
      </c>
      <c r="CU11" s="524" t="s">
        <v>380</v>
      </c>
      <c r="CV11" s="528" t="s">
        <v>388</v>
      </c>
      <c r="CW11" s="528" t="s">
        <v>388</v>
      </c>
      <c r="CX11" s="524" t="s">
        <v>380</v>
      </c>
      <c r="CY11" s="528" t="s">
        <v>388</v>
      </c>
      <c r="CZ11" s="528" t="s">
        <v>388</v>
      </c>
      <c r="DA11" s="524" t="s">
        <v>380</v>
      </c>
      <c r="DB11" s="528" t="s">
        <v>388</v>
      </c>
      <c r="DC11" s="528" t="s">
        <v>388</v>
      </c>
      <c r="DD11" s="524" t="s">
        <v>380</v>
      </c>
      <c r="DE11" s="528" t="s">
        <v>388</v>
      </c>
      <c r="DF11" s="528" t="s">
        <v>388</v>
      </c>
      <c r="DG11" s="524" t="s">
        <v>380</v>
      </c>
      <c r="DH11" s="528" t="s">
        <v>388</v>
      </c>
      <c r="DI11" s="528" t="s">
        <v>388</v>
      </c>
      <c r="DJ11" s="524" t="s">
        <v>380</v>
      </c>
      <c r="DK11" s="528" t="s">
        <v>388</v>
      </c>
    </row>
    <row r="12" ht="15.0" customHeight="1">
      <c r="A12" s="53">
        <v>56.0</v>
      </c>
      <c r="B12" s="857" t="s">
        <v>260</v>
      </c>
      <c r="C12" s="857" t="s">
        <v>261</v>
      </c>
      <c r="D12" s="101" t="str">
        <f t="shared" si="1"/>
        <v>SITE</v>
      </c>
      <c r="E12" s="101" t="s">
        <v>105</v>
      </c>
      <c r="F12" s="115">
        <v>0.0</v>
      </c>
      <c r="G12" s="517" t="s">
        <v>105</v>
      </c>
      <c r="H12" s="535">
        <v>0.0</v>
      </c>
      <c r="I12" s="858" t="str">
        <f>IFERROR(VLOOKUP(C:C,'R22 RELATÓRIO ACC'!B:F,5,FALSE),"NOT PUBLISHED")</f>
        <v>NOT PUBLISHED</v>
      </c>
      <c r="J12" s="858" t="str">
        <f>IFERROR(VLOOKUP(C:C,'R22 RELATÓRIO ACC'!B:P,15,FALSE),"NOT PUBLISHED")</f>
        <v>NOT PUBLISHED</v>
      </c>
      <c r="K12" s="821" t="str">
        <f>IFERROR(VLOOKUP(B:B,'RELATÓRIO ACC'!B:F,5,FALSE),"NOT PUBLISHED")</f>
        <v>NOT PUBLISHED</v>
      </c>
      <c r="L12" s="822" t="str">
        <f>IFERROR(VLOOKUP(B:B,'RELATÓRIO ACC'!B:P,15,FALSE),"NOT PUBLISHED")</f>
        <v>NOT PUBLISHED</v>
      </c>
      <c r="M12" s="552" t="s">
        <v>388</v>
      </c>
      <c r="N12" s="862" t="s">
        <v>388</v>
      </c>
      <c r="O12" s="538" t="s">
        <v>388</v>
      </c>
      <c r="P12" s="587"/>
      <c r="Q12" s="523" t="s">
        <v>388</v>
      </c>
      <c r="R12" s="524" t="s">
        <v>380</v>
      </c>
      <c r="S12" s="523" t="s">
        <v>388</v>
      </c>
      <c r="T12" s="523" t="s">
        <v>388</v>
      </c>
      <c r="U12" s="524" t="s">
        <v>380</v>
      </c>
      <c r="V12" s="523" t="s">
        <v>388</v>
      </c>
      <c r="W12" s="523" t="s">
        <v>388</v>
      </c>
      <c r="X12" s="524" t="s">
        <v>380</v>
      </c>
      <c r="Y12" s="523" t="s">
        <v>388</v>
      </c>
      <c r="Z12" s="523" t="s">
        <v>388</v>
      </c>
      <c r="AA12" s="524" t="s">
        <v>380</v>
      </c>
      <c r="AB12" s="523" t="s">
        <v>388</v>
      </c>
      <c r="AC12" s="523" t="s">
        <v>388</v>
      </c>
      <c r="AD12" s="524" t="s">
        <v>380</v>
      </c>
      <c r="AE12" s="523" t="s">
        <v>388</v>
      </c>
      <c r="AF12" s="523" t="s">
        <v>388</v>
      </c>
      <c r="AG12" s="524" t="s">
        <v>380</v>
      </c>
      <c r="AH12" s="523" t="s">
        <v>388</v>
      </c>
      <c r="AI12" s="523" t="s">
        <v>388</v>
      </c>
      <c r="AJ12" s="524" t="s">
        <v>380</v>
      </c>
      <c r="AK12" s="523" t="s">
        <v>388</v>
      </c>
      <c r="AL12" s="523" t="s">
        <v>388</v>
      </c>
      <c r="AM12" s="524" t="s">
        <v>380</v>
      </c>
      <c r="AN12" s="523" t="s">
        <v>388</v>
      </c>
      <c r="AO12" s="523" t="s">
        <v>388</v>
      </c>
      <c r="AP12" s="524" t="s">
        <v>380</v>
      </c>
      <c r="AQ12" s="523" t="s">
        <v>388</v>
      </c>
      <c r="AR12" s="523" t="s">
        <v>388</v>
      </c>
      <c r="AS12" s="524" t="s">
        <v>380</v>
      </c>
      <c r="AT12" s="523" t="s">
        <v>388</v>
      </c>
      <c r="AU12" s="523" t="s">
        <v>388</v>
      </c>
      <c r="AV12" s="524" t="s">
        <v>380</v>
      </c>
      <c r="AW12" s="523" t="s">
        <v>388</v>
      </c>
      <c r="AX12" s="523" t="s">
        <v>388</v>
      </c>
      <c r="AY12" s="524" t="s">
        <v>380</v>
      </c>
      <c r="AZ12" s="523" t="s">
        <v>388</v>
      </c>
      <c r="BA12" s="523" t="s">
        <v>388</v>
      </c>
      <c r="BB12" s="524" t="s">
        <v>380</v>
      </c>
      <c r="BC12" s="523" t="s">
        <v>388</v>
      </c>
      <c r="BD12" s="523" t="s">
        <v>388</v>
      </c>
      <c r="BE12" s="524" t="s">
        <v>380</v>
      </c>
      <c r="BF12" s="523" t="s">
        <v>388</v>
      </c>
      <c r="BG12" s="523" t="s">
        <v>388</v>
      </c>
      <c r="BH12" s="524" t="s">
        <v>380</v>
      </c>
      <c r="BI12" s="523" t="s">
        <v>388</v>
      </c>
      <c r="BJ12" s="523" t="s">
        <v>388</v>
      </c>
      <c r="BK12" s="524" t="s">
        <v>380</v>
      </c>
      <c r="BL12" s="523" t="s">
        <v>388</v>
      </c>
      <c r="BM12" s="523" t="s">
        <v>388</v>
      </c>
      <c r="BN12" s="524" t="s">
        <v>380</v>
      </c>
      <c r="BO12" s="523" t="s">
        <v>388</v>
      </c>
      <c r="BP12" s="523" t="s">
        <v>388</v>
      </c>
      <c r="BQ12" s="524" t="s">
        <v>380</v>
      </c>
      <c r="BR12" s="523" t="s">
        <v>388</v>
      </c>
      <c r="BS12" s="523" t="s">
        <v>388</v>
      </c>
      <c r="BT12" s="524" t="s">
        <v>380</v>
      </c>
      <c r="BU12" s="523" t="s">
        <v>388</v>
      </c>
      <c r="BV12" s="523" t="s">
        <v>388</v>
      </c>
      <c r="BW12" s="524" t="s">
        <v>380</v>
      </c>
      <c r="BX12" s="523" t="s">
        <v>388</v>
      </c>
      <c r="BY12" s="523" t="s">
        <v>388</v>
      </c>
      <c r="BZ12" s="524" t="s">
        <v>380</v>
      </c>
      <c r="CA12" s="523" t="s">
        <v>388</v>
      </c>
      <c r="CB12" s="523" t="s">
        <v>388</v>
      </c>
      <c r="CC12" s="524" t="s">
        <v>380</v>
      </c>
      <c r="CD12" s="523" t="s">
        <v>388</v>
      </c>
      <c r="CE12" s="523" t="s">
        <v>388</v>
      </c>
      <c r="CF12" s="524" t="s">
        <v>380</v>
      </c>
      <c r="CG12" s="523" t="s">
        <v>388</v>
      </c>
      <c r="CH12" s="523" t="s">
        <v>388</v>
      </c>
      <c r="CI12" s="524" t="s">
        <v>380</v>
      </c>
      <c r="CJ12" s="523" t="s">
        <v>388</v>
      </c>
      <c r="CK12" s="523" t="s">
        <v>388</v>
      </c>
      <c r="CL12" s="524" t="s">
        <v>380</v>
      </c>
      <c r="CM12" s="523" t="s">
        <v>388</v>
      </c>
      <c r="CN12" s="528" t="s">
        <v>388</v>
      </c>
      <c r="CO12" s="524" t="s">
        <v>380</v>
      </c>
      <c r="CP12" s="528" t="s">
        <v>388</v>
      </c>
      <c r="CQ12" s="528" t="s">
        <v>388</v>
      </c>
      <c r="CR12" s="524" t="s">
        <v>380</v>
      </c>
      <c r="CS12" s="523" t="s">
        <v>388</v>
      </c>
      <c r="CT12" s="528" t="s">
        <v>388</v>
      </c>
      <c r="CU12" s="524" t="s">
        <v>380</v>
      </c>
      <c r="CV12" s="523" t="s">
        <v>388</v>
      </c>
      <c r="CW12" s="528" t="s">
        <v>388</v>
      </c>
      <c r="CX12" s="524" t="s">
        <v>380</v>
      </c>
      <c r="CY12" s="523" t="s">
        <v>388</v>
      </c>
      <c r="CZ12" s="528" t="s">
        <v>388</v>
      </c>
      <c r="DA12" s="524" t="s">
        <v>380</v>
      </c>
      <c r="DB12" s="523" t="s">
        <v>388</v>
      </c>
      <c r="DC12" s="528" t="s">
        <v>388</v>
      </c>
      <c r="DD12" s="524" t="s">
        <v>380</v>
      </c>
      <c r="DE12" s="523" t="s">
        <v>388</v>
      </c>
      <c r="DF12" s="528" t="s">
        <v>388</v>
      </c>
      <c r="DG12" s="524" t="s">
        <v>380</v>
      </c>
      <c r="DH12" s="523" t="s">
        <v>388</v>
      </c>
      <c r="DI12" s="528" t="s">
        <v>388</v>
      </c>
      <c r="DJ12" s="524" t="s">
        <v>380</v>
      </c>
      <c r="DK12" s="523" t="s">
        <v>388</v>
      </c>
    </row>
    <row r="13" ht="15.0" customHeight="1">
      <c r="A13" s="53">
        <v>51.0</v>
      </c>
      <c r="B13" s="857" t="s">
        <v>248</v>
      </c>
      <c r="C13" s="857" t="s">
        <v>249</v>
      </c>
      <c r="D13" s="101" t="str">
        <f t="shared" si="1"/>
        <v>SITE</v>
      </c>
      <c r="E13" s="111" t="s">
        <v>250</v>
      </c>
      <c r="F13" s="115">
        <v>0.0</v>
      </c>
      <c r="G13" s="517" t="s">
        <v>105</v>
      </c>
      <c r="H13" s="535">
        <v>0.0</v>
      </c>
      <c r="I13" s="858" t="str">
        <f>IFERROR(VLOOKUP(C:C,'R22 RELATÓRIO ACC'!B:F,5,FALSE),"NOT PUBLISHED")</f>
        <v>NOT PUBLISHED</v>
      </c>
      <c r="J13" s="858" t="str">
        <f>IFERROR(VLOOKUP(C:C,'R22 RELATÓRIO ACC'!B:P,15,FALSE),"NOT PUBLISHED")</f>
        <v>NOT PUBLISHED</v>
      </c>
      <c r="K13" s="821" t="str">
        <f>IFERROR(VLOOKUP(B:B,'RELATÓRIO ACC'!B:F,5,FALSE),"NOT PUBLISHED")</f>
        <v>NOT PUBLISHED</v>
      </c>
      <c r="L13" s="822" t="str">
        <f>IFERROR(VLOOKUP(B:B,'RELATÓRIO ACC'!B:P,15,FALSE),"NOT PUBLISHED")</f>
        <v>NOT PUBLISHED</v>
      </c>
      <c r="M13" s="821" t="s">
        <v>388</v>
      </c>
      <c r="N13" s="862" t="s">
        <v>388</v>
      </c>
      <c r="O13" s="538" t="s">
        <v>388</v>
      </c>
      <c r="P13" s="587"/>
      <c r="Q13" s="523" t="s">
        <v>388</v>
      </c>
      <c r="R13" s="558" t="s">
        <v>380</v>
      </c>
      <c r="S13" s="523" t="s">
        <v>388</v>
      </c>
      <c r="T13" s="523" t="s">
        <v>388</v>
      </c>
      <c r="U13" s="524" t="s">
        <v>380</v>
      </c>
      <c r="V13" s="523" t="s">
        <v>388</v>
      </c>
      <c r="W13" s="523" t="s">
        <v>388</v>
      </c>
      <c r="X13" s="524" t="s">
        <v>380</v>
      </c>
      <c r="Y13" s="523" t="s">
        <v>388</v>
      </c>
      <c r="Z13" s="523" t="s">
        <v>388</v>
      </c>
      <c r="AA13" s="524" t="s">
        <v>380</v>
      </c>
      <c r="AB13" s="523" t="s">
        <v>388</v>
      </c>
      <c r="AC13" s="523" t="s">
        <v>388</v>
      </c>
      <c r="AD13" s="524" t="s">
        <v>380</v>
      </c>
      <c r="AE13" s="523" t="s">
        <v>388</v>
      </c>
      <c r="AF13" s="523" t="s">
        <v>388</v>
      </c>
      <c r="AG13" s="524" t="s">
        <v>380</v>
      </c>
      <c r="AH13" s="523" t="s">
        <v>388</v>
      </c>
      <c r="AI13" s="523" t="s">
        <v>388</v>
      </c>
      <c r="AJ13" s="524" t="s">
        <v>380</v>
      </c>
      <c r="AK13" s="523" t="s">
        <v>388</v>
      </c>
      <c r="AL13" s="523" t="s">
        <v>388</v>
      </c>
      <c r="AM13" s="524" t="s">
        <v>380</v>
      </c>
      <c r="AN13" s="523" t="s">
        <v>388</v>
      </c>
      <c r="AO13" s="523" t="s">
        <v>388</v>
      </c>
      <c r="AP13" s="524" t="s">
        <v>380</v>
      </c>
      <c r="AQ13" s="523" t="s">
        <v>388</v>
      </c>
      <c r="AR13" s="523" t="s">
        <v>388</v>
      </c>
      <c r="AS13" s="524" t="s">
        <v>380</v>
      </c>
      <c r="AT13" s="523" t="s">
        <v>388</v>
      </c>
      <c r="AU13" s="523" t="s">
        <v>388</v>
      </c>
      <c r="AV13" s="524" t="s">
        <v>380</v>
      </c>
      <c r="AW13" s="523" t="s">
        <v>388</v>
      </c>
      <c r="AX13" s="523" t="s">
        <v>388</v>
      </c>
      <c r="AY13" s="524" t="s">
        <v>380</v>
      </c>
      <c r="AZ13" s="523" t="s">
        <v>388</v>
      </c>
      <c r="BA13" s="523" t="s">
        <v>388</v>
      </c>
      <c r="BB13" s="524" t="s">
        <v>380</v>
      </c>
      <c r="BC13" s="523" t="s">
        <v>388</v>
      </c>
      <c r="BD13" s="523" t="s">
        <v>388</v>
      </c>
      <c r="BE13" s="524" t="s">
        <v>380</v>
      </c>
      <c r="BF13" s="523" t="s">
        <v>388</v>
      </c>
      <c r="BG13" s="523" t="s">
        <v>388</v>
      </c>
      <c r="BH13" s="524" t="s">
        <v>380</v>
      </c>
      <c r="BI13" s="523" t="s">
        <v>388</v>
      </c>
      <c r="BJ13" s="523" t="s">
        <v>388</v>
      </c>
      <c r="BK13" s="524" t="s">
        <v>380</v>
      </c>
      <c r="BL13" s="523" t="s">
        <v>388</v>
      </c>
      <c r="BM13" s="523" t="s">
        <v>388</v>
      </c>
      <c r="BN13" s="524" t="s">
        <v>380</v>
      </c>
      <c r="BO13" s="523" t="s">
        <v>388</v>
      </c>
      <c r="BP13" s="523" t="s">
        <v>388</v>
      </c>
      <c r="BQ13" s="524" t="s">
        <v>380</v>
      </c>
      <c r="BR13" s="523" t="s">
        <v>388</v>
      </c>
      <c r="BS13" s="523" t="s">
        <v>388</v>
      </c>
      <c r="BT13" s="524" t="s">
        <v>380</v>
      </c>
      <c r="BU13" s="523" t="s">
        <v>388</v>
      </c>
      <c r="BV13" s="523" t="s">
        <v>388</v>
      </c>
      <c r="BW13" s="524" t="s">
        <v>380</v>
      </c>
      <c r="BX13" s="523" t="s">
        <v>388</v>
      </c>
      <c r="BY13" s="523" t="s">
        <v>388</v>
      </c>
      <c r="BZ13" s="524" t="s">
        <v>380</v>
      </c>
      <c r="CA13" s="523" t="s">
        <v>388</v>
      </c>
      <c r="CB13" s="523" t="s">
        <v>388</v>
      </c>
      <c r="CC13" s="524" t="s">
        <v>380</v>
      </c>
      <c r="CD13" s="523" t="s">
        <v>388</v>
      </c>
      <c r="CE13" s="523" t="s">
        <v>388</v>
      </c>
      <c r="CF13" s="524" t="s">
        <v>380</v>
      </c>
      <c r="CG13" s="523" t="s">
        <v>388</v>
      </c>
      <c r="CH13" s="523" t="s">
        <v>388</v>
      </c>
      <c r="CI13" s="524" t="s">
        <v>380</v>
      </c>
      <c r="CJ13" s="523" t="s">
        <v>388</v>
      </c>
      <c r="CK13" s="523" t="s">
        <v>388</v>
      </c>
      <c r="CL13" s="524" t="s">
        <v>380</v>
      </c>
      <c r="CM13" s="523" t="s">
        <v>388</v>
      </c>
      <c r="CN13" s="523" t="s">
        <v>388</v>
      </c>
      <c r="CO13" s="524" t="s">
        <v>380</v>
      </c>
      <c r="CP13" s="523" t="s">
        <v>388</v>
      </c>
      <c r="CQ13" s="523" t="s">
        <v>388</v>
      </c>
      <c r="CR13" s="524" t="s">
        <v>380</v>
      </c>
      <c r="CS13" s="523" t="s">
        <v>388</v>
      </c>
      <c r="CT13" s="523" t="s">
        <v>388</v>
      </c>
      <c r="CU13" s="524" t="s">
        <v>380</v>
      </c>
      <c r="CV13" s="523" t="s">
        <v>388</v>
      </c>
      <c r="CW13" s="523" t="s">
        <v>388</v>
      </c>
      <c r="CX13" s="524" t="s">
        <v>380</v>
      </c>
      <c r="CY13" s="523" t="s">
        <v>388</v>
      </c>
      <c r="CZ13" s="523" t="s">
        <v>388</v>
      </c>
      <c r="DA13" s="524" t="s">
        <v>380</v>
      </c>
      <c r="DB13" s="523" t="s">
        <v>388</v>
      </c>
      <c r="DC13" s="523" t="s">
        <v>388</v>
      </c>
      <c r="DD13" s="524" t="s">
        <v>380</v>
      </c>
      <c r="DE13" s="523" t="s">
        <v>388</v>
      </c>
      <c r="DF13" s="523" t="s">
        <v>388</v>
      </c>
      <c r="DG13" s="524" t="s">
        <v>380</v>
      </c>
      <c r="DH13" s="523" t="s">
        <v>388</v>
      </c>
      <c r="DI13" s="523" t="s">
        <v>388</v>
      </c>
      <c r="DJ13" s="524" t="s">
        <v>380</v>
      </c>
      <c r="DK13" s="523" t="s">
        <v>388</v>
      </c>
    </row>
    <row r="14" ht="15.75" customHeight="1">
      <c r="A14" s="53">
        <v>62.0</v>
      </c>
      <c r="B14" s="857" t="s">
        <v>283</v>
      </c>
      <c r="C14" s="857" t="s">
        <v>284</v>
      </c>
      <c r="D14" s="101" t="str">
        <f t="shared" si="1"/>
        <v>SITE</v>
      </c>
      <c r="E14" s="111" t="s">
        <v>91</v>
      </c>
      <c r="F14" s="102">
        <v>1104.0</v>
      </c>
      <c r="G14" s="517" t="s">
        <v>92</v>
      </c>
      <c r="H14" s="517">
        <v>1127.0</v>
      </c>
      <c r="I14" s="858" t="str">
        <f>IFERROR(VLOOKUP(C:C,'R22 RELATÓRIO ACC'!B:F,5,FALSE),"NOT PUBLISHED")</f>
        <v>NOT PUBLISHED</v>
      </c>
      <c r="J14" s="858" t="str">
        <f>IFERROR(VLOOKUP(C:C,'R22 RELATÓRIO ACC'!B:P,15,FALSE),"NOT PUBLISHED")</f>
        <v>NOT PUBLISHED</v>
      </c>
      <c r="K14" s="821" t="str">
        <f>IFERROR(VLOOKUP(B:B,'RELATÓRIO ACC'!B:F,5,FALSE),"NOT PUBLISHED")</f>
        <v>NOT PUBLISHED</v>
      </c>
      <c r="L14" s="822" t="str">
        <f>IFERROR(VLOOKUP(B:B,'RELATÓRIO ACC'!B:P,15,FALSE),"NOT PUBLISHED")</f>
        <v>NOT PUBLISHED</v>
      </c>
      <c r="M14" s="821" t="s">
        <v>388</v>
      </c>
      <c r="N14" s="745" t="s">
        <v>388</v>
      </c>
      <c r="O14" s="538" t="s">
        <v>388</v>
      </c>
      <c r="P14" s="587"/>
      <c r="Q14" s="523" t="s">
        <v>388</v>
      </c>
      <c r="R14" s="558" t="s">
        <v>380</v>
      </c>
      <c r="S14" s="523" t="s">
        <v>388</v>
      </c>
      <c r="T14" s="523" t="s">
        <v>388</v>
      </c>
      <c r="U14" s="558" t="s">
        <v>380</v>
      </c>
      <c r="V14" s="525" t="s">
        <v>388</v>
      </c>
      <c r="W14" s="523" t="s">
        <v>388</v>
      </c>
      <c r="X14" s="524" t="s">
        <v>380</v>
      </c>
      <c r="Y14" s="523" t="s">
        <v>388</v>
      </c>
      <c r="Z14" s="523" t="s">
        <v>388</v>
      </c>
      <c r="AA14" s="524" t="s">
        <v>380</v>
      </c>
      <c r="AB14" s="523" t="s">
        <v>388</v>
      </c>
      <c r="AC14" s="523" t="s">
        <v>388</v>
      </c>
      <c r="AD14" s="524" t="s">
        <v>380</v>
      </c>
      <c r="AE14" s="523" t="s">
        <v>388</v>
      </c>
      <c r="AF14" s="523" t="s">
        <v>388</v>
      </c>
      <c r="AG14" s="524" t="s">
        <v>380</v>
      </c>
      <c r="AH14" s="523" t="s">
        <v>388</v>
      </c>
      <c r="AI14" s="523" t="s">
        <v>388</v>
      </c>
      <c r="AJ14" s="524" t="s">
        <v>380</v>
      </c>
      <c r="AK14" s="523" t="s">
        <v>388</v>
      </c>
      <c r="AL14" s="523" t="s">
        <v>388</v>
      </c>
      <c r="AM14" s="524" t="s">
        <v>380</v>
      </c>
      <c r="AN14" s="523" t="s">
        <v>388</v>
      </c>
      <c r="AO14" s="523" t="s">
        <v>388</v>
      </c>
      <c r="AP14" s="524" t="s">
        <v>380</v>
      </c>
      <c r="AQ14" s="523" t="s">
        <v>388</v>
      </c>
      <c r="AR14" s="523" t="s">
        <v>388</v>
      </c>
      <c r="AS14" s="524" t="s">
        <v>380</v>
      </c>
      <c r="AT14" s="523" t="s">
        <v>388</v>
      </c>
      <c r="AU14" s="523" t="s">
        <v>388</v>
      </c>
      <c r="AV14" s="524" t="s">
        <v>380</v>
      </c>
      <c r="AW14" s="523" t="s">
        <v>388</v>
      </c>
      <c r="AX14" s="523" t="s">
        <v>388</v>
      </c>
      <c r="AY14" s="524" t="s">
        <v>380</v>
      </c>
      <c r="AZ14" s="523" t="s">
        <v>388</v>
      </c>
      <c r="BA14" s="523" t="s">
        <v>388</v>
      </c>
      <c r="BB14" s="524" t="s">
        <v>380</v>
      </c>
      <c r="BC14" s="523" t="s">
        <v>388</v>
      </c>
      <c r="BD14" s="523" t="s">
        <v>388</v>
      </c>
      <c r="BE14" s="524" t="s">
        <v>380</v>
      </c>
      <c r="BF14" s="523" t="s">
        <v>388</v>
      </c>
      <c r="BG14" s="523" t="s">
        <v>388</v>
      </c>
      <c r="BH14" s="524" t="s">
        <v>380</v>
      </c>
      <c r="BI14" s="523" t="s">
        <v>388</v>
      </c>
      <c r="BJ14" s="523" t="s">
        <v>388</v>
      </c>
      <c r="BK14" s="524" t="s">
        <v>380</v>
      </c>
      <c r="BL14" s="523" t="s">
        <v>388</v>
      </c>
      <c r="BM14" s="523" t="s">
        <v>388</v>
      </c>
      <c r="BN14" s="524" t="s">
        <v>380</v>
      </c>
      <c r="BO14" s="523" t="s">
        <v>388</v>
      </c>
      <c r="BP14" s="523" t="s">
        <v>388</v>
      </c>
      <c r="BQ14" s="524" t="s">
        <v>380</v>
      </c>
      <c r="BR14" s="523" t="s">
        <v>388</v>
      </c>
      <c r="BS14" s="523" t="s">
        <v>388</v>
      </c>
      <c r="BT14" s="524" t="s">
        <v>380</v>
      </c>
      <c r="BU14" s="523" t="s">
        <v>388</v>
      </c>
      <c r="BV14" s="523" t="s">
        <v>388</v>
      </c>
      <c r="BW14" s="524" t="s">
        <v>380</v>
      </c>
      <c r="BX14" s="523" t="s">
        <v>388</v>
      </c>
      <c r="BY14" s="523" t="s">
        <v>388</v>
      </c>
      <c r="BZ14" s="524" t="s">
        <v>380</v>
      </c>
      <c r="CA14" s="523" t="s">
        <v>388</v>
      </c>
      <c r="CB14" s="523" t="s">
        <v>388</v>
      </c>
      <c r="CC14" s="524" t="s">
        <v>380</v>
      </c>
      <c r="CD14" s="523" t="s">
        <v>388</v>
      </c>
      <c r="CE14" s="523" t="s">
        <v>388</v>
      </c>
      <c r="CF14" s="524" t="s">
        <v>380</v>
      </c>
      <c r="CG14" s="523" t="s">
        <v>388</v>
      </c>
      <c r="CH14" s="523" t="s">
        <v>388</v>
      </c>
      <c r="CI14" s="524" t="s">
        <v>380</v>
      </c>
      <c r="CJ14" s="523" t="s">
        <v>388</v>
      </c>
      <c r="CK14" s="523" t="s">
        <v>388</v>
      </c>
      <c r="CL14" s="524" t="s">
        <v>380</v>
      </c>
      <c r="CM14" s="523" t="s">
        <v>388</v>
      </c>
      <c r="CN14" s="523" t="s">
        <v>388</v>
      </c>
      <c r="CO14" s="524" t="s">
        <v>380</v>
      </c>
      <c r="CP14" s="523" t="s">
        <v>388</v>
      </c>
      <c r="CQ14" s="523" t="s">
        <v>388</v>
      </c>
      <c r="CR14" s="524" t="s">
        <v>380</v>
      </c>
      <c r="CS14" s="523" t="s">
        <v>388</v>
      </c>
      <c r="CT14" s="523" t="s">
        <v>388</v>
      </c>
      <c r="CU14" s="524" t="s">
        <v>380</v>
      </c>
      <c r="CV14" s="523" t="s">
        <v>388</v>
      </c>
      <c r="CW14" s="523" t="s">
        <v>388</v>
      </c>
      <c r="CX14" s="524" t="s">
        <v>380</v>
      </c>
      <c r="CY14" s="523" t="s">
        <v>388</v>
      </c>
      <c r="CZ14" s="523" t="s">
        <v>388</v>
      </c>
      <c r="DA14" s="524" t="s">
        <v>380</v>
      </c>
      <c r="DB14" s="523" t="s">
        <v>388</v>
      </c>
      <c r="DC14" s="523" t="s">
        <v>388</v>
      </c>
      <c r="DD14" s="524" t="s">
        <v>380</v>
      </c>
      <c r="DE14" s="523" t="s">
        <v>388</v>
      </c>
      <c r="DF14" s="523" t="s">
        <v>388</v>
      </c>
      <c r="DG14" s="524" t="s">
        <v>380</v>
      </c>
      <c r="DH14" s="523" t="s">
        <v>388</v>
      </c>
      <c r="DI14" s="523" t="s">
        <v>388</v>
      </c>
      <c r="DJ14" s="524" t="s">
        <v>380</v>
      </c>
      <c r="DK14" s="523" t="s">
        <v>388</v>
      </c>
    </row>
    <row r="15" ht="15.0" customHeight="1">
      <c r="A15" s="53">
        <v>63.0</v>
      </c>
      <c r="B15" s="857" t="s">
        <v>285</v>
      </c>
      <c r="C15" s="857" t="s">
        <v>286</v>
      </c>
      <c r="D15" s="101" t="str">
        <f t="shared" si="1"/>
        <v>SITE</v>
      </c>
      <c r="E15" s="111" t="s">
        <v>287</v>
      </c>
      <c r="F15" s="102">
        <v>1124.0</v>
      </c>
      <c r="G15" s="517" t="s">
        <v>105</v>
      </c>
      <c r="H15" s="535">
        <v>0.0</v>
      </c>
      <c r="I15" s="858" t="str">
        <f>IFERROR(VLOOKUP(C:C,'R22 RELATÓRIO ACC'!B:F,5,FALSE),"NOT PUBLISHED")</f>
        <v>NOT PUBLISHED</v>
      </c>
      <c r="J15" s="858" t="str">
        <f>IFERROR(VLOOKUP(C:C,'R22 RELATÓRIO ACC'!B:P,15,FALSE),"NOT PUBLISHED")</f>
        <v>NOT PUBLISHED</v>
      </c>
      <c r="K15" s="821" t="str">
        <f>IFERROR(VLOOKUP(B:B,'RELATÓRIO ACC'!B:F,5,FALSE),"NOT PUBLISHED")</f>
        <v>NOT PUBLISHED</v>
      </c>
      <c r="L15" s="822" t="str">
        <f>IFERROR(VLOOKUP(B:B,'RELATÓRIO ACC'!B:P,15,FALSE),"NOT PUBLISHED")</f>
        <v>NOT PUBLISHED</v>
      </c>
      <c r="M15" s="552" t="s">
        <v>388</v>
      </c>
      <c r="N15" s="552" t="s">
        <v>388</v>
      </c>
      <c r="O15" s="538" t="s">
        <v>388</v>
      </c>
      <c r="P15" s="587"/>
      <c r="Q15" s="523" t="s">
        <v>388</v>
      </c>
      <c r="R15" s="524" t="s">
        <v>380</v>
      </c>
      <c r="S15" s="523" t="s">
        <v>388</v>
      </c>
      <c r="T15" s="523" t="s">
        <v>388</v>
      </c>
      <c r="U15" s="524" t="s">
        <v>380</v>
      </c>
      <c r="V15" s="523" t="s">
        <v>388</v>
      </c>
      <c r="W15" s="523" t="s">
        <v>388</v>
      </c>
      <c r="X15" s="524" t="s">
        <v>380</v>
      </c>
      <c r="Y15" s="525" t="s">
        <v>388</v>
      </c>
      <c r="Z15" s="523" t="s">
        <v>388</v>
      </c>
      <c r="AA15" s="524" t="s">
        <v>380</v>
      </c>
      <c r="AB15" s="523" t="s">
        <v>388</v>
      </c>
      <c r="AC15" s="523" t="s">
        <v>388</v>
      </c>
      <c r="AD15" s="524" t="s">
        <v>380</v>
      </c>
      <c r="AE15" s="523" t="s">
        <v>388</v>
      </c>
      <c r="AF15" s="523" t="s">
        <v>388</v>
      </c>
      <c r="AG15" s="524" t="s">
        <v>380</v>
      </c>
      <c r="AH15" s="523" t="s">
        <v>388</v>
      </c>
      <c r="AI15" s="523" t="s">
        <v>388</v>
      </c>
      <c r="AJ15" s="524" t="s">
        <v>380</v>
      </c>
      <c r="AK15" s="523" t="s">
        <v>388</v>
      </c>
      <c r="AL15" s="523" t="s">
        <v>388</v>
      </c>
      <c r="AM15" s="524" t="s">
        <v>380</v>
      </c>
      <c r="AN15" s="523" t="s">
        <v>388</v>
      </c>
      <c r="AO15" s="523" t="s">
        <v>388</v>
      </c>
      <c r="AP15" s="524" t="s">
        <v>380</v>
      </c>
      <c r="AQ15" s="523" t="s">
        <v>388</v>
      </c>
      <c r="AR15" s="523" t="s">
        <v>388</v>
      </c>
      <c r="AS15" s="524" t="s">
        <v>380</v>
      </c>
      <c r="AT15" s="523" t="s">
        <v>388</v>
      </c>
      <c r="AU15" s="523" t="s">
        <v>388</v>
      </c>
      <c r="AV15" s="524" t="s">
        <v>380</v>
      </c>
      <c r="AW15" s="523" t="s">
        <v>388</v>
      </c>
      <c r="AX15" s="523" t="s">
        <v>388</v>
      </c>
      <c r="AY15" s="524" t="s">
        <v>380</v>
      </c>
      <c r="AZ15" s="523" t="s">
        <v>388</v>
      </c>
      <c r="BA15" s="523" t="s">
        <v>388</v>
      </c>
      <c r="BB15" s="524" t="s">
        <v>380</v>
      </c>
      <c r="BC15" s="523" t="s">
        <v>388</v>
      </c>
      <c r="BD15" s="523" t="s">
        <v>388</v>
      </c>
      <c r="BE15" s="524" t="s">
        <v>380</v>
      </c>
      <c r="BF15" s="523" t="s">
        <v>388</v>
      </c>
      <c r="BG15" s="523" t="s">
        <v>388</v>
      </c>
      <c r="BH15" s="524" t="s">
        <v>380</v>
      </c>
      <c r="BI15" s="523" t="s">
        <v>388</v>
      </c>
      <c r="BJ15" s="523" t="s">
        <v>388</v>
      </c>
      <c r="BK15" s="524" t="s">
        <v>380</v>
      </c>
      <c r="BL15" s="523" t="s">
        <v>388</v>
      </c>
      <c r="BM15" s="523" t="s">
        <v>388</v>
      </c>
      <c r="BN15" s="524" t="s">
        <v>380</v>
      </c>
      <c r="BO15" s="523" t="s">
        <v>388</v>
      </c>
      <c r="BP15" s="523" t="s">
        <v>388</v>
      </c>
      <c r="BQ15" s="524" t="s">
        <v>380</v>
      </c>
      <c r="BR15" s="523" t="s">
        <v>388</v>
      </c>
      <c r="BS15" s="523" t="s">
        <v>388</v>
      </c>
      <c r="BT15" s="524" t="s">
        <v>380</v>
      </c>
      <c r="BU15" s="523" t="s">
        <v>388</v>
      </c>
      <c r="BV15" s="523" t="s">
        <v>388</v>
      </c>
      <c r="BW15" s="524" t="s">
        <v>380</v>
      </c>
      <c r="BX15" s="523" t="s">
        <v>388</v>
      </c>
      <c r="BY15" s="523" t="s">
        <v>388</v>
      </c>
      <c r="BZ15" s="524" t="s">
        <v>380</v>
      </c>
      <c r="CA15" s="523" t="s">
        <v>388</v>
      </c>
      <c r="CB15" s="523" t="s">
        <v>388</v>
      </c>
      <c r="CC15" s="524" t="s">
        <v>380</v>
      </c>
      <c r="CD15" s="523" t="s">
        <v>388</v>
      </c>
      <c r="CE15" s="528" t="s">
        <v>388</v>
      </c>
      <c r="CF15" s="524" t="s">
        <v>380</v>
      </c>
      <c r="CG15" s="528" t="s">
        <v>388</v>
      </c>
      <c r="CH15" s="809" t="s">
        <v>388</v>
      </c>
      <c r="CI15" s="524" t="s">
        <v>380</v>
      </c>
      <c r="CJ15" s="809" t="s">
        <v>388</v>
      </c>
      <c r="CK15" s="809" t="s">
        <v>388</v>
      </c>
      <c r="CL15" s="524" t="s">
        <v>380</v>
      </c>
      <c r="CM15" s="809" t="s">
        <v>388</v>
      </c>
      <c r="CN15" s="809" t="s">
        <v>388</v>
      </c>
      <c r="CO15" s="524" t="s">
        <v>380</v>
      </c>
      <c r="CP15" s="809" t="s">
        <v>388</v>
      </c>
      <c r="CQ15" s="809" t="s">
        <v>388</v>
      </c>
      <c r="CR15" s="524" t="s">
        <v>380</v>
      </c>
      <c r="CS15" s="809" t="s">
        <v>388</v>
      </c>
      <c r="CT15" s="809" t="s">
        <v>388</v>
      </c>
      <c r="CU15" s="524" t="s">
        <v>380</v>
      </c>
      <c r="CV15" s="809" t="s">
        <v>388</v>
      </c>
      <c r="CW15" s="809" t="s">
        <v>388</v>
      </c>
      <c r="CX15" s="524" t="s">
        <v>380</v>
      </c>
      <c r="CY15" s="809" t="s">
        <v>388</v>
      </c>
      <c r="CZ15" s="809" t="s">
        <v>388</v>
      </c>
      <c r="DA15" s="524" t="s">
        <v>380</v>
      </c>
      <c r="DB15" s="809" t="s">
        <v>388</v>
      </c>
      <c r="DC15" s="809" t="s">
        <v>388</v>
      </c>
      <c r="DD15" s="524" t="s">
        <v>380</v>
      </c>
      <c r="DE15" s="809" t="s">
        <v>388</v>
      </c>
      <c r="DF15" s="809" t="s">
        <v>388</v>
      </c>
      <c r="DG15" s="524" t="s">
        <v>380</v>
      </c>
      <c r="DH15" s="809" t="s">
        <v>388</v>
      </c>
      <c r="DI15" s="809" t="s">
        <v>388</v>
      </c>
      <c r="DJ15" s="524" t="s">
        <v>380</v>
      </c>
      <c r="DK15" s="809" t="s">
        <v>388</v>
      </c>
    </row>
    <row r="16" ht="15.0" customHeight="1">
      <c r="A16" s="53">
        <v>12.0</v>
      </c>
      <c r="B16" s="863" t="s">
        <v>124</v>
      </c>
      <c r="C16" s="863" t="s">
        <v>125</v>
      </c>
      <c r="D16" s="101" t="str">
        <f t="shared" si="1"/>
        <v>SITE</v>
      </c>
      <c r="E16" s="101" t="s">
        <v>126</v>
      </c>
      <c r="F16" s="118">
        <v>1101.0</v>
      </c>
      <c r="G16" s="517" t="s">
        <v>127</v>
      </c>
      <c r="H16" s="517">
        <v>1126.0</v>
      </c>
      <c r="I16" s="858" t="str">
        <f>IFERROR(VLOOKUP(C:C,'R22 RELATÓRIO ACC'!B:F,5,FALSE),"NOT PUBLISHED")</f>
        <v>V14</v>
      </c>
      <c r="J16" s="858" t="str">
        <f>IFERROR(VLOOKUP(C:C,'R22 RELATÓRIO ACC'!B:P,15,FALSE),"NOT PUBLISHED")</f>
        <v>18/03/2026</v>
      </c>
      <c r="K16" s="821" t="str">
        <f>IFERROR(VLOOKUP(B:B,'RELATÓRIO ACC'!B:F,5,FALSE),"NOT PUBLISHED")</f>
        <v>V2</v>
      </c>
      <c r="L16" s="822" t="str">
        <f>IFERROR(VLOOKUP(B:B,'RELATÓRIO ACC'!B:P,15,FALSE),"NOT PUBLISHED")</f>
        <v>17/06/2026</v>
      </c>
      <c r="M16" s="552" t="s">
        <v>387</v>
      </c>
      <c r="N16" s="864">
        <v>46190.0</v>
      </c>
      <c r="O16" s="538" t="s">
        <v>378</v>
      </c>
      <c r="P16" s="587" t="s">
        <v>461</v>
      </c>
      <c r="Q16" s="523" t="s">
        <v>379</v>
      </c>
      <c r="R16" s="524">
        <v>0.0</v>
      </c>
      <c r="S16" s="523" t="s">
        <v>379</v>
      </c>
      <c r="T16" s="523" t="s">
        <v>381</v>
      </c>
      <c r="U16" s="526" t="s">
        <v>421</v>
      </c>
      <c r="V16" s="546">
        <v>0.24</v>
      </c>
      <c r="W16" s="523" t="s">
        <v>379</v>
      </c>
      <c r="X16" s="526" t="s">
        <v>414</v>
      </c>
      <c r="Y16" s="525" t="s">
        <v>379</v>
      </c>
      <c r="Z16" s="523" t="s">
        <v>398</v>
      </c>
      <c r="AA16" s="526" t="s">
        <v>414</v>
      </c>
      <c r="AB16" s="523" t="s">
        <v>398</v>
      </c>
      <c r="AC16" s="523" t="s">
        <v>379</v>
      </c>
      <c r="AD16" s="526" t="s">
        <v>414</v>
      </c>
      <c r="AE16" s="523" t="s">
        <v>379</v>
      </c>
      <c r="AF16" s="523" t="s">
        <v>490</v>
      </c>
      <c r="AG16" s="526" t="s">
        <v>414</v>
      </c>
      <c r="AH16" s="523" t="s">
        <v>490</v>
      </c>
      <c r="AI16" s="523" t="s">
        <v>381</v>
      </c>
      <c r="AJ16" s="526" t="s">
        <v>415</v>
      </c>
      <c r="AK16" s="546">
        <v>0.78</v>
      </c>
      <c r="AL16" s="523" t="s">
        <v>379</v>
      </c>
      <c r="AM16" s="526" t="s">
        <v>415</v>
      </c>
      <c r="AN16" s="523" t="s">
        <v>379</v>
      </c>
      <c r="AO16" s="523" t="s">
        <v>379</v>
      </c>
      <c r="AP16" s="526" t="s">
        <v>415</v>
      </c>
      <c r="AQ16" s="523" t="s">
        <v>379</v>
      </c>
      <c r="AR16" s="523" t="s">
        <v>379</v>
      </c>
      <c r="AS16" s="526" t="s">
        <v>415</v>
      </c>
      <c r="AT16" s="523" t="s">
        <v>379</v>
      </c>
      <c r="AU16" s="523" t="s">
        <v>379</v>
      </c>
      <c r="AV16" s="526" t="s">
        <v>415</v>
      </c>
      <c r="AW16" s="523" t="s">
        <v>379</v>
      </c>
      <c r="AX16" s="523" t="s">
        <v>379</v>
      </c>
      <c r="AY16" s="526" t="s">
        <v>415</v>
      </c>
      <c r="AZ16" s="523" t="s">
        <v>379</v>
      </c>
      <c r="BA16" s="523" t="s">
        <v>379</v>
      </c>
      <c r="BB16" s="526" t="s">
        <v>415</v>
      </c>
      <c r="BC16" s="523" t="s">
        <v>379</v>
      </c>
      <c r="BD16" s="523" t="s">
        <v>379</v>
      </c>
      <c r="BE16" s="526" t="s">
        <v>415</v>
      </c>
      <c r="BF16" s="523" t="s">
        <v>379</v>
      </c>
      <c r="BG16" s="523" t="s">
        <v>379</v>
      </c>
      <c r="BH16" s="526" t="s">
        <v>415</v>
      </c>
      <c r="BI16" s="523" t="s">
        <v>379</v>
      </c>
      <c r="BJ16" s="523" t="s">
        <v>381</v>
      </c>
      <c r="BK16" s="526" t="s">
        <v>418</v>
      </c>
      <c r="BL16" s="546">
        <v>0.92</v>
      </c>
      <c r="BM16" s="523" t="s">
        <v>379</v>
      </c>
      <c r="BN16" s="526" t="s">
        <v>418</v>
      </c>
      <c r="BO16" s="523" t="s">
        <v>379</v>
      </c>
      <c r="BP16" s="523" t="s">
        <v>379</v>
      </c>
      <c r="BQ16" s="526" t="s">
        <v>418</v>
      </c>
      <c r="BR16" s="523" t="s">
        <v>379</v>
      </c>
      <c r="BS16" s="523" t="s">
        <v>379</v>
      </c>
      <c r="BT16" s="526" t="s">
        <v>418</v>
      </c>
      <c r="BU16" s="523" t="s">
        <v>379</v>
      </c>
      <c r="BV16" s="523" t="s">
        <v>379</v>
      </c>
      <c r="BW16" s="526" t="s">
        <v>418</v>
      </c>
      <c r="BX16" s="523" t="s">
        <v>379</v>
      </c>
      <c r="BY16" s="523" t="s">
        <v>379</v>
      </c>
      <c r="BZ16" s="526" t="s">
        <v>418</v>
      </c>
      <c r="CA16" s="523" t="s">
        <v>379</v>
      </c>
      <c r="CB16" s="523" t="s">
        <v>379</v>
      </c>
      <c r="CC16" s="526" t="s">
        <v>418</v>
      </c>
      <c r="CD16" s="523" t="s">
        <v>379</v>
      </c>
      <c r="CE16" s="523" t="s">
        <v>379</v>
      </c>
      <c r="CF16" s="526" t="s">
        <v>418</v>
      </c>
      <c r="CG16" s="523" t="s">
        <v>379</v>
      </c>
      <c r="CH16" s="523" t="s">
        <v>379</v>
      </c>
      <c r="CI16" s="526" t="s">
        <v>418</v>
      </c>
      <c r="CJ16" s="523" t="s">
        <v>379</v>
      </c>
      <c r="CK16" s="523" t="s">
        <v>398</v>
      </c>
      <c r="CL16" s="526" t="s">
        <v>418</v>
      </c>
      <c r="CM16" s="523" t="s">
        <v>398</v>
      </c>
      <c r="CN16" s="528" t="s">
        <v>379</v>
      </c>
      <c r="CO16" s="526" t="s">
        <v>418</v>
      </c>
      <c r="CP16" s="528" t="s">
        <v>379</v>
      </c>
      <c r="CQ16" s="528" t="s">
        <v>379</v>
      </c>
      <c r="CR16" s="526" t="s">
        <v>418</v>
      </c>
      <c r="CS16" s="523" t="s">
        <v>379</v>
      </c>
      <c r="CT16" s="528" t="s">
        <v>379</v>
      </c>
      <c r="CU16" s="526" t="s">
        <v>418</v>
      </c>
      <c r="CV16" s="523" t="s">
        <v>379</v>
      </c>
      <c r="CW16" s="528" t="s">
        <v>383</v>
      </c>
      <c r="CX16" s="526" t="s">
        <v>418</v>
      </c>
      <c r="CY16" s="523" t="s">
        <v>383</v>
      </c>
      <c r="CZ16" s="528" t="s">
        <v>398</v>
      </c>
      <c r="DA16" s="526" t="s">
        <v>387</v>
      </c>
      <c r="DB16" s="523" t="s">
        <v>398</v>
      </c>
      <c r="DC16" s="528" t="s">
        <v>379</v>
      </c>
      <c r="DD16" s="526" t="s">
        <v>387</v>
      </c>
      <c r="DE16" s="523" t="s">
        <v>379</v>
      </c>
      <c r="DF16" s="528" t="s">
        <v>379</v>
      </c>
      <c r="DG16" s="526" t="s">
        <v>387</v>
      </c>
      <c r="DH16" s="523" t="s">
        <v>379</v>
      </c>
      <c r="DI16" s="528" t="s">
        <v>379</v>
      </c>
      <c r="DJ16" s="526" t="s">
        <v>387</v>
      </c>
      <c r="DK16" s="523" t="s">
        <v>379</v>
      </c>
    </row>
    <row r="17" ht="15.0" customHeight="1">
      <c r="A17" s="53">
        <v>15.0</v>
      </c>
      <c r="B17" s="100" t="s">
        <v>81</v>
      </c>
      <c r="C17" s="100" t="s">
        <v>82</v>
      </c>
      <c r="D17" s="102" t="str">
        <f t="shared" si="1"/>
        <v>SITE</v>
      </c>
      <c r="E17" s="101" t="s">
        <v>80</v>
      </c>
      <c r="F17" s="102">
        <v>1130.0</v>
      </c>
      <c r="G17" s="517" t="s">
        <v>80</v>
      </c>
      <c r="H17" s="517">
        <v>1130.0</v>
      </c>
      <c r="I17" s="858" t="str">
        <f>IFERROR(VLOOKUP(C:C,'R22 RELATÓRIO ACC'!B:F,5,FALSE),"NOT PUBLISHED")</f>
        <v>V28</v>
      </c>
      <c r="J17" s="858" t="str">
        <f>IFERROR(VLOOKUP(C:C,'R22 RELATÓRIO ACC'!B:P,15,FALSE),"NOT PUBLISHED")</f>
        <v>17/04/2026</v>
      </c>
      <c r="K17" s="821" t="str">
        <f>IFERROR(VLOOKUP(B:B,'RELATÓRIO ACC'!B:F,5,FALSE),"NOT PUBLISHED")</f>
        <v>V4</v>
      </c>
      <c r="L17" s="822" t="str">
        <f>IFERROR(VLOOKUP(B:B,'RELATÓRIO ACC'!B:P,15,FALSE),"NOT PUBLISHED")</f>
        <v>15/07/2026</v>
      </c>
      <c r="M17" s="865" t="s">
        <v>399</v>
      </c>
      <c r="N17" s="866">
        <v>46218.0</v>
      </c>
      <c r="O17" s="538" t="s">
        <v>378</v>
      </c>
      <c r="P17" s="587" t="s">
        <v>397</v>
      </c>
      <c r="Q17" s="523" t="s">
        <v>379</v>
      </c>
      <c r="R17" s="524">
        <v>0.0</v>
      </c>
      <c r="S17" s="523" t="s">
        <v>379</v>
      </c>
      <c r="T17" s="523" t="s">
        <v>379</v>
      </c>
      <c r="U17" s="524">
        <v>0.0</v>
      </c>
      <c r="V17" s="523" t="s">
        <v>379</v>
      </c>
      <c r="W17" s="523" t="s">
        <v>381</v>
      </c>
      <c r="X17" s="526" t="s">
        <v>427</v>
      </c>
      <c r="Y17" s="551">
        <v>0.13</v>
      </c>
      <c r="Z17" s="523" t="s">
        <v>398</v>
      </c>
      <c r="AA17" s="526" t="s">
        <v>427</v>
      </c>
      <c r="AB17" s="523" t="s">
        <v>398</v>
      </c>
      <c r="AC17" s="523" t="s">
        <v>490</v>
      </c>
      <c r="AD17" s="526" t="s">
        <v>401</v>
      </c>
      <c r="AE17" s="523" t="s">
        <v>490</v>
      </c>
      <c r="AF17" s="523" t="s">
        <v>381</v>
      </c>
      <c r="AG17" s="526" t="s">
        <v>402</v>
      </c>
      <c r="AH17" s="546">
        <v>0.31</v>
      </c>
      <c r="AI17" s="523" t="s">
        <v>379</v>
      </c>
      <c r="AJ17" s="526" t="s">
        <v>402</v>
      </c>
      <c r="AK17" s="523" t="s">
        <v>379</v>
      </c>
      <c r="AL17" s="523" t="s">
        <v>379</v>
      </c>
      <c r="AM17" s="526" t="s">
        <v>402</v>
      </c>
      <c r="AN17" s="523" t="s">
        <v>379</v>
      </c>
      <c r="AO17" s="523" t="s">
        <v>490</v>
      </c>
      <c r="AP17" s="526" t="s">
        <v>402</v>
      </c>
      <c r="AQ17" s="523" t="s">
        <v>490</v>
      </c>
      <c r="AR17" s="523" t="s">
        <v>398</v>
      </c>
      <c r="AS17" s="526" t="s">
        <v>422</v>
      </c>
      <c r="AT17" s="523" t="s">
        <v>398</v>
      </c>
      <c r="AU17" s="523" t="s">
        <v>398</v>
      </c>
      <c r="AV17" s="526" t="s">
        <v>403</v>
      </c>
      <c r="AW17" s="523" t="s">
        <v>398</v>
      </c>
      <c r="AX17" s="523" t="s">
        <v>490</v>
      </c>
      <c r="AY17" s="526" t="s">
        <v>403</v>
      </c>
      <c r="AZ17" s="523" t="s">
        <v>490</v>
      </c>
      <c r="BA17" s="523" t="s">
        <v>398</v>
      </c>
      <c r="BB17" s="526" t="s">
        <v>405</v>
      </c>
      <c r="BC17" s="523" t="s">
        <v>398</v>
      </c>
      <c r="BD17" s="523" t="s">
        <v>379</v>
      </c>
      <c r="BE17" s="526" t="s">
        <v>405</v>
      </c>
      <c r="BF17" s="523" t="s">
        <v>379</v>
      </c>
      <c r="BG17" s="523" t="s">
        <v>383</v>
      </c>
      <c r="BH17" s="526" t="s">
        <v>405</v>
      </c>
      <c r="BI17" s="523" t="s">
        <v>383</v>
      </c>
      <c r="BJ17" s="523" t="s">
        <v>383</v>
      </c>
      <c r="BK17" s="526" t="s">
        <v>405</v>
      </c>
      <c r="BL17" s="523" t="s">
        <v>383</v>
      </c>
      <c r="BM17" s="523" t="s">
        <v>490</v>
      </c>
      <c r="BN17" s="526" t="s">
        <v>405</v>
      </c>
      <c r="BO17" s="523" t="s">
        <v>490</v>
      </c>
      <c r="BP17" s="523" t="s">
        <v>490</v>
      </c>
      <c r="BQ17" s="526" t="s">
        <v>405</v>
      </c>
      <c r="BR17" s="523" t="s">
        <v>490</v>
      </c>
      <c r="BS17" s="523" t="s">
        <v>383</v>
      </c>
      <c r="BT17" s="526" t="s">
        <v>405</v>
      </c>
      <c r="BU17" s="523" t="s">
        <v>383</v>
      </c>
      <c r="BV17" s="523" t="s">
        <v>381</v>
      </c>
      <c r="BW17" s="526" t="s">
        <v>407</v>
      </c>
      <c r="BX17" s="546">
        <v>0.34</v>
      </c>
      <c r="BY17" s="523" t="s">
        <v>381</v>
      </c>
      <c r="BZ17" s="526" t="s">
        <v>420</v>
      </c>
      <c r="CA17" s="546">
        <v>0.34</v>
      </c>
      <c r="CB17" s="523" t="s">
        <v>379</v>
      </c>
      <c r="CC17" s="526" t="s">
        <v>420</v>
      </c>
      <c r="CD17" s="523" t="s">
        <v>379</v>
      </c>
      <c r="CE17" s="523" t="s">
        <v>379</v>
      </c>
      <c r="CF17" s="526" t="s">
        <v>420</v>
      </c>
      <c r="CG17" s="523" t="s">
        <v>379</v>
      </c>
      <c r="CH17" s="523" t="s">
        <v>379</v>
      </c>
      <c r="CI17" s="526" t="s">
        <v>420</v>
      </c>
      <c r="CJ17" s="523" t="s">
        <v>379</v>
      </c>
      <c r="CK17" s="523" t="s">
        <v>383</v>
      </c>
      <c r="CL17" s="526" t="s">
        <v>420</v>
      </c>
      <c r="CM17" s="523" t="s">
        <v>383</v>
      </c>
      <c r="CN17" s="523" t="s">
        <v>383</v>
      </c>
      <c r="CO17" s="526" t="s">
        <v>387</v>
      </c>
      <c r="CP17" s="523" t="s">
        <v>383</v>
      </c>
      <c r="CQ17" s="523" t="s">
        <v>381</v>
      </c>
      <c r="CR17" s="526" t="s">
        <v>400</v>
      </c>
      <c r="CS17" s="546">
        <v>0.98</v>
      </c>
      <c r="CT17" s="523" t="s">
        <v>379</v>
      </c>
      <c r="CU17" s="526" t="s">
        <v>400</v>
      </c>
      <c r="CV17" s="523" t="s">
        <v>379</v>
      </c>
      <c r="CW17" s="523" t="s">
        <v>379</v>
      </c>
      <c r="CX17" s="526" t="s">
        <v>400</v>
      </c>
      <c r="CY17" s="523" t="s">
        <v>379</v>
      </c>
      <c r="CZ17" s="523" t="s">
        <v>379</v>
      </c>
      <c r="DA17" s="526" t="s">
        <v>400</v>
      </c>
      <c r="DB17" s="523" t="s">
        <v>379</v>
      </c>
      <c r="DC17" s="523" t="s">
        <v>379</v>
      </c>
      <c r="DD17" s="526" t="s">
        <v>400</v>
      </c>
      <c r="DE17" s="523" t="s">
        <v>379</v>
      </c>
      <c r="DF17" s="523" t="s">
        <v>379</v>
      </c>
      <c r="DG17" s="526" t="s">
        <v>400</v>
      </c>
      <c r="DH17" s="523" t="s">
        <v>379</v>
      </c>
      <c r="DI17" s="523" t="s">
        <v>386</v>
      </c>
      <c r="DJ17" s="526" t="s">
        <v>399</v>
      </c>
      <c r="DK17" s="546">
        <v>1.0</v>
      </c>
    </row>
    <row r="18" ht="15.0" hidden="1" customHeight="1">
      <c r="A18" s="53">
        <v>17.0</v>
      </c>
      <c r="B18" s="867" t="s">
        <v>151</v>
      </c>
      <c r="C18" s="868"/>
      <c r="D18" s="869"/>
      <c r="E18" s="869"/>
      <c r="F18" s="132"/>
      <c r="G18" s="128"/>
      <c r="H18" s="128"/>
      <c r="I18" s="126"/>
      <c r="J18" s="126"/>
      <c r="K18" s="572"/>
      <c r="L18" s="573"/>
      <c r="M18" s="869"/>
      <c r="N18" s="869"/>
      <c r="O18" s="869"/>
      <c r="P18" s="870"/>
      <c r="Q18" s="833"/>
      <c r="R18" s="871"/>
      <c r="S18" s="872"/>
      <c r="T18" s="833"/>
      <c r="U18" s="871"/>
      <c r="V18" s="872"/>
      <c r="W18" s="833"/>
      <c r="X18" s="871"/>
      <c r="Y18" s="872"/>
      <c r="Z18" s="833"/>
      <c r="AA18" s="871"/>
      <c r="AB18" s="872"/>
      <c r="AC18" s="833"/>
      <c r="AD18" s="871"/>
      <c r="AE18" s="872"/>
      <c r="AF18" s="872"/>
      <c r="AG18" s="873"/>
      <c r="AH18" s="872"/>
      <c r="AI18" s="578"/>
      <c r="AJ18" s="578"/>
      <c r="AK18" s="578"/>
      <c r="AL18" s="578"/>
      <c r="AM18" s="578"/>
      <c r="AN18" s="578"/>
      <c r="AO18" s="578"/>
      <c r="AP18" s="578"/>
      <c r="AQ18" s="578"/>
      <c r="AR18" s="578"/>
      <c r="AS18" s="578"/>
      <c r="AT18" s="578"/>
      <c r="AU18" s="578"/>
      <c r="AV18" s="578"/>
      <c r="AW18" s="578"/>
      <c r="AX18" s="578"/>
      <c r="AY18" s="578"/>
      <c r="AZ18" s="578"/>
      <c r="BA18" s="578"/>
      <c r="BB18" s="578"/>
      <c r="BC18" s="578"/>
      <c r="BD18" s="578"/>
      <c r="BE18" s="578"/>
      <c r="BF18" s="578"/>
      <c r="BG18" s="578"/>
      <c r="BH18" s="578"/>
      <c r="BI18" s="578"/>
      <c r="BJ18" s="578"/>
      <c r="BK18" s="578"/>
      <c r="BL18" s="578"/>
      <c r="BM18" s="578"/>
      <c r="BN18" s="578"/>
      <c r="BO18" s="578"/>
      <c r="BP18" s="578"/>
      <c r="BQ18" s="578"/>
      <c r="BR18" s="578"/>
      <c r="BS18" s="578"/>
      <c r="BT18" s="578"/>
      <c r="BU18" s="578"/>
      <c r="BV18" s="578"/>
      <c r="BW18" s="578"/>
      <c r="BX18" s="578"/>
      <c r="BY18" s="578"/>
      <c r="BZ18" s="578"/>
      <c r="CA18" s="578"/>
      <c r="CB18" s="578"/>
      <c r="CC18" s="578"/>
      <c r="CD18" s="578"/>
      <c r="CE18" s="578"/>
      <c r="CF18" s="578"/>
      <c r="CG18" s="578"/>
      <c r="CH18" s="578"/>
      <c r="CI18" s="578"/>
      <c r="CJ18" s="578"/>
      <c r="CK18" s="578"/>
      <c r="CL18" s="578"/>
      <c r="CM18" s="578"/>
      <c r="CN18" s="578"/>
      <c r="CO18" s="578"/>
      <c r="CP18" s="578"/>
      <c r="CQ18" s="578"/>
      <c r="CR18" s="578"/>
      <c r="CS18" s="578"/>
      <c r="CT18" s="578"/>
      <c r="CU18" s="578"/>
      <c r="CV18" s="578"/>
      <c r="CW18" s="578"/>
      <c r="CX18" s="578"/>
      <c r="CY18" s="578"/>
      <c r="CZ18" s="578"/>
      <c r="DA18" s="578"/>
      <c r="DB18" s="578"/>
      <c r="DC18" s="578"/>
      <c r="DD18" s="578"/>
      <c r="DE18" s="578"/>
      <c r="DF18" s="578"/>
      <c r="DG18" s="578"/>
      <c r="DH18" s="578"/>
      <c r="DI18" s="578"/>
      <c r="DJ18" s="578"/>
      <c r="DK18" s="578"/>
    </row>
    <row r="19" ht="15.0" customHeight="1">
      <c r="A19" s="53">
        <v>11.0</v>
      </c>
      <c r="B19" s="860" t="s">
        <v>115</v>
      </c>
      <c r="C19" s="860" t="s">
        <v>116</v>
      </c>
      <c r="D19" s="101" t="str">
        <f>MID(B19,17,4)</f>
        <v>GUAR</v>
      </c>
      <c r="E19" s="101" t="s">
        <v>117</v>
      </c>
      <c r="F19" s="102">
        <v>1109.0</v>
      </c>
      <c r="G19" s="517" t="s">
        <v>117</v>
      </c>
      <c r="H19" s="517">
        <v>1109.0</v>
      </c>
      <c r="I19" s="858" t="str">
        <f>IFERROR(VLOOKUP(C:C,'R22 RELATÓRIO ACC'!B:F,5,FALSE),"NOT PUBLISHED")</f>
        <v>V9</v>
      </c>
      <c r="J19" s="858" t="str">
        <f>IFERROR(VLOOKUP(C:C,'R22 RELATÓRIO ACC'!B:P,15,FALSE),"NOT PUBLISHED")</f>
        <v>04/12/2025</v>
      </c>
      <c r="K19" s="821" t="str">
        <f>IFERROR(VLOOKUP(B:B,'RELATÓRIO ACC'!B:F,5,FALSE),"NOT PUBLISHED")</f>
        <v>V1</v>
      </c>
      <c r="L19" s="822" t="str">
        <f>IFERROR(VLOOKUP(B:B,'RELATÓRIO ACC'!B:P,15,FALSE),"NOT PUBLISHED")</f>
        <v>20/05/2026</v>
      </c>
      <c r="M19" s="552" t="s">
        <v>377</v>
      </c>
      <c r="N19" s="866">
        <v>46162.0</v>
      </c>
      <c r="O19" s="538" t="s">
        <v>378</v>
      </c>
      <c r="P19" s="587" t="s">
        <v>445</v>
      </c>
      <c r="Q19" s="523" t="s">
        <v>379</v>
      </c>
      <c r="R19" s="524">
        <v>0.0</v>
      </c>
      <c r="S19" s="523" t="s">
        <v>379</v>
      </c>
      <c r="T19" s="523" t="s">
        <v>379</v>
      </c>
      <c r="U19" s="524">
        <v>0.0</v>
      </c>
      <c r="V19" s="523" t="s">
        <v>379</v>
      </c>
      <c r="W19" s="523" t="s">
        <v>379</v>
      </c>
      <c r="X19" s="526" t="s">
        <v>380</v>
      </c>
      <c r="Y19" s="523" t="s">
        <v>379</v>
      </c>
      <c r="Z19" s="523" t="s">
        <v>379</v>
      </c>
      <c r="AA19" s="526" t="s">
        <v>380</v>
      </c>
      <c r="AB19" s="523" t="s">
        <v>379</v>
      </c>
      <c r="AC19" s="523" t="s">
        <v>379</v>
      </c>
      <c r="AD19" s="526" t="s">
        <v>380</v>
      </c>
      <c r="AE19" s="523" t="s">
        <v>379</v>
      </c>
      <c r="AF19" s="523" t="s">
        <v>379</v>
      </c>
      <c r="AG19" s="526" t="s">
        <v>380</v>
      </c>
      <c r="AH19" s="523" t="s">
        <v>379</v>
      </c>
      <c r="AI19" s="523" t="s">
        <v>379</v>
      </c>
      <c r="AJ19" s="526" t="s">
        <v>380</v>
      </c>
      <c r="AK19" s="523" t="s">
        <v>379</v>
      </c>
      <c r="AL19" s="523" t="s">
        <v>398</v>
      </c>
      <c r="AM19" s="526" t="s">
        <v>382</v>
      </c>
      <c r="AN19" s="523" t="s">
        <v>398</v>
      </c>
      <c r="AO19" s="523" t="s">
        <v>381</v>
      </c>
      <c r="AP19" s="526" t="s">
        <v>384</v>
      </c>
      <c r="AQ19" s="565">
        <v>0.07</v>
      </c>
      <c r="AR19" s="523" t="s">
        <v>379</v>
      </c>
      <c r="AS19" s="526" t="s">
        <v>384</v>
      </c>
      <c r="AT19" s="523" t="s">
        <v>379</v>
      </c>
      <c r="AU19" s="523" t="s">
        <v>379</v>
      </c>
      <c r="AV19" s="526" t="s">
        <v>384</v>
      </c>
      <c r="AW19" s="523" t="s">
        <v>379</v>
      </c>
      <c r="AX19" s="523" t="s">
        <v>379</v>
      </c>
      <c r="AY19" s="526" t="s">
        <v>384</v>
      </c>
      <c r="AZ19" s="523" t="s">
        <v>379</v>
      </c>
      <c r="BA19" s="523" t="s">
        <v>379</v>
      </c>
      <c r="BB19" s="526" t="s">
        <v>384</v>
      </c>
      <c r="BC19" s="523" t="s">
        <v>379</v>
      </c>
      <c r="BD19" s="523" t="s">
        <v>379</v>
      </c>
      <c r="BE19" s="526" t="s">
        <v>384</v>
      </c>
      <c r="BF19" s="523" t="s">
        <v>379</v>
      </c>
      <c r="BG19" s="523" t="s">
        <v>379</v>
      </c>
      <c r="BH19" s="526" t="s">
        <v>384</v>
      </c>
      <c r="BI19" s="523" t="s">
        <v>379</v>
      </c>
      <c r="BJ19" s="523" t="s">
        <v>379</v>
      </c>
      <c r="BK19" s="526" t="s">
        <v>384</v>
      </c>
      <c r="BL19" s="523" t="s">
        <v>379</v>
      </c>
      <c r="BM19" s="523" t="s">
        <v>379</v>
      </c>
      <c r="BN19" s="526" t="s">
        <v>384</v>
      </c>
      <c r="BO19" s="523" t="s">
        <v>379</v>
      </c>
      <c r="BP19" s="523" t="s">
        <v>379</v>
      </c>
      <c r="BQ19" s="526" t="s">
        <v>384</v>
      </c>
      <c r="BR19" s="523" t="s">
        <v>379</v>
      </c>
      <c r="BS19" s="523" t="s">
        <v>379</v>
      </c>
      <c r="BT19" s="526" t="s">
        <v>384</v>
      </c>
      <c r="BU19" s="523" t="s">
        <v>379</v>
      </c>
      <c r="BV19" s="523" t="s">
        <v>379</v>
      </c>
      <c r="BW19" s="526" t="s">
        <v>384</v>
      </c>
      <c r="BX19" s="523" t="s">
        <v>379</v>
      </c>
      <c r="BY19" s="523" t="s">
        <v>379</v>
      </c>
      <c r="BZ19" s="526" t="s">
        <v>384</v>
      </c>
      <c r="CA19" s="523" t="s">
        <v>379</v>
      </c>
      <c r="CB19" s="523" t="s">
        <v>379</v>
      </c>
      <c r="CC19" s="526" t="s">
        <v>384</v>
      </c>
      <c r="CD19" s="523" t="s">
        <v>379</v>
      </c>
      <c r="CE19" s="523" t="s">
        <v>379</v>
      </c>
      <c r="CF19" s="526" t="s">
        <v>384</v>
      </c>
      <c r="CG19" s="523" t="s">
        <v>379</v>
      </c>
      <c r="CH19" s="523" t="s">
        <v>379</v>
      </c>
      <c r="CI19" s="526" t="s">
        <v>384</v>
      </c>
      <c r="CJ19" s="523" t="s">
        <v>379</v>
      </c>
      <c r="CK19" s="523" t="s">
        <v>490</v>
      </c>
      <c r="CL19" s="526" t="s">
        <v>384</v>
      </c>
      <c r="CM19" s="523" t="s">
        <v>490</v>
      </c>
      <c r="CN19" s="523" t="s">
        <v>398</v>
      </c>
      <c r="CO19" s="526" t="s">
        <v>377</v>
      </c>
      <c r="CP19" s="523" t="s">
        <v>398</v>
      </c>
      <c r="CQ19" s="523" t="s">
        <v>379</v>
      </c>
      <c r="CR19" s="526" t="s">
        <v>377</v>
      </c>
      <c r="CS19" s="523" t="s">
        <v>379</v>
      </c>
      <c r="CT19" s="523" t="s">
        <v>379</v>
      </c>
      <c r="CU19" s="526" t="s">
        <v>377</v>
      </c>
      <c r="CV19" s="523" t="s">
        <v>379</v>
      </c>
      <c r="CW19" s="523" t="s">
        <v>379</v>
      </c>
      <c r="CX19" s="526" t="s">
        <v>377</v>
      </c>
      <c r="CY19" s="523" t="s">
        <v>379</v>
      </c>
      <c r="CZ19" s="523" t="s">
        <v>379</v>
      </c>
      <c r="DA19" s="526" t="s">
        <v>377</v>
      </c>
      <c r="DB19" s="523" t="s">
        <v>379</v>
      </c>
      <c r="DC19" s="523" t="s">
        <v>379</v>
      </c>
      <c r="DD19" s="526" t="s">
        <v>377</v>
      </c>
      <c r="DE19" s="523" t="s">
        <v>379</v>
      </c>
      <c r="DF19" s="523" t="s">
        <v>379</v>
      </c>
      <c r="DG19" s="526" t="s">
        <v>377</v>
      </c>
      <c r="DH19" s="523" t="s">
        <v>379</v>
      </c>
      <c r="DI19" s="523" t="s">
        <v>379</v>
      </c>
      <c r="DJ19" s="526" t="s">
        <v>377</v>
      </c>
      <c r="DK19" s="523" t="s">
        <v>379</v>
      </c>
    </row>
    <row r="20" ht="15.0" hidden="1" customHeight="1">
      <c r="A20" s="53">
        <v>19.0</v>
      </c>
      <c r="B20" s="874" t="s">
        <v>162</v>
      </c>
      <c r="C20" s="147"/>
      <c r="D20" s="148"/>
      <c r="E20" s="148"/>
      <c r="F20" s="148"/>
      <c r="G20" s="148"/>
      <c r="H20" s="150"/>
      <c r="I20" s="148"/>
      <c r="J20" s="148"/>
      <c r="K20" s="151"/>
      <c r="L20" s="580"/>
      <c r="M20" s="148"/>
      <c r="N20" s="581"/>
      <c r="O20" s="156"/>
      <c r="P20" s="582"/>
      <c r="Q20" s="582"/>
      <c r="R20" s="583"/>
      <c r="S20" s="584"/>
      <c r="T20" s="582"/>
      <c r="U20" s="583"/>
      <c r="V20" s="584"/>
      <c r="W20" s="582"/>
      <c r="X20" s="583"/>
      <c r="Y20" s="584"/>
      <c r="Z20" s="582"/>
      <c r="AA20" s="583"/>
      <c r="AB20" s="584"/>
      <c r="AC20" s="582"/>
      <c r="AD20" s="583"/>
      <c r="AE20" s="584"/>
      <c r="AF20" s="585"/>
      <c r="AG20" s="585"/>
      <c r="AH20" s="585"/>
      <c r="AI20" s="585"/>
      <c r="AJ20" s="585"/>
      <c r="AK20" s="585"/>
      <c r="AL20" s="585"/>
      <c r="AM20" s="585"/>
      <c r="AN20" s="585"/>
      <c r="AO20" s="585"/>
      <c r="AP20" s="585"/>
      <c r="AQ20" s="585"/>
      <c r="AR20" s="585"/>
      <c r="AS20" s="585"/>
      <c r="AT20" s="585"/>
      <c r="AU20" s="585"/>
      <c r="AV20" s="585"/>
      <c r="AW20" s="585"/>
      <c r="AX20" s="585"/>
      <c r="AY20" s="585"/>
      <c r="AZ20" s="585"/>
      <c r="BA20" s="585"/>
      <c r="BB20" s="585"/>
      <c r="BC20" s="585"/>
      <c r="BD20" s="585"/>
      <c r="BE20" s="585"/>
      <c r="BF20" s="585"/>
      <c r="BG20" s="585"/>
      <c r="BH20" s="585"/>
      <c r="BI20" s="585"/>
      <c r="BJ20" s="585"/>
      <c r="BK20" s="585"/>
      <c r="BL20" s="585"/>
      <c r="BM20" s="585"/>
      <c r="BN20" s="585"/>
      <c r="BO20" s="585"/>
      <c r="BP20" s="585"/>
      <c r="BQ20" s="585"/>
      <c r="BR20" s="585"/>
      <c r="BS20" s="585"/>
      <c r="BT20" s="585"/>
      <c r="BU20" s="585"/>
      <c r="BV20" s="585"/>
      <c r="BW20" s="585"/>
      <c r="BX20" s="585"/>
      <c r="BY20" s="585"/>
      <c r="BZ20" s="585"/>
      <c r="CA20" s="585"/>
      <c r="CB20" s="585"/>
      <c r="CC20" s="585"/>
      <c r="CD20" s="585"/>
      <c r="CE20" s="585"/>
      <c r="CF20" s="585"/>
      <c r="CG20" s="585"/>
      <c r="CH20" s="585"/>
      <c r="CI20" s="585"/>
      <c r="CJ20" s="585"/>
      <c r="CK20" s="585"/>
      <c r="CL20" s="585"/>
      <c r="CM20" s="585"/>
      <c r="CN20" s="585"/>
      <c r="CO20" s="585"/>
      <c r="CP20" s="585"/>
      <c r="CQ20" s="585"/>
      <c r="CR20" s="585"/>
      <c r="CS20" s="585"/>
      <c r="CT20" s="585"/>
      <c r="CU20" s="585"/>
      <c r="CV20" s="585"/>
      <c r="CW20" s="585"/>
      <c r="CX20" s="585"/>
      <c r="CY20" s="585"/>
      <c r="CZ20" s="585"/>
      <c r="DA20" s="585"/>
      <c r="DB20" s="585"/>
      <c r="DC20" s="585"/>
      <c r="DD20" s="585"/>
      <c r="DE20" s="585"/>
      <c r="DF20" s="585"/>
      <c r="DG20" s="585"/>
      <c r="DH20" s="585"/>
      <c r="DI20" s="585"/>
      <c r="DJ20" s="585"/>
      <c r="DK20" s="585"/>
    </row>
    <row r="21" ht="15.0" customHeight="1">
      <c r="A21" s="53">
        <v>16.0</v>
      </c>
      <c r="B21" s="875" t="s">
        <v>143</v>
      </c>
      <c r="C21" s="876" t="s">
        <v>144</v>
      </c>
      <c r="D21" s="877" t="s">
        <v>7</v>
      </c>
      <c r="E21" s="877" t="s">
        <v>141</v>
      </c>
      <c r="F21" s="878">
        <v>0.0</v>
      </c>
      <c r="G21" s="879" t="s">
        <v>142</v>
      </c>
      <c r="H21" s="535"/>
      <c r="I21" s="858" t="str">
        <f>IFERROR(VLOOKUP(C:C,'R22 RELATÓRIO ACC'!B:F,5,FALSE),"NOT PUBLISHED")</f>
        <v>V2</v>
      </c>
      <c r="J21" s="858" t="str">
        <f>IFERROR(VLOOKUP(C:C,'R22 RELATÓRIO ACC'!B:P,15,FALSE),"NOT PUBLISHED")</f>
        <v>29/04/2026</v>
      </c>
      <c r="K21" s="821" t="str">
        <f>IFERROR(VLOOKUP(B:B,'RELATÓRIO ACC'!B:F,5,FALSE),"NOT PUBLISHED")</f>
        <v>V1</v>
      </c>
      <c r="L21" s="822" t="str">
        <f>IFERROR(VLOOKUP(B:B,'RELATÓRIO ACC'!B:P,15,FALSE),"NOT PUBLISHED")</f>
        <v>12/06/2026</v>
      </c>
      <c r="M21" s="880" t="s">
        <v>377</v>
      </c>
      <c r="N21" s="881">
        <v>46185.0</v>
      </c>
      <c r="O21" s="538" t="s">
        <v>378</v>
      </c>
      <c r="P21" s="587" t="s">
        <v>397</v>
      </c>
      <c r="Q21" s="523" t="s">
        <v>388</v>
      </c>
      <c r="R21" s="524" t="s">
        <v>380</v>
      </c>
      <c r="S21" s="523" t="s">
        <v>388</v>
      </c>
      <c r="T21" s="523" t="s">
        <v>388</v>
      </c>
      <c r="U21" s="524" t="s">
        <v>380</v>
      </c>
      <c r="V21" s="523" t="s">
        <v>388</v>
      </c>
      <c r="W21" s="523" t="s">
        <v>388</v>
      </c>
      <c r="X21" s="524" t="s">
        <v>380</v>
      </c>
      <c r="Y21" s="523" t="s">
        <v>388</v>
      </c>
      <c r="Z21" s="523" t="s">
        <v>388</v>
      </c>
      <c r="AA21" s="524" t="s">
        <v>380</v>
      </c>
      <c r="AB21" s="523" t="s">
        <v>388</v>
      </c>
      <c r="AC21" s="523" t="s">
        <v>388</v>
      </c>
      <c r="AD21" s="882" t="s">
        <v>380</v>
      </c>
      <c r="AE21" s="883" t="s">
        <v>388</v>
      </c>
      <c r="AF21" s="523" t="s">
        <v>490</v>
      </c>
      <c r="AG21" s="884" t="s">
        <v>414</v>
      </c>
      <c r="AH21" s="883" t="s">
        <v>490</v>
      </c>
      <c r="AI21" s="522" t="s">
        <v>381</v>
      </c>
      <c r="AJ21" s="526" t="s">
        <v>377</v>
      </c>
      <c r="AK21" s="546">
        <v>0.01</v>
      </c>
      <c r="AL21" s="523" t="s">
        <v>379</v>
      </c>
      <c r="AM21" s="526" t="s">
        <v>377</v>
      </c>
      <c r="AN21" s="523" t="s">
        <v>379</v>
      </c>
      <c r="AO21" s="523" t="s">
        <v>379</v>
      </c>
      <c r="AP21" s="526" t="s">
        <v>377</v>
      </c>
      <c r="AQ21" s="523" t="s">
        <v>379</v>
      </c>
      <c r="AR21" s="523" t="s">
        <v>379</v>
      </c>
      <c r="AS21" s="526" t="s">
        <v>377</v>
      </c>
      <c r="AT21" s="523" t="s">
        <v>379</v>
      </c>
      <c r="AU21" s="523" t="s">
        <v>379</v>
      </c>
      <c r="AV21" s="526" t="s">
        <v>377</v>
      </c>
      <c r="AW21" s="523" t="s">
        <v>379</v>
      </c>
      <c r="AX21" s="523" t="s">
        <v>379</v>
      </c>
      <c r="AY21" s="526" t="s">
        <v>377</v>
      </c>
      <c r="AZ21" s="523" t="s">
        <v>379</v>
      </c>
      <c r="BA21" s="523" t="s">
        <v>379</v>
      </c>
      <c r="BB21" s="526" t="s">
        <v>377</v>
      </c>
      <c r="BC21" s="523" t="s">
        <v>379</v>
      </c>
      <c r="BD21" s="523" t="s">
        <v>379</v>
      </c>
      <c r="BE21" s="526" t="s">
        <v>377</v>
      </c>
      <c r="BF21" s="523" t="s">
        <v>379</v>
      </c>
      <c r="BG21" s="523" t="s">
        <v>379</v>
      </c>
      <c r="BH21" s="526" t="s">
        <v>377</v>
      </c>
      <c r="BI21" s="523" t="s">
        <v>379</v>
      </c>
      <c r="BJ21" s="523" t="s">
        <v>379</v>
      </c>
      <c r="BK21" s="526" t="s">
        <v>377</v>
      </c>
      <c r="BL21" s="523" t="s">
        <v>379</v>
      </c>
      <c r="BM21" s="523" t="s">
        <v>379</v>
      </c>
      <c r="BN21" s="526" t="s">
        <v>377</v>
      </c>
      <c r="BO21" s="523" t="s">
        <v>379</v>
      </c>
      <c r="BP21" s="523" t="s">
        <v>379</v>
      </c>
      <c r="BQ21" s="526" t="s">
        <v>377</v>
      </c>
      <c r="BR21" s="523" t="s">
        <v>379</v>
      </c>
      <c r="BS21" s="523" t="s">
        <v>379</v>
      </c>
      <c r="BT21" s="526" t="s">
        <v>377</v>
      </c>
      <c r="BU21" s="523" t="s">
        <v>379</v>
      </c>
      <c r="BV21" s="523" t="s">
        <v>379</v>
      </c>
      <c r="BW21" s="526" t="s">
        <v>377</v>
      </c>
      <c r="BX21" s="523" t="s">
        <v>379</v>
      </c>
      <c r="BY21" s="523" t="s">
        <v>379</v>
      </c>
      <c r="BZ21" s="526" t="s">
        <v>377</v>
      </c>
      <c r="CA21" s="523" t="s">
        <v>379</v>
      </c>
      <c r="CB21" s="523" t="s">
        <v>490</v>
      </c>
      <c r="CC21" s="526" t="s">
        <v>377</v>
      </c>
      <c r="CD21" s="523" t="s">
        <v>490</v>
      </c>
      <c r="CE21" s="528" t="s">
        <v>381</v>
      </c>
      <c r="CF21" s="526" t="s">
        <v>387</v>
      </c>
      <c r="CG21" s="548">
        <v>0.01</v>
      </c>
      <c r="CH21" s="809" t="s">
        <v>379</v>
      </c>
      <c r="CI21" s="526" t="s">
        <v>387</v>
      </c>
      <c r="CJ21" s="809" t="s">
        <v>379</v>
      </c>
      <c r="CK21" s="809" t="s">
        <v>383</v>
      </c>
      <c r="CL21" s="526" t="s">
        <v>387</v>
      </c>
      <c r="CM21" s="809" t="s">
        <v>383</v>
      </c>
      <c r="CN21" s="809" t="s">
        <v>398</v>
      </c>
      <c r="CO21" s="526" t="s">
        <v>387</v>
      </c>
      <c r="CP21" s="809" t="s">
        <v>398</v>
      </c>
      <c r="CQ21" s="809" t="s">
        <v>379</v>
      </c>
      <c r="CR21" s="526" t="s">
        <v>387</v>
      </c>
      <c r="CS21" s="809" t="s">
        <v>379</v>
      </c>
      <c r="CT21" s="809" t="s">
        <v>398</v>
      </c>
      <c r="CU21" s="526" t="s">
        <v>387</v>
      </c>
      <c r="CV21" s="809" t="s">
        <v>398</v>
      </c>
      <c r="CW21" s="523" t="s">
        <v>379</v>
      </c>
      <c r="CX21" s="526" t="s">
        <v>387</v>
      </c>
      <c r="CY21" s="523" t="s">
        <v>379</v>
      </c>
      <c r="CZ21" s="523" t="s">
        <v>379</v>
      </c>
      <c r="DA21" s="526" t="s">
        <v>387</v>
      </c>
      <c r="DB21" s="523" t="s">
        <v>379</v>
      </c>
      <c r="DC21" s="523" t="s">
        <v>379</v>
      </c>
      <c r="DD21" s="526" t="s">
        <v>387</v>
      </c>
      <c r="DE21" s="523" t="s">
        <v>379</v>
      </c>
      <c r="DF21" s="523" t="s">
        <v>379</v>
      </c>
      <c r="DG21" s="526" t="s">
        <v>387</v>
      </c>
      <c r="DH21" s="523" t="s">
        <v>379</v>
      </c>
      <c r="DI21" s="523" t="s">
        <v>379</v>
      </c>
      <c r="DJ21" s="526" t="s">
        <v>387</v>
      </c>
      <c r="DK21" s="523" t="s">
        <v>379</v>
      </c>
    </row>
    <row r="22" ht="13.5" hidden="1" customHeight="1">
      <c r="A22" s="53">
        <v>21.0</v>
      </c>
      <c r="B22" s="874" t="s">
        <v>168</v>
      </c>
      <c r="C22" s="147"/>
      <c r="D22" s="148"/>
      <c r="E22" s="148"/>
      <c r="F22" s="148"/>
      <c r="G22" s="148"/>
      <c r="H22" s="150"/>
      <c r="I22" s="148"/>
      <c r="J22" s="148"/>
      <c r="K22" s="151"/>
      <c r="L22" s="581"/>
      <c r="M22" s="148"/>
      <c r="N22" s="581"/>
      <c r="O22" s="156"/>
      <c r="P22" s="582"/>
      <c r="Q22" s="582"/>
      <c r="R22" s="583"/>
      <c r="S22" s="584"/>
      <c r="T22" s="582"/>
      <c r="U22" s="583"/>
      <c r="V22" s="584"/>
      <c r="W22" s="582"/>
      <c r="X22" s="583"/>
      <c r="Y22" s="584"/>
      <c r="Z22" s="582"/>
      <c r="AA22" s="583"/>
      <c r="AB22" s="584"/>
      <c r="AC22" s="582"/>
      <c r="AD22" s="583"/>
      <c r="AE22" s="584"/>
      <c r="AF22" s="585"/>
      <c r="AG22" s="585"/>
      <c r="AH22" s="585"/>
      <c r="AI22" s="585"/>
      <c r="AJ22" s="585"/>
      <c r="AK22" s="585"/>
      <c r="AL22" s="585"/>
      <c r="AM22" s="585"/>
      <c r="AN22" s="585"/>
      <c r="AO22" s="585"/>
      <c r="AP22" s="585"/>
      <c r="AQ22" s="885"/>
      <c r="AR22" s="885"/>
      <c r="AS22" s="585"/>
      <c r="AT22" s="885"/>
      <c r="AU22" s="885"/>
      <c r="AV22" s="585"/>
      <c r="AW22" s="885"/>
      <c r="AX22" s="885"/>
      <c r="AY22" s="585"/>
      <c r="AZ22" s="885"/>
      <c r="BA22" s="885"/>
      <c r="BB22" s="585"/>
      <c r="BC22" s="885"/>
      <c r="BD22" s="885"/>
      <c r="BE22" s="585"/>
      <c r="BF22" s="885"/>
      <c r="BG22" s="885"/>
      <c r="BH22" s="585"/>
      <c r="BI22" s="885"/>
      <c r="BJ22" s="885"/>
      <c r="BK22" s="585"/>
      <c r="BL22" s="885"/>
      <c r="BM22" s="885"/>
      <c r="BN22" s="585"/>
      <c r="BO22" s="885"/>
      <c r="BP22" s="885"/>
      <c r="BQ22" s="585"/>
      <c r="BR22" s="885"/>
      <c r="BS22" s="885"/>
      <c r="BT22" s="585"/>
      <c r="BU22" s="885"/>
      <c r="BV22" s="885"/>
      <c r="BW22" s="585"/>
      <c r="BX22" s="885"/>
      <c r="BY22" s="885"/>
      <c r="BZ22" s="585"/>
      <c r="CA22" s="885"/>
      <c r="CB22" s="885"/>
      <c r="CC22" s="585"/>
      <c r="CD22" s="885"/>
      <c r="CE22" s="585"/>
      <c r="CF22" s="585"/>
      <c r="CG22" s="585"/>
      <c r="CH22" s="585"/>
      <c r="CI22" s="585"/>
      <c r="CJ22" s="585"/>
      <c r="CK22" s="585"/>
      <c r="CL22" s="585"/>
      <c r="CM22" s="585"/>
      <c r="CN22" s="585"/>
      <c r="CO22" s="585"/>
      <c r="CP22" s="585"/>
      <c r="CQ22" s="585"/>
      <c r="CR22" s="585"/>
      <c r="CS22" s="585"/>
      <c r="CT22" s="585"/>
      <c r="CU22" s="585"/>
      <c r="CV22" s="585"/>
      <c r="CW22" s="585"/>
      <c r="CX22" s="585"/>
      <c r="CY22" s="585"/>
      <c r="CZ22" s="585"/>
      <c r="DA22" s="585"/>
      <c r="DB22" s="585"/>
      <c r="DC22" s="585"/>
      <c r="DD22" s="585"/>
      <c r="DE22" s="585"/>
      <c r="DF22" s="585"/>
      <c r="DG22" s="585"/>
      <c r="DH22" s="585"/>
      <c r="DI22" s="585"/>
      <c r="DJ22" s="585"/>
      <c r="DK22" s="585"/>
    </row>
    <row r="23" ht="15.0" customHeight="1">
      <c r="A23" s="53">
        <v>61.0</v>
      </c>
      <c r="B23" s="857" t="s">
        <v>281</v>
      </c>
      <c r="C23" s="857" t="s">
        <v>282</v>
      </c>
      <c r="D23" s="101" t="str">
        <f>MID(B23,17,4)</f>
        <v>SITE</v>
      </c>
      <c r="E23" s="111" t="s">
        <v>280</v>
      </c>
      <c r="F23" s="102"/>
      <c r="G23" s="534" t="s">
        <v>280</v>
      </c>
      <c r="H23" s="535"/>
      <c r="I23" s="858" t="str">
        <f>IFERROR(VLOOKUP(C:C,'R22 RELATÓRIO ACC'!B:F,5,FALSE),"NOT PUBLISHED")</f>
        <v>V1</v>
      </c>
      <c r="J23" s="858" t="str">
        <f>IFERROR(VLOOKUP(C:C,'R22 RELATÓRIO ACC'!B:P,15,FALSE),"NOT PUBLISHED")</f>
        <v>05/05/2026</v>
      </c>
      <c r="K23" s="821" t="str">
        <f>IFERROR(VLOOKUP(B:B,'RELATÓRIO ACC'!B:F,5,FALSE),"NOT PUBLISHED")</f>
        <v>V2</v>
      </c>
      <c r="L23" s="822" t="str">
        <f>IFERROR(VLOOKUP(B:B,'RELATÓRIO ACC'!B:P,15,FALSE),"NOT PUBLISHED")</f>
        <v>26/05/2026</v>
      </c>
      <c r="M23" s="886" t="s">
        <v>387</v>
      </c>
      <c r="N23" s="887">
        <v>46168.0</v>
      </c>
      <c r="O23" s="538" t="s">
        <v>378</v>
      </c>
      <c r="P23" s="587"/>
      <c r="Q23" s="523" t="s">
        <v>388</v>
      </c>
      <c r="R23" s="558" t="s">
        <v>380</v>
      </c>
      <c r="S23" s="523" t="s">
        <v>388</v>
      </c>
      <c r="T23" s="523" t="s">
        <v>388</v>
      </c>
      <c r="U23" s="558" t="s">
        <v>380</v>
      </c>
      <c r="V23" s="523" t="s">
        <v>388</v>
      </c>
      <c r="W23" s="523" t="s">
        <v>388</v>
      </c>
      <c r="X23" s="558" t="s">
        <v>380</v>
      </c>
      <c r="Y23" s="523" t="s">
        <v>388</v>
      </c>
      <c r="Z23" s="523" t="s">
        <v>388</v>
      </c>
      <c r="AA23" s="558" t="s">
        <v>380</v>
      </c>
      <c r="AB23" s="523" t="s">
        <v>388</v>
      </c>
      <c r="AC23" s="523" t="s">
        <v>388</v>
      </c>
      <c r="AD23" s="558" t="s">
        <v>380</v>
      </c>
      <c r="AE23" s="523" t="s">
        <v>388</v>
      </c>
      <c r="AF23" s="523" t="s">
        <v>388</v>
      </c>
      <c r="AG23" s="558" t="s">
        <v>380</v>
      </c>
      <c r="AH23" s="523" t="s">
        <v>388</v>
      </c>
      <c r="AI23" s="523" t="s">
        <v>388</v>
      </c>
      <c r="AJ23" s="558" t="s">
        <v>380</v>
      </c>
      <c r="AK23" s="523" t="s">
        <v>388</v>
      </c>
      <c r="AL23" s="523" t="s">
        <v>388</v>
      </c>
      <c r="AM23" s="558" t="s">
        <v>380</v>
      </c>
      <c r="AN23" s="523" t="s">
        <v>388</v>
      </c>
      <c r="AO23" s="523" t="s">
        <v>388</v>
      </c>
      <c r="AP23" s="558" t="s">
        <v>380</v>
      </c>
      <c r="AQ23" s="523" t="s">
        <v>388</v>
      </c>
      <c r="AR23" s="523" t="s">
        <v>388</v>
      </c>
      <c r="AS23" s="558" t="s">
        <v>380</v>
      </c>
      <c r="AT23" s="523" t="s">
        <v>388</v>
      </c>
      <c r="AU23" s="523" t="s">
        <v>388</v>
      </c>
      <c r="AV23" s="558" t="s">
        <v>380</v>
      </c>
      <c r="AW23" s="523" t="s">
        <v>388</v>
      </c>
      <c r="AX23" s="523" t="s">
        <v>388</v>
      </c>
      <c r="AY23" s="558" t="s">
        <v>380</v>
      </c>
      <c r="AZ23" s="523" t="s">
        <v>388</v>
      </c>
      <c r="BA23" s="523" t="s">
        <v>388</v>
      </c>
      <c r="BB23" s="558" t="s">
        <v>380</v>
      </c>
      <c r="BC23" s="523" t="s">
        <v>388</v>
      </c>
      <c r="BD23" s="523" t="s">
        <v>388</v>
      </c>
      <c r="BE23" s="558" t="s">
        <v>380</v>
      </c>
      <c r="BF23" s="523" t="s">
        <v>388</v>
      </c>
      <c r="BG23" s="523" t="s">
        <v>388</v>
      </c>
      <c r="BH23" s="558" t="s">
        <v>380</v>
      </c>
      <c r="BI23" s="523" t="s">
        <v>388</v>
      </c>
      <c r="BJ23" s="523" t="s">
        <v>388</v>
      </c>
      <c r="BK23" s="558" t="s">
        <v>380</v>
      </c>
      <c r="BL23" s="523" t="s">
        <v>388</v>
      </c>
      <c r="BM23" s="523" t="s">
        <v>388</v>
      </c>
      <c r="BN23" s="558" t="s">
        <v>380</v>
      </c>
      <c r="BO23" s="523" t="s">
        <v>388</v>
      </c>
      <c r="BP23" s="523" t="s">
        <v>388</v>
      </c>
      <c r="BQ23" s="558" t="s">
        <v>380</v>
      </c>
      <c r="BR23" s="523" t="s">
        <v>388</v>
      </c>
      <c r="BS23" s="523" t="s">
        <v>388</v>
      </c>
      <c r="BT23" s="558" t="s">
        <v>380</v>
      </c>
      <c r="BU23" s="523" t="s">
        <v>388</v>
      </c>
      <c r="BV23" s="523" t="s">
        <v>388</v>
      </c>
      <c r="BW23" s="558" t="s">
        <v>380</v>
      </c>
      <c r="BX23" s="523" t="s">
        <v>388</v>
      </c>
      <c r="BY23" s="523" t="s">
        <v>388</v>
      </c>
      <c r="BZ23" s="558" t="s">
        <v>380</v>
      </c>
      <c r="CA23" s="523" t="s">
        <v>388</v>
      </c>
      <c r="CB23" s="523" t="s">
        <v>388</v>
      </c>
      <c r="CC23" s="558" t="s">
        <v>380</v>
      </c>
      <c r="CD23" s="523" t="s">
        <v>388</v>
      </c>
      <c r="CE23" s="523" t="s">
        <v>388</v>
      </c>
      <c r="CF23" s="558" t="s">
        <v>380</v>
      </c>
      <c r="CG23" s="523" t="s">
        <v>388</v>
      </c>
      <c r="CH23" s="837" t="s">
        <v>380</v>
      </c>
      <c r="CI23" s="558" t="s">
        <v>380</v>
      </c>
      <c r="CJ23" s="837" t="s">
        <v>380</v>
      </c>
      <c r="CK23" s="837" t="s">
        <v>380</v>
      </c>
      <c r="CL23" s="558" t="s">
        <v>380</v>
      </c>
      <c r="CM23" s="837" t="s">
        <v>380</v>
      </c>
      <c r="CN23" s="837" t="s">
        <v>380</v>
      </c>
      <c r="CO23" s="558" t="s">
        <v>380</v>
      </c>
      <c r="CP23" s="837" t="s">
        <v>380</v>
      </c>
      <c r="CQ23" s="530" t="s">
        <v>383</v>
      </c>
      <c r="CR23" s="735" t="s">
        <v>380</v>
      </c>
      <c r="CS23" s="546">
        <v>0.0</v>
      </c>
      <c r="CT23" s="523" t="s">
        <v>383</v>
      </c>
      <c r="CU23" s="735" t="s">
        <v>380</v>
      </c>
      <c r="CV23" s="523" t="s">
        <v>383</v>
      </c>
      <c r="CW23" s="523" t="s">
        <v>383</v>
      </c>
      <c r="CX23" s="735" t="s">
        <v>380</v>
      </c>
      <c r="CY23" s="523" t="s">
        <v>383</v>
      </c>
      <c r="CZ23" s="523" t="s">
        <v>381</v>
      </c>
      <c r="DA23" s="690" t="s">
        <v>387</v>
      </c>
      <c r="DB23" s="546">
        <v>0.01</v>
      </c>
      <c r="DC23" s="523" t="s">
        <v>379</v>
      </c>
      <c r="DD23" s="690" t="s">
        <v>387</v>
      </c>
      <c r="DE23" s="523" t="s">
        <v>379</v>
      </c>
      <c r="DF23" s="523" t="s">
        <v>379</v>
      </c>
      <c r="DG23" s="690" t="s">
        <v>387</v>
      </c>
      <c r="DH23" s="523" t="s">
        <v>379</v>
      </c>
      <c r="DI23" s="523" t="s">
        <v>379</v>
      </c>
      <c r="DJ23" s="690" t="s">
        <v>387</v>
      </c>
      <c r="DK23" s="523" t="s">
        <v>379</v>
      </c>
    </row>
    <row r="24" ht="15.0" hidden="1" customHeight="1">
      <c r="A24" s="53">
        <v>23.0</v>
      </c>
      <c r="B24" s="874" t="s">
        <v>173</v>
      </c>
      <c r="C24" s="147"/>
      <c r="D24" s="148"/>
      <c r="E24" s="148"/>
      <c r="F24" s="148"/>
      <c r="G24" s="148"/>
      <c r="H24" s="150"/>
      <c r="I24" s="148"/>
      <c r="J24" s="148"/>
      <c r="K24" s="151"/>
      <c r="L24" s="580"/>
      <c r="M24" s="148"/>
      <c r="N24" s="581"/>
      <c r="O24" s="156"/>
      <c r="P24" s="582"/>
      <c r="Q24" s="582"/>
      <c r="R24" s="583"/>
      <c r="S24" s="584"/>
      <c r="T24" s="582"/>
      <c r="U24" s="583"/>
      <c r="V24" s="584"/>
      <c r="W24" s="582"/>
      <c r="X24" s="583"/>
      <c r="Y24" s="584"/>
      <c r="Z24" s="582"/>
      <c r="AA24" s="583"/>
      <c r="AB24" s="584"/>
      <c r="AC24" s="582"/>
      <c r="AD24" s="583"/>
      <c r="AE24" s="584"/>
      <c r="AF24" s="585"/>
      <c r="AG24" s="585"/>
      <c r="AH24" s="585"/>
      <c r="AI24" s="585"/>
      <c r="AJ24" s="585"/>
      <c r="AK24" s="585"/>
      <c r="AL24" s="585"/>
      <c r="AM24" s="585"/>
      <c r="AN24" s="585"/>
      <c r="AO24" s="585"/>
      <c r="AP24" s="585"/>
      <c r="AQ24" s="585"/>
      <c r="AR24" s="585"/>
      <c r="AS24" s="585"/>
      <c r="AT24" s="585"/>
      <c r="AU24" s="585"/>
      <c r="AV24" s="585"/>
      <c r="AW24" s="585"/>
      <c r="AX24" s="585"/>
      <c r="AY24" s="585"/>
      <c r="AZ24" s="585"/>
      <c r="BA24" s="585"/>
      <c r="BB24" s="585"/>
      <c r="BC24" s="585"/>
      <c r="BD24" s="585"/>
      <c r="BE24" s="585"/>
      <c r="BF24" s="585"/>
      <c r="BG24" s="585"/>
      <c r="BH24" s="585"/>
      <c r="BI24" s="585"/>
      <c r="BJ24" s="585"/>
      <c r="BK24" s="585"/>
      <c r="BL24" s="585"/>
      <c r="BM24" s="585"/>
      <c r="BN24" s="585"/>
      <c r="BO24" s="585"/>
      <c r="BP24" s="585"/>
      <c r="BQ24" s="585"/>
      <c r="BR24" s="585"/>
      <c r="BS24" s="585"/>
      <c r="BT24" s="585"/>
      <c r="BU24" s="585"/>
      <c r="BV24" s="585"/>
      <c r="BW24" s="585"/>
      <c r="BX24" s="585"/>
      <c r="BY24" s="585"/>
      <c r="BZ24" s="585"/>
      <c r="CA24" s="585"/>
      <c r="CB24" s="585"/>
      <c r="CC24" s="585"/>
      <c r="CD24" s="585"/>
      <c r="CE24" s="585"/>
      <c r="CF24" s="585"/>
      <c r="CG24" s="585"/>
      <c r="CH24" s="585"/>
      <c r="CI24" s="585"/>
      <c r="CJ24" s="585"/>
      <c r="CK24" s="585"/>
      <c r="CL24" s="585"/>
      <c r="CM24" s="585"/>
      <c r="CN24" s="585"/>
      <c r="CO24" s="585"/>
      <c r="CP24" s="585"/>
      <c r="CQ24" s="585"/>
      <c r="CR24" s="585"/>
      <c r="CS24" s="585"/>
      <c r="CT24" s="585"/>
      <c r="CU24" s="585"/>
      <c r="CV24" s="585"/>
      <c r="CW24" s="585"/>
      <c r="CX24" s="585"/>
      <c r="CY24" s="585"/>
      <c r="CZ24" s="585"/>
      <c r="DA24" s="585"/>
      <c r="DB24" s="585"/>
      <c r="DC24" s="585"/>
      <c r="DD24" s="585"/>
      <c r="DE24" s="585"/>
      <c r="DF24" s="585"/>
      <c r="DG24" s="585"/>
      <c r="DH24" s="585"/>
      <c r="DI24" s="585"/>
      <c r="DJ24" s="585"/>
      <c r="DK24" s="585"/>
    </row>
    <row r="25" ht="15.0" customHeight="1">
      <c r="A25" s="53">
        <v>33.0</v>
      </c>
      <c r="B25" s="860" t="s">
        <v>199</v>
      </c>
      <c r="C25" s="860" t="s">
        <v>199</v>
      </c>
      <c r="D25" s="101" t="str">
        <f>MID(B25,17,4)</f>
        <v>SITE</v>
      </c>
      <c r="E25" s="111" t="s">
        <v>200</v>
      </c>
      <c r="F25" s="102"/>
      <c r="G25" s="534" t="s">
        <v>200</v>
      </c>
      <c r="H25" s="517"/>
      <c r="I25" s="858" t="str">
        <f>IFERROR(VLOOKUP(C:C,'R22 RELATÓRIO ACC'!B:F,5,FALSE),"NOT PUBLISHED")</f>
        <v>V2</v>
      </c>
      <c r="J25" s="858" t="str">
        <f>IFERROR(VLOOKUP(C:C,'R22 RELATÓRIO ACC'!B:P,15,FALSE),"NOT PUBLISHED")</f>
        <v>07/05/2026</v>
      </c>
      <c r="K25" s="821" t="str">
        <f>IFERROR(VLOOKUP(B:B,'RELATÓRIO ACC'!B:F,5,FALSE),"NOT PUBLISHED")</f>
        <v>V5</v>
      </c>
      <c r="L25" s="822" t="str">
        <f>IFERROR(VLOOKUP(B:B,'RELATÓRIO ACC'!B:P,15,FALSE),"NOT PUBLISHED")</f>
        <v>08/07/2026</v>
      </c>
      <c r="M25" s="821" t="s">
        <v>387</v>
      </c>
      <c r="N25" s="888">
        <v>46189.0</v>
      </c>
      <c r="O25" s="538" t="s">
        <v>378</v>
      </c>
      <c r="P25" s="587"/>
      <c r="Q25" s="523" t="s">
        <v>388</v>
      </c>
      <c r="R25" s="558" t="s">
        <v>380</v>
      </c>
      <c r="S25" s="523" t="s">
        <v>388</v>
      </c>
      <c r="T25" s="523" t="s">
        <v>388</v>
      </c>
      <c r="U25" s="524" t="s">
        <v>380</v>
      </c>
      <c r="V25" s="523" t="s">
        <v>388</v>
      </c>
      <c r="W25" s="523" t="s">
        <v>388</v>
      </c>
      <c r="X25" s="524" t="s">
        <v>380</v>
      </c>
      <c r="Y25" s="523" t="s">
        <v>388</v>
      </c>
      <c r="Z25" s="523" t="s">
        <v>388</v>
      </c>
      <c r="AA25" s="524" t="s">
        <v>380</v>
      </c>
      <c r="AB25" s="523" t="s">
        <v>388</v>
      </c>
      <c r="AC25" s="523" t="s">
        <v>388</v>
      </c>
      <c r="AD25" s="524" t="s">
        <v>380</v>
      </c>
      <c r="AE25" s="523" t="s">
        <v>388</v>
      </c>
      <c r="AF25" s="523" t="s">
        <v>388</v>
      </c>
      <c r="AG25" s="524" t="s">
        <v>380</v>
      </c>
      <c r="AH25" s="523" t="s">
        <v>388</v>
      </c>
      <c r="AI25" s="523" t="s">
        <v>388</v>
      </c>
      <c r="AJ25" s="524" t="s">
        <v>380</v>
      </c>
      <c r="AK25" s="523" t="s">
        <v>388</v>
      </c>
      <c r="AL25" s="523" t="s">
        <v>388</v>
      </c>
      <c r="AM25" s="524" t="s">
        <v>380</v>
      </c>
      <c r="AN25" s="523" t="s">
        <v>388</v>
      </c>
      <c r="AO25" s="523" t="s">
        <v>388</v>
      </c>
      <c r="AP25" s="524" t="s">
        <v>380</v>
      </c>
      <c r="AQ25" s="523" t="s">
        <v>388</v>
      </c>
      <c r="AR25" s="523" t="s">
        <v>388</v>
      </c>
      <c r="AS25" s="524" t="s">
        <v>380</v>
      </c>
      <c r="AT25" s="523" t="s">
        <v>388</v>
      </c>
      <c r="AU25" s="523" t="s">
        <v>388</v>
      </c>
      <c r="AV25" s="524" t="s">
        <v>380</v>
      </c>
      <c r="AW25" s="523" t="s">
        <v>388</v>
      </c>
      <c r="AX25" s="523" t="s">
        <v>388</v>
      </c>
      <c r="AY25" s="524" t="s">
        <v>380</v>
      </c>
      <c r="AZ25" s="523" t="s">
        <v>388</v>
      </c>
      <c r="BA25" s="523" t="s">
        <v>388</v>
      </c>
      <c r="BB25" s="524" t="s">
        <v>380</v>
      </c>
      <c r="BC25" s="523" t="s">
        <v>388</v>
      </c>
      <c r="BD25" s="523" t="s">
        <v>388</v>
      </c>
      <c r="BE25" s="524" t="s">
        <v>380</v>
      </c>
      <c r="BF25" s="523" t="s">
        <v>388</v>
      </c>
      <c r="BG25" s="523" t="s">
        <v>388</v>
      </c>
      <c r="BH25" s="524" t="s">
        <v>380</v>
      </c>
      <c r="BI25" s="523" t="s">
        <v>388</v>
      </c>
      <c r="BJ25" s="523" t="s">
        <v>388</v>
      </c>
      <c r="BK25" s="524" t="s">
        <v>380</v>
      </c>
      <c r="BL25" s="523" t="s">
        <v>388</v>
      </c>
      <c r="BM25" s="523" t="s">
        <v>388</v>
      </c>
      <c r="BN25" s="524" t="s">
        <v>380</v>
      </c>
      <c r="BO25" s="523" t="s">
        <v>388</v>
      </c>
      <c r="BP25" s="523" t="s">
        <v>388</v>
      </c>
      <c r="BQ25" s="524" t="s">
        <v>380</v>
      </c>
      <c r="BR25" s="523" t="s">
        <v>388</v>
      </c>
      <c r="BS25" s="523" t="s">
        <v>388</v>
      </c>
      <c r="BT25" s="524" t="s">
        <v>380</v>
      </c>
      <c r="BU25" s="523" t="s">
        <v>388</v>
      </c>
      <c r="BV25" s="523" t="s">
        <v>388</v>
      </c>
      <c r="BW25" s="524" t="s">
        <v>380</v>
      </c>
      <c r="BX25" s="523" t="s">
        <v>388</v>
      </c>
      <c r="BY25" s="523" t="s">
        <v>383</v>
      </c>
      <c r="BZ25" s="526" t="s">
        <v>497</v>
      </c>
      <c r="CA25" s="546">
        <v>0.0</v>
      </c>
      <c r="CB25" s="523" t="s">
        <v>383</v>
      </c>
      <c r="CC25" s="526" t="s">
        <v>497</v>
      </c>
      <c r="CD25" s="546">
        <v>0.0</v>
      </c>
      <c r="CE25" s="523" t="s">
        <v>383</v>
      </c>
      <c r="CF25" s="526" t="s">
        <v>497</v>
      </c>
      <c r="CG25" s="523" t="s">
        <v>383</v>
      </c>
      <c r="CH25" s="523" t="s">
        <v>383</v>
      </c>
      <c r="CI25" s="526" t="s">
        <v>497</v>
      </c>
      <c r="CJ25" s="523" t="s">
        <v>383</v>
      </c>
      <c r="CK25" s="523" t="s">
        <v>490</v>
      </c>
      <c r="CL25" s="526" t="s">
        <v>497</v>
      </c>
      <c r="CM25" s="523" t="s">
        <v>490</v>
      </c>
      <c r="CN25" s="523" t="s">
        <v>398</v>
      </c>
      <c r="CO25" s="526" t="s">
        <v>387</v>
      </c>
      <c r="CP25" s="523" t="s">
        <v>398</v>
      </c>
      <c r="CQ25" s="523" t="s">
        <v>379</v>
      </c>
      <c r="CR25" s="526" t="s">
        <v>387</v>
      </c>
      <c r="CS25" s="523" t="s">
        <v>379</v>
      </c>
      <c r="CT25" s="523" t="s">
        <v>379</v>
      </c>
      <c r="CU25" s="526" t="s">
        <v>387</v>
      </c>
      <c r="CV25" s="523" t="s">
        <v>379</v>
      </c>
      <c r="CW25" s="523" t="s">
        <v>383</v>
      </c>
      <c r="CX25" s="526" t="s">
        <v>387</v>
      </c>
      <c r="CY25" s="523" t="s">
        <v>383</v>
      </c>
      <c r="CZ25" s="523" t="s">
        <v>386</v>
      </c>
      <c r="DA25" s="526" t="s">
        <v>387</v>
      </c>
      <c r="DB25" s="546">
        <v>1.0</v>
      </c>
      <c r="DC25" s="523" t="s">
        <v>413</v>
      </c>
      <c r="DD25" s="526" t="s">
        <v>387</v>
      </c>
      <c r="DE25" s="546">
        <v>1.0</v>
      </c>
      <c r="DF25" s="523" t="s">
        <v>413</v>
      </c>
      <c r="DG25" s="526" t="s">
        <v>387</v>
      </c>
      <c r="DH25" s="546">
        <v>1.0</v>
      </c>
      <c r="DI25" s="523" t="s">
        <v>413</v>
      </c>
      <c r="DJ25" s="526" t="s">
        <v>387</v>
      </c>
      <c r="DK25" s="546">
        <v>1.0</v>
      </c>
    </row>
    <row r="26" ht="15.0" hidden="1" customHeight="1">
      <c r="A26" s="53">
        <v>25.0</v>
      </c>
      <c r="B26" s="889" t="s">
        <v>178</v>
      </c>
      <c r="C26" s="125"/>
      <c r="D26" s="167"/>
      <c r="E26" s="167"/>
      <c r="F26" s="167"/>
      <c r="G26" s="167"/>
      <c r="H26" s="169"/>
      <c r="I26" s="167"/>
      <c r="J26" s="167"/>
      <c r="K26" s="170"/>
      <c r="L26" s="591"/>
      <c r="M26" s="170"/>
      <c r="N26" s="591"/>
      <c r="O26" s="176"/>
      <c r="P26" s="575"/>
      <c r="Q26" s="575"/>
      <c r="R26" s="576"/>
      <c r="S26" s="577"/>
      <c r="T26" s="575"/>
      <c r="U26" s="576"/>
      <c r="V26" s="577"/>
      <c r="W26" s="575"/>
      <c r="X26" s="576"/>
      <c r="Y26" s="577"/>
      <c r="Z26" s="575"/>
      <c r="AA26" s="576"/>
      <c r="AB26" s="577"/>
      <c r="AC26" s="575"/>
      <c r="AD26" s="576"/>
      <c r="AE26" s="577"/>
      <c r="AF26" s="578"/>
      <c r="AG26" s="578"/>
      <c r="AH26" s="578"/>
      <c r="AI26" s="578"/>
      <c r="AJ26" s="578"/>
      <c r="AK26" s="578"/>
      <c r="AL26" s="578"/>
      <c r="AM26" s="578"/>
      <c r="AN26" s="578"/>
      <c r="AO26" s="578"/>
      <c r="AP26" s="578"/>
      <c r="AQ26" s="872"/>
      <c r="AR26" s="872"/>
      <c r="AS26" s="578"/>
      <c r="AT26" s="872"/>
      <c r="AU26" s="872"/>
      <c r="AV26" s="578"/>
      <c r="AW26" s="872"/>
      <c r="AX26" s="872"/>
      <c r="AY26" s="578"/>
      <c r="AZ26" s="872"/>
      <c r="BA26" s="872"/>
      <c r="BB26" s="578"/>
      <c r="BC26" s="872"/>
      <c r="BD26" s="872"/>
      <c r="BE26" s="578"/>
      <c r="BF26" s="872"/>
      <c r="BG26" s="872"/>
      <c r="BH26" s="578"/>
      <c r="BI26" s="872"/>
      <c r="BJ26" s="872"/>
      <c r="BK26" s="578"/>
      <c r="BL26" s="872"/>
      <c r="BM26" s="872"/>
      <c r="BN26" s="578"/>
      <c r="BO26" s="872"/>
      <c r="BP26" s="872"/>
      <c r="BQ26" s="578"/>
      <c r="BR26" s="872"/>
      <c r="BS26" s="872"/>
      <c r="BT26" s="578"/>
      <c r="BU26" s="872"/>
      <c r="BV26" s="872"/>
      <c r="BW26" s="578"/>
      <c r="BX26" s="872"/>
      <c r="BY26" s="872"/>
      <c r="BZ26" s="578"/>
      <c r="CA26" s="872"/>
      <c r="CB26" s="872"/>
      <c r="CC26" s="578"/>
      <c r="CD26" s="872"/>
      <c r="CE26" s="578"/>
      <c r="CF26" s="578"/>
      <c r="CG26" s="578"/>
      <c r="CH26" s="578"/>
      <c r="CI26" s="578"/>
      <c r="CJ26" s="578"/>
      <c r="CK26" s="578"/>
      <c r="CL26" s="578"/>
      <c r="CM26" s="578"/>
      <c r="CN26" s="578"/>
      <c r="CO26" s="578"/>
      <c r="CP26" s="578"/>
      <c r="CQ26" s="578"/>
      <c r="CR26" s="578"/>
      <c r="CS26" s="578"/>
      <c r="CT26" s="578"/>
      <c r="CU26" s="578"/>
      <c r="CV26" s="578"/>
      <c r="CW26" s="578"/>
      <c r="CX26" s="578"/>
      <c r="CY26" s="578"/>
      <c r="CZ26" s="578"/>
      <c r="DA26" s="578"/>
      <c r="DB26" s="578"/>
      <c r="DC26" s="578"/>
      <c r="DD26" s="578"/>
      <c r="DE26" s="578"/>
      <c r="DF26" s="578"/>
      <c r="DG26" s="578"/>
      <c r="DH26" s="578"/>
      <c r="DI26" s="578"/>
      <c r="DJ26" s="578"/>
      <c r="DK26" s="578"/>
    </row>
    <row r="27" ht="15.0" customHeight="1">
      <c r="A27" s="53">
        <v>6.0</v>
      </c>
      <c r="B27" s="857" t="s">
        <v>148</v>
      </c>
      <c r="C27" s="857" t="s">
        <v>149</v>
      </c>
      <c r="D27" s="101" t="str">
        <f>MID(B27,17,4)</f>
        <v>SITE</v>
      </c>
      <c r="E27" s="111" t="s">
        <v>150</v>
      </c>
      <c r="F27" s="115"/>
      <c r="G27" s="563" t="s">
        <v>150</v>
      </c>
      <c r="H27" s="535"/>
      <c r="I27" s="858" t="str">
        <f>IFERROR(VLOOKUP(C:C,'R22 RELATÓRIO ACC'!B:F,5,FALSE),"NOT PUBLISHED")</f>
        <v>V10</v>
      </c>
      <c r="J27" s="858" t="str">
        <f>IFERROR(VLOOKUP(C:C,'R22 RELATÓRIO ACC'!B:P,15,FALSE),"NOT PUBLISHED")</f>
        <v>11/05/2026</v>
      </c>
      <c r="K27" s="821" t="str">
        <f>IFERROR(VLOOKUP(B:B,'RELATÓRIO ACC'!B:F,5,FALSE),"NOT PUBLISHED")</f>
        <v>V3</v>
      </c>
      <c r="L27" s="822" t="str">
        <f>IFERROR(VLOOKUP(B:B,'RELATÓRIO ACC'!B:P,15,FALSE),"NOT PUBLISHED")</f>
        <v>09/06/2026</v>
      </c>
      <c r="M27" s="821" t="s">
        <v>400</v>
      </c>
      <c r="N27" s="890">
        <v>46182.0</v>
      </c>
      <c r="O27" s="538" t="s">
        <v>378</v>
      </c>
      <c r="P27" s="587" t="s">
        <v>397</v>
      </c>
      <c r="Q27" s="523" t="s">
        <v>388</v>
      </c>
      <c r="R27" s="558" t="s">
        <v>380</v>
      </c>
      <c r="S27" s="523" t="s">
        <v>388</v>
      </c>
      <c r="T27" s="523" t="s">
        <v>388</v>
      </c>
      <c r="U27" s="558" t="s">
        <v>380</v>
      </c>
      <c r="V27" s="525" t="s">
        <v>388</v>
      </c>
      <c r="W27" s="523" t="s">
        <v>388</v>
      </c>
      <c r="X27" s="524" t="s">
        <v>380</v>
      </c>
      <c r="Y27" s="525" t="s">
        <v>388</v>
      </c>
      <c r="Z27" s="523" t="s">
        <v>388</v>
      </c>
      <c r="AA27" s="524" t="s">
        <v>380</v>
      </c>
      <c r="AB27" s="523" t="s">
        <v>388</v>
      </c>
      <c r="AC27" s="523" t="s">
        <v>388</v>
      </c>
      <c r="AD27" s="524" t="s">
        <v>380</v>
      </c>
      <c r="AE27" s="523" t="s">
        <v>388</v>
      </c>
      <c r="AF27" s="523" t="s">
        <v>388</v>
      </c>
      <c r="AG27" s="524" t="s">
        <v>380</v>
      </c>
      <c r="AH27" s="523" t="s">
        <v>388</v>
      </c>
      <c r="AI27" s="523" t="s">
        <v>388</v>
      </c>
      <c r="AJ27" s="524" t="s">
        <v>380</v>
      </c>
      <c r="AK27" s="523" t="s">
        <v>388</v>
      </c>
      <c r="AL27" s="523" t="s">
        <v>388</v>
      </c>
      <c r="AM27" s="524" t="s">
        <v>380</v>
      </c>
      <c r="AN27" s="523" t="s">
        <v>388</v>
      </c>
      <c r="AO27" s="523" t="s">
        <v>388</v>
      </c>
      <c r="AP27" s="524" t="s">
        <v>380</v>
      </c>
      <c r="AQ27" s="523" t="s">
        <v>388</v>
      </c>
      <c r="AR27" s="523" t="s">
        <v>388</v>
      </c>
      <c r="AS27" s="524" t="s">
        <v>380</v>
      </c>
      <c r="AT27" s="523" t="s">
        <v>388</v>
      </c>
      <c r="AU27" s="523" t="s">
        <v>388</v>
      </c>
      <c r="AV27" s="524" t="s">
        <v>380</v>
      </c>
      <c r="AW27" s="523" t="s">
        <v>388</v>
      </c>
      <c r="AX27" s="523" t="s">
        <v>388</v>
      </c>
      <c r="AY27" s="524" t="s">
        <v>380</v>
      </c>
      <c r="AZ27" s="523" t="s">
        <v>388</v>
      </c>
      <c r="BA27" s="523" t="s">
        <v>398</v>
      </c>
      <c r="BB27" s="526" t="s">
        <v>387</v>
      </c>
      <c r="BC27" s="523" t="s">
        <v>398</v>
      </c>
      <c r="BD27" s="523" t="s">
        <v>490</v>
      </c>
      <c r="BE27" s="526" t="s">
        <v>399</v>
      </c>
      <c r="BF27" s="523" t="s">
        <v>490</v>
      </c>
      <c r="BG27" s="523" t="s">
        <v>490</v>
      </c>
      <c r="BH27" s="526" t="s">
        <v>428</v>
      </c>
      <c r="BI27" s="523" t="s">
        <v>490</v>
      </c>
      <c r="BJ27" s="523" t="s">
        <v>490</v>
      </c>
      <c r="BK27" s="526" t="s">
        <v>428</v>
      </c>
      <c r="BL27" s="523" t="s">
        <v>490</v>
      </c>
      <c r="BM27" s="523" t="s">
        <v>490</v>
      </c>
      <c r="BN27" s="526" t="s">
        <v>428</v>
      </c>
      <c r="BO27" s="565">
        <v>0.0</v>
      </c>
      <c r="BP27" s="523" t="s">
        <v>381</v>
      </c>
      <c r="BQ27" s="526" t="s">
        <v>411</v>
      </c>
      <c r="BR27" s="546">
        <v>0.54</v>
      </c>
      <c r="BS27" s="523" t="s">
        <v>381</v>
      </c>
      <c r="BT27" s="526" t="s">
        <v>428</v>
      </c>
      <c r="BU27" s="546">
        <v>0.58</v>
      </c>
      <c r="BV27" s="523" t="s">
        <v>398</v>
      </c>
      <c r="BW27" s="526" t="s">
        <v>412</v>
      </c>
      <c r="BX27" s="523" t="s">
        <v>398</v>
      </c>
      <c r="BY27" s="523" t="s">
        <v>379</v>
      </c>
      <c r="BZ27" s="526" t="s">
        <v>412</v>
      </c>
      <c r="CA27" s="523" t="s">
        <v>379</v>
      </c>
      <c r="CB27" s="523" t="s">
        <v>383</v>
      </c>
      <c r="CC27" s="526" t="s">
        <v>412</v>
      </c>
      <c r="CD27" s="523" t="s">
        <v>383</v>
      </c>
      <c r="CE27" s="523" t="s">
        <v>398</v>
      </c>
      <c r="CF27" s="526" t="s">
        <v>382</v>
      </c>
      <c r="CG27" s="523" t="s">
        <v>398</v>
      </c>
      <c r="CH27" s="523" t="s">
        <v>383</v>
      </c>
      <c r="CI27" s="526" t="s">
        <v>382</v>
      </c>
      <c r="CJ27" s="523" t="s">
        <v>383</v>
      </c>
      <c r="CK27" s="523" t="s">
        <v>490</v>
      </c>
      <c r="CL27" s="526" t="s">
        <v>382</v>
      </c>
      <c r="CM27" s="523" t="s">
        <v>490</v>
      </c>
      <c r="CN27" s="523" t="s">
        <v>383</v>
      </c>
      <c r="CO27" s="526" t="s">
        <v>382</v>
      </c>
      <c r="CP27" s="523" t="s">
        <v>383</v>
      </c>
      <c r="CQ27" s="523" t="s">
        <v>386</v>
      </c>
      <c r="CR27" s="526" t="s">
        <v>387</v>
      </c>
      <c r="CS27" s="546">
        <v>1.0</v>
      </c>
      <c r="CT27" s="523" t="s">
        <v>413</v>
      </c>
      <c r="CU27" s="526" t="s">
        <v>387</v>
      </c>
      <c r="CV27" s="546">
        <v>1.0</v>
      </c>
      <c r="CW27" s="523" t="s">
        <v>413</v>
      </c>
      <c r="CX27" s="526" t="s">
        <v>387</v>
      </c>
      <c r="CY27" s="546">
        <v>1.0</v>
      </c>
      <c r="CZ27" s="523" t="s">
        <v>413</v>
      </c>
      <c r="DA27" s="526" t="s">
        <v>400</v>
      </c>
      <c r="DB27" s="546">
        <v>1.0</v>
      </c>
      <c r="DC27" s="523" t="s">
        <v>413</v>
      </c>
      <c r="DD27" s="526" t="s">
        <v>400</v>
      </c>
      <c r="DE27" s="546">
        <v>1.0</v>
      </c>
      <c r="DF27" s="523" t="s">
        <v>413</v>
      </c>
      <c r="DG27" s="526" t="s">
        <v>400</v>
      </c>
      <c r="DH27" s="546">
        <v>1.0</v>
      </c>
      <c r="DI27" s="523" t="s">
        <v>413</v>
      </c>
      <c r="DJ27" s="526" t="s">
        <v>400</v>
      </c>
      <c r="DK27" s="546">
        <v>1.0</v>
      </c>
    </row>
    <row r="28" ht="15.0" hidden="1" customHeight="1">
      <c r="A28" s="53">
        <v>27.0</v>
      </c>
      <c r="B28" s="874" t="s">
        <v>183</v>
      </c>
      <c r="C28" s="147"/>
      <c r="D28" s="148"/>
      <c r="E28" s="148"/>
      <c r="F28" s="148"/>
      <c r="G28" s="148"/>
      <c r="H28" s="150"/>
      <c r="I28" s="148"/>
      <c r="J28" s="148"/>
      <c r="K28" s="151"/>
      <c r="L28" s="580"/>
      <c r="M28" s="148"/>
      <c r="N28" s="581"/>
      <c r="O28" s="156"/>
      <c r="P28" s="594"/>
      <c r="Q28" s="594"/>
      <c r="R28" s="595"/>
      <c r="S28" s="584"/>
      <c r="T28" s="594"/>
      <c r="U28" s="595"/>
      <c r="V28" s="584"/>
      <c r="W28" s="594"/>
      <c r="X28" s="595"/>
      <c r="Y28" s="584"/>
      <c r="Z28" s="594"/>
      <c r="AA28" s="595"/>
      <c r="AB28" s="584"/>
      <c r="AC28" s="594"/>
      <c r="AD28" s="595"/>
      <c r="AE28" s="584"/>
      <c r="AF28" s="585"/>
      <c r="AG28" s="585"/>
      <c r="AH28" s="585"/>
      <c r="AI28" s="585"/>
      <c r="AJ28" s="585"/>
      <c r="AK28" s="585"/>
      <c r="AL28" s="585"/>
      <c r="AM28" s="585"/>
      <c r="AN28" s="585"/>
      <c r="AO28" s="585"/>
      <c r="AP28" s="585"/>
      <c r="AQ28" s="585"/>
      <c r="AR28" s="585"/>
      <c r="AS28" s="585"/>
      <c r="AT28" s="585"/>
      <c r="AU28" s="585"/>
      <c r="AV28" s="585"/>
      <c r="AW28" s="585"/>
      <c r="AX28" s="585"/>
      <c r="AY28" s="585"/>
      <c r="AZ28" s="585"/>
      <c r="BA28" s="585"/>
      <c r="BB28" s="585"/>
      <c r="BC28" s="585"/>
      <c r="BD28" s="585"/>
      <c r="BE28" s="585"/>
      <c r="BF28" s="585"/>
      <c r="BG28" s="585"/>
      <c r="BH28" s="585"/>
      <c r="BI28" s="585"/>
      <c r="BJ28" s="585"/>
      <c r="BK28" s="585"/>
      <c r="BL28" s="585"/>
      <c r="BM28" s="585"/>
      <c r="BN28" s="585"/>
      <c r="BO28" s="585"/>
      <c r="BP28" s="585"/>
      <c r="BQ28" s="585"/>
      <c r="BR28" s="585"/>
      <c r="BS28" s="585"/>
      <c r="BT28" s="585"/>
      <c r="BU28" s="585"/>
      <c r="BV28" s="585"/>
      <c r="BW28" s="585"/>
      <c r="BX28" s="585"/>
      <c r="BY28" s="585"/>
      <c r="BZ28" s="585"/>
      <c r="CA28" s="585"/>
      <c r="CB28" s="585"/>
      <c r="CC28" s="585"/>
      <c r="CD28" s="585"/>
      <c r="CE28" s="585"/>
      <c r="CF28" s="585"/>
      <c r="CG28" s="585"/>
      <c r="CH28" s="585"/>
      <c r="CI28" s="585"/>
      <c r="CJ28" s="585"/>
      <c r="CK28" s="585"/>
      <c r="CL28" s="585"/>
      <c r="CM28" s="585"/>
      <c r="CN28" s="585"/>
      <c r="CO28" s="585"/>
      <c r="CP28" s="585"/>
      <c r="CQ28" s="585"/>
      <c r="CR28" s="585"/>
      <c r="CS28" s="585"/>
      <c r="CT28" s="585"/>
      <c r="CU28" s="585"/>
      <c r="CV28" s="585"/>
      <c r="CW28" s="585"/>
      <c r="CX28" s="585"/>
      <c r="CY28" s="585"/>
      <c r="CZ28" s="585"/>
      <c r="DA28" s="585"/>
      <c r="DB28" s="585"/>
      <c r="DC28" s="585"/>
      <c r="DD28" s="585"/>
      <c r="DE28" s="585"/>
      <c r="DF28" s="585"/>
      <c r="DG28" s="585"/>
      <c r="DH28" s="585"/>
      <c r="DI28" s="585"/>
      <c r="DJ28" s="585"/>
      <c r="DK28" s="585"/>
    </row>
    <row r="29" ht="15.0" customHeight="1">
      <c r="A29" s="53">
        <v>8.0</v>
      </c>
      <c r="B29" s="857" t="s">
        <v>100</v>
      </c>
      <c r="C29" s="857" t="s">
        <v>101</v>
      </c>
      <c r="D29" s="101" t="str">
        <f>MID(B29,17,4)</f>
        <v>SITE</v>
      </c>
      <c r="E29" s="111" t="s">
        <v>91</v>
      </c>
      <c r="F29" s="102">
        <v>1104.0</v>
      </c>
      <c r="G29" s="517" t="s">
        <v>92</v>
      </c>
      <c r="H29" s="517">
        <v>1127.0</v>
      </c>
      <c r="I29" s="858" t="str">
        <f>IFERROR(VLOOKUP(C:C,'R22 RELATÓRIO ACC'!B:F,5,FALSE),"NOT PUBLISHED")</f>
        <v>V12</v>
      </c>
      <c r="J29" s="858" t="str">
        <f>IFERROR(VLOOKUP(C:C,'R22 RELATÓRIO ACC'!B:P,15,FALSE),"NOT PUBLISHED")</f>
        <v>06/04/2026</v>
      </c>
      <c r="K29" s="821" t="str">
        <f>IFERROR(VLOOKUP(B:B,'RELATÓRIO ACC'!B:F,5,FALSE),"NOT PUBLISHED")</f>
        <v>V1</v>
      </c>
      <c r="L29" s="822" t="str">
        <f>IFERROR(VLOOKUP(B:B,'RELATÓRIO ACC'!B:P,15,FALSE),"NOT PUBLISHED")</f>
        <v>15/05/2026</v>
      </c>
      <c r="M29" s="821" t="s">
        <v>387</v>
      </c>
      <c r="N29" s="890">
        <v>46171.0</v>
      </c>
      <c r="O29" s="538" t="s">
        <v>378</v>
      </c>
      <c r="P29" s="587" t="s">
        <v>445</v>
      </c>
      <c r="Q29" s="523" t="s">
        <v>379</v>
      </c>
      <c r="R29" s="558">
        <v>0.0</v>
      </c>
      <c r="S29" s="525" t="s">
        <v>379</v>
      </c>
      <c r="T29" s="523" t="s">
        <v>379</v>
      </c>
      <c r="U29" s="524">
        <v>0.0</v>
      </c>
      <c r="V29" s="525" t="s">
        <v>379</v>
      </c>
      <c r="W29" s="523" t="s">
        <v>379</v>
      </c>
      <c r="X29" s="526" t="s">
        <v>380</v>
      </c>
      <c r="Y29" s="525" t="s">
        <v>379</v>
      </c>
      <c r="Z29" s="523" t="s">
        <v>379</v>
      </c>
      <c r="AA29" s="526" t="s">
        <v>380</v>
      </c>
      <c r="AB29" s="525" t="s">
        <v>379</v>
      </c>
      <c r="AC29" s="523" t="s">
        <v>379</v>
      </c>
      <c r="AD29" s="526" t="s">
        <v>380</v>
      </c>
      <c r="AE29" s="523" t="s">
        <v>379</v>
      </c>
      <c r="AF29" s="523" t="s">
        <v>381</v>
      </c>
      <c r="AG29" s="526" t="s">
        <v>382</v>
      </c>
      <c r="AH29" s="546">
        <v>0.11</v>
      </c>
      <c r="AI29" s="523" t="s">
        <v>379</v>
      </c>
      <c r="AJ29" s="526" t="s">
        <v>382</v>
      </c>
      <c r="AK29" s="523" t="s">
        <v>379</v>
      </c>
      <c r="AL29" s="523" t="s">
        <v>490</v>
      </c>
      <c r="AM29" s="526" t="s">
        <v>382</v>
      </c>
      <c r="AN29" s="523" t="s">
        <v>490</v>
      </c>
      <c r="AO29" s="523" t="s">
        <v>381</v>
      </c>
      <c r="AP29" s="526" t="s">
        <v>385</v>
      </c>
      <c r="AQ29" s="565">
        <v>0.43</v>
      </c>
      <c r="AR29" s="523" t="s">
        <v>379</v>
      </c>
      <c r="AS29" s="526" t="s">
        <v>385</v>
      </c>
      <c r="AT29" s="565">
        <v>0.43</v>
      </c>
      <c r="AU29" s="523" t="s">
        <v>379</v>
      </c>
      <c r="AV29" s="526" t="s">
        <v>385</v>
      </c>
      <c r="AW29" s="565">
        <v>0.43</v>
      </c>
      <c r="AX29" s="523" t="s">
        <v>379</v>
      </c>
      <c r="AY29" s="526" t="s">
        <v>385</v>
      </c>
      <c r="AZ29" s="523" t="s">
        <v>379</v>
      </c>
      <c r="BA29" s="523" t="s">
        <v>379</v>
      </c>
      <c r="BB29" s="526" t="s">
        <v>385</v>
      </c>
      <c r="BC29" s="523" t="s">
        <v>379</v>
      </c>
      <c r="BD29" s="523" t="s">
        <v>379</v>
      </c>
      <c r="BE29" s="526" t="s">
        <v>385</v>
      </c>
      <c r="BF29" s="523" t="s">
        <v>379</v>
      </c>
      <c r="BG29" s="523" t="s">
        <v>379</v>
      </c>
      <c r="BH29" s="526" t="s">
        <v>385</v>
      </c>
      <c r="BI29" s="523" t="s">
        <v>379</v>
      </c>
      <c r="BJ29" s="523" t="s">
        <v>379</v>
      </c>
      <c r="BK29" s="526" t="s">
        <v>385</v>
      </c>
      <c r="BL29" s="523" t="s">
        <v>379</v>
      </c>
      <c r="BM29" s="523" t="s">
        <v>379</v>
      </c>
      <c r="BN29" s="526" t="s">
        <v>385</v>
      </c>
      <c r="BO29" s="523" t="s">
        <v>379</v>
      </c>
      <c r="BP29" s="523" t="s">
        <v>490</v>
      </c>
      <c r="BQ29" s="526" t="s">
        <v>385</v>
      </c>
      <c r="BR29" s="523" t="s">
        <v>490</v>
      </c>
      <c r="BS29" s="523" t="s">
        <v>383</v>
      </c>
      <c r="BT29" s="526" t="s">
        <v>385</v>
      </c>
      <c r="BU29" s="523" t="s">
        <v>383</v>
      </c>
      <c r="BV29" s="523" t="s">
        <v>383</v>
      </c>
      <c r="BW29" s="526" t="s">
        <v>385</v>
      </c>
      <c r="BX29" s="523" t="s">
        <v>383</v>
      </c>
      <c r="BY29" s="523" t="s">
        <v>383</v>
      </c>
      <c r="BZ29" s="526" t="s">
        <v>385</v>
      </c>
      <c r="CA29" s="523" t="s">
        <v>383</v>
      </c>
      <c r="CB29" s="523" t="s">
        <v>383</v>
      </c>
      <c r="CC29" s="526" t="s">
        <v>385</v>
      </c>
      <c r="CD29" s="523" t="s">
        <v>383</v>
      </c>
      <c r="CE29" s="523" t="s">
        <v>383</v>
      </c>
      <c r="CF29" s="526" t="s">
        <v>385</v>
      </c>
      <c r="CG29" s="523" t="s">
        <v>383</v>
      </c>
      <c r="CH29" s="523" t="s">
        <v>383</v>
      </c>
      <c r="CI29" s="526" t="s">
        <v>385</v>
      </c>
      <c r="CJ29" s="523" t="s">
        <v>383</v>
      </c>
      <c r="CK29" s="523" t="s">
        <v>490</v>
      </c>
      <c r="CL29" s="526" t="s">
        <v>385</v>
      </c>
      <c r="CM29" s="523" t="s">
        <v>490</v>
      </c>
      <c r="CN29" s="523" t="s">
        <v>386</v>
      </c>
      <c r="CO29" s="526" t="s">
        <v>385</v>
      </c>
      <c r="CP29" s="546">
        <v>1.0</v>
      </c>
      <c r="CQ29" s="523" t="s">
        <v>413</v>
      </c>
      <c r="CR29" s="526" t="s">
        <v>385</v>
      </c>
      <c r="CS29" s="546">
        <v>1.0</v>
      </c>
      <c r="CT29" s="523" t="s">
        <v>413</v>
      </c>
      <c r="CU29" s="526" t="s">
        <v>385</v>
      </c>
      <c r="CV29" s="546">
        <v>1.0</v>
      </c>
      <c r="CW29" s="523" t="s">
        <v>413</v>
      </c>
      <c r="CX29" s="526" t="s">
        <v>385</v>
      </c>
      <c r="CY29" s="546">
        <v>1.0</v>
      </c>
      <c r="CZ29" s="523" t="s">
        <v>413</v>
      </c>
      <c r="DA29" s="526" t="s">
        <v>385</v>
      </c>
      <c r="DB29" s="546">
        <v>1.0</v>
      </c>
      <c r="DC29" s="523" t="s">
        <v>413</v>
      </c>
      <c r="DD29" s="526" t="s">
        <v>385</v>
      </c>
      <c r="DE29" s="546">
        <v>1.0</v>
      </c>
      <c r="DF29" s="523" t="s">
        <v>413</v>
      </c>
      <c r="DG29" s="526" t="s">
        <v>385</v>
      </c>
      <c r="DH29" s="546">
        <v>1.0</v>
      </c>
      <c r="DI29" s="523" t="s">
        <v>413</v>
      </c>
      <c r="DJ29" s="526" t="s">
        <v>385</v>
      </c>
      <c r="DK29" s="546">
        <v>1.0</v>
      </c>
    </row>
    <row r="30" ht="15.0" hidden="1" customHeight="1">
      <c r="A30" s="53">
        <v>29.0</v>
      </c>
      <c r="B30" s="889" t="s">
        <v>188</v>
      </c>
      <c r="C30" s="125"/>
      <c r="D30" s="126"/>
      <c r="E30" s="126"/>
      <c r="F30" s="126"/>
      <c r="G30" s="126"/>
      <c r="H30" s="128"/>
      <c r="I30" s="126"/>
      <c r="J30" s="126"/>
      <c r="K30" s="129"/>
      <c r="L30" s="574"/>
      <c r="M30" s="126"/>
      <c r="N30" s="574"/>
      <c r="O30" s="135"/>
      <c r="P30" s="575"/>
      <c r="Q30" s="575"/>
      <c r="R30" s="576"/>
      <c r="S30" s="577"/>
      <c r="T30" s="575"/>
      <c r="U30" s="576"/>
      <c r="V30" s="577"/>
      <c r="W30" s="575"/>
      <c r="X30" s="576"/>
      <c r="Y30" s="577"/>
      <c r="Z30" s="575"/>
      <c r="AA30" s="576"/>
      <c r="AB30" s="577"/>
      <c r="AC30" s="575"/>
      <c r="AD30" s="576"/>
      <c r="AE30" s="577"/>
      <c r="AF30" s="578"/>
      <c r="AG30" s="578"/>
      <c r="AH30" s="578"/>
      <c r="AI30" s="578"/>
      <c r="AJ30" s="578"/>
      <c r="AK30" s="578"/>
      <c r="AL30" s="578"/>
      <c r="AM30" s="578"/>
      <c r="AN30" s="578"/>
      <c r="AO30" s="578"/>
      <c r="AP30" s="578"/>
      <c r="AQ30" s="578"/>
      <c r="AR30" s="578"/>
      <c r="AS30" s="578"/>
      <c r="AT30" s="578"/>
      <c r="AU30" s="578"/>
      <c r="AV30" s="578"/>
      <c r="AW30" s="578"/>
      <c r="AX30" s="578"/>
      <c r="AY30" s="578"/>
      <c r="AZ30" s="578"/>
      <c r="BA30" s="578"/>
      <c r="BB30" s="578"/>
      <c r="BC30" s="578"/>
      <c r="BD30" s="578"/>
      <c r="BE30" s="578"/>
      <c r="BF30" s="578"/>
      <c r="BG30" s="578"/>
      <c r="BH30" s="578"/>
      <c r="BI30" s="578"/>
      <c r="BJ30" s="578"/>
      <c r="BK30" s="578"/>
      <c r="BL30" s="578"/>
      <c r="BM30" s="578"/>
      <c r="BN30" s="578"/>
      <c r="BO30" s="578"/>
      <c r="BP30" s="578"/>
      <c r="BQ30" s="578"/>
      <c r="BR30" s="578"/>
      <c r="BS30" s="578"/>
      <c r="BT30" s="578"/>
      <c r="BU30" s="578"/>
      <c r="BV30" s="578"/>
      <c r="BW30" s="578"/>
      <c r="BX30" s="578"/>
      <c r="BY30" s="578"/>
      <c r="BZ30" s="578"/>
      <c r="CA30" s="578"/>
      <c r="CB30" s="578"/>
      <c r="CC30" s="578"/>
      <c r="CD30" s="578"/>
      <c r="CE30" s="578"/>
      <c r="CF30" s="578"/>
      <c r="CG30" s="578"/>
      <c r="CH30" s="578"/>
      <c r="CI30" s="578"/>
      <c r="CJ30" s="578"/>
      <c r="CK30" s="578"/>
      <c r="CL30" s="578"/>
      <c r="CM30" s="578"/>
      <c r="CN30" s="578"/>
      <c r="CO30" s="578"/>
      <c r="CP30" s="578"/>
      <c r="CQ30" s="578"/>
      <c r="CR30" s="578"/>
      <c r="CS30" s="578"/>
      <c r="CT30" s="578"/>
      <c r="CU30" s="578"/>
      <c r="CV30" s="578"/>
      <c r="CW30" s="578"/>
      <c r="CX30" s="578"/>
      <c r="CY30" s="578"/>
      <c r="CZ30" s="578"/>
      <c r="DA30" s="578"/>
      <c r="DB30" s="578"/>
      <c r="DC30" s="578"/>
      <c r="DD30" s="578"/>
      <c r="DE30" s="578"/>
      <c r="DF30" s="578"/>
      <c r="DG30" s="578"/>
      <c r="DH30" s="578"/>
      <c r="DI30" s="578"/>
      <c r="DJ30" s="578"/>
      <c r="DK30" s="578"/>
    </row>
    <row r="31" ht="15.0" customHeight="1">
      <c r="A31" s="53">
        <v>28.0</v>
      </c>
      <c r="B31" s="857" t="s">
        <v>184</v>
      </c>
      <c r="C31" s="857" t="s">
        <v>185</v>
      </c>
      <c r="D31" s="101" t="str">
        <f>MID(B31,17,4)</f>
        <v>PUMP</v>
      </c>
      <c r="E31" s="101" t="s">
        <v>165</v>
      </c>
      <c r="F31" s="102">
        <v>1114.0</v>
      </c>
      <c r="G31" s="517" t="s">
        <v>165</v>
      </c>
      <c r="H31" s="517">
        <v>1114.0</v>
      </c>
      <c r="I31" s="858" t="str">
        <f>IFERROR(VLOOKUP(C:C,'R22 RELATÓRIO ACC'!B:F,5,FALSE),"NOT PUBLISHED")</f>
        <v>V14</v>
      </c>
      <c r="J31" s="858" t="str">
        <f>IFERROR(VLOOKUP(C:C,'R22 RELATÓRIO ACC'!B:P,15,FALSE),"NOT PUBLISHED")</f>
        <v>03/02/2026</v>
      </c>
      <c r="K31" s="821" t="str">
        <f>IFERROR(VLOOKUP(B:B,'RELATÓRIO ACC'!B:F,5,FALSE),"NOT PUBLISHED")</f>
        <v>V1</v>
      </c>
      <c r="L31" s="822" t="str">
        <f>IFERROR(VLOOKUP(B:B,'RELATÓRIO ACC'!B:P,15,FALSE),"NOT PUBLISHED")</f>
        <v>15/05/2026</v>
      </c>
      <c r="M31" s="821" t="s">
        <v>417</v>
      </c>
      <c r="N31" s="891" t="s">
        <v>498</v>
      </c>
      <c r="O31" s="538" t="s">
        <v>410</v>
      </c>
      <c r="P31" s="587"/>
      <c r="Q31" s="523" t="s">
        <v>379</v>
      </c>
      <c r="R31" s="558">
        <v>0.0</v>
      </c>
      <c r="S31" s="523" t="s">
        <v>379</v>
      </c>
      <c r="T31" s="523" t="s">
        <v>379</v>
      </c>
      <c r="U31" s="558">
        <v>0.0</v>
      </c>
      <c r="V31" s="523" t="s">
        <v>379</v>
      </c>
      <c r="W31" s="523" t="s">
        <v>379</v>
      </c>
      <c r="X31" s="526" t="s">
        <v>380</v>
      </c>
      <c r="Y31" s="523" t="s">
        <v>379</v>
      </c>
      <c r="Z31" s="523" t="s">
        <v>386</v>
      </c>
      <c r="AA31" s="526" t="s">
        <v>421</v>
      </c>
      <c r="AB31" s="551">
        <v>1.0</v>
      </c>
      <c r="AC31" s="523" t="s">
        <v>413</v>
      </c>
      <c r="AD31" s="526" t="s">
        <v>421</v>
      </c>
      <c r="AE31" s="551">
        <v>1.0</v>
      </c>
      <c r="AF31" s="523" t="s">
        <v>413</v>
      </c>
      <c r="AG31" s="526" t="s">
        <v>421</v>
      </c>
      <c r="AH31" s="551">
        <v>1.0</v>
      </c>
      <c r="AI31" s="523" t="s">
        <v>413</v>
      </c>
      <c r="AJ31" s="526" t="s">
        <v>421</v>
      </c>
      <c r="AK31" s="551">
        <v>1.0</v>
      </c>
      <c r="AL31" s="523" t="s">
        <v>413</v>
      </c>
      <c r="AM31" s="526" t="s">
        <v>421</v>
      </c>
      <c r="AN31" s="546">
        <v>1.0</v>
      </c>
      <c r="AO31" s="523" t="s">
        <v>413</v>
      </c>
      <c r="AP31" s="526" t="s">
        <v>421</v>
      </c>
      <c r="AQ31" s="546">
        <v>1.0</v>
      </c>
      <c r="AR31" s="523" t="s">
        <v>413</v>
      </c>
      <c r="AS31" s="526" t="s">
        <v>421</v>
      </c>
      <c r="AT31" s="546">
        <v>1.0</v>
      </c>
      <c r="AU31" s="523" t="s">
        <v>413</v>
      </c>
      <c r="AV31" s="526" t="s">
        <v>421</v>
      </c>
      <c r="AW31" s="546">
        <v>1.0</v>
      </c>
      <c r="AX31" s="523" t="s">
        <v>413</v>
      </c>
      <c r="AY31" s="526" t="s">
        <v>421</v>
      </c>
      <c r="AZ31" s="546">
        <v>1.0</v>
      </c>
      <c r="BA31" s="523" t="s">
        <v>413</v>
      </c>
      <c r="BB31" s="526" t="s">
        <v>421</v>
      </c>
      <c r="BC31" s="546">
        <v>1.0</v>
      </c>
      <c r="BD31" s="523" t="s">
        <v>413</v>
      </c>
      <c r="BE31" s="526" t="s">
        <v>421</v>
      </c>
      <c r="BF31" s="546">
        <v>1.0</v>
      </c>
      <c r="BG31" s="523" t="s">
        <v>413</v>
      </c>
      <c r="BH31" s="526" t="s">
        <v>421</v>
      </c>
      <c r="BI31" s="546">
        <v>1.0</v>
      </c>
      <c r="BJ31" s="523" t="s">
        <v>413</v>
      </c>
      <c r="BK31" s="526" t="s">
        <v>421</v>
      </c>
      <c r="BL31" s="546">
        <v>1.0</v>
      </c>
      <c r="BM31" s="523" t="s">
        <v>413</v>
      </c>
      <c r="BN31" s="526" t="s">
        <v>421</v>
      </c>
      <c r="BO31" s="546">
        <v>1.0</v>
      </c>
      <c r="BP31" s="523" t="s">
        <v>413</v>
      </c>
      <c r="BQ31" s="526" t="s">
        <v>421</v>
      </c>
      <c r="BR31" s="546">
        <v>1.0</v>
      </c>
      <c r="BS31" s="523" t="s">
        <v>413</v>
      </c>
      <c r="BT31" s="526" t="s">
        <v>421</v>
      </c>
      <c r="BU31" s="546">
        <v>1.0</v>
      </c>
      <c r="BV31" s="523" t="s">
        <v>413</v>
      </c>
      <c r="BW31" s="526" t="s">
        <v>421</v>
      </c>
      <c r="BX31" s="546">
        <v>1.0</v>
      </c>
      <c r="BY31" s="523" t="s">
        <v>413</v>
      </c>
      <c r="BZ31" s="526" t="s">
        <v>421</v>
      </c>
      <c r="CA31" s="546">
        <v>1.0</v>
      </c>
      <c r="CB31" s="523" t="s">
        <v>413</v>
      </c>
      <c r="CC31" s="526" t="s">
        <v>421</v>
      </c>
      <c r="CD31" s="546">
        <v>1.0</v>
      </c>
      <c r="CE31" s="523" t="s">
        <v>413</v>
      </c>
      <c r="CF31" s="526" t="s">
        <v>421</v>
      </c>
      <c r="CG31" s="546">
        <v>1.0</v>
      </c>
      <c r="CH31" s="523" t="s">
        <v>413</v>
      </c>
      <c r="CI31" s="526" t="s">
        <v>421</v>
      </c>
      <c r="CJ31" s="546">
        <v>1.0</v>
      </c>
      <c r="CK31" s="523" t="s">
        <v>413</v>
      </c>
      <c r="CL31" s="526" t="s">
        <v>421</v>
      </c>
      <c r="CM31" s="546">
        <v>1.0</v>
      </c>
      <c r="CN31" s="523" t="s">
        <v>413</v>
      </c>
      <c r="CO31" s="526" t="s">
        <v>421</v>
      </c>
      <c r="CP31" s="546">
        <v>1.0</v>
      </c>
      <c r="CQ31" s="523" t="s">
        <v>413</v>
      </c>
      <c r="CR31" s="526" t="s">
        <v>421</v>
      </c>
      <c r="CS31" s="546">
        <v>1.0</v>
      </c>
      <c r="CT31" s="523" t="s">
        <v>413</v>
      </c>
      <c r="CU31" s="526" t="s">
        <v>421</v>
      </c>
      <c r="CV31" s="546">
        <v>1.0</v>
      </c>
      <c r="CW31" s="523" t="s">
        <v>413</v>
      </c>
      <c r="CX31" s="526" t="s">
        <v>421</v>
      </c>
      <c r="CY31" s="546">
        <v>1.0</v>
      </c>
      <c r="CZ31" s="523" t="s">
        <v>413</v>
      </c>
      <c r="DA31" s="526" t="s">
        <v>421</v>
      </c>
      <c r="DB31" s="546">
        <v>1.0</v>
      </c>
      <c r="DC31" s="523" t="s">
        <v>413</v>
      </c>
      <c r="DD31" s="526" t="s">
        <v>421</v>
      </c>
      <c r="DE31" s="546">
        <v>1.0</v>
      </c>
      <c r="DF31" s="523" t="s">
        <v>413</v>
      </c>
      <c r="DG31" s="526" t="s">
        <v>421</v>
      </c>
      <c r="DH31" s="546">
        <v>1.0</v>
      </c>
      <c r="DI31" s="523" t="s">
        <v>413</v>
      </c>
      <c r="DJ31" s="526" t="s">
        <v>421</v>
      </c>
      <c r="DK31" s="546">
        <v>1.0</v>
      </c>
    </row>
    <row r="32" ht="15.0" hidden="1" customHeight="1">
      <c r="A32" s="53">
        <v>31.0</v>
      </c>
      <c r="B32" s="874" t="s">
        <v>193</v>
      </c>
      <c r="C32" s="147"/>
      <c r="D32" s="892"/>
      <c r="E32" s="148"/>
      <c r="F32" s="148"/>
      <c r="G32" s="148"/>
      <c r="H32" s="150"/>
      <c r="I32" s="148"/>
      <c r="J32" s="148"/>
      <c r="K32" s="579"/>
      <c r="L32" s="580"/>
      <c r="M32" s="148"/>
      <c r="N32" s="893"/>
      <c r="O32" s="894"/>
      <c r="P32" s="895"/>
      <c r="Q32" s="896"/>
      <c r="R32" s="583"/>
      <c r="S32" s="585"/>
      <c r="T32" s="896"/>
      <c r="U32" s="583"/>
      <c r="V32" s="585"/>
      <c r="W32" s="896"/>
      <c r="X32" s="897"/>
      <c r="Y32" s="585"/>
      <c r="Z32" s="896"/>
      <c r="AA32" s="897"/>
      <c r="AB32" s="584"/>
      <c r="AC32" s="896"/>
      <c r="AD32" s="897"/>
      <c r="AE32" s="584"/>
      <c r="AF32" s="585"/>
      <c r="AG32" s="585"/>
      <c r="AH32" s="585"/>
      <c r="AI32" s="585"/>
      <c r="AJ32" s="585"/>
      <c r="AK32" s="585"/>
      <c r="AL32" s="585"/>
      <c r="AM32" s="585"/>
      <c r="AN32" s="585"/>
      <c r="AO32" s="585"/>
      <c r="AP32" s="585"/>
      <c r="AQ32" s="885"/>
      <c r="AR32" s="585"/>
      <c r="AS32" s="585"/>
      <c r="AT32" s="885"/>
      <c r="AU32" s="585"/>
      <c r="AV32" s="585"/>
      <c r="AW32" s="885"/>
      <c r="AX32" s="585"/>
      <c r="AY32" s="585"/>
      <c r="AZ32" s="885"/>
      <c r="BA32" s="585"/>
      <c r="BB32" s="585"/>
      <c r="BC32" s="885"/>
      <c r="BD32" s="585"/>
      <c r="BE32" s="585"/>
      <c r="BF32" s="885"/>
      <c r="BG32" s="585"/>
      <c r="BH32" s="585"/>
      <c r="BI32" s="885"/>
      <c r="BJ32" s="585"/>
      <c r="BK32" s="585"/>
      <c r="BL32" s="885"/>
      <c r="BM32" s="585"/>
      <c r="BN32" s="585"/>
      <c r="BO32" s="885"/>
      <c r="BP32" s="585"/>
      <c r="BQ32" s="585"/>
      <c r="BR32" s="885"/>
      <c r="BS32" s="585"/>
      <c r="BT32" s="585"/>
      <c r="BU32" s="885"/>
      <c r="BV32" s="885"/>
      <c r="BW32" s="585"/>
      <c r="BX32" s="885"/>
      <c r="BY32" s="885"/>
      <c r="BZ32" s="585"/>
      <c r="CA32" s="885"/>
      <c r="CB32" s="885"/>
      <c r="CC32" s="585"/>
      <c r="CD32" s="885"/>
      <c r="CE32" s="585"/>
      <c r="CF32" s="585"/>
      <c r="CG32" s="585"/>
      <c r="CH32" s="585"/>
      <c r="CI32" s="585"/>
      <c r="CJ32" s="585"/>
      <c r="CK32" s="585"/>
      <c r="CL32" s="585"/>
      <c r="CM32" s="585"/>
      <c r="CN32" s="585"/>
      <c r="CO32" s="585"/>
      <c r="CP32" s="585"/>
      <c r="CQ32" s="585"/>
      <c r="CR32" s="585"/>
      <c r="CS32" s="585"/>
      <c r="CT32" s="585"/>
      <c r="CU32" s="585"/>
      <c r="CV32" s="585"/>
      <c r="CW32" s="585"/>
      <c r="CX32" s="585"/>
      <c r="CY32" s="585"/>
      <c r="CZ32" s="585"/>
      <c r="DA32" s="585"/>
      <c r="DB32" s="585"/>
      <c r="DC32" s="585"/>
      <c r="DD32" s="585"/>
      <c r="DE32" s="585"/>
      <c r="DF32" s="585"/>
      <c r="DG32" s="585"/>
      <c r="DH32" s="585"/>
      <c r="DI32" s="585"/>
      <c r="DJ32" s="585"/>
      <c r="DK32" s="585"/>
    </row>
    <row r="33" ht="15.0" customHeight="1">
      <c r="A33" s="53">
        <v>26.0</v>
      </c>
      <c r="B33" s="898" t="s">
        <v>181</v>
      </c>
      <c r="C33" s="898" t="s">
        <v>182</v>
      </c>
      <c r="D33" s="104" t="str">
        <f t="shared" ref="D33:D34" si="2">MID(B33,17,4)</f>
        <v>PUMP</v>
      </c>
      <c r="E33" s="104" t="s">
        <v>154</v>
      </c>
      <c r="F33" s="104">
        <v>1112.0</v>
      </c>
      <c r="G33" s="104" t="s">
        <v>155</v>
      </c>
      <c r="H33" s="517">
        <v>1129.0</v>
      </c>
      <c r="I33" s="858" t="str">
        <f>IFERROR(VLOOKUP(C:C,'R22 RELATÓRIO ACC'!B:F,5,FALSE),"NOT PUBLISHED")</f>
        <v>V32</v>
      </c>
      <c r="J33" s="858" t="str">
        <f>IFERROR(VLOOKUP(C:C,'R22 RELATÓRIO ACC'!B:P,15,FALSE),"NOT PUBLISHED")</f>
        <v>24/04/2026</v>
      </c>
      <c r="K33" s="899" t="str">
        <f>IFERROR(VLOOKUP(B:B,'RELATÓRIO ACC'!B:F,5,FALSE),"NOT PUBLISHED")</f>
        <v>V3</v>
      </c>
      <c r="L33" s="822" t="str">
        <f>IFERROR(VLOOKUP(B:B,'RELATÓRIO ACC'!B:P,15,FALSE),"NOT PUBLISHED")</f>
        <v>03/07/2026</v>
      </c>
      <c r="M33" s="858" t="s">
        <v>420</v>
      </c>
      <c r="N33" s="900" t="s">
        <v>435</v>
      </c>
      <c r="O33" s="538" t="s">
        <v>410</v>
      </c>
      <c r="P33" s="587"/>
      <c r="Q33" s="901" t="s">
        <v>379</v>
      </c>
      <c r="R33" s="558">
        <v>0.0</v>
      </c>
      <c r="S33" s="525" t="s">
        <v>379</v>
      </c>
      <c r="T33" s="901" t="s">
        <v>379</v>
      </c>
      <c r="U33" s="558">
        <v>0.0</v>
      </c>
      <c r="V33" s="525" t="s">
        <v>379</v>
      </c>
      <c r="W33" s="901" t="s">
        <v>381</v>
      </c>
      <c r="X33" s="550" t="s">
        <v>403</v>
      </c>
      <c r="Y33" s="551">
        <v>0.21</v>
      </c>
      <c r="Z33" s="901" t="s">
        <v>381</v>
      </c>
      <c r="AA33" s="550" t="s">
        <v>421</v>
      </c>
      <c r="AB33" s="551">
        <v>0.66</v>
      </c>
      <c r="AC33" s="901" t="s">
        <v>381</v>
      </c>
      <c r="AD33" s="550" t="s">
        <v>423</v>
      </c>
      <c r="AE33" s="551">
        <v>0.72</v>
      </c>
      <c r="AF33" s="528" t="s">
        <v>379</v>
      </c>
      <c r="AG33" s="528" t="s">
        <v>423</v>
      </c>
      <c r="AH33" s="528" t="s">
        <v>379</v>
      </c>
      <c r="AI33" s="528" t="s">
        <v>381</v>
      </c>
      <c r="AJ33" s="528" t="s">
        <v>406</v>
      </c>
      <c r="AK33" s="548">
        <v>0.79</v>
      </c>
      <c r="AL33" s="528" t="s">
        <v>490</v>
      </c>
      <c r="AM33" s="528" t="s">
        <v>406</v>
      </c>
      <c r="AN33" s="528" t="s">
        <v>490</v>
      </c>
      <c r="AO33" s="528" t="s">
        <v>386</v>
      </c>
      <c r="AP33" s="528" t="s">
        <v>420</v>
      </c>
      <c r="AQ33" s="546">
        <v>1.0</v>
      </c>
      <c r="AR33" s="528" t="s">
        <v>413</v>
      </c>
      <c r="AS33" s="528" t="s">
        <v>420</v>
      </c>
      <c r="AT33" s="546">
        <v>1.0</v>
      </c>
      <c r="AU33" s="528" t="s">
        <v>413</v>
      </c>
      <c r="AV33" s="528" t="s">
        <v>420</v>
      </c>
      <c r="AW33" s="546">
        <v>1.0</v>
      </c>
      <c r="AX33" s="528" t="s">
        <v>413</v>
      </c>
      <c r="AY33" s="528" t="s">
        <v>420</v>
      </c>
      <c r="AZ33" s="546">
        <v>1.0</v>
      </c>
      <c r="BA33" s="528" t="s">
        <v>413</v>
      </c>
      <c r="BB33" s="528" t="s">
        <v>420</v>
      </c>
      <c r="BC33" s="546">
        <v>1.0</v>
      </c>
      <c r="BD33" s="528" t="s">
        <v>413</v>
      </c>
      <c r="BE33" s="528" t="s">
        <v>420</v>
      </c>
      <c r="BF33" s="546">
        <v>1.0</v>
      </c>
      <c r="BG33" s="528" t="s">
        <v>413</v>
      </c>
      <c r="BH33" s="528" t="s">
        <v>420</v>
      </c>
      <c r="BI33" s="546">
        <v>1.0</v>
      </c>
      <c r="BJ33" s="528" t="s">
        <v>413</v>
      </c>
      <c r="BK33" s="528" t="s">
        <v>420</v>
      </c>
      <c r="BL33" s="546">
        <v>1.0</v>
      </c>
      <c r="BM33" s="528" t="s">
        <v>413</v>
      </c>
      <c r="BN33" s="528" t="s">
        <v>420</v>
      </c>
      <c r="BO33" s="546">
        <v>1.0</v>
      </c>
      <c r="BP33" s="528" t="s">
        <v>413</v>
      </c>
      <c r="BQ33" s="528" t="s">
        <v>420</v>
      </c>
      <c r="BR33" s="546">
        <v>1.0</v>
      </c>
      <c r="BS33" s="528" t="s">
        <v>413</v>
      </c>
      <c r="BT33" s="528" t="s">
        <v>420</v>
      </c>
      <c r="BU33" s="546">
        <v>1.0</v>
      </c>
      <c r="BV33" s="523" t="s">
        <v>413</v>
      </c>
      <c r="BW33" s="528" t="s">
        <v>420</v>
      </c>
      <c r="BX33" s="546">
        <v>1.0</v>
      </c>
      <c r="BY33" s="523" t="s">
        <v>413</v>
      </c>
      <c r="BZ33" s="528" t="s">
        <v>420</v>
      </c>
      <c r="CA33" s="546">
        <v>1.0</v>
      </c>
      <c r="CB33" s="523" t="s">
        <v>413</v>
      </c>
      <c r="CC33" s="528" t="s">
        <v>420</v>
      </c>
      <c r="CD33" s="546">
        <v>1.0</v>
      </c>
      <c r="CE33" s="523" t="s">
        <v>413</v>
      </c>
      <c r="CF33" s="528" t="s">
        <v>420</v>
      </c>
      <c r="CG33" s="546">
        <v>1.0</v>
      </c>
      <c r="CH33" s="523" t="s">
        <v>413</v>
      </c>
      <c r="CI33" s="528" t="s">
        <v>420</v>
      </c>
      <c r="CJ33" s="546">
        <v>1.0</v>
      </c>
      <c r="CK33" s="523" t="s">
        <v>413</v>
      </c>
      <c r="CL33" s="528" t="s">
        <v>420</v>
      </c>
      <c r="CM33" s="546">
        <v>1.0</v>
      </c>
      <c r="CN33" s="523" t="s">
        <v>413</v>
      </c>
      <c r="CO33" s="528" t="s">
        <v>420</v>
      </c>
      <c r="CP33" s="546">
        <v>1.0</v>
      </c>
      <c r="CQ33" s="523" t="s">
        <v>413</v>
      </c>
      <c r="CR33" s="528" t="s">
        <v>420</v>
      </c>
      <c r="CS33" s="546">
        <v>1.0</v>
      </c>
      <c r="CT33" s="523" t="s">
        <v>413</v>
      </c>
      <c r="CU33" s="528" t="s">
        <v>420</v>
      </c>
      <c r="CV33" s="546">
        <v>1.0</v>
      </c>
      <c r="CW33" s="523" t="s">
        <v>413</v>
      </c>
      <c r="CX33" s="528" t="s">
        <v>420</v>
      </c>
      <c r="CY33" s="546">
        <v>1.0</v>
      </c>
      <c r="CZ33" s="523" t="s">
        <v>413</v>
      </c>
      <c r="DA33" s="528" t="s">
        <v>420</v>
      </c>
      <c r="DB33" s="546">
        <v>1.0</v>
      </c>
      <c r="DC33" s="523" t="s">
        <v>413</v>
      </c>
      <c r="DD33" s="528" t="s">
        <v>420</v>
      </c>
      <c r="DE33" s="546">
        <v>1.0</v>
      </c>
      <c r="DF33" s="523" t="s">
        <v>413</v>
      </c>
      <c r="DG33" s="528" t="s">
        <v>420</v>
      </c>
      <c r="DH33" s="546">
        <v>1.0</v>
      </c>
      <c r="DI33" s="523" t="s">
        <v>413</v>
      </c>
      <c r="DJ33" s="528" t="s">
        <v>420</v>
      </c>
      <c r="DK33" s="546">
        <v>1.0</v>
      </c>
    </row>
    <row r="34" ht="15.0" customHeight="1">
      <c r="A34" s="53">
        <v>53.0</v>
      </c>
      <c r="B34" s="860" t="s">
        <v>252</v>
      </c>
      <c r="C34" s="860" t="s">
        <v>253</v>
      </c>
      <c r="D34" s="101" t="str">
        <f t="shared" si="2"/>
        <v>SITE</v>
      </c>
      <c r="E34" s="101" t="s">
        <v>254</v>
      </c>
      <c r="F34" s="102">
        <v>1119.0</v>
      </c>
      <c r="G34" s="534" t="s">
        <v>121</v>
      </c>
      <c r="H34" s="535">
        <v>0.0</v>
      </c>
      <c r="I34" s="858" t="str">
        <f>IFERROR(VLOOKUP(C:C,'R22 RELATÓRIO ACC'!B:F,5,FALSE),"NOT PUBLISHED")</f>
        <v>V20</v>
      </c>
      <c r="J34" s="858" t="str">
        <f>IFERROR(VLOOKUP(C:C,'R22 RELATÓRIO ACC'!B:P,15,FALSE),"NOT PUBLISHED")</f>
        <v>06/05/2026</v>
      </c>
      <c r="K34" s="821" t="str">
        <f>IFERROR(VLOOKUP(B:B,'RELATÓRIO ACC'!B:F,5,FALSE),"NOT PUBLISHED")</f>
        <v>V4</v>
      </c>
      <c r="L34" s="822" t="str">
        <f>IFERROR(VLOOKUP(B:B,'RELATÓRIO ACC'!B:P,15,FALSE),"NOT PUBLISHED")</f>
        <v>11/06/2026</v>
      </c>
      <c r="M34" s="821" t="s">
        <v>425</v>
      </c>
      <c r="N34" s="890">
        <v>46114.0</v>
      </c>
      <c r="O34" s="538" t="s">
        <v>410</v>
      </c>
      <c r="P34" s="587" t="s">
        <v>397</v>
      </c>
      <c r="Q34" s="523" t="s">
        <v>381</v>
      </c>
      <c r="R34" s="544" t="s">
        <v>421</v>
      </c>
      <c r="S34" s="546">
        <v>0.03</v>
      </c>
      <c r="T34" s="523" t="s">
        <v>379</v>
      </c>
      <c r="U34" s="524">
        <v>0.0</v>
      </c>
      <c r="V34" s="523" t="s">
        <v>379</v>
      </c>
      <c r="W34" s="523" t="s">
        <v>381</v>
      </c>
      <c r="X34" s="526" t="s">
        <v>400</v>
      </c>
      <c r="Y34" s="546">
        <v>0.03</v>
      </c>
      <c r="Z34" s="523" t="s">
        <v>379</v>
      </c>
      <c r="AA34" s="526" t="s">
        <v>400</v>
      </c>
      <c r="AB34" s="523" t="s">
        <v>379</v>
      </c>
      <c r="AC34" s="523" t="s">
        <v>379</v>
      </c>
      <c r="AD34" s="526" t="s">
        <v>400</v>
      </c>
      <c r="AE34" s="523" t="s">
        <v>379</v>
      </c>
      <c r="AF34" s="523" t="s">
        <v>381</v>
      </c>
      <c r="AG34" s="526" t="s">
        <v>399</v>
      </c>
      <c r="AH34" s="546">
        <v>0.24</v>
      </c>
      <c r="AI34" s="523" t="s">
        <v>379</v>
      </c>
      <c r="AJ34" s="526" t="s">
        <v>399</v>
      </c>
      <c r="AK34" s="523" t="s">
        <v>379</v>
      </c>
      <c r="AL34" s="523" t="s">
        <v>398</v>
      </c>
      <c r="AM34" s="526" t="s">
        <v>411</v>
      </c>
      <c r="AN34" s="523" t="s">
        <v>398</v>
      </c>
      <c r="AO34" s="523" t="s">
        <v>381</v>
      </c>
      <c r="AP34" s="526" t="s">
        <v>384</v>
      </c>
      <c r="AQ34" s="546">
        <v>0.24</v>
      </c>
      <c r="AR34" s="523" t="s">
        <v>398</v>
      </c>
      <c r="AS34" s="526" t="s">
        <v>417</v>
      </c>
      <c r="AT34" s="523" t="s">
        <v>398</v>
      </c>
      <c r="AU34" s="523" t="s">
        <v>398</v>
      </c>
      <c r="AV34" s="526" t="s">
        <v>417</v>
      </c>
      <c r="AW34" s="523" t="s">
        <v>398</v>
      </c>
      <c r="AX34" s="523" t="s">
        <v>398</v>
      </c>
      <c r="AY34" s="526" t="s">
        <v>417</v>
      </c>
      <c r="AZ34" s="523" t="s">
        <v>398</v>
      </c>
      <c r="BA34" s="523" t="s">
        <v>379</v>
      </c>
      <c r="BB34" s="526" t="s">
        <v>417</v>
      </c>
      <c r="BC34" s="523" t="s">
        <v>379</v>
      </c>
      <c r="BD34" s="523" t="s">
        <v>379</v>
      </c>
      <c r="BE34" s="526" t="s">
        <v>417</v>
      </c>
      <c r="BF34" s="523" t="s">
        <v>379</v>
      </c>
      <c r="BG34" s="523" t="s">
        <v>383</v>
      </c>
      <c r="BH34" s="526" t="s">
        <v>417</v>
      </c>
      <c r="BI34" s="523" t="s">
        <v>383</v>
      </c>
      <c r="BJ34" s="523" t="s">
        <v>383</v>
      </c>
      <c r="BK34" s="526" t="s">
        <v>417</v>
      </c>
      <c r="BL34" s="523" t="s">
        <v>383</v>
      </c>
      <c r="BM34" s="523" t="s">
        <v>490</v>
      </c>
      <c r="BN34" s="526" t="s">
        <v>415</v>
      </c>
      <c r="BO34" s="523" t="s">
        <v>490</v>
      </c>
      <c r="BP34" s="523" t="s">
        <v>381</v>
      </c>
      <c r="BQ34" s="526" t="s">
        <v>415</v>
      </c>
      <c r="BR34" s="546">
        <v>0.92</v>
      </c>
      <c r="BS34" s="523" t="s">
        <v>386</v>
      </c>
      <c r="BT34" s="526" t="s">
        <v>415</v>
      </c>
      <c r="BU34" s="546">
        <v>1.0</v>
      </c>
      <c r="BV34" s="523" t="s">
        <v>413</v>
      </c>
      <c r="BW34" s="526" t="s">
        <v>415</v>
      </c>
      <c r="BX34" s="546">
        <v>1.0</v>
      </c>
      <c r="BY34" s="523" t="s">
        <v>413</v>
      </c>
      <c r="BZ34" s="526" t="s">
        <v>415</v>
      </c>
      <c r="CA34" s="548">
        <v>1.0</v>
      </c>
      <c r="CB34" s="523" t="s">
        <v>413</v>
      </c>
      <c r="CC34" s="526" t="s">
        <v>415</v>
      </c>
      <c r="CD34" s="548">
        <v>1.0</v>
      </c>
      <c r="CE34" s="523" t="s">
        <v>413</v>
      </c>
      <c r="CF34" s="526" t="s">
        <v>415</v>
      </c>
      <c r="CG34" s="548">
        <v>1.0</v>
      </c>
      <c r="CH34" s="523" t="s">
        <v>413</v>
      </c>
      <c r="CI34" s="526" t="s">
        <v>415</v>
      </c>
      <c r="CJ34" s="548">
        <v>1.0</v>
      </c>
      <c r="CK34" s="523" t="s">
        <v>413</v>
      </c>
      <c r="CL34" s="526" t="s">
        <v>415</v>
      </c>
      <c r="CM34" s="548">
        <v>1.0</v>
      </c>
      <c r="CN34" s="523" t="s">
        <v>413</v>
      </c>
      <c r="CO34" s="526" t="s">
        <v>415</v>
      </c>
      <c r="CP34" s="548">
        <v>1.0</v>
      </c>
      <c r="CQ34" s="523" t="s">
        <v>413</v>
      </c>
      <c r="CR34" s="526" t="s">
        <v>415</v>
      </c>
      <c r="CS34" s="548">
        <v>1.0</v>
      </c>
      <c r="CT34" s="523" t="s">
        <v>413</v>
      </c>
      <c r="CU34" s="526" t="s">
        <v>415</v>
      </c>
      <c r="CV34" s="548">
        <v>1.0</v>
      </c>
      <c r="CW34" s="523" t="s">
        <v>413</v>
      </c>
      <c r="CX34" s="526" t="s">
        <v>415</v>
      </c>
      <c r="CY34" s="548">
        <v>1.0</v>
      </c>
      <c r="CZ34" s="523" t="s">
        <v>413</v>
      </c>
      <c r="DA34" s="526" t="s">
        <v>415</v>
      </c>
      <c r="DB34" s="548">
        <v>1.0</v>
      </c>
      <c r="DC34" s="523" t="s">
        <v>413</v>
      </c>
      <c r="DD34" s="526" t="s">
        <v>415</v>
      </c>
      <c r="DE34" s="548">
        <v>1.0</v>
      </c>
      <c r="DF34" s="523" t="s">
        <v>413</v>
      </c>
      <c r="DG34" s="526" t="s">
        <v>415</v>
      </c>
      <c r="DH34" s="548">
        <v>1.0</v>
      </c>
      <c r="DI34" s="523" t="s">
        <v>413</v>
      </c>
      <c r="DJ34" s="526" t="s">
        <v>415</v>
      </c>
      <c r="DK34" s="548">
        <v>1.0</v>
      </c>
    </row>
    <row r="35" ht="15.0" hidden="1" customHeight="1">
      <c r="A35" s="53">
        <v>34.0</v>
      </c>
      <c r="B35" s="902" t="s">
        <v>201</v>
      </c>
      <c r="C35" s="189"/>
      <c r="D35" s="190"/>
      <c r="E35" s="190"/>
      <c r="F35" s="190"/>
      <c r="G35" s="190"/>
      <c r="H35" s="192"/>
      <c r="I35" s="190"/>
      <c r="J35" s="190"/>
      <c r="K35" s="193"/>
      <c r="L35" s="598"/>
      <c r="M35" s="190"/>
      <c r="N35" s="599"/>
      <c r="O35" s="190"/>
      <c r="P35" s="903"/>
      <c r="Q35" s="600"/>
      <c r="R35" s="601"/>
      <c r="S35" s="602"/>
      <c r="T35" s="600"/>
      <c r="U35" s="601"/>
      <c r="V35" s="602"/>
      <c r="W35" s="600"/>
      <c r="X35" s="601"/>
      <c r="Y35" s="602"/>
      <c r="Z35" s="600"/>
      <c r="AA35" s="601"/>
      <c r="AB35" s="602"/>
      <c r="AC35" s="600"/>
      <c r="AD35" s="601"/>
      <c r="AE35" s="602"/>
      <c r="AF35" s="603"/>
      <c r="AG35" s="603"/>
      <c r="AH35" s="603"/>
      <c r="AI35" s="603"/>
      <c r="AJ35" s="603"/>
      <c r="AK35" s="603"/>
      <c r="AL35" s="603"/>
      <c r="AM35" s="603"/>
      <c r="AN35" s="603"/>
      <c r="AO35" s="603"/>
      <c r="AP35" s="603"/>
      <c r="AQ35" s="904"/>
      <c r="AR35" s="603"/>
      <c r="AS35" s="603"/>
      <c r="AT35" s="904"/>
      <c r="AU35" s="603"/>
      <c r="AV35" s="603"/>
      <c r="AW35" s="904"/>
      <c r="AX35" s="603"/>
      <c r="AY35" s="603"/>
      <c r="AZ35" s="904"/>
      <c r="BA35" s="603"/>
      <c r="BB35" s="603"/>
      <c r="BC35" s="904"/>
      <c r="BD35" s="603"/>
      <c r="BE35" s="603"/>
      <c r="BF35" s="904"/>
      <c r="BG35" s="603"/>
      <c r="BH35" s="603"/>
      <c r="BI35" s="904"/>
      <c r="BJ35" s="603"/>
      <c r="BK35" s="603"/>
      <c r="BL35" s="904"/>
      <c r="BM35" s="603"/>
      <c r="BN35" s="603"/>
      <c r="BO35" s="904"/>
      <c r="BP35" s="603"/>
      <c r="BQ35" s="603"/>
      <c r="BR35" s="904"/>
      <c r="BS35" s="603"/>
      <c r="BT35" s="603"/>
      <c r="BU35" s="904"/>
      <c r="BV35" s="603"/>
      <c r="BW35" s="603"/>
      <c r="BX35" s="904"/>
      <c r="BY35" s="603"/>
      <c r="BZ35" s="603"/>
      <c r="CA35" s="603"/>
      <c r="CB35" s="603"/>
      <c r="CC35" s="603"/>
      <c r="CD35" s="603"/>
      <c r="CE35" s="603"/>
      <c r="CF35" s="603"/>
      <c r="CG35" s="603"/>
      <c r="CH35" s="603"/>
      <c r="CI35" s="603"/>
      <c r="CJ35" s="603"/>
      <c r="CK35" s="603"/>
      <c r="CL35" s="603"/>
      <c r="CM35" s="603"/>
      <c r="CN35" s="603"/>
      <c r="CO35" s="603"/>
      <c r="CP35" s="603"/>
      <c r="CQ35" s="603"/>
      <c r="CR35" s="603"/>
      <c r="CS35" s="603"/>
      <c r="CT35" s="603"/>
      <c r="CU35" s="603"/>
      <c r="CV35" s="603"/>
      <c r="CW35" s="603"/>
      <c r="CX35" s="603"/>
      <c r="CY35" s="603"/>
      <c r="CZ35" s="603"/>
      <c r="DA35" s="603"/>
      <c r="DB35" s="603"/>
      <c r="DC35" s="603"/>
      <c r="DD35" s="603"/>
      <c r="DE35" s="603"/>
      <c r="DF35" s="603"/>
      <c r="DG35" s="603"/>
      <c r="DH35" s="603"/>
      <c r="DI35" s="603"/>
      <c r="DJ35" s="603"/>
      <c r="DK35" s="603"/>
    </row>
    <row r="36" ht="15.0" customHeight="1">
      <c r="A36" s="53">
        <v>2.0</v>
      </c>
      <c r="B36" s="898" t="s">
        <v>255</v>
      </c>
      <c r="C36" s="898" t="s">
        <v>256</v>
      </c>
      <c r="D36" s="104" t="str">
        <f>MID(B36,17,4)</f>
        <v>SITE</v>
      </c>
      <c r="E36" s="104" t="s">
        <v>254</v>
      </c>
      <c r="F36" s="104">
        <v>1119.0</v>
      </c>
      <c r="G36" s="123" t="s">
        <v>121</v>
      </c>
      <c r="H36" s="535">
        <v>0.0</v>
      </c>
      <c r="I36" s="858" t="str">
        <f>IFERROR(VLOOKUP(C:C,'R22 RELATÓRIO ACC'!B:F,5,FALSE),"NOT PUBLISHED")</f>
        <v>V18</v>
      </c>
      <c r="J36" s="858" t="str">
        <f>IFERROR(VLOOKUP(C:C,'R22 RELATÓRIO ACC'!B:P,15,FALSE),"NOT PUBLISHED")</f>
        <v>08/04/2026</v>
      </c>
      <c r="K36" s="899" t="str">
        <f>IFERROR(VLOOKUP(B:B,'RELATÓRIO ACC'!B:F,5,FALSE),"NOT PUBLISHED")</f>
        <v>V6</v>
      </c>
      <c r="L36" s="822" t="str">
        <f>IFERROR(VLOOKUP(B:B,'RELATÓRIO ACC'!B:P,15,FALSE),"NOT PUBLISHED")</f>
        <v>24/06/2026</v>
      </c>
      <c r="M36" s="858" t="s">
        <v>414</v>
      </c>
      <c r="N36" s="905">
        <v>46055.0</v>
      </c>
      <c r="O36" s="538" t="s">
        <v>410</v>
      </c>
      <c r="P36" s="906" t="s">
        <v>445</v>
      </c>
      <c r="Q36" s="901" t="s">
        <v>388</v>
      </c>
      <c r="R36" s="558" t="s">
        <v>380</v>
      </c>
      <c r="S36" s="525" t="s">
        <v>388</v>
      </c>
      <c r="T36" s="901" t="s">
        <v>388</v>
      </c>
      <c r="U36" s="558" t="s">
        <v>380</v>
      </c>
      <c r="V36" s="525" t="s">
        <v>388</v>
      </c>
      <c r="W36" s="901" t="s">
        <v>388</v>
      </c>
      <c r="X36" s="558" t="s">
        <v>380</v>
      </c>
      <c r="Y36" s="525" t="s">
        <v>388</v>
      </c>
      <c r="Z36" s="901" t="s">
        <v>388</v>
      </c>
      <c r="AA36" s="558" t="s">
        <v>380</v>
      </c>
      <c r="AB36" s="525" t="s">
        <v>388</v>
      </c>
      <c r="AC36" s="901" t="s">
        <v>388</v>
      </c>
      <c r="AD36" s="558" t="s">
        <v>380</v>
      </c>
      <c r="AE36" s="525" t="s">
        <v>388</v>
      </c>
      <c r="AF36" s="528" t="s">
        <v>388</v>
      </c>
      <c r="AG36" s="540" t="s">
        <v>380</v>
      </c>
      <c r="AH36" s="528" t="s">
        <v>388</v>
      </c>
      <c r="AI36" s="523" t="s">
        <v>388</v>
      </c>
      <c r="AJ36" s="540" t="s">
        <v>380</v>
      </c>
      <c r="AK36" s="528" t="s">
        <v>388</v>
      </c>
      <c r="AL36" s="523" t="s">
        <v>388</v>
      </c>
      <c r="AM36" s="540" t="s">
        <v>380</v>
      </c>
      <c r="AN36" s="528" t="s">
        <v>388</v>
      </c>
      <c r="AO36" s="523" t="s">
        <v>388</v>
      </c>
      <c r="AP36" s="540" t="s">
        <v>380</v>
      </c>
      <c r="AQ36" s="528" t="s">
        <v>388</v>
      </c>
      <c r="AR36" s="523" t="s">
        <v>388</v>
      </c>
      <c r="AS36" s="540" t="s">
        <v>380</v>
      </c>
      <c r="AT36" s="528" t="s">
        <v>388</v>
      </c>
      <c r="AU36" s="523" t="s">
        <v>388</v>
      </c>
      <c r="AV36" s="540" t="s">
        <v>380</v>
      </c>
      <c r="AW36" s="528" t="s">
        <v>388</v>
      </c>
      <c r="AX36" s="523" t="s">
        <v>386</v>
      </c>
      <c r="AY36" s="528" t="s">
        <v>414</v>
      </c>
      <c r="AZ36" s="548">
        <v>1.0</v>
      </c>
      <c r="BA36" s="523" t="s">
        <v>386</v>
      </c>
      <c r="BB36" s="528" t="s">
        <v>414</v>
      </c>
      <c r="BC36" s="548">
        <v>1.0</v>
      </c>
      <c r="BD36" s="523" t="s">
        <v>413</v>
      </c>
      <c r="BE36" s="528" t="s">
        <v>414</v>
      </c>
      <c r="BF36" s="548">
        <v>1.0</v>
      </c>
      <c r="BG36" s="523" t="s">
        <v>413</v>
      </c>
      <c r="BH36" s="528" t="s">
        <v>414</v>
      </c>
      <c r="BI36" s="548">
        <v>1.0</v>
      </c>
      <c r="BJ36" s="523" t="s">
        <v>413</v>
      </c>
      <c r="BK36" s="528" t="s">
        <v>414</v>
      </c>
      <c r="BL36" s="548">
        <v>1.0</v>
      </c>
      <c r="BM36" s="523" t="s">
        <v>413</v>
      </c>
      <c r="BN36" s="528" t="s">
        <v>414</v>
      </c>
      <c r="BO36" s="548">
        <v>1.0</v>
      </c>
      <c r="BP36" s="523" t="s">
        <v>413</v>
      </c>
      <c r="BQ36" s="528" t="s">
        <v>414</v>
      </c>
      <c r="BR36" s="548">
        <v>1.0</v>
      </c>
      <c r="BS36" s="523" t="s">
        <v>413</v>
      </c>
      <c r="BT36" s="528" t="s">
        <v>414</v>
      </c>
      <c r="BU36" s="548">
        <v>1.0</v>
      </c>
      <c r="BV36" s="523" t="s">
        <v>413</v>
      </c>
      <c r="BW36" s="528" t="s">
        <v>414</v>
      </c>
      <c r="BX36" s="548">
        <v>1.0</v>
      </c>
      <c r="BY36" s="523" t="s">
        <v>413</v>
      </c>
      <c r="BZ36" s="528" t="s">
        <v>414</v>
      </c>
      <c r="CA36" s="548">
        <v>1.0</v>
      </c>
      <c r="CB36" s="523" t="s">
        <v>413</v>
      </c>
      <c r="CC36" s="528" t="s">
        <v>414</v>
      </c>
      <c r="CD36" s="548">
        <v>1.0</v>
      </c>
      <c r="CE36" s="523" t="s">
        <v>413</v>
      </c>
      <c r="CF36" s="528" t="s">
        <v>414</v>
      </c>
      <c r="CG36" s="548">
        <v>1.0</v>
      </c>
      <c r="CH36" s="523" t="s">
        <v>413</v>
      </c>
      <c r="CI36" s="528" t="s">
        <v>414</v>
      </c>
      <c r="CJ36" s="548">
        <v>1.0</v>
      </c>
      <c r="CK36" s="523" t="s">
        <v>413</v>
      </c>
      <c r="CL36" s="528" t="s">
        <v>414</v>
      </c>
      <c r="CM36" s="548">
        <v>1.0</v>
      </c>
      <c r="CN36" s="523" t="s">
        <v>413</v>
      </c>
      <c r="CO36" s="528" t="s">
        <v>414</v>
      </c>
      <c r="CP36" s="548">
        <v>1.0</v>
      </c>
      <c r="CQ36" s="523" t="s">
        <v>413</v>
      </c>
      <c r="CR36" s="528" t="s">
        <v>414</v>
      </c>
      <c r="CS36" s="548">
        <v>1.0</v>
      </c>
      <c r="CT36" s="523" t="s">
        <v>413</v>
      </c>
      <c r="CU36" s="528" t="s">
        <v>414</v>
      </c>
      <c r="CV36" s="548">
        <v>1.0</v>
      </c>
      <c r="CW36" s="523" t="s">
        <v>413</v>
      </c>
      <c r="CX36" s="528" t="s">
        <v>414</v>
      </c>
      <c r="CY36" s="548">
        <v>1.0</v>
      </c>
      <c r="CZ36" s="523" t="s">
        <v>413</v>
      </c>
      <c r="DA36" s="528" t="s">
        <v>414</v>
      </c>
      <c r="DB36" s="548">
        <v>1.0</v>
      </c>
      <c r="DC36" s="523" t="s">
        <v>413</v>
      </c>
      <c r="DD36" s="528" t="s">
        <v>414</v>
      </c>
      <c r="DE36" s="548">
        <v>1.0</v>
      </c>
      <c r="DF36" s="523" t="s">
        <v>413</v>
      </c>
      <c r="DG36" s="528" t="s">
        <v>414</v>
      </c>
      <c r="DH36" s="548">
        <v>1.0</v>
      </c>
      <c r="DI36" s="523" t="s">
        <v>413</v>
      </c>
      <c r="DJ36" s="528" t="s">
        <v>414</v>
      </c>
      <c r="DK36" s="548">
        <v>1.0</v>
      </c>
    </row>
    <row r="37" ht="15.0" hidden="1" customHeight="1">
      <c r="A37" s="53">
        <v>36.0</v>
      </c>
      <c r="B37" s="907" t="s">
        <v>206</v>
      </c>
      <c r="C37" s="908"/>
      <c r="D37" s="909"/>
      <c r="E37" s="909"/>
      <c r="F37" s="216"/>
      <c r="G37" s="213"/>
      <c r="H37" s="213"/>
      <c r="I37" s="211"/>
      <c r="J37" s="211"/>
      <c r="K37" s="604"/>
      <c r="L37" s="605"/>
      <c r="M37" s="604"/>
      <c r="N37" s="910"/>
      <c r="O37" s="911"/>
      <c r="P37" s="912"/>
      <c r="Q37" s="913"/>
      <c r="R37" s="608"/>
      <c r="S37" s="914"/>
      <c r="T37" s="913"/>
      <c r="U37" s="608"/>
      <c r="V37" s="914"/>
      <c r="W37" s="913"/>
      <c r="X37" s="915"/>
      <c r="Y37" s="914"/>
      <c r="Z37" s="913"/>
      <c r="AA37" s="915"/>
      <c r="AB37" s="914"/>
      <c r="AC37" s="913"/>
      <c r="AD37" s="915"/>
      <c r="AE37" s="609"/>
      <c r="AF37" s="914"/>
      <c r="AG37" s="916"/>
      <c r="AH37" s="914"/>
      <c r="AI37" s="610"/>
      <c r="AJ37" s="610"/>
      <c r="AK37" s="610"/>
      <c r="AL37" s="610"/>
      <c r="AM37" s="610"/>
      <c r="AN37" s="610"/>
      <c r="AO37" s="610"/>
      <c r="AP37" s="610"/>
      <c r="AQ37" s="610"/>
      <c r="AR37" s="610"/>
      <c r="AS37" s="610"/>
      <c r="AT37" s="610"/>
      <c r="AU37" s="610"/>
      <c r="AV37" s="610"/>
      <c r="AW37" s="610"/>
      <c r="AX37" s="610"/>
      <c r="AY37" s="610"/>
      <c r="AZ37" s="610"/>
      <c r="BA37" s="610"/>
      <c r="BB37" s="610"/>
      <c r="BC37" s="610"/>
      <c r="BD37" s="610"/>
      <c r="BE37" s="610"/>
      <c r="BF37" s="610"/>
      <c r="BG37" s="610"/>
      <c r="BH37" s="610"/>
      <c r="BI37" s="610"/>
      <c r="BJ37" s="610"/>
      <c r="BK37" s="610"/>
      <c r="BL37" s="610"/>
      <c r="BM37" s="610"/>
      <c r="BN37" s="610"/>
      <c r="BO37" s="610"/>
      <c r="BP37" s="610"/>
      <c r="BQ37" s="610"/>
      <c r="BR37" s="610"/>
      <c r="BS37" s="610"/>
      <c r="BT37" s="610"/>
      <c r="BU37" s="610"/>
      <c r="BV37" s="610"/>
      <c r="BW37" s="610"/>
      <c r="BX37" s="610"/>
      <c r="BY37" s="610"/>
      <c r="BZ37" s="610"/>
      <c r="CA37" s="610"/>
      <c r="CB37" s="610"/>
      <c r="CC37" s="610"/>
      <c r="CD37" s="610"/>
      <c r="CE37" s="610"/>
      <c r="CF37" s="610"/>
      <c r="CG37" s="610"/>
      <c r="CH37" s="610"/>
      <c r="CI37" s="610"/>
      <c r="CJ37" s="610"/>
      <c r="CK37" s="610"/>
      <c r="CL37" s="610"/>
      <c r="CM37" s="610"/>
      <c r="CN37" s="610"/>
      <c r="CO37" s="610"/>
      <c r="CP37" s="610"/>
      <c r="CQ37" s="610"/>
      <c r="CR37" s="610"/>
      <c r="CS37" s="610"/>
      <c r="CT37" s="610"/>
      <c r="CU37" s="610"/>
      <c r="CV37" s="610"/>
      <c r="CW37" s="610"/>
      <c r="CX37" s="610"/>
      <c r="CY37" s="610"/>
      <c r="CZ37" s="610"/>
      <c r="DA37" s="610"/>
      <c r="DB37" s="610"/>
      <c r="DC37" s="610"/>
      <c r="DD37" s="610"/>
      <c r="DE37" s="610"/>
      <c r="DF37" s="610"/>
      <c r="DG37" s="610"/>
      <c r="DH37" s="610"/>
      <c r="DI37" s="610"/>
      <c r="DJ37" s="610"/>
      <c r="DK37" s="610"/>
    </row>
    <row r="38" ht="15.0" customHeight="1">
      <c r="A38" s="53">
        <v>57.0</v>
      </c>
      <c r="B38" s="898" t="s">
        <v>262</v>
      </c>
      <c r="C38" s="898" t="s">
        <v>263</v>
      </c>
      <c r="D38" s="104" t="str">
        <f>MID(B38,17,4)</f>
        <v>SITE</v>
      </c>
      <c r="E38" s="123" t="s">
        <v>264</v>
      </c>
      <c r="F38" s="116">
        <v>0.0</v>
      </c>
      <c r="G38" s="123" t="s">
        <v>265</v>
      </c>
      <c r="H38" s="535">
        <v>0.0</v>
      </c>
      <c r="I38" s="858" t="str">
        <f>IFERROR(VLOOKUP(C:C,'R22 RELATÓRIO ACC'!B:F,5,FALSE),"NOT PUBLISHED")</f>
        <v>V11</v>
      </c>
      <c r="J38" s="858" t="str">
        <f>IFERROR(VLOOKUP(C:C,'R22 RELATÓRIO ACC'!B:P,15,FALSE),"NOT PUBLISHED")</f>
        <v>21/03/2026</v>
      </c>
      <c r="K38" s="899" t="str">
        <f>IFERROR(VLOOKUP(B:B,'RELATÓRIO ACC'!B:F,5,FALSE),"NOT PUBLISHED")</f>
        <v>V1</v>
      </c>
      <c r="L38" s="917" t="str">
        <f>IFERROR(VLOOKUP(B:B,'RELATÓRIO ACC'!B:P,15,FALSE),"NOT PUBLISHED")</f>
        <v>18/05/2026</v>
      </c>
      <c r="M38" s="858" t="s">
        <v>384</v>
      </c>
      <c r="N38" s="918">
        <v>45986.0</v>
      </c>
      <c r="O38" s="538" t="s">
        <v>410</v>
      </c>
      <c r="P38" s="906" t="s">
        <v>445</v>
      </c>
      <c r="Q38" s="901" t="s">
        <v>379</v>
      </c>
      <c r="R38" s="550" t="s">
        <v>380</v>
      </c>
      <c r="S38" s="525" t="s">
        <v>379</v>
      </c>
      <c r="T38" s="901" t="s">
        <v>379</v>
      </c>
      <c r="U38" s="558">
        <v>0.0</v>
      </c>
      <c r="V38" s="525" t="s">
        <v>379</v>
      </c>
      <c r="W38" s="901" t="s">
        <v>379</v>
      </c>
      <c r="X38" s="550" t="s">
        <v>380</v>
      </c>
      <c r="Y38" s="525" t="s">
        <v>379</v>
      </c>
      <c r="Z38" s="901" t="s">
        <v>379</v>
      </c>
      <c r="AA38" s="550" t="s">
        <v>380</v>
      </c>
      <c r="AB38" s="525" t="s">
        <v>379</v>
      </c>
      <c r="AC38" s="901" t="s">
        <v>381</v>
      </c>
      <c r="AD38" s="550" t="s">
        <v>382</v>
      </c>
      <c r="AE38" s="551">
        <v>0.76</v>
      </c>
      <c r="AF38" s="528" t="s">
        <v>379</v>
      </c>
      <c r="AG38" s="528" t="s">
        <v>382</v>
      </c>
      <c r="AH38" s="528" t="s">
        <v>379</v>
      </c>
      <c r="AI38" s="523" t="s">
        <v>490</v>
      </c>
      <c r="AJ38" s="528" t="s">
        <v>382</v>
      </c>
      <c r="AK38" s="528" t="s">
        <v>490</v>
      </c>
      <c r="AL38" s="523" t="s">
        <v>386</v>
      </c>
      <c r="AM38" s="528" t="s">
        <v>384</v>
      </c>
      <c r="AN38" s="546">
        <v>1.0</v>
      </c>
      <c r="AO38" s="523" t="s">
        <v>413</v>
      </c>
      <c r="AP38" s="528" t="s">
        <v>384</v>
      </c>
      <c r="AQ38" s="546">
        <v>1.0</v>
      </c>
      <c r="AR38" s="523" t="s">
        <v>413</v>
      </c>
      <c r="AS38" s="528" t="s">
        <v>384</v>
      </c>
      <c r="AT38" s="546">
        <v>1.0</v>
      </c>
      <c r="AU38" s="523" t="s">
        <v>413</v>
      </c>
      <c r="AV38" s="528" t="s">
        <v>384</v>
      </c>
      <c r="AW38" s="546">
        <v>1.0</v>
      </c>
      <c r="AX38" s="523" t="s">
        <v>413</v>
      </c>
      <c r="AY38" s="528" t="s">
        <v>384</v>
      </c>
      <c r="AZ38" s="546">
        <v>1.0</v>
      </c>
      <c r="BA38" s="523" t="s">
        <v>413</v>
      </c>
      <c r="BB38" s="528" t="s">
        <v>384</v>
      </c>
      <c r="BC38" s="548">
        <v>1.0</v>
      </c>
      <c r="BD38" s="523" t="s">
        <v>413</v>
      </c>
      <c r="BE38" s="528" t="s">
        <v>384</v>
      </c>
      <c r="BF38" s="546">
        <v>1.0</v>
      </c>
      <c r="BG38" s="861" t="s">
        <v>413</v>
      </c>
      <c r="BH38" s="528" t="s">
        <v>384</v>
      </c>
      <c r="BI38" s="919">
        <v>1.0</v>
      </c>
      <c r="BJ38" s="861" t="s">
        <v>413</v>
      </c>
      <c r="BK38" s="528" t="s">
        <v>384</v>
      </c>
      <c r="BL38" s="919">
        <v>1.0</v>
      </c>
      <c r="BM38" s="523" t="s">
        <v>413</v>
      </c>
      <c r="BN38" s="528" t="s">
        <v>384</v>
      </c>
      <c r="BO38" s="548">
        <v>1.0</v>
      </c>
      <c r="BP38" s="523" t="s">
        <v>413</v>
      </c>
      <c r="BQ38" s="528" t="s">
        <v>384</v>
      </c>
      <c r="BR38" s="546">
        <v>1.0</v>
      </c>
      <c r="BS38" s="523" t="s">
        <v>413</v>
      </c>
      <c r="BT38" s="528" t="s">
        <v>384</v>
      </c>
      <c r="BU38" s="546">
        <v>1.0</v>
      </c>
      <c r="BV38" s="523" t="s">
        <v>413</v>
      </c>
      <c r="BW38" s="528" t="s">
        <v>384</v>
      </c>
      <c r="BX38" s="546">
        <v>1.0</v>
      </c>
      <c r="BY38" s="523" t="s">
        <v>413</v>
      </c>
      <c r="BZ38" s="528" t="s">
        <v>384</v>
      </c>
      <c r="CA38" s="546">
        <v>1.0</v>
      </c>
      <c r="CB38" s="523" t="s">
        <v>413</v>
      </c>
      <c r="CC38" s="528" t="s">
        <v>384</v>
      </c>
      <c r="CD38" s="546">
        <v>1.0</v>
      </c>
      <c r="CE38" s="523" t="s">
        <v>413</v>
      </c>
      <c r="CF38" s="528" t="s">
        <v>384</v>
      </c>
      <c r="CG38" s="546">
        <v>1.0</v>
      </c>
      <c r="CH38" s="523" t="s">
        <v>413</v>
      </c>
      <c r="CI38" s="528" t="s">
        <v>384</v>
      </c>
      <c r="CJ38" s="546">
        <v>1.0</v>
      </c>
      <c r="CK38" s="523" t="s">
        <v>413</v>
      </c>
      <c r="CL38" s="528" t="s">
        <v>384</v>
      </c>
      <c r="CM38" s="546">
        <v>1.0</v>
      </c>
      <c r="CN38" s="523" t="s">
        <v>413</v>
      </c>
      <c r="CO38" s="528" t="s">
        <v>384</v>
      </c>
      <c r="CP38" s="546">
        <v>1.0</v>
      </c>
      <c r="CQ38" s="523" t="s">
        <v>413</v>
      </c>
      <c r="CR38" s="528" t="s">
        <v>384</v>
      </c>
      <c r="CS38" s="546">
        <v>1.0</v>
      </c>
      <c r="CT38" s="523" t="s">
        <v>413</v>
      </c>
      <c r="CU38" s="528" t="s">
        <v>384</v>
      </c>
      <c r="CV38" s="546">
        <v>1.0</v>
      </c>
      <c r="CW38" s="523" t="s">
        <v>413</v>
      </c>
      <c r="CX38" s="528" t="s">
        <v>384</v>
      </c>
      <c r="CY38" s="546">
        <v>1.0</v>
      </c>
      <c r="CZ38" s="523" t="s">
        <v>413</v>
      </c>
      <c r="DA38" s="528" t="s">
        <v>384</v>
      </c>
      <c r="DB38" s="546">
        <v>1.0</v>
      </c>
      <c r="DC38" s="523" t="s">
        <v>413</v>
      </c>
      <c r="DD38" s="528" t="s">
        <v>384</v>
      </c>
      <c r="DE38" s="546">
        <v>1.0</v>
      </c>
      <c r="DF38" s="523" t="s">
        <v>413</v>
      </c>
      <c r="DG38" s="528" t="s">
        <v>384</v>
      </c>
      <c r="DH38" s="546">
        <v>1.0</v>
      </c>
      <c r="DI38" s="523" t="s">
        <v>413</v>
      </c>
      <c r="DJ38" s="528" t="s">
        <v>384</v>
      </c>
      <c r="DK38" s="546">
        <v>1.0</v>
      </c>
    </row>
    <row r="39" ht="15.0" hidden="1" customHeight="1">
      <c r="A39" s="53">
        <v>38.0</v>
      </c>
      <c r="B39" s="920" t="s">
        <v>215</v>
      </c>
      <c r="C39" s="921"/>
      <c r="D39" s="922"/>
      <c r="E39" s="922"/>
      <c r="F39" s="922"/>
      <c r="G39" s="922"/>
      <c r="H39" s="234"/>
      <c r="I39" s="232"/>
      <c r="J39" s="232"/>
      <c r="K39" s="611"/>
      <c r="L39" s="612"/>
      <c r="M39" s="611"/>
      <c r="N39" s="612"/>
      <c r="O39" s="232"/>
      <c r="P39" s="923"/>
      <c r="Q39" s="924"/>
      <c r="R39" s="925"/>
      <c r="S39" s="926"/>
      <c r="T39" s="924"/>
      <c r="U39" s="925"/>
      <c r="V39" s="926"/>
      <c r="W39" s="924"/>
      <c r="X39" s="925"/>
      <c r="Y39" s="926"/>
      <c r="Z39" s="924"/>
      <c r="AA39" s="925"/>
      <c r="AB39" s="616"/>
      <c r="AC39" s="924"/>
      <c r="AD39" s="925"/>
      <c r="AE39" s="616"/>
      <c r="AF39" s="927"/>
      <c r="AG39" s="928"/>
      <c r="AH39" s="616"/>
      <c r="AI39" s="617"/>
      <c r="AJ39" s="617"/>
      <c r="AK39" s="617"/>
      <c r="AL39" s="617"/>
      <c r="AM39" s="617"/>
      <c r="AN39" s="617"/>
      <c r="AO39" s="617"/>
      <c r="AP39" s="617"/>
      <c r="AQ39" s="617"/>
      <c r="AR39" s="617"/>
      <c r="AS39" s="617"/>
      <c r="AT39" s="617"/>
      <c r="AU39" s="617"/>
      <c r="AV39" s="927"/>
      <c r="AW39" s="617"/>
      <c r="AX39" s="927"/>
      <c r="AY39" s="927"/>
      <c r="AZ39" s="927"/>
      <c r="BA39" s="927"/>
      <c r="BB39" s="927"/>
      <c r="BC39" s="927"/>
      <c r="BD39" s="927"/>
      <c r="BE39" s="927"/>
      <c r="BF39" s="927"/>
      <c r="BG39" s="927"/>
      <c r="BH39" s="927"/>
      <c r="BI39" s="927"/>
      <c r="BJ39" s="927"/>
      <c r="BK39" s="927"/>
      <c r="BL39" s="927"/>
      <c r="BM39" s="927"/>
      <c r="BN39" s="927"/>
      <c r="BO39" s="927"/>
      <c r="BP39" s="927"/>
      <c r="BQ39" s="927"/>
      <c r="BR39" s="927"/>
      <c r="BS39" s="927"/>
      <c r="BT39" s="927"/>
      <c r="BU39" s="927"/>
      <c r="BV39" s="927"/>
      <c r="BW39" s="927"/>
      <c r="BX39" s="927"/>
      <c r="BY39" s="927"/>
      <c r="BZ39" s="927"/>
      <c r="CA39" s="927"/>
      <c r="CB39" s="927"/>
      <c r="CC39" s="927"/>
      <c r="CD39" s="927"/>
      <c r="CE39" s="617"/>
      <c r="CF39" s="617"/>
      <c r="CG39" s="617"/>
      <c r="CH39" s="617"/>
      <c r="CI39" s="617"/>
      <c r="CJ39" s="617"/>
      <c r="CK39" s="617"/>
      <c r="CL39" s="617"/>
      <c r="CM39" s="617"/>
      <c r="CN39" s="617"/>
      <c r="CO39" s="617"/>
      <c r="CP39" s="617"/>
      <c r="CQ39" s="617"/>
      <c r="CR39" s="617"/>
      <c r="CS39" s="617"/>
      <c r="CT39" s="617"/>
      <c r="CU39" s="617"/>
      <c r="CV39" s="617"/>
      <c r="CW39" s="617"/>
      <c r="CX39" s="617"/>
      <c r="CY39" s="617"/>
      <c r="CZ39" s="617"/>
      <c r="DA39" s="617"/>
      <c r="DB39" s="617"/>
      <c r="DC39" s="617"/>
      <c r="DD39" s="617"/>
      <c r="DE39" s="617"/>
      <c r="DF39" s="617"/>
      <c r="DG39" s="617"/>
      <c r="DH39" s="617"/>
      <c r="DI39" s="617"/>
      <c r="DJ39" s="617"/>
      <c r="DK39" s="617"/>
    </row>
    <row r="40" ht="15.0" customHeight="1">
      <c r="A40" s="53">
        <v>55.0</v>
      </c>
      <c r="B40" s="898" t="s">
        <v>258</v>
      </c>
      <c r="C40" s="898" t="s">
        <v>259</v>
      </c>
      <c r="D40" s="104" t="str">
        <f>MID(B40,17,4)</f>
        <v>SITE</v>
      </c>
      <c r="E40" s="104" t="s">
        <v>254</v>
      </c>
      <c r="F40" s="104">
        <v>1119.0</v>
      </c>
      <c r="G40" s="123" t="s">
        <v>121</v>
      </c>
      <c r="H40" s="535">
        <v>0.0</v>
      </c>
      <c r="I40" s="858" t="str">
        <f>IFERROR(VLOOKUP(C:C,'R22 RELATÓRIO ACC'!B:F,5,FALSE),"NOT PUBLISHED")</f>
        <v>V18</v>
      </c>
      <c r="J40" s="858" t="str">
        <f>IFERROR(VLOOKUP(C:C,'R22 RELATÓRIO ACC'!B:P,15,FALSE),"NOT PUBLISHED")</f>
        <v>30/04/2026</v>
      </c>
      <c r="K40" s="899" t="str">
        <f>IFERROR(VLOOKUP(B:B,'RELATÓRIO ACC'!B:F,5,FALSE),"NOT PUBLISHED")</f>
        <v>V2</v>
      </c>
      <c r="L40" s="917" t="str">
        <f>IFERROR(VLOOKUP(B:B,'RELATÓRIO ACC'!B:P,15,FALSE),"NOT PUBLISHED")</f>
        <v>20/05/2026</v>
      </c>
      <c r="M40" s="858" t="s">
        <v>419</v>
      </c>
      <c r="N40" s="918">
        <v>46114.0</v>
      </c>
      <c r="O40" s="538" t="s">
        <v>410</v>
      </c>
      <c r="P40" s="906" t="s">
        <v>397</v>
      </c>
      <c r="Q40" s="901" t="s">
        <v>381</v>
      </c>
      <c r="R40" s="550" t="s">
        <v>421</v>
      </c>
      <c r="S40" s="551">
        <v>0.13</v>
      </c>
      <c r="T40" s="901" t="s">
        <v>379</v>
      </c>
      <c r="U40" s="558">
        <v>0.0</v>
      </c>
      <c r="V40" s="525" t="s">
        <v>379</v>
      </c>
      <c r="W40" s="901" t="s">
        <v>381</v>
      </c>
      <c r="X40" s="550" t="s">
        <v>400</v>
      </c>
      <c r="Y40" s="551">
        <v>0.13</v>
      </c>
      <c r="Z40" s="901" t="s">
        <v>379</v>
      </c>
      <c r="AA40" s="550" t="s">
        <v>400</v>
      </c>
      <c r="AB40" s="525" t="s">
        <v>379</v>
      </c>
      <c r="AC40" s="901" t="s">
        <v>398</v>
      </c>
      <c r="AD40" s="550" t="s">
        <v>399</v>
      </c>
      <c r="AE40" s="525" t="s">
        <v>398</v>
      </c>
      <c r="AF40" s="528" t="s">
        <v>381</v>
      </c>
      <c r="AG40" s="528" t="s">
        <v>411</v>
      </c>
      <c r="AH40" s="548">
        <v>0.38</v>
      </c>
      <c r="AI40" s="528" t="s">
        <v>379</v>
      </c>
      <c r="AJ40" s="528" t="s">
        <v>411</v>
      </c>
      <c r="AK40" s="528" t="s">
        <v>379</v>
      </c>
      <c r="AL40" s="523" t="s">
        <v>398</v>
      </c>
      <c r="AM40" s="528" t="s">
        <v>428</v>
      </c>
      <c r="AN40" s="523" t="s">
        <v>398</v>
      </c>
      <c r="AO40" s="523" t="s">
        <v>381</v>
      </c>
      <c r="AP40" s="528" t="s">
        <v>385</v>
      </c>
      <c r="AQ40" s="546">
        <v>0.38</v>
      </c>
      <c r="AR40" s="523" t="s">
        <v>398</v>
      </c>
      <c r="AS40" s="528" t="s">
        <v>414</v>
      </c>
      <c r="AT40" s="523" t="s">
        <v>398</v>
      </c>
      <c r="AU40" s="523" t="s">
        <v>398</v>
      </c>
      <c r="AV40" s="528" t="s">
        <v>414</v>
      </c>
      <c r="AW40" s="523" t="s">
        <v>398</v>
      </c>
      <c r="AX40" s="523" t="s">
        <v>379</v>
      </c>
      <c r="AY40" s="528" t="s">
        <v>414</v>
      </c>
      <c r="AZ40" s="523" t="s">
        <v>379</v>
      </c>
      <c r="BA40" s="523" t="s">
        <v>379</v>
      </c>
      <c r="BB40" s="528" t="s">
        <v>414</v>
      </c>
      <c r="BC40" s="523" t="s">
        <v>379</v>
      </c>
      <c r="BD40" s="523" t="s">
        <v>379</v>
      </c>
      <c r="BE40" s="528" t="s">
        <v>414</v>
      </c>
      <c r="BF40" s="523" t="s">
        <v>379</v>
      </c>
      <c r="BG40" s="861" t="s">
        <v>383</v>
      </c>
      <c r="BH40" s="528" t="s">
        <v>414</v>
      </c>
      <c r="BI40" s="861" t="s">
        <v>383</v>
      </c>
      <c r="BJ40" s="861" t="s">
        <v>383</v>
      </c>
      <c r="BK40" s="528" t="s">
        <v>414</v>
      </c>
      <c r="BL40" s="861" t="s">
        <v>383</v>
      </c>
      <c r="BM40" s="523" t="s">
        <v>381</v>
      </c>
      <c r="BN40" s="528" t="s">
        <v>414</v>
      </c>
      <c r="BO40" s="546">
        <v>0.92</v>
      </c>
      <c r="BP40" s="523" t="s">
        <v>490</v>
      </c>
      <c r="BQ40" s="528" t="s">
        <v>414</v>
      </c>
      <c r="BR40" s="523" t="s">
        <v>490</v>
      </c>
      <c r="BS40" s="523" t="s">
        <v>386</v>
      </c>
      <c r="BT40" s="528" t="s">
        <v>419</v>
      </c>
      <c r="BU40" s="546">
        <v>1.0</v>
      </c>
      <c r="BV40" s="528" t="s">
        <v>413</v>
      </c>
      <c r="BW40" s="528" t="s">
        <v>419</v>
      </c>
      <c r="BX40" s="546">
        <v>1.0</v>
      </c>
      <c r="BY40" s="528" t="s">
        <v>413</v>
      </c>
      <c r="BZ40" s="528" t="s">
        <v>419</v>
      </c>
      <c r="CA40" s="546">
        <v>1.0</v>
      </c>
      <c r="CB40" s="528" t="s">
        <v>413</v>
      </c>
      <c r="CC40" s="528" t="s">
        <v>419</v>
      </c>
      <c r="CD40" s="546">
        <v>1.0</v>
      </c>
      <c r="CE40" s="528" t="s">
        <v>413</v>
      </c>
      <c r="CF40" s="528" t="s">
        <v>419</v>
      </c>
      <c r="CG40" s="546">
        <v>1.0</v>
      </c>
      <c r="CH40" s="528" t="s">
        <v>413</v>
      </c>
      <c r="CI40" s="528" t="s">
        <v>419</v>
      </c>
      <c r="CJ40" s="546">
        <v>1.0</v>
      </c>
      <c r="CK40" s="528" t="s">
        <v>413</v>
      </c>
      <c r="CL40" s="528" t="s">
        <v>419</v>
      </c>
      <c r="CM40" s="546">
        <v>1.0</v>
      </c>
      <c r="CN40" s="528" t="s">
        <v>413</v>
      </c>
      <c r="CO40" s="528" t="s">
        <v>419</v>
      </c>
      <c r="CP40" s="546">
        <v>1.0</v>
      </c>
      <c r="CQ40" s="528" t="s">
        <v>413</v>
      </c>
      <c r="CR40" s="528" t="s">
        <v>419</v>
      </c>
      <c r="CS40" s="546">
        <v>1.0</v>
      </c>
      <c r="CT40" s="528" t="s">
        <v>413</v>
      </c>
      <c r="CU40" s="528" t="s">
        <v>419</v>
      </c>
      <c r="CV40" s="546">
        <v>1.0</v>
      </c>
      <c r="CW40" s="528" t="s">
        <v>413</v>
      </c>
      <c r="CX40" s="528" t="s">
        <v>419</v>
      </c>
      <c r="CY40" s="546">
        <v>1.0</v>
      </c>
      <c r="CZ40" s="528" t="s">
        <v>413</v>
      </c>
      <c r="DA40" s="528" t="s">
        <v>419</v>
      </c>
      <c r="DB40" s="546">
        <v>1.0</v>
      </c>
      <c r="DC40" s="528" t="s">
        <v>413</v>
      </c>
      <c r="DD40" s="528" t="s">
        <v>419</v>
      </c>
      <c r="DE40" s="546">
        <v>1.0</v>
      </c>
      <c r="DF40" s="528" t="s">
        <v>413</v>
      </c>
      <c r="DG40" s="528" t="s">
        <v>419</v>
      </c>
      <c r="DH40" s="546">
        <v>1.0</v>
      </c>
      <c r="DI40" s="528" t="s">
        <v>413</v>
      </c>
      <c r="DJ40" s="528" t="s">
        <v>419</v>
      </c>
      <c r="DK40" s="546">
        <v>1.0</v>
      </c>
    </row>
    <row r="41" ht="15.0" hidden="1" customHeight="1">
      <c r="A41" s="53">
        <v>40.0</v>
      </c>
      <c r="B41" s="929" t="s">
        <v>220</v>
      </c>
      <c r="C41" s="930"/>
      <c r="D41" s="931"/>
      <c r="E41" s="931"/>
      <c r="F41" s="258"/>
      <c r="G41" s="255"/>
      <c r="H41" s="255"/>
      <c r="I41" s="253"/>
      <c r="J41" s="253"/>
      <c r="K41" s="618"/>
      <c r="L41" s="619"/>
      <c r="M41" s="618"/>
      <c r="N41" s="619"/>
      <c r="O41" s="253"/>
      <c r="P41" s="932"/>
      <c r="Q41" s="933"/>
      <c r="R41" s="622"/>
      <c r="S41" s="623"/>
      <c r="T41" s="933"/>
      <c r="U41" s="934"/>
      <c r="V41" s="935"/>
      <c r="W41" s="933"/>
      <c r="X41" s="934"/>
      <c r="Y41" s="935"/>
      <c r="Z41" s="933"/>
      <c r="AA41" s="934"/>
      <c r="AB41" s="935"/>
      <c r="AC41" s="933"/>
      <c r="AD41" s="934"/>
      <c r="AE41" s="935"/>
      <c r="AF41" s="935"/>
      <c r="AG41" s="936"/>
      <c r="AH41" s="935"/>
      <c r="AI41" s="624"/>
      <c r="AJ41" s="624"/>
      <c r="AK41" s="624"/>
      <c r="AL41" s="624"/>
      <c r="AM41" s="624"/>
      <c r="AN41" s="624"/>
      <c r="AO41" s="624"/>
      <c r="AP41" s="624"/>
      <c r="AQ41" s="624"/>
      <c r="AR41" s="624"/>
      <c r="AS41" s="624"/>
      <c r="AT41" s="624"/>
      <c r="AU41" s="624"/>
      <c r="AV41" s="935"/>
      <c r="AW41" s="624"/>
      <c r="AX41" s="935"/>
      <c r="AY41" s="935"/>
      <c r="AZ41" s="935"/>
      <c r="BA41" s="935"/>
      <c r="BB41" s="935"/>
      <c r="BC41" s="935"/>
      <c r="BD41" s="935"/>
      <c r="BE41" s="935"/>
      <c r="BF41" s="935"/>
      <c r="BG41" s="937"/>
      <c r="BH41" s="935"/>
      <c r="BI41" s="937"/>
      <c r="BJ41" s="937"/>
      <c r="BK41" s="935"/>
      <c r="BL41" s="937"/>
      <c r="BM41" s="935"/>
      <c r="BN41" s="935"/>
      <c r="BO41" s="935"/>
      <c r="BP41" s="935"/>
      <c r="BQ41" s="935"/>
      <c r="BR41" s="935"/>
      <c r="BS41" s="935"/>
      <c r="BT41" s="935"/>
      <c r="BU41" s="935"/>
      <c r="BV41" s="624"/>
      <c r="BW41" s="935"/>
      <c r="BX41" s="624"/>
      <c r="BY41" s="624"/>
      <c r="BZ41" s="935"/>
      <c r="CA41" s="624"/>
      <c r="CB41" s="624"/>
      <c r="CC41" s="935"/>
      <c r="CD41" s="624"/>
      <c r="CE41" s="624"/>
      <c r="CF41" s="624"/>
      <c r="CG41" s="624"/>
      <c r="CH41" s="624"/>
      <c r="CI41" s="624"/>
      <c r="CJ41" s="624"/>
      <c r="CK41" s="624"/>
      <c r="CL41" s="624"/>
      <c r="CM41" s="624"/>
      <c r="CN41" s="624"/>
      <c r="CO41" s="624"/>
      <c r="CP41" s="624"/>
      <c r="CQ41" s="624"/>
      <c r="CR41" s="624"/>
      <c r="CS41" s="624"/>
      <c r="CT41" s="624"/>
      <c r="CU41" s="624"/>
      <c r="CV41" s="624"/>
      <c r="CW41" s="624"/>
      <c r="CX41" s="624"/>
      <c r="CY41" s="624"/>
      <c r="CZ41" s="624"/>
      <c r="DA41" s="624"/>
      <c r="DB41" s="624"/>
      <c r="DC41" s="624"/>
      <c r="DD41" s="624"/>
      <c r="DE41" s="624"/>
      <c r="DF41" s="624"/>
      <c r="DG41" s="624"/>
      <c r="DH41" s="624"/>
      <c r="DI41" s="624"/>
      <c r="DJ41" s="624"/>
      <c r="DK41" s="624"/>
    </row>
    <row r="42" ht="15.0" customHeight="1">
      <c r="A42" s="53">
        <v>35.0</v>
      </c>
      <c r="B42" s="898" t="s">
        <v>202</v>
      </c>
      <c r="C42" s="898" t="s">
        <v>203</v>
      </c>
      <c r="D42" s="104" t="str">
        <f t="shared" ref="D42:D43" si="3">MID(B42,17,4)</f>
        <v>SITE</v>
      </c>
      <c r="E42" s="104" t="s">
        <v>154</v>
      </c>
      <c r="F42" s="104">
        <v>1112.0</v>
      </c>
      <c r="G42" s="104" t="s">
        <v>155</v>
      </c>
      <c r="H42" s="517">
        <v>1129.0</v>
      </c>
      <c r="I42" s="858" t="str">
        <f>IFERROR(VLOOKUP(C:C,'R22 RELATÓRIO ACC'!B:F,5,FALSE),"NOT PUBLISHED")</f>
        <v>V33</v>
      </c>
      <c r="J42" s="858" t="str">
        <f>IFERROR(VLOOKUP(C:C,'R22 RELATÓRIO ACC'!B:P,15,FALSE),"NOT PUBLISHED")</f>
        <v>05/03/2026</v>
      </c>
      <c r="K42" s="899" t="str">
        <f>IFERROR(VLOOKUP(B:B,'RELATÓRIO ACC'!B:F,5,FALSE),"NOT PUBLISHED")</f>
        <v>V1</v>
      </c>
      <c r="L42" s="917" t="str">
        <f>IFERROR(VLOOKUP(B:B,'RELATÓRIO ACC'!B:P,15,FALSE),"NOT PUBLISHED")</f>
        <v>19/05/2026</v>
      </c>
      <c r="M42" s="858" t="s">
        <v>408</v>
      </c>
      <c r="N42" s="900" t="s">
        <v>435</v>
      </c>
      <c r="O42" s="538" t="s">
        <v>410</v>
      </c>
      <c r="P42" s="906"/>
      <c r="Q42" s="901" t="s">
        <v>379</v>
      </c>
      <c r="R42" s="558">
        <v>0.0</v>
      </c>
      <c r="S42" s="525" t="s">
        <v>379</v>
      </c>
      <c r="T42" s="901" t="s">
        <v>379</v>
      </c>
      <c r="U42" s="558">
        <v>0.0</v>
      </c>
      <c r="V42" s="525" t="s">
        <v>379</v>
      </c>
      <c r="W42" s="901" t="s">
        <v>381</v>
      </c>
      <c r="X42" s="550" t="s">
        <v>404</v>
      </c>
      <c r="Y42" s="551">
        <v>0.06</v>
      </c>
      <c r="Z42" s="901" t="s">
        <v>398</v>
      </c>
      <c r="AA42" s="550" t="s">
        <v>404</v>
      </c>
      <c r="AB42" s="525" t="s">
        <v>398</v>
      </c>
      <c r="AC42" s="901" t="s">
        <v>381</v>
      </c>
      <c r="AD42" s="550" t="s">
        <v>406</v>
      </c>
      <c r="AE42" s="551">
        <v>0.54</v>
      </c>
      <c r="AF42" s="528" t="s">
        <v>379</v>
      </c>
      <c r="AG42" s="528" t="s">
        <v>406</v>
      </c>
      <c r="AH42" s="528" t="s">
        <v>379</v>
      </c>
      <c r="AI42" s="528" t="s">
        <v>381</v>
      </c>
      <c r="AJ42" s="528" t="s">
        <v>407</v>
      </c>
      <c r="AK42" s="548">
        <v>0.6</v>
      </c>
      <c r="AL42" s="523" t="s">
        <v>490</v>
      </c>
      <c r="AM42" s="528" t="s">
        <v>407</v>
      </c>
      <c r="AN42" s="528" t="s">
        <v>490</v>
      </c>
      <c r="AO42" s="523" t="s">
        <v>386</v>
      </c>
      <c r="AP42" s="528" t="s">
        <v>408</v>
      </c>
      <c r="AQ42" s="548">
        <v>1.0</v>
      </c>
      <c r="AR42" s="523" t="s">
        <v>413</v>
      </c>
      <c r="AS42" s="528" t="s">
        <v>408</v>
      </c>
      <c r="AT42" s="548">
        <v>1.0</v>
      </c>
      <c r="AU42" s="523" t="s">
        <v>413</v>
      </c>
      <c r="AV42" s="528" t="s">
        <v>408</v>
      </c>
      <c r="AW42" s="548">
        <v>1.0</v>
      </c>
      <c r="AX42" s="523" t="s">
        <v>413</v>
      </c>
      <c r="AY42" s="528" t="s">
        <v>408</v>
      </c>
      <c r="AZ42" s="548">
        <v>1.0</v>
      </c>
      <c r="BA42" s="523" t="s">
        <v>413</v>
      </c>
      <c r="BB42" s="528" t="s">
        <v>408</v>
      </c>
      <c r="BC42" s="548">
        <v>1.0</v>
      </c>
      <c r="BD42" s="523" t="s">
        <v>413</v>
      </c>
      <c r="BE42" s="528" t="s">
        <v>408</v>
      </c>
      <c r="BF42" s="548">
        <v>1.0</v>
      </c>
      <c r="BG42" s="523" t="s">
        <v>413</v>
      </c>
      <c r="BH42" s="528" t="s">
        <v>408</v>
      </c>
      <c r="BI42" s="548">
        <v>1.0</v>
      </c>
      <c r="BJ42" s="523" t="s">
        <v>413</v>
      </c>
      <c r="BK42" s="528" t="s">
        <v>408</v>
      </c>
      <c r="BL42" s="548">
        <v>1.0</v>
      </c>
      <c r="BM42" s="523" t="s">
        <v>413</v>
      </c>
      <c r="BN42" s="528" t="s">
        <v>408</v>
      </c>
      <c r="BO42" s="548">
        <v>1.0</v>
      </c>
      <c r="BP42" s="523" t="s">
        <v>413</v>
      </c>
      <c r="BQ42" s="528" t="s">
        <v>408</v>
      </c>
      <c r="BR42" s="548">
        <v>1.0</v>
      </c>
      <c r="BS42" s="523" t="s">
        <v>413</v>
      </c>
      <c r="BT42" s="528" t="s">
        <v>408</v>
      </c>
      <c r="BU42" s="548">
        <v>1.0</v>
      </c>
      <c r="BV42" s="523" t="s">
        <v>413</v>
      </c>
      <c r="BW42" s="528" t="s">
        <v>408</v>
      </c>
      <c r="BX42" s="548">
        <v>1.0</v>
      </c>
      <c r="BY42" s="523" t="s">
        <v>413</v>
      </c>
      <c r="BZ42" s="528" t="s">
        <v>408</v>
      </c>
      <c r="CA42" s="546">
        <v>1.0</v>
      </c>
      <c r="CB42" s="523" t="s">
        <v>413</v>
      </c>
      <c r="CC42" s="528" t="s">
        <v>408</v>
      </c>
      <c r="CD42" s="546">
        <v>1.0</v>
      </c>
      <c r="CE42" s="523" t="s">
        <v>413</v>
      </c>
      <c r="CF42" s="528" t="s">
        <v>408</v>
      </c>
      <c r="CG42" s="546">
        <v>1.0</v>
      </c>
      <c r="CH42" s="809" t="s">
        <v>413</v>
      </c>
      <c r="CI42" s="528" t="s">
        <v>408</v>
      </c>
      <c r="CJ42" s="815">
        <v>1.0</v>
      </c>
      <c r="CK42" s="809" t="s">
        <v>413</v>
      </c>
      <c r="CL42" s="528" t="s">
        <v>408</v>
      </c>
      <c r="CM42" s="815">
        <v>1.0</v>
      </c>
      <c r="CN42" s="809" t="s">
        <v>413</v>
      </c>
      <c r="CO42" s="528" t="s">
        <v>408</v>
      </c>
      <c r="CP42" s="815">
        <v>1.0</v>
      </c>
      <c r="CQ42" s="809" t="s">
        <v>413</v>
      </c>
      <c r="CR42" s="528" t="s">
        <v>408</v>
      </c>
      <c r="CS42" s="815">
        <v>1.0</v>
      </c>
      <c r="CT42" s="809" t="s">
        <v>413</v>
      </c>
      <c r="CU42" s="528" t="s">
        <v>408</v>
      </c>
      <c r="CV42" s="815">
        <v>1.0</v>
      </c>
      <c r="CW42" s="809" t="s">
        <v>413</v>
      </c>
      <c r="CX42" s="528" t="s">
        <v>408</v>
      </c>
      <c r="CY42" s="815">
        <v>1.0</v>
      </c>
      <c r="CZ42" s="809" t="s">
        <v>413</v>
      </c>
      <c r="DA42" s="528" t="s">
        <v>408</v>
      </c>
      <c r="DB42" s="815">
        <v>1.0</v>
      </c>
      <c r="DC42" s="809" t="s">
        <v>413</v>
      </c>
      <c r="DD42" s="528" t="s">
        <v>408</v>
      </c>
      <c r="DE42" s="815">
        <v>1.0</v>
      </c>
      <c r="DF42" s="809" t="s">
        <v>413</v>
      </c>
      <c r="DG42" s="528" t="s">
        <v>408</v>
      </c>
      <c r="DH42" s="815">
        <v>1.0</v>
      </c>
      <c r="DI42" s="809" t="s">
        <v>413</v>
      </c>
      <c r="DJ42" s="528" t="s">
        <v>408</v>
      </c>
      <c r="DK42" s="815">
        <v>1.0</v>
      </c>
    </row>
    <row r="43" ht="15.0" customHeight="1">
      <c r="A43" s="53">
        <v>37.0</v>
      </c>
      <c r="B43" s="857" t="s">
        <v>209</v>
      </c>
      <c r="C43" s="857" t="s">
        <v>210</v>
      </c>
      <c r="D43" s="101" t="str">
        <f t="shared" si="3"/>
        <v>SITE</v>
      </c>
      <c r="E43" s="101" t="s">
        <v>154</v>
      </c>
      <c r="F43" s="102" t="s">
        <v>154</v>
      </c>
      <c r="G43" s="517" t="s">
        <v>154</v>
      </c>
      <c r="H43" s="517"/>
      <c r="I43" s="858" t="str">
        <f>IFERROR(VLOOKUP(C:C,'R22 RELATÓRIO ACC'!B:F,5,FALSE),"NOT PUBLISHED")</f>
        <v>V7</v>
      </c>
      <c r="J43" s="858" t="str">
        <f>IFERROR(VLOOKUP(C:C,'R22 RELATÓRIO ACC'!B:P,15,FALSE),"NOT PUBLISHED")</f>
        <v>08/12/2025</v>
      </c>
      <c r="K43" s="821" t="str">
        <f>IFERROR(VLOOKUP(B:B,'RELATÓRIO ACC'!B:F,5,FALSE),"NOT PUBLISHED")</f>
        <v>V2</v>
      </c>
      <c r="L43" s="822" t="str">
        <f>IFERROR(VLOOKUP(B:B,'RELATÓRIO ACC'!B:P,15,FALSE),"NOT PUBLISHED")</f>
        <v>03/07/2026</v>
      </c>
      <c r="M43" s="821" t="s">
        <v>412</v>
      </c>
      <c r="N43" s="891" t="s">
        <v>499</v>
      </c>
      <c r="O43" s="538" t="s">
        <v>410</v>
      </c>
      <c r="P43" s="587" t="s">
        <v>445</v>
      </c>
      <c r="Q43" s="523" t="s">
        <v>388</v>
      </c>
      <c r="R43" s="558" t="s">
        <v>380</v>
      </c>
      <c r="S43" s="523" t="s">
        <v>388</v>
      </c>
      <c r="T43" s="523" t="s">
        <v>388</v>
      </c>
      <c r="U43" s="558" t="s">
        <v>380</v>
      </c>
      <c r="V43" s="938" t="s">
        <v>380</v>
      </c>
      <c r="W43" s="523" t="s">
        <v>388</v>
      </c>
      <c r="X43" s="524" t="s">
        <v>380</v>
      </c>
      <c r="Y43" s="523" t="s">
        <v>388</v>
      </c>
      <c r="Z43" s="523" t="s">
        <v>381</v>
      </c>
      <c r="AA43" s="526" t="s">
        <v>377</v>
      </c>
      <c r="AB43" s="546">
        <v>0.01</v>
      </c>
      <c r="AC43" s="523" t="s">
        <v>381</v>
      </c>
      <c r="AD43" s="526" t="s">
        <v>400</v>
      </c>
      <c r="AE43" s="546">
        <v>0.27</v>
      </c>
      <c r="AF43" s="523" t="s">
        <v>398</v>
      </c>
      <c r="AG43" s="526" t="s">
        <v>399</v>
      </c>
      <c r="AH43" s="523" t="s">
        <v>398</v>
      </c>
      <c r="AI43" s="523" t="s">
        <v>398</v>
      </c>
      <c r="AJ43" s="528" t="s">
        <v>428</v>
      </c>
      <c r="AK43" s="528" t="s">
        <v>398</v>
      </c>
      <c r="AL43" s="523" t="s">
        <v>490</v>
      </c>
      <c r="AM43" s="528" t="s">
        <v>428</v>
      </c>
      <c r="AN43" s="523" t="s">
        <v>490</v>
      </c>
      <c r="AO43" s="523" t="s">
        <v>386</v>
      </c>
      <c r="AP43" s="526" t="s">
        <v>412</v>
      </c>
      <c r="AQ43" s="546">
        <v>1.0</v>
      </c>
      <c r="AR43" s="523" t="s">
        <v>413</v>
      </c>
      <c r="AS43" s="526" t="s">
        <v>412</v>
      </c>
      <c r="AT43" s="546">
        <v>1.0</v>
      </c>
      <c r="AU43" s="523" t="s">
        <v>413</v>
      </c>
      <c r="AV43" s="526" t="s">
        <v>412</v>
      </c>
      <c r="AW43" s="546">
        <v>1.0</v>
      </c>
      <c r="AX43" s="523" t="s">
        <v>413</v>
      </c>
      <c r="AY43" s="526" t="s">
        <v>412</v>
      </c>
      <c r="AZ43" s="546">
        <v>1.0</v>
      </c>
      <c r="BA43" s="523" t="s">
        <v>413</v>
      </c>
      <c r="BB43" s="526" t="s">
        <v>412</v>
      </c>
      <c r="BC43" s="546">
        <v>1.0</v>
      </c>
      <c r="BD43" s="523" t="s">
        <v>413</v>
      </c>
      <c r="BE43" s="526" t="s">
        <v>412</v>
      </c>
      <c r="BF43" s="546">
        <v>1.0</v>
      </c>
      <c r="BG43" s="523" t="s">
        <v>413</v>
      </c>
      <c r="BH43" s="526" t="s">
        <v>412</v>
      </c>
      <c r="BI43" s="546">
        <v>1.0</v>
      </c>
      <c r="BJ43" s="523" t="s">
        <v>413</v>
      </c>
      <c r="BK43" s="526" t="s">
        <v>412</v>
      </c>
      <c r="BL43" s="546">
        <v>1.0</v>
      </c>
      <c r="BM43" s="523" t="s">
        <v>413</v>
      </c>
      <c r="BN43" s="526" t="s">
        <v>412</v>
      </c>
      <c r="BO43" s="546">
        <v>1.0</v>
      </c>
      <c r="BP43" s="523" t="s">
        <v>413</v>
      </c>
      <c r="BQ43" s="526" t="s">
        <v>412</v>
      </c>
      <c r="BR43" s="546">
        <v>1.0</v>
      </c>
      <c r="BS43" s="523" t="s">
        <v>413</v>
      </c>
      <c r="BT43" s="526" t="s">
        <v>412</v>
      </c>
      <c r="BU43" s="546">
        <v>1.0</v>
      </c>
      <c r="BV43" s="523" t="s">
        <v>413</v>
      </c>
      <c r="BW43" s="526" t="s">
        <v>412</v>
      </c>
      <c r="BX43" s="546">
        <v>1.0</v>
      </c>
      <c r="BY43" s="523" t="s">
        <v>413</v>
      </c>
      <c r="BZ43" s="526" t="s">
        <v>412</v>
      </c>
      <c r="CA43" s="546">
        <v>1.0</v>
      </c>
      <c r="CB43" s="523" t="s">
        <v>413</v>
      </c>
      <c r="CC43" s="526" t="s">
        <v>412</v>
      </c>
      <c r="CD43" s="546">
        <v>1.0</v>
      </c>
      <c r="CE43" s="523" t="s">
        <v>413</v>
      </c>
      <c r="CF43" s="526" t="s">
        <v>412</v>
      </c>
      <c r="CG43" s="546">
        <v>1.0</v>
      </c>
      <c r="CH43" s="809" t="s">
        <v>413</v>
      </c>
      <c r="CI43" s="526" t="s">
        <v>412</v>
      </c>
      <c r="CJ43" s="815">
        <v>1.0</v>
      </c>
      <c r="CK43" s="809" t="s">
        <v>413</v>
      </c>
      <c r="CL43" s="526" t="s">
        <v>412</v>
      </c>
      <c r="CM43" s="815">
        <v>1.0</v>
      </c>
      <c r="CN43" s="809" t="s">
        <v>413</v>
      </c>
      <c r="CO43" s="526" t="s">
        <v>412</v>
      </c>
      <c r="CP43" s="815">
        <v>1.0</v>
      </c>
      <c r="CQ43" s="809" t="s">
        <v>413</v>
      </c>
      <c r="CR43" s="526" t="s">
        <v>412</v>
      </c>
      <c r="CS43" s="815">
        <v>1.0</v>
      </c>
      <c r="CT43" s="809" t="s">
        <v>413</v>
      </c>
      <c r="CU43" s="526" t="s">
        <v>412</v>
      </c>
      <c r="CV43" s="815">
        <v>1.0</v>
      </c>
      <c r="CW43" s="809" t="s">
        <v>413</v>
      </c>
      <c r="CX43" s="526" t="s">
        <v>412</v>
      </c>
      <c r="CY43" s="815">
        <v>1.0</v>
      </c>
      <c r="CZ43" s="809" t="s">
        <v>413</v>
      </c>
      <c r="DA43" s="526" t="s">
        <v>412</v>
      </c>
      <c r="DB43" s="815">
        <v>1.0</v>
      </c>
      <c r="DC43" s="809" t="s">
        <v>413</v>
      </c>
      <c r="DD43" s="526" t="s">
        <v>412</v>
      </c>
      <c r="DE43" s="815">
        <v>1.0</v>
      </c>
      <c r="DF43" s="809" t="s">
        <v>413</v>
      </c>
      <c r="DG43" s="526" t="s">
        <v>412</v>
      </c>
      <c r="DH43" s="815">
        <v>1.0</v>
      </c>
      <c r="DI43" s="809" t="s">
        <v>413</v>
      </c>
      <c r="DJ43" s="526" t="s">
        <v>412</v>
      </c>
      <c r="DK43" s="815">
        <v>1.0</v>
      </c>
    </row>
    <row r="44" ht="15.0" hidden="1" customHeight="1">
      <c r="A44" s="53">
        <v>43.0</v>
      </c>
      <c r="B44" s="939" t="s">
        <v>228</v>
      </c>
      <c r="C44" s="272"/>
      <c r="D44" s="273"/>
      <c r="E44" s="273"/>
      <c r="F44" s="273"/>
      <c r="G44" s="273"/>
      <c r="H44" s="275"/>
      <c r="I44" s="273"/>
      <c r="J44" s="273"/>
      <c r="K44" s="276"/>
      <c r="L44" s="627"/>
      <c r="M44" s="273"/>
      <c r="N44" s="627"/>
      <c r="O44" s="281"/>
      <c r="P44" s="628"/>
      <c r="Q44" s="628"/>
      <c r="R44" s="629"/>
      <c r="S44" s="630"/>
      <c r="T44" s="628"/>
      <c r="U44" s="629"/>
      <c r="V44" s="630"/>
      <c r="W44" s="628"/>
      <c r="X44" s="629"/>
      <c r="Y44" s="630"/>
      <c r="Z44" s="628"/>
      <c r="AA44" s="629"/>
      <c r="AB44" s="630"/>
      <c r="AC44" s="628"/>
      <c r="AD44" s="629"/>
      <c r="AE44" s="630"/>
      <c r="AF44" s="631"/>
      <c r="AG44" s="631"/>
      <c r="AH44" s="631"/>
      <c r="AI44" s="631"/>
      <c r="AJ44" s="631"/>
      <c r="AK44" s="631"/>
      <c r="AL44" s="631"/>
      <c r="AM44" s="631"/>
      <c r="AN44" s="631"/>
      <c r="AO44" s="631"/>
      <c r="AP44" s="631"/>
      <c r="AQ44" s="631"/>
      <c r="AR44" s="631"/>
      <c r="AS44" s="631"/>
      <c r="AT44" s="631"/>
      <c r="AU44" s="631"/>
      <c r="AV44" s="631"/>
      <c r="AW44" s="631"/>
      <c r="AX44" s="631"/>
      <c r="AY44" s="631"/>
      <c r="AZ44" s="631"/>
      <c r="BA44" s="631"/>
      <c r="BB44" s="631"/>
      <c r="BC44" s="631"/>
      <c r="BD44" s="631"/>
      <c r="BE44" s="631"/>
      <c r="BF44" s="631"/>
      <c r="BG44" s="940"/>
      <c r="BH44" s="631"/>
      <c r="BI44" s="940"/>
      <c r="BJ44" s="941"/>
      <c r="BK44" s="631"/>
      <c r="BL44" s="631"/>
      <c r="BM44" s="941"/>
      <c r="BN44" s="631"/>
      <c r="BO44" s="631"/>
      <c r="BP44" s="941"/>
      <c r="BQ44" s="631"/>
      <c r="BR44" s="631"/>
      <c r="BS44" s="941"/>
      <c r="BT44" s="631"/>
      <c r="BU44" s="631"/>
      <c r="BV44" s="941"/>
      <c r="BW44" s="631"/>
      <c r="BX44" s="631"/>
      <c r="BY44" s="941"/>
      <c r="BZ44" s="631"/>
      <c r="CA44" s="631"/>
      <c r="CB44" s="941"/>
      <c r="CC44" s="631"/>
      <c r="CD44" s="631"/>
      <c r="CE44" s="631"/>
      <c r="CF44" s="631"/>
      <c r="CG44" s="631"/>
      <c r="CH44" s="631"/>
      <c r="CI44" s="631"/>
      <c r="CJ44" s="631"/>
      <c r="CK44" s="631"/>
      <c r="CL44" s="631"/>
      <c r="CM44" s="631"/>
      <c r="CN44" s="631"/>
      <c r="CO44" s="631"/>
      <c r="CP44" s="631"/>
      <c r="CQ44" s="631"/>
      <c r="CR44" s="631"/>
      <c r="CS44" s="631"/>
      <c r="CT44" s="631"/>
      <c r="CU44" s="631"/>
      <c r="CV44" s="631"/>
      <c r="CW44" s="631"/>
      <c r="CX44" s="631"/>
      <c r="CY44" s="631"/>
      <c r="CZ44" s="631"/>
      <c r="DA44" s="631"/>
      <c r="DB44" s="631"/>
      <c r="DC44" s="631"/>
      <c r="DD44" s="631"/>
      <c r="DE44" s="631"/>
      <c r="DF44" s="631"/>
      <c r="DG44" s="631"/>
      <c r="DH44" s="631"/>
      <c r="DI44" s="631"/>
      <c r="DJ44" s="631"/>
      <c r="DK44" s="631"/>
    </row>
    <row r="45" ht="15.0" customHeight="1">
      <c r="A45" s="53">
        <v>20.0</v>
      </c>
      <c r="B45" s="857" t="s">
        <v>166</v>
      </c>
      <c r="C45" s="857" t="s">
        <v>167</v>
      </c>
      <c r="D45" s="101" t="str">
        <f t="shared" ref="D45:D48" si="4">MID(B45,17,4)</f>
        <v>SITE</v>
      </c>
      <c r="E45" s="101" t="s">
        <v>165</v>
      </c>
      <c r="F45" s="102">
        <v>1114.0</v>
      </c>
      <c r="G45" s="517" t="s">
        <v>165</v>
      </c>
      <c r="H45" s="517">
        <v>1114.0</v>
      </c>
      <c r="I45" s="858" t="str">
        <f>IFERROR(VLOOKUP(C:C,'R22 RELATÓRIO ACC'!B:F,5,FALSE),"NOT PUBLISHED")</f>
        <v>V11</v>
      </c>
      <c r="J45" s="858" t="str">
        <f>IFERROR(VLOOKUP(C:C,'R22 RELATÓRIO ACC'!B:P,15,FALSE),"NOT PUBLISHED")</f>
        <v>03/02/2026</v>
      </c>
      <c r="K45" s="821" t="str">
        <f>IFERROR(VLOOKUP(B:B,'RELATÓRIO ACC'!B:F,5,FALSE),"NOT PUBLISHED")</f>
        <v>V1</v>
      </c>
      <c r="L45" s="822" t="str">
        <f>IFERROR(VLOOKUP(B:B,'RELATÓRIO ACC'!B:P,15,FALSE),"NOT PUBLISHED")</f>
        <v>15/05/2026</v>
      </c>
      <c r="M45" s="821" t="s">
        <v>385</v>
      </c>
      <c r="N45" s="891" t="s">
        <v>500</v>
      </c>
      <c r="O45" s="538" t="s">
        <v>410</v>
      </c>
      <c r="P45" s="587"/>
      <c r="Q45" s="523" t="s">
        <v>379</v>
      </c>
      <c r="R45" s="558">
        <v>0.0</v>
      </c>
      <c r="S45" s="525" t="s">
        <v>379</v>
      </c>
      <c r="T45" s="523" t="s">
        <v>379</v>
      </c>
      <c r="U45" s="558">
        <v>0.0</v>
      </c>
      <c r="V45" s="525" t="s">
        <v>379</v>
      </c>
      <c r="W45" s="523" t="s">
        <v>379</v>
      </c>
      <c r="X45" s="526" t="s">
        <v>380</v>
      </c>
      <c r="Y45" s="525" t="s">
        <v>379</v>
      </c>
      <c r="Z45" s="523" t="s">
        <v>381</v>
      </c>
      <c r="AA45" s="526" t="s">
        <v>421</v>
      </c>
      <c r="AB45" s="546">
        <v>0.78</v>
      </c>
      <c r="AC45" s="523" t="s">
        <v>379</v>
      </c>
      <c r="AD45" s="526" t="s">
        <v>380</v>
      </c>
      <c r="AE45" s="525" t="s">
        <v>379</v>
      </c>
      <c r="AF45" s="523" t="s">
        <v>490</v>
      </c>
      <c r="AG45" s="526" t="s">
        <v>380</v>
      </c>
      <c r="AH45" s="523" t="s">
        <v>490</v>
      </c>
      <c r="AI45" s="523" t="s">
        <v>386</v>
      </c>
      <c r="AJ45" s="528" t="s">
        <v>385</v>
      </c>
      <c r="AK45" s="548">
        <v>1.0</v>
      </c>
      <c r="AL45" s="523" t="s">
        <v>413</v>
      </c>
      <c r="AM45" s="528" t="s">
        <v>385</v>
      </c>
      <c r="AN45" s="548">
        <v>1.0</v>
      </c>
      <c r="AO45" s="523" t="s">
        <v>413</v>
      </c>
      <c r="AP45" s="528" t="s">
        <v>385</v>
      </c>
      <c r="AQ45" s="546">
        <v>1.0</v>
      </c>
      <c r="AR45" s="523" t="s">
        <v>413</v>
      </c>
      <c r="AS45" s="528" t="s">
        <v>385</v>
      </c>
      <c r="AT45" s="546">
        <v>1.0</v>
      </c>
      <c r="AU45" s="523" t="s">
        <v>413</v>
      </c>
      <c r="AV45" s="528" t="s">
        <v>385</v>
      </c>
      <c r="AW45" s="546">
        <v>1.0</v>
      </c>
      <c r="AX45" s="523" t="s">
        <v>413</v>
      </c>
      <c r="AY45" s="528" t="s">
        <v>385</v>
      </c>
      <c r="AZ45" s="546">
        <v>1.0</v>
      </c>
      <c r="BA45" s="523" t="s">
        <v>413</v>
      </c>
      <c r="BB45" s="528" t="s">
        <v>385</v>
      </c>
      <c r="BC45" s="546">
        <v>1.0</v>
      </c>
      <c r="BD45" s="523" t="s">
        <v>413</v>
      </c>
      <c r="BE45" s="528" t="s">
        <v>385</v>
      </c>
      <c r="BF45" s="546">
        <v>1.0</v>
      </c>
      <c r="BG45" s="523" t="s">
        <v>413</v>
      </c>
      <c r="BH45" s="528" t="s">
        <v>385</v>
      </c>
      <c r="BI45" s="546">
        <v>1.0</v>
      </c>
      <c r="BJ45" s="523" t="s">
        <v>413</v>
      </c>
      <c r="BK45" s="528" t="s">
        <v>385</v>
      </c>
      <c r="BL45" s="546">
        <v>1.0</v>
      </c>
      <c r="BM45" s="523" t="s">
        <v>413</v>
      </c>
      <c r="BN45" s="528" t="s">
        <v>385</v>
      </c>
      <c r="BO45" s="546">
        <v>1.0</v>
      </c>
      <c r="BP45" s="523" t="s">
        <v>413</v>
      </c>
      <c r="BQ45" s="528" t="s">
        <v>385</v>
      </c>
      <c r="BR45" s="546">
        <v>1.0</v>
      </c>
      <c r="BS45" s="523" t="s">
        <v>413</v>
      </c>
      <c r="BT45" s="528" t="s">
        <v>385</v>
      </c>
      <c r="BU45" s="546">
        <v>1.0</v>
      </c>
      <c r="BV45" s="523" t="s">
        <v>413</v>
      </c>
      <c r="BW45" s="528" t="s">
        <v>385</v>
      </c>
      <c r="BX45" s="546">
        <v>1.0</v>
      </c>
      <c r="BY45" s="523" t="s">
        <v>413</v>
      </c>
      <c r="BZ45" s="528" t="s">
        <v>385</v>
      </c>
      <c r="CA45" s="546">
        <v>1.0</v>
      </c>
      <c r="CB45" s="523" t="s">
        <v>413</v>
      </c>
      <c r="CC45" s="528" t="s">
        <v>385</v>
      </c>
      <c r="CD45" s="546">
        <v>1.0</v>
      </c>
      <c r="CE45" s="523" t="s">
        <v>413</v>
      </c>
      <c r="CF45" s="528" t="s">
        <v>385</v>
      </c>
      <c r="CG45" s="546">
        <v>1.0</v>
      </c>
      <c r="CH45" s="523" t="s">
        <v>413</v>
      </c>
      <c r="CI45" s="528" t="s">
        <v>385</v>
      </c>
      <c r="CJ45" s="546">
        <v>1.0</v>
      </c>
      <c r="CK45" s="523" t="s">
        <v>413</v>
      </c>
      <c r="CL45" s="528" t="s">
        <v>385</v>
      </c>
      <c r="CM45" s="546">
        <v>1.0</v>
      </c>
      <c r="CN45" s="523" t="s">
        <v>413</v>
      </c>
      <c r="CO45" s="528" t="s">
        <v>385</v>
      </c>
      <c r="CP45" s="546">
        <v>1.0</v>
      </c>
      <c r="CQ45" s="523" t="s">
        <v>413</v>
      </c>
      <c r="CR45" s="528" t="s">
        <v>385</v>
      </c>
      <c r="CS45" s="546">
        <v>1.0</v>
      </c>
      <c r="CT45" s="523" t="s">
        <v>413</v>
      </c>
      <c r="CU45" s="528" t="s">
        <v>385</v>
      </c>
      <c r="CV45" s="546">
        <v>1.0</v>
      </c>
      <c r="CW45" s="523" t="s">
        <v>413</v>
      </c>
      <c r="CX45" s="528" t="s">
        <v>385</v>
      </c>
      <c r="CY45" s="546">
        <v>1.0</v>
      </c>
      <c r="CZ45" s="523" t="s">
        <v>413</v>
      </c>
      <c r="DA45" s="528" t="s">
        <v>385</v>
      </c>
      <c r="DB45" s="546">
        <v>1.0</v>
      </c>
      <c r="DC45" s="523" t="s">
        <v>413</v>
      </c>
      <c r="DD45" s="528" t="s">
        <v>385</v>
      </c>
      <c r="DE45" s="546">
        <v>1.0</v>
      </c>
      <c r="DF45" s="523" t="s">
        <v>413</v>
      </c>
      <c r="DG45" s="528" t="s">
        <v>385</v>
      </c>
      <c r="DH45" s="546">
        <v>1.0</v>
      </c>
      <c r="DI45" s="523" t="s">
        <v>413</v>
      </c>
      <c r="DJ45" s="528" t="s">
        <v>385</v>
      </c>
      <c r="DK45" s="546">
        <v>1.0</v>
      </c>
    </row>
    <row r="46" ht="15.0" customHeight="1">
      <c r="A46" s="53">
        <v>39.0</v>
      </c>
      <c r="B46" s="857" t="s">
        <v>216</v>
      </c>
      <c r="C46" s="857" t="s">
        <v>217</v>
      </c>
      <c r="D46" s="101" t="str">
        <f t="shared" si="4"/>
        <v>SITE</v>
      </c>
      <c r="E46" s="101" t="s">
        <v>154</v>
      </c>
      <c r="F46" s="102">
        <v>1112.0</v>
      </c>
      <c r="G46" s="517" t="s">
        <v>154</v>
      </c>
      <c r="H46" s="517">
        <v>1112.0</v>
      </c>
      <c r="I46" s="858" t="str">
        <f>IFERROR(VLOOKUP(C:C,'R22 RELATÓRIO ACC'!B:F,5,FALSE),"NOT PUBLISHED")</f>
        <v>V11</v>
      </c>
      <c r="J46" s="858" t="str">
        <f>IFERROR(VLOOKUP(C:C,'R22 RELATÓRIO ACC'!B:P,15,FALSE),"NOT PUBLISHED")</f>
        <v>08/05/2026</v>
      </c>
      <c r="K46" s="821" t="str">
        <f>IFERROR(VLOOKUP(B:B,'RELATÓRIO ACC'!B:F,5,FALSE),"NOT PUBLISHED")</f>
        <v>V3</v>
      </c>
      <c r="L46" s="822" t="str">
        <f>IFERROR(VLOOKUP(B:B,'RELATÓRIO ACC'!B:P,15,FALSE),"NOT PUBLISHED")</f>
        <v>10/07/2026</v>
      </c>
      <c r="M46" s="821" t="s">
        <v>384</v>
      </c>
      <c r="N46" s="807">
        <v>46111.0</v>
      </c>
      <c r="O46" s="538" t="s">
        <v>410</v>
      </c>
      <c r="P46" s="587" t="s">
        <v>397</v>
      </c>
      <c r="Q46" s="523" t="s">
        <v>379</v>
      </c>
      <c r="R46" s="524">
        <v>0.0</v>
      </c>
      <c r="S46" s="525" t="s">
        <v>379</v>
      </c>
      <c r="T46" s="523" t="s">
        <v>379</v>
      </c>
      <c r="U46" s="524">
        <v>0.0</v>
      </c>
      <c r="V46" s="523" t="s">
        <v>379</v>
      </c>
      <c r="W46" s="523" t="s">
        <v>379</v>
      </c>
      <c r="X46" s="526" t="s">
        <v>380</v>
      </c>
      <c r="Y46" s="523" t="s">
        <v>379</v>
      </c>
      <c r="Z46" s="523" t="s">
        <v>379</v>
      </c>
      <c r="AA46" s="526" t="s">
        <v>380</v>
      </c>
      <c r="AB46" s="523" t="s">
        <v>379</v>
      </c>
      <c r="AC46" s="523" t="s">
        <v>379</v>
      </c>
      <c r="AD46" s="526" t="s">
        <v>380</v>
      </c>
      <c r="AE46" s="523" t="s">
        <v>379</v>
      </c>
      <c r="AF46" s="523" t="s">
        <v>379</v>
      </c>
      <c r="AG46" s="526" t="s">
        <v>380</v>
      </c>
      <c r="AH46" s="523" t="s">
        <v>379</v>
      </c>
      <c r="AI46" s="523" t="s">
        <v>379</v>
      </c>
      <c r="AJ46" s="528" t="s">
        <v>380</v>
      </c>
      <c r="AK46" s="528" t="s">
        <v>379</v>
      </c>
      <c r="AL46" s="523" t="s">
        <v>490</v>
      </c>
      <c r="AM46" s="528" t="s">
        <v>380</v>
      </c>
      <c r="AN46" s="523" t="s">
        <v>490</v>
      </c>
      <c r="AO46" s="523" t="s">
        <v>398</v>
      </c>
      <c r="AP46" s="528" t="s">
        <v>399</v>
      </c>
      <c r="AQ46" s="523" t="s">
        <v>398</v>
      </c>
      <c r="AR46" s="523" t="s">
        <v>379</v>
      </c>
      <c r="AS46" s="528" t="s">
        <v>399</v>
      </c>
      <c r="AT46" s="523" t="s">
        <v>379</v>
      </c>
      <c r="AU46" s="523" t="s">
        <v>398</v>
      </c>
      <c r="AV46" s="545" t="s">
        <v>411</v>
      </c>
      <c r="AW46" s="523" t="s">
        <v>398</v>
      </c>
      <c r="AX46" s="523" t="s">
        <v>490</v>
      </c>
      <c r="AY46" s="545" t="s">
        <v>411</v>
      </c>
      <c r="AZ46" s="523" t="s">
        <v>490</v>
      </c>
      <c r="BA46" s="523" t="s">
        <v>381</v>
      </c>
      <c r="BB46" s="545" t="s">
        <v>428</v>
      </c>
      <c r="BC46" s="546">
        <v>0.08</v>
      </c>
      <c r="BD46" s="523" t="s">
        <v>379</v>
      </c>
      <c r="BE46" s="545" t="s">
        <v>428</v>
      </c>
      <c r="BF46" s="523" t="s">
        <v>379</v>
      </c>
      <c r="BG46" s="523" t="s">
        <v>383</v>
      </c>
      <c r="BH46" s="545" t="s">
        <v>428</v>
      </c>
      <c r="BI46" s="523" t="s">
        <v>383</v>
      </c>
      <c r="BJ46" s="523" t="s">
        <v>383</v>
      </c>
      <c r="BK46" s="545" t="s">
        <v>428</v>
      </c>
      <c r="BL46" s="523" t="s">
        <v>383</v>
      </c>
      <c r="BM46" s="523" t="s">
        <v>381</v>
      </c>
      <c r="BN46" s="545" t="s">
        <v>428</v>
      </c>
      <c r="BO46" s="546">
        <v>0.71</v>
      </c>
      <c r="BP46" s="523" t="s">
        <v>490</v>
      </c>
      <c r="BQ46" s="545" t="s">
        <v>428</v>
      </c>
      <c r="BR46" s="523" t="s">
        <v>490</v>
      </c>
      <c r="BS46" s="523" t="s">
        <v>386</v>
      </c>
      <c r="BT46" s="545" t="s">
        <v>384</v>
      </c>
      <c r="BU46" s="546">
        <v>1.0</v>
      </c>
      <c r="BV46" s="523" t="s">
        <v>413</v>
      </c>
      <c r="BW46" s="545" t="s">
        <v>384</v>
      </c>
      <c r="BX46" s="546">
        <v>1.0</v>
      </c>
      <c r="BY46" s="523" t="s">
        <v>413</v>
      </c>
      <c r="BZ46" s="545" t="s">
        <v>384</v>
      </c>
      <c r="CA46" s="546">
        <v>1.0</v>
      </c>
      <c r="CB46" s="523" t="s">
        <v>413</v>
      </c>
      <c r="CC46" s="545" t="s">
        <v>384</v>
      </c>
      <c r="CD46" s="546">
        <v>1.0</v>
      </c>
      <c r="CE46" s="523" t="s">
        <v>413</v>
      </c>
      <c r="CF46" s="545" t="s">
        <v>384</v>
      </c>
      <c r="CG46" s="546">
        <v>1.0</v>
      </c>
      <c r="CH46" s="523" t="s">
        <v>413</v>
      </c>
      <c r="CI46" s="545" t="s">
        <v>384</v>
      </c>
      <c r="CJ46" s="546">
        <v>1.0</v>
      </c>
      <c r="CK46" s="523" t="s">
        <v>413</v>
      </c>
      <c r="CL46" s="545" t="s">
        <v>384</v>
      </c>
      <c r="CM46" s="546">
        <v>1.0</v>
      </c>
      <c r="CN46" s="523" t="s">
        <v>413</v>
      </c>
      <c r="CO46" s="545" t="s">
        <v>384</v>
      </c>
      <c r="CP46" s="546">
        <v>1.0</v>
      </c>
      <c r="CQ46" s="523" t="s">
        <v>413</v>
      </c>
      <c r="CR46" s="545" t="s">
        <v>384</v>
      </c>
      <c r="CS46" s="546">
        <v>1.0</v>
      </c>
      <c r="CT46" s="523" t="s">
        <v>413</v>
      </c>
      <c r="CU46" s="545" t="s">
        <v>384</v>
      </c>
      <c r="CV46" s="546">
        <v>1.0</v>
      </c>
      <c r="CW46" s="523" t="s">
        <v>413</v>
      </c>
      <c r="CX46" s="545" t="s">
        <v>384</v>
      </c>
      <c r="CY46" s="546">
        <v>1.0</v>
      </c>
      <c r="CZ46" s="523" t="s">
        <v>413</v>
      </c>
      <c r="DA46" s="545" t="s">
        <v>384</v>
      </c>
      <c r="DB46" s="546">
        <v>1.0</v>
      </c>
      <c r="DC46" s="523" t="s">
        <v>413</v>
      </c>
      <c r="DD46" s="545" t="s">
        <v>384</v>
      </c>
      <c r="DE46" s="546">
        <v>1.0</v>
      </c>
      <c r="DF46" s="523" t="s">
        <v>413</v>
      </c>
      <c r="DG46" s="545" t="s">
        <v>384</v>
      </c>
      <c r="DH46" s="546">
        <v>1.0</v>
      </c>
      <c r="DI46" s="523" t="s">
        <v>413</v>
      </c>
      <c r="DJ46" s="545" t="s">
        <v>384</v>
      </c>
      <c r="DK46" s="546">
        <v>1.0</v>
      </c>
    </row>
    <row r="47" ht="15.0" customHeight="1">
      <c r="A47" s="53">
        <v>41.0</v>
      </c>
      <c r="B47" s="857" t="s">
        <v>221</v>
      </c>
      <c r="C47" s="857" t="s">
        <v>222</v>
      </c>
      <c r="D47" s="101" t="str">
        <f t="shared" si="4"/>
        <v>SITE</v>
      </c>
      <c r="E47" s="101" t="s">
        <v>154</v>
      </c>
      <c r="F47" s="102">
        <v>1112.0</v>
      </c>
      <c r="G47" s="517" t="s">
        <v>154</v>
      </c>
      <c r="H47" s="517">
        <v>1112.0</v>
      </c>
      <c r="I47" s="858" t="str">
        <f>IFERROR(VLOOKUP(C:C,'R22 RELATÓRIO ACC'!B:F,5,FALSE),"NOT PUBLISHED")</f>
        <v>V16</v>
      </c>
      <c r="J47" s="858" t="str">
        <f>IFERROR(VLOOKUP(C:C,'R22 RELATÓRIO ACC'!B:P,15,FALSE),"NOT PUBLISHED")</f>
        <v>14/05/2026</v>
      </c>
      <c r="K47" s="821" t="str">
        <f>IFERROR(VLOOKUP(B:B,'RELATÓRIO ACC'!B:F,5,FALSE),"NOT PUBLISHED")</f>
        <v>V4</v>
      </c>
      <c r="L47" s="822" t="str">
        <f>IFERROR(VLOOKUP(B:B,'RELATÓRIO ACC'!B:P,15,FALSE),"NOT PUBLISHED")</f>
        <v>13/07/2026</v>
      </c>
      <c r="M47" s="821" t="s">
        <v>418</v>
      </c>
      <c r="N47" s="846">
        <v>46126.0</v>
      </c>
      <c r="O47" s="538" t="s">
        <v>410</v>
      </c>
      <c r="P47" s="587" t="s">
        <v>397</v>
      </c>
      <c r="Q47" s="523" t="s">
        <v>381</v>
      </c>
      <c r="R47" s="526" t="s">
        <v>421</v>
      </c>
      <c r="S47" s="546">
        <v>0.03</v>
      </c>
      <c r="T47" s="523" t="s">
        <v>379</v>
      </c>
      <c r="U47" s="558">
        <v>0.0</v>
      </c>
      <c r="V47" s="523" t="s">
        <v>379</v>
      </c>
      <c r="W47" s="523" t="s">
        <v>379</v>
      </c>
      <c r="X47" s="526" t="s">
        <v>428</v>
      </c>
      <c r="Y47" s="523" t="s">
        <v>379</v>
      </c>
      <c r="Z47" s="523" t="s">
        <v>398</v>
      </c>
      <c r="AA47" s="526" t="s">
        <v>412</v>
      </c>
      <c r="AB47" s="525" t="s">
        <v>398</v>
      </c>
      <c r="AC47" s="523" t="s">
        <v>379</v>
      </c>
      <c r="AD47" s="526" t="s">
        <v>412</v>
      </c>
      <c r="AE47" s="525" t="s">
        <v>379</v>
      </c>
      <c r="AF47" s="523" t="s">
        <v>379</v>
      </c>
      <c r="AG47" s="526" t="s">
        <v>412</v>
      </c>
      <c r="AH47" s="525" t="s">
        <v>379</v>
      </c>
      <c r="AI47" s="523" t="s">
        <v>379</v>
      </c>
      <c r="AJ47" s="526" t="s">
        <v>412</v>
      </c>
      <c r="AK47" s="525" t="s">
        <v>379</v>
      </c>
      <c r="AL47" s="523" t="s">
        <v>490</v>
      </c>
      <c r="AM47" s="526" t="s">
        <v>412</v>
      </c>
      <c r="AN47" s="525" t="s">
        <v>490</v>
      </c>
      <c r="AO47" s="523" t="s">
        <v>398</v>
      </c>
      <c r="AP47" s="526" t="s">
        <v>384</v>
      </c>
      <c r="AQ47" s="525" t="s">
        <v>398</v>
      </c>
      <c r="AR47" s="523" t="s">
        <v>379</v>
      </c>
      <c r="AS47" s="526" t="s">
        <v>384</v>
      </c>
      <c r="AT47" s="525" t="s">
        <v>379</v>
      </c>
      <c r="AU47" s="523" t="s">
        <v>398</v>
      </c>
      <c r="AV47" s="942" t="s">
        <v>385</v>
      </c>
      <c r="AW47" s="525" t="s">
        <v>398</v>
      </c>
      <c r="AX47" s="523" t="s">
        <v>490</v>
      </c>
      <c r="AY47" s="942" t="s">
        <v>385</v>
      </c>
      <c r="AZ47" s="525" t="s">
        <v>490</v>
      </c>
      <c r="BA47" s="523" t="s">
        <v>381</v>
      </c>
      <c r="BB47" s="942" t="s">
        <v>417</v>
      </c>
      <c r="BC47" s="551">
        <v>0.03</v>
      </c>
      <c r="BD47" s="523" t="s">
        <v>379</v>
      </c>
      <c r="BE47" s="942" t="s">
        <v>417</v>
      </c>
      <c r="BF47" s="525" t="s">
        <v>379</v>
      </c>
      <c r="BG47" s="523" t="s">
        <v>383</v>
      </c>
      <c r="BH47" s="942" t="s">
        <v>417</v>
      </c>
      <c r="BI47" s="525" t="s">
        <v>383</v>
      </c>
      <c r="BJ47" s="523" t="s">
        <v>383</v>
      </c>
      <c r="BK47" s="942" t="s">
        <v>417</v>
      </c>
      <c r="BL47" s="525" t="s">
        <v>383</v>
      </c>
      <c r="BM47" s="523" t="s">
        <v>490</v>
      </c>
      <c r="BN47" s="942" t="s">
        <v>417</v>
      </c>
      <c r="BO47" s="525" t="s">
        <v>490</v>
      </c>
      <c r="BP47" s="523" t="s">
        <v>490</v>
      </c>
      <c r="BQ47" s="942" t="s">
        <v>417</v>
      </c>
      <c r="BR47" s="525" t="s">
        <v>490</v>
      </c>
      <c r="BS47" s="523" t="s">
        <v>381</v>
      </c>
      <c r="BT47" s="942" t="s">
        <v>415</v>
      </c>
      <c r="BU47" s="551">
        <v>0.74</v>
      </c>
      <c r="BV47" s="523" t="s">
        <v>383</v>
      </c>
      <c r="BW47" s="942" t="s">
        <v>415</v>
      </c>
      <c r="BX47" s="525" t="s">
        <v>490</v>
      </c>
      <c r="BY47" s="523" t="s">
        <v>386</v>
      </c>
      <c r="BZ47" s="942" t="s">
        <v>418</v>
      </c>
      <c r="CA47" s="551">
        <v>1.0</v>
      </c>
      <c r="CB47" s="523" t="s">
        <v>413</v>
      </c>
      <c r="CC47" s="942" t="s">
        <v>418</v>
      </c>
      <c r="CD47" s="551">
        <v>1.0</v>
      </c>
      <c r="CE47" s="523" t="s">
        <v>413</v>
      </c>
      <c r="CF47" s="942" t="s">
        <v>418</v>
      </c>
      <c r="CG47" s="551">
        <v>1.0</v>
      </c>
      <c r="CH47" s="523" t="s">
        <v>413</v>
      </c>
      <c r="CI47" s="942" t="s">
        <v>418</v>
      </c>
      <c r="CJ47" s="551">
        <v>1.0</v>
      </c>
      <c r="CK47" s="523" t="s">
        <v>413</v>
      </c>
      <c r="CL47" s="942" t="s">
        <v>418</v>
      </c>
      <c r="CM47" s="551">
        <v>1.0</v>
      </c>
      <c r="CN47" s="523" t="s">
        <v>413</v>
      </c>
      <c r="CO47" s="942" t="s">
        <v>418</v>
      </c>
      <c r="CP47" s="551">
        <v>1.0</v>
      </c>
      <c r="CQ47" s="523" t="s">
        <v>413</v>
      </c>
      <c r="CR47" s="942" t="s">
        <v>418</v>
      </c>
      <c r="CS47" s="551">
        <v>1.0</v>
      </c>
      <c r="CT47" s="523" t="s">
        <v>413</v>
      </c>
      <c r="CU47" s="942" t="s">
        <v>418</v>
      </c>
      <c r="CV47" s="551">
        <v>1.0</v>
      </c>
      <c r="CW47" s="523" t="s">
        <v>413</v>
      </c>
      <c r="CX47" s="942" t="s">
        <v>418</v>
      </c>
      <c r="CY47" s="551">
        <v>1.0</v>
      </c>
      <c r="CZ47" s="523" t="s">
        <v>413</v>
      </c>
      <c r="DA47" s="942" t="s">
        <v>418</v>
      </c>
      <c r="DB47" s="551">
        <v>1.0</v>
      </c>
      <c r="DC47" s="523" t="s">
        <v>413</v>
      </c>
      <c r="DD47" s="942" t="s">
        <v>418</v>
      </c>
      <c r="DE47" s="551">
        <v>1.0</v>
      </c>
      <c r="DF47" s="523" t="s">
        <v>413</v>
      </c>
      <c r="DG47" s="942" t="s">
        <v>418</v>
      </c>
      <c r="DH47" s="551">
        <v>1.0</v>
      </c>
      <c r="DI47" s="523" t="s">
        <v>413</v>
      </c>
      <c r="DJ47" s="942" t="s">
        <v>418</v>
      </c>
      <c r="DK47" s="551">
        <v>1.0</v>
      </c>
    </row>
    <row r="48" ht="15.0" customHeight="1">
      <c r="A48" s="53">
        <v>49.0</v>
      </c>
      <c r="B48" s="860" t="s">
        <v>245</v>
      </c>
      <c r="C48" s="860" t="s">
        <v>246</v>
      </c>
      <c r="D48" s="101" t="str">
        <f t="shared" si="4"/>
        <v>GUAR</v>
      </c>
      <c r="E48" s="101" t="s">
        <v>237</v>
      </c>
      <c r="F48" s="102">
        <v>1118.0</v>
      </c>
      <c r="G48" s="517" t="s">
        <v>237</v>
      </c>
      <c r="H48" s="517">
        <v>1118.0</v>
      </c>
      <c r="I48" s="858" t="str">
        <f>IFERROR(VLOOKUP(C:C,'R22 RELATÓRIO ACC'!B:F,5,FALSE),"NOT PUBLISHED")</f>
        <v>V23</v>
      </c>
      <c r="J48" s="858" t="str">
        <f>IFERROR(VLOOKUP(C:C,'R22 RELATÓRIO ACC'!B:P,15,FALSE),"NOT PUBLISHED")</f>
        <v>16/04/2026</v>
      </c>
      <c r="K48" s="821" t="str">
        <f>IFERROR(VLOOKUP(B:B,'RELATÓRIO ACC'!B:F,5,FALSE),"NOT PUBLISHED")</f>
        <v>V1</v>
      </c>
      <c r="L48" s="822" t="str">
        <f>IFERROR(VLOOKUP(B:B,'RELATÓRIO ACC'!B:P,15,FALSE),"NOT PUBLISHED")</f>
        <v>19/05/2026</v>
      </c>
      <c r="M48" s="821" t="s">
        <v>426</v>
      </c>
      <c r="N48" s="943" t="s">
        <v>501</v>
      </c>
      <c r="O48" s="538" t="s">
        <v>410</v>
      </c>
      <c r="P48" s="587"/>
      <c r="Q48" s="523" t="s">
        <v>379</v>
      </c>
      <c r="R48" s="558">
        <v>0.0</v>
      </c>
      <c r="S48" s="523" t="s">
        <v>379</v>
      </c>
      <c r="T48" s="523" t="s">
        <v>379</v>
      </c>
      <c r="U48" s="524">
        <v>0.0</v>
      </c>
      <c r="V48" s="523" t="s">
        <v>379</v>
      </c>
      <c r="W48" s="523" t="s">
        <v>379</v>
      </c>
      <c r="X48" s="526" t="s">
        <v>380</v>
      </c>
      <c r="Y48" s="525" t="s">
        <v>379</v>
      </c>
      <c r="Z48" s="523" t="s">
        <v>381</v>
      </c>
      <c r="AA48" s="526" t="s">
        <v>380</v>
      </c>
      <c r="AB48" s="546">
        <v>0.79</v>
      </c>
      <c r="AC48" s="523" t="s">
        <v>379</v>
      </c>
      <c r="AD48" s="526" t="s">
        <v>380</v>
      </c>
      <c r="AE48" s="525" t="s">
        <v>379</v>
      </c>
      <c r="AF48" s="523" t="s">
        <v>381</v>
      </c>
      <c r="AG48" s="526" t="s">
        <v>419</v>
      </c>
      <c r="AH48" s="551">
        <v>0.91</v>
      </c>
      <c r="AI48" s="523" t="s">
        <v>386</v>
      </c>
      <c r="AJ48" s="526" t="s">
        <v>426</v>
      </c>
      <c r="AK48" s="546">
        <v>1.0</v>
      </c>
      <c r="AL48" s="523" t="s">
        <v>413</v>
      </c>
      <c r="AM48" s="526" t="s">
        <v>426</v>
      </c>
      <c r="AN48" s="546">
        <v>1.0</v>
      </c>
      <c r="AO48" s="523" t="s">
        <v>413</v>
      </c>
      <c r="AP48" s="526" t="s">
        <v>426</v>
      </c>
      <c r="AQ48" s="546">
        <v>1.0</v>
      </c>
      <c r="AR48" s="523" t="s">
        <v>413</v>
      </c>
      <c r="AS48" s="526" t="s">
        <v>426</v>
      </c>
      <c r="AT48" s="546">
        <v>1.0</v>
      </c>
      <c r="AU48" s="523" t="s">
        <v>413</v>
      </c>
      <c r="AV48" s="526" t="s">
        <v>426</v>
      </c>
      <c r="AW48" s="546">
        <v>1.0</v>
      </c>
      <c r="AX48" s="523" t="s">
        <v>413</v>
      </c>
      <c r="AY48" s="526" t="s">
        <v>426</v>
      </c>
      <c r="AZ48" s="546">
        <v>1.0</v>
      </c>
      <c r="BA48" s="523" t="s">
        <v>413</v>
      </c>
      <c r="BB48" s="526" t="s">
        <v>426</v>
      </c>
      <c r="BC48" s="546">
        <v>1.0</v>
      </c>
      <c r="BD48" s="523" t="s">
        <v>413</v>
      </c>
      <c r="BE48" s="526" t="s">
        <v>426</v>
      </c>
      <c r="BF48" s="546">
        <v>1.0</v>
      </c>
      <c r="BG48" s="523" t="s">
        <v>413</v>
      </c>
      <c r="BH48" s="526" t="s">
        <v>426</v>
      </c>
      <c r="BI48" s="546">
        <v>1.0</v>
      </c>
      <c r="BJ48" s="523" t="s">
        <v>413</v>
      </c>
      <c r="BK48" s="526" t="s">
        <v>426</v>
      </c>
      <c r="BL48" s="546">
        <v>1.0</v>
      </c>
      <c r="BM48" s="523" t="s">
        <v>413</v>
      </c>
      <c r="BN48" s="526" t="s">
        <v>426</v>
      </c>
      <c r="BO48" s="546">
        <v>1.0</v>
      </c>
      <c r="BP48" s="523" t="s">
        <v>413</v>
      </c>
      <c r="BQ48" s="526" t="s">
        <v>426</v>
      </c>
      <c r="BR48" s="546">
        <v>1.0</v>
      </c>
      <c r="BS48" s="523" t="s">
        <v>413</v>
      </c>
      <c r="BT48" s="526" t="s">
        <v>426</v>
      </c>
      <c r="BU48" s="551">
        <v>1.0</v>
      </c>
      <c r="BV48" s="523" t="s">
        <v>413</v>
      </c>
      <c r="BW48" s="526" t="s">
        <v>426</v>
      </c>
      <c r="BX48" s="551">
        <v>1.0</v>
      </c>
      <c r="BY48" s="523" t="s">
        <v>413</v>
      </c>
      <c r="BZ48" s="526" t="s">
        <v>426</v>
      </c>
      <c r="CA48" s="551">
        <v>1.0</v>
      </c>
      <c r="CB48" s="523" t="s">
        <v>413</v>
      </c>
      <c r="CC48" s="526" t="s">
        <v>426</v>
      </c>
      <c r="CD48" s="551">
        <v>1.0</v>
      </c>
      <c r="CE48" s="523" t="s">
        <v>413</v>
      </c>
      <c r="CF48" s="526" t="s">
        <v>426</v>
      </c>
      <c r="CG48" s="551">
        <v>1.0</v>
      </c>
      <c r="CH48" s="523" t="s">
        <v>413</v>
      </c>
      <c r="CI48" s="526" t="s">
        <v>426</v>
      </c>
      <c r="CJ48" s="551">
        <v>1.0</v>
      </c>
      <c r="CK48" s="523" t="s">
        <v>413</v>
      </c>
      <c r="CL48" s="526" t="s">
        <v>426</v>
      </c>
      <c r="CM48" s="551">
        <v>1.0</v>
      </c>
      <c r="CN48" s="523" t="s">
        <v>413</v>
      </c>
      <c r="CO48" s="526" t="s">
        <v>426</v>
      </c>
      <c r="CP48" s="551">
        <v>1.0</v>
      </c>
      <c r="CQ48" s="523" t="s">
        <v>413</v>
      </c>
      <c r="CR48" s="526" t="s">
        <v>426</v>
      </c>
      <c r="CS48" s="551">
        <v>1.0</v>
      </c>
      <c r="CT48" s="523" t="s">
        <v>413</v>
      </c>
      <c r="CU48" s="526" t="s">
        <v>426</v>
      </c>
      <c r="CV48" s="551">
        <v>1.0</v>
      </c>
      <c r="CW48" s="523" t="s">
        <v>413</v>
      </c>
      <c r="CX48" s="526" t="s">
        <v>426</v>
      </c>
      <c r="CY48" s="551">
        <v>1.0</v>
      </c>
      <c r="CZ48" s="523" t="s">
        <v>413</v>
      </c>
      <c r="DA48" s="526" t="s">
        <v>426</v>
      </c>
      <c r="DB48" s="551">
        <v>1.0</v>
      </c>
      <c r="DC48" s="523" t="s">
        <v>413</v>
      </c>
      <c r="DD48" s="526" t="s">
        <v>426</v>
      </c>
      <c r="DE48" s="551">
        <v>1.0</v>
      </c>
      <c r="DF48" s="523" t="s">
        <v>413</v>
      </c>
      <c r="DG48" s="526" t="s">
        <v>426</v>
      </c>
      <c r="DH48" s="551">
        <v>1.0</v>
      </c>
      <c r="DI48" s="523" t="s">
        <v>413</v>
      </c>
      <c r="DJ48" s="526" t="s">
        <v>426</v>
      </c>
      <c r="DK48" s="551">
        <v>1.0</v>
      </c>
    </row>
    <row r="49" ht="15.0" hidden="1" customHeight="1">
      <c r="A49" s="53">
        <v>48.0</v>
      </c>
      <c r="B49" s="944" t="s">
        <v>242</v>
      </c>
      <c r="C49" s="292"/>
      <c r="D49" s="293"/>
      <c r="E49" s="293"/>
      <c r="F49" s="293"/>
      <c r="G49" s="293"/>
      <c r="H49" s="295"/>
      <c r="I49" s="293"/>
      <c r="J49" s="293"/>
      <c r="K49" s="296"/>
      <c r="L49" s="634"/>
      <c r="M49" s="293"/>
      <c r="N49" s="635"/>
      <c r="O49" s="302"/>
      <c r="P49" s="636"/>
      <c r="Q49" s="636"/>
      <c r="R49" s="637"/>
      <c r="S49" s="638"/>
      <c r="T49" s="636"/>
      <c r="U49" s="637"/>
      <c r="V49" s="638"/>
      <c r="W49" s="636"/>
      <c r="X49" s="637"/>
      <c r="Y49" s="638"/>
      <c r="Z49" s="636"/>
      <c r="AA49" s="637"/>
      <c r="AB49" s="638"/>
      <c r="AC49" s="636"/>
      <c r="AD49" s="637"/>
      <c r="AE49" s="638"/>
      <c r="AF49" s="639"/>
      <c r="AG49" s="639"/>
      <c r="AH49" s="639"/>
      <c r="AI49" s="639"/>
      <c r="AJ49" s="639"/>
      <c r="AK49" s="639"/>
      <c r="AL49" s="639"/>
      <c r="AM49" s="639"/>
      <c r="AN49" s="639"/>
      <c r="AO49" s="639"/>
      <c r="AP49" s="639"/>
      <c r="AQ49" s="639"/>
      <c r="AR49" s="639"/>
      <c r="AS49" s="639"/>
      <c r="AT49" s="639"/>
      <c r="AU49" s="639"/>
      <c r="AV49" s="639"/>
      <c r="AW49" s="639"/>
      <c r="AX49" s="639"/>
      <c r="AY49" s="639"/>
      <c r="AZ49" s="639"/>
      <c r="BA49" s="639"/>
      <c r="BB49" s="639"/>
      <c r="BC49" s="639"/>
      <c r="BD49" s="639"/>
      <c r="BE49" s="639"/>
      <c r="BF49" s="639"/>
      <c r="BG49" s="639"/>
      <c r="BH49" s="639"/>
      <c r="BI49" s="639"/>
      <c r="BJ49" s="639"/>
      <c r="BK49" s="639"/>
      <c r="BL49" s="639"/>
      <c r="BM49" s="639"/>
      <c r="BN49" s="639"/>
      <c r="BO49" s="639"/>
      <c r="BP49" s="639"/>
      <c r="BQ49" s="639"/>
      <c r="BR49" s="639"/>
      <c r="BS49" s="639"/>
      <c r="BT49" s="639"/>
      <c r="BU49" s="639"/>
      <c r="BV49" s="639"/>
      <c r="BW49" s="639"/>
      <c r="BX49" s="639"/>
      <c r="BY49" s="639"/>
      <c r="BZ49" s="639"/>
      <c r="CA49" s="639"/>
      <c r="CB49" s="639"/>
      <c r="CC49" s="639"/>
      <c r="CD49" s="639"/>
      <c r="CE49" s="639"/>
      <c r="CF49" s="639"/>
      <c r="CG49" s="639"/>
      <c r="CH49" s="639"/>
      <c r="CI49" s="639"/>
      <c r="CJ49" s="639"/>
      <c r="CK49" s="639"/>
      <c r="CL49" s="639"/>
      <c r="CM49" s="639"/>
      <c r="CN49" s="639"/>
      <c r="CO49" s="639"/>
      <c r="CP49" s="639"/>
      <c r="CQ49" s="639"/>
      <c r="CR49" s="639"/>
      <c r="CS49" s="639"/>
      <c r="CT49" s="639"/>
      <c r="CU49" s="639"/>
      <c r="CV49" s="639"/>
      <c r="CW49" s="639"/>
      <c r="CX49" s="639"/>
      <c r="CY49" s="639"/>
      <c r="CZ49" s="639"/>
      <c r="DA49" s="639"/>
      <c r="DB49" s="639"/>
      <c r="DC49" s="639"/>
      <c r="DD49" s="639"/>
      <c r="DE49" s="639"/>
      <c r="DF49" s="639"/>
      <c r="DG49" s="639"/>
      <c r="DH49" s="639"/>
      <c r="DI49" s="639"/>
      <c r="DJ49" s="639"/>
      <c r="DK49" s="639"/>
    </row>
    <row r="50" ht="15.0" customHeight="1">
      <c r="A50" s="53">
        <v>45.0</v>
      </c>
      <c r="B50" s="857" t="s">
        <v>233</v>
      </c>
      <c r="C50" s="857" t="s">
        <v>234</v>
      </c>
      <c r="D50" s="101" t="str">
        <f>MID(B50,17,4)</f>
        <v>SITE</v>
      </c>
      <c r="E50" s="101" t="s">
        <v>154</v>
      </c>
      <c r="F50" s="102">
        <v>1112.0</v>
      </c>
      <c r="G50" s="517" t="s">
        <v>154</v>
      </c>
      <c r="H50" s="517">
        <v>1112.0</v>
      </c>
      <c r="I50" s="858" t="str">
        <f>IFERROR(VLOOKUP(C:C,'R22 RELATÓRIO ACC'!B:F,5,FALSE),"NOT PUBLISHED")</f>
        <v>V14</v>
      </c>
      <c r="J50" s="858" t="str">
        <f>IFERROR(VLOOKUP(C:C,'R22 RELATÓRIO ACC'!B:P,15,FALSE),"NOT PUBLISHED")</f>
        <v>03/03/2026</v>
      </c>
      <c r="K50" s="821" t="str">
        <f>IFERROR(VLOOKUP(B:B,'RELATÓRIO ACC'!B:F,5,FALSE),"NOT PUBLISHED")</f>
        <v>V4</v>
      </c>
      <c r="L50" s="822" t="str">
        <f>IFERROR(VLOOKUP(B:B,'RELATÓRIO ACC'!B:P,15,FALSE),"NOT PUBLISHED")</f>
        <v>13/07/2026</v>
      </c>
      <c r="M50" s="821" t="s">
        <v>418</v>
      </c>
      <c r="N50" s="943" t="s">
        <v>502</v>
      </c>
      <c r="O50" s="538" t="s">
        <v>410</v>
      </c>
      <c r="P50" s="587" t="s">
        <v>461</v>
      </c>
      <c r="Q50" s="523" t="s">
        <v>381</v>
      </c>
      <c r="R50" s="550" t="s">
        <v>421</v>
      </c>
      <c r="S50" s="546">
        <v>0.07</v>
      </c>
      <c r="T50" s="523" t="s">
        <v>379</v>
      </c>
      <c r="U50" s="558">
        <v>0.0</v>
      </c>
      <c r="V50" s="523" t="s">
        <v>379</v>
      </c>
      <c r="W50" s="523" t="s">
        <v>379</v>
      </c>
      <c r="X50" s="526" t="s">
        <v>382</v>
      </c>
      <c r="Y50" s="523" t="s">
        <v>379</v>
      </c>
      <c r="Z50" s="523" t="s">
        <v>379</v>
      </c>
      <c r="AA50" s="526" t="s">
        <v>382</v>
      </c>
      <c r="AB50" s="525" t="s">
        <v>379</v>
      </c>
      <c r="AC50" s="523" t="s">
        <v>379</v>
      </c>
      <c r="AD50" s="526" t="s">
        <v>382</v>
      </c>
      <c r="AE50" s="523" t="s">
        <v>379</v>
      </c>
      <c r="AF50" s="523" t="s">
        <v>490</v>
      </c>
      <c r="AG50" s="526" t="s">
        <v>382</v>
      </c>
      <c r="AH50" s="523" t="s">
        <v>490</v>
      </c>
      <c r="AI50" s="523" t="s">
        <v>381</v>
      </c>
      <c r="AJ50" s="526" t="s">
        <v>384</v>
      </c>
      <c r="AK50" s="546">
        <v>0.07</v>
      </c>
      <c r="AL50" s="523" t="s">
        <v>490</v>
      </c>
      <c r="AM50" s="526" t="s">
        <v>384</v>
      </c>
      <c r="AN50" s="523" t="s">
        <v>490</v>
      </c>
      <c r="AO50" s="523" t="s">
        <v>381</v>
      </c>
      <c r="AP50" s="526" t="s">
        <v>384</v>
      </c>
      <c r="AQ50" s="546">
        <v>0.43</v>
      </c>
      <c r="AR50" s="523" t="s">
        <v>381</v>
      </c>
      <c r="AS50" s="526" t="s">
        <v>414</v>
      </c>
      <c r="AT50" s="565">
        <v>0.53</v>
      </c>
      <c r="AU50" s="523" t="s">
        <v>379</v>
      </c>
      <c r="AV50" s="526" t="s">
        <v>414</v>
      </c>
      <c r="AW50" s="565">
        <v>0.53</v>
      </c>
      <c r="AX50" s="523" t="s">
        <v>381</v>
      </c>
      <c r="AY50" s="526" t="s">
        <v>415</v>
      </c>
      <c r="AZ50" s="565">
        <v>0.8</v>
      </c>
      <c r="BA50" s="523" t="s">
        <v>379</v>
      </c>
      <c r="BB50" s="526" t="s">
        <v>415</v>
      </c>
      <c r="BC50" s="523" t="s">
        <v>379</v>
      </c>
      <c r="BD50" s="523" t="s">
        <v>379</v>
      </c>
      <c r="BE50" s="526" t="s">
        <v>415</v>
      </c>
      <c r="BF50" s="523" t="s">
        <v>379</v>
      </c>
      <c r="BG50" s="523" t="s">
        <v>383</v>
      </c>
      <c r="BH50" s="526" t="s">
        <v>415</v>
      </c>
      <c r="BI50" s="523" t="s">
        <v>383</v>
      </c>
      <c r="BJ50" s="523" t="s">
        <v>386</v>
      </c>
      <c r="BK50" s="526" t="s">
        <v>418</v>
      </c>
      <c r="BL50" s="546">
        <v>1.0</v>
      </c>
      <c r="BM50" s="523" t="s">
        <v>413</v>
      </c>
      <c r="BN50" s="526" t="s">
        <v>418</v>
      </c>
      <c r="BO50" s="546">
        <v>1.0</v>
      </c>
      <c r="BP50" s="523" t="s">
        <v>413</v>
      </c>
      <c r="BQ50" s="526" t="s">
        <v>418</v>
      </c>
      <c r="BR50" s="546">
        <v>1.0</v>
      </c>
      <c r="BS50" s="528" t="s">
        <v>413</v>
      </c>
      <c r="BT50" s="528" t="s">
        <v>418</v>
      </c>
      <c r="BU50" s="548">
        <v>1.0</v>
      </c>
      <c r="BV50" s="528" t="s">
        <v>413</v>
      </c>
      <c r="BW50" s="528" t="s">
        <v>418</v>
      </c>
      <c r="BX50" s="548">
        <v>1.0</v>
      </c>
      <c r="BY50" s="528" t="s">
        <v>413</v>
      </c>
      <c r="BZ50" s="528" t="s">
        <v>418</v>
      </c>
      <c r="CA50" s="548">
        <v>1.0</v>
      </c>
      <c r="CB50" s="528" t="s">
        <v>413</v>
      </c>
      <c r="CC50" s="528" t="s">
        <v>418</v>
      </c>
      <c r="CD50" s="548">
        <v>1.0</v>
      </c>
      <c r="CE50" s="528" t="s">
        <v>413</v>
      </c>
      <c r="CF50" s="528" t="s">
        <v>418</v>
      </c>
      <c r="CG50" s="548">
        <v>1.0</v>
      </c>
      <c r="CH50" s="528" t="s">
        <v>413</v>
      </c>
      <c r="CI50" s="528" t="s">
        <v>418</v>
      </c>
      <c r="CJ50" s="548">
        <v>1.0</v>
      </c>
      <c r="CK50" s="528" t="s">
        <v>413</v>
      </c>
      <c r="CL50" s="528" t="s">
        <v>418</v>
      </c>
      <c r="CM50" s="548">
        <v>1.0</v>
      </c>
      <c r="CN50" s="528" t="s">
        <v>413</v>
      </c>
      <c r="CO50" s="528" t="s">
        <v>418</v>
      </c>
      <c r="CP50" s="548">
        <v>1.0</v>
      </c>
      <c r="CQ50" s="528" t="s">
        <v>413</v>
      </c>
      <c r="CR50" s="528" t="s">
        <v>418</v>
      </c>
      <c r="CS50" s="548">
        <v>1.0</v>
      </c>
      <c r="CT50" s="528" t="s">
        <v>413</v>
      </c>
      <c r="CU50" s="528" t="s">
        <v>418</v>
      </c>
      <c r="CV50" s="548">
        <v>1.0</v>
      </c>
      <c r="CW50" s="528" t="s">
        <v>413</v>
      </c>
      <c r="CX50" s="528" t="s">
        <v>418</v>
      </c>
      <c r="CY50" s="548">
        <v>1.0</v>
      </c>
      <c r="CZ50" s="528" t="s">
        <v>413</v>
      </c>
      <c r="DA50" s="528" t="s">
        <v>418</v>
      </c>
      <c r="DB50" s="548">
        <v>1.0</v>
      </c>
      <c r="DC50" s="528" t="s">
        <v>413</v>
      </c>
      <c r="DD50" s="528" t="s">
        <v>418</v>
      </c>
      <c r="DE50" s="548">
        <v>1.0</v>
      </c>
      <c r="DF50" s="528" t="s">
        <v>413</v>
      </c>
      <c r="DG50" s="528" t="s">
        <v>418</v>
      </c>
      <c r="DH50" s="548">
        <v>1.0</v>
      </c>
      <c r="DI50" s="528" t="s">
        <v>413</v>
      </c>
      <c r="DJ50" s="528" t="s">
        <v>418</v>
      </c>
      <c r="DK50" s="548">
        <v>1.0</v>
      </c>
    </row>
    <row r="51" ht="15.0" hidden="1" customHeight="1">
      <c r="A51" s="53">
        <v>50.0</v>
      </c>
      <c r="B51" s="945" t="s">
        <v>247</v>
      </c>
      <c r="C51" s="313"/>
      <c r="D51" s="314"/>
      <c r="E51" s="314"/>
      <c r="F51" s="314"/>
      <c r="G51" s="314"/>
      <c r="H51" s="316"/>
      <c r="I51" s="314"/>
      <c r="J51" s="314"/>
      <c r="K51" s="317"/>
      <c r="L51" s="946"/>
      <c r="M51" s="314"/>
      <c r="N51" s="947"/>
      <c r="O51" s="323"/>
      <c r="P51" s="948"/>
      <c r="Q51" s="948"/>
      <c r="R51" s="949"/>
      <c r="S51" s="950"/>
      <c r="T51" s="948"/>
      <c r="U51" s="949"/>
      <c r="V51" s="950"/>
      <c r="W51" s="948"/>
      <c r="X51" s="949"/>
      <c r="Y51" s="950"/>
      <c r="Z51" s="948"/>
      <c r="AA51" s="949"/>
      <c r="AB51" s="950"/>
      <c r="AC51" s="948"/>
      <c r="AD51" s="949"/>
      <c r="AE51" s="950"/>
      <c r="AF51" s="951"/>
      <c r="AG51" s="951"/>
      <c r="AH51" s="951"/>
      <c r="AI51" s="951"/>
      <c r="AJ51" s="951"/>
      <c r="AK51" s="951"/>
      <c r="AL51" s="951"/>
      <c r="AM51" s="951"/>
      <c r="AN51" s="951"/>
      <c r="AO51" s="951"/>
      <c r="AP51" s="951"/>
      <c r="AQ51" s="951"/>
      <c r="AR51" s="951"/>
      <c r="AS51" s="951"/>
      <c r="AT51" s="951"/>
      <c r="AU51" s="951"/>
      <c r="AV51" s="951"/>
      <c r="AW51" s="951"/>
      <c r="AX51" s="951"/>
      <c r="AY51" s="951"/>
      <c r="AZ51" s="951"/>
      <c r="BA51" s="951"/>
      <c r="BB51" s="951"/>
      <c r="BC51" s="951"/>
      <c r="BD51" s="951"/>
      <c r="BE51" s="951"/>
      <c r="BF51" s="951"/>
      <c r="BG51" s="951"/>
      <c r="BH51" s="951"/>
      <c r="BI51" s="951"/>
      <c r="BJ51" s="951"/>
      <c r="BK51" s="951"/>
      <c r="BL51" s="951"/>
      <c r="BM51" s="951"/>
      <c r="BN51" s="951"/>
      <c r="BO51" s="951"/>
      <c r="BP51" s="951"/>
      <c r="BQ51" s="951"/>
      <c r="BR51" s="951"/>
      <c r="BS51" s="951"/>
      <c r="BT51" s="951"/>
      <c r="BU51" s="951"/>
      <c r="BV51" s="951"/>
      <c r="BW51" s="951"/>
      <c r="BX51" s="951"/>
      <c r="BY51" s="951"/>
      <c r="BZ51" s="951"/>
      <c r="CA51" s="951"/>
      <c r="CB51" s="951"/>
      <c r="CC51" s="951"/>
      <c r="CD51" s="951"/>
      <c r="CE51" s="951"/>
      <c r="CF51" s="951"/>
      <c r="CG51" s="951"/>
      <c r="CH51" s="951"/>
      <c r="CI51" s="951"/>
      <c r="CJ51" s="951"/>
      <c r="CK51" s="951"/>
      <c r="CL51" s="951"/>
      <c r="CM51" s="951"/>
      <c r="CN51" s="951"/>
      <c r="CO51" s="951"/>
      <c r="CP51" s="951"/>
      <c r="CQ51" s="951"/>
      <c r="CR51" s="951"/>
      <c r="CS51" s="951"/>
      <c r="CT51" s="951"/>
      <c r="CU51" s="951"/>
      <c r="CV51" s="951"/>
      <c r="CW51" s="951"/>
      <c r="CX51" s="951"/>
      <c r="CY51" s="951"/>
      <c r="CZ51" s="951"/>
      <c r="DA51" s="951"/>
      <c r="DB51" s="951"/>
      <c r="DC51" s="951"/>
      <c r="DD51" s="951"/>
      <c r="DE51" s="951"/>
      <c r="DF51" s="951"/>
      <c r="DG51" s="951"/>
      <c r="DH51" s="951"/>
      <c r="DI51" s="951"/>
      <c r="DJ51" s="951"/>
      <c r="DK51" s="951"/>
    </row>
    <row r="52" ht="15.0" customHeight="1">
      <c r="A52" s="53">
        <v>47.0</v>
      </c>
      <c r="B52" s="860" t="s">
        <v>240</v>
      </c>
      <c r="C52" s="860" t="s">
        <v>241</v>
      </c>
      <c r="D52" s="101" t="str">
        <f>MID(B52,17,4)</f>
        <v>UTLS</v>
      </c>
      <c r="E52" s="101" t="s">
        <v>237</v>
      </c>
      <c r="F52" s="102">
        <v>1118.0</v>
      </c>
      <c r="G52" s="517" t="s">
        <v>237</v>
      </c>
      <c r="H52" s="517">
        <v>1118.0</v>
      </c>
      <c r="I52" s="858" t="str">
        <f>IFERROR(VLOOKUP(C:C,'R22 RELATÓRIO ACC'!B:F,5,FALSE),"NOT PUBLISHED")</f>
        <v>V28</v>
      </c>
      <c r="J52" s="858" t="str">
        <f>IFERROR(VLOOKUP(C:C,'R22 RELATÓRIO ACC'!B:P,15,FALSE),"NOT PUBLISHED")</f>
        <v>26/02/2026</v>
      </c>
      <c r="K52" s="821" t="str">
        <f>IFERROR(VLOOKUP(B:B,'RELATÓRIO ACC'!B:F,5,FALSE),"NOT PUBLISHED")</f>
        <v>V1</v>
      </c>
      <c r="L52" s="822" t="str">
        <f>IFERROR(VLOOKUP(B:B,'RELATÓRIO ACC'!B:P,15,FALSE),"NOT PUBLISHED")</f>
        <v>19/05/2026</v>
      </c>
      <c r="M52" s="552" t="s">
        <v>423</v>
      </c>
      <c r="N52" s="866">
        <v>45987.0</v>
      </c>
      <c r="O52" s="538" t="s">
        <v>410</v>
      </c>
      <c r="P52" s="587"/>
      <c r="Q52" s="523" t="s">
        <v>379</v>
      </c>
      <c r="R52" s="524">
        <v>0.0</v>
      </c>
      <c r="S52" s="523" t="s">
        <v>379</v>
      </c>
      <c r="T52" s="523" t="s">
        <v>379</v>
      </c>
      <c r="U52" s="524">
        <v>0.0</v>
      </c>
      <c r="V52" s="523" t="s">
        <v>379</v>
      </c>
      <c r="W52" s="523" t="s">
        <v>379</v>
      </c>
      <c r="X52" s="526" t="s">
        <v>380</v>
      </c>
      <c r="Y52" s="525" t="s">
        <v>379</v>
      </c>
      <c r="Z52" s="523" t="s">
        <v>379</v>
      </c>
      <c r="AA52" s="526" t="s">
        <v>380</v>
      </c>
      <c r="AB52" s="525" t="s">
        <v>379</v>
      </c>
      <c r="AC52" s="523" t="s">
        <v>381</v>
      </c>
      <c r="AD52" s="526" t="s">
        <v>403</v>
      </c>
      <c r="AE52" s="546">
        <v>0.61</v>
      </c>
      <c r="AF52" s="523" t="s">
        <v>490</v>
      </c>
      <c r="AG52" s="526" t="s">
        <v>403</v>
      </c>
      <c r="AH52" s="523" t="s">
        <v>490</v>
      </c>
      <c r="AI52" s="523" t="s">
        <v>386</v>
      </c>
      <c r="AJ52" s="526" t="s">
        <v>423</v>
      </c>
      <c r="AK52" s="546">
        <v>1.0</v>
      </c>
      <c r="AL52" s="523" t="s">
        <v>413</v>
      </c>
      <c r="AM52" s="526" t="s">
        <v>423</v>
      </c>
      <c r="AN52" s="546">
        <v>1.0</v>
      </c>
      <c r="AO52" s="523" t="s">
        <v>413</v>
      </c>
      <c r="AP52" s="526" t="s">
        <v>423</v>
      </c>
      <c r="AQ52" s="546">
        <v>1.0</v>
      </c>
      <c r="AR52" s="523" t="s">
        <v>413</v>
      </c>
      <c r="AS52" s="526" t="s">
        <v>423</v>
      </c>
      <c r="AT52" s="546">
        <v>1.0</v>
      </c>
      <c r="AU52" s="523" t="s">
        <v>413</v>
      </c>
      <c r="AV52" s="526" t="s">
        <v>423</v>
      </c>
      <c r="AW52" s="546">
        <v>1.0</v>
      </c>
      <c r="AX52" s="523" t="s">
        <v>413</v>
      </c>
      <c r="AY52" s="526" t="s">
        <v>423</v>
      </c>
      <c r="AZ52" s="546">
        <v>1.0</v>
      </c>
      <c r="BA52" s="523" t="s">
        <v>413</v>
      </c>
      <c r="BB52" s="526" t="s">
        <v>423</v>
      </c>
      <c r="BC52" s="546">
        <v>1.0</v>
      </c>
      <c r="BD52" s="523" t="s">
        <v>413</v>
      </c>
      <c r="BE52" s="526" t="s">
        <v>423</v>
      </c>
      <c r="BF52" s="546">
        <v>1.0</v>
      </c>
      <c r="BG52" s="861" t="s">
        <v>413</v>
      </c>
      <c r="BH52" s="526" t="s">
        <v>423</v>
      </c>
      <c r="BI52" s="919">
        <v>1.0</v>
      </c>
      <c r="BJ52" s="861" t="s">
        <v>413</v>
      </c>
      <c r="BK52" s="526" t="s">
        <v>423</v>
      </c>
      <c r="BL52" s="919">
        <v>1.0</v>
      </c>
      <c r="BM52" s="523" t="s">
        <v>413</v>
      </c>
      <c r="BN52" s="526" t="s">
        <v>423</v>
      </c>
      <c r="BO52" s="546">
        <v>1.0</v>
      </c>
      <c r="BP52" s="523" t="s">
        <v>413</v>
      </c>
      <c r="BQ52" s="526" t="s">
        <v>423</v>
      </c>
      <c r="BR52" s="546">
        <v>1.0</v>
      </c>
      <c r="BS52" s="528" t="s">
        <v>413</v>
      </c>
      <c r="BT52" s="528" t="s">
        <v>423</v>
      </c>
      <c r="BU52" s="548">
        <v>1.0</v>
      </c>
      <c r="BV52" s="528" t="s">
        <v>413</v>
      </c>
      <c r="BW52" s="528" t="s">
        <v>423</v>
      </c>
      <c r="BX52" s="548">
        <v>1.0</v>
      </c>
      <c r="BY52" s="528" t="s">
        <v>413</v>
      </c>
      <c r="BZ52" s="528" t="s">
        <v>423</v>
      </c>
      <c r="CA52" s="548">
        <v>1.0</v>
      </c>
      <c r="CB52" s="528" t="s">
        <v>413</v>
      </c>
      <c r="CC52" s="528" t="s">
        <v>423</v>
      </c>
      <c r="CD52" s="548">
        <v>1.0</v>
      </c>
      <c r="CE52" s="528" t="s">
        <v>413</v>
      </c>
      <c r="CF52" s="528" t="s">
        <v>423</v>
      </c>
      <c r="CG52" s="548">
        <v>1.0</v>
      </c>
      <c r="CH52" s="528" t="s">
        <v>413</v>
      </c>
      <c r="CI52" s="528" t="s">
        <v>423</v>
      </c>
      <c r="CJ52" s="548">
        <v>1.0</v>
      </c>
      <c r="CK52" s="528" t="s">
        <v>413</v>
      </c>
      <c r="CL52" s="528" t="s">
        <v>423</v>
      </c>
      <c r="CM52" s="548">
        <v>1.0</v>
      </c>
      <c r="CN52" s="528" t="s">
        <v>413</v>
      </c>
      <c r="CO52" s="528" t="s">
        <v>423</v>
      </c>
      <c r="CP52" s="548">
        <v>1.0</v>
      </c>
      <c r="CQ52" s="528" t="s">
        <v>413</v>
      </c>
      <c r="CR52" s="528" t="s">
        <v>423</v>
      </c>
      <c r="CS52" s="548">
        <v>1.0</v>
      </c>
      <c r="CT52" s="528" t="s">
        <v>413</v>
      </c>
      <c r="CU52" s="528" t="s">
        <v>423</v>
      </c>
      <c r="CV52" s="548">
        <v>1.0</v>
      </c>
      <c r="CW52" s="528" t="s">
        <v>413</v>
      </c>
      <c r="CX52" s="528" t="s">
        <v>423</v>
      </c>
      <c r="CY52" s="548">
        <v>1.0</v>
      </c>
      <c r="CZ52" s="528" t="s">
        <v>413</v>
      </c>
      <c r="DA52" s="528" t="s">
        <v>423</v>
      </c>
      <c r="DB52" s="548">
        <v>1.0</v>
      </c>
      <c r="DC52" s="528" t="s">
        <v>413</v>
      </c>
      <c r="DD52" s="528" t="s">
        <v>423</v>
      </c>
      <c r="DE52" s="548">
        <v>1.0</v>
      </c>
      <c r="DF52" s="528" t="s">
        <v>413</v>
      </c>
      <c r="DG52" s="528" t="s">
        <v>423</v>
      </c>
      <c r="DH52" s="548">
        <v>1.0</v>
      </c>
      <c r="DI52" s="528" t="s">
        <v>413</v>
      </c>
      <c r="DJ52" s="528" t="s">
        <v>423</v>
      </c>
      <c r="DK52" s="548">
        <v>1.0</v>
      </c>
    </row>
    <row r="53" ht="15.0" hidden="1" customHeight="1">
      <c r="A53" s="53">
        <v>52.0</v>
      </c>
      <c r="B53" s="952" t="s">
        <v>251</v>
      </c>
      <c r="C53" s="334"/>
      <c r="D53" s="335"/>
      <c r="E53" s="335"/>
      <c r="F53" s="335"/>
      <c r="G53" s="335"/>
      <c r="H53" s="337"/>
      <c r="I53" s="335"/>
      <c r="J53" s="335"/>
      <c r="K53" s="338"/>
      <c r="L53" s="953"/>
      <c r="M53" s="335"/>
      <c r="N53" s="953"/>
      <c r="O53" s="343"/>
      <c r="P53" s="954"/>
      <c r="Q53" s="954"/>
      <c r="R53" s="955"/>
      <c r="S53" s="956"/>
      <c r="T53" s="954"/>
      <c r="U53" s="955"/>
      <c r="V53" s="956"/>
      <c r="W53" s="954"/>
      <c r="X53" s="955"/>
      <c r="Y53" s="956"/>
      <c r="Z53" s="954"/>
      <c r="AA53" s="955"/>
      <c r="AB53" s="956"/>
      <c r="AC53" s="954"/>
      <c r="AD53" s="955"/>
      <c r="AE53" s="956"/>
      <c r="AF53" s="957"/>
      <c r="AG53" s="957"/>
      <c r="AH53" s="957"/>
      <c r="AI53" s="957"/>
      <c r="AJ53" s="957"/>
      <c r="AK53" s="957"/>
      <c r="AL53" s="957"/>
      <c r="AM53" s="957"/>
      <c r="AN53" s="957"/>
      <c r="AO53" s="957"/>
      <c r="AP53" s="957"/>
      <c r="AQ53" s="957"/>
      <c r="AR53" s="957"/>
      <c r="AS53" s="957"/>
      <c r="AT53" s="957"/>
      <c r="AU53" s="957"/>
      <c r="AV53" s="957"/>
      <c r="AW53" s="957"/>
      <c r="AX53" s="957"/>
      <c r="AY53" s="957"/>
      <c r="AZ53" s="957"/>
      <c r="BA53" s="957"/>
      <c r="BB53" s="957"/>
      <c r="BC53" s="957"/>
      <c r="BD53" s="957"/>
      <c r="BE53" s="957"/>
      <c r="BF53" s="957"/>
      <c r="BG53" s="957"/>
      <c r="BH53" s="957"/>
      <c r="BI53" s="957"/>
      <c r="BJ53" s="957"/>
      <c r="BK53" s="957"/>
      <c r="BL53" s="957"/>
      <c r="BM53" s="957"/>
      <c r="BN53" s="957"/>
      <c r="BO53" s="957"/>
      <c r="BP53" s="958"/>
      <c r="BQ53" s="957"/>
      <c r="BR53" s="958"/>
      <c r="BS53" s="957"/>
      <c r="BT53" s="957"/>
      <c r="BU53" s="957"/>
      <c r="BV53" s="957"/>
      <c r="BW53" s="957"/>
      <c r="BX53" s="957"/>
      <c r="BY53" s="957"/>
      <c r="BZ53" s="957"/>
      <c r="CA53" s="957"/>
      <c r="CB53" s="957"/>
      <c r="CC53" s="957"/>
      <c r="CD53" s="957"/>
      <c r="CE53" s="957"/>
      <c r="CF53" s="957"/>
      <c r="CG53" s="957"/>
      <c r="CH53" s="957"/>
      <c r="CI53" s="957"/>
      <c r="CJ53" s="957"/>
      <c r="CK53" s="957"/>
      <c r="CL53" s="957"/>
      <c r="CM53" s="957"/>
      <c r="CN53" s="957"/>
      <c r="CO53" s="957"/>
      <c r="CP53" s="957"/>
      <c r="CQ53" s="957"/>
      <c r="CR53" s="957"/>
      <c r="CS53" s="957"/>
      <c r="CT53" s="957"/>
      <c r="CU53" s="957"/>
      <c r="CV53" s="957"/>
      <c r="CW53" s="957"/>
      <c r="CX53" s="957"/>
      <c r="CY53" s="957"/>
      <c r="CZ53" s="957"/>
      <c r="DA53" s="957"/>
      <c r="DB53" s="957"/>
      <c r="DC53" s="957"/>
      <c r="DD53" s="957"/>
      <c r="DE53" s="957"/>
      <c r="DF53" s="957"/>
      <c r="DG53" s="957"/>
      <c r="DH53" s="957"/>
      <c r="DI53" s="957"/>
      <c r="DJ53" s="957"/>
      <c r="DK53" s="957"/>
    </row>
    <row r="54" ht="15.0" customHeight="1">
      <c r="A54" s="53">
        <v>46.0</v>
      </c>
      <c r="B54" s="857" t="s">
        <v>235</v>
      </c>
      <c r="C54" s="857" t="s">
        <v>236</v>
      </c>
      <c r="D54" s="101" t="str">
        <f t="shared" ref="D54:D58" si="5">MID(B54,17,4)</f>
        <v>SITE</v>
      </c>
      <c r="E54" s="101" t="s">
        <v>237</v>
      </c>
      <c r="F54" s="102">
        <v>1118.0</v>
      </c>
      <c r="G54" s="517" t="s">
        <v>237</v>
      </c>
      <c r="H54" s="517">
        <v>1118.0</v>
      </c>
      <c r="I54" s="858" t="str">
        <f>IFERROR(VLOOKUP(C:C,'R22 RELATÓRIO ACC'!B:F,5,FALSE),"NOT PUBLISHED")</f>
        <v>V46</v>
      </c>
      <c r="J54" s="858" t="str">
        <f>IFERROR(VLOOKUP(C:C,'R22 RELATÓRIO ACC'!B:P,15,FALSE),"NOT PUBLISHED")</f>
        <v>24/04/2026</v>
      </c>
      <c r="K54" s="821" t="str">
        <f>IFERROR(VLOOKUP(B:B,'RELATÓRIO ACC'!B:F,5,FALSE),"NOT PUBLISHED")</f>
        <v>V2</v>
      </c>
      <c r="L54" s="822" t="str">
        <f>IFERROR(VLOOKUP(B:B,'RELATÓRIO ACC'!B:P,15,FALSE),"NOT PUBLISHED")</f>
        <v>15/06/2026</v>
      </c>
      <c r="M54" s="821" t="s">
        <v>468</v>
      </c>
      <c r="N54" s="943" t="s">
        <v>439</v>
      </c>
      <c r="O54" s="538" t="s">
        <v>410</v>
      </c>
      <c r="P54" s="587"/>
      <c r="Q54" s="523" t="s">
        <v>381</v>
      </c>
      <c r="R54" s="526" t="s">
        <v>421</v>
      </c>
      <c r="S54" s="542">
        <v>0.04</v>
      </c>
      <c r="T54" s="523" t="s">
        <v>379</v>
      </c>
      <c r="U54" s="524">
        <v>0.0</v>
      </c>
      <c r="V54" s="523" t="s">
        <v>379</v>
      </c>
      <c r="W54" s="523" t="s">
        <v>381</v>
      </c>
      <c r="X54" s="526" t="s">
        <v>429</v>
      </c>
      <c r="Y54" s="551">
        <v>0.69</v>
      </c>
      <c r="Z54" s="523" t="s">
        <v>381</v>
      </c>
      <c r="AA54" s="526" t="s">
        <v>503</v>
      </c>
      <c r="AB54" s="546">
        <v>0.73</v>
      </c>
      <c r="AC54" s="523" t="s">
        <v>398</v>
      </c>
      <c r="AD54" s="526" t="s">
        <v>441</v>
      </c>
      <c r="AE54" s="523" t="s">
        <v>398</v>
      </c>
      <c r="AF54" s="523" t="s">
        <v>386</v>
      </c>
      <c r="AG54" s="526" t="s">
        <v>468</v>
      </c>
      <c r="AH54" s="546">
        <v>1.0</v>
      </c>
      <c r="AI54" s="523" t="s">
        <v>413</v>
      </c>
      <c r="AJ54" s="526" t="s">
        <v>468</v>
      </c>
      <c r="AK54" s="546">
        <v>1.0</v>
      </c>
      <c r="AL54" s="523" t="s">
        <v>413</v>
      </c>
      <c r="AM54" s="526" t="s">
        <v>468</v>
      </c>
      <c r="AN54" s="546">
        <v>1.0</v>
      </c>
      <c r="AO54" s="523" t="s">
        <v>413</v>
      </c>
      <c r="AP54" s="526" t="s">
        <v>468</v>
      </c>
      <c r="AQ54" s="546">
        <v>1.0</v>
      </c>
      <c r="AR54" s="523" t="s">
        <v>413</v>
      </c>
      <c r="AS54" s="526" t="s">
        <v>468</v>
      </c>
      <c r="AT54" s="546">
        <v>1.0</v>
      </c>
      <c r="AU54" s="523" t="s">
        <v>413</v>
      </c>
      <c r="AV54" s="526" t="s">
        <v>468</v>
      </c>
      <c r="AW54" s="546">
        <v>1.0</v>
      </c>
      <c r="AX54" s="523" t="s">
        <v>413</v>
      </c>
      <c r="AY54" s="526" t="s">
        <v>468</v>
      </c>
      <c r="AZ54" s="546">
        <v>1.0</v>
      </c>
      <c r="BA54" s="523" t="s">
        <v>413</v>
      </c>
      <c r="BB54" s="526" t="s">
        <v>468</v>
      </c>
      <c r="BC54" s="546">
        <v>1.0</v>
      </c>
      <c r="BD54" s="523" t="s">
        <v>413</v>
      </c>
      <c r="BE54" s="526" t="s">
        <v>468</v>
      </c>
      <c r="BF54" s="546">
        <v>1.0</v>
      </c>
      <c r="BG54" s="861" t="s">
        <v>413</v>
      </c>
      <c r="BH54" s="526" t="s">
        <v>468</v>
      </c>
      <c r="BI54" s="919">
        <v>1.0</v>
      </c>
      <c r="BJ54" s="861" t="s">
        <v>413</v>
      </c>
      <c r="BK54" s="526" t="s">
        <v>468</v>
      </c>
      <c r="BL54" s="919">
        <v>1.0</v>
      </c>
      <c r="BM54" s="523" t="s">
        <v>413</v>
      </c>
      <c r="BN54" s="526" t="s">
        <v>468</v>
      </c>
      <c r="BO54" s="546">
        <v>1.0</v>
      </c>
      <c r="BP54" s="523" t="s">
        <v>413</v>
      </c>
      <c r="BQ54" s="526" t="s">
        <v>468</v>
      </c>
      <c r="BR54" s="546">
        <v>1.0</v>
      </c>
      <c r="BS54" s="528" t="s">
        <v>413</v>
      </c>
      <c r="BT54" s="528" t="s">
        <v>468</v>
      </c>
      <c r="BU54" s="548">
        <v>1.0</v>
      </c>
      <c r="BV54" s="528" t="s">
        <v>413</v>
      </c>
      <c r="BW54" s="528" t="s">
        <v>468</v>
      </c>
      <c r="BX54" s="548">
        <v>1.0</v>
      </c>
      <c r="BY54" s="528" t="s">
        <v>413</v>
      </c>
      <c r="BZ54" s="528" t="s">
        <v>468</v>
      </c>
      <c r="CA54" s="548">
        <v>1.0</v>
      </c>
      <c r="CB54" s="528" t="s">
        <v>413</v>
      </c>
      <c r="CC54" s="528" t="s">
        <v>468</v>
      </c>
      <c r="CD54" s="548">
        <v>1.0</v>
      </c>
      <c r="CE54" s="528" t="s">
        <v>413</v>
      </c>
      <c r="CF54" s="528" t="s">
        <v>468</v>
      </c>
      <c r="CG54" s="548">
        <v>1.0</v>
      </c>
      <c r="CH54" s="528" t="s">
        <v>413</v>
      </c>
      <c r="CI54" s="528" t="s">
        <v>468</v>
      </c>
      <c r="CJ54" s="548">
        <v>1.0</v>
      </c>
      <c r="CK54" s="528" t="s">
        <v>413</v>
      </c>
      <c r="CL54" s="528" t="s">
        <v>468</v>
      </c>
      <c r="CM54" s="548">
        <v>1.0</v>
      </c>
      <c r="CN54" s="528" t="s">
        <v>413</v>
      </c>
      <c r="CO54" s="528" t="s">
        <v>468</v>
      </c>
      <c r="CP54" s="548">
        <v>1.0</v>
      </c>
      <c r="CQ54" s="528" t="s">
        <v>413</v>
      </c>
      <c r="CR54" s="528" t="s">
        <v>468</v>
      </c>
      <c r="CS54" s="548">
        <v>1.0</v>
      </c>
      <c r="CT54" s="528" t="s">
        <v>413</v>
      </c>
      <c r="CU54" s="528" t="s">
        <v>468</v>
      </c>
      <c r="CV54" s="548">
        <v>1.0</v>
      </c>
      <c r="CW54" s="528" t="s">
        <v>413</v>
      </c>
      <c r="CX54" s="528" t="s">
        <v>468</v>
      </c>
      <c r="CY54" s="548">
        <v>1.0</v>
      </c>
      <c r="CZ54" s="528" t="s">
        <v>413</v>
      </c>
      <c r="DA54" s="528" t="s">
        <v>468</v>
      </c>
      <c r="DB54" s="548">
        <v>1.0</v>
      </c>
      <c r="DC54" s="528" t="s">
        <v>413</v>
      </c>
      <c r="DD54" s="528" t="s">
        <v>468</v>
      </c>
      <c r="DE54" s="548">
        <v>1.0</v>
      </c>
      <c r="DF54" s="528" t="s">
        <v>413</v>
      </c>
      <c r="DG54" s="528" t="s">
        <v>468</v>
      </c>
      <c r="DH54" s="548">
        <v>1.0</v>
      </c>
      <c r="DI54" s="528" t="s">
        <v>413</v>
      </c>
      <c r="DJ54" s="528" t="s">
        <v>468</v>
      </c>
      <c r="DK54" s="548">
        <v>1.0</v>
      </c>
    </row>
    <row r="55" ht="15.0" customHeight="1">
      <c r="A55" s="53">
        <v>44.0</v>
      </c>
      <c r="B55" s="860" t="s">
        <v>229</v>
      </c>
      <c r="C55" s="860" t="s">
        <v>230</v>
      </c>
      <c r="D55" s="101" t="str">
        <f t="shared" si="5"/>
        <v>SITE</v>
      </c>
      <c r="E55" s="101" t="s">
        <v>154</v>
      </c>
      <c r="F55" s="102">
        <v>1112.0</v>
      </c>
      <c r="G55" s="517" t="s">
        <v>155</v>
      </c>
      <c r="H55" s="517">
        <v>1129.0</v>
      </c>
      <c r="I55" s="858" t="str">
        <f>IFERROR(VLOOKUP(C:C,'R22 RELATÓRIO ACC'!B:F,5,FALSE),"NOT PUBLISHED")</f>
        <v>V27</v>
      </c>
      <c r="J55" s="858" t="str">
        <f>IFERROR(VLOOKUP(C:C,'R22 RELATÓRIO ACC'!B:P,15,FALSE),"NOT PUBLISHED")</f>
        <v>08/04/2026</v>
      </c>
      <c r="K55" s="821" t="str">
        <f>IFERROR(VLOOKUP(B:B,'RELATÓRIO ACC'!B:F,5,FALSE),"NOT PUBLISHED")</f>
        <v>V2</v>
      </c>
      <c r="L55" s="822" t="str">
        <f>IFERROR(VLOOKUP(B:B,'RELATÓRIO ACC'!B:P,15,FALSE),"NOT PUBLISHED")</f>
        <v>23/06/2026</v>
      </c>
      <c r="M55" s="821" t="s">
        <v>422</v>
      </c>
      <c r="N55" s="846">
        <v>46014.0</v>
      </c>
      <c r="O55" s="538" t="s">
        <v>410</v>
      </c>
      <c r="P55" s="587" t="s">
        <v>445</v>
      </c>
      <c r="Q55" s="523" t="s">
        <v>379</v>
      </c>
      <c r="R55" s="524">
        <v>0.0</v>
      </c>
      <c r="S55" s="523" t="s">
        <v>379</v>
      </c>
      <c r="T55" s="523" t="s">
        <v>379</v>
      </c>
      <c r="U55" s="558">
        <v>0.0</v>
      </c>
      <c r="V55" s="523" t="s">
        <v>379</v>
      </c>
      <c r="W55" s="523" t="s">
        <v>381</v>
      </c>
      <c r="X55" s="526" t="s">
        <v>425</v>
      </c>
      <c r="Y55" s="542">
        <v>0.17</v>
      </c>
      <c r="Z55" s="523" t="s">
        <v>398</v>
      </c>
      <c r="AA55" s="526" t="s">
        <v>425</v>
      </c>
      <c r="AB55" s="523" t="s">
        <v>398</v>
      </c>
      <c r="AC55" s="523" t="s">
        <v>381</v>
      </c>
      <c r="AD55" s="526" t="s">
        <v>427</v>
      </c>
      <c r="AE55" s="546">
        <v>0.48</v>
      </c>
      <c r="AF55" s="523" t="s">
        <v>379</v>
      </c>
      <c r="AG55" s="526" t="s">
        <v>427</v>
      </c>
      <c r="AH55" s="523" t="s">
        <v>379</v>
      </c>
      <c r="AI55" s="523" t="s">
        <v>490</v>
      </c>
      <c r="AJ55" s="526" t="s">
        <v>431</v>
      </c>
      <c r="AK55" s="523" t="s">
        <v>490</v>
      </c>
      <c r="AL55" s="523" t="s">
        <v>381</v>
      </c>
      <c r="AM55" s="526" t="s">
        <v>401</v>
      </c>
      <c r="AN55" s="546">
        <v>0.55</v>
      </c>
      <c r="AO55" s="523" t="s">
        <v>386</v>
      </c>
      <c r="AP55" s="526" t="s">
        <v>422</v>
      </c>
      <c r="AQ55" s="546">
        <v>1.0</v>
      </c>
      <c r="AR55" s="523" t="s">
        <v>413</v>
      </c>
      <c r="AS55" s="526" t="s">
        <v>422</v>
      </c>
      <c r="AT55" s="546">
        <v>1.0</v>
      </c>
      <c r="AU55" s="523" t="s">
        <v>413</v>
      </c>
      <c r="AV55" s="526" t="s">
        <v>422</v>
      </c>
      <c r="AW55" s="546">
        <v>1.0</v>
      </c>
      <c r="AX55" s="523" t="s">
        <v>413</v>
      </c>
      <c r="AY55" s="526" t="s">
        <v>422</v>
      </c>
      <c r="AZ55" s="546">
        <v>1.0</v>
      </c>
      <c r="BA55" s="523" t="s">
        <v>413</v>
      </c>
      <c r="BB55" s="526" t="s">
        <v>422</v>
      </c>
      <c r="BC55" s="546">
        <v>1.0</v>
      </c>
      <c r="BD55" s="523" t="s">
        <v>413</v>
      </c>
      <c r="BE55" s="526" t="s">
        <v>422</v>
      </c>
      <c r="BF55" s="546">
        <v>1.0</v>
      </c>
      <c r="BG55" s="523" t="s">
        <v>413</v>
      </c>
      <c r="BH55" s="526" t="s">
        <v>422</v>
      </c>
      <c r="BI55" s="546">
        <v>1.0</v>
      </c>
      <c r="BJ55" s="523" t="s">
        <v>413</v>
      </c>
      <c r="BK55" s="526" t="s">
        <v>422</v>
      </c>
      <c r="BL55" s="546">
        <v>1.0</v>
      </c>
      <c r="BM55" s="523" t="s">
        <v>413</v>
      </c>
      <c r="BN55" s="526" t="s">
        <v>422</v>
      </c>
      <c r="BO55" s="546">
        <v>1.0</v>
      </c>
      <c r="BP55" s="523" t="s">
        <v>413</v>
      </c>
      <c r="BQ55" s="526" t="s">
        <v>422</v>
      </c>
      <c r="BR55" s="546">
        <v>1.0</v>
      </c>
      <c r="BS55" s="528" t="s">
        <v>413</v>
      </c>
      <c r="BT55" s="528" t="s">
        <v>422</v>
      </c>
      <c r="BU55" s="548">
        <v>1.0</v>
      </c>
      <c r="BV55" s="528" t="s">
        <v>413</v>
      </c>
      <c r="BW55" s="528" t="s">
        <v>422</v>
      </c>
      <c r="BX55" s="548">
        <v>1.0</v>
      </c>
      <c r="BY55" s="528" t="s">
        <v>413</v>
      </c>
      <c r="BZ55" s="528" t="s">
        <v>422</v>
      </c>
      <c r="CA55" s="548">
        <v>1.0</v>
      </c>
      <c r="CB55" s="523" t="s">
        <v>413</v>
      </c>
      <c r="CC55" s="528" t="s">
        <v>422</v>
      </c>
      <c r="CD55" s="546">
        <v>1.0</v>
      </c>
      <c r="CE55" s="523" t="s">
        <v>413</v>
      </c>
      <c r="CF55" s="528" t="s">
        <v>422</v>
      </c>
      <c r="CG55" s="546">
        <v>1.0</v>
      </c>
      <c r="CH55" s="523" t="s">
        <v>413</v>
      </c>
      <c r="CI55" s="528" t="s">
        <v>422</v>
      </c>
      <c r="CJ55" s="546">
        <v>1.0</v>
      </c>
      <c r="CK55" s="523" t="s">
        <v>413</v>
      </c>
      <c r="CL55" s="528" t="s">
        <v>422</v>
      </c>
      <c r="CM55" s="546">
        <v>1.0</v>
      </c>
      <c r="CN55" s="528" t="s">
        <v>413</v>
      </c>
      <c r="CO55" s="528" t="s">
        <v>422</v>
      </c>
      <c r="CP55" s="548">
        <v>1.0</v>
      </c>
      <c r="CQ55" s="528" t="s">
        <v>413</v>
      </c>
      <c r="CR55" s="528" t="s">
        <v>422</v>
      </c>
      <c r="CS55" s="548">
        <v>1.0</v>
      </c>
      <c r="CT55" s="528" t="s">
        <v>413</v>
      </c>
      <c r="CU55" s="528" t="s">
        <v>422</v>
      </c>
      <c r="CV55" s="548">
        <v>1.0</v>
      </c>
      <c r="CW55" s="528" t="s">
        <v>413</v>
      </c>
      <c r="CX55" s="528" t="s">
        <v>422</v>
      </c>
      <c r="CY55" s="548">
        <v>1.0</v>
      </c>
      <c r="CZ55" s="528" t="s">
        <v>413</v>
      </c>
      <c r="DA55" s="528" t="s">
        <v>422</v>
      </c>
      <c r="DB55" s="548">
        <v>1.0</v>
      </c>
      <c r="DC55" s="528" t="s">
        <v>413</v>
      </c>
      <c r="DD55" s="528" t="s">
        <v>422</v>
      </c>
      <c r="DE55" s="548">
        <v>1.0</v>
      </c>
      <c r="DF55" s="528" t="s">
        <v>413</v>
      </c>
      <c r="DG55" s="528" t="s">
        <v>422</v>
      </c>
      <c r="DH55" s="548">
        <v>1.0</v>
      </c>
      <c r="DI55" s="528" t="s">
        <v>413</v>
      </c>
      <c r="DJ55" s="528" t="s">
        <v>422</v>
      </c>
      <c r="DK55" s="548">
        <v>1.0</v>
      </c>
    </row>
    <row r="56" ht="15.0" customHeight="1">
      <c r="A56" s="53">
        <v>22.0</v>
      </c>
      <c r="B56" s="857" t="s">
        <v>169</v>
      </c>
      <c r="C56" s="857" t="s">
        <v>170</v>
      </c>
      <c r="D56" s="101" t="str">
        <f t="shared" si="5"/>
        <v>GUAR</v>
      </c>
      <c r="E56" s="101" t="s">
        <v>161</v>
      </c>
      <c r="F56" s="102">
        <v>1113.0</v>
      </c>
      <c r="G56" s="517" t="s">
        <v>161</v>
      </c>
      <c r="H56" s="517">
        <v>1113.0</v>
      </c>
      <c r="I56" s="858" t="str">
        <f>IFERROR(VLOOKUP(C:C,'R22 RELATÓRIO ACC'!B:F,5,FALSE),"NOT PUBLISHED")</f>
        <v>V12</v>
      </c>
      <c r="J56" s="858" t="str">
        <f>IFERROR(VLOOKUP(C:C,'R22 RELATÓRIO ACC'!B:P,15,FALSE),"NOT PUBLISHED")</f>
        <v>13/05/2026</v>
      </c>
      <c r="K56" s="821" t="str">
        <f>IFERROR(VLOOKUP(B:B,'RELATÓRIO ACC'!B:F,5,FALSE),"NOT PUBLISHED")</f>
        <v>V2</v>
      </c>
      <c r="L56" s="822" t="str">
        <f>IFERROR(VLOOKUP(B:B,'RELATÓRIO ACC'!B:P,15,FALSE),"NOT PUBLISHED")</f>
        <v>01/06/2026</v>
      </c>
      <c r="M56" s="821" t="s">
        <v>384</v>
      </c>
      <c r="N56" s="842">
        <v>45995.0</v>
      </c>
      <c r="O56" s="538" t="s">
        <v>410</v>
      </c>
      <c r="P56" s="587" t="s">
        <v>489</v>
      </c>
      <c r="Q56" s="523" t="s">
        <v>379</v>
      </c>
      <c r="R56" s="524">
        <v>0.0</v>
      </c>
      <c r="S56" s="543" t="s">
        <v>379</v>
      </c>
      <c r="T56" s="523" t="s">
        <v>379</v>
      </c>
      <c r="U56" s="524">
        <v>0.0</v>
      </c>
      <c r="V56" s="523" t="s">
        <v>379</v>
      </c>
      <c r="W56" s="523" t="s">
        <v>379</v>
      </c>
      <c r="X56" s="526" t="s">
        <v>380</v>
      </c>
      <c r="Y56" s="523" t="s">
        <v>379</v>
      </c>
      <c r="Z56" s="523" t="s">
        <v>379</v>
      </c>
      <c r="AA56" s="526" t="s">
        <v>380</v>
      </c>
      <c r="AB56" s="523" t="s">
        <v>379</v>
      </c>
      <c r="AC56" s="523" t="s">
        <v>379</v>
      </c>
      <c r="AD56" s="526" t="s">
        <v>380</v>
      </c>
      <c r="AE56" s="525" t="s">
        <v>379</v>
      </c>
      <c r="AF56" s="523" t="s">
        <v>381</v>
      </c>
      <c r="AG56" s="526" t="s">
        <v>382</v>
      </c>
      <c r="AH56" s="551">
        <v>0.57</v>
      </c>
      <c r="AI56" s="523" t="s">
        <v>379</v>
      </c>
      <c r="AJ56" s="526" t="s">
        <v>382</v>
      </c>
      <c r="AK56" s="523" t="s">
        <v>379</v>
      </c>
      <c r="AL56" s="523" t="s">
        <v>490</v>
      </c>
      <c r="AM56" s="526" t="s">
        <v>382</v>
      </c>
      <c r="AN56" s="523" t="s">
        <v>490</v>
      </c>
      <c r="AO56" s="523" t="s">
        <v>386</v>
      </c>
      <c r="AP56" s="526" t="s">
        <v>382</v>
      </c>
      <c r="AQ56" s="565">
        <v>1.0</v>
      </c>
      <c r="AR56" s="523" t="s">
        <v>413</v>
      </c>
      <c r="AS56" s="526" t="s">
        <v>382</v>
      </c>
      <c r="AT56" s="565">
        <v>1.0</v>
      </c>
      <c r="AU56" s="523" t="s">
        <v>413</v>
      </c>
      <c r="AV56" s="526" t="s">
        <v>382</v>
      </c>
      <c r="AW56" s="565">
        <v>1.0</v>
      </c>
      <c r="AX56" s="523" t="s">
        <v>413</v>
      </c>
      <c r="AY56" s="526" t="s">
        <v>382</v>
      </c>
      <c r="AZ56" s="565">
        <v>1.0</v>
      </c>
      <c r="BA56" s="523" t="s">
        <v>413</v>
      </c>
      <c r="BB56" s="526" t="s">
        <v>382</v>
      </c>
      <c r="BC56" s="565">
        <v>1.0</v>
      </c>
      <c r="BD56" s="523" t="s">
        <v>413</v>
      </c>
      <c r="BE56" s="526" t="s">
        <v>382</v>
      </c>
      <c r="BF56" s="565">
        <v>1.0</v>
      </c>
      <c r="BG56" s="523" t="s">
        <v>413</v>
      </c>
      <c r="BH56" s="526" t="s">
        <v>382</v>
      </c>
      <c r="BI56" s="565">
        <v>1.0</v>
      </c>
      <c r="BJ56" s="523" t="s">
        <v>413</v>
      </c>
      <c r="BK56" s="526" t="s">
        <v>382</v>
      </c>
      <c r="BL56" s="565">
        <v>1.0</v>
      </c>
      <c r="BM56" s="523" t="s">
        <v>413</v>
      </c>
      <c r="BN56" s="526" t="s">
        <v>382</v>
      </c>
      <c r="BO56" s="565">
        <v>1.0</v>
      </c>
      <c r="BP56" s="523" t="s">
        <v>413</v>
      </c>
      <c r="BQ56" s="526" t="s">
        <v>382</v>
      </c>
      <c r="BR56" s="565">
        <v>1.0</v>
      </c>
      <c r="BS56" s="528" t="s">
        <v>413</v>
      </c>
      <c r="BT56" s="528" t="s">
        <v>382</v>
      </c>
      <c r="BU56" s="568">
        <v>1.0</v>
      </c>
      <c r="BV56" s="528" t="s">
        <v>413</v>
      </c>
      <c r="BW56" s="528" t="s">
        <v>382</v>
      </c>
      <c r="BX56" s="568">
        <v>1.0</v>
      </c>
      <c r="BY56" s="528" t="s">
        <v>413</v>
      </c>
      <c r="BZ56" s="528" t="s">
        <v>382</v>
      </c>
      <c r="CA56" s="568">
        <v>1.0</v>
      </c>
      <c r="CB56" s="528" t="s">
        <v>413</v>
      </c>
      <c r="CC56" s="528" t="s">
        <v>382</v>
      </c>
      <c r="CD56" s="568">
        <v>1.0</v>
      </c>
      <c r="CE56" s="528" t="s">
        <v>413</v>
      </c>
      <c r="CF56" s="528" t="s">
        <v>382</v>
      </c>
      <c r="CG56" s="565">
        <v>1.0</v>
      </c>
      <c r="CH56" s="528" t="s">
        <v>413</v>
      </c>
      <c r="CI56" s="528" t="s">
        <v>382</v>
      </c>
      <c r="CJ56" s="565">
        <v>1.0</v>
      </c>
      <c r="CK56" s="528" t="s">
        <v>413</v>
      </c>
      <c r="CL56" s="528" t="s">
        <v>382</v>
      </c>
      <c r="CM56" s="565">
        <v>1.0</v>
      </c>
      <c r="CN56" s="528" t="s">
        <v>413</v>
      </c>
      <c r="CO56" s="528" t="s">
        <v>382</v>
      </c>
      <c r="CP56" s="565">
        <v>1.0</v>
      </c>
      <c r="CQ56" s="528" t="s">
        <v>413</v>
      </c>
      <c r="CR56" s="528" t="s">
        <v>382</v>
      </c>
      <c r="CS56" s="565">
        <v>1.0</v>
      </c>
      <c r="CT56" s="528" t="s">
        <v>413</v>
      </c>
      <c r="CU56" s="528" t="s">
        <v>382</v>
      </c>
      <c r="CV56" s="565">
        <v>1.0</v>
      </c>
      <c r="CW56" s="528" t="s">
        <v>413</v>
      </c>
      <c r="CX56" s="528" t="s">
        <v>382</v>
      </c>
      <c r="CY56" s="565">
        <v>1.0</v>
      </c>
      <c r="CZ56" s="528" t="s">
        <v>413</v>
      </c>
      <c r="DA56" s="528" t="s">
        <v>382</v>
      </c>
      <c r="DB56" s="565">
        <v>1.0</v>
      </c>
      <c r="DC56" s="528" t="s">
        <v>413</v>
      </c>
      <c r="DD56" s="528" t="s">
        <v>382</v>
      </c>
      <c r="DE56" s="565">
        <v>1.0</v>
      </c>
      <c r="DF56" s="528" t="s">
        <v>413</v>
      </c>
      <c r="DG56" s="528" t="s">
        <v>382</v>
      </c>
      <c r="DH56" s="565">
        <v>1.0</v>
      </c>
      <c r="DI56" s="528" t="s">
        <v>413</v>
      </c>
      <c r="DJ56" s="528" t="s">
        <v>382</v>
      </c>
      <c r="DK56" s="565">
        <v>1.0</v>
      </c>
    </row>
    <row r="57" ht="15.0" customHeight="1">
      <c r="A57" s="53">
        <v>32.0</v>
      </c>
      <c r="B57" s="860" t="s">
        <v>194</v>
      </c>
      <c r="C57" s="860" t="s">
        <v>195</v>
      </c>
      <c r="D57" s="101" t="str">
        <f t="shared" si="5"/>
        <v>SITE</v>
      </c>
      <c r="E57" s="101" t="s">
        <v>196</v>
      </c>
      <c r="F57" s="102">
        <v>1115.0</v>
      </c>
      <c r="G57" s="517" t="s">
        <v>196</v>
      </c>
      <c r="H57" s="517">
        <v>1115.0</v>
      </c>
      <c r="I57" s="858" t="str">
        <f>IFERROR(VLOOKUP(C:C,'R22 RELATÓRIO ACC'!B:F,5,FALSE),"NOT PUBLISHED")</f>
        <v>V37</v>
      </c>
      <c r="J57" s="858" t="str">
        <f>IFERROR(VLOOKUP(C:C,'R22 RELATÓRIO ACC'!B:P,15,FALSE),"NOT PUBLISHED")</f>
        <v>10/04/2026</v>
      </c>
      <c r="K57" s="821" t="str">
        <f>IFERROR(VLOOKUP(B:B,'RELATÓRIO ACC'!B:F,5,FALSE),"NOT PUBLISHED")</f>
        <v>V1</v>
      </c>
      <c r="L57" s="822" t="str">
        <f>IFERROR(VLOOKUP(B:B,'RELATÓRIO ACC'!B:P,15,FALSE),"NOT PUBLISHED")</f>
        <v>20/05/2026</v>
      </c>
      <c r="M57" s="552" t="s">
        <v>408</v>
      </c>
      <c r="N57" s="959" t="s">
        <v>439</v>
      </c>
      <c r="O57" s="538" t="s">
        <v>410</v>
      </c>
      <c r="P57" s="587"/>
      <c r="Q57" s="523" t="s">
        <v>381</v>
      </c>
      <c r="R57" s="526" t="s">
        <v>421</v>
      </c>
      <c r="S57" s="546">
        <v>0.01</v>
      </c>
      <c r="T57" s="523" t="s">
        <v>381</v>
      </c>
      <c r="U57" s="526" t="s">
        <v>421</v>
      </c>
      <c r="V57" s="546">
        <v>0.07</v>
      </c>
      <c r="W57" s="523" t="s">
        <v>381</v>
      </c>
      <c r="X57" s="526" t="s">
        <v>406</v>
      </c>
      <c r="Y57" s="546">
        <v>0.84</v>
      </c>
      <c r="Z57" s="523" t="s">
        <v>381</v>
      </c>
      <c r="AA57" s="526" t="s">
        <v>421</v>
      </c>
      <c r="AB57" s="546">
        <v>0.86</v>
      </c>
      <c r="AC57" s="523" t="s">
        <v>398</v>
      </c>
      <c r="AD57" s="526" t="s">
        <v>420</v>
      </c>
      <c r="AE57" s="523" t="s">
        <v>398</v>
      </c>
      <c r="AF57" s="523" t="s">
        <v>386</v>
      </c>
      <c r="AG57" s="526" t="s">
        <v>408</v>
      </c>
      <c r="AH57" s="546">
        <v>1.0</v>
      </c>
      <c r="AI57" s="523" t="s">
        <v>413</v>
      </c>
      <c r="AJ57" s="526" t="s">
        <v>408</v>
      </c>
      <c r="AK57" s="546">
        <v>1.0</v>
      </c>
      <c r="AL57" s="523" t="s">
        <v>413</v>
      </c>
      <c r="AM57" s="526" t="s">
        <v>408</v>
      </c>
      <c r="AN57" s="546">
        <v>1.0</v>
      </c>
      <c r="AO57" s="523" t="s">
        <v>413</v>
      </c>
      <c r="AP57" s="526" t="s">
        <v>408</v>
      </c>
      <c r="AQ57" s="546">
        <v>1.0</v>
      </c>
      <c r="AR57" s="523" t="s">
        <v>413</v>
      </c>
      <c r="AS57" s="526" t="s">
        <v>408</v>
      </c>
      <c r="AT57" s="546">
        <v>1.0</v>
      </c>
      <c r="AU57" s="523" t="s">
        <v>413</v>
      </c>
      <c r="AV57" s="526" t="s">
        <v>408</v>
      </c>
      <c r="AW57" s="546">
        <v>1.0</v>
      </c>
      <c r="AX57" s="523" t="s">
        <v>413</v>
      </c>
      <c r="AY57" s="526" t="s">
        <v>408</v>
      </c>
      <c r="AZ57" s="546">
        <v>1.0</v>
      </c>
      <c r="BA57" s="523" t="s">
        <v>413</v>
      </c>
      <c r="BB57" s="526" t="s">
        <v>408</v>
      </c>
      <c r="BC57" s="546">
        <v>1.0</v>
      </c>
      <c r="BD57" s="523" t="s">
        <v>413</v>
      </c>
      <c r="BE57" s="526" t="s">
        <v>408</v>
      </c>
      <c r="BF57" s="546">
        <v>1.0</v>
      </c>
      <c r="BG57" s="523" t="s">
        <v>413</v>
      </c>
      <c r="BH57" s="526" t="s">
        <v>408</v>
      </c>
      <c r="BI57" s="546">
        <v>1.0</v>
      </c>
      <c r="BJ57" s="523" t="s">
        <v>413</v>
      </c>
      <c r="BK57" s="526" t="s">
        <v>408</v>
      </c>
      <c r="BL57" s="546">
        <v>1.0</v>
      </c>
      <c r="BM57" s="523" t="s">
        <v>413</v>
      </c>
      <c r="BN57" s="526" t="s">
        <v>408</v>
      </c>
      <c r="BO57" s="546">
        <v>1.0</v>
      </c>
      <c r="BP57" s="523" t="s">
        <v>413</v>
      </c>
      <c r="BQ57" s="526" t="s">
        <v>408</v>
      </c>
      <c r="BR57" s="546">
        <v>1.0</v>
      </c>
      <c r="BS57" s="528" t="s">
        <v>413</v>
      </c>
      <c r="BT57" s="528" t="s">
        <v>408</v>
      </c>
      <c r="BU57" s="548">
        <v>1.0</v>
      </c>
      <c r="BV57" s="528" t="s">
        <v>413</v>
      </c>
      <c r="BW57" s="528" t="s">
        <v>408</v>
      </c>
      <c r="BX57" s="548">
        <v>1.0</v>
      </c>
      <c r="BY57" s="528" t="s">
        <v>413</v>
      </c>
      <c r="BZ57" s="528" t="s">
        <v>408</v>
      </c>
      <c r="CA57" s="548">
        <v>1.0</v>
      </c>
      <c r="CB57" s="528" t="s">
        <v>413</v>
      </c>
      <c r="CC57" s="528" t="s">
        <v>408</v>
      </c>
      <c r="CD57" s="548">
        <v>1.0</v>
      </c>
      <c r="CE57" s="528" t="s">
        <v>413</v>
      </c>
      <c r="CF57" s="528" t="s">
        <v>408</v>
      </c>
      <c r="CG57" s="548">
        <v>1.0</v>
      </c>
      <c r="CH57" s="528" t="s">
        <v>413</v>
      </c>
      <c r="CI57" s="528" t="s">
        <v>408</v>
      </c>
      <c r="CJ57" s="548">
        <v>1.0</v>
      </c>
      <c r="CK57" s="528" t="s">
        <v>413</v>
      </c>
      <c r="CL57" s="528" t="s">
        <v>408</v>
      </c>
      <c r="CM57" s="548">
        <v>1.0</v>
      </c>
      <c r="CN57" s="528" t="s">
        <v>413</v>
      </c>
      <c r="CO57" s="528" t="s">
        <v>408</v>
      </c>
      <c r="CP57" s="548">
        <v>1.0</v>
      </c>
      <c r="CQ57" s="528" t="s">
        <v>413</v>
      </c>
      <c r="CR57" s="528" t="s">
        <v>408</v>
      </c>
      <c r="CS57" s="548">
        <v>1.0</v>
      </c>
      <c r="CT57" s="528" t="s">
        <v>413</v>
      </c>
      <c r="CU57" s="528" t="s">
        <v>408</v>
      </c>
      <c r="CV57" s="548">
        <v>1.0</v>
      </c>
      <c r="CW57" s="528" t="s">
        <v>413</v>
      </c>
      <c r="CX57" s="528" t="s">
        <v>408</v>
      </c>
      <c r="CY57" s="548">
        <v>1.0</v>
      </c>
      <c r="CZ57" s="528" t="s">
        <v>413</v>
      </c>
      <c r="DA57" s="528" t="s">
        <v>408</v>
      </c>
      <c r="DB57" s="548">
        <v>1.0</v>
      </c>
      <c r="DC57" s="528" t="s">
        <v>413</v>
      </c>
      <c r="DD57" s="528" t="s">
        <v>408</v>
      </c>
      <c r="DE57" s="548">
        <v>1.0</v>
      </c>
      <c r="DF57" s="528" t="s">
        <v>413</v>
      </c>
      <c r="DG57" s="528" t="s">
        <v>408</v>
      </c>
      <c r="DH57" s="548">
        <v>1.0</v>
      </c>
      <c r="DI57" s="528" t="s">
        <v>413</v>
      </c>
      <c r="DJ57" s="528" t="s">
        <v>408</v>
      </c>
      <c r="DK57" s="548">
        <v>1.0</v>
      </c>
    </row>
    <row r="58" ht="15.0" customHeight="1">
      <c r="A58" s="53">
        <v>30.0</v>
      </c>
      <c r="B58" s="860" t="s">
        <v>191</v>
      </c>
      <c r="C58" s="860" t="s">
        <v>192</v>
      </c>
      <c r="D58" s="101" t="str">
        <f t="shared" si="5"/>
        <v>SITE</v>
      </c>
      <c r="E58" s="101" t="s">
        <v>154</v>
      </c>
      <c r="F58" s="102">
        <v>1112.0</v>
      </c>
      <c r="G58" s="517" t="s">
        <v>155</v>
      </c>
      <c r="H58" s="517">
        <v>1129.0</v>
      </c>
      <c r="I58" s="858" t="str">
        <f>IFERROR(VLOOKUP(C:C,'R22 RELATÓRIO ACC'!B:F,5,FALSE),"NOT PUBLISHED")</f>
        <v>V34</v>
      </c>
      <c r="J58" s="858" t="str">
        <f>IFERROR(VLOOKUP(C:C,'R22 RELATÓRIO ACC'!B:P,15,FALSE),"NOT PUBLISHED")</f>
        <v>05/05/2026</v>
      </c>
      <c r="K58" s="821" t="str">
        <f>IFERROR(VLOOKUP(B:B,'RELATÓRIO ACC'!B:F,5,FALSE),"NOT PUBLISHED")</f>
        <v>V3</v>
      </c>
      <c r="L58" s="822" t="str">
        <f>IFERROR(VLOOKUP(B:B,'RELATÓRIO ACC'!B:P,15,FALSE),"NOT PUBLISHED")</f>
        <v>03/07/2026</v>
      </c>
      <c r="M58" s="821" t="s">
        <v>420</v>
      </c>
      <c r="N58" s="943" t="s">
        <v>435</v>
      </c>
      <c r="O58" s="538" t="s">
        <v>410</v>
      </c>
      <c r="P58" s="587" t="s">
        <v>445</v>
      </c>
      <c r="Q58" s="523" t="s">
        <v>381</v>
      </c>
      <c r="R58" s="550" t="s">
        <v>421</v>
      </c>
      <c r="S58" s="546">
        <v>0.08</v>
      </c>
      <c r="T58" s="523" t="s">
        <v>379</v>
      </c>
      <c r="U58" s="558">
        <v>0.0</v>
      </c>
      <c r="V58" s="525" t="s">
        <v>379</v>
      </c>
      <c r="W58" s="523" t="s">
        <v>381</v>
      </c>
      <c r="X58" s="526" t="s">
        <v>403</v>
      </c>
      <c r="Y58" s="546">
        <v>0.2</v>
      </c>
      <c r="Z58" s="523" t="s">
        <v>381</v>
      </c>
      <c r="AA58" s="526" t="s">
        <v>421</v>
      </c>
      <c r="AB58" s="546">
        <v>0.5</v>
      </c>
      <c r="AC58" s="523" t="s">
        <v>381</v>
      </c>
      <c r="AD58" s="526" t="s">
        <v>423</v>
      </c>
      <c r="AE58" s="551">
        <v>0.72</v>
      </c>
      <c r="AF58" s="523" t="s">
        <v>379</v>
      </c>
      <c r="AG58" s="526" t="s">
        <v>423</v>
      </c>
      <c r="AH58" s="523" t="s">
        <v>379</v>
      </c>
      <c r="AI58" s="523" t="s">
        <v>490</v>
      </c>
      <c r="AJ58" s="526" t="s">
        <v>431</v>
      </c>
      <c r="AK58" s="523" t="s">
        <v>490</v>
      </c>
      <c r="AL58" s="523" t="s">
        <v>381</v>
      </c>
      <c r="AM58" s="526" t="s">
        <v>406</v>
      </c>
      <c r="AN58" s="546">
        <v>0.75</v>
      </c>
      <c r="AO58" s="523" t="s">
        <v>386</v>
      </c>
      <c r="AP58" s="526" t="s">
        <v>420</v>
      </c>
      <c r="AQ58" s="546">
        <v>1.0</v>
      </c>
      <c r="AR58" s="523" t="s">
        <v>413</v>
      </c>
      <c r="AS58" s="526" t="s">
        <v>420</v>
      </c>
      <c r="AT58" s="546">
        <v>1.0</v>
      </c>
      <c r="AU58" s="523" t="s">
        <v>413</v>
      </c>
      <c r="AV58" s="526" t="s">
        <v>420</v>
      </c>
      <c r="AW58" s="546">
        <v>1.0</v>
      </c>
      <c r="AX58" s="523" t="s">
        <v>413</v>
      </c>
      <c r="AY58" s="526" t="s">
        <v>420</v>
      </c>
      <c r="AZ58" s="546">
        <v>1.0</v>
      </c>
      <c r="BA58" s="523" t="s">
        <v>413</v>
      </c>
      <c r="BB58" s="526" t="s">
        <v>420</v>
      </c>
      <c r="BC58" s="546">
        <v>1.0</v>
      </c>
      <c r="BD58" s="523" t="s">
        <v>413</v>
      </c>
      <c r="BE58" s="526" t="s">
        <v>420</v>
      </c>
      <c r="BF58" s="546">
        <v>1.0</v>
      </c>
      <c r="BG58" s="523" t="s">
        <v>413</v>
      </c>
      <c r="BH58" s="526" t="s">
        <v>420</v>
      </c>
      <c r="BI58" s="546">
        <v>1.0</v>
      </c>
      <c r="BJ58" s="523" t="s">
        <v>413</v>
      </c>
      <c r="BK58" s="526" t="s">
        <v>420</v>
      </c>
      <c r="BL58" s="546">
        <v>1.0</v>
      </c>
      <c r="BM58" s="523" t="s">
        <v>413</v>
      </c>
      <c r="BN58" s="526" t="s">
        <v>420</v>
      </c>
      <c r="BO58" s="546">
        <v>1.0</v>
      </c>
      <c r="BP58" s="523" t="s">
        <v>413</v>
      </c>
      <c r="BQ58" s="526" t="s">
        <v>420</v>
      </c>
      <c r="BR58" s="546">
        <v>1.0</v>
      </c>
      <c r="BS58" s="528" t="s">
        <v>413</v>
      </c>
      <c r="BT58" s="528" t="s">
        <v>420</v>
      </c>
      <c r="BU58" s="548">
        <v>1.0</v>
      </c>
      <c r="BV58" s="528" t="s">
        <v>413</v>
      </c>
      <c r="BW58" s="528" t="s">
        <v>420</v>
      </c>
      <c r="BX58" s="548">
        <v>1.0</v>
      </c>
      <c r="BY58" s="528" t="s">
        <v>413</v>
      </c>
      <c r="BZ58" s="528" t="s">
        <v>420</v>
      </c>
      <c r="CA58" s="548">
        <v>1.0</v>
      </c>
      <c r="CB58" s="528" t="s">
        <v>413</v>
      </c>
      <c r="CC58" s="528" t="s">
        <v>420</v>
      </c>
      <c r="CD58" s="548">
        <v>1.0</v>
      </c>
      <c r="CE58" s="528" t="s">
        <v>413</v>
      </c>
      <c r="CF58" s="528" t="s">
        <v>420</v>
      </c>
      <c r="CG58" s="548">
        <v>1.0</v>
      </c>
      <c r="CH58" s="528" t="s">
        <v>413</v>
      </c>
      <c r="CI58" s="528" t="s">
        <v>420</v>
      </c>
      <c r="CJ58" s="548">
        <v>1.0</v>
      </c>
      <c r="CK58" s="528" t="s">
        <v>413</v>
      </c>
      <c r="CL58" s="528" t="s">
        <v>420</v>
      </c>
      <c r="CM58" s="548">
        <v>1.0</v>
      </c>
      <c r="CN58" s="528" t="s">
        <v>413</v>
      </c>
      <c r="CO58" s="528" t="s">
        <v>420</v>
      </c>
      <c r="CP58" s="548">
        <v>1.0</v>
      </c>
      <c r="CQ58" s="528" t="s">
        <v>413</v>
      </c>
      <c r="CR58" s="528" t="s">
        <v>420</v>
      </c>
      <c r="CS58" s="548">
        <v>1.0</v>
      </c>
      <c r="CT58" s="528" t="s">
        <v>413</v>
      </c>
      <c r="CU58" s="528" t="s">
        <v>420</v>
      </c>
      <c r="CV58" s="548">
        <v>1.0</v>
      </c>
      <c r="CW58" s="528" t="s">
        <v>413</v>
      </c>
      <c r="CX58" s="528" t="s">
        <v>420</v>
      </c>
      <c r="CY58" s="548">
        <v>1.0</v>
      </c>
      <c r="CZ58" s="528" t="s">
        <v>413</v>
      </c>
      <c r="DA58" s="528" t="s">
        <v>420</v>
      </c>
      <c r="DB58" s="548">
        <v>1.0</v>
      </c>
      <c r="DC58" s="528" t="s">
        <v>413</v>
      </c>
      <c r="DD58" s="528" t="s">
        <v>420</v>
      </c>
      <c r="DE58" s="548">
        <v>1.0</v>
      </c>
      <c r="DF58" s="528" t="s">
        <v>413</v>
      </c>
      <c r="DG58" s="528" t="s">
        <v>420</v>
      </c>
      <c r="DH58" s="548">
        <v>1.0</v>
      </c>
      <c r="DI58" s="528" t="s">
        <v>413</v>
      </c>
      <c r="DJ58" s="528" t="s">
        <v>420</v>
      </c>
      <c r="DK58" s="548">
        <v>1.0</v>
      </c>
    </row>
    <row r="59" ht="15.0" hidden="1" customHeight="1">
      <c r="A59" s="53">
        <v>58.0</v>
      </c>
      <c r="B59" s="960" t="s">
        <v>266</v>
      </c>
      <c r="C59" s="355"/>
      <c r="D59" s="356"/>
      <c r="E59" s="356"/>
      <c r="F59" s="356"/>
      <c r="G59" s="356"/>
      <c r="H59" s="358"/>
      <c r="I59" s="356"/>
      <c r="J59" s="356"/>
      <c r="K59" s="359"/>
      <c r="L59" s="642"/>
      <c r="M59" s="356"/>
      <c r="N59" s="642"/>
      <c r="O59" s="364"/>
      <c r="P59" s="643"/>
      <c r="Q59" s="643"/>
      <c r="R59" s="644"/>
      <c r="S59" s="645"/>
      <c r="T59" s="643"/>
      <c r="U59" s="644"/>
      <c r="V59" s="645"/>
      <c r="W59" s="643"/>
      <c r="X59" s="644"/>
      <c r="Y59" s="645"/>
      <c r="Z59" s="643"/>
      <c r="AA59" s="644"/>
      <c r="AB59" s="645"/>
      <c r="AC59" s="643"/>
      <c r="AD59" s="644"/>
      <c r="AE59" s="645"/>
      <c r="AF59" s="646"/>
      <c r="AG59" s="646"/>
      <c r="AH59" s="646"/>
      <c r="AI59" s="646"/>
      <c r="AJ59" s="646"/>
      <c r="AK59" s="646"/>
      <c r="AL59" s="646"/>
      <c r="AM59" s="646"/>
      <c r="AN59" s="646"/>
      <c r="AO59" s="646"/>
      <c r="AP59" s="646"/>
      <c r="AQ59" s="646"/>
      <c r="AR59" s="646"/>
      <c r="AS59" s="646"/>
      <c r="AT59" s="646"/>
      <c r="AU59" s="961"/>
      <c r="AV59" s="646"/>
      <c r="AW59" s="646"/>
      <c r="AX59" s="961"/>
      <c r="AY59" s="646"/>
      <c r="AZ59" s="646"/>
      <c r="BA59" s="961"/>
      <c r="BB59" s="646"/>
      <c r="BC59" s="646"/>
      <c r="BD59" s="961"/>
      <c r="BE59" s="646"/>
      <c r="BF59" s="646"/>
      <c r="BG59" s="961"/>
      <c r="BH59" s="646"/>
      <c r="BI59" s="646"/>
      <c r="BJ59" s="961"/>
      <c r="BK59" s="646"/>
      <c r="BL59" s="646"/>
      <c r="BM59" s="961"/>
      <c r="BN59" s="646"/>
      <c r="BO59" s="646"/>
      <c r="BP59" s="961"/>
      <c r="BQ59" s="646"/>
      <c r="BR59" s="646"/>
      <c r="BS59" s="646"/>
      <c r="BT59" s="646"/>
      <c r="BU59" s="646"/>
      <c r="BV59" s="646"/>
      <c r="BW59" s="646"/>
      <c r="BX59" s="646"/>
      <c r="BY59" s="646"/>
      <c r="BZ59" s="646"/>
      <c r="CA59" s="646"/>
      <c r="CB59" s="646"/>
      <c r="CC59" s="646"/>
      <c r="CD59" s="646"/>
      <c r="CE59" s="646"/>
      <c r="CF59" s="646"/>
      <c r="CG59" s="646"/>
      <c r="CH59" s="646"/>
      <c r="CI59" s="646"/>
      <c r="CJ59" s="646"/>
      <c r="CK59" s="646"/>
      <c r="CL59" s="646"/>
      <c r="CM59" s="646"/>
      <c r="CN59" s="646"/>
      <c r="CO59" s="646"/>
      <c r="CP59" s="646"/>
      <c r="CQ59" s="646"/>
      <c r="CR59" s="646"/>
      <c r="CS59" s="646"/>
      <c r="CT59" s="646"/>
      <c r="CU59" s="646"/>
      <c r="CV59" s="646"/>
      <c r="CW59" s="646"/>
      <c r="CX59" s="646"/>
      <c r="CY59" s="646"/>
      <c r="CZ59" s="646"/>
      <c r="DA59" s="646"/>
      <c r="DB59" s="646"/>
      <c r="DC59" s="646"/>
      <c r="DD59" s="646"/>
      <c r="DE59" s="646"/>
      <c r="DF59" s="646"/>
      <c r="DG59" s="646"/>
      <c r="DH59" s="646"/>
      <c r="DI59" s="646"/>
      <c r="DJ59" s="646"/>
      <c r="DK59" s="646"/>
    </row>
    <row r="60" ht="15.0" customHeight="1">
      <c r="A60" s="53">
        <v>59.0</v>
      </c>
      <c r="B60" s="857" t="s">
        <v>271</v>
      </c>
      <c r="C60" s="857" t="s">
        <v>272</v>
      </c>
      <c r="D60" s="101" t="str">
        <f t="shared" ref="D60:D67" si="6">MID(B60,17,4)</f>
        <v>SITE</v>
      </c>
      <c r="E60" s="101" t="s">
        <v>269</v>
      </c>
      <c r="F60" s="102">
        <v>1120.0</v>
      </c>
      <c r="G60" s="534" t="s">
        <v>270</v>
      </c>
      <c r="H60" s="535">
        <v>0.0</v>
      </c>
      <c r="I60" s="858" t="str">
        <f>IFERROR(VLOOKUP(C:C,'R22 RELATÓRIO ACC'!B:F,5,FALSE),"NOT PUBLISHED")</f>
        <v>V17</v>
      </c>
      <c r="J60" s="858" t="str">
        <f>IFERROR(VLOOKUP(C:C,'R22 RELATÓRIO ACC'!B:P,15,FALSE),"NOT PUBLISHED")</f>
        <v>12/05/2026</v>
      </c>
      <c r="K60" s="821" t="str">
        <f>IFERROR(VLOOKUP(B:B,'RELATÓRIO ACC'!B:F,5,FALSE),"NOT PUBLISHED")</f>
        <v>V1</v>
      </c>
      <c r="L60" s="822" t="str">
        <f>IFERROR(VLOOKUP(B:B,'RELATÓRIO ACC'!B:P,15,FALSE),"NOT PUBLISHED")</f>
        <v>15/05/2026</v>
      </c>
      <c r="M60" s="821" t="s">
        <v>385</v>
      </c>
      <c r="N60" s="846">
        <v>46045.0</v>
      </c>
      <c r="O60" s="538" t="s">
        <v>410</v>
      </c>
      <c r="P60" s="587" t="s">
        <v>504</v>
      </c>
      <c r="Q60" s="523" t="s">
        <v>381</v>
      </c>
      <c r="R60" s="526" t="s">
        <v>421</v>
      </c>
      <c r="S60" s="546">
        <v>0.01</v>
      </c>
      <c r="T60" s="523" t="s">
        <v>379</v>
      </c>
      <c r="U60" s="524">
        <v>0.0</v>
      </c>
      <c r="V60" s="523" t="s">
        <v>379</v>
      </c>
      <c r="W60" s="523" t="s">
        <v>381</v>
      </c>
      <c r="X60" s="526" t="s">
        <v>428</v>
      </c>
      <c r="Y60" s="551">
        <v>0.01</v>
      </c>
      <c r="Z60" s="523" t="s">
        <v>490</v>
      </c>
      <c r="AA60" s="526" t="s">
        <v>428</v>
      </c>
      <c r="AB60" s="523" t="s">
        <v>490</v>
      </c>
      <c r="AC60" s="523" t="s">
        <v>381</v>
      </c>
      <c r="AD60" s="526" t="s">
        <v>412</v>
      </c>
      <c r="AE60" s="551">
        <v>0.56</v>
      </c>
      <c r="AF60" s="523" t="s">
        <v>490</v>
      </c>
      <c r="AG60" s="526" t="s">
        <v>412</v>
      </c>
      <c r="AH60" s="525" t="s">
        <v>490</v>
      </c>
      <c r="AI60" s="523" t="s">
        <v>381</v>
      </c>
      <c r="AJ60" s="526" t="s">
        <v>382</v>
      </c>
      <c r="AK60" s="546">
        <v>0.67</v>
      </c>
      <c r="AL60" s="523" t="s">
        <v>490</v>
      </c>
      <c r="AM60" s="526" t="s">
        <v>382</v>
      </c>
      <c r="AN60" s="523" t="s">
        <v>490</v>
      </c>
      <c r="AO60" s="523" t="s">
        <v>381</v>
      </c>
      <c r="AP60" s="526" t="s">
        <v>384</v>
      </c>
      <c r="AQ60" s="565">
        <v>0.94</v>
      </c>
      <c r="AR60" s="523" t="s">
        <v>386</v>
      </c>
      <c r="AS60" s="526" t="s">
        <v>385</v>
      </c>
      <c r="AT60" s="546">
        <v>1.0</v>
      </c>
      <c r="AU60" s="523" t="s">
        <v>413</v>
      </c>
      <c r="AV60" s="526" t="s">
        <v>385</v>
      </c>
      <c r="AW60" s="546">
        <v>1.0</v>
      </c>
      <c r="AX60" s="523" t="s">
        <v>413</v>
      </c>
      <c r="AY60" s="526" t="s">
        <v>385</v>
      </c>
      <c r="AZ60" s="546">
        <v>1.0</v>
      </c>
      <c r="BA60" s="523" t="s">
        <v>413</v>
      </c>
      <c r="BB60" s="526" t="s">
        <v>385</v>
      </c>
      <c r="BC60" s="546">
        <v>1.0</v>
      </c>
      <c r="BD60" s="523" t="s">
        <v>413</v>
      </c>
      <c r="BE60" s="526" t="s">
        <v>385</v>
      </c>
      <c r="BF60" s="546">
        <v>1.0</v>
      </c>
      <c r="BG60" s="523" t="s">
        <v>413</v>
      </c>
      <c r="BH60" s="526" t="s">
        <v>385</v>
      </c>
      <c r="BI60" s="546">
        <v>1.0</v>
      </c>
      <c r="BJ60" s="523" t="s">
        <v>413</v>
      </c>
      <c r="BK60" s="526" t="s">
        <v>385</v>
      </c>
      <c r="BL60" s="546">
        <v>1.0</v>
      </c>
      <c r="BM60" s="523" t="s">
        <v>413</v>
      </c>
      <c r="BN60" s="526" t="s">
        <v>385</v>
      </c>
      <c r="BO60" s="546">
        <v>1.0</v>
      </c>
      <c r="BP60" s="523" t="s">
        <v>413</v>
      </c>
      <c r="BQ60" s="526" t="s">
        <v>385</v>
      </c>
      <c r="BR60" s="546">
        <v>1.0</v>
      </c>
      <c r="BS60" s="528" t="s">
        <v>413</v>
      </c>
      <c r="BT60" s="528" t="s">
        <v>385</v>
      </c>
      <c r="BU60" s="548">
        <v>1.0</v>
      </c>
      <c r="BV60" s="528" t="s">
        <v>413</v>
      </c>
      <c r="BW60" s="528" t="s">
        <v>385</v>
      </c>
      <c r="BX60" s="548">
        <v>1.0</v>
      </c>
      <c r="BY60" s="528" t="s">
        <v>413</v>
      </c>
      <c r="BZ60" s="528" t="s">
        <v>385</v>
      </c>
      <c r="CA60" s="548">
        <v>1.0</v>
      </c>
      <c r="CB60" s="528" t="s">
        <v>413</v>
      </c>
      <c r="CC60" s="528" t="s">
        <v>385</v>
      </c>
      <c r="CD60" s="548">
        <v>1.0</v>
      </c>
      <c r="CE60" s="528" t="s">
        <v>413</v>
      </c>
      <c r="CF60" s="528" t="s">
        <v>385</v>
      </c>
      <c r="CG60" s="548">
        <v>1.0</v>
      </c>
      <c r="CH60" s="528" t="s">
        <v>413</v>
      </c>
      <c r="CI60" s="528" t="s">
        <v>385</v>
      </c>
      <c r="CJ60" s="548">
        <v>1.0</v>
      </c>
      <c r="CK60" s="528" t="s">
        <v>413</v>
      </c>
      <c r="CL60" s="528" t="s">
        <v>385</v>
      </c>
      <c r="CM60" s="548">
        <v>1.0</v>
      </c>
      <c r="CN60" s="528" t="s">
        <v>413</v>
      </c>
      <c r="CO60" s="528" t="s">
        <v>385</v>
      </c>
      <c r="CP60" s="548">
        <v>1.0</v>
      </c>
      <c r="CQ60" s="528" t="s">
        <v>413</v>
      </c>
      <c r="CR60" s="528" t="s">
        <v>385</v>
      </c>
      <c r="CS60" s="548">
        <v>1.0</v>
      </c>
      <c r="CT60" s="528" t="s">
        <v>413</v>
      </c>
      <c r="CU60" s="528" t="s">
        <v>385</v>
      </c>
      <c r="CV60" s="548">
        <v>1.0</v>
      </c>
      <c r="CW60" s="528" t="s">
        <v>413</v>
      </c>
      <c r="CX60" s="528" t="s">
        <v>385</v>
      </c>
      <c r="CY60" s="548">
        <v>1.0</v>
      </c>
      <c r="CZ60" s="528" t="s">
        <v>413</v>
      </c>
      <c r="DA60" s="528" t="s">
        <v>385</v>
      </c>
      <c r="DB60" s="548">
        <v>1.0</v>
      </c>
      <c r="DC60" s="528" t="s">
        <v>413</v>
      </c>
      <c r="DD60" s="528" t="s">
        <v>385</v>
      </c>
      <c r="DE60" s="548">
        <v>1.0</v>
      </c>
      <c r="DF60" s="528" t="s">
        <v>413</v>
      </c>
      <c r="DG60" s="528" t="s">
        <v>385</v>
      </c>
      <c r="DH60" s="548">
        <v>1.0</v>
      </c>
      <c r="DI60" s="528" t="s">
        <v>413</v>
      </c>
      <c r="DJ60" s="528" t="s">
        <v>385</v>
      </c>
      <c r="DK60" s="548">
        <v>1.0</v>
      </c>
    </row>
    <row r="61" ht="15.0" customHeight="1">
      <c r="A61" s="53">
        <v>60.0</v>
      </c>
      <c r="B61" s="857" t="s">
        <v>276</v>
      </c>
      <c r="C61" s="857" t="s">
        <v>277</v>
      </c>
      <c r="D61" s="101" t="str">
        <f t="shared" si="6"/>
        <v>SITE</v>
      </c>
      <c r="E61" s="111" t="s">
        <v>275</v>
      </c>
      <c r="F61" s="102"/>
      <c r="G61" s="534" t="s">
        <v>270</v>
      </c>
      <c r="H61" s="535"/>
      <c r="I61" s="858" t="str">
        <f>IFERROR(VLOOKUP(C:C,'R22 RELATÓRIO ACC'!B:F,5,FALSE),"NOT PUBLISHED")</f>
        <v>V13</v>
      </c>
      <c r="J61" s="858" t="str">
        <f>IFERROR(VLOOKUP(C:C,'R22 RELATÓRIO ACC'!B:P,15,FALSE),"NOT PUBLISHED")</f>
        <v>12/05/2026</v>
      </c>
      <c r="K61" s="821" t="str">
        <f>IFERROR(VLOOKUP(B:B,'RELATÓRIO ACC'!B:F,5,FALSE),"NOT PUBLISHED")</f>
        <v>V1</v>
      </c>
      <c r="L61" s="822" t="str">
        <f>IFERROR(VLOOKUP(B:B,'RELATÓRIO ACC'!B:P,15,FALSE),"NOT PUBLISHED")</f>
        <v>15/05/2026</v>
      </c>
      <c r="M61" s="821" t="s">
        <v>382</v>
      </c>
      <c r="N61" s="846">
        <v>46038.0</v>
      </c>
      <c r="O61" s="538" t="s">
        <v>410</v>
      </c>
      <c r="P61" s="587" t="s">
        <v>505</v>
      </c>
      <c r="Q61" s="523" t="s">
        <v>381</v>
      </c>
      <c r="R61" s="526" t="s">
        <v>421</v>
      </c>
      <c r="S61" s="551">
        <v>0.01</v>
      </c>
      <c r="T61" s="523" t="s">
        <v>379</v>
      </c>
      <c r="U61" s="558">
        <v>0.0</v>
      </c>
      <c r="V61" s="523" t="s">
        <v>379</v>
      </c>
      <c r="W61" s="523" t="s">
        <v>381</v>
      </c>
      <c r="X61" s="526" t="s">
        <v>399</v>
      </c>
      <c r="Y61" s="551">
        <v>0.01</v>
      </c>
      <c r="Z61" s="523" t="s">
        <v>490</v>
      </c>
      <c r="AA61" s="526" t="s">
        <v>399</v>
      </c>
      <c r="AB61" s="523" t="s">
        <v>490</v>
      </c>
      <c r="AC61" s="523" t="s">
        <v>381</v>
      </c>
      <c r="AD61" s="526" t="s">
        <v>411</v>
      </c>
      <c r="AE61" s="551">
        <v>0.62</v>
      </c>
      <c r="AF61" s="523" t="s">
        <v>490</v>
      </c>
      <c r="AG61" s="526" t="s">
        <v>411</v>
      </c>
      <c r="AH61" s="523" t="s">
        <v>490</v>
      </c>
      <c r="AI61" s="523" t="s">
        <v>381</v>
      </c>
      <c r="AJ61" s="526" t="s">
        <v>428</v>
      </c>
      <c r="AK61" s="546">
        <v>0.77</v>
      </c>
      <c r="AL61" s="523" t="s">
        <v>490</v>
      </c>
      <c r="AM61" s="526" t="s">
        <v>428</v>
      </c>
      <c r="AN61" s="523" t="s">
        <v>490</v>
      </c>
      <c r="AO61" s="523" t="s">
        <v>386</v>
      </c>
      <c r="AP61" s="526" t="s">
        <v>382</v>
      </c>
      <c r="AQ61" s="565">
        <v>1.0</v>
      </c>
      <c r="AR61" s="523" t="s">
        <v>413</v>
      </c>
      <c r="AS61" s="526" t="s">
        <v>382</v>
      </c>
      <c r="AT61" s="565">
        <v>1.0</v>
      </c>
      <c r="AU61" s="523" t="s">
        <v>413</v>
      </c>
      <c r="AV61" s="526" t="s">
        <v>382</v>
      </c>
      <c r="AW61" s="565">
        <v>1.0</v>
      </c>
      <c r="AX61" s="523" t="s">
        <v>413</v>
      </c>
      <c r="AY61" s="526" t="s">
        <v>382</v>
      </c>
      <c r="AZ61" s="565">
        <v>1.0</v>
      </c>
      <c r="BA61" s="523" t="s">
        <v>413</v>
      </c>
      <c r="BB61" s="526" t="s">
        <v>382</v>
      </c>
      <c r="BC61" s="565">
        <v>1.0</v>
      </c>
      <c r="BD61" s="523" t="s">
        <v>413</v>
      </c>
      <c r="BE61" s="526" t="s">
        <v>382</v>
      </c>
      <c r="BF61" s="565">
        <v>1.0</v>
      </c>
      <c r="BG61" s="523" t="s">
        <v>413</v>
      </c>
      <c r="BH61" s="526" t="s">
        <v>382</v>
      </c>
      <c r="BI61" s="565">
        <v>1.0</v>
      </c>
      <c r="BJ61" s="523" t="s">
        <v>413</v>
      </c>
      <c r="BK61" s="526" t="s">
        <v>382</v>
      </c>
      <c r="BL61" s="565">
        <v>1.0</v>
      </c>
      <c r="BM61" s="523" t="s">
        <v>413</v>
      </c>
      <c r="BN61" s="526" t="s">
        <v>382</v>
      </c>
      <c r="BO61" s="565">
        <v>1.0</v>
      </c>
      <c r="BP61" s="523" t="s">
        <v>413</v>
      </c>
      <c r="BQ61" s="526" t="s">
        <v>382</v>
      </c>
      <c r="BR61" s="565">
        <v>1.0</v>
      </c>
      <c r="BS61" s="528" t="s">
        <v>413</v>
      </c>
      <c r="BT61" s="528" t="s">
        <v>382</v>
      </c>
      <c r="BU61" s="568">
        <v>1.0</v>
      </c>
      <c r="BV61" s="528" t="s">
        <v>413</v>
      </c>
      <c r="BW61" s="528" t="s">
        <v>382</v>
      </c>
      <c r="BX61" s="568">
        <v>1.0</v>
      </c>
      <c r="BY61" s="528" t="s">
        <v>413</v>
      </c>
      <c r="BZ61" s="528" t="s">
        <v>382</v>
      </c>
      <c r="CA61" s="568">
        <v>1.0</v>
      </c>
      <c r="CB61" s="528" t="s">
        <v>413</v>
      </c>
      <c r="CC61" s="528" t="s">
        <v>382</v>
      </c>
      <c r="CD61" s="568">
        <v>1.0</v>
      </c>
      <c r="CE61" s="528" t="s">
        <v>413</v>
      </c>
      <c r="CF61" s="528" t="s">
        <v>382</v>
      </c>
      <c r="CG61" s="568">
        <v>1.0</v>
      </c>
      <c r="CH61" s="523" t="s">
        <v>413</v>
      </c>
      <c r="CI61" s="528" t="s">
        <v>382</v>
      </c>
      <c r="CJ61" s="565">
        <v>1.0</v>
      </c>
      <c r="CK61" s="523" t="s">
        <v>413</v>
      </c>
      <c r="CL61" s="528" t="s">
        <v>382</v>
      </c>
      <c r="CM61" s="565">
        <v>1.0</v>
      </c>
      <c r="CN61" s="523" t="s">
        <v>413</v>
      </c>
      <c r="CO61" s="528" t="s">
        <v>382</v>
      </c>
      <c r="CP61" s="565">
        <v>1.0</v>
      </c>
      <c r="CQ61" s="523" t="s">
        <v>413</v>
      </c>
      <c r="CR61" s="528" t="s">
        <v>382</v>
      </c>
      <c r="CS61" s="565">
        <v>1.0</v>
      </c>
      <c r="CT61" s="523" t="s">
        <v>413</v>
      </c>
      <c r="CU61" s="528" t="s">
        <v>382</v>
      </c>
      <c r="CV61" s="565">
        <v>1.0</v>
      </c>
      <c r="CW61" s="523" t="s">
        <v>413</v>
      </c>
      <c r="CX61" s="528" t="s">
        <v>382</v>
      </c>
      <c r="CY61" s="565">
        <v>1.0</v>
      </c>
      <c r="CZ61" s="523" t="s">
        <v>413</v>
      </c>
      <c r="DA61" s="528" t="s">
        <v>382</v>
      </c>
      <c r="DB61" s="565">
        <v>1.0</v>
      </c>
      <c r="DC61" s="523" t="s">
        <v>413</v>
      </c>
      <c r="DD61" s="528" t="s">
        <v>382</v>
      </c>
      <c r="DE61" s="565">
        <v>1.0</v>
      </c>
      <c r="DF61" s="523" t="s">
        <v>413</v>
      </c>
      <c r="DG61" s="528" t="s">
        <v>382</v>
      </c>
      <c r="DH61" s="565">
        <v>1.0</v>
      </c>
      <c r="DI61" s="523" t="s">
        <v>413</v>
      </c>
      <c r="DJ61" s="528" t="s">
        <v>382</v>
      </c>
      <c r="DK61" s="565">
        <v>1.0</v>
      </c>
    </row>
    <row r="62" ht="15.0" customHeight="1">
      <c r="A62" s="53">
        <v>65.0</v>
      </c>
      <c r="B62" s="857" t="s">
        <v>296</v>
      </c>
      <c r="C62" s="857" t="s">
        <v>296</v>
      </c>
      <c r="D62" s="101" t="str">
        <f t="shared" si="6"/>
        <v>GUAR</v>
      </c>
      <c r="E62" s="111" t="s">
        <v>289</v>
      </c>
      <c r="F62" s="102">
        <v>1125.0</v>
      </c>
      <c r="G62" s="517" t="s">
        <v>289</v>
      </c>
      <c r="H62" s="517">
        <v>1125.0</v>
      </c>
      <c r="I62" s="858" t="str">
        <f>IFERROR(VLOOKUP(C:C,'R22 RELATÓRIO ACC'!B:F,5,FALSE),"NOT PUBLISHED")</f>
        <v>V6</v>
      </c>
      <c r="J62" s="858" t="str">
        <f>IFERROR(VLOOKUP(C:C,'R22 RELATÓRIO ACC'!B:P,15,FALSE),"NOT PUBLISHED")</f>
        <v>01/11/2025</v>
      </c>
      <c r="K62" s="821" t="str">
        <f>IFERROR(VLOOKUP(B:B,'RELATÓRIO ACC'!B:F,5,FALSE),"NOT PUBLISHED")</f>
        <v>V1</v>
      </c>
      <c r="L62" s="822" t="str">
        <f>IFERROR(VLOOKUP(B:B,'RELATÓRIO ACC'!B:P,15,FALSE),"NOT PUBLISHED")</f>
        <v>21/05/2026</v>
      </c>
      <c r="M62" s="552" t="s">
        <v>428</v>
      </c>
      <c r="N62" s="959" t="s">
        <v>506</v>
      </c>
      <c r="O62" s="538" t="s">
        <v>410</v>
      </c>
      <c r="P62" s="587"/>
      <c r="Q62" s="523" t="s">
        <v>379</v>
      </c>
      <c r="R62" s="962">
        <v>0.0</v>
      </c>
      <c r="S62" s="523" t="s">
        <v>379</v>
      </c>
      <c r="T62" s="523" t="s">
        <v>379</v>
      </c>
      <c r="U62" s="962">
        <v>0.0</v>
      </c>
      <c r="V62" s="523" t="s">
        <v>379</v>
      </c>
      <c r="W62" s="523" t="s">
        <v>379</v>
      </c>
      <c r="X62" s="526" t="s">
        <v>380</v>
      </c>
      <c r="Y62" s="523" t="s">
        <v>379</v>
      </c>
      <c r="Z62" s="523" t="s">
        <v>379</v>
      </c>
      <c r="AA62" s="526" t="s">
        <v>380</v>
      </c>
      <c r="AB62" s="523" t="s">
        <v>379</v>
      </c>
      <c r="AC62" s="523" t="s">
        <v>379</v>
      </c>
      <c r="AD62" s="526" t="s">
        <v>380</v>
      </c>
      <c r="AE62" s="523" t="s">
        <v>379</v>
      </c>
      <c r="AF62" s="523" t="s">
        <v>386</v>
      </c>
      <c r="AG62" s="526" t="s">
        <v>428</v>
      </c>
      <c r="AH62" s="546">
        <v>1.0</v>
      </c>
      <c r="AI62" s="523" t="s">
        <v>413</v>
      </c>
      <c r="AJ62" s="526" t="s">
        <v>428</v>
      </c>
      <c r="AK62" s="546">
        <v>1.0</v>
      </c>
      <c r="AL62" s="523" t="s">
        <v>413</v>
      </c>
      <c r="AM62" s="526" t="s">
        <v>428</v>
      </c>
      <c r="AN62" s="546">
        <v>1.0</v>
      </c>
      <c r="AO62" s="523" t="s">
        <v>413</v>
      </c>
      <c r="AP62" s="526" t="s">
        <v>428</v>
      </c>
      <c r="AQ62" s="546">
        <v>1.0</v>
      </c>
      <c r="AR62" s="523" t="s">
        <v>413</v>
      </c>
      <c r="AS62" s="526" t="s">
        <v>428</v>
      </c>
      <c r="AT62" s="546">
        <v>1.0</v>
      </c>
      <c r="AU62" s="523" t="s">
        <v>413</v>
      </c>
      <c r="AV62" s="526" t="s">
        <v>428</v>
      </c>
      <c r="AW62" s="546">
        <v>1.0</v>
      </c>
      <c r="AX62" s="523" t="s">
        <v>413</v>
      </c>
      <c r="AY62" s="526" t="s">
        <v>428</v>
      </c>
      <c r="AZ62" s="546">
        <v>1.0</v>
      </c>
      <c r="BA62" s="523" t="s">
        <v>413</v>
      </c>
      <c r="BB62" s="526" t="s">
        <v>428</v>
      </c>
      <c r="BC62" s="546">
        <v>1.0</v>
      </c>
      <c r="BD62" s="523" t="s">
        <v>413</v>
      </c>
      <c r="BE62" s="526" t="s">
        <v>428</v>
      </c>
      <c r="BF62" s="546">
        <v>1.0</v>
      </c>
      <c r="BG62" s="523" t="s">
        <v>413</v>
      </c>
      <c r="BH62" s="526" t="s">
        <v>428</v>
      </c>
      <c r="BI62" s="546">
        <v>1.0</v>
      </c>
      <c r="BJ62" s="523" t="s">
        <v>413</v>
      </c>
      <c r="BK62" s="526" t="s">
        <v>428</v>
      </c>
      <c r="BL62" s="546">
        <v>1.0</v>
      </c>
      <c r="BM62" s="523" t="s">
        <v>413</v>
      </c>
      <c r="BN62" s="526" t="s">
        <v>428</v>
      </c>
      <c r="BO62" s="546">
        <v>1.0</v>
      </c>
      <c r="BP62" s="523" t="s">
        <v>413</v>
      </c>
      <c r="BQ62" s="526" t="s">
        <v>428</v>
      </c>
      <c r="BR62" s="546">
        <v>1.0</v>
      </c>
      <c r="BS62" s="528" t="s">
        <v>413</v>
      </c>
      <c r="BT62" s="528" t="s">
        <v>428</v>
      </c>
      <c r="BU62" s="548">
        <v>1.0</v>
      </c>
      <c r="BV62" s="528" t="s">
        <v>413</v>
      </c>
      <c r="BW62" s="528" t="s">
        <v>428</v>
      </c>
      <c r="BX62" s="548">
        <v>1.0</v>
      </c>
      <c r="BY62" s="528" t="s">
        <v>413</v>
      </c>
      <c r="BZ62" s="528" t="s">
        <v>428</v>
      </c>
      <c r="CA62" s="548">
        <v>1.0</v>
      </c>
      <c r="CB62" s="528" t="s">
        <v>413</v>
      </c>
      <c r="CC62" s="528" t="s">
        <v>428</v>
      </c>
      <c r="CD62" s="548">
        <v>1.0</v>
      </c>
      <c r="CE62" s="528" t="s">
        <v>413</v>
      </c>
      <c r="CF62" s="528" t="s">
        <v>428</v>
      </c>
      <c r="CG62" s="548">
        <v>1.0</v>
      </c>
      <c r="CH62" s="528" t="s">
        <v>413</v>
      </c>
      <c r="CI62" s="528" t="s">
        <v>428</v>
      </c>
      <c r="CJ62" s="548">
        <v>1.0</v>
      </c>
      <c r="CK62" s="528" t="s">
        <v>413</v>
      </c>
      <c r="CL62" s="528" t="s">
        <v>428</v>
      </c>
      <c r="CM62" s="548">
        <v>1.0</v>
      </c>
      <c r="CN62" s="528" t="s">
        <v>413</v>
      </c>
      <c r="CO62" s="528" t="s">
        <v>428</v>
      </c>
      <c r="CP62" s="548">
        <v>1.0</v>
      </c>
      <c r="CQ62" s="523" t="s">
        <v>413</v>
      </c>
      <c r="CR62" s="526" t="s">
        <v>428</v>
      </c>
      <c r="CS62" s="542">
        <v>1.0</v>
      </c>
      <c r="CT62" s="523" t="s">
        <v>413</v>
      </c>
      <c r="CU62" s="526" t="s">
        <v>428</v>
      </c>
      <c r="CV62" s="542">
        <v>1.0</v>
      </c>
      <c r="CW62" s="523" t="s">
        <v>413</v>
      </c>
      <c r="CX62" s="526" t="s">
        <v>428</v>
      </c>
      <c r="CY62" s="542">
        <v>1.0</v>
      </c>
      <c r="CZ62" s="523" t="s">
        <v>413</v>
      </c>
      <c r="DA62" s="526" t="s">
        <v>428</v>
      </c>
      <c r="DB62" s="542">
        <v>1.0</v>
      </c>
      <c r="DC62" s="523" t="s">
        <v>413</v>
      </c>
      <c r="DD62" s="526" t="s">
        <v>428</v>
      </c>
      <c r="DE62" s="542">
        <v>1.0</v>
      </c>
      <c r="DF62" s="523" t="s">
        <v>413</v>
      </c>
      <c r="DG62" s="526" t="s">
        <v>428</v>
      </c>
      <c r="DH62" s="542">
        <v>1.0</v>
      </c>
      <c r="DI62" s="523" t="s">
        <v>413</v>
      </c>
      <c r="DJ62" s="526" t="s">
        <v>428</v>
      </c>
      <c r="DK62" s="542">
        <v>1.0</v>
      </c>
    </row>
    <row r="63" ht="15.0" customHeight="1">
      <c r="A63" s="53">
        <v>66.0</v>
      </c>
      <c r="B63" s="857" t="s">
        <v>297</v>
      </c>
      <c r="C63" s="857" t="s">
        <v>297</v>
      </c>
      <c r="D63" s="101" t="str">
        <f t="shared" si="6"/>
        <v>STIR</v>
      </c>
      <c r="E63" s="101" t="s">
        <v>289</v>
      </c>
      <c r="F63" s="102">
        <v>1125.0</v>
      </c>
      <c r="G63" s="517" t="s">
        <v>289</v>
      </c>
      <c r="H63" s="517">
        <v>1125.0</v>
      </c>
      <c r="I63" s="858" t="str">
        <f>IFERROR(VLOOKUP(C:C,'R22 RELATÓRIO ACC'!B:F,5,FALSE),"NOT PUBLISHED")</f>
        <v>V3</v>
      </c>
      <c r="J63" s="858" t="str">
        <f>IFERROR(VLOOKUP(C:C,'R22 RELATÓRIO ACC'!B:P,15,FALSE),"NOT PUBLISHED")</f>
        <v>31/10/2025</v>
      </c>
      <c r="K63" s="821" t="str">
        <f>IFERROR(VLOOKUP(B:B,'RELATÓRIO ACC'!B:F,5,FALSE),"NOT PUBLISHED")</f>
        <v>V1</v>
      </c>
      <c r="L63" s="822" t="str">
        <f>IFERROR(VLOOKUP(B:B,'RELATÓRIO ACC'!B:P,15,FALSE),"NOT PUBLISHED")</f>
        <v>21/05/2026</v>
      </c>
      <c r="M63" s="545" t="s">
        <v>400</v>
      </c>
      <c r="N63" s="963" t="s">
        <v>507</v>
      </c>
      <c r="O63" s="538" t="s">
        <v>410</v>
      </c>
      <c r="P63" s="587"/>
      <c r="Q63" s="523" t="s">
        <v>379</v>
      </c>
      <c r="R63" s="962">
        <v>0.0</v>
      </c>
      <c r="S63" s="523" t="s">
        <v>379</v>
      </c>
      <c r="T63" s="523" t="s">
        <v>379</v>
      </c>
      <c r="U63" s="962">
        <v>0.0</v>
      </c>
      <c r="V63" s="523" t="s">
        <v>379</v>
      </c>
      <c r="W63" s="523" t="s">
        <v>379</v>
      </c>
      <c r="X63" s="526" t="s">
        <v>380</v>
      </c>
      <c r="Y63" s="523" t="s">
        <v>379</v>
      </c>
      <c r="Z63" s="523" t="s">
        <v>379</v>
      </c>
      <c r="AA63" s="526" t="s">
        <v>380</v>
      </c>
      <c r="AB63" s="523" t="s">
        <v>379</v>
      </c>
      <c r="AC63" s="523" t="s">
        <v>386</v>
      </c>
      <c r="AD63" s="526" t="s">
        <v>400</v>
      </c>
      <c r="AE63" s="546">
        <v>1.0</v>
      </c>
      <c r="AF63" s="523" t="s">
        <v>413</v>
      </c>
      <c r="AG63" s="526" t="s">
        <v>400</v>
      </c>
      <c r="AH63" s="546">
        <v>1.0</v>
      </c>
      <c r="AI63" s="523" t="s">
        <v>413</v>
      </c>
      <c r="AJ63" s="526" t="s">
        <v>400</v>
      </c>
      <c r="AK63" s="546">
        <v>1.0</v>
      </c>
      <c r="AL63" s="523" t="s">
        <v>413</v>
      </c>
      <c r="AM63" s="526" t="s">
        <v>400</v>
      </c>
      <c r="AN63" s="546">
        <v>1.0</v>
      </c>
      <c r="AO63" s="523" t="s">
        <v>413</v>
      </c>
      <c r="AP63" s="526" t="s">
        <v>400</v>
      </c>
      <c r="AQ63" s="546">
        <v>1.0</v>
      </c>
      <c r="AR63" s="523" t="s">
        <v>413</v>
      </c>
      <c r="AS63" s="526" t="s">
        <v>400</v>
      </c>
      <c r="AT63" s="546">
        <v>1.0</v>
      </c>
      <c r="AU63" s="523" t="s">
        <v>413</v>
      </c>
      <c r="AV63" s="526" t="s">
        <v>400</v>
      </c>
      <c r="AW63" s="546">
        <v>1.0</v>
      </c>
      <c r="AX63" s="523" t="s">
        <v>413</v>
      </c>
      <c r="AY63" s="526" t="s">
        <v>400</v>
      </c>
      <c r="AZ63" s="546">
        <v>1.0</v>
      </c>
      <c r="BA63" s="523" t="s">
        <v>413</v>
      </c>
      <c r="BB63" s="526" t="s">
        <v>400</v>
      </c>
      <c r="BC63" s="546">
        <v>1.0</v>
      </c>
      <c r="BD63" s="523" t="s">
        <v>413</v>
      </c>
      <c r="BE63" s="526" t="s">
        <v>400</v>
      </c>
      <c r="BF63" s="546">
        <v>1.0</v>
      </c>
      <c r="BG63" s="523" t="s">
        <v>413</v>
      </c>
      <c r="BH63" s="526" t="s">
        <v>400</v>
      </c>
      <c r="BI63" s="546">
        <v>1.0</v>
      </c>
      <c r="BJ63" s="523" t="s">
        <v>413</v>
      </c>
      <c r="BK63" s="526" t="s">
        <v>400</v>
      </c>
      <c r="BL63" s="546">
        <v>1.0</v>
      </c>
      <c r="BM63" s="523" t="s">
        <v>413</v>
      </c>
      <c r="BN63" s="526" t="s">
        <v>400</v>
      </c>
      <c r="BO63" s="546">
        <v>1.0</v>
      </c>
      <c r="BP63" s="523" t="s">
        <v>413</v>
      </c>
      <c r="BQ63" s="526" t="s">
        <v>400</v>
      </c>
      <c r="BR63" s="546">
        <v>1.0</v>
      </c>
      <c r="BS63" s="528" t="s">
        <v>413</v>
      </c>
      <c r="BT63" s="528" t="s">
        <v>400</v>
      </c>
      <c r="BU63" s="548">
        <v>1.0</v>
      </c>
      <c r="BV63" s="528" t="s">
        <v>413</v>
      </c>
      <c r="BW63" s="528" t="s">
        <v>400</v>
      </c>
      <c r="BX63" s="548">
        <v>1.0</v>
      </c>
      <c r="BY63" s="528" t="s">
        <v>413</v>
      </c>
      <c r="BZ63" s="528" t="s">
        <v>400</v>
      </c>
      <c r="CA63" s="548">
        <v>1.0</v>
      </c>
      <c r="CB63" s="528" t="s">
        <v>413</v>
      </c>
      <c r="CC63" s="528" t="s">
        <v>400</v>
      </c>
      <c r="CD63" s="548">
        <v>1.0</v>
      </c>
      <c r="CE63" s="528" t="s">
        <v>413</v>
      </c>
      <c r="CF63" s="528" t="s">
        <v>400</v>
      </c>
      <c r="CG63" s="548">
        <v>1.0</v>
      </c>
      <c r="CH63" s="528" t="s">
        <v>413</v>
      </c>
      <c r="CI63" s="528" t="s">
        <v>400</v>
      </c>
      <c r="CJ63" s="548">
        <v>1.0</v>
      </c>
      <c r="CK63" s="528" t="s">
        <v>413</v>
      </c>
      <c r="CL63" s="528" t="s">
        <v>400</v>
      </c>
      <c r="CM63" s="548">
        <v>1.0</v>
      </c>
      <c r="CN63" s="528" t="s">
        <v>413</v>
      </c>
      <c r="CO63" s="528" t="s">
        <v>400</v>
      </c>
      <c r="CP63" s="548">
        <v>1.0</v>
      </c>
      <c r="CQ63" s="528" t="s">
        <v>413</v>
      </c>
      <c r="CR63" s="528" t="s">
        <v>400</v>
      </c>
      <c r="CS63" s="548">
        <v>1.0</v>
      </c>
      <c r="CT63" s="528" t="s">
        <v>413</v>
      </c>
      <c r="CU63" s="528" t="s">
        <v>400</v>
      </c>
      <c r="CV63" s="548">
        <v>1.0</v>
      </c>
      <c r="CW63" s="528" t="s">
        <v>413</v>
      </c>
      <c r="CX63" s="528" t="s">
        <v>400</v>
      </c>
      <c r="CY63" s="548">
        <v>1.0</v>
      </c>
      <c r="CZ63" s="528" t="s">
        <v>413</v>
      </c>
      <c r="DA63" s="528" t="s">
        <v>400</v>
      </c>
      <c r="DB63" s="548">
        <v>1.0</v>
      </c>
      <c r="DC63" s="528" t="s">
        <v>413</v>
      </c>
      <c r="DD63" s="528" t="s">
        <v>400</v>
      </c>
      <c r="DE63" s="548">
        <v>1.0</v>
      </c>
      <c r="DF63" s="528" t="s">
        <v>413</v>
      </c>
      <c r="DG63" s="528" t="s">
        <v>400</v>
      </c>
      <c r="DH63" s="548">
        <v>1.0</v>
      </c>
      <c r="DI63" s="528" t="s">
        <v>413</v>
      </c>
      <c r="DJ63" s="528" t="s">
        <v>400</v>
      </c>
      <c r="DK63" s="548">
        <v>1.0</v>
      </c>
    </row>
    <row r="64" ht="15.0" customHeight="1">
      <c r="A64" s="53">
        <v>64.0</v>
      </c>
      <c r="B64" s="857" t="s">
        <v>295</v>
      </c>
      <c r="C64" s="857" t="s">
        <v>295</v>
      </c>
      <c r="D64" s="101" t="str">
        <f t="shared" si="6"/>
        <v>UTLS</v>
      </c>
      <c r="E64" s="111" t="s">
        <v>289</v>
      </c>
      <c r="F64" s="102">
        <v>1125.0</v>
      </c>
      <c r="G64" s="517" t="s">
        <v>289</v>
      </c>
      <c r="H64" s="517">
        <v>1125.0</v>
      </c>
      <c r="I64" s="858" t="str">
        <f>IFERROR(VLOOKUP(C:C,'R22 RELATÓRIO ACC'!B:F,5,FALSE),"NOT PUBLISHED")</f>
        <v>V6</v>
      </c>
      <c r="J64" s="858" t="str">
        <f>IFERROR(VLOOKUP(C:C,'R22 RELATÓRIO ACC'!B:P,15,FALSE),"NOT PUBLISHED")</f>
        <v>11/02/2026</v>
      </c>
      <c r="K64" s="821" t="str">
        <f>IFERROR(VLOOKUP(B:B,'RELATÓRIO ACC'!B:F,5,FALSE),"NOT PUBLISHED")</f>
        <v>V1</v>
      </c>
      <c r="L64" s="822" t="str">
        <f>IFERROR(VLOOKUP(B:B,'RELATÓRIO ACC'!B:P,15,FALSE),"NOT PUBLISHED")</f>
        <v>21/05/2026</v>
      </c>
      <c r="M64" s="552" t="s">
        <v>411</v>
      </c>
      <c r="N64" s="959" t="s">
        <v>508</v>
      </c>
      <c r="O64" s="538" t="s">
        <v>410</v>
      </c>
      <c r="P64" s="587"/>
      <c r="Q64" s="523" t="s">
        <v>379</v>
      </c>
      <c r="R64" s="962">
        <v>0.0</v>
      </c>
      <c r="S64" s="523" t="s">
        <v>379</v>
      </c>
      <c r="T64" s="523" t="s">
        <v>379</v>
      </c>
      <c r="U64" s="962">
        <v>0.0</v>
      </c>
      <c r="V64" s="523" t="s">
        <v>379</v>
      </c>
      <c r="W64" s="523" t="s">
        <v>379</v>
      </c>
      <c r="X64" s="526" t="s">
        <v>380</v>
      </c>
      <c r="Y64" s="523" t="s">
        <v>379</v>
      </c>
      <c r="Z64" s="523" t="s">
        <v>379</v>
      </c>
      <c r="AA64" s="526" t="s">
        <v>380</v>
      </c>
      <c r="AB64" s="523" t="s">
        <v>379</v>
      </c>
      <c r="AC64" s="523" t="s">
        <v>386</v>
      </c>
      <c r="AD64" s="526" t="s">
        <v>411</v>
      </c>
      <c r="AE64" s="546">
        <v>1.0</v>
      </c>
      <c r="AF64" s="523" t="s">
        <v>413</v>
      </c>
      <c r="AG64" s="526" t="s">
        <v>411</v>
      </c>
      <c r="AH64" s="546">
        <v>1.0</v>
      </c>
      <c r="AI64" s="523" t="s">
        <v>413</v>
      </c>
      <c r="AJ64" s="526" t="s">
        <v>411</v>
      </c>
      <c r="AK64" s="546">
        <v>1.0</v>
      </c>
      <c r="AL64" s="523" t="s">
        <v>413</v>
      </c>
      <c r="AM64" s="526" t="s">
        <v>411</v>
      </c>
      <c r="AN64" s="546">
        <v>1.0</v>
      </c>
      <c r="AO64" s="523" t="s">
        <v>413</v>
      </c>
      <c r="AP64" s="526" t="s">
        <v>411</v>
      </c>
      <c r="AQ64" s="546">
        <v>1.0</v>
      </c>
      <c r="AR64" s="523" t="s">
        <v>413</v>
      </c>
      <c r="AS64" s="526" t="s">
        <v>411</v>
      </c>
      <c r="AT64" s="546">
        <v>1.0</v>
      </c>
      <c r="AU64" s="523" t="s">
        <v>413</v>
      </c>
      <c r="AV64" s="526" t="s">
        <v>411</v>
      </c>
      <c r="AW64" s="546">
        <v>1.0</v>
      </c>
      <c r="AX64" s="523" t="s">
        <v>413</v>
      </c>
      <c r="AY64" s="526" t="s">
        <v>411</v>
      </c>
      <c r="AZ64" s="546">
        <v>1.0</v>
      </c>
      <c r="BA64" s="523" t="s">
        <v>413</v>
      </c>
      <c r="BB64" s="526" t="s">
        <v>411</v>
      </c>
      <c r="BC64" s="546">
        <v>1.0</v>
      </c>
      <c r="BD64" s="523" t="s">
        <v>413</v>
      </c>
      <c r="BE64" s="526" t="s">
        <v>411</v>
      </c>
      <c r="BF64" s="546">
        <v>1.0</v>
      </c>
      <c r="BG64" s="523" t="s">
        <v>413</v>
      </c>
      <c r="BH64" s="526" t="s">
        <v>411</v>
      </c>
      <c r="BI64" s="546">
        <v>1.0</v>
      </c>
      <c r="BJ64" s="523" t="s">
        <v>413</v>
      </c>
      <c r="BK64" s="526" t="s">
        <v>411</v>
      </c>
      <c r="BL64" s="546">
        <v>1.0</v>
      </c>
      <c r="BM64" s="523" t="s">
        <v>413</v>
      </c>
      <c r="BN64" s="526" t="s">
        <v>411</v>
      </c>
      <c r="BO64" s="546">
        <v>1.0</v>
      </c>
      <c r="BP64" s="523" t="s">
        <v>413</v>
      </c>
      <c r="BQ64" s="526" t="s">
        <v>411</v>
      </c>
      <c r="BR64" s="546">
        <v>1.0</v>
      </c>
      <c r="BS64" s="528" t="s">
        <v>413</v>
      </c>
      <c r="BT64" s="528" t="s">
        <v>411</v>
      </c>
      <c r="BU64" s="548">
        <v>1.0</v>
      </c>
      <c r="BV64" s="528" t="s">
        <v>413</v>
      </c>
      <c r="BW64" s="528" t="s">
        <v>411</v>
      </c>
      <c r="BX64" s="548">
        <v>1.0</v>
      </c>
      <c r="BY64" s="528" t="s">
        <v>413</v>
      </c>
      <c r="BZ64" s="528" t="s">
        <v>411</v>
      </c>
      <c r="CA64" s="548">
        <v>1.0</v>
      </c>
      <c r="CB64" s="528" t="s">
        <v>413</v>
      </c>
      <c r="CC64" s="528" t="s">
        <v>411</v>
      </c>
      <c r="CD64" s="548">
        <v>1.0</v>
      </c>
      <c r="CE64" s="528" t="s">
        <v>413</v>
      </c>
      <c r="CF64" s="528" t="s">
        <v>411</v>
      </c>
      <c r="CG64" s="548">
        <v>1.0</v>
      </c>
      <c r="CH64" s="528" t="s">
        <v>413</v>
      </c>
      <c r="CI64" s="528" t="s">
        <v>411</v>
      </c>
      <c r="CJ64" s="548">
        <v>1.0</v>
      </c>
      <c r="CK64" s="528" t="s">
        <v>413</v>
      </c>
      <c r="CL64" s="528" t="s">
        <v>411</v>
      </c>
      <c r="CM64" s="548">
        <v>1.0</v>
      </c>
      <c r="CN64" s="528" t="s">
        <v>413</v>
      </c>
      <c r="CO64" s="528" t="s">
        <v>411</v>
      </c>
      <c r="CP64" s="548">
        <v>1.0</v>
      </c>
      <c r="CQ64" s="528" t="s">
        <v>413</v>
      </c>
      <c r="CR64" s="528" t="s">
        <v>411</v>
      </c>
      <c r="CS64" s="548">
        <v>1.0</v>
      </c>
      <c r="CT64" s="528" t="s">
        <v>413</v>
      </c>
      <c r="CU64" s="528" t="s">
        <v>411</v>
      </c>
      <c r="CV64" s="548">
        <v>1.0</v>
      </c>
      <c r="CW64" s="528" t="s">
        <v>413</v>
      </c>
      <c r="CX64" s="528" t="s">
        <v>411</v>
      </c>
      <c r="CY64" s="548">
        <v>1.0</v>
      </c>
      <c r="CZ64" s="528" t="s">
        <v>413</v>
      </c>
      <c r="DA64" s="528" t="s">
        <v>411</v>
      </c>
      <c r="DB64" s="548">
        <v>1.0</v>
      </c>
      <c r="DC64" s="528" t="s">
        <v>413</v>
      </c>
      <c r="DD64" s="528" t="s">
        <v>411</v>
      </c>
      <c r="DE64" s="548">
        <v>1.0</v>
      </c>
      <c r="DF64" s="528" t="s">
        <v>413</v>
      </c>
      <c r="DG64" s="528" t="s">
        <v>411</v>
      </c>
      <c r="DH64" s="548">
        <v>1.0</v>
      </c>
      <c r="DI64" s="528" t="s">
        <v>413</v>
      </c>
      <c r="DJ64" s="528" t="s">
        <v>411</v>
      </c>
      <c r="DK64" s="548">
        <v>1.0</v>
      </c>
    </row>
    <row r="65" ht="15.0" customHeight="1">
      <c r="A65" s="53">
        <v>18.0</v>
      </c>
      <c r="B65" s="860" t="s">
        <v>156</v>
      </c>
      <c r="C65" s="860" t="s">
        <v>157</v>
      </c>
      <c r="D65" s="101" t="str">
        <f t="shared" si="6"/>
        <v>SITE</v>
      </c>
      <c r="E65" s="101" t="s">
        <v>154</v>
      </c>
      <c r="F65" s="102">
        <v>1112.0</v>
      </c>
      <c r="G65" s="102" t="s">
        <v>155</v>
      </c>
      <c r="H65" s="517">
        <v>1129.0</v>
      </c>
      <c r="I65" s="858" t="str">
        <f>IFERROR(VLOOKUP(C:C,'R22 RELATÓRIO ACC'!B:F,5,FALSE),"NOT PUBLISHED")</f>
        <v>V39</v>
      </c>
      <c r="J65" s="858" t="str">
        <f>IFERROR(VLOOKUP(C:C,'R22 RELATÓRIO ACC'!B:P,15,FALSE),"NOT PUBLISHED")</f>
        <v>12/05/2026</v>
      </c>
      <c r="K65" s="821" t="str">
        <f>IFERROR(VLOOKUP(B:B,'RELATÓRIO ACC'!B:F,5,FALSE),"NOT PUBLISHED")</f>
        <v>V4</v>
      </c>
      <c r="L65" s="822" t="str">
        <f>IFERROR(VLOOKUP(B:B,'RELATÓRIO ACC'!B:P,15,FALSE),"NOT PUBLISHED")</f>
        <v>14/07/2026</v>
      </c>
      <c r="M65" s="821" t="s">
        <v>438</v>
      </c>
      <c r="N65" s="943" t="s">
        <v>435</v>
      </c>
      <c r="O65" s="538" t="s">
        <v>410</v>
      </c>
      <c r="P65" s="587"/>
      <c r="Q65" s="523" t="s">
        <v>381</v>
      </c>
      <c r="R65" s="550" t="s">
        <v>421</v>
      </c>
      <c r="S65" s="546">
        <v>0.2</v>
      </c>
      <c r="T65" s="523" t="s">
        <v>379</v>
      </c>
      <c r="U65" s="558">
        <v>0.0</v>
      </c>
      <c r="V65" s="523" t="s">
        <v>379</v>
      </c>
      <c r="W65" s="523" t="s">
        <v>381</v>
      </c>
      <c r="X65" s="526" t="s">
        <v>423</v>
      </c>
      <c r="Y65" s="546">
        <v>0.2</v>
      </c>
      <c r="Z65" s="523" t="s">
        <v>398</v>
      </c>
      <c r="AA65" s="526" t="s">
        <v>423</v>
      </c>
      <c r="AB65" s="523" t="s">
        <v>398</v>
      </c>
      <c r="AC65" s="523" t="s">
        <v>381</v>
      </c>
      <c r="AD65" s="526" t="s">
        <v>436</v>
      </c>
      <c r="AE65" s="551">
        <v>0.61</v>
      </c>
      <c r="AF65" s="523" t="s">
        <v>490</v>
      </c>
      <c r="AG65" s="526" t="s">
        <v>436</v>
      </c>
      <c r="AH65" s="525" t="s">
        <v>490</v>
      </c>
      <c r="AI65" s="523" t="s">
        <v>381</v>
      </c>
      <c r="AJ65" s="526" t="s">
        <v>432</v>
      </c>
      <c r="AK65" s="551">
        <v>0.65</v>
      </c>
      <c r="AL65" s="523" t="s">
        <v>490</v>
      </c>
      <c r="AM65" s="526" t="s">
        <v>432</v>
      </c>
      <c r="AN65" s="525" t="s">
        <v>490</v>
      </c>
      <c r="AO65" s="523" t="s">
        <v>386</v>
      </c>
      <c r="AP65" s="526" t="s">
        <v>438</v>
      </c>
      <c r="AQ65" s="551">
        <v>1.0</v>
      </c>
      <c r="AR65" s="523" t="s">
        <v>413</v>
      </c>
      <c r="AS65" s="526" t="s">
        <v>438</v>
      </c>
      <c r="AT65" s="551">
        <v>1.0</v>
      </c>
      <c r="AU65" s="523" t="s">
        <v>413</v>
      </c>
      <c r="AV65" s="526" t="s">
        <v>438</v>
      </c>
      <c r="AW65" s="551">
        <v>1.0</v>
      </c>
      <c r="AX65" s="523" t="s">
        <v>413</v>
      </c>
      <c r="AY65" s="526" t="s">
        <v>438</v>
      </c>
      <c r="AZ65" s="551">
        <v>1.0</v>
      </c>
      <c r="BA65" s="523" t="s">
        <v>413</v>
      </c>
      <c r="BB65" s="526" t="s">
        <v>438</v>
      </c>
      <c r="BC65" s="551">
        <v>1.0</v>
      </c>
      <c r="BD65" s="523" t="s">
        <v>413</v>
      </c>
      <c r="BE65" s="526" t="s">
        <v>438</v>
      </c>
      <c r="BF65" s="551">
        <v>1.0</v>
      </c>
      <c r="BG65" s="523" t="s">
        <v>413</v>
      </c>
      <c r="BH65" s="526" t="s">
        <v>438</v>
      </c>
      <c r="BI65" s="551">
        <v>1.0</v>
      </c>
      <c r="BJ65" s="523" t="s">
        <v>413</v>
      </c>
      <c r="BK65" s="526" t="s">
        <v>438</v>
      </c>
      <c r="BL65" s="551">
        <v>1.0</v>
      </c>
      <c r="BM65" s="523" t="s">
        <v>413</v>
      </c>
      <c r="BN65" s="526" t="s">
        <v>438</v>
      </c>
      <c r="BO65" s="551">
        <v>1.0</v>
      </c>
      <c r="BP65" s="523" t="s">
        <v>413</v>
      </c>
      <c r="BQ65" s="526" t="s">
        <v>438</v>
      </c>
      <c r="BR65" s="551">
        <v>1.0</v>
      </c>
      <c r="BS65" s="528" t="s">
        <v>413</v>
      </c>
      <c r="BT65" s="528" t="s">
        <v>438</v>
      </c>
      <c r="BU65" s="548">
        <v>1.0</v>
      </c>
      <c r="BV65" s="528" t="s">
        <v>413</v>
      </c>
      <c r="BW65" s="528" t="s">
        <v>438</v>
      </c>
      <c r="BX65" s="548">
        <v>1.0</v>
      </c>
      <c r="BY65" s="528" t="s">
        <v>413</v>
      </c>
      <c r="BZ65" s="528" t="s">
        <v>438</v>
      </c>
      <c r="CA65" s="548">
        <v>1.0</v>
      </c>
      <c r="CB65" s="528" t="s">
        <v>413</v>
      </c>
      <c r="CC65" s="528" t="s">
        <v>438</v>
      </c>
      <c r="CD65" s="548">
        <v>1.0</v>
      </c>
      <c r="CE65" s="528" t="s">
        <v>413</v>
      </c>
      <c r="CF65" s="528" t="s">
        <v>438</v>
      </c>
      <c r="CG65" s="548">
        <v>1.0</v>
      </c>
      <c r="CH65" s="528" t="s">
        <v>413</v>
      </c>
      <c r="CI65" s="528" t="s">
        <v>438</v>
      </c>
      <c r="CJ65" s="548">
        <v>1.0</v>
      </c>
      <c r="CK65" s="528" t="s">
        <v>413</v>
      </c>
      <c r="CL65" s="528" t="s">
        <v>438</v>
      </c>
      <c r="CM65" s="548">
        <v>1.0</v>
      </c>
      <c r="CN65" s="528" t="s">
        <v>413</v>
      </c>
      <c r="CO65" s="528" t="s">
        <v>438</v>
      </c>
      <c r="CP65" s="548">
        <v>1.0</v>
      </c>
      <c r="CQ65" s="528" t="s">
        <v>413</v>
      </c>
      <c r="CR65" s="528" t="s">
        <v>438</v>
      </c>
      <c r="CS65" s="548">
        <v>1.0</v>
      </c>
      <c r="CT65" s="528" t="s">
        <v>413</v>
      </c>
      <c r="CU65" s="528" t="s">
        <v>438</v>
      </c>
      <c r="CV65" s="548">
        <v>1.0</v>
      </c>
      <c r="CW65" s="528" t="s">
        <v>413</v>
      </c>
      <c r="CX65" s="528" t="s">
        <v>438</v>
      </c>
      <c r="CY65" s="548">
        <v>1.0</v>
      </c>
      <c r="CZ65" s="528" t="s">
        <v>413</v>
      </c>
      <c r="DA65" s="528" t="s">
        <v>438</v>
      </c>
      <c r="DB65" s="548">
        <v>1.0</v>
      </c>
      <c r="DC65" s="528" t="s">
        <v>413</v>
      </c>
      <c r="DD65" s="528" t="s">
        <v>438</v>
      </c>
      <c r="DE65" s="548">
        <v>1.0</v>
      </c>
      <c r="DF65" s="528" t="s">
        <v>413</v>
      </c>
      <c r="DG65" s="528" t="s">
        <v>438</v>
      </c>
      <c r="DH65" s="548">
        <v>1.0</v>
      </c>
      <c r="DI65" s="528" t="s">
        <v>413</v>
      </c>
      <c r="DJ65" s="528" t="s">
        <v>438</v>
      </c>
      <c r="DK65" s="548">
        <v>1.0</v>
      </c>
    </row>
    <row r="66" ht="15.0" customHeight="1">
      <c r="A66" s="53">
        <v>24.0</v>
      </c>
      <c r="B66" s="860" t="s">
        <v>174</v>
      </c>
      <c r="C66" s="860" t="s">
        <v>175</v>
      </c>
      <c r="D66" s="101" t="str">
        <f t="shared" si="6"/>
        <v>SITE</v>
      </c>
      <c r="E66" s="101" t="s">
        <v>165</v>
      </c>
      <c r="F66" s="102">
        <v>1114.0</v>
      </c>
      <c r="G66" s="102" t="s">
        <v>165</v>
      </c>
      <c r="H66" s="517">
        <v>1114.0</v>
      </c>
      <c r="I66" s="858" t="str">
        <f>IFERROR(VLOOKUP(C:C,'R22 RELATÓRIO ACC'!B:F,5,FALSE),"NOT PUBLISHED")</f>
        <v>V14</v>
      </c>
      <c r="J66" s="858" t="str">
        <f>IFERROR(VLOOKUP(C:C,'R22 RELATÓRIO ACC'!B:P,15,FALSE),"NOT PUBLISHED")</f>
        <v>29/04/2026</v>
      </c>
      <c r="K66" s="821" t="str">
        <f>IFERROR(VLOOKUP(B:B,'RELATÓRIO ACC'!B:F,5,FALSE),"NOT PUBLISHED")</f>
        <v>V2</v>
      </c>
      <c r="L66" s="822" t="str">
        <f>IFERROR(VLOOKUP(B:B,'RELATÓRIO ACC'!B:P,15,FALSE),"NOT PUBLISHED")</f>
        <v>07/07/2026</v>
      </c>
      <c r="M66" s="821" t="s">
        <v>385</v>
      </c>
      <c r="N66" s="943" t="s">
        <v>509</v>
      </c>
      <c r="O66" s="538" t="s">
        <v>410</v>
      </c>
      <c r="P66" s="587"/>
      <c r="Q66" s="523" t="s">
        <v>379</v>
      </c>
      <c r="R66" s="558">
        <v>0.0</v>
      </c>
      <c r="S66" s="523" t="s">
        <v>379</v>
      </c>
      <c r="T66" s="523" t="s">
        <v>379</v>
      </c>
      <c r="U66" s="558">
        <v>0.0</v>
      </c>
      <c r="V66" s="523" t="s">
        <v>379</v>
      </c>
      <c r="W66" s="523" t="s">
        <v>379</v>
      </c>
      <c r="X66" s="526" t="s">
        <v>380</v>
      </c>
      <c r="Y66" s="523" t="s">
        <v>379</v>
      </c>
      <c r="Z66" s="523" t="s">
        <v>379</v>
      </c>
      <c r="AA66" s="526" t="s">
        <v>380</v>
      </c>
      <c r="AB66" s="523" t="s">
        <v>379</v>
      </c>
      <c r="AC66" s="523" t="s">
        <v>381</v>
      </c>
      <c r="AD66" s="526" t="s">
        <v>384</v>
      </c>
      <c r="AE66" s="546">
        <v>0.86</v>
      </c>
      <c r="AF66" s="523" t="s">
        <v>490</v>
      </c>
      <c r="AG66" s="526" t="s">
        <v>384</v>
      </c>
      <c r="AH66" s="523" t="s">
        <v>490</v>
      </c>
      <c r="AI66" s="523" t="s">
        <v>386</v>
      </c>
      <c r="AJ66" s="526" t="s">
        <v>385</v>
      </c>
      <c r="AK66" s="551">
        <v>1.0</v>
      </c>
      <c r="AL66" s="523" t="s">
        <v>413</v>
      </c>
      <c r="AM66" s="526" t="s">
        <v>385</v>
      </c>
      <c r="AN66" s="551">
        <v>1.0</v>
      </c>
      <c r="AO66" s="523" t="s">
        <v>413</v>
      </c>
      <c r="AP66" s="526" t="s">
        <v>385</v>
      </c>
      <c r="AQ66" s="551">
        <v>1.0</v>
      </c>
      <c r="AR66" s="523" t="s">
        <v>413</v>
      </c>
      <c r="AS66" s="526" t="s">
        <v>385</v>
      </c>
      <c r="AT66" s="551">
        <v>1.0</v>
      </c>
      <c r="AU66" s="523" t="s">
        <v>413</v>
      </c>
      <c r="AV66" s="526" t="s">
        <v>385</v>
      </c>
      <c r="AW66" s="551">
        <v>1.0</v>
      </c>
      <c r="AX66" s="523" t="s">
        <v>413</v>
      </c>
      <c r="AY66" s="526" t="s">
        <v>385</v>
      </c>
      <c r="AZ66" s="551">
        <v>1.0</v>
      </c>
      <c r="BA66" s="523" t="s">
        <v>413</v>
      </c>
      <c r="BB66" s="526" t="s">
        <v>385</v>
      </c>
      <c r="BC66" s="546">
        <v>1.0</v>
      </c>
      <c r="BD66" s="523" t="s">
        <v>413</v>
      </c>
      <c r="BE66" s="526" t="s">
        <v>385</v>
      </c>
      <c r="BF66" s="546">
        <v>1.0</v>
      </c>
      <c r="BG66" s="861" t="s">
        <v>413</v>
      </c>
      <c r="BH66" s="526" t="s">
        <v>385</v>
      </c>
      <c r="BI66" s="919">
        <v>1.0</v>
      </c>
      <c r="BJ66" s="861" t="s">
        <v>413</v>
      </c>
      <c r="BK66" s="526" t="s">
        <v>385</v>
      </c>
      <c r="BL66" s="919">
        <v>1.0</v>
      </c>
      <c r="BM66" s="523" t="s">
        <v>413</v>
      </c>
      <c r="BN66" s="526" t="s">
        <v>385</v>
      </c>
      <c r="BO66" s="546">
        <v>1.0</v>
      </c>
      <c r="BP66" s="523" t="s">
        <v>413</v>
      </c>
      <c r="BQ66" s="526" t="s">
        <v>385</v>
      </c>
      <c r="BR66" s="546">
        <v>1.0</v>
      </c>
      <c r="BS66" s="528" t="s">
        <v>413</v>
      </c>
      <c r="BT66" s="528" t="s">
        <v>385</v>
      </c>
      <c r="BU66" s="548">
        <v>1.0</v>
      </c>
      <c r="BV66" s="528" t="s">
        <v>413</v>
      </c>
      <c r="BW66" s="528" t="s">
        <v>385</v>
      </c>
      <c r="BX66" s="548">
        <v>1.0</v>
      </c>
      <c r="BY66" s="528" t="s">
        <v>413</v>
      </c>
      <c r="BZ66" s="528" t="s">
        <v>385</v>
      </c>
      <c r="CA66" s="548">
        <v>1.0</v>
      </c>
      <c r="CB66" s="528" t="s">
        <v>413</v>
      </c>
      <c r="CC66" s="528" t="s">
        <v>385</v>
      </c>
      <c r="CD66" s="548">
        <v>1.0</v>
      </c>
      <c r="CE66" s="528" t="s">
        <v>413</v>
      </c>
      <c r="CF66" s="528" t="s">
        <v>385</v>
      </c>
      <c r="CG66" s="548">
        <v>1.0</v>
      </c>
      <c r="CH66" s="528" t="s">
        <v>413</v>
      </c>
      <c r="CI66" s="528" t="s">
        <v>385</v>
      </c>
      <c r="CJ66" s="548">
        <v>1.0</v>
      </c>
      <c r="CK66" s="528" t="s">
        <v>413</v>
      </c>
      <c r="CL66" s="528" t="s">
        <v>385</v>
      </c>
      <c r="CM66" s="548">
        <v>1.0</v>
      </c>
      <c r="CN66" s="528" t="s">
        <v>413</v>
      </c>
      <c r="CO66" s="528" t="s">
        <v>385</v>
      </c>
      <c r="CP66" s="548">
        <v>1.0</v>
      </c>
      <c r="CQ66" s="528" t="s">
        <v>413</v>
      </c>
      <c r="CR66" s="528" t="s">
        <v>385</v>
      </c>
      <c r="CS66" s="548">
        <v>1.0</v>
      </c>
      <c r="CT66" s="528" t="s">
        <v>413</v>
      </c>
      <c r="CU66" s="528" t="s">
        <v>385</v>
      </c>
      <c r="CV66" s="548">
        <v>1.0</v>
      </c>
      <c r="CW66" s="528" t="s">
        <v>413</v>
      </c>
      <c r="CX66" s="528" t="s">
        <v>385</v>
      </c>
      <c r="CY66" s="548">
        <v>1.0</v>
      </c>
      <c r="CZ66" s="528" t="s">
        <v>413</v>
      </c>
      <c r="DA66" s="528" t="s">
        <v>385</v>
      </c>
      <c r="DB66" s="548">
        <v>1.0</v>
      </c>
      <c r="DC66" s="528" t="s">
        <v>413</v>
      </c>
      <c r="DD66" s="528" t="s">
        <v>385</v>
      </c>
      <c r="DE66" s="548">
        <v>1.0</v>
      </c>
      <c r="DF66" s="528" t="s">
        <v>413</v>
      </c>
      <c r="DG66" s="528" t="s">
        <v>385</v>
      </c>
      <c r="DH66" s="548">
        <v>1.0</v>
      </c>
      <c r="DI66" s="528" t="s">
        <v>413</v>
      </c>
      <c r="DJ66" s="528" t="s">
        <v>385</v>
      </c>
      <c r="DK66" s="548">
        <v>1.0</v>
      </c>
    </row>
    <row r="67" ht="15.0" customHeight="1">
      <c r="A67" s="53">
        <v>54.0</v>
      </c>
      <c r="B67" s="964" t="s">
        <v>83</v>
      </c>
      <c r="C67" s="964" t="s">
        <v>84</v>
      </c>
      <c r="D67" s="965" t="str">
        <f t="shared" si="6"/>
        <v>SITE</v>
      </c>
      <c r="E67" s="966" t="s">
        <v>85</v>
      </c>
      <c r="F67" s="966" t="s">
        <v>85</v>
      </c>
      <c r="G67" s="966" t="s">
        <v>80</v>
      </c>
      <c r="H67" s="967"/>
      <c r="I67" s="858" t="str">
        <f>IFERROR(VLOOKUP(C:C,'R22 RELATÓRIO ACC'!B:F,5,FALSE),"NOT PUBLISHED")</f>
        <v>V12</v>
      </c>
      <c r="J67" s="858" t="str">
        <f>IFERROR(VLOOKUP(C:C,'R22 RELATÓRIO ACC'!B:P,15,FALSE),"NOT PUBLISHED")</f>
        <v>05/05/2026</v>
      </c>
      <c r="K67" s="821" t="str">
        <f>IFERROR(VLOOKUP(B:B,'RELATÓRIO ACC'!B:F,5,FALSE),"NOT PUBLISHED")</f>
        <v>V5</v>
      </c>
      <c r="L67" s="822" t="str">
        <f>IFERROR(VLOOKUP(B:B,'RELATÓRIO ACC'!B:P,15,FALSE),"NOT PUBLISHED")</f>
        <v>22/06/2026</v>
      </c>
      <c r="M67" s="821" t="s">
        <v>399</v>
      </c>
      <c r="N67" s="890">
        <v>46185.0</v>
      </c>
      <c r="O67" s="538" t="s">
        <v>378</v>
      </c>
      <c r="P67" s="587" t="s">
        <v>397</v>
      </c>
      <c r="Q67" s="523" t="s">
        <v>388</v>
      </c>
      <c r="R67" s="558" t="s">
        <v>380</v>
      </c>
      <c r="S67" s="525" t="s">
        <v>388</v>
      </c>
      <c r="T67" s="523" t="s">
        <v>381</v>
      </c>
      <c r="U67" s="550" t="s">
        <v>421</v>
      </c>
      <c r="V67" s="551">
        <v>0.05</v>
      </c>
      <c r="W67" s="523" t="s">
        <v>379</v>
      </c>
      <c r="X67" s="526" t="s">
        <v>377</v>
      </c>
      <c r="Y67" s="525" t="s">
        <v>379</v>
      </c>
      <c r="Z67" s="523" t="s">
        <v>398</v>
      </c>
      <c r="AA67" s="526" t="s">
        <v>377</v>
      </c>
      <c r="AB67" s="523" t="s">
        <v>398</v>
      </c>
      <c r="AC67" s="523" t="s">
        <v>381</v>
      </c>
      <c r="AD67" s="526" t="s">
        <v>421</v>
      </c>
      <c r="AE67" s="551">
        <v>0.13</v>
      </c>
      <c r="AF67" s="523" t="s">
        <v>381</v>
      </c>
      <c r="AG67" s="526" t="s">
        <v>400</v>
      </c>
      <c r="AH67" s="546">
        <v>0.46</v>
      </c>
      <c r="AI67" s="523" t="s">
        <v>398</v>
      </c>
      <c r="AJ67" s="526" t="s">
        <v>399</v>
      </c>
      <c r="AK67" s="523" t="s">
        <v>398</v>
      </c>
      <c r="AL67" s="523" t="s">
        <v>379</v>
      </c>
      <c r="AM67" s="526" t="s">
        <v>399</v>
      </c>
      <c r="AN67" s="523" t="s">
        <v>379</v>
      </c>
      <c r="AO67" s="523" t="s">
        <v>398</v>
      </c>
      <c r="AP67" s="526" t="s">
        <v>411</v>
      </c>
      <c r="AQ67" s="523" t="s">
        <v>398</v>
      </c>
      <c r="AR67" s="523" t="s">
        <v>398</v>
      </c>
      <c r="AS67" s="526" t="s">
        <v>428</v>
      </c>
      <c r="AT67" s="523" t="s">
        <v>398</v>
      </c>
      <c r="AU67" s="523" t="s">
        <v>379</v>
      </c>
      <c r="AV67" s="526" t="s">
        <v>428</v>
      </c>
      <c r="AW67" s="523" t="s">
        <v>379</v>
      </c>
      <c r="AX67" s="523" t="s">
        <v>379</v>
      </c>
      <c r="AY67" s="526" t="s">
        <v>428</v>
      </c>
      <c r="AZ67" s="523" t="s">
        <v>379</v>
      </c>
      <c r="BA67" s="523" t="s">
        <v>398</v>
      </c>
      <c r="BB67" s="526" t="s">
        <v>412</v>
      </c>
      <c r="BC67" s="523" t="s">
        <v>398</v>
      </c>
      <c r="BD67" s="523" t="s">
        <v>379</v>
      </c>
      <c r="BE67" s="526" t="s">
        <v>412</v>
      </c>
      <c r="BF67" s="523" t="s">
        <v>379</v>
      </c>
      <c r="BG67" s="523" t="s">
        <v>379</v>
      </c>
      <c r="BH67" s="526" t="s">
        <v>412</v>
      </c>
      <c r="BI67" s="523" t="s">
        <v>379</v>
      </c>
      <c r="BJ67" s="523" t="s">
        <v>379</v>
      </c>
      <c r="BK67" s="526" t="s">
        <v>412</v>
      </c>
      <c r="BL67" s="523" t="s">
        <v>379</v>
      </c>
      <c r="BM67" s="523" t="s">
        <v>379</v>
      </c>
      <c r="BN67" s="526" t="s">
        <v>412</v>
      </c>
      <c r="BO67" s="523" t="s">
        <v>379</v>
      </c>
      <c r="BP67" s="523" t="s">
        <v>381</v>
      </c>
      <c r="BQ67" s="526" t="s">
        <v>382</v>
      </c>
      <c r="BR67" s="546">
        <v>0.56</v>
      </c>
      <c r="BS67" s="528" t="s">
        <v>490</v>
      </c>
      <c r="BT67" s="528" t="s">
        <v>382</v>
      </c>
      <c r="BU67" s="528" t="s">
        <v>490</v>
      </c>
      <c r="BV67" s="528" t="s">
        <v>381</v>
      </c>
      <c r="BW67" s="528" t="s">
        <v>384</v>
      </c>
      <c r="BX67" s="548">
        <v>0.64</v>
      </c>
      <c r="BY67" s="528" t="s">
        <v>381</v>
      </c>
      <c r="BZ67" s="528" t="s">
        <v>417</v>
      </c>
      <c r="CA67" s="548">
        <v>0.85</v>
      </c>
      <c r="CB67" s="528" t="s">
        <v>379</v>
      </c>
      <c r="CC67" s="528" t="s">
        <v>417</v>
      </c>
      <c r="CD67" s="528" t="s">
        <v>379</v>
      </c>
      <c r="CE67" s="528" t="s">
        <v>383</v>
      </c>
      <c r="CF67" s="528" t="s">
        <v>417</v>
      </c>
      <c r="CG67" s="528" t="s">
        <v>383</v>
      </c>
      <c r="CH67" s="528" t="s">
        <v>383</v>
      </c>
      <c r="CI67" s="528" t="s">
        <v>417</v>
      </c>
      <c r="CJ67" s="528" t="s">
        <v>383</v>
      </c>
      <c r="CK67" s="528" t="s">
        <v>381</v>
      </c>
      <c r="CL67" s="528" t="s">
        <v>377</v>
      </c>
      <c r="CM67" s="548">
        <v>0.69</v>
      </c>
      <c r="CN67" s="528" t="s">
        <v>383</v>
      </c>
      <c r="CO67" s="528" t="s">
        <v>377</v>
      </c>
      <c r="CP67" s="528" t="s">
        <v>383</v>
      </c>
      <c r="CQ67" s="528" t="s">
        <v>381</v>
      </c>
      <c r="CR67" s="528" t="s">
        <v>387</v>
      </c>
      <c r="CS67" s="548">
        <v>0.69</v>
      </c>
      <c r="CT67" s="528" t="s">
        <v>383</v>
      </c>
      <c r="CU67" s="528" t="s">
        <v>387</v>
      </c>
      <c r="CV67" s="528" t="s">
        <v>383</v>
      </c>
      <c r="CW67" s="528" t="s">
        <v>383</v>
      </c>
      <c r="CX67" s="528" t="s">
        <v>387</v>
      </c>
      <c r="CY67" s="528" t="s">
        <v>383</v>
      </c>
      <c r="CZ67" s="528" t="s">
        <v>386</v>
      </c>
      <c r="DA67" s="528" t="s">
        <v>399</v>
      </c>
      <c r="DB67" s="548">
        <v>1.0</v>
      </c>
      <c r="DC67" s="528" t="s">
        <v>413</v>
      </c>
      <c r="DD67" s="528" t="s">
        <v>399</v>
      </c>
      <c r="DE67" s="548">
        <v>1.0</v>
      </c>
      <c r="DF67" s="528" t="s">
        <v>413</v>
      </c>
      <c r="DG67" s="528" t="s">
        <v>399</v>
      </c>
      <c r="DH67" s="548">
        <v>1.0</v>
      </c>
      <c r="DI67" s="528" t="s">
        <v>413</v>
      </c>
      <c r="DJ67" s="528" t="s">
        <v>399</v>
      </c>
      <c r="DK67" s="548">
        <v>1.0</v>
      </c>
    </row>
    <row r="68" ht="189.75" customHeight="1">
      <c r="A68" s="556"/>
      <c r="B68" s="556"/>
      <c r="C68" s="556"/>
      <c r="D68" s="799"/>
      <c r="E68" s="653"/>
      <c r="F68" s="653"/>
      <c r="G68" s="653"/>
      <c r="H68" s="653"/>
      <c r="I68" s="556"/>
      <c r="J68" s="556"/>
      <c r="K68" s="556"/>
      <c r="L68" s="556"/>
      <c r="M68" s="556"/>
      <c r="N68" s="556"/>
      <c r="O68" s="556"/>
      <c r="P68" s="556"/>
      <c r="Q68" s="556"/>
      <c r="R68" s="654"/>
      <c r="S68" s="568"/>
      <c r="T68" s="568"/>
      <c r="U68" s="568"/>
      <c r="V68" s="568"/>
      <c r="W68" s="568"/>
      <c r="X68" s="568"/>
      <c r="Y68" s="568"/>
      <c r="Z68" s="568"/>
      <c r="AA68" s="568"/>
      <c r="AB68" s="568"/>
      <c r="AC68" s="568"/>
      <c r="AD68" s="568"/>
      <c r="AE68" s="568"/>
      <c r="AF68" s="568"/>
      <c r="AG68" s="568"/>
      <c r="AH68" s="568"/>
      <c r="AI68" s="568"/>
      <c r="AJ68" s="568"/>
      <c r="AK68" s="568"/>
      <c r="AL68" s="568"/>
      <c r="AM68" s="568"/>
      <c r="AN68" s="568"/>
      <c r="AO68" s="568"/>
      <c r="AP68" s="568"/>
      <c r="AQ68" s="568"/>
      <c r="AR68" s="568"/>
      <c r="AS68" s="568"/>
      <c r="AT68" s="568"/>
      <c r="AU68" s="568"/>
      <c r="AV68" s="568"/>
      <c r="AW68" s="568"/>
      <c r="AX68" s="568"/>
      <c r="AY68" s="568"/>
      <c r="AZ68" s="568"/>
      <c r="BA68" s="568"/>
      <c r="BB68" s="568"/>
      <c r="BC68" s="568"/>
      <c r="BD68" s="568"/>
      <c r="BE68" s="568"/>
      <c r="BF68" s="568"/>
      <c r="BG68" s="568"/>
      <c r="BH68" s="568"/>
      <c r="BI68" s="568"/>
      <c r="BJ68" s="568"/>
      <c r="BK68" s="568"/>
      <c r="BL68" s="568"/>
      <c r="BM68" s="568"/>
      <c r="BN68" s="568"/>
      <c r="BO68" s="568"/>
      <c r="BP68" s="568"/>
      <c r="BQ68" s="568"/>
      <c r="BR68" s="568"/>
      <c r="BS68" s="568"/>
      <c r="BT68" s="568"/>
      <c r="BU68" s="568"/>
      <c r="BV68" s="568"/>
      <c r="BW68" s="568"/>
      <c r="BX68" s="568"/>
      <c r="BY68" s="568"/>
      <c r="BZ68" s="568"/>
      <c r="CA68" s="568"/>
      <c r="CB68" s="568"/>
      <c r="CC68" s="568"/>
      <c r="CD68" s="568"/>
      <c r="CE68" s="568"/>
      <c r="CF68" s="568"/>
      <c r="CG68" s="568"/>
      <c r="CH68" s="568"/>
      <c r="CI68" s="568"/>
      <c r="CJ68" s="568"/>
      <c r="CK68" s="568"/>
      <c r="CL68" s="568"/>
      <c r="CM68" s="568"/>
      <c r="CN68" s="568"/>
      <c r="CO68" s="568"/>
      <c r="CP68" s="568"/>
      <c r="CQ68" s="568"/>
      <c r="CR68" s="568"/>
      <c r="CS68" s="568"/>
      <c r="CT68" s="568"/>
      <c r="CU68" s="568"/>
      <c r="CV68" s="568"/>
      <c r="CW68" s="568"/>
      <c r="CX68" s="568"/>
      <c r="CY68" s="568"/>
      <c r="CZ68" s="568"/>
      <c r="DA68" s="568"/>
      <c r="DB68" s="568"/>
      <c r="DC68" s="568"/>
      <c r="DD68" s="568"/>
      <c r="DE68" s="568"/>
      <c r="DF68" s="568"/>
      <c r="DG68" s="568"/>
      <c r="DH68" s="568"/>
      <c r="DI68" s="568"/>
      <c r="DJ68" s="568"/>
      <c r="DK68" s="568"/>
    </row>
  </sheetData>
  <autoFilter ref="$A$2:$DK$67">
    <filterColumn colId="3">
      <filters>
        <filter val="SITE"/>
        <filter val="UTLS"/>
        <filter val="STIR"/>
        <filter val="PUMP"/>
        <filter val="GUAR"/>
      </filters>
    </filterColumn>
  </autoFilter>
  <mergeCells count="5">
    <mergeCell ref="D1:Q1"/>
    <mergeCell ref="U1:V1"/>
    <mergeCell ref="X1:Y1"/>
    <mergeCell ref="AA1:AB1"/>
    <mergeCell ref="AD1:AE1"/>
  </mergeCells>
  <conditionalFormatting sqref="CQ62:DK62">
    <cfRule type="cellIs" dxfId="3" priority="1" operator="between">
      <formula>"0%"</formula>
      <formula>"50%"</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15" priority="2" operator="greaterThanOrEqual">
      <formula>70%</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3" priority="3" operator="between">
      <formula>"1%"</formula>
      <formula>"48%"</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17" priority="4" operator="equal">
      <formula>"N/A"</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10" priority="5" operator="equal">
      <formula>"NOT PUBLISHED"</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6" priority="6" operator="equal">
      <formula>"OUTDATED"</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7" priority="7" operator="equal">
      <formula>"ANALYSING"</formula>
    </cfRule>
  </conditionalFormatting>
  <conditionalFormatting sqref="BR3:BR6 BU3:CP6 CQ3:CQ66 CR3:CR6 CS3:DK66 AX4:AX6 AZ4:BQ6 BS4:BT6 AI6:AW6 AY6 AQ8:AW16 AX8:AX41 AY8:AY16 AZ8:BF41 BG8:BG66 BH8:BH41 BI8:CP66 CR8:CR66 AQ19:AW19 AY19 AQ22:AW23 AY22:AY23 AQ26:AW26 AY26 AQ33:AW35 AY33:AY35 Q34:AP34 AT45:BF45 BH45 AX55 AZ55:BF55 BH55 M63:N63">
    <cfRule type="cellIs" dxfId="16" priority="8" operator="equal">
      <formula>"NEXT ROUND"</formula>
    </cfRule>
  </conditionalFormatting>
  <conditionalFormatting sqref="M4:M67 N5:N7 O5:O19 N11 N15:N19 AV41 AY41 BB41 BE41 BH41 BK41 BN41 BQ41 BT41 BW41 BZ41 CC41 N52:O52 N57:O57 N62:N64">
    <cfRule type="expression" dxfId="2" priority="9">
      <formula>IFERROR(ARRAYFORMULA(VALUE(MID(K4,2,10))) &gt; VALUE(MID(M4,2,10)), FALSE)</formula>
    </cfRule>
  </conditionalFormatting>
  <conditionalFormatting sqref="U1:U6 V1:V3 W1:X6 Y1:Y4 Z1:AA6 AB1:AB4 AC1:CP6 CQ1:CQ68 CR1:CR6 CS1:DK68 S2:S3 T2:T6 S8 T8:U22 V8:V9 W8:X22 Y8:Y11 Z8:AA22 AB8:AB10 AC8:AG22 AH8:BB68 BC8:BC65 BD8:CP68 CR8:CR68 V13:V14 Y13:Y17 AB13:AB14 S20 V20 Y20:Y22 AB20:AB22 S22 V22 S24 T24:U68 V24 W24:X68 Y24:Y56 Z24:AA68 AB24:AB56 AC24:AG68 S26 V26:V30 S28:S30 R29 Q31:R32 S33:S36 V33:V36 Q34:R34 S38:S46 V38:V40 V42:V46 Q43 S49 V49 S51 V51 S53:S54 V53:V54 S56 V58:V59 Y58:Y61 AB58:AB61 S59 S61 V61 M63:N63 AB65:AB68 S67:S68 V67:V68 Y67:Y68 BC67:BC68">
    <cfRule type="cellIs" dxfId="1" priority="10" operator="greaterThanOrEqual">
      <formula>"70%"</formula>
    </cfRule>
  </conditionalFormatting>
  <conditionalFormatting sqref="U1:U6 V1:V3 W1:X6 Y1:Y4 Z1:AA6 AB1:AB4 AC1:CP6 CQ1:CQ68 CR1:CR6 CS1:DK68 S2:S3 T2:T6 S8 T8:U22 V8:V9 W8:X22 Y8:Y11 Z8:AA22 AB8:AB10 AC8:AG22 AH8:BB68 BC8:BC65 BD8:CP68 CR8:CR68 V13:V14 Y13:Y17 AB13:AB14 S20 V20 Y20:Y22 AB20:AB22 S22 V22 S24 T24:U68 V24 W24:X68 Y24:Y56 Z24:AA68 AB24:AB56 AC24:AG68 S26 V26:V30 S28:S30 R29 Q31:R32 S33:S36 V33:V36 Q34:R34 S38:S46 V38:V40 V42:V46 Q43 S49 V49 S51 V51 S53:S54 V53:V54 S56 V58:V59 Y58:Y61 AB58:AB61 S59 S61 V61 M63:N63 AB65:AB68 S67:S68 V67:V68 Y67:Y68 BC67:BC68">
    <cfRule type="cellIs" dxfId="2" priority="11" operator="between">
      <formula>"49%"</formula>
      <formula>"69%"</formula>
    </cfRule>
  </conditionalFormatting>
  <conditionalFormatting sqref="M4 R29 T63:U63 W63:X63 Z63:AA63 AC63:AD63 AF63:AG63 AI63:AJ63 AL63:AM63 AO63:AP63 AR63:AS63 AU63:AV63 AX63:AY63 BA63:BB63 BD63:BE63 BG63:BH63 BJ63:BK63 BM63:BN63 BP63:BQ63">
    <cfRule type="cellIs" dxfId="3" priority="12" operator="between">
      <formula>"1%"</formula>
      <formula>"50%"</formula>
    </cfRule>
  </conditionalFormatting>
  <conditionalFormatting sqref="U1:U6 V1:V3 W1:X6 Y1:Y4 Z1:AA6 AB1:AB4 AC1:CP6 CQ1:CQ68 CR1:CR6 CS1:DK68 S2:S3 T2:T6 S8 T8:U22 V8:V9 W8:X22 Y8:Y11 Z8:AA22 AB8:AB10 AC8:AG22 AH8:BB68 BC8:BC65 BD8:CP68 CR8:CR68 V13:V14 Y13:Y17 AB13:AB14 S20 V20 Y20:Y22 AB20:AB22 S22 V22 S24 T24:U68 V24 W24:X68 Y24:Y56 Z24:AA68 AB24:AB56 AC24:AG68 S26 V26:V30 S28:S30 Q31:R32 S33:S36 V33:V36 Q34:R34 S38:S46 V38:V40 V42:V46 Q43 S49 V49 S51 V51 S53:S54 V53:V54 S56 V58:V59 Y58:Y61 AB58:AB61 S59 S61 V61 M63:N63 AB65:AB68 S67:S68 V67:V68 Y67:Y68 BC67:BC68">
    <cfRule type="cellIs" dxfId="3" priority="13" operator="between">
      <formula>"1%"</formula>
      <formula>"50%"</formula>
    </cfRule>
  </conditionalFormatting>
  <conditionalFormatting sqref="P3 P68">
    <cfRule type="cellIs" dxfId="18" priority="14" operator="equal">
      <formula>"YASMIN"</formula>
    </cfRule>
  </conditionalFormatting>
  <conditionalFormatting sqref="P3 P68">
    <cfRule type="cellIs" dxfId="19" priority="15" operator="equal">
      <formula>"LETÍCIA"</formula>
    </cfRule>
  </conditionalFormatting>
  <conditionalFormatting sqref="P3 P68">
    <cfRule type="cellIs" dxfId="20" priority="16" operator="equal">
      <formula>"CICI"</formula>
    </cfRule>
  </conditionalFormatting>
  <conditionalFormatting sqref="P3 P68">
    <cfRule type="cellIs" dxfId="2" priority="17" operator="equal">
      <formula>"ALINNE"</formula>
    </cfRule>
  </conditionalFormatting>
  <conditionalFormatting sqref="P3 P68">
    <cfRule type="cellIs" dxfId="15" priority="18" operator="equal">
      <formula>"GUILHERME"</formula>
    </cfRule>
  </conditionalFormatting>
  <conditionalFormatting sqref="P3 P68">
    <cfRule type="cellIs" dxfId="15" priority="19" operator="equal">
      <formula>"GUILHERME"</formula>
    </cfRule>
  </conditionalFormatting>
  <conditionalFormatting sqref="P3 P68">
    <cfRule type="cellIs" dxfId="15" priority="20" operator="equal">
      <formula>"GUILHERME"</formula>
    </cfRule>
  </conditionalFormatting>
  <conditionalFormatting sqref="P3 P68">
    <cfRule type="cellIs" dxfId="15" priority="21" operator="equal">
      <formula>"GUILHERME"</formula>
    </cfRule>
  </conditionalFormatting>
  <conditionalFormatting sqref="I4:K67 M26">
    <cfRule type="beginsWith" dxfId="5" priority="22" operator="beginsWith" text="V">
      <formula>LEFT((I4),LEN("V"))=("V")</formula>
    </cfRule>
  </conditionalFormatting>
  <dataValidations>
    <dataValidation type="list" allowBlank="1" showErrorMessage="1" sqref="P4:P15 P19 P21 P23 P25 P29 P31 P33:P34 P38 P40 P42:P43 P45 P48 P50 P52 P54:P58 P62:P66">
      <formula1>"CICI,YASMIN,GUI,CAROL,ALINNE,IURY,CLARISSA,LUIZA,INGRYD"</formula1>
    </dataValidation>
    <dataValidation type="list" allowBlank="1" showDropDown="1" showErrorMessage="1" sqref="D21">
      <formula1>"DATA,SITE,GUAR,C345,C12A,PUMP,UTLS,ADMN,COL1,COL2,COL3,COL4,COL5,STIR"</formula1>
    </dataValidation>
    <dataValidation type="list" allowBlank="1" showErrorMessage="1" sqref="O4:O17 O19 O21 O23 O25 O27 O29 O31 O33:O34 O36 O38 O40 O42:O43 O45:O48 O50 O52 O54:O58 O60:O67">
      <formula1>"R22,R24,AWAITING APPROVAL,N/A,NOT PUBLISHED"</formula1>
    </dataValidation>
    <dataValidation type="list" allowBlank="1" showDropDown="1" showErrorMessage="1" sqref="CH4 CJ4 CQ23 CH25 CJ25 CH27 CJ27 CH29 CJ29 CH67 CJ67:CK67">
      <formula1>"APPROVED,REPROVED,N/A,ANALYSING,NOT PUBLISHED,OUTDATED,PREVIOUSLY APPROVED,NEXT ROUND,IMPROPER"</formula1>
    </dataValidation>
    <dataValidation type="list" allowBlank="1" showDropDown="1" showErrorMessage="1" sqref="Q4 S4:T4 V4:W4 Y4:Z4 AB4:AC4 AE4:AF4 AI4 AK4:AL4 AN4:AO4 AR4 AU4 AX4 AZ4:BA4 BC4:BD4 BF4:BG4 BI4 BP4 BR4 CK4 CM4 Q5:DK5 V6:W15 Y6:Z15 AB6:AC15 AK6:AL15 BL6:BM15 CV6:CW15 CY6:CZ15 DB6:DC15 DE6:DF15 DH6:DI15 DK6:DK15 W16 Y16 AH6:AI16 AL16 BF6:BG16 BI6:BJ16 BR6:BS16 BU6:BV16 BX6:BY16 CA6:CB16 CD6:CE16 CG6:CH16 CJ6:CK16 CM6:CN16 CP6:CQ16 CS6:CT16 CV16 Q6:Q17 S6:T17 V17:W17 AC16:AC17 AE6:AF17 AI17 AK17:AL17 AN6:AO17 AQ6:AR17 AT6:AU17 AW6:AX17 AZ6:BA17 BC6:BD17 BF17 BM16:BM17 BO6:BP17 BR17 Q19 S19:T19 V19:W19 Y19:Z19 AB19:AC19 AE19:AF19 AH19:AI19 AK19:AL19 AN19:AO19 AR19 AT19:AU19 AW19:AX19 AZ19:BA19 BC19:BD19 BF19:BG19 BI19:BJ19 BL19:BM19 BO19:BP19 BR19:BS19 BU19:BV19 BX19:BY19 CA19:CB19 CD19:CE19 CG19:CH19 CJ19:CK19 CM19 Q21 S21:T21 V21:W21 Y21:Z21 AB21:AC21 AE21:AF21 AH21 AL21 AN21:AO21 AQ21:AR21 AT21:AU21 AW21:AX21 AZ21:BA21 BC21:BD21 BF21:BG21 BI21:BJ21 BL21:BM21 BO21:BP21 BR21:BS21 BU21:BV21 BX21:BY21 CA21:CB21 CD21:CE21 CN21 CP21 Q23 S23:T23 V23:W23 Y23:Z23 AB23:AC23 AE23:AF23 AH23:AI23 AK23:AL23 AN23:AO23 AQ23:AR23 AT23:AU23 AW23:AX23 AZ23:BA23 BC23:BD23 BF23:BG23 BI23:BJ23 BL23:BM23 BO23:BP23 BR23:BS23 BU23:BV23 BX23:BY23 CA23:CB23 CD23:CE23 CG23 Q25 S25:T25 V25:W25 Y25:Z25 AB25:AC25 AE25:AF25 AH25:AI25 AK25:AL25 AN25:AO25 AQ25:AR25 AT25:AU25 AW25:AX25 AZ25:BA25 BC25:BD25 BF25:BG25 BI25:BJ25 BL25:BM25 BO25:BP25 BR25:BS25 BU25:BV25 BX25 CK25 CM25 Q27 S27:T27 V27:W27 Y27:Z27 AB27:AC27 AE27:AF27 AH27:AI27 AK27:AL27 AN27:AO27 AQ27:AR27 AT27:AU27 AW27:AX27 AZ27:BA27 BC27:BD27 BF27:BG27 BI27:BJ27 BL27:BM27 BP27 BS27 BV27 BX27:BY27 CA27 CK27 CM27 Q29 S29:T29 V29:W29 Y29:Z29 AB29:AC29 AE29:AF29 AI29 AK29:AL29 AN29:AO29 AR29 AU29 AX29 AZ29:BA29 BC29:BD29 BF29:BG29 BI29:BJ29 BL29:BM29 BO29:BP29 BR29 CK29 CM29:CN29 CQ29 CT29 CW29 CZ29 DC29 DF29 DI29 Q31 S31:T31 V31:W31 Y31:Z31 AC31 AF31 AI31 AL31 AO31 AR31 AU31 AX31 BA31 BD31 BG31 BJ31 BM31 BP31 BS31 BV31 BY31 CB31 CE31 CH31 CK31 CN31 CQ31 CT31 CW31 CZ31 DC31 DF31 DI31 S33:T33 AC33 AF33 AH33:AI33 AL33 AU33 AX33 BA33 BD33 BG33 BJ33 BP33 Q33:Q34 T34 V33:W34 Z33:Z34 AB34:AC34 AE34:AF34 AI34 AK34:AL34 AN33:AO34 AR33:AR34 AT34:AU34 AW34:AX34 AZ34:BA34 BC34:BD34 BF34 BM33:BM34 BO34:BP34 BS33:BS34 BV33:BV34 BY33:BY34 CB33:CB34 CE33:CE34 CH33:CH34 CK33:CK34 CN33:CN34 CQ33:CQ34 CT33:CT34 CW33:CW34 CZ33:CZ34 DC33:DC34 DF33:DF34 DI33:DI34 Q36 S36:T36 V36:W36 Y36:Z36 AB36:AC36 AE36:AF36 AH36:AI36 AK36:AL36 AN36:AO36 AQ36:AR36 AT36:AU36 AW36:AX36 BA36 BD36 BG36 BJ36 BM36 BP36 BS36 BV36 BY36 CB36 CE36 CH36 CK36 CN36 CQ36 CT36 CW36 CZ36 DC36 DF36 DI36 Q38 S38:T38 V38:W38 Y38:Z38 AB38:AC38 AF38 AH38:AI38 AK38:AL38 AO38 AR38 AU38 AX38 BA38 BD38 BG38 BJ38 BM38 BP38 BS38 BV38 BY38 CB38 CE38 CH38 CK38 CN38 CQ38 CT38 CW38 CZ38 DC38 DF38 DI38 Q40 T40 V40:W40 Z40 AB40:AC40 AE40:AF40 AI40 AK40:AL40 AN40:AO40 AX40 AZ40:BA40 BC40:BD40 BF40 BM40 BP40 BR40:BS40 BV40 BY40 CB40 CE40 CH40 CK40 CN40 CQ40 CT40 CW40 CZ40 DC40 DF40 DI40 V42:W42 AL42 AN42:AO42 AR42 AU42 AX42 BA42 BD42 BG42 BJ42 BM42 BP42 BS42 BV42 BY42 CB42 CE42 CH42 CK42 CN42 CQ42 CT42 CW42 CZ42 DC42 DF42 DI42 Q42:Q43 S42:T43 W43 Y43:Z43 AC42:AC43 AF42:AF43 AH42:AI43 AK43:AL43 AN43 AC45 AL45 AO45 AR45 AU45 AX45 BA45 BG45 BJ45 BS45 S45:T46 Y45:Z46 AB46:AC46 BP45:BP46 BV45:BV46 BY45:BY46 CB45:CB46 CE45:CE46 CH45:CH46 CK45:CK46 CN45:CN46 CQ45:CQ46 CT45:CT46 CW45:CW46 CZ45:CZ46 DC45:DC46 DF45:DF46 DI45:DI46 T47 Y47 AH45:AI47 AK46:AL47 AN46:AO47 AQ46:AR47 AT46:AU47 AW46:AX47 AZ46:BA47 BF46:BF47 BO47:BP47 BR46:BS47 BX47 Q45:Q48 S48:T48 V45:W48 Y48:Z48 AC47:AC48 AE45:AF48 AI48 AL48 AO48 AR48 AU48 AX48 BA48 BD45:BD48 BG48 BJ48 BM45:BM48 BP48 BS48 BV48 BY48 CB48 CE48 CH48 CK48 CN48 CQ48 CT48 CW48 CZ48 DC48 DF48 DI48 Q50 T50 V50:W50 Y50:Z50 AB50:AC50 AE50:AF50 AH50:AI50 AL50 AN50:AO50 AR50 AU50 AX50 BA50 BC50:BD50 BF50 BJ50 BM50 BP50 BS50 BV50 BY50 CB50 CE50 CH50 CK50 CN50 CQ50 CT50 CW50 CZ50 DC50 DF50 DI50 Q52 S52:T52 V52:W52 Y52:Z52 AB52:AC52 AF52 AH52:AI52 AL52 AO52 AR52 AU52 AX52 BA52 BD52 BG52 BJ52 BM52 BP52 BS52 BV52 BY52 CB52 CE52 CH52 CK52 CN52 CQ52 CT52 CW52 CZ52 DC52 DF52 DI52 T54 Z54 AE54:AF54 AI54 AL54 AC54:AC55 AF55 AH55:AI55 AO54:AO55 S55:T56 V54:W56 Y56:Z56 AB56:AC56 AK55:AL56 AN56:AO56 W57 AE56:AF57 AI56:AI57 AL57 Q54:Q58 T57:T58 V58:W58 Z57:Z58 AC57:AC58 AF58 AH58:AI58 AK58:AL58 AO57:AO58 AR54:AR58 AU54:AU58 AX54:AX58 BA54:BA58 BD54:BD58 BG54:BG58 BJ54:BJ58 BM54:BM58 BP54:BP58 BS54:BS58 BV54:BV58 BY54:BY58 CB54:CB58 CE54:CE58 CH54:CH58 CK54:CK58 CN54:CN58 CQ54:CQ58 CT54:CT58 CW54:CW58 CZ54:CZ58 DC54:DC58 DF54:DF58 DI54:DI58 T60:T61 Z60:Z61 AF60:AF61 AH60:AI61 AN60:AO61 AE62:AF62 S62:T64 Y62:Z64 AI62:AI64 AO62:AO64 T65 Z65 AN65:AO65 V60:W66 Y66:Z66 AB60:AC66 AH65:AI66 AL60:AL66 AO66 AR60:AR66 AU60:AU66 AX60:AX66 BA60:BA66 BD60:BD66 BG60:BG66 BJ60:BJ66 BM60:BM66 BP60:BP66 BV60:BV66 BY60:BY66 CB60:CB66 CE60:CE66 CH60:CH66 CK60:CK66 CN60:CN66 CQ60:CQ66 CT60:CT66 CW60:CW66 CZ60:CZ66 DC60:DC66 DF60:DF66 DI60:DI66 Q60:Q67 S66:T67 W67 Y67 AC67 AF63:AF67 AI67 AK67:AL67 AN67:AO67 AQ67:AR67 AT67:AU67 AW67:AX67 AZ67:BA67 BC67:BD67 BF67:BG67 BI67:BJ67 BL67:BM67 BO67:BP67 BS60:BS67 BU67">
      <formula1>"APPROVED,REPROVED,N/A,ANALYSING,NOT PUBLISHED,OUTDATED,PREVIOUSLY APPROVED,NEXT ROUND ,IMPROPER"</formula1>
    </dataValidation>
    <dataValidation type="list" allowBlank="1" showErrorMessage="1" sqref="P16">
      <formula1>"CICI,YASMIN,GUI,CAROL,ALINNE,IURY,CLARISSA,LUIZA,INGRYD"</formula1>
    </dataValidation>
    <dataValidation type="list" allowBlank="1" showErrorMessage="1" sqref="P17 P27 P36 P46:P47 P60:P61 P67">
      <formula1>"CICI,YASMIN,GUI,JAKE,ALINNE,JOÃO,LUIZA,INGRYD"</formula1>
    </dataValidation>
    <dataValidation type="list" allowBlank="1" showDropDown="1" showErrorMessage="1" sqref="BJ4 BL4 BG17 BI17:BJ17 BL17 BG34 BI34:BJ34 BL34 AR40 AT40:AU40 AW40 BG40 BI40:BJ40 BL40 AO43 AR43 AU43 AX43 BA43 BD43 BG43 BJ43 BM43 BP43 BS43 BV43 BY43 CB43 CE43 CH43 CK43 CN43 CQ43 CT43 CW43 CZ43 DC43 DF43 DI43 BG46:BG47 BI46:BJ47 BL46:BL47 BG50 BI50">
      <formula1>"APPROVED,REPROVED,N/A,ANALYSING,NOT PUBLISHED,OUTDATED,PREVIOUSLY APPROVED,IMPROPER,NEXT ROUND"</formula1>
    </dataValidation>
    <dataValidation type="list" allowBlank="1" showDropDown="1" showErrorMessage="1" sqref="BM4 BO4 BS4 BU4:BV4 BX4:BY4 CA4:CB4 CD4:CE4 CG4 CN4 CP4:CQ4 CS4:CT4 CV4:CW4 CY4:CZ4 DB4:DC4 DE4:DF4 DH4:DI4 CW16 DK16 BS17 BU17:BV17 BY17 CB17 CD17:CE17 CG17:CH17 CJ17:CK17 CM17:CN17 CP17:CQ17 CT17 CV17:CW17 CY16:CZ17 DB16:DC17 DE16:DF17 DH16:DI17 CN19 CP19:CQ19 CS19:CT19 CV19:CW19 CY19:CZ19 DB19:DC19 DE19:DF19 DH19:DI19 DK19 AI21 CH21 CJ21:CK21 CM21 CQ21 CS21:CT21 CV21:CW21 CY21:CZ21 DB21:DC21 DE21:DF21 DH21:DI21 DK21 CT23 CV23:CW23 CY23:CZ23 DC23 DE23:DF23 DH23:DI23 DK23 BY25 CB25 CE25 CG25 CN25 CP25:CQ25 CS25:CT25 CV25:CW25 CY25:CZ25 DC25 DF25 DI25 CB27 CD27:CE27 CG27 CN27 CP27:CQ27 CT27 CW27 CZ27 DC27 DF27 DI27 BS29 BU29:BV29 BX29:BY29 CA29:CB29 CD29:CE29 CG29 BV47 BY47 CB47 CE47 CH47 CK47 CN47 CQ47 CT47 CW47 CZ47 DC47 DF47 DI47 BV67 BY67 CB67 CD67:CE67 CG67 CN67 CP67:CQ67 CT67 CV67:CW67 CY67:CZ67 DC67 DF67 DI67">
      <formula1>"APPROVED,REPROVED,N/A,ANALYSING,NOT PUBLISHED,OUTDATED,PREVIOUSLY APPROVED,NEXT ROUND,IMPROPER"</formula1>
    </dataValidation>
    <dataValidation type="list" allowBlank="1" showDropDown="1" showErrorMessage="1" sqref="Z16:Z17 AB16:AB17 Z42 AB42 Z47 AB47 Z55 AB55 Z67 AB67">
      <formula1>"APPROVED,REPROVED,N/A,IN ANALYSIS,NOT FOUND,TO BE AUDITED,OUTDATED,PREVIOUSLY APPROVED,IMPROPER"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5.88"/>
    <col customWidth="1" min="2" max="3" width="33.88"/>
    <col customWidth="1" min="4" max="4" width="10.88"/>
    <col customWidth="1" min="5" max="5" width="19.75"/>
    <col customWidth="1" min="6" max="6" width="0.38"/>
    <col customWidth="1" min="7" max="7" width="18.63"/>
    <col customWidth="1" min="8" max="8" width="9.38"/>
    <col customWidth="1" min="9" max="11" width="14.75"/>
    <col customWidth="1" min="12" max="12" width="16.25"/>
    <col customWidth="1" min="13" max="15" width="14.38"/>
    <col customWidth="1" min="16" max="16" width="17.25"/>
    <col customWidth="1" min="17" max="17" width="15.38"/>
    <col customWidth="1" min="18" max="18" width="17.13"/>
    <col customWidth="1" min="19" max="106" width="16.38"/>
  </cols>
  <sheetData>
    <row r="1" ht="52.5" customHeight="1">
      <c r="A1" s="1"/>
      <c r="B1" s="491"/>
      <c r="C1" s="492"/>
      <c r="D1" s="492" t="s">
        <v>510</v>
      </c>
      <c r="E1" s="494"/>
      <c r="F1" s="494"/>
      <c r="G1" s="494"/>
      <c r="H1" s="494"/>
      <c r="I1" s="494"/>
      <c r="J1" s="494"/>
      <c r="K1" s="494"/>
      <c r="L1" s="494"/>
      <c r="M1" s="494"/>
      <c r="N1" s="494"/>
      <c r="O1" s="494"/>
      <c r="P1" s="494"/>
      <c r="Q1" s="494"/>
      <c r="R1" s="494"/>
      <c r="S1" s="494"/>
      <c r="T1" s="494"/>
      <c r="U1" s="494"/>
      <c r="V1" s="494"/>
      <c r="W1" s="494"/>
      <c r="X1" s="494"/>
      <c r="Y1" s="494"/>
      <c r="Z1" s="494"/>
      <c r="AA1" s="494"/>
      <c r="AB1" s="494"/>
      <c r="AC1" s="494"/>
      <c r="AD1" s="494"/>
      <c r="AE1" s="494"/>
      <c r="AF1" s="494"/>
      <c r="AG1" s="494"/>
      <c r="AH1" s="494"/>
      <c r="AI1" s="494"/>
      <c r="AJ1" s="494"/>
      <c r="AK1" s="494"/>
      <c r="AL1" s="494"/>
      <c r="AM1" s="495"/>
      <c r="AN1" s="498"/>
      <c r="AO1" s="497"/>
      <c r="AP1" s="497"/>
      <c r="AQ1" s="497"/>
      <c r="AR1" s="497"/>
      <c r="AS1" s="497"/>
      <c r="AT1" s="497"/>
      <c r="AU1" s="497"/>
      <c r="AV1" s="497"/>
      <c r="AW1" s="497"/>
      <c r="AX1" s="497"/>
      <c r="AY1" s="497"/>
      <c r="AZ1" s="497"/>
      <c r="BA1" s="497"/>
      <c r="BB1" s="497"/>
      <c r="BC1" s="497"/>
      <c r="BD1" s="497"/>
      <c r="BE1" s="497"/>
      <c r="BF1" s="497"/>
      <c r="BG1" s="497"/>
      <c r="BH1" s="497"/>
      <c r="BI1" s="497"/>
      <c r="BJ1" s="497"/>
      <c r="BK1" s="497"/>
      <c r="BL1" s="497"/>
      <c r="BM1" s="497"/>
      <c r="BN1" s="497"/>
      <c r="BO1" s="497"/>
      <c r="BP1" s="497"/>
      <c r="BQ1" s="497"/>
      <c r="BR1" s="497"/>
      <c r="BS1" s="497"/>
      <c r="BT1" s="497"/>
      <c r="BU1" s="497"/>
      <c r="BV1" s="497"/>
      <c r="BW1" s="497"/>
      <c r="BX1" s="497"/>
      <c r="BY1" s="497"/>
      <c r="BZ1" s="497"/>
      <c r="CA1" s="497"/>
      <c r="CB1" s="497"/>
      <c r="CC1" s="497"/>
      <c r="CD1" s="497"/>
      <c r="CE1" s="497"/>
      <c r="CF1" s="497"/>
      <c r="CG1" s="497"/>
      <c r="CH1" s="497"/>
      <c r="CI1" s="497"/>
      <c r="CJ1" s="497"/>
      <c r="CK1" s="497"/>
      <c r="CL1" s="497"/>
      <c r="CM1" s="497"/>
      <c r="CN1" s="497"/>
      <c r="CO1" s="497"/>
      <c r="CP1" s="497"/>
      <c r="CQ1" s="497"/>
      <c r="CR1" s="497"/>
      <c r="CS1" s="497"/>
      <c r="CT1" s="497"/>
      <c r="CU1" s="497"/>
      <c r="CV1" s="497"/>
      <c r="CW1" s="497"/>
      <c r="CX1" s="497"/>
      <c r="CY1" s="497"/>
      <c r="CZ1" s="497"/>
      <c r="DA1" s="497"/>
      <c r="DB1" s="497"/>
    </row>
    <row r="2">
      <c r="A2" s="14"/>
      <c r="B2" s="501" t="s">
        <v>9</v>
      </c>
      <c r="C2" s="502" t="s">
        <v>10</v>
      </c>
      <c r="D2" s="501" t="s">
        <v>11</v>
      </c>
      <c r="E2" s="501" t="s">
        <v>12</v>
      </c>
      <c r="F2" s="503" t="s">
        <v>13</v>
      </c>
      <c r="G2" s="501" t="s">
        <v>14</v>
      </c>
      <c r="H2" s="503" t="s">
        <v>13</v>
      </c>
      <c r="I2" s="502" t="s">
        <v>15</v>
      </c>
      <c r="J2" s="502" t="s">
        <v>16</v>
      </c>
      <c r="K2" s="501" t="s">
        <v>17</v>
      </c>
      <c r="L2" s="501" t="s">
        <v>18</v>
      </c>
      <c r="M2" s="501" t="s">
        <v>305</v>
      </c>
      <c r="N2" s="501" t="s">
        <v>306</v>
      </c>
      <c r="O2" s="655" t="s">
        <v>29</v>
      </c>
      <c r="P2" s="505" t="s">
        <v>308</v>
      </c>
      <c r="Q2" s="506" t="s">
        <v>309</v>
      </c>
      <c r="R2" s="506" t="s">
        <v>310</v>
      </c>
      <c r="S2" s="506" t="s">
        <v>30</v>
      </c>
      <c r="T2" s="506" t="s">
        <v>311</v>
      </c>
      <c r="U2" s="506" t="s">
        <v>312</v>
      </c>
      <c r="V2" s="506" t="s">
        <v>31</v>
      </c>
      <c r="W2" s="506" t="s">
        <v>313</v>
      </c>
      <c r="X2" s="506" t="s">
        <v>314</v>
      </c>
      <c r="Y2" s="506" t="s">
        <v>32</v>
      </c>
      <c r="Z2" s="506" t="s">
        <v>315</v>
      </c>
      <c r="AA2" s="506" t="s">
        <v>316</v>
      </c>
      <c r="AB2" s="506" t="s">
        <v>33</v>
      </c>
      <c r="AC2" s="506" t="s">
        <v>317</v>
      </c>
      <c r="AD2" s="506" t="s">
        <v>318</v>
      </c>
      <c r="AE2" s="506" t="s">
        <v>34</v>
      </c>
      <c r="AF2" s="506" t="s">
        <v>319</v>
      </c>
      <c r="AG2" s="506" t="s">
        <v>320</v>
      </c>
      <c r="AH2" s="506" t="s">
        <v>35</v>
      </c>
      <c r="AI2" s="506" t="s">
        <v>321</v>
      </c>
      <c r="AJ2" s="506" t="s">
        <v>322</v>
      </c>
      <c r="AK2" s="506" t="s">
        <v>36</v>
      </c>
      <c r="AL2" s="507" t="s">
        <v>323</v>
      </c>
      <c r="AM2" s="507" t="s">
        <v>324</v>
      </c>
      <c r="AN2" s="507" t="s">
        <v>37</v>
      </c>
      <c r="AO2" s="507" t="s">
        <v>511</v>
      </c>
      <c r="AP2" s="507" t="s">
        <v>326</v>
      </c>
      <c r="AQ2" s="507" t="s">
        <v>38</v>
      </c>
      <c r="AR2" s="507" t="s">
        <v>512</v>
      </c>
      <c r="AS2" s="507" t="s">
        <v>328</v>
      </c>
      <c r="AT2" s="507" t="s">
        <v>39</v>
      </c>
      <c r="AU2" s="507" t="s">
        <v>329</v>
      </c>
      <c r="AV2" s="507" t="s">
        <v>330</v>
      </c>
      <c r="AW2" s="507" t="s">
        <v>40</v>
      </c>
      <c r="AX2" s="507" t="s">
        <v>331</v>
      </c>
      <c r="AY2" s="507" t="s">
        <v>332</v>
      </c>
      <c r="AZ2" s="507" t="s">
        <v>41</v>
      </c>
      <c r="BA2" s="507" t="s">
        <v>333</v>
      </c>
      <c r="BB2" s="507" t="s">
        <v>334</v>
      </c>
      <c r="BC2" s="507" t="s">
        <v>42</v>
      </c>
      <c r="BD2" s="507" t="s">
        <v>335</v>
      </c>
      <c r="BE2" s="507" t="s">
        <v>336</v>
      </c>
      <c r="BF2" s="507" t="s">
        <v>43</v>
      </c>
      <c r="BG2" s="507" t="s">
        <v>337</v>
      </c>
      <c r="BH2" s="507" t="s">
        <v>338</v>
      </c>
      <c r="BI2" s="507" t="s">
        <v>44</v>
      </c>
      <c r="BJ2" s="507" t="s">
        <v>339</v>
      </c>
      <c r="BK2" s="507" t="s">
        <v>340</v>
      </c>
      <c r="BL2" s="507" t="s">
        <v>45</v>
      </c>
      <c r="BM2" s="507" t="s">
        <v>341</v>
      </c>
      <c r="BN2" s="507" t="s">
        <v>342</v>
      </c>
      <c r="BO2" s="507" t="s">
        <v>46</v>
      </c>
      <c r="BP2" s="507" t="s">
        <v>343</v>
      </c>
      <c r="BQ2" s="507" t="s">
        <v>344</v>
      </c>
      <c r="BR2" s="507" t="s">
        <v>47</v>
      </c>
      <c r="BS2" s="507" t="s">
        <v>345</v>
      </c>
      <c r="BT2" s="507" t="s">
        <v>346</v>
      </c>
      <c r="BU2" s="507" t="s">
        <v>48</v>
      </c>
      <c r="BV2" s="507" t="s">
        <v>513</v>
      </c>
      <c r="BW2" s="507" t="s">
        <v>348</v>
      </c>
      <c r="BX2" s="507" t="s">
        <v>49</v>
      </c>
      <c r="BY2" s="507" t="s">
        <v>514</v>
      </c>
      <c r="BZ2" s="507" t="s">
        <v>350</v>
      </c>
      <c r="CA2" s="507" t="s">
        <v>50</v>
      </c>
      <c r="CB2" s="507" t="s">
        <v>515</v>
      </c>
      <c r="CC2" s="507" t="s">
        <v>352</v>
      </c>
      <c r="CD2" s="507" t="s">
        <v>51</v>
      </c>
      <c r="CE2" s="507" t="s">
        <v>516</v>
      </c>
      <c r="CF2" s="507" t="s">
        <v>354</v>
      </c>
      <c r="CG2" s="507" t="s">
        <v>52</v>
      </c>
      <c r="CH2" s="507" t="s">
        <v>479</v>
      </c>
      <c r="CI2" s="507" t="s">
        <v>356</v>
      </c>
      <c r="CJ2" s="507" t="s">
        <v>53</v>
      </c>
      <c r="CK2" s="507" t="s">
        <v>480</v>
      </c>
      <c r="CL2" s="507" t="s">
        <v>358</v>
      </c>
      <c r="CM2" s="507" t="s">
        <v>54</v>
      </c>
      <c r="CN2" s="507" t="s">
        <v>359</v>
      </c>
      <c r="CO2" s="507" t="s">
        <v>360</v>
      </c>
      <c r="CP2" s="507" t="s">
        <v>55</v>
      </c>
      <c r="CQ2" s="507" t="s">
        <v>361</v>
      </c>
      <c r="CR2" s="507" t="s">
        <v>362</v>
      </c>
      <c r="CS2" s="507" t="s">
        <v>56</v>
      </c>
      <c r="CT2" s="507" t="s">
        <v>363</v>
      </c>
      <c r="CU2" s="507" t="s">
        <v>364</v>
      </c>
      <c r="CV2" s="507" t="s">
        <v>57</v>
      </c>
      <c r="CW2" s="507" t="s">
        <v>365</v>
      </c>
      <c r="CX2" s="507" t="s">
        <v>366</v>
      </c>
      <c r="CY2" s="507" t="s">
        <v>58</v>
      </c>
      <c r="CZ2" s="507" t="s">
        <v>367</v>
      </c>
      <c r="DA2" s="507" t="s">
        <v>368</v>
      </c>
      <c r="DB2" s="507" t="s">
        <v>59</v>
      </c>
    </row>
    <row r="3" hidden="1">
      <c r="A3" s="53">
        <v>1.0</v>
      </c>
      <c r="B3" s="508" t="s">
        <v>77</v>
      </c>
      <c r="C3" s="423"/>
      <c r="D3" s="509"/>
      <c r="E3" s="58"/>
      <c r="F3" s="58"/>
      <c r="G3" s="58"/>
      <c r="H3" s="509"/>
      <c r="I3" s="509"/>
      <c r="J3" s="509"/>
      <c r="K3" s="968"/>
      <c r="L3" s="58"/>
      <c r="M3" s="510"/>
      <c r="N3" s="58"/>
      <c r="O3" s="58"/>
      <c r="P3" s="725"/>
      <c r="Q3" s="512"/>
      <c r="R3" s="513"/>
      <c r="S3" s="726"/>
      <c r="T3" s="806"/>
      <c r="U3" s="806"/>
      <c r="V3" s="806"/>
      <c r="W3" s="806"/>
      <c r="X3" s="806"/>
      <c r="Y3" s="806"/>
      <c r="Z3" s="806"/>
      <c r="AA3" s="806"/>
      <c r="AB3" s="806"/>
      <c r="AC3" s="806"/>
      <c r="AD3" s="806"/>
      <c r="AE3" s="806"/>
      <c r="AF3" s="806"/>
      <c r="AG3" s="806"/>
      <c r="AH3" s="806"/>
      <c r="AI3" s="806"/>
      <c r="AJ3" s="806"/>
      <c r="AK3" s="806"/>
      <c r="AL3" s="806"/>
      <c r="AM3" s="806"/>
      <c r="AN3" s="806"/>
      <c r="AO3" s="806"/>
      <c r="AP3" s="806"/>
      <c r="AQ3" s="806"/>
      <c r="AR3" s="806"/>
      <c r="AS3" s="806"/>
      <c r="AT3" s="806"/>
      <c r="AU3" s="806"/>
      <c r="AV3" s="806"/>
      <c r="AW3" s="806"/>
      <c r="AX3" s="806"/>
      <c r="AY3" s="806"/>
      <c r="AZ3" s="806"/>
      <c r="BA3" s="806"/>
      <c r="BB3" s="806"/>
      <c r="BC3" s="806"/>
      <c r="BD3" s="806"/>
      <c r="BE3" s="806"/>
      <c r="BF3" s="806"/>
      <c r="BG3" s="806"/>
      <c r="BH3" s="806"/>
      <c r="BI3" s="806"/>
      <c r="BJ3" s="856"/>
      <c r="BK3" s="806"/>
      <c r="BL3" s="856"/>
      <c r="BM3" s="856"/>
      <c r="BN3" s="806"/>
      <c r="BO3" s="856"/>
      <c r="BP3" s="806"/>
      <c r="BQ3" s="806"/>
      <c r="BR3" s="806"/>
      <c r="BS3" s="806"/>
      <c r="BT3" s="806"/>
      <c r="BU3" s="806"/>
      <c r="BV3" s="806"/>
      <c r="BW3" s="806"/>
      <c r="BX3" s="806"/>
      <c r="BY3" s="806"/>
      <c r="BZ3" s="806"/>
      <c r="CA3" s="806"/>
      <c r="CB3" s="806"/>
      <c r="CC3" s="806"/>
      <c r="CD3" s="806"/>
      <c r="CE3" s="806"/>
      <c r="CF3" s="806"/>
      <c r="CG3" s="806"/>
      <c r="CH3" s="806"/>
      <c r="CI3" s="806"/>
      <c r="CJ3" s="806"/>
      <c r="CK3" s="806"/>
      <c r="CL3" s="806"/>
      <c r="CM3" s="806"/>
      <c r="CN3" s="806"/>
      <c r="CO3" s="806"/>
      <c r="CP3" s="806"/>
      <c r="CQ3" s="806"/>
      <c r="CR3" s="806"/>
      <c r="CS3" s="806"/>
      <c r="CT3" s="806"/>
      <c r="CU3" s="806"/>
      <c r="CV3" s="806"/>
      <c r="CW3" s="806"/>
      <c r="CX3" s="806"/>
      <c r="CY3" s="806"/>
      <c r="CZ3" s="806"/>
      <c r="DA3" s="806"/>
      <c r="DB3" s="806"/>
    </row>
    <row r="4" hidden="1">
      <c r="A4" s="53">
        <v>2.0</v>
      </c>
      <c r="B4" s="969" t="s">
        <v>183</v>
      </c>
      <c r="C4" s="970"/>
      <c r="D4" s="892"/>
      <c r="E4" s="892"/>
      <c r="F4" s="153"/>
      <c r="G4" s="150"/>
      <c r="H4" s="150"/>
      <c r="I4" s="148"/>
      <c r="J4" s="148"/>
      <c r="K4" s="579"/>
      <c r="L4" s="580"/>
      <c r="M4" s="971"/>
      <c r="N4" s="580"/>
      <c r="O4" s="148"/>
      <c r="P4" s="522"/>
      <c r="Q4" s="972"/>
      <c r="R4" s="973"/>
      <c r="S4" s="584"/>
      <c r="T4" s="885"/>
      <c r="U4" s="974"/>
      <c r="V4" s="584"/>
      <c r="W4" s="885"/>
      <c r="X4" s="974"/>
      <c r="Y4" s="584"/>
      <c r="Z4" s="885"/>
      <c r="AA4" s="974"/>
      <c r="AB4" s="585"/>
      <c r="AC4" s="885"/>
      <c r="AD4" s="974"/>
      <c r="AE4" s="585"/>
      <c r="AF4" s="885"/>
      <c r="AG4" s="974"/>
      <c r="AH4" s="585"/>
      <c r="AI4" s="885"/>
      <c r="AJ4" s="974"/>
      <c r="AK4" s="585"/>
      <c r="AL4" s="885"/>
      <c r="AM4" s="974"/>
      <c r="AN4" s="585"/>
      <c r="AO4" s="975"/>
      <c r="AP4" s="685"/>
      <c r="AQ4" s="585"/>
      <c r="AR4" s="975"/>
      <c r="AS4" s="685"/>
      <c r="AT4" s="585"/>
      <c r="AU4" s="585"/>
      <c r="AV4" s="585"/>
      <c r="AW4" s="585"/>
      <c r="AX4" s="585"/>
      <c r="AY4" s="585"/>
      <c r="AZ4" s="585"/>
      <c r="BA4" s="585"/>
      <c r="BB4" s="585"/>
      <c r="BC4" s="585"/>
      <c r="BD4" s="585"/>
      <c r="BE4" s="585"/>
      <c r="BF4" s="585"/>
      <c r="BG4" s="585"/>
      <c r="BH4" s="585"/>
      <c r="BI4" s="585"/>
      <c r="BJ4" s="885"/>
      <c r="BK4" s="585"/>
      <c r="BL4" s="885"/>
      <c r="BM4" s="885"/>
      <c r="BN4" s="585"/>
      <c r="BO4" s="885"/>
      <c r="BP4" s="585"/>
      <c r="BQ4" s="585"/>
      <c r="BR4" s="585"/>
      <c r="BS4" s="585"/>
      <c r="BT4" s="585"/>
      <c r="BU4" s="585"/>
      <c r="BV4" s="585"/>
      <c r="BW4" s="585"/>
      <c r="BX4" s="585"/>
      <c r="BY4" s="585"/>
      <c r="BZ4" s="585"/>
      <c r="CA4" s="585"/>
      <c r="CB4" s="585"/>
      <c r="CC4" s="585"/>
      <c r="CD4" s="585"/>
      <c r="CE4" s="585"/>
      <c r="CF4" s="585"/>
      <c r="CG4" s="585"/>
      <c r="CH4" s="585"/>
      <c r="CI4" s="585"/>
      <c r="CJ4" s="585"/>
      <c r="CK4" s="585"/>
      <c r="CL4" s="585"/>
      <c r="CM4" s="585"/>
      <c r="CN4" s="585"/>
      <c r="CO4" s="585"/>
      <c r="CP4" s="585"/>
      <c r="CQ4" s="585"/>
      <c r="CR4" s="585"/>
      <c r="CS4" s="585"/>
      <c r="CT4" s="585"/>
      <c r="CU4" s="585"/>
      <c r="CV4" s="585"/>
      <c r="CW4" s="585"/>
      <c r="CX4" s="585"/>
      <c r="CY4" s="585"/>
      <c r="CZ4" s="585"/>
      <c r="DA4" s="585"/>
      <c r="DB4" s="585"/>
    </row>
    <row r="5" hidden="1">
      <c r="A5" s="53">
        <v>3.0</v>
      </c>
      <c r="B5" s="976" t="s">
        <v>178</v>
      </c>
      <c r="C5" s="868"/>
      <c r="D5" s="977"/>
      <c r="E5" s="977"/>
      <c r="F5" s="173"/>
      <c r="G5" s="169"/>
      <c r="H5" s="169"/>
      <c r="I5" s="167"/>
      <c r="J5" s="167"/>
      <c r="K5" s="590"/>
      <c r="L5" s="591"/>
      <c r="M5" s="977"/>
      <c r="N5" s="591"/>
      <c r="O5" s="167"/>
      <c r="P5" s="522"/>
      <c r="Q5" s="833"/>
      <c r="R5" s="871"/>
      <c r="S5" s="978"/>
      <c r="T5" s="872"/>
      <c r="U5" s="873"/>
      <c r="V5" s="872"/>
      <c r="W5" s="872"/>
      <c r="X5" s="873"/>
      <c r="Y5" s="872"/>
      <c r="Z5" s="872"/>
      <c r="AA5" s="873"/>
      <c r="AB5" s="872"/>
      <c r="AC5" s="872"/>
      <c r="AD5" s="873"/>
      <c r="AE5" s="872"/>
      <c r="AF5" s="872"/>
      <c r="AG5" s="873"/>
      <c r="AH5" s="872"/>
      <c r="AI5" s="872"/>
      <c r="AJ5" s="873"/>
      <c r="AK5" s="872"/>
      <c r="AL5" s="872"/>
      <c r="AM5" s="873"/>
      <c r="AN5" s="872"/>
      <c r="AO5" s="979"/>
      <c r="AP5" s="680"/>
      <c r="AQ5" s="980"/>
      <c r="AR5" s="979"/>
      <c r="AS5" s="680"/>
      <c r="AT5" s="980"/>
      <c r="AU5" s="578"/>
      <c r="AV5" s="578"/>
      <c r="AW5" s="578"/>
      <c r="AX5" s="578"/>
      <c r="AY5" s="578"/>
      <c r="AZ5" s="578"/>
      <c r="BA5" s="578"/>
      <c r="BB5" s="578"/>
      <c r="BC5" s="578"/>
      <c r="BD5" s="578"/>
      <c r="BE5" s="578"/>
      <c r="BF5" s="578"/>
      <c r="BG5" s="578"/>
      <c r="BH5" s="578"/>
      <c r="BI5" s="578"/>
      <c r="BJ5" s="872"/>
      <c r="BK5" s="578"/>
      <c r="BL5" s="872"/>
      <c r="BM5" s="872"/>
      <c r="BN5" s="578"/>
      <c r="BO5" s="872"/>
      <c r="BP5" s="578"/>
      <c r="BQ5" s="578"/>
      <c r="BR5" s="578"/>
      <c r="BS5" s="578"/>
      <c r="BT5" s="578"/>
      <c r="BU5" s="578"/>
      <c r="BV5" s="578"/>
      <c r="BW5" s="578"/>
      <c r="BX5" s="578"/>
      <c r="BY5" s="578"/>
      <c r="BZ5" s="578"/>
      <c r="CA5" s="578"/>
      <c r="CB5" s="578"/>
      <c r="CC5" s="578"/>
      <c r="CD5" s="578"/>
      <c r="CE5" s="578"/>
      <c r="CF5" s="578"/>
      <c r="CG5" s="578"/>
      <c r="CH5" s="578"/>
      <c r="CI5" s="578"/>
      <c r="CJ5" s="578"/>
      <c r="CK5" s="578"/>
      <c r="CL5" s="578"/>
      <c r="CM5" s="578"/>
      <c r="CN5" s="578"/>
      <c r="CO5" s="578"/>
      <c r="CP5" s="578"/>
      <c r="CQ5" s="578"/>
      <c r="CR5" s="578"/>
      <c r="CS5" s="578"/>
      <c r="CT5" s="578"/>
      <c r="CU5" s="578"/>
      <c r="CV5" s="578"/>
      <c r="CW5" s="578"/>
      <c r="CX5" s="578"/>
      <c r="CY5" s="578"/>
      <c r="CZ5" s="578"/>
      <c r="DA5" s="578"/>
      <c r="DB5" s="578"/>
    </row>
    <row r="6" ht="15.0" hidden="1" customHeight="1">
      <c r="A6" s="53">
        <v>4.0</v>
      </c>
      <c r="B6" s="981" t="s">
        <v>251</v>
      </c>
      <c r="C6" s="982"/>
      <c r="D6" s="983"/>
      <c r="E6" s="983"/>
      <c r="F6" s="340"/>
      <c r="G6" s="337"/>
      <c r="H6" s="337"/>
      <c r="I6" s="335"/>
      <c r="J6" s="335"/>
      <c r="K6" s="984"/>
      <c r="L6" s="985"/>
      <c r="M6" s="983"/>
      <c r="N6" s="985"/>
      <c r="O6" s="335"/>
      <c r="P6" s="522"/>
      <c r="Q6" s="986"/>
      <c r="R6" s="987"/>
      <c r="S6" s="988"/>
      <c r="T6" s="958"/>
      <c r="U6" s="989"/>
      <c r="V6" s="958"/>
      <c r="W6" s="958"/>
      <c r="X6" s="989"/>
      <c r="Y6" s="958"/>
      <c r="Z6" s="958"/>
      <c r="AA6" s="989"/>
      <c r="AB6" s="958"/>
      <c r="AC6" s="958"/>
      <c r="AD6" s="989"/>
      <c r="AE6" s="958"/>
      <c r="AF6" s="958"/>
      <c r="AG6" s="989"/>
      <c r="AH6" s="958"/>
      <c r="AI6" s="958"/>
      <c r="AJ6" s="989"/>
      <c r="AK6" s="958"/>
      <c r="AL6" s="958"/>
      <c r="AM6" s="989"/>
      <c r="AN6" s="958"/>
      <c r="AO6" s="990"/>
      <c r="AP6" s="991"/>
      <c r="AQ6" s="992"/>
      <c r="AR6" s="990"/>
      <c r="AS6" s="991"/>
      <c r="AT6" s="992"/>
      <c r="AU6" s="957"/>
      <c r="AV6" s="957"/>
      <c r="AW6" s="957"/>
      <c r="AX6" s="957"/>
      <c r="AY6" s="957"/>
      <c r="AZ6" s="957"/>
      <c r="BA6" s="957"/>
      <c r="BB6" s="957"/>
      <c r="BC6" s="957"/>
      <c r="BD6" s="957"/>
      <c r="BE6" s="957"/>
      <c r="BF6" s="957"/>
      <c r="BG6" s="957"/>
      <c r="BH6" s="957"/>
      <c r="BI6" s="957"/>
      <c r="BJ6" s="957"/>
      <c r="BK6" s="957"/>
      <c r="BL6" s="958"/>
      <c r="BM6" s="957"/>
      <c r="BN6" s="957"/>
      <c r="BO6" s="958"/>
      <c r="BP6" s="957"/>
      <c r="BQ6" s="957"/>
      <c r="BR6" s="957"/>
      <c r="BS6" s="957"/>
      <c r="BT6" s="957"/>
      <c r="BU6" s="957"/>
      <c r="BV6" s="957"/>
      <c r="BW6" s="957"/>
      <c r="BX6" s="957"/>
      <c r="BY6" s="957"/>
      <c r="BZ6" s="957"/>
      <c r="CA6" s="957"/>
      <c r="CB6" s="957"/>
      <c r="CC6" s="957"/>
      <c r="CD6" s="957"/>
      <c r="CE6" s="957"/>
      <c r="CF6" s="957"/>
      <c r="CG6" s="957"/>
      <c r="CH6" s="957"/>
      <c r="CI6" s="957"/>
      <c r="CJ6" s="957"/>
      <c r="CK6" s="957"/>
      <c r="CL6" s="957"/>
      <c r="CM6" s="957"/>
      <c r="CN6" s="957"/>
      <c r="CO6" s="957"/>
      <c r="CP6" s="957"/>
      <c r="CQ6" s="957"/>
      <c r="CR6" s="957"/>
      <c r="CS6" s="957"/>
      <c r="CT6" s="957"/>
      <c r="CU6" s="957"/>
      <c r="CV6" s="957"/>
      <c r="CW6" s="957"/>
      <c r="CX6" s="957"/>
      <c r="CY6" s="957"/>
      <c r="CZ6" s="957"/>
      <c r="DA6" s="957"/>
      <c r="DB6" s="957"/>
    </row>
    <row r="7" ht="15.0" customHeight="1">
      <c r="A7" s="53">
        <v>12.0</v>
      </c>
      <c r="B7" s="100" t="s">
        <v>93</v>
      </c>
      <c r="C7" s="100" t="s">
        <v>94</v>
      </c>
      <c r="D7" s="101" t="str">
        <f t="shared" ref="D7:D54" si="1">MID(B7,17,4)</f>
        <v>SITE</v>
      </c>
      <c r="E7" s="111" t="s">
        <v>91</v>
      </c>
      <c r="F7" s="102">
        <v>1104.0</v>
      </c>
      <c r="G7" s="517" t="s">
        <v>92</v>
      </c>
      <c r="H7" s="517">
        <v>1127.0</v>
      </c>
      <c r="I7" s="858" t="str">
        <f>IFERROR(VLOOKUP(C:C,'R22 RELATÓRIO ACC'!B:F,5,FALSE),"NOT PUBLISHED")</f>
        <v>V9</v>
      </c>
      <c r="J7" s="858" t="str">
        <f>IFERROR(VLOOKUP(C:C,'R22 RELATÓRIO ACC'!B:P,15,FALSE),"NOT PUBLISHED")</f>
        <v>10/04/2026</v>
      </c>
      <c r="K7" s="821" t="str">
        <f>IFERROR(VLOOKUP(B:B,'RELATÓRIO ACC'!B:F,5,FALSE),"NOT PUBLISHED")</f>
        <v>V1</v>
      </c>
      <c r="L7" s="822" t="str">
        <f>IFERROR(VLOOKUP(B:B,'RELATÓRIO ACC'!B:P,15,FALSE),"NOT PUBLISHED")</f>
        <v>15/05/2026</v>
      </c>
      <c r="M7" s="552" t="s">
        <v>377</v>
      </c>
      <c r="N7" s="846">
        <v>46157.0</v>
      </c>
      <c r="O7" s="538" t="s">
        <v>378</v>
      </c>
      <c r="P7" s="587" t="s">
        <v>489</v>
      </c>
      <c r="Q7" s="523" t="s">
        <v>379</v>
      </c>
      <c r="R7" s="524">
        <v>0.0</v>
      </c>
      <c r="S7" s="543" t="s">
        <v>379</v>
      </c>
      <c r="T7" s="523" t="s">
        <v>381</v>
      </c>
      <c r="U7" s="526" t="s">
        <v>399</v>
      </c>
      <c r="V7" s="542">
        <v>0.86</v>
      </c>
      <c r="W7" s="523" t="s">
        <v>398</v>
      </c>
      <c r="X7" s="526" t="s">
        <v>399</v>
      </c>
      <c r="Y7" s="543" t="s">
        <v>398</v>
      </c>
      <c r="Z7" s="523" t="s">
        <v>379</v>
      </c>
      <c r="AA7" s="526" t="s">
        <v>399</v>
      </c>
      <c r="AB7" s="528" t="s">
        <v>379</v>
      </c>
      <c r="AC7" s="523" t="s">
        <v>383</v>
      </c>
      <c r="AD7" s="526" t="s">
        <v>399</v>
      </c>
      <c r="AE7" s="528" t="s">
        <v>383</v>
      </c>
      <c r="AF7" s="523" t="s">
        <v>381</v>
      </c>
      <c r="AG7" s="526" t="s">
        <v>399</v>
      </c>
      <c r="AH7" s="568">
        <v>0.9</v>
      </c>
      <c r="AI7" s="523" t="s">
        <v>379</v>
      </c>
      <c r="AJ7" s="526" t="s">
        <v>399</v>
      </c>
      <c r="AK7" s="528" t="s">
        <v>379</v>
      </c>
      <c r="AL7" s="523" t="s">
        <v>379</v>
      </c>
      <c r="AM7" s="526" t="s">
        <v>399</v>
      </c>
      <c r="AN7" s="528" t="s">
        <v>379</v>
      </c>
      <c r="AO7" s="861" t="s">
        <v>379</v>
      </c>
      <c r="AP7" s="550" t="s">
        <v>399</v>
      </c>
      <c r="AQ7" s="528" t="s">
        <v>379</v>
      </c>
      <c r="AR7" s="861" t="s">
        <v>379</v>
      </c>
      <c r="AS7" s="550" t="s">
        <v>399</v>
      </c>
      <c r="AT7" s="528" t="s">
        <v>379</v>
      </c>
      <c r="AU7" s="861" t="s">
        <v>379</v>
      </c>
      <c r="AV7" s="550" t="s">
        <v>399</v>
      </c>
      <c r="AW7" s="528" t="s">
        <v>379</v>
      </c>
      <c r="AX7" s="861" t="s">
        <v>379</v>
      </c>
      <c r="AY7" s="550" t="s">
        <v>399</v>
      </c>
      <c r="AZ7" s="528" t="s">
        <v>379</v>
      </c>
      <c r="BA7" s="861" t="s">
        <v>383</v>
      </c>
      <c r="BB7" s="550" t="s">
        <v>399</v>
      </c>
      <c r="BC7" s="528" t="s">
        <v>383</v>
      </c>
      <c r="BD7" s="861" t="s">
        <v>490</v>
      </c>
      <c r="BE7" s="550" t="s">
        <v>399</v>
      </c>
      <c r="BF7" s="528" t="s">
        <v>490</v>
      </c>
      <c r="BG7" s="528" t="s">
        <v>490</v>
      </c>
      <c r="BH7" s="550" t="s">
        <v>399</v>
      </c>
      <c r="BI7" s="528" t="s">
        <v>490</v>
      </c>
      <c r="BJ7" s="523" t="s">
        <v>383</v>
      </c>
      <c r="BK7" s="550" t="s">
        <v>399</v>
      </c>
      <c r="BL7" s="523" t="s">
        <v>383</v>
      </c>
      <c r="BM7" s="523" t="s">
        <v>383</v>
      </c>
      <c r="BN7" s="550" t="s">
        <v>399</v>
      </c>
      <c r="BO7" s="523" t="s">
        <v>383</v>
      </c>
      <c r="BP7" s="523" t="s">
        <v>383</v>
      </c>
      <c r="BQ7" s="550" t="s">
        <v>399</v>
      </c>
      <c r="BR7" s="523" t="s">
        <v>383</v>
      </c>
      <c r="BS7" s="523" t="s">
        <v>383</v>
      </c>
      <c r="BT7" s="550" t="s">
        <v>399</v>
      </c>
      <c r="BU7" s="523" t="s">
        <v>383</v>
      </c>
      <c r="BV7" s="523" t="s">
        <v>383</v>
      </c>
      <c r="BW7" s="550" t="s">
        <v>399</v>
      </c>
      <c r="BX7" s="523" t="s">
        <v>383</v>
      </c>
      <c r="BY7" s="809" t="s">
        <v>383</v>
      </c>
      <c r="BZ7" s="550" t="s">
        <v>399</v>
      </c>
      <c r="CA7" s="809" t="s">
        <v>383</v>
      </c>
      <c r="CB7" s="809" t="s">
        <v>383</v>
      </c>
      <c r="CC7" s="550" t="s">
        <v>399</v>
      </c>
      <c r="CD7" s="809" t="s">
        <v>383</v>
      </c>
      <c r="CE7" s="809" t="s">
        <v>383</v>
      </c>
      <c r="CF7" s="550" t="s">
        <v>399</v>
      </c>
      <c r="CG7" s="809" t="s">
        <v>383</v>
      </c>
      <c r="CH7" s="809" t="s">
        <v>383</v>
      </c>
      <c r="CI7" s="550" t="s">
        <v>399</v>
      </c>
      <c r="CJ7" s="809" t="s">
        <v>383</v>
      </c>
      <c r="CK7" s="809" t="s">
        <v>383</v>
      </c>
      <c r="CL7" s="550" t="s">
        <v>399</v>
      </c>
      <c r="CM7" s="809" t="s">
        <v>383</v>
      </c>
      <c r="CN7" s="523" t="s">
        <v>383</v>
      </c>
      <c r="CO7" s="550" t="s">
        <v>399</v>
      </c>
      <c r="CP7" s="523" t="s">
        <v>383</v>
      </c>
      <c r="CQ7" s="523" t="s">
        <v>383</v>
      </c>
      <c r="CR7" s="550" t="s">
        <v>399</v>
      </c>
      <c r="CS7" s="523" t="s">
        <v>383</v>
      </c>
      <c r="CT7" s="523" t="s">
        <v>383</v>
      </c>
      <c r="CU7" s="550" t="s">
        <v>399</v>
      </c>
      <c r="CV7" s="523" t="s">
        <v>383</v>
      </c>
      <c r="CW7" s="523" t="s">
        <v>383</v>
      </c>
      <c r="CX7" s="550" t="s">
        <v>399</v>
      </c>
      <c r="CY7" s="523" t="s">
        <v>383</v>
      </c>
      <c r="CZ7" s="523" t="s">
        <v>386</v>
      </c>
      <c r="DA7" s="550" t="s">
        <v>377</v>
      </c>
      <c r="DB7" s="815">
        <v>1.0</v>
      </c>
    </row>
    <row r="8" ht="15.0" customHeight="1">
      <c r="A8" s="53">
        <v>8.0</v>
      </c>
      <c r="B8" s="100" t="s">
        <v>143</v>
      </c>
      <c r="C8" s="100" t="s">
        <v>144</v>
      </c>
      <c r="D8" s="101" t="str">
        <f t="shared" si="1"/>
        <v>SITE</v>
      </c>
      <c r="E8" s="111" t="s">
        <v>141</v>
      </c>
      <c r="F8" s="824">
        <v>0.0</v>
      </c>
      <c r="G8" s="825" t="s">
        <v>142</v>
      </c>
      <c r="H8" s="535"/>
      <c r="I8" s="858" t="str">
        <f>IFERROR(VLOOKUP(C:C,'R22 RELATÓRIO ACC'!B:F,5,FALSE),"NOT PUBLISHED")</f>
        <v>V2</v>
      </c>
      <c r="J8" s="858" t="str">
        <f>IFERROR(VLOOKUP(C:C,'R22 RELATÓRIO ACC'!B:P,15,FALSE),"NOT PUBLISHED")</f>
        <v>29/04/2026</v>
      </c>
      <c r="K8" s="821" t="str">
        <f>IFERROR(VLOOKUP(B:B,'RELATÓRIO ACC'!B:F,5,FALSE),"NOT PUBLISHED")</f>
        <v>V1</v>
      </c>
      <c r="L8" s="822" t="str">
        <f>IFERROR(VLOOKUP(B:B,'RELATÓRIO ACC'!B:P,15,FALSE),"NOT PUBLISHED")</f>
        <v>12/06/2026</v>
      </c>
      <c r="M8" s="993" t="s">
        <v>377</v>
      </c>
      <c r="N8" s="994">
        <v>46185.0</v>
      </c>
      <c r="O8" s="538" t="s">
        <v>378</v>
      </c>
      <c r="P8" s="587"/>
      <c r="Q8" s="523" t="s">
        <v>388</v>
      </c>
      <c r="R8" s="524" t="s">
        <v>380</v>
      </c>
      <c r="S8" s="525" t="s">
        <v>388</v>
      </c>
      <c r="T8" s="523" t="s">
        <v>388</v>
      </c>
      <c r="U8" s="524" t="s">
        <v>380</v>
      </c>
      <c r="V8" s="523" t="s">
        <v>388</v>
      </c>
      <c r="W8" s="523" t="s">
        <v>380</v>
      </c>
      <c r="X8" s="526" t="s">
        <v>414</v>
      </c>
      <c r="Y8" s="523" t="s">
        <v>380</v>
      </c>
      <c r="Z8" s="523" t="s">
        <v>380</v>
      </c>
      <c r="AA8" s="526" t="s">
        <v>380</v>
      </c>
      <c r="AB8" s="528" t="s">
        <v>380</v>
      </c>
      <c r="AC8" s="523" t="s">
        <v>380</v>
      </c>
      <c r="AD8" s="526" t="s">
        <v>380</v>
      </c>
      <c r="AE8" s="523" t="s">
        <v>380</v>
      </c>
      <c r="AF8" s="523" t="s">
        <v>380</v>
      </c>
      <c r="AG8" s="526" t="s">
        <v>380</v>
      </c>
      <c r="AH8" s="523" t="s">
        <v>380</v>
      </c>
      <c r="AI8" s="523" t="s">
        <v>380</v>
      </c>
      <c r="AJ8" s="526" t="s">
        <v>380</v>
      </c>
      <c r="AK8" s="523" t="s">
        <v>380</v>
      </c>
      <c r="AL8" s="523" t="s">
        <v>380</v>
      </c>
      <c r="AM8" s="526" t="s">
        <v>380</v>
      </c>
      <c r="AN8" s="523" t="s">
        <v>380</v>
      </c>
      <c r="AO8" s="861" t="s">
        <v>380</v>
      </c>
      <c r="AP8" s="550" t="s">
        <v>380</v>
      </c>
      <c r="AQ8" s="830" t="s">
        <v>380</v>
      </c>
      <c r="AR8" s="861" t="s">
        <v>380</v>
      </c>
      <c r="AS8" s="550" t="s">
        <v>380</v>
      </c>
      <c r="AT8" s="523" t="s">
        <v>380</v>
      </c>
      <c r="AU8" s="861" t="s">
        <v>380</v>
      </c>
      <c r="AV8" s="550" t="s">
        <v>380</v>
      </c>
      <c r="AW8" s="523" t="s">
        <v>380</v>
      </c>
      <c r="AX8" s="861" t="s">
        <v>380</v>
      </c>
      <c r="AY8" s="550" t="s">
        <v>380</v>
      </c>
      <c r="AZ8" s="861" t="s">
        <v>380</v>
      </c>
      <c r="BA8" s="861" t="s">
        <v>380</v>
      </c>
      <c r="BB8" s="550" t="s">
        <v>380</v>
      </c>
      <c r="BC8" s="861" t="s">
        <v>380</v>
      </c>
      <c r="BD8" s="523" t="s">
        <v>380</v>
      </c>
      <c r="BE8" s="550" t="s">
        <v>380</v>
      </c>
      <c r="BF8" s="523" t="s">
        <v>380</v>
      </c>
      <c r="BG8" s="528" t="s">
        <v>380</v>
      </c>
      <c r="BH8" s="550" t="s">
        <v>380</v>
      </c>
      <c r="BI8" s="528" t="s">
        <v>380</v>
      </c>
      <c r="BJ8" s="523" t="s">
        <v>380</v>
      </c>
      <c r="BK8" s="550" t="s">
        <v>380</v>
      </c>
      <c r="BL8" s="523" t="s">
        <v>380</v>
      </c>
      <c r="BM8" s="523" t="s">
        <v>380</v>
      </c>
      <c r="BN8" s="550" t="s">
        <v>380</v>
      </c>
      <c r="BO8" s="523" t="s">
        <v>380</v>
      </c>
      <c r="BP8" s="523" t="s">
        <v>380</v>
      </c>
      <c r="BQ8" s="550" t="s">
        <v>380</v>
      </c>
      <c r="BR8" s="528" t="s">
        <v>380</v>
      </c>
      <c r="BS8" s="523" t="s">
        <v>380</v>
      </c>
      <c r="BT8" s="550" t="s">
        <v>380</v>
      </c>
      <c r="BU8" s="523" t="s">
        <v>380</v>
      </c>
      <c r="BV8" s="523" t="s">
        <v>380</v>
      </c>
      <c r="BW8" s="550" t="s">
        <v>380</v>
      </c>
      <c r="BX8" s="523" t="s">
        <v>380</v>
      </c>
      <c r="BY8" s="809" t="s">
        <v>380</v>
      </c>
      <c r="BZ8" s="550" t="s">
        <v>380</v>
      </c>
      <c r="CA8" s="809" t="s">
        <v>380</v>
      </c>
      <c r="CB8" s="809" t="s">
        <v>380</v>
      </c>
      <c r="CC8" s="550" t="s">
        <v>380</v>
      </c>
      <c r="CD8" s="809" t="s">
        <v>380</v>
      </c>
      <c r="CE8" s="528" t="s">
        <v>380</v>
      </c>
      <c r="CF8" s="550" t="s">
        <v>380</v>
      </c>
      <c r="CG8" s="528" t="s">
        <v>380</v>
      </c>
      <c r="CH8" s="528" t="s">
        <v>380</v>
      </c>
      <c r="CI8" s="528" t="s">
        <v>380</v>
      </c>
      <c r="CJ8" s="528" t="s">
        <v>380</v>
      </c>
      <c r="CK8" s="528" t="s">
        <v>380</v>
      </c>
      <c r="CL8" s="528" t="s">
        <v>380</v>
      </c>
      <c r="CM8" s="528" t="s">
        <v>380</v>
      </c>
      <c r="CN8" s="523" t="s">
        <v>380</v>
      </c>
      <c r="CO8" s="528" t="s">
        <v>380</v>
      </c>
      <c r="CP8" s="523" t="s">
        <v>380</v>
      </c>
      <c r="CQ8" s="523" t="s">
        <v>380</v>
      </c>
      <c r="CR8" s="528" t="s">
        <v>380</v>
      </c>
      <c r="CS8" s="809" t="s">
        <v>380</v>
      </c>
      <c r="CT8" s="523" t="s">
        <v>380</v>
      </c>
      <c r="CU8" s="528" t="s">
        <v>380</v>
      </c>
      <c r="CV8" s="523" t="s">
        <v>380</v>
      </c>
      <c r="CW8" s="523" t="s">
        <v>380</v>
      </c>
      <c r="CX8" s="528" t="s">
        <v>380</v>
      </c>
      <c r="CY8" s="523" t="s">
        <v>380</v>
      </c>
      <c r="CZ8" s="523" t="s">
        <v>380</v>
      </c>
      <c r="DA8" s="528" t="s">
        <v>380</v>
      </c>
      <c r="DB8" s="523" t="s">
        <v>380</v>
      </c>
    </row>
    <row r="9" ht="16.5" customHeight="1">
      <c r="A9" s="53">
        <v>7.0</v>
      </c>
      <c r="B9" s="100" t="s">
        <v>115</v>
      </c>
      <c r="C9" s="100" t="s">
        <v>116</v>
      </c>
      <c r="D9" s="101" t="str">
        <f t="shared" si="1"/>
        <v>GUAR</v>
      </c>
      <c r="E9" s="101" t="s">
        <v>117</v>
      </c>
      <c r="F9" s="102">
        <v>1109.0</v>
      </c>
      <c r="G9" s="517" t="s">
        <v>117</v>
      </c>
      <c r="H9" s="517">
        <v>1109.0</v>
      </c>
      <c r="I9" s="858" t="str">
        <f>IFERROR(VLOOKUP(C:C,'R22 RELATÓRIO ACC'!B:F,5,FALSE),"NOT PUBLISHED")</f>
        <v>V9</v>
      </c>
      <c r="J9" s="858" t="str">
        <f>IFERROR(VLOOKUP(C:C,'R22 RELATÓRIO ACC'!B:P,15,FALSE),"NOT PUBLISHED")</f>
        <v>04/12/2025</v>
      </c>
      <c r="K9" s="821" t="str">
        <f>IFERROR(VLOOKUP(B:B,'RELATÓRIO ACC'!B:F,5,FALSE),"NOT PUBLISHED")</f>
        <v>V1</v>
      </c>
      <c r="L9" s="822" t="str">
        <f>IFERROR(VLOOKUP(B:B,'RELATÓRIO ACC'!B:P,15,FALSE),"NOT PUBLISHED")</f>
        <v>20/05/2026</v>
      </c>
      <c r="M9" s="552" t="s">
        <v>380</v>
      </c>
      <c r="N9" s="745" t="s">
        <v>380</v>
      </c>
      <c r="O9" s="538" t="s">
        <v>380</v>
      </c>
      <c r="P9" s="906"/>
      <c r="Q9" s="523" t="s">
        <v>380</v>
      </c>
      <c r="R9" s="558">
        <v>0.0</v>
      </c>
      <c r="S9" s="543" t="s">
        <v>380</v>
      </c>
      <c r="T9" s="523" t="s">
        <v>380</v>
      </c>
      <c r="U9" s="558">
        <v>0.0</v>
      </c>
      <c r="V9" s="525" t="s">
        <v>380</v>
      </c>
      <c r="W9" s="523" t="s">
        <v>380</v>
      </c>
      <c r="X9" s="558">
        <v>0.0</v>
      </c>
      <c r="Y9" s="525" t="s">
        <v>380</v>
      </c>
      <c r="Z9" s="523" t="s">
        <v>380</v>
      </c>
      <c r="AA9" s="558">
        <v>0.0</v>
      </c>
      <c r="AB9" s="525" t="s">
        <v>380</v>
      </c>
      <c r="AC9" s="523" t="s">
        <v>380</v>
      </c>
      <c r="AD9" s="558">
        <v>0.0</v>
      </c>
      <c r="AE9" s="525" t="s">
        <v>380</v>
      </c>
      <c r="AF9" s="523" t="s">
        <v>380</v>
      </c>
      <c r="AG9" s="558">
        <v>0.0</v>
      </c>
      <c r="AH9" s="523" t="s">
        <v>380</v>
      </c>
      <c r="AI9" s="523" t="s">
        <v>380</v>
      </c>
      <c r="AJ9" s="558">
        <v>0.0</v>
      </c>
      <c r="AK9" s="523" t="s">
        <v>380</v>
      </c>
      <c r="AL9" s="523" t="s">
        <v>380</v>
      </c>
      <c r="AM9" s="558">
        <v>0.0</v>
      </c>
      <c r="AN9" s="523" t="s">
        <v>380</v>
      </c>
      <c r="AO9" s="861" t="s">
        <v>380</v>
      </c>
      <c r="AP9" s="558">
        <v>0.0</v>
      </c>
      <c r="AQ9" s="830" t="s">
        <v>380</v>
      </c>
      <c r="AR9" s="861" t="s">
        <v>380</v>
      </c>
      <c r="AS9" s="558">
        <v>0.0</v>
      </c>
      <c r="AT9" s="830" t="s">
        <v>380</v>
      </c>
      <c r="AU9" s="861" t="s">
        <v>380</v>
      </c>
      <c r="AV9" s="558">
        <v>0.0</v>
      </c>
      <c r="AW9" s="830" t="s">
        <v>380</v>
      </c>
      <c r="AX9" s="861" t="s">
        <v>380</v>
      </c>
      <c r="AY9" s="558">
        <v>0.0</v>
      </c>
      <c r="AZ9" s="830" t="s">
        <v>380</v>
      </c>
      <c r="BA9" s="861" t="s">
        <v>380</v>
      </c>
      <c r="BB9" s="558">
        <v>0.0</v>
      </c>
      <c r="BC9" s="830" t="s">
        <v>380</v>
      </c>
      <c r="BD9" s="861" t="s">
        <v>380</v>
      </c>
      <c r="BE9" s="558">
        <v>0.0</v>
      </c>
      <c r="BF9" s="830" t="s">
        <v>380</v>
      </c>
      <c r="BG9" s="861" t="s">
        <v>380</v>
      </c>
      <c r="BH9" s="558">
        <v>0.0</v>
      </c>
      <c r="BI9" s="830" t="s">
        <v>380</v>
      </c>
      <c r="BJ9" s="861" t="s">
        <v>380</v>
      </c>
      <c r="BK9" s="558">
        <v>0.0</v>
      </c>
      <c r="BL9" s="830" t="s">
        <v>380</v>
      </c>
      <c r="BM9" s="861" t="s">
        <v>380</v>
      </c>
      <c r="BN9" s="558">
        <v>0.0</v>
      </c>
      <c r="BO9" s="830" t="s">
        <v>380</v>
      </c>
      <c r="BP9" s="861" t="s">
        <v>380</v>
      </c>
      <c r="BQ9" s="558">
        <v>0.0</v>
      </c>
      <c r="BR9" s="830" t="s">
        <v>380</v>
      </c>
      <c r="BS9" s="861" t="s">
        <v>380</v>
      </c>
      <c r="BT9" s="558">
        <v>0.0</v>
      </c>
      <c r="BU9" s="830" t="s">
        <v>380</v>
      </c>
      <c r="BV9" s="830" t="s">
        <v>380</v>
      </c>
      <c r="BW9" s="558">
        <v>0.0</v>
      </c>
      <c r="BX9" s="830" t="s">
        <v>380</v>
      </c>
      <c r="BY9" s="809" t="s">
        <v>380</v>
      </c>
      <c r="BZ9" s="558">
        <v>0.0</v>
      </c>
      <c r="CA9" s="809" t="s">
        <v>380</v>
      </c>
      <c r="CB9" s="809" t="s">
        <v>380</v>
      </c>
      <c r="CC9" s="558">
        <v>0.0</v>
      </c>
      <c r="CD9" s="528" t="s">
        <v>380</v>
      </c>
      <c r="CE9" s="809" t="s">
        <v>380</v>
      </c>
      <c r="CF9" s="558">
        <v>0.0</v>
      </c>
      <c r="CG9" s="809" t="s">
        <v>380</v>
      </c>
      <c r="CH9" s="809" t="s">
        <v>380</v>
      </c>
      <c r="CI9" s="558">
        <v>0.0</v>
      </c>
      <c r="CJ9" s="523" t="s">
        <v>380</v>
      </c>
      <c r="CK9" s="809" t="s">
        <v>380</v>
      </c>
      <c r="CL9" s="558">
        <v>0.0</v>
      </c>
      <c r="CM9" s="809" t="s">
        <v>380</v>
      </c>
      <c r="CN9" s="523" t="s">
        <v>380</v>
      </c>
      <c r="CO9" s="558">
        <v>0.0</v>
      </c>
      <c r="CP9" s="523" t="s">
        <v>380</v>
      </c>
      <c r="CQ9" s="523" t="s">
        <v>380</v>
      </c>
      <c r="CR9" s="558">
        <v>0.0</v>
      </c>
      <c r="CS9" s="523" t="s">
        <v>380</v>
      </c>
      <c r="CT9" s="523" t="s">
        <v>380</v>
      </c>
      <c r="CU9" s="558">
        <v>0.0</v>
      </c>
      <c r="CV9" s="523" t="s">
        <v>380</v>
      </c>
      <c r="CW9" s="523" t="s">
        <v>380</v>
      </c>
      <c r="CX9" s="558">
        <v>0.0</v>
      </c>
      <c r="CY9" s="523" t="s">
        <v>380</v>
      </c>
      <c r="CZ9" s="523" t="s">
        <v>380</v>
      </c>
      <c r="DA9" s="558">
        <v>0.0</v>
      </c>
      <c r="DB9" s="523" t="s">
        <v>380</v>
      </c>
    </row>
    <row r="10" ht="15.0" customHeight="1">
      <c r="A10" s="53">
        <v>17.0</v>
      </c>
      <c r="B10" s="100" t="s">
        <v>148</v>
      </c>
      <c r="C10" s="100" t="s">
        <v>149</v>
      </c>
      <c r="D10" s="101" t="str">
        <f t="shared" si="1"/>
        <v>SITE</v>
      </c>
      <c r="E10" s="552" t="s">
        <v>150</v>
      </c>
      <c r="F10" s="942"/>
      <c r="G10" s="995" t="s">
        <v>150</v>
      </c>
      <c r="H10" s="995"/>
      <c r="I10" s="858" t="str">
        <f>IFERROR(VLOOKUP(C:C,'R22 RELATÓRIO ACC'!B:F,5,FALSE),"NOT PUBLISHED")</f>
        <v>V10</v>
      </c>
      <c r="J10" s="858" t="str">
        <f>IFERROR(VLOOKUP(C:C,'R22 RELATÓRIO ACC'!B:P,15,FALSE),"NOT PUBLISHED")</f>
        <v>11/05/2026</v>
      </c>
      <c r="K10" s="821" t="str">
        <f>IFERROR(VLOOKUP(B:B,'RELATÓRIO ACC'!B:F,5,FALSE),"NOT PUBLISHED")</f>
        <v>V3</v>
      </c>
      <c r="L10" s="822" t="str">
        <f>IFERROR(VLOOKUP(B:B,'RELATÓRIO ACC'!B:P,15,FALSE),"NOT PUBLISHED")</f>
        <v>09/06/2026</v>
      </c>
      <c r="M10" s="552" t="s">
        <v>380</v>
      </c>
      <c r="N10" s="745" t="s">
        <v>380</v>
      </c>
      <c r="O10" s="538" t="s">
        <v>380</v>
      </c>
      <c r="P10" s="587"/>
      <c r="Q10" s="523" t="s">
        <v>380</v>
      </c>
      <c r="R10" s="524">
        <v>0.0</v>
      </c>
      <c r="S10" s="543" t="s">
        <v>380</v>
      </c>
      <c r="T10" s="523" t="s">
        <v>380</v>
      </c>
      <c r="U10" s="524">
        <v>0.0</v>
      </c>
      <c r="V10" s="525" t="s">
        <v>380</v>
      </c>
      <c r="W10" s="523" t="s">
        <v>380</v>
      </c>
      <c r="X10" s="524">
        <v>0.0</v>
      </c>
      <c r="Y10" s="525" t="s">
        <v>380</v>
      </c>
      <c r="Z10" s="523" t="s">
        <v>380</v>
      </c>
      <c r="AA10" s="524">
        <v>0.0</v>
      </c>
      <c r="AB10" s="523" t="s">
        <v>380</v>
      </c>
      <c r="AC10" s="523" t="s">
        <v>380</v>
      </c>
      <c r="AD10" s="524">
        <v>0.0</v>
      </c>
      <c r="AE10" s="523" t="s">
        <v>380</v>
      </c>
      <c r="AF10" s="523" t="s">
        <v>380</v>
      </c>
      <c r="AG10" s="524">
        <v>0.0</v>
      </c>
      <c r="AH10" s="523" t="s">
        <v>380</v>
      </c>
      <c r="AI10" s="523" t="s">
        <v>380</v>
      </c>
      <c r="AJ10" s="524">
        <v>0.0</v>
      </c>
      <c r="AK10" s="523" t="s">
        <v>380</v>
      </c>
      <c r="AL10" s="523" t="s">
        <v>380</v>
      </c>
      <c r="AM10" s="524">
        <v>0.0</v>
      </c>
      <c r="AN10" s="523" t="s">
        <v>380</v>
      </c>
      <c r="AO10" s="861" t="s">
        <v>380</v>
      </c>
      <c r="AP10" s="550" t="s">
        <v>380</v>
      </c>
      <c r="AQ10" s="830" t="s">
        <v>380</v>
      </c>
      <c r="AR10" s="861" t="s">
        <v>380</v>
      </c>
      <c r="AS10" s="550" t="s">
        <v>380</v>
      </c>
      <c r="AT10" s="830" t="s">
        <v>380</v>
      </c>
      <c r="AU10" s="861" t="s">
        <v>380</v>
      </c>
      <c r="AV10" s="550" t="s">
        <v>380</v>
      </c>
      <c r="AW10" s="830" t="s">
        <v>380</v>
      </c>
      <c r="AX10" s="861" t="s">
        <v>380</v>
      </c>
      <c r="AY10" s="550" t="s">
        <v>380</v>
      </c>
      <c r="AZ10" s="830" t="s">
        <v>380</v>
      </c>
      <c r="BA10" s="861" t="s">
        <v>380</v>
      </c>
      <c r="BB10" s="550" t="s">
        <v>380</v>
      </c>
      <c r="BC10" s="830" t="s">
        <v>380</v>
      </c>
      <c r="BD10" s="861" t="s">
        <v>380</v>
      </c>
      <c r="BE10" s="550" t="s">
        <v>380</v>
      </c>
      <c r="BF10" s="830" t="s">
        <v>380</v>
      </c>
      <c r="BG10" s="861" t="s">
        <v>380</v>
      </c>
      <c r="BH10" s="550" t="s">
        <v>380</v>
      </c>
      <c r="BI10" s="830" t="s">
        <v>380</v>
      </c>
      <c r="BJ10" s="861" t="s">
        <v>380</v>
      </c>
      <c r="BK10" s="550" t="s">
        <v>380</v>
      </c>
      <c r="BL10" s="830" t="s">
        <v>380</v>
      </c>
      <c r="BM10" s="861" t="s">
        <v>380</v>
      </c>
      <c r="BN10" s="550" t="s">
        <v>380</v>
      </c>
      <c r="BO10" s="830" t="s">
        <v>380</v>
      </c>
      <c r="BP10" s="861" t="s">
        <v>380</v>
      </c>
      <c r="BQ10" s="550" t="s">
        <v>380</v>
      </c>
      <c r="BR10" s="830" t="s">
        <v>380</v>
      </c>
      <c r="BS10" s="861" t="s">
        <v>380</v>
      </c>
      <c r="BT10" s="550" t="s">
        <v>380</v>
      </c>
      <c r="BU10" s="830" t="s">
        <v>380</v>
      </c>
      <c r="BV10" s="830" t="s">
        <v>380</v>
      </c>
      <c r="BW10" s="550" t="s">
        <v>380</v>
      </c>
      <c r="BX10" s="830" t="s">
        <v>380</v>
      </c>
      <c r="BY10" s="830" t="s">
        <v>380</v>
      </c>
      <c r="BZ10" s="550" t="s">
        <v>380</v>
      </c>
      <c r="CA10" s="830" t="s">
        <v>380</v>
      </c>
      <c r="CB10" s="809" t="s">
        <v>380</v>
      </c>
      <c r="CC10" s="550" t="s">
        <v>380</v>
      </c>
      <c r="CD10" s="809" t="s">
        <v>380</v>
      </c>
      <c r="CE10" s="809" t="s">
        <v>380</v>
      </c>
      <c r="CF10" s="550" t="s">
        <v>380</v>
      </c>
      <c r="CG10" s="809" t="s">
        <v>380</v>
      </c>
      <c r="CH10" s="809" t="s">
        <v>380</v>
      </c>
      <c r="CI10" s="550" t="s">
        <v>380</v>
      </c>
      <c r="CJ10" s="809" t="s">
        <v>380</v>
      </c>
      <c r="CK10" s="809" t="s">
        <v>380</v>
      </c>
      <c r="CL10" s="550" t="s">
        <v>380</v>
      </c>
      <c r="CM10" s="809" t="s">
        <v>380</v>
      </c>
      <c r="CN10" s="809" t="s">
        <v>380</v>
      </c>
      <c r="CO10" s="550" t="s">
        <v>380</v>
      </c>
      <c r="CP10" s="809" t="s">
        <v>380</v>
      </c>
      <c r="CQ10" s="809" t="s">
        <v>380</v>
      </c>
      <c r="CR10" s="550" t="s">
        <v>380</v>
      </c>
      <c r="CS10" s="809" t="s">
        <v>380</v>
      </c>
      <c r="CT10" s="809" t="s">
        <v>380</v>
      </c>
      <c r="CU10" s="550" t="s">
        <v>380</v>
      </c>
      <c r="CV10" s="809" t="s">
        <v>380</v>
      </c>
      <c r="CW10" s="809" t="s">
        <v>380</v>
      </c>
      <c r="CX10" s="550" t="s">
        <v>380</v>
      </c>
      <c r="CY10" s="809" t="s">
        <v>380</v>
      </c>
      <c r="CZ10" s="809" t="s">
        <v>380</v>
      </c>
      <c r="DA10" s="550" t="s">
        <v>380</v>
      </c>
      <c r="DB10" s="809" t="s">
        <v>380</v>
      </c>
    </row>
    <row r="11" ht="15.0" customHeight="1">
      <c r="A11" s="53">
        <v>23.0</v>
      </c>
      <c r="B11" s="100" t="s">
        <v>262</v>
      </c>
      <c r="C11" s="100" t="s">
        <v>263</v>
      </c>
      <c r="D11" s="101" t="str">
        <f t="shared" si="1"/>
        <v>SITE</v>
      </c>
      <c r="E11" s="111" t="s">
        <v>264</v>
      </c>
      <c r="F11" s="115">
        <v>0.0</v>
      </c>
      <c r="G11" s="534" t="s">
        <v>265</v>
      </c>
      <c r="H11" s="535">
        <v>0.0</v>
      </c>
      <c r="I11" s="858" t="str">
        <f>IFERROR(VLOOKUP(C:C,'R22 RELATÓRIO ACC'!B:F,5,FALSE),"NOT PUBLISHED")</f>
        <v>V11</v>
      </c>
      <c r="J11" s="858" t="str">
        <f>IFERROR(VLOOKUP(C:C,'R22 RELATÓRIO ACC'!B:P,15,FALSE),"NOT PUBLISHED")</f>
        <v>21/03/2026</v>
      </c>
      <c r="K11" s="821" t="str">
        <f>IFERROR(VLOOKUP(B:B,'RELATÓRIO ACC'!B:F,5,FALSE),"NOT PUBLISHED")</f>
        <v>V1</v>
      </c>
      <c r="L11" s="822" t="str">
        <f>IFERROR(VLOOKUP(B:B,'RELATÓRIO ACC'!B:P,15,FALSE),"NOT PUBLISHED")</f>
        <v>18/05/2026</v>
      </c>
      <c r="M11" s="552" t="s">
        <v>380</v>
      </c>
      <c r="N11" s="862" t="s">
        <v>380</v>
      </c>
      <c r="O11" s="538" t="s">
        <v>380</v>
      </c>
      <c r="P11" s="587"/>
      <c r="Q11" s="523" t="s">
        <v>380</v>
      </c>
      <c r="R11" s="526" t="s">
        <v>380</v>
      </c>
      <c r="S11" s="542" t="s">
        <v>380</v>
      </c>
      <c r="T11" s="523" t="s">
        <v>380</v>
      </c>
      <c r="U11" s="526" t="s">
        <v>380</v>
      </c>
      <c r="V11" s="546" t="s">
        <v>380</v>
      </c>
      <c r="W11" s="523" t="s">
        <v>380</v>
      </c>
      <c r="X11" s="526" t="s">
        <v>380</v>
      </c>
      <c r="Y11" s="546" t="s">
        <v>380</v>
      </c>
      <c r="Z11" s="523" t="s">
        <v>380</v>
      </c>
      <c r="AA11" s="526" t="s">
        <v>380</v>
      </c>
      <c r="AB11" s="546" t="s">
        <v>380</v>
      </c>
      <c r="AC11" s="523" t="s">
        <v>380</v>
      </c>
      <c r="AD11" s="526" t="s">
        <v>380</v>
      </c>
      <c r="AE11" s="546" t="s">
        <v>380</v>
      </c>
      <c r="AF11" s="523" t="s">
        <v>380</v>
      </c>
      <c r="AG11" s="526" t="s">
        <v>380</v>
      </c>
      <c r="AH11" s="546" t="s">
        <v>380</v>
      </c>
      <c r="AI11" s="523" t="s">
        <v>380</v>
      </c>
      <c r="AJ11" s="526" t="s">
        <v>380</v>
      </c>
      <c r="AK11" s="546" t="s">
        <v>380</v>
      </c>
      <c r="AL11" s="523" t="s">
        <v>380</v>
      </c>
      <c r="AM11" s="526" t="s">
        <v>380</v>
      </c>
      <c r="AN11" s="546" t="s">
        <v>380</v>
      </c>
      <c r="AO11" s="861" t="s">
        <v>380</v>
      </c>
      <c r="AP11" s="550" t="s">
        <v>380</v>
      </c>
      <c r="AQ11" s="828" t="s">
        <v>380</v>
      </c>
      <c r="AR11" s="861" t="s">
        <v>380</v>
      </c>
      <c r="AS11" s="550" t="s">
        <v>380</v>
      </c>
      <c r="AT11" s="828" t="s">
        <v>380</v>
      </c>
      <c r="AU11" s="861" t="s">
        <v>380</v>
      </c>
      <c r="AV11" s="550" t="s">
        <v>380</v>
      </c>
      <c r="AW11" s="828" t="s">
        <v>380</v>
      </c>
      <c r="AX11" s="861" t="s">
        <v>380</v>
      </c>
      <c r="AY11" s="550" t="s">
        <v>380</v>
      </c>
      <c r="AZ11" s="828" t="s">
        <v>380</v>
      </c>
      <c r="BA11" s="861" t="s">
        <v>380</v>
      </c>
      <c r="BB11" s="550" t="s">
        <v>380</v>
      </c>
      <c r="BC11" s="828" t="s">
        <v>380</v>
      </c>
      <c r="BD11" s="861" t="s">
        <v>380</v>
      </c>
      <c r="BE11" s="550" t="s">
        <v>380</v>
      </c>
      <c r="BF11" s="828" t="s">
        <v>380</v>
      </c>
      <c r="BG11" s="523" t="s">
        <v>380</v>
      </c>
      <c r="BH11" s="550" t="s">
        <v>380</v>
      </c>
      <c r="BI11" s="546" t="s">
        <v>380</v>
      </c>
      <c r="BJ11" s="523" t="s">
        <v>380</v>
      </c>
      <c r="BK11" s="550" t="s">
        <v>380</v>
      </c>
      <c r="BL11" s="546" t="s">
        <v>380</v>
      </c>
      <c r="BM11" s="523" t="s">
        <v>380</v>
      </c>
      <c r="BN11" s="550" t="s">
        <v>380</v>
      </c>
      <c r="BO11" s="546" t="s">
        <v>380</v>
      </c>
      <c r="BP11" s="523" t="s">
        <v>380</v>
      </c>
      <c r="BQ11" s="550" t="s">
        <v>380</v>
      </c>
      <c r="BR11" s="546" t="s">
        <v>380</v>
      </c>
      <c r="BS11" s="523" t="s">
        <v>380</v>
      </c>
      <c r="BT11" s="550" t="s">
        <v>380</v>
      </c>
      <c r="BU11" s="546" t="s">
        <v>380</v>
      </c>
      <c r="BV11" s="523" t="s">
        <v>380</v>
      </c>
      <c r="BW11" s="550" t="s">
        <v>380</v>
      </c>
      <c r="BX11" s="546" t="s">
        <v>380</v>
      </c>
      <c r="BY11" s="523" t="s">
        <v>380</v>
      </c>
      <c r="BZ11" s="550" t="s">
        <v>380</v>
      </c>
      <c r="CA11" s="546" t="s">
        <v>380</v>
      </c>
      <c r="CB11" s="523" t="s">
        <v>380</v>
      </c>
      <c r="CC11" s="550" t="s">
        <v>380</v>
      </c>
      <c r="CD11" s="546" t="s">
        <v>380</v>
      </c>
      <c r="CE11" s="523" t="s">
        <v>380</v>
      </c>
      <c r="CF11" s="550" t="s">
        <v>380</v>
      </c>
      <c r="CG11" s="548" t="s">
        <v>380</v>
      </c>
      <c r="CH11" s="523" t="s">
        <v>380</v>
      </c>
      <c r="CI11" s="550" t="s">
        <v>380</v>
      </c>
      <c r="CJ11" s="548" t="s">
        <v>380</v>
      </c>
      <c r="CK11" s="523" t="s">
        <v>380</v>
      </c>
      <c r="CL11" s="550" t="s">
        <v>380</v>
      </c>
      <c r="CM11" s="546" t="s">
        <v>380</v>
      </c>
      <c r="CN11" s="523" t="s">
        <v>380</v>
      </c>
      <c r="CO11" s="550" t="s">
        <v>380</v>
      </c>
      <c r="CP11" s="546" t="s">
        <v>380</v>
      </c>
      <c r="CQ11" s="523" t="s">
        <v>380</v>
      </c>
      <c r="CR11" s="550" t="s">
        <v>380</v>
      </c>
      <c r="CS11" s="546" t="s">
        <v>380</v>
      </c>
      <c r="CT11" s="523" t="s">
        <v>380</v>
      </c>
      <c r="CU11" s="550" t="s">
        <v>380</v>
      </c>
      <c r="CV11" s="546" t="s">
        <v>380</v>
      </c>
      <c r="CW11" s="523" t="s">
        <v>380</v>
      </c>
      <c r="CX11" s="550" t="s">
        <v>380</v>
      </c>
      <c r="CY11" s="546" t="s">
        <v>380</v>
      </c>
      <c r="CZ11" s="523" t="s">
        <v>380</v>
      </c>
      <c r="DA11" s="550" t="s">
        <v>380</v>
      </c>
      <c r="DB11" s="546" t="s">
        <v>380</v>
      </c>
    </row>
    <row r="12" ht="15.0" customHeight="1">
      <c r="A12" s="53">
        <v>33.0</v>
      </c>
      <c r="B12" s="100" t="s">
        <v>245</v>
      </c>
      <c r="C12" s="100" t="s">
        <v>246</v>
      </c>
      <c r="D12" s="101" t="str">
        <f t="shared" si="1"/>
        <v>GUAR</v>
      </c>
      <c r="E12" s="101" t="s">
        <v>237</v>
      </c>
      <c r="F12" s="102">
        <v>1118.0</v>
      </c>
      <c r="G12" s="517" t="s">
        <v>237</v>
      </c>
      <c r="H12" s="517">
        <v>1118.0</v>
      </c>
      <c r="I12" s="858" t="str">
        <f>IFERROR(VLOOKUP(C:C,'R22 RELATÓRIO ACC'!B:F,5,FALSE),"NOT PUBLISHED")</f>
        <v>V23</v>
      </c>
      <c r="J12" s="858" t="str">
        <f>IFERROR(VLOOKUP(C:C,'R22 RELATÓRIO ACC'!B:P,15,FALSE),"NOT PUBLISHED")</f>
        <v>16/04/2026</v>
      </c>
      <c r="K12" s="821" t="str">
        <f>IFERROR(VLOOKUP(B:B,'RELATÓRIO ACC'!B:F,5,FALSE),"NOT PUBLISHED")</f>
        <v>V1</v>
      </c>
      <c r="L12" s="822" t="str">
        <f>IFERROR(VLOOKUP(B:B,'RELATÓRIO ACC'!B:P,15,FALSE),"NOT PUBLISHED")</f>
        <v>19/05/2026</v>
      </c>
      <c r="M12" s="552" t="s">
        <v>380</v>
      </c>
      <c r="N12" s="745" t="s">
        <v>380</v>
      </c>
      <c r="O12" s="538" t="s">
        <v>380</v>
      </c>
      <c r="P12" s="587"/>
      <c r="Q12" s="523" t="s">
        <v>380</v>
      </c>
      <c r="R12" s="524">
        <v>0.0</v>
      </c>
      <c r="S12" s="543" t="s">
        <v>380</v>
      </c>
      <c r="T12" s="523" t="s">
        <v>380</v>
      </c>
      <c r="U12" s="526">
        <v>0.0</v>
      </c>
      <c r="V12" s="543" t="s">
        <v>380</v>
      </c>
      <c r="W12" s="523" t="s">
        <v>380</v>
      </c>
      <c r="X12" s="526">
        <v>0.0</v>
      </c>
      <c r="Y12" s="543" t="s">
        <v>380</v>
      </c>
      <c r="Z12" s="523" t="s">
        <v>380</v>
      </c>
      <c r="AA12" s="526">
        <v>0.0</v>
      </c>
      <c r="AB12" s="543" t="s">
        <v>380</v>
      </c>
      <c r="AC12" s="523" t="s">
        <v>380</v>
      </c>
      <c r="AD12" s="526">
        <v>0.0</v>
      </c>
      <c r="AE12" s="528" t="s">
        <v>380</v>
      </c>
      <c r="AF12" s="523" t="s">
        <v>380</v>
      </c>
      <c r="AG12" s="526">
        <v>0.0</v>
      </c>
      <c r="AH12" s="528" t="s">
        <v>380</v>
      </c>
      <c r="AI12" s="523" t="s">
        <v>380</v>
      </c>
      <c r="AJ12" s="526">
        <v>0.0</v>
      </c>
      <c r="AK12" s="528" t="s">
        <v>380</v>
      </c>
      <c r="AL12" s="523" t="s">
        <v>380</v>
      </c>
      <c r="AM12" s="526">
        <v>0.0</v>
      </c>
      <c r="AN12" s="528" t="s">
        <v>380</v>
      </c>
      <c r="AO12" s="861" t="s">
        <v>380</v>
      </c>
      <c r="AP12" s="550">
        <v>0.0</v>
      </c>
      <c r="AQ12" s="528" t="s">
        <v>380</v>
      </c>
      <c r="AR12" s="861" t="s">
        <v>380</v>
      </c>
      <c r="AS12" s="550">
        <v>0.0</v>
      </c>
      <c r="AT12" s="528" t="s">
        <v>380</v>
      </c>
      <c r="AU12" s="861" t="s">
        <v>380</v>
      </c>
      <c r="AV12" s="550">
        <v>0.0</v>
      </c>
      <c r="AW12" s="528" t="s">
        <v>380</v>
      </c>
      <c r="AX12" s="861" t="s">
        <v>380</v>
      </c>
      <c r="AY12" s="550">
        <v>0.0</v>
      </c>
      <c r="AZ12" s="528" t="s">
        <v>380</v>
      </c>
      <c r="BA12" s="861" t="s">
        <v>380</v>
      </c>
      <c r="BB12" s="550">
        <v>0.0</v>
      </c>
      <c r="BC12" s="528" t="s">
        <v>380</v>
      </c>
      <c r="BD12" s="861" t="s">
        <v>380</v>
      </c>
      <c r="BE12" s="550">
        <v>0.0</v>
      </c>
      <c r="BF12" s="528" t="s">
        <v>380</v>
      </c>
      <c r="BG12" s="861" t="s">
        <v>380</v>
      </c>
      <c r="BH12" s="550">
        <v>0.0</v>
      </c>
      <c r="BI12" s="528" t="s">
        <v>380</v>
      </c>
      <c r="BJ12" s="861" t="s">
        <v>380</v>
      </c>
      <c r="BK12" s="550">
        <v>0.0</v>
      </c>
      <c r="BL12" s="528" t="s">
        <v>380</v>
      </c>
      <c r="BM12" s="861" t="s">
        <v>380</v>
      </c>
      <c r="BN12" s="550">
        <v>0.0</v>
      </c>
      <c r="BO12" s="528" t="s">
        <v>380</v>
      </c>
      <c r="BP12" s="861" t="s">
        <v>380</v>
      </c>
      <c r="BQ12" s="550">
        <v>0.0</v>
      </c>
      <c r="BR12" s="528" t="s">
        <v>380</v>
      </c>
      <c r="BS12" s="861" t="s">
        <v>380</v>
      </c>
      <c r="BT12" s="550">
        <v>0.0</v>
      </c>
      <c r="BU12" s="528" t="s">
        <v>380</v>
      </c>
      <c r="BV12" s="861" t="s">
        <v>380</v>
      </c>
      <c r="BW12" s="550">
        <v>0.0</v>
      </c>
      <c r="BX12" s="528" t="s">
        <v>380</v>
      </c>
      <c r="BY12" s="861" t="s">
        <v>380</v>
      </c>
      <c r="BZ12" s="550">
        <v>0.0</v>
      </c>
      <c r="CA12" s="528" t="s">
        <v>380</v>
      </c>
      <c r="CB12" s="861" t="s">
        <v>380</v>
      </c>
      <c r="CC12" s="550">
        <v>0.0</v>
      </c>
      <c r="CD12" s="528" t="s">
        <v>380</v>
      </c>
      <c r="CE12" s="861" t="s">
        <v>380</v>
      </c>
      <c r="CF12" s="550">
        <v>0.0</v>
      </c>
      <c r="CG12" s="528" t="s">
        <v>380</v>
      </c>
      <c r="CH12" s="861" t="s">
        <v>380</v>
      </c>
      <c r="CI12" s="550">
        <v>0.0</v>
      </c>
      <c r="CJ12" s="528" t="s">
        <v>380</v>
      </c>
      <c r="CK12" s="861" t="s">
        <v>380</v>
      </c>
      <c r="CL12" s="550">
        <v>0.0</v>
      </c>
      <c r="CM12" s="528" t="s">
        <v>380</v>
      </c>
      <c r="CN12" s="861" t="s">
        <v>380</v>
      </c>
      <c r="CO12" s="550">
        <v>0.0</v>
      </c>
      <c r="CP12" s="528" t="s">
        <v>380</v>
      </c>
      <c r="CQ12" s="861" t="s">
        <v>380</v>
      </c>
      <c r="CR12" s="550">
        <v>0.0</v>
      </c>
      <c r="CS12" s="528" t="s">
        <v>380</v>
      </c>
      <c r="CT12" s="861" t="s">
        <v>380</v>
      </c>
      <c r="CU12" s="550">
        <v>0.0</v>
      </c>
      <c r="CV12" s="528" t="s">
        <v>380</v>
      </c>
      <c r="CW12" s="861" t="s">
        <v>380</v>
      </c>
      <c r="CX12" s="550">
        <v>0.0</v>
      </c>
      <c r="CY12" s="528" t="s">
        <v>380</v>
      </c>
      <c r="CZ12" s="861" t="s">
        <v>380</v>
      </c>
      <c r="DA12" s="550">
        <v>0.0</v>
      </c>
      <c r="DB12" s="528" t="s">
        <v>380</v>
      </c>
    </row>
    <row r="13" ht="15.0" customHeight="1">
      <c r="A13" s="53">
        <v>34.0</v>
      </c>
      <c r="B13" s="100" t="s">
        <v>233</v>
      </c>
      <c r="C13" s="100" t="s">
        <v>234</v>
      </c>
      <c r="D13" s="101" t="str">
        <f t="shared" si="1"/>
        <v>SITE</v>
      </c>
      <c r="E13" s="101" t="s">
        <v>154</v>
      </c>
      <c r="F13" s="102">
        <v>1112.0</v>
      </c>
      <c r="G13" s="517" t="s">
        <v>154</v>
      </c>
      <c r="H13" s="517">
        <v>1112.0</v>
      </c>
      <c r="I13" s="858" t="str">
        <f>IFERROR(VLOOKUP(C:C,'R22 RELATÓRIO ACC'!B:F,5,FALSE),"NOT PUBLISHED")</f>
        <v>V14</v>
      </c>
      <c r="J13" s="858" t="str">
        <f>IFERROR(VLOOKUP(C:C,'R22 RELATÓRIO ACC'!B:P,15,FALSE),"NOT PUBLISHED")</f>
        <v>03/03/2026</v>
      </c>
      <c r="K13" s="821" t="str">
        <f>IFERROR(VLOOKUP(B:B,'RELATÓRIO ACC'!B:F,5,FALSE),"NOT PUBLISHED")</f>
        <v>V4</v>
      </c>
      <c r="L13" s="822" t="str">
        <f>IFERROR(VLOOKUP(B:B,'RELATÓRIO ACC'!B:P,15,FALSE),"NOT PUBLISHED")</f>
        <v>13/07/2026</v>
      </c>
      <c r="M13" s="821" t="s">
        <v>380</v>
      </c>
      <c r="N13" s="862" t="s">
        <v>380</v>
      </c>
      <c r="O13" s="538" t="s">
        <v>380</v>
      </c>
      <c r="P13" s="587"/>
      <c r="Q13" s="523" t="s">
        <v>380</v>
      </c>
      <c r="R13" s="550" t="s">
        <v>380</v>
      </c>
      <c r="S13" s="525" t="s">
        <v>380</v>
      </c>
      <c r="T13" s="523" t="s">
        <v>380</v>
      </c>
      <c r="U13" s="550" t="s">
        <v>380</v>
      </c>
      <c r="V13" s="525" t="s">
        <v>380</v>
      </c>
      <c r="W13" s="523" t="s">
        <v>380</v>
      </c>
      <c r="X13" s="550" t="s">
        <v>380</v>
      </c>
      <c r="Y13" s="525" t="s">
        <v>380</v>
      </c>
      <c r="Z13" s="523" t="s">
        <v>380</v>
      </c>
      <c r="AA13" s="550" t="s">
        <v>380</v>
      </c>
      <c r="AB13" s="525" t="s">
        <v>380</v>
      </c>
      <c r="AC13" s="523" t="s">
        <v>380</v>
      </c>
      <c r="AD13" s="550" t="s">
        <v>380</v>
      </c>
      <c r="AE13" s="523" t="s">
        <v>380</v>
      </c>
      <c r="AF13" s="523" t="s">
        <v>380</v>
      </c>
      <c r="AG13" s="550" t="s">
        <v>380</v>
      </c>
      <c r="AH13" s="523" t="s">
        <v>380</v>
      </c>
      <c r="AI13" s="523" t="s">
        <v>380</v>
      </c>
      <c r="AJ13" s="550" t="s">
        <v>380</v>
      </c>
      <c r="AK13" s="523" t="s">
        <v>380</v>
      </c>
      <c r="AL13" s="523" t="s">
        <v>380</v>
      </c>
      <c r="AM13" s="550" t="s">
        <v>380</v>
      </c>
      <c r="AN13" s="523" t="s">
        <v>380</v>
      </c>
      <c r="AO13" s="861" t="s">
        <v>380</v>
      </c>
      <c r="AP13" s="550" t="s">
        <v>380</v>
      </c>
      <c r="AQ13" s="830" t="s">
        <v>380</v>
      </c>
      <c r="AR13" s="861" t="s">
        <v>380</v>
      </c>
      <c r="AS13" s="550" t="s">
        <v>380</v>
      </c>
      <c r="AT13" s="830" t="s">
        <v>380</v>
      </c>
      <c r="AU13" s="861" t="s">
        <v>380</v>
      </c>
      <c r="AV13" s="550" t="s">
        <v>380</v>
      </c>
      <c r="AW13" s="830" t="s">
        <v>380</v>
      </c>
      <c r="AX13" s="861" t="s">
        <v>380</v>
      </c>
      <c r="AY13" s="550" t="s">
        <v>380</v>
      </c>
      <c r="AZ13" s="830" t="s">
        <v>380</v>
      </c>
      <c r="BA13" s="861" t="s">
        <v>380</v>
      </c>
      <c r="BB13" s="550" t="s">
        <v>380</v>
      </c>
      <c r="BC13" s="830" t="s">
        <v>380</v>
      </c>
      <c r="BD13" s="861" t="s">
        <v>380</v>
      </c>
      <c r="BE13" s="550" t="s">
        <v>380</v>
      </c>
      <c r="BF13" s="830" t="s">
        <v>380</v>
      </c>
      <c r="BG13" s="861" t="s">
        <v>380</v>
      </c>
      <c r="BH13" s="550" t="s">
        <v>380</v>
      </c>
      <c r="BI13" s="830" t="s">
        <v>380</v>
      </c>
      <c r="BJ13" s="861" t="s">
        <v>380</v>
      </c>
      <c r="BK13" s="550" t="s">
        <v>380</v>
      </c>
      <c r="BL13" s="830" t="s">
        <v>380</v>
      </c>
      <c r="BM13" s="861" t="s">
        <v>380</v>
      </c>
      <c r="BN13" s="550" t="s">
        <v>380</v>
      </c>
      <c r="BO13" s="830" t="s">
        <v>380</v>
      </c>
      <c r="BP13" s="861" t="s">
        <v>380</v>
      </c>
      <c r="BQ13" s="550" t="s">
        <v>380</v>
      </c>
      <c r="BR13" s="830" t="s">
        <v>380</v>
      </c>
      <c r="BS13" s="861" t="s">
        <v>380</v>
      </c>
      <c r="BT13" s="550" t="s">
        <v>380</v>
      </c>
      <c r="BU13" s="830" t="s">
        <v>380</v>
      </c>
      <c r="BV13" s="861" t="s">
        <v>380</v>
      </c>
      <c r="BW13" s="550" t="s">
        <v>380</v>
      </c>
      <c r="BX13" s="830" t="s">
        <v>380</v>
      </c>
      <c r="BY13" s="861" t="s">
        <v>380</v>
      </c>
      <c r="BZ13" s="550" t="s">
        <v>380</v>
      </c>
      <c r="CA13" s="830" t="s">
        <v>380</v>
      </c>
      <c r="CB13" s="861" t="s">
        <v>380</v>
      </c>
      <c r="CC13" s="550" t="s">
        <v>380</v>
      </c>
      <c r="CD13" s="830" t="s">
        <v>380</v>
      </c>
      <c r="CE13" s="861" t="s">
        <v>380</v>
      </c>
      <c r="CF13" s="550" t="s">
        <v>380</v>
      </c>
      <c r="CG13" s="830" t="s">
        <v>380</v>
      </c>
      <c r="CH13" s="861" t="s">
        <v>380</v>
      </c>
      <c r="CI13" s="550" t="s">
        <v>380</v>
      </c>
      <c r="CJ13" s="830" t="s">
        <v>380</v>
      </c>
      <c r="CK13" s="861" t="s">
        <v>380</v>
      </c>
      <c r="CL13" s="550" t="s">
        <v>380</v>
      </c>
      <c r="CM13" s="830" t="s">
        <v>380</v>
      </c>
      <c r="CN13" s="861" t="s">
        <v>380</v>
      </c>
      <c r="CO13" s="550" t="s">
        <v>380</v>
      </c>
      <c r="CP13" s="830" t="s">
        <v>380</v>
      </c>
      <c r="CQ13" s="861" t="s">
        <v>380</v>
      </c>
      <c r="CR13" s="550" t="s">
        <v>380</v>
      </c>
      <c r="CS13" s="830" t="s">
        <v>380</v>
      </c>
      <c r="CT13" s="861" t="s">
        <v>380</v>
      </c>
      <c r="CU13" s="550" t="s">
        <v>380</v>
      </c>
      <c r="CV13" s="830" t="s">
        <v>380</v>
      </c>
      <c r="CW13" s="861" t="s">
        <v>380</v>
      </c>
      <c r="CX13" s="550" t="s">
        <v>380</v>
      </c>
      <c r="CY13" s="830" t="s">
        <v>380</v>
      </c>
      <c r="CZ13" s="861" t="s">
        <v>380</v>
      </c>
      <c r="DA13" s="550" t="s">
        <v>380</v>
      </c>
      <c r="DB13" s="830" t="s">
        <v>380</v>
      </c>
    </row>
    <row r="14" ht="15.0" customHeight="1">
      <c r="A14" s="53">
        <v>38.0</v>
      </c>
      <c r="B14" s="100" t="s">
        <v>169</v>
      </c>
      <c r="C14" s="100" t="s">
        <v>170</v>
      </c>
      <c r="D14" s="101" t="str">
        <f t="shared" si="1"/>
        <v>GUAR</v>
      </c>
      <c r="E14" s="101" t="s">
        <v>161</v>
      </c>
      <c r="F14" s="102">
        <v>1113.0</v>
      </c>
      <c r="G14" s="517" t="s">
        <v>161</v>
      </c>
      <c r="H14" s="517">
        <v>1113.0</v>
      </c>
      <c r="I14" s="858" t="str">
        <f>IFERROR(VLOOKUP(C:C,'R22 RELATÓRIO ACC'!B:F,5,FALSE),"NOT PUBLISHED")</f>
        <v>V12</v>
      </c>
      <c r="J14" s="858" t="str">
        <f>IFERROR(VLOOKUP(C:C,'R22 RELATÓRIO ACC'!B:P,15,FALSE),"NOT PUBLISHED")</f>
        <v>13/05/2026</v>
      </c>
      <c r="K14" s="821" t="str">
        <f>IFERROR(VLOOKUP(B:B,'RELATÓRIO ACC'!B:F,5,FALSE),"NOT PUBLISHED")</f>
        <v>V2</v>
      </c>
      <c r="L14" s="822" t="str">
        <f>IFERROR(VLOOKUP(B:B,'RELATÓRIO ACC'!B:P,15,FALSE),"NOT PUBLISHED")</f>
        <v>01/06/2026</v>
      </c>
      <c r="M14" s="821" t="s">
        <v>380</v>
      </c>
      <c r="N14" s="862" t="s">
        <v>380</v>
      </c>
      <c r="O14" s="538" t="s">
        <v>380</v>
      </c>
      <c r="P14" s="587"/>
      <c r="Q14" s="523" t="s">
        <v>380</v>
      </c>
      <c r="R14" s="558">
        <v>0.0</v>
      </c>
      <c r="S14" s="525" t="s">
        <v>380</v>
      </c>
      <c r="T14" s="523" t="s">
        <v>380</v>
      </c>
      <c r="U14" s="524">
        <v>0.0</v>
      </c>
      <c r="V14" s="523" t="s">
        <v>380</v>
      </c>
      <c r="W14" s="523" t="s">
        <v>380</v>
      </c>
      <c r="X14" s="524">
        <v>0.0</v>
      </c>
      <c r="Y14" s="523" t="s">
        <v>380</v>
      </c>
      <c r="Z14" s="523" t="s">
        <v>380</v>
      </c>
      <c r="AA14" s="524">
        <v>0.0</v>
      </c>
      <c r="AB14" s="523" t="s">
        <v>380</v>
      </c>
      <c r="AC14" s="523" t="s">
        <v>380</v>
      </c>
      <c r="AD14" s="524">
        <v>0.0</v>
      </c>
      <c r="AE14" s="528" t="s">
        <v>380</v>
      </c>
      <c r="AF14" s="523" t="s">
        <v>380</v>
      </c>
      <c r="AG14" s="524">
        <v>0.0</v>
      </c>
      <c r="AH14" s="528" t="s">
        <v>380</v>
      </c>
      <c r="AI14" s="523" t="s">
        <v>380</v>
      </c>
      <c r="AJ14" s="524">
        <v>0.0</v>
      </c>
      <c r="AK14" s="528" t="s">
        <v>380</v>
      </c>
      <c r="AL14" s="523" t="s">
        <v>380</v>
      </c>
      <c r="AM14" s="524">
        <v>0.0</v>
      </c>
      <c r="AN14" s="528" t="s">
        <v>380</v>
      </c>
      <c r="AO14" s="861" t="s">
        <v>380</v>
      </c>
      <c r="AP14" s="558">
        <v>0.0</v>
      </c>
      <c r="AQ14" s="528" t="s">
        <v>380</v>
      </c>
      <c r="AR14" s="861" t="s">
        <v>380</v>
      </c>
      <c r="AS14" s="558">
        <v>0.0</v>
      </c>
      <c r="AT14" s="528" t="s">
        <v>380</v>
      </c>
      <c r="AU14" s="861" t="s">
        <v>380</v>
      </c>
      <c r="AV14" s="558">
        <v>0.0</v>
      </c>
      <c r="AW14" s="528" t="s">
        <v>380</v>
      </c>
      <c r="AX14" s="861" t="s">
        <v>380</v>
      </c>
      <c r="AY14" s="558">
        <v>0.0</v>
      </c>
      <c r="AZ14" s="528" t="s">
        <v>380</v>
      </c>
      <c r="BA14" s="861" t="s">
        <v>380</v>
      </c>
      <c r="BB14" s="558">
        <v>0.0</v>
      </c>
      <c r="BC14" s="861" t="s">
        <v>380</v>
      </c>
      <c r="BD14" s="523" t="s">
        <v>380</v>
      </c>
      <c r="BE14" s="558">
        <v>0.0</v>
      </c>
      <c r="BF14" s="523" t="s">
        <v>380</v>
      </c>
      <c r="BG14" s="523" t="s">
        <v>380</v>
      </c>
      <c r="BH14" s="558">
        <v>0.0</v>
      </c>
      <c r="BI14" s="523" t="s">
        <v>380</v>
      </c>
      <c r="BJ14" s="523" t="s">
        <v>380</v>
      </c>
      <c r="BK14" s="558">
        <v>0.0</v>
      </c>
      <c r="BL14" s="523" t="s">
        <v>380</v>
      </c>
      <c r="BM14" s="523" t="s">
        <v>380</v>
      </c>
      <c r="BN14" s="558">
        <v>0.0</v>
      </c>
      <c r="BO14" s="523" t="s">
        <v>380</v>
      </c>
      <c r="BP14" s="523" t="s">
        <v>380</v>
      </c>
      <c r="BQ14" s="558">
        <v>0.0</v>
      </c>
      <c r="BR14" s="523" t="s">
        <v>380</v>
      </c>
      <c r="BS14" s="523" t="s">
        <v>380</v>
      </c>
      <c r="BT14" s="558">
        <v>0.0</v>
      </c>
      <c r="BU14" s="523" t="s">
        <v>380</v>
      </c>
      <c r="BV14" s="523" t="s">
        <v>380</v>
      </c>
      <c r="BW14" s="558">
        <v>0.0</v>
      </c>
      <c r="BX14" s="523" t="s">
        <v>380</v>
      </c>
      <c r="BY14" s="523" t="s">
        <v>380</v>
      </c>
      <c r="BZ14" s="558">
        <v>0.0</v>
      </c>
      <c r="CA14" s="523" t="s">
        <v>380</v>
      </c>
      <c r="CB14" s="523" t="s">
        <v>380</v>
      </c>
      <c r="CC14" s="558">
        <v>0.0</v>
      </c>
      <c r="CD14" s="523" t="s">
        <v>380</v>
      </c>
      <c r="CE14" s="528" t="s">
        <v>380</v>
      </c>
      <c r="CF14" s="558">
        <v>0.0</v>
      </c>
      <c r="CG14" s="528" t="s">
        <v>380</v>
      </c>
      <c r="CH14" s="528" t="s">
        <v>380</v>
      </c>
      <c r="CI14" s="558">
        <v>0.0</v>
      </c>
      <c r="CJ14" s="528" t="s">
        <v>380</v>
      </c>
      <c r="CK14" s="528" t="s">
        <v>380</v>
      </c>
      <c r="CL14" s="558">
        <v>0.0</v>
      </c>
      <c r="CM14" s="528" t="s">
        <v>380</v>
      </c>
      <c r="CN14" s="528" t="s">
        <v>380</v>
      </c>
      <c r="CO14" s="558">
        <v>0.0</v>
      </c>
      <c r="CP14" s="528" t="s">
        <v>380</v>
      </c>
      <c r="CQ14" s="528" t="s">
        <v>380</v>
      </c>
      <c r="CR14" s="558">
        <v>0.0</v>
      </c>
      <c r="CS14" s="528" t="s">
        <v>380</v>
      </c>
      <c r="CT14" s="528" t="s">
        <v>380</v>
      </c>
      <c r="CU14" s="558">
        <v>0.0</v>
      </c>
      <c r="CV14" s="528" t="s">
        <v>380</v>
      </c>
      <c r="CW14" s="528" t="s">
        <v>380</v>
      </c>
      <c r="CX14" s="558">
        <v>0.0</v>
      </c>
      <c r="CY14" s="528" t="s">
        <v>380</v>
      </c>
      <c r="CZ14" s="528" t="s">
        <v>380</v>
      </c>
      <c r="DA14" s="558">
        <v>0.0</v>
      </c>
      <c r="DB14" s="528" t="s">
        <v>380</v>
      </c>
    </row>
    <row r="15" ht="15.0" customHeight="1">
      <c r="A15" s="53">
        <v>52.0</v>
      </c>
      <c r="B15" s="145" t="s">
        <v>199</v>
      </c>
      <c r="C15" s="145" t="s">
        <v>199</v>
      </c>
      <c r="D15" s="101" t="str">
        <f t="shared" si="1"/>
        <v>SITE</v>
      </c>
      <c r="E15" s="111" t="s">
        <v>200</v>
      </c>
      <c r="F15" s="118" t="s">
        <v>200</v>
      </c>
      <c r="G15" s="534" t="s">
        <v>200</v>
      </c>
      <c r="H15" s="535"/>
      <c r="I15" s="858" t="str">
        <f>IFERROR(VLOOKUP(C:C,'R22 RELATÓRIO ACC'!B:F,5,FALSE),"NOT PUBLISHED")</f>
        <v>V2</v>
      </c>
      <c r="J15" s="858" t="str">
        <f>IFERROR(VLOOKUP(C:C,'R22 RELATÓRIO ACC'!B:P,15,FALSE),"NOT PUBLISHED")</f>
        <v>07/05/2026</v>
      </c>
      <c r="K15" s="821" t="str">
        <f>IFERROR(VLOOKUP(B:B,'RELATÓRIO ACC'!B:F,5,FALSE),"NOT PUBLISHED")</f>
        <v>V5</v>
      </c>
      <c r="L15" s="822" t="str">
        <f>IFERROR(VLOOKUP(B:B,'RELATÓRIO ACC'!B:P,15,FALSE),"NOT PUBLISHED")</f>
        <v>08/07/2026</v>
      </c>
      <c r="M15" s="552" t="s">
        <v>380</v>
      </c>
      <c r="N15" s="745" t="s">
        <v>380</v>
      </c>
      <c r="O15" s="538" t="s">
        <v>380</v>
      </c>
      <c r="P15" s="587"/>
      <c r="Q15" s="523" t="s">
        <v>380</v>
      </c>
      <c r="R15" s="524">
        <v>0.0</v>
      </c>
      <c r="S15" s="543" t="s">
        <v>380</v>
      </c>
      <c r="T15" s="523" t="s">
        <v>380</v>
      </c>
      <c r="U15" s="524">
        <v>0.0</v>
      </c>
      <c r="V15" s="543" t="s">
        <v>380</v>
      </c>
      <c r="W15" s="523" t="s">
        <v>380</v>
      </c>
      <c r="X15" s="524">
        <v>0.0</v>
      </c>
      <c r="Y15" s="523" t="s">
        <v>380</v>
      </c>
      <c r="Z15" s="523" t="s">
        <v>380</v>
      </c>
      <c r="AA15" s="524">
        <v>0.0</v>
      </c>
      <c r="AB15" s="523" t="s">
        <v>380</v>
      </c>
      <c r="AC15" s="523" t="s">
        <v>380</v>
      </c>
      <c r="AD15" s="524">
        <v>0.0</v>
      </c>
      <c r="AE15" s="523" t="s">
        <v>380</v>
      </c>
      <c r="AF15" s="523" t="s">
        <v>380</v>
      </c>
      <c r="AG15" s="524">
        <v>0.0</v>
      </c>
      <c r="AH15" s="523" t="s">
        <v>380</v>
      </c>
      <c r="AI15" s="523" t="s">
        <v>380</v>
      </c>
      <c r="AJ15" s="524">
        <v>0.0</v>
      </c>
      <c r="AK15" s="523" t="s">
        <v>380</v>
      </c>
      <c r="AL15" s="523" t="s">
        <v>380</v>
      </c>
      <c r="AM15" s="524">
        <v>0.0</v>
      </c>
      <c r="AN15" s="523" t="s">
        <v>380</v>
      </c>
      <c r="AO15" s="861" t="s">
        <v>380</v>
      </c>
      <c r="AP15" s="558">
        <v>0.0</v>
      </c>
      <c r="AQ15" s="830" t="s">
        <v>380</v>
      </c>
      <c r="AR15" s="861" t="s">
        <v>380</v>
      </c>
      <c r="AS15" s="558">
        <v>0.0</v>
      </c>
      <c r="AT15" s="830" t="s">
        <v>380</v>
      </c>
      <c r="AU15" s="861" t="s">
        <v>380</v>
      </c>
      <c r="AV15" s="558">
        <v>0.0</v>
      </c>
      <c r="AW15" s="830" t="s">
        <v>380</v>
      </c>
      <c r="AX15" s="861" t="s">
        <v>380</v>
      </c>
      <c r="AY15" s="558">
        <v>0.0</v>
      </c>
      <c r="AZ15" s="830" t="s">
        <v>380</v>
      </c>
      <c r="BA15" s="861" t="s">
        <v>380</v>
      </c>
      <c r="BB15" s="558">
        <v>0.0</v>
      </c>
      <c r="BC15" s="830" t="s">
        <v>380</v>
      </c>
      <c r="BD15" s="861" t="s">
        <v>380</v>
      </c>
      <c r="BE15" s="558">
        <v>0.0</v>
      </c>
      <c r="BF15" s="830" t="s">
        <v>380</v>
      </c>
      <c r="BG15" s="523" t="s">
        <v>380</v>
      </c>
      <c r="BH15" s="558">
        <v>0.0</v>
      </c>
      <c r="BI15" s="528" t="s">
        <v>380</v>
      </c>
      <c r="BJ15" s="523" t="s">
        <v>380</v>
      </c>
      <c r="BK15" s="558">
        <v>0.0</v>
      </c>
      <c r="BL15" s="528" t="s">
        <v>380</v>
      </c>
      <c r="BM15" s="523" t="s">
        <v>380</v>
      </c>
      <c r="BN15" s="558">
        <v>0.0</v>
      </c>
      <c r="BO15" s="528" t="s">
        <v>380</v>
      </c>
      <c r="BP15" s="523" t="s">
        <v>380</v>
      </c>
      <c r="BQ15" s="558">
        <v>0.0</v>
      </c>
      <c r="BR15" s="528" t="s">
        <v>380</v>
      </c>
      <c r="BS15" s="523" t="s">
        <v>380</v>
      </c>
      <c r="BT15" s="558">
        <v>0.0</v>
      </c>
      <c r="BU15" s="523" t="s">
        <v>380</v>
      </c>
      <c r="BV15" s="523" t="s">
        <v>380</v>
      </c>
      <c r="BW15" s="558">
        <v>0.0</v>
      </c>
      <c r="BX15" s="523" t="s">
        <v>380</v>
      </c>
      <c r="BY15" s="523" t="s">
        <v>380</v>
      </c>
      <c r="BZ15" s="558">
        <v>0.0</v>
      </c>
      <c r="CA15" s="523" t="s">
        <v>380</v>
      </c>
      <c r="CB15" s="523" t="s">
        <v>380</v>
      </c>
      <c r="CC15" s="558">
        <v>0.0</v>
      </c>
      <c r="CD15" s="523" t="s">
        <v>380</v>
      </c>
      <c r="CE15" s="528" t="s">
        <v>380</v>
      </c>
      <c r="CF15" s="558">
        <v>0.0</v>
      </c>
      <c r="CG15" s="528" t="s">
        <v>380</v>
      </c>
      <c r="CH15" s="528" t="s">
        <v>380</v>
      </c>
      <c r="CI15" s="558">
        <v>0.0</v>
      </c>
      <c r="CJ15" s="523" t="s">
        <v>380</v>
      </c>
      <c r="CK15" s="528" t="s">
        <v>380</v>
      </c>
      <c r="CL15" s="558">
        <v>0.0</v>
      </c>
      <c r="CM15" s="523" t="s">
        <v>380</v>
      </c>
      <c r="CN15" s="528" t="s">
        <v>380</v>
      </c>
      <c r="CO15" s="558">
        <v>0.0</v>
      </c>
      <c r="CP15" s="523" t="s">
        <v>380</v>
      </c>
      <c r="CQ15" s="528" t="s">
        <v>380</v>
      </c>
      <c r="CR15" s="558">
        <v>0.0</v>
      </c>
      <c r="CS15" s="523" t="s">
        <v>380</v>
      </c>
      <c r="CT15" s="528" t="s">
        <v>380</v>
      </c>
      <c r="CU15" s="558">
        <v>0.0</v>
      </c>
      <c r="CV15" s="523" t="s">
        <v>380</v>
      </c>
      <c r="CW15" s="528" t="s">
        <v>380</v>
      </c>
      <c r="CX15" s="558">
        <v>0.0</v>
      </c>
      <c r="CY15" s="523" t="s">
        <v>380</v>
      </c>
      <c r="CZ15" s="528" t="s">
        <v>380</v>
      </c>
      <c r="DA15" s="558">
        <v>0.0</v>
      </c>
      <c r="DB15" s="523" t="s">
        <v>380</v>
      </c>
    </row>
    <row r="16" ht="15.0" customHeight="1">
      <c r="A16" s="53">
        <v>46.0</v>
      </c>
      <c r="B16" s="100" t="s">
        <v>296</v>
      </c>
      <c r="C16" s="100" t="s">
        <v>296</v>
      </c>
      <c r="D16" s="101" t="str">
        <f t="shared" si="1"/>
        <v>GUAR</v>
      </c>
      <c r="E16" s="111" t="s">
        <v>289</v>
      </c>
      <c r="F16" s="102">
        <v>1125.0</v>
      </c>
      <c r="G16" s="517" t="s">
        <v>289</v>
      </c>
      <c r="H16" s="517">
        <v>1125.0</v>
      </c>
      <c r="I16" s="858" t="str">
        <f>IFERROR(VLOOKUP(C:C,'R22 RELATÓRIO ACC'!B:F,5,FALSE),"NOT PUBLISHED")</f>
        <v>V6</v>
      </c>
      <c r="J16" s="858" t="str">
        <f>IFERROR(VLOOKUP(C:C,'R22 RELATÓRIO ACC'!B:P,15,FALSE),"NOT PUBLISHED")</f>
        <v>01/11/2025</v>
      </c>
      <c r="K16" s="821" t="str">
        <f>IFERROR(VLOOKUP(B:B,'RELATÓRIO ACC'!B:F,5,FALSE),"NOT PUBLISHED")</f>
        <v>V1</v>
      </c>
      <c r="L16" s="822" t="str">
        <f>IFERROR(VLOOKUP(B:B,'RELATÓRIO ACC'!B:P,15,FALSE),"NOT PUBLISHED")</f>
        <v>21/05/2026</v>
      </c>
      <c r="M16" s="552" t="s">
        <v>380</v>
      </c>
      <c r="N16" s="552" t="s">
        <v>380</v>
      </c>
      <c r="O16" s="538" t="s">
        <v>380</v>
      </c>
      <c r="P16" s="587"/>
      <c r="Q16" s="523" t="s">
        <v>380</v>
      </c>
      <c r="R16" s="962">
        <v>0.0</v>
      </c>
      <c r="S16" s="523" t="s">
        <v>380</v>
      </c>
      <c r="T16" s="523" t="s">
        <v>380</v>
      </c>
      <c r="U16" s="962">
        <v>0.0</v>
      </c>
      <c r="V16" s="530" t="s">
        <v>380</v>
      </c>
      <c r="W16" s="523" t="s">
        <v>380</v>
      </c>
      <c r="X16" s="962">
        <v>0.0</v>
      </c>
      <c r="Y16" s="530" t="s">
        <v>380</v>
      </c>
      <c r="Z16" s="523" t="s">
        <v>380</v>
      </c>
      <c r="AA16" s="962">
        <v>0.0</v>
      </c>
      <c r="AB16" s="740" t="s">
        <v>380</v>
      </c>
      <c r="AC16" s="523" t="s">
        <v>380</v>
      </c>
      <c r="AD16" s="962">
        <v>0.0</v>
      </c>
      <c r="AE16" s="530" t="s">
        <v>380</v>
      </c>
      <c r="AF16" s="523" t="s">
        <v>380</v>
      </c>
      <c r="AG16" s="962">
        <v>0.0</v>
      </c>
      <c r="AH16" s="530" t="s">
        <v>380</v>
      </c>
      <c r="AI16" s="523" t="s">
        <v>380</v>
      </c>
      <c r="AJ16" s="962">
        <v>0.0</v>
      </c>
      <c r="AK16" s="530" t="s">
        <v>380</v>
      </c>
      <c r="AL16" s="523" t="s">
        <v>380</v>
      </c>
      <c r="AM16" s="962">
        <v>0.0</v>
      </c>
      <c r="AN16" s="530" t="s">
        <v>380</v>
      </c>
      <c r="AO16" s="861" t="s">
        <v>380</v>
      </c>
      <c r="AP16" s="996">
        <v>0.0</v>
      </c>
      <c r="AQ16" s="997" t="s">
        <v>380</v>
      </c>
      <c r="AR16" s="861" t="s">
        <v>380</v>
      </c>
      <c r="AS16" s="996">
        <v>0.0</v>
      </c>
      <c r="AT16" s="997" t="s">
        <v>380</v>
      </c>
      <c r="AU16" s="861" t="s">
        <v>380</v>
      </c>
      <c r="AV16" s="996">
        <v>0.0</v>
      </c>
      <c r="AW16" s="997" t="s">
        <v>380</v>
      </c>
      <c r="AX16" s="861" t="s">
        <v>380</v>
      </c>
      <c r="AY16" s="996">
        <v>0.0</v>
      </c>
      <c r="AZ16" s="997" t="s">
        <v>380</v>
      </c>
      <c r="BA16" s="861" t="s">
        <v>380</v>
      </c>
      <c r="BB16" s="996">
        <v>0.0</v>
      </c>
      <c r="BC16" s="997" t="s">
        <v>380</v>
      </c>
      <c r="BD16" s="861" t="s">
        <v>380</v>
      </c>
      <c r="BE16" s="996">
        <v>0.0</v>
      </c>
      <c r="BF16" s="997" t="s">
        <v>380</v>
      </c>
      <c r="BG16" s="861" t="s">
        <v>380</v>
      </c>
      <c r="BH16" s="996">
        <v>0.0</v>
      </c>
      <c r="BI16" s="997" t="s">
        <v>380</v>
      </c>
      <c r="BJ16" s="861" t="s">
        <v>380</v>
      </c>
      <c r="BK16" s="996">
        <v>0.0</v>
      </c>
      <c r="BL16" s="997" t="s">
        <v>380</v>
      </c>
      <c r="BM16" s="861" t="s">
        <v>380</v>
      </c>
      <c r="BN16" s="996">
        <v>0.0</v>
      </c>
      <c r="BO16" s="997" t="s">
        <v>380</v>
      </c>
      <c r="BP16" s="861" t="s">
        <v>380</v>
      </c>
      <c r="BQ16" s="996">
        <v>0.0</v>
      </c>
      <c r="BR16" s="997" t="s">
        <v>380</v>
      </c>
      <c r="BS16" s="861" t="s">
        <v>380</v>
      </c>
      <c r="BT16" s="996">
        <v>0.0</v>
      </c>
      <c r="BU16" s="997" t="s">
        <v>380</v>
      </c>
      <c r="BV16" s="861" t="s">
        <v>380</v>
      </c>
      <c r="BW16" s="996">
        <v>0.0</v>
      </c>
      <c r="BX16" s="997" t="s">
        <v>380</v>
      </c>
      <c r="BY16" s="861" t="s">
        <v>380</v>
      </c>
      <c r="BZ16" s="996">
        <v>0.0</v>
      </c>
      <c r="CA16" s="997" t="s">
        <v>380</v>
      </c>
      <c r="CB16" s="861" t="s">
        <v>380</v>
      </c>
      <c r="CC16" s="996">
        <v>0.0</v>
      </c>
      <c r="CD16" s="997" t="s">
        <v>380</v>
      </c>
      <c r="CE16" s="861" t="s">
        <v>380</v>
      </c>
      <c r="CF16" s="996">
        <v>0.0</v>
      </c>
      <c r="CG16" s="997" t="s">
        <v>380</v>
      </c>
      <c r="CH16" s="861" t="s">
        <v>380</v>
      </c>
      <c r="CI16" s="996">
        <v>0.0</v>
      </c>
      <c r="CJ16" s="997" t="s">
        <v>380</v>
      </c>
      <c r="CK16" s="861" t="s">
        <v>380</v>
      </c>
      <c r="CL16" s="996">
        <v>0.0</v>
      </c>
      <c r="CM16" s="998" t="s">
        <v>380</v>
      </c>
      <c r="CN16" s="861" t="s">
        <v>380</v>
      </c>
      <c r="CO16" s="996">
        <v>0.0</v>
      </c>
      <c r="CP16" s="998" t="s">
        <v>380</v>
      </c>
      <c r="CQ16" s="861" t="s">
        <v>380</v>
      </c>
      <c r="CR16" s="996">
        <v>0.0</v>
      </c>
      <c r="CS16" s="998" t="s">
        <v>380</v>
      </c>
      <c r="CT16" s="861" t="s">
        <v>380</v>
      </c>
      <c r="CU16" s="996">
        <v>0.0</v>
      </c>
      <c r="CV16" s="998" t="s">
        <v>380</v>
      </c>
      <c r="CW16" s="861" t="s">
        <v>380</v>
      </c>
      <c r="CX16" s="996">
        <v>0.0</v>
      </c>
      <c r="CY16" s="998" t="s">
        <v>380</v>
      </c>
      <c r="CZ16" s="861" t="s">
        <v>380</v>
      </c>
      <c r="DA16" s="996">
        <v>0.0</v>
      </c>
      <c r="DB16" s="998" t="s">
        <v>380</v>
      </c>
    </row>
    <row r="17" ht="15.0" customHeight="1">
      <c r="A17" s="53">
        <v>50.0</v>
      </c>
      <c r="B17" s="100" t="s">
        <v>174</v>
      </c>
      <c r="C17" s="100" t="s">
        <v>175</v>
      </c>
      <c r="D17" s="101" t="str">
        <f t="shared" si="1"/>
        <v>SITE</v>
      </c>
      <c r="E17" s="101" t="s">
        <v>165</v>
      </c>
      <c r="F17" s="102">
        <v>1114.0</v>
      </c>
      <c r="G17" s="517" t="s">
        <v>165</v>
      </c>
      <c r="H17" s="517">
        <v>1114.0</v>
      </c>
      <c r="I17" s="858" t="str">
        <f>IFERROR(VLOOKUP(C:C,'R22 RELATÓRIO ACC'!B:F,5,FALSE),"NOT PUBLISHED")</f>
        <v>V14</v>
      </c>
      <c r="J17" s="858" t="str">
        <f>IFERROR(VLOOKUP(C:C,'R22 RELATÓRIO ACC'!B:P,15,FALSE),"NOT PUBLISHED")</f>
        <v>29/04/2026</v>
      </c>
      <c r="K17" s="821" t="str">
        <f>IFERROR(VLOOKUP(B:B,'RELATÓRIO ACC'!B:F,5,FALSE),"NOT PUBLISHED")</f>
        <v>V2</v>
      </c>
      <c r="L17" s="822" t="str">
        <f>IFERROR(VLOOKUP(B:B,'RELATÓRIO ACC'!B:P,15,FALSE),"NOT PUBLISHED")</f>
        <v>07/07/2026</v>
      </c>
      <c r="M17" s="552" t="s">
        <v>380</v>
      </c>
      <c r="N17" s="745" t="s">
        <v>380</v>
      </c>
      <c r="O17" s="538" t="s">
        <v>380</v>
      </c>
      <c r="P17" s="587"/>
      <c r="Q17" s="523" t="s">
        <v>380</v>
      </c>
      <c r="R17" s="524">
        <v>0.0</v>
      </c>
      <c r="S17" s="543" t="s">
        <v>380</v>
      </c>
      <c r="T17" s="523" t="s">
        <v>380</v>
      </c>
      <c r="U17" s="524">
        <v>0.0</v>
      </c>
      <c r="V17" s="543" t="s">
        <v>380</v>
      </c>
      <c r="W17" s="523" t="s">
        <v>380</v>
      </c>
      <c r="X17" s="524">
        <v>0.0</v>
      </c>
      <c r="Y17" s="523" t="s">
        <v>380</v>
      </c>
      <c r="Z17" s="523" t="s">
        <v>380</v>
      </c>
      <c r="AA17" s="526" t="s">
        <v>380</v>
      </c>
      <c r="AB17" s="528" t="s">
        <v>380</v>
      </c>
      <c r="AC17" s="523" t="s">
        <v>380</v>
      </c>
      <c r="AD17" s="526" t="s">
        <v>380</v>
      </c>
      <c r="AE17" s="523" t="s">
        <v>380</v>
      </c>
      <c r="AF17" s="523" t="s">
        <v>380</v>
      </c>
      <c r="AG17" s="526" t="s">
        <v>380</v>
      </c>
      <c r="AH17" s="523" t="s">
        <v>380</v>
      </c>
      <c r="AI17" s="523" t="s">
        <v>380</v>
      </c>
      <c r="AJ17" s="526" t="s">
        <v>380</v>
      </c>
      <c r="AK17" s="523" t="s">
        <v>380</v>
      </c>
      <c r="AL17" s="523" t="s">
        <v>380</v>
      </c>
      <c r="AM17" s="526" t="s">
        <v>380</v>
      </c>
      <c r="AN17" s="523" t="s">
        <v>380</v>
      </c>
      <c r="AO17" s="861" t="s">
        <v>380</v>
      </c>
      <c r="AP17" s="550" t="s">
        <v>380</v>
      </c>
      <c r="AQ17" s="830" t="s">
        <v>380</v>
      </c>
      <c r="AR17" s="861" t="s">
        <v>380</v>
      </c>
      <c r="AS17" s="550" t="s">
        <v>380</v>
      </c>
      <c r="AT17" s="830" t="s">
        <v>380</v>
      </c>
      <c r="AU17" s="861" t="s">
        <v>380</v>
      </c>
      <c r="AV17" s="550" t="s">
        <v>380</v>
      </c>
      <c r="AW17" s="830" t="s">
        <v>380</v>
      </c>
      <c r="AX17" s="861" t="s">
        <v>380</v>
      </c>
      <c r="AY17" s="550" t="s">
        <v>380</v>
      </c>
      <c r="AZ17" s="830" t="s">
        <v>380</v>
      </c>
      <c r="BA17" s="861" t="s">
        <v>380</v>
      </c>
      <c r="BB17" s="550" t="s">
        <v>380</v>
      </c>
      <c r="BC17" s="861" t="s">
        <v>380</v>
      </c>
      <c r="BD17" s="523" t="s">
        <v>380</v>
      </c>
      <c r="BE17" s="550" t="s">
        <v>380</v>
      </c>
      <c r="BF17" s="528" t="s">
        <v>380</v>
      </c>
      <c r="BG17" s="523" t="s">
        <v>380</v>
      </c>
      <c r="BH17" s="550" t="s">
        <v>380</v>
      </c>
      <c r="BI17" s="523" t="s">
        <v>380</v>
      </c>
      <c r="BJ17" s="523" t="s">
        <v>380</v>
      </c>
      <c r="BK17" s="550" t="s">
        <v>380</v>
      </c>
      <c r="BL17" s="523" t="s">
        <v>380</v>
      </c>
      <c r="BM17" s="523" t="s">
        <v>380</v>
      </c>
      <c r="BN17" s="550" t="s">
        <v>380</v>
      </c>
      <c r="BO17" s="523" t="s">
        <v>380</v>
      </c>
      <c r="BP17" s="523" t="s">
        <v>380</v>
      </c>
      <c r="BQ17" s="550" t="s">
        <v>380</v>
      </c>
      <c r="BR17" s="523" t="s">
        <v>380</v>
      </c>
      <c r="BS17" s="523" t="s">
        <v>380</v>
      </c>
      <c r="BT17" s="550" t="s">
        <v>380</v>
      </c>
      <c r="BU17" s="523" t="s">
        <v>380</v>
      </c>
      <c r="BV17" s="523" t="s">
        <v>380</v>
      </c>
      <c r="BW17" s="550" t="s">
        <v>380</v>
      </c>
      <c r="BX17" s="523" t="s">
        <v>380</v>
      </c>
      <c r="BY17" s="523" t="s">
        <v>380</v>
      </c>
      <c r="BZ17" s="550" t="s">
        <v>380</v>
      </c>
      <c r="CA17" s="523" t="s">
        <v>380</v>
      </c>
      <c r="CB17" s="523" t="s">
        <v>380</v>
      </c>
      <c r="CC17" s="550" t="s">
        <v>380</v>
      </c>
      <c r="CD17" s="523" t="s">
        <v>380</v>
      </c>
      <c r="CE17" s="523" t="s">
        <v>380</v>
      </c>
      <c r="CF17" s="550" t="s">
        <v>380</v>
      </c>
      <c r="CG17" s="523" t="s">
        <v>380</v>
      </c>
      <c r="CH17" s="523" t="s">
        <v>380</v>
      </c>
      <c r="CI17" s="550" t="s">
        <v>380</v>
      </c>
      <c r="CJ17" s="523" t="s">
        <v>380</v>
      </c>
      <c r="CK17" s="861" t="s">
        <v>380</v>
      </c>
      <c r="CL17" s="550" t="s">
        <v>380</v>
      </c>
      <c r="CM17" s="861" t="s">
        <v>380</v>
      </c>
      <c r="CN17" s="861" t="s">
        <v>380</v>
      </c>
      <c r="CO17" s="550" t="s">
        <v>380</v>
      </c>
      <c r="CP17" s="861" t="s">
        <v>380</v>
      </c>
      <c r="CQ17" s="861" t="s">
        <v>380</v>
      </c>
      <c r="CR17" s="550" t="s">
        <v>380</v>
      </c>
      <c r="CS17" s="861" t="s">
        <v>380</v>
      </c>
      <c r="CT17" s="861" t="s">
        <v>380</v>
      </c>
      <c r="CU17" s="550" t="s">
        <v>380</v>
      </c>
      <c r="CV17" s="861" t="s">
        <v>380</v>
      </c>
      <c r="CW17" s="861" t="s">
        <v>380</v>
      </c>
      <c r="CX17" s="550" t="s">
        <v>380</v>
      </c>
      <c r="CY17" s="861" t="s">
        <v>380</v>
      </c>
      <c r="CZ17" s="861" t="s">
        <v>380</v>
      </c>
      <c r="DA17" s="550" t="s">
        <v>380</v>
      </c>
      <c r="DB17" s="861" t="s">
        <v>380</v>
      </c>
    </row>
    <row r="18" ht="15.0" customHeight="1">
      <c r="A18" s="53">
        <v>5.0</v>
      </c>
      <c r="B18" s="122" t="s">
        <v>491</v>
      </c>
      <c r="C18" s="122" t="s">
        <v>492</v>
      </c>
      <c r="D18" s="101" t="str">
        <f t="shared" si="1"/>
        <v>SITE</v>
      </c>
      <c r="E18" s="104" t="s">
        <v>395</v>
      </c>
      <c r="F18" s="104">
        <v>1102.0</v>
      </c>
      <c r="G18" s="104" t="s">
        <v>80</v>
      </c>
      <c r="H18" s="517">
        <v>1130.0</v>
      </c>
      <c r="I18" s="858" t="str">
        <f>IFERROR(VLOOKUP(C:C,'R22 RELATÓRIO ACC'!B:F,5,FALSE),"NOT PUBLISHED")</f>
        <v>NOT PUBLISHED</v>
      </c>
      <c r="J18" s="858" t="str">
        <f>IFERROR(VLOOKUP(C:C,'R22 RELATÓRIO ACC'!B:P,15,FALSE),"NOT PUBLISHED")</f>
        <v>NOT PUBLISHED</v>
      </c>
      <c r="K18" s="821" t="str">
        <f>IFERROR(VLOOKUP(B:B,'RELATÓRIO ACC'!B:F,5,FALSE),"NOT PUBLISHED")</f>
        <v>NOT PUBLISHED</v>
      </c>
      <c r="L18" s="822" t="str">
        <f>IFERROR(VLOOKUP(B:B,'RELATÓRIO ACC'!B:P,15,FALSE),"NOT PUBLISHED")</f>
        <v>NOT PUBLISHED</v>
      </c>
      <c r="M18" s="552" t="s">
        <v>388</v>
      </c>
      <c r="N18" s="745" t="s">
        <v>388</v>
      </c>
      <c r="O18" s="538" t="s">
        <v>388</v>
      </c>
      <c r="P18" s="587"/>
      <c r="Q18" s="843" t="s">
        <v>388</v>
      </c>
      <c r="R18" s="540" t="s">
        <v>380</v>
      </c>
      <c r="S18" s="999" t="s">
        <v>388</v>
      </c>
      <c r="T18" s="528" t="s">
        <v>388</v>
      </c>
      <c r="U18" s="540" t="s">
        <v>380</v>
      </c>
      <c r="V18" s="528" t="s">
        <v>388</v>
      </c>
      <c r="W18" s="528" t="s">
        <v>388</v>
      </c>
      <c r="X18" s="540" t="s">
        <v>380</v>
      </c>
      <c r="Y18" s="528" t="s">
        <v>388</v>
      </c>
      <c r="Z18" s="528" t="s">
        <v>388</v>
      </c>
      <c r="AA18" s="540" t="s">
        <v>380</v>
      </c>
      <c r="AB18" s="528" t="s">
        <v>388</v>
      </c>
      <c r="AC18" s="528" t="s">
        <v>388</v>
      </c>
      <c r="AD18" s="540" t="s">
        <v>380</v>
      </c>
      <c r="AE18" s="528" t="s">
        <v>388</v>
      </c>
      <c r="AF18" s="528" t="s">
        <v>388</v>
      </c>
      <c r="AG18" s="540" t="s">
        <v>380</v>
      </c>
      <c r="AH18" s="528" t="s">
        <v>388</v>
      </c>
      <c r="AI18" s="528" t="s">
        <v>388</v>
      </c>
      <c r="AJ18" s="540" t="s">
        <v>380</v>
      </c>
      <c r="AK18" s="528" t="s">
        <v>388</v>
      </c>
      <c r="AL18" s="528" t="s">
        <v>388</v>
      </c>
      <c r="AM18" s="540" t="s">
        <v>380</v>
      </c>
      <c r="AN18" s="528" t="s">
        <v>388</v>
      </c>
      <c r="AO18" s="861" t="s">
        <v>388</v>
      </c>
      <c r="AP18" s="558" t="s">
        <v>380</v>
      </c>
      <c r="AQ18" s="830" t="s">
        <v>388</v>
      </c>
      <c r="AR18" s="861" t="s">
        <v>388</v>
      </c>
      <c r="AS18" s="558" t="s">
        <v>380</v>
      </c>
      <c r="AT18" s="830" t="s">
        <v>388</v>
      </c>
      <c r="AU18" s="861" t="s">
        <v>388</v>
      </c>
      <c r="AV18" s="558" t="s">
        <v>380</v>
      </c>
      <c r="AW18" s="830" t="s">
        <v>388</v>
      </c>
      <c r="AX18" s="861" t="s">
        <v>388</v>
      </c>
      <c r="AY18" s="558" t="s">
        <v>380</v>
      </c>
      <c r="AZ18" s="830" t="s">
        <v>388</v>
      </c>
      <c r="BA18" s="861" t="s">
        <v>388</v>
      </c>
      <c r="BB18" s="558" t="s">
        <v>380</v>
      </c>
      <c r="BC18" s="830" t="s">
        <v>388</v>
      </c>
      <c r="BD18" s="861" t="s">
        <v>388</v>
      </c>
      <c r="BE18" s="558" t="s">
        <v>380</v>
      </c>
      <c r="BF18" s="830" t="s">
        <v>388</v>
      </c>
      <c r="BG18" s="861" t="s">
        <v>388</v>
      </c>
      <c r="BH18" s="558" t="s">
        <v>380</v>
      </c>
      <c r="BI18" s="830" t="s">
        <v>388</v>
      </c>
      <c r="BJ18" s="861" t="s">
        <v>388</v>
      </c>
      <c r="BK18" s="558" t="s">
        <v>380</v>
      </c>
      <c r="BL18" s="523" t="s">
        <v>388</v>
      </c>
      <c r="BM18" s="861" t="s">
        <v>388</v>
      </c>
      <c r="BN18" s="558" t="s">
        <v>380</v>
      </c>
      <c r="BO18" s="523" t="s">
        <v>388</v>
      </c>
      <c r="BP18" s="861" t="s">
        <v>388</v>
      </c>
      <c r="BQ18" s="558" t="s">
        <v>380</v>
      </c>
      <c r="BR18" s="523" t="s">
        <v>388</v>
      </c>
      <c r="BS18" s="861" t="s">
        <v>388</v>
      </c>
      <c r="BT18" s="558" t="s">
        <v>380</v>
      </c>
      <c r="BU18" s="523" t="s">
        <v>388</v>
      </c>
      <c r="BV18" s="523" t="s">
        <v>388</v>
      </c>
      <c r="BW18" s="558" t="s">
        <v>380</v>
      </c>
      <c r="BX18" s="523" t="s">
        <v>388</v>
      </c>
      <c r="BY18" s="523" t="s">
        <v>388</v>
      </c>
      <c r="BZ18" s="558" t="s">
        <v>380</v>
      </c>
      <c r="CA18" s="523" t="s">
        <v>388</v>
      </c>
      <c r="CB18" s="523" t="s">
        <v>388</v>
      </c>
      <c r="CC18" s="558" t="s">
        <v>380</v>
      </c>
      <c r="CD18" s="523" t="s">
        <v>388</v>
      </c>
      <c r="CE18" s="523" t="s">
        <v>388</v>
      </c>
      <c r="CF18" s="558" t="s">
        <v>380</v>
      </c>
      <c r="CG18" s="523" t="s">
        <v>388</v>
      </c>
      <c r="CH18" s="523" t="s">
        <v>388</v>
      </c>
      <c r="CI18" s="558" t="s">
        <v>380</v>
      </c>
      <c r="CJ18" s="523" t="s">
        <v>388</v>
      </c>
      <c r="CK18" s="861" t="s">
        <v>388</v>
      </c>
      <c r="CL18" s="558" t="s">
        <v>380</v>
      </c>
      <c r="CM18" s="861" t="s">
        <v>388</v>
      </c>
      <c r="CN18" s="861" t="s">
        <v>388</v>
      </c>
      <c r="CO18" s="558" t="s">
        <v>380</v>
      </c>
      <c r="CP18" s="861" t="s">
        <v>388</v>
      </c>
      <c r="CQ18" s="861" t="s">
        <v>388</v>
      </c>
      <c r="CR18" s="558" t="s">
        <v>380</v>
      </c>
      <c r="CS18" s="861" t="s">
        <v>388</v>
      </c>
      <c r="CT18" s="861" t="s">
        <v>388</v>
      </c>
      <c r="CU18" s="558" t="s">
        <v>380</v>
      </c>
      <c r="CV18" s="861" t="s">
        <v>388</v>
      </c>
      <c r="CW18" s="861" t="s">
        <v>388</v>
      </c>
      <c r="CX18" s="558" t="s">
        <v>380</v>
      </c>
      <c r="CY18" s="861" t="s">
        <v>388</v>
      </c>
      <c r="CZ18" s="861" t="s">
        <v>388</v>
      </c>
      <c r="DA18" s="558" t="s">
        <v>380</v>
      </c>
      <c r="DB18" s="861" t="s">
        <v>388</v>
      </c>
    </row>
    <row r="19" ht="15.0" customHeight="1">
      <c r="A19" s="53">
        <v>10.0</v>
      </c>
      <c r="B19" s="122" t="s">
        <v>493</v>
      </c>
      <c r="C19" s="122" t="s">
        <v>494</v>
      </c>
      <c r="D19" s="104" t="str">
        <f t="shared" si="1"/>
        <v>SITE</v>
      </c>
      <c r="E19" s="104" t="s">
        <v>85</v>
      </c>
      <c r="F19" s="104">
        <v>1103.0</v>
      </c>
      <c r="G19" s="104" t="s">
        <v>80</v>
      </c>
      <c r="H19" s="517">
        <v>1130.0</v>
      </c>
      <c r="I19" s="858" t="str">
        <f>IFERROR(VLOOKUP(C:C,'R22 RELATÓRIO ACC'!B:F,5,FALSE),"NOT PUBLISHED")</f>
        <v>NOT PUBLISHED</v>
      </c>
      <c r="J19" s="858" t="str">
        <f>IFERROR(VLOOKUP(C:C,'R22 RELATÓRIO ACC'!B:P,15,FALSE),"NOT PUBLISHED")</f>
        <v>NOT PUBLISHED</v>
      </c>
      <c r="K19" s="899" t="str">
        <f>IFERROR(VLOOKUP(B:B,'RELATÓRIO ACC'!B:F,5,FALSE),"NOT PUBLISHED")</f>
        <v>NOT PUBLISHED</v>
      </c>
      <c r="L19" s="822" t="str">
        <f>IFERROR(VLOOKUP(B:B,'RELATÓRIO ACC'!B:P,15,FALSE),"NOT PUBLISHED")</f>
        <v>NOT PUBLISHED</v>
      </c>
      <c r="M19" s="552" t="s">
        <v>388</v>
      </c>
      <c r="N19" s="552" t="s">
        <v>388</v>
      </c>
      <c r="O19" s="538" t="s">
        <v>388</v>
      </c>
      <c r="P19" s="522"/>
      <c r="Q19" s="523" t="s">
        <v>388</v>
      </c>
      <c r="R19" s="558" t="s">
        <v>380</v>
      </c>
      <c r="S19" s="543" t="s">
        <v>388</v>
      </c>
      <c r="T19" s="523" t="s">
        <v>388</v>
      </c>
      <c r="U19" s="558" t="s">
        <v>380</v>
      </c>
      <c r="V19" s="543" t="s">
        <v>388</v>
      </c>
      <c r="W19" s="523" t="s">
        <v>388</v>
      </c>
      <c r="X19" s="558" t="s">
        <v>380</v>
      </c>
      <c r="Y19" s="543" t="s">
        <v>388</v>
      </c>
      <c r="Z19" s="523" t="s">
        <v>388</v>
      </c>
      <c r="AA19" s="558" t="s">
        <v>380</v>
      </c>
      <c r="AB19" s="543" t="s">
        <v>388</v>
      </c>
      <c r="AC19" s="523" t="s">
        <v>388</v>
      </c>
      <c r="AD19" s="558" t="s">
        <v>380</v>
      </c>
      <c r="AE19" s="543" t="s">
        <v>388</v>
      </c>
      <c r="AF19" s="523" t="s">
        <v>388</v>
      </c>
      <c r="AG19" s="558" t="s">
        <v>380</v>
      </c>
      <c r="AH19" s="543" t="s">
        <v>388</v>
      </c>
      <c r="AI19" s="523" t="s">
        <v>388</v>
      </c>
      <c r="AJ19" s="558" t="s">
        <v>380</v>
      </c>
      <c r="AK19" s="543" t="s">
        <v>388</v>
      </c>
      <c r="AL19" s="523" t="s">
        <v>388</v>
      </c>
      <c r="AM19" s="558" t="s">
        <v>380</v>
      </c>
      <c r="AN19" s="543" t="s">
        <v>388</v>
      </c>
      <c r="AO19" s="528" t="s">
        <v>388</v>
      </c>
      <c r="AP19" s="540" t="s">
        <v>380</v>
      </c>
      <c r="AQ19" s="528" t="s">
        <v>388</v>
      </c>
      <c r="AR19" s="528" t="s">
        <v>388</v>
      </c>
      <c r="AS19" s="540" t="s">
        <v>380</v>
      </c>
      <c r="AT19" s="528" t="s">
        <v>388</v>
      </c>
      <c r="AU19" s="528" t="s">
        <v>388</v>
      </c>
      <c r="AV19" s="540" t="s">
        <v>380</v>
      </c>
      <c r="AW19" s="528" t="s">
        <v>388</v>
      </c>
      <c r="AX19" s="528" t="s">
        <v>388</v>
      </c>
      <c r="AY19" s="540" t="s">
        <v>380</v>
      </c>
      <c r="AZ19" s="528" t="s">
        <v>388</v>
      </c>
      <c r="BA19" s="528" t="s">
        <v>388</v>
      </c>
      <c r="BB19" s="540" t="s">
        <v>380</v>
      </c>
      <c r="BC19" s="528" t="s">
        <v>388</v>
      </c>
      <c r="BD19" s="528" t="s">
        <v>388</v>
      </c>
      <c r="BE19" s="540" t="s">
        <v>380</v>
      </c>
      <c r="BF19" s="528" t="s">
        <v>388</v>
      </c>
      <c r="BG19" s="528" t="s">
        <v>388</v>
      </c>
      <c r="BH19" s="540" t="s">
        <v>380</v>
      </c>
      <c r="BI19" s="528" t="s">
        <v>388</v>
      </c>
      <c r="BJ19" s="528" t="s">
        <v>388</v>
      </c>
      <c r="BK19" s="540" t="s">
        <v>380</v>
      </c>
      <c r="BL19" s="528" t="s">
        <v>388</v>
      </c>
      <c r="BM19" s="528" t="s">
        <v>388</v>
      </c>
      <c r="BN19" s="540" t="s">
        <v>380</v>
      </c>
      <c r="BO19" s="528" t="s">
        <v>388</v>
      </c>
      <c r="BP19" s="528" t="s">
        <v>388</v>
      </c>
      <c r="BQ19" s="540" t="s">
        <v>380</v>
      </c>
      <c r="BR19" s="528" t="s">
        <v>388</v>
      </c>
      <c r="BS19" s="528" t="s">
        <v>388</v>
      </c>
      <c r="BT19" s="540" t="s">
        <v>380</v>
      </c>
      <c r="BU19" s="528" t="s">
        <v>388</v>
      </c>
      <c r="BV19" s="523" t="s">
        <v>388</v>
      </c>
      <c r="BW19" s="540" t="s">
        <v>380</v>
      </c>
      <c r="BX19" s="523" t="s">
        <v>388</v>
      </c>
      <c r="BY19" s="523" t="s">
        <v>388</v>
      </c>
      <c r="BZ19" s="540" t="s">
        <v>380</v>
      </c>
      <c r="CA19" s="523" t="s">
        <v>388</v>
      </c>
      <c r="CB19" s="523" t="s">
        <v>388</v>
      </c>
      <c r="CC19" s="540" t="s">
        <v>380</v>
      </c>
      <c r="CD19" s="523" t="s">
        <v>388</v>
      </c>
      <c r="CE19" s="523" t="s">
        <v>388</v>
      </c>
      <c r="CF19" s="540" t="s">
        <v>380</v>
      </c>
      <c r="CG19" s="523" t="s">
        <v>388</v>
      </c>
      <c r="CH19" s="523" t="s">
        <v>388</v>
      </c>
      <c r="CI19" s="540" t="s">
        <v>380</v>
      </c>
      <c r="CJ19" s="523" t="s">
        <v>388</v>
      </c>
      <c r="CK19" s="523" t="s">
        <v>388</v>
      </c>
      <c r="CL19" s="540" t="s">
        <v>380</v>
      </c>
      <c r="CM19" s="523" t="s">
        <v>388</v>
      </c>
      <c r="CN19" s="861" t="s">
        <v>388</v>
      </c>
      <c r="CO19" s="540" t="s">
        <v>380</v>
      </c>
      <c r="CP19" s="861" t="s">
        <v>388</v>
      </c>
      <c r="CQ19" s="861" t="s">
        <v>388</v>
      </c>
      <c r="CR19" s="540" t="s">
        <v>380</v>
      </c>
      <c r="CS19" s="861" t="s">
        <v>388</v>
      </c>
      <c r="CT19" s="861" t="s">
        <v>388</v>
      </c>
      <c r="CU19" s="540" t="s">
        <v>380</v>
      </c>
      <c r="CV19" s="861" t="s">
        <v>388</v>
      </c>
      <c r="CW19" s="861" t="s">
        <v>388</v>
      </c>
      <c r="CX19" s="540" t="s">
        <v>380</v>
      </c>
      <c r="CY19" s="861" t="s">
        <v>388</v>
      </c>
      <c r="CZ19" s="861" t="s">
        <v>388</v>
      </c>
      <c r="DA19" s="540" t="s">
        <v>380</v>
      </c>
      <c r="DB19" s="861" t="s">
        <v>388</v>
      </c>
    </row>
    <row r="20" ht="15.0" customHeight="1">
      <c r="A20" s="53">
        <v>11.0</v>
      </c>
      <c r="B20" s="100" t="s">
        <v>495</v>
      </c>
      <c r="C20" s="100" t="s">
        <v>496</v>
      </c>
      <c r="D20" s="101" t="str">
        <f t="shared" si="1"/>
        <v>SITE</v>
      </c>
      <c r="E20" s="552" t="s">
        <v>392</v>
      </c>
      <c r="F20" s="118">
        <v>1111.0</v>
      </c>
      <c r="G20" s="517" t="s">
        <v>80</v>
      </c>
      <c r="H20" s="517">
        <v>1130.0</v>
      </c>
      <c r="I20" s="858" t="str">
        <f>IFERROR(VLOOKUP(C:C,'R22 RELATÓRIO ACC'!B:F,5,FALSE),"NOT PUBLISHED")</f>
        <v>NOT PUBLISHED</v>
      </c>
      <c r="J20" s="858" t="str">
        <f>IFERROR(VLOOKUP(C:C,'R22 RELATÓRIO ACC'!B:P,15,FALSE),"NOT PUBLISHED")</f>
        <v>NOT PUBLISHED</v>
      </c>
      <c r="K20" s="821" t="str">
        <f>IFERROR(VLOOKUP(B:B,'RELATÓRIO ACC'!B:F,5,FALSE),"NOT PUBLISHED")</f>
        <v>NOT PUBLISHED</v>
      </c>
      <c r="L20" s="822" t="str">
        <f>IFERROR(VLOOKUP(B:B,'RELATÓRIO ACC'!B:P,15,FALSE),"NOT PUBLISHED")</f>
        <v>NOT PUBLISHED</v>
      </c>
      <c r="M20" s="552" t="s">
        <v>388</v>
      </c>
      <c r="N20" s="552" t="s">
        <v>388</v>
      </c>
      <c r="O20" s="538" t="s">
        <v>388</v>
      </c>
      <c r="P20" s="587"/>
      <c r="Q20" s="523" t="s">
        <v>388</v>
      </c>
      <c r="R20" s="524" t="s">
        <v>380</v>
      </c>
      <c r="S20" s="525" t="s">
        <v>388</v>
      </c>
      <c r="T20" s="523" t="s">
        <v>388</v>
      </c>
      <c r="U20" s="524" t="s">
        <v>380</v>
      </c>
      <c r="V20" s="523" t="s">
        <v>388</v>
      </c>
      <c r="W20" s="523" t="s">
        <v>388</v>
      </c>
      <c r="X20" s="524" t="s">
        <v>380</v>
      </c>
      <c r="Y20" s="523" t="s">
        <v>388</v>
      </c>
      <c r="Z20" s="523" t="s">
        <v>388</v>
      </c>
      <c r="AA20" s="524" t="s">
        <v>380</v>
      </c>
      <c r="AB20" s="523" t="s">
        <v>388</v>
      </c>
      <c r="AC20" s="523" t="s">
        <v>388</v>
      </c>
      <c r="AD20" s="524" t="s">
        <v>380</v>
      </c>
      <c r="AE20" s="523" t="s">
        <v>388</v>
      </c>
      <c r="AF20" s="523" t="s">
        <v>388</v>
      </c>
      <c r="AG20" s="524" t="s">
        <v>380</v>
      </c>
      <c r="AH20" s="523" t="s">
        <v>388</v>
      </c>
      <c r="AI20" s="523" t="s">
        <v>388</v>
      </c>
      <c r="AJ20" s="524" t="s">
        <v>380</v>
      </c>
      <c r="AK20" s="523" t="s">
        <v>388</v>
      </c>
      <c r="AL20" s="523" t="s">
        <v>388</v>
      </c>
      <c r="AM20" s="524" t="s">
        <v>380</v>
      </c>
      <c r="AN20" s="523" t="s">
        <v>388</v>
      </c>
      <c r="AO20" s="523" t="s">
        <v>388</v>
      </c>
      <c r="AP20" s="524" t="s">
        <v>380</v>
      </c>
      <c r="AQ20" s="523" t="s">
        <v>388</v>
      </c>
      <c r="AR20" s="523" t="s">
        <v>388</v>
      </c>
      <c r="AS20" s="524" t="s">
        <v>380</v>
      </c>
      <c r="AT20" s="523" t="s">
        <v>388</v>
      </c>
      <c r="AU20" s="523" t="s">
        <v>388</v>
      </c>
      <c r="AV20" s="524" t="s">
        <v>380</v>
      </c>
      <c r="AW20" s="523" t="s">
        <v>388</v>
      </c>
      <c r="AX20" s="523" t="s">
        <v>388</v>
      </c>
      <c r="AY20" s="524" t="s">
        <v>380</v>
      </c>
      <c r="AZ20" s="523" t="s">
        <v>388</v>
      </c>
      <c r="BA20" s="523" t="s">
        <v>388</v>
      </c>
      <c r="BB20" s="524" t="s">
        <v>380</v>
      </c>
      <c r="BC20" s="523" t="s">
        <v>388</v>
      </c>
      <c r="BD20" s="523" t="s">
        <v>388</v>
      </c>
      <c r="BE20" s="524" t="s">
        <v>380</v>
      </c>
      <c r="BF20" s="523" t="s">
        <v>388</v>
      </c>
      <c r="BG20" s="523" t="s">
        <v>388</v>
      </c>
      <c r="BH20" s="524" t="s">
        <v>380</v>
      </c>
      <c r="BI20" s="523" t="s">
        <v>388</v>
      </c>
      <c r="BJ20" s="523" t="s">
        <v>388</v>
      </c>
      <c r="BK20" s="524" t="s">
        <v>380</v>
      </c>
      <c r="BL20" s="523" t="s">
        <v>388</v>
      </c>
      <c r="BM20" s="523" t="s">
        <v>388</v>
      </c>
      <c r="BN20" s="524" t="s">
        <v>380</v>
      </c>
      <c r="BO20" s="523" t="s">
        <v>388</v>
      </c>
      <c r="BP20" s="523" t="s">
        <v>388</v>
      </c>
      <c r="BQ20" s="524" t="s">
        <v>380</v>
      </c>
      <c r="BR20" s="523" t="s">
        <v>388</v>
      </c>
      <c r="BS20" s="523" t="s">
        <v>388</v>
      </c>
      <c r="BT20" s="524" t="s">
        <v>380</v>
      </c>
      <c r="BU20" s="523" t="s">
        <v>388</v>
      </c>
      <c r="BV20" s="523" t="s">
        <v>388</v>
      </c>
      <c r="BW20" s="524" t="s">
        <v>380</v>
      </c>
      <c r="BX20" s="523" t="s">
        <v>388</v>
      </c>
      <c r="BY20" s="523" t="s">
        <v>388</v>
      </c>
      <c r="BZ20" s="524" t="s">
        <v>380</v>
      </c>
      <c r="CA20" s="523" t="s">
        <v>388</v>
      </c>
      <c r="CB20" s="523" t="s">
        <v>388</v>
      </c>
      <c r="CC20" s="524" t="s">
        <v>380</v>
      </c>
      <c r="CD20" s="523" t="s">
        <v>388</v>
      </c>
      <c r="CE20" s="523" t="s">
        <v>388</v>
      </c>
      <c r="CF20" s="524" t="s">
        <v>380</v>
      </c>
      <c r="CG20" s="523" t="s">
        <v>388</v>
      </c>
      <c r="CH20" s="523" t="s">
        <v>388</v>
      </c>
      <c r="CI20" s="524" t="s">
        <v>380</v>
      </c>
      <c r="CJ20" s="523" t="s">
        <v>388</v>
      </c>
      <c r="CK20" s="523" t="s">
        <v>388</v>
      </c>
      <c r="CL20" s="524" t="s">
        <v>380</v>
      </c>
      <c r="CM20" s="523" t="s">
        <v>388</v>
      </c>
      <c r="CN20" s="861" t="s">
        <v>388</v>
      </c>
      <c r="CO20" s="524" t="s">
        <v>380</v>
      </c>
      <c r="CP20" s="528" t="s">
        <v>388</v>
      </c>
      <c r="CQ20" s="861" t="s">
        <v>388</v>
      </c>
      <c r="CR20" s="524" t="s">
        <v>380</v>
      </c>
      <c r="CS20" s="861" t="s">
        <v>388</v>
      </c>
      <c r="CT20" s="861" t="s">
        <v>388</v>
      </c>
      <c r="CU20" s="524" t="s">
        <v>380</v>
      </c>
      <c r="CV20" s="861" t="s">
        <v>388</v>
      </c>
      <c r="CW20" s="861" t="s">
        <v>388</v>
      </c>
      <c r="CX20" s="524" t="s">
        <v>380</v>
      </c>
      <c r="CY20" s="861" t="s">
        <v>388</v>
      </c>
      <c r="CZ20" s="861" t="s">
        <v>388</v>
      </c>
      <c r="DA20" s="524" t="s">
        <v>380</v>
      </c>
      <c r="DB20" s="861" t="s">
        <v>388</v>
      </c>
    </row>
    <row r="21" ht="13.5" customHeight="1">
      <c r="A21" s="53">
        <v>14.0</v>
      </c>
      <c r="B21" s="122" t="s">
        <v>517</v>
      </c>
      <c r="C21" s="122" t="s">
        <v>518</v>
      </c>
      <c r="D21" s="104" t="str">
        <f t="shared" si="1"/>
        <v>SITE</v>
      </c>
      <c r="E21" s="123" t="s">
        <v>104</v>
      </c>
      <c r="F21" s="116">
        <v>1106.0</v>
      </c>
      <c r="G21" s="123" t="s">
        <v>452</v>
      </c>
      <c r="H21" s="535">
        <v>0.0</v>
      </c>
      <c r="I21" s="858" t="str">
        <f>IFERROR(VLOOKUP(C:C,'R22 RELATÓRIO ACC'!B:F,5,FALSE),"NOT PUBLISHED")</f>
        <v>NOT PUBLISHED</v>
      </c>
      <c r="J21" s="858" t="str">
        <f>IFERROR(VLOOKUP(C:C,'R22 RELATÓRIO ACC'!B:P,15,FALSE),"NOT PUBLISHED")</f>
        <v>NOT PUBLISHED</v>
      </c>
      <c r="K21" s="899" t="str">
        <f>IFERROR(VLOOKUP(B:B,'RELATÓRIO ACC'!B:F,5,FALSE),"NOT PUBLISHED")</f>
        <v>NOT PUBLISHED</v>
      </c>
      <c r="L21" s="917" t="str">
        <f>IFERROR(VLOOKUP(B:B,'RELATÓRIO ACC'!B:P,15,FALSE),"NOT PUBLISHED")</f>
        <v>NOT PUBLISHED</v>
      </c>
      <c r="M21" s="858" t="s">
        <v>388</v>
      </c>
      <c r="N21" s="1000" t="s">
        <v>388</v>
      </c>
      <c r="O21" s="538" t="s">
        <v>388</v>
      </c>
      <c r="P21" s="522"/>
      <c r="Q21" s="901" t="s">
        <v>388</v>
      </c>
      <c r="R21" s="558" t="s">
        <v>380</v>
      </c>
      <c r="S21" s="525" t="s">
        <v>388</v>
      </c>
      <c r="T21" s="528" t="s">
        <v>388</v>
      </c>
      <c r="U21" s="540" t="s">
        <v>380</v>
      </c>
      <c r="V21" s="528" t="s">
        <v>388</v>
      </c>
      <c r="W21" s="528" t="s">
        <v>388</v>
      </c>
      <c r="X21" s="540" t="s">
        <v>380</v>
      </c>
      <c r="Y21" s="528" t="s">
        <v>388</v>
      </c>
      <c r="Z21" s="528" t="s">
        <v>388</v>
      </c>
      <c r="AA21" s="540" t="s">
        <v>380</v>
      </c>
      <c r="AB21" s="528" t="s">
        <v>388</v>
      </c>
      <c r="AC21" s="528" t="s">
        <v>388</v>
      </c>
      <c r="AD21" s="540" t="s">
        <v>380</v>
      </c>
      <c r="AE21" s="528" t="s">
        <v>388</v>
      </c>
      <c r="AF21" s="528" t="s">
        <v>388</v>
      </c>
      <c r="AG21" s="540" t="s">
        <v>380</v>
      </c>
      <c r="AH21" s="528" t="s">
        <v>388</v>
      </c>
      <c r="AI21" s="528" t="s">
        <v>388</v>
      </c>
      <c r="AJ21" s="540" t="s">
        <v>380</v>
      </c>
      <c r="AK21" s="528" t="s">
        <v>388</v>
      </c>
      <c r="AL21" s="528" t="s">
        <v>388</v>
      </c>
      <c r="AM21" s="540" t="s">
        <v>380</v>
      </c>
      <c r="AN21" s="528" t="s">
        <v>388</v>
      </c>
      <c r="AO21" s="528" t="s">
        <v>388</v>
      </c>
      <c r="AP21" s="540" t="s">
        <v>380</v>
      </c>
      <c r="AQ21" s="528" t="s">
        <v>388</v>
      </c>
      <c r="AR21" s="528" t="s">
        <v>388</v>
      </c>
      <c r="AS21" s="540" t="s">
        <v>380</v>
      </c>
      <c r="AT21" s="528" t="s">
        <v>388</v>
      </c>
      <c r="AU21" s="528" t="s">
        <v>388</v>
      </c>
      <c r="AV21" s="540" t="s">
        <v>380</v>
      </c>
      <c r="AW21" s="528" t="s">
        <v>388</v>
      </c>
      <c r="AX21" s="528" t="s">
        <v>388</v>
      </c>
      <c r="AY21" s="540" t="s">
        <v>380</v>
      </c>
      <c r="AZ21" s="528" t="s">
        <v>388</v>
      </c>
      <c r="BA21" s="528" t="s">
        <v>388</v>
      </c>
      <c r="BB21" s="540" t="s">
        <v>380</v>
      </c>
      <c r="BC21" s="528" t="s">
        <v>388</v>
      </c>
      <c r="BD21" s="528" t="s">
        <v>388</v>
      </c>
      <c r="BE21" s="540" t="s">
        <v>380</v>
      </c>
      <c r="BF21" s="528" t="s">
        <v>388</v>
      </c>
      <c r="BG21" s="528" t="s">
        <v>388</v>
      </c>
      <c r="BH21" s="540" t="s">
        <v>380</v>
      </c>
      <c r="BI21" s="528" t="s">
        <v>388</v>
      </c>
      <c r="BJ21" s="528" t="s">
        <v>388</v>
      </c>
      <c r="BK21" s="540" t="s">
        <v>380</v>
      </c>
      <c r="BL21" s="528" t="s">
        <v>388</v>
      </c>
      <c r="BM21" s="528" t="s">
        <v>388</v>
      </c>
      <c r="BN21" s="540" t="s">
        <v>380</v>
      </c>
      <c r="BO21" s="528" t="s">
        <v>388</v>
      </c>
      <c r="BP21" s="528" t="s">
        <v>388</v>
      </c>
      <c r="BQ21" s="540" t="s">
        <v>380</v>
      </c>
      <c r="BR21" s="528" t="s">
        <v>388</v>
      </c>
      <c r="BS21" s="528" t="s">
        <v>388</v>
      </c>
      <c r="BT21" s="540" t="s">
        <v>380</v>
      </c>
      <c r="BU21" s="528" t="s">
        <v>388</v>
      </c>
      <c r="BV21" s="528" t="s">
        <v>388</v>
      </c>
      <c r="BW21" s="540" t="s">
        <v>380</v>
      </c>
      <c r="BX21" s="528" t="s">
        <v>388</v>
      </c>
      <c r="BY21" s="528" t="s">
        <v>388</v>
      </c>
      <c r="BZ21" s="540" t="s">
        <v>380</v>
      </c>
      <c r="CA21" s="528" t="s">
        <v>388</v>
      </c>
      <c r="CB21" s="523" t="s">
        <v>388</v>
      </c>
      <c r="CC21" s="540" t="s">
        <v>380</v>
      </c>
      <c r="CD21" s="523" t="s">
        <v>388</v>
      </c>
      <c r="CE21" s="523" t="s">
        <v>388</v>
      </c>
      <c r="CF21" s="540" t="s">
        <v>380</v>
      </c>
      <c r="CG21" s="523" t="s">
        <v>388</v>
      </c>
      <c r="CH21" s="523" t="s">
        <v>388</v>
      </c>
      <c r="CI21" s="540" t="s">
        <v>380</v>
      </c>
      <c r="CJ21" s="523" t="s">
        <v>388</v>
      </c>
      <c r="CK21" s="523" t="s">
        <v>388</v>
      </c>
      <c r="CL21" s="540" t="s">
        <v>380</v>
      </c>
      <c r="CM21" s="523" t="s">
        <v>388</v>
      </c>
      <c r="CN21" s="523" t="s">
        <v>388</v>
      </c>
      <c r="CO21" s="540" t="s">
        <v>380</v>
      </c>
      <c r="CP21" s="523" t="s">
        <v>388</v>
      </c>
      <c r="CQ21" s="523" t="s">
        <v>388</v>
      </c>
      <c r="CR21" s="540" t="s">
        <v>380</v>
      </c>
      <c r="CS21" s="523" t="s">
        <v>388</v>
      </c>
      <c r="CT21" s="523" t="s">
        <v>388</v>
      </c>
      <c r="CU21" s="540" t="s">
        <v>380</v>
      </c>
      <c r="CV21" s="523" t="s">
        <v>388</v>
      </c>
      <c r="CW21" s="523" t="s">
        <v>388</v>
      </c>
      <c r="CX21" s="540" t="s">
        <v>380</v>
      </c>
      <c r="CY21" s="523" t="s">
        <v>388</v>
      </c>
      <c r="CZ21" s="523" t="s">
        <v>388</v>
      </c>
      <c r="DA21" s="540" t="s">
        <v>380</v>
      </c>
      <c r="DB21" s="523" t="s">
        <v>388</v>
      </c>
    </row>
    <row r="22" ht="15.0" customHeight="1">
      <c r="A22" s="53">
        <v>51.0</v>
      </c>
      <c r="B22" s="100" t="s">
        <v>137</v>
      </c>
      <c r="C22" s="100" t="s">
        <v>138</v>
      </c>
      <c r="D22" s="101" t="str">
        <f t="shared" si="1"/>
        <v>SITE</v>
      </c>
      <c r="E22" s="101" t="s">
        <v>105</v>
      </c>
      <c r="F22" s="115">
        <v>0.0</v>
      </c>
      <c r="G22" s="535" t="s">
        <v>105</v>
      </c>
      <c r="H22" s="535"/>
      <c r="I22" s="858" t="str">
        <f>IFERROR(VLOOKUP(C:C,'R22 RELATÓRIO ACC'!B:F,5,FALSE),"NOT PUBLISHED")</f>
        <v>NOT PUBLISHED</v>
      </c>
      <c r="J22" s="858" t="str">
        <f>IFERROR(VLOOKUP(C:C,'R22 RELATÓRIO ACC'!B:P,15,FALSE),"NOT PUBLISHED")</f>
        <v>NOT PUBLISHED</v>
      </c>
      <c r="K22" s="821" t="str">
        <f>IFERROR(VLOOKUP(B:B,'RELATÓRIO ACC'!B:F,5,FALSE),"NOT PUBLISHED")</f>
        <v>NOT PUBLISHED</v>
      </c>
      <c r="L22" s="822" t="str">
        <f>IFERROR(VLOOKUP(B:B,'RELATÓRIO ACC'!B:P,15,FALSE),"NOT PUBLISHED")</f>
        <v>NOT PUBLISHED</v>
      </c>
      <c r="M22" s="821" t="s">
        <v>388</v>
      </c>
      <c r="N22" s="862" t="s">
        <v>388</v>
      </c>
      <c r="O22" s="538" t="s">
        <v>388</v>
      </c>
      <c r="P22" s="587"/>
      <c r="Q22" s="523" t="s">
        <v>388</v>
      </c>
      <c r="R22" s="558" t="s">
        <v>380</v>
      </c>
      <c r="S22" s="525" t="s">
        <v>388</v>
      </c>
      <c r="T22" s="523" t="s">
        <v>388</v>
      </c>
      <c r="U22" s="524" t="s">
        <v>380</v>
      </c>
      <c r="V22" s="523" t="s">
        <v>388</v>
      </c>
      <c r="W22" s="523" t="s">
        <v>388</v>
      </c>
      <c r="X22" s="524" t="s">
        <v>380</v>
      </c>
      <c r="Y22" s="528" t="s">
        <v>388</v>
      </c>
      <c r="Z22" s="523" t="s">
        <v>388</v>
      </c>
      <c r="AA22" s="524" t="s">
        <v>380</v>
      </c>
      <c r="AB22" s="528" t="s">
        <v>388</v>
      </c>
      <c r="AC22" s="523" t="s">
        <v>388</v>
      </c>
      <c r="AD22" s="524" t="s">
        <v>380</v>
      </c>
      <c r="AE22" s="528" t="s">
        <v>388</v>
      </c>
      <c r="AF22" s="523" t="s">
        <v>388</v>
      </c>
      <c r="AG22" s="524" t="s">
        <v>380</v>
      </c>
      <c r="AH22" s="528" t="s">
        <v>388</v>
      </c>
      <c r="AI22" s="523" t="s">
        <v>388</v>
      </c>
      <c r="AJ22" s="524" t="s">
        <v>380</v>
      </c>
      <c r="AK22" s="528" t="s">
        <v>388</v>
      </c>
      <c r="AL22" s="523" t="s">
        <v>388</v>
      </c>
      <c r="AM22" s="524" t="s">
        <v>380</v>
      </c>
      <c r="AN22" s="528" t="s">
        <v>388</v>
      </c>
      <c r="AO22" s="523" t="s">
        <v>388</v>
      </c>
      <c r="AP22" s="524" t="s">
        <v>380</v>
      </c>
      <c r="AQ22" s="528" t="s">
        <v>388</v>
      </c>
      <c r="AR22" s="523" t="s">
        <v>388</v>
      </c>
      <c r="AS22" s="524" t="s">
        <v>380</v>
      </c>
      <c r="AT22" s="528" t="s">
        <v>388</v>
      </c>
      <c r="AU22" s="523" t="s">
        <v>388</v>
      </c>
      <c r="AV22" s="524" t="s">
        <v>380</v>
      </c>
      <c r="AW22" s="528" t="s">
        <v>388</v>
      </c>
      <c r="AX22" s="523" t="s">
        <v>388</v>
      </c>
      <c r="AY22" s="524" t="s">
        <v>380</v>
      </c>
      <c r="AZ22" s="528" t="s">
        <v>388</v>
      </c>
      <c r="BA22" s="523" t="s">
        <v>388</v>
      </c>
      <c r="BB22" s="526" t="s">
        <v>380</v>
      </c>
      <c r="BC22" s="528" t="s">
        <v>388</v>
      </c>
      <c r="BD22" s="523" t="s">
        <v>388</v>
      </c>
      <c r="BE22" s="526" t="s">
        <v>380</v>
      </c>
      <c r="BF22" s="528" t="s">
        <v>388</v>
      </c>
      <c r="BG22" s="523" t="s">
        <v>388</v>
      </c>
      <c r="BH22" s="526" t="s">
        <v>380</v>
      </c>
      <c r="BI22" s="528" t="s">
        <v>388</v>
      </c>
      <c r="BJ22" s="523" t="s">
        <v>388</v>
      </c>
      <c r="BK22" s="526" t="s">
        <v>380</v>
      </c>
      <c r="BL22" s="528" t="s">
        <v>388</v>
      </c>
      <c r="BM22" s="523" t="s">
        <v>388</v>
      </c>
      <c r="BN22" s="526" t="s">
        <v>380</v>
      </c>
      <c r="BO22" s="528" t="s">
        <v>388</v>
      </c>
      <c r="BP22" s="523" t="s">
        <v>388</v>
      </c>
      <c r="BQ22" s="526" t="s">
        <v>380</v>
      </c>
      <c r="BR22" s="528" t="s">
        <v>388</v>
      </c>
      <c r="BS22" s="523" t="s">
        <v>388</v>
      </c>
      <c r="BT22" s="526" t="s">
        <v>380</v>
      </c>
      <c r="BU22" s="528" t="s">
        <v>388</v>
      </c>
      <c r="BV22" s="523" t="s">
        <v>388</v>
      </c>
      <c r="BW22" s="526" t="s">
        <v>380</v>
      </c>
      <c r="BX22" s="528" t="s">
        <v>388</v>
      </c>
      <c r="BY22" s="523" t="s">
        <v>388</v>
      </c>
      <c r="BZ22" s="526" t="s">
        <v>380</v>
      </c>
      <c r="CA22" s="528" t="s">
        <v>388</v>
      </c>
      <c r="CB22" s="523" t="s">
        <v>388</v>
      </c>
      <c r="CC22" s="526" t="s">
        <v>380</v>
      </c>
      <c r="CD22" s="528" t="s">
        <v>388</v>
      </c>
      <c r="CE22" s="523" t="s">
        <v>388</v>
      </c>
      <c r="CF22" s="526" t="s">
        <v>380</v>
      </c>
      <c r="CG22" s="528" t="s">
        <v>388</v>
      </c>
      <c r="CH22" s="523" t="s">
        <v>388</v>
      </c>
      <c r="CI22" s="526" t="s">
        <v>380</v>
      </c>
      <c r="CJ22" s="528" t="s">
        <v>388</v>
      </c>
      <c r="CK22" s="523" t="s">
        <v>388</v>
      </c>
      <c r="CL22" s="526" t="s">
        <v>380</v>
      </c>
      <c r="CM22" s="528" t="s">
        <v>388</v>
      </c>
      <c r="CN22" s="523" t="s">
        <v>388</v>
      </c>
      <c r="CO22" s="526" t="s">
        <v>380</v>
      </c>
      <c r="CP22" s="528" t="s">
        <v>388</v>
      </c>
      <c r="CQ22" s="523" t="s">
        <v>388</v>
      </c>
      <c r="CR22" s="526" t="s">
        <v>380</v>
      </c>
      <c r="CS22" s="528" t="s">
        <v>388</v>
      </c>
      <c r="CT22" s="523" t="s">
        <v>388</v>
      </c>
      <c r="CU22" s="526" t="s">
        <v>380</v>
      </c>
      <c r="CV22" s="528" t="s">
        <v>388</v>
      </c>
      <c r="CW22" s="523" t="s">
        <v>388</v>
      </c>
      <c r="CX22" s="526" t="s">
        <v>380</v>
      </c>
      <c r="CY22" s="528" t="s">
        <v>388</v>
      </c>
      <c r="CZ22" s="523" t="s">
        <v>388</v>
      </c>
      <c r="DA22" s="526" t="s">
        <v>380</v>
      </c>
      <c r="DB22" s="528" t="s">
        <v>388</v>
      </c>
    </row>
    <row r="23" ht="15.0" customHeight="1">
      <c r="A23" s="53">
        <v>16.0</v>
      </c>
      <c r="B23" s="122" t="s">
        <v>134</v>
      </c>
      <c r="C23" s="122" t="s">
        <v>135</v>
      </c>
      <c r="D23" s="104" t="str">
        <f t="shared" si="1"/>
        <v>SITE</v>
      </c>
      <c r="E23" s="123" t="s">
        <v>136</v>
      </c>
      <c r="F23" s="116">
        <v>0.0</v>
      </c>
      <c r="G23" s="116" t="s">
        <v>105</v>
      </c>
      <c r="H23" s="535"/>
      <c r="I23" s="858" t="str">
        <f>IFERROR(VLOOKUP(C:C,'R22 RELATÓRIO ACC'!B:F,5,FALSE),"NOT PUBLISHED")</f>
        <v>NOT PUBLISHED</v>
      </c>
      <c r="J23" s="858" t="str">
        <f>IFERROR(VLOOKUP(C:C,'R22 RELATÓRIO ACC'!B:P,15,FALSE),"NOT PUBLISHED")</f>
        <v>NOT PUBLISHED</v>
      </c>
      <c r="K23" s="899" t="str">
        <f>IFERROR(VLOOKUP(B:B,'RELATÓRIO ACC'!B:F,5,FALSE),"NOT PUBLISHED")</f>
        <v>NOT PUBLISHED</v>
      </c>
      <c r="L23" s="822" t="str">
        <f>IFERROR(VLOOKUP(B:B,'RELATÓRIO ACC'!B:P,15,FALSE),"NOT PUBLISHED")</f>
        <v>NOT PUBLISHED</v>
      </c>
      <c r="M23" s="858" t="s">
        <v>388</v>
      </c>
      <c r="N23" s="1000" t="s">
        <v>388</v>
      </c>
      <c r="O23" s="538" t="s">
        <v>388</v>
      </c>
      <c r="P23" s="522"/>
      <c r="Q23" s="901" t="s">
        <v>388</v>
      </c>
      <c r="R23" s="558" t="s">
        <v>380</v>
      </c>
      <c r="S23" s="525" t="s">
        <v>388</v>
      </c>
      <c r="T23" s="528" t="s">
        <v>388</v>
      </c>
      <c r="U23" s="540" t="s">
        <v>380</v>
      </c>
      <c r="V23" s="528" t="s">
        <v>388</v>
      </c>
      <c r="W23" s="528" t="s">
        <v>388</v>
      </c>
      <c r="X23" s="540" t="s">
        <v>380</v>
      </c>
      <c r="Y23" s="528" t="s">
        <v>388</v>
      </c>
      <c r="Z23" s="528" t="s">
        <v>388</v>
      </c>
      <c r="AA23" s="540" t="s">
        <v>380</v>
      </c>
      <c r="AB23" s="528" t="s">
        <v>388</v>
      </c>
      <c r="AC23" s="528" t="s">
        <v>388</v>
      </c>
      <c r="AD23" s="540" t="s">
        <v>380</v>
      </c>
      <c r="AE23" s="528" t="s">
        <v>388</v>
      </c>
      <c r="AF23" s="528" t="s">
        <v>388</v>
      </c>
      <c r="AG23" s="540" t="s">
        <v>380</v>
      </c>
      <c r="AH23" s="528" t="s">
        <v>388</v>
      </c>
      <c r="AI23" s="528" t="s">
        <v>388</v>
      </c>
      <c r="AJ23" s="540" t="s">
        <v>380</v>
      </c>
      <c r="AK23" s="528" t="s">
        <v>388</v>
      </c>
      <c r="AL23" s="528" t="s">
        <v>388</v>
      </c>
      <c r="AM23" s="540" t="s">
        <v>380</v>
      </c>
      <c r="AN23" s="528" t="s">
        <v>388</v>
      </c>
      <c r="AO23" s="528" t="s">
        <v>388</v>
      </c>
      <c r="AP23" s="540" t="s">
        <v>380</v>
      </c>
      <c r="AQ23" s="528" t="s">
        <v>388</v>
      </c>
      <c r="AR23" s="528" t="s">
        <v>388</v>
      </c>
      <c r="AS23" s="540" t="s">
        <v>380</v>
      </c>
      <c r="AT23" s="528" t="s">
        <v>388</v>
      </c>
      <c r="AU23" s="528" t="s">
        <v>388</v>
      </c>
      <c r="AV23" s="540" t="s">
        <v>380</v>
      </c>
      <c r="AW23" s="528" t="s">
        <v>388</v>
      </c>
      <c r="AX23" s="861" t="s">
        <v>388</v>
      </c>
      <c r="AY23" s="540" t="s">
        <v>380</v>
      </c>
      <c r="AZ23" s="861" t="s">
        <v>388</v>
      </c>
      <c r="BA23" s="861" t="s">
        <v>388</v>
      </c>
      <c r="BB23" s="540" t="s">
        <v>380</v>
      </c>
      <c r="BC23" s="861" t="s">
        <v>388</v>
      </c>
      <c r="BD23" s="523" t="s">
        <v>388</v>
      </c>
      <c r="BE23" s="540" t="s">
        <v>380</v>
      </c>
      <c r="BF23" s="523" t="s">
        <v>388</v>
      </c>
      <c r="BG23" s="523" t="s">
        <v>388</v>
      </c>
      <c r="BH23" s="540" t="s">
        <v>380</v>
      </c>
      <c r="BI23" s="523" t="s">
        <v>388</v>
      </c>
      <c r="BJ23" s="523" t="s">
        <v>388</v>
      </c>
      <c r="BK23" s="540" t="s">
        <v>380</v>
      </c>
      <c r="BL23" s="523" t="s">
        <v>388</v>
      </c>
      <c r="BM23" s="523" t="s">
        <v>388</v>
      </c>
      <c r="BN23" s="540" t="s">
        <v>380</v>
      </c>
      <c r="BO23" s="523" t="s">
        <v>388</v>
      </c>
      <c r="BP23" s="523" t="s">
        <v>388</v>
      </c>
      <c r="BQ23" s="540" t="s">
        <v>380</v>
      </c>
      <c r="BR23" s="523" t="s">
        <v>388</v>
      </c>
      <c r="BS23" s="523" t="s">
        <v>388</v>
      </c>
      <c r="BT23" s="540" t="s">
        <v>380</v>
      </c>
      <c r="BU23" s="523" t="s">
        <v>388</v>
      </c>
      <c r="BV23" s="523" t="s">
        <v>388</v>
      </c>
      <c r="BW23" s="540" t="s">
        <v>380</v>
      </c>
      <c r="BX23" s="523" t="s">
        <v>388</v>
      </c>
      <c r="BY23" s="523" t="s">
        <v>388</v>
      </c>
      <c r="BZ23" s="540" t="s">
        <v>380</v>
      </c>
      <c r="CA23" s="523" t="s">
        <v>388</v>
      </c>
      <c r="CB23" s="523" t="s">
        <v>388</v>
      </c>
      <c r="CC23" s="540" t="s">
        <v>380</v>
      </c>
      <c r="CD23" s="523" t="s">
        <v>388</v>
      </c>
      <c r="CE23" s="523" t="s">
        <v>388</v>
      </c>
      <c r="CF23" s="540" t="s">
        <v>380</v>
      </c>
      <c r="CG23" s="523" t="s">
        <v>388</v>
      </c>
      <c r="CH23" s="523" t="s">
        <v>388</v>
      </c>
      <c r="CI23" s="540" t="s">
        <v>380</v>
      </c>
      <c r="CJ23" s="523" t="s">
        <v>388</v>
      </c>
      <c r="CK23" s="523" t="s">
        <v>388</v>
      </c>
      <c r="CL23" s="540" t="s">
        <v>380</v>
      </c>
      <c r="CM23" s="523" t="s">
        <v>388</v>
      </c>
      <c r="CN23" s="523" t="s">
        <v>388</v>
      </c>
      <c r="CO23" s="540" t="s">
        <v>380</v>
      </c>
      <c r="CP23" s="523" t="s">
        <v>388</v>
      </c>
      <c r="CQ23" s="523" t="s">
        <v>388</v>
      </c>
      <c r="CR23" s="540" t="s">
        <v>380</v>
      </c>
      <c r="CS23" s="523" t="s">
        <v>388</v>
      </c>
      <c r="CT23" s="523" t="s">
        <v>388</v>
      </c>
      <c r="CU23" s="540" t="s">
        <v>380</v>
      </c>
      <c r="CV23" s="523" t="s">
        <v>388</v>
      </c>
      <c r="CW23" s="523" t="s">
        <v>388</v>
      </c>
      <c r="CX23" s="540" t="s">
        <v>380</v>
      </c>
      <c r="CY23" s="523" t="s">
        <v>388</v>
      </c>
      <c r="CZ23" s="523" t="s">
        <v>388</v>
      </c>
      <c r="DA23" s="540" t="s">
        <v>380</v>
      </c>
      <c r="DB23" s="523" t="s">
        <v>388</v>
      </c>
    </row>
    <row r="24" ht="15.0" customHeight="1">
      <c r="A24" s="53">
        <v>18.0</v>
      </c>
      <c r="B24" s="100" t="s">
        <v>110</v>
      </c>
      <c r="C24" s="100" t="s">
        <v>111</v>
      </c>
      <c r="D24" s="101" t="str">
        <f t="shared" si="1"/>
        <v>SITE</v>
      </c>
      <c r="E24" s="101" t="s">
        <v>108</v>
      </c>
      <c r="F24" s="115">
        <v>1107.0</v>
      </c>
      <c r="G24" s="534" t="s">
        <v>109</v>
      </c>
      <c r="H24" s="535">
        <v>0.0</v>
      </c>
      <c r="I24" s="858" t="str">
        <f>IFERROR(VLOOKUP(C:C,'R22 RELATÓRIO ACC'!B:F,5,FALSE),"NOT PUBLISHED")</f>
        <v>NOT PUBLISHED</v>
      </c>
      <c r="J24" s="858" t="str">
        <f>IFERROR(VLOOKUP(C:C,'R22 RELATÓRIO ACC'!B:P,15,FALSE),"NOT PUBLISHED")</f>
        <v>NOT PUBLISHED</v>
      </c>
      <c r="K24" s="821" t="str">
        <f>IFERROR(VLOOKUP(B:B,'RELATÓRIO ACC'!B:F,5,FALSE),"NOT PUBLISHED")</f>
        <v>NOT PUBLISHED</v>
      </c>
      <c r="L24" s="822" t="str">
        <f>IFERROR(VLOOKUP(B:B,'RELATÓRIO ACC'!B:P,15,FALSE),"NOT PUBLISHED")</f>
        <v>NOT PUBLISHED</v>
      </c>
      <c r="M24" s="552" t="s">
        <v>388</v>
      </c>
      <c r="N24" s="552" t="s">
        <v>388</v>
      </c>
      <c r="O24" s="538" t="s">
        <v>388</v>
      </c>
      <c r="P24" s="587"/>
      <c r="Q24" s="523" t="s">
        <v>388</v>
      </c>
      <c r="R24" s="558" t="s">
        <v>380</v>
      </c>
      <c r="S24" s="523" t="s">
        <v>388</v>
      </c>
      <c r="T24" s="523" t="s">
        <v>388</v>
      </c>
      <c r="U24" s="558" t="s">
        <v>380</v>
      </c>
      <c r="V24" s="523" t="s">
        <v>388</v>
      </c>
      <c r="W24" s="523" t="s">
        <v>388</v>
      </c>
      <c r="X24" s="558" t="s">
        <v>380</v>
      </c>
      <c r="Y24" s="528" t="s">
        <v>388</v>
      </c>
      <c r="Z24" s="523" t="s">
        <v>388</v>
      </c>
      <c r="AA24" s="558" t="s">
        <v>380</v>
      </c>
      <c r="AB24" s="528" t="s">
        <v>388</v>
      </c>
      <c r="AC24" s="523" t="s">
        <v>388</v>
      </c>
      <c r="AD24" s="558" t="s">
        <v>380</v>
      </c>
      <c r="AE24" s="523" t="s">
        <v>388</v>
      </c>
      <c r="AF24" s="523" t="s">
        <v>388</v>
      </c>
      <c r="AG24" s="558" t="s">
        <v>380</v>
      </c>
      <c r="AH24" s="523" t="s">
        <v>388</v>
      </c>
      <c r="AI24" s="523" t="s">
        <v>388</v>
      </c>
      <c r="AJ24" s="558" t="s">
        <v>380</v>
      </c>
      <c r="AK24" s="523" t="s">
        <v>388</v>
      </c>
      <c r="AL24" s="523" t="s">
        <v>388</v>
      </c>
      <c r="AM24" s="558" t="s">
        <v>380</v>
      </c>
      <c r="AN24" s="523" t="s">
        <v>388</v>
      </c>
      <c r="AO24" s="523" t="s">
        <v>388</v>
      </c>
      <c r="AP24" s="558" t="s">
        <v>380</v>
      </c>
      <c r="AQ24" s="523" t="s">
        <v>388</v>
      </c>
      <c r="AR24" s="523" t="s">
        <v>388</v>
      </c>
      <c r="AS24" s="558" t="s">
        <v>380</v>
      </c>
      <c r="AT24" s="523" t="s">
        <v>388</v>
      </c>
      <c r="AU24" s="523" t="s">
        <v>388</v>
      </c>
      <c r="AV24" s="558" t="s">
        <v>380</v>
      </c>
      <c r="AW24" s="523" t="s">
        <v>388</v>
      </c>
      <c r="AX24" s="523" t="s">
        <v>388</v>
      </c>
      <c r="AY24" s="558" t="s">
        <v>380</v>
      </c>
      <c r="AZ24" s="523" t="s">
        <v>388</v>
      </c>
      <c r="BA24" s="523" t="s">
        <v>388</v>
      </c>
      <c r="BB24" s="558" t="s">
        <v>380</v>
      </c>
      <c r="BC24" s="523" t="s">
        <v>388</v>
      </c>
      <c r="BD24" s="523" t="s">
        <v>388</v>
      </c>
      <c r="BE24" s="558" t="s">
        <v>380</v>
      </c>
      <c r="BF24" s="523" t="s">
        <v>388</v>
      </c>
      <c r="BG24" s="523" t="s">
        <v>388</v>
      </c>
      <c r="BH24" s="558" t="s">
        <v>380</v>
      </c>
      <c r="BI24" s="523" t="s">
        <v>388</v>
      </c>
      <c r="BJ24" s="523" t="s">
        <v>388</v>
      </c>
      <c r="BK24" s="558" t="s">
        <v>380</v>
      </c>
      <c r="BL24" s="523" t="s">
        <v>388</v>
      </c>
      <c r="BM24" s="523" t="s">
        <v>388</v>
      </c>
      <c r="BN24" s="558" t="s">
        <v>380</v>
      </c>
      <c r="BO24" s="523" t="s">
        <v>388</v>
      </c>
      <c r="BP24" s="523" t="s">
        <v>388</v>
      </c>
      <c r="BQ24" s="558" t="s">
        <v>380</v>
      </c>
      <c r="BR24" s="523" t="s">
        <v>388</v>
      </c>
      <c r="BS24" s="523" t="s">
        <v>388</v>
      </c>
      <c r="BT24" s="558" t="s">
        <v>380</v>
      </c>
      <c r="BU24" s="523" t="s">
        <v>388</v>
      </c>
      <c r="BV24" s="523" t="s">
        <v>388</v>
      </c>
      <c r="BW24" s="558" t="s">
        <v>380</v>
      </c>
      <c r="BX24" s="523" t="s">
        <v>388</v>
      </c>
      <c r="BY24" s="523" t="s">
        <v>388</v>
      </c>
      <c r="BZ24" s="558" t="s">
        <v>380</v>
      </c>
      <c r="CA24" s="523" t="s">
        <v>388</v>
      </c>
      <c r="CB24" s="523" t="s">
        <v>388</v>
      </c>
      <c r="CC24" s="558" t="s">
        <v>380</v>
      </c>
      <c r="CD24" s="523" t="s">
        <v>388</v>
      </c>
      <c r="CE24" s="523" t="s">
        <v>388</v>
      </c>
      <c r="CF24" s="558" t="s">
        <v>380</v>
      </c>
      <c r="CG24" s="523" t="s">
        <v>388</v>
      </c>
      <c r="CH24" s="523" t="s">
        <v>388</v>
      </c>
      <c r="CI24" s="558" t="s">
        <v>380</v>
      </c>
      <c r="CJ24" s="523" t="s">
        <v>388</v>
      </c>
      <c r="CK24" s="523" t="s">
        <v>388</v>
      </c>
      <c r="CL24" s="558" t="s">
        <v>380</v>
      </c>
      <c r="CM24" s="523" t="s">
        <v>388</v>
      </c>
      <c r="CN24" s="523" t="s">
        <v>388</v>
      </c>
      <c r="CO24" s="558" t="s">
        <v>380</v>
      </c>
      <c r="CP24" s="523" t="s">
        <v>388</v>
      </c>
      <c r="CQ24" s="523" t="s">
        <v>388</v>
      </c>
      <c r="CR24" s="558" t="s">
        <v>380</v>
      </c>
      <c r="CS24" s="523" t="s">
        <v>388</v>
      </c>
      <c r="CT24" s="523" t="s">
        <v>388</v>
      </c>
      <c r="CU24" s="558" t="s">
        <v>380</v>
      </c>
      <c r="CV24" s="523" t="s">
        <v>388</v>
      </c>
      <c r="CW24" s="523" t="s">
        <v>388</v>
      </c>
      <c r="CX24" s="558" t="s">
        <v>380</v>
      </c>
      <c r="CY24" s="523" t="s">
        <v>388</v>
      </c>
      <c r="CZ24" s="523" t="s">
        <v>388</v>
      </c>
      <c r="DA24" s="558" t="s">
        <v>380</v>
      </c>
      <c r="DB24" s="523" t="s">
        <v>388</v>
      </c>
    </row>
    <row r="25" ht="15.0" customHeight="1">
      <c r="A25" s="53">
        <v>25.0</v>
      </c>
      <c r="B25" s="122" t="s">
        <v>260</v>
      </c>
      <c r="C25" s="122" t="s">
        <v>261</v>
      </c>
      <c r="D25" s="104" t="str">
        <f t="shared" si="1"/>
        <v>SITE</v>
      </c>
      <c r="E25" s="104" t="s">
        <v>105</v>
      </c>
      <c r="F25" s="116">
        <v>0.0</v>
      </c>
      <c r="G25" s="104" t="s">
        <v>105</v>
      </c>
      <c r="H25" s="535">
        <v>0.0</v>
      </c>
      <c r="I25" s="858" t="str">
        <f>IFERROR(VLOOKUP(C:C,'R22 RELATÓRIO ACC'!B:F,5,FALSE),"NOT PUBLISHED")</f>
        <v>NOT PUBLISHED</v>
      </c>
      <c r="J25" s="858" t="str">
        <f>IFERROR(VLOOKUP(C:C,'R22 RELATÓRIO ACC'!B:P,15,FALSE),"NOT PUBLISHED")</f>
        <v>NOT PUBLISHED</v>
      </c>
      <c r="K25" s="899" t="str">
        <f>IFERROR(VLOOKUP(B:B,'RELATÓRIO ACC'!B:F,5,FALSE),"NOT PUBLISHED")</f>
        <v>NOT PUBLISHED</v>
      </c>
      <c r="L25" s="822" t="str">
        <f>IFERROR(VLOOKUP(B:B,'RELATÓRIO ACC'!B:P,15,FALSE),"NOT PUBLISHED")</f>
        <v>NOT PUBLISHED</v>
      </c>
      <c r="M25" s="858" t="s">
        <v>388</v>
      </c>
      <c r="N25" s="1000" t="s">
        <v>388</v>
      </c>
      <c r="O25" s="538" t="s">
        <v>388</v>
      </c>
      <c r="P25" s="522"/>
      <c r="Q25" s="523" t="s">
        <v>388</v>
      </c>
      <c r="R25" s="558" t="s">
        <v>380</v>
      </c>
      <c r="S25" s="523" t="s">
        <v>388</v>
      </c>
      <c r="T25" s="528" t="s">
        <v>388</v>
      </c>
      <c r="U25" s="540" t="s">
        <v>380</v>
      </c>
      <c r="V25" s="528" t="s">
        <v>388</v>
      </c>
      <c r="W25" s="528" t="s">
        <v>388</v>
      </c>
      <c r="X25" s="540" t="s">
        <v>380</v>
      </c>
      <c r="Y25" s="528" t="s">
        <v>388</v>
      </c>
      <c r="Z25" s="528" t="s">
        <v>388</v>
      </c>
      <c r="AA25" s="540" t="s">
        <v>380</v>
      </c>
      <c r="AB25" s="528" t="s">
        <v>388</v>
      </c>
      <c r="AC25" s="528" t="s">
        <v>388</v>
      </c>
      <c r="AD25" s="540" t="s">
        <v>380</v>
      </c>
      <c r="AE25" s="528" t="s">
        <v>388</v>
      </c>
      <c r="AF25" s="528" t="s">
        <v>388</v>
      </c>
      <c r="AG25" s="540" t="s">
        <v>380</v>
      </c>
      <c r="AH25" s="528" t="s">
        <v>388</v>
      </c>
      <c r="AI25" s="528" t="s">
        <v>388</v>
      </c>
      <c r="AJ25" s="540" t="s">
        <v>380</v>
      </c>
      <c r="AK25" s="528" t="s">
        <v>388</v>
      </c>
      <c r="AL25" s="528" t="s">
        <v>388</v>
      </c>
      <c r="AM25" s="540" t="s">
        <v>380</v>
      </c>
      <c r="AN25" s="528" t="s">
        <v>388</v>
      </c>
      <c r="AO25" s="528" t="s">
        <v>388</v>
      </c>
      <c r="AP25" s="540" t="s">
        <v>380</v>
      </c>
      <c r="AQ25" s="528" t="s">
        <v>388</v>
      </c>
      <c r="AR25" s="528" t="s">
        <v>388</v>
      </c>
      <c r="AS25" s="540" t="s">
        <v>380</v>
      </c>
      <c r="AT25" s="528" t="s">
        <v>388</v>
      </c>
      <c r="AU25" s="528" t="s">
        <v>388</v>
      </c>
      <c r="AV25" s="540" t="s">
        <v>380</v>
      </c>
      <c r="AW25" s="528" t="s">
        <v>388</v>
      </c>
      <c r="AX25" s="528" t="s">
        <v>388</v>
      </c>
      <c r="AY25" s="540" t="s">
        <v>380</v>
      </c>
      <c r="AZ25" s="528" t="s">
        <v>388</v>
      </c>
      <c r="BA25" s="528" t="s">
        <v>388</v>
      </c>
      <c r="BB25" s="540" t="s">
        <v>380</v>
      </c>
      <c r="BC25" s="528" t="s">
        <v>388</v>
      </c>
      <c r="BD25" s="528" t="s">
        <v>388</v>
      </c>
      <c r="BE25" s="540" t="s">
        <v>380</v>
      </c>
      <c r="BF25" s="528" t="s">
        <v>388</v>
      </c>
      <c r="BG25" s="528" t="s">
        <v>388</v>
      </c>
      <c r="BH25" s="540" t="s">
        <v>380</v>
      </c>
      <c r="BI25" s="528" t="s">
        <v>388</v>
      </c>
      <c r="BJ25" s="528" t="s">
        <v>388</v>
      </c>
      <c r="BK25" s="540" t="s">
        <v>380</v>
      </c>
      <c r="BL25" s="528" t="s">
        <v>388</v>
      </c>
      <c r="BM25" s="528" t="s">
        <v>388</v>
      </c>
      <c r="BN25" s="540" t="s">
        <v>380</v>
      </c>
      <c r="BO25" s="528" t="s">
        <v>388</v>
      </c>
      <c r="BP25" s="528" t="s">
        <v>388</v>
      </c>
      <c r="BQ25" s="540" t="s">
        <v>380</v>
      </c>
      <c r="BR25" s="528" t="s">
        <v>388</v>
      </c>
      <c r="BS25" s="528" t="s">
        <v>388</v>
      </c>
      <c r="BT25" s="540" t="s">
        <v>380</v>
      </c>
      <c r="BU25" s="528" t="s">
        <v>388</v>
      </c>
      <c r="BV25" s="528" t="s">
        <v>388</v>
      </c>
      <c r="BW25" s="540" t="s">
        <v>380</v>
      </c>
      <c r="BX25" s="528" t="s">
        <v>388</v>
      </c>
      <c r="BY25" s="528" t="s">
        <v>388</v>
      </c>
      <c r="BZ25" s="540" t="s">
        <v>380</v>
      </c>
      <c r="CA25" s="528" t="s">
        <v>388</v>
      </c>
      <c r="CB25" s="528" t="s">
        <v>388</v>
      </c>
      <c r="CC25" s="540" t="s">
        <v>380</v>
      </c>
      <c r="CD25" s="528" t="s">
        <v>388</v>
      </c>
      <c r="CE25" s="528" t="s">
        <v>388</v>
      </c>
      <c r="CF25" s="540" t="s">
        <v>380</v>
      </c>
      <c r="CG25" s="528" t="s">
        <v>388</v>
      </c>
      <c r="CH25" s="528" t="s">
        <v>388</v>
      </c>
      <c r="CI25" s="540" t="s">
        <v>380</v>
      </c>
      <c r="CJ25" s="528" t="s">
        <v>388</v>
      </c>
      <c r="CK25" s="528" t="s">
        <v>388</v>
      </c>
      <c r="CL25" s="540" t="s">
        <v>380</v>
      </c>
      <c r="CM25" s="528" t="s">
        <v>388</v>
      </c>
      <c r="CN25" s="528" t="s">
        <v>388</v>
      </c>
      <c r="CO25" s="540" t="s">
        <v>380</v>
      </c>
      <c r="CP25" s="528" t="s">
        <v>388</v>
      </c>
      <c r="CQ25" s="528" t="s">
        <v>388</v>
      </c>
      <c r="CR25" s="540" t="s">
        <v>380</v>
      </c>
      <c r="CS25" s="528" t="s">
        <v>388</v>
      </c>
      <c r="CT25" s="528" t="s">
        <v>388</v>
      </c>
      <c r="CU25" s="540" t="s">
        <v>380</v>
      </c>
      <c r="CV25" s="528" t="s">
        <v>388</v>
      </c>
      <c r="CW25" s="528" t="s">
        <v>388</v>
      </c>
      <c r="CX25" s="540" t="s">
        <v>380</v>
      </c>
      <c r="CY25" s="528" t="s">
        <v>388</v>
      </c>
      <c r="CZ25" s="528" t="s">
        <v>388</v>
      </c>
      <c r="DA25" s="540" t="s">
        <v>380</v>
      </c>
      <c r="DB25" s="528" t="s">
        <v>388</v>
      </c>
    </row>
    <row r="26" ht="15.0" customHeight="1">
      <c r="A26" s="53">
        <v>32.0</v>
      </c>
      <c r="B26" s="100" t="s">
        <v>248</v>
      </c>
      <c r="C26" s="100" t="s">
        <v>249</v>
      </c>
      <c r="D26" s="101" t="str">
        <f t="shared" si="1"/>
        <v>SITE</v>
      </c>
      <c r="E26" s="111" t="s">
        <v>250</v>
      </c>
      <c r="F26" s="115">
        <v>0.0</v>
      </c>
      <c r="G26" s="517" t="s">
        <v>105</v>
      </c>
      <c r="H26" s="535">
        <v>0.0</v>
      </c>
      <c r="I26" s="858" t="str">
        <f>IFERROR(VLOOKUP(C:C,'R22 RELATÓRIO ACC'!B:F,5,FALSE),"NOT PUBLISHED")</f>
        <v>NOT PUBLISHED</v>
      </c>
      <c r="J26" s="858" t="str">
        <f>IFERROR(VLOOKUP(C:C,'R22 RELATÓRIO ACC'!B:P,15,FALSE),"NOT PUBLISHED")</f>
        <v>NOT PUBLISHED</v>
      </c>
      <c r="K26" s="821" t="str">
        <f>IFERROR(VLOOKUP(B:B,'RELATÓRIO ACC'!B:F,5,FALSE),"NOT PUBLISHED")</f>
        <v>NOT PUBLISHED</v>
      </c>
      <c r="L26" s="822" t="str">
        <f>IFERROR(VLOOKUP(B:B,'RELATÓRIO ACC'!B:P,15,FALSE),"NOT PUBLISHED")</f>
        <v>NOT PUBLISHED</v>
      </c>
      <c r="M26" s="552" t="s">
        <v>388</v>
      </c>
      <c r="N26" s="862" t="s">
        <v>388</v>
      </c>
      <c r="O26" s="538" t="s">
        <v>388</v>
      </c>
      <c r="P26" s="587"/>
      <c r="Q26" s="523" t="s">
        <v>388</v>
      </c>
      <c r="R26" s="558" t="s">
        <v>380</v>
      </c>
      <c r="S26" s="523" t="s">
        <v>388</v>
      </c>
      <c r="T26" s="523" t="s">
        <v>388</v>
      </c>
      <c r="U26" s="558" t="s">
        <v>380</v>
      </c>
      <c r="V26" s="523" t="s">
        <v>388</v>
      </c>
      <c r="W26" s="523" t="s">
        <v>388</v>
      </c>
      <c r="X26" s="558" t="s">
        <v>380</v>
      </c>
      <c r="Y26" s="523" t="s">
        <v>388</v>
      </c>
      <c r="Z26" s="523" t="s">
        <v>388</v>
      </c>
      <c r="AA26" s="558" t="s">
        <v>380</v>
      </c>
      <c r="AB26" s="523" t="s">
        <v>388</v>
      </c>
      <c r="AC26" s="523" t="s">
        <v>388</v>
      </c>
      <c r="AD26" s="558" t="s">
        <v>380</v>
      </c>
      <c r="AE26" s="523" t="s">
        <v>388</v>
      </c>
      <c r="AF26" s="523" t="s">
        <v>388</v>
      </c>
      <c r="AG26" s="558" t="s">
        <v>380</v>
      </c>
      <c r="AH26" s="523" t="s">
        <v>388</v>
      </c>
      <c r="AI26" s="523" t="s">
        <v>388</v>
      </c>
      <c r="AJ26" s="558" t="s">
        <v>380</v>
      </c>
      <c r="AK26" s="523" t="s">
        <v>388</v>
      </c>
      <c r="AL26" s="523" t="s">
        <v>388</v>
      </c>
      <c r="AM26" s="558" t="s">
        <v>380</v>
      </c>
      <c r="AN26" s="523" t="s">
        <v>388</v>
      </c>
      <c r="AO26" s="523" t="s">
        <v>388</v>
      </c>
      <c r="AP26" s="558" t="s">
        <v>380</v>
      </c>
      <c r="AQ26" s="523" t="s">
        <v>388</v>
      </c>
      <c r="AR26" s="523" t="s">
        <v>388</v>
      </c>
      <c r="AS26" s="558" t="s">
        <v>380</v>
      </c>
      <c r="AT26" s="523" t="s">
        <v>388</v>
      </c>
      <c r="AU26" s="523" t="s">
        <v>388</v>
      </c>
      <c r="AV26" s="558" t="s">
        <v>380</v>
      </c>
      <c r="AW26" s="523" t="s">
        <v>388</v>
      </c>
      <c r="AX26" s="861" t="s">
        <v>388</v>
      </c>
      <c r="AY26" s="558" t="s">
        <v>380</v>
      </c>
      <c r="AZ26" s="861" t="s">
        <v>388</v>
      </c>
      <c r="BA26" s="861" t="s">
        <v>388</v>
      </c>
      <c r="BB26" s="558" t="s">
        <v>380</v>
      </c>
      <c r="BC26" s="861" t="s">
        <v>388</v>
      </c>
      <c r="BD26" s="523" t="s">
        <v>388</v>
      </c>
      <c r="BE26" s="558" t="s">
        <v>380</v>
      </c>
      <c r="BF26" s="523" t="s">
        <v>388</v>
      </c>
      <c r="BG26" s="523" t="s">
        <v>388</v>
      </c>
      <c r="BH26" s="558" t="s">
        <v>380</v>
      </c>
      <c r="BI26" s="523" t="s">
        <v>388</v>
      </c>
      <c r="BJ26" s="523" t="s">
        <v>388</v>
      </c>
      <c r="BK26" s="558" t="s">
        <v>380</v>
      </c>
      <c r="BL26" s="523" t="s">
        <v>388</v>
      </c>
      <c r="BM26" s="523" t="s">
        <v>388</v>
      </c>
      <c r="BN26" s="558" t="s">
        <v>380</v>
      </c>
      <c r="BO26" s="523" t="s">
        <v>388</v>
      </c>
      <c r="BP26" s="523" t="s">
        <v>388</v>
      </c>
      <c r="BQ26" s="558" t="s">
        <v>380</v>
      </c>
      <c r="BR26" s="523" t="s">
        <v>388</v>
      </c>
      <c r="BS26" s="523" t="s">
        <v>388</v>
      </c>
      <c r="BT26" s="558" t="s">
        <v>380</v>
      </c>
      <c r="BU26" s="523" t="s">
        <v>388</v>
      </c>
      <c r="BV26" s="523" t="s">
        <v>388</v>
      </c>
      <c r="BW26" s="558" t="s">
        <v>380</v>
      </c>
      <c r="BX26" s="523" t="s">
        <v>388</v>
      </c>
      <c r="BY26" s="523" t="s">
        <v>388</v>
      </c>
      <c r="BZ26" s="558" t="s">
        <v>380</v>
      </c>
      <c r="CA26" s="523" t="s">
        <v>388</v>
      </c>
      <c r="CB26" s="523" t="s">
        <v>388</v>
      </c>
      <c r="CC26" s="558" t="s">
        <v>380</v>
      </c>
      <c r="CD26" s="523" t="s">
        <v>388</v>
      </c>
      <c r="CE26" s="523" t="s">
        <v>388</v>
      </c>
      <c r="CF26" s="558" t="s">
        <v>380</v>
      </c>
      <c r="CG26" s="523" t="s">
        <v>388</v>
      </c>
      <c r="CH26" s="523" t="s">
        <v>388</v>
      </c>
      <c r="CI26" s="558" t="s">
        <v>380</v>
      </c>
      <c r="CJ26" s="523" t="s">
        <v>388</v>
      </c>
      <c r="CK26" s="523" t="s">
        <v>388</v>
      </c>
      <c r="CL26" s="558" t="s">
        <v>380</v>
      </c>
      <c r="CM26" s="523" t="s">
        <v>388</v>
      </c>
      <c r="CN26" s="523" t="s">
        <v>388</v>
      </c>
      <c r="CO26" s="558" t="s">
        <v>380</v>
      </c>
      <c r="CP26" s="523" t="s">
        <v>388</v>
      </c>
      <c r="CQ26" s="523" t="s">
        <v>388</v>
      </c>
      <c r="CR26" s="558" t="s">
        <v>380</v>
      </c>
      <c r="CS26" s="523" t="s">
        <v>388</v>
      </c>
      <c r="CT26" s="523" t="s">
        <v>388</v>
      </c>
      <c r="CU26" s="558" t="s">
        <v>380</v>
      </c>
      <c r="CV26" s="523" t="s">
        <v>388</v>
      </c>
      <c r="CW26" s="523" t="s">
        <v>388</v>
      </c>
      <c r="CX26" s="558" t="s">
        <v>380</v>
      </c>
      <c r="CY26" s="523" t="s">
        <v>388</v>
      </c>
      <c r="CZ26" s="523" t="s">
        <v>388</v>
      </c>
      <c r="DA26" s="558" t="s">
        <v>380</v>
      </c>
      <c r="DB26" s="523" t="s">
        <v>388</v>
      </c>
    </row>
    <row r="27" ht="15.0" customHeight="1">
      <c r="A27" s="53">
        <v>41.0</v>
      </c>
      <c r="B27" s="122" t="s">
        <v>283</v>
      </c>
      <c r="C27" s="122" t="s">
        <v>284</v>
      </c>
      <c r="D27" s="104" t="str">
        <f t="shared" si="1"/>
        <v>SITE</v>
      </c>
      <c r="E27" s="123" t="s">
        <v>91</v>
      </c>
      <c r="F27" s="104">
        <v>1104.0</v>
      </c>
      <c r="G27" s="104" t="s">
        <v>92</v>
      </c>
      <c r="H27" s="517">
        <v>1127.0</v>
      </c>
      <c r="I27" s="858" t="str">
        <f>IFERROR(VLOOKUP(C:C,'R22 RELATÓRIO ACC'!B:F,5,FALSE),"NOT PUBLISHED")</f>
        <v>NOT PUBLISHED</v>
      </c>
      <c r="J27" s="858" t="str">
        <f>IFERROR(VLOOKUP(C:C,'R22 RELATÓRIO ACC'!B:P,15,FALSE),"NOT PUBLISHED")</f>
        <v>NOT PUBLISHED</v>
      </c>
      <c r="K27" s="899" t="str">
        <f>IFERROR(VLOOKUP(B:B,'RELATÓRIO ACC'!B:F,5,FALSE),"NOT PUBLISHED")</f>
        <v>NOT PUBLISHED</v>
      </c>
      <c r="L27" s="822" t="str">
        <f>IFERROR(VLOOKUP(B:B,'RELATÓRIO ACC'!B:P,15,FALSE),"NOT PUBLISHED")</f>
        <v>NOT PUBLISHED</v>
      </c>
      <c r="M27" s="858" t="s">
        <v>388</v>
      </c>
      <c r="N27" s="1000" t="s">
        <v>388</v>
      </c>
      <c r="O27" s="538" t="s">
        <v>388</v>
      </c>
      <c r="P27" s="522"/>
      <c r="Q27" s="901" t="s">
        <v>388</v>
      </c>
      <c r="R27" s="558" t="s">
        <v>380</v>
      </c>
      <c r="S27" s="525" t="s">
        <v>388</v>
      </c>
      <c r="T27" s="528" t="s">
        <v>388</v>
      </c>
      <c r="U27" s="540" t="s">
        <v>380</v>
      </c>
      <c r="V27" s="528" t="s">
        <v>388</v>
      </c>
      <c r="W27" s="528" t="s">
        <v>388</v>
      </c>
      <c r="X27" s="540" t="s">
        <v>380</v>
      </c>
      <c r="Y27" s="523" t="s">
        <v>388</v>
      </c>
      <c r="Z27" s="523" t="s">
        <v>388</v>
      </c>
      <c r="AA27" s="837" t="s">
        <v>380</v>
      </c>
      <c r="AB27" s="523" t="s">
        <v>388</v>
      </c>
      <c r="AC27" s="528" t="s">
        <v>388</v>
      </c>
      <c r="AD27" s="540" t="s">
        <v>380</v>
      </c>
      <c r="AE27" s="528" t="s">
        <v>388</v>
      </c>
      <c r="AF27" s="528" t="s">
        <v>388</v>
      </c>
      <c r="AG27" s="540" t="s">
        <v>380</v>
      </c>
      <c r="AH27" s="528" t="s">
        <v>388</v>
      </c>
      <c r="AI27" s="528" t="s">
        <v>388</v>
      </c>
      <c r="AJ27" s="540" t="s">
        <v>380</v>
      </c>
      <c r="AK27" s="528" t="s">
        <v>388</v>
      </c>
      <c r="AL27" s="528" t="s">
        <v>388</v>
      </c>
      <c r="AM27" s="540" t="s">
        <v>380</v>
      </c>
      <c r="AN27" s="528" t="s">
        <v>388</v>
      </c>
      <c r="AO27" s="528" t="s">
        <v>388</v>
      </c>
      <c r="AP27" s="540" t="s">
        <v>380</v>
      </c>
      <c r="AQ27" s="528" t="s">
        <v>388</v>
      </c>
      <c r="AR27" s="528" t="s">
        <v>388</v>
      </c>
      <c r="AS27" s="540" t="s">
        <v>380</v>
      </c>
      <c r="AT27" s="528" t="s">
        <v>388</v>
      </c>
      <c r="AU27" s="528" t="s">
        <v>388</v>
      </c>
      <c r="AV27" s="540" t="s">
        <v>380</v>
      </c>
      <c r="AW27" s="528" t="s">
        <v>388</v>
      </c>
      <c r="AX27" s="528" t="s">
        <v>388</v>
      </c>
      <c r="AY27" s="540" t="s">
        <v>380</v>
      </c>
      <c r="AZ27" s="528" t="s">
        <v>388</v>
      </c>
      <c r="BA27" s="528" t="s">
        <v>388</v>
      </c>
      <c r="BB27" s="540" t="s">
        <v>380</v>
      </c>
      <c r="BC27" s="528" t="s">
        <v>388</v>
      </c>
      <c r="BD27" s="528" t="s">
        <v>388</v>
      </c>
      <c r="BE27" s="540" t="s">
        <v>380</v>
      </c>
      <c r="BF27" s="528" t="s">
        <v>388</v>
      </c>
      <c r="BG27" s="528" t="s">
        <v>388</v>
      </c>
      <c r="BH27" s="540" t="s">
        <v>380</v>
      </c>
      <c r="BI27" s="528" t="s">
        <v>388</v>
      </c>
      <c r="BJ27" s="528" t="s">
        <v>388</v>
      </c>
      <c r="BK27" s="540" t="s">
        <v>380</v>
      </c>
      <c r="BL27" s="528" t="s">
        <v>388</v>
      </c>
      <c r="BM27" s="528" t="s">
        <v>388</v>
      </c>
      <c r="BN27" s="540" t="s">
        <v>380</v>
      </c>
      <c r="BO27" s="528" t="s">
        <v>388</v>
      </c>
      <c r="BP27" s="528" t="s">
        <v>388</v>
      </c>
      <c r="BQ27" s="540" t="s">
        <v>380</v>
      </c>
      <c r="BR27" s="528" t="s">
        <v>388</v>
      </c>
      <c r="BS27" s="528" t="s">
        <v>388</v>
      </c>
      <c r="BT27" s="540" t="s">
        <v>380</v>
      </c>
      <c r="BU27" s="528" t="s">
        <v>388</v>
      </c>
      <c r="BV27" s="528" t="s">
        <v>388</v>
      </c>
      <c r="BW27" s="540" t="s">
        <v>380</v>
      </c>
      <c r="BX27" s="528" t="s">
        <v>388</v>
      </c>
      <c r="BY27" s="528" t="s">
        <v>388</v>
      </c>
      <c r="BZ27" s="540" t="s">
        <v>380</v>
      </c>
      <c r="CA27" s="528" t="s">
        <v>388</v>
      </c>
      <c r="CB27" s="528" t="s">
        <v>388</v>
      </c>
      <c r="CC27" s="540" t="s">
        <v>380</v>
      </c>
      <c r="CD27" s="528" t="s">
        <v>388</v>
      </c>
      <c r="CE27" s="528" t="s">
        <v>388</v>
      </c>
      <c r="CF27" s="540" t="s">
        <v>380</v>
      </c>
      <c r="CG27" s="528" t="s">
        <v>388</v>
      </c>
      <c r="CH27" s="528" t="s">
        <v>388</v>
      </c>
      <c r="CI27" s="540" t="s">
        <v>380</v>
      </c>
      <c r="CJ27" s="528" t="s">
        <v>388</v>
      </c>
      <c r="CK27" s="528" t="s">
        <v>388</v>
      </c>
      <c r="CL27" s="540" t="s">
        <v>380</v>
      </c>
      <c r="CM27" s="528" t="s">
        <v>388</v>
      </c>
      <c r="CN27" s="528" t="s">
        <v>388</v>
      </c>
      <c r="CO27" s="540" t="s">
        <v>380</v>
      </c>
      <c r="CP27" s="528" t="s">
        <v>388</v>
      </c>
      <c r="CQ27" s="528" t="s">
        <v>388</v>
      </c>
      <c r="CR27" s="540" t="s">
        <v>380</v>
      </c>
      <c r="CS27" s="528" t="s">
        <v>388</v>
      </c>
      <c r="CT27" s="528" t="s">
        <v>388</v>
      </c>
      <c r="CU27" s="540" t="s">
        <v>380</v>
      </c>
      <c r="CV27" s="528" t="s">
        <v>388</v>
      </c>
      <c r="CW27" s="528" t="s">
        <v>388</v>
      </c>
      <c r="CX27" s="540" t="s">
        <v>380</v>
      </c>
      <c r="CY27" s="528" t="s">
        <v>388</v>
      </c>
      <c r="CZ27" s="528" t="s">
        <v>388</v>
      </c>
      <c r="DA27" s="540" t="s">
        <v>380</v>
      </c>
      <c r="DB27" s="528" t="s">
        <v>388</v>
      </c>
    </row>
    <row r="28" ht="15.0" customHeight="1">
      <c r="A28" s="53">
        <v>44.0</v>
      </c>
      <c r="B28" s="100" t="s">
        <v>285</v>
      </c>
      <c r="C28" s="100" t="s">
        <v>286</v>
      </c>
      <c r="D28" s="101" t="str">
        <f t="shared" si="1"/>
        <v>SITE</v>
      </c>
      <c r="E28" s="111" t="s">
        <v>287</v>
      </c>
      <c r="F28" s="102">
        <v>1124.0</v>
      </c>
      <c r="G28" s="517" t="s">
        <v>105</v>
      </c>
      <c r="H28" s="535">
        <v>0.0</v>
      </c>
      <c r="I28" s="858" t="str">
        <f>IFERROR(VLOOKUP(C:C,'R22 RELATÓRIO ACC'!B:F,5,FALSE),"NOT PUBLISHED")</f>
        <v>NOT PUBLISHED</v>
      </c>
      <c r="J28" s="858" t="str">
        <f>IFERROR(VLOOKUP(C:C,'R22 RELATÓRIO ACC'!B:P,15,FALSE),"NOT PUBLISHED")</f>
        <v>NOT PUBLISHED</v>
      </c>
      <c r="K28" s="821" t="str">
        <f>IFERROR(VLOOKUP(B:B,'RELATÓRIO ACC'!B:F,5,FALSE),"NOT PUBLISHED")</f>
        <v>NOT PUBLISHED</v>
      </c>
      <c r="L28" s="822" t="str">
        <f>IFERROR(VLOOKUP(B:B,'RELATÓRIO ACC'!B:P,15,FALSE),"NOT PUBLISHED")</f>
        <v>NOT PUBLISHED</v>
      </c>
      <c r="M28" s="821" t="s">
        <v>388</v>
      </c>
      <c r="N28" s="862" t="s">
        <v>388</v>
      </c>
      <c r="O28" s="538" t="s">
        <v>388</v>
      </c>
      <c r="P28" s="587"/>
      <c r="Q28" s="523" t="s">
        <v>388</v>
      </c>
      <c r="R28" s="540" t="s">
        <v>380</v>
      </c>
      <c r="S28" s="525" t="s">
        <v>388</v>
      </c>
      <c r="T28" s="523" t="s">
        <v>388</v>
      </c>
      <c r="U28" s="540" t="s">
        <v>380</v>
      </c>
      <c r="V28" s="525" t="s">
        <v>388</v>
      </c>
      <c r="W28" s="523" t="s">
        <v>388</v>
      </c>
      <c r="X28" s="540" t="s">
        <v>380</v>
      </c>
      <c r="Y28" s="525" t="s">
        <v>388</v>
      </c>
      <c r="Z28" s="523" t="s">
        <v>388</v>
      </c>
      <c r="AA28" s="540" t="s">
        <v>380</v>
      </c>
      <c r="AB28" s="523" t="s">
        <v>388</v>
      </c>
      <c r="AC28" s="523" t="s">
        <v>388</v>
      </c>
      <c r="AD28" s="540" t="s">
        <v>380</v>
      </c>
      <c r="AE28" s="523" t="s">
        <v>388</v>
      </c>
      <c r="AF28" s="523" t="s">
        <v>388</v>
      </c>
      <c r="AG28" s="524" t="s">
        <v>380</v>
      </c>
      <c r="AH28" s="523" t="s">
        <v>388</v>
      </c>
      <c r="AI28" s="523" t="s">
        <v>388</v>
      </c>
      <c r="AJ28" s="524" t="s">
        <v>380</v>
      </c>
      <c r="AK28" s="523" t="s">
        <v>388</v>
      </c>
      <c r="AL28" s="523" t="s">
        <v>388</v>
      </c>
      <c r="AM28" s="524" t="s">
        <v>380</v>
      </c>
      <c r="AN28" s="523" t="s">
        <v>388</v>
      </c>
      <c r="AO28" s="523" t="s">
        <v>388</v>
      </c>
      <c r="AP28" s="524" t="s">
        <v>380</v>
      </c>
      <c r="AQ28" s="523" t="s">
        <v>388</v>
      </c>
      <c r="AR28" s="523" t="s">
        <v>388</v>
      </c>
      <c r="AS28" s="524" t="s">
        <v>380</v>
      </c>
      <c r="AT28" s="523" t="s">
        <v>388</v>
      </c>
      <c r="AU28" s="523" t="s">
        <v>388</v>
      </c>
      <c r="AV28" s="524" t="s">
        <v>380</v>
      </c>
      <c r="AW28" s="523" t="s">
        <v>388</v>
      </c>
      <c r="AX28" s="523" t="s">
        <v>388</v>
      </c>
      <c r="AY28" s="524" t="s">
        <v>380</v>
      </c>
      <c r="AZ28" s="523" t="s">
        <v>388</v>
      </c>
      <c r="BA28" s="523" t="s">
        <v>388</v>
      </c>
      <c r="BB28" s="524" t="s">
        <v>380</v>
      </c>
      <c r="BC28" s="523" t="s">
        <v>388</v>
      </c>
      <c r="BD28" s="523" t="s">
        <v>388</v>
      </c>
      <c r="BE28" s="524" t="s">
        <v>380</v>
      </c>
      <c r="BF28" s="523" t="s">
        <v>388</v>
      </c>
      <c r="BG28" s="523" t="s">
        <v>388</v>
      </c>
      <c r="BH28" s="524" t="s">
        <v>380</v>
      </c>
      <c r="BI28" s="523" t="s">
        <v>388</v>
      </c>
      <c r="BJ28" s="523" t="s">
        <v>388</v>
      </c>
      <c r="BK28" s="524" t="s">
        <v>380</v>
      </c>
      <c r="BL28" s="523" t="s">
        <v>388</v>
      </c>
      <c r="BM28" s="523" t="s">
        <v>388</v>
      </c>
      <c r="BN28" s="524" t="s">
        <v>380</v>
      </c>
      <c r="BO28" s="523" t="s">
        <v>388</v>
      </c>
      <c r="BP28" s="523" t="s">
        <v>388</v>
      </c>
      <c r="BQ28" s="524" t="s">
        <v>380</v>
      </c>
      <c r="BR28" s="523" t="s">
        <v>388</v>
      </c>
      <c r="BS28" s="523" t="s">
        <v>388</v>
      </c>
      <c r="BT28" s="524" t="s">
        <v>380</v>
      </c>
      <c r="BU28" s="523" t="s">
        <v>388</v>
      </c>
      <c r="BV28" s="523" t="s">
        <v>388</v>
      </c>
      <c r="BW28" s="524" t="s">
        <v>380</v>
      </c>
      <c r="BX28" s="523" t="s">
        <v>388</v>
      </c>
      <c r="BY28" s="809" t="s">
        <v>388</v>
      </c>
      <c r="BZ28" s="524" t="s">
        <v>380</v>
      </c>
      <c r="CA28" s="809" t="s">
        <v>388</v>
      </c>
      <c r="CB28" s="809" t="s">
        <v>388</v>
      </c>
      <c r="CC28" s="524" t="s">
        <v>380</v>
      </c>
      <c r="CD28" s="809" t="s">
        <v>388</v>
      </c>
      <c r="CE28" s="809" t="s">
        <v>388</v>
      </c>
      <c r="CF28" s="524" t="s">
        <v>380</v>
      </c>
      <c r="CG28" s="809" t="s">
        <v>388</v>
      </c>
      <c r="CH28" s="809" t="s">
        <v>388</v>
      </c>
      <c r="CI28" s="524" t="s">
        <v>380</v>
      </c>
      <c r="CJ28" s="809" t="s">
        <v>388</v>
      </c>
      <c r="CK28" s="809" t="s">
        <v>388</v>
      </c>
      <c r="CL28" s="524" t="s">
        <v>380</v>
      </c>
      <c r="CM28" s="809" t="s">
        <v>388</v>
      </c>
      <c r="CN28" s="809" t="s">
        <v>388</v>
      </c>
      <c r="CO28" s="524" t="s">
        <v>380</v>
      </c>
      <c r="CP28" s="809" t="s">
        <v>388</v>
      </c>
      <c r="CQ28" s="809" t="s">
        <v>388</v>
      </c>
      <c r="CR28" s="524" t="s">
        <v>380</v>
      </c>
      <c r="CS28" s="809" t="s">
        <v>388</v>
      </c>
      <c r="CT28" s="809" t="s">
        <v>388</v>
      </c>
      <c r="CU28" s="524" t="s">
        <v>380</v>
      </c>
      <c r="CV28" s="809" t="s">
        <v>388</v>
      </c>
      <c r="CW28" s="809" t="s">
        <v>388</v>
      </c>
      <c r="CX28" s="524" t="s">
        <v>380</v>
      </c>
      <c r="CY28" s="809" t="s">
        <v>388</v>
      </c>
      <c r="CZ28" s="809" t="s">
        <v>388</v>
      </c>
      <c r="DA28" s="524" t="s">
        <v>380</v>
      </c>
      <c r="DB28" s="809" t="s">
        <v>388</v>
      </c>
    </row>
    <row r="29" ht="15.0" customHeight="1">
      <c r="A29" s="53">
        <v>13.0</v>
      </c>
      <c r="B29" s="122" t="s">
        <v>83</v>
      </c>
      <c r="C29" s="122" t="s">
        <v>84</v>
      </c>
      <c r="D29" s="104" t="str">
        <f t="shared" si="1"/>
        <v>SITE</v>
      </c>
      <c r="E29" s="104" t="s">
        <v>85</v>
      </c>
      <c r="F29" s="104" t="s">
        <v>85</v>
      </c>
      <c r="G29" s="123" t="s">
        <v>80</v>
      </c>
      <c r="H29" s="517"/>
      <c r="I29" s="858" t="str">
        <f>IFERROR(VLOOKUP(C:C,'R22 RELATÓRIO ACC'!B:F,5,FALSE),"NOT PUBLISHED")</f>
        <v>V12</v>
      </c>
      <c r="J29" s="858" t="str">
        <f>IFERROR(VLOOKUP(C:C,'R22 RELATÓRIO ACC'!B:P,15,FALSE),"NOT PUBLISHED")</f>
        <v>05/05/2026</v>
      </c>
      <c r="K29" s="899" t="str">
        <f>IFERROR(VLOOKUP(B:B,'RELATÓRIO ACC'!B:F,5,FALSE),"NOT PUBLISHED")</f>
        <v>V5</v>
      </c>
      <c r="L29" s="917" t="str">
        <f>IFERROR(VLOOKUP(B:B,'RELATÓRIO ACC'!B:P,15,FALSE),"NOT PUBLISHED")</f>
        <v>22/06/2026</v>
      </c>
      <c r="M29" s="858" t="s">
        <v>411</v>
      </c>
      <c r="N29" s="918">
        <v>46195.0</v>
      </c>
      <c r="O29" s="538" t="s">
        <v>378</v>
      </c>
      <c r="P29" s="522" t="s">
        <v>397</v>
      </c>
      <c r="Q29" s="523" t="s">
        <v>381</v>
      </c>
      <c r="R29" s="550" t="s">
        <v>377</v>
      </c>
      <c r="S29" s="546">
        <v>0.08</v>
      </c>
      <c r="T29" s="528" t="s">
        <v>398</v>
      </c>
      <c r="U29" s="528">
        <v>0.0</v>
      </c>
      <c r="V29" s="528" t="s">
        <v>398</v>
      </c>
      <c r="W29" s="528" t="s">
        <v>381</v>
      </c>
      <c r="X29" s="528" t="s">
        <v>400</v>
      </c>
      <c r="Y29" s="548">
        <v>0.19</v>
      </c>
      <c r="Z29" s="528" t="s">
        <v>398</v>
      </c>
      <c r="AA29" s="528" t="s">
        <v>399</v>
      </c>
      <c r="AB29" s="528" t="s">
        <v>398</v>
      </c>
      <c r="AC29" s="528" t="s">
        <v>379</v>
      </c>
      <c r="AD29" s="528" t="s">
        <v>399</v>
      </c>
      <c r="AE29" s="528" t="s">
        <v>379</v>
      </c>
      <c r="AF29" s="528" t="s">
        <v>398</v>
      </c>
      <c r="AG29" s="528" t="s">
        <v>411</v>
      </c>
      <c r="AH29" s="528" t="s">
        <v>398</v>
      </c>
      <c r="AI29" s="528" t="s">
        <v>398</v>
      </c>
      <c r="AJ29" s="528" t="s">
        <v>428</v>
      </c>
      <c r="AK29" s="528" t="s">
        <v>398</v>
      </c>
      <c r="AL29" s="528" t="s">
        <v>398</v>
      </c>
      <c r="AM29" s="528" t="s">
        <v>428</v>
      </c>
      <c r="AN29" s="528" t="s">
        <v>398</v>
      </c>
      <c r="AO29" s="528" t="s">
        <v>379</v>
      </c>
      <c r="AP29" s="528" t="s">
        <v>428</v>
      </c>
      <c r="AQ29" s="528" t="s">
        <v>379</v>
      </c>
      <c r="AR29" s="528" t="s">
        <v>398</v>
      </c>
      <c r="AS29" s="528" t="s">
        <v>412</v>
      </c>
      <c r="AT29" s="528" t="s">
        <v>398</v>
      </c>
      <c r="AU29" s="528" t="s">
        <v>379</v>
      </c>
      <c r="AV29" s="528" t="s">
        <v>412</v>
      </c>
      <c r="AW29" s="528" t="s">
        <v>379</v>
      </c>
      <c r="AX29" s="528" t="s">
        <v>379</v>
      </c>
      <c r="AY29" s="528" t="s">
        <v>412</v>
      </c>
      <c r="AZ29" s="528" t="s">
        <v>379</v>
      </c>
      <c r="BA29" s="528" t="s">
        <v>379</v>
      </c>
      <c r="BB29" s="528" t="s">
        <v>412</v>
      </c>
      <c r="BC29" s="528" t="s">
        <v>379</v>
      </c>
      <c r="BD29" s="528" t="s">
        <v>379</v>
      </c>
      <c r="BE29" s="528" t="s">
        <v>412</v>
      </c>
      <c r="BF29" s="528" t="s">
        <v>379</v>
      </c>
      <c r="BG29" s="528" t="s">
        <v>381</v>
      </c>
      <c r="BH29" s="528" t="s">
        <v>412</v>
      </c>
      <c r="BI29" s="548">
        <v>0.56</v>
      </c>
      <c r="BJ29" s="528" t="s">
        <v>490</v>
      </c>
      <c r="BK29" s="528" t="s">
        <v>412</v>
      </c>
      <c r="BL29" s="528" t="s">
        <v>490</v>
      </c>
      <c r="BM29" s="528" t="s">
        <v>381</v>
      </c>
      <c r="BN29" s="528" t="s">
        <v>384</v>
      </c>
      <c r="BO29" s="548">
        <v>0.69</v>
      </c>
      <c r="BP29" s="528" t="s">
        <v>381</v>
      </c>
      <c r="BQ29" s="528" t="s">
        <v>417</v>
      </c>
      <c r="BR29" s="548">
        <v>0.72</v>
      </c>
      <c r="BS29" s="528" t="s">
        <v>379</v>
      </c>
      <c r="BT29" s="528" t="s">
        <v>417</v>
      </c>
      <c r="BU29" s="528" t="s">
        <v>379</v>
      </c>
      <c r="BV29" s="528" t="s">
        <v>383</v>
      </c>
      <c r="BW29" s="528" t="s">
        <v>417</v>
      </c>
      <c r="BX29" s="528" t="s">
        <v>383</v>
      </c>
      <c r="BY29" s="528" t="s">
        <v>383</v>
      </c>
      <c r="BZ29" s="528" t="s">
        <v>417</v>
      </c>
      <c r="CA29" s="528" t="s">
        <v>383</v>
      </c>
      <c r="CB29" s="528" t="s">
        <v>383</v>
      </c>
      <c r="CC29" s="528" t="s">
        <v>417</v>
      </c>
      <c r="CD29" s="528" t="s">
        <v>383</v>
      </c>
      <c r="CE29" s="528" t="s">
        <v>383</v>
      </c>
      <c r="CF29" s="528" t="s">
        <v>417</v>
      </c>
      <c r="CG29" s="528" t="s">
        <v>383</v>
      </c>
      <c r="CH29" s="528" t="s">
        <v>381</v>
      </c>
      <c r="CI29" s="528" t="s">
        <v>387</v>
      </c>
      <c r="CJ29" s="548">
        <v>0.85</v>
      </c>
      <c r="CK29" s="528" t="s">
        <v>381</v>
      </c>
      <c r="CL29" s="528" t="s">
        <v>387</v>
      </c>
      <c r="CM29" s="548">
        <v>0.85</v>
      </c>
      <c r="CN29" s="528" t="s">
        <v>383</v>
      </c>
      <c r="CO29" s="528" t="s">
        <v>387</v>
      </c>
      <c r="CP29" s="528" t="s">
        <v>383</v>
      </c>
      <c r="CQ29" s="528" t="s">
        <v>398</v>
      </c>
      <c r="CR29" s="528" t="s">
        <v>411</v>
      </c>
      <c r="CS29" s="528" t="s">
        <v>398</v>
      </c>
      <c r="CT29" s="528" t="s">
        <v>379</v>
      </c>
      <c r="CU29" s="528" t="s">
        <v>411</v>
      </c>
      <c r="CV29" s="528" t="s">
        <v>379</v>
      </c>
      <c r="CW29" s="528" t="s">
        <v>379</v>
      </c>
      <c r="CX29" s="528" t="s">
        <v>411</v>
      </c>
      <c r="CY29" s="528" t="s">
        <v>379</v>
      </c>
      <c r="CZ29" s="528" t="s">
        <v>379</v>
      </c>
      <c r="DA29" s="528" t="s">
        <v>411</v>
      </c>
      <c r="DB29" s="528" t="s">
        <v>379</v>
      </c>
    </row>
    <row r="30" ht="15.0" customHeight="1">
      <c r="A30" s="53">
        <v>15.0</v>
      </c>
      <c r="B30" s="100" t="s">
        <v>124</v>
      </c>
      <c r="C30" s="100" t="s">
        <v>125</v>
      </c>
      <c r="D30" s="101" t="str">
        <f t="shared" si="1"/>
        <v>SITE</v>
      </c>
      <c r="E30" s="101" t="s">
        <v>126</v>
      </c>
      <c r="F30" s="118">
        <v>1101.0</v>
      </c>
      <c r="G30" s="517" t="s">
        <v>127</v>
      </c>
      <c r="H30" s="517">
        <v>1126.0</v>
      </c>
      <c r="I30" s="858" t="str">
        <f>IFERROR(VLOOKUP(C:C,'R22 RELATÓRIO ACC'!B:F,5,FALSE),"NOT PUBLISHED")</f>
        <v>V14</v>
      </c>
      <c r="J30" s="858" t="str">
        <f>IFERROR(VLOOKUP(C:C,'R22 RELATÓRIO ACC'!B:P,15,FALSE),"NOT PUBLISHED")</f>
        <v>18/03/2026</v>
      </c>
      <c r="K30" s="821" t="str">
        <f>IFERROR(VLOOKUP(B:B,'RELATÓRIO ACC'!B:F,5,FALSE),"NOT PUBLISHED")</f>
        <v>V2</v>
      </c>
      <c r="L30" s="822" t="str">
        <f>IFERROR(VLOOKUP(B:B,'RELATÓRIO ACC'!B:P,15,FALSE),"NOT PUBLISHED")</f>
        <v>17/06/2026</v>
      </c>
      <c r="M30" s="821" t="s">
        <v>387</v>
      </c>
      <c r="N30" s="890">
        <v>46190.0</v>
      </c>
      <c r="O30" s="538" t="s">
        <v>378</v>
      </c>
      <c r="P30" s="587" t="s">
        <v>397</v>
      </c>
      <c r="Q30" s="523" t="s">
        <v>381</v>
      </c>
      <c r="R30" s="523" t="s">
        <v>417</v>
      </c>
      <c r="S30" s="546">
        <v>0.12</v>
      </c>
      <c r="T30" s="523" t="s">
        <v>398</v>
      </c>
      <c r="U30" s="523" t="s">
        <v>414</v>
      </c>
      <c r="V30" s="523" t="s">
        <v>398</v>
      </c>
      <c r="W30" s="523" t="s">
        <v>383</v>
      </c>
      <c r="X30" s="523" t="s">
        <v>414</v>
      </c>
      <c r="Y30" s="523" t="s">
        <v>383</v>
      </c>
      <c r="Z30" s="523" t="s">
        <v>381</v>
      </c>
      <c r="AA30" s="523" t="s">
        <v>415</v>
      </c>
      <c r="AB30" s="546">
        <v>0.71</v>
      </c>
      <c r="AC30" s="523" t="s">
        <v>379</v>
      </c>
      <c r="AD30" s="523" t="s">
        <v>415</v>
      </c>
      <c r="AE30" s="523" t="s">
        <v>379</v>
      </c>
      <c r="AF30" s="523" t="s">
        <v>379</v>
      </c>
      <c r="AG30" s="523" t="s">
        <v>415</v>
      </c>
      <c r="AH30" s="523" t="s">
        <v>379</v>
      </c>
      <c r="AI30" s="523" t="s">
        <v>379</v>
      </c>
      <c r="AJ30" s="523" t="s">
        <v>415</v>
      </c>
      <c r="AK30" s="523" t="s">
        <v>379</v>
      </c>
      <c r="AL30" s="523" t="s">
        <v>379</v>
      </c>
      <c r="AM30" s="523" t="s">
        <v>415</v>
      </c>
      <c r="AN30" s="523" t="s">
        <v>379</v>
      </c>
      <c r="AO30" s="523" t="s">
        <v>379</v>
      </c>
      <c r="AP30" s="523" t="s">
        <v>415</v>
      </c>
      <c r="AQ30" s="523" t="s">
        <v>379</v>
      </c>
      <c r="AR30" s="523" t="s">
        <v>379</v>
      </c>
      <c r="AS30" s="523" t="s">
        <v>415</v>
      </c>
      <c r="AT30" s="523" t="s">
        <v>379</v>
      </c>
      <c r="AU30" s="523" t="s">
        <v>379</v>
      </c>
      <c r="AV30" s="523" t="s">
        <v>415</v>
      </c>
      <c r="AW30" s="523" t="s">
        <v>379</v>
      </c>
      <c r="AX30" s="523" t="s">
        <v>379</v>
      </c>
      <c r="AY30" s="523" t="s">
        <v>415</v>
      </c>
      <c r="AZ30" s="523" t="s">
        <v>379</v>
      </c>
      <c r="BA30" s="861" t="s">
        <v>383</v>
      </c>
      <c r="BB30" s="523" t="s">
        <v>415</v>
      </c>
      <c r="BC30" s="523" t="s">
        <v>383</v>
      </c>
      <c r="BD30" s="523" t="s">
        <v>381</v>
      </c>
      <c r="BE30" s="523" t="s">
        <v>418</v>
      </c>
      <c r="BF30" s="546">
        <v>0.71</v>
      </c>
      <c r="BG30" s="523" t="s">
        <v>379</v>
      </c>
      <c r="BH30" s="523" t="s">
        <v>418</v>
      </c>
      <c r="BI30" s="523" t="s">
        <v>379</v>
      </c>
      <c r="BJ30" s="523" t="s">
        <v>379</v>
      </c>
      <c r="BK30" s="523" t="s">
        <v>418</v>
      </c>
      <c r="BL30" s="523" t="s">
        <v>379</v>
      </c>
      <c r="BM30" s="523" t="s">
        <v>379</v>
      </c>
      <c r="BN30" s="523" t="s">
        <v>418</v>
      </c>
      <c r="BO30" s="523" t="s">
        <v>379</v>
      </c>
      <c r="BP30" s="523" t="s">
        <v>379</v>
      </c>
      <c r="BQ30" s="523" t="s">
        <v>418</v>
      </c>
      <c r="BR30" s="523" t="s">
        <v>379</v>
      </c>
      <c r="BS30" s="523" t="s">
        <v>379</v>
      </c>
      <c r="BT30" s="523" t="s">
        <v>418</v>
      </c>
      <c r="BU30" s="523" t="s">
        <v>379</v>
      </c>
      <c r="BV30" s="523" t="s">
        <v>379</v>
      </c>
      <c r="BW30" s="523" t="s">
        <v>418</v>
      </c>
      <c r="BX30" s="523" t="s">
        <v>379</v>
      </c>
      <c r="BY30" s="523" t="s">
        <v>379</v>
      </c>
      <c r="BZ30" s="523" t="s">
        <v>418</v>
      </c>
      <c r="CA30" s="523" t="s">
        <v>379</v>
      </c>
      <c r="CB30" s="523" t="s">
        <v>398</v>
      </c>
      <c r="CC30" s="523" t="s">
        <v>418</v>
      </c>
      <c r="CD30" s="523" t="s">
        <v>398</v>
      </c>
      <c r="CE30" s="523" t="s">
        <v>379</v>
      </c>
      <c r="CF30" s="523" t="s">
        <v>418</v>
      </c>
      <c r="CG30" s="523" t="s">
        <v>379</v>
      </c>
      <c r="CH30" s="523" t="s">
        <v>379</v>
      </c>
      <c r="CI30" s="523" t="s">
        <v>418</v>
      </c>
      <c r="CJ30" s="523" t="s">
        <v>379</v>
      </c>
      <c r="CK30" s="523" t="s">
        <v>379</v>
      </c>
      <c r="CL30" s="523" t="s">
        <v>418</v>
      </c>
      <c r="CM30" s="523" t="s">
        <v>379</v>
      </c>
      <c r="CN30" s="523" t="s">
        <v>490</v>
      </c>
      <c r="CO30" s="523" t="s">
        <v>418</v>
      </c>
      <c r="CP30" s="523" t="s">
        <v>490</v>
      </c>
      <c r="CQ30" s="523" t="s">
        <v>398</v>
      </c>
      <c r="CR30" s="523" t="s">
        <v>387</v>
      </c>
      <c r="CS30" s="523" t="s">
        <v>398</v>
      </c>
      <c r="CT30" s="523" t="s">
        <v>379</v>
      </c>
      <c r="CU30" s="523" t="s">
        <v>387</v>
      </c>
      <c r="CV30" s="523" t="s">
        <v>379</v>
      </c>
      <c r="CW30" s="523" t="s">
        <v>379</v>
      </c>
      <c r="CX30" s="523" t="s">
        <v>387</v>
      </c>
      <c r="CY30" s="523" t="s">
        <v>379</v>
      </c>
      <c r="CZ30" s="523" t="s">
        <v>379</v>
      </c>
      <c r="DA30" s="523" t="s">
        <v>387</v>
      </c>
      <c r="DB30" s="523" t="s">
        <v>379</v>
      </c>
    </row>
    <row r="31" ht="15.0" customHeight="1">
      <c r="A31" s="53">
        <v>45.0</v>
      </c>
      <c r="B31" s="122" t="s">
        <v>281</v>
      </c>
      <c r="C31" s="122" t="s">
        <v>282</v>
      </c>
      <c r="D31" s="104" t="str">
        <f t="shared" si="1"/>
        <v>SITE</v>
      </c>
      <c r="E31" s="123" t="s">
        <v>280</v>
      </c>
      <c r="F31" s="104"/>
      <c r="G31" s="123" t="s">
        <v>280</v>
      </c>
      <c r="H31" s="535"/>
      <c r="I31" s="858" t="str">
        <f>IFERROR(VLOOKUP(C:C,'R22 RELATÓRIO ACC'!B:F,5,FALSE),"NOT PUBLISHED")</f>
        <v>V1</v>
      </c>
      <c r="J31" s="858" t="str">
        <f>IFERROR(VLOOKUP(C:C,'R22 RELATÓRIO ACC'!B:P,15,FALSE),"NOT PUBLISHED")</f>
        <v>05/05/2026</v>
      </c>
      <c r="K31" s="899" t="str">
        <f>IFERROR(VLOOKUP(B:B,'RELATÓRIO ACC'!B:F,5,FALSE),"NOT PUBLISHED")</f>
        <v>V2</v>
      </c>
      <c r="L31" s="822" t="str">
        <f>IFERROR(VLOOKUP(B:B,'RELATÓRIO ACC'!B:P,15,FALSE),"NOT PUBLISHED")</f>
        <v>26/05/2026</v>
      </c>
      <c r="M31" s="1001" t="s">
        <v>387</v>
      </c>
      <c r="N31" s="1002">
        <v>46168.0</v>
      </c>
      <c r="O31" s="538" t="s">
        <v>378</v>
      </c>
      <c r="P31" s="522"/>
      <c r="Q31" s="901" t="s">
        <v>388</v>
      </c>
      <c r="R31" s="558" t="s">
        <v>380</v>
      </c>
      <c r="S31" s="525" t="s">
        <v>388</v>
      </c>
      <c r="T31" s="528" t="s">
        <v>388</v>
      </c>
      <c r="U31" s="540" t="s">
        <v>380</v>
      </c>
      <c r="V31" s="528" t="s">
        <v>388</v>
      </c>
      <c r="W31" s="528" t="s">
        <v>388</v>
      </c>
      <c r="X31" s="540" t="s">
        <v>380</v>
      </c>
      <c r="Y31" s="528" t="s">
        <v>388</v>
      </c>
      <c r="Z31" s="528" t="s">
        <v>388</v>
      </c>
      <c r="AA31" s="540" t="s">
        <v>380</v>
      </c>
      <c r="AB31" s="528" t="s">
        <v>388</v>
      </c>
      <c r="AC31" s="528" t="s">
        <v>388</v>
      </c>
      <c r="AD31" s="540" t="s">
        <v>380</v>
      </c>
      <c r="AE31" s="528" t="s">
        <v>388</v>
      </c>
      <c r="AF31" s="528" t="s">
        <v>388</v>
      </c>
      <c r="AG31" s="540" t="s">
        <v>380</v>
      </c>
      <c r="AH31" s="528" t="s">
        <v>388</v>
      </c>
      <c r="AI31" s="528" t="s">
        <v>388</v>
      </c>
      <c r="AJ31" s="540" t="s">
        <v>380</v>
      </c>
      <c r="AK31" s="528" t="s">
        <v>388</v>
      </c>
      <c r="AL31" s="528" t="s">
        <v>388</v>
      </c>
      <c r="AM31" s="540" t="s">
        <v>380</v>
      </c>
      <c r="AN31" s="528" t="s">
        <v>388</v>
      </c>
      <c r="AO31" s="528" t="s">
        <v>388</v>
      </c>
      <c r="AP31" s="540" t="s">
        <v>380</v>
      </c>
      <c r="AQ31" s="528" t="s">
        <v>388</v>
      </c>
      <c r="AR31" s="528" t="s">
        <v>388</v>
      </c>
      <c r="AS31" s="540" t="s">
        <v>380</v>
      </c>
      <c r="AT31" s="523" t="s">
        <v>388</v>
      </c>
      <c r="AU31" s="528" t="s">
        <v>388</v>
      </c>
      <c r="AV31" s="540" t="s">
        <v>380</v>
      </c>
      <c r="AW31" s="528" t="s">
        <v>388</v>
      </c>
      <c r="AX31" s="861" t="s">
        <v>388</v>
      </c>
      <c r="AY31" s="540" t="s">
        <v>380</v>
      </c>
      <c r="AZ31" s="861" t="s">
        <v>388</v>
      </c>
      <c r="BA31" s="528" t="s">
        <v>388</v>
      </c>
      <c r="BB31" s="540" t="s">
        <v>380</v>
      </c>
      <c r="BC31" s="861" t="s">
        <v>388</v>
      </c>
      <c r="BD31" s="523" t="s">
        <v>388</v>
      </c>
      <c r="BE31" s="540" t="s">
        <v>380</v>
      </c>
      <c r="BF31" s="523" t="s">
        <v>388</v>
      </c>
      <c r="BG31" s="523" t="s">
        <v>388</v>
      </c>
      <c r="BH31" s="540" t="s">
        <v>380</v>
      </c>
      <c r="BI31" s="523" t="s">
        <v>388</v>
      </c>
      <c r="BJ31" s="523" t="s">
        <v>388</v>
      </c>
      <c r="BK31" s="540" t="s">
        <v>380</v>
      </c>
      <c r="BL31" s="523" t="s">
        <v>388</v>
      </c>
      <c r="BM31" s="523" t="s">
        <v>388</v>
      </c>
      <c r="BN31" s="540" t="s">
        <v>380</v>
      </c>
      <c r="BO31" s="523" t="s">
        <v>388</v>
      </c>
      <c r="BP31" s="523" t="s">
        <v>388</v>
      </c>
      <c r="BQ31" s="540" t="s">
        <v>380</v>
      </c>
      <c r="BR31" s="523" t="s">
        <v>388</v>
      </c>
      <c r="BS31" s="523" t="s">
        <v>388</v>
      </c>
      <c r="BT31" s="540" t="s">
        <v>380</v>
      </c>
      <c r="BU31" s="523" t="s">
        <v>388</v>
      </c>
      <c r="BV31" s="523" t="s">
        <v>388</v>
      </c>
      <c r="BW31" s="540" t="s">
        <v>380</v>
      </c>
      <c r="BX31" s="523" t="s">
        <v>388</v>
      </c>
      <c r="BY31" s="837" t="s">
        <v>380</v>
      </c>
      <c r="BZ31" s="540" t="s">
        <v>380</v>
      </c>
      <c r="CA31" s="837" t="s">
        <v>380</v>
      </c>
      <c r="CB31" s="837" t="s">
        <v>380</v>
      </c>
      <c r="CC31" s="540" t="s">
        <v>380</v>
      </c>
      <c r="CD31" s="837" t="s">
        <v>380</v>
      </c>
      <c r="CE31" s="837" t="s">
        <v>380</v>
      </c>
      <c r="CF31" s="540" t="s">
        <v>380</v>
      </c>
      <c r="CG31" s="837" t="s">
        <v>380</v>
      </c>
      <c r="CH31" s="530" t="s">
        <v>383</v>
      </c>
      <c r="CI31" s="737" t="s">
        <v>380</v>
      </c>
      <c r="CJ31" s="546">
        <v>0.0</v>
      </c>
      <c r="CK31" s="523" t="s">
        <v>383</v>
      </c>
      <c r="CL31" s="737" t="s">
        <v>380</v>
      </c>
      <c r="CM31" s="523" t="s">
        <v>383</v>
      </c>
      <c r="CN31" s="523" t="s">
        <v>383</v>
      </c>
      <c r="CO31" s="737" t="s">
        <v>380</v>
      </c>
      <c r="CP31" s="523" t="s">
        <v>383</v>
      </c>
      <c r="CQ31" s="523" t="s">
        <v>381</v>
      </c>
      <c r="CR31" s="531" t="s">
        <v>387</v>
      </c>
      <c r="CS31" s="546">
        <v>0.01</v>
      </c>
      <c r="CT31" s="523" t="s">
        <v>379</v>
      </c>
      <c r="CU31" s="531" t="s">
        <v>387</v>
      </c>
      <c r="CV31" s="523" t="s">
        <v>379</v>
      </c>
      <c r="CW31" s="523" t="s">
        <v>379</v>
      </c>
      <c r="CX31" s="531" t="s">
        <v>387</v>
      </c>
      <c r="CY31" s="523" t="s">
        <v>379</v>
      </c>
      <c r="CZ31" s="523" t="s">
        <v>379</v>
      </c>
      <c r="DA31" s="531" t="s">
        <v>387</v>
      </c>
      <c r="DB31" s="523" t="s">
        <v>379</v>
      </c>
    </row>
    <row r="32" ht="15.0" customHeight="1">
      <c r="A32" s="53">
        <v>31.0</v>
      </c>
      <c r="B32" s="145" t="s">
        <v>225</v>
      </c>
      <c r="C32" s="145" t="s">
        <v>226</v>
      </c>
      <c r="D32" s="101" t="str">
        <f t="shared" si="1"/>
        <v>UTLS</v>
      </c>
      <c r="E32" s="101" t="s">
        <v>227</v>
      </c>
      <c r="F32" s="102">
        <v>1117.0</v>
      </c>
      <c r="G32" s="517" t="s">
        <v>121</v>
      </c>
      <c r="H32" s="517">
        <v>1128.0</v>
      </c>
      <c r="I32" s="858" t="str">
        <f>IFERROR(VLOOKUP(C:C,'R22 RELATÓRIO ACC'!B:F,5,FALSE),"NOT PUBLISHED")</f>
        <v>V16</v>
      </c>
      <c r="J32" s="858" t="str">
        <f>IFERROR(VLOOKUP(C:C,'R22 RELATÓRIO ACC'!B:P,15,FALSE),"NOT PUBLISHED")</f>
        <v>06/03/2026</v>
      </c>
      <c r="K32" s="821" t="str">
        <f>IFERROR(VLOOKUP(B:B,'RELATÓRIO ACC'!B:F,5,FALSE),"NOT PUBLISHED")</f>
        <v>V5</v>
      </c>
      <c r="L32" s="822" t="str">
        <f>IFERROR(VLOOKUP(B:B,'RELATÓRIO ACC'!B:P,15,FALSE),"NOT PUBLISHED")</f>
        <v>08/07/2026</v>
      </c>
      <c r="M32" s="552" t="s">
        <v>400</v>
      </c>
      <c r="N32" s="866">
        <v>46178.0</v>
      </c>
      <c r="O32" s="538" t="s">
        <v>378</v>
      </c>
      <c r="P32" s="587" t="s">
        <v>397</v>
      </c>
      <c r="Q32" s="523" t="s">
        <v>379</v>
      </c>
      <c r="R32" s="558">
        <v>0.0</v>
      </c>
      <c r="S32" s="523" t="s">
        <v>379</v>
      </c>
      <c r="T32" s="523" t="s">
        <v>379</v>
      </c>
      <c r="U32" s="524">
        <v>0.0</v>
      </c>
      <c r="V32" s="523" t="s">
        <v>379</v>
      </c>
      <c r="W32" s="523" t="s">
        <v>383</v>
      </c>
      <c r="X32" s="524">
        <v>0.0</v>
      </c>
      <c r="Y32" s="523" t="s">
        <v>383</v>
      </c>
      <c r="Z32" s="523" t="s">
        <v>381</v>
      </c>
      <c r="AA32" s="526" t="s">
        <v>417</v>
      </c>
      <c r="AB32" s="546">
        <v>0.11</v>
      </c>
      <c r="AC32" s="523" t="s">
        <v>381</v>
      </c>
      <c r="AD32" s="526" t="s">
        <v>415</v>
      </c>
      <c r="AE32" s="546">
        <v>0.39</v>
      </c>
      <c r="AF32" s="523" t="s">
        <v>381</v>
      </c>
      <c r="AG32" s="526" t="s">
        <v>425</v>
      </c>
      <c r="AH32" s="546">
        <v>0.39</v>
      </c>
      <c r="AI32" s="523" t="s">
        <v>379</v>
      </c>
      <c r="AJ32" s="526" t="s">
        <v>425</v>
      </c>
      <c r="AK32" s="523" t="s">
        <v>379</v>
      </c>
      <c r="AL32" s="523" t="s">
        <v>379</v>
      </c>
      <c r="AM32" s="526" t="s">
        <v>425</v>
      </c>
      <c r="AN32" s="523" t="s">
        <v>379</v>
      </c>
      <c r="AO32" s="523" t="s">
        <v>379</v>
      </c>
      <c r="AP32" s="526" t="s">
        <v>425</v>
      </c>
      <c r="AQ32" s="523" t="s">
        <v>379</v>
      </c>
      <c r="AR32" s="523" t="s">
        <v>379</v>
      </c>
      <c r="AS32" s="526" t="s">
        <v>425</v>
      </c>
      <c r="AT32" s="523" t="s">
        <v>379</v>
      </c>
      <c r="AU32" s="528" t="s">
        <v>379</v>
      </c>
      <c r="AV32" s="526" t="s">
        <v>425</v>
      </c>
      <c r="AW32" s="528" t="s">
        <v>379</v>
      </c>
      <c r="AX32" s="861" t="s">
        <v>383</v>
      </c>
      <c r="AY32" s="526" t="s">
        <v>425</v>
      </c>
      <c r="AZ32" s="861" t="s">
        <v>383</v>
      </c>
      <c r="BA32" s="861" t="s">
        <v>383</v>
      </c>
      <c r="BB32" s="526" t="s">
        <v>425</v>
      </c>
      <c r="BC32" s="861" t="s">
        <v>383</v>
      </c>
      <c r="BD32" s="523" t="s">
        <v>490</v>
      </c>
      <c r="BE32" s="526" t="s">
        <v>425</v>
      </c>
      <c r="BF32" s="523" t="s">
        <v>490</v>
      </c>
      <c r="BG32" s="523" t="s">
        <v>490</v>
      </c>
      <c r="BH32" s="526" t="s">
        <v>425</v>
      </c>
      <c r="BI32" s="523" t="s">
        <v>490</v>
      </c>
      <c r="BJ32" s="523" t="s">
        <v>383</v>
      </c>
      <c r="BK32" s="526" t="s">
        <v>425</v>
      </c>
      <c r="BL32" s="523" t="s">
        <v>383</v>
      </c>
      <c r="BM32" s="523" t="s">
        <v>383</v>
      </c>
      <c r="BN32" s="526" t="s">
        <v>425</v>
      </c>
      <c r="BO32" s="523" t="s">
        <v>383</v>
      </c>
      <c r="BP32" s="523" t="s">
        <v>383</v>
      </c>
      <c r="BQ32" s="526" t="s">
        <v>418</v>
      </c>
      <c r="BR32" s="523" t="s">
        <v>383</v>
      </c>
      <c r="BS32" s="523" t="s">
        <v>383</v>
      </c>
      <c r="BT32" s="526" t="s">
        <v>418</v>
      </c>
      <c r="BU32" s="523" t="s">
        <v>383</v>
      </c>
      <c r="BV32" s="523" t="s">
        <v>383</v>
      </c>
      <c r="BW32" s="526" t="s">
        <v>418</v>
      </c>
      <c r="BX32" s="523" t="s">
        <v>383</v>
      </c>
      <c r="BY32" s="523" t="s">
        <v>383</v>
      </c>
      <c r="BZ32" s="526" t="s">
        <v>418</v>
      </c>
      <c r="CA32" s="523" t="s">
        <v>383</v>
      </c>
      <c r="CB32" s="523" t="s">
        <v>381</v>
      </c>
      <c r="CC32" s="526" t="s">
        <v>387</v>
      </c>
      <c r="CD32" s="546">
        <v>0.94</v>
      </c>
      <c r="CE32" s="523" t="s">
        <v>379</v>
      </c>
      <c r="CF32" s="526" t="s">
        <v>387</v>
      </c>
      <c r="CG32" s="523" t="s">
        <v>379</v>
      </c>
      <c r="CH32" s="523" t="s">
        <v>383</v>
      </c>
      <c r="CI32" s="526" t="s">
        <v>387</v>
      </c>
      <c r="CJ32" s="523" t="s">
        <v>383</v>
      </c>
      <c r="CK32" s="523" t="s">
        <v>383</v>
      </c>
      <c r="CL32" s="526" t="s">
        <v>387</v>
      </c>
      <c r="CM32" s="523" t="s">
        <v>383</v>
      </c>
      <c r="CN32" s="523" t="s">
        <v>386</v>
      </c>
      <c r="CO32" s="526" t="s">
        <v>400</v>
      </c>
      <c r="CP32" s="546">
        <v>1.0</v>
      </c>
      <c r="CQ32" s="523" t="s">
        <v>386</v>
      </c>
      <c r="CR32" s="526" t="s">
        <v>400</v>
      </c>
      <c r="CS32" s="546">
        <v>1.0</v>
      </c>
      <c r="CT32" s="523" t="s">
        <v>413</v>
      </c>
      <c r="CU32" s="526" t="s">
        <v>400</v>
      </c>
      <c r="CV32" s="546">
        <v>1.0</v>
      </c>
      <c r="CW32" s="523" t="s">
        <v>413</v>
      </c>
      <c r="CX32" s="526" t="s">
        <v>400</v>
      </c>
      <c r="CY32" s="546">
        <v>1.0</v>
      </c>
      <c r="CZ32" s="523" t="s">
        <v>413</v>
      </c>
      <c r="DA32" s="526" t="s">
        <v>400</v>
      </c>
      <c r="DB32" s="546">
        <v>1.0</v>
      </c>
    </row>
    <row r="33" ht="15.0" customHeight="1">
      <c r="A33" s="53">
        <v>6.0</v>
      </c>
      <c r="B33" s="122" t="s">
        <v>81</v>
      </c>
      <c r="C33" s="122" t="s">
        <v>82</v>
      </c>
      <c r="D33" s="104" t="str">
        <f t="shared" si="1"/>
        <v>SITE</v>
      </c>
      <c r="E33" s="104" t="s">
        <v>80</v>
      </c>
      <c r="F33" s="104">
        <v>1130.0</v>
      </c>
      <c r="G33" s="104" t="s">
        <v>80</v>
      </c>
      <c r="H33" s="517">
        <v>1130.0</v>
      </c>
      <c r="I33" s="858" t="str">
        <f>IFERROR(VLOOKUP(C:C,'R22 RELATÓRIO ACC'!B:F,5,FALSE),"NOT PUBLISHED")</f>
        <v>V28</v>
      </c>
      <c r="J33" s="858" t="str">
        <f>IFERROR(VLOOKUP(C:C,'R22 RELATÓRIO ACC'!B:P,15,FALSE),"NOT PUBLISHED")</f>
        <v>17/04/2026</v>
      </c>
      <c r="K33" s="899" t="str">
        <f>IFERROR(VLOOKUP(B:B,'RELATÓRIO ACC'!B:F,5,FALSE),"NOT PUBLISHED")</f>
        <v>V4</v>
      </c>
      <c r="L33" s="822" t="str">
        <f>IFERROR(VLOOKUP(B:B,'RELATÓRIO ACC'!B:P,15,FALSE),"NOT PUBLISHED")</f>
        <v>15/07/2026</v>
      </c>
      <c r="M33" s="858" t="s">
        <v>400</v>
      </c>
      <c r="N33" s="918">
        <v>46176.0</v>
      </c>
      <c r="O33" s="538" t="s">
        <v>378</v>
      </c>
      <c r="P33" s="522" t="s">
        <v>397</v>
      </c>
      <c r="Q33" s="901" t="s">
        <v>381</v>
      </c>
      <c r="R33" s="550" t="s">
        <v>427</v>
      </c>
      <c r="S33" s="551">
        <v>0.17</v>
      </c>
      <c r="T33" s="528" t="s">
        <v>398</v>
      </c>
      <c r="U33" s="528">
        <v>0.0</v>
      </c>
      <c r="V33" s="528" t="s">
        <v>398</v>
      </c>
      <c r="W33" s="528" t="s">
        <v>381</v>
      </c>
      <c r="X33" s="528" t="s">
        <v>402</v>
      </c>
      <c r="Y33" s="548">
        <v>0.4</v>
      </c>
      <c r="Z33" s="528" t="s">
        <v>379</v>
      </c>
      <c r="AA33" s="528" t="s">
        <v>402</v>
      </c>
      <c r="AB33" s="528" t="s">
        <v>379</v>
      </c>
      <c r="AC33" s="528" t="s">
        <v>379</v>
      </c>
      <c r="AD33" s="528" t="s">
        <v>402</v>
      </c>
      <c r="AE33" s="528" t="s">
        <v>379</v>
      </c>
      <c r="AF33" s="528" t="s">
        <v>383</v>
      </c>
      <c r="AG33" s="528" t="s">
        <v>402</v>
      </c>
      <c r="AH33" s="528" t="s">
        <v>383</v>
      </c>
      <c r="AI33" s="528" t="s">
        <v>398</v>
      </c>
      <c r="AJ33" s="528" t="s">
        <v>422</v>
      </c>
      <c r="AK33" s="528" t="s">
        <v>398</v>
      </c>
      <c r="AL33" s="528" t="s">
        <v>398</v>
      </c>
      <c r="AM33" s="528" t="s">
        <v>403</v>
      </c>
      <c r="AN33" s="528" t="s">
        <v>398</v>
      </c>
      <c r="AO33" s="528" t="s">
        <v>383</v>
      </c>
      <c r="AP33" s="528" t="s">
        <v>403</v>
      </c>
      <c r="AQ33" s="528" t="s">
        <v>383</v>
      </c>
      <c r="AR33" s="528" t="s">
        <v>398</v>
      </c>
      <c r="AS33" s="528" t="s">
        <v>405</v>
      </c>
      <c r="AT33" s="528" t="s">
        <v>398</v>
      </c>
      <c r="AU33" s="528" t="s">
        <v>379</v>
      </c>
      <c r="AV33" s="528" t="s">
        <v>405</v>
      </c>
      <c r="AW33" s="528" t="s">
        <v>379</v>
      </c>
      <c r="AX33" s="861" t="s">
        <v>383</v>
      </c>
      <c r="AY33" s="528" t="s">
        <v>405</v>
      </c>
      <c r="AZ33" s="861" t="s">
        <v>383</v>
      </c>
      <c r="BA33" s="861" t="s">
        <v>383</v>
      </c>
      <c r="BB33" s="528" t="s">
        <v>405</v>
      </c>
      <c r="BC33" s="861" t="s">
        <v>383</v>
      </c>
      <c r="BD33" s="523" t="s">
        <v>490</v>
      </c>
      <c r="BE33" s="528" t="s">
        <v>405</v>
      </c>
      <c r="BF33" s="523" t="s">
        <v>490</v>
      </c>
      <c r="BG33" s="523" t="s">
        <v>490</v>
      </c>
      <c r="BH33" s="528" t="s">
        <v>405</v>
      </c>
      <c r="BI33" s="523" t="s">
        <v>490</v>
      </c>
      <c r="BJ33" s="523" t="s">
        <v>383</v>
      </c>
      <c r="BK33" s="528" t="s">
        <v>405</v>
      </c>
      <c r="BL33" s="523" t="s">
        <v>383</v>
      </c>
      <c r="BM33" s="523" t="s">
        <v>383</v>
      </c>
      <c r="BN33" s="528" t="s">
        <v>405</v>
      </c>
      <c r="BO33" s="523" t="s">
        <v>383</v>
      </c>
      <c r="BP33" s="523" t="s">
        <v>381</v>
      </c>
      <c r="BQ33" s="528" t="s">
        <v>420</v>
      </c>
      <c r="BR33" s="546">
        <v>0.4</v>
      </c>
      <c r="BS33" s="523" t="s">
        <v>379</v>
      </c>
      <c r="BT33" s="528" t="s">
        <v>420</v>
      </c>
      <c r="BU33" s="523" t="s">
        <v>379</v>
      </c>
      <c r="BV33" s="523" t="s">
        <v>379</v>
      </c>
      <c r="BW33" s="528" t="s">
        <v>420</v>
      </c>
      <c r="BX33" s="523" t="s">
        <v>379</v>
      </c>
      <c r="BY33" s="523" t="s">
        <v>379</v>
      </c>
      <c r="BZ33" s="528" t="s">
        <v>420</v>
      </c>
      <c r="CA33" s="523" t="s">
        <v>379</v>
      </c>
      <c r="CB33" s="523" t="s">
        <v>383</v>
      </c>
      <c r="CC33" s="528" t="s">
        <v>420</v>
      </c>
      <c r="CD33" s="523" t="s">
        <v>383</v>
      </c>
      <c r="CE33" s="523" t="s">
        <v>383</v>
      </c>
      <c r="CF33" s="528" t="s">
        <v>420</v>
      </c>
      <c r="CG33" s="523" t="s">
        <v>383</v>
      </c>
      <c r="CH33" s="523" t="s">
        <v>381</v>
      </c>
      <c r="CI33" s="528" t="s">
        <v>387</v>
      </c>
      <c r="CJ33" s="546">
        <v>0.43</v>
      </c>
      <c r="CK33" s="523" t="s">
        <v>386</v>
      </c>
      <c r="CL33" s="528" t="s">
        <v>400</v>
      </c>
      <c r="CM33" s="546">
        <v>1.0</v>
      </c>
      <c r="CN33" s="523" t="s">
        <v>413</v>
      </c>
      <c r="CO33" s="528" t="s">
        <v>400</v>
      </c>
      <c r="CP33" s="546">
        <v>1.0</v>
      </c>
      <c r="CQ33" s="523" t="s">
        <v>413</v>
      </c>
      <c r="CR33" s="528" t="s">
        <v>400</v>
      </c>
      <c r="CS33" s="546">
        <v>1.0</v>
      </c>
      <c r="CT33" s="523" t="s">
        <v>413</v>
      </c>
      <c r="CU33" s="528" t="s">
        <v>400</v>
      </c>
      <c r="CV33" s="546">
        <v>1.0</v>
      </c>
      <c r="CW33" s="523" t="s">
        <v>413</v>
      </c>
      <c r="CX33" s="528" t="s">
        <v>400</v>
      </c>
      <c r="CY33" s="546">
        <v>1.0</v>
      </c>
      <c r="CZ33" s="523" t="s">
        <v>413</v>
      </c>
      <c r="DA33" s="528" t="s">
        <v>400</v>
      </c>
      <c r="DB33" s="546">
        <v>1.0</v>
      </c>
    </row>
    <row r="34" ht="15.0" customHeight="1">
      <c r="A34" s="53">
        <v>9.0</v>
      </c>
      <c r="B34" s="100" t="s">
        <v>100</v>
      </c>
      <c r="C34" s="100" t="s">
        <v>101</v>
      </c>
      <c r="D34" s="101" t="str">
        <f t="shared" si="1"/>
        <v>SITE</v>
      </c>
      <c r="E34" s="111" t="s">
        <v>91</v>
      </c>
      <c r="F34" s="102">
        <v>1104.0</v>
      </c>
      <c r="G34" s="517" t="s">
        <v>92</v>
      </c>
      <c r="H34" s="517">
        <v>1127.0</v>
      </c>
      <c r="I34" s="858" t="str">
        <f>IFERROR(VLOOKUP(C:C,'R22 RELATÓRIO ACC'!B:F,5,FALSE),"NOT PUBLISHED")</f>
        <v>V12</v>
      </c>
      <c r="J34" s="858" t="str">
        <f>IFERROR(VLOOKUP(C:C,'R22 RELATÓRIO ACC'!B:P,15,FALSE),"NOT PUBLISHED")</f>
        <v>06/04/2026</v>
      </c>
      <c r="K34" s="821" t="str">
        <f>IFERROR(VLOOKUP(B:B,'RELATÓRIO ACC'!B:F,5,FALSE),"NOT PUBLISHED")</f>
        <v>V1</v>
      </c>
      <c r="L34" s="822" t="str">
        <f>IFERROR(VLOOKUP(B:B,'RELATÓRIO ACC'!B:P,15,FALSE),"NOT PUBLISHED")</f>
        <v>15/05/2026</v>
      </c>
      <c r="M34" s="552" t="s">
        <v>387</v>
      </c>
      <c r="N34" s="866">
        <v>46171.0</v>
      </c>
      <c r="O34" s="538" t="s">
        <v>378</v>
      </c>
      <c r="P34" s="587" t="s">
        <v>445</v>
      </c>
      <c r="Q34" s="523" t="s">
        <v>379</v>
      </c>
      <c r="R34" s="558">
        <v>0.0</v>
      </c>
      <c r="S34" s="523" t="s">
        <v>379</v>
      </c>
      <c r="T34" s="523" t="s">
        <v>381</v>
      </c>
      <c r="U34" s="550" t="s">
        <v>382</v>
      </c>
      <c r="V34" s="546">
        <v>0.11</v>
      </c>
      <c r="W34" s="523" t="s">
        <v>398</v>
      </c>
      <c r="X34" s="550" t="s">
        <v>382</v>
      </c>
      <c r="Y34" s="523" t="s">
        <v>398</v>
      </c>
      <c r="Z34" s="523" t="s">
        <v>379</v>
      </c>
      <c r="AA34" s="550" t="s">
        <v>382</v>
      </c>
      <c r="AB34" s="523" t="s">
        <v>379</v>
      </c>
      <c r="AC34" s="523" t="s">
        <v>383</v>
      </c>
      <c r="AD34" s="550" t="s">
        <v>382</v>
      </c>
      <c r="AE34" s="523" t="s">
        <v>383</v>
      </c>
      <c r="AF34" s="523" t="s">
        <v>381</v>
      </c>
      <c r="AG34" s="550" t="s">
        <v>385</v>
      </c>
      <c r="AH34" s="546">
        <v>0.43</v>
      </c>
      <c r="AI34" s="523" t="s">
        <v>379</v>
      </c>
      <c r="AJ34" s="550" t="s">
        <v>385</v>
      </c>
      <c r="AK34" s="523" t="s">
        <v>379</v>
      </c>
      <c r="AL34" s="523" t="s">
        <v>379</v>
      </c>
      <c r="AM34" s="550" t="s">
        <v>385</v>
      </c>
      <c r="AN34" s="523" t="s">
        <v>379</v>
      </c>
      <c r="AO34" s="523" t="s">
        <v>379</v>
      </c>
      <c r="AP34" s="550" t="s">
        <v>385</v>
      </c>
      <c r="AQ34" s="523" t="s">
        <v>379</v>
      </c>
      <c r="AR34" s="523" t="s">
        <v>379</v>
      </c>
      <c r="AS34" s="550" t="s">
        <v>385</v>
      </c>
      <c r="AT34" s="523" t="s">
        <v>379</v>
      </c>
      <c r="AU34" s="523" t="s">
        <v>379</v>
      </c>
      <c r="AV34" s="550" t="s">
        <v>385</v>
      </c>
      <c r="AW34" s="523" t="s">
        <v>379</v>
      </c>
      <c r="AX34" s="523" t="s">
        <v>379</v>
      </c>
      <c r="AY34" s="550" t="s">
        <v>385</v>
      </c>
      <c r="AZ34" s="523" t="s">
        <v>379</v>
      </c>
      <c r="BA34" s="523" t="s">
        <v>379</v>
      </c>
      <c r="BB34" s="550" t="s">
        <v>385</v>
      </c>
      <c r="BC34" s="523" t="s">
        <v>379</v>
      </c>
      <c r="BD34" s="523" t="s">
        <v>379</v>
      </c>
      <c r="BE34" s="550" t="s">
        <v>385</v>
      </c>
      <c r="BF34" s="523" t="s">
        <v>379</v>
      </c>
      <c r="BG34" s="523" t="s">
        <v>490</v>
      </c>
      <c r="BH34" s="550" t="s">
        <v>385</v>
      </c>
      <c r="BI34" s="523" t="s">
        <v>490</v>
      </c>
      <c r="BJ34" s="523" t="s">
        <v>383</v>
      </c>
      <c r="BK34" s="550" t="s">
        <v>385</v>
      </c>
      <c r="BL34" s="523" t="s">
        <v>383</v>
      </c>
      <c r="BM34" s="523" t="s">
        <v>383</v>
      </c>
      <c r="BN34" s="550" t="s">
        <v>385</v>
      </c>
      <c r="BO34" s="523" t="s">
        <v>383</v>
      </c>
      <c r="BP34" s="523" t="s">
        <v>383</v>
      </c>
      <c r="BQ34" s="550" t="s">
        <v>385</v>
      </c>
      <c r="BR34" s="523" t="s">
        <v>383</v>
      </c>
      <c r="BS34" s="523" t="s">
        <v>383</v>
      </c>
      <c r="BT34" s="550" t="s">
        <v>385</v>
      </c>
      <c r="BU34" s="523" t="s">
        <v>383</v>
      </c>
      <c r="BV34" s="523" t="s">
        <v>383</v>
      </c>
      <c r="BW34" s="550" t="s">
        <v>385</v>
      </c>
      <c r="BX34" s="523" t="s">
        <v>383</v>
      </c>
      <c r="BY34" s="523" t="s">
        <v>383</v>
      </c>
      <c r="BZ34" s="550" t="s">
        <v>385</v>
      </c>
      <c r="CA34" s="523" t="s">
        <v>383</v>
      </c>
      <c r="CB34" s="523" t="s">
        <v>383</v>
      </c>
      <c r="CC34" s="550" t="s">
        <v>385</v>
      </c>
      <c r="CD34" s="523" t="s">
        <v>383</v>
      </c>
      <c r="CE34" s="809" t="s">
        <v>386</v>
      </c>
      <c r="CF34" s="550" t="s">
        <v>385</v>
      </c>
      <c r="CG34" s="815">
        <v>1.0</v>
      </c>
      <c r="CH34" s="809" t="s">
        <v>413</v>
      </c>
      <c r="CI34" s="550" t="s">
        <v>385</v>
      </c>
      <c r="CJ34" s="815">
        <v>1.0</v>
      </c>
      <c r="CK34" s="809" t="s">
        <v>413</v>
      </c>
      <c r="CL34" s="550" t="s">
        <v>385</v>
      </c>
      <c r="CM34" s="815">
        <v>1.0</v>
      </c>
      <c r="CN34" s="809" t="s">
        <v>413</v>
      </c>
      <c r="CO34" s="550" t="s">
        <v>385</v>
      </c>
      <c r="CP34" s="815">
        <v>1.0</v>
      </c>
      <c r="CQ34" s="809" t="s">
        <v>413</v>
      </c>
      <c r="CR34" s="550" t="s">
        <v>385</v>
      </c>
      <c r="CS34" s="815">
        <v>1.0</v>
      </c>
      <c r="CT34" s="809" t="s">
        <v>413</v>
      </c>
      <c r="CU34" s="550" t="s">
        <v>385</v>
      </c>
      <c r="CV34" s="815">
        <v>1.0</v>
      </c>
      <c r="CW34" s="809" t="s">
        <v>413</v>
      </c>
      <c r="CX34" s="550" t="s">
        <v>385</v>
      </c>
      <c r="CY34" s="815">
        <v>1.0</v>
      </c>
      <c r="CZ34" s="809" t="s">
        <v>413</v>
      </c>
      <c r="DA34" s="550" t="s">
        <v>385</v>
      </c>
      <c r="DB34" s="815">
        <v>1.0</v>
      </c>
    </row>
    <row r="35" ht="15.0" customHeight="1">
      <c r="A35" s="53">
        <v>19.0</v>
      </c>
      <c r="B35" s="122" t="s">
        <v>184</v>
      </c>
      <c r="C35" s="122" t="s">
        <v>185</v>
      </c>
      <c r="D35" s="104" t="str">
        <f t="shared" si="1"/>
        <v>PUMP</v>
      </c>
      <c r="E35" s="104" t="s">
        <v>165</v>
      </c>
      <c r="F35" s="104">
        <v>1114.0</v>
      </c>
      <c r="G35" s="104" t="s">
        <v>165</v>
      </c>
      <c r="H35" s="517">
        <v>1114.0</v>
      </c>
      <c r="I35" s="858" t="str">
        <f>IFERROR(VLOOKUP(C:C,'R22 RELATÓRIO ACC'!B:F,5,FALSE),"NOT PUBLISHED")</f>
        <v>V14</v>
      </c>
      <c r="J35" s="858" t="str">
        <f>IFERROR(VLOOKUP(C:C,'R22 RELATÓRIO ACC'!B:P,15,FALSE),"NOT PUBLISHED")</f>
        <v>03/02/2026</v>
      </c>
      <c r="K35" s="899" t="str">
        <f>IFERROR(VLOOKUP(B:B,'RELATÓRIO ACC'!B:F,5,FALSE),"NOT PUBLISHED")</f>
        <v>V1</v>
      </c>
      <c r="L35" s="822" t="str">
        <f>IFERROR(VLOOKUP(B:B,'RELATÓRIO ACC'!B:P,15,FALSE),"NOT PUBLISHED")</f>
        <v>15/05/2026</v>
      </c>
      <c r="M35" s="858" t="s">
        <v>414</v>
      </c>
      <c r="N35" s="900" t="s">
        <v>500</v>
      </c>
      <c r="O35" s="538" t="s">
        <v>410</v>
      </c>
      <c r="P35" s="522"/>
      <c r="Q35" s="901" t="s">
        <v>379</v>
      </c>
      <c r="R35" s="558">
        <v>0.0</v>
      </c>
      <c r="S35" s="525" t="s">
        <v>379</v>
      </c>
      <c r="T35" s="528" t="s">
        <v>381</v>
      </c>
      <c r="U35" s="528" t="s">
        <v>421</v>
      </c>
      <c r="V35" s="548">
        <v>0.86</v>
      </c>
      <c r="W35" s="528" t="s">
        <v>386</v>
      </c>
      <c r="X35" s="528" t="s">
        <v>414</v>
      </c>
      <c r="Y35" s="548">
        <v>1.0</v>
      </c>
      <c r="Z35" s="528" t="s">
        <v>413</v>
      </c>
      <c r="AA35" s="528" t="s">
        <v>414</v>
      </c>
      <c r="AB35" s="548">
        <v>1.0</v>
      </c>
      <c r="AC35" s="528" t="s">
        <v>413</v>
      </c>
      <c r="AD35" s="528" t="s">
        <v>414</v>
      </c>
      <c r="AE35" s="548">
        <v>1.0</v>
      </c>
      <c r="AF35" s="528" t="s">
        <v>413</v>
      </c>
      <c r="AG35" s="528" t="s">
        <v>414</v>
      </c>
      <c r="AH35" s="548">
        <v>1.0</v>
      </c>
      <c r="AI35" s="528" t="s">
        <v>413</v>
      </c>
      <c r="AJ35" s="528" t="s">
        <v>414</v>
      </c>
      <c r="AK35" s="548">
        <v>1.0</v>
      </c>
      <c r="AL35" s="528" t="s">
        <v>413</v>
      </c>
      <c r="AM35" s="528" t="s">
        <v>414</v>
      </c>
      <c r="AN35" s="548">
        <v>1.0</v>
      </c>
      <c r="AO35" s="528" t="s">
        <v>413</v>
      </c>
      <c r="AP35" s="528" t="s">
        <v>414</v>
      </c>
      <c r="AQ35" s="548">
        <v>1.0</v>
      </c>
      <c r="AR35" s="528" t="s">
        <v>413</v>
      </c>
      <c r="AS35" s="528" t="s">
        <v>414</v>
      </c>
      <c r="AT35" s="548">
        <v>1.0</v>
      </c>
      <c r="AU35" s="528" t="s">
        <v>413</v>
      </c>
      <c r="AV35" s="528" t="s">
        <v>414</v>
      </c>
      <c r="AW35" s="548">
        <v>1.0</v>
      </c>
      <c r="AX35" s="528" t="s">
        <v>413</v>
      </c>
      <c r="AY35" s="528" t="s">
        <v>414</v>
      </c>
      <c r="AZ35" s="548">
        <v>1.0</v>
      </c>
      <c r="BA35" s="528" t="s">
        <v>413</v>
      </c>
      <c r="BB35" s="528" t="s">
        <v>414</v>
      </c>
      <c r="BC35" s="548">
        <v>1.0</v>
      </c>
      <c r="BD35" s="528" t="s">
        <v>413</v>
      </c>
      <c r="BE35" s="528" t="s">
        <v>414</v>
      </c>
      <c r="BF35" s="548">
        <v>1.0</v>
      </c>
      <c r="BG35" s="528" t="s">
        <v>413</v>
      </c>
      <c r="BH35" s="528" t="s">
        <v>414</v>
      </c>
      <c r="BI35" s="548">
        <v>1.0</v>
      </c>
      <c r="BJ35" s="528" t="s">
        <v>413</v>
      </c>
      <c r="BK35" s="528" t="s">
        <v>414</v>
      </c>
      <c r="BL35" s="548">
        <v>1.0</v>
      </c>
      <c r="BM35" s="528" t="s">
        <v>413</v>
      </c>
      <c r="BN35" s="528" t="s">
        <v>414</v>
      </c>
      <c r="BO35" s="548">
        <v>1.0</v>
      </c>
      <c r="BP35" s="528" t="s">
        <v>413</v>
      </c>
      <c r="BQ35" s="528" t="s">
        <v>414</v>
      </c>
      <c r="BR35" s="548">
        <v>1.0</v>
      </c>
      <c r="BS35" s="528" t="s">
        <v>413</v>
      </c>
      <c r="BT35" s="528" t="s">
        <v>414</v>
      </c>
      <c r="BU35" s="548">
        <v>1.0</v>
      </c>
      <c r="BV35" s="528" t="s">
        <v>413</v>
      </c>
      <c r="BW35" s="528" t="s">
        <v>414</v>
      </c>
      <c r="BX35" s="548">
        <v>1.0</v>
      </c>
      <c r="BY35" s="528" t="s">
        <v>413</v>
      </c>
      <c r="BZ35" s="528" t="s">
        <v>414</v>
      </c>
      <c r="CA35" s="548">
        <v>1.0</v>
      </c>
      <c r="CB35" s="528" t="s">
        <v>413</v>
      </c>
      <c r="CC35" s="528" t="s">
        <v>414</v>
      </c>
      <c r="CD35" s="548">
        <v>1.0</v>
      </c>
      <c r="CE35" s="528" t="s">
        <v>413</v>
      </c>
      <c r="CF35" s="528" t="s">
        <v>414</v>
      </c>
      <c r="CG35" s="548">
        <v>1.0</v>
      </c>
      <c r="CH35" s="528" t="s">
        <v>413</v>
      </c>
      <c r="CI35" s="528" t="s">
        <v>414</v>
      </c>
      <c r="CJ35" s="548">
        <v>1.0</v>
      </c>
      <c r="CK35" s="528" t="s">
        <v>413</v>
      </c>
      <c r="CL35" s="528" t="s">
        <v>414</v>
      </c>
      <c r="CM35" s="548">
        <v>1.0</v>
      </c>
      <c r="CN35" s="528" t="s">
        <v>413</v>
      </c>
      <c r="CO35" s="528" t="s">
        <v>414</v>
      </c>
      <c r="CP35" s="548">
        <v>1.0</v>
      </c>
      <c r="CQ35" s="528" t="s">
        <v>413</v>
      </c>
      <c r="CR35" s="528" t="s">
        <v>414</v>
      </c>
      <c r="CS35" s="548">
        <v>1.0</v>
      </c>
      <c r="CT35" s="528" t="s">
        <v>413</v>
      </c>
      <c r="CU35" s="528" t="s">
        <v>414</v>
      </c>
      <c r="CV35" s="548">
        <v>1.0</v>
      </c>
      <c r="CW35" s="528" t="s">
        <v>413</v>
      </c>
      <c r="CX35" s="528" t="s">
        <v>414</v>
      </c>
      <c r="CY35" s="548">
        <v>1.0</v>
      </c>
      <c r="CZ35" s="528" t="s">
        <v>413</v>
      </c>
      <c r="DA35" s="528" t="s">
        <v>414</v>
      </c>
      <c r="DB35" s="548">
        <v>1.0</v>
      </c>
    </row>
    <row r="36" ht="15.0" customHeight="1">
      <c r="A36" s="53">
        <v>20.0</v>
      </c>
      <c r="B36" s="145" t="s">
        <v>181</v>
      </c>
      <c r="C36" s="145" t="s">
        <v>182</v>
      </c>
      <c r="D36" s="101" t="str">
        <f t="shared" si="1"/>
        <v>PUMP</v>
      </c>
      <c r="E36" s="101" t="s">
        <v>154</v>
      </c>
      <c r="F36" s="102">
        <v>1112.0</v>
      </c>
      <c r="G36" s="517" t="s">
        <v>155</v>
      </c>
      <c r="H36" s="517">
        <v>1129.0</v>
      </c>
      <c r="I36" s="858" t="str">
        <f>IFERROR(VLOOKUP(C:C,'R22 RELATÓRIO ACC'!B:F,5,FALSE),"NOT PUBLISHED")</f>
        <v>V32</v>
      </c>
      <c r="J36" s="858" t="str">
        <f>IFERROR(VLOOKUP(C:C,'R22 RELATÓRIO ACC'!B:P,15,FALSE),"NOT PUBLISHED")</f>
        <v>24/04/2026</v>
      </c>
      <c r="K36" s="821" t="str">
        <f>IFERROR(VLOOKUP(B:B,'RELATÓRIO ACC'!B:F,5,FALSE),"NOT PUBLISHED")</f>
        <v>V3</v>
      </c>
      <c r="L36" s="822" t="str">
        <f>IFERROR(VLOOKUP(B:B,'RELATÓRIO ACC'!B:P,15,FALSE),"NOT PUBLISHED")</f>
        <v>03/07/2026</v>
      </c>
      <c r="M36" s="552" t="s">
        <v>420</v>
      </c>
      <c r="N36" s="959" t="s">
        <v>435</v>
      </c>
      <c r="O36" s="538" t="s">
        <v>410</v>
      </c>
      <c r="P36" s="587"/>
      <c r="Q36" s="523" t="s">
        <v>381</v>
      </c>
      <c r="R36" s="1003" t="s">
        <v>402</v>
      </c>
      <c r="S36" s="551">
        <v>0.11</v>
      </c>
      <c r="T36" s="523" t="s">
        <v>381</v>
      </c>
      <c r="U36" s="550" t="s">
        <v>421</v>
      </c>
      <c r="V36" s="546">
        <v>0.64</v>
      </c>
      <c r="W36" s="523" t="s">
        <v>381</v>
      </c>
      <c r="X36" s="550" t="s">
        <v>423</v>
      </c>
      <c r="Y36" s="546">
        <v>0.63</v>
      </c>
      <c r="Z36" s="523" t="s">
        <v>381</v>
      </c>
      <c r="AA36" s="550" t="s">
        <v>406</v>
      </c>
      <c r="AB36" s="546">
        <v>0.76</v>
      </c>
      <c r="AC36" s="523" t="s">
        <v>383</v>
      </c>
      <c r="AD36" s="550" t="s">
        <v>406</v>
      </c>
      <c r="AE36" s="523" t="s">
        <v>383</v>
      </c>
      <c r="AF36" s="523" t="s">
        <v>386</v>
      </c>
      <c r="AG36" s="550" t="s">
        <v>407</v>
      </c>
      <c r="AH36" s="546">
        <v>1.0</v>
      </c>
      <c r="AI36" s="523" t="s">
        <v>413</v>
      </c>
      <c r="AJ36" s="550" t="s">
        <v>407</v>
      </c>
      <c r="AK36" s="546">
        <v>1.0</v>
      </c>
      <c r="AL36" s="523" t="s">
        <v>413</v>
      </c>
      <c r="AM36" s="550" t="s">
        <v>407</v>
      </c>
      <c r="AN36" s="546">
        <v>1.0</v>
      </c>
      <c r="AO36" s="523" t="s">
        <v>413</v>
      </c>
      <c r="AP36" s="550" t="s">
        <v>407</v>
      </c>
      <c r="AQ36" s="546">
        <v>1.0</v>
      </c>
      <c r="AR36" s="523" t="s">
        <v>413</v>
      </c>
      <c r="AS36" s="550" t="s">
        <v>407</v>
      </c>
      <c r="AT36" s="546">
        <v>1.0</v>
      </c>
      <c r="AU36" s="523" t="s">
        <v>413</v>
      </c>
      <c r="AV36" s="550" t="s">
        <v>407</v>
      </c>
      <c r="AW36" s="546">
        <v>1.0</v>
      </c>
      <c r="AX36" s="523" t="s">
        <v>413</v>
      </c>
      <c r="AY36" s="550" t="s">
        <v>407</v>
      </c>
      <c r="AZ36" s="546">
        <v>1.0</v>
      </c>
      <c r="BA36" s="523" t="s">
        <v>413</v>
      </c>
      <c r="BB36" s="550" t="s">
        <v>407</v>
      </c>
      <c r="BC36" s="546">
        <v>1.0</v>
      </c>
      <c r="BD36" s="523" t="s">
        <v>413</v>
      </c>
      <c r="BE36" s="550" t="s">
        <v>407</v>
      </c>
      <c r="BF36" s="546">
        <v>1.0</v>
      </c>
      <c r="BG36" s="523" t="s">
        <v>413</v>
      </c>
      <c r="BH36" s="550" t="s">
        <v>407</v>
      </c>
      <c r="BI36" s="546">
        <v>1.0</v>
      </c>
      <c r="BJ36" s="523" t="s">
        <v>413</v>
      </c>
      <c r="BK36" s="550" t="s">
        <v>407</v>
      </c>
      <c r="BL36" s="546">
        <v>1.0</v>
      </c>
      <c r="BM36" s="523" t="s">
        <v>413</v>
      </c>
      <c r="BN36" s="550" t="s">
        <v>407</v>
      </c>
      <c r="BO36" s="546">
        <v>1.0</v>
      </c>
      <c r="BP36" s="523" t="s">
        <v>413</v>
      </c>
      <c r="BQ36" s="550" t="s">
        <v>407</v>
      </c>
      <c r="BR36" s="546">
        <v>1.0</v>
      </c>
      <c r="BS36" s="523" t="s">
        <v>413</v>
      </c>
      <c r="BT36" s="550" t="s">
        <v>407</v>
      </c>
      <c r="BU36" s="546">
        <v>1.0</v>
      </c>
      <c r="BV36" s="523" t="s">
        <v>413</v>
      </c>
      <c r="BW36" s="550" t="s">
        <v>407</v>
      </c>
      <c r="BX36" s="546">
        <v>1.0</v>
      </c>
      <c r="BY36" s="523" t="s">
        <v>413</v>
      </c>
      <c r="BZ36" s="550" t="s">
        <v>407</v>
      </c>
      <c r="CA36" s="546">
        <v>1.0</v>
      </c>
      <c r="CB36" s="523" t="s">
        <v>413</v>
      </c>
      <c r="CC36" s="550" t="s">
        <v>407</v>
      </c>
      <c r="CD36" s="546">
        <v>1.0</v>
      </c>
      <c r="CE36" s="523" t="s">
        <v>413</v>
      </c>
      <c r="CF36" s="550" t="s">
        <v>407</v>
      </c>
      <c r="CG36" s="546">
        <v>1.0</v>
      </c>
      <c r="CH36" s="523" t="s">
        <v>413</v>
      </c>
      <c r="CI36" s="550" t="s">
        <v>407</v>
      </c>
      <c r="CJ36" s="546">
        <v>1.0</v>
      </c>
      <c r="CK36" s="523" t="s">
        <v>413</v>
      </c>
      <c r="CL36" s="550" t="s">
        <v>407</v>
      </c>
      <c r="CM36" s="546">
        <v>1.0</v>
      </c>
      <c r="CN36" s="523" t="s">
        <v>413</v>
      </c>
      <c r="CO36" s="550" t="s">
        <v>407</v>
      </c>
      <c r="CP36" s="546">
        <v>1.0</v>
      </c>
      <c r="CQ36" s="523" t="s">
        <v>413</v>
      </c>
      <c r="CR36" s="550" t="s">
        <v>407</v>
      </c>
      <c r="CS36" s="546">
        <v>1.0</v>
      </c>
      <c r="CT36" s="523" t="s">
        <v>413</v>
      </c>
      <c r="CU36" s="550" t="s">
        <v>407</v>
      </c>
      <c r="CV36" s="546">
        <v>1.0</v>
      </c>
      <c r="CW36" s="523" t="s">
        <v>413</v>
      </c>
      <c r="CX36" s="550" t="s">
        <v>407</v>
      </c>
      <c r="CY36" s="546">
        <v>1.0</v>
      </c>
      <c r="CZ36" s="523" t="s">
        <v>413</v>
      </c>
      <c r="DA36" s="550" t="s">
        <v>407</v>
      </c>
      <c r="DB36" s="546">
        <v>1.0</v>
      </c>
    </row>
    <row r="37" ht="15.0" customHeight="1">
      <c r="A37" s="53">
        <v>21.0</v>
      </c>
      <c r="B37" s="1004" t="s">
        <v>252</v>
      </c>
      <c r="C37" s="1004" t="s">
        <v>253</v>
      </c>
      <c r="D37" s="104" t="str">
        <f t="shared" si="1"/>
        <v>SITE</v>
      </c>
      <c r="E37" s="104" t="s">
        <v>254</v>
      </c>
      <c r="F37" s="104">
        <v>1119.0</v>
      </c>
      <c r="G37" s="123" t="s">
        <v>121</v>
      </c>
      <c r="H37" s="535">
        <v>0.0</v>
      </c>
      <c r="I37" s="858" t="str">
        <f>IFERROR(VLOOKUP(C:C,'R22 RELATÓRIO ACC'!B:F,5,FALSE),"NOT PUBLISHED")</f>
        <v>V20</v>
      </c>
      <c r="J37" s="858" t="str">
        <f>IFERROR(VLOOKUP(C:C,'R22 RELATÓRIO ACC'!B:P,15,FALSE),"NOT PUBLISHED")</f>
        <v>06/05/2026</v>
      </c>
      <c r="K37" s="899" t="str">
        <f>IFERROR(VLOOKUP(B:B,'RELATÓRIO ACC'!B:F,5,FALSE),"NOT PUBLISHED")</f>
        <v>V4</v>
      </c>
      <c r="L37" s="917" t="str">
        <f>IFERROR(VLOOKUP(B:B,'RELATÓRIO ACC'!B:P,15,FALSE),"NOT PUBLISHED")</f>
        <v>11/06/2026</v>
      </c>
      <c r="M37" s="858" t="s">
        <v>425</v>
      </c>
      <c r="N37" s="918">
        <v>46114.0</v>
      </c>
      <c r="O37" s="538" t="s">
        <v>410</v>
      </c>
      <c r="P37" s="522" t="s">
        <v>397</v>
      </c>
      <c r="Q37" s="901" t="s">
        <v>379</v>
      </c>
      <c r="R37" s="558" t="s">
        <v>380</v>
      </c>
      <c r="S37" s="525" t="s">
        <v>379</v>
      </c>
      <c r="T37" s="528" t="s">
        <v>379</v>
      </c>
      <c r="U37" s="540" t="s">
        <v>380</v>
      </c>
      <c r="V37" s="528" t="s">
        <v>379</v>
      </c>
      <c r="W37" s="528" t="s">
        <v>381</v>
      </c>
      <c r="X37" s="528" t="s">
        <v>399</v>
      </c>
      <c r="Y37" s="548">
        <v>0.25</v>
      </c>
      <c r="Z37" s="528" t="s">
        <v>379</v>
      </c>
      <c r="AA37" s="528" t="s">
        <v>399</v>
      </c>
      <c r="AB37" s="528" t="s">
        <v>379</v>
      </c>
      <c r="AC37" s="528" t="s">
        <v>398</v>
      </c>
      <c r="AD37" s="528" t="s">
        <v>411</v>
      </c>
      <c r="AE37" s="528" t="s">
        <v>398</v>
      </c>
      <c r="AF37" s="528" t="s">
        <v>381</v>
      </c>
      <c r="AG37" s="528" t="s">
        <v>384</v>
      </c>
      <c r="AH37" s="548">
        <v>0.25</v>
      </c>
      <c r="AI37" s="528" t="s">
        <v>398</v>
      </c>
      <c r="AJ37" s="528" t="s">
        <v>417</v>
      </c>
      <c r="AK37" s="528" t="s">
        <v>398</v>
      </c>
      <c r="AL37" s="528" t="s">
        <v>398</v>
      </c>
      <c r="AM37" s="528" t="s">
        <v>417</v>
      </c>
      <c r="AN37" s="528" t="s">
        <v>398</v>
      </c>
      <c r="AO37" s="528" t="s">
        <v>398</v>
      </c>
      <c r="AP37" s="528" t="s">
        <v>417</v>
      </c>
      <c r="AQ37" s="528" t="s">
        <v>398</v>
      </c>
      <c r="AR37" s="528" t="s">
        <v>398</v>
      </c>
      <c r="AS37" s="528" t="s">
        <v>414</v>
      </c>
      <c r="AT37" s="528" t="s">
        <v>398</v>
      </c>
      <c r="AU37" s="528" t="s">
        <v>379</v>
      </c>
      <c r="AV37" s="528" t="s">
        <v>414</v>
      </c>
      <c r="AW37" s="528" t="s">
        <v>379</v>
      </c>
      <c r="AX37" s="528" t="s">
        <v>383</v>
      </c>
      <c r="AY37" s="528" t="s">
        <v>414</v>
      </c>
      <c r="AZ37" s="528" t="s">
        <v>383</v>
      </c>
      <c r="BA37" s="528" t="s">
        <v>383</v>
      </c>
      <c r="BB37" s="528" t="s">
        <v>414</v>
      </c>
      <c r="BC37" s="528" t="s">
        <v>383</v>
      </c>
      <c r="BD37" s="528" t="s">
        <v>490</v>
      </c>
      <c r="BE37" s="528" t="s">
        <v>414</v>
      </c>
      <c r="BF37" s="528" t="s">
        <v>490</v>
      </c>
      <c r="BG37" s="528" t="s">
        <v>381</v>
      </c>
      <c r="BH37" s="528" t="s">
        <v>418</v>
      </c>
      <c r="BI37" s="548">
        <v>0.92</v>
      </c>
      <c r="BJ37" s="528" t="s">
        <v>386</v>
      </c>
      <c r="BK37" s="528" t="s">
        <v>425</v>
      </c>
      <c r="BL37" s="548">
        <v>1.0</v>
      </c>
      <c r="BM37" s="528" t="s">
        <v>413</v>
      </c>
      <c r="BN37" s="528" t="s">
        <v>425</v>
      </c>
      <c r="BO37" s="548">
        <v>1.0</v>
      </c>
      <c r="BP37" s="528" t="s">
        <v>413</v>
      </c>
      <c r="BQ37" s="528" t="s">
        <v>425</v>
      </c>
      <c r="BR37" s="548">
        <v>1.0</v>
      </c>
      <c r="BS37" s="528" t="s">
        <v>413</v>
      </c>
      <c r="BT37" s="528" t="s">
        <v>425</v>
      </c>
      <c r="BU37" s="548">
        <v>1.0</v>
      </c>
      <c r="BV37" s="528" t="s">
        <v>413</v>
      </c>
      <c r="BW37" s="528" t="s">
        <v>425</v>
      </c>
      <c r="BX37" s="548">
        <v>1.0</v>
      </c>
      <c r="BY37" s="528" t="s">
        <v>413</v>
      </c>
      <c r="BZ37" s="528" t="s">
        <v>425</v>
      </c>
      <c r="CA37" s="548">
        <v>1.0</v>
      </c>
      <c r="CB37" s="528" t="s">
        <v>413</v>
      </c>
      <c r="CC37" s="528" t="s">
        <v>425</v>
      </c>
      <c r="CD37" s="548">
        <v>1.0</v>
      </c>
      <c r="CE37" s="528" t="s">
        <v>413</v>
      </c>
      <c r="CF37" s="528" t="s">
        <v>425</v>
      </c>
      <c r="CG37" s="548">
        <v>1.0</v>
      </c>
      <c r="CH37" s="528" t="s">
        <v>413</v>
      </c>
      <c r="CI37" s="528" t="s">
        <v>425</v>
      </c>
      <c r="CJ37" s="548">
        <v>1.0</v>
      </c>
      <c r="CK37" s="528" t="s">
        <v>413</v>
      </c>
      <c r="CL37" s="528" t="s">
        <v>425</v>
      </c>
      <c r="CM37" s="548">
        <v>1.0</v>
      </c>
      <c r="CN37" s="528" t="s">
        <v>413</v>
      </c>
      <c r="CO37" s="528" t="s">
        <v>425</v>
      </c>
      <c r="CP37" s="548">
        <v>1.0</v>
      </c>
      <c r="CQ37" s="528" t="s">
        <v>413</v>
      </c>
      <c r="CR37" s="528" t="s">
        <v>425</v>
      </c>
      <c r="CS37" s="548">
        <v>1.0</v>
      </c>
      <c r="CT37" s="528" t="s">
        <v>413</v>
      </c>
      <c r="CU37" s="528" t="s">
        <v>425</v>
      </c>
      <c r="CV37" s="548">
        <v>1.0</v>
      </c>
      <c r="CW37" s="528" t="s">
        <v>413</v>
      </c>
      <c r="CX37" s="528" t="s">
        <v>425</v>
      </c>
      <c r="CY37" s="548">
        <v>1.0</v>
      </c>
      <c r="CZ37" s="528" t="s">
        <v>413</v>
      </c>
      <c r="DA37" s="528" t="s">
        <v>425</v>
      </c>
      <c r="DB37" s="548">
        <v>1.0</v>
      </c>
    </row>
    <row r="38" ht="15.0" customHeight="1">
      <c r="A38" s="53">
        <v>22.0</v>
      </c>
      <c r="B38" s="100" t="s">
        <v>255</v>
      </c>
      <c r="C38" s="100" t="s">
        <v>256</v>
      </c>
      <c r="D38" s="101" t="str">
        <f t="shared" si="1"/>
        <v>SITE</v>
      </c>
      <c r="E38" s="101" t="s">
        <v>254</v>
      </c>
      <c r="F38" s="101">
        <v>1119.0</v>
      </c>
      <c r="G38" s="111" t="s">
        <v>121</v>
      </c>
      <c r="H38" s="535">
        <v>0.0</v>
      </c>
      <c r="I38" s="858" t="str">
        <f>IFERROR(VLOOKUP(C:C,'R22 RELATÓRIO ACC'!B:F,5,FALSE),"NOT PUBLISHED")</f>
        <v>V18</v>
      </c>
      <c r="J38" s="858" t="str">
        <f>IFERROR(VLOOKUP(C:C,'R22 RELATÓRIO ACC'!B:P,15,FALSE),"NOT PUBLISHED")</f>
        <v>08/04/2026</v>
      </c>
      <c r="K38" s="821" t="str">
        <f>IFERROR(VLOOKUP(B:B,'RELATÓRIO ACC'!B:F,5,FALSE),"NOT PUBLISHED")</f>
        <v>V6</v>
      </c>
      <c r="L38" s="822" t="str">
        <f>IFERROR(VLOOKUP(B:B,'RELATÓRIO ACC'!B:P,15,FALSE),"NOT PUBLISHED")</f>
        <v>24/06/2026</v>
      </c>
      <c r="M38" s="821" t="s">
        <v>414</v>
      </c>
      <c r="N38" s="943" t="s">
        <v>519</v>
      </c>
      <c r="O38" s="538" t="s">
        <v>410</v>
      </c>
      <c r="P38" s="587"/>
      <c r="Q38" s="523" t="s">
        <v>388</v>
      </c>
      <c r="R38" s="524" t="s">
        <v>380</v>
      </c>
      <c r="S38" s="523" t="s">
        <v>388</v>
      </c>
      <c r="T38" s="523" t="s">
        <v>386</v>
      </c>
      <c r="U38" s="524" t="s">
        <v>380</v>
      </c>
      <c r="V38" s="546">
        <v>1.0</v>
      </c>
      <c r="W38" s="523" t="s">
        <v>413</v>
      </c>
      <c r="X38" s="524" t="s">
        <v>380</v>
      </c>
      <c r="Y38" s="551">
        <v>1.0</v>
      </c>
      <c r="Z38" s="523" t="s">
        <v>413</v>
      </c>
      <c r="AA38" s="524" t="s">
        <v>380</v>
      </c>
      <c r="AB38" s="546">
        <v>1.0</v>
      </c>
      <c r="AC38" s="523" t="s">
        <v>413</v>
      </c>
      <c r="AD38" s="524" t="s">
        <v>380</v>
      </c>
      <c r="AE38" s="546">
        <v>1.0</v>
      </c>
      <c r="AF38" s="523" t="s">
        <v>413</v>
      </c>
      <c r="AG38" s="524" t="s">
        <v>380</v>
      </c>
      <c r="AH38" s="546">
        <v>1.0</v>
      </c>
      <c r="AI38" s="523" t="s">
        <v>413</v>
      </c>
      <c r="AJ38" s="524" t="s">
        <v>380</v>
      </c>
      <c r="AK38" s="546">
        <v>1.0</v>
      </c>
      <c r="AL38" s="523" t="s">
        <v>413</v>
      </c>
      <c r="AM38" s="524" t="s">
        <v>380</v>
      </c>
      <c r="AN38" s="546">
        <v>1.0</v>
      </c>
      <c r="AO38" s="523" t="s">
        <v>413</v>
      </c>
      <c r="AP38" s="524" t="s">
        <v>380</v>
      </c>
      <c r="AQ38" s="546">
        <v>1.0</v>
      </c>
      <c r="AR38" s="523" t="s">
        <v>386</v>
      </c>
      <c r="AS38" s="526" t="s">
        <v>414</v>
      </c>
      <c r="AT38" s="546">
        <v>1.0</v>
      </c>
      <c r="AU38" s="523" t="s">
        <v>413</v>
      </c>
      <c r="AV38" s="526" t="s">
        <v>414</v>
      </c>
      <c r="AW38" s="546">
        <v>1.0</v>
      </c>
      <c r="AX38" s="523" t="s">
        <v>413</v>
      </c>
      <c r="AY38" s="526" t="s">
        <v>414</v>
      </c>
      <c r="AZ38" s="546">
        <v>1.0</v>
      </c>
      <c r="BA38" s="523" t="s">
        <v>413</v>
      </c>
      <c r="BB38" s="526" t="s">
        <v>414</v>
      </c>
      <c r="BC38" s="546">
        <v>1.0</v>
      </c>
      <c r="BD38" s="523" t="s">
        <v>413</v>
      </c>
      <c r="BE38" s="526" t="s">
        <v>414</v>
      </c>
      <c r="BF38" s="546">
        <v>1.0</v>
      </c>
      <c r="BG38" s="523" t="s">
        <v>413</v>
      </c>
      <c r="BH38" s="526" t="s">
        <v>414</v>
      </c>
      <c r="BI38" s="546">
        <v>1.0</v>
      </c>
      <c r="BJ38" s="523" t="s">
        <v>413</v>
      </c>
      <c r="BK38" s="526" t="s">
        <v>414</v>
      </c>
      <c r="BL38" s="546">
        <v>1.0</v>
      </c>
      <c r="BM38" s="523" t="s">
        <v>413</v>
      </c>
      <c r="BN38" s="526" t="s">
        <v>414</v>
      </c>
      <c r="BO38" s="546">
        <v>1.0</v>
      </c>
      <c r="BP38" s="523" t="s">
        <v>413</v>
      </c>
      <c r="BQ38" s="526" t="s">
        <v>414</v>
      </c>
      <c r="BR38" s="546">
        <v>1.0</v>
      </c>
      <c r="BS38" s="523" t="s">
        <v>413</v>
      </c>
      <c r="BT38" s="526" t="s">
        <v>414</v>
      </c>
      <c r="BU38" s="546">
        <v>1.0</v>
      </c>
      <c r="BV38" s="523" t="s">
        <v>413</v>
      </c>
      <c r="BW38" s="526" t="s">
        <v>414</v>
      </c>
      <c r="BX38" s="546">
        <v>1.0</v>
      </c>
      <c r="BY38" s="523" t="s">
        <v>413</v>
      </c>
      <c r="BZ38" s="526" t="s">
        <v>414</v>
      </c>
      <c r="CA38" s="546">
        <v>1.0</v>
      </c>
      <c r="CB38" s="523" t="s">
        <v>413</v>
      </c>
      <c r="CC38" s="526" t="s">
        <v>414</v>
      </c>
      <c r="CD38" s="546">
        <v>1.0</v>
      </c>
      <c r="CE38" s="523" t="s">
        <v>413</v>
      </c>
      <c r="CF38" s="526" t="s">
        <v>414</v>
      </c>
      <c r="CG38" s="546">
        <v>1.0</v>
      </c>
      <c r="CH38" s="523" t="s">
        <v>413</v>
      </c>
      <c r="CI38" s="526" t="s">
        <v>414</v>
      </c>
      <c r="CJ38" s="546">
        <v>1.0</v>
      </c>
      <c r="CK38" s="523" t="s">
        <v>413</v>
      </c>
      <c r="CL38" s="526" t="s">
        <v>414</v>
      </c>
      <c r="CM38" s="546">
        <v>1.0</v>
      </c>
      <c r="CN38" s="523" t="s">
        <v>413</v>
      </c>
      <c r="CO38" s="526" t="s">
        <v>414</v>
      </c>
      <c r="CP38" s="546">
        <v>1.0</v>
      </c>
      <c r="CQ38" s="523" t="s">
        <v>413</v>
      </c>
      <c r="CR38" s="526" t="s">
        <v>414</v>
      </c>
      <c r="CS38" s="546">
        <v>1.0</v>
      </c>
      <c r="CT38" s="523" t="s">
        <v>413</v>
      </c>
      <c r="CU38" s="526" t="s">
        <v>414</v>
      </c>
      <c r="CV38" s="546">
        <v>1.0</v>
      </c>
      <c r="CW38" s="523" t="s">
        <v>413</v>
      </c>
      <c r="CX38" s="526" t="s">
        <v>414</v>
      </c>
      <c r="CY38" s="546">
        <v>1.0</v>
      </c>
      <c r="CZ38" s="523" t="s">
        <v>413</v>
      </c>
      <c r="DA38" s="526" t="s">
        <v>414</v>
      </c>
      <c r="DB38" s="546">
        <v>1.0</v>
      </c>
    </row>
    <row r="39" ht="15.0" customHeight="1">
      <c r="A39" s="53">
        <v>24.0</v>
      </c>
      <c r="B39" s="1004" t="s">
        <v>258</v>
      </c>
      <c r="C39" s="1004" t="s">
        <v>259</v>
      </c>
      <c r="D39" s="104" t="str">
        <f t="shared" si="1"/>
        <v>SITE</v>
      </c>
      <c r="E39" s="104" t="s">
        <v>254</v>
      </c>
      <c r="F39" s="104">
        <v>1119.0</v>
      </c>
      <c r="G39" s="123" t="s">
        <v>121</v>
      </c>
      <c r="H39" s="535">
        <v>0.0</v>
      </c>
      <c r="I39" s="858" t="str">
        <f>IFERROR(VLOOKUP(C:C,'R22 RELATÓRIO ACC'!B:F,5,FALSE),"NOT PUBLISHED")</f>
        <v>V18</v>
      </c>
      <c r="J39" s="858" t="str">
        <f>IFERROR(VLOOKUP(C:C,'R22 RELATÓRIO ACC'!B:P,15,FALSE),"NOT PUBLISHED")</f>
        <v>30/04/2026</v>
      </c>
      <c r="K39" s="899" t="str">
        <f>IFERROR(VLOOKUP(B:B,'RELATÓRIO ACC'!B:F,5,FALSE),"NOT PUBLISHED")</f>
        <v>V2</v>
      </c>
      <c r="L39" s="917" t="str">
        <f>IFERROR(VLOOKUP(B:B,'RELATÓRIO ACC'!B:P,15,FALSE),"NOT PUBLISHED")</f>
        <v>20/05/2026</v>
      </c>
      <c r="M39" s="858" t="s">
        <v>419</v>
      </c>
      <c r="N39" s="900" t="s">
        <v>519</v>
      </c>
      <c r="O39" s="538" t="s">
        <v>410</v>
      </c>
      <c r="P39" s="522" t="s">
        <v>397</v>
      </c>
      <c r="Q39" s="901" t="s">
        <v>381</v>
      </c>
      <c r="R39" s="550" t="s">
        <v>421</v>
      </c>
      <c r="S39" s="551">
        <v>0.15</v>
      </c>
      <c r="T39" s="528" t="s">
        <v>383</v>
      </c>
      <c r="U39" s="528">
        <v>0.0</v>
      </c>
      <c r="V39" s="528" t="s">
        <v>383</v>
      </c>
      <c r="W39" s="528" t="s">
        <v>381</v>
      </c>
      <c r="X39" s="528" t="s">
        <v>411</v>
      </c>
      <c r="Y39" s="548">
        <v>0.38</v>
      </c>
      <c r="Z39" s="528" t="s">
        <v>379</v>
      </c>
      <c r="AA39" s="528" t="s">
        <v>411</v>
      </c>
      <c r="AB39" s="528" t="s">
        <v>379</v>
      </c>
      <c r="AC39" s="528" t="s">
        <v>398</v>
      </c>
      <c r="AD39" s="528" t="s">
        <v>428</v>
      </c>
      <c r="AE39" s="528" t="s">
        <v>398</v>
      </c>
      <c r="AF39" s="528" t="s">
        <v>381</v>
      </c>
      <c r="AG39" s="528" t="s">
        <v>385</v>
      </c>
      <c r="AH39" s="548">
        <v>0.38</v>
      </c>
      <c r="AI39" s="528" t="s">
        <v>398</v>
      </c>
      <c r="AJ39" s="528" t="s">
        <v>414</v>
      </c>
      <c r="AK39" s="528" t="s">
        <v>398</v>
      </c>
      <c r="AL39" s="528" t="s">
        <v>398</v>
      </c>
      <c r="AM39" s="528" t="s">
        <v>414</v>
      </c>
      <c r="AN39" s="528" t="s">
        <v>398</v>
      </c>
      <c r="AO39" s="528" t="s">
        <v>379</v>
      </c>
      <c r="AP39" s="528" t="s">
        <v>414</v>
      </c>
      <c r="AQ39" s="528" t="s">
        <v>379</v>
      </c>
      <c r="AR39" s="528" t="s">
        <v>379</v>
      </c>
      <c r="AS39" s="528" t="s">
        <v>414</v>
      </c>
      <c r="AT39" s="528" t="s">
        <v>379</v>
      </c>
      <c r="AU39" s="528" t="s">
        <v>379</v>
      </c>
      <c r="AV39" s="528" t="s">
        <v>414</v>
      </c>
      <c r="AW39" s="528" t="s">
        <v>379</v>
      </c>
      <c r="AX39" s="528" t="s">
        <v>383</v>
      </c>
      <c r="AY39" s="528" t="s">
        <v>414</v>
      </c>
      <c r="AZ39" s="528" t="s">
        <v>383</v>
      </c>
      <c r="BA39" s="528" t="s">
        <v>383</v>
      </c>
      <c r="BB39" s="528" t="s">
        <v>414</v>
      </c>
      <c r="BC39" s="528" t="s">
        <v>383</v>
      </c>
      <c r="BD39" s="528" t="s">
        <v>490</v>
      </c>
      <c r="BE39" s="528" t="s">
        <v>414</v>
      </c>
      <c r="BF39" s="528" t="s">
        <v>490</v>
      </c>
      <c r="BG39" s="528" t="s">
        <v>490</v>
      </c>
      <c r="BH39" s="528" t="s">
        <v>414</v>
      </c>
      <c r="BI39" s="528" t="s">
        <v>490</v>
      </c>
      <c r="BJ39" s="528" t="s">
        <v>386</v>
      </c>
      <c r="BK39" s="528" t="s">
        <v>419</v>
      </c>
      <c r="BL39" s="548">
        <v>1.0</v>
      </c>
      <c r="BM39" s="528" t="s">
        <v>413</v>
      </c>
      <c r="BN39" s="528" t="s">
        <v>419</v>
      </c>
      <c r="BO39" s="548">
        <v>1.0</v>
      </c>
      <c r="BP39" s="528" t="s">
        <v>413</v>
      </c>
      <c r="BQ39" s="528" t="s">
        <v>419</v>
      </c>
      <c r="BR39" s="548">
        <v>1.0</v>
      </c>
      <c r="BS39" s="528" t="s">
        <v>413</v>
      </c>
      <c r="BT39" s="528" t="s">
        <v>419</v>
      </c>
      <c r="BU39" s="548">
        <v>1.0</v>
      </c>
      <c r="BV39" s="528" t="s">
        <v>413</v>
      </c>
      <c r="BW39" s="528" t="s">
        <v>419</v>
      </c>
      <c r="BX39" s="548">
        <v>1.0</v>
      </c>
      <c r="BY39" s="528" t="s">
        <v>413</v>
      </c>
      <c r="BZ39" s="528" t="s">
        <v>419</v>
      </c>
      <c r="CA39" s="548">
        <v>1.0</v>
      </c>
      <c r="CB39" s="528" t="s">
        <v>413</v>
      </c>
      <c r="CC39" s="528" t="s">
        <v>419</v>
      </c>
      <c r="CD39" s="548">
        <v>1.0</v>
      </c>
      <c r="CE39" s="528" t="s">
        <v>413</v>
      </c>
      <c r="CF39" s="528" t="s">
        <v>419</v>
      </c>
      <c r="CG39" s="548">
        <v>1.0</v>
      </c>
      <c r="CH39" s="528" t="s">
        <v>413</v>
      </c>
      <c r="CI39" s="528" t="s">
        <v>419</v>
      </c>
      <c r="CJ39" s="548">
        <v>1.0</v>
      </c>
      <c r="CK39" s="528" t="s">
        <v>413</v>
      </c>
      <c r="CL39" s="528" t="s">
        <v>419</v>
      </c>
      <c r="CM39" s="548">
        <v>1.0</v>
      </c>
      <c r="CN39" s="528" t="s">
        <v>413</v>
      </c>
      <c r="CO39" s="528" t="s">
        <v>419</v>
      </c>
      <c r="CP39" s="548">
        <v>1.0</v>
      </c>
      <c r="CQ39" s="528" t="s">
        <v>413</v>
      </c>
      <c r="CR39" s="528" t="s">
        <v>419</v>
      </c>
      <c r="CS39" s="548">
        <v>1.0</v>
      </c>
      <c r="CT39" s="528" t="s">
        <v>413</v>
      </c>
      <c r="CU39" s="528" t="s">
        <v>419</v>
      </c>
      <c r="CV39" s="548">
        <v>1.0</v>
      </c>
      <c r="CW39" s="528" t="s">
        <v>413</v>
      </c>
      <c r="CX39" s="528" t="s">
        <v>419</v>
      </c>
      <c r="CY39" s="548">
        <v>1.0</v>
      </c>
      <c r="CZ39" s="528" t="s">
        <v>413</v>
      </c>
      <c r="DA39" s="528" t="s">
        <v>419</v>
      </c>
      <c r="DB39" s="548">
        <v>1.0</v>
      </c>
    </row>
    <row r="40" ht="15.0" customHeight="1">
      <c r="A40" s="53">
        <v>26.0</v>
      </c>
      <c r="B40" s="145" t="s">
        <v>202</v>
      </c>
      <c r="C40" s="145" t="s">
        <v>203</v>
      </c>
      <c r="D40" s="101" t="str">
        <f t="shared" si="1"/>
        <v>SITE</v>
      </c>
      <c r="E40" s="101" t="s">
        <v>154</v>
      </c>
      <c r="F40" s="102">
        <v>1112.0</v>
      </c>
      <c r="G40" s="517" t="s">
        <v>155</v>
      </c>
      <c r="H40" s="517">
        <v>1129.0</v>
      </c>
      <c r="I40" s="858" t="str">
        <f>IFERROR(VLOOKUP(C:C,'R22 RELATÓRIO ACC'!B:F,5,FALSE),"NOT PUBLISHED")</f>
        <v>V33</v>
      </c>
      <c r="J40" s="858" t="str">
        <f>IFERROR(VLOOKUP(C:C,'R22 RELATÓRIO ACC'!B:P,15,FALSE),"NOT PUBLISHED")</f>
        <v>05/03/2026</v>
      </c>
      <c r="K40" s="821" t="str">
        <f>IFERROR(VLOOKUP(B:B,'RELATÓRIO ACC'!B:F,5,FALSE),"NOT PUBLISHED")</f>
        <v>V1</v>
      </c>
      <c r="L40" s="822" t="str">
        <f>IFERROR(VLOOKUP(B:B,'RELATÓRIO ACC'!B:P,15,FALSE),"NOT PUBLISHED")</f>
        <v>19/05/2026</v>
      </c>
      <c r="M40" s="821" t="s">
        <v>408</v>
      </c>
      <c r="N40" s="943" t="s">
        <v>435</v>
      </c>
      <c r="O40" s="538" t="s">
        <v>410</v>
      </c>
      <c r="P40" s="587"/>
      <c r="Q40" s="523" t="s">
        <v>379</v>
      </c>
      <c r="R40" s="558" t="s">
        <v>380</v>
      </c>
      <c r="S40" s="523" t="s">
        <v>379</v>
      </c>
      <c r="T40" s="523" t="s">
        <v>381</v>
      </c>
      <c r="U40" s="550" t="s">
        <v>421</v>
      </c>
      <c r="V40" s="546">
        <v>0.27</v>
      </c>
      <c r="W40" s="523" t="s">
        <v>381</v>
      </c>
      <c r="X40" s="550" t="s">
        <v>406</v>
      </c>
      <c r="Y40" s="551">
        <v>0.6</v>
      </c>
      <c r="Z40" s="523" t="s">
        <v>381</v>
      </c>
      <c r="AA40" s="550" t="s">
        <v>407</v>
      </c>
      <c r="AB40" s="551">
        <v>0.72</v>
      </c>
      <c r="AC40" s="523" t="s">
        <v>383</v>
      </c>
      <c r="AD40" s="550" t="s">
        <v>407</v>
      </c>
      <c r="AE40" s="525" t="s">
        <v>383</v>
      </c>
      <c r="AF40" s="523" t="s">
        <v>386</v>
      </c>
      <c r="AG40" s="550" t="s">
        <v>408</v>
      </c>
      <c r="AH40" s="546">
        <v>1.0</v>
      </c>
      <c r="AI40" s="523" t="s">
        <v>413</v>
      </c>
      <c r="AJ40" s="550" t="s">
        <v>408</v>
      </c>
      <c r="AK40" s="546">
        <v>1.0</v>
      </c>
      <c r="AL40" s="528" t="s">
        <v>413</v>
      </c>
      <c r="AM40" s="523" t="s">
        <v>408</v>
      </c>
      <c r="AN40" s="548">
        <v>1.0</v>
      </c>
      <c r="AO40" s="861" t="s">
        <v>413</v>
      </c>
      <c r="AP40" s="523" t="s">
        <v>408</v>
      </c>
      <c r="AQ40" s="548">
        <v>1.0</v>
      </c>
      <c r="AR40" s="861" t="s">
        <v>413</v>
      </c>
      <c r="AS40" s="523" t="s">
        <v>408</v>
      </c>
      <c r="AT40" s="548">
        <v>1.0</v>
      </c>
      <c r="AU40" s="861" t="s">
        <v>413</v>
      </c>
      <c r="AV40" s="523" t="s">
        <v>408</v>
      </c>
      <c r="AW40" s="548">
        <v>1.0</v>
      </c>
      <c r="AX40" s="861" t="s">
        <v>413</v>
      </c>
      <c r="AY40" s="523" t="s">
        <v>408</v>
      </c>
      <c r="AZ40" s="548">
        <v>1.0</v>
      </c>
      <c r="BA40" s="861" t="s">
        <v>413</v>
      </c>
      <c r="BB40" s="523" t="s">
        <v>408</v>
      </c>
      <c r="BC40" s="548">
        <v>1.0</v>
      </c>
      <c r="BD40" s="861" t="s">
        <v>413</v>
      </c>
      <c r="BE40" s="523" t="s">
        <v>408</v>
      </c>
      <c r="BF40" s="548">
        <v>1.0</v>
      </c>
      <c r="BG40" s="861" t="s">
        <v>413</v>
      </c>
      <c r="BH40" s="523" t="s">
        <v>408</v>
      </c>
      <c r="BI40" s="548">
        <v>1.0</v>
      </c>
      <c r="BJ40" s="861" t="s">
        <v>413</v>
      </c>
      <c r="BK40" s="523" t="s">
        <v>408</v>
      </c>
      <c r="BL40" s="548">
        <v>1.0</v>
      </c>
      <c r="BM40" s="861" t="s">
        <v>413</v>
      </c>
      <c r="BN40" s="523" t="s">
        <v>408</v>
      </c>
      <c r="BO40" s="548">
        <v>1.0</v>
      </c>
      <c r="BP40" s="861" t="s">
        <v>413</v>
      </c>
      <c r="BQ40" s="523" t="s">
        <v>408</v>
      </c>
      <c r="BR40" s="548">
        <v>1.0</v>
      </c>
      <c r="BS40" s="861" t="s">
        <v>413</v>
      </c>
      <c r="BT40" s="523" t="s">
        <v>408</v>
      </c>
      <c r="BU40" s="548">
        <v>1.0</v>
      </c>
      <c r="BV40" s="861" t="s">
        <v>413</v>
      </c>
      <c r="BW40" s="523" t="s">
        <v>408</v>
      </c>
      <c r="BX40" s="548">
        <v>1.0</v>
      </c>
      <c r="BY40" s="861" t="s">
        <v>413</v>
      </c>
      <c r="BZ40" s="523" t="s">
        <v>408</v>
      </c>
      <c r="CA40" s="548">
        <v>1.0</v>
      </c>
      <c r="CB40" s="861" t="s">
        <v>413</v>
      </c>
      <c r="CC40" s="523" t="s">
        <v>408</v>
      </c>
      <c r="CD40" s="548">
        <v>1.0</v>
      </c>
      <c r="CE40" s="861" t="s">
        <v>413</v>
      </c>
      <c r="CF40" s="523" t="s">
        <v>408</v>
      </c>
      <c r="CG40" s="548">
        <v>1.0</v>
      </c>
      <c r="CH40" s="861" t="s">
        <v>413</v>
      </c>
      <c r="CI40" s="523" t="s">
        <v>408</v>
      </c>
      <c r="CJ40" s="548">
        <v>1.0</v>
      </c>
      <c r="CK40" s="861" t="s">
        <v>413</v>
      </c>
      <c r="CL40" s="523" t="s">
        <v>408</v>
      </c>
      <c r="CM40" s="548">
        <v>1.0</v>
      </c>
      <c r="CN40" s="861" t="s">
        <v>413</v>
      </c>
      <c r="CO40" s="523" t="s">
        <v>408</v>
      </c>
      <c r="CP40" s="548">
        <v>1.0</v>
      </c>
      <c r="CQ40" s="861" t="s">
        <v>413</v>
      </c>
      <c r="CR40" s="523" t="s">
        <v>408</v>
      </c>
      <c r="CS40" s="548">
        <v>1.0</v>
      </c>
      <c r="CT40" s="861" t="s">
        <v>413</v>
      </c>
      <c r="CU40" s="523" t="s">
        <v>408</v>
      </c>
      <c r="CV40" s="548">
        <v>1.0</v>
      </c>
      <c r="CW40" s="861" t="s">
        <v>413</v>
      </c>
      <c r="CX40" s="523" t="s">
        <v>408</v>
      </c>
      <c r="CY40" s="548">
        <v>1.0</v>
      </c>
      <c r="CZ40" s="861" t="s">
        <v>413</v>
      </c>
      <c r="DA40" s="523" t="s">
        <v>408</v>
      </c>
      <c r="DB40" s="548">
        <v>1.0</v>
      </c>
    </row>
    <row r="41" ht="15.0" customHeight="1">
      <c r="A41" s="53">
        <v>27.0</v>
      </c>
      <c r="B41" s="122" t="s">
        <v>209</v>
      </c>
      <c r="C41" s="122" t="s">
        <v>210</v>
      </c>
      <c r="D41" s="104" t="str">
        <f t="shared" si="1"/>
        <v>SITE</v>
      </c>
      <c r="E41" s="104" t="s">
        <v>154</v>
      </c>
      <c r="F41" s="104" t="s">
        <v>154</v>
      </c>
      <c r="G41" s="104" t="s">
        <v>154</v>
      </c>
      <c r="H41" s="517"/>
      <c r="I41" s="858" t="str">
        <f>IFERROR(VLOOKUP(C:C,'R22 RELATÓRIO ACC'!B:F,5,FALSE),"NOT PUBLISHED")</f>
        <v>V7</v>
      </c>
      <c r="J41" s="858" t="str">
        <f>IFERROR(VLOOKUP(C:C,'R22 RELATÓRIO ACC'!B:P,15,FALSE),"NOT PUBLISHED")</f>
        <v>08/12/2025</v>
      </c>
      <c r="K41" s="899" t="str">
        <f>IFERROR(VLOOKUP(B:B,'RELATÓRIO ACC'!B:F,5,FALSE),"NOT PUBLISHED")</f>
        <v>V2</v>
      </c>
      <c r="L41" s="917" t="str">
        <f>IFERROR(VLOOKUP(B:B,'RELATÓRIO ACC'!B:P,15,FALSE),"NOT PUBLISHED")</f>
        <v>03/07/2026</v>
      </c>
      <c r="M41" s="858" t="s">
        <v>412</v>
      </c>
      <c r="N41" s="900" t="s">
        <v>499</v>
      </c>
      <c r="O41" s="538" t="s">
        <v>410</v>
      </c>
      <c r="P41" s="522" t="s">
        <v>445</v>
      </c>
      <c r="Q41" s="901" t="s">
        <v>388</v>
      </c>
      <c r="R41" s="558" t="s">
        <v>380</v>
      </c>
      <c r="S41" s="1005" t="s">
        <v>380</v>
      </c>
      <c r="T41" s="901" t="s">
        <v>381</v>
      </c>
      <c r="U41" s="528" t="s">
        <v>421</v>
      </c>
      <c r="V41" s="1006">
        <v>0.01</v>
      </c>
      <c r="W41" s="901" t="s">
        <v>398</v>
      </c>
      <c r="X41" s="528" t="s">
        <v>399</v>
      </c>
      <c r="Y41" s="901" t="s">
        <v>398</v>
      </c>
      <c r="Z41" s="901" t="s">
        <v>398</v>
      </c>
      <c r="AA41" s="901" t="s">
        <v>431</v>
      </c>
      <c r="AB41" s="901" t="s">
        <v>398</v>
      </c>
      <c r="AC41" s="528" t="s">
        <v>383</v>
      </c>
      <c r="AD41" s="528" t="s">
        <v>431</v>
      </c>
      <c r="AE41" s="528" t="s">
        <v>383</v>
      </c>
      <c r="AF41" s="528" t="s">
        <v>386</v>
      </c>
      <c r="AG41" s="528" t="s">
        <v>412</v>
      </c>
      <c r="AH41" s="548">
        <v>1.0</v>
      </c>
      <c r="AI41" s="528" t="s">
        <v>413</v>
      </c>
      <c r="AJ41" s="528" t="s">
        <v>412</v>
      </c>
      <c r="AK41" s="548">
        <v>1.0</v>
      </c>
      <c r="AL41" s="528" t="s">
        <v>413</v>
      </c>
      <c r="AM41" s="528" t="s">
        <v>412</v>
      </c>
      <c r="AN41" s="548">
        <v>1.0</v>
      </c>
      <c r="AO41" s="528" t="s">
        <v>413</v>
      </c>
      <c r="AP41" s="528" t="s">
        <v>412</v>
      </c>
      <c r="AQ41" s="548">
        <v>1.0</v>
      </c>
      <c r="AR41" s="528" t="s">
        <v>413</v>
      </c>
      <c r="AS41" s="528" t="s">
        <v>412</v>
      </c>
      <c r="AT41" s="548">
        <v>1.0</v>
      </c>
      <c r="AU41" s="528" t="s">
        <v>413</v>
      </c>
      <c r="AV41" s="528" t="s">
        <v>412</v>
      </c>
      <c r="AW41" s="548">
        <v>1.0</v>
      </c>
      <c r="AX41" s="528" t="s">
        <v>413</v>
      </c>
      <c r="AY41" s="528" t="s">
        <v>412</v>
      </c>
      <c r="AZ41" s="548">
        <v>1.0</v>
      </c>
      <c r="BA41" s="528" t="s">
        <v>413</v>
      </c>
      <c r="BB41" s="528" t="s">
        <v>412</v>
      </c>
      <c r="BC41" s="548">
        <v>1.0</v>
      </c>
      <c r="BD41" s="528" t="s">
        <v>413</v>
      </c>
      <c r="BE41" s="528" t="s">
        <v>412</v>
      </c>
      <c r="BF41" s="548">
        <v>1.0</v>
      </c>
      <c r="BG41" s="528" t="s">
        <v>413</v>
      </c>
      <c r="BH41" s="528" t="s">
        <v>412</v>
      </c>
      <c r="BI41" s="548">
        <v>1.0</v>
      </c>
      <c r="BJ41" s="528" t="s">
        <v>413</v>
      </c>
      <c r="BK41" s="528" t="s">
        <v>412</v>
      </c>
      <c r="BL41" s="548">
        <v>1.0</v>
      </c>
      <c r="BM41" s="528" t="s">
        <v>413</v>
      </c>
      <c r="BN41" s="528" t="s">
        <v>412</v>
      </c>
      <c r="BO41" s="548">
        <v>1.0</v>
      </c>
      <c r="BP41" s="528" t="s">
        <v>413</v>
      </c>
      <c r="BQ41" s="528" t="s">
        <v>412</v>
      </c>
      <c r="BR41" s="548">
        <v>1.0</v>
      </c>
      <c r="BS41" s="528" t="s">
        <v>413</v>
      </c>
      <c r="BT41" s="528" t="s">
        <v>412</v>
      </c>
      <c r="BU41" s="548">
        <v>1.0</v>
      </c>
      <c r="BV41" s="528" t="s">
        <v>413</v>
      </c>
      <c r="BW41" s="528" t="s">
        <v>412</v>
      </c>
      <c r="BX41" s="548">
        <v>1.0</v>
      </c>
      <c r="BY41" s="528" t="s">
        <v>413</v>
      </c>
      <c r="BZ41" s="528" t="s">
        <v>412</v>
      </c>
      <c r="CA41" s="548">
        <v>1.0</v>
      </c>
      <c r="CB41" s="528" t="s">
        <v>413</v>
      </c>
      <c r="CC41" s="528" t="s">
        <v>412</v>
      </c>
      <c r="CD41" s="548">
        <v>1.0</v>
      </c>
      <c r="CE41" s="528" t="s">
        <v>413</v>
      </c>
      <c r="CF41" s="528" t="s">
        <v>412</v>
      </c>
      <c r="CG41" s="548">
        <v>1.0</v>
      </c>
      <c r="CH41" s="528" t="s">
        <v>413</v>
      </c>
      <c r="CI41" s="528" t="s">
        <v>412</v>
      </c>
      <c r="CJ41" s="548">
        <v>1.0</v>
      </c>
      <c r="CK41" s="528" t="s">
        <v>413</v>
      </c>
      <c r="CL41" s="528" t="s">
        <v>412</v>
      </c>
      <c r="CM41" s="548">
        <v>1.0</v>
      </c>
      <c r="CN41" s="528" t="s">
        <v>413</v>
      </c>
      <c r="CO41" s="528" t="s">
        <v>412</v>
      </c>
      <c r="CP41" s="548">
        <v>1.0</v>
      </c>
      <c r="CQ41" s="528" t="s">
        <v>413</v>
      </c>
      <c r="CR41" s="528" t="s">
        <v>412</v>
      </c>
      <c r="CS41" s="548">
        <v>1.0</v>
      </c>
      <c r="CT41" s="528" t="s">
        <v>413</v>
      </c>
      <c r="CU41" s="528" t="s">
        <v>412</v>
      </c>
      <c r="CV41" s="548">
        <v>1.0</v>
      </c>
      <c r="CW41" s="528" t="s">
        <v>413</v>
      </c>
      <c r="CX41" s="528" t="s">
        <v>412</v>
      </c>
      <c r="CY41" s="548">
        <v>1.0</v>
      </c>
      <c r="CZ41" s="528" t="s">
        <v>413</v>
      </c>
      <c r="DA41" s="528" t="s">
        <v>412</v>
      </c>
      <c r="DB41" s="548">
        <v>1.0</v>
      </c>
    </row>
    <row r="42" ht="15.0" customHeight="1">
      <c r="A42" s="53">
        <v>28.0</v>
      </c>
      <c r="B42" s="100" t="s">
        <v>166</v>
      </c>
      <c r="C42" s="100" t="s">
        <v>167</v>
      </c>
      <c r="D42" s="101" t="str">
        <f t="shared" si="1"/>
        <v>SITE</v>
      </c>
      <c r="E42" s="101" t="s">
        <v>165</v>
      </c>
      <c r="F42" s="102">
        <v>1114.0</v>
      </c>
      <c r="G42" s="517" t="s">
        <v>165</v>
      </c>
      <c r="H42" s="517">
        <v>1114.0</v>
      </c>
      <c r="I42" s="858" t="str">
        <f>IFERROR(VLOOKUP(C:C,'R22 RELATÓRIO ACC'!B:F,5,FALSE),"NOT PUBLISHED")</f>
        <v>V11</v>
      </c>
      <c r="J42" s="858" t="str">
        <f>IFERROR(VLOOKUP(C:C,'R22 RELATÓRIO ACC'!B:P,15,FALSE),"NOT PUBLISHED")</f>
        <v>03/02/2026</v>
      </c>
      <c r="K42" s="821" t="str">
        <f>IFERROR(VLOOKUP(B:B,'RELATÓRIO ACC'!B:F,5,FALSE),"NOT PUBLISHED")</f>
        <v>V1</v>
      </c>
      <c r="L42" s="822" t="str">
        <f>IFERROR(VLOOKUP(B:B,'RELATÓRIO ACC'!B:P,15,FALSE),"NOT PUBLISHED")</f>
        <v>15/05/2026</v>
      </c>
      <c r="M42" s="821" t="s">
        <v>385</v>
      </c>
      <c r="N42" s="943" t="s">
        <v>500</v>
      </c>
      <c r="O42" s="538" t="s">
        <v>410</v>
      </c>
      <c r="P42" s="587"/>
      <c r="Q42" s="523" t="s">
        <v>379</v>
      </c>
      <c r="R42" s="558">
        <v>0.0</v>
      </c>
      <c r="S42" s="525" t="s">
        <v>379</v>
      </c>
      <c r="T42" s="523" t="s">
        <v>381</v>
      </c>
      <c r="U42" s="526" t="s">
        <v>421</v>
      </c>
      <c r="V42" s="546">
        <v>0.78</v>
      </c>
      <c r="W42" s="523" t="s">
        <v>383</v>
      </c>
      <c r="X42" s="526" t="s">
        <v>421</v>
      </c>
      <c r="Y42" s="523" t="s">
        <v>383</v>
      </c>
      <c r="Z42" s="523" t="s">
        <v>386</v>
      </c>
      <c r="AA42" s="526" t="s">
        <v>385</v>
      </c>
      <c r="AB42" s="546">
        <v>1.0</v>
      </c>
      <c r="AC42" s="523" t="s">
        <v>413</v>
      </c>
      <c r="AD42" s="526" t="s">
        <v>385</v>
      </c>
      <c r="AE42" s="546">
        <v>1.0</v>
      </c>
      <c r="AF42" s="523" t="s">
        <v>413</v>
      </c>
      <c r="AG42" s="526" t="s">
        <v>385</v>
      </c>
      <c r="AH42" s="546">
        <v>1.0</v>
      </c>
      <c r="AI42" s="523" t="s">
        <v>413</v>
      </c>
      <c r="AJ42" s="526" t="s">
        <v>385</v>
      </c>
      <c r="AK42" s="546">
        <v>1.0</v>
      </c>
      <c r="AL42" s="528" t="s">
        <v>413</v>
      </c>
      <c r="AM42" s="523" t="s">
        <v>385</v>
      </c>
      <c r="AN42" s="548">
        <v>1.0</v>
      </c>
      <c r="AO42" s="861" t="s">
        <v>413</v>
      </c>
      <c r="AP42" s="523" t="s">
        <v>385</v>
      </c>
      <c r="AQ42" s="548">
        <v>1.0</v>
      </c>
      <c r="AR42" s="861" t="s">
        <v>413</v>
      </c>
      <c r="AS42" s="523" t="s">
        <v>385</v>
      </c>
      <c r="AT42" s="548">
        <v>1.0</v>
      </c>
      <c r="AU42" s="861" t="s">
        <v>413</v>
      </c>
      <c r="AV42" s="523" t="s">
        <v>385</v>
      </c>
      <c r="AW42" s="548">
        <v>1.0</v>
      </c>
      <c r="AX42" s="861" t="s">
        <v>413</v>
      </c>
      <c r="AY42" s="523" t="s">
        <v>385</v>
      </c>
      <c r="AZ42" s="548">
        <v>1.0</v>
      </c>
      <c r="BA42" s="861" t="s">
        <v>383</v>
      </c>
      <c r="BB42" s="523" t="s">
        <v>385</v>
      </c>
      <c r="BC42" s="548">
        <v>1.0</v>
      </c>
      <c r="BD42" s="861" t="s">
        <v>413</v>
      </c>
      <c r="BE42" s="523" t="s">
        <v>385</v>
      </c>
      <c r="BF42" s="548">
        <v>1.0</v>
      </c>
      <c r="BG42" s="861" t="s">
        <v>413</v>
      </c>
      <c r="BH42" s="523" t="s">
        <v>385</v>
      </c>
      <c r="BI42" s="548">
        <v>1.0</v>
      </c>
      <c r="BJ42" s="861" t="s">
        <v>413</v>
      </c>
      <c r="BK42" s="523" t="s">
        <v>385</v>
      </c>
      <c r="BL42" s="548">
        <v>1.0</v>
      </c>
      <c r="BM42" s="861" t="s">
        <v>413</v>
      </c>
      <c r="BN42" s="523" t="s">
        <v>385</v>
      </c>
      <c r="BO42" s="548">
        <v>1.0</v>
      </c>
      <c r="BP42" s="861" t="s">
        <v>413</v>
      </c>
      <c r="BQ42" s="523" t="s">
        <v>385</v>
      </c>
      <c r="BR42" s="548">
        <v>1.0</v>
      </c>
      <c r="BS42" s="861" t="s">
        <v>413</v>
      </c>
      <c r="BT42" s="523" t="s">
        <v>385</v>
      </c>
      <c r="BU42" s="548">
        <v>1.0</v>
      </c>
      <c r="BV42" s="861" t="s">
        <v>413</v>
      </c>
      <c r="BW42" s="523" t="s">
        <v>385</v>
      </c>
      <c r="BX42" s="548">
        <v>1.0</v>
      </c>
      <c r="BY42" s="861" t="s">
        <v>413</v>
      </c>
      <c r="BZ42" s="523" t="s">
        <v>385</v>
      </c>
      <c r="CA42" s="548">
        <v>1.0</v>
      </c>
      <c r="CB42" s="861" t="s">
        <v>413</v>
      </c>
      <c r="CC42" s="523" t="s">
        <v>385</v>
      </c>
      <c r="CD42" s="548">
        <v>1.0</v>
      </c>
      <c r="CE42" s="861" t="s">
        <v>413</v>
      </c>
      <c r="CF42" s="523" t="s">
        <v>385</v>
      </c>
      <c r="CG42" s="548">
        <v>1.0</v>
      </c>
      <c r="CH42" s="861" t="s">
        <v>413</v>
      </c>
      <c r="CI42" s="523" t="s">
        <v>385</v>
      </c>
      <c r="CJ42" s="548">
        <v>1.0</v>
      </c>
      <c r="CK42" s="861" t="s">
        <v>413</v>
      </c>
      <c r="CL42" s="523" t="s">
        <v>385</v>
      </c>
      <c r="CM42" s="548">
        <v>1.0</v>
      </c>
      <c r="CN42" s="861" t="s">
        <v>413</v>
      </c>
      <c r="CO42" s="523" t="s">
        <v>385</v>
      </c>
      <c r="CP42" s="548">
        <v>1.0</v>
      </c>
      <c r="CQ42" s="861" t="s">
        <v>413</v>
      </c>
      <c r="CR42" s="523" t="s">
        <v>385</v>
      </c>
      <c r="CS42" s="548">
        <v>1.0</v>
      </c>
      <c r="CT42" s="861" t="s">
        <v>413</v>
      </c>
      <c r="CU42" s="523" t="s">
        <v>385</v>
      </c>
      <c r="CV42" s="548">
        <v>1.0</v>
      </c>
      <c r="CW42" s="861" t="s">
        <v>413</v>
      </c>
      <c r="CX42" s="523" t="s">
        <v>385</v>
      </c>
      <c r="CY42" s="548">
        <v>1.0</v>
      </c>
      <c r="CZ42" s="861" t="s">
        <v>413</v>
      </c>
      <c r="DA42" s="523" t="s">
        <v>385</v>
      </c>
      <c r="DB42" s="548">
        <v>1.0</v>
      </c>
    </row>
    <row r="43" ht="15.0" customHeight="1">
      <c r="A43" s="53">
        <v>29.0</v>
      </c>
      <c r="B43" s="100" t="s">
        <v>216</v>
      </c>
      <c r="C43" s="100" t="s">
        <v>217</v>
      </c>
      <c r="D43" s="101" t="str">
        <f t="shared" si="1"/>
        <v>SITE</v>
      </c>
      <c r="E43" s="101" t="s">
        <v>154</v>
      </c>
      <c r="F43" s="102">
        <v>1112.0</v>
      </c>
      <c r="G43" s="517" t="s">
        <v>154</v>
      </c>
      <c r="H43" s="517">
        <v>1112.0</v>
      </c>
      <c r="I43" s="858" t="str">
        <f>IFERROR(VLOOKUP(C:C,'R22 RELATÓRIO ACC'!B:F,5,FALSE),"NOT PUBLISHED")</f>
        <v>V11</v>
      </c>
      <c r="J43" s="858" t="str">
        <f>IFERROR(VLOOKUP(C:C,'R22 RELATÓRIO ACC'!B:P,15,FALSE),"NOT PUBLISHED")</f>
        <v>08/05/2026</v>
      </c>
      <c r="K43" s="821" t="str">
        <f>IFERROR(VLOOKUP(B:B,'RELATÓRIO ACC'!B:F,5,FALSE),"NOT PUBLISHED")</f>
        <v>V3</v>
      </c>
      <c r="L43" s="822" t="str">
        <f>IFERROR(VLOOKUP(B:B,'RELATÓRIO ACC'!B:P,15,FALSE),"NOT PUBLISHED")</f>
        <v>10/07/2026</v>
      </c>
      <c r="M43" s="821" t="s">
        <v>384</v>
      </c>
      <c r="N43" s="890">
        <v>46111.0</v>
      </c>
      <c r="O43" s="538" t="s">
        <v>410</v>
      </c>
      <c r="P43" s="587" t="s">
        <v>397</v>
      </c>
      <c r="Q43" s="523" t="s">
        <v>379</v>
      </c>
      <c r="R43" s="558">
        <v>0.0</v>
      </c>
      <c r="S43" s="525" t="s">
        <v>379</v>
      </c>
      <c r="T43" s="523" t="s">
        <v>379</v>
      </c>
      <c r="U43" s="558">
        <v>0.0</v>
      </c>
      <c r="V43" s="525" t="s">
        <v>379</v>
      </c>
      <c r="W43" s="523" t="s">
        <v>379</v>
      </c>
      <c r="X43" s="558">
        <v>0.0</v>
      </c>
      <c r="Y43" s="525" t="s">
        <v>379</v>
      </c>
      <c r="Z43" s="523" t="s">
        <v>379</v>
      </c>
      <c r="AA43" s="558">
        <v>0.0</v>
      </c>
      <c r="AB43" s="523" t="s">
        <v>379</v>
      </c>
      <c r="AC43" s="523" t="s">
        <v>383</v>
      </c>
      <c r="AD43" s="558">
        <v>0.0</v>
      </c>
      <c r="AE43" s="523" t="s">
        <v>383</v>
      </c>
      <c r="AF43" s="523" t="s">
        <v>398</v>
      </c>
      <c r="AG43" s="558">
        <v>0.0</v>
      </c>
      <c r="AH43" s="523" t="s">
        <v>398</v>
      </c>
      <c r="AI43" s="523" t="s">
        <v>379</v>
      </c>
      <c r="AJ43" s="558">
        <v>0.0</v>
      </c>
      <c r="AK43" s="523" t="s">
        <v>379</v>
      </c>
      <c r="AL43" s="523" t="s">
        <v>398</v>
      </c>
      <c r="AM43" s="669" t="s">
        <v>411</v>
      </c>
      <c r="AN43" s="523" t="s">
        <v>398</v>
      </c>
      <c r="AO43" s="523" t="s">
        <v>383</v>
      </c>
      <c r="AP43" s="669" t="s">
        <v>411</v>
      </c>
      <c r="AQ43" s="523" t="s">
        <v>383</v>
      </c>
      <c r="AR43" s="523" t="s">
        <v>381</v>
      </c>
      <c r="AS43" s="669" t="s">
        <v>428</v>
      </c>
      <c r="AT43" s="546">
        <v>0.08</v>
      </c>
      <c r="AU43" s="523" t="s">
        <v>379</v>
      </c>
      <c r="AV43" s="669" t="s">
        <v>428</v>
      </c>
      <c r="AW43" s="523" t="s">
        <v>379</v>
      </c>
      <c r="AX43" s="523" t="s">
        <v>383</v>
      </c>
      <c r="AY43" s="669" t="s">
        <v>428</v>
      </c>
      <c r="AZ43" s="523" t="s">
        <v>383</v>
      </c>
      <c r="BA43" s="1007"/>
      <c r="BB43" s="669" t="s">
        <v>428</v>
      </c>
      <c r="BC43" s="523" t="s">
        <v>383</v>
      </c>
      <c r="BD43" s="523" t="s">
        <v>381</v>
      </c>
      <c r="BE43" s="669" t="s">
        <v>382</v>
      </c>
      <c r="BF43" s="546">
        <v>0.39</v>
      </c>
      <c r="BG43" s="523" t="s">
        <v>490</v>
      </c>
      <c r="BH43" s="669" t="s">
        <v>382</v>
      </c>
      <c r="BI43" s="523" t="s">
        <v>490</v>
      </c>
      <c r="BJ43" s="523" t="s">
        <v>381</v>
      </c>
      <c r="BK43" s="669" t="s">
        <v>384</v>
      </c>
      <c r="BL43" s="546">
        <v>0.98</v>
      </c>
      <c r="BM43" s="523" t="s">
        <v>386</v>
      </c>
      <c r="BN43" s="669" t="s">
        <v>384</v>
      </c>
      <c r="BO43" s="546">
        <v>1.0</v>
      </c>
      <c r="BP43" s="523" t="s">
        <v>386</v>
      </c>
      <c r="BQ43" s="669" t="s">
        <v>384</v>
      </c>
      <c r="BR43" s="546">
        <v>1.0</v>
      </c>
      <c r="BS43" s="523" t="s">
        <v>413</v>
      </c>
      <c r="BT43" s="669" t="s">
        <v>384</v>
      </c>
      <c r="BU43" s="546">
        <v>1.0</v>
      </c>
      <c r="BV43" s="523" t="s">
        <v>413</v>
      </c>
      <c r="BW43" s="669" t="s">
        <v>384</v>
      </c>
      <c r="BX43" s="546">
        <v>1.0</v>
      </c>
      <c r="BY43" s="523" t="s">
        <v>413</v>
      </c>
      <c r="BZ43" s="669" t="s">
        <v>384</v>
      </c>
      <c r="CA43" s="546">
        <v>1.0</v>
      </c>
      <c r="CB43" s="523" t="s">
        <v>413</v>
      </c>
      <c r="CC43" s="669" t="s">
        <v>384</v>
      </c>
      <c r="CD43" s="546">
        <v>1.0</v>
      </c>
      <c r="CE43" s="523" t="s">
        <v>413</v>
      </c>
      <c r="CF43" s="669" t="s">
        <v>384</v>
      </c>
      <c r="CG43" s="546">
        <v>1.0</v>
      </c>
      <c r="CH43" s="523" t="s">
        <v>413</v>
      </c>
      <c r="CI43" s="669" t="s">
        <v>384</v>
      </c>
      <c r="CJ43" s="546">
        <v>1.0</v>
      </c>
      <c r="CK43" s="523" t="s">
        <v>413</v>
      </c>
      <c r="CL43" s="669" t="s">
        <v>384</v>
      </c>
      <c r="CM43" s="546">
        <v>1.0</v>
      </c>
      <c r="CN43" s="523" t="s">
        <v>413</v>
      </c>
      <c r="CO43" s="669" t="s">
        <v>384</v>
      </c>
      <c r="CP43" s="546">
        <v>1.0</v>
      </c>
      <c r="CQ43" s="523" t="s">
        <v>413</v>
      </c>
      <c r="CR43" s="669" t="s">
        <v>384</v>
      </c>
      <c r="CS43" s="546">
        <v>1.0</v>
      </c>
      <c r="CT43" s="523" t="s">
        <v>413</v>
      </c>
      <c r="CU43" s="669" t="s">
        <v>384</v>
      </c>
      <c r="CV43" s="546">
        <v>1.0</v>
      </c>
      <c r="CW43" s="523" t="s">
        <v>413</v>
      </c>
      <c r="CX43" s="669" t="s">
        <v>384</v>
      </c>
      <c r="CY43" s="546">
        <v>1.0</v>
      </c>
      <c r="CZ43" s="523" t="s">
        <v>413</v>
      </c>
      <c r="DA43" s="669" t="s">
        <v>384</v>
      </c>
      <c r="DB43" s="546">
        <v>1.0</v>
      </c>
    </row>
    <row r="44" ht="15.0" customHeight="1">
      <c r="A44" s="53">
        <v>30.0</v>
      </c>
      <c r="B44" s="122" t="s">
        <v>221</v>
      </c>
      <c r="C44" s="122" t="s">
        <v>222</v>
      </c>
      <c r="D44" s="104" t="str">
        <f t="shared" si="1"/>
        <v>SITE</v>
      </c>
      <c r="E44" s="104" t="s">
        <v>154</v>
      </c>
      <c r="F44" s="104">
        <v>1112.0</v>
      </c>
      <c r="G44" s="104" t="s">
        <v>154</v>
      </c>
      <c r="H44" s="517">
        <v>1112.0</v>
      </c>
      <c r="I44" s="858" t="str">
        <f>IFERROR(VLOOKUP(C:C,'R22 RELATÓRIO ACC'!B:F,5,FALSE),"NOT PUBLISHED")</f>
        <v>V16</v>
      </c>
      <c r="J44" s="858" t="str">
        <f>IFERROR(VLOOKUP(C:C,'R22 RELATÓRIO ACC'!B:P,15,FALSE),"NOT PUBLISHED")</f>
        <v>14/05/2026</v>
      </c>
      <c r="K44" s="899" t="str">
        <f>IFERROR(VLOOKUP(B:B,'RELATÓRIO ACC'!B:F,5,FALSE),"NOT PUBLISHED")</f>
        <v>V4</v>
      </c>
      <c r="L44" s="917" t="str">
        <f>IFERROR(VLOOKUP(B:B,'RELATÓRIO ACC'!B:P,15,FALSE),"NOT PUBLISHED")</f>
        <v>13/07/2026</v>
      </c>
      <c r="M44" s="858" t="s">
        <v>418</v>
      </c>
      <c r="N44" s="918">
        <v>42474.0</v>
      </c>
      <c r="O44" s="538" t="s">
        <v>410</v>
      </c>
      <c r="P44" s="522" t="s">
        <v>397</v>
      </c>
      <c r="Q44" s="901" t="s">
        <v>381</v>
      </c>
      <c r="R44" s="550" t="s">
        <v>428</v>
      </c>
      <c r="S44" s="551">
        <v>0.08</v>
      </c>
      <c r="T44" s="528" t="s">
        <v>398</v>
      </c>
      <c r="U44" s="528" t="s">
        <v>412</v>
      </c>
      <c r="V44" s="528" t="s">
        <v>398</v>
      </c>
      <c r="W44" s="528" t="s">
        <v>379</v>
      </c>
      <c r="X44" s="528" t="s">
        <v>412</v>
      </c>
      <c r="Y44" s="528" t="s">
        <v>379</v>
      </c>
      <c r="Z44" s="528" t="s">
        <v>379</v>
      </c>
      <c r="AA44" s="528" t="s">
        <v>412</v>
      </c>
      <c r="AB44" s="528" t="s">
        <v>379</v>
      </c>
      <c r="AC44" s="528" t="s">
        <v>383</v>
      </c>
      <c r="AD44" s="528" t="s">
        <v>412</v>
      </c>
      <c r="AE44" s="528" t="s">
        <v>383</v>
      </c>
      <c r="AF44" s="528" t="s">
        <v>398</v>
      </c>
      <c r="AG44" s="528" t="s">
        <v>384</v>
      </c>
      <c r="AH44" s="528" t="s">
        <v>398</v>
      </c>
      <c r="AI44" s="528" t="s">
        <v>379</v>
      </c>
      <c r="AJ44" s="528" t="s">
        <v>384</v>
      </c>
      <c r="AK44" s="528" t="s">
        <v>379</v>
      </c>
      <c r="AL44" s="528" t="s">
        <v>398</v>
      </c>
      <c r="AM44" s="545" t="s">
        <v>385</v>
      </c>
      <c r="AN44" s="528" t="s">
        <v>398</v>
      </c>
      <c r="AO44" s="528" t="s">
        <v>383</v>
      </c>
      <c r="AP44" s="545" t="s">
        <v>385</v>
      </c>
      <c r="AQ44" s="528" t="s">
        <v>383</v>
      </c>
      <c r="AR44" s="528" t="s">
        <v>381</v>
      </c>
      <c r="AS44" s="545" t="s">
        <v>417</v>
      </c>
      <c r="AT44" s="548">
        <v>0.08</v>
      </c>
      <c r="AU44" s="528" t="s">
        <v>379</v>
      </c>
      <c r="AV44" s="545" t="s">
        <v>417</v>
      </c>
      <c r="AW44" s="528" t="s">
        <v>379</v>
      </c>
      <c r="AX44" s="528" t="s">
        <v>383</v>
      </c>
      <c r="AY44" s="545" t="s">
        <v>417</v>
      </c>
      <c r="AZ44" s="528" t="s">
        <v>383</v>
      </c>
      <c r="BA44" s="528" t="s">
        <v>383</v>
      </c>
      <c r="BB44" s="545" t="s">
        <v>417</v>
      </c>
      <c r="BC44" s="528" t="s">
        <v>383</v>
      </c>
      <c r="BD44" s="528" t="s">
        <v>490</v>
      </c>
      <c r="BE44" s="545" t="s">
        <v>417</v>
      </c>
      <c r="BF44" s="528" t="s">
        <v>490</v>
      </c>
      <c r="BG44" s="528" t="s">
        <v>490</v>
      </c>
      <c r="BH44" s="545" t="s">
        <v>417</v>
      </c>
      <c r="BI44" s="528" t="s">
        <v>490</v>
      </c>
      <c r="BJ44" s="528" t="s">
        <v>383</v>
      </c>
      <c r="BK44" s="545" t="s">
        <v>417</v>
      </c>
      <c r="BL44" s="528" t="s">
        <v>383</v>
      </c>
      <c r="BM44" s="528" t="s">
        <v>383</v>
      </c>
      <c r="BN44" s="545" t="s">
        <v>417</v>
      </c>
      <c r="BO44" s="528" t="s">
        <v>383</v>
      </c>
      <c r="BP44" s="528" t="s">
        <v>386</v>
      </c>
      <c r="BQ44" s="545" t="s">
        <v>417</v>
      </c>
      <c r="BR44" s="548">
        <v>1.0</v>
      </c>
      <c r="BS44" s="528" t="s">
        <v>413</v>
      </c>
      <c r="BT44" s="545" t="s">
        <v>417</v>
      </c>
      <c r="BU44" s="548">
        <v>1.0</v>
      </c>
      <c r="BV44" s="528" t="s">
        <v>413</v>
      </c>
      <c r="BW44" s="545" t="s">
        <v>417</v>
      </c>
      <c r="BX44" s="548">
        <v>1.0</v>
      </c>
      <c r="BY44" s="528" t="s">
        <v>413</v>
      </c>
      <c r="BZ44" s="545" t="s">
        <v>417</v>
      </c>
      <c r="CA44" s="548">
        <v>1.0</v>
      </c>
      <c r="CB44" s="528" t="s">
        <v>413</v>
      </c>
      <c r="CC44" s="545" t="s">
        <v>417</v>
      </c>
      <c r="CD44" s="548">
        <v>1.0</v>
      </c>
      <c r="CE44" s="528" t="s">
        <v>413</v>
      </c>
      <c r="CF44" s="545" t="s">
        <v>417</v>
      </c>
      <c r="CG44" s="548">
        <v>1.0</v>
      </c>
      <c r="CH44" s="528" t="s">
        <v>413</v>
      </c>
      <c r="CI44" s="545" t="s">
        <v>417</v>
      </c>
      <c r="CJ44" s="548">
        <v>1.0</v>
      </c>
      <c r="CK44" s="528" t="s">
        <v>413</v>
      </c>
      <c r="CL44" s="545" t="s">
        <v>417</v>
      </c>
      <c r="CM44" s="548">
        <v>1.0</v>
      </c>
      <c r="CN44" s="528" t="s">
        <v>413</v>
      </c>
      <c r="CO44" s="545" t="s">
        <v>417</v>
      </c>
      <c r="CP44" s="548">
        <v>1.0</v>
      </c>
      <c r="CQ44" s="528" t="s">
        <v>413</v>
      </c>
      <c r="CR44" s="545" t="s">
        <v>417</v>
      </c>
      <c r="CS44" s="548">
        <v>1.0</v>
      </c>
      <c r="CT44" s="528" t="s">
        <v>413</v>
      </c>
      <c r="CU44" s="545" t="s">
        <v>417</v>
      </c>
      <c r="CV44" s="548">
        <v>1.0</v>
      </c>
      <c r="CW44" s="528" t="s">
        <v>413</v>
      </c>
      <c r="CX44" s="545" t="s">
        <v>417</v>
      </c>
      <c r="CY44" s="548">
        <v>1.0</v>
      </c>
      <c r="CZ44" s="528" t="s">
        <v>413</v>
      </c>
      <c r="DA44" s="545" t="s">
        <v>417</v>
      </c>
      <c r="DB44" s="548">
        <v>1.0</v>
      </c>
    </row>
    <row r="45" ht="15.0" customHeight="1">
      <c r="A45" s="53">
        <v>35.0</v>
      </c>
      <c r="B45" s="100" t="s">
        <v>240</v>
      </c>
      <c r="C45" s="100" t="s">
        <v>241</v>
      </c>
      <c r="D45" s="101" t="str">
        <f t="shared" si="1"/>
        <v>UTLS</v>
      </c>
      <c r="E45" s="101" t="s">
        <v>237</v>
      </c>
      <c r="F45" s="102">
        <v>1118.0</v>
      </c>
      <c r="G45" s="517" t="s">
        <v>237</v>
      </c>
      <c r="H45" s="517">
        <v>1118.0</v>
      </c>
      <c r="I45" s="858" t="str">
        <f>IFERROR(VLOOKUP(C:C,'R22 RELATÓRIO ACC'!B:F,5,FALSE),"NOT PUBLISHED")</f>
        <v>V28</v>
      </c>
      <c r="J45" s="858" t="str">
        <f>IFERROR(VLOOKUP(C:C,'R22 RELATÓRIO ACC'!B:P,15,FALSE),"NOT PUBLISHED")</f>
        <v>26/02/2026</v>
      </c>
      <c r="K45" s="821" t="str">
        <f>IFERROR(VLOOKUP(B:B,'RELATÓRIO ACC'!B:F,5,FALSE),"NOT PUBLISHED")</f>
        <v>V1</v>
      </c>
      <c r="L45" s="822" t="str">
        <f>IFERROR(VLOOKUP(B:B,'RELATÓRIO ACC'!B:P,15,FALSE),"NOT PUBLISHED")</f>
        <v>19/05/2026</v>
      </c>
      <c r="M45" s="552" t="s">
        <v>423</v>
      </c>
      <c r="N45" s="866">
        <v>45987.0</v>
      </c>
      <c r="O45" s="538" t="s">
        <v>410</v>
      </c>
      <c r="P45" s="587"/>
      <c r="Q45" s="523" t="s">
        <v>379</v>
      </c>
      <c r="R45" s="558">
        <v>0.0</v>
      </c>
      <c r="S45" s="525" t="s">
        <v>379</v>
      </c>
      <c r="T45" s="523" t="s">
        <v>379</v>
      </c>
      <c r="U45" s="558">
        <v>0.0</v>
      </c>
      <c r="V45" s="734" t="s">
        <v>379</v>
      </c>
      <c r="W45" s="523" t="s">
        <v>381</v>
      </c>
      <c r="X45" s="550" t="s">
        <v>404</v>
      </c>
      <c r="Y45" s="551">
        <v>0.94</v>
      </c>
      <c r="Z45" s="523" t="s">
        <v>386</v>
      </c>
      <c r="AA45" s="550" t="s">
        <v>423</v>
      </c>
      <c r="AB45" s="546">
        <v>1.0</v>
      </c>
      <c r="AC45" s="523" t="s">
        <v>413</v>
      </c>
      <c r="AD45" s="550" t="s">
        <v>423</v>
      </c>
      <c r="AE45" s="546">
        <v>1.0</v>
      </c>
      <c r="AF45" s="523" t="s">
        <v>413</v>
      </c>
      <c r="AG45" s="526" t="s">
        <v>423</v>
      </c>
      <c r="AH45" s="546">
        <v>1.0</v>
      </c>
      <c r="AI45" s="523" t="s">
        <v>413</v>
      </c>
      <c r="AJ45" s="526" t="s">
        <v>423</v>
      </c>
      <c r="AK45" s="546">
        <v>1.0</v>
      </c>
      <c r="AL45" s="523" t="s">
        <v>413</v>
      </c>
      <c r="AM45" s="526" t="s">
        <v>423</v>
      </c>
      <c r="AN45" s="546">
        <v>1.0</v>
      </c>
      <c r="AO45" s="523" t="s">
        <v>413</v>
      </c>
      <c r="AP45" s="526" t="s">
        <v>423</v>
      </c>
      <c r="AQ45" s="546">
        <v>1.0</v>
      </c>
      <c r="AR45" s="523" t="s">
        <v>413</v>
      </c>
      <c r="AS45" s="526" t="s">
        <v>423</v>
      </c>
      <c r="AT45" s="546">
        <v>1.0</v>
      </c>
      <c r="AU45" s="523" t="s">
        <v>413</v>
      </c>
      <c r="AV45" s="526" t="s">
        <v>423</v>
      </c>
      <c r="AW45" s="546">
        <v>1.0</v>
      </c>
      <c r="AX45" s="523" t="s">
        <v>413</v>
      </c>
      <c r="AY45" s="526" t="s">
        <v>423</v>
      </c>
      <c r="AZ45" s="546">
        <v>1.0</v>
      </c>
      <c r="BA45" s="523" t="s">
        <v>413</v>
      </c>
      <c r="BB45" s="526" t="s">
        <v>423</v>
      </c>
      <c r="BC45" s="546">
        <v>1.0</v>
      </c>
      <c r="BD45" s="523" t="s">
        <v>413</v>
      </c>
      <c r="BE45" s="526" t="s">
        <v>423</v>
      </c>
      <c r="BF45" s="546">
        <v>1.0</v>
      </c>
      <c r="BG45" s="523" t="s">
        <v>413</v>
      </c>
      <c r="BH45" s="526" t="s">
        <v>423</v>
      </c>
      <c r="BI45" s="546">
        <v>1.0</v>
      </c>
      <c r="BJ45" s="523" t="s">
        <v>413</v>
      </c>
      <c r="BK45" s="526" t="s">
        <v>423</v>
      </c>
      <c r="BL45" s="546">
        <v>1.0</v>
      </c>
      <c r="BM45" s="523" t="s">
        <v>413</v>
      </c>
      <c r="BN45" s="526" t="s">
        <v>423</v>
      </c>
      <c r="BO45" s="546">
        <v>1.0</v>
      </c>
      <c r="BP45" s="523" t="s">
        <v>413</v>
      </c>
      <c r="BQ45" s="526" t="s">
        <v>423</v>
      </c>
      <c r="BR45" s="546">
        <v>1.0</v>
      </c>
      <c r="BS45" s="523" t="s">
        <v>413</v>
      </c>
      <c r="BT45" s="526" t="s">
        <v>423</v>
      </c>
      <c r="BU45" s="546">
        <v>1.0</v>
      </c>
      <c r="BV45" s="523" t="s">
        <v>413</v>
      </c>
      <c r="BW45" s="526" t="s">
        <v>423</v>
      </c>
      <c r="BX45" s="546">
        <v>1.0</v>
      </c>
      <c r="BY45" s="523" t="s">
        <v>413</v>
      </c>
      <c r="BZ45" s="526" t="s">
        <v>423</v>
      </c>
      <c r="CA45" s="546">
        <v>1.0</v>
      </c>
      <c r="CB45" s="523" t="s">
        <v>413</v>
      </c>
      <c r="CC45" s="526" t="s">
        <v>423</v>
      </c>
      <c r="CD45" s="546">
        <v>1.0</v>
      </c>
      <c r="CE45" s="523" t="s">
        <v>413</v>
      </c>
      <c r="CF45" s="526" t="s">
        <v>423</v>
      </c>
      <c r="CG45" s="546">
        <v>1.0</v>
      </c>
      <c r="CH45" s="523" t="s">
        <v>413</v>
      </c>
      <c r="CI45" s="526" t="s">
        <v>423</v>
      </c>
      <c r="CJ45" s="546">
        <v>1.0</v>
      </c>
      <c r="CK45" s="523" t="s">
        <v>413</v>
      </c>
      <c r="CL45" s="526" t="s">
        <v>423</v>
      </c>
      <c r="CM45" s="546">
        <v>1.0</v>
      </c>
      <c r="CN45" s="523" t="s">
        <v>413</v>
      </c>
      <c r="CO45" s="526" t="s">
        <v>423</v>
      </c>
      <c r="CP45" s="546">
        <v>1.0</v>
      </c>
      <c r="CQ45" s="523" t="s">
        <v>413</v>
      </c>
      <c r="CR45" s="526" t="s">
        <v>423</v>
      </c>
      <c r="CS45" s="546">
        <v>1.0</v>
      </c>
      <c r="CT45" s="523" t="s">
        <v>413</v>
      </c>
      <c r="CU45" s="526" t="s">
        <v>423</v>
      </c>
      <c r="CV45" s="546">
        <v>1.0</v>
      </c>
      <c r="CW45" s="523" t="s">
        <v>413</v>
      </c>
      <c r="CX45" s="526" t="s">
        <v>423</v>
      </c>
      <c r="CY45" s="546">
        <v>1.0</v>
      </c>
      <c r="CZ45" s="523" t="s">
        <v>413</v>
      </c>
      <c r="DA45" s="526" t="s">
        <v>423</v>
      </c>
      <c r="DB45" s="546">
        <v>1.0</v>
      </c>
    </row>
    <row r="46" ht="15.0" customHeight="1">
      <c r="A46" s="53">
        <v>36.0</v>
      </c>
      <c r="B46" s="100" t="s">
        <v>235</v>
      </c>
      <c r="C46" s="100" t="s">
        <v>236</v>
      </c>
      <c r="D46" s="101" t="str">
        <f t="shared" si="1"/>
        <v>SITE</v>
      </c>
      <c r="E46" s="101" t="s">
        <v>237</v>
      </c>
      <c r="F46" s="102">
        <v>1118.0</v>
      </c>
      <c r="G46" s="517" t="s">
        <v>237</v>
      </c>
      <c r="H46" s="517">
        <v>1118.0</v>
      </c>
      <c r="I46" s="858" t="str">
        <f>IFERROR(VLOOKUP(C:C,'R22 RELATÓRIO ACC'!B:F,5,FALSE),"NOT PUBLISHED")</f>
        <v>V46</v>
      </c>
      <c r="J46" s="858" t="str">
        <f>IFERROR(VLOOKUP(C:C,'R22 RELATÓRIO ACC'!B:P,15,FALSE),"NOT PUBLISHED")</f>
        <v>24/04/2026</v>
      </c>
      <c r="K46" s="821" t="str">
        <f>IFERROR(VLOOKUP(B:B,'RELATÓRIO ACC'!B:F,5,FALSE),"NOT PUBLISHED")</f>
        <v>V2</v>
      </c>
      <c r="L46" s="822" t="str">
        <f>IFERROR(VLOOKUP(B:B,'RELATÓRIO ACC'!B:P,15,FALSE),"NOT PUBLISHED")</f>
        <v>15/06/2026</v>
      </c>
      <c r="M46" s="821" t="s">
        <v>468</v>
      </c>
      <c r="N46" s="943" t="s">
        <v>439</v>
      </c>
      <c r="O46" s="538" t="s">
        <v>410</v>
      </c>
      <c r="P46" s="587"/>
      <c r="Q46" s="523" t="s">
        <v>381</v>
      </c>
      <c r="R46" s="526" t="s">
        <v>438</v>
      </c>
      <c r="S46" s="546">
        <v>0.36</v>
      </c>
      <c r="T46" s="523" t="s">
        <v>381</v>
      </c>
      <c r="U46" s="526" t="s">
        <v>503</v>
      </c>
      <c r="V46" s="542">
        <v>0.73</v>
      </c>
      <c r="W46" s="523" t="s">
        <v>386</v>
      </c>
      <c r="X46" s="526" t="s">
        <v>468</v>
      </c>
      <c r="Y46" s="551">
        <v>1.0</v>
      </c>
      <c r="Z46" s="523" t="s">
        <v>413</v>
      </c>
      <c r="AA46" s="526" t="s">
        <v>468</v>
      </c>
      <c r="AB46" s="546">
        <v>1.0</v>
      </c>
      <c r="AC46" s="523" t="s">
        <v>413</v>
      </c>
      <c r="AD46" s="526" t="s">
        <v>468</v>
      </c>
      <c r="AE46" s="546">
        <v>1.0</v>
      </c>
      <c r="AF46" s="523" t="s">
        <v>413</v>
      </c>
      <c r="AG46" s="526" t="s">
        <v>468</v>
      </c>
      <c r="AH46" s="546">
        <v>1.0</v>
      </c>
      <c r="AI46" s="523" t="s">
        <v>413</v>
      </c>
      <c r="AJ46" s="526" t="s">
        <v>468</v>
      </c>
      <c r="AK46" s="546">
        <v>1.0</v>
      </c>
      <c r="AL46" s="523" t="s">
        <v>413</v>
      </c>
      <c r="AM46" s="526" t="s">
        <v>468</v>
      </c>
      <c r="AN46" s="546">
        <v>1.0</v>
      </c>
      <c r="AO46" s="523" t="s">
        <v>413</v>
      </c>
      <c r="AP46" s="526" t="s">
        <v>468</v>
      </c>
      <c r="AQ46" s="546">
        <v>1.0</v>
      </c>
      <c r="AR46" s="523" t="s">
        <v>413</v>
      </c>
      <c r="AS46" s="526" t="s">
        <v>468</v>
      </c>
      <c r="AT46" s="546">
        <v>1.0</v>
      </c>
      <c r="AU46" s="523" t="s">
        <v>413</v>
      </c>
      <c r="AV46" s="526" t="s">
        <v>468</v>
      </c>
      <c r="AW46" s="546">
        <v>1.0</v>
      </c>
      <c r="AX46" s="523" t="s">
        <v>413</v>
      </c>
      <c r="AY46" s="526" t="s">
        <v>468</v>
      </c>
      <c r="AZ46" s="546">
        <v>1.0</v>
      </c>
      <c r="BA46" s="523" t="s">
        <v>413</v>
      </c>
      <c r="BB46" s="526" t="s">
        <v>468</v>
      </c>
      <c r="BC46" s="546">
        <v>1.0</v>
      </c>
      <c r="BD46" s="523" t="s">
        <v>413</v>
      </c>
      <c r="BE46" s="526" t="s">
        <v>468</v>
      </c>
      <c r="BF46" s="546">
        <v>1.0</v>
      </c>
      <c r="BG46" s="523" t="s">
        <v>413</v>
      </c>
      <c r="BH46" s="526" t="s">
        <v>468</v>
      </c>
      <c r="BI46" s="546">
        <v>1.0</v>
      </c>
      <c r="BJ46" s="523" t="s">
        <v>413</v>
      </c>
      <c r="BK46" s="526" t="s">
        <v>468</v>
      </c>
      <c r="BL46" s="546">
        <v>1.0</v>
      </c>
      <c r="BM46" s="523" t="s">
        <v>413</v>
      </c>
      <c r="BN46" s="526" t="s">
        <v>468</v>
      </c>
      <c r="BO46" s="546">
        <v>1.0</v>
      </c>
      <c r="BP46" s="523" t="s">
        <v>413</v>
      </c>
      <c r="BQ46" s="526" t="s">
        <v>468</v>
      </c>
      <c r="BR46" s="546">
        <v>1.0</v>
      </c>
      <c r="BS46" s="523" t="s">
        <v>413</v>
      </c>
      <c r="BT46" s="526" t="s">
        <v>468</v>
      </c>
      <c r="BU46" s="546">
        <v>1.0</v>
      </c>
      <c r="BV46" s="523" t="s">
        <v>413</v>
      </c>
      <c r="BW46" s="526" t="s">
        <v>468</v>
      </c>
      <c r="BX46" s="546">
        <v>1.0</v>
      </c>
      <c r="BY46" s="523" t="s">
        <v>413</v>
      </c>
      <c r="BZ46" s="526" t="s">
        <v>468</v>
      </c>
      <c r="CA46" s="546">
        <v>1.0</v>
      </c>
      <c r="CB46" s="523" t="s">
        <v>413</v>
      </c>
      <c r="CC46" s="526" t="s">
        <v>468</v>
      </c>
      <c r="CD46" s="546">
        <v>1.0</v>
      </c>
      <c r="CE46" s="523" t="s">
        <v>413</v>
      </c>
      <c r="CF46" s="526" t="s">
        <v>468</v>
      </c>
      <c r="CG46" s="546">
        <v>1.0</v>
      </c>
      <c r="CH46" s="523" t="s">
        <v>413</v>
      </c>
      <c r="CI46" s="526" t="s">
        <v>468</v>
      </c>
      <c r="CJ46" s="546">
        <v>1.0</v>
      </c>
      <c r="CK46" s="523" t="s">
        <v>413</v>
      </c>
      <c r="CL46" s="526" t="s">
        <v>468</v>
      </c>
      <c r="CM46" s="546">
        <v>1.0</v>
      </c>
      <c r="CN46" s="523" t="s">
        <v>413</v>
      </c>
      <c r="CO46" s="526" t="s">
        <v>468</v>
      </c>
      <c r="CP46" s="546">
        <v>1.0</v>
      </c>
      <c r="CQ46" s="523" t="s">
        <v>413</v>
      </c>
      <c r="CR46" s="526" t="s">
        <v>468</v>
      </c>
      <c r="CS46" s="546">
        <v>1.0</v>
      </c>
      <c r="CT46" s="523" t="s">
        <v>413</v>
      </c>
      <c r="CU46" s="526" t="s">
        <v>468</v>
      </c>
      <c r="CV46" s="546">
        <v>1.0</v>
      </c>
      <c r="CW46" s="523" t="s">
        <v>413</v>
      </c>
      <c r="CX46" s="526" t="s">
        <v>468</v>
      </c>
      <c r="CY46" s="546">
        <v>1.0</v>
      </c>
      <c r="CZ46" s="523" t="s">
        <v>413</v>
      </c>
      <c r="DA46" s="526" t="s">
        <v>468</v>
      </c>
      <c r="DB46" s="546">
        <v>1.0</v>
      </c>
    </row>
    <row r="47" ht="15.0" customHeight="1">
      <c r="A47" s="53">
        <v>37.0</v>
      </c>
      <c r="B47" s="145" t="s">
        <v>229</v>
      </c>
      <c r="C47" s="145" t="s">
        <v>230</v>
      </c>
      <c r="D47" s="101" t="str">
        <f t="shared" si="1"/>
        <v>SITE</v>
      </c>
      <c r="E47" s="101" t="s">
        <v>154</v>
      </c>
      <c r="F47" s="102">
        <v>1112.0</v>
      </c>
      <c r="G47" s="517" t="s">
        <v>155</v>
      </c>
      <c r="H47" s="517">
        <v>1129.0</v>
      </c>
      <c r="I47" s="858" t="str">
        <f>IFERROR(VLOOKUP(C:C,'R22 RELATÓRIO ACC'!B:F,5,FALSE),"NOT PUBLISHED")</f>
        <v>V27</v>
      </c>
      <c r="J47" s="858" t="str">
        <f>IFERROR(VLOOKUP(C:C,'R22 RELATÓRIO ACC'!B:P,15,FALSE),"NOT PUBLISHED")</f>
        <v>08/04/2026</v>
      </c>
      <c r="K47" s="821" t="str">
        <f>IFERROR(VLOOKUP(B:B,'RELATÓRIO ACC'!B:F,5,FALSE),"NOT PUBLISHED")</f>
        <v>V2</v>
      </c>
      <c r="L47" s="822" t="str">
        <f>IFERROR(VLOOKUP(B:B,'RELATÓRIO ACC'!B:P,15,FALSE),"NOT PUBLISHED")</f>
        <v>23/06/2026</v>
      </c>
      <c r="M47" s="821" t="s">
        <v>422</v>
      </c>
      <c r="N47" s="943" t="s">
        <v>435</v>
      </c>
      <c r="O47" s="538" t="s">
        <v>410</v>
      </c>
      <c r="P47" s="587" t="s">
        <v>445</v>
      </c>
      <c r="Q47" s="523" t="s">
        <v>379</v>
      </c>
      <c r="R47" s="524">
        <v>0.0</v>
      </c>
      <c r="S47" s="523" t="s">
        <v>379</v>
      </c>
      <c r="T47" s="523" t="s">
        <v>381</v>
      </c>
      <c r="U47" s="526" t="s">
        <v>421</v>
      </c>
      <c r="V47" s="546">
        <v>0.23</v>
      </c>
      <c r="W47" s="523" t="s">
        <v>381</v>
      </c>
      <c r="X47" s="526" t="s">
        <v>427</v>
      </c>
      <c r="Y47" s="546">
        <v>0.46</v>
      </c>
      <c r="Z47" s="523" t="s">
        <v>383</v>
      </c>
      <c r="AA47" s="526" t="s">
        <v>431</v>
      </c>
      <c r="AB47" s="523" t="s">
        <v>383</v>
      </c>
      <c r="AC47" s="523" t="s">
        <v>381</v>
      </c>
      <c r="AD47" s="526" t="s">
        <v>401</v>
      </c>
      <c r="AE47" s="546">
        <v>0.54</v>
      </c>
      <c r="AF47" s="523" t="s">
        <v>386</v>
      </c>
      <c r="AG47" s="526" t="s">
        <v>422</v>
      </c>
      <c r="AH47" s="546">
        <v>1.0</v>
      </c>
      <c r="AI47" s="523" t="s">
        <v>413</v>
      </c>
      <c r="AJ47" s="526" t="s">
        <v>422</v>
      </c>
      <c r="AK47" s="546">
        <v>1.0</v>
      </c>
      <c r="AL47" s="523" t="s">
        <v>413</v>
      </c>
      <c r="AM47" s="526" t="s">
        <v>422</v>
      </c>
      <c r="AN47" s="546">
        <v>1.0</v>
      </c>
      <c r="AO47" s="523" t="s">
        <v>413</v>
      </c>
      <c r="AP47" s="526" t="s">
        <v>422</v>
      </c>
      <c r="AQ47" s="546">
        <v>1.0</v>
      </c>
      <c r="AR47" s="523" t="s">
        <v>413</v>
      </c>
      <c r="AS47" s="526" t="s">
        <v>422</v>
      </c>
      <c r="AT47" s="546">
        <v>1.0</v>
      </c>
      <c r="AU47" s="523" t="s">
        <v>413</v>
      </c>
      <c r="AV47" s="526" t="s">
        <v>422</v>
      </c>
      <c r="AW47" s="546">
        <v>1.0</v>
      </c>
      <c r="AX47" s="523" t="s">
        <v>413</v>
      </c>
      <c r="AY47" s="526" t="s">
        <v>422</v>
      </c>
      <c r="AZ47" s="546">
        <v>1.0</v>
      </c>
      <c r="BA47" s="523" t="s">
        <v>413</v>
      </c>
      <c r="BB47" s="526" t="s">
        <v>422</v>
      </c>
      <c r="BC47" s="546">
        <v>1.0</v>
      </c>
      <c r="BD47" s="523" t="s">
        <v>413</v>
      </c>
      <c r="BE47" s="526" t="s">
        <v>422</v>
      </c>
      <c r="BF47" s="546">
        <v>1.0</v>
      </c>
      <c r="BG47" s="523" t="s">
        <v>413</v>
      </c>
      <c r="BH47" s="526" t="s">
        <v>422</v>
      </c>
      <c r="BI47" s="546">
        <v>1.0</v>
      </c>
      <c r="BJ47" s="523" t="s">
        <v>413</v>
      </c>
      <c r="BK47" s="526" t="s">
        <v>422</v>
      </c>
      <c r="BL47" s="546">
        <v>1.0</v>
      </c>
      <c r="BM47" s="523" t="s">
        <v>413</v>
      </c>
      <c r="BN47" s="526" t="s">
        <v>422</v>
      </c>
      <c r="BO47" s="546">
        <v>1.0</v>
      </c>
      <c r="BP47" s="523" t="s">
        <v>413</v>
      </c>
      <c r="BQ47" s="526" t="s">
        <v>422</v>
      </c>
      <c r="BR47" s="546">
        <v>1.0</v>
      </c>
      <c r="BS47" s="523" t="s">
        <v>413</v>
      </c>
      <c r="BT47" s="526" t="s">
        <v>422</v>
      </c>
      <c r="BU47" s="546">
        <v>1.0</v>
      </c>
      <c r="BV47" s="523" t="s">
        <v>413</v>
      </c>
      <c r="BW47" s="526" t="s">
        <v>422</v>
      </c>
      <c r="BX47" s="546">
        <v>1.0</v>
      </c>
      <c r="BY47" s="523" t="s">
        <v>413</v>
      </c>
      <c r="BZ47" s="526" t="s">
        <v>422</v>
      </c>
      <c r="CA47" s="546">
        <v>1.0</v>
      </c>
      <c r="CB47" s="523" t="s">
        <v>413</v>
      </c>
      <c r="CC47" s="526" t="s">
        <v>422</v>
      </c>
      <c r="CD47" s="546">
        <v>1.0</v>
      </c>
      <c r="CE47" s="523" t="s">
        <v>413</v>
      </c>
      <c r="CF47" s="526" t="s">
        <v>422</v>
      </c>
      <c r="CG47" s="546">
        <v>1.0</v>
      </c>
      <c r="CH47" s="523" t="s">
        <v>413</v>
      </c>
      <c r="CI47" s="526" t="s">
        <v>422</v>
      </c>
      <c r="CJ47" s="546">
        <v>1.0</v>
      </c>
      <c r="CK47" s="523" t="s">
        <v>413</v>
      </c>
      <c r="CL47" s="526" t="s">
        <v>422</v>
      </c>
      <c r="CM47" s="546">
        <v>1.0</v>
      </c>
      <c r="CN47" s="523" t="s">
        <v>413</v>
      </c>
      <c r="CO47" s="526" t="s">
        <v>422</v>
      </c>
      <c r="CP47" s="546">
        <v>1.0</v>
      </c>
      <c r="CQ47" s="523" t="s">
        <v>413</v>
      </c>
      <c r="CR47" s="526" t="s">
        <v>422</v>
      </c>
      <c r="CS47" s="546">
        <v>1.0</v>
      </c>
      <c r="CT47" s="523" t="s">
        <v>413</v>
      </c>
      <c r="CU47" s="526" t="s">
        <v>422</v>
      </c>
      <c r="CV47" s="546">
        <v>1.0</v>
      </c>
      <c r="CW47" s="523" t="s">
        <v>413</v>
      </c>
      <c r="CX47" s="526" t="s">
        <v>422</v>
      </c>
      <c r="CY47" s="546">
        <v>1.0</v>
      </c>
      <c r="CZ47" s="523" t="s">
        <v>413</v>
      </c>
      <c r="DA47" s="526" t="s">
        <v>422</v>
      </c>
      <c r="DB47" s="546">
        <v>1.0</v>
      </c>
    </row>
    <row r="48" ht="15.0" customHeight="1">
      <c r="A48" s="53">
        <v>39.0</v>
      </c>
      <c r="B48" s="100" t="s">
        <v>194</v>
      </c>
      <c r="C48" s="100" t="s">
        <v>195</v>
      </c>
      <c r="D48" s="101" t="str">
        <f t="shared" si="1"/>
        <v>SITE</v>
      </c>
      <c r="E48" s="101" t="s">
        <v>196</v>
      </c>
      <c r="F48" s="102">
        <v>1115.0</v>
      </c>
      <c r="G48" s="517" t="s">
        <v>196</v>
      </c>
      <c r="H48" s="517">
        <v>1115.0</v>
      </c>
      <c r="I48" s="858" t="str">
        <f>IFERROR(VLOOKUP(C:C,'R22 RELATÓRIO ACC'!B:F,5,FALSE),"NOT PUBLISHED")</f>
        <v>V37</v>
      </c>
      <c r="J48" s="858" t="str">
        <f>IFERROR(VLOOKUP(C:C,'R22 RELATÓRIO ACC'!B:P,15,FALSE),"NOT PUBLISHED")</f>
        <v>10/04/2026</v>
      </c>
      <c r="K48" s="821" t="str">
        <f>IFERROR(VLOOKUP(B:B,'RELATÓRIO ACC'!B:F,5,FALSE),"NOT PUBLISHED")</f>
        <v>V1</v>
      </c>
      <c r="L48" s="822" t="str">
        <f>IFERROR(VLOOKUP(B:B,'RELATÓRIO ACC'!B:P,15,FALSE),"NOT PUBLISHED")</f>
        <v>20/05/2026</v>
      </c>
      <c r="M48" s="821" t="s">
        <v>407</v>
      </c>
      <c r="N48" s="846">
        <v>45943.0</v>
      </c>
      <c r="O48" s="538" t="s">
        <v>410</v>
      </c>
      <c r="P48" s="587"/>
      <c r="Q48" s="523" t="s">
        <v>381</v>
      </c>
      <c r="R48" s="550" t="s">
        <v>406</v>
      </c>
      <c r="S48" s="546">
        <v>0.87</v>
      </c>
      <c r="T48" s="523" t="s">
        <v>386</v>
      </c>
      <c r="U48" s="526">
        <v>0.0</v>
      </c>
      <c r="V48" s="542">
        <v>1.0</v>
      </c>
      <c r="W48" s="523" t="s">
        <v>413</v>
      </c>
      <c r="X48" s="526">
        <v>0.0</v>
      </c>
      <c r="Y48" s="542">
        <v>1.0</v>
      </c>
      <c r="Z48" s="523" t="s">
        <v>413</v>
      </c>
      <c r="AA48" s="526">
        <v>0.0</v>
      </c>
      <c r="AB48" s="546">
        <v>1.0</v>
      </c>
      <c r="AC48" s="523" t="s">
        <v>413</v>
      </c>
      <c r="AD48" s="526">
        <v>0.0</v>
      </c>
      <c r="AE48" s="546">
        <v>1.0</v>
      </c>
      <c r="AF48" s="523" t="s">
        <v>413</v>
      </c>
      <c r="AG48" s="526">
        <v>0.0</v>
      </c>
      <c r="AH48" s="546">
        <v>1.0</v>
      </c>
      <c r="AI48" s="523" t="s">
        <v>413</v>
      </c>
      <c r="AJ48" s="526">
        <v>0.0</v>
      </c>
      <c r="AK48" s="546">
        <v>1.0</v>
      </c>
      <c r="AL48" s="523" t="s">
        <v>413</v>
      </c>
      <c r="AM48" s="526">
        <v>0.0</v>
      </c>
      <c r="AN48" s="546">
        <v>1.0</v>
      </c>
      <c r="AO48" s="523" t="s">
        <v>413</v>
      </c>
      <c r="AP48" s="526">
        <v>0.0</v>
      </c>
      <c r="AQ48" s="546">
        <v>1.0</v>
      </c>
      <c r="AR48" s="523" t="s">
        <v>413</v>
      </c>
      <c r="AS48" s="526">
        <v>0.0</v>
      </c>
      <c r="AT48" s="546">
        <v>1.0</v>
      </c>
      <c r="AU48" s="523" t="s">
        <v>413</v>
      </c>
      <c r="AV48" s="526">
        <v>0.0</v>
      </c>
      <c r="AW48" s="546">
        <v>1.0</v>
      </c>
      <c r="AX48" s="523" t="s">
        <v>413</v>
      </c>
      <c r="AY48" s="526">
        <v>0.0</v>
      </c>
      <c r="AZ48" s="546">
        <v>1.0</v>
      </c>
      <c r="BA48" s="523" t="s">
        <v>413</v>
      </c>
      <c r="BB48" s="526">
        <v>0.0</v>
      </c>
      <c r="BC48" s="546">
        <v>1.0</v>
      </c>
      <c r="BD48" s="523" t="s">
        <v>413</v>
      </c>
      <c r="BE48" s="526">
        <v>0.0</v>
      </c>
      <c r="BF48" s="546">
        <v>1.0</v>
      </c>
      <c r="BG48" s="523" t="s">
        <v>413</v>
      </c>
      <c r="BH48" s="526">
        <v>0.0</v>
      </c>
      <c r="BI48" s="546">
        <v>1.0</v>
      </c>
      <c r="BJ48" s="523" t="s">
        <v>413</v>
      </c>
      <c r="BK48" s="526">
        <v>0.0</v>
      </c>
      <c r="BL48" s="546">
        <v>1.0</v>
      </c>
      <c r="BM48" s="523" t="s">
        <v>413</v>
      </c>
      <c r="BN48" s="526">
        <v>0.0</v>
      </c>
      <c r="BO48" s="546">
        <v>1.0</v>
      </c>
      <c r="BP48" s="523" t="s">
        <v>413</v>
      </c>
      <c r="BQ48" s="526">
        <v>0.0</v>
      </c>
      <c r="BR48" s="546">
        <v>1.0</v>
      </c>
      <c r="BS48" s="523" t="s">
        <v>413</v>
      </c>
      <c r="BT48" s="526">
        <v>0.0</v>
      </c>
      <c r="BU48" s="546">
        <v>1.0</v>
      </c>
      <c r="BV48" s="523" t="s">
        <v>413</v>
      </c>
      <c r="BW48" s="526">
        <v>0.0</v>
      </c>
      <c r="BX48" s="546">
        <v>1.0</v>
      </c>
      <c r="BY48" s="523" t="s">
        <v>413</v>
      </c>
      <c r="BZ48" s="526">
        <v>0.0</v>
      </c>
      <c r="CA48" s="546">
        <v>1.0</v>
      </c>
      <c r="CB48" s="523" t="s">
        <v>413</v>
      </c>
      <c r="CC48" s="526">
        <v>0.0</v>
      </c>
      <c r="CD48" s="546">
        <v>1.0</v>
      </c>
      <c r="CE48" s="523" t="s">
        <v>413</v>
      </c>
      <c r="CF48" s="526">
        <v>0.0</v>
      </c>
      <c r="CG48" s="546">
        <v>1.0</v>
      </c>
      <c r="CH48" s="523" t="s">
        <v>413</v>
      </c>
      <c r="CI48" s="526">
        <v>0.0</v>
      </c>
      <c r="CJ48" s="546">
        <v>1.0</v>
      </c>
      <c r="CK48" s="523" t="s">
        <v>413</v>
      </c>
      <c r="CL48" s="526">
        <v>0.0</v>
      </c>
      <c r="CM48" s="546">
        <v>1.0</v>
      </c>
      <c r="CN48" s="523" t="s">
        <v>413</v>
      </c>
      <c r="CO48" s="526">
        <v>0.0</v>
      </c>
      <c r="CP48" s="546">
        <v>1.0</v>
      </c>
      <c r="CQ48" s="523" t="s">
        <v>413</v>
      </c>
      <c r="CR48" s="526">
        <v>0.0</v>
      </c>
      <c r="CS48" s="546">
        <v>1.0</v>
      </c>
      <c r="CT48" s="523" t="s">
        <v>413</v>
      </c>
      <c r="CU48" s="526">
        <v>0.0</v>
      </c>
      <c r="CV48" s="546">
        <v>1.0</v>
      </c>
      <c r="CW48" s="523" t="s">
        <v>413</v>
      </c>
      <c r="CX48" s="526">
        <v>0.0</v>
      </c>
      <c r="CY48" s="546">
        <v>1.0</v>
      </c>
      <c r="CZ48" s="523" t="s">
        <v>413</v>
      </c>
      <c r="DA48" s="526">
        <v>0.0</v>
      </c>
      <c r="DB48" s="546">
        <v>1.0</v>
      </c>
    </row>
    <row r="49" ht="15.0" customHeight="1">
      <c r="A49" s="53">
        <v>40.0</v>
      </c>
      <c r="B49" s="1004" t="s">
        <v>191</v>
      </c>
      <c r="C49" s="1004" t="s">
        <v>192</v>
      </c>
      <c r="D49" s="104" t="str">
        <f t="shared" si="1"/>
        <v>SITE</v>
      </c>
      <c r="E49" s="104" t="s">
        <v>154</v>
      </c>
      <c r="F49" s="104">
        <v>1112.0</v>
      </c>
      <c r="G49" s="104" t="s">
        <v>155</v>
      </c>
      <c r="H49" s="517">
        <v>1129.0</v>
      </c>
      <c r="I49" s="858" t="str">
        <f>IFERROR(VLOOKUP(C:C,'R22 RELATÓRIO ACC'!B:F,5,FALSE),"NOT PUBLISHED")</f>
        <v>V34</v>
      </c>
      <c r="J49" s="858" t="str">
        <f>IFERROR(VLOOKUP(C:C,'R22 RELATÓRIO ACC'!B:P,15,FALSE),"NOT PUBLISHED")</f>
        <v>05/05/2026</v>
      </c>
      <c r="K49" s="899" t="str">
        <f>IFERROR(VLOOKUP(B:B,'RELATÓRIO ACC'!B:F,5,FALSE),"NOT PUBLISHED")</f>
        <v>V3</v>
      </c>
      <c r="L49" s="822" t="str">
        <f>IFERROR(VLOOKUP(B:B,'RELATÓRIO ACC'!B:P,15,FALSE),"NOT PUBLISHED")</f>
        <v>03/07/2026</v>
      </c>
      <c r="M49" s="545" t="s">
        <v>420</v>
      </c>
      <c r="N49" s="963" t="s">
        <v>435</v>
      </c>
      <c r="O49" s="538" t="s">
        <v>410</v>
      </c>
      <c r="P49" s="522" t="s">
        <v>445</v>
      </c>
      <c r="Q49" s="901" t="s">
        <v>381</v>
      </c>
      <c r="R49" s="550" t="s">
        <v>422</v>
      </c>
      <c r="S49" s="551">
        <v>0.11</v>
      </c>
      <c r="T49" s="528" t="s">
        <v>381</v>
      </c>
      <c r="U49" s="528" t="s">
        <v>421</v>
      </c>
      <c r="V49" s="548">
        <v>0.45</v>
      </c>
      <c r="W49" s="528" t="s">
        <v>381</v>
      </c>
      <c r="X49" s="528" t="s">
        <v>423</v>
      </c>
      <c r="Y49" s="548">
        <v>0.58</v>
      </c>
      <c r="Z49" s="528" t="s">
        <v>383</v>
      </c>
      <c r="AA49" s="528" t="s">
        <v>431</v>
      </c>
      <c r="AB49" s="528" t="s">
        <v>383</v>
      </c>
      <c r="AC49" s="528" t="s">
        <v>381</v>
      </c>
      <c r="AD49" s="528" t="s">
        <v>406</v>
      </c>
      <c r="AE49" s="548">
        <v>0.73</v>
      </c>
      <c r="AF49" s="528" t="s">
        <v>386</v>
      </c>
      <c r="AG49" s="528" t="s">
        <v>420</v>
      </c>
      <c r="AH49" s="548">
        <v>1.0</v>
      </c>
      <c r="AI49" s="528" t="s">
        <v>413</v>
      </c>
      <c r="AJ49" s="528" t="s">
        <v>420</v>
      </c>
      <c r="AK49" s="548">
        <v>1.0</v>
      </c>
      <c r="AL49" s="528" t="s">
        <v>413</v>
      </c>
      <c r="AM49" s="528" t="s">
        <v>420</v>
      </c>
      <c r="AN49" s="548">
        <v>1.0</v>
      </c>
      <c r="AO49" s="528" t="s">
        <v>413</v>
      </c>
      <c r="AP49" s="528" t="s">
        <v>420</v>
      </c>
      <c r="AQ49" s="548">
        <v>1.0</v>
      </c>
      <c r="AR49" s="528" t="s">
        <v>413</v>
      </c>
      <c r="AS49" s="528" t="s">
        <v>420</v>
      </c>
      <c r="AT49" s="548">
        <v>1.0</v>
      </c>
      <c r="AU49" s="528" t="s">
        <v>413</v>
      </c>
      <c r="AV49" s="528" t="s">
        <v>420</v>
      </c>
      <c r="AW49" s="548">
        <v>1.0</v>
      </c>
      <c r="AX49" s="528" t="s">
        <v>413</v>
      </c>
      <c r="AY49" s="528" t="s">
        <v>420</v>
      </c>
      <c r="AZ49" s="548">
        <v>1.0</v>
      </c>
      <c r="BA49" s="528" t="s">
        <v>413</v>
      </c>
      <c r="BB49" s="528" t="s">
        <v>420</v>
      </c>
      <c r="BC49" s="548">
        <v>1.0</v>
      </c>
      <c r="BD49" s="528" t="s">
        <v>413</v>
      </c>
      <c r="BE49" s="528" t="s">
        <v>420</v>
      </c>
      <c r="BF49" s="548">
        <v>1.0</v>
      </c>
      <c r="BG49" s="528" t="s">
        <v>413</v>
      </c>
      <c r="BH49" s="528" t="s">
        <v>420</v>
      </c>
      <c r="BI49" s="548">
        <v>1.0</v>
      </c>
      <c r="BJ49" s="528" t="s">
        <v>413</v>
      </c>
      <c r="BK49" s="528" t="s">
        <v>420</v>
      </c>
      <c r="BL49" s="546">
        <v>1.0</v>
      </c>
      <c r="BM49" s="528" t="s">
        <v>413</v>
      </c>
      <c r="BN49" s="528" t="s">
        <v>420</v>
      </c>
      <c r="BO49" s="546">
        <v>1.0</v>
      </c>
      <c r="BP49" s="528" t="s">
        <v>413</v>
      </c>
      <c r="BQ49" s="528" t="s">
        <v>420</v>
      </c>
      <c r="BR49" s="546">
        <v>1.0</v>
      </c>
      <c r="BS49" s="528" t="s">
        <v>413</v>
      </c>
      <c r="BT49" s="528" t="s">
        <v>420</v>
      </c>
      <c r="BU49" s="546">
        <v>1.0</v>
      </c>
      <c r="BV49" s="528" t="s">
        <v>413</v>
      </c>
      <c r="BW49" s="528" t="s">
        <v>420</v>
      </c>
      <c r="BX49" s="546">
        <v>1.0</v>
      </c>
      <c r="BY49" s="528" t="s">
        <v>413</v>
      </c>
      <c r="BZ49" s="528" t="s">
        <v>420</v>
      </c>
      <c r="CA49" s="548">
        <v>1.0</v>
      </c>
      <c r="CB49" s="528" t="s">
        <v>413</v>
      </c>
      <c r="CC49" s="528" t="s">
        <v>420</v>
      </c>
      <c r="CD49" s="548">
        <v>1.0</v>
      </c>
      <c r="CE49" s="528" t="s">
        <v>413</v>
      </c>
      <c r="CF49" s="528" t="s">
        <v>420</v>
      </c>
      <c r="CG49" s="548">
        <v>1.0</v>
      </c>
      <c r="CH49" s="523" t="s">
        <v>413</v>
      </c>
      <c r="CI49" s="526" t="s">
        <v>420</v>
      </c>
      <c r="CJ49" s="542">
        <v>1.0</v>
      </c>
      <c r="CK49" s="523" t="s">
        <v>413</v>
      </c>
      <c r="CL49" s="526" t="s">
        <v>420</v>
      </c>
      <c r="CM49" s="542">
        <v>1.0</v>
      </c>
      <c r="CN49" s="523" t="s">
        <v>413</v>
      </c>
      <c r="CO49" s="526" t="s">
        <v>420</v>
      </c>
      <c r="CP49" s="542">
        <v>1.0</v>
      </c>
      <c r="CQ49" s="523" t="s">
        <v>413</v>
      </c>
      <c r="CR49" s="526" t="s">
        <v>420</v>
      </c>
      <c r="CS49" s="542">
        <v>1.0</v>
      </c>
      <c r="CT49" s="523" t="s">
        <v>413</v>
      </c>
      <c r="CU49" s="526" t="s">
        <v>420</v>
      </c>
      <c r="CV49" s="542">
        <v>1.0</v>
      </c>
      <c r="CW49" s="523" t="s">
        <v>413</v>
      </c>
      <c r="CX49" s="526" t="s">
        <v>420</v>
      </c>
      <c r="CY49" s="542">
        <v>1.0</v>
      </c>
      <c r="CZ49" s="523" t="s">
        <v>413</v>
      </c>
      <c r="DA49" s="526" t="s">
        <v>420</v>
      </c>
      <c r="DB49" s="542">
        <v>1.0</v>
      </c>
    </row>
    <row r="50" ht="15.0" customHeight="1">
      <c r="A50" s="53">
        <v>42.0</v>
      </c>
      <c r="B50" s="100" t="s">
        <v>271</v>
      </c>
      <c r="C50" s="100" t="s">
        <v>272</v>
      </c>
      <c r="D50" s="101" t="str">
        <f t="shared" si="1"/>
        <v>SITE</v>
      </c>
      <c r="E50" s="101" t="s">
        <v>269</v>
      </c>
      <c r="F50" s="102">
        <v>1120.0</v>
      </c>
      <c r="G50" s="534" t="s">
        <v>270</v>
      </c>
      <c r="H50" s="535">
        <v>0.0</v>
      </c>
      <c r="I50" s="858" t="str">
        <f>IFERROR(VLOOKUP(C:C,'R22 RELATÓRIO ACC'!B:F,5,FALSE),"NOT PUBLISHED")</f>
        <v>V17</v>
      </c>
      <c r="J50" s="858" t="str">
        <f>IFERROR(VLOOKUP(C:C,'R22 RELATÓRIO ACC'!B:P,15,FALSE),"NOT PUBLISHED")</f>
        <v>12/05/2026</v>
      </c>
      <c r="K50" s="821" t="str">
        <f>IFERROR(VLOOKUP(B:B,'RELATÓRIO ACC'!B:F,5,FALSE),"NOT PUBLISHED")</f>
        <v>V1</v>
      </c>
      <c r="L50" s="822" t="str">
        <f>IFERROR(VLOOKUP(B:B,'RELATÓRIO ACC'!B:P,15,FALSE),"NOT PUBLISHED")</f>
        <v>15/05/2026</v>
      </c>
      <c r="M50" s="821" t="s">
        <v>385</v>
      </c>
      <c r="N50" s="846">
        <v>46045.0</v>
      </c>
      <c r="O50" s="538" t="s">
        <v>410</v>
      </c>
      <c r="P50" s="587" t="s">
        <v>504</v>
      </c>
      <c r="Q50" s="523" t="s">
        <v>381</v>
      </c>
      <c r="R50" s="550" t="s">
        <v>421</v>
      </c>
      <c r="S50" s="551">
        <v>0.03</v>
      </c>
      <c r="T50" s="523" t="s">
        <v>383</v>
      </c>
      <c r="U50" s="526">
        <v>0.0</v>
      </c>
      <c r="V50" s="523" t="s">
        <v>383</v>
      </c>
      <c r="W50" s="523" t="s">
        <v>381</v>
      </c>
      <c r="X50" s="526" t="s">
        <v>382</v>
      </c>
      <c r="Y50" s="551">
        <v>0.66</v>
      </c>
      <c r="Z50" s="523" t="s">
        <v>381</v>
      </c>
      <c r="AA50" s="526" t="s">
        <v>382</v>
      </c>
      <c r="AB50" s="551">
        <v>0.69</v>
      </c>
      <c r="AC50" s="523" t="s">
        <v>383</v>
      </c>
      <c r="AD50" s="526" t="s">
        <v>382</v>
      </c>
      <c r="AE50" s="525" t="s">
        <v>383</v>
      </c>
      <c r="AF50" s="523" t="s">
        <v>381</v>
      </c>
      <c r="AG50" s="526" t="s">
        <v>384</v>
      </c>
      <c r="AH50" s="551">
        <v>0.93</v>
      </c>
      <c r="AI50" s="523" t="s">
        <v>386</v>
      </c>
      <c r="AJ50" s="526" t="s">
        <v>385</v>
      </c>
      <c r="AK50" s="551">
        <v>1.0</v>
      </c>
      <c r="AL50" s="523" t="s">
        <v>413</v>
      </c>
      <c r="AM50" s="526" t="s">
        <v>385</v>
      </c>
      <c r="AN50" s="551">
        <v>1.0</v>
      </c>
      <c r="AO50" s="523" t="s">
        <v>413</v>
      </c>
      <c r="AP50" s="526" t="s">
        <v>385</v>
      </c>
      <c r="AQ50" s="551">
        <v>1.0</v>
      </c>
      <c r="AR50" s="523" t="s">
        <v>413</v>
      </c>
      <c r="AS50" s="526" t="s">
        <v>385</v>
      </c>
      <c r="AT50" s="551">
        <v>1.0</v>
      </c>
      <c r="AU50" s="523" t="s">
        <v>413</v>
      </c>
      <c r="AV50" s="526" t="s">
        <v>385</v>
      </c>
      <c r="AW50" s="551">
        <v>1.0</v>
      </c>
      <c r="AX50" s="523" t="s">
        <v>413</v>
      </c>
      <c r="AY50" s="526" t="s">
        <v>385</v>
      </c>
      <c r="AZ50" s="551">
        <v>1.0</v>
      </c>
      <c r="BA50" s="523" t="s">
        <v>413</v>
      </c>
      <c r="BB50" s="526" t="s">
        <v>385</v>
      </c>
      <c r="BC50" s="551">
        <v>1.0</v>
      </c>
      <c r="BD50" s="523" t="s">
        <v>413</v>
      </c>
      <c r="BE50" s="526" t="s">
        <v>385</v>
      </c>
      <c r="BF50" s="551">
        <v>1.0</v>
      </c>
      <c r="BG50" s="523" t="s">
        <v>413</v>
      </c>
      <c r="BH50" s="526" t="s">
        <v>385</v>
      </c>
      <c r="BI50" s="551">
        <v>1.0</v>
      </c>
      <c r="BJ50" s="528" t="s">
        <v>413</v>
      </c>
      <c r="BK50" s="528" t="s">
        <v>385</v>
      </c>
      <c r="BL50" s="548">
        <v>1.0</v>
      </c>
      <c r="BM50" s="528" t="s">
        <v>413</v>
      </c>
      <c r="BN50" s="528" t="s">
        <v>385</v>
      </c>
      <c r="BO50" s="548">
        <v>1.0</v>
      </c>
      <c r="BP50" s="528" t="s">
        <v>413</v>
      </c>
      <c r="BQ50" s="528" t="s">
        <v>385</v>
      </c>
      <c r="BR50" s="548">
        <v>1.0</v>
      </c>
      <c r="BS50" s="528" t="s">
        <v>413</v>
      </c>
      <c r="BT50" s="528" t="s">
        <v>385</v>
      </c>
      <c r="BU50" s="548">
        <v>1.0</v>
      </c>
      <c r="BV50" s="528" t="s">
        <v>413</v>
      </c>
      <c r="BW50" s="528" t="s">
        <v>385</v>
      </c>
      <c r="BX50" s="548">
        <v>1.0</v>
      </c>
      <c r="BY50" s="528" t="s">
        <v>413</v>
      </c>
      <c r="BZ50" s="528" t="s">
        <v>385</v>
      </c>
      <c r="CA50" s="548">
        <v>1.0</v>
      </c>
      <c r="CB50" s="528" t="s">
        <v>413</v>
      </c>
      <c r="CC50" s="528" t="s">
        <v>385</v>
      </c>
      <c r="CD50" s="548">
        <v>1.0</v>
      </c>
      <c r="CE50" s="528" t="s">
        <v>413</v>
      </c>
      <c r="CF50" s="528" t="s">
        <v>385</v>
      </c>
      <c r="CG50" s="548">
        <v>1.0</v>
      </c>
      <c r="CH50" s="528" t="s">
        <v>413</v>
      </c>
      <c r="CI50" s="528" t="s">
        <v>385</v>
      </c>
      <c r="CJ50" s="548">
        <v>1.0</v>
      </c>
      <c r="CK50" s="528" t="s">
        <v>413</v>
      </c>
      <c r="CL50" s="528" t="s">
        <v>385</v>
      </c>
      <c r="CM50" s="548">
        <v>1.0</v>
      </c>
      <c r="CN50" s="528" t="s">
        <v>413</v>
      </c>
      <c r="CO50" s="528" t="s">
        <v>385</v>
      </c>
      <c r="CP50" s="548">
        <v>1.0</v>
      </c>
      <c r="CQ50" s="528" t="s">
        <v>413</v>
      </c>
      <c r="CR50" s="528" t="s">
        <v>385</v>
      </c>
      <c r="CS50" s="548">
        <v>1.0</v>
      </c>
      <c r="CT50" s="528" t="s">
        <v>413</v>
      </c>
      <c r="CU50" s="528" t="s">
        <v>385</v>
      </c>
      <c r="CV50" s="548">
        <v>1.0</v>
      </c>
      <c r="CW50" s="528" t="s">
        <v>413</v>
      </c>
      <c r="CX50" s="528" t="s">
        <v>385</v>
      </c>
      <c r="CY50" s="548">
        <v>1.0</v>
      </c>
      <c r="CZ50" s="528" t="s">
        <v>413</v>
      </c>
      <c r="DA50" s="528" t="s">
        <v>385</v>
      </c>
      <c r="DB50" s="548">
        <v>1.0</v>
      </c>
    </row>
    <row r="51" ht="15.0" customHeight="1">
      <c r="A51" s="53">
        <v>43.0</v>
      </c>
      <c r="B51" s="122" t="s">
        <v>276</v>
      </c>
      <c r="C51" s="122" t="s">
        <v>277</v>
      </c>
      <c r="D51" s="104" t="str">
        <f t="shared" si="1"/>
        <v>SITE</v>
      </c>
      <c r="E51" s="123" t="s">
        <v>275</v>
      </c>
      <c r="F51" s="104"/>
      <c r="G51" s="123" t="s">
        <v>270</v>
      </c>
      <c r="H51" s="535"/>
      <c r="I51" s="858" t="str">
        <f>IFERROR(VLOOKUP(C:C,'R22 RELATÓRIO ACC'!B:F,5,FALSE),"NOT PUBLISHED")</f>
        <v>V13</v>
      </c>
      <c r="J51" s="858" t="str">
        <f>IFERROR(VLOOKUP(C:C,'R22 RELATÓRIO ACC'!B:P,15,FALSE),"NOT PUBLISHED")</f>
        <v>12/05/2026</v>
      </c>
      <c r="K51" s="899" t="str">
        <f>IFERROR(VLOOKUP(B:B,'RELATÓRIO ACC'!B:F,5,FALSE),"NOT PUBLISHED")</f>
        <v>V1</v>
      </c>
      <c r="L51" s="822" t="str">
        <f>IFERROR(VLOOKUP(B:B,'RELATÓRIO ACC'!B:P,15,FALSE),"NOT PUBLISHED")</f>
        <v>15/05/2026</v>
      </c>
      <c r="M51" s="858" t="s">
        <v>382</v>
      </c>
      <c r="N51" s="918">
        <v>46038.0</v>
      </c>
      <c r="O51" s="538" t="s">
        <v>410</v>
      </c>
      <c r="P51" s="522" t="s">
        <v>505</v>
      </c>
      <c r="Q51" s="901" t="s">
        <v>381</v>
      </c>
      <c r="R51" s="550" t="s">
        <v>421</v>
      </c>
      <c r="S51" s="551">
        <v>0.01</v>
      </c>
      <c r="T51" s="528" t="s">
        <v>383</v>
      </c>
      <c r="U51" s="528">
        <v>0.0</v>
      </c>
      <c r="V51" s="528" t="s">
        <v>383</v>
      </c>
      <c r="W51" s="523" t="s">
        <v>381</v>
      </c>
      <c r="X51" s="528" t="s">
        <v>428</v>
      </c>
      <c r="Y51" s="551">
        <v>0.77</v>
      </c>
      <c r="Z51" s="525" t="s">
        <v>398</v>
      </c>
      <c r="AA51" s="525" t="s">
        <v>428</v>
      </c>
      <c r="AB51" s="525" t="s">
        <v>398</v>
      </c>
      <c r="AC51" s="528" t="s">
        <v>383</v>
      </c>
      <c r="AD51" s="528" t="s">
        <v>428</v>
      </c>
      <c r="AE51" s="528" t="s">
        <v>383</v>
      </c>
      <c r="AF51" s="528" t="s">
        <v>386</v>
      </c>
      <c r="AG51" s="528" t="s">
        <v>382</v>
      </c>
      <c r="AH51" s="548">
        <v>1.0</v>
      </c>
      <c r="AI51" s="528" t="s">
        <v>413</v>
      </c>
      <c r="AJ51" s="528" t="s">
        <v>382</v>
      </c>
      <c r="AK51" s="548">
        <v>1.0</v>
      </c>
      <c r="AL51" s="528" t="s">
        <v>413</v>
      </c>
      <c r="AM51" s="528" t="s">
        <v>382</v>
      </c>
      <c r="AN51" s="548">
        <v>1.0</v>
      </c>
      <c r="AO51" s="528" t="s">
        <v>413</v>
      </c>
      <c r="AP51" s="528" t="s">
        <v>382</v>
      </c>
      <c r="AQ51" s="548">
        <v>1.0</v>
      </c>
      <c r="AR51" s="528" t="s">
        <v>413</v>
      </c>
      <c r="AS51" s="528" t="s">
        <v>382</v>
      </c>
      <c r="AT51" s="548">
        <v>1.0</v>
      </c>
      <c r="AU51" s="528" t="s">
        <v>413</v>
      </c>
      <c r="AV51" s="528" t="s">
        <v>382</v>
      </c>
      <c r="AW51" s="548">
        <v>1.0</v>
      </c>
      <c r="AX51" s="528" t="s">
        <v>413</v>
      </c>
      <c r="AY51" s="528" t="s">
        <v>382</v>
      </c>
      <c r="AZ51" s="548">
        <v>1.0</v>
      </c>
      <c r="BA51" s="528" t="s">
        <v>413</v>
      </c>
      <c r="BB51" s="528" t="s">
        <v>382</v>
      </c>
      <c r="BC51" s="548">
        <v>1.0</v>
      </c>
      <c r="BD51" s="528" t="s">
        <v>413</v>
      </c>
      <c r="BE51" s="528" t="s">
        <v>382</v>
      </c>
      <c r="BF51" s="548">
        <v>1.0</v>
      </c>
      <c r="BG51" s="528" t="s">
        <v>413</v>
      </c>
      <c r="BH51" s="528" t="s">
        <v>382</v>
      </c>
      <c r="BI51" s="548">
        <v>1.0</v>
      </c>
      <c r="BJ51" s="528" t="s">
        <v>413</v>
      </c>
      <c r="BK51" s="528" t="s">
        <v>382</v>
      </c>
      <c r="BL51" s="548">
        <v>1.0</v>
      </c>
      <c r="BM51" s="528" t="s">
        <v>413</v>
      </c>
      <c r="BN51" s="528" t="s">
        <v>382</v>
      </c>
      <c r="BO51" s="548">
        <v>1.0</v>
      </c>
      <c r="BP51" s="528" t="s">
        <v>413</v>
      </c>
      <c r="BQ51" s="528" t="s">
        <v>382</v>
      </c>
      <c r="BR51" s="548">
        <v>1.0</v>
      </c>
      <c r="BS51" s="528" t="s">
        <v>413</v>
      </c>
      <c r="BT51" s="528" t="s">
        <v>382</v>
      </c>
      <c r="BU51" s="548">
        <v>1.0</v>
      </c>
      <c r="BV51" s="528" t="s">
        <v>413</v>
      </c>
      <c r="BW51" s="528" t="s">
        <v>382</v>
      </c>
      <c r="BX51" s="548">
        <v>1.0</v>
      </c>
      <c r="BY51" s="528" t="s">
        <v>413</v>
      </c>
      <c r="BZ51" s="528" t="s">
        <v>382</v>
      </c>
      <c r="CA51" s="548">
        <v>1.0</v>
      </c>
      <c r="CB51" s="528" t="s">
        <v>413</v>
      </c>
      <c r="CC51" s="528" t="s">
        <v>382</v>
      </c>
      <c r="CD51" s="548">
        <v>1.0</v>
      </c>
      <c r="CE51" s="528" t="s">
        <v>413</v>
      </c>
      <c r="CF51" s="528" t="s">
        <v>382</v>
      </c>
      <c r="CG51" s="548">
        <v>1.0</v>
      </c>
      <c r="CH51" s="528" t="s">
        <v>413</v>
      </c>
      <c r="CI51" s="528" t="s">
        <v>382</v>
      </c>
      <c r="CJ51" s="548">
        <v>1.0</v>
      </c>
      <c r="CK51" s="528" t="s">
        <v>413</v>
      </c>
      <c r="CL51" s="528" t="s">
        <v>382</v>
      </c>
      <c r="CM51" s="548">
        <v>1.0</v>
      </c>
      <c r="CN51" s="528" t="s">
        <v>413</v>
      </c>
      <c r="CO51" s="528" t="s">
        <v>382</v>
      </c>
      <c r="CP51" s="548">
        <v>1.0</v>
      </c>
      <c r="CQ51" s="528" t="s">
        <v>413</v>
      </c>
      <c r="CR51" s="528" t="s">
        <v>382</v>
      </c>
      <c r="CS51" s="548">
        <v>1.0</v>
      </c>
      <c r="CT51" s="528" t="s">
        <v>413</v>
      </c>
      <c r="CU51" s="528" t="s">
        <v>382</v>
      </c>
      <c r="CV51" s="548">
        <v>1.0</v>
      </c>
      <c r="CW51" s="528" t="s">
        <v>413</v>
      </c>
      <c r="CX51" s="528" t="s">
        <v>382</v>
      </c>
      <c r="CY51" s="548">
        <v>1.0</v>
      </c>
      <c r="CZ51" s="528" t="s">
        <v>413</v>
      </c>
      <c r="DA51" s="528" t="s">
        <v>382</v>
      </c>
      <c r="DB51" s="548">
        <v>1.0</v>
      </c>
    </row>
    <row r="52" ht="15.0" customHeight="1">
      <c r="A52" s="53">
        <v>47.0</v>
      </c>
      <c r="B52" s="100" t="s">
        <v>297</v>
      </c>
      <c r="C52" s="100" t="s">
        <v>297</v>
      </c>
      <c r="D52" s="101" t="str">
        <f t="shared" si="1"/>
        <v>STIR</v>
      </c>
      <c r="E52" s="101" t="s">
        <v>289</v>
      </c>
      <c r="F52" s="102">
        <v>1125.0</v>
      </c>
      <c r="G52" s="517" t="s">
        <v>289</v>
      </c>
      <c r="H52" s="517">
        <v>1125.0</v>
      </c>
      <c r="I52" s="858" t="str">
        <f>IFERROR(VLOOKUP(C:C,'R22 RELATÓRIO ACC'!B:F,5,FALSE),"NOT PUBLISHED")</f>
        <v>V3</v>
      </c>
      <c r="J52" s="858" t="str">
        <f>IFERROR(VLOOKUP(C:C,'R22 RELATÓRIO ACC'!B:P,15,FALSE),"NOT PUBLISHED")</f>
        <v>31/10/2025</v>
      </c>
      <c r="K52" s="821" t="str">
        <f>IFERROR(VLOOKUP(B:B,'RELATÓRIO ACC'!B:F,5,FALSE),"NOT PUBLISHED")</f>
        <v>V1</v>
      </c>
      <c r="L52" s="822" t="str">
        <f>IFERROR(VLOOKUP(B:B,'RELATÓRIO ACC'!B:P,15,FALSE),"NOT PUBLISHED")</f>
        <v>21/05/2026</v>
      </c>
      <c r="M52" s="821" t="s">
        <v>400</v>
      </c>
      <c r="N52" s="1008" t="s">
        <v>507</v>
      </c>
      <c r="O52" s="538" t="s">
        <v>410</v>
      </c>
      <c r="P52" s="587"/>
      <c r="Q52" s="523" t="s">
        <v>379</v>
      </c>
      <c r="R52" s="962">
        <v>0.0</v>
      </c>
      <c r="S52" s="523" t="s">
        <v>379</v>
      </c>
      <c r="T52" s="523" t="s">
        <v>379</v>
      </c>
      <c r="U52" s="962">
        <v>0.0</v>
      </c>
      <c r="V52" s="734" t="s">
        <v>379</v>
      </c>
      <c r="W52" s="523" t="s">
        <v>386</v>
      </c>
      <c r="X52" s="1009" t="s">
        <v>400</v>
      </c>
      <c r="Y52" s="551">
        <v>1.0</v>
      </c>
      <c r="Z52" s="523" t="s">
        <v>413</v>
      </c>
      <c r="AA52" s="1009" t="s">
        <v>400</v>
      </c>
      <c r="AB52" s="551">
        <v>1.0</v>
      </c>
      <c r="AC52" s="523" t="s">
        <v>413</v>
      </c>
      <c r="AD52" s="1009" t="s">
        <v>400</v>
      </c>
      <c r="AE52" s="551">
        <v>1.0</v>
      </c>
      <c r="AF52" s="523" t="s">
        <v>413</v>
      </c>
      <c r="AG52" s="1009" t="s">
        <v>400</v>
      </c>
      <c r="AH52" s="551">
        <v>1.0</v>
      </c>
      <c r="AI52" s="523" t="s">
        <v>413</v>
      </c>
      <c r="AJ52" s="1009" t="s">
        <v>400</v>
      </c>
      <c r="AK52" s="551">
        <v>1.0</v>
      </c>
      <c r="AL52" s="523" t="s">
        <v>413</v>
      </c>
      <c r="AM52" s="1009" t="s">
        <v>400</v>
      </c>
      <c r="AN52" s="551">
        <v>1.0</v>
      </c>
      <c r="AO52" s="523" t="s">
        <v>413</v>
      </c>
      <c r="AP52" s="1009" t="s">
        <v>400</v>
      </c>
      <c r="AQ52" s="551">
        <v>1.0</v>
      </c>
      <c r="AR52" s="523" t="s">
        <v>413</v>
      </c>
      <c r="AS52" s="1009" t="s">
        <v>400</v>
      </c>
      <c r="AT52" s="551">
        <v>1.0</v>
      </c>
      <c r="AU52" s="523" t="s">
        <v>413</v>
      </c>
      <c r="AV52" s="1009" t="s">
        <v>400</v>
      </c>
      <c r="AW52" s="551">
        <v>1.0</v>
      </c>
      <c r="AX52" s="523" t="s">
        <v>413</v>
      </c>
      <c r="AY52" s="1009" t="s">
        <v>400</v>
      </c>
      <c r="AZ52" s="551">
        <v>1.0</v>
      </c>
      <c r="BA52" s="523" t="s">
        <v>413</v>
      </c>
      <c r="BB52" s="1009" t="s">
        <v>400</v>
      </c>
      <c r="BC52" s="551">
        <v>1.0</v>
      </c>
      <c r="BD52" s="523" t="s">
        <v>413</v>
      </c>
      <c r="BE52" s="1009" t="s">
        <v>400</v>
      </c>
      <c r="BF52" s="551">
        <v>1.0</v>
      </c>
      <c r="BG52" s="523" t="s">
        <v>413</v>
      </c>
      <c r="BH52" s="1009" t="s">
        <v>400</v>
      </c>
      <c r="BI52" s="551">
        <v>1.0</v>
      </c>
      <c r="BJ52" s="528" t="s">
        <v>413</v>
      </c>
      <c r="BK52" s="1010" t="s">
        <v>400</v>
      </c>
      <c r="BL52" s="548">
        <v>1.0</v>
      </c>
      <c r="BM52" s="528" t="s">
        <v>413</v>
      </c>
      <c r="BN52" s="1010" t="s">
        <v>400</v>
      </c>
      <c r="BO52" s="548">
        <v>1.0</v>
      </c>
      <c r="BP52" s="528" t="s">
        <v>413</v>
      </c>
      <c r="BQ52" s="1010" t="s">
        <v>400</v>
      </c>
      <c r="BR52" s="548">
        <v>1.0</v>
      </c>
      <c r="BS52" s="528" t="s">
        <v>413</v>
      </c>
      <c r="BT52" s="1010" t="s">
        <v>400</v>
      </c>
      <c r="BU52" s="548">
        <v>1.0</v>
      </c>
      <c r="BV52" s="528" t="s">
        <v>413</v>
      </c>
      <c r="BW52" s="1010" t="s">
        <v>400</v>
      </c>
      <c r="BX52" s="548">
        <v>1.0</v>
      </c>
      <c r="BY52" s="528" t="s">
        <v>413</v>
      </c>
      <c r="BZ52" s="1010" t="s">
        <v>400</v>
      </c>
      <c r="CA52" s="548">
        <v>1.0</v>
      </c>
      <c r="CB52" s="528" t="s">
        <v>413</v>
      </c>
      <c r="CC52" s="1010" t="s">
        <v>400</v>
      </c>
      <c r="CD52" s="548">
        <v>1.0</v>
      </c>
      <c r="CE52" s="528" t="s">
        <v>413</v>
      </c>
      <c r="CF52" s="1010" t="s">
        <v>400</v>
      </c>
      <c r="CG52" s="548">
        <v>1.0</v>
      </c>
      <c r="CH52" s="528" t="s">
        <v>413</v>
      </c>
      <c r="CI52" s="1010" t="s">
        <v>400</v>
      </c>
      <c r="CJ52" s="548">
        <v>1.0</v>
      </c>
      <c r="CK52" s="528" t="s">
        <v>413</v>
      </c>
      <c r="CL52" s="1010" t="s">
        <v>400</v>
      </c>
      <c r="CM52" s="548">
        <v>1.0</v>
      </c>
      <c r="CN52" s="528" t="s">
        <v>413</v>
      </c>
      <c r="CO52" s="1010" t="s">
        <v>400</v>
      </c>
      <c r="CP52" s="548">
        <v>1.0</v>
      </c>
      <c r="CQ52" s="528" t="s">
        <v>413</v>
      </c>
      <c r="CR52" s="1010" t="s">
        <v>400</v>
      </c>
      <c r="CS52" s="548">
        <v>1.0</v>
      </c>
      <c r="CT52" s="528" t="s">
        <v>413</v>
      </c>
      <c r="CU52" s="1010" t="s">
        <v>400</v>
      </c>
      <c r="CV52" s="548">
        <v>1.0</v>
      </c>
      <c r="CW52" s="528" t="s">
        <v>413</v>
      </c>
      <c r="CX52" s="1010" t="s">
        <v>400</v>
      </c>
      <c r="CY52" s="548">
        <v>1.0</v>
      </c>
      <c r="CZ52" s="528" t="s">
        <v>413</v>
      </c>
      <c r="DA52" s="1010" t="s">
        <v>400</v>
      </c>
      <c r="DB52" s="548">
        <v>1.0</v>
      </c>
    </row>
    <row r="53" ht="15.0" customHeight="1">
      <c r="A53" s="53">
        <v>48.0</v>
      </c>
      <c r="B53" s="122" t="s">
        <v>295</v>
      </c>
      <c r="C53" s="122" t="s">
        <v>295</v>
      </c>
      <c r="D53" s="104" t="str">
        <f t="shared" si="1"/>
        <v>UTLS</v>
      </c>
      <c r="E53" s="123" t="s">
        <v>289</v>
      </c>
      <c r="F53" s="104">
        <v>1125.0</v>
      </c>
      <c r="G53" s="104" t="s">
        <v>289</v>
      </c>
      <c r="H53" s="517">
        <v>1125.0</v>
      </c>
      <c r="I53" s="858" t="str">
        <f>IFERROR(VLOOKUP(C:C,'R22 RELATÓRIO ACC'!B:F,5,FALSE),"NOT PUBLISHED")</f>
        <v>V6</v>
      </c>
      <c r="J53" s="858" t="str">
        <f>IFERROR(VLOOKUP(C:C,'R22 RELATÓRIO ACC'!B:P,15,FALSE),"NOT PUBLISHED")</f>
        <v>11/02/2026</v>
      </c>
      <c r="K53" s="899" t="str">
        <f>IFERROR(VLOOKUP(B:B,'RELATÓRIO ACC'!B:F,5,FALSE),"NOT PUBLISHED")</f>
        <v>V1</v>
      </c>
      <c r="L53" s="917" t="str">
        <f>IFERROR(VLOOKUP(B:B,'RELATÓRIO ACC'!B:P,15,FALSE),"NOT PUBLISHED")</f>
        <v>21/05/2026</v>
      </c>
      <c r="M53" s="858" t="s">
        <v>411</v>
      </c>
      <c r="N53" s="900" t="s">
        <v>508</v>
      </c>
      <c r="O53" s="538" t="s">
        <v>410</v>
      </c>
      <c r="P53" s="522"/>
      <c r="Q53" s="1011" t="s">
        <v>381</v>
      </c>
      <c r="R53" s="996">
        <v>0.0</v>
      </c>
      <c r="S53" s="1012">
        <v>0.44</v>
      </c>
      <c r="T53" s="901" t="s">
        <v>379</v>
      </c>
      <c r="U53" s="996">
        <v>0.0</v>
      </c>
      <c r="V53" s="738" t="s">
        <v>379</v>
      </c>
      <c r="W53" s="901" t="s">
        <v>386</v>
      </c>
      <c r="X53" s="1013" t="s">
        <v>411</v>
      </c>
      <c r="Y53" s="551">
        <v>1.0</v>
      </c>
      <c r="Z53" s="525" t="s">
        <v>413</v>
      </c>
      <c r="AA53" s="1014" t="s">
        <v>411</v>
      </c>
      <c r="AB53" s="551">
        <v>1.0</v>
      </c>
      <c r="AC53" s="528" t="s">
        <v>413</v>
      </c>
      <c r="AD53" s="1010" t="s">
        <v>411</v>
      </c>
      <c r="AE53" s="548">
        <v>1.0</v>
      </c>
      <c r="AF53" s="528" t="s">
        <v>413</v>
      </c>
      <c r="AG53" s="1010" t="s">
        <v>411</v>
      </c>
      <c r="AH53" s="548">
        <v>1.0</v>
      </c>
      <c r="AI53" s="528" t="s">
        <v>413</v>
      </c>
      <c r="AJ53" s="1010" t="s">
        <v>411</v>
      </c>
      <c r="AK53" s="548">
        <v>1.0</v>
      </c>
      <c r="AL53" s="528" t="s">
        <v>413</v>
      </c>
      <c r="AM53" s="1010" t="s">
        <v>411</v>
      </c>
      <c r="AN53" s="548">
        <v>1.0</v>
      </c>
      <c r="AO53" s="528" t="s">
        <v>413</v>
      </c>
      <c r="AP53" s="1010" t="s">
        <v>411</v>
      </c>
      <c r="AQ53" s="548">
        <v>1.0</v>
      </c>
      <c r="AR53" s="528" t="s">
        <v>413</v>
      </c>
      <c r="AS53" s="1010" t="s">
        <v>411</v>
      </c>
      <c r="AT53" s="548">
        <v>1.0</v>
      </c>
      <c r="AU53" s="528" t="s">
        <v>413</v>
      </c>
      <c r="AV53" s="1010" t="s">
        <v>411</v>
      </c>
      <c r="AW53" s="548">
        <v>1.0</v>
      </c>
      <c r="AX53" s="528" t="s">
        <v>413</v>
      </c>
      <c r="AY53" s="1010" t="s">
        <v>411</v>
      </c>
      <c r="AZ53" s="548">
        <v>1.0</v>
      </c>
      <c r="BA53" s="528" t="s">
        <v>413</v>
      </c>
      <c r="BB53" s="1010" t="s">
        <v>411</v>
      </c>
      <c r="BC53" s="548">
        <v>1.0</v>
      </c>
      <c r="BD53" s="528" t="s">
        <v>413</v>
      </c>
      <c r="BE53" s="1010" t="s">
        <v>411</v>
      </c>
      <c r="BF53" s="548">
        <v>1.0</v>
      </c>
      <c r="BG53" s="528" t="s">
        <v>413</v>
      </c>
      <c r="BH53" s="1010" t="s">
        <v>411</v>
      </c>
      <c r="BI53" s="548">
        <v>1.0</v>
      </c>
      <c r="BJ53" s="528" t="s">
        <v>413</v>
      </c>
      <c r="BK53" s="1010" t="s">
        <v>411</v>
      </c>
      <c r="BL53" s="548">
        <v>1.0</v>
      </c>
      <c r="BM53" s="528" t="s">
        <v>413</v>
      </c>
      <c r="BN53" s="1010" t="s">
        <v>411</v>
      </c>
      <c r="BO53" s="548">
        <v>1.0</v>
      </c>
      <c r="BP53" s="528" t="s">
        <v>413</v>
      </c>
      <c r="BQ53" s="1010" t="s">
        <v>411</v>
      </c>
      <c r="BR53" s="548">
        <v>1.0</v>
      </c>
      <c r="BS53" s="528" t="s">
        <v>413</v>
      </c>
      <c r="BT53" s="1010" t="s">
        <v>411</v>
      </c>
      <c r="BU53" s="548">
        <v>1.0</v>
      </c>
      <c r="BV53" s="528" t="s">
        <v>413</v>
      </c>
      <c r="BW53" s="1010" t="s">
        <v>411</v>
      </c>
      <c r="BX53" s="548">
        <v>1.0</v>
      </c>
      <c r="BY53" s="528" t="s">
        <v>413</v>
      </c>
      <c r="BZ53" s="1010" t="s">
        <v>411</v>
      </c>
      <c r="CA53" s="548">
        <v>1.0</v>
      </c>
      <c r="CB53" s="528" t="s">
        <v>413</v>
      </c>
      <c r="CC53" s="1010" t="s">
        <v>411</v>
      </c>
      <c r="CD53" s="548">
        <v>1.0</v>
      </c>
      <c r="CE53" s="528" t="s">
        <v>413</v>
      </c>
      <c r="CF53" s="1010" t="s">
        <v>411</v>
      </c>
      <c r="CG53" s="548">
        <v>1.0</v>
      </c>
      <c r="CH53" s="528" t="s">
        <v>413</v>
      </c>
      <c r="CI53" s="1010" t="s">
        <v>411</v>
      </c>
      <c r="CJ53" s="548">
        <v>1.0</v>
      </c>
      <c r="CK53" s="528" t="s">
        <v>413</v>
      </c>
      <c r="CL53" s="1010" t="s">
        <v>411</v>
      </c>
      <c r="CM53" s="548">
        <v>1.0</v>
      </c>
      <c r="CN53" s="528" t="s">
        <v>413</v>
      </c>
      <c r="CO53" s="1010" t="s">
        <v>411</v>
      </c>
      <c r="CP53" s="548">
        <v>1.0</v>
      </c>
      <c r="CQ53" s="528" t="s">
        <v>413</v>
      </c>
      <c r="CR53" s="1010" t="s">
        <v>411</v>
      </c>
      <c r="CS53" s="548">
        <v>1.0</v>
      </c>
      <c r="CT53" s="528" t="s">
        <v>413</v>
      </c>
      <c r="CU53" s="1010" t="s">
        <v>411</v>
      </c>
      <c r="CV53" s="548">
        <v>1.0</v>
      </c>
      <c r="CW53" s="528" t="s">
        <v>413</v>
      </c>
      <c r="CX53" s="1010" t="s">
        <v>411</v>
      </c>
      <c r="CY53" s="548">
        <v>1.0</v>
      </c>
      <c r="CZ53" s="528" t="s">
        <v>413</v>
      </c>
      <c r="DA53" s="1010" t="s">
        <v>411</v>
      </c>
      <c r="DB53" s="548">
        <v>1.0</v>
      </c>
    </row>
    <row r="54" ht="15.0" customHeight="1">
      <c r="A54" s="53">
        <v>49.0</v>
      </c>
      <c r="B54" s="860" t="s">
        <v>156</v>
      </c>
      <c r="C54" s="860" t="s">
        <v>157</v>
      </c>
      <c r="D54" s="104" t="str">
        <f t="shared" si="1"/>
        <v>SITE</v>
      </c>
      <c r="E54" s="104" t="s">
        <v>154</v>
      </c>
      <c r="F54" s="104">
        <v>1112.0</v>
      </c>
      <c r="G54" s="104" t="s">
        <v>155</v>
      </c>
      <c r="H54" s="517">
        <v>1129.0</v>
      </c>
      <c r="I54" s="858" t="str">
        <f>IFERROR(VLOOKUP(C:C,'R22 RELATÓRIO ACC'!B:F,5,FALSE),"NOT PUBLISHED")</f>
        <v>V39</v>
      </c>
      <c r="J54" s="858" t="str">
        <f>IFERROR(VLOOKUP(C:C,'R22 RELATÓRIO ACC'!B:P,15,FALSE),"NOT PUBLISHED")</f>
        <v>12/05/2026</v>
      </c>
      <c r="K54" s="899" t="str">
        <f>IFERROR(VLOOKUP(B:B,'RELATÓRIO ACC'!B:F,5,FALSE),"NOT PUBLISHED")</f>
        <v>V4</v>
      </c>
      <c r="L54" s="917" t="str">
        <f>IFERROR(VLOOKUP(B:B,'RELATÓRIO ACC'!B:P,15,FALSE),"NOT PUBLISHED")</f>
        <v>14/07/2026</v>
      </c>
      <c r="M54" s="821" t="s">
        <v>438</v>
      </c>
      <c r="N54" s="1008" t="s">
        <v>435</v>
      </c>
      <c r="O54" s="538" t="s">
        <v>410</v>
      </c>
      <c r="P54" s="587"/>
      <c r="Q54" s="523" t="s">
        <v>381</v>
      </c>
      <c r="R54" s="526" t="s">
        <v>405</v>
      </c>
      <c r="S54" s="546">
        <v>0.21</v>
      </c>
      <c r="T54" s="523" t="s">
        <v>381</v>
      </c>
      <c r="U54" s="526">
        <v>0.0</v>
      </c>
      <c r="V54" s="546">
        <v>0.61</v>
      </c>
      <c r="W54" s="523" t="s">
        <v>381</v>
      </c>
      <c r="X54" s="526" t="s">
        <v>436</v>
      </c>
      <c r="Y54" s="546">
        <v>0.71</v>
      </c>
      <c r="Z54" s="523" t="s">
        <v>381</v>
      </c>
      <c r="AA54" s="526" t="s">
        <v>431</v>
      </c>
      <c r="AB54" s="546">
        <v>0.71</v>
      </c>
      <c r="AC54" s="523" t="s">
        <v>383</v>
      </c>
      <c r="AD54" s="526" t="s">
        <v>431</v>
      </c>
      <c r="AE54" s="523" t="s">
        <v>383</v>
      </c>
      <c r="AF54" s="523" t="s">
        <v>386</v>
      </c>
      <c r="AG54" s="526" t="s">
        <v>438</v>
      </c>
      <c r="AH54" s="546">
        <v>1.0</v>
      </c>
      <c r="AI54" s="523" t="s">
        <v>413</v>
      </c>
      <c r="AJ54" s="526" t="s">
        <v>438</v>
      </c>
      <c r="AK54" s="546">
        <v>1.0</v>
      </c>
      <c r="AL54" s="523" t="s">
        <v>413</v>
      </c>
      <c r="AM54" s="526" t="s">
        <v>438</v>
      </c>
      <c r="AN54" s="546">
        <v>1.0</v>
      </c>
      <c r="AO54" s="523" t="s">
        <v>413</v>
      </c>
      <c r="AP54" s="526" t="s">
        <v>438</v>
      </c>
      <c r="AQ54" s="546">
        <v>1.0</v>
      </c>
      <c r="AR54" s="523" t="s">
        <v>413</v>
      </c>
      <c r="AS54" s="526" t="s">
        <v>438</v>
      </c>
      <c r="AT54" s="546">
        <v>1.0</v>
      </c>
      <c r="AU54" s="523" t="s">
        <v>413</v>
      </c>
      <c r="AV54" s="526" t="s">
        <v>438</v>
      </c>
      <c r="AW54" s="546">
        <v>1.0</v>
      </c>
      <c r="AX54" s="523" t="s">
        <v>413</v>
      </c>
      <c r="AY54" s="526" t="s">
        <v>438</v>
      </c>
      <c r="AZ54" s="546">
        <v>1.0</v>
      </c>
      <c r="BA54" s="523" t="s">
        <v>413</v>
      </c>
      <c r="BB54" s="526" t="s">
        <v>438</v>
      </c>
      <c r="BC54" s="546">
        <v>1.0</v>
      </c>
      <c r="BD54" s="523" t="s">
        <v>413</v>
      </c>
      <c r="BE54" s="526" t="s">
        <v>438</v>
      </c>
      <c r="BF54" s="546">
        <v>1.0</v>
      </c>
      <c r="BG54" s="523" t="s">
        <v>413</v>
      </c>
      <c r="BH54" s="526" t="s">
        <v>438</v>
      </c>
      <c r="BI54" s="546">
        <v>1.0</v>
      </c>
      <c r="BJ54" s="523" t="s">
        <v>413</v>
      </c>
      <c r="BK54" s="526" t="s">
        <v>438</v>
      </c>
      <c r="BL54" s="546">
        <v>1.0</v>
      </c>
      <c r="BM54" s="523" t="s">
        <v>413</v>
      </c>
      <c r="BN54" s="526" t="s">
        <v>438</v>
      </c>
      <c r="BO54" s="546">
        <v>1.0</v>
      </c>
      <c r="BP54" s="523" t="s">
        <v>413</v>
      </c>
      <c r="BQ54" s="526" t="s">
        <v>438</v>
      </c>
      <c r="BR54" s="546">
        <v>1.0</v>
      </c>
      <c r="BS54" s="523" t="s">
        <v>413</v>
      </c>
      <c r="BT54" s="526" t="s">
        <v>438</v>
      </c>
      <c r="BU54" s="546">
        <v>1.0</v>
      </c>
      <c r="BV54" s="523" t="s">
        <v>413</v>
      </c>
      <c r="BW54" s="526" t="s">
        <v>438</v>
      </c>
      <c r="BX54" s="546">
        <v>1.0</v>
      </c>
      <c r="BY54" s="523" t="s">
        <v>413</v>
      </c>
      <c r="BZ54" s="526" t="s">
        <v>438</v>
      </c>
      <c r="CA54" s="546">
        <v>1.0</v>
      </c>
      <c r="CB54" s="523" t="s">
        <v>413</v>
      </c>
      <c r="CC54" s="526" t="s">
        <v>438</v>
      </c>
      <c r="CD54" s="546">
        <v>1.0</v>
      </c>
      <c r="CE54" s="523" t="s">
        <v>413</v>
      </c>
      <c r="CF54" s="526" t="s">
        <v>438</v>
      </c>
      <c r="CG54" s="546">
        <v>1.0</v>
      </c>
      <c r="CH54" s="523" t="s">
        <v>413</v>
      </c>
      <c r="CI54" s="526" t="s">
        <v>438</v>
      </c>
      <c r="CJ54" s="546">
        <v>1.0</v>
      </c>
      <c r="CK54" s="528" t="s">
        <v>413</v>
      </c>
      <c r="CL54" s="526" t="s">
        <v>438</v>
      </c>
      <c r="CM54" s="548">
        <v>1.0</v>
      </c>
      <c r="CN54" s="528" t="s">
        <v>413</v>
      </c>
      <c r="CO54" s="526" t="s">
        <v>438</v>
      </c>
      <c r="CP54" s="548">
        <v>1.0</v>
      </c>
      <c r="CQ54" s="528" t="s">
        <v>413</v>
      </c>
      <c r="CR54" s="526" t="s">
        <v>438</v>
      </c>
      <c r="CS54" s="548">
        <v>1.0</v>
      </c>
      <c r="CT54" s="528" t="s">
        <v>413</v>
      </c>
      <c r="CU54" s="526" t="s">
        <v>438</v>
      </c>
      <c r="CV54" s="548">
        <v>1.0</v>
      </c>
      <c r="CW54" s="528" t="s">
        <v>413</v>
      </c>
      <c r="CX54" s="526" t="s">
        <v>438</v>
      </c>
      <c r="CY54" s="548">
        <v>1.0</v>
      </c>
      <c r="CZ54" s="528" t="s">
        <v>413</v>
      </c>
      <c r="DA54" s="526" t="s">
        <v>438</v>
      </c>
      <c r="DB54" s="548">
        <v>1.0</v>
      </c>
    </row>
    <row r="55" ht="15.0" hidden="1" customHeight="1">
      <c r="A55" s="53">
        <v>53.0</v>
      </c>
      <c r="B55" s="1015" t="s">
        <v>201</v>
      </c>
      <c r="C55" s="1016"/>
      <c r="D55" s="1017"/>
      <c r="E55" s="1017"/>
      <c r="F55" s="196"/>
      <c r="G55" s="192"/>
      <c r="H55" s="192"/>
      <c r="I55" s="190"/>
      <c r="J55" s="190"/>
      <c r="K55" s="597"/>
      <c r="L55" s="598"/>
      <c r="M55" s="597"/>
      <c r="N55" s="1018"/>
      <c r="O55" s="1019"/>
      <c r="P55" s="587"/>
      <c r="Q55" s="1020"/>
      <c r="R55" s="1021"/>
      <c r="S55" s="904"/>
      <c r="T55" s="904"/>
      <c r="U55" s="1022"/>
      <c r="V55" s="904"/>
      <c r="W55" s="904"/>
      <c r="X55" s="1022"/>
      <c r="Y55" s="904"/>
      <c r="Z55" s="904"/>
      <c r="AA55" s="1022"/>
      <c r="AB55" s="904"/>
      <c r="AC55" s="904"/>
      <c r="AD55" s="1022"/>
      <c r="AE55" s="904"/>
      <c r="AF55" s="904"/>
      <c r="AG55" s="1022"/>
      <c r="AH55" s="904"/>
      <c r="AI55" s="904"/>
      <c r="AJ55" s="1022"/>
      <c r="AK55" s="904"/>
      <c r="AL55" s="904"/>
      <c r="AM55" s="1022"/>
      <c r="AN55" s="904"/>
      <c r="AO55" s="904"/>
      <c r="AP55" s="1022"/>
      <c r="AQ55" s="904"/>
      <c r="AR55" s="904"/>
      <c r="AS55" s="1022"/>
      <c r="AT55" s="904"/>
      <c r="AU55" s="904"/>
      <c r="AV55" s="1022"/>
      <c r="AW55" s="904"/>
      <c r="AX55" s="904"/>
      <c r="AY55" s="1022"/>
      <c r="AZ55" s="904"/>
      <c r="BA55" s="603"/>
      <c r="BB55" s="603"/>
      <c r="BC55" s="603"/>
      <c r="BD55" s="603"/>
      <c r="BE55" s="603"/>
      <c r="BF55" s="603"/>
      <c r="BG55" s="603"/>
      <c r="BH55" s="603"/>
      <c r="BI55" s="603"/>
      <c r="BJ55" s="603"/>
      <c r="BK55" s="603"/>
      <c r="BL55" s="603"/>
      <c r="BM55" s="603"/>
      <c r="BN55" s="603"/>
      <c r="BO55" s="603"/>
      <c r="BP55" s="603"/>
      <c r="BQ55" s="603"/>
      <c r="BR55" s="603"/>
      <c r="BS55" s="603"/>
      <c r="BT55" s="603"/>
      <c r="BU55" s="603"/>
      <c r="BV55" s="603"/>
      <c r="BW55" s="603"/>
      <c r="BX55" s="603"/>
      <c r="BY55" s="603"/>
      <c r="BZ55" s="603"/>
      <c r="CA55" s="603"/>
      <c r="CB55" s="603"/>
      <c r="CC55" s="603"/>
      <c r="CD55" s="603"/>
      <c r="CE55" s="603"/>
      <c r="CF55" s="603"/>
      <c r="CG55" s="603"/>
      <c r="CH55" s="603"/>
      <c r="CI55" s="603"/>
      <c r="CJ55" s="603"/>
      <c r="CK55" s="603"/>
      <c r="CL55" s="603"/>
      <c r="CM55" s="603"/>
      <c r="CN55" s="603"/>
      <c r="CO55" s="603"/>
      <c r="CP55" s="603"/>
      <c r="CQ55" s="603"/>
      <c r="CR55" s="603"/>
      <c r="CS55" s="603"/>
      <c r="CT55" s="603"/>
      <c r="CU55" s="603"/>
      <c r="CV55" s="603"/>
      <c r="CW55" s="603"/>
      <c r="CX55" s="603"/>
      <c r="CY55" s="603"/>
      <c r="CZ55" s="603"/>
      <c r="DA55" s="603"/>
      <c r="DB55" s="603"/>
    </row>
    <row r="56" ht="15.0" hidden="1" customHeight="1">
      <c r="A56" s="53">
        <v>54.0</v>
      </c>
      <c r="B56" s="969" t="s">
        <v>162</v>
      </c>
      <c r="C56" s="970"/>
      <c r="D56" s="892"/>
      <c r="E56" s="892"/>
      <c r="F56" s="153"/>
      <c r="G56" s="150"/>
      <c r="H56" s="150"/>
      <c r="I56" s="148"/>
      <c r="J56" s="148"/>
      <c r="K56" s="579"/>
      <c r="L56" s="580"/>
      <c r="M56" s="579"/>
      <c r="N56" s="580"/>
      <c r="O56" s="148"/>
      <c r="P56" s="587"/>
      <c r="Q56" s="841"/>
      <c r="R56" s="1023"/>
      <c r="S56" s="1024"/>
      <c r="T56" s="885"/>
      <c r="U56" s="974"/>
      <c r="V56" s="1024"/>
      <c r="W56" s="885"/>
      <c r="X56" s="974"/>
      <c r="Y56" s="1024"/>
      <c r="Z56" s="885"/>
      <c r="AA56" s="974"/>
      <c r="AB56" s="1024"/>
      <c r="AC56" s="885"/>
      <c r="AD56" s="974"/>
      <c r="AE56" s="1024"/>
      <c r="AF56" s="885"/>
      <c r="AG56" s="974"/>
      <c r="AH56" s="1024"/>
      <c r="AI56" s="885"/>
      <c r="AJ56" s="974"/>
      <c r="AK56" s="1024"/>
      <c r="AL56" s="885"/>
      <c r="AM56" s="974"/>
      <c r="AN56" s="1024"/>
      <c r="AO56" s="885"/>
      <c r="AP56" s="974"/>
      <c r="AQ56" s="1024"/>
      <c r="AR56" s="885"/>
      <c r="AS56" s="974"/>
      <c r="AT56" s="885"/>
      <c r="AU56" s="885"/>
      <c r="AV56" s="974"/>
      <c r="AW56" s="885"/>
      <c r="AX56" s="885"/>
      <c r="AY56" s="974"/>
      <c r="AZ56" s="885"/>
      <c r="BA56" s="585"/>
      <c r="BB56" s="585"/>
      <c r="BC56" s="585"/>
      <c r="BD56" s="585"/>
      <c r="BE56" s="585"/>
      <c r="BF56" s="585"/>
      <c r="BG56" s="585"/>
      <c r="BH56" s="585"/>
      <c r="BI56" s="585"/>
      <c r="BJ56" s="585"/>
      <c r="BK56" s="585"/>
      <c r="BL56" s="585"/>
      <c r="BM56" s="585"/>
      <c r="BN56" s="585"/>
      <c r="BO56" s="585"/>
      <c r="BP56" s="585"/>
      <c r="BQ56" s="585"/>
      <c r="BR56" s="585"/>
      <c r="BS56" s="585"/>
      <c r="BT56" s="585"/>
      <c r="BU56" s="585"/>
      <c r="BV56" s="585"/>
      <c r="BW56" s="585"/>
      <c r="BX56" s="585"/>
      <c r="BY56" s="585"/>
      <c r="BZ56" s="585"/>
      <c r="CA56" s="585"/>
      <c r="CB56" s="585"/>
      <c r="CC56" s="585"/>
      <c r="CD56" s="585"/>
      <c r="CE56" s="585"/>
      <c r="CF56" s="585"/>
      <c r="CG56" s="585"/>
      <c r="CH56" s="585"/>
      <c r="CI56" s="585"/>
      <c r="CJ56" s="585"/>
      <c r="CK56" s="585"/>
      <c r="CL56" s="585"/>
      <c r="CM56" s="585"/>
      <c r="CN56" s="585"/>
      <c r="CO56" s="585"/>
      <c r="CP56" s="585"/>
      <c r="CQ56" s="585"/>
      <c r="CR56" s="585"/>
      <c r="CS56" s="585"/>
      <c r="CT56" s="585"/>
      <c r="CU56" s="585"/>
      <c r="CV56" s="585"/>
      <c r="CW56" s="585"/>
      <c r="CX56" s="585"/>
      <c r="CY56" s="585"/>
      <c r="CZ56" s="585"/>
      <c r="DA56" s="585"/>
      <c r="DB56" s="585"/>
    </row>
    <row r="57" ht="15.0" hidden="1" customHeight="1">
      <c r="A57" s="53">
        <v>55.0</v>
      </c>
      <c r="B57" s="1025" t="s">
        <v>215</v>
      </c>
      <c r="C57" s="921"/>
      <c r="D57" s="922"/>
      <c r="E57" s="922"/>
      <c r="F57" s="237"/>
      <c r="G57" s="234"/>
      <c r="H57" s="234"/>
      <c r="I57" s="232"/>
      <c r="J57" s="232"/>
      <c r="K57" s="611"/>
      <c r="L57" s="612"/>
      <c r="M57" s="922"/>
      <c r="N57" s="922"/>
      <c r="O57" s="922"/>
      <c r="P57" s="587"/>
      <c r="Q57" s="924"/>
      <c r="R57" s="925"/>
      <c r="S57" s="926"/>
      <c r="T57" s="927"/>
      <c r="U57" s="928"/>
      <c r="V57" s="927"/>
      <c r="W57" s="927"/>
      <c r="X57" s="928"/>
      <c r="Y57" s="927"/>
      <c r="Z57" s="927"/>
      <c r="AA57" s="928"/>
      <c r="AB57" s="927"/>
      <c r="AC57" s="927"/>
      <c r="AD57" s="928"/>
      <c r="AE57" s="927"/>
      <c r="AF57" s="927"/>
      <c r="AG57" s="928"/>
      <c r="AH57" s="927"/>
      <c r="AI57" s="927"/>
      <c r="AJ57" s="928"/>
      <c r="AK57" s="927"/>
      <c r="AL57" s="927"/>
      <c r="AM57" s="928"/>
      <c r="AN57" s="927"/>
      <c r="AO57" s="927"/>
      <c r="AP57" s="928"/>
      <c r="AQ57" s="927"/>
      <c r="AR57" s="927"/>
      <c r="AS57" s="928"/>
      <c r="AT57" s="927"/>
      <c r="AU57" s="927"/>
      <c r="AV57" s="928"/>
      <c r="AW57" s="927"/>
      <c r="AX57" s="927"/>
      <c r="AY57" s="928"/>
      <c r="AZ57" s="927"/>
      <c r="BA57" s="617"/>
      <c r="BB57" s="617"/>
      <c r="BC57" s="617"/>
      <c r="BD57" s="617"/>
      <c r="BE57" s="617"/>
      <c r="BF57" s="617"/>
      <c r="BG57" s="617"/>
      <c r="BH57" s="617"/>
      <c r="BI57" s="617"/>
      <c r="BJ57" s="617"/>
      <c r="BK57" s="617"/>
      <c r="BL57" s="617"/>
      <c r="BM57" s="617"/>
      <c r="BN57" s="617"/>
      <c r="BO57" s="617"/>
      <c r="BP57" s="617"/>
      <c r="BQ57" s="617"/>
      <c r="BR57" s="617"/>
      <c r="BS57" s="617"/>
      <c r="BT57" s="617"/>
      <c r="BU57" s="617"/>
      <c r="BV57" s="617"/>
      <c r="BW57" s="617"/>
      <c r="BX57" s="617"/>
      <c r="BY57" s="617"/>
      <c r="BZ57" s="617"/>
      <c r="CA57" s="617"/>
      <c r="CB57" s="617"/>
      <c r="CC57" s="617"/>
      <c r="CD57" s="617"/>
      <c r="CE57" s="617"/>
      <c r="CF57" s="617"/>
      <c r="CG57" s="617"/>
      <c r="CH57" s="617"/>
      <c r="CI57" s="617"/>
      <c r="CJ57" s="617"/>
      <c r="CK57" s="617"/>
      <c r="CL57" s="617"/>
      <c r="CM57" s="617"/>
      <c r="CN57" s="617"/>
      <c r="CO57" s="617"/>
      <c r="CP57" s="617"/>
      <c r="CQ57" s="617"/>
      <c r="CR57" s="617"/>
      <c r="CS57" s="617"/>
      <c r="CT57" s="617"/>
      <c r="CU57" s="617"/>
      <c r="CV57" s="617"/>
      <c r="CW57" s="617"/>
      <c r="CX57" s="617"/>
      <c r="CY57" s="617"/>
      <c r="CZ57" s="617"/>
      <c r="DA57" s="617"/>
      <c r="DB57" s="617"/>
    </row>
    <row r="58" ht="15.0" hidden="1" customHeight="1">
      <c r="A58" s="53">
        <v>56.0</v>
      </c>
      <c r="B58" s="1026" t="s">
        <v>220</v>
      </c>
      <c r="C58" s="930"/>
      <c r="D58" s="931"/>
      <c r="E58" s="931"/>
      <c r="F58" s="258"/>
      <c r="G58" s="255"/>
      <c r="H58" s="255"/>
      <c r="I58" s="253"/>
      <c r="J58" s="253"/>
      <c r="K58" s="618"/>
      <c r="L58" s="619"/>
      <c r="M58" s="618"/>
      <c r="N58" s="619"/>
      <c r="O58" s="253"/>
      <c r="P58" s="587"/>
      <c r="Q58" s="933"/>
      <c r="R58" s="934"/>
      <c r="S58" s="1027"/>
      <c r="T58" s="935"/>
      <c r="U58" s="936"/>
      <c r="V58" s="1027"/>
      <c r="W58" s="935"/>
      <c r="X58" s="936"/>
      <c r="Y58" s="1027"/>
      <c r="Z58" s="935"/>
      <c r="AA58" s="936"/>
      <c r="AB58" s="1027"/>
      <c r="AC58" s="935"/>
      <c r="AD58" s="936"/>
      <c r="AE58" s="1027"/>
      <c r="AF58" s="935"/>
      <c r="AG58" s="936"/>
      <c r="AH58" s="1027"/>
      <c r="AI58" s="935"/>
      <c r="AJ58" s="936"/>
      <c r="AK58" s="1027"/>
      <c r="AL58" s="935"/>
      <c r="AM58" s="936"/>
      <c r="AN58" s="1027"/>
      <c r="AO58" s="935"/>
      <c r="AP58" s="936"/>
      <c r="AQ58" s="1027"/>
      <c r="AR58" s="935"/>
      <c r="AS58" s="936"/>
      <c r="AT58" s="1027"/>
      <c r="AU58" s="935"/>
      <c r="AV58" s="936"/>
      <c r="AW58" s="1027"/>
      <c r="AX58" s="935"/>
      <c r="AY58" s="936"/>
      <c r="AZ58" s="1027"/>
      <c r="BA58" s="624"/>
      <c r="BB58" s="624"/>
      <c r="BC58" s="624"/>
      <c r="BD58" s="624"/>
      <c r="BE58" s="624"/>
      <c r="BF58" s="624"/>
      <c r="BG58" s="624"/>
      <c r="BH58" s="624"/>
      <c r="BI58" s="624"/>
      <c r="BJ58" s="624"/>
      <c r="BK58" s="624"/>
      <c r="BL58" s="624"/>
      <c r="BM58" s="624"/>
      <c r="BN58" s="624"/>
      <c r="BO58" s="624"/>
      <c r="BP58" s="624"/>
      <c r="BQ58" s="624"/>
      <c r="BR58" s="624"/>
      <c r="BS58" s="624"/>
      <c r="BT58" s="624"/>
      <c r="BU58" s="624"/>
      <c r="BV58" s="624"/>
      <c r="BW58" s="624"/>
      <c r="BX58" s="624"/>
      <c r="BY58" s="624"/>
      <c r="BZ58" s="624"/>
      <c r="CA58" s="624"/>
      <c r="CB58" s="624"/>
      <c r="CC58" s="624"/>
      <c r="CD58" s="624"/>
      <c r="CE58" s="624"/>
      <c r="CF58" s="624"/>
      <c r="CG58" s="624"/>
      <c r="CH58" s="624"/>
      <c r="CI58" s="624"/>
      <c r="CJ58" s="624"/>
      <c r="CK58" s="624"/>
      <c r="CL58" s="624"/>
      <c r="CM58" s="624"/>
      <c r="CN58" s="624"/>
      <c r="CO58" s="624"/>
      <c r="CP58" s="624"/>
      <c r="CQ58" s="624"/>
      <c r="CR58" s="624"/>
      <c r="CS58" s="624"/>
      <c r="CT58" s="624"/>
      <c r="CU58" s="624"/>
      <c r="CV58" s="624"/>
      <c r="CW58" s="624"/>
      <c r="CX58" s="624"/>
      <c r="CY58" s="624"/>
      <c r="CZ58" s="624"/>
      <c r="DA58" s="624"/>
      <c r="DB58" s="624"/>
    </row>
    <row r="59" ht="15.0" hidden="1" customHeight="1">
      <c r="A59" s="53">
        <v>57.0</v>
      </c>
      <c r="B59" s="1028" t="s">
        <v>247</v>
      </c>
      <c r="C59" s="1029"/>
      <c r="D59" s="1030"/>
      <c r="E59" s="1030"/>
      <c r="F59" s="320"/>
      <c r="G59" s="316"/>
      <c r="H59" s="316"/>
      <c r="I59" s="314"/>
      <c r="J59" s="314"/>
      <c r="K59" s="1031"/>
      <c r="L59" s="946"/>
      <c r="M59" s="1031"/>
      <c r="N59" s="946"/>
      <c r="O59" s="314"/>
      <c r="P59" s="587"/>
      <c r="Q59" s="1032"/>
      <c r="R59" s="949"/>
      <c r="S59" s="950"/>
      <c r="T59" s="1033"/>
      <c r="U59" s="1034"/>
      <c r="V59" s="1035"/>
      <c r="W59" s="1033"/>
      <c r="X59" s="1034"/>
      <c r="Y59" s="1035"/>
      <c r="Z59" s="1033"/>
      <c r="AA59" s="1034"/>
      <c r="AB59" s="1035"/>
      <c r="AC59" s="1033"/>
      <c r="AD59" s="1034"/>
      <c r="AE59" s="1035"/>
      <c r="AF59" s="1033"/>
      <c r="AG59" s="1034"/>
      <c r="AH59" s="1035"/>
      <c r="AI59" s="1033"/>
      <c r="AJ59" s="1034"/>
      <c r="AK59" s="1035"/>
      <c r="AL59" s="1033"/>
      <c r="AM59" s="1034"/>
      <c r="AN59" s="1035"/>
      <c r="AO59" s="1033"/>
      <c r="AP59" s="1034"/>
      <c r="AQ59" s="1035"/>
      <c r="AR59" s="1033"/>
      <c r="AS59" s="1034"/>
      <c r="AT59" s="1035"/>
      <c r="AU59" s="1033"/>
      <c r="AV59" s="1034"/>
      <c r="AW59" s="1035"/>
      <c r="AX59" s="1033"/>
      <c r="AY59" s="1034"/>
      <c r="AZ59" s="1035"/>
      <c r="BA59" s="951"/>
      <c r="BB59" s="951"/>
      <c r="BC59" s="951"/>
      <c r="BD59" s="951"/>
      <c r="BE59" s="951"/>
      <c r="BF59" s="951"/>
      <c r="BG59" s="951"/>
      <c r="BH59" s="951"/>
      <c r="BI59" s="951"/>
      <c r="BJ59" s="951"/>
      <c r="BK59" s="951"/>
      <c r="BL59" s="951"/>
      <c r="BM59" s="951"/>
      <c r="BN59" s="951"/>
      <c r="BO59" s="951"/>
      <c r="BP59" s="951"/>
      <c r="BQ59" s="951"/>
      <c r="BR59" s="951"/>
      <c r="BS59" s="951"/>
      <c r="BT59" s="951"/>
      <c r="BU59" s="951"/>
      <c r="BV59" s="951"/>
      <c r="BW59" s="951"/>
      <c r="BX59" s="951"/>
      <c r="BY59" s="951"/>
      <c r="BZ59" s="951"/>
      <c r="CA59" s="951"/>
      <c r="CB59" s="951"/>
      <c r="CC59" s="951"/>
      <c r="CD59" s="951"/>
      <c r="CE59" s="951"/>
      <c r="CF59" s="951"/>
      <c r="CG59" s="951"/>
      <c r="CH59" s="951"/>
      <c r="CI59" s="951"/>
      <c r="CJ59" s="951"/>
      <c r="CK59" s="951"/>
      <c r="CL59" s="951"/>
      <c r="CM59" s="951"/>
      <c r="CN59" s="951"/>
      <c r="CO59" s="951"/>
      <c r="CP59" s="951"/>
      <c r="CQ59" s="951"/>
      <c r="CR59" s="951"/>
      <c r="CS59" s="951"/>
      <c r="CT59" s="951"/>
      <c r="CU59" s="951"/>
      <c r="CV59" s="951"/>
      <c r="CW59" s="951"/>
      <c r="CX59" s="951"/>
      <c r="CY59" s="951"/>
      <c r="CZ59" s="951"/>
      <c r="DA59" s="951"/>
      <c r="DB59" s="951"/>
    </row>
    <row r="60" ht="15.0" hidden="1" customHeight="1">
      <c r="A60" s="53">
        <v>58.0</v>
      </c>
      <c r="B60" s="291" t="s">
        <v>242</v>
      </c>
      <c r="C60" s="292"/>
      <c r="D60" s="293"/>
      <c r="E60" s="293"/>
      <c r="F60" s="293"/>
      <c r="G60" s="293"/>
      <c r="H60" s="295"/>
      <c r="I60" s="293"/>
      <c r="J60" s="293"/>
      <c r="K60" s="296"/>
      <c r="L60" s="635"/>
      <c r="M60" s="293"/>
      <c r="N60" s="635"/>
      <c r="O60" s="293"/>
      <c r="P60" s="522"/>
      <c r="Q60" s="636"/>
      <c r="R60" s="637"/>
      <c r="S60" s="638"/>
      <c r="T60" s="639"/>
      <c r="U60" s="639"/>
      <c r="V60" s="639"/>
      <c r="W60" s="639"/>
      <c r="X60" s="639"/>
      <c r="Y60" s="639"/>
      <c r="Z60" s="639"/>
      <c r="AA60" s="639"/>
      <c r="AB60" s="639"/>
      <c r="AC60" s="639"/>
      <c r="AD60" s="639"/>
      <c r="AE60" s="639"/>
      <c r="AF60" s="639"/>
      <c r="AG60" s="639"/>
      <c r="AH60" s="639"/>
      <c r="AI60" s="639"/>
      <c r="AJ60" s="639"/>
      <c r="AK60" s="639"/>
      <c r="AL60" s="639"/>
      <c r="AM60" s="639"/>
      <c r="AN60" s="639"/>
      <c r="AO60" s="639"/>
      <c r="AP60" s="639"/>
      <c r="AQ60" s="639"/>
      <c r="AR60" s="639"/>
      <c r="AS60" s="639"/>
      <c r="AT60" s="639"/>
      <c r="AU60" s="639"/>
      <c r="AV60" s="639"/>
      <c r="AW60" s="639"/>
      <c r="AX60" s="639"/>
      <c r="AY60" s="639"/>
      <c r="AZ60" s="639"/>
      <c r="BA60" s="639"/>
      <c r="BB60" s="639"/>
      <c r="BC60" s="639"/>
      <c r="BD60" s="639"/>
      <c r="BE60" s="639"/>
      <c r="BF60" s="639"/>
      <c r="BG60" s="639"/>
      <c r="BH60" s="639"/>
      <c r="BI60" s="639"/>
      <c r="BJ60" s="639"/>
      <c r="BK60" s="639"/>
      <c r="BL60" s="639"/>
      <c r="BM60" s="639"/>
      <c r="BN60" s="639"/>
      <c r="BO60" s="639"/>
      <c r="BP60" s="639"/>
      <c r="BQ60" s="639"/>
      <c r="BR60" s="639"/>
      <c r="BS60" s="639"/>
      <c r="BT60" s="639"/>
      <c r="BU60" s="639"/>
      <c r="BV60" s="639"/>
      <c r="BW60" s="639"/>
      <c r="BX60" s="639"/>
      <c r="BY60" s="639"/>
      <c r="BZ60" s="639"/>
      <c r="CA60" s="639"/>
      <c r="CB60" s="639"/>
      <c r="CC60" s="639"/>
      <c r="CD60" s="639"/>
      <c r="CE60" s="639"/>
      <c r="CF60" s="639"/>
      <c r="CG60" s="639"/>
      <c r="CH60" s="639"/>
      <c r="CI60" s="639"/>
      <c r="CJ60" s="639"/>
      <c r="CK60" s="639"/>
      <c r="CL60" s="639"/>
      <c r="CM60" s="639"/>
      <c r="CN60" s="639"/>
      <c r="CO60" s="639"/>
      <c r="CP60" s="639"/>
      <c r="CQ60" s="639"/>
      <c r="CR60" s="639"/>
      <c r="CS60" s="639"/>
      <c r="CT60" s="639"/>
      <c r="CU60" s="639"/>
      <c r="CV60" s="639"/>
      <c r="CW60" s="639"/>
      <c r="CX60" s="639"/>
      <c r="CY60" s="639"/>
      <c r="CZ60" s="639"/>
      <c r="DA60" s="639"/>
      <c r="DB60" s="639"/>
    </row>
    <row r="61" ht="15.0" hidden="1" customHeight="1">
      <c r="A61" s="53">
        <v>59.0</v>
      </c>
      <c r="B61" s="1036" t="s">
        <v>228</v>
      </c>
      <c r="C61" s="1037"/>
      <c r="D61" s="1038"/>
      <c r="E61" s="1038"/>
      <c r="F61" s="278"/>
      <c r="G61" s="275"/>
      <c r="H61" s="275"/>
      <c r="I61" s="273"/>
      <c r="J61" s="273"/>
      <c r="K61" s="625"/>
      <c r="L61" s="626"/>
      <c r="M61" s="625"/>
      <c r="N61" s="626"/>
      <c r="O61" s="273"/>
      <c r="P61" s="587"/>
      <c r="Q61" s="1039"/>
      <c r="R61" s="1040"/>
      <c r="S61" s="630"/>
      <c r="T61" s="941"/>
      <c r="U61" s="1041"/>
      <c r="V61" s="941"/>
      <c r="W61" s="941"/>
      <c r="X61" s="1041"/>
      <c r="Y61" s="941"/>
      <c r="Z61" s="941"/>
      <c r="AA61" s="1041"/>
      <c r="AB61" s="941"/>
      <c r="AC61" s="941"/>
      <c r="AD61" s="1041"/>
      <c r="AE61" s="941"/>
      <c r="AF61" s="941"/>
      <c r="AG61" s="1041"/>
      <c r="AH61" s="941"/>
      <c r="AI61" s="941"/>
      <c r="AJ61" s="1041"/>
      <c r="AK61" s="941"/>
      <c r="AL61" s="941"/>
      <c r="AM61" s="1041"/>
      <c r="AN61" s="941"/>
      <c r="AO61" s="941"/>
      <c r="AP61" s="1041"/>
      <c r="AQ61" s="941"/>
      <c r="AR61" s="941"/>
      <c r="AS61" s="1041"/>
      <c r="AT61" s="941"/>
      <c r="AU61" s="941"/>
      <c r="AV61" s="1041"/>
      <c r="AW61" s="941"/>
      <c r="AX61" s="941"/>
      <c r="AY61" s="1041"/>
      <c r="AZ61" s="941"/>
      <c r="BA61" s="631"/>
      <c r="BB61" s="631"/>
      <c r="BC61" s="631"/>
      <c r="BD61" s="631"/>
      <c r="BE61" s="631"/>
      <c r="BF61" s="631"/>
      <c r="BG61" s="631"/>
      <c r="BH61" s="631"/>
      <c r="BI61" s="631"/>
      <c r="BJ61" s="631"/>
      <c r="BK61" s="631"/>
      <c r="BL61" s="631"/>
      <c r="BM61" s="631"/>
      <c r="BN61" s="631"/>
      <c r="BO61" s="631"/>
      <c r="BP61" s="631"/>
      <c r="BQ61" s="631"/>
      <c r="BR61" s="631"/>
      <c r="BS61" s="631"/>
      <c r="BT61" s="631"/>
      <c r="BU61" s="631"/>
      <c r="BV61" s="631"/>
      <c r="BW61" s="631"/>
      <c r="BX61" s="631"/>
      <c r="BY61" s="631"/>
      <c r="BZ61" s="631"/>
      <c r="CA61" s="631"/>
      <c r="CB61" s="631"/>
      <c r="CC61" s="631"/>
      <c r="CD61" s="631"/>
      <c r="CE61" s="631"/>
      <c r="CF61" s="631"/>
      <c r="CG61" s="631"/>
      <c r="CH61" s="631"/>
      <c r="CI61" s="631"/>
      <c r="CJ61" s="631"/>
      <c r="CK61" s="631"/>
      <c r="CL61" s="631"/>
      <c r="CM61" s="631"/>
      <c r="CN61" s="631"/>
      <c r="CO61" s="631"/>
      <c r="CP61" s="631"/>
      <c r="CQ61" s="631"/>
      <c r="CR61" s="631"/>
      <c r="CS61" s="631"/>
      <c r="CT61" s="631"/>
      <c r="CU61" s="631"/>
      <c r="CV61" s="631"/>
      <c r="CW61" s="631"/>
      <c r="CX61" s="631"/>
      <c r="CY61" s="631"/>
      <c r="CZ61" s="631"/>
      <c r="DA61" s="631"/>
      <c r="DB61" s="631"/>
    </row>
    <row r="62" ht="15.0" hidden="1" customHeight="1">
      <c r="A62" s="53">
        <v>60.0</v>
      </c>
      <c r="B62" s="969" t="s">
        <v>168</v>
      </c>
      <c r="C62" s="970"/>
      <c r="D62" s="892"/>
      <c r="E62" s="892"/>
      <c r="F62" s="153"/>
      <c r="G62" s="150"/>
      <c r="H62" s="150"/>
      <c r="I62" s="148"/>
      <c r="J62" s="148"/>
      <c r="K62" s="579"/>
      <c r="L62" s="580"/>
      <c r="M62" s="892"/>
      <c r="N62" s="892"/>
      <c r="O62" s="892"/>
      <c r="P62" s="587"/>
      <c r="Q62" s="841"/>
      <c r="R62" s="1023"/>
      <c r="S62" s="584"/>
      <c r="T62" s="885"/>
      <c r="U62" s="974"/>
      <c r="V62" s="885"/>
      <c r="W62" s="885"/>
      <c r="X62" s="974"/>
      <c r="Y62" s="885"/>
      <c r="Z62" s="885"/>
      <c r="AA62" s="974"/>
      <c r="AB62" s="885"/>
      <c r="AC62" s="885"/>
      <c r="AD62" s="974"/>
      <c r="AE62" s="885"/>
      <c r="AF62" s="885"/>
      <c r="AG62" s="974"/>
      <c r="AH62" s="885"/>
      <c r="AI62" s="885"/>
      <c r="AJ62" s="974"/>
      <c r="AK62" s="885"/>
      <c r="AL62" s="885"/>
      <c r="AM62" s="974"/>
      <c r="AN62" s="885"/>
      <c r="AO62" s="885"/>
      <c r="AP62" s="974"/>
      <c r="AQ62" s="885"/>
      <c r="AR62" s="885"/>
      <c r="AS62" s="974"/>
      <c r="AT62" s="885"/>
      <c r="AU62" s="885"/>
      <c r="AV62" s="974"/>
      <c r="AW62" s="885"/>
      <c r="AX62" s="885"/>
      <c r="AY62" s="974"/>
      <c r="AZ62" s="885"/>
      <c r="BA62" s="585"/>
      <c r="BB62" s="585"/>
      <c r="BC62" s="585"/>
      <c r="BD62" s="585"/>
      <c r="BE62" s="585"/>
      <c r="BF62" s="585"/>
      <c r="BG62" s="585"/>
      <c r="BH62" s="585"/>
      <c r="BI62" s="585"/>
      <c r="BJ62" s="585"/>
      <c r="BK62" s="585"/>
      <c r="BL62" s="585"/>
      <c r="BM62" s="585"/>
      <c r="BN62" s="585"/>
      <c r="BO62" s="585"/>
      <c r="BP62" s="585"/>
      <c r="BQ62" s="585"/>
      <c r="BR62" s="585"/>
      <c r="BS62" s="585"/>
      <c r="BT62" s="585"/>
      <c r="BU62" s="585"/>
      <c r="BV62" s="585"/>
      <c r="BW62" s="585"/>
      <c r="BX62" s="585"/>
      <c r="BY62" s="585"/>
      <c r="BZ62" s="585"/>
      <c r="CA62" s="585"/>
      <c r="CB62" s="585"/>
      <c r="CC62" s="585"/>
      <c r="CD62" s="585"/>
      <c r="CE62" s="585"/>
      <c r="CF62" s="585"/>
      <c r="CG62" s="585"/>
      <c r="CH62" s="585"/>
      <c r="CI62" s="585"/>
      <c r="CJ62" s="585"/>
      <c r="CK62" s="585"/>
      <c r="CL62" s="585"/>
      <c r="CM62" s="585"/>
      <c r="CN62" s="585"/>
      <c r="CO62" s="585"/>
      <c r="CP62" s="585"/>
      <c r="CQ62" s="585"/>
      <c r="CR62" s="585"/>
      <c r="CS62" s="585"/>
      <c r="CT62" s="585"/>
      <c r="CU62" s="585"/>
      <c r="CV62" s="585"/>
      <c r="CW62" s="585"/>
      <c r="CX62" s="585"/>
      <c r="CY62" s="585"/>
      <c r="CZ62" s="585"/>
      <c r="DA62" s="585"/>
      <c r="DB62" s="585"/>
    </row>
    <row r="63" ht="15.0" hidden="1" customHeight="1">
      <c r="A63" s="53">
        <v>61.0</v>
      </c>
      <c r="B63" s="969" t="s">
        <v>193</v>
      </c>
      <c r="C63" s="970"/>
      <c r="D63" s="892"/>
      <c r="E63" s="892"/>
      <c r="F63" s="153"/>
      <c r="G63" s="150"/>
      <c r="H63" s="150"/>
      <c r="I63" s="148"/>
      <c r="J63" s="148"/>
      <c r="K63" s="579"/>
      <c r="L63" s="580"/>
      <c r="M63" s="892"/>
      <c r="N63" s="892"/>
      <c r="O63" s="892"/>
      <c r="P63" s="587"/>
      <c r="Q63" s="841"/>
      <c r="R63" s="1023"/>
      <c r="S63" s="885"/>
      <c r="T63" s="885"/>
      <c r="U63" s="974"/>
      <c r="V63" s="885"/>
      <c r="W63" s="885"/>
      <c r="X63" s="974"/>
      <c r="Y63" s="885"/>
      <c r="Z63" s="885"/>
      <c r="AA63" s="974"/>
      <c r="AB63" s="885"/>
      <c r="AC63" s="885"/>
      <c r="AD63" s="974"/>
      <c r="AE63" s="885"/>
      <c r="AF63" s="885"/>
      <c r="AG63" s="974"/>
      <c r="AH63" s="885"/>
      <c r="AI63" s="885"/>
      <c r="AJ63" s="974"/>
      <c r="AK63" s="885"/>
      <c r="AL63" s="885"/>
      <c r="AM63" s="974"/>
      <c r="AN63" s="885"/>
      <c r="AO63" s="885"/>
      <c r="AP63" s="974"/>
      <c r="AQ63" s="885"/>
      <c r="AR63" s="885"/>
      <c r="AS63" s="974"/>
      <c r="AT63" s="885"/>
      <c r="AU63" s="885"/>
      <c r="AV63" s="974"/>
      <c r="AW63" s="885"/>
      <c r="AX63" s="885"/>
      <c r="AY63" s="974"/>
      <c r="AZ63" s="885"/>
      <c r="BA63" s="585"/>
      <c r="BB63" s="585"/>
      <c r="BC63" s="585"/>
      <c r="BD63" s="585"/>
      <c r="BE63" s="585"/>
      <c r="BF63" s="585"/>
      <c r="BG63" s="585"/>
      <c r="BH63" s="585"/>
      <c r="BI63" s="585"/>
      <c r="BJ63" s="585"/>
      <c r="BK63" s="585"/>
      <c r="BL63" s="585"/>
      <c r="BM63" s="585"/>
      <c r="BN63" s="585"/>
      <c r="BO63" s="585"/>
      <c r="BP63" s="585"/>
      <c r="BQ63" s="585"/>
      <c r="BR63" s="585"/>
      <c r="BS63" s="585"/>
      <c r="BT63" s="585"/>
      <c r="BU63" s="585"/>
      <c r="BV63" s="585"/>
      <c r="BW63" s="585"/>
      <c r="BX63" s="585"/>
      <c r="BY63" s="585"/>
      <c r="BZ63" s="585"/>
      <c r="CA63" s="585"/>
      <c r="CB63" s="585"/>
      <c r="CC63" s="585"/>
      <c r="CD63" s="585"/>
      <c r="CE63" s="585"/>
      <c r="CF63" s="585"/>
      <c r="CG63" s="585"/>
      <c r="CH63" s="585"/>
      <c r="CI63" s="585"/>
      <c r="CJ63" s="585"/>
      <c r="CK63" s="585"/>
      <c r="CL63" s="585"/>
      <c r="CM63" s="585"/>
      <c r="CN63" s="585"/>
      <c r="CO63" s="585"/>
      <c r="CP63" s="585"/>
      <c r="CQ63" s="585"/>
      <c r="CR63" s="585"/>
      <c r="CS63" s="585"/>
      <c r="CT63" s="585"/>
      <c r="CU63" s="585"/>
      <c r="CV63" s="585"/>
      <c r="CW63" s="585"/>
      <c r="CX63" s="585"/>
      <c r="CY63" s="585"/>
      <c r="CZ63" s="585"/>
      <c r="DA63" s="585"/>
      <c r="DB63" s="585"/>
    </row>
    <row r="64" ht="15.0" hidden="1" customHeight="1">
      <c r="A64" s="53">
        <v>62.0</v>
      </c>
      <c r="B64" s="976" t="s">
        <v>188</v>
      </c>
      <c r="C64" s="868"/>
      <c r="D64" s="869"/>
      <c r="E64" s="869"/>
      <c r="F64" s="132"/>
      <c r="G64" s="128"/>
      <c r="H64" s="128"/>
      <c r="I64" s="126"/>
      <c r="J64" s="126"/>
      <c r="K64" s="572"/>
      <c r="L64" s="573"/>
      <c r="M64" s="869"/>
      <c r="N64" s="869"/>
      <c r="O64" s="869"/>
      <c r="P64" s="587"/>
      <c r="Q64" s="833"/>
      <c r="R64" s="871"/>
      <c r="S64" s="872"/>
      <c r="T64" s="872"/>
      <c r="U64" s="873"/>
      <c r="V64" s="872"/>
      <c r="W64" s="872"/>
      <c r="X64" s="873"/>
      <c r="Y64" s="872"/>
      <c r="Z64" s="872"/>
      <c r="AA64" s="873"/>
      <c r="AB64" s="872"/>
      <c r="AC64" s="872"/>
      <c r="AD64" s="873"/>
      <c r="AE64" s="872"/>
      <c r="AF64" s="872"/>
      <c r="AG64" s="873"/>
      <c r="AH64" s="872"/>
      <c r="AI64" s="872"/>
      <c r="AJ64" s="873"/>
      <c r="AK64" s="872"/>
      <c r="AL64" s="872"/>
      <c r="AM64" s="873"/>
      <c r="AN64" s="872"/>
      <c r="AO64" s="872"/>
      <c r="AP64" s="873"/>
      <c r="AQ64" s="872"/>
      <c r="AR64" s="872"/>
      <c r="AS64" s="873"/>
      <c r="AT64" s="872"/>
      <c r="AU64" s="872"/>
      <c r="AV64" s="873"/>
      <c r="AW64" s="872"/>
      <c r="AX64" s="872"/>
      <c r="AY64" s="873"/>
      <c r="AZ64" s="872"/>
      <c r="BA64" s="578"/>
      <c r="BB64" s="578"/>
      <c r="BC64" s="578"/>
      <c r="BD64" s="578"/>
      <c r="BE64" s="578"/>
      <c r="BF64" s="578"/>
      <c r="BG64" s="578"/>
      <c r="BH64" s="578"/>
      <c r="BI64" s="578"/>
      <c r="BJ64" s="578"/>
      <c r="BK64" s="578"/>
      <c r="BL64" s="578"/>
      <c r="BM64" s="578"/>
      <c r="BN64" s="578"/>
      <c r="BO64" s="578"/>
      <c r="BP64" s="578"/>
      <c r="BQ64" s="578"/>
      <c r="BR64" s="578"/>
      <c r="BS64" s="578"/>
      <c r="BT64" s="578"/>
      <c r="BU64" s="578"/>
      <c r="BV64" s="578"/>
      <c r="BW64" s="578"/>
      <c r="BX64" s="578"/>
      <c r="BY64" s="578"/>
      <c r="BZ64" s="578"/>
      <c r="CA64" s="578"/>
      <c r="CB64" s="578"/>
      <c r="CC64" s="578"/>
      <c r="CD64" s="578"/>
      <c r="CE64" s="578"/>
      <c r="CF64" s="578"/>
      <c r="CG64" s="578"/>
      <c r="CH64" s="578"/>
      <c r="CI64" s="578"/>
      <c r="CJ64" s="578"/>
      <c r="CK64" s="578"/>
      <c r="CL64" s="578"/>
      <c r="CM64" s="578"/>
      <c r="CN64" s="578"/>
      <c r="CO64" s="578"/>
      <c r="CP64" s="578"/>
      <c r="CQ64" s="578"/>
      <c r="CR64" s="578"/>
      <c r="CS64" s="578"/>
      <c r="CT64" s="578"/>
      <c r="CU64" s="578"/>
      <c r="CV64" s="578"/>
      <c r="CW64" s="578"/>
      <c r="CX64" s="578"/>
      <c r="CY64" s="578"/>
      <c r="CZ64" s="578"/>
      <c r="DA64" s="578"/>
      <c r="DB64" s="578"/>
    </row>
    <row r="65" ht="15.0" hidden="1" customHeight="1">
      <c r="A65" s="53">
        <v>63.0</v>
      </c>
      <c r="B65" s="1042" t="s">
        <v>206</v>
      </c>
      <c r="C65" s="908"/>
      <c r="D65" s="909"/>
      <c r="E65" s="909"/>
      <c r="F65" s="216"/>
      <c r="G65" s="213"/>
      <c r="H65" s="213"/>
      <c r="I65" s="211"/>
      <c r="J65" s="211"/>
      <c r="K65" s="604"/>
      <c r="L65" s="605"/>
      <c r="M65" s="604"/>
      <c r="N65" s="605"/>
      <c r="O65" s="211"/>
      <c r="P65" s="587"/>
      <c r="Q65" s="913"/>
      <c r="R65" s="915"/>
      <c r="S65" s="914"/>
      <c r="T65" s="914"/>
      <c r="U65" s="916"/>
      <c r="V65" s="914"/>
      <c r="W65" s="914"/>
      <c r="X65" s="916"/>
      <c r="Y65" s="914"/>
      <c r="Z65" s="914"/>
      <c r="AA65" s="916"/>
      <c r="AB65" s="914"/>
      <c r="AC65" s="914"/>
      <c r="AD65" s="916"/>
      <c r="AE65" s="914"/>
      <c r="AF65" s="914"/>
      <c r="AG65" s="916"/>
      <c r="AH65" s="914"/>
      <c r="AI65" s="914"/>
      <c r="AJ65" s="916"/>
      <c r="AK65" s="914"/>
      <c r="AL65" s="914"/>
      <c r="AM65" s="916"/>
      <c r="AN65" s="914"/>
      <c r="AO65" s="914"/>
      <c r="AP65" s="916"/>
      <c r="AQ65" s="914"/>
      <c r="AR65" s="914"/>
      <c r="AS65" s="916"/>
      <c r="AT65" s="914"/>
      <c r="AU65" s="914"/>
      <c r="AV65" s="916"/>
      <c r="AW65" s="914"/>
      <c r="AX65" s="914"/>
      <c r="AY65" s="916"/>
      <c r="AZ65" s="914"/>
      <c r="BA65" s="610"/>
      <c r="BB65" s="610"/>
      <c r="BC65" s="610"/>
      <c r="BD65" s="610"/>
      <c r="BE65" s="610"/>
      <c r="BF65" s="610"/>
      <c r="BG65" s="610"/>
      <c r="BH65" s="610"/>
      <c r="BI65" s="610"/>
      <c r="BJ65" s="610"/>
      <c r="BK65" s="610"/>
      <c r="BL65" s="610"/>
      <c r="BM65" s="610"/>
      <c r="BN65" s="610"/>
      <c r="BO65" s="610"/>
      <c r="BP65" s="610"/>
      <c r="BQ65" s="610"/>
      <c r="BR65" s="610"/>
      <c r="BS65" s="610"/>
      <c r="BT65" s="610"/>
      <c r="BU65" s="610"/>
      <c r="BV65" s="610"/>
      <c r="BW65" s="610"/>
      <c r="BX65" s="610"/>
      <c r="BY65" s="610"/>
      <c r="BZ65" s="610"/>
      <c r="CA65" s="610"/>
      <c r="CB65" s="610"/>
      <c r="CC65" s="610"/>
      <c r="CD65" s="610"/>
      <c r="CE65" s="610"/>
      <c r="CF65" s="610"/>
      <c r="CG65" s="610"/>
      <c r="CH65" s="610"/>
      <c r="CI65" s="610"/>
      <c r="CJ65" s="610"/>
      <c r="CK65" s="610"/>
      <c r="CL65" s="610"/>
      <c r="CM65" s="610"/>
      <c r="CN65" s="610"/>
      <c r="CO65" s="610"/>
      <c r="CP65" s="610"/>
      <c r="CQ65" s="610"/>
      <c r="CR65" s="610"/>
      <c r="CS65" s="610"/>
      <c r="CT65" s="610"/>
      <c r="CU65" s="610"/>
      <c r="CV65" s="610"/>
      <c r="CW65" s="610"/>
      <c r="CX65" s="610"/>
      <c r="CY65" s="610"/>
      <c r="CZ65" s="610"/>
      <c r="DA65" s="610"/>
      <c r="DB65" s="610"/>
    </row>
    <row r="66" ht="15.0" hidden="1" customHeight="1">
      <c r="A66" s="53">
        <v>64.0</v>
      </c>
      <c r="B66" s="1043" t="s">
        <v>266</v>
      </c>
      <c r="C66" s="1044"/>
      <c r="D66" s="1045"/>
      <c r="E66" s="1045"/>
      <c r="F66" s="361"/>
      <c r="G66" s="361"/>
      <c r="H66" s="358"/>
      <c r="I66" s="356"/>
      <c r="J66" s="356"/>
      <c r="K66" s="640"/>
      <c r="L66" s="641"/>
      <c r="M66" s="640"/>
      <c r="N66" s="641"/>
      <c r="O66" s="356"/>
      <c r="P66" s="522"/>
      <c r="Q66" s="1046"/>
      <c r="R66" s="644"/>
      <c r="S66" s="645"/>
      <c r="T66" s="961"/>
      <c r="U66" s="718"/>
      <c r="V66" s="961"/>
      <c r="W66" s="961"/>
      <c r="X66" s="718"/>
      <c r="Y66" s="961"/>
      <c r="Z66" s="961"/>
      <c r="AA66" s="718"/>
      <c r="AB66" s="961"/>
      <c r="AC66" s="961"/>
      <c r="AD66" s="718"/>
      <c r="AE66" s="961"/>
      <c r="AF66" s="961"/>
      <c r="AG66" s="718"/>
      <c r="AH66" s="961"/>
      <c r="AI66" s="961"/>
      <c r="AJ66" s="718"/>
      <c r="AK66" s="961"/>
      <c r="AL66" s="961"/>
      <c r="AM66" s="718"/>
      <c r="AN66" s="961"/>
      <c r="AO66" s="961"/>
      <c r="AP66" s="718"/>
      <c r="AQ66" s="961"/>
      <c r="AR66" s="961"/>
      <c r="AS66" s="718"/>
      <c r="AT66" s="961"/>
      <c r="AU66" s="961"/>
      <c r="AV66" s="718"/>
      <c r="AW66" s="961"/>
      <c r="AX66" s="961"/>
      <c r="AY66" s="718"/>
      <c r="AZ66" s="961"/>
      <c r="BA66" s="646"/>
      <c r="BB66" s="646"/>
      <c r="BC66" s="646"/>
      <c r="BD66" s="646"/>
      <c r="BE66" s="646"/>
      <c r="BF66" s="646"/>
      <c r="BG66" s="646"/>
      <c r="BH66" s="646"/>
      <c r="BI66" s="646"/>
      <c r="BJ66" s="646"/>
      <c r="BK66" s="646"/>
      <c r="BL66" s="646"/>
      <c r="BM66" s="646"/>
      <c r="BN66" s="646"/>
      <c r="BO66" s="646"/>
      <c r="BP66" s="646"/>
      <c r="BQ66" s="646"/>
      <c r="BR66" s="646"/>
      <c r="BS66" s="646"/>
      <c r="BT66" s="646"/>
      <c r="BU66" s="646"/>
      <c r="BV66" s="646"/>
      <c r="BW66" s="646"/>
      <c r="BX66" s="646"/>
      <c r="BY66" s="646"/>
      <c r="BZ66" s="646"/>
      <c r="CA66" s="646"/>
      <c r="CB66" s="646"/>
      <c r="CC66" s="646"/>
      <c r="CD66" s="646"/>
      <c r="CE66" s="646"/>
      <c r="CF66" s="646"/>
      <c r="CG66" s="646"/>
      <c r="CH66" s="646"/>
      <c r="CI66" s="646"/>
      <c r="CJ66" s="646"/>
      <c r="CK66" s="646"/>
      <c r="CL66" s="646"/>
      <c r="CM66" s="646"/>
      <c r="CN66" s="646"/>
      <c r="CO66" s="646"/>
      <c r="CP66" s="646"/>
      <c r="CQ66" s="646"/>
      <c r="CR66" s="646"/>
      <c r="CS66" s="646"/>
      <c r="CT66" s="646"/>
      <c r="CU66" s="646"/>
      <c r="CV66" s="646"/>
      <c r="CW66" s="646"/>
      <c r="CX66" s="646"/>
      <c r="CY66" s="646"/>
      <c r="CZ66" s="646"/>
      <c r="DA66" s="646"/>
      <c r="DB66" s="646"/>
    </row>
    <row r="67" ht="15.0" hidden="1" customHeight="1">
      <c r="A67" s="53">
        <v>65.0</v>
      </c>
      <c r="B67" s="976" t="s">
        <v>151</v>
      </c>
      <c r="C67" s="868"/>
      <c r="D67" s="869"/>
      <c r="E67" s="869"/>
      <c r="F67" s="132"/>
      <c r="G67" s="132"/>
      <c r="H67" s="128"/>
      <c r="I67" s="126"/>
      <c r="J67" s="126"/>
      <c r="K67" s="572"/>
      <c r="L67" s="573"/>
      <c r="M67" s="572"/>
      <c r="N67" s="573"/>
      <c r="O67" s="126"/>
      <c r="P67" s="522"/>
      <c r="Q67" s="833"/>
      <c r="R67" s="576"/>
      <c r="S67" s="577"/>
      <c r="T67" s="872"/>
      <c r="U67" s="873"/>
      <c r="V67" s="872"/>
      <c r="W67" s="872"/>
      <c r="X67" s="873"/>
      <c r="Y67" s="872"/>
      <c r="Z67" s="872"/>
      <c r="AA67" s="873"/>
      <c r="AB67" s="872"/>
      <c r="AC67" s="872"/>
      <c r="AD67" s="873"/>
      <c r="AE67" s="872"/>
      <c r="AF67" s="872"/>
      <c r="AG67" s="873"/>
      <c r="AH67" s="872"/>
      <c r="AI67" s="872"/>
      <c r="AJ67" s="873"/>
      <c r="AK67" s="872"/>
      <c r="AL67" s="872"/>
      <c r="AM67" s="873"/>
      <c r="AN67" s="872"/>
      <c r="AO67" s="872"/>
      <c r="AP67" s="873"/>
      <c r="AQ67" s="872"/>
      <c r="AR67" s="872"/>
      <c r="AS67" s="873"/>
      <c r="AT67" s="872"/>
      <c r="AU67" s="872"/>
      <c r="AV67" s="873"/>
      <c r="AW67" s="872"/>
      <c r="AX67" s="872"/>
      <c r="AY67" s="873"/>
      <c r="AZ67" s="872"/>
      <c r="BA67" s="578"/>
      <c r="BB67" s="578"/>
      <c r="BC67" s="578"/>
      <c r="BD67" s="578"/>
      <c r="BE67" s="578"/>
      <c r="BF67" s="578"/>
      <c r="BG67" s="578"/>
      <c r="BH67" s="578"/>
      <c r="BI67" s="578"/>
      <c r="BJ67" s="578"/>
      <c r="BK67" s="578"/>
      <c r="BL67" s="578"/>
      <c r="BM67" s="578"/>
      <c r="BN67" s="578"/>
      <c r="BO67" s="578"/>
      <c r="BP67" s="578"/>
      <c r="BQ67" s="578"/>
      <c r="BR67" s="578"/>
      <c r="BS67" s="578"/>
      <c r="BT67" s="578"/>
      <c r="BU67" s="578"/>
      <c r="BV67" s="578"/>
      <c r="BW67" s="578"/>
      <c r="BX67" s="578"/>
      <c r="BY67" s="578"/>
      <c r="BZ67" s="578"/>
      <c r="CA67" s="578"/>
      <c r="CB67" s="578"/>
      <c r="CC67" s="578"/>
      <c r="CD67" s="578"/>
      <c r="CE67" s="578"/>
      <c r="CF67" s="578"/>
      <c r="CG67" s="578"/>
      <c r="CH67" s="578"/>
      <c r="CI67" s="578"/>
      <c r="CJ67" s="578"/>
      <c r="CK67" s="578"/>
      <c r="CL67" s="578"/>
      <c r="CM67" s="578"/>
      <c r="CN67" s="578"/>
      <c r="CO67" s="578"/>
      <c r="CP67" s="578"/>
      <c r="CQ67" s="578"/>
      <c r="CR67" s="578"/>
      <c r="CS67" s="578"/>
      <c r="CT67" s="578"/>
      <c r="CU67" s="578"/>
      <c r="CV67" s="578"/>
      <c r="CW67" s="578"/>
      <c r="CX67" s="578"/>
      <c r="CY67" s="578"/>
      <c r="CZ67" s="578"/>
      <c r="DA67" s="578"/>
      <c r="DB67" s="578"/>
    </row>
    <row r="68" ht="15.0" hidden="1" customHeight="1">
      <c r="A68" s="53">
        <v>66.0</v>
      </c>
      <c r="B68" s="1047" t="s">
        <v>173</v>
      </c>
      <c r="C68" s="1048"/>
      <c r="D68" s="892"/>
      <c r="E68" s="1049"/>
      <c r="F68" s="1049"/>
      <c r="G68" s="1049"/>
      <c r="H68" s="1050"/>
      <c r="I68" s="894"/>
      <c r="J68" s="894"/>
      <c r="K68" s="579"/>
      <c r="L68" s="580"/>
      <c r="M68" s="579"/>
      <c r="N68" s="1051"/>
      <c r="O68" s="894"/>
      <c r="P68" s="522"/>
      <c r="Q68" s="841"/>
      <c r="R68" s="583"/>
      <c r="S68" s="885"/>
      <c r="T68" s="885"/>
      <c r="U68" s="685"/>
      <c r="V68" s="885"/>
      <c r="W68" s="885"/>
      <c r="X68" s="685"/>
      <c r="Y68" s="885"/>
      <c r="Z68" s="885"/>
      <c r="AA68" s="685"/>
      <c r="AB68" s="885"/>
      <c r="AC68" s="885"/>
      <c r="AD68" s="685"/>
      <c r="AE68" s="885"/>
      <c r="AF68" s="885"/>
      <c r="AG68" s="685"/>
      <c r="AH68" s="885"/>
      <c r="AI68" s="885"/>
      <c r="AJ68" s="685"/>
      <c r="AK68" s="885"/>
      <c r="AL68" s="885"/>
      <c r="AM68" s="685"/>
      <c r="AN68" s="885"/>
      <c r="AO68" s="885"/>
      <c r="AP68" s="685"/>
      <c r="AQ68" s="885"/>
      <c r="AR68" s="885"/>
      <c r="AS68" s="685"/>
      <c r="AT68" s="885"/>
      <c r="AU68" s="885"/>
      <c r="AV68" s="685"/>
      <c r="AW68" s="885"/>
      <c r="AX68" s="885"/>
      <c r="AY68" s="685"/>
      <c r="AZ68" s="885"/>
      <c r="BA68" s="885"/>
      <c r="BB68" s="584"/>
      <c r="BC68" s="885"/>
      <c r="BD68" s="885"/>
      <c r="BE68" s="584"/>
      <c r="BF68" s="885"/>
      <c r="BG68" s="885"/>
      <c r="BH68" s="584"/>
      <c r="BI68" s="885"/>
      <c r="BJ68" s="585"/>
      <c r="BK68" s="585"/>
      <c r="BL68" s="585"/>
      <c r="BM68" s="585"/>
      <c r="BN68" s="585"/>
      <c r="BO68" s="585"/>
      <c r="BP68" s="585"/>
      <c r="BQ68" s="585"/>
      <c r="BR68" s="585"/>
      <c r="BS68" s="585"/>
      <c r="BT68" s="585"/>
      <c r="BU68" s="585"/>
      <c r="BV68" s="585"/>
      <c r="BW68" s="585"/>
      <c r="BX68" s="585"/>
      <c r="BY68" s="585"/>
      <c r="BZ68" s="585"/>
      <c r="CA68" s="585"/>
      <c r="CB68" s="585"/>
      <c r="CC68" s="585"/>
      <c r="CD68" s="585"/>
      <c r="CE68" s="585"/>
      <c r="CF68" s="585"/>
      <c r="CG68" s="585"/>
      <c r="CH68" s="585"/>
      <c r="CI68" s="585"/>
      <c r="CJ68" s="585"/>
      <c r="CK68" s="585"/>
      <c r="CL68" s="585"/>
      <c r="CM68" s="585"/>
      <c r="CN68" s="585"/>
      <c r="CO68" s="585"/>
      <c r="CP68" s="585"/>
      <c r="CQ68" s="585"/>
      <c r="CR68" s="585"/>
      <c r="CS68" s="585"/>
      <c r="CT68" s="585"/>
      <c r="CU68" s="585"/>
      <c r="CV68" s="585"/>
      <c r="CW68" s="585"/>
      <c r="CX68" s="585"/>
      <c r="CY68" s="585"/>
      <c r="CZ68" s="585"/>
      <c r="DA68" s="585"/>
      <c r="DB68" s="585"/>
    </row>
    <row r="69" ht="189.75" customHeight="1">
      <c r="A69" s="556"/>
      <c r="B69" s="556"/>
      <c r="C69" s="556"/>
      <c r="D69" s="799"/>
      <c r="E69" s="653"/>
      <c r="F69" s="653"/>
      <c r="G69" s="653"/>
      <c r="H69" s="653"/>
      <c r="I69" s="556"/>
      <c r="J69" s="556"/>
      <c r="K69" s="556"/>
      <c r="L69" s="556"/>
      <c r="M69" s="556"/>
      <c r="N69" s="556"/>
      <c r="O69" s="556"/>
      <c r="P69" s="556"/>
      <c r="Q69" s="556"/>
      <c r="R69" s="654"/>
      <c r="S69" s="568"/>
      <c r="T69" s="568"/>
      <c r="U69" s="568"/>
      <c r="V69" s="568"/>
      <c r="W69" s="568"/>
      <c r="X69" s="568"/>
      <c r="Y69" s="568"/>
      <c r="Z69" s="568"/>
      <c r="AA69" s="568"/>
      <c r="AB69" s="568"/>
      <c r="AC69" s="568"/>
      <c r="AD69" s="568"/>
      <c r="AE69" s="568"/>
      <c r="AF69" s="568"/>
      <c r="AG69" s="568"/>
      <c r="AH69" s="568"/>
      <c r="AI69" s="568"/>
      <c r="AJ69" s="568"/>
      <c r="AK69" s="568"/>
      <c r="AL69" s="568"/>
      <c r="AM69" s="568"/>
      <c r="AN69" s="568"/>
      <c r="AO69" s="568"/>
      <c r="AP69" s="568"/>
      <c r="AQ69" s="568"/>
      <c r="AR69" s="568"/>
      <c r="AS69" s="568"/>
      <c r="AT69" s="568"/>
      <c r="AU69" s="568"/>
      <c r="AV69" s="568"/>
      <c r="AW69" s="568"/>
      <c r="AX69" s="568"/>
      <c r="AY69" s="568"/>
      <c r="AZ69" s="568"/>
      <c r="BA69" s="568"/>
      <c r="BB69" s="568"/>
      <c r="BC69" s="568"/>
      <c r="BD69" s="568"/>
      <c r="BE69" s="568"/>
      <c r="BF69" s="568"/>
      <c r="BG69" s="568"/>
      <c r="BH69" s="568"/>
      <c r="BI69" s="568"/>
      <c r="BJ69" s="568"/>
      <c r="BK69" s="568"/>
      <c r="BL69" s="568"/>
      <c r="BM69" s="568"/>
      <c r="BN69" s="568"/>
      <c r="BO69" s="568"/>
      <c r="BP69" s="568"/>
      <c r="BQ69" s="568"/>
      <c r="BR69" s="568"/>
      <c r="BS69" s="568"/>
      <c r="BT69" s="568"/>
      <c r="BU69" s="568"/>
      <c r="BV69" s="568"/>
      <c r="BW69" s="568"/>
      <c r="BX69" s="568"/>
      <c r="BY69" s="568"/>
      <c r="BZ69" s="568"/>
      <c r="CA69" s="568"/>
      <c r="CB69" s="568"/>
      <c r="CC69" s="568"/>
      <c r="CD69" s="568"/>
      <c r="CE69" s="568"/>
      <c r="CF69" s="568"/>
      <c r="CG69" s="568"/>
      <c r="CH69" s="568"/>
      <c r="CI69" s="568"/>
      <c r="CJ69" s="568"/>
      <c r="CK69" s="568"/>
      <c r="CL69" s="568"/>
      <c r="CM69" s="568"/>
      <c r="CN69" s="568"/>
      <c r="CO69" s="568"/>
      <c r="CP69" s="568"/>
      <c r="CQ69" s="568"/>
      <c r="CR69" s="568"/>
      <c r="CS69" s="568"/>
      <c r="CT69" s="568"/>
      <c r="CU69" s="568"/>
      <c r="CV69" s="568"/>
      <c r="CW69" s="568"/>
      <c r="CX69" s="568"/>
      <c r="CY69" s="568"/>
      <c r="CZ69" s="568"/>
      <c r="DA69" s="568"/>
      <c r="DB69" s="568"/>
    </row>
    <row r="70" ht="189.75" customHeight="1">
      <c r="A70" s="556"/>
      <c r="B70" s="556"/>
      <c r="C70" s="556"/>
      <c r="D70" s="799"/>
      <c r="E70" s="653"/>
      <c r="F70" s="653"/>
      <c r="G70" s="653"/>
      <c r="H70" s="653"/>
      <c r="I70" s="556"/>
      <c r="J70" s="556"/>
      <c r="K70" s="556"/>
      <c r="L70" s="556"/>
      <c r="M70" s="556"/>
      <c r="N70" s="556"/>
      <c r="O70" s="556"/>
      <c r="P70" s="556"/>
      <c r="Q70" s="556"/>
      <c r="R70" s="654"/>
      <c r="S70" s="568"/>
      <c r="T70" s="568"/>
      <c r="U70" s="568"/>
      <c r="V70" s="568"/>
      <c r="W70" s="568"/>
      <c r="X70" s="568"/>
      <c r="Y70" s="568"/>
      <c r="Z70" s="568"/>
      <c r="AA70" s="568"/>
      <c r="AB70" s="568"/>
      <c r="AC70" s="568"/>
      <c r="AD70" s="568"/>
      <c r="AE70" s="568"/>
      <c r="AF70" s="568"/>
      <c r="AG70" s="568"/>
      <c r="AH70" s="568"/>
      <c r="AI70" s="568"/>
      <c r="AJ70" s="568"/>
      <c r="AK70" s="568"/>
      <c r="AL70" s="568"/>
      <c r="AM70" s="568"/>
      <c r="AN70" s="568"/>
      <c r="AO70" s="568"/>
      <c r="AP70" s="568"/>
      <c r="AQ70" s="568"/>
      <c r="AR70" s="568"/>
      <c r="AS70" s="568"/>
      <c r="AT70" s="568"/>
      <c r="AU70" s="568"/>
      <c r="AV70" s="568"/>
      <c r="AW70" s="568"/>
      <c r="AX70" s="568"/>
      <c r="AY70" s="568"/>
      <c r="AZ70" s="568"/>
      <c r="BA70" s="568"/>
      <c r="BB70" s="568"/>
      <c r="BC70" s="568"/>
      <c r="BD70" s="568"/>
      <c r="BE70" s="568"/>
      <c r="BF70" s="568"/>
      <c r="BG70" s="568"/>
      <c r="BH70" s="568"/>
      <c r="BI70" s="568"/>
      <c r="BJ70" s="568"/>
      <c r="BK70" s="568"/>
      <c r="BL70" s="568"/>
      <c r="BM70" s="568"/>
      <c r="BN70" s="568"/>
      <c r="BO70" s="568"/>
      <c r="BP70" s="568"/>
      <c r="BQ70" s="568"/>
      <c r="BR70" s="568"/>
      <c r="BS70" s="568"/>
      <c r="BT70" s="568"/>
      <c r="BU70" s="568"/>
      <c r="BV70" s="568"/>
      <c r="BW70" s="568"/>
      <c r="BX70" s="568"/>
      <c r="BY70" s="568"/>
      <c r="BZ70" s="568"/>
      <c r="CA70" s="568"/>
      <c r="CB70" s="568"/>
      <c r="CC70" s="568"/>
      <c r="CD70" s="568"/>
      <c r="CE70" s="568"/>
      <c r="CF70" s="568"/>
      <c r="CG70" s="568"/>
      <c r="CH70" s="568"/>
      <c r="CI70" s="568"/>
      <c r="CJ70" s="568"/>
      <c r="CK70" s="568"/>
      <c r="CL70" s="568"/>
      <c r="CM70" s="568"/>
      <c r="CN70" s="568"/>
      <c r="CO70" s="568"/>
      <c r="CP70" s="568"/>
      <c r="CQ70" s="568"/>
      <c r="CR70" s="568"/>
      <c r="CS70" s="568"/>
      <c r="CT70" s="568"/>
      <c r="CU70" s="568"/>
      <c r="CV70" s="568"/>
      <c r="CW70" s="568"/>
      <c r="CX70" s="568"/>
      <c r="CY70" s="568"/>
      <c r="CZ70" s="568"/>
      <c r="DA70" s="568"/>
      <c r="DB70" s="568"/>
    </row>
  </sheetData>
  <autoFilter ref="$A$2:$DB$68">
    <filterColumn colId="3">
      <filters>
        <filter val="SITE"/>
        <filter val="UTLS"/>
        <filter val="STIR"/>
        <filter val="PUMP"/>
        <filter val="GUAR"/>
      </filters>
    </filterColumn>
  </autoFilter>
  <mergeCells count="2">
    <mergeCell ref="D1:AL1"/>
    <mergeCell ref="AM1:AN1"/>
  </mergeCells>
  <conditionalFormatting sqref="CH49:DB49">
    <cfRule type="cellIs" dxfId="3" priority="1" operator="between">
      <formula>"0%"</formula>
      <formula>"50%"</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15" priority="2" operator="greaterThanOrEqual">
      <formula>70%</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3" priority="3" operator="between">
      <formula>"1%"</formula>
      <formula>"48%"</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17" priority="4" operator="equal">
      <formula>"N/A"</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10" priority="5" operator="equal">
      <formula>"NOT PUBLISHED"</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6" priority="6" operator="equal">
      <formula>"OUTDATED"</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7" priority="7" operator="equal">
      <formula>"ANALYSING"</formula>
    </cfRule>
  </conditionalFormatting>
  <conditionalFormatting sqref="BJ3:BJ5 BL3:DB5 BJ7:BJ9 BL7:CA9 CB7:CB11 CC7:CC9 CD7:DB11 BA8:BA33 BC8:BC33 BD8:BI9 BK8:BK9 AH9:AZ9 BB9 BG11 BI11:CA11 CC11 BD14 BF14 BG14:BG15 BH14 BI14:DB15 BD17 BF17:BU17 BV17:BV19 BW17 BX17:CA19 CB17:CB21 CC17:CC19 CD17:DB21 BD23:DB23 BD26:DB26 BY28 CA28:DB28 BD31:CD33 CE31:CE34 CF31:CF33 CG31:DB34 BP54:DB54">
    <cfRule type="cellIs" dxfId="16" priority="8" operator="equal">
      <formula>"NEXT ROUND"</formula>
    </cfRule>
  </conditionalFormatting>
  <conditionalFormatting sqref="M3:M68 N16:O16 N19:N20 N24 N32 N34 N36 AM42 AP42 AS42 AV42 AY42 BB42 BE42 BH42 BK42 BN42 BQ42 BT42 BW42 BZ42 CC42 CF42 CI42 CL42 CO42 CR42 CU42 CX42 DA42 N45 N52 N54:N55 O55 N57:O57 N62:O64">
    <cfRule type="expression" dxfId="2" priority="9">
      <formula>IFERROR(ARRAYFORMULA(VALUE(MID(K3,2,10))) &gt; VALUE(MID(M3,2,10)), FALSE)</formula>
    </cfRule>
  </conditionalFormatting>
  <conditionalFormatting sqref="AM1:AN1 AO1:AO45 AP1:AP4 AQ1:BW45 BX1:DB70 S2:S5 T2:Y33 Z3:AA3 AB3:AB4 AC3:AD3 AE3:AN4 AA6 S7:S10 AB7:AB9 AE7:AN14 AP7:AP14 AC8:AC10 AD8:AD9 S12:S15 AB13:AD13 AB16:AB19 AC16:AC32 AD16:AD19 AE16:AE32 AF16:AF36 AG16:AG32 AH16:AH40 AI16:AI45 AJ16:AJ40 AK16:AN45 AP16:AP45 S17:S23 AA18:AA19 AA21:AA33 AB21:AB27 AD21:AD27 Z23:Z27 S27:S28 Z29 AB29:AB32 AD29:AD32 R30 S30:S31 Z31 S33 Z33 AB34 AE34 AG34 S35:S39 T35:T40 U35:U70 V35:W40 X35:X70 Y35:AA35 Y37:AE40 AG37:AG40 S42:T54 V42:W54 Y42:Y54 Z42:Z45 AA42:AA54 AB42:AE45 AG42:AH45 AJ42:AJ45 AB47:AD47 AE47:AN54 AO47:AO70 AP47:AP54 AQ47:BW70 M49:N49 Z49:Z54 AB49:AD54 S56:S62 T56:T70 V56:W70 Y56:Y70 Z56:Z60 AA56:AA70 AB56:AC60 AD56:AD70 AE56:AF60 AG56:AH70 AI56 AJ56:AJ70 AK56:AL56 AM56:AM70 AN56 AP56:AP70 AI58:AI70 AK58:AL70 AN58:AN70 Z63:Z70 AB63:AC70 AE63:AF70 S66:S67 S69:S70">
    <cfRule type="cellIs" dxfId="1" priority="10" operator="greaterThanOrEqual">
      <formula>"70%"</formula>
    </cfRule>
  </conditionalFormatting>
  <conditionalFormatting sqref="AM1:AN1 AO1:AO45 AP1:AP4 AQ1:BW45 BX1:DB70 S2:S5 T2:Y33 Z3:AA3 AB3:AB4 AC3:AD3 AE3:AN4 AA6 S7:S10 AB7:AB9 AE7:AN14 AP7:AP14 AC8:AC10 AD8:AD9 S12:S15 AB13:AD13 AB16:AB19 AC16:AC32 AD16:AD19 AE16:AE32 AF16:AF36 AG16:AG32 AH16:AH40 AI16:AI45 AJ16:AJ40 AK16:AN45 AP16:AP45 S17:S23 AA18:AA19 AA21:AA33 AB21:AB27 AD21:AD27 Z23:Z27 S27:S28 Z29 AB29:AB32 AD29:AD32 R30 S30:S31 Z31 S33 Z33 AB34 AE34 AG34 S35:S39 T35:T40 U35:U70 V35:W40 X35:X70 Y35:AA35 Y37:AE40 AG37:AG40 S42:T54 V42:W54 Y42:Y54 Z42:Z45 AA42:AA54 AB42:AE45 AG42:AH45 AJ42:AJ45 AB47:AD47 AE47:AN54 AO47:AO70 AP47:AP54 AQ47:BW70 M49:N49 Z49:Z54 AB49:AD54 S56:S62 T56:T70 V56:W70 Y56:Y70 Z56:Z60 AA56:AA70 AB56:AC60 AD56:AD70 AE56:AF60 AG56:AH70 AI56 AJ56:AJ70 AK56:AL56 AM56:AM70 AN56 AP56:AP70 AI58:AI70 AK58:AL70 AN58:AN70 Z63:Z70 AB63:AC70 AE63:AF70 S66:S67 S69:S70">
    <cfRule type="cellIs" dxfId="2" priority="11" operator="between">
      <formula>"49%"</formula>
      <formula>"69%"</formula>
    </cfRule>
  </conditionalFormatting>
  <conditionalFormatting sqref="AO2:DB2 M3:M4 AB4 AE4:AN4 AO4:AO42 AP4 AQ4:DB42 AA6 AB7:AB8 AE7:AH8 AI7:AI10 AJ7:AJ8 AK7:AN10 AP7:AP10 AC8:AD8 AC10 AE10:AH10 AJ10 AE12:AN14 AP12:AP14 AC13 V16:Y16 AC16:AC17 AE16:AN17 AP16:AP18 AB17 AD17 V20:Y20 AC20 AE20 AF20:AF28 AG20 AH20:AH36 AI20:AI39 AJ20:AK36 AL20:AL39 AM20:AN36 AP20:AP36 Y22:Y24 AA22:AE24 AG22:AG24 Z23:Z24 V24:X24 V26:AE26 AG26 AC28 AE28 AG28:AG32 R30:S30 U30:Y30 AA30:AF30 V32:Y32 AA32:AE32 AF32:AF36 AB34 AE34 AG34 V36:X36 V38:X38 Y38:AE39 AG38:AH39 AJ38:AK39 AM38:AN39 AP38:AP39 V45:Y45 AA45 AE48:DB48 BP54:DB56 AO55:AO56 AQ55:BO56 V62:Y64 AA62:AA64 AD62:AD64 AG62:AG64 AJ62:AJ64 AM62:AM64 AP62:AP64 AS62:AS64 AV62:AV64 AY62:AY64 Z63:Z64 AB63:AC64 AE63:AF64 AH63:AI64 AK63:AL64 AN63:AO64 AQ63:AR64 AT63:AU64 AW63:AX64 AZ63:DB64 T64:U64">
    <cfRule type="cellIs" dxfId="3" priority="12" operator="between">
      <formula>"1%"</formula>
      <formula>"50%"</formula>
    </cfRule>
  </conditionalFormatting>
  <conditionalFormatting sqref="AM1:DB1 S2:S5 T2:Y33 Z3:AA3 AB3:AB4 AC3:AD3 AE3:AN4 AO3:AO45 AP3:AP4 AQ3:BW45 BX3:DB70 AA6 S7:S10 AB7:AB9 AE7:AN14 AP7:AP14 AC8:AC10 AD8:AD9 S12:S15 AB13:AD13 AB16:AB19 AC16:AC32 AD16:AD19 AE16:AE32 AF16:AF36 AG16:AG32 AH16:AH40 AI16:AI45 AJ16:AJ40 AK16:AN45 AP16:AP45 S17:S23 AA18:AA19 AA21:AA33 AB21:AB27 AD21:AD27 Z23:Z27 S27:S28 Z29 AB29:AB32 AD29:AD32 R30 S30:S31 Z31 S33 Z33 AB34 AE34 AG34 S35:S39 T35:T40 U35:U70 V35:W40 X35:X70 Y35:AA35 Y37:AE40 AG37:AG40 S42:T54 V42:W54 Y42:Y54 Z42:Z45 AA42:AA54 AB42:AE45 AG42:AH45 AJ42:AJ45 AB47:AD47 AE47:AN54 AO47:AO70 AP47:AP54 AQ47:BW70 M49:N49 Z49:Z54 AB49:AD54 S56:S62 T56:T70 V56:W70 Y56:Y70 Z56:Z60 AA56:AA70 AB56:AC60 AD56:AD70 AE56:AF60 AG56:AH70 AI56 AJ56:AJ70 AK56:AL56 AM56:AM70 AN56 AP56:AP70 AI58:AI70 AK58:AL70 AN58:AN70 Z63:Z70 AB63:AC70 AE63:AF70 S66:S67 S69:S70">
    <cfRule type="cellIs" dxfId="3" priority="13" operator="between">
      <formula>"1%"</formula>
      <formula>"50%"</formula>
    </cfRule>
  </conditionalFormatting>
  <conditionalFormatting sqref="P3 P69:P70">
    <cfRule type="cellIs" dxfId="18" priority="14" operator="equal">
      <formula>"YASMIN"</formula>
    </cfRule>
  </conditionalFormatting>
  <conditionalFormatting sqref="P3 P69:P70">
    <cfRule type="cellIs" dxfId="19" priority="15" operator="equal">
      <formula>"LETÍCIA"</formula>
    </cfRule>
  </conditionalFormatting>
  <conditionalFormatting sqref="P3 P69:P70">
    <cfRule type="cellIs" dxfId="20" priority="16" operator="equal">
      <formula>"CICI"</formula>
    </cfRule>
  </conditionalFormatting>
  <conditionalFormatting sqref="P3 P69:P70">
    <cfRule type="cellIs" dxfId="2" priority="17" operator="equal">
      <formula>"ALINNE"</formula>
    </cfRule>
  </conditionalFormatting>
  <conditionalFormatting sqref="P3 P69:P70">
    <cfRule type="cellIs" dxfId="15" priority="18" operator="equal">
      <formula>"GUILHERME"</formula>
    </cfRule>
  </conditionalFormatting>
  <conditionalFormatting sqref="P3 P69:P70">
    <cfRule type="cellIs" dxfId="15" priority="19" operator="equal">
      <formula>"GUILHERME"</formula>
    </cfRule>
  </conditionalFormatting>
  <conditionalFormatting sqref="P3 P69:P70">
    <cfRule type="cellIs" dxfId="15" priority="20" operator="equal">
      <formula>"GUILHERME"</formula>
    </cfRule>
  </conditionalFormatting>
  <conditionalFormatting sqref="P3 P69:P70">
    <cfRule type="cellIs" dxfId="15" priority="21" operator="equal">
      <formula>"GUILHERME"</formula>
    </cfRule>
  </conditionalFormatting>
  <conditionalFormatting sqref="I3:K54">
    <cfRule type="beginsWith" dxfId="5" priority="22" operator="beginsWith" text="V">
      <formula>LEFT((I3),LEN("V"))=("V")</formula>
    </cfRule>
  </conditionalFormatting>
  <dataValidations>
    <dataValidation type="list" allowBlank="1" showErrorMessage="1" sqref="P50:P51">
      <formula1>"CICI,YASMIN,GUI,JAKE,ALINNE,JOÃO,LUIZA"</formula1>
    </dataValidation>
    <dataValidation type="list" allowBlank="1" showErrorMessage="1" sqref="O7:O54">
      <formula1>"R22,R24,AWAITING APPROVAL,N/A,NOT PUBLISHED"</formula1>
    </dataValidation>
    <dataValidation type="list" allowBlank="1" showDropDown="1" showErrorMessage="1" sqref="BY7 CA7:CB7 CD7 BY29 CA29:CB29 CD29 CH31 BY32 CA32:CB32 CE32 CG32:CH32 CJ32 BY34 CA34:CB34 CD34:CE34 CH34 CK34 CN33:CN34 CQ33:CQ34 CT33:CT34 CW33:CW34 CZ33:CZ34">
      <formula1>"APPROVED,REPROVED,N/A,ANALYSING,NOT PUBLISHED,OUTDATED,PREVIOUSLY APPROVED,NEXT ROUND,IMPROPER"</formula1>
    </dataValidation>
    <dataValidation type="list" allowBlank="1" showErrorMessage="1" sqref="P7">
      <formula1>"CICI,YASMIN,GUI,CAROL,ALINNE,IURY,CLARISSA"</formula1>
    </dataValidation>
    <dataValidation type="list" allowBlank="1" showDropDown="1" showErrorMessage="1" sqref="BD7 BF7:BG7 BI7 BJ29 BL29 BD30 BG29:BG30 BI30:BJ30 BL30:BM30 BO30:BP30 BR30:BS30 BU30:BV30 BX30:BY30 CA30:CB30 CD30:CE30 CG30:CH30 CJ30:CK30 CM30:CN30 CP30 BD32:BD33 BF32:BG33 BG34 BI32:BI34 BD37 BF37:BG37 BJ37 BM37 BP37 BS37 BV37 BY37 CB37 CE37 CH37 CK37 CN37 CQ37 CT37 CW37 CZ37 BD39 BF39:BG39 BI39:BJ39 BM39 BP39 BS39 BV39 BY39 CB39 CE39 CH39 CK39 CN39 CQ39 CT39 CW39 CZ39 BG43 BI43:BJ43 BM43 BP43 BS43 BV43 BY43 CB43 CE43 CH43 CK43 CN43 CQ43 CT43 CW43 CZ43 AL43:AL44 AN43:AN44 BD43:BD44 BF44:BG44 BI44 AL50 AO50 AR50 AU50 AX50 BA50 BD50 BG50 BJ50 BM50 BP50 BS50 BV50 BY50 CB50 CE50 CH50 CK50 CN50 CQ50 CT50 CW50 CZ50">
      <formula1>"APPROVED,REPROVED,N/A,ANALYSING,NOT PUBLISHED,OUTDATED,PREVIOUSLY APPROVED,NEXT ROUND ,IMPROPER"</formula1>
    </dataValidation>
    <dataValidation type="list" allowBlank="1" showErrorMessage="1" sqref="P4:P6 P17 P53:P68">
      <formula1>"CICI,YASMIN,GUI,JAKE,ALINNE"</formula1>
    </dataValidation>
    <dataValidation type="list" allowBlank="1" showErrorMessage="1" sqref="P8 P11:P12 P14:P16 P18:P49 P52">
      <formula1>"CICI,YASMIN,GUI,JAKE,ALINNE,IURY,LUIZA,INGRYD"</formula1>
    </dataValidation>
    <dataValidation type="list" allowBlank="1" showErrorMessage="1" sqref="P9">
      <formula1>"CICI,YASMIN,IURY"</formula1>
    </dataValidation>
    <dataValidation type="list" allowBlank="1" showDropDown="1" showErrorMessage="1" sqref="W7 AI7 BC7 CG8:DB8 S7:T10 V8:W10 Y7:Z10 AB7:AC10 AE7:AF10 AH8:AI10 AK7:AL10 AN7:AO10 AQ7:AR10 AT7:AU10 AW7:AX10 AZ7:BA10 BC8:BD10 BF8:BG10 BI8:BJ10 BL8:BM10 BO8:BP10 BR8:BS10 BU8:BV10 BX8:BY10 CA8:CB10 CD8:CE10 CG9:CH10 CJ9:CK10 CM9:CN10 CP9:CQ10 CS9:CT10 CV9:CW10 CY9:CZ10 DB9:DB10 T11 W11 Z11 AC11 AF11 AI11 AL11 AO11 AR11 AU11 AX11 BA11 BD11 BG11 BJ11 BM11 BP11 BS11 BV11 BY11 CB11 CE11 CH11 CK11 CN11 CQ11 CT11 CW11 CZ11 Q7:Q12 S12:T12 V12:W12 Y12:Z12 AB12:AC12 AE12:AF12 AH12:AI12 AK12:AL12 AN12:AO12 AQ12:AR12 AT12:AU12 AW12:AX12 AZ12:BA12 BC12:BD12 BF12:BG12 BI12:BJ12 BL12:BM12 BO12:BP12 BR12:BS12 BU12:BV12 BX12:BY12 CA12:CB12 CD12:CE12 CG12:CH12 CJ12:CK12 CM12:CN12 CP12:CQ12 CS12:CT12 CV12:CW12 CY12:CZ12 DB12 Q13:DB13 AZ14:BA21 BC14:BD21 BF14:BG21 BI14:BJ21 BL14:BM21 BO14:BP21 BR14:BS21 BU14:BV21 BX14:BY21 CA14:CB21 CD14:CE21 CG14:CH21 CJ14:CK21 CM14:CN21 CP14:CQ21 CS14:CT21 CV14:CW21 CY14:CZ21 DB14:DB21 AZ22:DB22 S14:T28 Y14:Z28 BF23:BG28 BI23:BJ28 BL23:BM28 BO23:BP28 BR23:BS28 BU23:BV28 BX23:BY28 CA23:CB28 CD23:CE28 CG23:CH28 CJ23:CK28 CM23:CN28 CP23:CQ28 CS23:CT28 CV23:CW28 CY23:CZ28 DB23:DB28 Z29 AB14:AC29 BC23:BD29 BF29 T29:T30 AC30 BC30 AB31:AC31 AE14:AF31 AH14:AI31 BC31:BD31 BF31:BG31 BI31:BJ31 BL31:BM31 BO31:BP31 BR31:BS31 BU31:BV31 BX31 S31:T32 Y30:Z32 AC32 AF32 AI32 T33 V14:W33 Z33 AH33:AI33 BC32:BC33 Y34:Z34 AB33:AC34 AE33:AF34 AK14:AL34 AN14:AO34 AQ14:AR34 AT14:AU34 AW14:AX34 AZ23:BA34 BC34:BD34 BF34 S34:T35 AF35 T36 W34:W36 AC35:AC36 AI34:AI36 AL35:AL36 AO35:AO36 AR35:AR36 AU35:AU36 AX35:AX36 BA35:BA36 BD35:BD36 BG35:BG36 BJ35:BJ36 BM35:BM36 BP35:BP36 BS35:BS36 BV35:BV36 BY35:BY36 CB35:CB36 CE35:CE36 CH35:CH36 CK35:CK36 CN35:CN36 CQ35:CQ36 CT35:CT36 CW35:CW36 CZ35:CZ36 V37:W37 AB37:AC37 AE36:AF37 AH37:AI37 AK37:AL37 AN37:AO37 AQ37:AR37 AT37:AU37 AW37:AX37 AZ37:BA37 BC37 S37:T38 W38 AC38 AF38 AL38 AO38 AR38 AU38 AX38 BA38 BD38 BG38 BJ38 BM38 BP38 BS38 BV38 BY38 CB38 CE38 CH38 CK38 CN38 CQ38 CT38 CW38 CZ38 T39 V39:W39 AB39:AC39 AK39:AL39 AN39:AO39 AQ39:AR39 AT39:AU39 AW39:AX39 AZ39:BA39 BC39 S40:T40 Z35:Z40 AC40 T41 AB41:AC41 AE39:AF41 W40:W42 AC42 AF42 AI38:AI42 AL40:AL42 AR40:AR42 AX40:AX42 BA40:BA42 BD40:BD42 BG40:BG42 BJ40:BJ42 BM40:BM42 BP40:BP42 BS40:BS42 BV40:BV42 BY40:BY42 CB40:CB42 CE40:CE42 CH40:CH42 CK40:CK42 CN40:CN42 CQ40:CQ42 CT40:CT42 CW40:CW42 CZ40:CZ42 S42:T43 AZ43 T44 Y41:Z44 AB43:AC44 AE43:AF44 AH43:AI44 AK43:AK44 AQ43:AR44 AW43:AX44 AZ44:BA44 BC43:BC44 S45:T45 V43:W45 T46 AC45:AC46 S47:T47 AB47:AC47 AC48 W46:W49 AB49:AC49 AF45:AF49 AL45:AL49 AO40:AO49 AR45:AR49 AU40:AU49 AX45:AX49 BA45:BA49 BD45:BD49 BG45:BG49 BJ45:BJ49 BM45:BM49 BP45:BP49 BS45:BS49 BV45:BV49 BY45:BY49 CB45:CB49 CE45:CE49 CH45:CH49 CK45:CK49 CN45:CN49 CQ45:CQ49 CT45:CT49 CW45:CW49 CZ45:CZ49 AC50 T48:T51 AB51:AC51 AE50:AF51 S52:T52 V50:W53 AF52:AF53 Q14:Q54 T53:T54 W54 Z45:Z54 AC52:AC54 AE54:AF54 AI45:AI54 AL51:AL54 AO51:AO54 AR51:AR54 AU51:AU54 AX51:AX54 BA51:BA54 BD51:BD54 BG51:BG54 BJ51:BJ54 BM51:BM54 BP51:BP54 BS51:BS54 BV51:BV54 BY51:BY54 CB51:CB54 CE51:CE54 CH51:CH54 CK51:CK54 CN51:CN54 CQ51:CQ54 CT51:CT54 CW51:CW54 CZ51:CZ54">
      <formula1>"APPROVED,REPROVED,N/A,ANALYSING,NOT PUBLISHED,OUTDATED,PREVIOUSLY APPROVED,IMPROPER,NEXT ROUND"</formula1>
    </dataValidation>
    <dataValidation type="list" allowBlank="1" showDropDown="1" showErrorMessage="1" sqref="BJ7 BL7:BM7 BO7:BP7 BR7:BS7 BU7:BV7 BX7 CE7 CG7:CH7 CJ7:CK7 CM7:CN7 CP7:CQ7 CS7:CT7 CV7:CW7 CY7:CZ7 BM29 BP29 BS29 BU29:BV29 BX29 CE29 CG29:CH29 CK29 CN29 CP29:CQ29 CQ30 CS29:CT30 CP31:CQ31 CV29:CW31 CY29:CZ31 DB29:DB31 BR32:BS32 BX32 CM31:CN32 CQ32 CT31:CT32 CW32 CZ32 BS33 BX33:BY33 CA33:CB33 CD33:CE33 CG33:CH33 CK31:CK33 BJ32:BJ34 BL32:BM34 BO32:BP34 BR34:BS34 BU32:BV34 BX34 BJ44 BL44:BM44 BO44:BP44 BS44 BV44 BY44 CB44 CE44 CH44 CK44 CN44 CQ44 CT44 CW44 CZ44">
      <formula1>"APPROVED,REPROVED,N/A,ANALYSING,NOT PUBLISHED,OUTDATED,PREVIOUSLY APPROVED,NEXT ROUND,IMPROPER"</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13"/>
    <col customWidth="1" min="2" max="2" width="34.25"/>
    <col customWidth="1" min="4" max="4" width="15.38"/>
    <col customWidth="1" min="5" max="5" width="11.5"/>
    <col customWidth="1" min="15" max="16" width="22.0"/>
  </cols>
  <sheetData>
    <row r="1">
      <c r="A1" s="1052" t="s">
        <v>520</v>
      </c>
      <c r="B1" s="1052" t="s">
        <v>521</v>
      </c>
      <c r="C1" s="1052" t="s">
        <v>522</v>
      </c>
      <c r="D1" s="1052" t="s">
        <v>523</v>
      </c>
      <c r="E1" s="1052" t="s">
        <v>524</v>
      </c>
      <c r="F1" s="1052" t="s">
        <v>525</v>
      </c>
      <c r="G1" s="1052" t="s">
        <v>526</v>
      </c>
      <c r="H1" s="1052" t="s">
        <v>527</v>
      </c>
      <c r="I1" s="1052" t="s">
        <v>528</v>
      </c>
      <c r="J1" s="1052" t="s">
        <v>529</v>
      </c>
      <c r="K1" s="1052" t="s">
        <v>530</v>
      </c>
      <c r="L1" s="1052" t="s">
        <v>531</v>
      </c>
      <c r="M1" s="1052" t="s">
        <v>532</v>
      </c>
      <c r="N1" s="1052" t="s">
        <v>533</v>
      </c>
      <c r="O1" s="1052" t="s">
        <v>534</v>
      </c>
      <c r="P1" s="1053" t="s">
        <v>535</v>
      </c>
    </row>
    <row r="2">
      <c r="A2" s="1054" t="s">
        <v>536</v>
      </c>
      <c r="B2" s="1054" t="s">
        <v>537</v>
      </c>
      <c r="C2" s="1055" t="s">
        <v>538</v>
      </c>
      <c r="D2" s="1055" t="s">
        <v>539</v>
      </c>
      <c r="E2" s="1056"/>
      <c r="F2" s="1055" t="s">
        <v>400</v>
      </c>
      <c r="G2" s="1055" t="s">
        <v>540</v>
      </c>
      <c r="H2" s="1056"/>
      <c r="I2" s="1056"/>
      <c r="J2" s="1055" t="s">
        <v>540</v>
      </c>
      <c r="K2" s="1055" t="s">
        <v>541</v>
      </c>
      <c r="L2" s="1055" t="s">
        <v>542</v>
      </c>
      <c r="M2" s="1055" t="s">
        <v>543</v>
      </c>
      <c r="N2" s="1055" t="s">
        <v>544</v>
      </c>
      <c r="O2" s="1057">
        <v>46176.51111111111</v>
      </c>
      <c r="P2" s="1057" t="str">
        <f>IFERROR(__xludf.DUMMYFUNCTION("IFERROR(
  TEXT(
    DATE(
      INDEX(SPLIT(O2,"" ""),3),
      VLOOKUP(INDEX(SPLIT(O2,"" ""),1),{""jan."",1;""Feb"",2;""mar."",3;""Apr"",4;""May"",5;""jun."",6;""jul."",7;""Aug"",8;""Sep"",9;""Oct"",10;""nov."",11;""Dec"",12},2,FALSE),
      INDEX(SPLIT"&amp;"(O2,"" ""),2)
    ),
    ""dd/mm/yyyy""
  ),
"""")"),"03/06/2026")</f>
        <v>03/06/2026</v>
      </c>
    </row>
    <row r="3">
      <c r="A3" s="1054" t="s">
        <v>545</v>
      </c>
      <c r="B3" s="1054" t="s">
        <v>546</v>
      </c>
      <c r="C3" s="1055" t="s">
        <v>538</v>
      </c>
      <c r="D3" s="1055" t="s">
        <v>539</v>
      </c>
      <c r="E3" s="1056"/>
      <c r="F3" s="1055" t="s">
        <v>399</v>
      </c>
      <c r="G3" s="1055" t="s">
        <v>540</v>
      </c>
      <c r="H3" s="1056"/>
      <c r="I3" s="1056"/>
      <c r="J3" s="1055" t="s">
        <v>540</v>
      </c>
      <c r="K3" s="1055" t="s">
        <v>541</v>
      </c>
      <c r="L3" s="1055" t="s">
        <v>542</v>
      </c>
      <c r="M3" s="1055" t="s">
        <v>543</v>
      </c>
      <c r="N3" s="1055" t="s">
        <v>547</v>
      </c>
      <c r="O3" s="1057">
        <v>46218.54861111111</v>
      </c>
      <c r="P3" s="1057" t="str">
        <f>IFERROR(__xludf.DUMMYFUNCTION("IFERROR(
  TEXT(
    DATE(
      INDEX(SPLIT(O3,"" ""),3),
      VLOOKUP(INDEX(SPLIT(O3,"" ""),1),{""jan."",1;""Feb"",2;""mar."",3;""Apr"",4;""May"",5;""jun."",6;""jul."",7;""Aug"",8;""Sep"",9;""Oct"",10;""nov."",11;""Dec"",12},2,FALSE),
      INDEX(SPLIT"&amp;"(O3,"" ""),2)
    ),
    ""dd/mm/yyyy""
  ),
"""")"),"15/07/2026")</f>
        <v>15/07/2026</v>
      </c>
    </row>
    <row r="4">
      <c r="A4" s="1054" t="s">
        <v>548</v>
      </c>
      <c r="B4" s="1054" t="s">
        <v>549</v>
      </c>
      <c r="C4" s="1055" t="s">
        <v>538</v>
      </c>
      <c r="D4" s="1055" t="s">
        <v>539</v>
      </c>
      <c r="E4" s="1056"/>
      <c r="F4" s="1055" t="s">
        <v>377</v>
      </c>
      <c r="G4" s="1055" t="s">
        <v>540</v>
      </c>
      <c r="H4" s="1056"/>
      <c r="I4" s="1056"/>
      <c r="J4" s="1055" t="s">
        <v>540</v>
      </c>
      <c r="K4" s="1055" t="s">
        <v>541</v>
      </c>
      <c r="L4" s="1055" t="s">
        <v>542</v>
      </c>
      <c r="M4" s="1055" t="s">
        <v>543</v>
      </c>
      <c r="N4" s="1055" t="s">
        <v>550</v>
      </c>
      <c r="O4" s="1055" t="s">
        <v>551</v>
      </c>
      <c r="P4" s="1057" t="str">
        <f>IFERROR(__xludf.DUMMYFUNCTION("IFERROR(
  TEXT(
    DATE(
      INDEX(SPLIT(O4,"" ""),3),
      VLOOKUP(INDEX(SPLIT(O4,"" ""),1),{""jan."",1;""Feb"",2;""mar."",3;""Apr"",4;""May"",5;""jun."",6;""jul."",7;""Aug"",8;""Sep"",9;""Oct"",10;""nov."",11;""Dec"",12},2,FALSE),
      INDEX(SPLIT"&amp;"(O4,"" ""),2)
    ),
    ""dd/mm/yyyy""
  ),
"""")"),"20/05/2026")</f>
        <v>20/05/2026</v>
      </c>
    </row>
    <row r="5">
      <c r="A5" s="1054" t="s">
        <v>552</v>
      </c>
      <c r="B5" s="1054" t="s">
        <v>553</v>
      </c>
      <c r="C5" s="1055" t="s">
        <v>538</v>
      </c>
      <c r="D5" s="1055" t="s">
        <v>539</v>
      </c>
      <c r="E5" s="1056"/>
      <c r="F5" s="1055" t="s">
        <v>377</v>
      </c>
      <c r="G5" s="1055" t="s">
        <v>540</v>
      </c>
      <c r="H5" s="1056"/>
      <c r="I5" s="1056"/>
      <c r="J5" s="1055" t="s">
        <v>540</v>
      </c>
      <c r="K5" s="1055" t="s">
        <v>541</v>
      </c>
      <c r="L5" s="1055" t="s">
        <v>542</v>
      </c>
      <c r="M5" s="1055" t="s">
        <v>543</v>
      </c>
      <c r="N5" s="1055" t="s">
        <v>554</v>
      </c>
      <c r="O5" s="1057">
        <v>46177.799305555556</v>
      </c>
      <c r="P5" s="1057" t="str">
        <f>IFERROR(__xludf.DUMMYFUNCTION("IFERROR(
  TEXT(
    DATE(
      INDEX(SPLIT(O5,"" ""),3),
      VLOOKUP(INDEX(SPLIT(O5,"" ""),1),{""jan."",1;""Feb"",2;""mar."",3;""Apr"",4;""May"",5;""jun."",6;""jul."",7;""Aug"",8;""Sep"",9;""Oct"",10;""nov."",11;""Dec"",12},2,FALSE),
      INDEX(SPLIT"&amp;"(O5,"" ""),2)
    ),
    ""dd/mm/yyyy""
  ),
"""")"),"04/06/2026")</f>
        <v>04/06/2026</v>
      </c>
    </row>
    <row r="6">
      <c r="A6" s="1054" t="s">
        <v>555</v>
      </c>
      <c r="B6" s="1054" t="s">
        <v>556</v>
      </c>
      <c r="C6" s="1055" t="s">
        <v>538</v>
      </c>
      <c r="D6" s="1055" t="s">
        <v>539</v>
      </c>
      <c r="E6" s="1056"/>
      <c r="F6" s="1055" t="s">
        <v>377</v>
      </c>
      <c r="G6" s="1055" t="s">
        <v>540</v>
      </c>
      <c r="H6" s="1056"/>
      <c r="I6" s="1056"/>
      <c r="J6" s="1055" t="s">
        <v>540</v>
      </c>
      <c r="K6" s="1055" t="s">
        <v>541</v>
      </c>
      <c r="L6" s="1055" t="s">
        <v>542</v>
      </c>
      <c r="M6" s="1055" t="s">
        <v>543</v>
      </c>
      <c r="N6" s="1055" t="s">
        <v>557</v>
      </c>
      <c r="O6" s="1057">
        <v>46185.70486111111</v>
      </c>
      <c r="P6" s="1057" t="str">
        <f>IFERROR(__xludf.DUMMYFUNCTION("IFERROR(
  TEXT(
    DATE(
      INDEX(SPLIT(O6,"" ""),3),
      VLOOKUP(INDEX(SPLIT(O6,"" ""),1),{""jan."",1;""Feb"",2;""mar."",3;""Apr"",4;""May"",5;""jun."",6;""jul."",7;""Aug"",8;""Sep"",9;""Oct"",10;""nov."",11;""Dec"",12},2,FALSE),
      INDEX(SPLIT"&amp;"(O6,"" ""),2)
    ),
    ""dd/mm/yyyy""
  ),
"""")"),"12/06/2026")</f>
        <v>12/06/2026</v>
      </c>
    </row>
    <row r="7">
      <c r="A7" s="1054" t="s">
        <v>558</v>
      </c>
      <c r="B7" s="1054" t="s">
        <v>559</v>
      </c>
      <c r="C7" s="1055" t="s">
        <v>538</v>
      </c>
      <c r="D7" s="1055" t="s">
        <v>539</v>
      </c>
      <c r="E7" s="1056"/>
      <c r="F7" s="1055" t="s">
        <v>377</v>
      </c>
      <c r="G7" s="1055" t="s">
        <v>540</v>
      </c>
      <c r="H7" s="1056"/>
      <c r="I7" s="1056"/>
      <c r="J7" s="1055" t="s">
        <v>540</v>
      </c>
      <c r="K7" s="1055" t="s">
        <v>541</v>
      </c>
      <c r="L7" s="1055" t="s">
        <v>542</v>
      </c>
      <c r="M7" s="1055" t="s">
        <v>543</v>
      </c>
      <c r="N7" s="1055" t="s">
        <v>560</v>
      </c>
      <c r="O7" s="1055" t="s">
        <v>561</v>
      </c>
      <c r="P7" s="1057" t="str">
        <f>IFERROR(__xludf.DUMMYFUNCTION("IFERROR(
  TEXT(
    DATE(
      INDEX(SPLIT(O7,"" ""),3),
      VLOOKUP(INDEX(SPLIT(O7,"" ""),1),{""jan."",1;""Feb"",2;""mar."",3;""Apr"",4;""May"",5;""jun."",6;""jul."",7;""Aug"",8;""Sep"",9;""Oct"",10;""nov."",11;""Dec"",12},2,FALSE),
      INDEX(SPLIT"&amp;"(O7,"" ""),2)
    ),
    ""dd/mm/yyyy""
  ),
"""")"),"15/05/2026")</f>
        <v>15/05/2026</v>
      </c>
    </row>
    <row r="8">
      <c r="A8" s="1054" t="s">
        <v>562</v>
      </c>
      <c r="B8" s="1054" t="s">
        <v>563</v>
      </c>
      <c r="C8" s="1055" t="s">
        <v>538</v>
      </c>
      <c r="D8" s="1055" t="s">
        <v>539</v>
      </c>
      <c r="E8" s="1056"/>
      <c r="F8" s="1055" t="s">
        <v>400</v>
      </c>
      <c r="G8" s="1055" t="s">
        <v>540</v>
      </c>
      <c r="H8" s="1056"/>
      <c r="I8" s="1056"/>
      <c r="J8" s="1055" t="s">
        <v>540</v>
      </c>
      <c r="K8" s="1055" t="s">
        <v>541</v>
      </c>
      <c r="L8" s="1055" t="s">
        <v>542</v>
      </c>
      <c r="M8" s="1055" t="s">
        <v>543</v>
      </c>
      <c r="N8" s="1055" t="s">
        <v>564</v>
      </c>
      <c r="O8" s="1057">
        <v>46210.75069444445</v>
      </c>
      <c r="P8" s="1057" t="str">
        <f>IFERROR(__xludf.DUMMYFUNCTION("IFERROR(
  TEXT(
    DATE(
      INDEX(SPLIT(O8,"" ""),3),
      VLOOKUP(INDEX(SPLIT(O8,"" ""),1),{""jan."",1;""Feb"",2;""mar."",3;""Apr"",4;""May"",5;""jun."",6;""jul."",7;""Aug"",8;""Sep"",9;""Oct"",10;""nov."",11;""Dec"",12},2,FALSE),
      INDEX(SPLIT"&amp;"(O8,"" ""),2)
    ),
    ""dd/mm/yyyy""
  ),
"""")"),"07/07/2026")</f>
        <v>07/07/2026</v>
      </c>
    </row>
    <row r="9">
      <c r="A9" s="1054" t="s">
        <v>565</v>
      </c>
      <c r="B9" s="1054" t="s">
        <v>566</v>
      </c>
      <c r="C9" s="1055" t="s">
        <v>538</v>
      </c>
      <c r="D9" s="1055" t="s">
        <v>539</v>
      </c>
      <c r="E9" s="1056"/>
      <c r="F9" s="1055" t="s">
        <v>387</v>
      </c>
      <c r="G9" s="1055" t="s">
        <v>540</v>
      </c>
      <c r="H9" s="1056"/>
      <c r="I9" s="1056"/>
      <c r="J9" s="1055" t="s">
        <v>540</v>
      </c>
      <c r="K9" s="1055" t="s">
        <v>541</v>
      </c>
      <c r="L9" s="1055" t="s">
        <v>542</v>
      </c>
      <c r="M9" s="1055" t="s">
        <v>543</v>
      </c>
      <c r="N9" s="1055" t="s">
        <v>567</v>
      </c>
      <c r="O9" s="1057">
        <v>46199.59444444445</v>
      </c>
      <c r="P9" s="1057" t="str">
        <f>IFERROR(__xludf.DUMMYFUNCTION("IFERROR(
  TEXT(
    DATE(
      INDEX(SPLIT(O9,"" ""),3),
      VLOOKUP(INDEX(SPLIT(O9,"" ""),1),{""jan."",1;""Feb"",2;""mar."",3;""Apr"",4;""May"",5;""jun."",6;""jul."",7;""Aug"",8;""Sep"",9;""Oct"",10;""nov."",11;""Dec"",12},2,FALSE),
      INDEX(SPLIT"&amp;"(O9,"" ""),2)
    ),
    ""dd/mm/yyyy""
  ),
"""")"),"26/06/2026")</f>
        <v>26/06/2026</v>
      </c>
    </row>
    <row r="10">
      <c r="A10" s="1054" t="s">
        <v>568</v>
      </c>
      <c r="B10" s="1054" t="s">
        <v>569</v>
      </c>
      <c r="C10" s="1055" t="s">
        <v>538</v>
      </c>
      <c r="D10" s="1055" t="s">
        <v>539</v>
      </c>
      <c r="E10" s="1056"/>
      <c r="F10" s="1055" t="s">
        <v>377</v>
      </c>
      <c r="G10" s="1055" t="s">
        <v>540</v>
      </c>
      <c r="H10" s="1056"/>
      <c r="I10" s="1056"/>
      <c r="J10" s="1055" t="s">
        <v>540</v>
      </c>
      <c r="K10" s="1055" t="s">
        <v>541</v>
      </c>
      <c r="L10" s="1055" t="s">
        <v>542</v>
      </c>
      <c r="M10" s="1055" t="s">
        <v>543</v>
      </c>
      <c r="N10" s="1055" t="s">
        <v>570</v>
      </c>
      <c r="O10" s="1055" t="s">
        <v>571</v>
      </c>
      <c r="P10" s="1057" t="str">
        <f>IFERROR(__xludf.DUMMYFUNCTION("IFERROR(
  TEXT(
    DATE(
      INDEX(SPLIT(O10,"" ""),3),
      VLOOKUP(INDEX(SPLIT(O10,"" ""),1),{""jan."",1;""Feb"",2;""mar."",3;""Apr"",4;""May"",5;""jun."",6;""jul."",7;""Aug"",8;""Sep"",9;""Oct"",10;""nov."",11;""Dec"",12},2,FALSE),
      INDEX(SPL"&amp;"IT(O10,"" ""),2)
    ),
    ""dd/mm/yyyy""
  ),
"""")"),"15/05/2026")</f>
        <v>15/05/2026</v>
      </c>
    </row>
    <row r="11">
      <c r="A11" s="1054" t="s">
        <v>572</v>
      </c>
      <c r="B11" s="1054" t="s">
        <v>573</v>
      </c>
      <c r="C11" s="1055" t="s">
        <v>538</v>
      </c>
      <c r="D11" s="1055" t="s">
        <v>539</v>
      </c>
      <c r="E11" s="1056"/>
      <c r="F11" s="1055" t="s">
        <v>377</v>
      </c>
      <c r="G11" s="1055" t="s">
        <v>540</v>
      </c>
      <c r="H11" s="1056"/>
      <c r="I11" s="1056"/>
      <c r="J11" s="1055" t="s">
        <v>540</v>
      </c>
      <c r="K11" s="1055" t="s">
        <v>541</v>
      </c>
      <c r="L11" s="1055" t="s">
        <v>542</v>
      </c>
      <c r="M11" s="1055" t="s">
        <v>543</v>
      </c>
      <c r="N11" s="1055" t="s">
        <v>574</v>
      </c>
      <c r="O11" s="1055" t="s">
        <v>575</v>
      </c>
      <c r="P11" s="1057" t="str">
        <f>IFERROR(__xludf.DUMMYFUNCTION("IFERROR(
  TEXT(
    DATE(
      INDEX(SPLIT(O11,"" ""),3),
      VLOOKUP(INDEX(SPLIT(O11,"" ""),1),{""jan."",1;""Feb"",2;""mar."",3;""Apr"",4;""May"",5;""jun."",6;""jul."",7;""Aug"",8;""Sep"",9;""Oct"",10;""nov."",11;""Dec"",12},2,FALSE),
      INDEX(SPL"&amp;"IT(O11,"" ""),2)
    ),
    ""dd/mm/yyyy""
  ),
"""")"),"15/05/2026")</f>
        <v>15/05/2026</v>
      </c>
    </row>
    <row r="12">
      <c r="A12" s="1054" t="s">
        <v>576</v>
      </c>
      <c r="B12" s="1054" t="s">
        <v>577</v>
      </c>
      <c r="C12" s="1055" t="s">
        <v>538</v>
      </c>
      <c r="D12" s="1055" t="s">
        <v>539</v>
      </c>
      <c r="E12" s="1056"/>
      <c r="F12" s="1055" t="s">
        <v>411</v>
      </c>
      <c r="G12" s="1055" t="s">
        <v>540</v>
      </c>
      <c r="H12" s="1056"/>
      <c r="I12" s="1056"/>
      <c r="J12" s="1055" t="s">
        <v>540</v>
      </c>
      <c r="K12" s="1055" t="s">
        <v>541</v>
      </c>
      <c r="L12" s="1055" t="s">
        <v>542</v>
      </c>
      <c r="M12" s="1055" t="s">
        <v>543</v>
      </c>
      <c r="N12" s="1055" t="s">
        <v>578</v>
      </c>
      <c r="O12" s="1057">
        <v>46195.67222222222</v>
      </c>
      <c r="P12" s="1057" t="str">
        <f>IFERROR(__xludf.DUMMYFUNCTION("IFERROR(
  TEXT(
    DATE(
      INDEX(SPLIT(O12,"" ""),3),
      VLOOKUP(INDEX(SPLIT(O12,"" ""),1),{""jan."",1;""Feb"",2;""mar."",3;""Apr"",4;""May"",5;""jun."",6;""jul."",7;""Aug"",8;""Sep"",9;""Oct"",10;""nov."",11;""Dec"",12},2,FALSE),
      INDEX(SPL"&amp;"IT(O12,"" ""),2)
    ),
    ""dd/mm/yyyy""
  ),
"""")"),"22/06/2026")</f>
        <v>22/06/2026</v>
      </c>
    </row>
    <row r="13">
      <c r="A13" s="1054" t="s">
        <v>579</v>
      </c>
      <c r="B13" s="1054" t="s">
        <v>580</v>
      </c>
      <c r="C13" s="1055" t="s">
        <v>538</v>
      </c>
      <c r="D13" s="1055" t="s">
        <v>539</v>
      </c>
      <c r="E13" s="1056"/>
      <c r="F13" s="1055" t="s">
        <v>387</v>
      </c>
      <c r="G13" s="1055" t="s">
        <v>540</v>
      </c>
      <c r="H13" s="1056"/>
      <c r="I13" s="1056"/>
      <c r="J13" s="1055" t="s">
        <v>540</v>
      </c>
      <c r="K13" s="1055" t="s">
        <v>541</v>
      </c>
      <c r="L13" s="1055" t="s">
        <v>542</v>
      </c>
      <c r="M13" s="1055" t="s">
        <v>543</v>
      </c>
      <c r="N13" s="1055" t="s">
        <v>581</v>
      </c>
      <c r="O13" s="1057">
        <v>46177.45972222222</v>
      </c>
      <c r="P13" s="1057" t="str">
        <f>IFERROR(__xludf.DUMMYFUNCTION("IFERROR(
  TEXT(
    DATE(
      INDEX(SPLIT(O13,"" ""),3),
      VLOOKUP(INDEX(SPLIT(O13,"" ""),1),{""jan."",1;""Feb"",2;""mar."",3;""Apr"",4;""May"",5;""jun."",6;""jul."",7;""Aug"",8;""Sep"",9;""Oct"",10;""nov."",11;""Dec"",12},2,FALSE),
      INDEX(SPL"&amp;"IT(O13,"" ""),2)
    ),
    ""dd/mm/yyyy""
  ),
"""")"),"04/06/2026")</f>
        <v>04/06/2026</v>
      </c>
    </row>
    <row r="14">
      <c r="A14" s="1054" t="s">
        <v>582</v>
      </c>
      <c r="B14" s="1054" t="s">
        <v>583</v>
      </c>
      <c r="C14" s="1055" t="s">
        <v>538</v>
      </c>
      <c r="D14" s="1055" t="s">
        <v>539</v>
      </c>
      <c r="E14" s="1056"/>
      <c r="F14" s="1055" t="s">
        <v>387</v>
      </c>
      <c r="G14" s="1055" t="s">
        <v>540</v>
      </c>
      <c r="H14" s="1056"/>
      <c r="I14" s="1056"/>
      <c r="J14" s="1055" t="s">
        <v>540</v>
      </c>
      <c r="K14" s="1055" t="s">
        <v>541</v>
      </c>
      <c r="L14" s="1055" t="s">
        <v>542</v>
      </c>
      <c r="M14" s="1055" t="s">
        <v>543</v>
      </c>
      <c r="N14" s="1055" t="s">
        <v>584</v>
      </c>
      <c r="O14" s="1055" t="s">
        <v>585</v>
      </c>
      <c r="P14" s="1057" t="str">
        <f>IFERROR(__xludf.DUMMYFUNCTION("IFERROR(
  TEXT(
    DATE(
      INDEX(SPLIT(O14,"" ""),3),
      VLOOKUP(INDEX(SPLIT(O14,"" ""),1),{""jan."",1;""Feb"",2;""mar."",3;""Apr"",4;""May"",5;""jun."",6;""jul."",7;""Aug"",8;""Sep"",9;""Oct"",10;""nov."",11;""Dec"",12},2,FALSE),
      INDEX(SPL"&amp;"IT(O14,"" ""),2)
    ),
    ""dd/mm/yyyy""
  ),
"""")"),"27/05/2026")</f>
        <v>27/05/2026</v>
      </c>
    </row>
    <row r="15">
      <c r="A15" s="1054" t="s">
        <v>586</v>
      </c>
      <c r="B15" s="1054" t="s">
        <v>587</v>
      </c>
      <c r="C15" s="1055" t="s">
        <v>538</v>
      </c>
      <c r="D15" s="1055" t="s">
        <v>539</v>
      </c>
      <c r="E15" s="1056"/>
      <c r="F15" s="1055" t="s">
        <v>377</v>
      </c>
      <c r="G15" s="1055" t="s">
        <v>540</v>
      </c>
      <c r="H15" s="1056"/>
      <c r="I15" s="1056"/>
      <c r="J15" s="1055" t="s">
        <v>540</v>
      </c>
      <c r="K15" s="1055" t="s">
        <v>541</v>
      </c>
      <c r="L15" s="1055" t="s">
        <v>542</v>
      </c>
      <c r="M15" s="1055" t="s">
        <v>543</v>
      </c>
      <c r="N15" s="1055" t="s">
        <v>588</v>
      </c>
      <c r="O15" s="1055" t="s">
        <v>589</v>
      </c>
      <c r="P15" s="1057" t="str">
        <f>IFERROR(__xludf.DUMMYFUNCTION("IFERROR(
  TEXT(
    DATE(
      INDEX(SPLIT(O15,"" ""),3),
      VLOOKUP(INDEX(SPLIT(O15,"" ""),1),{""jan."",1;""Feb"",2;""mar."",3;""Apr"",4;""May"",5;""jun."",6;""jul."",7;""Aug"",8;""Sep"",9;""Oct"",10;""nov."",11;""Dec"",12},2,FALSE),
      INDEX(SPL"&amp;"IT(O15,"" ""),2)
    ),
    ""dd/mm/yyyy""
  ),
"""")"),"19/05/2026")</f>
        <v>19/05/2026</v>
      </c>
    </row>
    <row r="16">
      <c r="A16" s="1054" t="s">
        <v>590</v>
      </c>
      <c r="B16" s="1054" t="s">
        <v>591</v>
      </c>
      <c r="C16" s="1055" t="s">
        <v>538</v>
      </c>
      <c r="D16" s="1055" t="s">
        <v>539</v>
      </c>
      <c r="E16" s="1056"/>
      <c r="F16" s="1055" t="s">
        <v>387</v>
      </c>
      <c r="G16" s="1055" t="s">
        <v>540</v>
      </c>
      <c r="H16" s="1056"/>
      <c r="I16" s="1056"/>
      <c r="J16" s="1055" t="s">
        <v>540</v>
      </c>
      <c r="K16" s="1055" t="s">
        <v>541</v>
      </c>
      <c r="L16" s="1055" t="s">
        <v>542</v>
      </c>
      <c r="M16" s="1055" t="s">
        <v>543</v>
      </c>
      <c r="N16" s="1055" t="s">
        <v>592</v>
      </c>
      <c r="O16" s="1057">
        <v>46190.81805555556</v>
      </c>
      <c r="P16" s="1057" t="str">
        <f>IFERROR(__xludf.DUMMYFUNCTION("IFERROR(
  TEXT(
    DATE(
      INDEX(SPLIT(O16,"" ""),3),
      VLOOKUP(INDEX(SPLIT(O16,"" ""),1),{""jan."",1;""Feb"",2;""mar."",3;""Apr"",4;""May"",5;""jun."",6;""jul."",7;""Aug"",8;""Sep"",9;""Oct"",10;""nov."",11;""Dec"",12},2,FALSE),
      INDEX(SPL"&amp;"IT(O16,"" ""),2)
    ),
    ""dd/mm/yyyy""
  ),
"""")"),"17/06/2026")</f>
        <v>17/06/2026</v>
      </c>
    </row>
    <row r="17">
      <c r="A17" s="1054" t="s">
        <v>593</v>
      </c>
      <c r="B17" s="1054" t="s">
        <v>594</v>
      </c>
      <c r="C17" s="1055" t="s">
        <v>538</v>
      </c>
      <c r="D17" s="1055" t="s">
        <v>539</v>
      </c>
      <c r="E17" s="1056"/>
      <c r="F17" s="1055" t="s">
        <v>387</v>
      </c>
      <c r="G17" s="1055" t="s">
        <v>540</v>
      </c>
      <c r="H17" s="1056"/>
      <c r="I17" s="1056"/>
      <c r="J17" s="1055" t="s">
        <v>540</v>
      </c>
      <c r="K17" s="1055" t="s">
        <v>541</v>
      </c>
      <c r="L17" s="1055" t="s">
        <v>542</v>
      </c>
      <c r="M17" s="1055" t="s">
        <v>543</v>
      </c>
      <c r="N17" s="1055" t="s">
        <v>595</v>
      </c>
      <c r="O17" s="1055" t="s">
        <v>596</v>
      </c>
      <c r="P17" s="1057" t="str">
        <f>IFERROR(__xludf.DUMMYFUNCTION("IFERROR(
  TEXT(
    DATE(
      INDEX(SPLIT(O17,"" ""),3),
      VLOOKUP(INDEX(SPLIT(O17,"" ""),1),{""jan."",1;""Feb"",2;""mar."",3;""Apr"",4;""May"",5;""jun."",6;""jul."",7;""Aug"",8;""Sep"",9;""Oct"",10;""nov."",11;""Dec"",12},2,FALSE),
      INDEX(SPL"&amp;"IT(O17,"" ""),2)
    ),
    ""dd/mm/yyyy""
  ),
"""")"),"20/05/2026")</f>
        <v>20/05/2026</v>
      </c>
    </row>
    <row r="18">
      <c r="A18" s="1054" t="s">
        <v>597</v>
      </c>
      <c r="B18" s="1054" t="s">
        <v>598</v>
      </c>
      <c r="C18" s="1055" t="s">
        <v>538</v>
      </c>
      <c r="D18" s="1055" t="s">
        <v>539</v>
      </c>
      <c r="E18" s="1056"/>
      <c r="F18" s="1055" t="s">
        <v>377</v>
      </c>
      <c r="G18" s="1055" t="s">
        <v>540</v>
      </c>
      <c r="H18" s="1056"/>
      <c r="I18" s="1056"/>
      <c r="J18" s="1055" t="s">
        <v>540</v>
      </c>
      <c r="K18" s="1055" t="s">
        <v>541</v>
      </c>
      <c r="L18" s="1055" t="s">
        <v>542</v>
      </c>
      <c r="M18" s="1055" t="s">
        <v>543</v>
      </c>
      <c r="N18" s="1055" t="s">
        <v>599</v>
      </c>
      <c r="O18" s="1055" t="s">
        <v>600</v>
      </c>
      <c r="P18" s="1057" t="str">
        <f>IFERROR(__xludf.DUMMYFUNCTION("IFERROR(
  TEXT(
    DATE(
      INDEX(SPLIT(O18,"" ""),3),
      VLOOKUP(INDEX(SPLIT(O18,"" ""),1),{""jan."",1;""Feb"",2;""mar."",3;""Apr"",4;""May"",5;""jun."",6;""jul."",7;""Aug"",8;""Sep"",9;""Oct"",10;""nov."",11;""Dec"",12},2,FALSE),
      INDEX(SPL"&amp;"IT(O18,"" ""),2)
    ),
    ""dd/mm/yyyy""
  ),
"""")"),"20/05/2026")</f>
        <v>20/05/2026</v>
      </c>
    </row>
    <row r="19">
      <c r="A19" s="1054" t="s">
        <v>601</v>
      </c>
      <c r="B19" s="1054" t="s">
        <v>602</v>
      </c>
      <c r="C19" s="1055" t="s">
        <v>538</v>
      </c>
      <c r="D19" s="1055" t="s">
        <v>539</v>
      </c>
      <c r="E19" s="1056"/>
      <c r="F19" s="1055" t="s">
        <v>400</v>
      </c>
      <c r="G19" s="1055" t="s">
        <v>540</v>
      </c>
      <c r="H19" s="1056"/>
      <c r="I19" s="1056"/>
      <c r="J19" s="1055" t="s">
        <v>540</v>
      </c>
      <c r="K19" s="1055" t="s">
        <v>541</v>
      </c>
      <c r="L19" s="1055" t="s">
        <v>542</v>
      </c>
      <c r="M19" s="1055" t="s">
        <v>543</v>
      </c>
      <c r="N19" s="1055" t="s">
        <v>603</v>
      </c>
      <c r="O19" s="1057">
        <v>46182.60138888889</v>
      </c>
      <c r="P19" s="1057" t="str">
        <f>IFERROR(__xludf.DUMMYFUNCTION("IFERROR(
  TEXT(
    DATE(
      INDEX(SPLIT(O19,"" ""),3),
      VLOOKUP(INDEX(SPLIT(O19,"" ""),1),{""jan."",1;""Feb"",2;""mar."",3;""Apr"",4;""May"",5;""jun."",6;""jul."",7;""Aug"",8;""Sep"",9;""Oct"",10;""nov."",11;""Dec"",12},2,FALSE),
      INDEX(SPL"&amp;"IT(O19,"" ""),2)
    ),
    ""dd/mm/yyyy""
  ),
"""")"),"09/06/2026")</f>
        <v>09/06/2026</v>
      </c>
    </row>
    <row r="20">
      <c r="A20" s="1054" t="s">
        <v>604</v>
      </c>
      <c r="B20" s="1054" t="s">
        <v>605</v>
      </c>
      <c r="C20" s="1055" t="s">
        <v>538</v>
      </c>
      <c r="D20" s="1055" t="s">
        <v>539</v>
      </c>
      <c r="E20" s="1056"/>
      <c r="F20" s="1055" t="s">
        <v>400</v>
      </c>
      <c r="G20" s="1055" t="s">
        <v>540</v>
      </c>
      <c r="H20" s="1056"/>
      <c r="I20" s="1056"/>
      <c r="J20" s="1055" t="s">
        <v>540</v>
      </c>
      <c r="K20" s="1055" t="s">
        <v>541</v>
      </c>
      <c r="L20" s="1055" t="s">
        <v>542</v>
      </c>
      <c r="M20" s="1055" t="s">
        <v>543</v>
      </c>
      <c r="N20" s="1055" t="s">
        <v>606</v>
      </c>
      <c r="O20" s="1057">
        <v>46197.677083333336</v>
      </c>
      <c r="P20" s="1057" t="str">
        <f>IFERROR(__xludf.DUMMYFUNCTION("IFERROR(
  TEXT(
    DATE(
      INDEX(SPLIT(O20,"" ""),3),
      VLOOKUP(INDEX(SPLIT(O20,"" ""),1),{""jan."",1;""Feb"",2;""mar."",3;""Apr"",4;""May"",5;""jun."",6;""jul."",7;""Aug"",8;""Sep"",9;""Oct"",10;""nov."",11;""Dec"",12},2,FALSE),
      INDEX(SPL"&amp;"IT(O20,"" ""),2)
    ),
    ""dd/mm/yyyy""
  ),
"""")"),"24/06/2026")</f>
        <v>24/06/2026</v>
      </c>
    </row>
    <row r="21">
      <c r="A21" s="1054" t="s">
        <v>607</v>
      </c>
      <c r="B21" s="1054" t="s">
        <v>608</v>
      </c>
      <c r="C21" s="1058"/>
      <c r="D21" s="1058"/>
      <c r="E21" s="1056"/>
      <c r="F21" s="1055" t="s">
        <v>400</v>
      </c>
      <c r="G21" s="1055" t="s">
        <v>540</v>
      </c>
      <c r="H21" s="1056"/>
      <c r="I21" s="1056"/>
      <c r="J21" s="1055" t="s">
        <v>540</v>
      </c>
      <c r="K21" s="1055" t="s">
        <v>541</v>
      </c>
      <c r="L21" s="1055" t="s">
        <v>542</v>
      </c>
      <c r="M21" s="1055" t="s">
        <v>543</v>
      </c>
      <c r="N21" s="1055" t="s">
        <v>609</v>
      </c>
      <c r="O21" s="1057">
        <v>46176.50347222222</v>
      </c>
      <c r="P21" s="1057" t="str">
        <f>IFERROR(__xludf.DUMMYFUNCTION("IFERROR(
  TEXT(
    DATE(
      INDEX(SPLIT(O21,"" ""),3),
      VLOOKUP(INDEX(SPLIT(O21,"" ""),1),{""jan."",1;""Feb"",2;""mar."",3;""Apr"",4;""May"",5;""jun."",6;""jul."",7;""Aug"",8;""Sep"",9;""Oct"",10;""nov."",11;""Dec"",12},2,FALSE),
      INDEX(SPL"&amp;"IT(O21,"" ""),2)
    ),
    ""dd/mm/yyyy""
  ),
"""")"),"03/06/2026")</f>
        <v>03/06/2026</v>
      </c>
    </row>
    <row r="22">
      <c r="A22" s="1054" t="s">
        <v>610</v>
      </c>
      <c r="B22" s="1054" t="s">
        <v>611</v>
      </c>
      <c r="C22" s="1058"/>
      <c r="D22" s="1058"/>
      <c r="E22" s="1056"/>
      <c r="F22" s="1055" t="s">
        <v>400</v>
      </c>
      <c r="G22" s="1055" t="s">
        <v>540</v>
      </c>
      <c r="H22" s="1056"/>
      <c r="I22" s="1056"/>
      <c r="J22" s="1055" t="s">
        <v>540</v>
      </c>
      <c r="K22" s="1055" t="s">
        <v>541</v>
      </c>
      <c r="L22" s="1055" t="s">
        <v>542</v>
      </c>
      <c r="M22" s="1055" t="s">
        <v>543</v>
      </c>
      <c r="N22" s="1055" t="s">
        <v>612</v>
      </c>
      <c r="O22" s="1057">
        <v>46218.54722222222</v>
      </c>
      <c r="P22" s="1057" t="str">
        <f>IFERROR(__xludf.DUMMYFUNCTION("IFERROR(
  TEXT(
    DATE(
      INDEX(SPLIT(O22,"" ""),3),
      VLOOKUP(INDEX(SPLIT(O22,"" ""),1),{""jan."",1;""Feb"",2;""mar."",3;""Apr"",4;""May"",5;""jun."",6;""jul."",7;""Aug"",8;""Sep"",9;""Oct"",10;""nov."",11;""Dec"",12},2,FALSE),
      INDEX(SPL"&amp;"IT(O22,"" ""),2)
    ),
    ""dd/mm/yyyy""
  ),
"""")"),"15/07/2026")</f>
        <v>15/07/2026</v>
      </c>
    </row>
    <row r="23">
      <c r="A23" s="1054" t="s">
        <v>613</v>
      </c>
      <c r="B23" s="1054" t="s">
        <v>614</v>
      </c>
      <c r="C23" s="1058"/>
      <c r="D23" s="1058"/>
      <c r="E23" s="1056"/>
      <c r="F23" s="1055" t="s">
        <v>377</v>
      </c>
      <c r="G23" s="1055" t="s">
        <v>540</v>
      </c>
      <c r="H23" s="1056"/>
      <c r="I23" s="1056"/>
      <c r="J23" s="1055" t="s">
        <v>540</v>
      </c>
      <c r="K23" s="1055" t="s">
        <v>541</v>
      </c>
      <c r="L23" s="1055" t="s">
        <v>542</v>
      </c>
      <c r="M23" s="1055" t="s">
        <v>543</v>
      </c>
      <c r="N23" s="1055" t="s">
        <v>615</v>
      </c>
      <c r="O23" s="1055" t="s">
        <v>616</v>
      </c>
      <c r="P23" s="1057" t="str">
        <f>IFERROR(__xludf.DUMMYFUNCTION("IFERROR(
  TEXT(
    DATE(
      INDEX(SPLIT(O23,"" ""),3),
      VLOOKUP(INDEX(SPLIT(O23,"" ""),1),{""jan."",1;""Feb"",2;""mar."",3;""Apr"",4;""May"",5;""jun."",6;""jul."",7;""Aug"",8;""Sep"",9;""Oct"",10;""nov."",11;""Dec"",12},2,FALSE),
      INDEX(SPL"&amp;"IT(O23,"" ""),2)
    ),
    ""dd/mm/yyyy""
  ),
"""")"),"15/05/2026")</f>
        <v>15/05/2026</v>
      </c>
    </row>
    <row r="24">
      <c r="A24" s="1054" t="s">
        <v>617</v>
      </c>
      <c r="B24" s="1054" t="s">
        <v>618</v>
      </c>
      <c r="C24" s="1058"/>
      <c r="D24" s="1058"/>
      <c r="E24" s="1056"/>
      <c r="F24" s="1055" t="s">
        <v>387</v>
      </c>
      <c r="G24" s="1055" t="s">
        <v>540</v>
      </c>
      <c r="H24" s="1056"/>
      <c r="I24" s="1056"/>
      <c r="J24" s="1055" t="s">
        <v>540</v>
      </c>
      <c r="K24" s="1055" t="s">
        <v>541</v>
      </c>
      <c r="L24" s="1055" t="s">
        <v>542</v>
      </c>
      <c r="M24" s="1055" t="s">
        <v>543</v>
      </c>
      <c r="N24" s="1055" t="s">
        <v>619</v>
      </c>
      <c r="O24" s="1057">
        <v>46210.74097222222</v>
      </c>
      <c r="P24" s="1057" t="str">
        <f>IFERROR(__xludf.DUMMYFUNCTION("IFERROR(
  TEXT(
    DATE(
      INDEX(SPLIT(O24,"" ""),3),
      VLOOKUP(INDEX(SPLIT(O24,"" ""),1),{""jan."",1;""Feb"",2;""mar."",3;""Apr"",4;""May"",5;""jun."",6;""jul."",7;""Aug"",8;""Sep"",9;""Oct"",10;""nov."",11;""Dec"",12},2,FALSE),
      INDEX(SPL"&amp;"IT(O24,"" ""),2)
    ),
    ""dd/mm/yyyy""
  ),
"""")"),"07/07/2026")</f>
        <v>07/07/2026</v>
      </c>
    </row>
    <row r="25">
      <c r="A25" s="1054" t="s">
        <v>620</v>
      </c>
      <c r="B25" s="1054" t="s">
        <v>621</v>
      </c>
      <c r="C25" s="1058"/>
      <c r="D25" s="1058"/>
      <c r="E25" s="1056"/>
      <c r="F25" s="1055" t="s">
        <v>387</v>
      </c>
      <c r="G25" s="1055" t="s">
        <v>540</v>
      </c>
      <c r="H25" s="1056"/>
      <c r="I25" s="1056"/>
      <c r="J25" s="1055" t="s">
        <v>540</v>
      </c>
      <c r="K25" s="1055" t="s">
        <v>541</v>
      </c>
      <c r="L25" s="1055" t="s">
        <v>542</v>
      </c>
      <c r="M25" s="1055" t="s">
        <v>543</v>
      </c>
      <c r="N25" s="1055" t="s">
        <v>622</v>
      </c>
      <c r="O25" s="1057">
        <v>46199.592361111114</v>
      </c>
      <c r="P25" s="1057" t="str">
        <f>IFERROR(__xludf.DUMMYFUNCTION("IFERROR(
  TEXT(
    DATE(
      INDEX(SPLIT(O25,"" ""),3),
      VLOOKUP(INDEX(SPLIT(O25,"" ""),1),{""jan."",1;""Feb"",2;""mar."",3;""Apr"",4;""May"",5;""jun."",6;""jul."",7;""Aug"",8;""Sep"",9;""Oct"",10;""nov."",11;""Dec"",12},2,FALSE),
      INDEX(SPL"&amp;"IT(O25,"" ""),2)
    ),
    ""dd/mm/yyyy""
  ),
"""")"),"26/06/2026")</f>
        <v>26/06/2026</v>
      </c>
    </row>
    <row r="26">
      <c r="A26" s="1054" t="s">
        <v>623</v>
      </c>
      <c r="B26" s="1054" t="s">
        <v>624</v>
      </c>
      <c r="C26" s="1058"/>
      <c r="D26" s="1058"/>
      <c r="E26" s="1056"/>
      <c r="F26" s="1055" t="s">
        <v>377</v>
      </c>
      <c r="G26" s="1055" t="s">
        <v>540</v>
      </c>
      <c r="H26" s="1056"/>
      <c r="I26" s="1056"/>
      <c r="J26" s="1055" t="s">
        <v>540</v>
      </c>
      <c r="K26" s="1055" t="s">
        <v>541</v>
      </c>
      <c r="L26" s="1055" t="s">
        <v>542</v>
      </c>
      <c r="M26" s="1055" t="s">
        <v>543</v>
      </c>
      <c r="N26" s="1055" t="s">
        <v>625</v>
      </c>
      <c r="O26" s="1055" t="s">
        <v>571</v>
      </c>
      <c r="P26" s="1057" t="str">
        <f>IFERROR(__xludf.DUMMYFUNCTION("IFERROR(
  TEXT(
    DATE(
      INDEX(SPLIT(O26,"" ""),3),
      VLOOKUP(INDEX(SPLIT(O26,"" ""),1),{""jan."",1;""Feb"",2;""mar."",3;""Apr"",4;""May"",5;""jun."",6;""jul."",7;""Aug"",8;""Sep"",9;""Oct"",10;""nov."",11;""Dec"",12},2,FALSE),
      INDEX(SPL"&amp;"IT(O26,"" ""),2)
    ),
    ""dd/mm/yyyy""
  ),
"""")"),"15/05/2026")</f>
        <v>15/05/2026</v>
      </c>
    </row>
    <row r="27">
      <c r="A27" s="1054" t="s">
        <v>626</v>
      </c>
      <c r="B27" s="1054" t="s">
        <v>627</v>
      </c>
      <c r="C27" s="1058"/>
      <c r="D27" s="1058"/>
      <c r="E27" s="1056"/>
      <c r="F27" s="1055" t="s">
        <v>377</v>
      </c>
      <c r="G27" s="1055" t="s">
        <v>540</v>
      </c>
      <c r="H27" s="1056"/>
      <c r="I27" s="1056"/>
      <c r="J27" s="1055" t="s">
        <v>540</v>
      </c>
      <c r="K27" s="1055" t="s">
        <v>541</v>
      </c>
      <c r="L27" s="1055" t="s">
        <v>542</v>
      </c>
      <c r="M27" s="1055" t="s">
        <v>543</v>
      </c>
      <c r="N27" s="1055" t="s">
        <v>628</v>
      </c>
      <c r="O27" s="1055" t="s">
        <v>571</v>
      </c>
      <c r="P27" s="1057" t="str">
        <f>IFERROR(__xludf.DUMMYFUNCTION("IFERROR(
  TEXT(
    DATE(
      INDEX(SPLIT(O27,"" ""),3),
      VLOOKUP(INDEX(SPLIT(O27,"" ""),1),{""jan."",1;""Feb"",2;""mar."",3;""Apr"",4;""May"",5;""jun."",6;""jul."",7;""Aug"",8;""Sep"",9;""Oct"",10;""nov."",11;""Dec"",12},2,FALSE),
      INDEX(SPL"&amp;"IT(O27,"" ""),2)
    ),
    ""dd/mm/yyyy""
  ),
"""")"),"15/05/2026")</f>
        <v>15/05/2026</v>
      </c>
    </row>
    <row r="28">
      <c r="A28" s="1054" t="s">
        <v>629</v>
      </c>
      <c r="B28" s="1054" t="s">
        <v>630</v>
      </c>
      <c r="C28" s="1058"/>
      <c r="D28" s="1058"/>
      <c r="E28" s="1056"/>
      <c r="F28" s="1055" t="s">
        <v>411</v>
      </c>
      <c r="G28" s="1055" t="s">
        <v>540</v>
      </c>
      <c r="H28" s="1056"/>
      <c r="I28" s="1056"/>
      <c r="J28" s="1055" t="s">
        <v>540</v>
      </c>
      <c r="K28" s="1055" t="s">
        <v>541</v>
      </c>
      <c r="L28" s="1055" t="s">
        <v>542</v>
      </c>
      <c r="M28" s="1055" t="s">
        <v>543</v>
      </c>
      <c r="N28" s="1055" t="s">
        <v>631</v>
      </c>
      <c r="O28" s="1057">
        <v>46195.669444444444</v>
      </c>
      <c r="P28" s="1057" t="str">
        <f>IFERROR(__xludf.DUMMYFUNCTION("IFERROR(
  TEXT(
    DATE(
      INDEX(SPLIT(O28,"" ""),3),
      VLOOKUP(INDEX(SPLIT(O28,"" ""),1),{""jan."",1;""Feb"",2;""mar."",3;""Apr"",4;""May"",5;""jun."",6;""jul."",7;""Aug"",8;""Sep"",9;""Oct"",10;""nov."",11;""Dec"",12},2,FALSE),
      INDEX(SPL"&amp;"IT(O28,"" ""),2)
    ),
    ""dd/mm/yyyy""
  ),
"""")"),"22/06/2026")</f>
        <v>22/06/2026</v>
      </c>
    </row>
    <row r="29">
      <c r="A29" s="1054" t="s">
        <v>632</v>
      </c>
      <c r="B29" s="1054" t="s">
        <v>633</v>
      </c>
      <c r="C29" s="1058"/>
      <c r="D29" s="1058"/>
      <c r="E29" s="1056"/>
      <c r="F29" s="1055" t="s">
        <v>387</v>
      </c>
      <c r="G29" s="1055" t="s">
        <v>540</v>
      </c>
      <c r="H29" s="1056"/>
      <c r="I29" s="1056"/>
      <c r="J29" s="1055" t="s">
        <v>540</v>
      </c>
      <c r="K29" s="1055" t="s">
        <v>541</v>
      </c>
      <c r="L29" s="1055" t="s">
        <v>542</v>
      </c>
      <c r="M29" s="1055" t="s">
        <v>543</v>
      </c>
      <c r="N29" s="1055" t="s">
        <v>634</v>
      </c>
      <c r="O29" s="1057">
        <v>46177.46041666667</v>
      </c>
      <c r="P29" s="1057" t="str">
        <f>IFERROR(__xludf.DUMMYFUNCTION("IFERROR(
  TEXT(
    DATE(
      INDEX(SPLIT(O29,"" ""),3),
      VLOOKUP(INDEX(SPLIT(O29,"" ""),1),{""jan."",1;""Feb"",2;""mar."",3;""Apr"",4;""May"",5;""jun."",6;""jul."",7;""Aug"",8;""Sep"",9;""Oct"",10;""nov."",11;""Dec"",12},2,FALSE),
      INDEX(SPL"&amp;"IT(O29,"" ""),2)
    ),
    ""dd/mm/yyyy""
  ),
"""")"),"04/06/2026")</f>
        <v>04/06/2026</v>
      </c>
    </row>
    <row r="30">
      <c r="A30" s="1054" t="s">
        <v>635</v>
      </c>
      <c r="B30" s="1054" t="s">
        <v>636</v>
      </c>
      <c r="C30" s="1058"/>
      <c r="D30" s="1058"/>
      <c r="E30" s="1056"/>
      <c r="F30" s="1055" t="s">
        <v>387</v>
      </c>
      <c r="G30" s="1055" t="s">
        <v>540</v>
      </c>
      <c r="H30" s="1056"/>
      <c r="I30" s="1056"/>
      <c r="J30" s="1055" t="s">
        <v>540</v>
      </c>
      <c r="K30" s="1055" t="s">
        <v>541</v>
      </c>
      <c r="L30" s="1055" t="s">
        <v>542</v>
      </c>
      <c r="M30" s="1055" t="s">
        <v>543</v>
      </c>
      <c r="N30" s="1055" t="s">
        <v>637</v>
      </c>
      <c r="O30" s="1055" t="s">
        <v>638</v>
      </c>
      <c r="P30" s="1057" t="str">
        <f>IFERROR(__xludf.DUMMYFUNCTION("IFERROR(
  TEXT(
    DATE(
      INDEX(SPLIT(O30,"" ""),3),
      VLOOKUP(INDEX(SPLIT(O30,"" ""),1),{""jan."",1;""Feb"",2;""mar."",3;""Apr"",4;""May"",5;""jun."",6;""jul."",7;""Aug"",8;""Sep"",9;""Oct"",10;""nov."",11;""Dec"",12},2,FALSE),
      INDEX(SPL"&amp;"IT(O30,"" ""),2)
    ),
    ""dd/mm/yyyy""
  ),
"""")"),"27/05/2026")</f>
        <v>27/05/2026</v>
      </c>
    </row>
    <row r="31">
      <c r="A31" s="1054" t="s">
        <v>639</v>
      </c>
      <c r="B31" s="1054" t="s">
        <v>640</v>
      </c>
      <c r="C31" s="1058"/>
      <c r="D31" s="1058"/>
      <c r="E31" s="1056"/>
      <c r="F31" s="1055" t="s">
        <v>377</v>
      </c>
      <c r="G31" s="1055" t="s">
        <v>540</v>
      </c>
      <c r="H31" s="1056"/>
      <c r="I31" s="1056"/>
      <c r="J31" s="1055" t="s">
        <v>540</v>
      </c>
      <c r="K31" s="1055" t="s">
        <v>541</v>
      </c>
      <c r="L31" s="1055" t="s">
        <v>542</v>
      </c>
      <c r="M31" s="1055" t="s">
        <v>543</v>
      </c>
      <c r="N31" s="1055" t="s">
        <v>641</v>
      </c>
      <c r="O31" s="1055" t="s">
        <v>642</v>
      </c>
      <c r="P31" s="1057" t="str">
        <f>IFERROR(__xludf.DUMMYFUNCTION("IFERROR(
  TEXT(
    DATE(
      INDEX(SPLIT(O31,"" ""),3),
      VLOOKUP(INDEX(SPLIT(O31,"" ""),1),{""jan."",1;""Feb"",2;""mar."",3;""Apr"",4;""May"",5;""jun."",6;""jul."",7;""Aug"",8;""Sep"",9;""Oct"",10;""nov."",11;""Dec"",12},2,FALSE),
      INDEX(SPL"&amp;"IT(O31,"" ""),2)
    ),
    ""dd/mm/yyyy""
  ),
"""")"),"19/05/2026")</f>
        <v>19/05/2026</v>
      </c>
    </row>
    <row r="32">
      <c r="A32" s="1054" t="s">
        <v>643</v>
      </c>
      <c r="B32" s="1054" t="s">
        <v>644</v>
      </c>
      <c r="C32" s="1058"/>
      <c r="D32" s="1058"/>
      <c r="E32" s="1056"/>
      <c r="F32" s="1055" t="s">
        <v>387</v>
      </c>
      <c r="G32" s="1055" t="s">
        <v>540</v>
      </c>
      <c r="H32" s="1056"/>
      <c r="I32" s="1056"/>
      <c r="J32" s="1055" t="s">
        <v>540</v>
      </c>
      <c r="K32" s="1055" t="s">
        <v>541</v>
      </c>
      <c r="L32" s="1055" t="s">
        <v>542</v>
      </c>
      <c r="M32" s="1055" t="s">
        <v>543</v>
      </c>
      <c r="N32" s="1055" t="s">
        <v>645</v>
      </c>
      <c r="O32" s="1057">
        <v>46190.816666666666</v>
      </c>
      <c r="P32" s="1057" t="str">
        <f>IFERROR(__xludf.DUMMYFUNCTION("IFERROR(
  TEXT(
    DATE(
      INDEX(SPLIT(O32,"" ""),3),
      VLOOKUP(INDEX(SPLIT(O32,"" ""),1),{""jan."",1;""Feb"",2;""mar."",3;""Apr"",4;""May"",5;""jun."",6;""jul."",7;""Aug"",8;""Sep"",9;""Oct"",10;""nov."",11;""Dec"",12},2,FALSE),
      INDEX(SPL"&amp;"IT(O32,"" ""),2)
    ),
    ""dd/mm/yyyy""
  ),
"""")"),"17/06/2026")</f>
        <v>17/06/2026</v>
      </c>
    </row>
    <row r="33">
      <c r="A33" s="1054" t="s">
        <v>646</v>
      </c>
      <c r="B33" s="1054" t="s">
        <v>647</v>
      </c>
      <c r="C33" s="1058"/>
      <c r="D33" s="1058"/>
      <c r="E33" s="1056"/>
      <c r="F33" s="1055" t="s">
        <v>377</v>
      </c>
      <c r="G33" s="1055" t="s">
        <v>540</v>
      </c>
      <c r="H33" s="1056"/>
      <c r="I33" s="1056"/>
      <c r="J33" s="1055" t="s">
        <v>540</v>
      </c>
      <c r="K33" s="1055" t="s">
        <v>541</v>
      </c>
      <c r="L33" s="1055" t="s">
        <v>542</v>
      </c>
      <c r="M33" s="1055" t="s">
        <v>543</v>
      </c>
      <c r="N33" s="1055" t="s">
        <v>648</v>
      </c>
      <c r="O33" s="1055" t="s">
        <v>649</v>
      </c>
      <c r="P33" s="1057" t="str">
        <f>IFERROR(__xludf.DUMMYFUNCTION("IFERROR(
  TEXT(
    DATE(
      INDEX(SPLIT(O33,"" ""),3),
      VLOOKUP(INDEX(SPLIT(O33,"" ""),1),{""jan."",1;""Feb"",2;""mar."",3;""Apr"",4;""May"",5;""jun."",6;""jul."",7;""Aug"",8;""Sep"",9;""Oct"",10;""nov."",11;""Dec"",12},2,FALSE),
      INDEX(SPL"&amp;"IT(O33,"" ""),2)
    ),
    ""dd/mm/yyyy""
  ),
"""")"),"20/05/2026")</f>
        <v>20/05/2026</v>
      </c>
    </row>
    <row r="34">
      <c r="A34" s="1054" t="s">
        <v>650</v>
      </c>
      <c r="B34" s="1054" t="s">
        <v>651</v>
      </c>
      <c r="C34" s="1058"/>
      <c r="D34" s="1058"/>
      <c r="E34" s="1056"/>
      <c r="F34" s="1055" t="s">
        <v>400</v>
      </c>
      <c r="G34" s="1055" t="s">
        <v>540</v>
      </c>
      <c r="H34" s="1056"/>
      <c r="I34" s="1056"/>
      <c r="J34" s="1055" t="s">
        <v>540</v>
      </c>
      <c r="K34" s="1055" t="s">
        <v>541</v>
      </c>
      <c r="L34" s="1055" t="s">
        <v>542</v>
      </c>
      <c r="M34" s="1055" t="s">
        <v>543</v>
      </c>
      <c r="N34" s="1055" t="s">
        <v>652</v>
      </c>
      <c r="O34" s="1057">
        <v>46182.60208333333</v>
      </c>
      <c r="P34" s="1057" t="str">
        <f>IFERROR(__xludf.DUMMYFUNCTION("IFERROR(
  TEXT(
    DATE(
      INDEX(SPLIT(O34,"" ""),3),
      VLOOKUP(INDEX(SPLIT(O34,"" ""),1),{""jan."",1;""Feb"",2;""mar."",3;""Apr"",4;""May"",5;""jun."",6;""jul."",7;""Aug"",8;""Sep"",9;""Oct"",10;""nov."",11;""Dec"",12},2,FALSE),
      INDEX(SPL"&amp;"IT(O34,"" ""),2)
    ),
    ""dd/mm/yyyy""
  ),
"""")"),"09/06/2026")</f>
        <v>09/06/2026</v>
      </c>
    </row>
    <row r="35">
      <c r="A35" s="1054" t="s">
        <v>653</v>
      </c>
      <c r="B35" s="1054" t="s">
        <v>654</v>
      </c>
      <c r="C35" s="1058"/>
      <c r="D35" s="1058"/>
      <c r="E35" s="1056"/>
      <c r="F35" s="1055" t="s">
        <v>400</v>
      </c>
      <c r="G35" s="1055" t="s">
        <v>540</v>
      </c>
      <c r="H35" s="1056"/>
      <c r="I35" s="1056"/>
      <c r="J35" s="1055" t="s">
        <v>540</v>
      </c>
      <c r="K35" s="1055" t="s">
        <v>541</v>
      </c>
      <c r="L35" s="1055" t="s">
        <v>542</v>
      </c>
      <c r="M35" s="1055" t="s">
        <v>543</v>
      </c>
      <c r="N35" s="1055" t="s">
        <v>655</v>
      </c>
      <c r="O35" s="1057">
        <v>46197.63888888889</v>
      </c>
      <c r="P35" s="1057" t="str">
        <f>IFERROR(__xludf.DUMMYFUNCTION("IFERROR(
  TEXT(
    DATE(
      INDEX(SPLIT(O35,"" ""),3),
      VLOOKUP(INDEX(SPLIT(O35,"" ""),1),{""jan."",1;""Feb"",2;""mar."",3;""Apr"",4;""May"",5;""jun."",6;""jul."",7;""Aug"",8;""Sep"",9;""Oct"",10;""nov."",11;""Dec"",12},2,FALSE),
      INDEX(SPL"&amp;"IT(O35,"" ""),2)
    ),
    ""dd/mm/yyyy""
  ),
"""")"),"24/06/2026")</f>
        <v>24/06/2026</v>
      </c>
    </row>
    <row r="36">
      <c r="A36" s="1054" t="s">
        <v>656</v>
      </c>
      <c r="B36" s="1054" t="s">
        <v>657</v>
      </c>
      <c r="C36" s="1055" t="s">
        <v>538</v>
      </c>
      <c r="D36" s="1055" t="s">
        <v>539</v>
      </c>
      <c r="E36" s="1056"/>
      <c r="F36" s="1055" t="s">
        <v>399</v>
      </c>
      <c r="G36" s="1055" t="s">
        <v>540</v>
      </c>
      <c r="H36" s="1056"/>
      <c r="I36" s="1056"/>
      <c r="J36" s="1055" t="s">
        <v>540</v>
      </c>
      <c r="K36" s="1055" t="s">
        <v>541</v>
      </c>
      <c r="L36" s="1055" t="s">
        <v>542</v>
      </c>
      <c r="M36" s="1055" t="s">
        <v>543</v>
      </c>
      <c r="N36" s="1055" t="s">
        <v>658</v>
      </c>
      <c r="O36" s="1057">
        <v>46184.444444444445</v>
      </c>
      <c r="P36" s="1057" t="str">
        <f>IFERROR(__xludf.DUMMYFUNCTION("IFERROR(
  TEXT(
    DATE(
      INDEX(SPLIT(O36,"" ""),3),
      VLOOKUP(INDEX(SPLIT(O36,"" ""),1),{""jan."",1;""Feb"",2;""mar."",3;""Apr"",4;""May"",5;""jun."",6;""jul."",7;""Aug"",8;""Sep"",9;""Oct"",10;""nov."",11;""Dec"",12},2,FALSE),
      INDEX(SPL"&amp;"IT(O36,"" ""),2)
    ),
    ""dd/mm/yyyy""
  ),
"""")"),"11/06/2026")</f>
        <v>11/06/2026</v>
      </c>
    </row>
    <row r="37">
      <c r="A37" s="1054" t="s">
        <v>659</v>
      </c>
      <c r="B37" s="1054" t="s">
        <v>660</v>
      </c>
      <c r="C37" s="1055" t="s">
        <v>538</v>
      </c>
      <c r="D37" s="1055" t="s">
        <v>539</v>
      </c>
      <c r="E37" s="1056"/>
      <c r="F37" s="1055" t="s">
        <v>428</v>
      </c>
      <c r="G37" s="1055" t="s">
        <v>540</v>
      </c>
      <c r="H37" s="1056"/>
      <c r="I37" s="1056"/>
      <c r="J37" s="1055" t="s">
        <v>540</v>
      </c>
      <c r="K37" s="1055" t="s">
        <v>541</v>
      </c>
      <c r="L37" s="1055" t="s">
        <v>542</v>
      </c>
      <c r="M37" s="1055" t="s">
        <v>543</v>
      </c>
      <c r="N37" s="1055" t="s">
        <v>661</v>
      </c>
      <c r="O37" s="1057">
        <v>46197.407638888886</v>
      </c>
      <c r="P37" s="1057" t="str">
        <f>IFERROR(__xludf.DUMMYFUNCTION("IFERROR(
  TEXT(
    DATE(
      INDEX(SPLIT(O37,"" ""),3),
      VLOOKUP(INDEX(SPLIT(O37,"" ""),1),{""jan."",1;""Feb"",2;""mar."",3;""Apr"",4;""May"",5;""jun."",6;""jul."",7;""Aug"",8;""Sep"",9;""Oct"",10;""nov."",11;""Dec"",12},2,FALSE),
      INDEX(SPL"&amp;"IT(O37,"" ""),2)
    ),
    ""dd/mm/yyyy""
  ),
"""")"),"24/06/2026")</f>
        <v>24/06/2026</v>
      </c>
    </row>
    <row r="38">
      <c r="A38" s="1054" t="s">
        <v>662</v>
      </c>
      <c r="B38" s="1054" t="s">
        <v>663</v>
      </c>
      <c r="C38" s="1055" t="s">
        <v>538</v>
      </c>
      <c r="D38" s="1055" t="s">
        <v>539</v>
      </c>
      <c r="E38" s="1056"/>
      <c r="F38" s="1055" t="s">
        <v>377</v>
      </c>
      <c r="G38" s="1055" t="s">
        <v>540</v>
      </c>
      <c r="H38" s="1056"/>
      <c r="I38" s="1056"/>
      <c r="J38" s="1055" t="s">
        <v>540</v>
      </c>
      <c r="K38" s="1055" t="s">
        <v>541</v>
      </c>
      <c r="L38" s="1055" t="s">
        <v>542</v>
      </c>
      <c r="M38" s="1055" t="s">
        <v>543</v>
      </c>
      <c r="N38" s="1055" t="s">
        <v>664</v>
      </c>
      <c r="O38" s="1055" t="s">
        <v>665</v>
      </c>
      <c r="P38" s="1057" t="str">
        <f>IFERROR(__xludf.DUMMYFUNCTION("IFERROR(
  TEXT(
    DATE(
      INDEX(SPLIT(O38,"" ""),3),
      VLOOKUP(INDEX(SPLIT(O38,"" ""),1),{""jan."",1;""Feb"",2;""mar."",3;""Apr"",4;""May"",5;""jun."",6;""jul."",7;""Aug"",8;""Sep"",9;""Oct"",10;""nov."",11;""Dec"",12},2,FALSE),
      INDEX(SPL"&amp;"IT(O38,"" ""),2)
    ),
    ""dd/mm/yyyy""
  ),
"""")"),"18/05/2026")</f>
        <v>18/05/2026</v>
      </c>
    </row>
    <row r="39">
      <c r="A39" s="1054" t="s">
        <v>666</v>
      </c>
      <c r="B39" s="1054" t="s">
        <v>667</v>
      </c>
      <c r="C39" s="1055" t="s">
        <v>538</v>
      </c>
      <c r="D39" s="1055" t="s">
        <v>539</v>
      </c>
      <c r="E39" s="1056"/>
      <c r="F39" s="1055" t="s">
        <v>387</v>
      </c>
      <c r="G39" s="1055" t="s">
        <v>540</v>
      </c>
      <c r="H39" s="1056"/>
      <c r="I39" s="1056"/>
      <c r="J39" s="1055" t="s">
        <v>540</v>
      </c>
      <c r="K39" s="1055" t="s">
        <v>541</v>
      </c>
      <c r="L39" s="1055" t="s">
        <v>542</v>
      </c>
      <c r="M39" s="1055" t="s">
        <v>543</v>
      </c>
      <c r="N39" s="1055" t="s">
        <v>668</v>
      </c>
      <c r="O39" s="1055" t="s">
        <v>669</v>
      </c>
      <c r="P39" s="1057" t="str">
        <f>IFERROR(__xludf.DUMMYFUNCTION("IFERROR(
  TEXT(
    DATE(
      INDEX(SPLIT(O39,"" ""),3),
      VLOOKUP(INDEX(SPLIT(O39,"" ""),1),{""jan."",1;""Feb"",2;""mar."",3;""Apr"",4;""May"",5;""jun."",6;""jul."",7;""Aug"",8;""Sep"",9;""Oct"",10;""nov."",11;""Dec"",12},2,FALSE),
      INDEX(SPL"&amp;"IT(O39,"" ""),2)
    ),
    ""dd/mm/yyyy""
  ),
"""")"),"20/05/2026")</f>
        <v>20/05/2026</v>
      </c>
    </row>
    <row r="40">
      <c r="A40" s="1054" t="s">
        <v>670</v>
      </c>
      <c r="B40" s="1054" t="s">
        <v>671</v>
      </c>
      <c r="C40" s="1058"/>
      <c r="D40" s="1058"/>
      <c r="E40" s="1056"/>
      <c r="F40" s="1055" t="s">
        <v>399</v>
      </c>
      <c r="G40" s="1055" t="s">
        <v>540</v>
      </c>
      <c r="H40" s="1056"/>
      <c r="I40" s="1056"/>
      <c r="J40" s="1055" t="s">
        <v>540</v>
      </c>
      <c r="K40" s="1055" t="s">
        <v>541</v>
      </c>
      <c r="L40" s="1055" t="s">
        <v>542</v>
      </c>
      <c r="M40" s="1055" t="s">
        <v>543</v>
      </c>
      <c r="N40" s="1055" t="s">
        <v>672</v>
      </c>
      <c r="O40" s="1057">
        <v>46195.705555555556</v>
      </c>
      <c r="P40" s="1057" t="str">
        <f>IFERROR(__xludf.DUMMYFUNCTION("IFERROR(
  TEXT(
    DATE(
      INDEX(SPLIT(O40,"" ""),3),
      VLOOKUP(INDEX(SPLIT(O40,"" ""),1),{""jan."",1;""Feb"",2;""mar."",3;""Apr"",4;""May"",5;""jun."",6;""jul."",7;""Aug"",8;""Sep"",9;""Oct"",10;""nov."",11;""Dec"",12},2,FALSE),
      INDEX(SPL"&amp;"IT(O40,"" ""),2)
    ),
    ""dd/mm/yyyy""
  ),
"""")"),"22/06/2026")</f>
        <v>22/06/2026</v>
      </c>
    </row>
    <row r="41">
      <c r="A41" s="1054" t="s">
        <v>673</v>
      </c>
      <c r="B41" s="1054" t="s">
        <v>674</v>
      </c>
      <c r="C41" s="1058"/>
      <c r="D41" s="1058"/>
      <c r="E41" s="1056"/>
      <c r="F41" s="1055" t="s">
        <v>399</v>
      </c>
      <c r="G41" s="1055" t="s">
        <v>540</v>
      </c>
      <c r="H41" s="1056"/>
      <c r="I41" s="1056"/>
      <c r="J41" s="1055" t="s">
        <v>540</v>
      </c>
      <c r="K41" s="1055" t="s">
        <v>541</v>
      </c>
      <c r="L41" s="1055" t="s">
        <v>542</v>
      </c>
      <c r="M41" s="1055" t="s">
        <v>543</v>
      </c>
      <c r="N41" s="1055" t="s">
        <v>675</v>
      </c>
      <c r="O41" s="1057">
        <v>46197.40694444445</v>
      </c>
      <c r="P41" s="1057" t="str">
        <f>IFERROR(__xludf.DUMMYFUNCTION("IFERROR(
  TEXT(
    DATE(
      INDEX(SPLIT(O41,"" ""),3),
      VLOOKUP(INDEX(SPLIT(O41,"" ""),1),{""jan."",1;""Feb"",2;""mar."",3;""Apr"",4;""May"",5;""jun."",6;""jul."",7;""Aug"",8;""Sep"",9;""Oct"",10;""nov."",11;""Dec"",12},2,FALSE),
      INDEX(SPL"&amp;"IT(O41,"" ""),2)
    ),
    ""dd/mm/yyyy""
  ),
"""")"),"24/06/2026")</f>
        <v>24/06/2026</v>
      </c>
    </row>
    <row r="42">
      <c r="A42" s="1054" t="s">
        <v>676</v>
      </c>
      <c r="B42" s="1054" t="s">
        <v>677</v>
      </c>
      <c r="C42" s="1058"/>
      <c r="D42" s="1058"/>
      <c r="E42" s="1056"/>
      <c r="F42" s="1055" t="s">
        <v>377</v>
      </c>
      <c r="G42" s="1055" t="s">
        <v>540</v>
      </c>
      <c r="H42" s="1056"/>
      <c r="I42" s="1056"/>
      <c r="J42" s="1055" t="s">
        <v>540</v>
      </c>
      <c r="K42" s="1055" t="s">
        <v>541</v>
      </c>
      <c r="L42" s="1055" t="s">
        <v>542</v>
      </c>
      <c r="M42" s="1055" t="s">
        <v>543</v>
      </c>
      <c r="N42" s="1055" t="s">
        <v>678</v>
      </c>
      <c r="O42" s="1055" t="s">
        <v>679</v>
      </c>
      <c r="P42" s="1057" t="str">
        <f>IFERROR(__xludf.DUMMYFUNCTION("IFERROR(
  TEXT(
    DATE(
      INDEX(SPLIT(O42,"" ""),3),
      VLOOKUP(INDEX(SPLIT(O42,"" ""),1),{""jan."",1;""Feb"",2;""mar."",3;""Apr"",4;""May"",5;""jun."",6;""jul."",7;""Aug"",8;""Sep"",9;""Oct"",10;""nov."",11;""Dec"",12},2,FALSE),
      INDEX(SPL"&amp;"IT(O42,"" ""),2)
    ),
    ""dd/mm/yyyy""
  ),
"""")"),"18/05/2026")</f>
        <v>18/05/2026</v>
      </c>
    </row>
    <row r="43">
      <c r="A43" s="1054" t="s">
        <v>680</v>
      </c>
      <c r="B43" s="1054" t="s">
        <v>681</v>
      </c>
      <c r="C43" s="1058"/>
      <c r="D43" s="1058"/>
      <c r="E43" s="1056"/>
      <c r="F43" s="1055" t="s">
        <v>400</v>
      </c>
      <c r="G43" s="1055" t="s">
        <v>540</v>
      </c>
      <c r="H43" s="1056"/>
      <c r="I43" s="1056"/>
      <c r="J43" s="1055" t="s">
        <v>540</v>
      </c>
      <c r="K43" s="1055" t="s">
        <v>541</v>
      </c>
      <c r="L43" s="1055" t="s">
        <v>542</v>
      </c>
      <c r="M43" s="1055" t="s">
        <v>543</v>
      </c>
      <c r="N43" s="1055" t="s">
        <v>682</v>
      </c>
      <c r="O43" s="1057">
        <v>46195.705555555556</v>
      </c>
      <c r="P43" s="1057" t="str">
        <f>IFERROR(__xludf.DUMMYFUNCTION("IFERROR(
  TEXT(
    DATE(
      INDEX(SPLIT(O43,"" ""),3),
      VLOOKUP(INDEX(SPLIT(O43,"" ""),1),{""jan."",1;""Feb"",2;""mar."",3;""Apr"",4;""May"",5;""jun."",6;""jul."",7;""Aug"",8;""Sep"",9;""Oct"",10;""nov."",11;""Dec"",12},2,FALSE),
      INDEX(SPL"&amp;"IT(O43,"" ""),2)
    ),
    ""dd/mm/yyyy""
  ),
"""")"),"22/06/2026")</f>
        <v>22/06/2026</v>
      </c>
    </row>
    <row r="44">
      <c r="A44" s="1054" t="s">
        <v>683</v>
      </c>
      <c r="B44" s="1054" t="s">
        <v>684</v>
      </c>
      <c r="C44" s="1055" t="s">
        <v>538</v>
      </c>
      <c r="D44" s="1055" t="s">
        <v>539</v>
      </c>
      <c r="E44" s="1056"/>
      <c r="F44" s="1055" t="s">
        <v>411</v>
      </c>
      <c r="G44" s="1055" t="s">
        <v>540</v>
      </c>
      <c r="H44" s="1056"/>
      <c r="I44" s="1056"/>
      <c r="J44" s="1055" t="s">
        <v>540</v>
      </c>
      <c r="K44" s="1055" t="s">
        <v>541</v>
      </c>
      <c r="L44" s="1055" t="s">
        <v>542</v>
      </c>
      <c r="M44" s="1055" t="s">
        <v>543</v>
      </c>
      <c r="N44" s="1055" t="s">
        <v>685</v>
      </c>
      <c r="O44" s="1057">
        <v>46209.69236111111</v>
      </c>
      <c r="P44" s="1057" t="str">
        <f>IFERROR(__xludf.DUMMYFUNCTION("IFERROR(
  TEXT(
    DATE(
      INDEX(SPLIT(O44,"" ""),3),
      VLOOKUP(INDEX(SPLIT(O44,"" ""),1),{""jan."",1;""Feb"",2;""mar."",3;""Apr"",4;""May"",5;""jun."",6;""jul."",7;""Aug"",8;""Sep"",9;""Oct"",10;""nov."",11;""Dec"",12},2,FALSE),
      INDEX(SPL"&amp;"IT(O44,"" ""),2)
    ),
    ""dd/mm/yyyy""
  ),
"""")"),"06/07/2026")</f>
        <v>06/07/2026</v>
      </c>
    </row>
    <row r="45">
      <c r="A45" s="1054" t="s">
        <v>686</v>
      </c>
      <c r="B45" s="1054" t="s">
        <v>687</v>
      </c>
      <c r="C45" s="1055" t="s">
        <v>538</v>
      </c>
      <c r="D45" s="1055" t="s">
        <v>539</v>
      </c>
      <c r="E45" s="1056"/>
      <c r="F45" s="1055" t="s">
        <v>377</v>
      </c>
      <c r="G45" s="1055" t="s">
        <v>540</v>
      </c>
      <c r="H45" s="1056"/>
      <c r="I45" s="1056"/>
      <c r="J45" s="1055" t="s">
        <v>540</v>
      </c>
      <c r="K45" s="1055" t="s">
        <v>541</v>
      </c>
      <c r="L45" s="1055" t="s">
        <v>542</v>
      </c>
      <c r="M45" s="1055" t="s">
        <v>543</v>
      </c>
      <c r="N45" s="1055" t="s">
        <v>688</v>
      </c>
      <c r="O45" s="1055" t="s">
        <v>689</v>
      </c>
      <c r="P45" s="1057" t="str">
        <f>IFERROR(__xludf.DUMMYFUNCTION("IFERROR(
  TEXT(
    DATE(
      INDEX(SPLIT(O45,"" ""),3),
      VLOOKUP(INDEX(SPLIT(O45,"" ""),1),{""jan."",1;""Feb"",2;""mar."",3;""Apr"",4;""May"",5;""jun."",6;""jul."",7;""Aug"",8;""Sep"",9;""Oct"",10;""nov."",11;""Dec"",12},2,FALSE),
      INDEX(SPL"&amp;"IT(O45,"" ""),2)
    ),
    ""dd/mm/yyyy""
  ),
"""")"),"19/05/2026")</f>
        <v>19/05/2026</v>
      </c>
    </row>
    <row r="46">
      <c r="A46" s="1054" t="s">
        <v>690</v>
      </c>
      <c r="B46" s="1054" t="s">
        <v>691</v>
      </c>
      <c r="C46" s="1055" t="s">
        <v>538</v>
      </c>
      <c r="D46" s="1055" t="s">
        <v>539</v>
      </c>
      <c r="E46" s="1056"/>
      <c r="F46" s="1055" t="s">
        <v>377</v>
      </c>
      <c r="G46" s="1055" t="s">
        <v>540</v>
      </c>
      <c r="H46" s="1056"/>
      <c r="I46" s="1056"/>
      <c r="J46" s="1055" t="s">
        <v>540</v>
      </c>
      <c r="K46" s="1055" t="s">
        <v>541</v>
      </c>
      <c r="L46" s="1055" t="s">
        <v>542</v>
      </c>
      <c r="M46" s="1055" t="s">
        <v>543</v>
      </c>
      <c r="N46" s="1055" t="s">
        <v>692</v>
      </c>
      <c r="O46" s="1055" t="s">
        <v>689</v>
      </c>
      <c r="P46" s="1057" t="str">
        <f>IFERROR(__xludf.DUMMYFUNCTION("IFERROR(
  TEXT(
    DATE(
      INDEX(SPLIT(O46,"" ""),3),
      VLOOKUP(INDEX(SPLIT(O46,"" ""),1),{""jan."",1;""Feb"",2;""mar."",3;""Apr"",4;""May"",5;""jun."",6;""jul."",7;""Aug"",8;""Sep"",9;""Oct"",10;""nov."",11;""Dec"",12},2,FALSE),
      INDEX(SPL"&amp;"IT(O46,"" ""),2)
    ),
    ""dd/mm/yyyy""
  ),
"""")"),"19/05/2026")</f>
        <v>19/05/2026</v>
      </c>
    </row>
    <row r="47">
      <c r="A47" s="1054" t="s">
        <v>693</v>
      </c>
      <c r="B47" s="1054" t="s">
        <v>694</v>
      </c>
      <c r="C47" s="1055" t="s">
        <v>538</v>
      </c>
      <c r="D47" s="1055" t="s">
        <v>539</v>
      </c>
      <c r="E47" s="1056"/>
      <c r="F47" s="1055" t="s">
        <v>400</v>
      </c>
      <c r="G47" s="1055" t="s">
        <v>540</v>
      </c>
      <c r="H47" s="1056"/>
      <c r="I47" s="1056"/>
      <c r="J47" s="1055" t="s">
        <v>540</v>
      </c>
      <c r="K47" s="1055" t="s">
        <v>541</v>
      </c>
      <c r="L47" s="1055" t="s">
        <v>542</v>
      </c>
      <c r="M47" s="1055" t="s">
        <v>543</v>
      </c>
      <c r="N47" s="1055" t="s">
        <v>695</v>
      </c>
      <c r="O47" s="1057">
        <v>46204.697916666664</v>
      </c>
      <c r="P47" s="1057" t="str">
        <f>IFERROR(__xludf.DUMMYFUNCTION("IFERROR(
  TEXT(
    DATE(
      INDEX(SPLIT(O47,"" ""),3),
      VLOOKUP(INDEX(SPLIT(O47,"" ""),1),{""jan."",1;""Feb"",2;""mar."",3;""Apr"",4;""May"",5;""jun."",6;""jul."",7;""Aug"",8;""Sep"",9;""Oct"",10;""nov."",11;""Dec"",12},2,FALSE),
      INDEX(SPL"&amp;"IT(O47,"" ""),2)
    ),
    ""dd/mm/yyyy""
  ),
"""")"),"01/07/2026")</f>
        <v>01/07/2026</v>
      </c>
    </row>
    <row r="48">
      <c r="A48" s="1054" t="s">
        <v>696</v>
      </c>
      <c r="B48" s="1054" t="s">
        <v>697</v>
      </c>
      <c r="C48" s="1055" t="s">
        <v>538</v>
      </c>
      <c r="D48" s="1055" t="s">
        <v>539</v>
      </c>
      <c r="E48" s="1056"/>
      <c r="F48" s="1055" t="s">
        <v>387</v>
      </c>
      <c r="G48" s="1055" t="s">
        <v>540</v>
      </c>
      <c r="H48" s="1056"/>
      <c r="I48" s="1056"/>
      <c r="J48" s="1055" t="s">
        <v>540</v>
      </c>
      <c r="K48" s="1055" t="s">
        <v>541</v>
      </c>
      <c r="L48" s="1055" t="s">
        <v>542</v>
      </c>
      <c r="M48" s="1055" t="s">
        <v>543</v>
      </c>
      <c r="N48" s="1055" t="s">
        <v>698</v>
      </c>
      <c r="O48" s="1057">
        <v>46188.39375</v>
      </c>
      <c r="P48" s="1057" t="str">
        <f>IFERROR(__xludf.DUMMYFUNCTION("IFERROR(
  TEXT(
    DATE(
      INDEX(SPLIT(O48,"" ""),3),
      VLOOKUP(INDEX(SPLIT(O48,"" ""),1),{""jan."",1;""Feb"",2;""mar."",3;""Apr"",4;""May"",5;""jun."",6;""jul."",7;""Aug"",8;""Sep"",9;""Oct"",10;""nov."",11;""Dec"",12},2,FALSE),
      INDEX(SPL"&amp;"IT(O48,"" ""),2)
    ),
    ""dd/mm/yyyy""
  ),
"""")"),"15/06/2026")</f>
        <v>15/06/2026</v>
      </c>
    </row>
    <row r="49">
      <c r="A49" s="1054" t="s">
        <v>699</v>
      </c>
      <c r="B49" s="1054" t="s">
        <v>700</v>
      </c>
      <c r="C49" s="1058"/>
      <c r="D49" s="1058"/>
      <c r="E49" s="1056"/>
      <c r="F49" s="1055" t="s">
        <v>411</v>
      </c>
      <c r="G49" s="1055" t="s">
        <v>540</v>
      </c>
      <c r="H49" s="1056"/>
      <c r="I49" s="1056"/>
      <c r="J49" s="1055" t="s">
        <v>540</v>
      </c>
      <c r="K49" s="1055" t="s">
        <v>541</v>
      </c>
      <c r="L49" s="1055" t="s">
        <v>542</v>
      </c>
      <c r="M49" s="1055" t="s">
        <v>543</v>
      </c>
      <c r="N49" s="1055" t="s">
        <v>701</v>
      </c>
      <c r="O49" s="1057">
        <v>46209.67222222222</v>
      </c>
      <c r="P49" s="1057" t="str">
        <f>IFERROR(__xludf.DUMMYFUNCTION("IFERROR(
  TEXT(
    DATE(
      INDEX(SPLIT(O49,"" ""),3),
      VLOOKUP(INDEX(SPLIT(O49,"" ""),1),{""jan."",1;""Feb"",2;""mar."",3;""Apr"",4;""May"",5;""jun."",6;""jul."",7;""Aug"",8;""Sep"",9;""Oct"",10;""nov."",11;""Dec"",12},2,FALSE),
      INDEX(SPL"&amp;"IT(O49,"" ""),2)
    ),
    ""dd/mm/yyyy""
  ),
"""")"),"06/07/2026")</f>
        <v>06/07/2026</v>
      </c>
    </row>
    <row r="50">
      <c r="A50" s="1054" t="s">
        <v>702</v>
      </c>
      <c r="B50" s="1054" t="s">
        <v>703</v>
      </c>
      <c r="C50" s="1058"/>
      <c r="D50" s="1058"/>
      <c r="E50" s="1056"/>
      <c r="F50" s="1055" t="s">
        <v>377</v>
      </c>
      <c r="G50" s="1055" t="s">
        <v>540</v>
      </c>
      <c r="H50" s="1056"/>
      <c r="I50" s="1056"/>
      <c r="J50" s="1055" t="s">
        <v>540</v>
      </c>
      <c r="K50" s="1055" t="s">
        <v>541</v>
      </c>
      <c r="L50" s="1055" t="s">
        <v>542</v>
      </c>
      <c r="M50" s="1055" t="s">
        <v>543</v>
      </c>
      <c r="N50" s="1055" t="s">
        <v>704</v>
      </c>
      <c r="O50" s="1055" t="s">
        <v>705</v>
      </c>
      <c r="P50" s="1057" t="str">
        <f>IFERROR(__xludf.DUMMYFUNCTION("IFERROR(
  TEXT(
    DATE(
      INDEX(SPLIT(O50,"" ""),3),
      VLOOKUP(INDEX(SPLIT(O50,"" ""),1),{""jan."",1;""Feb"",2;""mar."",3;""Apr"",4;""May"",5;""jun."",6;""jul."",7;""Aug"",8;""Sep"",9;""Oct"",10;""nov."",11;""Dec"",12},2,FALSE),
      INDEX(SPL"&amp;"IT(O50,"" ""),2)
    ),
    ""dd/mm/yyyy""
  ),
"""")"),"15/05/2026")</f>
        <v>15/05/2026</v>
      </c>
    </row>
    <row r="51">
      <c r="A51" s="1054" t="s">
        <v>706</v>
      </c>
      <c r="B51" s="1054" t="s">
        <v>707</v>
      </c>
      <c r="C51" s="1058"/>
      <c r="D51" s="1058"/>
      <c r="E51" s="1056"/>
      <c r="F51" s="1055" t="s">
        <v>377</v>
      </c>
      <c r="G51" s="1055" t="s">
        <v>540</v>
      </c>
      <c r="H51" s="1056"/>
      <c r="I51" s="1056"/>
      <c r="J51" s="1055" t="s">
        <v>540</v>
      </c>
      <c r="K51" s="1055" t="s">
        <v>541</v>
      </c>
      <c r="L51" s="1055" t="s">
        <v>542</v>
      </c>
      <c r="M51" s="1055" t="s">
        <v>543</v>
      </c>
      <c r="N51" s="1055" t="s">
        <v>708</v>
      </c>
      <c r="O51" s="1055" t="s">
        <v>705</v>
      </c>
      <c r="P51" s="1057" t="str">
        <f>IFERROR(__xludf.DUMMYFUNCTION("IFERROR(
  TEXT(
    DATE(
      INDEX(SPLIT(O51,"" ""),3),
      VLOOKUP(INDEX(SPLIT(O51,"" ""),1),{""jan."",1;""Feb"",2;""mar."",3;""Apr"",4;""May"",5;""jun."",6;""jul."",7;""Aug"",8;""Sep"",9;""Oct"",10;""nov."",11;""Dec"",12},2,FALSE),
      INDEX(SPL"&amp;"IT(O51,"" ""),2)
    ),
    ""dd/mm/yyyy""
  ),
"""")"),"15/05/2026")</f>
        <v>15/05/2026</v>
      </c>
    </row>
    <row r="52">
      <c r="A52" s="1054" t="s">
        <v>709</v>
      </c>
      <c r="B52" s="1054" t="s">
        <v>710</v>
      </c>
      <c r="C52" s="1058"/>
      <c r="D52" s="1058"/>
      <c r="E52" s="1056"/>
      <c r="F52" s="1055" t="s">
        <v>400</v>
      </c>
      <c r="G52" s="1055" t="s">
        <v>540</v>
      </c>
      <c r="H52" s="1056"/>
      <c r="I52" s="1056"/>
      <c r="J52" s="1055" t="s">
        <v>540</v>
      </c>
      <c r="K52" s="1055" t="s">
        <v>541</v>
      </c>
      <c r="L52" s="1055" t="s">
        <v>542</v>
      </c>
      <c r="M52" s="1055" t="s">
        <v>543</v>
      </c>
      <c r="N52" s="1055" t="s">
        <v>711</v>
      </c>
      <c r="O52" s="1057">
        <v>46204.69097222222</v>
      </c>
      <c r="P52" s="1057" t="str">
        <f>IFERROR(__xludf.DUMMYFUNCTION("IFERROR(
  TEXT(
    DATE(
      INDEX(SPLIT(O52,"" ""),3),
      VLOOKUP(INDEX(SPLIT(O52,"" ""),1),{""jan."",1;""Feb"",2;""mar."",3;""Apr"",4;""May"",5;""jun."",6;""jul."",7;""Aug"",8;""Sep"",9;""Oct"",10;""nov."",11;""Dec"",12},2,FALSE),
      INDEX(SPL"&amp;"IT(O52,"" ""),2)
    ),
    ""dd/mm/yyyy""
  ),
"""")"),"01/07/2026")</f>
        <v>01/07/2026</v>
      </c>
    </row>
    <row r="53">
      <c r="A53" s="1054" t="s">
        <v>712</v>
      </c>
      <c r="B53" s="1054" t="s">
        <v>713</v>
      </c>
      <c r="C53" s="1058"/>
      <c r="D53" s="1058"/>
      <c r="E53" s="1056"/>
      <c r="F53" s="1055" t="s">
        <v>377</v>
      </c>
      <c r="G53" s="1055" t="s">
        <v>540</v>
      </c>
      <c r="H53" s="1056"/>
      <c r="I53" s="1056"/>
      <c r="J53" s="1055" t="s">
        <v>540</v>
      </c>
      <c r="K53" s="1055" t="s">
        <v>541</v>
      </c>
      <c r="L53" s="1055" t="s">
        <v>542</v>
      </c>
      <c r="M53" s="1055" t="s">
        <v>543</v>
      </c>
      <c r="N53" s="1055" t="s">
        <v>714</v>
      </c>
      <c r="O53" s="1055" t="s">
        <v>705</v>
      </c>
      <c r="P53" s="1057" t="str">
        <f>IFERROR(__xludf.DUMMYFUNCTION("IFERROR(
  TEXT(
    DATE(
      INDEX(SPLIT(O53,"" ""),3),
      VLOOKUP(INDEX(SPLIT(O53,"" ""),1),{""jan."",1;""Feb"",2;""mar."",3;""Apr"",4;""May"",5;""jun."",6;""jul."",7;""Aug"",8;""Sep"",9;""Oct"",10;""nov."",11;""Dec"",12},2,FALSE),
      INDEX(SPL"&amp;"IT(O53,"" ""),2)
    ),
    ""dd/mm/yyyy""
  ),
"""")"),"15/05/2026")</f>
        <v>15/05/2026</v>
      </c>
    </row>
    <row r="54">
      <c r="A54" s="1054" t="s">
        <v>715</v>
      </c>
      <c r="B54" s="1054" t="s">
        <v>716</v>
      </c>
      <c r="C54" s="1055" t="s">
        <v>538</v>
      </c>
      <c r="D54" s="1055" t="s">
        <v>539</v>
      </c>
      <c r="E54" s="1056"/>
      <c r="F54" s="1055" t="s">
        <v>387</v>
      </c>
      <c r="G54" s="1055" t="s">
        <v>540</v>
      </c>
      <c r="H54" s="1056"/>
      <c r="I54" s="1056"/>
      <c r="J54" s="1055" t="s">
        <v>540</v>
      </c>
      <c r="K54" s="1055" t="s">
        <v>541</v>
      </c>
      <c r="L54" s="1055" t="s">
        <v>542</v>
      </c>
      <c r="M54" s="1055" t="s">
        <v>543</v>
      </c>
      <c r="N54" s="1055" t="s">
        <v>717</v>
      </c>
      <c r="O54" s="1057">
        <v>46215.961805555555</v>
      </c>
      <c r="P54" s="1057" t="str">
        <f>IFERROR(__xludf.DUMMYFUNCTION("IFERROR(
  TEXT(
    DATE(
      INDEX(SPLIT(O54,"" ""),3),
      VLOOKUP(INDEX(SPLIT(O54,"" ""),1),{""jan."",1;""Feb"",2;""mar."",3;""Apr"",4;""May"",5;""jun."",6;""jul."",7;""Aug"",8;""Sep"",9;""Oct"",10;""nov."",11;""Dec"",12},2,FALSE),
      INDEX(SPL"&amp;"IT(O54,"" ""),2)
    ),
    ""dd/mm/yyyy""
  ),
"""")"),"12/07/2026")</f>
        <v>12/07/2026</v>
      </c>
    </row>
    <row r="55">
      <c r="A55" s="1054" t="s">
        <v>718</v>
      </c>
      <c r="B55" s="1054" t="s">
        <v>719</v>
      </c>
      <c r="C55" s="1055" t="s">
        <v>538</v>
      </c>
      <c r="D55" s="1055" t="s">
        <v>539</v>
      </c>
      <c r="E55" s="1056"/>
      <c r="F55" s="1055" t="s">
        <v>377</v>
      </c>
      <c r="G55" s="1055" t="s">
        <v>540</v>
      </c>
      <c r="H55" s="1056"/>
      <c r="I55" s="1056"/>
      <c r="J55" s="1055" t="s">
        <v>540</v>
      </c>
      <c r="K55" s="1055" t="s">
        <v>541</v>
      </c>
      <c r="L55" s="1055" t="s">
        <v>542</v>
      </c>
      <c r="M55" s="1055" t="s">
        <v>543</v>
      </c>
      <c r="N55" s="1055" t="s">
        <v>720</v>
      </c>
      <c r="O55" s="1055" t="s">
        <v>721</v>
      </c>
      <c r="P55" s="1057" t="str">
        <f>IFERROR(__xludf.DUMMYFUNCTION("IFERROR(
  TEXT(
    DATE(
      INDEX(SPLIT(O55,"" ""),3),
      VLOOKUP(INDEX(SPLIT(O55,"" ""),1),{""jan."",1;""Feb"",2;""mar."",3;""Apr"",4;""May"",5;""jun."",6;""jul."",7;""Aug"",8;""Sep"",9;""Oct"",10;""nov."",11;""Dec"",12},2,FALSE),
      INDEX(SPL"&amp;"IT(O55,"" ""),2)
    ),
    ""dd/mm/yyyy""
  ),
"""")"),"15/05/2026")</f>
        <v>15/05/2026</v>
      </c>
    </row>
    <row r="56">
      <c r="A56" s="1054" t="s">
        <v>722</v>
      </c>
      <c r="B56" s="1054" t="s">
        <v>723</v>
      </c>
      <c r="C56" s="1055" t="s">
        <v>538</v>
      </c>
      <c r="D56" s="1055" t="s">
        <v>539</v>
      </c>
      <c r="E56" s="1056"/>
      <c r="F56" s="1055" t="s">
        <v>387</v>
      </c>
      <c r="G56" s="1055" t="s">
        <v>540</v>
      </c>
      <c r="H56" s="1056"/>
      <c r="I56" s="1056"/>
      <c r="J56" s="1055" t="s">
        <v>540</v>
      </c>
      <c r="K56" s="1055" t="s">
        <v>541</v>
      </c>
      <c r="L56" s="1055" t="s">
        <v>542</v>
      </c>
      <c r="M56" s="1055" t="s">
        <v>543</v>
      </c>
      <c r="N56" s="1055" t="s">
        <v>724</v>
      </c>
      <c r="O56" s="1057">
        <v>46216.53055555555</v>
      </c>
      <c r="P56" s="1057" t="str">
        <f>IFERROR(__xludf.DUMMYFUNCTION("IFERROR(
  TEXT(
    DATE(
      INDEX(SPLIT(O56,"" ""),3),
      VLOOKUP(INDEX(SPLIT(O56,"" ""),1),{""jan."",1;""Feb"",2;""mar."",3;""Apr"",4;""May"",5;""jun."",6;""jul."",7;""Aug"",8;""Sep"",9;""Oct"",10;""nov."",11;""Dec"",12},2,FALSE),
      INDEX(SPL"&amp;"IT(O56,"" ""),2)
    ),
    ""dd/mm/yyyy""
  ),
"""")"),"13/07/2026")</f>
        <v>13/07/2026</v>
      </c>
    </row>
    <row r="57">
      <c r="A57" s="1054" t="s">
        <v>725</v>
      </c>
      <c r="B57" s="1054" t="s">
        <v>726</v>
      </c>
      <c r="C57" s="1055" t="s">
        <v>538</v>
      </c>
      <c r="D57" s="1055" t="s">
        <v>539</v>
      </c>
      <c r="E57" s="1056"/>
      <c r="F57" s="1055" t="s">
        <v>400</v>
      </c>
      <c r="G57" s="1055" t="s">
        <v>540</v>
      </c>
      <c r="H57" s="1056"/>
      <c r="I57" s="1056"/>
      <c r="J57" s="1055" t="s">
        <v>540</v>
      </c>
      <c r="K57" s="1055" t="s">
        <v>541</v>
      </c>
      <c r="L57" s="1055" t="s">
        <v>542</v>
      </c>
      <c r="M57" s="1055" t="s">
        <v>543</v>
      </c>
      <c r="N57" s="1055" t="s">
        <v>727</v>
      </c>
      <c r="O57" s="1057">
        <v>46206.70277777778</v>
      </c>
      <c r="P57" s="1057" t="str">
        <f>IFERROR(__xludf.DUMMYFUNCTION("IFERROR(
  TEXT(
    DATE(
      INDEX(SPLIT(O57,"" ""),3),
      VLOOKUP(INDEX(SPLIT(O57,"" ""),1),{""jan."",1;""Feb"",2;""mar."",3;""Apr"",4;""May"",5;""jun."",6;""jul."",7;""Aug"",8;""Sep"",9;""Oct"",10;""nov."",11;""Dec"",12},2,FALSE),
      INDEX(SPL"&amp;"IT(O57,"" ""),2)
    ),
    ""dd/mm/yyyy""
  ),
"""")"),"03/07/2026")</f>
        <v>03/07/2026</v>
      </c>
    </row>
    <row r="58">
      <c r="A58" s="1054" t="s">
        <v>728</v>
      </c>
      <c r="B58" s="1054" t="s">
        <v>729</v>
      </c>
      <c r="C58" s="1055" t="s">
        <v>538</v>
      </c>
      <c r="D58" s="1055" t="s">
        <v>539</v>
      </c>
      <c r="E58" s="1056"/>
      <c r="F58" s="1055" t="s">
        <v>387</v>
      </c>
      <c r="G58" s="1055" t="s">
        <v>540</v>
      </c>
      <c r="H58" s="1056"/>
      <c r="I58" s="1056"/>
      <c r="J58" s="1055" t="s">
        <v>540</v>
      </c>
      <c r="K58" s="1055" t="s">
        <v>541</v>
      </c>
      <c r="L58" s="1055" t="s">
        <v>542</v>
      </c>
      <c r="M58" s="1055" t="s">
        <v>543</v>
      </c>
      <c r="N58" s="1055" t="s">
        <v>730</v>
      </c>
      <c r="O58" s="1057">
        <v>46175.62569444445</v>
      </c>
      <c r="P58" s="1057" t="str">
        <f>IFERROR(__xludf.DUMMYFUNCTION("IFERROR(
  TEXT(
    DATE(
      INDEX(SPLIT(O58,"" ""),3),
      VLOOKUP(INDEX(SPLIT(O58,"" ""),1),{""jan."",1;""Feb"",2;""mar."",3;""Apr"",4;""May"",5;""jun."",6;""jul."",7;""Aug"",8;""Sep"",9;""Oct"",10;""nov."",11;""Dec"",12},2,FALSE),
      INDEX(SPL"&amp;"IT(O58,"" ""),2)
    ),
    ""dd/mm/yyyy""
  ),
"""")"),"02/06/2026")</f>
        <v>02/06/2026</v>
      </c>
    </row>
    <row r="59">
      <c r="A59" s="1054" t="s">
        <v>731</v>
      </c>
      <c r="B59" s="1054" t="s">
        <v>732</v>
      </c>
      <c r="C59" s="1055" t="s">
        <v>538</v>
      </c>
      <c r="D59" s="1055" t="s">
        <v>539</v>
      </c>
      <c r="E59" s="1056"/>
      <c r="F59" s="1055" t="s">
        <v>399</v>
      </c>
      <c r="G59" s="1055" t="s">
        <v>540</v>
      </c>
      <c r="H59" s="1056"/>
      <c r="I59" s="1056"/>
      <c r="J59" s="1055" t="s">
        <v>540</v>
      </c>
      <c r="K59" s="1055" t="s">
        <v>541</v>
      </c>
      <c r="L59" s="1055" t="s">
        <v>542</v>
      </c>
      <c r="M59" s="1055" t="s">
        <v>543</v>
      </c>
      <c r="N59" s="1055" t="s">
        <v>733</v>
      </c>
      <c r="O59" s="1057">
        <v>46199.73402777778</v>
      </c>
      <c r="P59" s="1057" t="str">
        <f>IFERROR(__xludf.DUMMYFUNCTION("IFERROR(
  TEXT(
    DATE(
      INDEX(SPLIT(O59,"" ""),3),
      VLOOKUP(INDEX(SPLIT(O59,"" ""),1),{""jan."",1;""Feb"",2;""mar."",3;""Apr"",4;""May"",5;""jun."",6;""jul."",7;""Aug"",8;""Sep"",9;""Oct"",10;""nov."",11;""Dec"",12},2,FALSE),
      INDEX(SPL"&amp;"IT(O59,"" ""),2)
    ),
    ""dd/mm/yyyy""
  ),
"""")"),"26/06/2026")</f>
        <v>26/06/2026</v>
      </c>
    </row>
    <row r="60">
      <c r="A60" s="1054" t="s">
        <v>734</v>
      </c>
      <c r="B60" s="1054" t="s">
        <v>735</v>
      </c>
      <c r="C60" s="1055" t="s">
        <v>538</v>
      </c>
      <c r="D60" s="1055" t="s">
        <v>539</v>
      </c>
      <c r="E60" s="1056"/>
      <c r="F60" s="1055" t="s">
        <v>399</v>
      </c>
      <c r="G60" s="1055" t="s">
        <v>540</v>
      </c>
      <c r="H60" s="1056"/>
      <c r="I60" s="1056"/>
      <c r="J60" s="1055" t="s">
        <v>540</v>
      </c>
      <c r="K60" s="1055" t="s">
        <v>541</v>
      </c>
      <c r="L60" s="1055" t="s">
        <v>542</v>
      </c>
      <c r="M60" s="1055" t="s">
        <v>543</v>
      </c>
      <c r="N60" s="1055" t="s">
        <v>736</v>
      </c>
      <c r="O60" s="1057">
        <v>46209.87013888889</v>
      </c>
      <c r="P60" s="1057" t="str">
        <f>IFERROR(__xludf.DUMMYFUNCTION("IFERROR(
  TEXT(
    DATE(
      INDEX(SPLIT(O60,"" ""),3),
      VLOOKUP(INDEX(SPLIT(O60,"" ""),1),{""jan."",1;""Feb"",2;""mar."",3;""Apr"",4;""May"",5;""jun."",6;""jul."",7;""Aug"",8;""Sep"",9;""Oct"",10;""nov."",11;""Dec"",12},2,FALSE),
      INDEX(SPL"&amp;"IT(O60,"" ""),2)
    ),
    ""dd/mm/yyyy""
  ),
"""")"),"06/07/2026")</f>
        <v>06/07/2026</v>
      </c>
    </row>
    <row r="61">
      <c r="A61" s="1054" t="s">
        <v>737</v>
      </c>
      <c r="B61" s="1054" t="s">
        <v>738</v>
      </c>
      <c r="C61" s="1055" t="s">
        <v>538</v>
      </c>
      <c r="D61" s="1055" t="s">
        <v>539</v>
      </c>
      <c r="E61" s="1056"/>
      <c r="F61" s="1055" t="s">
        <v>377</v>
      </c>
      <c r="G61" s="1055" t="s">
        <v>540</v>
      </c>
      <c r="H61" s="1056"/>
      <c r="I61" s="1056"/>
      <c r="J61" s="1055" t="s">
        <v>540</v>
      </c>
      <c r="K61" s="1055" t="s">
        <v>541</v>
      </c>
      <c r="L61" s="1055" t="s">
        <v>542</v>
      </c>
      <c r="M61" s="1055" t="s">
        <v>543</v>
      </c>
      <c r="N61" s="1055" t="s">
        <v>739</v>
      </c>
      <c r="O61" s="1055" t="s">
        <v>740</v>
      </c>
      <c r="P61" s="1057" t="str">
        <f>IFERROR(__xludf.DUMMYFUNCTION("IFERROR(
  TEXT(
    DATE(
      INDEX(SPLIT(O61,"" ""),3),
      VLOOKUP(INDEX(SPLIT(O61,"" ""),1),{""jan."",1;""Feb"",2;""mar."",3;""Apr"",4;""May"",5;""jun."",6;""jul."",7;""Aug"",8;""Sep"",9;""Oct"",10;""nov."",11;""Dec"",12},2,FALSE),
      INDEX(SPL"&amp;"IT(O61,"" ""),2)
    ),
    ""dd/mm/yyyy""
  ),
"""")"),"19/05/2026")</f>
        <v>19/05/2026</v>
      </c>
    </row>
    <row r="62">
      <c r="A62" s="1054" t="s">
        <v>741</v>
      </c>
      <c r="B62" s="1054" t="s">
        <v>742</v>
      </c>
      <c r="C62" s="1055" t="s">
        <v>538</v>
      </c>
      <c r="D62" s="1055" t="s">
        <v>539</v>
      </c>
      <c r="E62" s="1056"/>
      <c r="F62" s="1055" t="s">
        <v>411</v>
      </c>
      <c r="G62" s="1055" t="s">
        <v>540</v>
      </c>
      <c r="H62" s="1056"/>
      <c r="I62" s="1056"/>
      <c r="J62" s="1055" t="s">
        <v>540</v>
      </c>
      <c r="K62" s="1055" t="s">
        <v>541</v>
      </c>
      <c r="L62" s="1055" t="s">
        <v>542</v>
      </c>
      <c r="M62" s="1055" t="s">
        <v>543</v>
      </c>
      <c r="N62" s="1055" t="s">
        <v>743</v>
      </c>
      <c r="O62" s="1057">
        <v>46216.70416666667</v>
      </c>
      <c r="P62" s="1057" t="str">
        <f>IFERROR(__xludf.DUMMYFUNCTION("IFERROR(
  TEXT(
    DATE(
      INDEX(SPLIT(O62,"" ""),3),
      VLOOKUP(INDEX(SPLIT(O62,"" ""),1),{""jan."",1;""Feb"",2;""mar."",3;""Apr"",4;""May"",5;""jun."",6;""jul."",7;""Aug"",8;""Sep"",9;""Oct"",10;""nov."",11;""Dec"",12},2,FALSE),
      INDEX(SPL"&amp;"IT(O62,"" ""),2)
    ),
    ""dd/mm/yyyy""
  ),
"""")"),"13/07/2026")</f>
        <v>13/07/2026</v>
      </c>
    </row>
    <row r="63">
      <c r="A63" s="1054" t="s">
        <v>744</v>
      </c>
      <c r="B63" s="1054" t="s">
        <v>745</v>
      </c>
      <c r="C63" s="1055" t="s">
        <v>538</v>
      </c>
      <c r="D63" s="1055" t="s">
        <v>539</v>
      </c>
      <c r="E63" s="1056"/>
      <c r="F63" s="1055" t="s">
        <v>387</v>
      </c>
      <c r="G63" s="1055" t="s">
        <v>540</v>
      </c>
      <c r="H63" s="1056"/>
      <c r="I63" s="1056"/>
      <c r="J63" s="1055" t="s">
        <v>540</v>
      </c>
      <c r="K63" s="1055" t="s">
        <v>541</v>
      </c>
      <c r="L63" s="1055" t="s">
        <v>542</v>
      </c>
      <c r="M63" s="1055" t="s">
        <v>543</v>
      </c>
      <c r="N63" s="1055" t="s">
        <v>746</v>
      </c>
      <c r="O63" s="1057">
        <v>46206.58472222222</v>
      </c>
      <c r="P63" s="1057" t="str">
        <f>IFERROR(__xludf.DUMMYFUNCTION("IFERROR(
  TEXT(
    DATE(
      INDEX(SPLIT(O63,"" ""),3),
      VLOOKUP(INDEX(SPLIT(O63,"" ""),1),{""jan."",1;""Feb"",2;""mar."",3;""Apr"",4;""May"",5;""jun."",6;""jul."",7;""Aug"",8;""Sep"",9;""Oct"",10;""nov."",11;""Dec"",12},2,FALSE),
      INDEX(SPL"&amp;"IT(O63,"" ""),2)
    ),
    ""dd/mm/yyyy""
  ),
"""")"),"03/07/2026")</f>
        <v>03/07/2026</v>
      </c>
    </row>
    <row r="64">
      <c r="A64" s="1054" t="s">
        <v>747</v>
      </c>
      <c r="B64" s="1054" t="s">
        <v>748</v>
      </c>
      <c r="C64" s="1055" t="s">
        <v>538</v>
      </c>
      <c r="D64" s="1055" t="s">
        <v>539</v>
      </c>
      <c r="E64" s="1056"/>
      <c r="F64" s="1055" t="s">
        <v>400</v>
      </c>
      <c r="G64" s="1055" t="s">
        <v>540</v>
      </c>
      <c r="H64" s="1056"/>
      <c r="I64" s="1056"/>
      <c r="J64" s="1055" t="s">
        <v>540</v>
      </c>
      <c r="K64" s="1055" t="s">
        <v>541</v>
      </c>
      <c r="L64" s="1055" t="s">
        <v>542</v>
      </c>
      <c r="M64" s="1055" t="s">
        <v>543</v>
      </c>
      <c r="N64" s="1055" t="s">
        <v>749</v>
      </c>
      <c r="O64" s="1057">
        <v>46215.61944444444</v>
      </c>
      <c r="P64" s="1057" t="str">
        <f>IFERROR(__xludf.DUMMYFUNCTION("IFERROR(
  TEXT(
    DATE(
      INDEX(SPLIT(O64,"" ""),3),
      VLOOKUP(INDEX(SPLIT(O64,"" ""),1),{""jan."",1;""Feb"",2;""mar."",3;""Apr"",4;""May"",5;""jun."",6;""jul."",7;""Aug"",8;""Sep"",9;""Oct"",10;""nov."",11;""Dec"",12},2,FALSE),
      INDEX(SPL"&amp;"IT(O64,"" ""),2)
    ),
    ""dd/mm/yyyy""
  ),
"""")"),"12/07/2026")</f>
        <v>12/07/2026</v>
      </c>
    </row>
    <row r="65">
      <c r="A65" s="1054" t="s">
        <v>750</v>
      </c>
      <c r="B65" s="1054" t="s">
        <v>751</v>
      </c>
      <c r="C65" s="1055" t="s">
        <v>538</v>
      </c>
      <c r="D65" s="1055" t="s">
        <v>539</v>
      </c>
      <c r="E65" s="1056"/>
      <c r="F65" s="1055" t="s">
        <v>377</v>
      </c>
      <c r="G65" s="1055" t="s">
        <v>540</v>
      </c>
      <c r="H65" s="1056"/>
      <c r="I65" s="1056"/>
      <c r="J65" s="1055" t="s">
        <v>540</v>
      </c>
      <c r="K65" s="1055" t="s">
        <v>541</v>
      </c>
      <c r="L65" s="1055" t="s">
        <v>542</v>
      </c>
      <c r="M65" s="1055" t="s">
        <v>543</v>
      </c>
      <c r="N65" s="1055" t="s">
        <v>752</v>
      </c>
      <c r="O65" s="1055" t="s">
        <v>753</v>
      </c>
      <c r="P65" s="1057" t="str">
        <f>IFERROR(__xludf.DUMMYFUNCTION("IFERROR(
  TEXT(
    DATE(
      INDEX(SPLIT(O65,"" ""),3),
      VLOOKUP(INDEX(SPLIT(O65,"" ""),1),{""jan."",1;""Feb"",2;""mar."",3;""Apr"",4;""May"",5;""jun."",6;""jul."",7;""Aug"",8;""Sep"",9;""Oct"",10;""nov."",11;""Dec"",12},2,FALSE),
      INDEX(SPL"&amp;"IT(O65,"" ""),2)
    ),
    ""dd/mm/yyyy""
  ),
"""")"),"15/05/2026")</f>
        <v>15/05/2026</v>
      </c>
    </row>
    <row r="66">
      <c r="A66" s="1054" t="s">
        <v>754</v>
      </c>
      <c r="B66" s="1054" t="s">
        <v>755</v>
      </c>
      <c r="C66" s="1055" t="s">
        <v>538</v>
      </c>
      <c r="D66" s="1055" t="s">
        <v>539</v>
      </c>
      <c r="E66" s="1056"/>
      <c r="F66" s="1055" t="s">
        <v>387</v>
      </c>
      <c r="G66" s="1055" t="s">
        <v>540</v>
      </c>
      <c r="H66" s="1056"/>
      <c r="I66" s="1056"/>
      <c r="J66" s="1055" t="s">
        <v>540</v>
      </c>
      <c r="K66" s="1055" t="s">
        <v>541</v>
      </c>
      <c r="L66" s="1055" t="s">
        <v>542</v>
      </c>
      <c r="M66" s="1055" t="s">
        <v>543</v>
      </c>
      <c r="N66" s="1055" t="s">
        <v>756</v>
      </c>
      <c r="O66" s="1057">
        <v>46209.572916666664</v>
      </c>
      <c r="P66" s="1057" t="str">
        <f>IFERROR(__xludf.DUMMYFUNCTION("IFERROR(
  TEXT(
    DATE(
      INDEX(SPLIT(O66,"" ""),3),
      VLOOKUP(INDEX(SPLIT(O66,"" ""),1),{""jan."",1;""Feb"",2;""mar."",3;""Apr"",4;""May"",5;""jun."",6;""jul."",7;""Aug"",8;""Sep"",9;""Oct"",10;""nov."",11;""Dec"",12},2,FALSE),
      INDEX(SPL"&amp;"IT(O66,"" ""),2)
    ),
    ""dd/mm/yyyy""
  ),
"""")"),"06/07/2026")</f>
        <v>06/07/2026</v>
      </c>
    </row>
    <row r="67">
      <c r="A67" s="1054" t="s">
        <v>757</v>
      </c>
      <c r="B67" s="1054" t="s">
        <v>758</v>
      </c>
      <c r="C67" s="1055" t="s">
        <v>538</v>
      </c>
      <c r="D67" s="1055" t="s">
        <v>539</v>
      </c>
      <c r="E67" s="1056"/>
      <c r="F67" s="1055" t="s">
        <v>400</v>
      </c>
      <c r="G67" s="1055" t="s">
        <v>540</v>
      </c>
      <c r="H67" s="1056"/>
      <c r="I67" s="1056"/>
      <c r="J67" s="1055" t="s">
        <v>540</v>
      </c>
      <c r="K67" s="1055" t="s">
        <v>541</v>
      </c>
      <c r="L67" s="1055" t="s">
        <v>542</v>
      </c>
      <c r="M67" s="1055" t="s">
        <v>543</v>
      </c>
      <c r="N67" s="1055" t="s">
        <v>759</v>
      </c>
      <c r="O67" s="1057">
        <v>46213.47430555556</v>
      </c>
      <c r="P67" s="1057" t="str">
        <f>IFERROR(__xludf.DUMMYFUNCTION("IFERROR(
  TEXT(
    DATE(
      INDEX(SPLIT(O67,"" ""),3),
      VLOOKUP(INDEX(SPLIT(O67,"" ""),1),{""jan."",1;""Feb"",2;""mar."",3;""Apr"",4;""May"",5;""jun."",6;""jul."",7;""Aug"",8;""Sep"",9;""Oct"",10;""nov."",11;""Dec"",12},2,FALSE),
      INDEX(SPL"&amp;"IT(O67,"" ""),2)
    ),
    ""dd/mm/yyyy""
  ),
"""")"),"10/07/2026")</f>
        <v>10/07/2026</v>
      </c>
    </row>
    <row r="68">
      <c r="A68" s="1054" t="s">
        <v>760</v>
      </c>
      <c r="B68" s="1054" t="s">
        <v>761</v>
      </c>
      <c r="C68" s="1055" t="s">
        <v>538</v>
      </c>
      <c r="D68" s="1055" t="s">
        <v>539</v>
      </c>
      <c r="E68" s="1056"/>
      <c r="F68" s="1055" t="s">
        <v>399</v>
      </c>
      <c r="G68" s="1055" t="s">
        <v>540</v>
      </c>
      <c r="H68" s="1056"/>
      <c r="I68" s="1056"/>
      <c r="J68" s="1055" t="s">
        <v>540</v>
      </c>
      <c r="K68" s="1055" t="s">
        <v>541</v>
      </c>
      <c r="L68" s="1055" t="s">
        <v>542</v>
      </c>
      <c r="M68" s="1055" t="s">
        <v>543</v>
      </c>
      <c r="N68" s="1055" t="s">
        <v>762</v>
      </c>
      <c r="O68" s="1057">
        <v>46198.836805555555</v>
      </c>
      <c r="P68" s="1057" t="str">
        <f>IFERROR(__xludf.DUMMYFUNCTION("IFERROR(
  TEXT(
    DATE(
      INDEX(SPLIT(O68,"" ""),3),
      VLOOKUP(INDEX(SPLIT(O68,"" ""),1),{""jan."",1;""Feb"",2;""mar."",3;""Apr"",4;""May"",5;""jun."",6;""jul."",7;""Aug"",8;""Sep"",9;""Oct"",10;""nov."",11;""Dec"",12},2,FALSE),
      INDEX(SPL"&amp;"IT(O68,"" ""),2)
    ),
    ""dd/mm/yyyy""
  ),
"""")"),"25/06/2026")</f>
        <v>25/06/2026</v>
      </c>
    </row>
    <row r="69">
      <c r="A69" s="1054" t="s">
        <v>763</v>
      </c>
      <c r="B69" s="1054" t="s">
        <v>764</v>
      </c>
      <c r="C69" s="1055" t="s">
        <v>538</v>
      </c>
      <c r="D69" s="1055" t="s">
        <v>539</v>
      </c>
      <c r="E69" s="1056"/>
      <c r="F69" s="1055" t="s">
        <v>399</v>
      </c>
      <c r="G69" s="1055" t="s">
        <v>540</v>
      </c>
      <c r="H69" s="1056"/>
      <c r="I69" s="1056"/>
      <c r="J69" s="1055" t="s">
        <v>540</v>
      </c>
      <c r="K69" s="1055" t="s">
        <v>541</v>
      </c>
      <c r="L69" s="1055" t="s">
        <v>542</v>
      </c>
      <c r="M69" s="1055" t="s">
        <v>543</v>
      </c>
      <c r="N69" s="1055" t="s">
        <v>765</v>
      </c>
      <c r="O69" s="1057">
        <v>46216.66875</v>
      </c>
      <c r="P69" s="1057" t="str">
        <f>IFERROR(__xludf.DUMMYFUNCTION("IFERROR(
  TEXT(
    DATE(
      INDEX(SPLIT(O69,"" ""),3),
      VLOOKUP(INDEX(SPLIT(O69,"" ""),1),{""jan."",1;""Feb"",2;""mar."",3;""Apr"",4;""May"",5;""jun."",6;""jul."",7;""Aug"",8;""Sep"",9;""Oct"",10;""nov."",11;""Dec"",12},2,FALSE),
      INDEX(SPL"&amp;"IT(O69,"" ""),2)
    ),
    ""dd/mm/yyyy""
  ),
"""")"),"13/07/2026")</f>
        <v>13/07/2026</v>
      </c>
    </row>
    <row r="70">
      <c r="A70" s="1054" t="s">
        <v>766</v>
      </c>
      <c r="B70" s="1054" t="s">
        <v>767</v>
      </c>
      <c r="C70" s="1055" t="s">
        <v>538</v>
      </c>
      <c r="D70" s="1055" t="s">
        <v>539</v>
      </c>
      <c r="E70" s="1056"/>
      <c r="F70" s="1055" t="s">
        <v>411</v>
      </c>
      <c r="G70" s="1055" t="s">
        <v>540</v>
      </c>
      <c r="H70" s="1056"/>
      <c r="I70" s="1056"/>
      <c r="J70" s="1055" t="s">
        <v>540</v>
      </c>
      <c r="K70" s="1055" t="s">
        <v>541</v>
      </c>
      <c r="L70" s="1055" t="s">
        <v>542</v>
      </c>
      <c r="M70" s="1055" t="s">
        <v>543</v>
      </c>
      <c r="N70" s="1055" t="s">
        <v>603</v>
      </c>
      <c r="O70" s="1057">
        <v>46211.57638888889</v>
      </c>
      <c r="P70" s="1057" t="str">
        <f>IFERROR(__xludf.DUMMYFUNCTION("IFERROR(
  TEXT(
    DATE(
      INDEX(SPLIT(O70,"" ""),3),
      VLOOKUP(INDEX(SPLIT(O70,"" ""),1),{""jan."",1;""Feb"",2;""mar."",3;""Apr"",4;""May"",5;""jun."",6;""jul."",7;""Aug"",8;""Sep"",9;""Oct"",10;""nov."",11;""Dec"",12},2,FALSE),
      INDEX(SPL"&amp;"IT(O70,"" ""),2)
    ),
    ""dd/mm/yyyy""
  ),
"""")"),"08/07/2026")</f>
        <v>08/07/2026</v>
      </c>
    </row>
    <row r="71">
      <c r="A71" s="1054" t="s">
        <v>768</v>
      </c>
      <c r="B71" s="1054" t="s">
        <v>769</v>
      </c>
      <c r="C71" s="1055" t="s">
        <v>538</v>
      </c>
      <c r="D71" s="1055" t="s">
        <v>539</v>
      </c>
      <c r="E71" s="1056"/>
      <c r="F71" s="1055" t="s">
        <v>399</v>
      </c>
      <c r="G71" s="1055" t="s">
        <v>540</v>
      </c>
      <c r="H71" s="1056"/>
      <c r="I71" s="1056"/>
      <c r="J71" s="1055" t="s">
        <v>540</v>
      </c>
      <c r="K71" s="1055" t="s">
        <v>541</v>
      </c>
      <c r="L71" s="1055" t="s">
        <v>542</v>
      </c>
      <c r="M71" s="1055" t="s">
        <v>543</v>
      </c>
      <c r="N71" s="1055" t="s">
        <v>770</v>
      </c>
      <c r="O71" s="1057">
        <v>46216.92569444444</v>
      </c>
      <c r="P71" s="1057" t="str">
        <f>IFERROR(__xludf.DUMMYFUNCTION("IFERROR(
  TEXT(
    DATE(
      INDEX(SPLIT(O71,"" ""),3),
      VLOOKUP(INDEX(SPLIT(O71,"" ""),1),{""jan."",1;""Feb"",2;""mar."",3;""Apr"",4;""May"",5;""jun."",6;""jul."",7;""Aug"",8;""Sep"",9;""Oct"",10;""nov."",11;""Dec"",12},2,FALSE),
      INDEX(SPL"&amp;"IT(O71,"" ""),2)
    ),
    ""dd/mm/yyyy""
  ),
"""")"),"13/07/2026")</f>
        <v>13/07/2026</v>
      </c>
    </row>
    <row r="72">
      <c r="A72" s="1054" t="s">
        <v>771</v>
      </c>
      <c r="B72" s="1054" t="s">
        <v>772</v>
      </c>
      <c r="C72" s="1055" t="s">
        <v>538</v>
      </c>
      <c r="D72" s="1055" t="s">
        <v>539</v>
      </c>
      <c r="E72" s="1056"/>
      <c r="F72" s="1055" t="s">
        <v>387</v>
      </c>
      <c r="G72" s="1055" t="s">
        <v>540</v>
      </c>
      <c r="H72" s="1056"/>
      <c r="I72" s="1056"/>
      <c r="J72" s="1055" t="s">
        <v>540</v>
      </c>
      <c r="K72" s="1055" t="s">
        <v>541</v>
      </c>
      <c r="L72" s="1055" t="s">
        <v>542</v>
      </c>
      <c r="M72" s="1055" t="s">
        <v>543</v>
      </c>
      <c r="N72" s="1055" t="s">
        <v>773</v>
      </c>
      <c r="O72" s="1057">
        <v>46216.53333333333</v>
      </c>
      <c r="P72" s="1057" t="str">
        <f>IFERROR(__xludf.DUMMYFUNCTION("IFERROR(
  TEXT(
    DATE(
      INDEX(SPLIT(O72,"" ""),3),
      VLOOKUP(INDEX(SPLIT(O72,"" ""),1),{""jan."",1;""Feb"",2;""mar."",3;""Apr"",4;""May"",5;""jun."",6;""jul."",7;""Aug"",8;""Sep"",9;""Oct"",10;""nov."",11;""Dec"",12},2,FALSE),
      INDEX(SPL"&amp;"IT(O72,"" ""),2)
    ),
    ""dd/mm/yyyy""
  ),
"""")"),"13/07/2026")</f>
        <v>13/07/2026</v>
      </c>
    </row>
    <row r="73">
      <c r="A73" s="1054" t="s">
        <v>774</v>
      </c>
      <c r="B73" s="1054" t="s">
        <v>775</v>
      </c>
      <c r="C73" s="1055" t="s">
        <v>538</v>
      </c>
      <c r="D73" s="1055" t="s">
        <v>539</v>
      </c>
      <c r="E73" s="1056"/>
      <c r="F73" s="1055" t="s">
        <v>387</v>
      </c>
      <c r="G73" s="1055" t="s">
        <v>540</v>
      </c>
      <c r="H73" s="1056"/>
      <c r="I73" s="1056"/>
      <c r="J73" s="1055" t="s">
        <v>540</v>
      </c>
      <c r="K73" s="1055" t="s">
        <v>541</v>
      </c>
      <c r="L73" s="1055" t="s">
        <v>542</v>
      </c>
      <c r="M73" s="1055" t="s">
        <v>543</v>
      </c>
      <c r="N73" s="1055" t="s">
        <v>776</v>
      </c>
      <c r="O73" s="1057">
        <v>46196.48263888889</v>
      </c>
      <c r="P73" s="1057" t="str">
        <f>IFERROR(__xludf.DUMMYFUNCTION("IFERROR(
  TEXT(
    DATE(
      INDEX(SPLIT(O73,"" ""),3),
      VLOOKUP(INDEX(SPLIT(O73,"" ""),1),{""jan."",1;""Feb"",2;""mar."",3;""Apr"",4;""May"",5;""jun."",6;""jul."",7;""Aug"",8;""Sep"",9;""Oct"",10;""nov."",11;""Dec"",12},2,FALSE),
      INDEX(SPL"&amp;"IT(O73,"" ""),2)
    ),
    ""dd/mm/yyyy""
  ),
"""")"),"23/06/2026")</f>
        <v>23/06/2026</v>
      </c>
    </row>
    <row r="74">
      <c r="A74" s="1054" t="s">
        <v>777</v>
      </c>
      <c r="B74" s="1054" t="s">
        <v>778</v>
      </c>
      <c r="C74" s="1055" t="s">
        <v>538</v>
      </c>
      <c r="D74" s="1055" t="s">
        <v>539</v>
      </c>
      <c r="E74" s="1056"/>
      <c r="F74" s="1055" t="s">
        <v>387</v>
      </c>
      <c r="G74" s="1055" t="s">
        <v>540</v>
      </c>
      <c r="H74" s="1056"/>
      <c r="I74" s="1056"/>
      <c r="J74" s="1055" t="s">
        <v>540</v>
      </c>
      <c r="K74" s="1055" t="s">
        <v>541</v>
      </c>
      <c r="L74" s="1055" t="s">
        <v>542</v>
      </c>
      <c r="M74" s="1055" t="s">
        <v>543</v>
      </c>
      <c r="N74" s="1055" t="s">
        <v>779</v>
      </c>
      <c r="O74" s="1057">
        <v>46176.78680555556</v>
      </c>
      <c r="P74" s="1057" t="str">
        <f>IFERROR(__xludf.DUMMYFUNCTION("IFERROR(
  TEXT(
    DATE(
      INDEX(SPLIT(O74,"" ""),3),
      VLOOKUP(INDEX(SPLIT(O74,"" ""),1),{""jan."",1;""Feb"",2;""mar."",3;""Apr"",4;""May"",5;""jun."",6;""jul."",7;""Aug"",8;""Sep"",9;""Oct"",10;""nov."",11;""Dec"",12},2,FALSE),
      INDEX(SPL"&amp;"IT(O74,"" ""),2)
    ),
    ""dd/mm/yyyy""
  ),
"""")"),"03/06/2026")</f>
        <v>03/06/2026</v>
      </c>
    </row>
    <row r="75">
      <c r="A75" s="1054" t="s">
        <v>780</v>
      </c>
      <c r="B75" s="1054" t="s">
        <v>781</v>
      </c>
      <c r="C75" s="1055" t="s">
        <v>538</v>
      </c>
      <c r="D75" s="1055" t="s">
        <v>539</v>
      </c>
      <c r="E75" s="1056"/>
      <c r="F75" s="1055" t="s">
        <v>387</v>
      </c>
      <c r="G75" s="1055" t="s">
        <v>540</v>
      </c>
      <c r="H75" s="1056"/>
      <c r="I75" s="1056"/>
      <c r="J75" s="1055" t="s">
        <v>540</v>
      </c>
      <c r="K75" s="1055" t="s">
        <v>541</v>
      </c>
      <c r="L75" s="1055" t="s">
        <v>542</v>
      </c>
      <c r="M75" s="1055" t="s">
        <v>543</v>
      </c>
      <c r="N75" s="1055" t="s">
        <v>782</v>
      </c>
      <c r="O75" s="1057">
        <v>46174.66805555556</v>
      </c>
      <c r="P75" s="1057" t="str">
        <f>IFERROR(__xludf.DUMMYFUNCTION("IFERROR(
  TEXT(
    DATE(
      INDEX(SPLIT(O75,"" ""),3),
      VLOOKUP(INDEX(SPLIT(O75,"" ""),1),{""jan."",1;""Feb"",2;""mar."",3;""Apr"",4;""May"",5;""jun."",6;""jul."",7;""Aug"",8;""Sep"",9;""Oct"",10;""nov."",11;""Dec"",12},2,FALSE),
      INDEX(SPL"&amp;"IT(O75,"" ""),2)
    ),
    ""dd/mm/yyyy""
  ),
"""")"),"01/06/2026")</f>
        <v>01/06/2026</v>
      </c>
    </row>
    <row r="76">
      <c r="A76" s="1054" t="s">
        <v>783</v>
      </c>
      <c r="B76" s="1054" t="s">
        <v>784</v>
      </c>
      <c r="C76" s="1055" t="s">
        <v>538</v>
      </c>
      <c r="D76" s="1055" t="s">
        <v>539</v>
      </c>
      <c r="E76" s="1056"/>
      <c r="F76" s="1055" t="s">
        <v>400</v>
      </c>
      <c r="G76" s="1055" t="s">
        <v>540</v>
      </c>
      <c r="H76" s="1056"/>
      <c r="I76" s="1056"/>
      <c r="J76" s="1055" t="s">
        <v>540</v>
      </c>
      <c r="K76" s="1055" t="s">
        <v>541</v>
      </c>
      <c r="L76" s="1055" t="s">
        <v>542</v>
      </c>
      <c r="M76" s="1055" t="s">
        <v>543</v>
      </c>
      <c r="N76" s="1055" t="s">
        <v>785</v>
      </c>
      <c r="O76" s="1057">
        <v>46216.65555555555</v>
      </c>
      <c r="P76" s="1057" t="str">
        <f>IFERROR(__xludf.DUMMYFUNCTION("IFERROR(
  TEXT(
    DATE(
      INDEX(SPLIT(O76,"" ""),3),
      VLOOKUP(INDEX(SPLIT(O76,"" ""),1),{""jan."",1;""Feb"",2;""mar."",3;""Apr"",4;""May"",5;""jun."",6;""jul."",7;""Aug"",8;""Sep"",9;""Oct"",10;""nov."",11;""Dec"",12},2,FALSE),
      INDEX(SPL"&amp;"IT(O76,"" ""),2)
    ),
    ""dd/mm/yyyy""
  ),
"""")"),"13/07/2026")</f>
        <v>13/07/2026</v>
      </c>
    </row>
    <row r="77">
      <c r="A77" s="1054" t="s">
        <v>786</v>
      </c>
      <c r="B77" s="1054" t="s">
        <v>787</v>
      </c>
      <c r="C77" s="1055" t="s">
        <v>538</v>
      </c>
      <c r="D77" s="1055" t="s">
        <v>539</v>
      </c>
      <c r="E77" s="1056"/>
      <c r="F77" s="1055" t="s">
        <v>377</v>
      </c>
      <c r="G77" s="1055" t="s">
        <v>540</v>
      </c>
      <c r="H77" s="1056"/>
      <c r="I77" s="1056"/>
      <c r="J77" s="1055" t="s">
        <v>540</v>
      </c>
      <c r="K77" s="1055" t="s">
        <v>541</v>
      </c>
      <c r="L77" s="1055" t="s">
        <v>542</v>
      </c>
      <c r="M77" s="1055" t="s">
        <v>543</v>
      </c>
      <c r="N77" s="1055" t="s">
        <v>788</v>
      </c>
      <c r="O77" s="1055" t="s">
        <v>789</v>
      </c>
      <c r="P77" s="1057" t="str">
        <f>IFERROR(__xludf.DUMMYFUNCTION("IFERROR(
  TEXT(
    DATE(
      INDEX(SPLIT(O77,"" ""),3),
      VLOOKUP(INDEX(SPLIT(O77,"" ""),1),{""jan."",1;""Feb"",2;""mar."",3;""Apr"",4;""May"",5;""jun."",6;""jul."",7;""Aug"",8;""Sep"",9;""Oct"",10;""nov."",11;""Dec"",12},2,FALSE),
      INDEX(SPL"&amp;"IT(O77,"" ""),2)
    ),
    ""dd/mm/yyyy""
  ),
"""")"),"20/05/2026")</f>
        <v>20/05/2026</v>
      </c>
    </row>
    <row r="78">
      <c r="A78" s="1054" t="s">
        <v>790</v>
      </c>
      <c r="B78" s="1054" t="s">
        <v>791</v>
      </c>
      <c r="C78" s="1058"/>
      <c r="D78" s="1058"/>
      <c r="E78" s="1056"/>
      <c r="F78" s="1055" t="s">
        <v>377</v>
      </c>
      <c r="G78" s="1055" t="s">
        <v>540</v>
      </c>
      <c r="H78" s="1056"/>
      <c r="I78" s="1056"/>
      <c r="J78" s="1055" t="s">
        <v>540</v>
      </c>
      <c r="K78" s="1055" t="s">
        <v>541</v>
      </c>
      <c r="L78" s="1055" t="s">
        <v>542</v>
      </c>
      <c r="M78" s="1055" t="s">
        <v>543</v>
      </c>
      <c r="N78" s="1055" t="s">
        <v>792</v>
      </c>
      <c r="O78" s="1055" t="s">
        <v>793</v>
      </c>
      <c r="P78" s="1057" t="str">
        <f>IFERROR(__xludf.DUMMYFUNCTION("IFERROR(
  TEXT(
    DATE(
      INDEX(SPLIT(O78,"" ""),3),
      VLOOKUP(INDEX(SPLIT(O78,"" ""),1),{""jan."",1;""Feb"",2;""mar."",3;""Apr"",4;""May"",5;""jun."",6;""jul."",7;""Aug"",8;""Sep"",9;""Oct"",10;""nov."",11;""Dec"",12},2,FALSE),
      INDEX(SPL"&amp;"IT(O78,"" ""),2)
    ),
    ""dd/mm/yyyy""
  ),
"""")"),"19/05/2026")</f>
        <v>19/05/2026</v>
      </c>
    </row>
    <row r="79">
      <c r="A79" s="1054" t="s">
        <v>794</v>
      </c>
      <c r="B79" s="1054" t="s">
        <v>795</v>
      </c>
      <c r="C79" s="1055" t="s">
        <v>538</v>
      </c>
      <c r="D79" s="1055" t="s">
        <v>539</v>
      </c>
      <c r="E79" s="1056"/>
      <c r="F79" s="1055" t="s">
        <v>411</v>
      </c>
      <c r="G79" s="1055" t="s">
        <v>540</v>
      </c>
      <c r="H79" s="1056"/>
      <c r="I79" s="1056"/>
      <c r="J79" s="1055" t="s">
        <v>540</v>
      </c>
      <c r="K79" s="1055" t="s">
        <v>541</v>
      </c>
      <c r="L79" s="1055" t="s">
        <v>542</v>
      </c>
      <c r="M79" s="1055" t="s">
        <v>543</v>
      </c>
      <c r="N79" s="1055" t="s">
        <v>796</v>
      </c>
      <c r="O79" s="1057">
        <v>46211.7</v>
      </c>
      <c r="P79" s="1057" t="str">
        <f>IFERROR(__xludf.DUMMYFUNCTION("IFERROR(
  TEXT(
    DATE(
      INDEX(SPLIT(O79,"" ""),3),
      VLOOKUP(INDEX(SPLIT(O79,"" ""),1),{""jan."",1;""Feb"",2;""mar."",3;""Apr"",4;""May"",5;""jun."",6;""jul."",7;""Aug"",8;""Sep"",9;""Oct"",10;""nov."",11;""Dec"",12},2,FALSE),
      INDEX(SPL"&amp;"IT(O79,"" ""),2)
    ),
    ""dd/mm/yyyy""
  ),
"""")"),"08/07/2026")</f>
        <v>08/07/2026</v>
      </c>
    </row>
    <row r="80">
      <c r="A80" s="1054" t="s">
        <v>797</v>
      </c>
      <c r="B80" s="1054" t="s">
        <v>798</v>
      </c>
      <c r="C80" s="1055" t="s">
        <v>538</v>
      </c>
      <c r="D80" s="1055" t="s">
        <v>539</v>
      </c>
      <c r="E80" s="1056"/>
      <c r="F80" s="1055" t="s">
        <v>411</v>
      </c>
      <c r="G80" s="1055" t="s">
        <v>540</v>
      </c>
      <c r="H80" s="1056"/>
      <c r="I80" s="1056"/>
      <c r="J80" s="1055" t="s">
        <v>540</v>
      </c>
      <c r="K80" s="1055" t="s">
        <v>541</v>
      </c>
      <c r="L80" s="1055" t="s">
        <v>542</v>
      </c>
      <c r="M80" s="1055" t="s">
        <v>543</v>
      </c>
      <c r="N80" s="1055" t="s">
        <v>799</v>
      </c>
      <c r="O80" s="1057">
        <v>46213.66527777778</v>
      </c>
      <c r="P80" s="1057" t="str">
        <f>IFERROR(__xludf.DUMMYFUNCTION("IFERROR(
  TEXT(
    DATE(
      INDEX(SPLIT(O80,"" ""),3),
      VLOOKUP(INDEX(SPLIT(O80,"" ""),1),{""jan."",1;""Feb"",2;""mar."",3;""Apr"",4;""May"",5;""jun."",6;""jul."",7;""Aug"",8;""Sep"",9;""Oct"",10;""nov."",11;""Dec"",12},2,FALSE),
      INDEX(SPL"&amp;"IT(O80,"" ""),2)
    ),
    ""dd/mm/yyyy""
  ),
"""")"),"10/07/2026")</f>
        <v>10/07/2026</v>
      </c>
    </row>
    <row r="81">
      <c r="A81" s="1054" t="s">
        <v>800</v>
      </c>
      <c r="B81" s="1054" t="s">
        <v>801</v>
      </c>
      <c r="C81" s="1055" t="s">
        <v>538</v>
      </c>
      <c r="D81" s="1055" t="s">
        <v>539</v>
      </c>
      <c r="E81" s="1056"/>
      <c r="F81" s="1055" t="s">
        <v>400</v>
      </c>
      <c r="G81" s="1055" t="s">
        <v>540</v>
      </c>
      <c r="H81" s="1056"/>
      <c r="I81" s="1056"/>
      <c r="J81" s="1055" t="s">
        <v>540</v>
      </c>
      <c r="K81" s="1055" t="s">
        <v>541</v>
      </c>
      <c r="L81" s="1055" t="s">
        <v>542</v>
      </c>
      <c r="M81" s="1055" t="s">
        <v>543</v>
      </c>
      <c r="N81" s="1055" t="s">
        <v>802</v>
      </c>
      <c r="O81" s="1057">
        <v>46206.67013888889</v>
      </c>
      <c r="P81" s="1057" t="str">
        <f>IFERROR(__xludf.DUMMYFUNCTION("IFERROR(
  TEXT(
    DATE(
      INDEX(SPLIT(O81,"" ""),3),
      VLOOKUP(INDEX(SPLIT(O81,"" ""),1),{""jan."",1;""Feb"",2;""mar."",3;""Apr"",4;""May"",5;""jun."",6;""jul."",7;""Aug"",8;""Sep"",9;""Oct"",10;""nov."",11;""Dec"",12},2,FALSE),
      INDEX(SPL"&amp;"IT(O81,"" ""),2)
    ),
    ""dd/mm/yyyy""
  ),
"""")"),"03/07/2026")</f>
        <v>03/07/2026</v>
      </c>
    </row>
    <row r="82">
      <c r="A82" s="1054" t="s">
        <v>803</v>
      </c>
      <c r="B82" s="1054" t="s">
        <v>804</v>
      </c>
      <c r="C82" s="1055" t="s">
        <v>538</v>
      </c>
      <c r="D82" s="1055" t="s">
        <v>539</v>
      </c>
      <c r="E82" s="1056"/>
      <c r="F82" s="1055" t="s">
        <v>400</v>
      </c>
      <c r="G82" s="1055" t="s">
        <v>540</v>
      </c>
      <c r="H82" s="1056"/>
      <c r="I82" s="1056"/>
      <c r="J82" s="1055" t="s">
        <v>540</v>
      </c>
      <c r="K82" s="1055" t="s">
        <v>541</v>
      </c>
      <c r="L82" s="1055" t="s">
        <v>542</v>
      </c>
      <c r="M82" s="1055" t="s">
        <v>543</v>
      </c>
      <c r="N82" s="1055" t="s">
        <v>805</v>
      </c>
      <c r="O82" s="1057">
        <v>46216.532638888886</v>
      </c>
      <c r="P82" s="1057" t="str">
        <f>IFERROR(__xludf.DUMMYFUNCTION("IFERROR(
  TEXT(
    DATE(
      INDEX(SPLIT(O82,"" ""),3),
      VLOOKUP(INDEX(SPLIT(O82,"" ""),1),{""jan."",1;""Feb"",2;""mar."",3;""Apr"",4;""May"",5;""jun."",6;""jul."",7;""Aug"",8;""Sep"",9;""Oct"",10;""nov."",11;""Dec"",12},2,FALSE),
      INDEX(SPL"&amp;"IT(O82,"" ""),2)
    ),
    ""dd/mm/yyyy""
  ),
"""")"),"13/07/2026")</f>
        <v>13/07/2026</v>
      </c>
    </row>
    <row r="83">
      <c r="A83" s="1054" t="s">
        <v>806</v>
      </c>
      <c r="B83" s="1054" t="s">
        <v>807</v>
      </c>
      <c r="C83" s="1055" t="s">
        <v>538</v>
      </c>
      <c r="D83" s="1055" t="s">
        <v>539</v>
      </c>
      <c r="E83" s="1056"/>
      <c r="F83" s="1055" t="s">
        <v>399</v>
      </c>
      <c r="G83" s="1055" t="s">
        <v>540</v>
      </c>
      <c r="H83" s="1056"/>
      <c r="I83" s="1056"/>
      <c r="J83" s="1055" t="s">
        <v>540</v>
      </c>
      <c r="K83" s="1055" t="s">
        <v>541</v>
      </c>
      <c r="L83" s="1055" t="s">
        <v>542</v>
      </c>
      <c r="M83" s="1055" t="s">
        <v>543</v>
      </c>
      <c r="N83" s="1055" t="s">
        <v>808</v>
      </c>
      <c r="O83" s="1057">
        <v>46217.35833333333</v>
      </c>
      <c r="P83" s="1057" t="str">
        <f>IFERROR(__xludf.DUMMYFUNCTION("IFERROR(
  TEXT(
    DATE(
      INDEX(SPLIT(O83,"" ""),3),
      VLOOKUP(INDEX(SPLIT(O83,"" ""),1),{""jan."",1;""Feb"",2;""mar."",3;""Apr"",4;""May"",5;""jun."",6;""jul."",7;""Aug"",8;""Sep"",9;""Oct"",10;""nov."",11;""Dec"",12},2,FALSE),
      INDEX(SPL"&amp;"IT(O83,"" ""),2)
    ),
    ""dd/mm/yyyy""
  ),
"""")"),"14/07/2026")</f>
        <v>14/07/2026</v>
      </c>
    </row>
    <row r="84">
      <c r="A84" s="1054" t="s">
        <v>809</v>
      </c>
      <c r="B84" s="1054" t="s">
        <v>810</v>
      </c>
      <c r="C84" s="1055" t="s">
        <v>538</v>
      </c>
      <c r="D84" s="1055" t="s">
        <v>539</v>
      </c>
      <c r="E84" s="1056"/>
      <c r="F84" s="1055" t="s">
        <v>400</v>
      </c>
      <c r="G84" s="1055" t="s">
        <v>540</v>
      </c>
      <c r="H84" s="1056"/>
      <c r="I84" s="1056"/>
      <c r="J84" s="1055" t="s">
        <v>540</v>
      </c>
      <c r="K84" s="1055" t="s">
        <v>541</v>
      </c>
      <c r="L84" s="1055" t="s">
        <v>542</v>
      </c>
      <c r="M84" s="1055" t="s">
        <v>543</v>
      </c>
      <c r="N84" s="1055" t="s">
        <v>811</v>
      </c>
      <c r="O84" s="1057">
        <v>46202.90069444444</v>
      </c>
      <c r="P84" s="1057" t="str">
        <f>IFERROR(__xludf.DUMMYFUNCTION("IFERROR(
  TEXT(
    DATE(
      INDEX(SPLIT(O84,"" ""),3),
      VLOOKUP(INDEX(SPLIT(O84,"" ""),1),{""jan."",1;""Feb"",2;""mar."",3;""Apr"",4;""May"",5;""jun."",6;""jul."",7;""Aug"",8;""Sep"",9;""Oct"",10;""nov."",11;""Dec"",12},2,FALSE),
      INDEX(SPL"&amp;"IT(O84,"" ""),2)
    ),
    ""dd/mm/yyyy""
  ),
"""")"),"29/06/2026")</f>
        <v>29/06/2026</v>
      </c>
    </row>
    <row r="85">
      <c r="A85" s="1054" t="s">
        <v>812</v>
      </c>
      <c r="B85" s="1054" t="s">
        <v>813</v>
      </c>
      <c r="C85" s="1055" t="s">
        <v>538</v>
      </c>
      <c r="D85" s="1055" t="s">
        <v>539</v>
      </c>
      <c r="E85" s="1056"/>
      <c r="F85" s="1055" t="s">
        <v>387</v>
      </c>
      <c r="G85" s="1055" t="s">
        <v>540</v>
      </c>
      <c r="H85" s="1056"/>
      <c r="I85" s="1056"/>
      <c r="J85" s="1055" t="s">
        <v>540</v>
      </c>
      <c r="K85" s="1055" t="s">
        <v>541</v>
      </c>
      <c r="L85" s="1055" t="s">
        <v>542</v>
      </c>
      <c r="M85" s="1055" t="s">
        <v>543</v>
      </c>
      <c r="N85" s="1055" t="s">
        <v>814</v>
      </c>
      <c r="O85" s="1057">
        <v>46210.71319444444</v>
      </c>
      <c r="P85" s="1057" t="str">
        <f>IFERROR(__xludf.DUMMYFUNCTION("IFERROR(
  TEXT(
    DATE(
      INDEX(SPLIT(O85,"" ""),3),
      VLOOKUP(INDEX(SPLIT(O85,"" ""),1),{""jan."",1;""Feb"",2;""mar."",3;""Apr"",4;""May"",5;""jun."",6;""jul."",7;""Aug"",8;""Sep"",9;""Oct"",10;""nov."",11;""Dec"",12},2,FALSE),
      INDEX(SPL"&amp;"IT(O85,"" ""),2)
    ),
    ""dd/mm/yyyy""
  ),
"""")"),"07/07/2026")</f>
        <v>07/07/2026</v>
      </c>
    </row>
    <row r="86">
      <c r="A86" s="1054" t="s">
        <v>815</v>
      </c>
      <c r="B86" s="1054" t="s">
        <v>816</v>
      </c>
      <c r="C86" s="1058"/>
      <c r="D86" s="1058"/>
      <c r="E86" s="1056"/>
      <c r="F86" s="1055" t="s">
        <v>387</v>
      </c>
      <c r="G86" s="1055" t="s">
        <v>540</v>
      </c>
      <c r="H86" s="1056"/>
      <c r="I86" s="1056"/>
      <c r="J86" s="1055" t="s">
        <v>540</v>
      </c>
      <c r="K86" s="1055" t="s">
        <v>541</v>
      </c>
      <c r="L86" s="1055" t="s">
        <v>542</v>
      </c>
      <c r="M86" s="1055" t="s">
        <v>543</v>
      </c>
      <c r="N86" s="1055" t="s">
        <v>817</v>
      </c>
      <c r="O86" s="1057">
        <v>46215.96111111111</v>
      </c>
      <c r="P86" s="1057" t="str">
        <f>IFERROR(__xludf.DUMMYFUNCTION("IFERROR(
  TEXT(
    DATE(
      INDEX(SPLIT(O86,"" ""),3),
      VLOOKUP(INDEX(SPLIT(O86,"" ""),1),{""jan."",1;""Feb"",2;""mar."",3;""Apr"",4;""May"",5;""jun."",6;""jul."",7;""Aug"",8;""Sep"",9;""Oct"",10;""nov."",11;""Dec"",12},2,FALSE),
      INDEX(SPL"&amp;"IT(O86,"" ""),2)
    ),
    ""dd/mm/yyyy""
  ),
"""")"),"12/07/2026")</f>
        <v>12/07/2026</v>
      </c>
    </row>
    <row r="87">
      <c r="A87" s="1054" t="s">
        <v>818</v>
      </c>
      <c r="B87" s="1054" t="s">
        <v>819</v>
      </c>
      <c r="C87" s="1058"/>
      <c r="D87" s="1058"/>
      <c r="E87" s="1056"/>
      <c r="F87" s="1055" t="s">
        <v>377</v>
      </c>
      <c r="G87" s="1055" t="s">
        <v>540</v>
      </c>
      <c r="H87" s="1056"/>
      <c r="I87" s="1056"/>
      <c r="J87" s="1055" t="s">
        <v>540</v>
      </c>
      <c r="K87" s="1055" t="s">
        <v>541</v>
      </c>
      <c r="L87" s="1055" t="s">
        <v>542</v>
      </c>
      <c r="M87" s="1055" t="s">
        <v>543</v>
      </c>
      <c r="N87" s="1055" t="s">
        <v>820</v>
      </c>
      <c r="O87" s="1055" t="s">
        <v>721</v>
      </c>
      <c r="P87" s="1057" t="str">
        <f>IFERROR(__xludf.DUMMYFUNCTION("IFERROR(
  TEXT(
    DATE(
      INDEX(SPLIT(O87,"" ""),3),
      VLOOKUP(INDEX(SPLIT(O87,"" ""),1),{""jan."",1;""Feb"",2;""mar."",3;""Apr"",4;""May"",5;""jun."",6;""jul."",7;""Aug"",8;""Sep"",9;""Oct"",10;""nov."",11;""Dec"",12},2,FALSE),
      INDEX(SPL"&amp;"IT(O87,"" ""),2)
    ),
    ""dd/mm/yyyy""
  ),
"""")"),"15/05/2026")</f>
        <v>15/05/2026</v>
      </c>
    </row>
    <row r="88">
      <c r="A88" s="1054" t="s">
        <v>821</v>
      </c>
      <c r="B88" s="1054" t="s">
        <v>822</v>
      </c>
      <c r="C88" s="1058"/>
      <c r="D88" s="1058"/>
      <c r="E88" s="1056"/>
      <c r="F88" s="1055" t="s">
        <v>387</v>
      </c>
      <c r="G88" s="1055" t="s">
        <v>540</v>
      </c>
      <c r="H88" s="1056"/>
      <c r="I88" s="1056"/>
      <c r="J88" s="1055" t="s">
        <v>540</v>
      </c>
      <c r="K88" s="1055" t="s">
        <v>541</v>
      </c>
      <c r="L88" s="1055" t="s">
        <v>542</v>
      </c>
      <c r="M88" s="1055" t="s">
        <v>543</v>
      </c>
      <c r="N88" s="1055" t="s">
        <v>823</v>
      </c>
      <c r="O88" s="1057">
        <v>46216.52916666667</v>
      </c>
      <c r="P88" s="1057" t="str">
        <f>IFERROR(__xludf.DUMMYFUNCTION("IFERROR(
  TEXT(
    DATE(
      INDEX(SPLIT(O88,"" ""),3),
      VLOOKUP(INDEX(SPLIT(O88,"" ""),1),{""jan."",1;""Feb"",2;""mar."",3;""Apr"",4;""May"",5;""jun."",6;""jul."",7;""Aug"",8;""Sep"",9;""Oct"",10;""nov."",11;""Dec"",12},2,FALSE),
      INDEX(SPL"&amp;"IT(O88,"" ""),2)
    ),
    ""dd/mm/yyyy""
  ),
"""")"),"13/07/2026")</f>
        <v>13/07/2026</v>
      </c>
    </row>
    <row r="89">
      <c r="A89" s="1054" t="s">
        <v>824</v>
      </c>
      <c r="B89" s="1054" t="s">
        <v>825</v>
      </c>
      <c r="C89" s="1058"/>
      <c r="D89" s="1058"/>
      <c r="E89" s="1056"/>
      <c r="F89" s="1055" t="s">
        <v>400</v>
      </c>
      <c r="G89" s="1055" t="s">
        <v>540</v>
      </c>
      <c r="H89" s="1056"/>
      <c r="I89" s="1056"/>
      <c r="J89" s="1055" t="s">
        <v>540</v>
      </c>
      <c r="K89" s="1055" t="s">
        <v>541</v>
      </c>
      <c r="L89" s="1055" t="s">
        <v>542</v>
      </c>
      <c r="M89" s="1055" t="s">
        <v>543</v>
      </c>
      <c r="N89" s="1055" t="s">
        <v>826</v>
      </c>
      <c r="O89" s="1057">
        <v>46206.70138888889</v>
      </c>
      <c r="P89" s="1057" t="str">
        <f>IFERROR(__xludf.DUMMYFUNCTION("IFERROR(
  TEXT(
    DATE(
      INDEX(SPLIT(O89,"" ""),3),
      VLOOKUP(INDEX(SPLIT(O89,"" ""),1),{""jan."",1;""Feb"",2;""mar."",3;""Apr"",4;""May"",5;""jun."",6;""jul."",7;""Aug"",8;""Sep"",9;""Oct"",10;""nov."",11;""Dec"",12},2,FALSE),
      INDEX(SPL"&amp;"IT(O89,"" ""),2)
    ),
    ""dd/mm/yyyy""
  ),
"""")"),"03/07/2026")</f>
        <v>03/07/2026</v>
      </c>
    </row>
    <row r="90">
      <c r="A90" s="1054" t="s">
        <v>827</v>
      </c>
      <c r="B90" s="1054" t="s">
        <v>828</v>
      </c>
      <c r="C90" s="1058"/>
      <c r="D90" s="1058"/>
      <c r="E90" s="1056"/>
      <c r="F90" s="1055" t="s">
        <v>387</v>
      </c>
      <c r="G90" s="1055" t="s">
        <v>540</v>
      </c>
      <c r="H90" s="1056"/>
      <c r="I90" s="1056"/>
      <c r="J90" s="1055" t="s">
        <v>540</v>
      </c>
      <c r="K90" s="1055" t="s">
        <v>541</v>
      </c>
      <c r="L90" s="1055" t="s">
        <v>542</v>
      </c>
      <c r="M90" s="1055" t="s">
        <v>543</v>
      </c>
      <c r="N90" s="1055" t="s">
        <v>829</v>
      </c>
      <c r="O90" s="1057">
        <v>46175.61944444444</v>
      </c>
      <c r="P90" s="1057" t="str">
        <f>IFERROR(__xludf.DUMMYFUNCTION("IFERROR(
  TEXT(
    DATE(
      INDEX(SPLIT(O90,"" ""),3),
      VLOOKUP(INDEX(SPLIT(O90,"" ""),1),{""jan."",1;""Feb"",2;""mar."",3;""Apr"",4;""May"",5;""jun."",6;""jul."",7;""Aug"",8;""Sep"",9;""Oct"",10;""nov."",11;""Dec"",12},2,FALSE),
      INDEX(SPL"&amp;"IT(O90,"" ""),2)
    ),
    ""dd/mm/yyyy""
  ),
"""")"),"02/06/2026")</f>
        <v>02/06/2026</v>
      </c>
    </row>
    <row r="91">
      <c r="A91" s="1054" t="s">
        <v>830</v>
      </c>
      <c r="B91" s="1054" t="s">
        <v>831</v>
      </c>
      <c r="C91" s="1058"/>
      <c r="D91" s="1058"/>
      <c r="E91" s="1056"/>
      <c r="F91" s="1055" t="s">
        <v>399</v>
      </c>
      <c r="G91" s="1055" t="s">
        <v>540</v>
      </c>
      <c r="H91" s="1056"/>
      <c r="I91" s="1056"/>
      <c r="J91" s="1055" t="s">
        <v>540</v>
      </c>
      <c r="K91" s="1055" t="s">
        <v>541</v>
      </c>
      <c r="L91" s="1055" t="s">
        <v>542</v>
      </c>
      <c r="M91" s="1055" t="s">
        <v>543</v>
      </c>
      <c r="N91" s="1055" t="s">
        <v>832</v>
      </c>
      <c r="O91" s="1057">
        <v>46199.731944444444</v>
      </c>
      <c r="P91" s="1057" t="str">
        <f>IFERROR(__xludf.DUMMYFUNCTION("IFERROR(
  TEXT(
    DATE(
      INDEX(SPLIT(O91,"" ""),3),
      VLOOKUP(INDEX(SPLIT(O91,"" ""),1),{""jan."",1;""Feb"",2;""mar."",3;""Apr"",4;""May"",5;""jun."",6;""jul."",7;""Aug"",8;""Sep"",9;""Oct"",10;""nov."",11;""Dec"",12},2,FALSE),
      INDEX(SPL"&amp;"IT(O91,"" ""),2)
    ),
    ""dd/mm/yyyy""
  ),
"""")"),"26/06/2026")</f>
        <v>26/06/2026</v>
      </c>
    </row>
    <row r="92">
      <c r="A92" s="1054" t="s">
        <v>833</v>
      </c>
      <c r="B92" s="1054" t="s">
        <v>834</v>
      </c>
      <c r="C92" s="1058"/>
      <c r="D92" s="1058"/>
      <c r="E92" s="1056"/>
      <c r="F92" s="1055" t="s">
        <v>411</v>
      </c>
      <c r="G92" s="1055" t="s">
        <v>540</v>
      </c>
      <c r="H92" s="1056"/>
      <c r="I92" s="1056"/>
      <c r="J92" s="1055" t="s">
        <v>540</v>
      </c>
      <c r="K92" s="1055" t="s">
        <v>541</v>
      </c>
      <c r="L92" s="1055" t="s">
        <v>542</v>
      </c>
      <c r="M92" s="1055" t="s">
        <v>543</v>
      </c>
      <c r="N92" s="1055" t="s">
        <v>835</v>
      </c>
      <c r="O92" s="1057">
        <v>46209.825</v>
      </c>
      <c r="P92" s="1057" t="str">
        <f>IFERROR(__xludf.DUMMYFUNCTION("IFERROR(
  TEXT(
    DATE(
      INDEX(SPLIT(O92,"" ""),3),
      VLOOKUP(INDEX(SPLIT(O92,"" ""),1),{""jan."",1;""Feb"",2;""mar."",3;""Apr"",4;""May"",5;""jun."",6;""jul."",7;""Aug"",8;""Sep"",9;""Oct"",10;""nov."",11;""Dec"",12},2,FALSE),
      INDEX(SPL"&amp;"IT(O92,"" ""),2)
    ),
    ""dd/mm/yyyy""
  ),
"""")"),"06/07/2026")</f>
        <v>06/07/2026</v>
      </c>
    </row>
    <row r="93">
      <c r="A93" s="1054" t="s">
        <v>836</v>
      </c>
      <c r="B93" s="1054" t="s">
        <v>837</v>
      </c>
      <c r="C93" s="1058"/>
      <c r="D93" s="1058"/>
      <c r="E93" s="1056"/>
      <c r="F93" s="1055" t="s">
        <v>377</v>
      </c>
      <c r="G93" s="1055" t="s">
        <v>540</v>
      </c>
      <c r="H93" s="1056"/>
      <c r="I93" s="1056"/>
      <c r="J93" s="1055" t="s">
        <v>540</v>
      </c>
      <c r="K93" s="1055" t="s">
        <v>541</v>
      </c>
      <c r="L93" s="1055" t="s">
        <v>542</v>
      </c>
      <c r="M93" s="1055" t="s">
        <v>543</v>
      </c>
      <c r="N93" s="1055" t="s">
        <v>838</v>
      </c>
      <c r="O93" s="1055" t="s">
        <v>839</v>
      </c>
      <c r="P93" s="1057" t="str">
        <f>IFERROR(__xludf.DUMMYFUNCTION("IFERROR(
  TEXT(
    DATE(
      INDEX(SPLIT(O93,"" ""),3),
      VLOOKUP(INDEX(SPLIT(O93,"" ""),1),{""jan."",1;""Feb"",2;""mar."",3;""Apr"",4;""May"",5;""jun."",6;""jul."",7;""Aug"",8;""Sep"",9;""Oct"",10;""nov."",11;""Dec"",12},2,FALSE),
      INDEX(SPL"&amp;"IT(O93,"" ""),2)
    ),
    ""dd/mm/yyyy""
  ),
"""")"),"18/05/2026")</f>
        <v>18/05/2026</v>
      </c>
    </row>
    <row r="94">
      <c r="A94" s="1054" t="s">
        <v>840</v>
      </c>
      <c r="B94" s="1054" t="s">
        <v>841</v>
      </c>
      <c r="C94" s="1058"/>
      <c r="D94" s="1058"/>
      <c r="E94" s="1056"/>
      <c r="F94" s="1055" t="s">
        <v>411</v>
      </c>
      <c r="G94" s="1055" t="s">
        <v>540</v>
      </c>
      <c r="H94" s="1056"/>
      <c r="I94" s="1056"/>
      <c r="J94" s="1055" t="s">
        <v>540</v>
      </c>
      <c r="K94" s="1055" t="s">
        <v>541</v>
      </c>
      <c r="L94" s="1055" t="s">
        <v>542</v>
      </c>
      <c r="M94" s="1055" t="s">
        <v>543</v>
      </c>
      <c r="N94" s="1055" t="s">
        <v>842</v>
      </c>
      <c r="O94" s="1057">
        <v>46216.69930555556</v>
      </c>
      <c r="P94" s="1057" t="str">
        <f>IFERROR(__xludf.DUMMYFUNCTION("IFERROR(
  TEXT(
    DATE(
      INDEX(SPLIT(O94,"" ""),3),
      VLOOKUP(INDEX(SPLIT(O94,"" ""),1),{""jan."",1;""Feb"",2;""mar."",3;""Apr"",4;""May"",5;""jun."",6;""jul."",7;""Aug"",8;""Sep"",9;""Oct"",10;""nov."",11;""Dec"",12},2,FALSE),
      INDEX(SPL"&amp;"IT(O94,"" ""),2)
    ),
    ""dd/mm/yyyy""
  ),
"""")"),"13/07/2026")</f>
        <v>13/07/2026</v>
      </c>
    </row>
    <row r="95">
      <c r="A95" s="1054" t="s">
        <v>843</v>
      </c>
      <c r="B95" s="1054" t="s">
        <v>844</v>
      </c>
      <c r="C95" s="1058"/>
      <c r="D95" s="1058"/>
      <c r="E95" s="1056"/>
      <c r="F95" s="1055" t="s">
        <v>387</v>
      </c>
      <c r="G95" s="1055" t="s">
        <v>540</v>
      </c>
      <c r="H95" s="1056"/>
      <c r="I95" s="1056"/>
      <c r="J95" s="1055" t="s">
        <v>540</v>
      </c>
      <c r="K95" s="1055" t="s">
        <v>541</v>
      </c>
      <c r="L95" s="1055" t="s">
        <v>542</v>
      </c>
      <c r="M95" s="1055" t="s">
        <v>543</v>
      </c>
      <c r="N95" s="1055" t="s">
        <v>817</v>
      </c>
      <c r="O95" s="1057">
        <v>46206.584027777775</v>
      </c>
      <c r="P95" s="1057" t="str">
        <f>IFERROR(__xludf.DUMMYFUNCTION("IFERROR(
  TEXT(
    DATE(
      INDEX(SPLIT(O95,"" ""),3),
      VLOOKUP(INDEX(SPLIT(O95,"" ""),1),{""jan."",1;""Feb"",2;""mar."",3;""Apr"",4;""May"",5;""jun."",6;""jul."",7;""Aug"",8;""Sep"",9;""Oct"",10;""nov."",11;""Dec"",12},2,FALSE),
      INDEX(SPL"&amp;"IT(O95,"" ""),2)
    ),
    ""dd/mm/yyyy""
  ),
"""")"),"03/07/2026")</f>
        <v>03/07/2026</v>
      </c>
    </row>
    <row r="96">
      <c r="A96" s="1054" t="s">
        <v>845</v>
      </c>
      <c r="B96" s="1054" t="s">
        <v>846</v>
      </c>
      <c r="C96" s="1058"/>
      <c r="D96" s="1058"/>
      <c r="E96" s="1056"/>
      <c r="F96" s="1055" t="s">
        <v>400</v>
      </c>
      <c r="G96" s="1055" t="s">
        <v>540</v>
      </c>
      <c r="H96" s="1056"/>
      <c r="I96" s="1056"/>
      <c r="J96" s="1055" t="s">
        <v>540</v>
      </c>
      <c r="K96" s="1055" t="s">
        <v>541</v>
      </c>
      <c r="L96" s="1055" t="s">
        <v>542</v>
      </c>
      <c r="M96" s="1055" t="s">
        <v>543</v>
      </c>
      <c r="N96" s="1055" t="s">
        <v>847</v>
      </c>
      <c r="O96" s="1057">
        <v>46215.61944444444</v>
      </c>
      <c r="P96" s="1057" t="str">
        <f>IFERROR(__xludf.DUMMYFUNCTION("IFERROR(
  TEXT(
    DATE(
      INDEX(SPLIT(O96,"" ""),3),
      VLOOKUP(INDEX(SPLIT(O96,"" ""),1),{""jan."",1;""Feb"",2;""mar."",3;""Apr"",4;""May"",5;""jun."",6;""jul."",7;""Aug"",8;""Sep"",9;""Oct"",10;""nov."",11;""Dec"",12},2,FALSE),
      INDEX(SPL"&amp;"IT(O96,"" ""),2)
    ),
    ""dd/mm/yyyy""
  ),
"""")"),"12/07/2026")</f>
        <v>12/07/2026</v>
      </c>
    </row>
    <row r="97">
      <c r="A97" s="1054" t="s">
        <v>848</v>
      </c>
      <c r="B97" s="1054" t="s">
        <v>849</v>
      </c>
      <c r="C97" s="1058"/>
      <c r="D97" s="1058"/>
      <c r="E97" s="1056"/>
      <c r="F97" s="1055" t="s">
        <v>377</v>
      </c>
      <c r="G97" s="1055" t="s">
        <v>540</v>
      </c>
      <c r="H97" s="1056"/>
      <c r="I97" s="1056"/>
      <c r="J97" s="1055" t="s">
        <v>540</v>
      </c>
      <c r="K97" s="1055" t="s">
        <v>541</v>
      </c>
      <c r="L97" s="1055" t="s">
        <v>542</v>
      </c>
      <c r="M97" s="1055" t="s">
        <v>543</v>
      </c>
      <c r="N97" s="1055" t="s">
        <v>850</v>
      </c>
      <c r="O97" s="1055" t="s">
        <v>721</v>
      </c>
      <c r="P97" s="1057" t="str">
        <f>IFERROR(__xludf.DUMMYFUNCTION("IFERROR(
  TEXT(
    DATE(
      INDEX(SPLIT(O97,"" ""),3),
      VLOOKUP(INDEX(SPLIT(O97,"" ""),1),{""jan."",1;""Feb"",2;""mar."",3;""Apr"",4;""May"",5;""jun."",6;""jul."",7;""Aug"",8;""Sep"",9;""Oct"",10;""nov."",11;""Dec"",12},2,FALSE),
      INDEX(SPL"&amp;"IT(O97,"" ""),2)
    ),
    ""dd/mm/yyyy""
  ),
"""")"),"15/05/2026")</f>
        <v>15/05/2026</v>
      </c>
    </row>
    <row r="98">
      <c r="A98" s="1054" t="s">
        <v>851</v>
      </c>
      <c r="B98" s="1054" t="s">
        <v>852</v>
      </c>
      <c r="C98" s="1058"/>
      <c r="D98" s="1058"/>
      <c r="E98" s="1056"/>
      <c r="F98" s="1055" t="s">
        <v>387</v>
      </c>
      <c r="G98" s="1055" t="s">
        <v>540</v>
      </c>
      <c r="H98" s="1056"/>
      <c r="I98" s="1056"/>
      <c r="J98" s="1055" t="s">
        <v>540</v>
      </c>
      <c r="K98" s="1055" t="s">
        <v>541</v>
      </c>
      <c r="L98" s="1055" t="s">
        <v>542</v>
      </c>
      <c r="M98" s="1055" t="s">
        <v>543</v>
      </c>
      <c r="N98" s="1055" t="s">
        <v>853</v>
      </c>
      <c r="O98" s="1057">
        <v>46209.561111111114</v>
      </c>
      <c r="P98" s="1057" t="str">
        <f>IFERROR(__xludf.DUMMYFUNCTION("IFERROR(
  TEXT(
    DATE(
      INDEX(SPLIT(O98,"" ""),3),
      VLOOKUP(INDEX(SPLIT(O98,"" ""),1),{""jan."",1;""Feb"",2;""mar."",3;""Apr"",4;""May"",5;""jun."",6;""jul."",7;""Aug"",8;""Sep"",9;""Oct"",10;""nov."",11;""Dec"",12},2,FALSE),
      INDEX(SPL"&amp;"IT(O98,"" ""),2)
    ),
    ""dd/mm/yyyy""
  ),
"""")"),"06/07/2026")</f>
        <v>06/07/2026</v>
      </c>
    </row>
    <row r="99">
      <c r="A99" s="1054" t="s">
        <v>854</v>
      </c>
      <c r="B99" s="1054" t="s">
        <v>855</v>
      </c>
      <c r="C99" s="1058"/>
      <c r="D99" s="1058"/>
      <c r="E99" s="1056"/>
      <c r="F99" s="1055" t="s">
        <v>399</v>
      </c>
      <c r="G99" s="1055" t="s">
        <v>540</v>
      </c>
      <c r="H99" s="1056"/>
      <c r="I99" s="1056"/>
      <c r="J99" s="1055" t="s">
        <v>540</v>
      </c>
      <c r="K99" s="1055" t="s">
        <v>541</v>
      </c>
      <c r="L99" s="1055" t="s">
        <v>542</v>
      </c>
      <c r="M99" s="1055" t="s">
        <v>543</v>
      </c>
      <c r="N99" s="1055" t="s">
        <v>609</v>
      </c>
      <c r="O99" s="1057">
        <v>46213.478472222225</v>
      </c>
      <c r="P99" s="1057" t="str">
        <f>IFERROR(__xludf.DUMMYFUNCTION("IFERROR(
  TEXT(
    DATE(
      INDEX(SPLIT(O99,"" ""),3),
      VLOOKUP(INDEX(SPLIT(O99,"" ""),1),{""jan."",1;""Feb"",2;""mar."",3;""Apr"",4;""May"",5;""jun."",6;""jul."",7;""Aug"",8;""Sep"",9;""Oct"",10;""nov."",11;""Dec"",12},2,FALSE),
      INDEX(SPL"&amp;"IT(O99,"" ""),2)
    ),
    ""dd/mm/yyyy""
  ),
"""")"),"10/07/2026")</f>
        <v>10/07/2026</v>
      </c>
    </row>
    <row r="100">
      <c r="A100" s="1054" t="s">
        <v>856</v>
      </c>
      <c r="B100" s="1054" t="s">
        <v>857</v>
      </c>
      <c r="C100" s="1058"/>
      <c r="D100" s="1058"/>
      <c r="E100" s="1056"/>
      <c r="F100" s="1055" t="s">
        <v>399</v>
      </c>
      <c r="G100" s="1055" t="s">
        <v>540</v>
      </c>
      <c r="H100" s="1056"/>
      <c r="I100" s="1056"/>
      <c r="J100" s="1055" t="s">
        <v>540</v>
      </c>
      <c r="K100" s="1055" t="s">
        <v>541</v>
      </c>
      <c r="L100" s="1055" t="s">
        <v>542</v>
      </c>
      <c r="M100" s="1055" t="s">
        <v>543</v>
      </c>
      <c r="N100" s="1055" t="s">
        <v>858</v>
      </c>
      <c r="O100" s="1057">
        <v>46198.81597222222</v>
      </c>
      <c r="P100" s="1057" t="str">
        <f>IFERROR(__xludf.DUMMYFUNCTION("IFERROR(
  TEXT(
    DATE(
      INDEX(SPLIT(O100,"" ""),3),
      VLOOKUP(INDEX(SPLIT(O100,"" ""),1),{""jan."",1;""Feb"",2;""mar."",3;""Apr"",4;""May"",5;""jun."",6;""jul."",7;""Aug"",8;""Sep"",9;""Oct"",10;""nov."",11;""Dec"",12},2,FALSE),
      INDEX(S"&amp;"PLIT(O100,"" ""),2)
    ),
    ""dd/mm/yyyy""
  ),
"""")"),"25/06/2026")</f>
        <v>25/06/2026</v>
      </c>
    </row>
    <row r="101">
      <c r="A101" s="1054" t="s">
        <v>859</v>
      </c>
      <c r="B101" s="1054" t="s">
        <v>860</v>
      </c>
      <c r="C101" s="1058"/>
      <c r="D101" s="1058"/>
      <c r="E101" s="1056"/>
      <c r="F101" s="1055" t="s">
        <v>399</v>
      </c>
      <c r="G101" s="1055" t="s">
        <v>540</v>
      </c>
      <c r="H101" s="1056"/>
      <c r="I101" s="1056"/>
      <c r="J101" s="1055" t="s">
        <v>540</v>
      </c>
      <c r="K101" s="1055" t="s">
        <v>541</v>
      </c>
      <c r="L101" s="1055" t="s">
        <v>542</v>
      </c>
      <c r="M101" s="1055" t="s">
        <v>543</v>
      </c>
      <c r="N101" s="1055" t="s">
        <v>861</v>
      </c>
      <c r="O101" s="1057">
        <v>46216.666666666664</v>
      </c>
      <c r="P101" s="1057" t="str">
        <f>IFERROR(__xludf.DUMMYFUNCTION("IFERROR(
  TEXT(
    DATE(
      INDEX(SPLIT(O101,"" ""),3),
      VLOOKUP(INDEX(SPLIT(O101,"" ""),1),{""jan."",1;""Feb"",2;""mar."",3;""Apr"",4;""May"",5;""jun."",6;""jul."",7;""Aug"",8;""Sep"",9;""Oct"",10;""nov."",11;""Dec"",12},2,FALSE),
      INDEX(S"&amp;"PLIT(O101,"" ""),2)
    ),
    ""dd/mm/yyyy""
  ),
"""")"),"13/07/2026")</f>
        <v>13/07/2026</v>
      </c>
    </row>
    <row r="102">
      <c r="A102" s="1054" t="s">
        <v>862</v>
      </c>
      <c r="B102" s="1054" t="s">
        <v>863</v>
      </c>
      <c r="C102" s="1058"/>
      <c r="D102" s="1058"/>
      <c r="E102" s="1056"/>
      <c r="F102" s="1055" t="s">
        <v>400</v>
      </c>
      <c r="G102" s="1055" t="s">
        <v>540</v>
      </c>
      <c r="H102" s="1056"/>
      <c r="I102" s="1056"/>
      <c r="J102" s="1055" t="s">
        <v>540</v>
      </c>
      <c r="K102" s="1055" t="s">
        <v>541</v>
      </c>
      <c r="L102" s="1055" t="s">
        <v>542</v>
      </c>
      <c r="M102" s="1055" t="s">
        <v>543</v>
      </c>
      <c r="N102" s="1055" t="s">
        <v>817</v>
      </c>
      <c r="O102" s="1057">
        <v>46211.575694444444</v>
      </c>
      <c r="P102" s="1057" t="str">
        <f>IFERROR(__xludf.DUMMYFUNCTION("IFERROR(
  TEXT(
    DATE(
      INDEX(SPLIT(O102,"" ""),3),
      VLOOKUP(INDEX(SPLIT(O102,"" ""),1),{""jan."",1;""Feb"",2;""mar."",3;""Apr"",4;""May"",5;""jun."",6;""jul."",7;""Aug"",8;""Sep"",9;""Oct"",10;""nov."",11;""Dec"",12},2,FALSE),
      INDEX(S"&amp;"PLIT(O102,"" ""),2)
    ),
    ""dd/mm/yyyy""
  ),
"""")"),"08/07/2026")</f>
        <v>08/07/2026</v>
      </c>
    </row>
    <row r="103">
      <c r="A103" s="1054" t="s">
        <v>864</v>
      </c>
      <c r="B103" s="1054" t="s">
        <v>865</v>
      </c>
      <c r="C103" s="1058"/>
      <c r="D103" s="1058"/>
      <c r="E103" s="1056"/>
      <c r="F103" s="1055" t="s">
        <v>399</v>
      </c>
      <c r="G103" s="1055" t="s">
        <v>540</v>
      </c>
      <c r="H103" s="1056"/>
      <c r="I103" s="1056"/>
      <c r="J103" s="1055" t="s">
        <v>540</v>
      </c>
      <c r="K103" s="1055" t="s">
        <v>541</v>
      </c>
      <c r="L103" s="1055" t="s">
        <v>542</v>
      </c>
      <c r="M103" s="1055" t="s">
        <v>543</v>
      </c>
      <c r="N103" s="1055" t="s">
        <v>866</v>
      </c>
      <c r="O103" s="1057">
        <v>46216.924305555556</v>
      </c>
      <c r="P103" s="1057" t="str">
        <f>IFERROR(__xludf.DUMMYFUNCTION("IFERROR(
  TEXT(
    DATE(
      INDEX(SPLIT(O103,"" ""),3),
      VLOOKUP(INDEX(SPLIT(O103,"" ""),1),{""jan."",1;""Feb"",2;""mar."",3;""Apr"",4;""May"",5;""jun."",6;""jul."",7;""Aug"",8;""Sep"",9;""Oct"",10;""nov."",11;""Dec"",12},2,FALSE),
      INDEX(S"&amp;"PLIT(O103,"" ""),2)
    ),
    ""dd/mm/yyyy""
  ),
"""")"),"13/07/2026")</f>
        <v>13/07/2026</v>
      </c>
    </row>
    <row r="104">
      <c r="A104" s="1054" t="s">
        <v>867</v>
      </c>
      <c r="B104" s="1054" t="s">
        <v>868</v>
      </c>
      <c r="C104" s="1058"/>
      <c r="D104" s="1058"/>
      <c r="E104" s="1056"/>
      <c r="F104" s="1055" t="s">
        <v>387</v>
      </c>
      <c r="G104" s="1055" t="s">
        <v>540</v>
      </c>
      <c r="H104" s="1056"/>
      <c r="I104" s="1056"/>
      <c r="J104" s="1055" t="s">
        <v>540</v>
      </c>
      <c r="K104" s="1055" t="s">
        <v>541</v>
      </c>
      <c r="L104" s="1055" t="s">
        <v>542</v>
      </c>
      <c r="M104" s="1055" t="s">
        <v>543</v>
      </c>
      <c r="N104" s="1055" t="s">
        <v>869</v>
      </c>
      <c r="O104" s="1057">
        <v>46216.52916666667</v>
      </c>
      <c r="P104" s="1057" t="str">
        <f>IFERROR(__xludf.DUMMYFUNCTION("IFERROR(
  TEXT(
    DATE(
      INDEX(SPLIT(O104,"" ""),3),
      VLOOKUP(INDEX(SPLIT(O104,"" ""),1),{""jan."",1;""Feb"",2;""mar."",3;""Apr"",4;""May"",5;""jun."",6;""jul."",7;""Aug"",8;""Sep"",9;""Oct"",10;""nov."",11;""Dec"",12},2,FALSE),
      INDEX(S"&amp;"PLIT(O104,"" ""),2)
    ),
    ""dd/mm/yyyy""
  ),
"""")"),"13/07/2026")</f>
        <v>13/07/2026</v>
      </c>
    </row>
    <row r="105">
      <c r="A105" s="1054" t="s">
        <v>870</v>
      </c>
      <c r="B105" s="1054" t="s">
        <v>871</v>
      </c>
      <c r="C105" s="1058"/>
      <c r="D105" s="1058"/>
      <c r="E105" s="1056"/>
      <c r="F105" s="1055" t="s">
        <v>387</v>
      </c>
      <c r="G105" s="1055" t="s">
        <v>540</v>
      </c>
      <c r="H105" s="1056"/>
      <c r="I105" s="1056"/>
      <c r="J105" s="1055" t="s">
        <v>540</v>
      </c>
      <c r="K105" s="1055" t="s">
        <v>541</v>
      </c>
      <c r="L105" s="1055" t="s">
        <v>542</v>
      </c>
      <c r="M105" s="1055" t="s">
        <v>543</v>
      </c>
      <c r="N105" s="1055" t="s">
        <v>872</v>
      </c>
      <c r="O105" s="1057">
        <v>46196.481944444444</v>
      </c>
      <c r="P105" s="1057" t="str">
        <f>IFERROR(__xludf.DUMMYFUNCTION("IFERROR(
  TEXT(
    DATE(
      INDEX(SPLIT(O105,"" ""),3),
      VLOOKUP(INDEX(SPLIT(O105,"" ""),1),{""jan."",1;""Feb"",2;""mar."",3;""Apr"",4;""May"",5;""jun."",6;""jul."",7;""Aug"",8;""Sep"",9;""Oct"",10;""nov."",11;""Dec"",12},2,FALSE),
      INDEX(S"&amp;"PLIT(O105,"" ""),2)
    ),
    ""dd/mm/yyyy""
  ),
"""")"),"23/06/2026")</f>
        <v>23/06/2026</v>
      </c>
    </row>
    <row r="106">
      <c r="A106" s="1054" t="s">
        <v>873</v>
      </c>
      <c r="B106" s="1054" t="s">
        <v>874</v>
      </c>
      <c r="C106" s="1058"/>
      <c r="D106" s="1058"/>
      <c r="E106" s="1056"/>
      <c r="F106" s="1055" t="s">
        <v>387</v>
      </c>
      <c r="G106" s="1055" t="s">
        <v>540</v>
      </c>
      <c r="H106" s="1056"/>
      <c r="I106" s="1056"/>
      <c r="J106" s="1055" t="s">
        <v>540</v>
      </c>
      <c r="K106" s="1055" t="s">
        <v>541</v>
      </c>
      <c r="L106" s="1055" t="s">
        <v>542</v>
      </c>
      <c r="M106" s="1055" t="s">
        <v>543</v>
      </c>
      <c r="N106" s="1055" t="s">
        <v>842</v>
      </c>
      <c r="O106" s="1057">
        <v>46176.774305555555</v>
      </c>
      <c r="P106" s="1057" t="str">
        <f>IFERROR(__xludf.DUMMYFUNCTION("IFERROR(
  TEXT(
    DATE(
      INDEX(SPLIT(O106,"" ""),3),
      VLOOKUP(INDEX(SPLIT(O106,"" ""),1),{""jan."",1;""Feb"",2;""mar."",3;""Apr"",4;""May"",5;""jun."",6;""jul."",7;""Aug"",8;""Sep"",9;""Oct"",10;""nov."",11;""Dec"",12},2,FALSE),
      INDEX(S"&amp;"PLIT(O106,"" ""),2)
    ),
    ""dd/mm/yyyy""
  ),
"""")"),"03/06/2026")</f>
        <v>03/06/2026</v>
      </c>
    </row>
    <row r="107">
      <c r="A107" s="1054" t="s">
        <v>875</v>
      </c>
      <c r="B107" s="1054" t="s">
        <v>876</v>
      </c>
      <c r="C107" s="1058"/>
      <c r="D107" s="1058"/>
      <c r="E107" s="1056"/>
      <c r="F107" s="1055" t="s">
        <v>387</v>
      </c>
      <c r="G107" s="1055" t="s">
        <v>540</v>
      </c>
      <c r="H107" s="1056"/>
      <c r="I107" s="1056"/>
      <c r="J107" s="1055" t="s">
        <v>540</v>
      </c>
      <c r="K107" s="1055" t="s">
        <v>541</v>
      </c>
      <c r="L107" s="1055" t="s">
        <v>542</v>
      </c>
      <c r="M107" s="1055" t="s">
        <v>543</v>
      </c>
      <c r="N107" s="1055" t="s">
        <v>877</v>
      </c>
      <c r="O107" s="1057">
        <v>46174.67013888889</v>
      </c>
      <c r="P107" s="1057" t="str">
        <f>IFERROR(__xludf.DUMMYFUNCTION("IFERROR(
  TEXT(
    DATE(
      INDEX(SPLIT(O107,"" ""),3),
      VLOOKUP(INDEX(SPLIT(O107,"" ""),1),{""jan."",1;""Feb"",2;""mar."",3;""Apr"",4;""May"",5;""jun."",6;""jul."",7;""Aug"",8;""Sep"",9;""Oct"",10;""nov."",11;""Dec"",12},2,FALSE),
      INDEX(S"&amp;"PLIT(O107,"" ""),2)
    ),
    ""dd/mm/yyyy""
  ),
"""")"),"01/06/2026")</f>
        <v>01/06/2026</v>
      </c>
    </row>
    <row r="108">
      <c r="A108" s="1054" t="s">
        <v>878</v>
      </c>
      <c r="B108" s="1054" t="s">
        <v>879</v>
      </c>
      <c r="C108" s="1058"/>
      <c r="D108" s="1058"/>
      <c r="E108" s="1056"/>
      <c r="F108" s="1055" t="s">
        <v>387</v>
      </c>
      <c r="G108" s="1055" t="s">
        <v>540</v>
      </c>
      <c r="H108" s="1056"/>
      <c r="I108" s="1056"/>
      <c r="J108" s="1055" t="s">
        <v>540</v>
      </c>
      <c r="K108" s="1055" t="s">
        <v>541</v>
      </c>
      <c r="L108" s="1055" t="s">
        <v>542</v>
      </c>
      <c r="M108" s="1055" t="s">
        <v>543</v>
      </c>
      <c r="N108" s="1055" t="s">
        <v>880</v>
      </c>
      <c r="O108" s="1057">
        <v>46216.64861111111</v>
      </c>
      <c r="P108" s="1057" t="str">
        <f>IFERROR(__xludf.DUMMYFUNCTION("IFERROR(
  TEXT(
    DATE(
      INDEX(SPLIT(O108,"" ""),3),
      VLOOKUP(INDEX(SPLIT(O108,"" ""),1),{""jan."",1;""Feb"",2;""mar."",3;""Apr"",4;""May"",5;""jun."",6;""jul."",7;""Aug"",8;""Sep"",9;""Oct"",10;""nov."",11;""Dec"",12},2,FALSE),
      INDEX(S"&amp;"PLIT(O108,"" ""),2)
    ),
    ""dd/mm/yyyy""
  ),
"""")"),"13/07/2026")</f>
        <v>13/07/2026</v>
      </c>
    </row>
    <row r="109">
      <c r="A109" s="1054" t="s">
        <v>881</v>
      </c>
      <c r="B109" s="1054" t="s">
        <v>882</v>
      </c>
      <c r="C109" s="1058"/>
      <c r="D109" s="1058"/>
      <c r="E109" s="1056"/>
      <c r="F109" s="1055" t="s">
        <v>399</v>
      </c>
      <c r="G109" s="1055" t="s">
        <v>540</v>
      </c>
      <c r="H109" s="1056"/>
      <c r="I109" s="1056"/>
      <c r="J109" s="1055" t="s">
        <v>540</v>
      </c>
      <c r="K109" s="1055" t="s">
        <v>541</v>
      </c>
      <c r="L109" s="1055" t="s">
        <v>542</v>
      </c>
      <c r="M109" s="1055" t="s">
        <v>543</v>
      </c>
      <c r="N109" s="1055" t="s">
        <v>883</v>
      </c>
      <c r="O109" s="1057">
        <v>46211.70138888889</v>
      </c>
      <c r="P109" s="1057" t="str">
        <f>IFERROR(__xludf.DUMMYFUNCTION("IFERROR(
  TEXT(
    DATE(
      INDEX(SPLIT(O109,"" ""),3),
      VLOOKUP(INDEX(SPLIT(O109,"" ""),1),{""jan."",1;""Feb"",2;""mar."",3;""Apr"",4;""May"",5;""jun."",6;""jul."",7;""Aug"",8;""Sep"",9;""Oct"",10;""nov."",11;""Dec"",12},2,FALSE),
      INDEX(S"&amp;"PLIT(O109,"" ""),2)
    ),
    ""dd/mm/yyyy""
  ),
"""")"),"08/07/2026")</f>
        <v>08/07/2026</v>
      </c>
    </row>
    <row r="110">
      <c r="A110" s="1054" t="s">
        <v>884</v>
      </c>
      <c r="B110" s="1054" t="s">
        <v>885</v>
      </c>
      <c r="C110" s="1058"/>
      <c r="D110" s="1058"/>
      <c r="E110" s="1056"/>
      <c r="F110" s="1055" t="s">
        <v>399</v>
      </c>
      <c r="G110" s="1055" t="s">
        <v>540</v>
      </c>
      <c r="H110" s="1056"/>
      <c r="I110" s="1056"/>
      <c r="J110" s="1055" t="s">
        <v>540</v>
      </c>
      <c r="K110" s="1055" t="s">
        <v>541</v>
      </c>
      <c r="L110" s="1055" t="s">
        <v>542</v>
      </c>
      <c r="M110" s="1055" t="s">
        <v>543</v>
      </c>
      <c r="N110" s="1055" t="s">
        <v>886</v>
      </c>
      <c r="O110" s="1057">
        <v>46213.66388888889</v>
      </c>
      <c r="P110" s="1057" t="str">
        <f>IFERROR(__xludf.DUMMYFUNCTION("IFERROR(
  TEXT(
    DATE(
      INDEX(SPLIT(O110,"" ""),3),
      VLOOKUP(INDEX(SPLIT(O110,"" ""),1),{""jan."",1;""Feb"",2;""mar."",3;""Apr"",4;""May"",5;""jun."",6;""jul."",7;""Aug"",8;""Sep"",9;""Oct"",10;""nov."",11;""Dec"",12},2,FALSE),
      INDEX(S"&amp;"PLIT(O110,"" ""),2)
    ),
    ""dd/mm/yyyy""
  ),
"""")"),"10/07/2026")</f>
        <v>10/07/2026</v>
      </c>
    </row>
    <row r="111">
      <c r="A111" s="1054" t="s">
        <v>887</v>
      </c>
      <c r="B111" s="1054" t="s">
        <v>888</v>
      </c>
      <c r="C111" s="1058"/>
      <c r="D111" s="1058"/>
      <c r="E111" s="1056"/>
      <c r="F111" s="1055" t="s">
        <v>400</v>
      </c>
      <c r="G111" s="1055" t="s">
        <v>540</v>
      </c>
      <c r="H111" s="1056"/>
      <c r="I111" s="1056"/>
      <c r="J111" s="1055" t="s">
        <v>540</v>
      </c>
      <c r="K111" s="1055" t="s">
        <v>541</v>
      </c>
      <c r="L111" s="1055" t="s">
        <v>542</v>
      </c>
      <c r="M111" s="1055" t="s">
        <v>543</v>
      </c>
      <c r="N111" s="1055" t="s">
        <v>889</v>
      </c>
      <c r="O111" s="1057">
        <v>46206.67013888889</v>
      </c>
      <c r="P111" s="1057" t="str">
        <f>IFERROR(__xludf.DUMMYFUNCTION("IFERROR(
  TEXT(
    DATE(
      INDEX(SPLIT(O111,"" ""),3),
      VLOOKUP(INDEX(SPLIT(O111,"" ""),1),{""jan."",1;""Feb"",2;""mar."",3;""Apr"",4;""May"",5;""jun."",6;""jul."",7;""Aug"",8;""Sep"",9;""Oct"",10;""nov."",11;""Dec"",12},2,FALSE),
      INDEX(S"&amp;"PLIT(O111,"" ""),2)
    ),
    ""dd/mm/yyyy""
  ),
"""")"),"03/07/2026")</f>
        <v>03/07/2026</v>
      </c>
    </row>
    <row r="112">
      <c r="A112" s="1054" t="s">
        <v>890</v>
      </c>
      <c r="B112" s="1054" t="s">
        <v>891</v>
      </c>
      <c r="C112" s="1058"/>
      <c r="D112" s="1058"/>
      <c r="E112" s="1056"/>
      <c r="F112" s="1055" t="s">
        <v>400</v>
      </c>
      <c r="G112" s="1055" t="s">
        <v>540</v>
      </c>
      <c r="H112" s="1056"/>
      <c r="I112" s="1056"/>
      <c r="J112" s="1055" t="s">
        <v>540</v>
      </c>
      <c r="K112" s="1055" t="s">
        <v>541</v>
      </c>
      <c r="L112" s="1055" t="s">
        <v>542</v>
      </c>
      <c r="M112" s="1055" t="s">
        <v>543</v>
      </c>
      <c r="N112" s="1055" t="s">
        <v>892</v>
      </c>
      <c r="O112" s="1057">
        <v>46216.52916666667</v>
      </c>
      <c r="P112" s="1057" t="str">
        <f>IFERROR(__xludf.DUMMYFUNCTION("IFERROR(
  TEXT(
    DATE(
      INDEX(SPLIT(O112,"" ""),3),
      VLOOKUP(INDEX(SPLIT(O112,"" ""),1),{""jan."",1;""Feb"",2;""mar."",3;""Apr"",4;""May"",5;""jun."",6;""jul."",7;""Aug"",8;""Sep"",9;""Oct"",10;""nov."",11;""Dec"",12},2,FALSE),
      INDEX(S"&amp;"PLIT(O112,"" ""),2)
    ),
    ""dd/mm/yyyy""
  ),
"""")"),"13/07/2026")</f>
        <v>13/07/2026</v>
      </c>
    </row>
    <row r="113">
      <c r="A113" s="1054" t="s">
        <v>893</v>
      </c>
      <c r="B113" s="1054" t="s">
        <v>894</v>
      </c>
      <c r="C113" s="1058"/>
      <c r="D113" s="1058"/>
      <c r="E113" s="1056"/>
      <c r="F113" s="1055" t="s">
        <v>400</v>
      </c>
      <c r="G113" s="1055" t="s">
        <v>540</v>
      </c>
      <c r="H113" s="1056"/>
      <c r="I113" s="1056"/>
      <c r="J113" s="1055" t="s">
        <v>540</v>
      </c>
      <c r="K113" s="1055" t="s">
        <v>541</v>
      </c>
      <c r="L113" s="1055" t="s">
        <v>542</v>
      </c>
      <c r="M113" s="1055" t="s">
        <v>543</v>
      </c>
      <c r="N113" s="1055" t="s">
        <v>895</v>
      </c>
      <c r="O113" s="1057">
        <v>46210.396527777775</v>
      </c>
      <c r="P113" s="1057" t="str">
        <f>IFERROR(__xludf.DUMMYFUNCTION("IFERROR(
  TEXT(
    DATE(
      INDEX(SPLIT(O113,"" ""),3),
      VLOOKUP(INDEX(SPLIT(O113,"" ""),1),{""jan."",1;""Feb"",2;""mar."",3;""Apr"",4;""May"",5;""jun."",6;""jul."",7;""Aug"",8;""Sep"",9;""Oct"",10;""nov."",11;""Dec"",12},2,FALSE),
      INDEX(S"&amp;"PLIT(O113,"" ""),2)
    ),
    ""dd/mm/yyyy""
  ),
"""")"),"07/07/2026")</f>
        <v>07/07/2026</v>
      </c>
    </row>
    <row r="114">
      <c r="A114" s="1054" t="s">
        <v>896</v>
      </c>
      <c r="B114" s="1054" t="s">
        <v>897</v>
      </c>
      <c r="C114" s="1058"/>
      <c r="D114" s="1058"/>
      <c r="E114" s="1056"/>
      <c r="F114" s="1055" t="s">
        <v>400</v>
      </c>
      <c r="G114" s="1055" t="s">
        <v>540</v>
      </c>
      <c r="H114" s="1056"/>
      <c r="I114" s="1056"/>
      <c r="J114" s="1055" t="s">
        <v>540</v>
      </c>
      <c r="K114" s="1055" t="s">
        <v>541</v>
      </c>
      <c r="L114" s="1055" t="s">
        <v>542</v>
      </c>
      <c r="M114" s="1055" t="s">
        <v>543</v>
      </c>
      <c r="N114" s="1055" t="s">
        <v>898</v>
      </c>
      <c r="O114" s="1057">
        <v>46202.89375</v>
      </c>
      <c r="P114" s="1057" t="str">
        <f>IFERROR(__xludf.DUMMYFUNCTION("IFERROR(
  TEXT(
    DATE(
      INDEX(SPLIT(O114,"" ""),3),
      VLOOKUP(INDEX(SPLIT(O114,"" ""),1),{""jan."",1;""Feb"",2;""mar."",3;""Apr"",4;""May"",5;""jun."",6;""jul."",7;""Aug"",8;""Sep"",9;""Oct"",10;""nov."",11;""Dec"",12},2,FALSE),
      INDEX(S"&amp;"PLIT(O114,"" ""),2)
    ),
    ""dd/mm/yyyy""
  ),
"""")"),"29/06/2026")</f>
        <v>29/06/2026</v>
      </c>
    </row>
    <row r="115">
      <c r="A115" s="1054" t="s">
        <v>899</v>
      </c>
      <c r="B115" s="1054" t="s">
        <v>900</v>
      </c>
      <c r="C115" s="1058"/>
      <c r="D115" s="1058"/>
      <c r="E115" s="1056"/>
      <c r="F115" s="1055" t="s">
        <v>387</v>
      </c>
      <c r="G115" s="1055" t="s">
        <v>540</v>
      </c>
      <c r="H115" s="1056"/>
      <c r="I115" s="1056"/>
      <c r="J115" s="1055" t="s">
        <v>540</v>
      </c>
      <c r="K115" s="1055" t="s">
        <v>541</v>
      </c>
      <c r="L115" s="1055" t="s">
        <v>542</v>
      </c>
      <c r="M115" s="1055" t="s">
        <v>543</v>
      </c>
      <c r="N115" s="1055" t="s">
        <v>901</v>
      </c>
      <c r="O115" s="1057">
        <v>46210.7125</v>
      </c>
      <c r="P115" s="1057" t="str">
        <f>IFERROR(__xludf.DUMMYFUNCTION("IFERROR(
  TEXT(
    DATE(
      INDEX(SPLIT(O115,"" ""),3),
      VLOOKUP(INDEX(SPLIT(O115,"" ""),1),{""jan."",1;""Feb"",2;""mar."",3;""Apr"",4;""May"",5;""jun."",6;""jul."",7;""Aug"",8;""Sep"",9;""Oct"",10;""nov."",11;""Dec"",12},2,FALSE),
      INDEX(S"&amp;"PLIT(O115,"" ""),2)
    ),
    ""dd/mm/yyyy""
  ),
"""")"),"07/07/2026")</f>
        <v>07/07/2026</v>
      </c>
    </row>
    <row r="116">
      <c r="A116" s="1054" t="s">
        <v>902</v>
      </c>
      <c r="B116" s="1054" t="s">
        <v>903</v>
      </c>
      <c r="C116" s="1055" t="s">
        <v>538</v>
      </c>
      <c r="D116" s="1055" t="s">
        <v>539</v>
      </c>
      <c r="E116" s="1056"/>
      <c r="F116" s="1055" t="s">
        <v>377</v>
      </c>
      <c r="G116" s="1055" t="s">
        <v>540</v>
      </c>
      <c r="H116" s="1056"/>
      <c r="I116" s="1056"/>
      <c r="J116" s="1055" t="s">
        <v>540</v>
      </c>
      <c r="K116" s="1055" t="s">
        <v>541</v>
      </c>
      <c r="L116" s="1055" t="s">
        <v>542</v>
      </c>
      <c r="M116" s="1055" t="s">
        <v>543</v>
      </c>
      <c r="N116" s="1055" t="s">
        <v>904</v>
      </c>
      <c r="O116" s="1055" t="s">
        <v>905</v>
      </c>
      <c r="P116" s="1057" t="str">
        <f>IFERROR(__xludf.DUMMYFUNCTION("IFERROR(
  TEXT(
    DATE(
      INDEX(SPLIT(O116,"" ""),3),
      VLOOKUP(INDEX(SPLIT(O116,"" ""),1),{""jan."",1;""Feb"",2;""mar."",3;""Apr"",4;""May"",5;""jun."",6;""jul."",7;""Aug"",8;""Sep"",9;""Oct"",10;""nov."",11;""Dec"",12},2,FALSE),
      INDEX(S"&amp;"PLIT(O116,"" ""),2)
    ),
    ""dd/mm/yyyy""
  ),
"""")"),"20/05/2026")</f>
        <v>20/05/2026</v>
      </c>
    </row>
    <row r="117">
      <c r="A117" s="1054" t="s">
        <v>906</v>
      </c>
      <c r="B117" s="1054" t="s">
        <v>907</v>
      </c>
      <c r="C117" s="1055" t="s">
        <v>538</v>
      </c>
      <c r="D117" s="1055" t="s">
        <v>539</v>
      </c>
      <c r="E117" s="1056"/>
      <c r="F117" s="1055" t="s">
        <v>377</v>
      </c>
      <c r="G117" s="1055" t="s">
        <v>540</v>
      </c>
      <c r="H117" s="1056"/>
      <c r="I117" s="1056"/>
      <c r="J117" s="1055" t="s">
        <v>540</v>
      </c>
      <c r="K117" s="1055" t="s">
        <v>541</v>
      </c>
      <c r="L117" s="1055" t="s">
        <v>542</v>
      </c>
      <c r="M117" s="1055" t="s">
        <v>543</v>
      </c>
      <c r="N117" s="1055" t="s">
        <v>908</v>
      </c>
      <c r="O117" s="1055" t="s">
        <v>909</v>
      </c>
      <c r="P117" s="1057" t="str">
        <f>IFERROR(__xludf.DUMMYFUNCTION("IFERROR(
  TEXT(
    DATE(
      INDEX(SPLIT(O117,"" ""),3),
      VLOOKUP(INDEX(SPLIT(O117,"" ""),1),{""jan."",1;""Feb"",2;""mar."",3;""Apr"",4;""May"",5;""jun."",6;""jul."",7;""Aug"",8;""Sep"",9;""Oct"",10;""nov."",11;""Dec"",12},2,FALSE),
      INDEX(S"&amp;"PLIT(O117,"" ""),2)
    ),
    ""dd/mm/yyyy""
  ),
"""")"),"20/05/2026")</f>
        <v>20/05/2026</v>
      </c>
    </row>
    <row r="118">
      <c r="A118" s="1054" t="s">
        <v>910</v>
      </c>
      <c r="B118" s="1054" t="s">
        <v>911</v>
      </c>
      <c r="C118" s="1055" t="s">
        <v>538</v>
      </c>
      <c r="D118" s="1055" t="s">
        <v>539</v>
      </c>
      <c r="E118" s="1056"/>
      <c r="F118" s="1055" t="s">
        <v>377</v>
      </c>
      <c r="G118" s="1055" t="s">
        <v>540</v>
      </c>
      <c r="H118" s="1056"/>
      <c r="I118" s="1056"/>
      <c r="J118" s="1055" t="s">
        <v>540</v>
      </c>
      <c r="K118" s="1055" t="s">
        <v>541</v>
      </c>
      <c r="L118" s="1055" t="s">
        <v>542</v>
      </c>
      <c r="M118" s="1055" t="s">
        <v>543</v>
      </c>
      <c r="N118" s="1055" t="s">
        <v>912</v>
      </c>
      <c r="O118" s="1055" t="s">
        <v>913</v>
      </c>
      <c r="P118" s="1057" t="str">
        <f>IFERROR(__xludf.DUMMYFUNCTION("IFERROR(
  TEXT(
    DATE(
      INDEX(SPLIT(O118,"" ""),3),
      VLOOKUP(INDEX(SPLIT(O118,"" ""),1),{""jan."",1;""Feb"",2;""mar."",3;""Apr"",4;""May"",5;""jun."",6;""jul."",7;""Aug"",8;""Sep"",9;""Oct"",10;""nov."",11;""Dec"",12},2,FALSE),
      INDEX(S"&amp;"PLIT(O118,"" ""),2)
    ),
    ""dd/mm/yyyy""
  ),
"""")"),"20/05/2026")</f>
        <v>20/05/2026</v>
      </c>
    </row>
    <row r="119">
      <c r="A119" s="1054" t="s">
        <v>914</v>
      </c>
      <c r="B119" s="1054" t="s">
        <v>915</v>
      </c>
      <c r="C119" s="1055" t="s">
        <v>538</v>
      </c>
      <c r="D119" s="1055" t="s">
        <v>539</v>
      </c>
      <c r="E119" s="1056"/>
      <c r="F119" s="1055" t="s">
        <v>377</v>
      </c>
      <c r="G119" s="1055" t="s">
        <v>540</v>
      </c>
      <c r="H119" s="1056"/>
      <c r="I119" s="1056"/>
      <c r="J119" s="1055" t="s">
        <v>540</v>
      </c>
      <c r="K119" s="1055" t="s">
        <v>541</v>
      </c>
      <c r="L119" s="1055" t="s">
        <v>542</v>
      </c>
      <c r="M119" s="1055" t="s">
        <v>543</v>
      </c>
      <c r="N119" s="1055" t="s">
        <v>916</v>
      </c>
      <c r="O119" s="1055" t="s">
        <v>917</v>
      </c>
      <c r="P119" s="1057" t="str">
        <f>IFERROR(__xludf.DUMMYFUNCTION("IFERROR(
  TEXT(
    DATE(
      INDEX(SPLIT(O119,"" ""),3),
      VLOOKUP(INDEX(SPLIT(O119,"" ""),1),{""jan."",1;""Feb"",2;""mar."",3;""Apr"",4;""May"",5;""jun."",6;""jul."",7;""Aug"",8;""Sep"",9;""Oct"",10;""nov."",11;""Dec"",12},2,FALSE),
      INDEX(S"&amp;"PLIT(O119,"" ""),2)
    ),
    ""dd/mm/yyyy""
  ),
"""")"),"20/05/2026")</f>
        <v>20/05/2026</v>
      </c>
    </row>
    <row r="120">
      <c r="A120" s="1054" t="s">
        <v>918</v>
      </c>
      <c r="B120" s="1054" t="s">
        <v>919</v>
      </c>
      <c r="C120" s="1055" t="s">
        <v>538</v>
      </c>
      <c r="D120" s="1055" t="s">
        <v>539</v>
      </c>
      <c r="E120" s="1056"/>
      <c r="F120" s="1055" t="s">
        <v>377</v>
      </c>
      <c r="G120" s="1055" t="s">
        <v>540</v>
      </c>
      <c r="H120" s="1056"/>
      <c r="I120" s="1056"/>
      <c r="J120" s="1055" t="s">
        <v>540</v>
      </c>
      <c r="K120" s="1055" t="s">
        <v>541</v>
      </c>
      <c r="L120" s="1055" t="s">
        <v>542</v>
      </c>
      <c r="M120" s="1055" t="s">
        <v>543</v>
      </c>
      <c r="N120" s="1055" t="s">
        <v>920</v>
      </c>
      <c r="O120" s="1055" t="s">
        <v>921</v>
      </c>
      <c r="P120" s="1057" t="str">
        <f>IFERROR(__xludf.DUMMYFUNCTION("IFERROR(
  TEXT(
    DATE(
      INDEX(SPLIT(O120,"" ""),3),
      VLOOKUP(INDEX(SPLIT(O120,"" ""),1),{""jan."",1;""Feb"",2;""mar."",3;""Apr"",4;""May"",5;""jun."",6;""jul."",7;""Aug"",8;""Sep"",9;""Oct"",10;""nov."",11;""Dec"",12},2,FALSE),
      INDEX(S"&amp;"PLIT(O120,"" ""),2)
    ),
    ""dd/mm/yyyy""
  ),
"""")"),"20/05/2026")</f>
        <v>20/05/2026</v>
      </c>
    </row>
    <row r="121">
      <c r="A121" s="1054" t="s">
        <v>922</v>
      </c>
      <c r="B121" s="1054" t="s">
        <v>923</v>
      </c>
      <c r="C121" s="1055" t="s">
        <v>538</v>
      </c>
      <c r="D121" s="1055" t="s">
        <v>539</v>
      </c>
      <c r="E121" s="1056"/>
      <c r="F121" s="1055" t="s">
        <v>377</v>
      </c>
      <c r="G121" s="1055" t="s">
        <v>540</v>
      </c>
      <c r="H121" s="1056"/>
      <c r="I121" s="1056"/>
      <c r="J121" s="1055" t="s">
        <v>540</v>
      </c>
      <c r="K121" s="1055" t="s">
        <v>541</v>
      </c>
      <c r="L121" s="1055" t="s">
        <v>542</v>
      </c>
      <c r="M121" s="1055" t="s">
        <v>543</v>
      </c>
      <c r="N121" s="1055" t="s">
        <v>924</v>
      </c>
      <c r="O121" s="1055" t="s">
        <v>925</v>
      </c>
      <c r="P121" s="1057" t="str">
        <f>IFERROR(__xludf.DUMMYFUNCTION("IFERROR(
  TEXT(
    DATE(
      INDEX(SPLIT(O121,"" ""),3),
      VLOOKUP(INDEX(SPLIT(O121,"" ""),1),{""jan."",1;""Feb"",2;""mar."",3;""Apr"",4;""May"",5;""jun."",6;""jul."",7;""Aug"",8;""Sep"",9;""Oct"",10;""nov."",11;""Dec"",12},2,FALSE),
      INDEX(S"&amp;"PLIT(O121,"" ""),2)
    ),
    ""dd/mm/yyyy""
  ),
"""")"),"20/05/2026")</f>
        <v>20/05/2026</v>
      </c>
    </row>
    <row r="122">
      <c r="A122" s="1054" t="s">
        <v>926</v>
      </c>
      <c r="B122" s="1054" t="s">
        <v>927</v>
      </c>
      <c r="C122" s="1055" t="s">
        <v>538</v>
      </c>
      <c r="D122" s="1055" t="s">
        <v>539</v>
      </c>
      <c r="E122" s="1056"/>
      <c r="F122" s="1055" t="s">
        <v>377</v>
      </c>
      <c r="G122" s="1055" t="s">
        <v>540</v>
      </c>
      <c r="H122" s="1056"/>
      <c r="I122" s="1056"/>
      <c r="J122" s="1055" t="s">
        <v>540</v>
      </c>
      <c r="K122" s="1055" t="s">
        <v>541</v>
      </c>
      <c r="L122" s="1055" t="s">
        <v>542</v>
      </c>
      <c r="M122" s="1055" t="s">
        <v>543</v>
      </c>
      <c r="N122" s="1055" t="s">
        <v>928</v>
      </c>
      <c r="O122" s="1055" t="s">
        <v>929</v>
      </c>
      <c r="P122" s="1057" t="str">
        <f>IFERROR(__xludf.DUMMYFUNCTION("IFERROR(
  TEXT(
    DATE(
      INDEX(SPLIT(O122,"" ""),3),
      VLOOKUP(INDEX(SPLIT(O122,"" ""),1),{""jan."",1;""Feb"",2;""mar."",3;""Apr"",4;""May"",5;""jun."",6;""jul."",7;""Aug"",8;""Sep"",9;""Oct"",10;""nov."",11;""Dec"",12},2,FALSE),
      INDEX(S"&amp;"PLIT(O122,"" ""),2)
    ),
    ""dd/mm/yyyy""
  ),
"""")"),"20/05/2026")</f>
        <v>20/05/2026</v>
      </c>
    </row>
    <row r="123">
      <c r="A123" s="1054" t="s">
        <v>930</v>
      </c>
      <c r="B123" s="1054" t="s">
        <v>931</v>
      </c>
      <c r="C123" s="1055" t="s">
        <v>538</v>
      </c>
      <c r="D123" s="1055" t="s">
        <v>539</v>
      </c>
      <c r="E123" s="1056"/>
      <c r="F123" s="1055" t="s">
        <v>377</v>
      </c>
      <c r="G123" s="1055" t="s">
        <v>540</v>
      </c>
      <c r="H123" s="1056"/>
      <c r="I123" s="1056"/>
      <c r="J123" s="1055" t="s">
        <v>540</v>
      </c>
      <c r="K123" s="1055" t="s">
        <v>541</v>
      </c>
      <c r="L123" s="1055" t="s">
        <v>542</v>
      </c>
      <c r="M123" s="1055" t="s">
        <v>543</v>
      </c>
      <c r="N123" s="1055" t="s">
        <v>932</v>
      </c>
      <c r="O123" s="1055" t="s">
        <v>933</v>
      </c>
      <c r="P123" s="1057" t="str">
        <f>IFERROR(__xludf.DUMMYFUNCTION("IFERROR(
  TEXT(
    DATE(
      INDEX(SPLIT(O123,"" ""),3),
      VLOOKUP(INDEX(SPLIT(O123,"" ""),1),{""jan."",1;""Feb"",2;""mar."",3;""Apr"",4;""May"",5;""jun."",6;""jul."",7;""Aug"",8;""Sep"",9;""Oct"",10;""nov."",11;""Dec"",12},2,FALSE),
      INDEX(S"&amp;"PLIT(O123,"" ""),2)
    ),
    ""dd/mm/yyyy""
  ),
"""")"),"20/05/2026")</f>
        <v>20/05/2026</v>
      </c>
    </row>
    <row r="124">
      <c r="A124" s="1054" t="s">
        <v>934</v>
      </c>
      <c r="B124" s="1054" t="s">
        <v>935</v>
      </c>
      <c r="C124" s="1055" t="s">
        <v>538</v>
      </c>
      <c r="D124" s="1055" t="s">
        <v>539</v>
      </c>
      <c r="E124" s="1056"/>
      <c r="F124" s="1055" t="s">
        <v>377</v>
      </c>
      <c r="G124" s="1055" t="s">
        <v>540</v>
      </c>
      <c r="H124" s="1056"/>
      <c r="I124" s="1056"/>
      <c r="J124" s="1055" t="s">
        <v>540</v>
      </c>
      <c r="K124" s="1055" t="s">
        <v>541</v>
      </c>
      <c r="L124" s="1055" t="s">
        <v>542</v>
      </c>
      <c r="M124" s="1055" t="s">
        <v>543</v>
      </c>
      <c r="N124" s="1055" t="s">
        <v>936</v>
      </c>
      <c r="O124" s="1055" t="s">
        <v>937</v>
      </c>
      <c r="P124" s="1057" t="str">
        <f>IFERROR(__xludf.DUMMYFUNCTION("IFERROR(
  TEXT(
    DATE(
      INDEX(SPLIT(O124,"" ""),3),
      VLOOKUP(INDEX(SPLIT(O124,"" ""),1),{""jan."",1;""Feb"",2;""mar."",3;""Apr"",4;""May"",5;""jun."",6;""jul."",7;""Aug"",8;""Sep"",9;""Oct"",10;""nov."",11;""Dec"",12},2,FALSE),
      INDEX(S"&amp;"PLIT(O124,"" ""),2)
    ),
    ""dd/mm/yyyy""
  ),
"""")"),"20/05/2026")</f>
        <v>20/05/2026</v>
      </c>
    </row>
    <row r="125">
      <c r="A125" s="1054" t="s">
        <v>938</v>
      </c>
      <c r="B125" s="1054" t="s">
        <v>939</v>
      </c>
      <c r="C125" s="1058"/>
      <c r="D125" s="1058"/>
      <c r="E125" s="1056"/>
      <c r="F125" s="1055" t="s">
        <v>377</v>
      </c>
      <c r="G125" s="1055" t="s">
        <v>540</v>
      </c>
      <c r="H125" s="1056"/>
      <c r="I125" s="1056"/>
      <c r="J125" s="1055" t="s">
        <v>540</v>
      </c>
      <c r="K125" s="1055" t="s">
        <v>940</v>
      </c>
      <c r="L125" s="1055" t="s">
        <v>540</v>
      </c>
      <c r="M125" s="1055" t="s">
        <v>540</v>
      </c>
      <c r="N125" s="1055" t="s">
        <v>941</v>
      </c>
      <c r="O125" s="1055" t="s">
        <v>942</v>
      </c>
      <c r="P125" s="1057" t="str">
        <f>IFERROR(__xludf.DUMMYFUNCTION("IFERROR(
  TEXT(
    DATE(
      INDEX(SPLIT(O125,"" ""),3),
      VLOOKUP(INDEX(SPLIT(O125,"" ""),1),{""jan."",1;""Feb"",2;""mar."",3;""Apr"",4;""May"",5;""jun."",6;""jul."",7;""Aug"",8;""Sep"",9;""Oct"",10;""nov."",11;""Dec"",12},2,FALSE),
      INDEX(S"&amp;"PLIT(O125,"" ""),2)
    ),
    ""dd/mm/yyyy""
  ),
"""")"),"21/05/2026")</f>
        <v>21/05/2026</v>
      </c>
    </row>
    <row r="126">
      <c r="A126" s="1054" t="s">
        <v>943</v>
      </c>
      <c r="B126" s="1054" t="s">
        <v>944</v>
      </c>
      <c r="C126" s="1058"/>
      <c r="D126" s="1058"/>
      <c r="E126" s="1056"/>
      <c r="F126" s="1055" t="s">
        <v>377</v>
      </c>
      <c r="G126" s="1055" t="s">
        <v>540</v>
      </c>
      <c r="H126" s="1056"/>
      <c r="I126" s="1056"/>
      <c r="J126" s="1055" t="s">
        <v>540</v>
      </c>
      <c r="K126" s="1055" t="s">
        <v>940</v>
      </c>
      <c r="L126" s="1055" t="s">
        <v>542</v>
      </c>
      <c r="M126" s="1055" t="s">
        <v>543</v>
      </c>
      <c r="N126" s="1055" t="s">
        <v>945</v>
      </c>
      <c r="O126" s="1055" t="s">
        <v>942</v>
      </c>
      <c r="P126" s="1057" t="str">
        <f>IFERROR(__xludf.DUMMYFUNCTION("IFERROR(
  TEXT(
    DATE(
      INDEX(SPLIT(O126,"" ""),3),
      VLOOKUP(INDEX(SPLIT(O126,"" ""),1),{""jan."",1;""Feb"",2;""mar."",3;""Apr"",4;""May"",5;""jun."",6;""jul."",7;""Aug"",8;""Sep"",9;""Oct"",10;""nov."",11;""Dec"",12},2,FALSE),
      INDEX(S"&amp;"PLIT(O126,"" ""),2)
    ),
    ""dd/mm/yyyy""
  ),
"""")"),"21/05/2026")</f>
        <v>21/05/2026</v>
      </c>
    </row>
    <row r="127">
      <c r="A127" s="1054" t="s">
        <v>946</v>
      </c>
      <c r="B127" s="1054" t="s">
        <v>947</v>
      </c>
      <c r="C127" s="1058"/>
      <c r="D127" s="1058"/>
      <c r="E127" s="1056"/>
      <c r="F127" s="1055" t="s">
        <v>377</v>
      </c>
      <c r="G127" s="1055" t="s">
        <v>540</v>
      </c>
      <c r="H127" s="1056"/>
      <c r="I127" s="1056"/>
      <c r="J127" s="1055" t="s">
        <v>540</v>
      </c>
      <c r="K127" s="1055" t="s">
        <v>940</v>
      </c>
      <c r="L127" s="1055" t="s">
        <v>542</v>
      </c>
      <c r="M127" s="1055" t="s">
        <v>543</v>
      </c>
      <c r="N127" s="1055" t="s">
        <v>948</v>
      </c>
      <c r="O127" s="1055" t="s">
        <v>942</v>
      </c>
      <c r="P127" s="1057" t="str">
        <f>IFERROR(__xludf.DUMMYFUNCTION("IFERROR(
  TEXT(
    DATE(
      INDEX(SPLIT(O127,"" ""),3),
      VLOOKUP(INDEX(SPLIT(O127,"" ""),1),{""jan."",1;""Feb"",2;""mar."",3;""Apr"",4;""May"",5;""jun."",6;""jul."",7;""Aug"",8;""Sep"",9;""Oct"",10;""nov."",11;""Dec"",12},2,FALSE),
      INDEX(S"&amp;"PLIT(O127,"" ""),2)
    ),
    ""dd/mm/yyyy""
  ),
"""")"),"21/05/2026")</f>
        <v>21/05/2026</v>
      </c>
    </row>
    <row r="128">
      <c r="A128" s="1054" t="s">
        <v>949</v>
      </c>
      <c r="B128" s="1054" t="s">
        <v>950</v>
      </c>
      <c r="C128" s="1058"/>
      <c r="D128" s="1058"/>
      <c r="E128" s="1056"/>
      <c r="F128" s="1055" t="s">
        <v>377</v>
      </c>
      <c r="G128" s="1055" t="s">
        <v>540</v>
      </c>
      <c r="H128" s="1056"/>
      <c r="I128" s="1056"/>
      <c r="J128" s="1055" t="s">
        <v>540</v>
      </c>
      <c r="K128" s="1055" t="s">
        <v>940</v>
      </c>
      <c r="L128" s="1055" t="s">
        <v>542</v>
      </c>
      <c r="M128" s="1055" t="s">
        <v>543</v>
      </c>
      <c r="N128" s="1055" t="s">
        <v>951</v>
      </c>
      <c r="O128" s="1055" t="s">
        <v>942</v>
      </c>
      <c r="P128" s="1057" t="str">
        <f>IFERROR(__xludf.DUMMYFUNCTION("IFERROR(
  TEXT(
    DATE(
      INDEX(SPLIT(O128,"" ""),3),
      VLOOKUP(INDEX(SPLIT(O128,"" ""),1),{""jan."",1;""Feb"",2;""mar."",3;""Apr"",4;""May"",5;""jun."",6;""jul."",7;""Aug"",8;""Sep"",9;""Oct"",10;""nov."",11;""Dec"",12},2,FALSE),
      INDEX(S"&amp;"PLIT(O128,"" ""),2)
    ),
    ""dd/mm/yyyy""
  ),
"""")"),"21/05/2026")</f>
        <v>21/05/2026</v>
      </c>
    </row>
    <row r="129">
      <c r="A129" s="1054" t="s">
        <v>952</v>
      </c>
      <c r="B129" s="1054" t="s">
        <v>953</v>
      </c>
      <c r="C129" s="1058"/>
      <c r="D129" s="1058"/>
      <c r="E129" s="1056"/>
      <c r="F129" s="1055" t="s">
        <v>377</v>
      </c>
      <c r="G129" s="1055" t="s">
        <v>540</v>
      </c>
      <c r="H129" s="1056"/>
      <c r="I129" s="1056"/>
      <c r="J129" s="1055" t="s">
        <v>540</v>
      </c>
      <c r="K129" s="1055" t="s">
        <v>940</v>
      </c>
      <c r="L129" s="1055" t="s">
        <v>542</v>
      </c>
      <c r="M129" s="1055" t="s">
        <v>543</v>
      </c>
      <c r="N129" s="1055" t="s">
        <v>954</v>
      </c>
      <c r="O129" s="1055" t="s">
        <v>942</v>
      </c>
      <c r="P129" s="1057" t="str">
        <f>IFERROR(__xludf.DUMMYFUNCTION("IFERROR(
  TEXT(
    DATE(
      INDEX(SPLIT(O129,"" ""),3),
      VLOOKUP(INDEX(SPLIT(O129,"" ""),1),{""jan."",1;""Feb"",2;""mar."",3;""Apr"",4;""May"",5;""jun."",6;""jul."",7;""Aug"",8;""Sep"",9;""Oct"",10;""nov."",11;""Dec"",12},2,FALSE),
      INDEX(S"&amp;"PLIT(O129,"" ""),2)
    ),
    ""dd/mm/yyyy""
  ),
"""")"),"21/05/2026")</f>
        <v>21/05/2026</v>
      </c>
    </row>
    <row r="130">
      <c r="A130" s="1054" t="s">
        <v>955</v>
      </c>
      <c r="B130" s="1054" t="s">
        <v>956</v>
      </c>
      <c r="C130" s="1058"/>
      <c r="D130" s="1058"/>
      <c r="E130" s="1056"/>
      <c r="F130" s="1055" t="s">
        <v>377</v>
      </c>
      <c r="G130" s="1055" t="s">
        <v>540</v>
      </c>
      <c r="H130" s="1056"/>
      <c r="I130" s="1056"/>
      <c r="J130" s="1055" t="s">
        <v>540</v>
      </c>
      <c r="K130" s="1055" t="s">
        <v>940</v>
      </c>
      <c r="L130" s="1055" t="s">
        <v>542</v>
      </c>
      <c r="M130" s="1055" t="s">
        <v>543</v>
      </c>
      <c r="N130" s="1055" t="s">
        <v>957</v>
      </c>
      <c r="O130" s="1055" t="s">
        <v>942</v>
      </c>
      <c r="P130" s="1057" t="str">
        <f>IFERROR(__xludf.DUMMYFUNCTION("IFERROR(
  TEXT(
    DATE(
      INDEX(SPLIT(O130,"" ""),3),
      VLOOKUP(INDEX(SPLIT(O130,"" ""),1),{""jan."",1;""Feb"",2;""mar."",3;""Apr"",4;""May"",5;""jun."",6;""jul."",7;""Aug"",8;""Sep"",9;""Oct"",10;""nov."",11;""Dec"",12},2,FALSE),
      INDEX(S"&amp;"PLIT(O130,"" ""),2)
    ),
    ""dd/mm/yyyy""
  ),
"""")"),"21/05/2026")</f>
        <v>21/05/2026</v>
      </c>
    </row>
    <row r="131">
      <c r="A131" s="1054" t="s">
        <v>958</v>
      </c>
      <c r="B131" s="1054" t="s">
        <v>959</v>
      </c>
      <c r="C131" s="1058"/>
      <c r="D131" s="1058"/>
      <c r="E131" s="1056"/>
      <c r="F131" s="1055" t="s">
        <v>377</v>
      </c>
      <c r="G131" s="1055" t="s">
        <v>540</v>
      </c>
      <c r="H131" s="1056"/>
      <c r="I131" s="1056"/>
      <c r="J131" s="1055" t="s">
        <v>540</v>
      </c>
      <c r="K131" s="1055" t="s">
        <v>940</v>
      </c>
      <c r="L131" s="1055" t="s">
        <v>542</v>
      </c>
      <c r="M131" s="1055" t="s">
        <v>543</v>
      </c>
      <c r="N131" s="1055" t="s">
        <v>765</v>
      </c>
      <c r="O131" s="1055" t="s">
        <v>942</v>
      </c>
      <c r="P131" s="1057" t="str">
        <f>IFERROR(__xludf.DUMMYFUNCTION("IFERROR(
  TEXT(
    DATE(
      INDEX(SPLIT(O131,"" ""),3),
      VLOOKUP(INDEX(SPLIT(O131,"" ""),1),{""jan."",1;""Feb"",2;""mar."",3;""Apr"",4;""May"",5;""jun."",6;""jul."",7;""Aug"",8;""Sep"",9;""Oct"",10;""nov."",11;""Dec"",12},2,FALSE),
      INDEX(S"&amp;"PLIT(O131,"" ""),2)
    ),
    ""dd/mm/yyyy""
  ),
"""")"),"21/05/2026")</f>
        <v>21/05/2026</v>
      </c>
    </row>
    <row r="132">
      <c r="A132" s="1054" t="s">
        <v>960</v>
      </c>
      <c r="B132" s="1054" t="s">
        <v>961</v>
      </c>
      <c r="C132" s="1058"/>
      <c r="D132" s="1058"/>
      <c r="E132" s="1056"/>
      <c r="F132" s="1055" t="s">
        <v>377</v>
      </c>
      <c r="G132" s="1055" t="s">
        <v>540</v>
      </c>
      <c r="H132" s="1056"/>
      <c r="I132" s="1056"/>
      <c r="J132" s="1055" t="s">
        <v>540</v>
      </c>
      <c r="K132" s="1055" t="s">
        <v>940</v>
      </c>
      <c r="L132" s="1055" t="s">
        <v>542</v>
      </c>
      <c r="M132" s="1055" t="s">
        <v>543</v>
      </c>
      <c r="N132" s="1055" t="s">
        <v>962</v>
      </c>
      <c r="O132" s="1055" t="s">
        <v>942</v>
      </c>
      <c r="P132" s="1057" t="str">
        <f>IFERROR(__xludf.DUMMYFUNCTION("IFERROR(
  TEXT(
    DATE(
      INDEX(SPLIT(O132,"" ""),3),
      VLOOKUP(INDEX(SPLIT(O132,"" ""),1),{""jan."",1;""Feb"",2;""mar."",3;""Apr"",4;""May"",5;""jun."",6;""jul."",7;""Aug"",8;""Sep"",9;""Oct"",10;""nov."",11;""Dec"",12},2,FALSE),
      INDEX(S"&amp;"PLIT(O132,"" ""),2)
    ),
    ""dd/mm/yyyy""
  ),
"""")"),"21/05/2026")</f>
        <v>21/05/2026</v>
      </c>
    </row>
    <row r="133">
      <c r="A133" s="1054" t="s">
        <v>963</v>
      </c>
      <c r="B133" s="1054" t="s">
        <v>964</v>
      </c>
      <c r="C133" s="1058"/>
      <c r="D133" s="1058"/>
      <c r="E133" s="1056"/>
      <c r="F133" s="1055" t="s">
        <v>377</v>
      </c>
      <c r="G133" s="1055" t="s">
        <v>540</v>
      </c>
      <c r="H133" s="1056"/>
      <c r="I133" s="1056"/>
      <c r="J133" s="1055" t="s">
        <v>540</v>
      </c>
      <c r="K133" s="1055" t="s">
        <v>940</v>
      </c>
      <c r="L133" s="1055" t="s">
        <v>542</v>
      </c>
      <c r="M133" s="1055" t="s">
        <v>543</v>
      </c>
      <c r="N133" s="1055" t="s">
        <v>965</v>
      </c>
      <c r="O133" s="1055" t="s">
        <v>942</v>
      </c>
      <c r="P133" s="1057" t="str">
        <f>IFERROR(__xludf.DUMMYFUNCTION("IFERROR(
  TEXT(
    DATE(
      INDEX(SPLIT(O133,"" ""),3),
      VLOOKUP(INDEX(SPLIT(O133,"" ""),1),{""jan."",1;""Feb"",2;""mar."",3;""Apr"",4;""May"",5;""jun."",6;""jul."",7;""Aug"",8;""Sep"",9;""Oct"",10;""nov."",11;""Dec"",12},2,FALSE),
      INDEX(S"&amp;"PLIT(O133,"" ""),2)
    ),
    ""dd/mm/yyyy""
  ),
"""")"),"21/05/2026")</f>
        <v>21/05/2026</v>
      </c>
    </row>
    <row r="134">
      <c r="A134" s="1054" t="s">
        <v>966</v>
      </c>
      <c r="B134" s="1054" t="s">
        <v>967</v>
      </c>
      <c r="C134" s="1058"/>
      <c r="D134" s="1058"/>
      <c r="E134" s="1056"/>
      <c r="F134" s="1055" t="s">
        <v>377</v>
      </c>
      <c r="G134" s="1055" t="s">
        <v>540</v>
      </c>
      <c r="H134" s="1056"/>
      <c r="I134" s="1056"/>
      <c r="J134" s="1055" t="s">
        <v>540</v>
      </c>
      <c r="K134" s="1055" t="s">
        <v>940</v>
      </c>
      <c r="L134" s="1055" t="s">
        <v>542</v>
      </c>
      <c r="M134" s="1055" t="s">
        <v>543</v>
      </c>
      <c r="N134" s="1055" t="s">
        <v>968</v>
      </c>
      <c r="O134" s="1055" t="s">
        <v>942</v>
      </c>
      <c r="P134" s="1057" t="str">
        <f>IFERROR(__xludf.DUMMYFUNCTION("IFERROR(
  TEXT(
    DATE(
      INDEX(SPLIT(O134,"" ""),3),
      VLOOKUP(INDEX(SPLIT(O134,"" ""),1),{""jan."",1;""Feb"",2;""mar."",3;""Apr"",4;""May"",5;""jun."",6;""jul."",7;""Aug"",8;""Sep"",9;""Oct"",10;""nov."",11;""Dec"",12},2,FALSE),
      INDEX(S"&amp;"PLIT(O134,"" ""),2)
    ),
    ""dd/mm/yyyy""
  ),
"""")"),"21/05/2026")</f>
        <v>21/05/2026</v>
      </c>
    </row>
    <row r="135">
      <c r="A135" s="1054" t="s">
        <v>969</v>
      </c>
      <c r="B135" s="1054" t="s">
        <v>970</v>
      </c>
      <c r="C135" s="1055" t="s">
        <v>538</v>
      </c>
      <c r="D135" s="1055" t="s">
        <v>539</v>
      </c>
      <c r="E135" s="1056"/>
      <c r="F135" s="1055" t="s">
        <v>377</v>
      </c>
      <c r="G135" s="1055" t="s">
        <v>540</v>
      </c>
      <c r="H135" s="1056"/>
      <c r="I135" s="1056"/>
      <c r="J135" s="1055" t="s">
        <v>540</v>
      </c>
      <c r="K135" s="1055" t="s">
        <v>541</v>
      </c>
      <c r="L135" s="1055" t="s">
        <v>542</v>
      </c>
      <c r="M135" s="1055" t="s">
        <v>543</v>
      </c>
      <c r="N135" s="1055" t="s">
        <v>971</v>
      </c>
      <c r="O135" s="1055" t="s">
        <v>972</v>
      </c>
      <c r="P135" s="1057" t="str">
        <f>IFERROR(__xludf.DUMMYFUNCTION("IFERROR(
  TEXT(
    DATE(
      INDEX(SPLIT(O135,"" ""),3),
      VLOOKUP(INDEX(SPLIT(O135,"" ""),1),{""jan."",1;""Feb"",2;""mar."",3;""Apr"",4;""May"",5;""jun."",6;""jul."",7;""Aug"",8;""Sep"",9;""Oct"",10;""nov."",11;""Dec"",12},2,FALSE),
      INDEX(S"&amp;"PLIT(O135,"" ""),2)
    ),
    ""dd/mm/yyyy""
  ),
"""")"),"15/05/2026")</f>
        <v>15/05/2026</v>
      </c>
    </row>
    <row r="136">
      <c r="A136" s="1054" t="s">
        <v>973</v>
      </c>
      <c r="B136" s="1054" t="s">
        <v>974</v>
      </c>
      <c r="C136" s="1055" t="s">
        <v>538</v>
      </c>
      <c r="D136" s="1055" t="s">
        <v>539</v>
      </c>
      <c r="E136" s="1056"/>
      <c r="F136" s="1055" t="s">
        <v>377</v>
      </c>
      <c r="G136" s="1055" t="s">
        <v>540</v>
      </c>
      <c r="H136" s="1056"/>
      <c r="I136" s="1056"/>
      <c r="J136" s="1055" t="s">
        <v>540</v>
      </c>
      <c r="K136" s="1055" t="s">
        <v>541</v>
      </c>
      <c r="L136" s="1055" t="s">
        <v>542</v>
      </c>
      <c r="M136" s="1055" t="s">
        <v>543</v>
      </c>
      <c r="N136" s="1055" t="s">
        <v>975</v>
      </c>
      <c r="O136" s="1055" t="s">
        <v>976</v>
      </c>
      <c r="P136" s="1057" t="str">
        <f>IFERROR(__xludf.DUMMYFUNCTION("IFERROR(
  TEXT(
    DATE(
      INDEX(SPLIT(O136,"" ""),3),
      VLOOKUP(INDEX(SPLIT(O136,"" ""),1),{""jan."",1;""Feb"",2;""mar."",3;""Apr"",4;""May"",5;""jun."",6;""jul."",7;""Aug"",8;""Sep"",9;""Oct"",10;""nov."",11;""Dec"",12},2,FALSE),
      INDEX(S"&amp;"PLIT(O136,"" ""),2)
    ),
    ""dd/mm/yyyy""
  ),
"""")"),"15/05/2026")</f>
        <v>15/05/2026</v>
      </c>
    </row>
    <row r="137">
      <c r="A137" s="1054" t="s">
        <v>977</v>
      </c>
      <c r="B137" s="1054" t="s">
        <v>978</v>
      </c>
      <c r="C137" s="1055" t="s">
        <v>538</v>
      </c>
      <c r="D137" s="1055" t="s">
        <v>539</v>
      </c>
      <c r="E137" s="1056"/>
      <c r="F137" s="1055" t="s">
        <v>377</v>
      </c>
      <c r="G137" s="1055" t="s">
        <v>540</v>
      </c>
      <c r="H137" s="1056"/>
      <c r="I137" s="1056"/>
      <c r="J137" s="1055" t="s">
        <v>540</v>
      </c>
      <c r="K137" s="1055" t="s">
        <v>541</v>
      </c>
      <c r="L137" s="1055" t="s">
        <v>542</v>
      </c>
      <c r="M137" s="1055" t="s">
        <v>543</v>
      </c>
      <c r="N137" s="1055" t="s">
        <v>770</v>
      </c>
      <c r="O137" s="1055" t="s">
        <v>972</v>
      </c>
      <c r="P137" s="1057" t="str">
        <f>IFERROR(__xludf.DUMMYFUNCTION("IFERROR(
  TEXT(
    DATE(
      INDEX(SPLIT(O137,"" ""),3),
      VLOOKUP(INDEX(SPLIT(O137,"" ""),1),{""jan."",1;""Feb"",2;""mar."",3;""Apr"",4;""May"",5;""jun."",6;""jul."",7;""Aug"",8;""Sep"",9;""Oct"",10;""nov."",11;""Dec"",12},2,FALSE),
      INDEX(S"&amp;"PLIT(O137,"" ""),2)
    ),
    ""dd/mm/yyyy""
  ),
"""")"),"15/05/2026")</f>
        <v>15/05/2026</v>
      </c>
    </row>
    <row r="138">
      <c r="A138" s="1054" t="s">
        <v>979</v>
      </c>
      <c r="B138" s="1054" t="s">
        <v>980</v>
      </c>
      <c r="C138" s="1055" t="s">
        <v>538</v>
      </c>
      <c r="D138" s="1055" t="s">
        <v>539</v>
      </c>
      <c r="E138" s="1056"/>
      <c r="F138" s="1055" t="s">
        <v>377</v>
      </c>
      <c r="G138" s="1055" t="s">
        <v>540</v>
      </c>
      <c r="H138" s="1056"/>
      <c r="I138" s="1056"/>
      <c r="J138" s="1055" t="s">
        <v>540</v>
      </c>
      <c r="K138" s="1055" t="s">
        <v>541</v>
      </c>
      <c r="L138" s="1055" t="s">
        <v>542</v>
      </c>
      <c r="M138" s="1055" t="s">
        <v>543</v>
      </c>
      <c r="N138" s="1055" t="s">
        <v>981</v>
      </c>
      <c r="O138" s="1055" t="s">
        <v>972</v>
      </c>
      <c r="P138" s="1057" t="str">
        <f>IFERROR(__xludf.DUMMYFUNCTION("IFERROR(
  TEXT(
    DATE(
      INDEX(SPLIT(O138,"" ""),3),
      VLOOKUP(INDEX(SPLIT(O138,"" ""),1),{""jan."",1;""Feb"",2;""mar."",3;""Apr"",4;""May"",5;""jun."",6;""jul."",7;""Aug"",8;""Sep"",9;""Oct"",10;""nov."",11;""Dec"",12},2,FALSE),
      INDEX(S"&amp;"PLIT(O138,"" ""),2)
    ),
    ""dd/mm/yyyy""
  ),
"""")"),"15/05/2026")</f>
        <v>15/05/2026</v>
      </c>
    </row>
    <row r="139">
      <c r="A139" s="1054" t="s">
        <v>982</v>
      </c>
      <c r="B139" s="1054" t="s">
        <v>983</v>
      </c>
      <c r="C139" s="1055" t="s">
        <v>538</v>
      </c>
      <c r="D139" s="1055" t="s">
        <v>539</v>
      </c>
      <c r="E139" s="1056"/>
      <c r="F139" s="1055" t="s">
        <v>400</v>
      </c>
      <c r="G139" s="1055" t="s">
        <v>540</v>
      </c>
      <c r="H139" s="1056"/>
      <c r="I139" s="1056"/>
      <c r="J139" s="1055" t="s">
        <v>540</v>
      </c>
      <c r="K139" s="1055" t="s">
        <v>541</v>
      </c>
      <c r="L139" s="1055" t="s">
        <v>540</v>
      </c>
      <c r="M139" s="1055" t="s">
        <v>540</v>
      </c>
      <c r="N139" s="1055" t="s">
        <v>984</v>
      </c>
      <c r="O139" s="1057">
        <v>46193.89166666667</v>
      </c>
      <c r="P139" s="1057" t="str">
        <f>IFERROR(__xludf.DUMMYFUNCTION("IFERROR(
  TEXT(
    DATE(
      INDEX(SPLIT(O139,"" ""),3),
      VLOOKUP(INDEX(SPLIT(O139,"" ""),1),{""jan."",1;""Feb"",2;""mar."",3;""Apr"",4;""May"",5;""jun."",6;""jul."",7;""Aug"",8;""Sep"",9;""Oct"",10;""nov."",11;""Dec"",12},2,FALSE),
      INDEX(S"&amp;"PLIT(O139,"" ""),2)
    ),
    ""dd/mm/yyyy""
  ),
"""")"),"20/06/2026")</f>
        <v>20/06/2026</v>
      </c>
    </row>
    <row r="140">
      <c r="A140" s="1054" t="s">
        <v>985</v>
      </c>
      <c r="B140" s="1054" t="s">
        <v>986</v>
      </c>
      <c r="C140" s="1055" t="s">
        <v>538</v>
      </c>
      <c r="D140" s="1055" t="s">
        <v>539</v>
      </c>
      <c r="E140" s="1056"/>
      <c r="F140" s="1055" t="s">
        <v>387</v>
      </c>
      <c r="G140" s="1055" t="s">
        <v>540</v>
      </c>
      <c r="H140" s="1056"/>
      <c r="I140" s="1056"/>
      <c r="J140" s="1055" t="s">
        <v>540</v>
      </c>
      <c r="K140" s="1055" t="s">
        <v>541</v>
      </c>
      <c r="L140" s="1055" t="s">
        <v>542</v>
      </c>
      <c r="M140" s="1055" t="s">
        <v>543</v>
      </c>
      <c r="N140" s="1055" t="s">
        <v>987</v>
      </c>
      <c r="O140" s="1055" t="s">
        <v>988</v>
      </c>
      <c r="P140" s="1057" t="str">
        <f>IFERROR(__xludf.DUMMYFUNCTION("IFERROR(
  TEXT(
    DATE(
      INDEX(SPLIT(O140,"" ""),3),
      VLOOKUP(INDEX(SPLIT(O140,"" ""),1),{""jan."",1;""Feb"",2;""mar."",3;""Apr"",4;""May"",5;""jun."",6;""jul."",7;""Aug"",8;""Sep"",9;""Oct"",10;""nov."",11;""Dec"",12},2,FALSE),
      INDEX(S"&amp;"PLIT(O140,"" ""),2)
    ),
    ""dd/mm/yyyy""
  ),
"""")"),"26/05/2026")</f>
        <v>26/05/2026</v>
      </c>
    </row>
    <row r="141">
      <c r="A141" s="1054" t="s">
        <v>989</v>
      </c>
      <c r="B141" s="1054" t="s">
        <v>990</v>
      </c>
      <c r="C141" s="1058"/>
      <c r="D141" s="1058"/>
      <c r="E141" s="1056"/>
      <c r="F141" s="1055" t="s">
        <v>377</v>
      </c>
      <c r="G141" s="1055" t="s">
        <v>540</v>
      </c>
      <c r="H141" s="1056"/>
      <c r="I141" s="1056"/>
      <c r="J141" s="1055" t="s">
        <v>540</v>
      </c>
      <c r="K141" s="1055" t="s">
        <v>541</v>
      </c>
      <c r="L141" s="1055" t="s">
        <v>542</v>
      </c>
      <c r="M141" s="1055" t="s">
        <v>543</v>
      </c>
      <c r="N141" s="1055" t="s">
        <v>991</v>
      </c>
      <c r="O141" s="1055" t="s">
        <v>992</v>
      </c>
      <c r="P141" s="1057" t="str">
        <f>IFERROR(__xludf.DUMMYFUNCTION("IFERROR(
  TEXT(
    DATE(
      INDEX(SPLIT(O141,"" ""),3),
      VLOOKUP(INDEX(SPLIT(O141,"" ""),1),{""jan."",1;""Feb"",2;""mar."",3;""Apr"",4;""May"",5;""jun."",6;""jul."",7;""Aug"",8;""Sep"",9;""Oct"",10;""nov."",11;""Dec"",12},2,FALSE),
      INDEX(S"&amp;"PLIT(O141,"" ""),2)
    ),
    ""dd/mm/yyyy""
  ),
"""")"),"15/05/2026")</f>
        <v>15/05/2026</v>
      </c>
    </row>
    <row r="142">
      <c r="A142" s="1054" t="s">
        <v>993</v>
      </c>
      <c r="B142" s="1054" t="s">
        <v>994</v>
      </c>
      <c r="C142" s="1058"/>
      <c r="D142" s="1058"/>
      <c r="E142" s="1056"/>
      <c r="F142" s="1055" t="s">
        <v>377</v>
      </c>
      <c r="G142" s="1055" t="s">
        <v>540</v>
      </c>
      <c r="H142" s="1056"/>
      <c r="I142" s="1056"/>
      <c r="J142" s="1055" t="s">
        <v>540</v>
      </c>
      <c r="K142" s="1055" t="s">
        <v>541</v>
      </c>
      <c r="L142" s="1055" t="s">
        <v>542</v>
      </c>
      <c r="M142" s="1055" t="s">
        <v>543</v>
      </c>
      <c r="N142" s="1055" t="s">
        <v>995</v>
      </c>
      <c r="O142" s="1055" t="s">
        <v>992</v>
      </c>
      <c r="P142" s="1057" t="str">
        <f>IFERROR(__xludf.DUMMYFUNCTION("IFERROR(
  TEXT(
    DATE(
      INDEX(SPLIT(O142,"" ""),3),
      VLOOKUP(INDEX(SPLIT(O142,"" ""),1),{""jan."",1;""Feb"",2;""mar."",3;""Apr"",4;""May"",5;""jun."",6;""jul."",7;""Aug"",8;""Sep"",9;""Oct"",10;""nov."",11;""Dec"",12},2,FALSE),
      INDEX(S"&amp;"PLIT(O142,"" ""),2)
    ),
    ""dd/mm/yyyy""
  ),
"""")"),"15/05/2026")</f>
        <v>15/05/2026</v>
      </c>
    </row>
    <row r="143">
      <c r="A143" s="1054" t="s">
        <v>996</v>
      </c>
      <c r="B143" s="1054" t="s">
        <v>997</v>
      </c>
      <c r="C143" s="1058"/>
      <c r="D143" s="1058"/>
      <c r="E143" s="1056"/>
      <c r="F143" s="1055" t="s">
        <v>377</v>
      </c>
      <c r="G143" s="1055" t="s">
        <v>540</v>
      </c>
      <c r="H143" s="1056"/>
      <c r="I143" s="1056"/>
      <c r="J143" s="1055" t="s">
        <v>540</v>
      </c>
      <c r="K143" s="1055" t="s">
        <v>541</v>
      </c>
      <c r="L143" s="1055" t="s">
        <v>542</v>
      </c>
      <c r="M143" s="1055" t="s">
        <v>543</v>
      </c>
      <c r="N143" s="1055" t="s">
        <v>998</v>
      </c>
      <c r="O143" s="1055" t="s">
        <v>992</v>
      </c>
      <c r="P143" s="1057" t="str">
        <f>IFERROR(__xludf.DUMMYFUNCTION("IFERROR(
  TEXT(
    DATE(
      INDEX(SPLIT(O143,"" ""),3),
      VLOOKUP(INDEX(SPLIT(O143,"" ""),1),{""jan."",1;""Feb"",2;""mar."",3;""Apr"",4;""May"",5;""jun."",6;""jul."",7;""Aug"",8;""Sep"",9;""Oct"",10;""nov."",11;""Dec"",12},2,FALSE),
      INDEX(S"&amp;"PLIT(O143,"" ""),2)
    ),
    ""dd/mm/yyyy""
  ),
"""")"),"15/05/2026")</f>
        <v>15/05/2026</v>
      </c>
    </row>
    <row r="144">
      <c r="A144" s="1054" t="s">
        <v>999</v>
      </c>
      <c r="B144" s="1054" t="s">
        <v>1000</v>
      </c>
      <c r="C144" s="1058"/>
      <c r="D144" s="1058"/>
      <c r="E144" s="1056"/>
      <c r="F144" s="1055" t="s">
        <v>377</v>
      </c>
      <c r="G144" s="1055" t="s">
        <v>540</v>
      </c>
      <c r="H144" s="1056"/>
      <c r="I144" s="1056"/>
      <c r="J144" s="1055" t="s">
        <v>540</v>
      </c>
      <c r="K144" s="1055" t="s">
        <v>541</v>
      </c>
      <c r="L144" s="1055" t="s">
        <v>542</v>
      </c>
      <c r="M144" s="1055" t="s">
        <v>543</v>
      </c>
      <c r="N144" s="1055" t="s">
        <v>817</v>
      </c>
      <c r="O144" s="1055" t="s">
        <v>992</v>
      </c>
      <c r="P144" s="1057" t="str">
        <f>IFERROR(__xludf.DUMMYFUNCTION("IFERROR(
  TEXT(
    DATE(
      INDEX(SPLIT(O144,"" ""),3),
      VLOOKUP(INDEX(SPLIT(O144,"" ""),1),{""jan."",1;""Feb"",2;""mar."",3;""Apr"",4;""May"",5;""jun."",6;""jul."",7;""Aug"",8;""Sep"",9;""Oct"",10;""nov."",11;""Dec"",12},2,FALSE),
      INDEX(S"&amp;"PLIT(O144,"" ""),2)
    ),
    ""dd/mm/yyyy""
  ),
"""")"),"15/05/2026")</f>
        <v>15/05/2026</v>
      </c>
    </row>
    <row r="145">
      <c r="A145" s="1054" t="s">
        <v>1001</v>
      </c>
      <c r="B145" s="1054" t="s">
        <v>1002</v>
      </c>
      <c r="C145" s="1058"/>
      <c r="D145" s="1058"/>
      <c r="E145" s="1056"/>
      <c r="F145" s="1055" t="s">
        <v>400</v>
      </c>
      <c r="G145" s="1055" t="s">
        <v>540</v>
      </c>
      <c r="H145" s="1056"/>
      <c r="I145" s="1056"/>
      <c r="J145" s="1055" t="s">
        <v>540</v>
      </c>
      <c r="K145" s="1055" t="s">
        <v>541</v>
      </c>
      <c r="L145" s="1055" t="s">
        <v>542</v>
      </c>
      <c r="M145" s="1055" t="s">
        <v>543</v>
      </c>
      <c r="N145" s="1055" t="s">
        <v>1003</v>
      </c>
      <c r="O145" s="1057">
        <v>46193.822916666664</v>
      </c>
      <c r="P145" s="1057" t="str">
        <f>IFERROR(__xludf.DUMMYFUNCTION("IFERROR(
  TEXT(
    DATE(
      INDEX(SPLIT(O145,"" ""),3),
      VLOOKUP(INDEX(SPLIT(O145,"" ""),1),{""jan."",1;""Feb"",2;""mar."",3;""Apr"",4;""May"",5;""jun."",6;""jul."",7;""Aug"",8;""Sep"",9;""Oct"",10;""nov."",11;""Dec"",12},2,FALSE),
      INDEX(S"&amp;"PLIT(O145,"" ""),2)
    ),
    ""dd/mm/yyyy""
  ),
"""")"),"20/06/2026")</f>
        <v>20/06/2026</v>
      </c>
    </row>
    <row r="146">
      <c r="A146" s="1054" t="s">
        <v>1004</v>
      </c>
      <c r="B146" s="1054" t="s">
        <v>1005</v>
      </c>
      <c r="C146" s="1058"/>
      <c r="D146" s="1058"/>
      <c r="E146" s="1056"/>
      <c r="F146" s="1055" t="s">
        <v>387</v>
      </c>
      <c r="G146" s="1055" t="s">
        <v>540</v>
      </c>
      <c r="H146" s="1056"/>
      <c r="I146" s="1056"/>
      <c r="J146" s="1055" t="s">
        <v>540</v>
      </c>
      <c r="K146" s="1055" t="s">
        <v>541</v>
      </c>
      <c r="L146" s="1055" t="s">
        <v>542</v>
      </c>
      <c r="M146" s="1055" t="s">
        <v>543</v>
      </c>
      <c r="N146" s="1055" t="s">
        <v>1006</v>
      </c>
      <c r="O146" s="1055" t="s">
        <v>1007</v>
      </c>
      <c r="P146" s="1057" t="str">
        <f>IFERROR(__xludf.DUMMYFUNCTION("IFERROR(
  TEXT(
    DATE(
      INDEX(SPLIT(O146,"" ""),3),
      VLOOKUP(INDEX(SPLIT(O146,"" ""),1),{""jan."",1;""Feb"",2;""mar."",3;""Apr"",4;""May"",5;""jun."",6;""jul."",7;""Aug"",8;""Sep"",9;""Oct"",10;""nov."",11;""Dec"",12},2,FALSE),
      INDEX(S"&amp;"PLIT(O146,"" ""),2)
    ),
    ""dd/mm/yyyy""
  ),
"""")"),"26/05/2026")</f>
        <v>26/05/2026</v>
      </c>
    </row>
    <row r="147">
      <c r="A147" s="1059"/>
      <c r="B147" s="1059"/>
      <c r="C147" s="1056"/>
      <c r="D147" s="1056"/>
      <c r="E147" s="1056"/>
      <c r="F147" s="1055"/>
      <c r="G147" s="1055"/>
      <c r="H147" s="1056"/>
      <c r="I147" s="1056"/>
      <c r="J147" s="1055"/>
      <c r="K147" s="1055"/>
      <c r="L147" s="1055"/>
      <c r="M147" s="1055"/>
      <c r="N147" s="1055"/>
      <c r="O147" s="1057"/>
    </row>
    <row r="148">
      <c r="A148" s="1059"/>
      <c r="B148" s="1059"/>
      <c r="C148" s="1056"/>
      <c r="D148" s="1056"/>
      <c r="E148" s="1056"/>
      <c r="F148" s="1055"/>
      <c r="G148" s="1055"/>
      <c r="H148" s="1056"/>
      <c r="I148" s="1056"/>
      <c r="J148" s="1055"/>
      <c r="K148" s="1055"/>
      <c r="L148" s="1055"/>
      <c r="M148" s="1055"/>
      <c r="N148" s="1055"/>
      <c r="O148" s="1057"/>
    </row>
    <row r="149">
      <c r="A149" s="1059"/>
      <c r="B149" s="1059"/>
      <c r="C149" s="1056"/>
      <c r="D149" s="1056"/>
      <c r="E149" s="1056"/>
      <c r="F149" s="1055"/>
      <c r="G149" s="1055"/>
      <c r="H149" s="1056"/>
      <c r="I149" s="1056"/>
      <c r="J149" s="1055"/>
      <c r="K149" s="1055"/>
      <c r="L149" s="1055"/>
      <c r="M149" s="1055"/>
      <c r="N149" s="1055"/>
      <c r="O149" s="1057"/>
    </row>
    <row r="150">
      <c r="A150" s="1059"/>
      <c r="B150" s="1059"/>
      <c r="C150" s="1056"/>
      <c r="D150" s="1056"/>
      <c r="E150" s="1056"/>
      <c r="F150" s="1055"/>
      <c r="G150" s="1055"/>
      <c r="H150" s="1056"/>
      <c r="I150" s="1056"/>
      <c r="J150" s="1055"/>
      <c r="K150" s="1055"/>
      <c r="L150" s="1055"/>
      <c r="M150" s="1055"/>
      <c r="N150" s="1055"/>
      <c r="O150" s="1055"/>
    </row>
    <row r="151">
      <c r="A151" s="1059"/>
      <c r="B151" s="1059"/>
      <c r="C151" s="1056"/>
      <c r="D151" s="1056"/>
      <c r="E151" s="1056"/>
      <c r="F151" s="1055"/>
      <c r="G151" s="1055"/>
      <c r="H151" s="1056"/>
      <c r="I151" s="1056"/>
      <c r="J151" s="1055"/>
      <c r="K151" s="1055"/>
      <c r="L151" s="1055"/>
      <c r="M151" s="1055"/>
      <c r="N151" s="1055"/>
      <c r="O151" s="1057"/>
    </row>
    <row r="152">
      <c r="A152" s="1059"/>
      <c r="B152" s="1059"/>
      <c r="C152" s="1056"/>
      <c r="D152" s="1056"/>
      <c r="E152" s="1056"/>
      <c r="F152" s="1055"/>
      <c r="G152" s="1055"/>
      <c r="H152" s="1056"/>
      <c r="I152" s="1056"/>
      <c r="J152" s="1055"/>
      <c r="K152" s="1055"/>
      <c r="L152" s="1055"/>
      <c r="M152" s="1055"/>
      <c r="N152" s="1055"/>
      <c r="O152" s="1055"/>
    </row>
    <row r="153">
      <c r="A153" s="1059"/>
      <c r="B153" s="1059"/>
      <c r="C153" s="1056"/>
      <c r="D153" s="1056"/>
      <c r="E153" s="1056"/>
      <c r="F153" s="1055"/>
      <c r="G153" s="1055"/>
      <c r="H153" s="1056"/>
      <c r="I153" s="1056"/>
      <c r="J153" s="1055"/>
      <c r="K153" s="1055"/>
      <c r="L153" s="1055"/>
      <c r="M153" s="1055"/>
      <c r="N153" s="1055"/>
      <c r="O153" s="1057"/>
    </row>
    <row r="154">
      <c r="A154" s="1059"/>
      <c r="B154" s="1059"/>
      <c r="C154" s="1056"/>
      <c r="D154" s="1056"/>
      <c r="E154" s="1056"/>
      <c r="F154" s="1055"/>
      <c r="G154" s="1055"/>
      <c r="H154" s="1056"/>
      <c r="I154" s="1056"/>
      <c r="J154" s="1055"/>
      <c r="K154" s="1055"/>
      <c r="L154" s="1055"/>
      <c r="M154" s="1055"/>
      <c r="N154" s="1055"/>
      <c r="O154" s="1057"/>
    </row>
    <row r="155">
      <c r="A155" s="1059"/>
      <c r="B155" s="1059"/>
      <c r="C155" s="1056"/>
      <c r="D155" s="1056"/>
      <c r="E155" s="1056"/>
      <c r="F155" s="1055"/>
      <c r="G155" s="1055"/>
      <c r="H155" s="1056"/>
      <c r="I155" s="1056"/>
      <c r="J155" s="1055"/>
      <c r="K155" s="1055"/>
      <c r="L155" s="1055"/>
      <c r="M155" s="1055"/>
      <c r="N155" s="1055"/>
      <c r="O155" s="1057"/>
    </row>
    <row r="156">
      <c r="A156" s="1059"/>
      <c r="B156" s="1059"/>
      <c r="C156" s="1056"/>
      <c r="D156" s="1056"/>
      <c r="E156" s="1056"/>
      <c r="F156" s="1055"/>
      <c r="G156" s="1055"/>
      <c r="H156" s="1056"/>
      <c r="I156" s="1056"/>
      <c r="J156" s="1055"/>
      <c r="K156" s="1055"/>
      <c r="L156" s="1055"/>
      <c r="M156" s="1055"/>
      <c r="N156" s="1055"/>
      <c r="O156" s="1057"/>
    </row>
    <row r="157">
      <c r="A157" s="1059"/>
      <c r="B157" s="1059"/>
      <c r="C157" s="1056"/>
      <c r="D157" s="1056"/>
      <c r="E157" s="1056"/>
      <c r="F157" s="1055"/>
      <c r="G157" s="1055"/>
      <c r="H157" s="1056"/>
      <c r="I157" s="1056"/>
      <c r="J157" s="1055"/>
      <c r="K157" s="1055"/>
      <c r="L157" s="1055"/>
      <c r="M157" s="1055"/>
      <c r="N157" s="1055"/>
      <c r="O157" s="1057"/>
    </row>
    <row r="158">
      <c r="A158" s="1059"/>
      <c r="B158" s="1059"/>
      <c r="C158" s="1056"/>
      <c r="D158" s="1056"/>
      <c r="E158" s="1056"/>
      <c r="F158" s="1055"/>
      <c r="G158" s="1055"/>
      <c r="H158" s="1056"/>
      <c r="I158" s="1056"/>
      <c r="J158" s="1055"/>
      <c r="K158" s="1055"/>
      <c r="L158" s="1055"/>
      <c r="M158" s="1055"/>
      <c r="N158" s="1055"/>
      <c r="O158" s="1057"/>
    </row>
    <row r="159">
      <c r="A159" s="1059"/>
      <c r="B159" s="1059"/>
      <c r="C159" s="1056"/>
      <c r="D159" s="1056"/>
      <c r="E159" s="1056"/>
      <c r="F159" s="1055"/>
      <c r="G159" s="1055"/>
      <c r="H159" s="1056"/>
      <c r="I159" s="1056"/>
      <c r="J159" s="1055"/>
      <c r="K159" s="1055"/>
      <c r="L159" s="1055"/>
      <c r="M159" s="1055"/>
      <c r="N159" s="1055"/>
      <c r="O159" s="1057"/>
    </row>
    <row r="160">
      <c r="A160" s="1059"/>
      <c r="B160" s="1059"/>
      <c r="C160" s="1056"/>
      <c r="D160" s="1056"/>
      <c r="E160" s="1056"/>
      <c r="F160" s="1055"/>
      <c r="G160" s="1055"/>
      <c r="H160" s="1056"/>
      <c r="I160" s="1056"/>
      <c r="J160" s="1055"/>
      <c r="K160" s="1055"/>
      <c r="L160" s="1055"/>
      <c r="M160" s="1055"/>
      <c r="N160" s="1055"/>
      <c r="O160" s="1057"/>
    </row>
    <row r="161">
      <c r="A161" s="1059"/>
      <c r="B161" s="1059"/>
      <c r="C161" s="1056"/>
      <c r="D161" s="1056"/>
      <c r="E161" s="1056"/>
      <c r="F161" s="1055"/>
      <c r="G161" s="1055"/>
      <c r="H161" s="1056"/>
      <c r="I161" s="1056"/>
      <c r="J161" s="1055"/>
      <c r="K161" s="1055"/>
      <c r="L161" s="1055"/>
      <c r="M161" s="1055"/>
      <c r="N161" s="1055"/>
      <c r="O161" s="1057"/>
    </row>
    <row r="162">
      <c r="A162" s="1059"/>
      <c r="B162" s="1059"/>
      <c r="C162" s="1056"/>
      <c r="D162" s="1056"/>
      <c r="E162" s="1056"/>
      <c r="F162" s="1055"/>
      <c r="G162" s="1055"/>
      <c r="H162" s="1056"/>
      <c r="I162" s="1056"/>
      <c r="J162" s="1055"/>
      <c r="K162" s="1055"/>
      <c r="L162" s="1055"/>
      <c r="M162" s="1055"/>
      <c r="N162" s="1055"/>
      <c r="O162" s="1057"/>
    </row>
    <row r="163">
      <c r="A163" s="1059"/>
      <c r="B163" s="1059"/>
      <c r="C163" s="1056"/>
      <c r="D163" s="1056"/>
      <c r="E163" s="1056"/>
      <c r="F163" s="1055"/>
      <c r="G163" s="1055"/>
      <c r="H163" s="1056"/>
      <c r="I163" s="1056"/>
      <c r="J163" s="1055"/>
      <c r="K163" s="1055"/>
      <c r="L163" s="1055"/>
      <c r="M163" s="1055"/>
      <c r="N163" s="1055"/>
      <c r="O163" s="1057"/>
    </row>
    <row r="164">
      <c r="A164" s="1059"/>
      <c r="B164" s="1059"/>
      <c r="C164" s="1056"/>
      <c r="D164" s="1056"/>
      <c r="E164" s="1056"/>
      <c r="F164" s="1055"/>
      <c r="G164" s="1055"/>
      <c r="H164" s="1056"/>
      <c r="I164" s="1056"/>
      <c r="J164" s="1055"/>
      <c r="K164" s="1055"/>
      <c r="L164" s="1055"/>
      <c r="M164" s="1055"/>
      <c r="N164" s="1055"/>
      <c r="O164" s="1057"/>
    </row>
    <row r="165">
      <c r="A165" s="1059"/>
      <c r="B165" s="1059"/>
      <c r="C165" s="1056"/>
      <c r="D165" s="1056"/>
      <c r="E165" s="1056"/>
      <c r="F165" s="1055"/>
      <c r="G165" s="1055"/>
      <c r="H165" s="1056"/>
      <c r="I165" s="1056"/>
      <c r="J165" s="1055"/>
      <c r="K165" s="1055"/>
      <c r="L165" s="1055"/>
      <c r="M165" s="1055"/>
      <c r="N165" s="1055"/>
      <c r="O165" s="1057"/>
    </row>
    <row r="166">
      <c r="A166" s="1059"/>
      <c r="B166" s="1059"/>
      <c r="C166" s="1056"/>
      <c r="D166" s="1056"/>
      <c r="E166" s="1056"/>
      <c r="F166" s="1055"/>
      <c r="G166" s="1055"/>
      <c r="H166" s="1056"/>
      <c r="I166" s="1056"/>
      <c r="J166" s="1055"/>
      <c r="K166" s="1055"/>
      <c r="L166" s="1055"/>
      <c r="M166" s="1055"/>
      <c r="N166" s="1055"/>
      <c r="O166" s="1057"/>
    </row>
    <row r="167">
      <c r="A167" s="1059"/>
      <c r="B167" s="1059"/>
      <c r="C167" s="1055"/>
      <c r="D167" s="1055"/>
      <c r="E167" s="1056"/>
      <c r="F167" s="1055"/>
      <c r="G167" s="1055"/>
      <c r="H167" s="1056"/>
      <c r="I167" s="1056"/>
      <c r="J167" s="1055"/>
      <c r="K167" s="1055"/>
      <c r="L167" s="1055"/>
      <c r="M167" s="1055"/>
      <c r="N167" s="1055"/>
      <c r="O167" s="1055"/>
    </row>
    <row r="168">
      <c r="A168" s="1059"/>
      <c r="B168" s="1059"/>
      <c r="C168" s="1056"/>
      <c r="D168" s="1056"/>
      <c r="E168" s="1056"/>
      <c r="F168" s="1055"/>
      <c r="G168" s="1055"/>
      <c r="H168" s="1056"/>
      <c r="I168" s="1056"/>
      <c r="J168" s="1055"/>
      <c r="K168" s="1055"/>
      <c r="L168" s="1055"/>
      <c r="M168" s="1055"/>
      <c r="N168" s="1055"/>
      <c r="O168" s="1055"/>
    </row>
    <row r="169">
      <c r="A169" s="1059"/>
      <c r="B169" s="1059"/>
      <c r="C169" s="1055"/>
      <c r="D169" s="1055"/>
      <c r="E169" s="1056"/>
      <c r="F169" s="1055"/>
      <c r="G169" s="1055"/>
      <c r="H169" s="1056"/>
      <c r="I169" s="1056"/>
      <c r="J169" s="1055"/>
      <c r="K169" s="1055"/>
      <c r="L169" s="1055"/>
      <c r="M169" s="1055"/>
      <c r="N169" s="1055"/>
      <c r="O169" s="1055"/>
    </row>
    <row r="170">
      <c r="A170" s="1059"/>
      <c r="B170" s="1059"/>
      <c r="C170" s="1056"/>
      <c r="D170" s="1056"/>
      <c r="E170" s="1056"/>
      <c r="F170" s="1055"/>
      <c r="G170" s="1055"/>
      <c r="H170" s="1056"/>
      <c r="I170" s="1056"/>
      <c r="J170" s="1055"/>
      <c r="K170" s="1055"/>
      <c r="L170" s="1055"/>
      <c r="M170" s="1055"/>
      <c r="N170" s="1055"/>
      <c r="O170" s="1055"/>
    </row>
    <row r="171">
      <c r="A171" s="1059"/>
      <c r="B171" s="1059"/>
      <c r="C171" s="1055"/>
      <c r="D171" s="1055"/>
      <c r="E171" s="1056"/>
      <c r="F171" s="1055"/>
      <c r="G171" s="1055"/>
      <c r="H171" s="1056"/>
      <c r="I171" s="1056"/>
      <c r="J171" s="1055"/>
      <c r="K171" s="1055"/>
      <c r="L171" s="1055"/>
      <c r="M171" s="1055"/>
      <c r="N171" s="1055"/>
      <c r="O171" s="1055"/>
    </row>
    <row r="172">
      <c r="A172" s="1059"/>
      <c r="B172" s="1059"/>
      <c r="C172" s="1055"/>
      <c r="D172" s="1055"/>
      <c r="E172" s="1056"/>
      <c r="F172" s="1055"/>
      <c r="G172" s="1055"/>
      <c r="H172" s="1056"/>
      <c r="I172" s="1056"/>
      <c r="J172" s="1055"/>
      <c r="K172" s="1055"/>
      <c r="L172" s="1055"/>
      <c r="M172" s="1055"/>
      <c r="N172" s="1055"/>
      <c r="O172" s="1057"/>
    </row>
    <row r="173">
      <c r="A173" s="1059"/>
      <c r="B173" s="1059"/>
      <c r="C173" s="1055"/>
      <c r="D173" s="1055"/>
      <c r="E173" s="1056"/>
      <c r="F173" s="1055"/>
      <c r="G173" s="1055"/>
      <c r="H173" s="1056"/>
      <c r="I173" s="1056"/>
      <c r="J173" s="1055"/>
      <c r="K173" s="1055"/>
      <c r="L173" s="1055"/>
      <c r="M173" s="1055"/>
      <c r="N173" s="1055"/>
      <c r="O173" s="1055"/>
    </row>
    <row r="174">
      <c r="A174" s="1059"/>
      <c r="B174" s="1059"/>
      <c r="C174" s="1055"/>
      <c r="D174" s="1055"/>
      <c r="E174" s="1056"/>
      <c r="F174" s="1055"/>
      <c r="G174" s="1055"/>
      <c r="H174" s="1056"/>
      <c r="I174" s="1056"/>
      <c r="J174" s="1055"/>
      <c r="K174" s="1055"/>
      <c r="L174" s="1055"/>
      <c r="M174" s="1055"/>
      <c r="N174" s="1055"/>
      <c r="O174" s="1055"/>
    </row>
    <row r="175">
      <c r="A175" s="1059"/>
      <c r="B175" s="1059"/>
      <c r="C175" s="1056"/>
      <c r="D175" s="1056"/>
      <c r="E175" s="1056"/>
      <c r="F175" s="1055"/>
      <c r="G175" s="1055"/>
      <c r="H175" s="1056"/>
      <c r="I175" s="1056"/>
      <c r="J175" s="1055"/>
      <c r="K175" s="1055"/>
      <c r="L175" s="1055"/>
      <c r="M175" s="1055"/>
      <c r="N175" s="1055"/>
      <c r="O175" s="1057"/>
    </row>
    <row r="176">
      <c r="A176" s="1059"/>
      <c r="B176" s="1059"/>
      <c r="C176" s="1055"/>
      <c r="D176" s="1055"/>
      <c r="E176" s="1056"/>
      <c r="F176" s="1055"/>
      <c r="G176" s="1055"/>
      <c r="H176" s="1056"/>
      <c r="I176" s="1056"/>
      <c r="J176" s="1055"/>
      <c r="K176" s="1055"/>
      <c r="L176" s="1055"/>
      <c r="M176" s="1055"/>
      <c r="N176" s="1055"/>
      <c r="O176" s="1057"/>
    </row>
    <row r="177">
      <c r="A177" s="1059"/>
      <c r="B177" s="1059"/>
      <c r="C177" s="1055"/>
      <c r="D177" s="1055"/>
      <c r="E177" s="1056"/>
      <c r="F177" s="1055"/>
      <c r="G177" s="1055"/>
      <c r="H177" s="1056"/>
      <c r="I177" s="1056"/>
      <c r="J177" s="1055"/>
      <c r="K177" s="1055"/>
      <c r="L177" s="1055"/>
      <c r="M177" s="1055"/>
      <c r="N177" s="1055"/>
      <c r="O177" s="1057"/>
    </row>
    <row r="178">
      <c r="A178" s="1059"/>
      <c r="B178" s="1059"/>
      <c r="C178" s="1055"/>
      <c r="D178" s="1055"/>
      <c r="E178" s="1056"/>
      <c r="F178" s="1055"/>
      <c r="G178" s="1055"/>
      <c r="H178" s="1056"/>
      <c r="I178" s="1056"/>
      <c r="J178" s="1055"/>
      <c r="K178" s="1055"/>
      <c r="L178" s="1055"/>
      <c r="M178" s="1055"/>
      <c r="N178" s="1055"/>
      <c r="O178" s="1055"/>
    </row>
    <row r="179">
      <c r="A179" s="1059"/>
      <c r="B179" s="1059"/>
      <c r="C179" s="1056"/>
      <c r="D179" s="1056"/>
      <c r="E179" s="1056"/>
      <c r="F179" s="1055"/>
      <c r="G179" s="1055"/>
      <c r="H179" s="1056"/>
      <c r="I179" s="1056"/>
      <c r="J179" s="1055"/>
      <c r="K179" s="1055"/>
      <c r="L179" s="1055"/>
      <c r="M179" s="1055"/>
      <c r="N179" s="1055"/>
      <c r="O179" s="1055"/>
    </row>
    <row r="180">
      <c r="A180" s="1059"/>
      <c r="B180" s="1059"/>
      <c r="C180" s="1055"/>
      <c r="D180" s="1055"/>
      <c r="E180" s="1056"/>
      <c r="F180" s="1055"/>
      <c r="G180" s="1055"/>
      <c r="H180" s="1056"/>
      <c r="I180" s="1056"/>
      <c r="J180" s="1055"/>
      <c r="K180" s="1055"/>
      <c r="L180" s="1055"/>
      <c r="M180" s="1055"/>
      <c r="N180" s="1055"/>
      <c r="O180" s="1055"/>
    </row>
    <row r="181">
      <c r="A181" s="1059"/>
      <c r="B181" s="1059"/>
      <c r="C181" s="1056"/>
      <c r="D181" s="1056"/>
      <c r="E181" s="1056"/>
      <c r="F181" s="1055"/>
      <c r="G181" s="1055"/>
      <c r="H181" s="1056"/>
      <c r="I181" s="1056"/>
      <c r="J181" s="1055"/>
      <c r="K181" s="1055"/>
      <c r="L181" s="1055"/>
      <c r="M181" s="1055"/>
      <c r="N181" s="1055"/>
      <c r="O181" s="1055"/>
    </row>
    <row r="182">
      <c r="A182" s="1059"/>
      <c r="B182" s="1059"/>
      <c r="C182" s="1055"/>
      <c r="D182" s="1055"/>
      <c r="E182" s="1056"/>
      <c r="F182" s="1055"/>
      <c r="G182" s="1055"/>
      <c r="H182" s="1056"/>
      <c r="I182" s="1056"/>
      <c r="J182" s="1055"/>
      <c r="K182" s="1055"/>
      <c r="L182" s="1055"/>
      <c r="M182" s="1055"/>
      <c r="N182" s="1055"/>
      <c r="O182" s="1055"/>
    </row>
    <row r="183">
      <c r="A183" s="1059"/>
      <c r="B183" s="1059"/>
      <c r="C183" s="1056"/>
      <c r="D183" s="1056"/>
      <c r="E183" s="1056"/>
      <c r="F183" s="1055"/>
      <c r="G183" s="1055"/>
      <c r="H183" s="1056"/>
      <c r="I183" s="1056"/>
      <c r="J183" s="1055"/>
      <c r="K183" s="1055"/>
      <c r="L183" s="1055"/>
      <c r="M183" s="1055"/>
      <c r="N183" s="1055"/>
      <c r="O183" s="1057"/>
    </row>
    <row r="184">
      <c r="A184" s="1059"/>
      <c r="B184" s="1059"/>
      <c r="C184" s="1055"/>
      <c r="D184" s="1055"/>
      <c r="E184" s="1056"/>
      <c r="F184" s="1055"/>
      <c r="G184" s="1055"/>
      <c r="H184" s="1056"/>
      <c r="I184" s="1056"/>
      <c r="J184" s="1055"/>
      <c r="K184" s="1055"/>
      <c r="L184" s="1055"/>
      <c r="M184" s="1055"/>
      <c r="N184" s="1055"/>
      <c r="O184" s="1057"/>
    </row>
    <row r="185">
      <c r="A185" s="1059"/>
      <c r="B185" s="1059"/>
      <c r="C185" s="1056"/>
      <c r="D185" s="1056"/>
      <c r="E185" s="1056"/>
      <c r="F185" s="1055"/>
      <c r="G185" s="1055"/>
      <c r="H185" s="1056"/>
      <c r="I185" s="1056"/>
      <c r="J185" s="1055"/>
      <c r="K185" s="1055"/>
      <c r="L185" s="1055"/>
      <c r="M185" s="1055"/>
      <c r="N185" s="1055"/>
      <c r="O185" s="1057"/>
    </row>
    <row r="186">
      <c r="A186" s="1059"/>
      <c r="B186" s="1059"/>
      <c r="C186" s="1055"/>
      <c r="D186" s="1055"/>
      <c r="E186" s="1056"/>
      <c r="F186" s="1055"/>
      <c r="G186" s="1055"/>
      <c r="H186" s="1056"/>
      <c r="I186" s="1056"/>
      <c r="J186" s="1055"/>
      <c r="K186" s="1055"/>
      <c r="L186" s="1055"/>
      <c r="M186" s="1055"/>
      <c r="N186" s="1055"/>
      <c r="O186" s="1057"/>
    </row>
    <row r="187">
      <c r="A187" s="1059"/>
      <c r="B187" s="1059"/>
      <c r="C187" s="1056"/>
      <c r="D187" s="1056"/>
      <c r="E187" s="1056"/>
      <c r="F187" s="1055"/>
      <c r="G187" s="1055"/>
      <c r="H187" s="1056"/>
      <c r="I187" s="1056"/>
      <c r="J187" s="1055"/>
      <c r="K187" s="1055"/>
      <c r="L187" s="1055"/>
      <c r="M187" s="1055"/>
      <c r="N187" s="1055"/>
      <c r="O187" s="1055"/>
    </row>
    <row r="188">
      <c r="A188" s="1059"/>
      <c r="B188" s="1059"/>
      <c r="C188" s="1055"/>
      <c r="D188" s="1055"/>
      <c r="E188" s="1056"/>
      <c r="F188" s="1055"/>
      <c r="G188" s="1055"/>
      <c r="H188" s="1056"/>
      <c r="I188" s="1056"/>
      <c r="J188" s="1055"/>
      <c r="K188" s="1055"/>
      <c r="L188" s="1055"/>
      <c r="M188" s="1055"/>
      <c r="N188" s="1055"/>
      <c r="O188" s="1055"/>
    </row>
    <row r="189">
      <c r="A189" s="1059"/>
      <c r="B189" s="1059"/>
      <c r="C189" s="1055"/>
      <c r="D189" s="1055"/>
      <c r="E189" s="1056"/>
      <c r="F189" s="1055"/>
      <c r="G189" s="1055"/>
      <c r="H189" s="1056"/>
      <c r="I189" s="1056"/>
      <c r="J189" s="1055"/>
      <c r="K189" s="1055"/>
      <c r="L189" s="1055"/>
      <c r="M189" s="1055"/>
      <c r="N189" s="1055"/>
      <c r="O189" s="1057"/>
    </row>
    <row r="190">
      <c r="A190" s="1059"/>
      <c r="B190" s="1059"/>
      <c r="C190" s="1055"/>
      <c r="D190" s="1055"/>
      <c r="E190" s="1056"/>
      <c r="F190" s="1055"/>
      <c r="G190" s="1055"/>
      <c r="H190" s="1056"/>
      <c r="I190" s="1056"/>
      <c r="J190" s="1055"/>
      <c r="K190" s="1055"/>
      <c r="L190" s="1055"/>
      <c r="M190" s="1055"/>
      <c r="N190" s="1055"/>
      <c r="O190" s="1057"/>
    </row>
    <row r="191">
      <c r="A191" s="1059"/>
      <c r="B191" s="1059"/>
      <c r="C191" s="1055"/>
      <c r="D191" s="1055"/>
      <c r="E191" s="1056"/>
      <c r="F191" s="1055"/>
      <c r="G191" s="1055"/>
      <c r="H191" s="1056"/>
      <c r="I191" s="1056"/>
      <c r="J191" s="1055"/>
      <c r="K191" s="1055"/>
      <c r="L191" s="1055"/>
      <c r="M191" s="1055"/>
      <c r="N191" s="1055"/>
      <c r="O191" s="1057"/>
    </row>
    <row r="192">
      <c r="A192" s="1059"/>
      <c r="B192" s="1059"/>
      <c r="C192" s="1055"/>
      <c r="D192" s="1055"/>
      <c r="E192" s="1056"/>
      <c r="F192" s="1055"/>
      <c r="G192" s="1055"/>
      <c r="H192" s="1056"/>
      <c r="I192" s="1056"/>
      <c r="J192" s="1055"/>
      <c r="K192" s="1055"/>
      <c r="L192" s="1055"/>
      <c r="M192" s="1055"/>
      <c r="N192" s="1055"/>
      <c r="O192" s="1057"/>
    </row>
    <row r="193">
      <c r="A193" s="1059"/>
      <c r="B193" s="1059"/>
      <c r="C193" s="1055"/>
      <c r="D193" s="1055"/>
      <c r="E193" s="1056"/>
      <c r="F193" s="1055"/>
      <c r="G193" s="1055"/>
      <c r="H193" s="1056"/>
      <c r="I193" s="1056"/>
      <c r="J193" s="1055"/>
      <c r="K193" s="1055"/>
      <c r="L193" s="1055"/>
      <c r="M193" s="1055"/>
      <c r="N193" s="1055"/>
      <c r="O193" s="1057"/>
    </row>
    <row r="194">
      <c r="A194" s="1059"/>
      <c r="B194" s="1059"/>
      <c r="C194" s="1055"/>
      <c r="D194" s="1055"/>
      <c r="E194" s="1056"/>
      <c r="F194" s="1055"/>
      <c r="G194" s="1055"/>
      <c r="H194" s="1056"/>
      <c r="I194" s="1056"/>
      <c r="J194" s="1055"/>
      <c r="K194" s="1055"/>
      <c r="L194" s="1055"/>
      <c r="M194" s="1055"/>
      <c r="N194" s="1055"/>
      <c r="O194" s="1057"/>
    </row>
    <row r="195">
      <c r="A195" s="1059"/>
      <c r="B195" s="1059"/>
      <c r="C195" s="1056"/>
      <c r="D195" s="1055"/>
      <c r="E195" s="1056"/>
      <c r="F195" s="1055"/>
      <c r="G195" s="1055"/>
      <c r="H195" s="1056"/>
      <c r="I195" s="1056"/>
      <c r="J195" s="1055"/>
      <c r="K195" s="1055"/>
      <c r="L195" s="1055"/>
      <c r="M195" s="1055"/>
      <c r="N195" s="1055"/>
      <c r="O195" s="1057"/>
    </row>
    <row r="196">
      <c r="A196" s="1059"/>
      <c r="B196" s="1059"/>
      <c r="C196" s="1055"/>
      <c r="D196" s="1055"/>
      <c r="E196" s="1056"/>
      <c r="F196" s="1055"/>
      <c r="G196" s="1055"/>
      <c r="H196" s="1056"/>
      <c r="I196" s="1056"/>
      <c r="J196" s="1055"/>
      <c r="K196" s="1055"/>
      <c r="L196" s="1055"/>
      <c r="M196" s="1055"/>
      <c r="N196" s="1055"/>
      <c r="O196" s="1057"/>
    </row>
    <row r="197">
      <c r="A197" s="1059"/>
      <c r="B197" s="1059"/>
      <c r="C197" s="1055"/>
      <c r="D197" s="1055"/>
      <c r="E197" s="1056"/>
      <c r="F197" s="1055"/>
      <c r="G197" s="1055"/>
      <c r="H197" s="1056"/>
      <c r="I197" s="1056"/>
      <c r="J197" s="1055"/>
      <c r="K197" s="1055"/>
      <c r="L197" s="1055"/>
      <c r="M197" s="1055"/>
      <c r="N197" s="1055"/>
      <c r="O197" s="1057"/>
    </row>
    <row r="198">
      <c r="A198" s="1059"/>
      <c r="B198" s="1059"/>
      <c r="C198" s="1055"/>
      <c r="D198" s="1055"/>
      <c r="E198" s="1056"/>
      <c r="F198" s="1055"/>
      <c r="G198" s="1055"/>
      <c r="H198" s="1056"/>
      <c r="I198" s="1056"/>
      <c r="J198" s="1055"/>
      <c r="K198" s="1055"/>
      <c r="L198" s="1055"/>
      <c r="M198" s="1055"/>
      <c r="N198" s="1055"/>
      <c r="O198" s="1057"/>
    </row>
    <row r="199">
      <c r="A199" s="1059"/>
      <c r="B199" s="1059"/>
      <c r="C199" s="1055"/>
      <c r="D199" s="1055"/>
      <c r="E199" s="1056"/>
      <c r="F199" s="1055"/>
      <c r="G199" s="1055"/>
      <c r="H199" s="1056"/>
      <c r="I199" s="1056"/>
      <c r="J199" s="1055"/>
      <c r="K199" s="1055"/>
      <c r="L199" s="1055"/>
      <c r="M199" s="1055"/>
      <c r="N199" s="1055"/>
      <c r="O199" s="1057"/>
    </row>
    <row r="200">
      <c r="A200" s="1059"/>
      <c r="B200" s="1059"/>
      <c r="C200" s="1055"/>
      <c r="D200" s="1055"/>
      <c r="E200" s="1056"/>
      <c r="F200" s="1055"/>
      <c r="G200" s="1055"/>
      <c r="H200" s="1056"/>
      <c r="I200" s="1056"/>
      <c r="J200" s="1055"/>
      <c r="K200" s="1055"/>
      <c r="L200" s="1055"/>
      <c r="M200" s="1055"/>
      <c r="N200" s="1055"/>
      <c r="O200" s="1057"/>
    </row>
    <row r="201">
      <c r="A201" s="1059"/>
      <c r="B201" s="1059"/>
      <c r="C201" s="1055"/>
      <c r="D201" s="1055"/>
      <c r="E201" s="1056"/>
      <c r="F201" s="1055"/>
      <c r="G201" s="1055"/>
      <c r="H201" s="1056"/>
      <c r="I201" s="1056"/>
      <c r="J201" s="1055"/>
      <c r="K201" s="1055"/>
      <c r="L201" s="1055"/>
      <c r="M201" s="1055"/>
      <c r="N201" s="1055"/>
      <c r="O201" s="1057"/>
    </row>
    <row r="202">
      <c r="A202" s="1059"/>
      <c r="B202" s="1059"/>
      <c r="C202" s="1055"/>
      <c r="D202" s="1055"/>
      <c r="E202" s="1056"/>
      <c r="F202" s="1055"/>
      <c r="G202" s="1055"/>
      <c r="H202" s="1056"/>
      <c r="I202" s="1056"/>
      <c r="J202" s="1055"/>
      <c r="K202" s="1055"/>
      <c r="L202" s="1055"/>
      <c r="M202" s="1055"/>
      <c r="N202" s="1055"/>
      <c r="O202" s="1057"/>
    </row>
    <row r="203">
      <c r="A203" s="1059"/>
      <c r="B203" s="1059"/>
      <c r="C203" s="1055"/>
      <c r="D203" s="1055"/>
      <c r="E203" s="1056"/>
      <c r="F203" s="1055"/>
      <c r="G203" s="1055"/>
      <c r="H203" s="1056"/>
      <c r="I203" s="1056"/>
      <c r="J203" s="1055"/>
      <c r="K203" s="1055"/>
      <c r="L203" s="1055"/>
      <c r="M203" s="1055"/>
      <c r="N203" s="1055"/>
      <c r="O203" s="1057"/>
    </row>
    <row r="204">
      <c r="A204" s="1059"/>
      <c r="B204" s="1059"/>
      <c r="C204" s="1055"/>
      <c r="D204" s="1055"/>
      <c r="E204" s="1056"/>
      <c r="F204" s="1055"/>
      <c r="G204" s="1055"/>
      <c r="H204" s="1056"/>
      <c r="I204" s="1056"/>
      <c r="J204" s="1055"/>
      <c r="K204" s="1055"/>
      <c r="L204" s="1055"/>
      <c r="M204" s="1055"/>
      <c r="N204" s="1055"/>
      <c r="O204" s="1055"/>
    </row>
    <row r="205">
      <c r="A205" s="1059"/>
      <c r="B205" s="1059"/>
      <c r="C205" s="1055"/>
      <c r="D205" s="1055"/>
      <c r="E205" s="1056"/>
      <c r="F205" s="1055"/>
      <c r="G205" s="1055"/>
      <c r="H205" s="1056"/>
      <c r="I205" s="1056"/>
      <c r="J205" s="1055"/>
      <c r="K205" s="1055"/>
      <c r="L205" s="1055"/>
      <c r="M205" s="1055"/>
      <c r="N205" s="1055"/>
      <c r="O205" s="1057"/>
    </row>
    <row r="206">
      <c r="A206" s="1059"/>
      <c r="B206" s="1059"/>
      <c r="C206" s="1055"/>
      <c r="D206" s="1055"/>
      <c r="E206" s="1056"/>
      <c r="F206" s="1055"/>
      <c r="G206" s="1055"/>
      <c r="H206" s="1056"/>
      <c r="I206" s="1056"/>
      <c r="J206" s="1055"/>
      <c r="K206" s="1055"/>
      <c r="L206" s="1055"/>
      <c r="M206" s="1055"/>
      <c r="N206" s="1055"/>
      <c r="O206" s="1057"/>
    </row>
    <row r="207">
      <c r="A207" s="1059"/>
      <c r="B207" s="1059"/>
      <c r="C207" s="1055"/>
      <c r="D207" s="1055"/>
      <c r="E207" s="1056"/>
      <c r="F207" s="1055"/>
      <c r="G207" s="1055"/>
      <c r="H207" s="1056"/>
      <c r="I207" s="1056"/>
      <c r="J207" s="1055"/>
      <c r="K207" s="1055"/>
      <c r="L207" s="1055"/>
      <c r="M207" s="1055"/>
      <c r="N207" s="1055"/>
      <c r="O207" s="1057"/>
    </row>
    <row r="208">
      <c r="A208" s="1059"/>
      <c r="B208" s="1059"/>
      <c r="C208" s="1055"/>
      <c r="D208" s="1055"/>
      <c r="E208" s="1056"/>
      <c r="F208" s="1055"/>
      <c r="G208" s="1055"/>
      <c r="H208" s="1056"/>
      <c r="I208" s="1056"/>
      <c r="J208" s="1055"/>
      <c r="K208" s="1055"/>
      <c r="L208" s="1055"/>
      <c r="M208" s="1055"/>
      <c r="N208" s="1055"/>
      <c r="O208" s="1057"/>
    </row>
    <row r="209">
      <c r="A209" s="1059"/>
      <c r="B209" s="1059"/>
      <c r="C209" s="1055"/>
      <c r="D209" s="1055"/>
      <c r="E209" s="1056"/>
      <c r="F209" s="1055"/>
      <c r="G209" s="1055"/>
      <c r="H209" s="1056"/>
      <c r="I209" s="1056"/>
      <c r="J209" s="1055"/>
      <c r="K209" s="1055"/>
      <c r="L209" s="1055"/>
      <c r="M209" s="1055"/>
      <c r="N209" s="1055"/>
      <c r="O209" s="1057"/>
    </row>
    <row r="210">
      <c r="A210" s="1059"/>
      <c r="B210" s="1059"/>
      <c r="C210" s="1055"/>
      <c r="D210" s="1055"/>
      <c r="E210" s="1056"/>
      <c r="F210" s="1055"/>
      <c r="G210" s="1055"/>
      <c r="H210" s="1056"/>
      <c r="I210" s="1056"/>
      <c r="J210" s="1055"/>
      <c r="K210" s="1055"/>
      <c r="L210" s="1055"/>
      <c r="M210" s="1055"/>
      <c r="N210" s="1055"/>
      <c r="O210" s="1057"/>
    </row>
    <row r="211">
      <c r="A211" s="1059"/>
      <c r="B211" s="1059"/>
      <c r="C211" s="1055"/>
      <c r="D211" s="1055"/>
      <c r="E211" s="1056"/>
      <c r="F211" s="1055"/>
      <c r="G211" s="1055"/>
      <c r="H211" s="1056"/>
      <c r="I211" s="1056"/>
      <c r="J211" s="1055"/>
      <c r="K211" s="1055"/>
      <c r="L211" s="1055"/>
      <c r="M211" s="1055"/>
      <c r="N211" s="1055"/>
      <c r="O211" s="1057"/>
    </row>
    <row r="212">
      <c r="A212" s="1059"/>
      <c r="B212" s="1059"/>
      <c r="C212" s="1055"/>
      <c r="D212" s="1055"/>
      <c r="E212" s="1056"/>
      <c r="F212" s="1055"/>
      <c r="G212" s="1055"/>
      <c r="H212" s="1056"/>
      <c r="I212" s="1056"/>
      <c r="J212" s="1055"/>
      <c r="K212" s="1055"/>
      <c r="L212" s="1055"/>
      <c r="M212" s="1055"/>
      <c r="N212" s="1055"/>
      <c r="O212" s="1057"/>
    </row>
    <row r="213">
      <c r="A213" s="1059"/>
      <c r="B213" s="1059"/>
      <c r="C213" s="1055"/>
      <c r="D213" s="1055"/>
      <c r="E213" s="1056"/>
      <c r="F213" s="1055"/>
      <c r="G213" s="1055"/>
      <c r="H213" s="1056"/>
      <c r="I213" s="1056"/>
      <c r="J213" s="1055"/>
      <c r="K213" s="1055"/>
      <c r="L213" s="1055"/>
      <c r="M213" s="1055"/>
      <c r="N213" s="1055"/>
      <c r="O213" s="1057"/>
    </row>
    <row r="214">
      <c r="A214" s="1059"/>
      <c r="B214" s="1059"/>
      <c r="C214" s="1055"/>
      <c r="D214" s="1055"/>
      <c r="E214" s="1056"/>
      <c r="F214" s="1055"/>
      <c r="G214" s="1055"/>
      <c r="H214" s="1056"/>
      <c r="I214" s="1056"/>
      <c r="J214" s="1055"/>
      <c r="K214" s="1055"/>
      <c r="L214" s="1055"/>
      <c r="M214" s="1055"/>
      <c r="N214" s="1055"/>
      <c r="O214" s="1057"/>
    </row>
    <row r="215">
      <c r="A215" s="1059"/>
      <c r="B215" s="1059"/>
      <c r="C215" s="1055"/>
      <c r="D215" s="1055"/>
      <c r="E215" s="1056"/>
      <c r="F215" s="1055"/>
      <c r="G215" s="1055"/>
      <c r="H215" s="1056"/>
      <c r="I215" s="1056"/>
      <c r="J215" s="1055"/>
      <c r="K215" s="1055"/>
      <c r="L215" s="1055"/>
      <c r="M215" s="1055"/>
      <c r="N215" s="1055"/>
      <c r="O215" s="1057"/>
    </row>
    <row r="216">
      <c r="A216" s="1059"/>
      <c r="B216" s="1059"/>
      <c r="C216" s="1055"/>
      <c r="D216" s="1055"/>
      <c r="E216" s="1056"/>
      <c r="F216" s="1055"/>
      <c r="G216" s="1055"/>
      <c r="H216" s="1056"/>
      <c r="I216" s="1056"/>
      <c r="J216" s="1055"/>
      <c r="K216" s="1055"/>
      <c r="L216" s="1055"/>
      <c r="M216" s="1055"/>
      <c r="N216" s="1055"/>
      <c r="O216" s="1057"/>
    </row>
    <row r="217">
      <c r="A217" s="1059"/>
      <c r="B217" s="1059"/>
      <c r="C217" s="1055"/>
      <c r="D217" s="1055"/>
      <c r="E217" s="1056"/>
      <c r="F217" s="1055"/>
      <c r="G217" s="1055"/>
      <c r="H217" s="1056"/>
      <c r="I217" s="1056"/>
      <c r="J217" s="1055"/>
      <c r="K217" s="1055"/>
      <c r="L217" s="1055"/>
      <c r="M217" s="1055"/>
      <c r="N217" s="1055"/>
      <c r="O217" s="1057"/>
    </row>
    <row r="218">
      <c r="A218" s="1059"/>
      <c r="B218" s="1059"/>
      <c r="C218" s="1055"/>
      <c r="D218" s="1055"/>
      <c r="E218" s="1056"/>
      <c r="F218" s="1055"/>
      <c r="G218" s="1055"/>
      <c r="H218" s="1056"/>
      <c r="I218" s="1056"/>
      <c r="J218" s="1055"/>
      <c r="K218" s="1055"/>
      <c r="L218" s="1055"/>
      <c r="M218" s="1055"/>
      <c r="N218" s="1055"/>
      <c r="O218" s="1057"/>
    </row>
    <row r="219">
      <c r="A219" s="1059"/>
      <c r="B219" s="1059"/>
      <c r="C219" s="1056"/>
      <c r="D219" s="1056"/>
      <c r="E219" s="1056"/>
      <c r="F219" s="1055"/>
      <c r="G219" s="1055"/>
      <c r="H219" s="1056"/>
      <c r="I219" s="1056"/>
      <c r="J219" s="1055"/>
      <c r="K219" s="1055"/>
      <c r="L219" s="1055"/>
      <c r="M219" s="1055"/>
      <c r="N219" s="1055"/>
      <c r="O219" s="1057"/>
    </row>
    <row r="220">
      <c r="A220" s="1059"/>
      <c r="B220" s="1059"/>
      <c r="C220" s="1056"/>
      <c r="D220" s="1056"/>
      <c r="E220" s="1056"/>
      <c r="F220" s="1055"/>
      <c r="G220" s="1055"/>
      <c r="H220" s="1056"/>
      <c r="I220" s="1056"/>
      <c r="J220" s="1055"/>
      <c r="K220" s="1055"/>
      <c r="L220" s="1055"/>
      <c r="M220" s="1055"/>
      <c r="N220" s="1055"/>
      <c r="O220" s="1057"/>
    </row>
    <row r="221">
      <c r="A221" s="1059"/>
      <c r="B221" s="1059"/>
      <c r="C221" s="1056"/>
      <c r="D221" s="1056"/>
      <c r="E221" s="1056"/>
      <c r="F221" s="1055"/>
      <c r="G221" s="1055"/>
      <c r="H221" s="1056"/>
      <c r="I221" s="1056"/>
      <c r="J221" s="1055"/>
      <c r="K221" s="1055"/>
      <c r="L221" s="1055"/>
      <c r="M221" s="1055"/>
      <c r="N221" s="1055"/>
      <c r="O221" s="1057"/>
    </row>
    <row r="222">
      <c r="A222" s="1059"/>
      <c r="B222" s="1059"/>
      <c r="C222" s="1056"/>
      <c r="D222" s="1056"/>
      <c r="E222" s="1056"/>
      <c r="F222" s="1055"/>
      <c r="G222" s="1055"/>
      <c r="H222" s="1056"/>
      <c r="I222" s="1056"/>
      <c r="J222" s="1055"/>
      <c r="K222" s="1055"/>
      <c r="L222" s="1055"/>
      <c r="M222" s="1055"/>
      <c r="N222" s="1055"/>
      <c r="O222" s="1057"/>
    </row>
    <row r="223">
      <c r="A223" s="1059"/>
      <c r="B223" s="1059"/>
      <c r="C223" s="1056"/>
      <c r="D223" s="1056"/>
      <c r="E223" s="1056"/>
      <c r="F223" s="1055"/>
      <c r="G223" s="1055"/>
      <c r="H223" s="1056"/>
      <c r="I223" s="1056"/>
      <c r="J223" s="1055"/>
      <c r="K223" s="1055"/>
      <c r="L223" s="1055"/>
      <c r="M223" s="1055"/>
      <c r="N223" s="1055"/>
      <c r="O223" s="1057"/>
    </row>
    <row r="224">
      <c r="A224" s="1059"/>
      <c r="B224" s="1059"/>
      <c r="C224" s="1056"/>
      <c r="D224" s="1056"/>
      <c r="E224" s="1056"/>
      <c r="F224" s="1055"/>
      <c r="G224" s="1055"/>
      <c r="H224" s="1056"/>
      <c r="I224" s="1056"/>
      <c r="J224" s="1055"/>
      <c r="K224" s="1055"/>
      <c r="L224" s="1055"/>
      <c r="M224" s="1055"/>
      <c r="N224" s="1055"/>
      <c r="O224" s="1057"/>
    </row>
    <row r="225">
      <c r="A225" s="1059"/>
      <c r="B225" s="1059"/>
      <c r="C225" s="1056"/>
      <c r="D225" s="1056"/>
      <c r="E225" s="1056"/>
      <c r="F225" s="1055"/>
      <c r="G225" s="1055"/>
      <c r="H225" s="1056"/>
      <c r="I225" s="1056"/>
      <c r="J225" s="1055"/>
      <c r="K225" s="1055"/>
      <c r="L225" s="1055"/>
      <c r="M225" s="1055"/>
      <c r="N225" s="1055"/>
      <c r="O225" s="1057"/>
    </row>
    <row r="226">
      <c r="A226" s="1059"/>
      <c r="B226" s="1059"/>
      <c r="C226" s="1056"/>
      <c r="D226" s="1056"/>
      <c r="E226" s="1056"/>
      <c r="F226" s="1055"/>
      <c r="G226" s="1055"/>
      <c r="H226" s="1056"/>
      <c r="I226" s="1056"/>
      <c r="J226" s="1055"/>
      <c r="K226" s="1055"/>
      <c r="L226" s="1055"/>
      <c r="M226" s="1055"/>
      <c r="N226" s="1055"/>
      <c r="O226" s="1057"/>
    </row>
    <row r="227">
      <c r="A227" s="1059"/>
      <c r="B227" s="1059"/>
      <c r="C227" s="1056"/>
      <c r="D227" s="1056"/>
      <c r="E227" s="1056"/>
      <c r="F227" s="1055"/>
      <c r="G227" s="1055"/>
      <c r="H227" s="1056"/>
      <c r="I227" s="1056"/>
      <c r="J227" s="1055"/>
      <c r="K227" s="1055"/>
      <c r="L227" s="1055"/>
      <c r="M227" s="1055"/>
      <c r="N227" s="1055"/>
      <c r="O227" s="1055"/>
    </row>
    <row r="228">
      <c r="A228" s="1059"/>
      <c r="B228" s="1059"/>
      <c r="C228" s="1056"/>
      <c r="D228" s="1056"/>
      <c r="E228" s="1056"/>
      <c r="F228" s="1055"/>
      <c r="G228" s="1055"/>
      <c r="H228" s="1056"/>
      <c r="I228" s="1056"/>
      <c r="J228" s="1055"/>
      <c r="K228" s="1055"/>
      <c r="L228" s="1055"/>
      <c r="M228" s="1055"/>
      <c r="N228" s="1055"/>
      <c r="O228" s="1055"/>
    </row>
    <row r="229">
      <c r="A229" s="1059"/>
      <c r="B229" s="1059"/>
      <c r="C229" s="1056"/>
      <c r="D229" s="1056"/>
      <c r="E229" s="1056"/>
      <c r="F229" s="1055"/>
      <c r="G229" s="1055"/>
      <c r="H229" s="1056"/>
      <c r="I229" s="1056"/>
      <c r="J229" s="1055"/>
      <c r="K229" s="1055"/>
      <c r="L229" s="1055"/>
      <c r="M229" s="1055"/>
      <c r="N229" s="1055"/>
      <c r="O229" s="1055"/>
    </row>
    <row r="230">
      <c r="A230" s="1059"/>
      <c r="B230" s="1059"/>
      <c r="C230" s="1056"/>
      <c r="D230" s="1056"/>
      <c r="E230" s="1056"/>
      <c r="F230" s="1055"/>
      <c r="G230" s="1055"/>
      <c r="H230" s="1056"/>
      <c r="I230" s="1056"/>
      <c r="J230" s="1055"/>
      <c r="K230" s="1055"/>
      <c r="L230" s="1055"/>
      <c r="M230" s="1055"/>
      <c r="N230" s="1055"/>
      <c r="O230" s="1055"/>
    </row>
    <row r="231">
      <c r="A231" s="1059"/>
      <c r="B231" s="1059"/>
      <c r="C231" s="1056"/>
      <c r="D231" s="1056"/>
      <c r="E231" s="1056"/>
      <c r="F231" s="1055"/>
      <c r="G231" s="1055"/>
      <c r="H231" s="1056"/>
      <c r="I231" s="1056"/>
      <c r="J231" s="1055"/>
      <c r="K231" s="1055"/>
      <c r="L231" s="1055"/>
      <c r="M231" s="1055"/>
      <c r="N231" s="1055"/>
      <c r="O231" s="1055"/>
    </row>
    <row r="232">
      <c r="A232" s="1059"/>
      <c r="B232" s="1059"/>
      <c r="C232" s="1056"/>
      <c r="D232" s="1056"/>
      <c r="E232" s="1056"/>
      <c r="F232" s="1055"/>
      <c r="G232" s="1055"/>
      <c r="H232" s="1056"/>
      <c r="I232" s="1056"/>
      <c r="J232" s="1055"/>
      <c r="K232" s="1055"/>
      <c r="L232" s="1055"/>
      <c r="M232" s="1055"/>
      <c r="N232" s="1055"/>
      <c r="O232" s="1055"/>
    </row>
    <row r="233">
      <c r="A233" s="1059"/>
      <c r="B233" s="1059"/>
      <c r="C233" s="1056"/>
      <c r="D233" s="1056"/>
      <c r="E233" s="1056"/>
      <c r="F233" s="1055"/>
      <c r="G233" s="1055"/>
      <c r="H233" s="1056"/>
      <c r="I233" s="1056"/>
      <c r="J233" s="1055"/>
      <c r="K233" s="1055"/>
      <c r="L233" s="1055"/>
      <c r="M233" s="1055"/>
      <c r="N233" s="1055"/>
      <c r="O233" s="1055"/>
    </row>
    <row r="234">
      <c r="A234" s="1059"/>
      <c r="B234" s="1059"/>
      <c r="C234" s="1056"/>
      <c r="D234" s="1056"/>
      <c r="E234" s="1056"/>
      <c r="F234" s="1055"/>
      <c r="G234" s="1055"/>
      <c r="H234" s="1056"/>
      <c r="I234" s="1056"/>
      <c r="J234" s="1055"/>
      <c r="K234" s="1055"/>
      <c r="L234" s="1055"/>
      <c r="M234" s="1055"/>
      <c r="N234" s="1055"/>
      <c r="O234" s="1055"/>
    </row>
    <row r="235">
      <c r="A235" s="1059"/>
      <c r="B235" s="1059"/>
      <c r="C235" s="1056"/>
      <c r="D235" s="1056"/>
      <c r="E235" s="1056"/>
      <c r="F235" s="1055"/>
      <c r="G235" s="1055"/>
      <c r="H235" s="1056"/>
      <c r="I235" s="1056"/>
      <c r="J235" s="1055"/>
      <c r="K235" s="1055"/>
      <c r="L235" s="1055"/>
      <c r="M235" s="1055"/>
      <c r="N235" s="1055"/>
      <c r="O235" s="1057"/>
    </row>
    <row r="236">
      <c r="A236" s="1059"/>
      <c r="B236" s="1059"/>
      <c r="C236" s="1056"/>
      <c r="D236" s="1056"/>
      <c r="E236" s="1056"/>
      <c r="F236" s="1055"/>
      <c r="G236" s="1055"/>
      <c r="H236" s="1056"/>
      <c r="I236" s="1056"/>
      <c r="J236" s="1055"/>
      <c r="K236" s="1055"/>
      <c r="L236" s="1055"/>
      <c r="M236" s="1055"/>
      <c r="N236" s="1055"/>
      <c r="O236" s="1055"/>
    </row>
    <row r="237">
      <c r="A237" s="1059"/>
      <c r="B237" s="1059"/>
      <c r="C237" s="1056"/>
      <c r="D237" s="1056"/>
      <c r="E237" s="1056"/>
      <c r="F237" s="1055"/>
      <c r="G237" s="1055"/>
      <c r="H237" s="1056"/>
      <c r="I237" s="1056"/>
      <c r="J237" s="1055"/>
      <c r="K237" s="1055"/>
      <c r="L237" s="1055"/>
      <c r="M237" s="1055"/>
      <c r="N237" s="1055"/>
      <c r="O237" s="1055"/>
    </row>
    <row r="238">
      <c r="A238" s="1059"/>
      <c r="B238" s="1059"/>
      <c r="C238" s="1056"/>
      <c r="D238" s="1056"/>
      <c r="E238" s="1056"/>
      <c r="F238" s="1055"/>
      <c r="G238" s="1055"/>
      <c r="H238" s="1056"/>
      <c r="I238" s="1056"/>
      <c r="J238" s="1055"/>
      <c r="K238" s="1055"/>
      <c r="L238" s="1055"/>
      <c r="M238" s="1055"/>
      <c r="N238" s="1055"/>
      <c r="O238" s="1057"/>
    </row>
    <row r="239">
      <c r="A239" s="1059"/>
      <c r="B239" s="1059"/>
      <c r="C239" s="1056"/>
      <c r="D239" s="1056"/>
      <c r="E239" s="1056"/>
      <c r="F239" s="1055"/>
      <c r="G239" s="1055"/>
      <c r="H239" s="1056"/>
      <c r="I239" s="1056"/>
      <c r="J239" s="1055"/>
      <c r="K239" s="1055"/>
      <c r="L239" s="1055"/>
      <c r="M239" s="1055"/>
      <c r="N239" s="1055"/>
      <c r="O239" s="1055"/>
    </row>
    <row r="240">
      <c r="A240" s="1059"/>
      <c r="B240" s="1059"/>
      <c r="C240" s="1056"/>
      <c r="D240" s="1056"/>
      <c r="E240" s="1056"/>
      <c r="F240" s="1055"/>
      <c r="G240" s="1055"/>
      <c r="H240" s="1056"/>
      <c r="I240" s="1056"/>
      <c r="J240" s="1055"/>
      <c r="K240" s="1055"/>
      <c r="L240" s="1055"/>
      <c r="M240" s="1055"/>
      <c r="N240" s="1055"/>
      <c r="O240" s="1057"/>
    </row>
    <row r="241">
      <c r="A241" s="1059"/>
      <c r="B241" s="1059"/>
      <c r="C241" s="1056"/>
      <c r="D241" s="1056"/>
      <c r="E241" s="1056"/>
      <c r="F241" s="1055"/>
      <c r="G241" s="1055"/>
      <c r="H241" s="1056"/>
      <c r="I241" s="1056"/>
      <c r="J241" s="1055"/>
      <c r="K241" s="1055"/>
      <c r="L241" s="1055"/>
      <c r="M241" s="1055"/>
      <c r="N241" s="1055"/>
      <c r="O241" s="1055"/>
    </row>
    <row r="242">
      <c r="A242" s="1059"/>
      <c r="B242" s="1059"/>
      <c r="C242" s="1056"/>
      <c r="D242" s="1056"/>
      <c r="E242" s="1056"/>
      <c r="F242" s="1055"/>
      <c r="G242" s="1055"/>
      <c r="H242" s="1056"/>
      <c r="I242" s="1056"/>
      <c r="J242" s="1055"/>
      <c r="K242" s="1055"/>
      <c r="L242" s="1055"/>
      <c r="M242" s="1055"/>
      <c r="N242" s="1055"/>
      <c r="O242" s="1055"/>
    </row>
    <row r="243">
      <c r="A243" s="1059"/>
      <c r="B243" s="1059"/>
      <c r="C243" s="1056"/>
      <c r="D243" s="1056"/>
      <c r="E243" s="1056"/>
      <c r="F243" s="1055"/>
      <c r="G243" s="1055"/>
      <c r="H243" s="1056"/>
      <c r="I243" s="1056"/>
      <c r="J243" s="1055"/>
      <c r="K243" s="1055"/>
      <c r="L243" s="1055"/>
      <c r="M243" s="1055"/>
      <c r="N243" s="1055"/>
      <c r="O243" s="1057"/>
    </row>
    <row r="244">
      <c r="A244" s="1059"/>
      <c r="B244" s="1059"/>
      <c r="C244" s="1056"/>
      <c r="D244" s="1056"/>
      <c r="E244" s="1056"/>
      <c r="F244" s="1055"/>
      <c r="G244" s="1055"/>
      <c r="H244" s="1056"/>
      <c r="I244" s="1056"/>
      <c r="J244" s="1055"/>
      <c r="K244" s="1055"/>
      <c r="L244" s="1055"/>
      <c r="M244" s="1055"/>
      <c r="N244" s="1055"/>
      <c r="O244" s="1057"/>
    </row>
    <row r="245">
      <c r="A245" s="1059"/>
      <c r="B245" s="1059"/>
      <c r="C245" s="1056"/>
      <c r="D245" s="1056"/>
      <c r="E245" s="1056"/>
      <c r="F245" s="1055"/>
      <c r="G245" s="1055"/>
      <c r="H245" s="1056"/>
      <c r="I245" s="1056"/>
      <c r="J245" s="1055"/>
      <c r="K245" s="1055"/>
      <c r="L245" s="1055"/>
      <c r="M245" s="1055"/>
      <c r="N245" s="1055"/>
      <c r="O245" s="1057"/>
    </row>
    <row r="246">
      <c r="A246" s="1059"/>
      <c r="B246" s="1059"/>
      <c r="C246" s="1056"/>
      <c r="D246" s="1056"/>
      <c r="E246" s="1056"/>
      <c r="F246" s="1055"/>
      <c r="G246" s="1055"/>
      <c r="H246" s="1056"/>
      <c r="I246" s="1056"/>
      <c r="J246" s="1055"/>
      <c r="K246" s="1055"/>
      <c r="L246" s="1055"/>
      <c r="M246" s="1055"/>
      <c r="N246" s="1055"/>
      <c r="O246" s="1057"/>
    </row>
    <row r="247">
      <c r="A247" s="1059"/>
      <c r="B247" s="1059"/>
      <c r="C247" s="1056"/>
      <c r="D247" s="1056"/>
      <c r="E247" s="1056"/>
      <c r="F247" s="1055"/>
      <c r="G247" s="1055"/>
      <c r="H247" s="1056"/>
      <c r="I247" s="1056"/>
      <c r="J247" s="1055"/>
      <c r="K247" s="1055"/>
      <c r="L247" s="1055"/>
      <c r="M247" s="1055"/>
      <c r="N247" s="1055"/>
      <c r="O247" s="1057"/>
    </row>
    <row r="248">
      <c r="A248" s="1059"/>
      <c r="B248" s="1059"/>
      <c r="C248" s="1056"/>
      <c r="D248" s="1056"/>
      <c r="E248" s="1056"/>
      <c r="F248" s="1055"/>
      <c r="G248" s="1055"/>
      <c r="H248" s="1056"/>
      <c r="I248" s="1056"/>
      <c r="J248" s="1055"/>
      <c r="K248" s="1055"/>
      <c r="L248" s="1055"/>
      <c r="M248" s="1055"/>
      <c r="N248" s="1055"/>
      <c r="O248" s="1055"/>
    </row>
    <row r="249">
      <c r="A249" s="1059"/>
      <c r="B249" s="1059"/>
      <c r="C249" s="1056"/>
      <c r="D249" s="1056"/>
      <c r="E249" s="1056"/>
      <c r="F249" s="1055"/>
      <c r="G249" s="1055"/>
      <c r="H249" s="1056"/>
      <c r="I249" s="1056"/>
      <c r="J249" s="1055"/>
      <c r="K249" s="1055"/>
      <c r="L249" s="1055"/>
      <c r="M249" s="1055"/>
      <c r="N249" s="1055"/>
      <c r="O249" s="1055"/>
    </row>
    <row r="250">
      <c r="A250" s="1059"/>
      <c r="B250" s="1059"/>
      <c r="C250" s="1056"/>
      <c r="D250" s="1056"/>
      <c r="E250" s="1056"/>
      <c r="F250" s="1055"/>
      <c r="G250" s="1055"/>
      <c r="H250" s="1056"/>
      <c r="I250" s="1056"/>
      <c r="J250" s="1055"/>
      <c r="K250" s="1055"/>
      <c r="L250" s="1055"/>
      <c r="M250" s="1055"/>
      <c r="N250" s="1055"/>
      <c r="O250" s="1055"/>
    </row>
    <row r="251">
      <c r="A251" s="1059"/>
      <c r="B251" s="1059"/>
      <c r="C251" s="1056"/>
      <c r="D251" s="1056"/>
      <c r="E251" s="1056"/>
      <c r="F251" s="1055"/>
      <c r="G251" s="1055"/>
      <c r="H251" s="1056"/>
      <c r="I251" s="1056"/>
      <c r="J251" s="1055"/>
      <c r="K251" s="1055"/>
      <c r="L251" s="1055"/>
      <c r="M251" s="1055"/>
      <c r="N251" s="1055"/>
      <c r="O251" s="1055"/>
    </row>
    <row r="252">
      <c r="A252" s="1059"/>
      <c r="B252" s="1059"/>
      <c r="C252" s="1056"/>
      <c r="D252" s="1056"/>
      <c r="E252" s="1056"/>
      <c r="F252" s="1055"/>
      <c r="G252" s="1055"/>
      <c r="H252" s="1056"/>
      <c r="I252" s="1056"/>
      <c r="J252" s="1055"/>
      <c r="K252" s="1055"/>
      <c r="L252" s="1055"/>
      <c r="M252" s="1055"/>
      <c r="N252" s="1055"/>
      <c r="O252" s="1055"/>
    </row>
    <row r="253">
      <c r="A253" s="1059"/>
      <c r="B253" s="1059"/>
      <c r="C253" s="1055"/>
      <c r="D253" s="1055"/>
      <c r="E253" s="1056"/>
      <c r="F253" s="1055"/>
      <c r="G253" s="1055"/>
      <c r="H253" s="1056"/>
      <c r="I253" s="1056"/>
      <c r="J253" s="1055"/>
      <c r="K253" s="1055"/>
      <c r="L253" s="1055"/>
      <c r="M253" s="1055"/>
      <c r="N253" s="1055"/>
      <c r="O253" s="1057"/>
    </row>
    <row r="254">
      <c r="A254" s="1059"/>
      <c r="B254" s="1059"/>
      <c r="C254" s="1055"/>
      <c r="D254" s="1055"/>
      <c r="E254" s="1056"/>
      <c r="F254" s="1055"/>
      <c r="G254" s="1055"/>
      <c r="H254" s="1056"/>
      <c r="I254" s="1056"/>
      <c r="J254" s="1055"/>
      <c r="K254" s="1055"/>
      <c r="L254" s="1055"/>
      <c r="M254" s="1055"/>
      <c r="N254" s="1055"/>
      <c r="O254" s="1057"/>
    </row>
    <row r="255">
      <c r="A255" s="1059"/>
      <c r="B255" s="1059"/>
      <c r="C255" s="1055"/>
      <c r="D255" s="1055"/>
      <c r="E255" s="1056"/>
      <c r="F255" s="1055"/>
      <c r="G255" s="1055"/>
      <c r="H255" s="1056"/>
      <c r="I255" s="1056"/>
      <c r="J255" s="1055"/>
      <c r="K255" s="1055"/>
      <c r="L255" s="1055"/>
      <c r="M255" s="1055"/>
      <c r="N255" s="1055"/>
      <c r="O255" s="1057"/>
    </row>
    <row r="256">
      <c r="A256" s="1059"/>
      <c r="B256" s="1059"/>
      <c r="C256" s="1055"/>
      <c r="D256" s="1055"/>
      <c r="E256" s="1056"/>
      <c r="F256" s="1055"/>
      <c r="G256" s="1055"/>
      <c r="H256" s="1056"/>
      <c r="I256" s="1056"/>
      <c r="J256" s="1055"/>
      <c r="K256" s="1055"/>
      <c r="L256" s="1055"/>
      <c r="M256" s="1055"/>
      <c r="N256" s="1055"/>
      <c r="O256" s="1057"/>
    </row>
    <row r="257">
      <c r="A257" s="1059"/>
      <c r="B257" s="1059"/>
      <c r="C257" s="1055"/>
      <c r="D257" s="1055"/>
      <c r="E257" s="1056"/>
      <c r="F257" s="1055"/>
      <c r="G257" s="1055"/>
      <c r="H257" s="1056"/>
      <c r="I257" s="1056"/>
      <c r="J257" s="1055"/>
      <c r="K257" s="1055"/>
      <c r="L257" s="1055"/>
      <c r="M257" s="1055"/>
      <c r="N257" s="1055"/>
      <c r="O257" s="1057"/>
    </row>
    <row r="258">
      <c r="A258" s="1059"/>
      <c r="B258" s="1059"/>
      <c r="C258" s="1055"/>
      <c r="D258" s="1055"/>
      <c r="E258" s="1056"/>
      <c r="F258" s="1055"/>
      <c r="G258" s="1055"/>
      <c r="H258" s="1056"/>
      <c r="I258" s="1056"/>
      <c r="J258" s="1055"/>
      <c r="K258" s="1055"/>
      <c r="L258" s="1055"/>
      <c r="M258" s="1055"/>
      <c r="N258" s="1055"/>
      <c r="O258" s="1057"/>
    </row>
    <row r="259">
      <c r="A259" s="1059"/>
      <c r="B259" s="1059"/>
      <c r="C259" s="1055"/>
      <c r="D259" s="1055"/>
      <c r="E259" s="1056"/>
      <c r="F259" s="1055"/>
      <c r="G259" s="1055"/>
      <c r="H259" s="1056"/>
      <c r="I259" s="1056"/>
      <c r="J259" s="1055"/>
      <c r="K259" s="1055"/>
      <c r="L259" s="1055"/>
      <c r="M259" s="1055"/>
      <c r="N259" s="1055"/>
      <c r="O259" s="1057"/>
    </row>
    <row r="260">
      <c r="A260" s="1059"/>
      <c r="B260" s="1059"/>
      <c r="C260" s="1055"/>
      <c r="D260" s="1055"/>
      <c r="E260" s="1056"/>
      <c r="F260" s="1055"/>
      <c r="G260" s="1055"/>
      <c r="H260" s="1056"/>
      <c r="I260" s="1056"/>
      <c r="J260" s="1055"/>
      <c r="K260" s="1055"/>
      <c r="L260" s="1055"/>
      <c r="M260" s="1055"/>
      <c r="N260" s="1055"/>
      <c r="O260" s="1057"/>
    </row>
    <row r="261">
      <c r="A261" s="1059"/>
      <c r="B261" s="1059"/>
      <c r="C261" s="1055"/>
      <c r="D261" s="1055"/>
      <c r="E261" s="1056"/>
      <c r="F261" s="1055"/>
      <c r="G261" s="1055"/>
      <c r="H261" s="1056"/>
      <c r="I261" s="1056"/>
      <c r="J261" s="1055"/>
      <c r="K261" s="1055"/>
      <c r="L261" s="1055"/>
      <c r="M261" s="1055"/>
      <c r="N261" s="1055"/>
      <c r="O261" s="1057"/>
    </row>
    <row r="262">
      <c r="A262" s="1059"/>
      <c r="B262" s="1059"/>
      <c r="C262" s="1056"/>
      <c r="D262" s="1056"/>
      <c r="E262" s="1056"/>
      <c r="F262" s="1055"/>
      <c r="G262" s="1055"/>
      <c r="H262" s="1056"/>
      <c r="I262" s="1056"/>
      <c r="J262" s="1055"/>
      <c r="K262" s="1055"/>
      <c r="L262" s="1055"/>
      <c r="M262" s="1055"/>
      <c r="N262" s="1055"/>
      <c r="O262" s="1057"/>
    </row>
    <row r="263">
      <c r="A263" s="1059"/>
      <c r="B263" s="1059"/>
      <c r="C263" s="1056"/>
      <c r="D263" s="1056"/>
      <c r="E263" s="1056"/>
      <c r="F263" s="1055"/>
      <c r="G263" s="1055"/>
      <c r="H263" s="1056"/>
      <c r="I263" s="1056"/>
      <c r="J263" s="1055"/>
      <c r="K263" s="1055"/>
      <c r="L263" s="1055"/>
      <c r="M263" s="1055"/>
      <c r="N263" s="1055"/>
      <c r="O263" s="1057"/>
    </row>
    <row r="264">
      <c r="A264" s="1059"/>
      <c r="B264" s="1059"/>
      <c r="C264" s="1056"/>
      <c r="D264" s="1056"/>
      <c r="E264" s="1056"/>
      <c r="F264" s="1055"/>
      <c r="G264" s="1055"/>
      <c r="H264" s="1056"/>
      <c r="I264" s="1056"/>
      <c r="J264" s="1055"/>
      <c r="K264" s="1055"/>
      <c r="L264" s="1055"/>
      <c r="M264" s="1055"/>
      <c r="N264" s="1055"/>
      <c r="O264" s="1057"/>
    </row>
    <row r="265">
      <c r="A265" s="1059"/>
      <c r="B265" s="1059"/>
      <c r="C265" s="1056"/>
      <c r="D265" s="1056"/>
      <c r="E265" s="1056"/>
      <c r="F265" s="1055"/>
      <c r="G265" s="1055"/>
      <c r="H265" s="1056"/>
      <c r="I265" s="1056"/>
      <c r="J265" s="1055"/>
      <c r="K265" s="1055"/>
      <c r="L265" s="1055"/>
      <c r="M265" s="1055"/>
      <c r="N265" s="1055"/>
      <c r="O265" s="1057"/>
    </row>
    <row r="266">
      <c r="A266" s="1059"/>
      <c r="B266" s="1059"/>
      <c r="C266" s="1055"/>
      <c r="D266" s="1055"/>
      <c r="E266" s="1056"/>
      <c r="F266" s="1055"/>
      <c r="G266" s="1055"/>
      <c r="H266" s="1056"/>
      <c r="I266" s="1056"/>
      <c r="J266" s="1055"/>
      <c r="K266" s="1055"/>
      <c r="L266" s="1055"/>
      <c r="M266" s="1055"/>
      <c r="N266" s="1055"/>
      <c r="O266" s="1057"/>
    </row>
    <row r="267">
      <c r="A267" s="1059"/>
      <c r="B267" s="1059"/>
      <c r="C267" s="1055"/>
      <c r="D267" s="1055"/>
      <c r="E267" s="1056"/>
      <c r="F267" s="1055"/>
      <c r="G267" s="1055"/>
      <c r="H267" s="1056"/>
      <c r="I267" s="1056"/>
      <c r="J267" s="1055"/>
      <c r="K267" s="1055"/>
      <c r="L267" s="1055"/>
      <c r="M267" s="1055"/>
      <c r="N267" s="1055"/>
      <c r="O267" s="1057"/>
    </row>
    <row r="268">
      <c r="A268" s="1059"/>
      <c r="B268" s="1059"/>
      <c r="C268" s="1055"/>
      <c r="D268" s="1055"/>
      <c r="E268" s="1056"/>
      <c r="F268" s="1055"/>
      <c r="G268" s="1055"/>
      <c r="H268" s="1056"/>
      <c r="I268" s="1056"/>
      <c r="J268" s="1055"/>
      <c r="K268" s="1055"/>
      <c r="L268" s="1055"/>
      <c r="M268" s="1055"/>
      <c r="N268" s="1055"/>
      <c r="O268" s="1057"/>
    </row>
    <row r="269">
      <c r="A269" s="1059"/>
      <c r="B269" s="1059"/>
      <c r="C269" s="1055"/>
      <c r="D269" s="1055"/>
      <c r="E269" s="1056"/>
      <c r="F269" s="1055"/>
      <c r="G269" s="1055"/>
      <c r="H269" s="1056"/>
      <c r="I269" s="1056"/>
      <c r="J269" s="1055"/>
      <c r="K269" s="1055"/>
      <c r="L269" s="1055"/>
      <c r="M269" s="1055"/>
      <c r="N269" s="1055"/>
      <c r="O269" s="1057"/>
    </row>
  </sheetData>
  <autoFilter ref="$A$1:$V$269"/>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s>
  <drawing r:id="rId29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8.13"/>
    <col customWidth="1" min="2" max="2" width="34.25"/>
    <col customWidth="1" min="4" max="4" width="15.38"/>
    <col customWidth="1" min="5" max="5" width="11.5"/>
    <col customWidth="1" min="15" max="16" width="22.0"/>
  </cols>
  <sheetData>
    <row r="1">
      <c r="A1" s="1052" t="s">
        <v>520</v>
      </c>
      <c r="B1" s="1052" t="s">
        <v>521</v>
      </c>
      <c r="C1" s="1052" t="s">
        <v>522</v>
      </c>
      <c r="D1" s="1052" t="s">
        <v>523</v>
      </c>
      <c r="E1" s="1052" t="s">
        <v>524</v>
      </c>
      <c r="F1" s="1052" t="s">
        <v>525</v>
      </c>
      <c r="G1" s="1052" t="s">
        <v>526</v>
      </c>
      <c r="H1" s="1052" t="s">
        <v>527</v>
      </c>
      <c r="I1" s="1052" t="s">
        <v>528</v>
      </c>
      <c r="J1" s="1052" t="s">
        <v>529</v>
      </c>
      <c r="K1" s="1052" t="s">
        <v>530</v>
      </c>
      <c r="L1" s="1052" t="s">
        <v>531</v>
      </c>
      <c r="M1" s="1052" t="s">
        <v>532</v>
      </c>
      <c r="N1" s="1052" t="s">
        <v>533</v>
      </c>
      <c r="O1" s="1052" t="s">
        <v>534</v>
      </c>
      <c r="P1" s="1053" t="s">
        <v>535</v>
      </c>
    </row>
    <row r="2">
      <c r="A2" s="1054" t="s">
        <v>1008</v>
      </c>
      <c r="B2" s="1054" t="s">
        <v>1009</v>
      </c>
      <c r="C2" s="1056"/>
      <c r="D2" s="1056"/>
      <c r="E2" s="1056"/>
      <c r="F2" s="1055" t="s">
        <v>407</v>
      </c>
      <c r="G2" s="1055" t="s">
        <v>540</v>
      </c>
      <c r="H2" s="1056"/>
      <c r="I2" s="1056"/>
      <c r="J2" s="1055" t="s">
        <v>540</v>
      </c>
      <c r="K2" s="1055" t="s">
        <v>541</v>
      </c>
      <c r="L2" s="1055" t="s">
        <v>542</v>
      </c>
      <c r="M2" s="1055" t="s">
        <v>543</v>
      </c>
      <c r="N2" s="1055" t="s">
        <v>1010</v>
      </c>
      <c r="O2" s="1055" t="s">
        <v>1011</v>
      </c>
      <c r="P2" s="1057" t="str">
        <f>IFERROR(__xludf.DUMMYFUNCTION("IFERROR(
  TEXT(
    DATE(
      INDEX(SPLIT(O2,"" ""),3),
      VLOOKUP(INDEX(SPLIT(O2,"" ""),1),{""jan."",1;""Feb"",2;""mar."",3;""Apr"",4;""May"",5;""jun."",6;""jul."",7;""Aug"",8;""Sep"",9;""Oct"",10;""nov."",11;""Dec"",12},2,FALSE),
      INDEX(SPLIT"&amp;"(O2,"" ""),2)
    ),
    ""dd/mm/yyyy""
  ),
"""")"),"10/04/2026")</f>
        <v>10/04/2026</v>
      </c>
    </row>
    <row r="3">
      <c r="A3" s="1054" t="s">
        <v>1012</v>
      </c>
      <c r="B3" s="1054" t="s">
        <v>1013</v>
      </c>
      <c r="C3" s="1056"/>
      <c r="D3" s="1056"/>
      <c r="E3" s="1056"/>
      <c r="F3" s="1055" t="s">
        <v>420</v>
      </c>
      <c r="G3" s="1055" t="s">
        <v>540</v>
      </c>
      <c r="H3" s="1056"/>
      <c r="I3" s="1056"/>
      <c r="J3" s="1055" t="s">
        <v>540</v>
      </c>
      <c r="K3" s="1055" t="s">
        <v>541</v>
      </c>
      <c r="L3" s="1055" t="s">
        <v>542</v>
      </c>
      <c r="M3" s="1055" t="s">
        <v>543</v>
      </c>
      <c r="N3" s="1055" t="s">
        <v>1014</v>
      </c>
      <c r="O3" s="1055" t="s">
        <v>1015</v>
      </c>
      <c r="P3" s="1057" t="str">
        <f>IFERROR(__xludf.DUMMYFUNCTION("IFERROR(
  TEXT(
    DATE(
      INDEX(SPLIT(O3,"" ""),3),
      VLOOKUP(INDEX(SPLIT(O3,"" ""),1),{""jan."",1;""Feb"",2;""mar."",3;""Apr"",4;""May"",5;""jun."",6;""jul."",7;""Aug"",8;""Sep"",9;""Oct"",10;""nov."",11;""Dec"",12},2,FALSE),
      INDEX(SPLIT"&amp;"(O3,"" ""),2)
    ),
    ""dd/mm/yyyy""
  ),
"""")"),"17/04/2026")</f>
        <v>17/04/2026</v>
      </c>
    </row>
    <row r="4">
      <c r="A4" s="1054" t="s">
        <v>1016</v>
      </c>
      <c r="B4" s="1054" t="s">
        <v>1017</v>
      </c>
      <c r="C4" s="1056"/>
      <c r="D4" s="1056"/>
      <c r="E4" s="1056"/>
      <c r="F4" s="1055" t="s">
        <v>384</v>
      </c>
      <c r="G4" s="1055" t="s">
        <v>540</v>
      </c>
      <c r="H4" s="1056"/>
      <c r="I4" s="1056"/>
      <c r="J4" s="1055" t="s">
        <v>540</v>
      </c>
      <c r="K4" s="1055" t="s">
        <v>541</v>
      </c>
      <c r="L4" s="1055" t="s">
        <v>542</v>
      </c>
      <c r="M4" s="1055" t="s">
        <v>543</v>
      </c>
      <c r="N4" s="1055" t="s">
        <v>866</v>
      </c>
      <c r="O4" s="1055" t="s">
        <v>1018</v>
      </c>
      <c r="P4" s="1057" t="str">
        <f>IFERROR(__xludf.DUMMYFUNCTION("IFERROR(
  TEXT(
    DATE(
      INDEX(SPLIT(O4,"" ""),3),
      VLOOKUP(INDEX(SPLIT(O4,"" ""),1),{""jan."",1;""Feb"",2;""mar."",3;""Apr"",4;""May"",5;""jun."",6;""jul."",7;""Aug"",8;""Sep"",9;""Oct"",10;""nov."",11;""Dec"",12},2,FALSE),
      INDEX(SPLIT"&amp;"(O4,"" ""),2)
    ),
    ""dd/mm/yyyy""
  ),
"""")"),"04/12/2025")</f>
        <v>04/12/2025</v>
      </c>
    </row>
    <row r="5">
      <c r="A5" s="1054" t="s">
        <v>1019</v>
      </c>
      <c r="B5" s="1054" t="s">
        <v>1020</v>
      </c>
      <c r="C5" s="1056"/>
      <c r="D5" s="1056"/>
      <c r="E5" s="1056"/>
      <c r="F5" s="1055" t="s">
        <v>399</v>
      </c>
      <c r="G5" s="1055" t="s">
        <v>540</v>
      </c>
      <c r="H5" s="1056"/>
      <c r="I5" s="1056"/>
      <c r="J5" s="1055" t="s">
        <v>540</v>
      </c>
      <c r="K5" s="1055" t="s">
        <v>541</v>
      </c>
      <c r="L5" s="1055" t="s">
        <v>542</v>
      </c>
      <c r="M5" s="1055" t="s">
        <v>543</v>
      </c>
      <c r="N5" s="1055" t="s">
        <v>1021</v>
      </c>
      <c r="O5" s="1055" t="s">
        <v>1022</v>
      </c>
      <c r="P5" s="1057" t="str">
        <f>IFERROR(__xludf.DUMMYFUNCTION("IFERROR(
  TEXT(
    DATE(
      INDEX(SPLIT(O5,"" ""),3),
      VLOOKUP(INDEX(SPLIT(O5,"" ""),1),{""jan."",1;""Feb"",2;""mar."",3;""Apr"",4;""May"",5;""jun."",6;""jul."",7;""Aug"",8;""Sep"",9;""Oct"",10;""nov."",11;""Dec"",12},2,FALSE),
      INDEX(SPLIT"&amp;"(O5,"" ""),2)
    ),
    ""dd/mm/yyyy""
  ),
"""")"),"29/04/2026")</f>
        <v>29/04/2026</v>
      </c>
    </row>
    <row r="6">
      <c r="A6" s="1054" t="s">
        <v>1023</v>
      </c>
      <c r="B6" s="1054" t="s">
        <v>1024</v>
      </c>
      <c r="C6" s="1056"/>
      <c r="D6" s="1056"/>
      <c r="E6" s="1056"/>
      <c r="F6" s="1055" t="s">
        <v>400</v>
      </c>
      <c r="G6" s="1055" t="s">
        <v>540</v>
      </c>
      <c r="H6" s="1056"/>
      <c r="I6" s="1056"/>
      <c r="J6" s="1055" t="s">
        <v>540</v>
      </c>
      <c r="K6" s="1055" t="s">
        <v>541</v>
      </c>
      <c r="L6" s="1055" t="s">
        <v>542</v>
      </c>
      <c r="M6" s="1055" t="s">
        <v>543</v>
      </c>
      <c r="N6" s="1055" t="s">
        <v>1025</v>
      </c>
      <c r="O6" s="1055" t="s">
        <v>1026</v>
      </c>
      <c r="P6" s="1057" t="str">
        <f>IFERROR(__xludf.DUMMYFUNCTION("IFERROR(
  TEXT(
    DATE(
      INDEX(SPLIT(O6,"" ""),3),
      VLOOKUP(INDEX(SPLIT(O6,"" ""),1),{""jan."",1;""Feb"",2;""mar."",3;""Apr"",4;""May"",5;""jun."",6;""jul."",7;""Aug"",8;""Sep"",9;""Oct"",10;""nov."",11;""Dec"",12},2,FALSE),
      INDEX(SPLIT"&amp;"(O6,"" ""),2)
    ),
    ""dd/mm/yyyy""
  ),
"""")"),"29/04/2026")</f>
        <v>29/04/2026</v>
      </c>
    </row>
    <row r="7">
      <c r="A7" s="1054" t="s">
        <v>1027</v>
      </c>
      <c r="B7" s="1054" t="s">
        <v>1028</v>
      </c>
      <c r="C7" s="1056"/>
      <c r="D7" s="1056"/>
      <c r="E7" s="1056"/>
      <c r="F7" s="1055" t="s">
        <v>417</v>
      </c>
      <c r="G7" s="1055" t="s">
        <v>540</v>
      </c>
      <c r="H7" s="1056"/>
      <c r="I7" s="1056"/>
      <c r="J7" s="1055" t="s">
        <v>540</v>
      </c>
      <c r="K7" s="1055" t="s">
        <v>541</v>
      </c>
      <c r="L7" s="1055" t="s">
        <v>542</v>
      </c>
      <c r="M7" s="1055" t="s">
        <v>543</v>
      </c>
      <c r="N7" s="1055" t="s">
        <v>615</v>
      </c>
      <c r="O7" s="1055" t="s">
        <v>1029</v>
      </c>
      <c r="P7" s="1057" t="str">
        <f>IFERROR(__xludf.DUMMYFUNCTION("IFERROR(
  TEXT(
    DATE(
      INDEX(SPLIT(O7,"" ""),3),
      VLOOKUP(INDEX(SPLIT(O7,"" ""),1),{""jan."",1;""Feb"",2;""mar."",3;""Apr"",4;""May"",5;""jun."",6;""jul."",7;""Aug"",8;""Sep"",9;""Oct"",10;""nov."",11;""Dec"",12},2,FALSE),
      INDEX(SPLIT"&amp;"(O7,"" ""),2)
    ),
    ""dd/mm/yyyy""
  ),
"""")"),"06/04/2026")</f>
        <v>06/04/2026</v>
      </c>
    </row>
    <row r="8">
      <c r="A8" s="1054" t="s">
        <v>1030</v>
      </c>
      <c r="B8" s="1054" t="s">
        <v>1031</v>
      </c>
      <c r="C8" s="1056"/>
      <c r="D8" s="1056"/>
      <c r="E8" s="1056"/>
      <c r="F8" s="1055" t="s">
        <v>403</v>
      </c>
      <c r="G8" s="1055" t="s">
        <v>540</v>
      </c>
      <c r="H8" s="1056"/>
      <c r="I8" s="1056"/>
      <c r="J8" s="1055" t="s">
        <v>540</v>
      </c>
      <c r="K8" s="1055" t="s">
        <v>541</v>
      </c>
      <c r="L8" s="1055" t="s">
        <v>542</v>
      </c>
      <c r="M8" s="1055" t="s">
        <v>543</v>
      </c>
      <c r="N8" s="1055" t="s">
        <v>1032</v>
      </c>
      <c r="O8" s="1055" t="s">
        <v>1033</v>
      </c>
      <c r="P8" s="1057" t="str">
        <f>IFERROR(__xludf.DUMMYFUNCTION("IFERROR(
  TEXT(
    DATE(
      INDEX(SPLIT(O8,"" ""),3),
      VLOOKUP(INDEX(SPLIT(O8,"" ""),1),{""jan."",1;""Feb"",2;""mar."",3;""Apr"",4;""May"",5;""jun."",6;""jul."",7;""Aug"",8;""Sep"",9;""Oct"",10;""nov."",11;""Dec"",12},2,FALSE),
      INDEX(SPLIT"&amp;"(O8,"" ""),2)
    ),
    ""dd/mm/yyyy""
  ),
"""")"),"10/04/2026")</f>
        <v>10/04/2026</v>
      </c>
    </row>
    <row r="9">
      <c r="A9" s="1054" t="s">
        <v>1034</v>
      </c>
      <c r="B9" s="1054" t="s">
        <v>1035</v>
      </c>
      <c r="C9" s="1056"/>
      <c r="D9" s="1056"/>
      <c r="E9" s="1056"/>
      <c r="F9" s="1055" t="s">
        <v>382</v>
      </c>
      <c r="G9" s="1055" t="s">
        <v>540</v>
      </c>
      <c r="H9" s="1056"/>
      <c r="I9" s="1056"/>
      <c r="J9" s="1055" t="s">
        <v>540</v>
      </c>
      <c r="K9" s="1055" t="s">
        <v>541</v>
      </c>
      <c r="L9" s="1055" t="s">
        <v>542</v>
      </c>
      <c r="M9" s="1055" t="s">
        <v>543</v>
      </c>
      <c r="N9" s="1055" t="s">
        <v>1036</v>
      </c>
      <c r="O9" s="1057">
        <v>46108.48819444444</v>
      </c>
      <c r="P9" s="1057" t="str">
        <f>IFERROR(__xludf.DUMMYFUNCTION("IFERROR(
  TEXT(
    DATE(
      INDEX(SPLIT(O9,"" ""),3),
      VLOOKUP(INDEX(SPLIT(O9,"" ""),1),{""jan."",1;""Feb"",2;""mar."",3;""Apr"",4;""May"",5;""jun."",6;""jul."",7;""Aug"",8;""Sep"",9;""Oct"",10;""nov."",11;""Dec"",12},2,FALSE),
      INDEX(SPLIT"&amp;"(O9,"" ""),2)
    ),
    ""dd/mm/yyyy""
  ),
"""")"),"27/03/2026")</f>
        <v>27/03/2026</v>
      </c>
    </row>
    <row r="10">
      <c r="A10" s="1054" t="s">
        <v>1037</v>
      </c>
      <c r="B10" s="1054" t="s">
        <v>1038</v>
      </c>
      <c r="C10" s="1056"/>
      <c r="D10" s="1056"/>
      <c r="E10" s="1056"/>
      <c r="F10" s="1055" t="s">
        <v>417</v>
      </c>
      <c r="G10" s="1055" t="s">
        <v>540</v>
      </c>
      <c r="H10" s="1056"/>
      <c r="I10" s="1056"/>
      <c r="J10" s="1055" t="s">
        <v>540</v>
      </c>
      <c r="K10" s="1055" t="s">
        <v>541</v>
      </c>
      <c r="L10" s="1055" t="s">
        <v>542</v>
      </c>
      <c r="M10" s="1055" t="s">
        <v>543</v>
      </c>
      <c r="N10" s="1055" t="s">
        <v>625</v>
      </c>
      <c r="O10" s="1055" t="s">
        <v>1039</v>
      </c>
      <c r="P10" s="1057" t="str">
        <f>IFERROR(__xludf.DUMMYFUNCTION("IFERROR(
  TEXT(
    DATE(
      INDEX(SPLIT(O10,"" ""),3),
      VLOOKUP(INDEX(SPLIT(O10,"" ""),1),{""jan."",1;""Feb"",2;""mar."",3;""Apr"",4;""May"",5;""jun."",6;""jul."",7;""Aug"",8;""Sep"",9;""Oct"",10;""nov."",11;""Dec"",12},2,FALSE),
      INDEX(SPL"&amp;"IT(O10,"" ""),2)
    ),
    ""dd/mm/yyyy""
  ),
"""")"),"08/04/2026")</f>
        <v>08/04/2026</v>
      </c>
    </row>
    <row r="11">
      <c r="A11" s="1054" t="s">
        <v>1040</v>
      </c>
      <c r="B11" s="1054" t="s">
        <v>1041</v>
      </c>
      <c r="C11" s="1056"/>
      <c r="D11" s="1056"/>
      <c r="E11" s="1056"/>
      <c r="F11" s="1055" t="s">
        <v>384</v>
      </c>
      <c r="G11" s="1055" t="s">
        <v>540</v>
      </c>
      <c r="H11" s="1056"/>
      <c r="I11" s="1056"/>
      <c r="J11" s="1055" t="s">
        <v>540</v>
      </c>
      <c r="K11" s="1055" t="s">
        <v>541</v>
      </c>
      <c r="L11" s="1055" t="s">
        <v>542</v>
      </c>
      <c r="M11" s="1055" t="s">
        <v>543</v>
      </c>
      <c r="N11" s="1055" t="s">
        <v>628</v>
      </c>
      <c r="O11" s="1055" t="s">
        <v>1042</v>
      </c>
      <c r="P11" s="1057" t="str">
        <f>IFERROR(__xludf.DUMMYFUNCTION("IFERROR(
  TEXT(
    DATE(
      INDEX(SPLIT(O11,"" ""),3),
      VLOOKUP(INDEX(SPLIT(O11,"" ""),1),{""jan."",1;""Feb"",2;""mar."",3;""Apr"",4;""May"",5;""jun."",6;""jul."",7;""Aug"",8;""Sep"",9;""Oct"",10;""nov."",11;""Dec"",12},2,FALSE),
      INDEX(SPL"&amp;"IT(O11,"" ""),2)
    ),
    ""dd/mm/yyyy""
  ),
"""")"),"10/04/2026")</f>
        <v>10/04/2026</v>
      </c>
    </row>
    <row r="12">
      <c r="A12" s="1054" t="s">
        <v>1043</v>
      </c>
      <c r="B12" s="1054" t="s">
        <v>1044</v>
      </c>
      <c r="C12" s="1056"/>
      <c r="D12" s="1056"/>
      <c r="E12" s="1056"/>
      <c r="F12" s="1055" t="s">
        <v>417</v>
      </c>
      <c r="G12" s="1055" t="s">
        <v>540</v>
      </c>
      <c r="H12" s="1056"/>
      <c r="I12" s="1056"/>
      <c r="J12" s="1055" t="s">
        <v>540</v>
      </c>
      <c r="K12" s="1055" t="s">
        <v>541</v>
      </c>
      <c r="L12" s="1055" t="s">
        <v>542</v>
      </c>
      <c r="M12" s="1055" t="s">
        <v>543</v>
      </c>
      <c r="N12" s="1055" t="s">
        <v>1045</v>
      </c>
      <c r="O12" s="1055" t="s">
        <v>1046</v>
      </c>
      <c r="P12" s="1057" t="str">
        <f>IFERROR(__xludf.DUMMYFUNCTION("IFERROR(
  TEXT(
    DATE(
      INDEX(SPLIT(O12,"" ""),3),
      VLOOKUP(INDEX(SPLIT(O12,"" ""),1),{""jan."",1;""Feb"",2;""mar."",3;""Apr"",4;""May"",5;""jun."",6;""jul."",7;""Aug"",8;""Sep"",9;""Oct"",10;""nov."",11;""Dec"",12},2,FALSE),
      INDEX(SPL"&amp;"IT(O12,"" ""),2)
    ),
    ""dd/mm/yyyy""
  ),
"""")"),"05/05/2026")</f>
        <v>05/05/2026</v>
      </c>
    </row>
    <row r="13">
      <c r="A13" s="1054" t="s">
        <v>1047</v>
      </c>
      <c r="B13" s="1054" t="s">
        <v>1048</v>
      </c>
      <c r="C13" s="1056"/>
      <c r="D13" s="1056"/>
      <c r="E13" s="1056"/>
      <c r="F13" s="1055" t="s">
        <v>399</v>
      </c>
      <c r="G13" s="1055" t="s">
        <v>540</v>
      </c>
      <c r="H13" s="1056"/>
      <c r="I13" s="1056"/>
      <c r="J13" s="1055" t="s">
        <v>540</v>
      </c>
      <c r="K13" s="1055" t="s">
        <v>541</v>
      </c>
      <c r="L13" s="1055" t="s">
        <v>542</v>
      </c>
      <c r="M13" s="1055" t="s">
        <v>543</v>
      </c>
      <c r="N13" s="1055" t="s">
        <v>1049</v>
      </c>
      <c r="O13" s="1055" t="s">
        <v>1050</v>
      </c>
      <c r="P13" s="1057" t="str">
        <f>IFERROR(__xludf.DUMMYFUNCTION("IFERROR(
  TEXT(
    DATE(
      INDEX(SPLIT(O13,"" ""),3),
      VLOOKUP(INDEX(SPLIT(O13,"" ""),1),{""jan."",1;""Feb"",2;""mar."",3;""Apr"",4;""May"",5;""jun."",6;""jul."",7;""Aug"",8;""Sep"",9;""Oct"",10;""nov."",11;""Dec"",12},2,FALSE),
      INDEX(SPL"&amp;"IT(O13,"" ""),2)
    ),
    ""dd/mm/yyyy""
  ),
"""")"),"10/04/2026")</f>
        <v>10/04/2026</v>
      </c>
    </row>
    <row r="14">
      <c r="A14" s="1054" t="s">
        <v>1051</v>
      </c>
      <c r="B14" s="1054" t="s">
        <v>1052</v>
      </c>
      <c r="C14" s="1056"/>
      <c r="D14" s="1056"/>
      <c r="E14" s="1056"/>
      <c r="F14" s="1055" t="s">
        <v>402</v>
      </c>
      <c r="G14" s="1055" t="s">
        <v>540</v>
      </c>
      <c r="H14" s="1056"/>
      <c r="I14" s="1056"/>
      <c r="J14" s="1055" t="s">
        <v>540</v>
      </c>
      <c r="K14" s="1055" t="s">
        <v>541</v>
      </c>
      <c r="L14" s="1055" t="s">
        <v>542</v>
      </c>
      <c r="M14" s="1055" t="s">
        <v>543</v>
      </c>
      <c r="N14" s="1055" t="s">
        <v>1053</v>
      </c>
      <c r="O14" s="1055" t="s">
        <v>1054</v>
      </c>
      <c r="P14" s="1057" t="str">
        <f>IFERROR(__xludf.DUMMYFUNCTION("IFERROR(
  TEXT(
    DATE(
      INDEX(SPLIT(O14,"" ""),3),
      VLOOKUP(INDEX(SPLIT(O14,"" ""),1),{""jan."",1;""Feb"",2;""mar."",3;""Apr"",4;""May"",5;""jun."",6;""jul."",7;""Aug"",8;""Sep"",9;""Oct"",10;""nov."",11;""Dec"",12},2,FALSE),
      INDEX(SPL"&amp;"IT(O14,"" ""),2)
    ),
    ""dd/mm/yyyy""
  ),
"""")"),"07/04/2026")</f>
        <v>07/04/2026</v>
      </c>
    </row>
    <row r="15">
      <c r="A15" s="1054" t="s">
        <v>1055</v>
      </c>
      <c r="B15" s="1054" t="s">
        <v>1056</v>
      </c>
      <c r="C15" s="1056"/>
      <c r="D15" s="1056"/>
      <c r="E15" s="1056"/>
      <c r="F15" s="1055" t="s">
        <v>414</v>
      </c>
      <c r="G15" s="1055" t="s">
        <v>540</v>
      </c>
      <c r="H15" s="1056"/>
      <c r="I15" s="1056"/>
      <c r="J15" s="1055" t="s">
        <v>540</v>
      </c>
      <c r="K15" s="1055" t="s">
        <v>541</v>
      </c>
      <c r="L15" s="1055" t="s">
        <v>542</v>
      </c>
      <c r="M15" s="1055" t="s">
        <v>543</v>
      </c>
      <c r="N15" s="1055" t="s">
        <v>1057</v>
      </c>
      <c r="O15" s="1057">
        <v>46052.49097222222</v>
      </c>
      <c r="P15" s="1057" t="str">
        <f>IFERROR(__xludf.DUMMYFUNCTION("IFERROR(
  TEXT(
    DATE(
      INDEX(SPLIT(O15,"" ""),3),
      VLOOKUP(INDEX(SPLIT(O15,"" ""),1),{""jan."",1;""Feb"",2;""mar."",3;""Apr"",4;""May"",5;""jun."",6;""jul."",7;""Aug"",8;""Sep"",9;""Oct"",10;""nov."",11;""Dec"",12},2,FALSE),
      INDEX(SPL"&amp;"IT(O15,"" ""),2)
    ),
    ""dd/mm/yyyy""
  ),
"""")"),"30/01/2026")</f>
        <v>30/01/2026</v>
      </c>
    </row>
    <row r="16">
      <c r="A16" s="1054" t="s">
        <v>1058</v>
      </c>
      <c r="B16" s="1054" t="s">
        <v>1059</v>
      </c>
      <c r="C16" s="1056"/>
      <c r="D16" s="1056"/>
      <c r="E16" s="1056"/>
      <c r="F16" s="1055" t="s">
        <v>418</v>
      </c>
      <c r="G16" s="1055" t="s">
        <v>540</v>
      </c>
      <c r="H16" s="1056"/>
      <c r="I16" s="1056"/>
      <c r="J16" s="1055" t="s">
        <v>540</v>
      </c>
      <c r="K16" s="1055" t="s">
        <v>541</v>
      </c>
      <c r="L16" s="1055" t="s">
        <v>542</v>
      </c>
      <c r="M16" s="1055" t="s">
        <v>543</v>
      </c>
      <c r="N16" s="1055" t="s">
        <v>1060</v>
      </c>
      <c r="O16" s="1057">
        <v>46099.427777777775</v>
      </c>
      <c r="P16" s="1057" t="str">
        <f>IFERROR(__xludf.DUMMYFUNCTION("IFERROR(
  TEXT(
    DATE(
      INDEX(SPLIT(O16,"" ""),3),
      VLOOKUP(INDEX(SPLIT(O16,"" ""),1),{""jan."",1;""Feb"",2;""mar."",3;""Apr"",4;""May"",5;""jun."",6;""jul."",7;""Aug"",8;""Sep"",9;""Oct"",10;""nov."",11;""Dec"",12},2,FALSE),
      INDEX(SPL"&amp;"IT(O16,"" ""),2)
    ),
    ""dd/mm/yyyy""
  ),
"""")"),"18/03/2026")</f>
        <v>18/03/2026</v>
      </c>
    </row>
    <row r="17">
      <c r="A17" s="1054" t="s">
        <v>1061</v>
      </c>
      <c r="B17" s="1054" t="s">
        <v>1062</v>
      </c>
      <c r="C17" s="1058"/>
      <c r="D17" s="1058"/>
      <c r="E17" s="1056"/>
      <c r="F17" s="1055" t="s">
        <v>406</v>
      </c>
      <c r="G17" s="1055" t="s">
        <v>540</v>
      </c>
      <c r="H17" s="1056"/>
      <c r="I17" s="1056"/>
      <c r="J17" s="1055" t="s">
        <v>540</v>
      </c>
      <c r="K17" s="1055" t="s">
        <v>541</v>
      </c>
      <c r="L17" s="1055" t="s">
        <v>542</v>
      </c>
      <c r="M17" s="1055" t="s">
        <v>543</v>
      </c>
      <c r="N17" s="1055" t="s">
        <v>1063</v>
      </c>
      <c r="O17" s="1057">
        <v>46107.736805555556</v>
      </c>
      <c r="P17" s="1057" t="str">
        <f>IFERROR(__xludf.DUMMYFUNCTION("IFERROR(
  TEXT(
    DATE(
      INDEX(SPLIT(O17,"" ""),3),
      VLOOKUP(INDEX(SPLIT(O17,"" ""),1),{""jan."",1;""Feb"",2;""mar."",3;""Apr"",4;""May"",5;""jun."",6;""jul."",7;""Aug"",8;""Sep"",9;""Oct"",10;""nov."",11;""Dec"",12},2,FALSE),
      INDEX(SPL"&amp;"IT(O17,"" ""),2)
    ),
    ""dd/mm/yyyy""
  ),
"""")"),"26/03/2026")</f>
        <v>26/03/2026</v>
      </c>
    </row>
    <row r="18">
      <c r="A18" s="1054" t="s">
        <v>1064</v>
      </c>
      <c r="B18" s="1054" t="s">
        <v>1065</v>
      </c>
      <c r="C18" s="1058"/>
      <c r="D18" s="1058"/>
      <c r="E18" s="1056"/>
      <c r="F18" s="1055" t="s">
        <v>411</v>
      </c>
      <c r="G18" s="1055" t="s">
        <v>540</v>
      </c>
      <c r="H18" s="1056"/>
      <c r="I18" s="1056"/>
      <c r="J18" s="1055" t="s">
        <v>540</v>
      </c>
      <c r="K18" s="1055" t="s">
        <v>541</v>
      </c>
      <c r="L18" s="1055" t="s">
        <v>542</v>
      </c>
      <c r="M18" s="1055" t="s">
        <v>543</v>
      </c>
      <c r="N18" s="1055" t="s">
        <v>1066</v>
      </c>
      <c r="O18" s="1057">
        <v>45970.830555555556</v>
      </c>
      <c r="P18" s="1057" t="str">
        <f>IFERROR(__xludf.DUMMYFUNCTION("IFERROR(
  TEXT(
    DATE(
      INDEX(SPLIT(O18,"" ""),3),
      VLOOKUP(INDEX(SPLIT(O18,"" ""),1),{""jan."",1;""Feb"",2;""mar."",3;""Apr"",4;""May"",5;""jun."",6;""jul."",7;""Aug"",8;""Sep"",9;""Oct"",10;""nov."",11;""Dec"",12},2,FALSE),
      INDEX(SPL"&amp;"IT(O18,"" ""),2)
    ),
    ""dd/mm/yyyy""
  ),
"""")"),"09/11/2025")</f>
        <v>09/11/2025</v>
      </c>
    </row>
    <row r="19">
      <c r="A19" s="1054" t="s">
        <v>1067</v>
      </c>
      <c r="B19" s="1054" t="s">
        <v>1068</v>
      </c>
      <c r="C19" s="1058"/>
      <c r="D19" s="1058"/>
      <c r="E19" s="1056"/>
      <c r="F19" s="1055" t="s">
        <v>387</v>
      </c>
      <c r="G19" s="1055" t="s">
        <v>540</v>
      </c>
      <c r="H19" s="1056"/>
      <c r="I19" s="1056"/>
      <c r="J19" s="1055" t="s">
        <v>540</v>
      </c>
      <c r="K19" s="1055" t="s">
        <v>541</v>
      </c>
      <c r="L19" s="1055" t="s">
        <v>542</v>
      </c>
      <c r="M19" s="1055" t="s">
        <v>543</v>
      </c>
      <c r="N19" s="1055" t="s">
        <v>1069</v>
      </c>
      <c r="O19" s="1057">
        <v>46052.62222222222</v>
      </c>
      <c r="P19" s="1057" t="str">
        <f>IFERROR(__xludf.DUMMYFUNCTION("IFERROR(
  TEXT(
    DATE(
      INDEX(SPLIT(O19,"" ""),3),
      VLOOKUP(INDEX(SPLIT(O19,"" ""),1),{""jan."",1;""Feb"",2;""mar."",3;""Apr"",4;""May"",5;""jun."",6;""jul."",7;""Aug"",8;""Sep"",9;""Oct"",10;""nov."",11;""Dec"",12},2,FALSE),
      INDEX(SPL"&amp;"IT(O19,"" ""),2)
    ),
    ""dd/mm/yyyy""
  ),
"""")"),"30/01/2026")</f>
        <v>30/01/2026</v>
      </c>
    </row>
    <row r="20">
      <c r="A20" s="1054" t="s">
        <v>1070</v>
      </c>
      <c r="B20" s="1054" t="s">
        <v>1071</v>
      </c>
      <c r="C20" s="1058"/>
      <c r="D20" s="1058"/>
      <c r="E20" s="1056"/>
      <c r="F20" s="1055" t="s">
        <v>412</v>
      </c>
      <c r="G20" s="1055" t="s">
        <v>540</v>
      </c>
      <c r="H20" s="1056"/>
      <c r="I20" s="1056"/>
      <c r="J20" s="1055" t="s">
        <v>540</v>
      </c>
      <c r="K20" s="1055" t="s">
        <v>541</v>
      </c>
      <c r="L20" s="1055" t="s">
        <v>542</v>
      </c>
      <c r="M20" s="1055" t="s">
        <v>543</v>
      </c>
      <c r="N20" s="1055" t="s">
        <v>1072</v>
      </c>
      <c r="O20" s="1055" t="s">
        <v>1073</v>
      </c>
      <c r="P20" s="1057" t="str">
        <f>IFERROR(__xludf.DUMMYFUNCTION("IFERROR(
  TEXT(
    DATE(
      INDEX(SPLIT(O20,"" ""),3),
      VLOOKUP(INDEX(SPLIT(O20,"" ""),1),{""jan."",1;""Feb"",2;""mar."",3;""Apr"",4;""May"",5;""jun."",6;""jul."",7;""Aug"",8;""Sep"",9;""Oct"",10;""nov."",11;""Dec"",12},2,FALSE),
      INDEX(SPL"&amp;"IT(O20,"" ""),2)
    ),
    ""dd/mm/yyyy""
  ),
"""")"),"11/05/2026")</f>
        <v>11/05/2026</v>
      </c>
    </row>
    <row r="21">
      <c r="A21" s="1054" t="s">
        <v>1074</v>
      </c>
      <c r="B21" s="1054" t="s">
        <v>1075</v>
      </c>
      <c r="C21" s="1058"/>
      <c r="D21" s="1058"/>
      <c r="E21" s="1056"/>
      <c r="F21" s="1055" t="s">
        <v>414</v>
      </c>
      <c r="G21" s="1055" t="s">
        <v>540</v>
      </c>
      <c r="H21" s="1056"/>
      <c r="I21" s="1056"/>
      <c r="J21" s="1055" t="s">
        <v>540</v>
      </c>
      <c r="K21" s="1055" t="s">
        <v>541</v>
      </c>
      <c r="L21" s="1055" t="s">
        <v>542</v>
      </c>
      <c r="M21" s="1055" t="s">
        <v>543</v>
      </c>
      <c r="N21" s="1055" t="s">
        <v>1076</v>
      </c>
      <c r="O21" s="1057">
        <v>46045.49513888889</v>
      </c>
      <c r="P21" s="1057" t="str">
        <f>IFERROR(__xludf.DUMMYFUNCTION("IFERROR(
  TEXT(
    DATE(
      INDEX(SPLIT(O21,"" ""),3),
      VLOOKUP(INDEX(SPLIT(O21,"" ""),1),{""jan."",1;""Feb"",2;""mar."",3;""Apr"",4;""May"",5;""jun."",6;""jul."",7;""Aug"",8;""Sep"",9;""Oct"",10;""nov."",11;""Dec"",12},2,FALSE),
      INDEX(SPL"&amp;"IT(O21,"" ""),2)
    ),
    ""dd/mm/yyyy""
  ),
"""")"),"23/01/2026")</f>
        <v>23/01/2026</v>
      </c>
    </row>
    <row r="22">
      <c r="A22" s="1054" t="s">
        <v>1077</v>
      </c>
      <c r="B22" s="1054" t="s">
        <v>1078</v>
      </c>
      <c r="C22" s="1058"/>
      <c r="D22" s="1058"/>
      <c r="E22" s="1056"/>
      <c r="F22" s="1055" t="s">
        <v>377</v>
      </c>
      <c r="G22" s="1055" t="s">
        <v>540</v>
      </c>
      <c r="H22" s="1056"/>
      <c r="I22" s="1056"/>
      <c r="J22" s="1055" t="s">
        <v>540</v>
      </c>
      <c r="K22" s="1055" t="s">
        <v>541</v>
      </c>
      <c r="L22" s="1055" t="s">
        <v>542</v>
      </c>
      <c r="M22" s="1055" t="s">
        <v>543</v>
      </c>
      <c r="N22" s="1055" t="s">
        <v>603</v>
      </c>
      <c r="O22" s="1055" t="s">
        <v>1079</v>
      </c>
      <c r="P22" s="1057" t="str">
        <f>IFERROR(__xludf.DUMMYFUNCTION("IFERROR(
  TEXT(
    DATE(
      INDEX(SPLIT(O22,"" ""),3),
      VLOOKUP(INDEX(SPLIT(O22,"" ""),1),{""jan."",1;""Feb"",2;""mar."",3;""Apr"",4;""May"",5;""jun."",6;""jul."",7;""Aug"",8;""Sep"",9;""Oct"",10;""nov."",11;""Dec"",12},2,FALSE),
      INDEX(SPL"&amp;"IT(O22,"" ""),2)
    ),
    ""dd/mm/yyyy""
  ),
"""")"),"04/02/2025")</f>
        <v>04/02/2025</v>
      </c>
    </row>
    <row r="23">
      <c r="A23" s="1054" t="s">
        <v>1080</v>
      </c>
      <c r="B23" s="1054" t="s">
        <v>1081</v>
      </c>
      <c r="C23" s="1058"/>
      <c r="D23" s="1058"/>
      <c r="E23" s="1056"/>
      <c r="F23" s="1055" t="s">
        <v>377</v>
      </c>
      <c r="G23" s="1055" t="s">
        <v>540</v>
      </c>
      <c r="H23" s="1056"/>
      <c r="I23" s="1056"/>
      <c r="J23" s="1055" t="s">
        <v>540</v>
      </c>
      <c r="K23" s="1055" t="s">
        <v>541</v>
      </c>
      <c r="L23" s="1055" t="s">
        <v>542</v>
      </c>
      <c r="M23" s="1055" t="s">
        <v>543</v>
      </c>
      <c r="N23" s="1055" t="s">
        <v>1082</v>
      </c>
      <c r="O23" s="1055" t="s">
        <v>1079</v>
      </c>
      <c r="P23" s="1057" t="str">
        <f>IFERROR(__xludf.DUMMYFUNCTION("IFERROR(
  TEXT(
    DATE(
      INDEX(SPLIT(O23,"" ""),3),
      VLOOKUP(INDEX(SPLIT(O23,"" ""),1),{""jan."",1;""Feb"",2;""mar."",3;""Apr"",4;""May"",5;""jun."",6;""jul."",7;""Aug"",8;""Sep"",9;""Oct"",10;""nov."",11;""Dec"",12},2,FALSE),
      INDEX(SPL"&amp;"IT(O23,"" ""),2)
    ),
    ""dd/mm/yyyy""
  ),
"""")"),"04/02/2025")</f>
        <v>04/02/2025</v>
      </c>
    </row>
    <row r="24">
      <c r="A24" s="1054" t="s">
        <v>1083</v>
      </c>
      <c r="B24" s="1054" t="s">
        <v>1084</v>
      </c>
      <c r="C24" s="1055" t="s">
        <v>1085</v>
      </c>
      <c r="D24" s="1055" t="s">
        <v>539</v>
      </c>
      <c r="E24" s="1056"/>
      <c r="F24" s="1055" t="s">
        <v>384</v>
      </c>
      <c r="G24" s="1055" t="s">
        <v>540</v>
      </c>
      <c r="H24" s="1056"/>
      <c r="I24" s="1056"/>
      <c r="J24" s="1055" t="s">
        <v>540</v>
      </c>
      <c r="K24" s="1055" t="s">
        <v>541</v>
      </c>
      <c r="L24" s="1055" t="s">
        <v>542</v>
      </c>
      <c r="M24" s="1055" t="s">
        <v>543</v>
      </c>
      <c r="N24" s="1055" t="s">
        <v>1086</v>
      </c>
      <c r="O24" s="1055" t="s">
        <v>1087</v>
      </c>
      <c r="P24" s="1057" t="str">
        <f>IFERROR(__xludf.DUMMYFUNCTION("IFERROR(
  TEXT(
    DATE(
      INDEX(SPLIT(O24,"" ""),3),
      VLOOKUP(INDEX(SPLIT(O24,"" ""),1),{""jan."",1;""Feb"",2;""mar."",3;""Apr"",4;""May"",5;""jun."",6;""jul."",7;""Aug"",8;""Sep"",9;""Oct"",10;""nov."",11;""Dec"",12},2,FALSE),
      INDEX(SPL"&amp;"IT(O24,"" ""),2)
    ),
    ""dd/mm/yyyy""
  ),
"""")"),"04/02/2025")</f>
        <v>04/02/2025</v>
      </c>
    </row>
    <row r="25">
      <c r="A25" s="1054" t="s">
        <v>1088</v>
      </c>
      <c r="B25" s="1054" t="s">
        <v>1089</v>
      </c>
      <c r="C25" s="1055" t="s">
        <v>1085</v>
      </c>
      <c r="D25" s="1055" t="s">
        <v>539</v>
      </c>
      <c r="E25" s="1056"/>
      <c r="F25" s="1055" t="s">
        <v>401</v>
      </c>
      <c r="G25" s="1055" t="s">
        <v>540</v>
      </c>
      <c r="H25" s="1056"/>
      <c r="I25" s="1056"/>
      <c r="J25" s="1055" t="s">
        <v>540</v>
      </c>
      <c r="K25" s="1055" t="s">
        <v>541</v>
      </c>
      <c r="L25" s="1055" t="s">
        <v>542</v>
      </c>
      <c r="M25" s="1055" t="s">
        <v>543</v>
      </c>
      <c r="N25" s="1055" t="s">
        <v>1090</v>
      </c>
      <c r="O25" s="1055" t="s">
        <v>1087</v>
      </c>
      <c r="P25" s="1057" t="str">
        <f>IFERROR(__xludf.DUMMYFUNCTION("IFERROR(
  TEXT(
    DATE(
      INDEX(SPLIT(O25,"" ""),3),
      VLOOKUP(INDEX(SPLIT(O25,"" ""),1),{""jan."",1;""Feb"",2;""mar."",3;""Apr"",4;""May"",5;""jun."",6;""jul."",7;""Aug"",8;""Sep"",9;""Oct"",10;""nov."",11;""Dec"",12},2,FALSE),
      INDEX(SPL"&amp;"IT(O25,"" ""),2)
    ),
    ""dd/mm/yyyy""
  ),
"""")"),"04/02/2025")</f>
        <v>04/02/2025</v>
      </c>
    </row>
    <row r="26">
      <c r="A26" s="1054" t="s">
        <v>1091</v>
      </c>
      <c r="B26" s="1054" t="s">
        <v>1092</v>
      </c>
      <c r="C26" s="1055" t="s">
        <v>1085</v>
      </c>
      <c r="D26" s="1055" t="s">
        <v>539</v>
      </c>
      <c r="E26" s="1056"/>
      <c r="F26" s="1055" t="s">
        <v>412</v>
      </c>
      <c r="G26" s="1055" t="s">
        <v>540</v>
      </c>
      <c r="H26" s="1056"/>
      <c r="I26" s="1056"/>
      <c r="J26" s="1055" t="s">
        <v>540</v>
      </c>
      <c r="K26" s="1055" t="s">
        <v>541</v>
      </c>
      <c r="L26" s="1055" t="s">
        <v>542</v>
      </c>
      <c r="M26" s="1055" t="s">
        <v>543</v>
      </c>
      <c r="N26" s="1055" t="s">
        <v>1093</v>
      </c>
      <c r="O26" s="1055" t="s">
        <v>1094</v>
      </c>
      <c r="P26" s="1057" t="str">
        <f>IFERROR(__xludf.DUMMYFUNCTION("IFERROR(
  TEXT(
    DATE(
      INDEX(SPLIT(O26,"" ""),3),
      VLOOKUP(INDEX(SPLIT(O26,"" ""),1),{""jan."",1;""Feb"",2;""mar."",3;""Apr"",4;""May"",5;""jun."",6;""jul."",7;""Aug"",8;""Sep"",9;""Oct"",10;""nov."",11;""Dec"",12},2,FALSE),
      INDEX(SPL"&amp;"IT(O26,"" ""),2)
    ),
    ""dd/mm/yyyy""
  ),
"""")"),"04/02/2025")</f>
        <v>04/02/2025</v>
      </c>
    </row>
    <row r="27">
      <c r="A27" s="1054" t="s">
        <v>1095</v>
      </c>
      <c r="B27" s="1054" t="s">
        <v>1096</v>
      </c>
      <c r="C27" s="1058"/>
      <c r="D27" s="1058"/>
      <c r="E27" s="1056"/>
      <c r="F27" s="1055" t="s">
        <v>387</v>
      </c>
      <c r="G27" s="1055" t="s">
        <v>540</v>
      </c>
      <c r="H27" s="1056"/>
      <c r="I27" s="1056"/>
      <c r="J27" s="1055" t="s">
        <v>540</v>
      </c>
      <c r="K27" s="1055" t="s">
        <v>541</v>
      </c>
      <c r="L27" s="1055" t="s">
        <v>542</v>
      </c>
      <c r="M27" s="1055" t="s">
        <v>543</v>
      </c>
      <c r="N27" s="1055" t="s">
        <v>1097</v>
      </c>
      <c r="O27" s="1055" t="s">
        <v>1098</v>
      </c>
      <c r="P27" s="1057" t="str">
        <f>IFERROR(__xludf.DUMMYFUNCTION("IFERROR(
  TEXT(
    DATE(
      INDEX(SPLIT(O27,"" ""),3),
      VLOOKUP(INDEX(SPLIT(O27,"" ""),1),{""jan."",1;""Feb"",2;""mar."",3;""Apr"",4;""May"",5;""jun."",6;""jul."",7;""Aug"",8;""Sep"",9;""Oct"",10;""nov."",11;""Dec"",12},2,FALSE),
      INDEX(SPL"&amp;"IT(O27,"" ""),2)
    ),
    ""dd/mm/yyyy""
  ),
"""")"),"04/02/2025")</f>
        <v>04/02/2025</v>
      </c>
    </row>
    <row r="28">
      <c r="A28" s="1054" t="s">
        <v>1099</v>
      </c>
      <c r="B28" s="1054" t="s">
        <v>1100</v>
      </c>
      <c r="C28" s="1058"/>
      <c r="D28" s="1055" t="s">
        <v>539</v>
      </c>
      <c r="E28" s="1056"/>
      <c r="F28" s="1055" t="s">
        <v>417</v>
      </c>
      <c r="G28" s="1055" t="s">
        <v>540</v>
      </c>
      <c r="H28" s="1056"/>
      <c r="I28" s="1056"/>
      <c r="J28" s="1055" t="s">
        <v>540</v>
      </c>
      <c r="K28" s="1055" t="s">
        <v>541</v>
      </c>
      <c r="L28" s="1055" t="s">
        <v>540</v>
      </c>
      <c r="M28" s="1055" t="s">
        <v>540</v>
      </c>
      <c r="N28" s="1055" t="s">
        <v>1101</v>
      </c>
      <c r="O28" s="1055" t="s">
        <v>1098</v>
      </c>
      <c r="P28" s="1057" t="str">
        <f>IFERROR(__xludf.DUMMYFUNCTION("IFERROR(
  TEXT(
    DATE(
      INDEX(SPLIT(O28,"" ""),3),
      VLOOKUP(INDEX(SPLIT(O28,"" ""),1),{""jan."",1;""Feb"",2;""mar."",3;""Apr"",4;""May"",5;""jun."",6;""jul."",7;""Aug"",8;""Sep"",9;""Oct"",10;""nov."",11;""Dec"",12},2,FALSE),
      INDEX(SPL"&amp;"IT(O28,"" ""),2)
    ),
    ""dd/mm/yyyy""
  ),
"""")"),"04/02/2025")</f>
        <v>04/02/2025</v>
      </c>
    </row>
    <row r="29">
      <c r="A29" s="1054" t="s">
        <v>1102</v>
      </c>
      <c r="B29" s="1054" t="s">
        <v>1103</v>
      </c>
      <c r="C29" s="1055" t="s">
        <v>1085</v>
      </c>
      <c r="D29" s="1055" t="s">
        <v>539</v>
      </c>
      <c r="E29" s="1056"/>
      <c r="F29" s="1055" t="s">
        <v>387</v>
      </c>
      <c r="G29" s="1055" t="s">
        <v>540</v>
      </c>
      <c r="H29" s="1056"/>
      <c r="I29" s="1056"/>
      <c r="J29" s="1055" t="s">
        <v>540</v>
      </c>
      <c r="K29" s="1055" t="s">
        <v>541</v>
      </c>
      <c r="L29" s="1055" t="s">
        <v>542</v>
      </c>
      <c r="M29" s="1055" t="s">
        <v>543</v>
      </c>
      <c r="N29" s="1055" t="s">
        <v>1104</v>
      </c>
      <c r="O29" s="1055" t="s">
        <v>1094</v>
      </c>
      <c r="P29" s="1057" t="str">
        <f>IFERROR(__xludf.DUMMYFUNCTION("IFERROR(
  TEXT(
    DATE(
      INDEX(SPLIT(O29,"" ""),3),
      VLOOKUP(INDEX(SPLIT(O29,"" ""),1),{""jan."",1;""Feb"",2;""mar."",3;""Apr"",4;""May"",5;""jun."",6;""jul."",7;""Aug"",8;""Sep"",9;""Oct"",10;""nov."",11;""Dec"",12},2,FALSE),
      INDEX(SPL"&amp;"IT(O29,"" ""),2)
    ),
    ""dd/mm/yyyy""
  ),
"""")"),"04/02/2025")</f>
        <v>04/02/2025</v>
      </c>
    </row>
    <row r="30">
      <c r="A30" s="1054" t="s">
        <v>1105</v>
      </c>
      <c r="B30" s="1054" t="s">
        <v>1106</v>
      </c>
      <c r="C30" s="1055" t="s">
        <v>1085</v>
      </c>
      <c r="D30" s="1055" t="s">
        <v>539</v>
      </c>
      <c r="E30" s="1056"/>
      <c r="F30" s="1055" t="s">
        <v>399</v>
      </c>
      <c r="G30" s="1055" t="s">
        <v>540</v>
      </c>
      <c r="H30" s="1056"/>
      <c r="I30" s="1056"/>
      <c r="J30" s="1055" t="s">
        <v>540</v>
      </c>
      <c r="K30" s="1055" t="s">
        <v>541</v>
      </c>
      <c r="L30" s="1055" t="s">
        <v>542</v>
      </c>
      <c r="M30" s="1055" t="s">
        <v>543</v>
      </c>
      <c r="N30" s="1055" t="s">
        <v>1107</v>
      </c>
      <c r="O30" s="1055" t="s">
        <v>1087</v>
      </c>
      <c r="P30" s="1057" t="str">
        <f>IFERROR(__xludf.DUMMYFUNCTION("IFERROR(
  TEXT(
    DATE(
      INDEX(SPLIT(O30,"" ""),3),
      VLOOKUP(INDEX(SPLIT(O30,"" ""),1),{""jan."",1;""Feb"",2;""mar."",3;""Apr"",4;""May"",5;""jun."",6;""jul."",7;""Aug"",8;""Sep"",9;""Oct"",10;""nov."",11;""Dec"",12},2,FALSE),
      INDEX(SPL"&amp;"IT(O30,"" ""),2)
    ),
    ""dd/mm/yyyy""
  ),
"""")"),"04/02/2025")</f>
        <v>04/02/2025</v>
      </c>
    </row>
    <row r="31">
      <c r="A31" s="1054" t="s">
        <v>1108</v>
      </c>
      <c r="B31" s="1054" t="s">
        <v>1109</v>
      </c>
      <c r="C31" s="1055" t="s">
        <v>1085</v>
      </c>
      <c r="D31" s="1055" t="s">
        <v>539</v>
      </c>
      <c r="E31" s="1056"/>
      <c r="F31" s="1055" t="s">
        <v>408</v>
      </c>
      <c r="G31" s="1055" t="s">
        <v>540</v>
      </c>
      <c r="H31" s="1056"/>
      <c r="I31" s="1056"/>
      <c r="J31" s="1055" t="s">
        <v>540</v>
      </c>
      <c r="K31" s="1055" t="s">
        <v>541</v>
      </c>
      <c r="L31" s="1055" t="s">
        <v>542</v>
      </c>
      <c r="M31" s="1055" t="s">
        <v>543</v>
      </c>
      <c r="N31" s="1055" t="s">
        <v>1110</v>
      </c>
      <c r="O31" s="1055" t="s">
        <v>1111</v>
      </c>
      <c r="P31" s="1057" t="str">
        <f>IFERROR(__xludf.DUMMYFUNCTION("IFERROR(
  TEXT(
    DATE(
      INDEX(SPLIT(O31,"" ""),3),
      VLOOKUP(INDEX(SPLIT(O31,"" ""),1),{""jan."",1;""Feb"",2;""mar."",3;""Apr"",4;""May"",5;""jun."",6;""jul."",7;""Aug"",8;""Sep"",9;""Oct"",10;""nov."",11;""Dec"",12},2,FALSE),
      INDEX(SPL"&amp;"IT(O31,"" ""),2)
    ),
    ""dd/mm/yyyy""
  ),
"""")"),"13/04/2026")</f>
        <v>13/04/2026</v>
      </c>
    </row>
    <row r="32">
      <c r="A32" s="1054" t="s">
        <v>1112</v>
      </c>
      <c r="B32" s="1054" t="s">
        <v>1113</v>
      </c>
      <c r="C32" s="1055" t="s">
        <v>1085</v>
      </c>
      <c r="D32" s="1055" t="s">
        <v>539</v>
      </c>
      <c r="E32" s="1056"/>
      <c r="F32" s="1055" t="s">
        <v>420</v>
      </c>
      <c r="G32" s="1055" t="s">
        <v>540</v>
      </c>
      <c r="H32" s="1056"/>
      <c r="I32" s="1056"/>
      <c r="J32" s="1055" t="s">
        <v>540</v>
      </c>
      <c r="K32" s="1055" t="s">
        <v>541</v>
      </c>
      <c r="L32" s="1055" t="s">
        <v>542</v>
      </c>
      <c r="M32" s="1055" t="s">
        <v>543</v>
      </c>
      <c r="N32" s="1055" t="s">
        <v>1114</v>
      </c>
      <c r="O32" s="1055" t="s">
        <v>1115</v>
      </c>
      <c r="P32" s="1057" t="str">
        <f>IFERROR(__xludf.DUMMYFUNCTION("IFERROR(
  TEXT(
    DATE(
      INDEX(SPLIT(O32,"" ""),3),
      VLOOKUP(INDEX(SPLIT(O32,"" ""),1),{""jan."",1;""Feb"",2;""mar."",3;""Apr"",4;""May"",5;""jun."",6;""jul."",7;""Aug"",8;""Sep"",9;""Oct"",10;""nov."",11;""Dec"",12},2,FALSE),
      INDEX(SPL"&amp;"IT(O32,"" ""),2)
    ),
    ""dd/mm/yyyy""
  ),
"""")"),"17/04/2026")</f>
        <v>17/04/2026</v>
      </c>
    </row>
    <row r="33">
      <c r="A33" s="1054" t="s">
        <v>1116</v>
      </c>
      <c r="B33" s="1054" t="s">
        <v>1117</v>
      </c>
      <c r="C33" s="1055" t="s">
        <v>1085</v>
      </c>
      <c r="D33" s="1055" t="s">
        <v>539</v>
      </c>
      <c r="E33" s="1056"/>
      <c r="F33" s="1055" t="s">
        <v>384</v>
      </c>
      <c r="G33" s="1055" t="s">
        <v>540</v>
      </c>
      <c r="H33" s="1056"/>
      <c r="I33" s="1056"/>
      <c r="J33" s="1055" t="s">
        <v>540</v>
      </c>
      <c r="K33" s="1055" t="s">
        <v>541</v>
      </c>
      <c r="L33" s="1055" t="s">
        <v>542</v>
      </c>
      <c r="M33" s="1055" t="s">
        <v>543</v>
      </c>
      <c r="N33" s="1055" t="s">
        <v>1118</v>
      </c>
      <c r="O33" s="1055" t="s">
        <v>1018</v>
      </c>
      <c r="P33" s="1057" t="str">
        <f>IFERROR(__xludf.DUMMYFUNCTION("IFERROR(
  TEXT(
    DATE(
      INDEX(SPLIT(O33,"" ""),3),
      VLOOKUP(INDEX(SPLIT(O33,"" ""),1),{""jan."",1;""Feb"",2;""mar."",3;""Apr"",4;""May"",5;""jun."",6;""jul."",7;""Aug"",8;""Sep"",9;""Oct"",10;""nov."",11;""Dec"",12},2,FALSE),
      INDEX(SPL"&amp;"IT(O33,"" ""),2)
    ),
    ""dd/mm/yyyy""
  ),
"""")"),"04/12/2025")</f>
        <v>04/12/2025</v>
      </c>
    </row>
    <row r="34">
      <c r="A34" s="1054" t="s">
        <v>1119</v>
      </c>
      <c r="B34" s="1054" t="s">
        <v>1120</v>
      </c>
      <c r="C34" s="1055" t="s">
        <v>1085</v>
      </c>
      <c r="D34" s="1055" t="s">
        <v>539</v>
      </c>
      <c r="E34" s="1056"/>
      <c r="F34" s="1055" t="s">
        <v>399</v>
      </c>
      <c r="G34" s="1055" t="s">
        <v>540</v>
      </c>
      <c r="H34" s="1056"/>
      <c r="I34" s="1056"/>
      <c r="J34" s="1055" t="s">
        <v>540</v>
      </c>
      <c r="K34" s="1055" t="s">
        <v>541</v>
      </c>
      <c r="L34" s="1055" t="s">
        <v>542</v>
      </c>
      <c r="M34" s="1055" t="s">
        <v>543</v>
      </c>
      <c r="N34" s="1055" t="s">
        <v>1121</v>
      </c>
      <c r="O34" s="1055" t="s">
        <v>1122</v>
      </c>
      <c r="P34" s="1057" t="str">
        <f>IFERROR(__xludf.DUMMYFUNCTION("IFERROR(
  TEXT(
    DATE(
      INDEX(SPLIT(O34,"" ""),3),
      VLOOKUP(INDEX(SPLIT(O34,"" ""),1),{""jan."",1;""Feb"",2;""mar."",3;""Apr"",4;""May"",5;""jun."",6;""jul."",7;""Aug"",8;""Sep"",9;""Oct"",10;""nov."",11;""Dec"",12},2,FALSE),
      INDEX(SPL"&amp;"IT(O34,"" ""),2)
    ),
    ""dd/mm/yyyy""
  ),
"""")"),"29/04/2026")</f>
        <v>29/04/2026</v>
      </c>
    </row>
    <row r="35">
      <c r="A35" s="1054" t="s">
        <v>1123</v>
      </c>
      <c r="B35" s="1054" t="s">
        <v>1124</v>
      </c>
      <c r="C35" s="1055" t="s">
        <v>1085</v>
      </c>
      <c r="D35" s="1055" t="s">
        <v>539</v>
      </c>
      <c r="E35" s="1056"/>
      <c r="F35" s="1055" t="s">
        <v>387</v>
      </c>
      <c r="G35" s="1055" t="s">
        <v>540</v>
      </c>
      <c r="H35" s="1056"/>
      <c r="I35" s="1056"/>
      <c r="J35" s="1055" t="s">
        <v>540</v>
      </c>
      <c r="K35" s="1055" t="s">
        <v>541</v>
      </c>
      <c r="L35" s="1055" t="s">
        <v>542</v>
      </c>
      <c r="M35" s="1055" t="s">
        <v>543</v>
      </c>
      <c r="N35" s="1055" t="s">
        <v>668</v>
      </c>
      <c r="O35" s="1055" t="s">
        <v>1125</v>
      </c>
      <c r="P35" s="1057" t="str">
        <f>IFERROR(__xludf.DUMMYFUNCTION("IFERROR(
  TEXT(
    DATE(
      INDEX(SPLIT(O35,"" ""),3),
      VLOOKUP(INDEX(SPLIT(O35,"" ""),1),{""jan."",1;""Feb"",2;""mar."",3;""Apr"",4;""May"",5;""jun."",6;""jul."",7;""Aug"",8;""Sep"",9;""Oct"",10;""nov."",11;""Dec"",12},2,FALSE),
      INDEX(SPL"&amp;"IT(O35,"" ""),2)
    ),
    ""dd/mm/yyyy""
  ),
"""")"),"29/04/2026")</f>
        <v>29/04/2026</v>
      </c>
    </row>
    <row r="36">
      <c r="A36" s="1054" t="s">
        <v>1126</v>
      </c>
      <c r="B36" s="1054" t="s">
        <v>1127</v>
      </c>
      <c r="C36" s="1055" t="s">
        <v>1085</v>
      </c>
      <c r="D36" s="1055" t="s">
        <v>539</v>
      </c>
      <c r="E36" s="1056"/>
      <c r="F36" s="1055" t="s">
        <v>414</v>
      </c>
      <c r="G36" s="1055" t="s">
        <v>540</v>
      </c>
      <c r="H36" s="1056"/>
      <c r="I36" s="1056"/>
      <c r="J36" s="1055" t="s">
        <v>540</v>
      </c>
      <c r="K36" s="1055" t="s">
        <v>541</v>
      </c>
      <c r="L36" s="1055" t="s">
        <v>542</v>
      </c>
      <c r="M36" s="1055" t="s">
        <v>543</v>
      </c>
      <c r="N36" s="1055" t="s">
        <v>1128</v>
      </c>
      <c r="O36" s="1055" t="s">
        <v>1129</v>
      </c>
      <c r="P36" s="1057" t="str">
        <f>IFERROR(__xludf.DUMMYFUNCTION("IFERROR(
  TEXT(
    DATE(
      INDEX(SPLIT(O36,"" ""),3),
      VLOOKUP(INDEX(SPLIT(O36,"" ""),1),{""jan."",1;""Feb"",2;""mar."",3;""Apr"",4;""May"",5;""jun."",6;""jul."",7;""Aug"",8;""Sep"",9;""Oct"",10;""nov."",11;""Dec"",12},2,FALSE),
      INDEX(SPL"&amp;"IT(O36,"" ""),2)
    ),
    ""dd/mm/yyyy""
  ),
"""")"),"06/04/2026")</f>
        <v>06/04/2026</v>
      </c>
    </row>
    <row r="37">
      <c r="A37" s="1054" t="s">
        <v>1130</v>
      </c>
      <c r="B37" s="1054" t="s">
        <v>1131</v>
      </c>
      <c r="C37" s="1055" t="s">
        <v>1085</v>
      </c>
      <c r="D37" s="1055" t="s">
        <v>539</v>
      </c>
      <c r="E37" s="1056"/>
      <c r="F37" s="1055" t="s">
        <v>423</v>
      </c>
      <c r="G37" s="1055" t="s">
        <v>540</v>
      </c>
      <c r="H37" s="1056"/>
      <c r="I37" s="1056"/>
      <c r="J37" s="1055" t="s">
        <v>540</v>
      </c>
      <c r="K37" s="1055" t="s">
        <v>541</v>
      </c>
      <c r="L37" s="1055" t="s">
        <v>542</v>
      </c>
      <c r="M37" s="1055" t="s">
        <v>543</v>
      </c>
      <c r="N37" s="1055" t="s">
        <v>1132</v>
      </c>
      <c r="O37" s="1055" t="s">
        <v>1133</v>
      </c>
      <c r="P37" s="1057" t="str">
        <f>IFERROR(__xludf.DUMMYFUNCTION("IFERROR(
  TEXT(
    DATE(
      INDEX(SPLIT(O37,"" ""),3),
      VLOOKUP(INDEX(SPLIT(O37,"" ""),1),{""jan."",1;""Feb"",2;""mar."",3;""Apr"",4;""May"",5;""jun."",6;""jul."",7;""Aug"",8;""Sep"",9;""Oct"",10;""nov."",11;""Dec"",12},2,FALSE),
      INDEX(SPL"&amp;"IT(O37,"" ""),2)
    ),
    ""dd/mm/yyyy""
  ),
"""")"),"06/05/2026")</f>
        <v>06/05/2026</v>
      </c>
    </row>
    <row r="38">
      <c r="A38" s="1054" t="s">
        <v>1134</v>
      </c>
      <c r="B38" s="1054" t="s">
        <v>1135</v>
      </c>
      <c r="C38" s="1055" t="s">
        <v>1085</v>
      </c>
      <c r="D38" s="1055" t="s">
        <v>539</v>
      </c>
      <c r="E38" s="1056"/>
      <c r="F38" s="1055" t="s">
        <v>384</v>
      </c>
      <c r="G38" s="1055" t="s">
        <v>540</v>
      </c>
      <c r="H38" s="1056"/>
      <c r="I38" s="1056"/>
      <c r="J38" s="1055" t="s">
        <v>540</v>
      </c>
      <c r="K38" s="1055" t="s">
        <v>541</v>
      </c>
      <c r="L38" s="1055" t="s">
        <v>542</v>
      </c>
      <c r="M38" s="1055" t="s">
        <v>543</v>
      </c>
      <c r="N38" s="1055" t="s">
        <v>1136</v>
      </c>
      <c r="O38" s="1057">
        <v>46108.48402777778</v>
      </c>
      <c r="P38" s="1057" t="str">
        <f>IFERROR(__xludf.DUMMYFUNCTION("IFERROR(
  TEXT(
    DATE(
      INDEX(SPLIT(O38,"" ""),3),
      VLOOKUP(INDEX(SPLIT(O38,"" ""),1),{""jan."",1;""Feb"",2;""mar."",3;""Apr"",4;""May"",5;""jun."",6;""jul."",7;""Aug"",8;""Sep"",9;""Oct"",10;""nov."",11;""Dec"",12},2,FALSE),
      INDEX(SPL"&amp;"IT(O38,"" ""),2)
    ),
    ""dd/mm/yyyy""
  ),
"""")"),"27/03/2026")</f>
        <v>27/03/2026</v>
      </c>
    </row>
    <row r="39">
      <c r="A39" s="1054" t="s">
        <v>1137</v>
      </c>
      <c r="B39" s="1054" t="s">
        <v>1138</v>
      </c>
      <c r="C39" s="1055" t="s">
        <v>1085</v>
      </c>
      <c r="D39" s="1055" t="s">
        <v>539</v>
      </c>
      <c r="E39" s="1056"/>
      <c r="F39" s="1055" t="s">
        <v>414</v>
      </c>
      <c r="G39" s="1055" t="s">
        <v>540</v>
      </c>
      <c r="H39" s="1056"/>
      <c r="I39" s="1056"/>
      <c r="J39" s="1055" t="s">
        <v>540</v>
      </c>
      <c r="K39" s="1055" t="s">
        <v>541</v>
      </c>
      <c r="L39" s="1055" t="s">
        <v>542</v>
      </c>
      <c r="M39" s="1055" t="s">
        <v>1139</v>
      </c>
      <c r="N39" s="1055" t="s">
        <v>1140</v>
      </c>
      <c r="O39" s="1055" t="s">
        <v>1141</v>
      </c>
      <c r="P39" s="1057" t="str">
        <f>IFERROR(__xludf.DUMMYFUNCTION("IFERROR(
  TEXT(
    DATE(
      INDEX(SPLIT(O39,"" ""),3),
      VLOOKUP(INDEX(SPLIT(O39,"" ""),1),{""jan."",1;""Feb"",2;""mar."",3;""Apr"",4;""May"",5;""jun."",6;""jul."",7;""Aug"",8;""Sep"",9;""Oct"",10;""nov."",11;""Dec"",12},2,FALSE),
      INDEX(SPL"&amp;"IT(O39,"" ""),2)
    ),
    ""dd/mm/yyyy""
  ),
"""")"),"08/04/2026")</f>
        <v>08/04/2026</v>
      </c>
    </row>
    <row r="40">
      <c r="A40" s="1054" t="s">
        <v>1142</v>
      </c>
      <c r="B40" s="1054" t="s">
        <v>1143</v>
      </c>
      <c r="C40" s="1055" t="s">
        <v>1085</v>
      </c>
      <c r="D40" s="1055" t="s">
        <v>539</v>
      </c>
      <c r="E40" s="1056"/>
      <c r="F40" s="1055" t="s">
        <v>384</v>
      </c>
      <c r="G40" s="1055" t="s">
        <v>540</v>
      </c>
      <c r="H40" s="1056"/>
      <c r="I40" s="1056"/>
      <c r="J40" s="1055" t="s">
        <v>540</v>
      </c>
      <c r="K40" s="1055" t="s">
        <v>541</v>
      </c>
      <c r="L40" s="1055" t="s">
        <v>542</v>
      </c>
      <c r="M40" s="1055" t="s">
        <v>543</v>
      </c>
      <c r="N40" s="1055" t="s">
        <v>1144</v>
      </c>
      <c r="O40" s="1055" t="s">
        <v>1145</v>
      </c>
      <c r="P40" s="1057" t="str">
        <f>IFERROR(__xludf.DUMMYFUNCTION("IFERROR(
  TEXT(
    DATE(
      INDEX(SPLIT(O40,"" ""),3),
      VLOOKUP(INDEX(SPLIT(O40,"" ""),1),{""jan."",1;""Feb"",2;""mar."",3;""Apr"",4;""May"",5;""jun."",6;""jul."",7;""Aug"",8;""Sep"",9;""Oct"",10;""nov."",11;""Dec"",12},2,FALSE),
      INDEX(SPL"&amp;"IT(O40,"" ""),2)
    ),
    ""dd/mm/yyyy""
  ),
"""")"),"10/04/2026")</f>
        <v>10/04/2026</v>
      </c>
    </row>
    <row r="41">
      <c r="A41" s="1054" t="s">
        <v>1146</v>
      </c>
      <c r="B41" s="1054" t="s">
        <v>1147</v>
      </c>
      <c r="C41" s="1055" t="s">
        <v>1085</v>
      </c>
      <c r="D41" s="1055" t="s">
        <v>539</v>
      </c>
      <c r="E41" s="1056"/>
      <c r="F41" s="1055" t="s">
        <v>414</v>
      </c>
      <c r="G41" s="1055" t="s">
        <v>540</v>
      </c>
      <c r="H41" s="1056"/>
      <c r="I41" s="1056"/>
      <c r="J41" s="1055" t="s">
        <v>540</v>
      </c>
      <c r="K41" s="1055" t="s">
        <v>541</v>
      </c>
      <c r="L41" s="1055" t="s">
        <v>542</v>
      </c>
      <c r="M41" s="1055" t="s">
        <v>543</v>
      </c>
      <c r="N41" s="1055" t="s">
        <v>1148</v>
      </c>
      <c r="O41" s="1055" t="s">
        <v>1149</v>
      </c>
      <c r="P41" s="1057" t="str">
        <f>IFERROR(__xludf.DUMMYFUNCTION("IFERROR(
  TEXT(
    DATE(
      INDEX(SPLIT(O41,"" ""),3),
      VLOOKUP(INDEX(SPLIT(O41,"" ""),1),{""jan."",1;""Feb"",2;""mar."",3;""Apr"",4;""May"",5;""jun."",6;""jul."",7;""Aug"",8;""Sep"",9;""Oct"",10;""nov."",11;""Dec"",12},2,FALSE),
      INDEX(SPL"&amp;"IT(O41,"" ""),2)
    ),
    ""dd/mm/yyyy""
  ),
"""")"),"05/05/2026")</f>
        <v>05/05/2026</v>
      </c>
    </row>
    <row r="42">
      <c r="A42" s="1054" t="s">
        <v>1150</v>
      </c>
      <c r="B42" s="1054" t="s">
        <v>1151</v>
      </c>
      <c r="C42" s="1055" t="s">
        <v>1085</v>
      </c>
      <c r="D42" s="1055" t="s">
        <v>539</v>
      </c>
      <c r="E42" s="1056"/>
      <c r="F42" s="1055" t="s">
        <v>399</v>
      </c>
      <c r="G42" s="1055" t="s">
        <v>540</v>
      </c>
      <c r="H42" s="1056"/>
      <c r="I42" s="1056"/>
      <c r="J42" s="1055" t="s">
        <v>540</v>
      </c>
      <c r="K42" s="1055" t="s">
        <v>541</v>
      </c>
      <c r="L42" s="1055" t="s">
        <v>542</v>
      </c>
      <c r="M42" s="1055" t="s">
        <v>543</v>
      </c>
      <c r="N42" s="1055" t="s">
        <v>1152</v>
      </c>
      <c r="O42" s="1055" t="s">
        <v>1153</v>
      </c>
      <c r="P42" s="1057" t="str">
        <f>IFERROR(__xludf.DUMMYFUNCTION("IFERROR(
  TEXT(
    DATE(
      INDEX(SPLIT(O42,"" ""),3),
      VLOOKUP(INDEX(SPLIT(O42,"" ""),1),{""jan."",1;""Feb"",2;""mar."",3;""Apr"",4;""May"",5;""jun."",6;""jul."",7;""Aug"",8;""Sep"",9;""Oct"",10;""nov."",11;""Dec"",12},2,FALSE),
      INDEX(SPL"&amp;"IT(O42,"" ""),2)
    ),
    ""dd/mm/yyyy""
  ),
"""")"),"10/04/2026")</f>
        <v>10/04/2026</v>
      </c>
    </row>
    <row r="43">
      <c r="A43" s="1054" t="s">
        <v>1154</v>
      </c>
      <c r="B43" s="1054" t="s">
        <v>1155</v>
      </c>
      <c r="C43" s="1055" t="s">
        <v>1085</v>
      </c>
      <c r="D43" s="1055" t="s">
        <v>539</v>
      </c>
      <c r="E43" s="1056"/>
      <c r="F43" s="1055" t="s">
        <v>405</v>
      </c>
      <c r="G43" s="1055" t="s">
        <v>540</v>
      </c>
      <c r="H43" s="1056"/>
      <c r="I43" s="1056"/>
      <c r="J43" s="1055" t="s">
        <v>540</v>
      </c>
      <c r="K43" s="1055" t="s">
        <v>541</v>
      </c>
      <c r="L43" s="1055" t="s">
        <v>542</v>
      </c>
      <c r="M43" s="1055" t="s">
        <v>543</v>
      </c>
      <c r="N43" s="1055" t="s">
        <v>1156</v>
      </c>
      <c r="O43" s="1055" t="s">
        <v>1157</v>
      </c>
      <c r="P43" s="1057" t="str">
        <f>IFERROR(__xludf.DUMMYFUNCTION("IFERROR(
  TEXT(
    DATE(
      INDEX(SPLIT(O43,"" ""),3),
      VLOOKUP(INDEX(SPLIT(O43,"" ""),1),{""jan."",1;""Feb"",2;""mar."",3;""Apr"",4;""May"",5;""jun."",6;""jul."",7;""Aug"",8;""Sep"",9;""Oct"",10;""nov."",11;""Dec"",12},2,FALSE),
      INDEX(SPL"&amp;"IT(O43,"" ""),2)
    ),
    ""dd/mm/yyyy""
  ),
"""")"),"07/04/2026")</f>
        <v>07/04/2026</v>
      </c>
    </row>
    <row r="44">
      <c r="A44" s="1054" t="s">
        <v>1158</v>
      </c>
      <c r="B44" s="1054" t="s">
        <v>1159</v>
      </c>
      <c r="C44" s="1055" t="s">
        <v>1085</v>
      </c>
      <c r="D44" s="1055" t="s">
        <v>539</v>
      </c>
      <c r="E44" s="1056"/>
      <c r="F44" s="1055" t="s">
        <v>418</v>
      </c>
      <c r="G44" s="1055" t="s">
        <v>540</v>
      </c>
      <c r="H44" s="1056"/>
      <c r="I44" s="1056"/>
      <c r="J44" s="1055" t="s">
        <v>540</v>
      </c>
      <c r="K44" s="1055" t="s">
        <v>541</v>
      </c>
      <c r="L44" s="1055" t="s">
        <v>542</v>
      </c>
      <c r="M44" s="1055" t="s">
        <v>543</v>
      </c>
      <c r="N44" s="1055" t="s">
        <v>1160</v>
      </c>
      <c r="O44" s="1057">
        <v>46052.49375</v>
      </c>
      <c r="P44" s="1057" t="str">
        <f>IFERROR(__xludf.DUMMYFUNCTION("IFERROR(
  TEXT(
    DATE(
      INDEX(SPLIT(O44,"" ""),3),
      VLOOKUP(INDEX(SPLIT(O44,"" ""),1),{""jan."",1;""Feb"",2;""mar."",3;""Apr"",4;""May"",5;""jun."",6;""jul."",7;""Aug"",8;""Sep"",9;""Oct"",10;""nov."",11;""Dec"",12},2,FALSE),
      INDEX(SPL"&amp;"IT(O44,"" ""),2)
    ),
    ""dd/mm/yyyy""
  ),
"""")"),"30/01/2026")</f>
        <v>30/01/2026</v>
      </c>
    </row>
    <row r="45">
      <c r="A45" s="1054" t="s">
        <v>1161</v>
      </c>
      <c r="B45" s="1054" t="s">
        <v>1162</v>
      </c>
      <c r="C45" s="1055" t="s">
        <v>1085</v>
      </c>
      <c r="D45" s="1055" t="s">
        <v>539</v>
      </c>
      <c r="E45" s="1056"/>
      <c r="F45" s="1055" t="s">
        <v>418</v>
      </c>
      <c r="G45" s="1055" t="s">
        <v>540</v>
      </c>
      <c r="H45" s="1056"/>
      <c r="I45" s="1056"/>
      <c r="J45" s="1055" t="s">
        <v>540</v>
      </c>
      <c r="K45" s="1055" t="s">
        <v>541</v>
      </c>
      <c r="L45" s="1055" t="s">
        <v>542</v>
      </c>
      <c r="M45" s="1055" t="s">
        <v>543</v>
      </c>
      <c r="N45" s="1055" t="s">
        <v>1163</v>
      </c>
      <c r="O45" s="1057">
        <v>46099.42847222222</v>
      </c>
      <c r="P45" s="1057" t="str">
        <f>IFERROR(__xludf.DUMMYFUNCTION("IFERROR(
  TEXT(
    DATE(
      INDEX(SPLIT(O45,"" ""),3),
      VLOOKUP(INDEX(SPLIT(O45,"" ""),1),{""jan."",1;""Feb"",2;""mar."",3;""Apr"",4;""May"",5;""jun."",6;""jul."",7;""Aug"",8;""Sep"",9;""Oct"",10;""nov."",11;""Dec"",12},2,FALSE),
      INDEX(SPL"&amp;"IT(O45,"" ""),2)
    ),
    ""dd/mm/yyyy""
  ),
"""")"),"18/03/2026")</f>
        <v>18/03/2026</v>
      </c>
    </row>
    <row r="46">
      <c r="A46" s="1054" t="s">
        <v>1164</v>
      </c>
      <c r="B46" s="1054" t="s">
        <v>1165</v>
      </c>
      <c r="C46" s="1055" t="s">
        <v>1085</v>
      </c>
      <c r="D46" s="1055" t="s">
        <v>539</v>
      </c>
      <c r="E46" s="1056"/>
      <c r="F46" s="1055" t="s">
        <v>436</v>
      </c>
      <c r="G46" s="1055" t="s">
        <v>540</v>
      </c>
      <c r="H46" s="1056"/>
      <c r="I46" s="1056"/>
      <c r="J46" s="1055" t="s">
        <v>540</v>
      </c>
      <c r="K46" s="1055" t="s">
        <v>541</v>
      </c>
      <c r="L46" s="1055" t="s">
        <v>542</v>
      </c>
      <c r="M46" s="1055" t="s">
        <v>543</v>
      </c>
      <c r="N46" s="1055" t="s">
        <v>1166</v>
      </c>
      <c r="O46" s="1057">
        <v>46107.748611111114</v>
      </c>
      <c r="P46" s="1057" t="str">
        <f>IFERROR(__xludf.DUMMYFUNCTION("IFERROR(
  TEXT(
    DATE(
      INDEX(SPLIT(O46,"" ""),3),
      VLOOKUP(INDEX(SPLIT(O46,"" ""),1),{""jan."",1;""Feb"",2;""mar."",3;""Apr"",4;""May"",5;""jun."",6;""jul."",7;""Aug"",8;""Sep"",9;""Oct"",10;""nov."",11;""Dec"",12},2,FALSE),
      INDEX(SPL"&amp;"IT(O46,"" ""),2)
    ),
    ""dd/mm/yyyy""
  ),
"""")"),"26/03/2026")</f>
        <v>26/03/2026</v>
      </c>
    </row>
    <row r="47">
      <c r="A47" s="1054" t="s">
        <v>1167</v>
      </c>
      <c r="B47" s="1054" t="s">
        <v>1168</v>
      </c>
      <c r="C47" s="1055" t="s">
        <v>1085</v>
      </c>
      <c r="D47" s="1055" t="s">
        <v>539</v>
      </c>
      <c r="E47" s="1056"/>
      <c r="F47" s="1055" t="s">
        <v>384</v>
      </c>
      <c r="G47" s="1055" t="s">
        <v>540</v>
      </c>
      <c r="H47" s="1056"/>
      <c r="I47" s="1056"/>
      <c r="J47" s="1055" t="s">
        <v>540</v>
      </c>
      <c r="K47" s="1055" t="s">
        <v>541</v>
      </c>
      <c r="L47" s="1055" t="s">
        <v>542</v>
      </c>
      <c r="M47" s="1055" t="s">
        <v>543</v>
      </c>
      <c r="N47" s="1055" t="s">
        <v>595</v>
      </c>
      <c r="O47" s="1055" t="s">
        <v>1169</v>
      </c>
      <c r="P47" s="1057" t="str">
        <f>IFERROR(__xludf.DUMMYFUNCTION("IFERROR(
  TEXT(
    DATE(
      INDEX(SPLIT(O47,"" ""),3),
      VLOOKUP(INDEX(SPLIT(O47,"" ""),1),{""jan."",1;""Feb"",2;""mar."",3;""Apr"",4;""May"",5;""jun."",6;""jul."",7;""Aug"",8;""Sep"",9;""Oct"",10;""nov."",11;""Dec"",12},2,FALSE),
      INDEX(SPL"&amp;"IT(O47,"" ""),2)
    ),
    ""dd/mm/yyyy""
  ),
"""")"),"28/02/2026")</f>
        <v>28/02/2026</v>
      </c>
    </row>
    <row r="48">
      <c r="A48" s="1054" t="s">
        <v>1170</v>
      </c>
      <c r="B48" s="1054" t="s">
        <v>1171</v>
      </c>
      <c r="C48" s="1058"/>
      <c r="D48" s="1058"/>
      <c r="E48" s="1056"/>
      <c r="F48" s="1055" t="s">
        <v>385</v>
      </c>
      <c r="G48" s="1055" t="s">
        <v>540</v>
      </c>
      <c r="H48" s="1056"/>
      <c r="I48" s="1056"/>
      <c r="J48" s="1055" t="s">
        <v>540</v>
      </c>
      <c r="K48" s="1055" t="s">
        <v>541</v>
      </c>
      <c r="L48" s="1055" t="s">
        <v>542</v>
      </c>
      <c r="M48" s="1055" t="s">
        <v>543</v>
      </c>
      <c r="N48" s="1055" t="s">
        <v>1172</v>
      </c>
      <c r="O48" s="1055" t="s">
        <v>1173</v>
      </c>
      <c r="P48" s="1057" t="str">
        <f>IFERROR(__xludf.DUMMYFUNCTION("IFERROR(
  TEXT(
    DATE(
      INDEX(SPLIT(O48,"" ""),3),
      VLOOKUP(INDEX(SPLIT(O48,"" ""),1),{""jan."",1;""Feb"",2;""mar."",3;""Apr"",4;""May"",5;""jun."",6;""jul."",7;""Aug"",8;""Sep"",9;""Oct"",10;""nov."",11;""Dec"",12},2,FALSE),
      INDEX(SPL"&amp;"IT(O48,"" ""),2)
    ),
    ""dd/mm/yyyy""
  ),
"""")"),"11/05/2026")</f>
        <v>11/05/2026</v>
      </c>
    </row>
    <row r="49">
      <c r="A49" s="1054" t="s">
        <v>1174</v>
      </c>
      <c r="B49" s="1054" t="s">
        <v>1175</v>
      </c>
      <c r="C49" s="1055" t="s">
        <v>1176</v>
      </c>
      <c r="D49" s="1055" t="s">
        <v>539</v>
      </c>
      <c r="E49" s="1056"/>
      <c r="F49" s="1055" t="s">
        <v>385</v>
      </c>
      <c r="G49" s="1055" t="s">
        <v>540</v>
      </c>
      <c r="H49" s="1056"/>
      <c r="I49" s="1056"/>
      <c r="J49" s="1055" t="s">
        <v>540</v>
      </c>
      <c r="K49" s="1055" t="s">
        <v>541</v>
      </c>
      <c r="L49" s="1055" t="s">
        <v>542</v>
      </c>
      <c r="M49" s="1055" t="s">
        <v>543</v>
      </c>
      <c r="N49" s="1055" t="s">
        <v>1177</v>
      </c>
      <c r="O49" s="1055" t="s">
        <v>1173</v>
      </c>
      <c r="P49" s="1057" t="str">
        <f>IFERROR(__xludf.DUMMYFUNCTION("IFERROR(
  TEXT(
    DATE(
      INDEX(SPLIT(O49,"" ""),3),
      VLOOKUP(INDEX(SPLIT(O49,"" ""),1),{""jan."",1;""Feb"",2;""mar."",3;""Apr"",4;""May"",5;""jun."",6;""jul."",7;""Aug"",8;""Sep"",9;""Oct"",10;""nov."",11;""Dec"",12},2,FALSE),
      INDEX(SPL"&amp;"IT(O49,"" ""),2)
    ),
    ""dd/mm/yyyy""
  ),
"""")"),"11/05/2026")</f>
        <v>11/05/2026</v>
      </c>
    </row>
    <row r="50">
      <c r="A50" s="1054" t="s">
        <v>1178</v>
      </c>
      <c r="B50" s="1054" t="s">
        <v>1179</v>
      </c>
      <c r="C50" s="1055" t="s">
        <v>1085</v>
      </c>
      <c r="D50" s="1055" t="s">
        <v>539</v>
      </c>
      <c r="E50" s="1056"/>
      <c r="F50" s="1055" t="s">
        <v>415</v>
      </c>
      <c r="G50" s="1055" t="s">
        <v>540</v>
      </c>
      <c r="H50" s="1056"/>
      <c r="I50" s="1056"/>
      <c r="J50" s="1055" t="s">
        <v>540</v>
      </c>
      <c r="K50" s="1055" t="s">
        <v>541</v>
      </c>
      <c r="L50" s="1055" t="s">
        <v>542</v>
      </c>
      <c r="M50" s="1055" t="s">
        <v>543</v>
      </c>
      <c r="N50" s="1055" t="s">
        <v>1180</v>
      </c>
      <c r="O50" s="1057">
        <v>46083.677777777775</v>
      </c>
      <c r="P50" s="1057" t="str">
        <f>IFERROR(__xludf.DUMMYFUNCTION("IFERROR(
  TEXT(
    DATE(
      INDEX(SPLIT(O50,"" ""),3),
      VLOOKUP(INDEX(SPLIT(O50,"" ""),1),{""jan."",1;""Feb"",2;""mar."",3;""Apr"",4;""May"",5;""jun."",6;""jul."",7;""Aug"",8;""Sep"",9;""Oct"",10;""nov."",11;""Dec"",12},2,FALSE),
      INDEX(SPL"&amp;"IT(O50,"" ""),2)
    ),
    ""dd/mm/yyyy""
  ),
"""")"),"02/03/2026")</f>
        <v>02/03/2026</v>
      </c>
    </row>
    <row r="51">
      <c r="A51" s="1054" t="s">
        <v>1181</v>
      </c>
      <c r="B51" s="1054" t="s">
        <v>1182</v>
      </c>
      <c r="C51" s="1058"/>
      <c r="D51" s="1058"/>
      <c r="E51" s="1056"/>
      <c r="F51" s="1055" t="s">
        <v>419</v>
      </c>
      <c r="G51" s="1055" t="s">
        <v>540</v>
      </c>
      <c r="H51" s="1056"/>
      <c r="I51" s="1056"/>
      <c r="J51" s="1055" t="s">
        <v>540</v>
      </c>
      <c r="K51" s="1055" t="s">
        <v>541</v>
      </c>
      <c r="L51" s="1055" t="s">
        <v>542</v>
      </c>
      <c r="M51" s="1055" t="s">
        <v>543</v>
      </c>
      <c r="N51" s="1055" t="s">
        <v>1183</v>
      </c>
      <c r="O51" s="1055" t="s">
        <v>1184</v>
      </c>
      <c r="P51" s="1057" t="str">
        <f>IFERROR(__xludf.DUMMYFUNCTION("IFERROR(
  TEXT(
    DATE(
      INDEX(SPLIT(O51,"" ""),3),
      VLOOKUP(INDEX(SPLIT(O51,"" ""),1),{""jan."",1;""Feb"",2;""mar."",3;""Apr"",4;""May"",5;""jun."",6;""jul."",7;""Aug"",8;""Sep"",9;""Oct"",10;""nov."",11;""Dec"",12},2,FALSE),
      INDEX(SPL"&amp;"IT(O51,"" ""),2)
    ),
    ""dd/mm/yyyy""
  ),
"""")"),"06/05/2026")</f>
        <v>06/05/2026</v>
      </c>
    </row>
    <row r="52">
      <c r="A52" s="1054" t="s">
        <v>1185</v>
      </c>
      <c r="B52" s="1054" t="s">
        <v>1186</v>
      </c>
      <c r="C52" s="1058"/>
      <c r="D52" s="1058"/>
      <c r="E52" s="1056"/>
      <c r="F52" s="1055" t="s">
        <v>419</v>
      </c>
      <c r="G52" s="1055" t="s">
        <v>540</v>
      </c>
      <c r="H52" s="1056"/>
      <c r="I52" s="1056"/>
      <c r="J52" s="1055" t="s">
        <v>540</v>
      </c>
      <c r="K52" s="1055" t="s">
        <v>541</v>
      </c>
      <c r="L52" s="1055" t="s">
        <v>542</v>
      </c>
      <c r="M52" s="1055" t="s">
        <v>543</v>
      </c>
      <c r="N52" s="1055" t="s">
        <v>1187</v>
      </c>
      <c r="O52" s="1055" t="s">
        <v>1188</v>
      </c>
      <c r="P52" s="1057" t="str">
        <f>IFERROR(__xludf.DUMMYFUNCTION("IFERROR(
  TEXT(
    DATE(
      INDEX(SPLIT(O52,"" ""),3),
      VLOOKUP(INDEX(SPLIT(O52,"" ""),1),{""jan."",1;""Feb"",2;""mar."",3;""Apr"",4;""May"",5;""jun."",6;""jul."",7;""Aug"",8;""Sep"",9;""Oct"",10;""nov."",11;""Dec"",12},2,FALSE),
      INDEX(SPL"&amp;"IT(O52,"" ""),2)
    ),
    ""dd/mm/yyyy""
  ),
"""")"),"08/04/2026")</f>
        <v>08/04/2026</v>
      </c>
    </row>
    <row r="53">
      <c r="A53" s="1054" t="s">
        <v>1189</v>
      </c>
      <c r="B53" s="1054" t="s">
        <v>1190</v>
      </c>
      <c r="C53" s="1058"/>
      <c r="D53" s="1058"/>
      <c r="E53" s="1056"/>
      <c r="F53" s="1055" t="s">
        <v>414</v>
      </c>
      <c r="G53" s="1055" t="s">
        <v>540</v>
      </c>
      <c r="H53" s="1056"/>
      <c r="I53" s="1056"/>
      <c r="J53" s="1055" t="s">
        <v>540</v>
      </c>
      <c r="K53" s="1055" t="s">
        <v>541</v>
      </c>
      <c r="L53" s="1055" t="s">
        <v>542</v>
      </c>
      <c r="M53" s="1055" t="s">
        <v>543</v>
      </c>
      <c r="N53" s="1055" t="s">
        <v>1191</v>
      </c>
      <c r="O53" s="1057">
        <v>46102.44583333333</v>
      </c>
      <c r="P53" s="1057" t="str">
        <f>IFERROR(__xludf.DUMMYFUNCTION("IFERROR(
  TEXT(
    DATE(
      INDEX(SPLIT(O53,"" ""),3),
      VLOOKUP(INDEX(SPLIT(O53,"" ""),1),{""jan."",1;""Feb"",2;""mar."",3;""Apr"",4;""May"",5;""jun."",6;""jul."",7;""Aug"",8;""Sep"",9;""Oct"",10;""nov."",11;""Dec"",12},2,FALSE),
      INDEX(SPL"&amp;"IT(O53,"" ""),2)
    ),
    ""dd/mm/yyyy""
  ),
"""")"),"21/03/2026")</f>
        <v>21/03/2026</v>
      </c>
    </row>
    <row r="54">
      <c r="A54" s="1054" t="s">
        <v>1192</v>
      </c>
      <c r="B54" s="1054" t="s">
        <v>1193</v>
      </c>
      <c r="C54" s="1058"/>
      <c r="D54" s="1058"/>
      <c r="E54" s="1056"/>
      <c r="F54" s="1055" t="s">
        <v>425</v>
      </c>
      <c r="G54" s="1055" t="s">
        <v>540</v>
      </c>
      <c r="H54" s="1056"/>
      <c r="I54" s="1056"/>
      <c r="J54" s="1055" t="s">
        <v>540</v>
      </c>
      <c r="K54" s="1055" t="s">
        <v>541</v>
      </c>
      <c r="L54" s="1055" t="s">
        <v>542</v>
      </c>
      <c r="M54" s="1055" t="s">
        <v>543</v>
      </c>
      <c r="N54" s="1055" t="s">
        <v>1194</v>
      </c>
      <c r="O54" s="1055" t="s">
        <v>1195</v>
      </c>
      <c r="P54" s="1057" t="str">
        <f>IFERROR(__xludf.DUMMYFUNCTION("IFERROR(
  TEXT(
    DATE(
      INDEX(SPLIT(O54,"" ""),3),
      VLOOKUP(INDEX(SPLIT(O54,"" ""),1),{""jan."",1;""Feb"",2;""mar."",3;""Apr"",4;""May"",5;""jun."",6;""jul."",7;""Aug"",8;""Sep"",9;""Oct"",10;""nov."",11;""Dec"",12},2,FALSE),
      INDEX(SPL"&amp;"IT(O54,"" ""),2)
    ),
    ""dd/mm/yyyy""
  ),
"""")"),"30/04/2026")</f>
        <v>30/04/2026</v>
      </c>
    </row>
    <row r="55">
      <c r="A55" s="1054" t="s">
        <v>1196</v>
      </c>
      <c r="B55" s="1054" t="s">
        <v>1197</v>
      </c>
      <c r="C55" s="1055" t="s">
        <v>1085</v>
      </c>
      <c r="D55" s="1055" t="s">
        <v>539</v>
      </c>
      <c r="E55" s="1056"/>
      <c r="F55" s="1055" t="s">
        <v>402</v>
      </c>
      <c r="G55" s="1055" t="s">
        <v>540</v>
      </c>
      <c r="H55" s="1056"/>
      <c r="I55" s="1056"/>
      <c r="J55" s="1055" t="s">
        <v>540</v>
      </c>
      <c r="K55" s="1055" t="s">
        <v>541</v>
      </c>
      <c r="L55" s="1055" t="s">
        <v>542</v>
      </c>
      <c r="M55" s="1055" t="s">
        <v>543</v>
      </c>
      <c r="N55" s="1055" t="s">
        <v>1198</v>
      </c>
      <c r="O55" s="1055" t="s">
        <v>1199</v>
      </c>
      <c r="P55" s="1057" t="str">
        <f>IFERROR(__xludf.DUMMYFUNCTION("IFERROR(
  TEXT(
    DATE(
      INDEX(SPLIT(O55,"" ""),3),
      VLOOKUP(INDEX(SPLIT(O55,"" ""),1),{""jan."",1;""Feb"",2;""mar."",3;""Apr"",4;""May"",5;""jun."",6;""jul."",7;""Aug"",8;""Sep"",9;""Oct"",10;""nov."",11;""Dec"",12},2,FALSE),
      INDEX(SPL"&amp;"IT(O55,"" ""),2)
    ),
    ""dd/mm/yyyy""
  ),
"""")"),"06/05/2026")</f>
        <v>06/05/2026</v>
      </c>
    </row>
    <row r="56">
      <c r="A56" s="1054" t="s">
        <v>1200</v>
      </c>
      <c r="B56" s="1054" t="s">
        <v>1201</v>
      </c>
      <c r="C56" s="1055" t="s">
        <v>1085</v>
      </c>
      <c r="D56" s="1055" t="s">
        <v>539</v>
      </c>
      <c r="E56" s="1056"/>
      <c r="F56" s="1055" t="s">
        <v>427</v>
      </c>
      <c r="G56" s="1055" t="s">
        <v>540</v>
      </c>
      <c r="H56" s="1056"/>
      <c r="I56" s="1056"/>
      <c r="J56" s="1055" t="s">
        <v>540</v>
      </c>
      <c r="K56" s="1055" t="s">
        <v>541</v>
      </c>
      <c r="L56" s="1055" t="s">
        <v>542</v>
      </c>
      <c r="M56" s="1055" t="s">
        <v>543</v>
      </c>
      <c r="N56" s="1055" t="s">
        <v>1202</v>
      </c>
      <c r="O56" s="1055" t="s">
        <v>1203</v>
      </c>
      <c r="P56" s="1057" t="str">
        <f>IFERROR(__xludf.DUMMYFUNCTION("IFERROR(
  TEXT(
    DATE(
      INDEX(SPLIT(O56,"" ""),3),
      VLOOKUP(INDEX(SPLIT(O56,"" ""),1),{""jan."",1;""Feb"",2;""mar."",3;""Apr"",4;""May"",5;""jun."",6;""jul."",7;""Aug"",8;""Sep"",9;""Oct"",10;""nov."",11;""Dec"",12},2,FALSE),
      INDEX(SPL"&amp;"IT(O56,"" ""),2)
    ),
    ""dd/mm/yyyy""
  ),
"""")"),"08/04/2026")</f>
        <v>08/04/2026</v>
      </c>
    </row>
    <row r="57">
      <c r="A57" s="1054" t="s">
        <v>1204</v>
      </c>
      <c r="B57" s="1054" t="s">
        <v>1205</v>
      </c>
      <c r="C57" s="1055" t="s">
        <v>1085</v>
      </c>
      <c r="D57" s="1055" t="s">
        <v>539</v>
      </c>
      <c r="E57" s="1056"/>
      <c r="F57" s="1055" t="s">
        <v>417</v>
      </c>
      <c r="G57" s="1055" t="s">
        <v>540</v>
      </c>
      <c r="H57" s="1056"/>
      <c r="I57" s="1056"/>
      <c r="J57" s="1055" t="s">
        <v>540</v>
      </c>
      <c r="K57" s="1055" t="s">
        <v>541</v>
      </c>
      <c r="L57" s="1055" t="s">
        <v>542</v>
      </c>
      <c r="M57" s="1055" t="s">
        <v>543</v>
      </c>
      <c r="N57" s="1055" t="s">
        <v>1206</v>
      </c>
      <c r="O57" s="1057">
        <v>46102.45694444444</v>
      </c>
      <c r="P57" s="1057" t="str">
        <f>IFERROR(__xludf.DUMMYFUNCTION("IFERROR(
  TEXT(
    DATE(
      INDEX(SPLIT(O57,"" ""),3),
      VLOOKUP(INDEX(SPLIT(O57,"" ""),1),{""jan."",1;""Feb"",2;""mar."",3;""Apr"",4;""May"",5;""jun."",6;""jul."",7;""Aug"",8;""Sep"",9;""Oct"",10;""nov."",11;""Dec"",12},2,FALSE),
      INDEX(SPL"&amp;"IT(O57,"" ""),2)
    ),
    ""dd/mm/yyyy""
  ),
"""")"),"21/03/2026")</f>
        <v>21/03/2026</v>
      </c>
    </row>
    <row r="58">
      <c r="A58" s="1054" t="s">
        <v>1207</v>
      </c>
      <c r="B58" s="1054" t="s">
        <v>1208</v>
      </c>
      <c r="C58" s="1055" t="s">
        <v>1085</v>
      </c>
      <c r="D58" s="1055" t="s">
        <v>539</v>
      </c>
      <c r="E58" s="1056"/>
      <c r="F58" s="1055" t="s">
        <v>427</v>
      </c>
      <c r="G58" s="1055" t="s">
        <v>540</v>
      </c>
      <c r="H58" s="1056"/>
      <c r="I58" s="1056"/>
      <c r="J58" s="1055" t="s">
        <v>540</v>
      </c>
      <c r="K58" s="1055" t="s">
        <v>541</v>
      </c>
      <c r="L58" s="1055" t="s">
        <v>542</v>
      </c>
      <c r="M58" s="1055" t="s">
        <v>543</v>
      </c>
      <c r="N58" s="1055" t="s">
        <v>1209</v>
      </c>
      <c r="O58" s="1055" t="s">
        <v>1195</v>
      </c>
      <c r="P58" s="1057" t="str">
        <f>IFERROR(__xludf.DUMMYFUNCTION("IFERROR(
  TEXT(
    DATE(
      INDEX(SPLIT(O58,"" ""),3),
      VLOOKUP(INDEX(SPLIT(O58,"" ""),1),{""jan."",1;""Feb"",2;""mar."",3;""Apr"",4;""May"",5;""jun."",6;""jul."",7;""Aug"",8;""Sep"",9;""Oct"",10;""nov."",11;""Dec"",12},2,FALSE),
      INDEX(SPL"&amp;"IT(O58,"" ""),2)
    ),
    ""dd/mm/yyyy""
  ),
"""")"),"30/04/2026")</f>
        <v>30/04/2026</v>
      </c>
    </row>
    <row r="59">
      <c r="A59" s="1054" t="s">
        <v>1210</v>
      </c>
      <c r="B59" s="1054" t="s">
        <v>1211</v>
      </c>
      <c r="C59" s="1058"/>
      <c r="D59" s="1058"/>
      <c r="E59" s="1056"/>
      <c r="F59" s="1055" t="s">
        <v>1212</v>
      </c>
      <c r="G59" s="1055" t="s">
        <v>540</v>
      </c>
      <c r="H59" s="1056"/>
      <c r="I59" s="1056"/>
      <c r="J59" s="1055" t="s">
        <v>540</v>
      </c>
      <c r="K59" s="1055" t="s">
        <v>541</v>
      </c>
      <c r="L59" s="1055" t="s">
        <v>542</v>
      </c>
      <c r="M59" s="1055" t="s">
        <v>543</v>
      </c>
      <c r="N59" s="1055" t="s">
        <v>1213</v>
      </c>
      <c r="O59" s="1055" t="s">
        <v>1214</v>
      </c>
      <c r="P59" s="1057" t="str">
        <f>IFERROR(__xludf.DUMMYFUNCTION("IFERROR(
  TEXT(
    DATE(
      INDEX(SPLIT(O59,"" ""),3),
      VLOOKUP(INDEX(SPLIT(O59,"" ""),1),{""jan."",1;""Feb"",2;""mar."",3;""Apr"",4;""May"",5;""jun."",6;""jul."",7;""Aug"",8;""Sep"",9;""Oct"",10;""nov."",11;""Dec"",12},2,FALSE),
      INDEX(SPL"&amp;"IT(O59,"" ""),2)
    ),
    ""dd/mm/yyyy""
  ),
"""")"),"17/04/2026")</f>
        <v>17/04/2026</v>
      </c>
    </row>
    <row r="60">
      <c r="A60" s="1054" t="s">
        <v>1215</v>
      </c>
      <c r="B60" s="1054" t="s">
        <v>1216</v>
      </c>
      <c r="C60" s="1058"/>
      <c r="D60" s="1058"/>
      <c r="E60" s="1056"/>
      <c r="F60" s="1055" t="s">
        <v>404</v>
      </c>
      <c r="G60" s="1055" t="s">
        <v>540</v>
      </c>
      <c r="H60" s="1056"/>
      <c r="I60" s="1056"/>
      <c r="J60" s="1055" t="s">
        <v>540</v>
      </c>
      <c r="K60" s="1055" t="s">
        <v>541</v>
      </c>
      <c r="L60" s="1055" t="s">
        <v>542</v>
      </c>
      <c r="M60" s="1055" t="s">
        <v>543</v>
      </c>
      <c r="N60" s="1055" t="s">
        <v>1217</v>
      </c>
      <c r="O60" s="1055" t="s">
        <v>1218</v>
      </c>
      <c r="P60" s="1057" t="str">
        <f>IFERROR(__xludf.DUMMYFUNCTION("IFERROR(
  TEXT(
    DATE(
      INDEX(SPLIT(O60,"" ""),3),
      VLOOKUP(INDEX(SPLIT(O60,"" ""),1),{""jan."",1;""Feb"",2;""mar."",3;""Apr"",4;""May"",5;""jun."",6;""jul."",7;""Aug"",8;""Sep"",9;""Oct"",10;""nov."",11;""Dec"",12},2,FALSE),
      INDEX(SPL"&amp;"IT(O60,"" ""),2)
    ),
    ""dd/mm/yyyy""
  ),
"""")"),"16/04/2026")</f>
        <v>16/04/2026</v>
      </c>
    </row>
    <row r="61">
      <c r="A61" s="1054" t="s">
        <v>1219</v>
      </c>
      <c r="B61" s="1054" t="s">
        <v>1220</v>
      </c>
      <c r="C61" s="1058"/>
      <c r="D61" s="1058"/>
      <c r="E61" s="1056"/>
      <c r="F61" s="1055" t="s">
        <v>404</v>
      </c>
      <c r="G61" s="1055" t="s">
        <v>540</v>
      </c>
      <c r="H61" s="1056"/>
      <c r="I61" s="1056"/>
      <c r="J61" s="1055" t="s">
        <v>540</v>
      </c>
      <c r="K61" s="1055" t="s">
        <v>541</v>
      </c>
      <c r="L61" s="1055" t="s">
        <v>542</v>
      </c>
      <c r="M61" s="1055" t="s">
        <v>543</v>
      </c>
      <c r="N61" s="1055" t="s">
        <v>708</v>
      </c>
      <c r="O61" s="1055" t="s">
        <v>1221</v>
      </c>
      <c r="P61" s="1057" t="str">
        <f>IFERROR(__xludf.DUMMYFUNCTION("IFERROR(
  TEXT(
    DATE(
      INDEX(SPLIT(O61,"" ""),3),
      VLOOKUP(INDEX(SPLIT(O61,"" ""),1),{""jan."",1;""Feb"",2;""mar."",3;""Apr"",4;""May"",5;""jun."",6;""jul."",7;""Aug"",8;""Sep"",9;""Oct"",10;""nov."",11;""Dec"",12},2,FALSE),
      INDEX(SPL"&amp;"IT(O61,"" ""),2)
    ),
    ""dd/mm/yyyy""
  ),
"""")"),"26/02/2026")</f>
        <v>26/02/2026</v>
      </c>
    </row>
    <row r="62">
      <c r="A62" s="1054" t="s">
        <v>1222</v>
      </c>
      <c r="B62" s="1054" t="s">
        <v>1223</v>
      </c>
      <c r="C62" s="1058"/>
      <c r="D62" s="1058"/>
      <c r="E62" s="1056"/>
      <c r="F62" s="1055" t="s">
        <v>429</v>
      </c>
      <c r="G62" s="1055" t="s">
        <v>540</v>
      </c>
      <c r="H62" s="1056"/>
      <c r="I62" s="1056"/>
      <c r="J62" s="1055" t="s">
        <v>540</v>
      </c>
      <c r="K62" s="1055" t="s">
        <v>541</v>
      </c>
      <c r="L62" s="1055" t="s">
        <v>542</v>
      </c>
      <c r="M62" s="1055" t="s">
        <v>543</v>
      </c>
      <c r="N62" s="1055" t="s">
        <v>1224</v>
      </c>
      <c r="O62" s="1055" t="s">
        <v>1225</v>
      </c>
      <c r="P62" s="1057" t="str">
        <f>IFERROR(__xludf.DUMMYFUNCTION("IFERROR(
  TEXT(
    DATE(
      INDEX(SPLIT(O62,"" ""),3),
      VLOOKUP(INDEX(SPLIT(O62,"" ""),1),{""jan."",1;""Feb"",2;""mar."",3;""Apr"",4;""May"",5;""jun."",6;""jul."",7;""Aug"",8;""Sep"",9;""Oct"",10;""nov."",11;""Dec"",12},2,FALSE),
      INDEX(SPL"&amp;"IT(O62,"" ""),2)
    ),
    ""dd/mm/yyyy""
  ),
"""")"),"30/04/2026")</f>
        <v>30/04/2026</v>
      </c>
    </row>
    <row r="63">
      <c r="A63" s="1054" t="s">
        <v>1226</v>
      </c>
      <c r="B63" s="1054" t="s">
        <v>1227</v>
      </c>
      <c r="C63" s="1058"/>
      <c r="D63" s="1058"/>
      <c r="E63" s="1056"/>
      <c r="F63" s="1055" t="s">
        <v>444</v>
      </c>
      <c r="G63" s="1055" t="s">
        <v>540</v>
      </c>
      <c r="H63" s="1056"/>
      <c r="I63" s="1056"/>
      <c r="J63" s="1055" t="s">
        <v>540</v>
      </c>
      <c r="K63" s="1055" t="s">
        <v>541</v>
      </c>
      <c r="L63" s="1055" t="s">
        <v>542</v>
      </c>
      <c r="M63" s="1055" t="s">
        <v>543</v>
      </c>
      <c r="N63" s="1055" t="s">
        <v>714</v>
      </c>
      <c r="O63" s="1055" t="s">
        <v>1228</v>
      </c>
      <c r="P63" s="1057" t="str">
        <f>IFERROR(__xludf.DUMMYFUNCTION("IFERROR(
  TEXT(
    DATE(
      INDEX(SPLIT(O63,"" ""),3),
      VLOOKUP(INDEX(SPLIT(O63,"" ""),1),{""jan."",1;""Feb"",2;""mar."",3;""Apr"",4;""May"",5;""jun."",6;""jul."",7;""Aug"",8;""Sep"",9;""Oct"",10;""nov."",11;""Dec"",12},2,FALSE),
      INDEX(SPL"&amp;"IT(O63,"" ""),2)
    ),
    ""dd/mm/yyyy""
  ),
"""")"),"24/04/2026")</f>
        <v>24/04/2026</v>
      </c>
    </row>
    <row r="64">
      <c r="A64" s="1054" t="s">
        <v>1229</v>
      </c>
      <c r="B64" s="1054" t="s">
        <v>1230</v>
      </c>
      <c r="C64" s="1058"/>
      <c r="D64" s="1058"/>
      <c r="E64" s="1056"/>
      <c r="F64" s="1055" t="s">
        <v>377</v>
      </c>
      <c r="G64" s="1055" t="s">
        <v>540</v>
      </c>
      <c r="H64" s="1056"/>
      <c r="I64" s="1056"/>
      <c r="J64" s="1055" t="s">
        <v>540</v>
      </c>
      <c r="K64" s="1055" t="s">
        <v>541</v>
      </c>
      <c r="L64" s="1055" t="s">
        <v>542</v>
      </c>
      <c r="M64" s="1055" t="s">
        <v>543</v>
      </c>
      <c r="N64" s="1055" t="s">
        <v>1163</v>
      </c>
      <c r="O64" s="1055" t="s">
        <v>1231</v>
      </c>
      <c r="P64" s="1057" t="str">
        <f>IFERROR(__xludf.DUMMYFUNCTION("IFERROR(
  TEXT(
    DATE(
      INDEX(SPLIT(O64,"" ""),3),
      VLOOKUP(INDEX(SPLIT(O64,"" ""),1),{""jan."",1;""Feb"",2;""mar."",3;""Apr"",4;""May"",5;""jun."",6;""jul."",7;""Aug"",8;""Sep"",9;""Oct"",10;""nov."",11;""Dec"",12},2,FALSE),
      INDEX(SPL"&amp;"IT(O64,"" ""),2)
    ),
    ""dd/mm/yyyy""
  ),
"""")"),"17/12/2024")</f>
        <v>17/12/2024</v>
      </c>
    </row>
    <row r="65">
      <c r="A65" s="1054" t="s">
        <v>1232</v>
      </c>
      <c r="B65" s="1054" t="s">
        <v>1233</v>
      </c>
      <c r="C65" s="1055" t="s">
        <v>1085</v>
      </c>
      <c r="D65" s="1055" t="s">
        <v>539</v>
      </c>
      <c r="E65" s="1056"/>
      <c r="F65" s="1055" t="s">
        <v>414</v>
      </c>
      <c r="G65" s="1055" t="s">
        <v>540</v>
      </c>
      <c r="H65" s="1056"/>
      <c r="I65" s="1056"/>
      <c r="J65" s="1055" t="s">
        <v>540</v>
      </c>
      <c r="K65" s="1055" t="s">
        <v>541</v>
      </c>
      <c r="L65" s="1055" t="s">
        <v>542</v>
      </c>
      <c r="M65" s="1055" t="s">
        <v>543</v>
      </c>
      <c r="N65" s="1055" t="s">
        <v>1234</v>
      </c>
      <c r="O65" s="1055" t="s">
        <v>1231</v>
      </c>
      <c r="P65" s="1057" t="str">
        <f>IFERROR(__xludf.DUMMYFUNCTION("IFERROR(
  TEXT(
    DATE(
      INDEX(SPLIT(O65,"" ""),3),
      VLOOKUP(INDEX(SPLIT(O65,"" ""),1),{""jan."",1;""Feb"",2;""mar."",3;""Apr"",4;""May"",5;""jun."",6;""jul."",7;""Aug"",8;""Sep"",9;""Oct"",10;""nov."",11;""Dec"",12},2,FALSE),
      INDEX(SPL"&amp;"IT(O65,"" ""),2)
    ),
    ""dd/mm/yyyy""
  ),
"""")"),"17/12/2024")</f>
        <v>17/12/2024</v>
      </c>
    </row>
    <row r="66">
      <c r="A66" s="1054" t="s">
        <v>1235</v>
      </c>
      <c r="B66" s="1054" t="s">
        <v>1236</v>
      </c>
      <c r="C66" s="1058"/>
      <c r="D66" s="1058"/>
      <c r="E66" s="1056"/>
      <c r="F66" s="1055" t="s">
        <v>377</v>
      </c>
      <c r="G66" s="1055" t="s">
        <v>540</v>
      </c>
      <c r="H66" s="1056"/>
      <c r="I66" s="1056"/>
      <c r="J66" s="1055" t="s">
        <v>540</v>
      </c>
      <c r="K66" s="1055" t="s">
        <v>541</v>
      </c>
      <c r="L66" s="1055" t="s">
        <v>542</v>
      </c>
      <c r="M66" s="1055" t="s">
        <v>543</v>
      </c>
      <c r="N66" s="1055" t="s">
        <v>1237</v>
      </c>
      <c r="O66" s="1055" t="s">
        <v>1238</v>
      </c>
      <c r="P66" s="1057" t="str">
        <f>IFERROR(__xludf.DUMMYFUNCTION("IFERROR(
  TEXT(
    DATE(
      INDEX(SPLIT(O66,"" ""),3),
      VLOOKUP(INDEX(SPLIT(O66,"" ""),1),{""jan."",1;""Feb"",2;""mar."",3;""Apr"",4;""May"",5;""jun."",6;""jul."",7;""Aug"",8;""Sep"",9;""Oct"",10;""nov."",11;""Dec"",12},2,FALSE),
      INDEX(SPL"&amp;"IT(O66,"" ""),2)
    ),
    ""dd/mm/yyyy""
  ),
"""")"),"16/04/2025")</f>
        <v>16/04/2025</v>
      </c>
    </row>
    <row r="67">
      <c r="A67" s="1054" t="s">
        <v>1239</v>
      </c>
      <c r="B67" s="1054" t="s">
        <v>1240</v>
      </c>
      <c r="C67" s="1058"/>
      <c r="D67" s="1058"/>
      <c r="E67" s="1056"/>
      <c r="F67" s="1055" t="s">
        <v>377</v>
      </c>
      <c r="G67" s="1055" t="s">
        <v>540</v>
      </c>
      <c r="H67" s="1056"/>
      <c r="I67" s="1056"/>
      <c r="J67" s="1055" t="s">
        <v>540</v>
      </c>
      <c r="K67" s="1055" t="s">
        <v>541</v>
      </c>
      <c r="L67" s="1055" t="s">
        <v>542</v>
      </c>
      <c r="M67" s="1055" t="s">
        <v>543</v>
      </c>
      <c r="N67" s="1055" t="s">
        <v>826</v>
      </c>
      <c r="O67" s="1055" t="s">
        <v>1241</v>
      </c>
      <c r="P67" s="1057" t="str">
        <f>IFERROR(__xludf.DUMMYFUNCTION("IFERROR(
  TEXT(
    DATE(
      INDEX(SPLIT(O67,"" ""),3),
      VLOOKUP(INDEX(SPLIT(O67,"" ""),1),{""jan."",1;""Feb"",2;""mar."",3;""Apr"",4;""May"",5;""jun."",6;""jul."",7;""Aug"",8;""Sep"",9;""Oct"",10;""nov."",11;""Dec"",12},2,FALSE),
      INDEX(SPL"&amp;"IT(O67,"" ""),2)
    ),
    ""dd/mm/yyyy""
  ),
"""")"),"16/04/2025")</f>
        <v>16/04/2025</v>
      </c>
    </row>
    <row r="68">
      <c r="A68" s="1054" t="s">
        <v>1242</v>
      </c>
      <c r="B68" s="1054" t="s">
        <v>1243</v>
      </c>
      <c r="C68" s="1058"/>
      <c r="D68" s="1058"/>
      <c r="E68" s="1056"/>
      <c r="F68" s="1055" t="s">
        <v>377</v>
      </c>
      <c r="G68" s="1055" t="s">
        <v>540</v>
      </c>
      <c r="H68" s="1056"/>
      <c r="I68" s="1056"/>
      <c r="J68" s="1055" t="s">
        <v>540</v>
      </c>
      <c r="K68" s="1055" t="s">
        <v>541</v>
      </c>
      <c r="L68" s="1055" t="s">
        <v>542</v>
      </c>
      <c r="M68" s="1055" t="s">
        <v>543</v>
      </c>
      <c r="N68" s="1055" t="s">
        <v>1244</v>
      </c>
      <c r="O68" s="1055" t="s">
        <v>1245</v>
      </c>
      <c r="P68" s="1057" t="str">
        <f>IFERROR(__xludf.DUMMYFUNCTION("IFERROR(
  TEXT(
    DATE(
      INDEX(SPLIT(O68,"" ""),3),
      VLOOKUP(INDEX(SPLIT(O68,"" ""),1),{""jan."",1;""Feb"",2;""mar."",3;""Apr"",4;""May"",5;""jun."",6;""jul."",7;""Aug"",8;""Sep"",9;""Oct"",10;""nov."",11;""Dec"",12},2,FALSE),
      INDEX(SPL"&amp;"IT(O68,"" ""),2)
    ),
    ""dd/mm/yyyy""
  ),
"""")"),"19/12/2024")</f>
        <v>19/12/2024</v>
      </c>
    </row>
    <row r="69">
      <c r="A69" s="1054" t="s">
        <v>1246</v>
      </c>
      <c r="B69" s="1054" t="s">
        <v>1247</v>
      </c>
      <c r="C69" s="1055" t="s">
        <v>1085</v>
      </c>
      <c r="D69" s="1055" t="s">
        <v>539</v>
      </c>
      <c r="E69" s="1056"/>
      <c r="F69" s="1055" t="s">
        <v>412</v>
      </c>
      <c r="G69" s="1055" t="s">
        <v>540</v>
      </c>
      <c r="H69" s="1056"/>
      <c r="I69" s="1056"/>
      <c r="J69" s="1055" t="s">
        <v>540</v>
      </c>
      <c r="K69" s="1055" t="s">
        <v>541</v>
      </c>
      <c r="L69" s="1055" t="s">
        <v>542</v>
      </c>
      <c r="M69" s="1055" t="s">
        <v>543</v>
      </c>
      <c r="N69" s="1055" t="s">
        <v>1248</v>
      </c>
      <c r="O69" s="1055" t="s">
        <v>1249</v>
      </c>
      <c r="P69" s="1057" t="str">
        <f>IFERROR(__xludf.DUMMYFUNCTION("IFERROR(
  TEXT(
    DATE(
      INDEX(SPLIT(O69,"" ""),3),
      VLOOKUP(INDEX(SPLIT(O69,"" ""),1),{""jan."",1;""Feb"",2;""mar."",3;""Apr"",4;""May"",5;""jun."",6;""jul."",7;""Aug"",8;""Sep"",9;""Oct"",10;""nov."",11;""Dec"",12},2,FALSE),
      INDEX(SPL"&amp;"IT(O69,"" ""),2)
    ),
    ""dd/mm/yyyy""
  ),
"""")"),"19/12/2024")</f>
        <v>19/12/2024</v>
      </c>
    </row>
    <row r="70">
      <c r="A70" s="1054" t="s">
        <v>1250</v>
      </c>
      <c r="B70" s="1054" t="s">
        <v>1251</v>
      </c>
      <c r="C70" s="1058"/>
      <c r="D70" s="1058"/>
      <c r="E70" s="1056"/>
      <c r="F70" s="1055" t="s">
        <v>377</v>
      </c>
      <c r="G70" s="1055" t="s">
        <v>540</v>
      </c>
      <c r="H70" s="1056"/>
      <c r="I70" s="1056"/>
      <c r="J70" s="1055" t="s">
        <v>540</v>
      </c>
      <c r="K70" s="1055" t="s">
        <v>541</v>
      </c>
      <c r="L70" s="1055" t="s">
        <v>542</v>
      </c>
      <c r="M70" s="1055" t="s">
        <v>543</v>
      </c>
      <c r="N70" s="1055" t="s">
        <v>708</v>
      </c>
      <c r="O70" s="1055" t="s">
        <v>1241</v>
      </c>
      <c r="P70" s="1057" t="str">
        <f>IFERROR(__xludf.DUMMYFUNCTION("IFERROR(
  TEXT(
    DATE(
      INDEX(SPLIT(O70,"" ""),3),
      VLOOKUP(INDEX(SPLIT(O70,"" ""),1),{""jan."",1;""Feb"",2;""mar."",3;""Apr"",4;""May"",5;""jun."",6;""jul."",7;""Aug"",8;""Sep"",9;""Oct"",10;""nov."",11;""Dec"",12},2,FALSE),
      INDEX(SPL"&amp;"IT(O70,"" ""),2)
    ),
    ""dd/mm/yyyy""
  ),
"""")"),"16/04/2025")</f>
        <v>16/04/2025</v>
      </c>
    </row>
    <row r="71">
      <c r="A71" s="1054" t="s">
        <v>1252</v>
      </c>
      <c r="B71" s="1054" t="s">
        <v>1253</v>
      </c>
      <c r="C71" s="1058"/>
      <c r="D71" s="1058"/>
      <c r="E71" s="1056"/>
      <c r="F71" s="1055" t="s">
        <v>377</v>
      </c>
      <c r="G71" s="1055" t="s">
        <v>540</v>
      </c>
      <c r="H71" s="1056"/>
      <c r="I71" s="1056"/>
      <c r="J71" s="1055" t="s">
        <v>540</v>
      </c>
      <c r="K71" s="1055" t="s">
        <v>541</v>
      </c>
      <c r="L71" s="1055" t="s">
        <v>542</v>
      </c>
      <c r="M71" s="1055" t="s">
        <v>543</v>
      </c>
      <c r="N71" s="1055" t="s">
        <v>1254</v>
      </c>
      <c r="O71" s="1055" t="s">
        <v>1241</v>
      </c>
      <c r="P71" s="1057" t="str">
        <f>IFERROR(__xludf.DUMMYFUNCTION("IFERROR(
  TEXT(
    DATE(
      INDEX(SPLIT(O71,"" ""),3),
      VLOOKUP(INDEX(SPLIT(O71,"" ""),1),{""jan."",1;""Feb"",2;""mar."",3;""Apr"",4;""May"",5;""jun."",6;""jul."",7;""Aug"",8;""Sep"",9;""Oct"",10;""nov."",11;""Dec"",12},2,FALSE),
      INDEX(SPL"&amp;"IT(O71,"" ""),2)
    ),
    ""dd/mm/yyyy""
  ),
"""")"),"16/04/2025")</f>
        <v>16/04/2025</v>
      </c>
    </row>
    <row r="72">
      <c r="A72" s="1054" t="s">
        <v>1255</v>
      </c>
      <c r="B72" s="1054" t="s">
        <v>1256</v>
      </c>
      <c r="C72" s="1058"/>
      <c r="D72" s="1058"/>
      <c r="E72" s="1056"/>
      <c r="F72" s="1055" t="s">
        <v>377</v>
      </c>
      <c r="G72" s="1055" t="s">
        <v>540</v>
      </c>
      <c r="H72" s="1056"/>
      <c r="I72" s="1056"/>
      <c r="J72" s="1055" t="s">
        <v>540</v>
      </c>
      <c r="K72" s="1055" t="s">
        <v>541</v>
      </c>
      <c r="L72" s="1055" t="s">
        <v>542</v>
      </c>
      <c r="M72" s="1055" t="s">
        <v>543</v>
      </c>
      <c r="N72" s="1055" t="s">
        <v>714</v>
      </c>
      <c r="O72" s="1055" t="s">
        <v>1241</v>
      </c>
      <c r="P72" s="1057" t="str">
        <f>IFERROR(__xludf.DUMMYFUNCTION("IFERROR(
  TEXT(
    DATE(
      INDEX(SPLIT(O72,"" ""),3),
      VLOOKUP(INDEX(SPLIT(O72,"" ""),1),{""jan."",1;""Feb"",2;""mar."",3;""Apr"",4;""May"",5;""jun."",6;""jul."",7;""Aug"",8;""Sep"",9;""Oct"",10;""nov."",11;""Dec"",12},2,FALSE),
      INDEX(SPL"&amp;"IT(O72,"" ""),2)
    ),
    ""dd/mm/yyyy""
  ),
"""")"),"16/04/2025")</f>
        <v>16/04/2025</v>
      </c>
    </row>
    <row r="73">
      <c r="A73" s="1054" t="s">
        <v>1257</v>
      </c>
      <c r="B73" s="1054" t="s">
        <v>1258</v>
      </c>
      <c r="C73" s="1058"/>
      <c r="D73" s="1058"/>
      <c r="E73" s="1056"/>
      <c r="F73" s="1055" t="s">
        <v>377</v>
      </c>
      <c r="G73" s="1055" t="s">
        <v>540</v>
      </c>
      <c r="H73" s="1056"/>
      <c r="I73" s="1056"/>
      <c r="J73" s="1055" t="s">
        <v>540</v>
      </c>
      <c r="K73" s="1055" t="s">
        <v>541</v>
      </c>
      <c r="L73" s="1055" t="s">
        <v>542</v>
      </c>
      <c r="M73" s="1055" t="s">
        <v>543</v>
      </c>
      <c r="N73" s="1055" t="s">
        <v>861</v>
      </c>
      <c r="O73" s="1055" t="s">
        <v>1259</v>
      </c>
      <c r="P73" s="1057" t="str">
        <f>IFERROR(__xludf.DUMMYFUNCTION("IFERROR(
  TEXT(
    DATE(
      INDEX(SPLIT(O73,"" ""),3),
      VLOOKUP(INDEX(SPLIT(O73,"" ""),1),{""jan."",1;""Feb"",2;""mar."",3;""Apr"",4;""May"",5;""jun."",6;""jul."",7;""Aug"",8;""Sep"",9;""Oct"",10;""nov."",11;""Dec"",12},2,FALSE),
      INDEX(SPL"&amp;"IT(O73,"" ""),2)
    ),
    ""dd/mm/yyyy""
  ),
"""")"),"18/12/2024")</f>
        <v>18/12/2024</v>
      </c>
    </row>
    <row r="74">
      <c r="A74" s="1054" t="s">
        <v>1260</v>
      </c>
      <c r="B74" s="1054" t="s">
        <v>1261</v>
      </c>
      <c r="C74" s="1055" t="s">
        <v>1085</v>
      </c>
      <c r="D74" s="1055" t="s">
        <v>539</v>
      </c>
      <c r="E74" s="1056"/>
      <c r="F74" s="1055" t="s">
        <v>412</v>
      </c>
      <c r="G74" s="1055" t="s">
        <v>540</v>
      </c>
      <c r="H74" s="1056"/>
      <c r="I74" s="1056"/>
      <c r="J74" s="1055" t="s">
        <v>540</v>
      </c>
      <c r="K74" s="1055" t="s">
        <v>541</v>
      </c>
      <c r="L74" s="1055" t="s">
        <v>542</v>
      </c>
      <c r="M74" s="1055" t="s">
        <v>543</v>
      </c>
      <c r="N74" s="1055" t="s">
        <v>1262</v>
      </c>
      <c r="O74" s="1055" t="s">
        <v>1259</v>
      </c>
      <c r="P74" s="1057" t="str">
        <f>IFERROR(__xludf.DUMMYFUNCTION("IFERROR(
  TEXT(
    DATE(
      INDEX(SPLIT(O74,"" ""),3),
      VLOOKUP(INDEX(SPLIT(O74,"" ""),1),{""jan."",1;""Feb"",2;""mar."",3;""Apr"",4;""May"",5;""jun."",6;""jul."",7;""Aug"",8;""Sep"",9;""Oct"",10;""nov."",11;""Dec"",12},2,FALSE),
      INDEX(SPL"&amp;"IT(O74,"" ""),2)
    ),
    ""dd/mm/yyyy""
  ),
"""")"),"18/12/2024")</f>
        <v>18/12/2024</v>
      </c>
    </row>
    <row r="75">
      <c r="A75" s="1054" t="s">
        <v>1263</v>
      </c>
      <c r="B75" s="1054" t="s">
        <v>1264</v>
      </c>
      <c r="C75" s="1055" t="s">
        <v>1085</v>
      </c>
      <c r="D75" s="1055" t="s">
        <v>539</v>
      </c>
      <c r="E75" s="1056"/>
      <c r="F75" s="1055" t="s">
        <v>1265</v>
      </c>
      <c r="G75" s="1055" t="s">
        <v>540</v>
      </c>
      <c r="H75" s="1056"/>
      <c r="I75" s="1056"/>
      <c r="J75" s="1055" t="s">
        <v>540</v>
      </c>
      <c r="K75" s="1055" t="s">
        <v>541</v>
      </c>
      <c r="L75" s="1055" t="s">
        <v>542</v>
      </c>
      <c r="M75" s="1055" t="s">
        <v>543</v>
      </c>
      <c r="N75" s="1055" t="s">
        <v>1266</v>
      </c>
      <c r="O75" s="1055" t="s">
        <v>1267</v>
      </c>
      <c r="P75" s="1057" t="str">
        <f>IFERROR(__xludf.DUMMYFUNCTION("IFERROR(
  TEXT(
    DATE(
      INDEX(SPLIT(O75,"" ""),3),
      VLOOKUP(INDEX(SPLIT(O75,"" ""),1),{""jan."",1;""Feb"",2;""mar."",3;""Apr"",4;""May"",5;""jun."",6;""jul."",7;""Aug"",8;""Sep"",9;""Oct"",10;""nov."",11;""Dec"",12},2,FALSE),
      INDEX(SPL"&amp;"IT(O75,"" ""),2)
    ),
    ""dd/mm/yyyy""
  ),
"""")"),"17/04/2026")</f>
        <v>17/04/2026</v>
      </c>
    </row>
    <row r="76">
      <c r="A76" s="1054" t="s">
        <v>1268</v>
      </c>
      <c r="B76" s="1054" t="s">
        <v>1269</v>
      </c>
      <c r="C76" s="1055" t="s">
        <v>1085</v>
      </c>
      <c r="D76" s="1055" t="s">
        <v>539</v>
      </c>
      <c r="E76" s="1056"/>
      <c r="F76" s="1055" t="s">
        <v>404</v>
      </c>
      <c r="G76" s="1055" t="s">
        <v>540</v>
      </c>
      <c r="H76" s="1056"/>
      <c r="I76" s="1056"/>
      <c r="J76" s="1055" t="s">
        <v>540</v>
      </c>
      <c r="K76" s="1055" t="s">
        <v>541</v>
      </c>
      <c r="L76" s="1055" t="s">
        <v>542</v>
      </c>
      <c r="M76" s="1055" t="s">
        <v>543</v>
      </c>
      <c r="N76" s="1055" t="s">
        <v>1270</v>
      </c>
      <c r="O76" s="1055" t="s">
        <v>1271</v>
      </c>
      <c r="P76" s="1057" t="str">
        <f>IFERROR(__xludf.DUMMYFUNCTION("IFERROR(
  TEXT(
    DATE(
      INDEX(SPLIT(O76,"" ""),3),
      VLOOKUP(INDEX(SPLIT(O76,"" ""),1),{""jan."",1;""Feb"",2;""mar."",3;""Apr"",4;""May"",5;""jun."",6;""jul."",7;""Aug"",8;""Sep"",9;""Oct"",10;""nov."",11;""Dec"",12},2,FALSE),
      INDEX(SPL"&amp;"IT(O76,"" ""),2)
    ),
    ""dd/mm/yyyy""
  ),
"""")"),"16/04/2026")</f>
        <v>16/04/2026</v>
      </c>
    </row>
    <row r="77">
      <c r="A77" s="1054" t="s">
        <v>1272</v>
      </c>
      <c r="B77" s="1054" t="s">
        <v>1273</v>
      </c>
      <c r="C77" s="1055" t="s">
        <v>1085</v>
      </c>
      <c r="D77" s="1055" t="s">
        <v>539</v>
      </c>
      <c r="E77" s="1056"/>
      <c r="F77" s="1055" t="s">
        <v>420</v>
      </c>
      <c r="G77" s="1055" t="s">
        <v>540</v>
      </c>
      <c r="H77" s="1056"/>
      <c r="I77" s="1056"/>
      <c r="J77" s="1055" t="s">
        <v>540</v>
      </c>
      <c r="K77" s="1055" t="s">
        <v>541</v>
      </c>
      <c r="L77" s="1055" t="s">
        <v>542</v>
      </c>
      <c r="M77" s="1055" t="s">
        <v>543</v>
      </c>
      <c r="N77" s="1055" t="s">
        <v>1274</v>
      </c>
      <c r="O77" s="1055" t="s">
        <v>1275</v>
      </c>
      <c r="P77" s="1057" t="str">
        <f>IFERROR(__xludf.DUMMYFUNCTION("IFERROR(
  TEXT(
    DATE(
      INDEX(SPLIT(O77,"" ""),3),
      VLOOKUP(INDEX(SPLIT(O77,"" ""),1),{""jan."",1;""Feb"",2;""mar."",3;""Apr"",4;""May"",5;""jun."",6;""jul."",7;""Aug"",8;""Sep"",9;""Oct"",10;""nov."",11;""Dec"",12},2,FALSE),
      INDEX(SPL"&amp;"IT(O77,"" ""),2)
    ),
    ""dd/mm/yyyy""
  ),
"""")"),"26/02/2026")</f>
        <v>26/02/2026</v>
      </c>
    </row>
    <row r="78">
      <c r="A78" s="1054" t="s">
        <v>1276</v>
      </c>
      <c r="B78" s="1054" t="s">
        <v>1277</v>
      </c>
      <c r="C78" s="1055" t="s">
        <v>1085</v>
      </c>
      <c r="D78" s="1055" t="s">
        <v>539</v>
      </c>
      <c r="E78" s="1056"/>
      <c r="F78" s="1055" t="s">
        <v>442</v>
      </c>
      <c r="G78" s="1055" t="s">
        <v>540</v>
      </c>
      <c r="H78" s="1056"/>
      <c r="I78" s="1056"/>
      <c r="J78" s="1055" t="s">
        <v>540</v>
      </c>
      <c r="K78" s="1055" t="s">
        <v>541</v>
      </c>
      <c r="L78" s="1055" t="s">
        <v>542</v>
      </c>
      <c r="M78" s="1055" t="s">
        <v>543</v>
      </c>
      <c r="N78" s="1055" t="s">
        <v>1278</v>
      </c>
      <c r="O78" s="1055" t="s">
        <v>1279</v>
      </c>
      <c r="P78" s="1057" t="str">
        <f>IFERROR(__xludf.DUMMYFUNCTION("IFERROR(
  TEXT(
    DATE(
      INDEX(SPLIT(O78,"" ""),3),
      VLOOKUP(INDEX(SPLIT(O78,"" ""),1),{""jan."",1;""Feb"",2;""mar."",3;""Apr"",4;""May"",5;""jun."",6;""jul."",7;""Aug"",8;""Sep"",9;""Oct"",10;""nov."",11;""Dec"",12},2,FALSE),
      INDEX(SPL"&amp;"IT(O78,"" ""),2)
    ),
    ""dd/mm/yyyy""
  ),
"""")"),"30/04/2026")</f>
        <v>30/04/2026</v>
      </c>
    </row>
    <row r="79">
      <c r="A79" s="1054" t="s">
        <v>1280</v>
      </c>
      <c r="B79" s="1054" t="s">
        <v>1281</v>
      </c>
      <c r="C79" s="1055" t="s">
        <v>1085</v>
      </c>
      <c r="D79" s="1055" t="s">
        <v>539</v>
      </c>
      <c r="E79" s="1056"/>
      <c r="F79" s="1055" t="s">
        <v>450</v>
      </c>
      <c r="G79" s="1055" t="s">
        <v>540</v>
      </c>
      <c r="H79" s="1056"/>
      <c r="I79" s="1056"/>
      <c r="J79" s="1055" t="s">
        <v>540</v>
      </c>
      <c r="K79" s="1055" t="s">
        <v>541</v>
      </c>
      <c r="L79" s="1055" t="s">
        <v>542</v>
      </c>
      <c r="M79" s="1055" t="s">
        <v>543</v>
      </c>
      <c r="N79" s="1055" t="s">
        <v>1282</v>
      </c>
      <c r="O79" s="1055" t="s">
        <v>1283</v>
      </c>
      <c r="P79" s="1057" t="str">
        <f>IFERROR(__xludf.DUMMYFUNCTION("IFERROR(
  TEXT(
    DATE(
      INDEX(SPLIT(O79,"" ""),3),
      VLOOKUP(INDEX(SPLIT(O79,"" ""),1),{""jan."",1;""Feb"",2;""mar."",3;""Apr"",4;""May"",5;""jun."",6;""jul."",7;""Aug"",8;""Sep"",9;""Oct"",10;""nov."",11;""Dec"",12},2,FALSE),
      INDEX(SPL"&amp;"IT(O79,"" ""),2)
    ),
    ""dd/mm/yyyy""
  ),
"""")"),"24/04/2026")</f>
        <v>24/04/2026</v>
      </c>
    </row>
    <row r="80">
      <c r="A80" s="1054" t="s">
        <v>1284</v>
      </c>
      <c r="B80" s="1054" t="s">
        <v>1285</v>
      </c>
      <c r="C80" s="1058"/>
      <c r="D80" s="1058"/>
      <c r="E80" s="1056"/>
      <c r="F80" s="1055" t="s">
        <v>427</v>
      </c>
      <c r="G80" s="1055" t="s">
        <v>540</v>
      </c>
      <c r="H80" s="1056"/>
      <c r="I80" s="1056"/>
      <c r="J80" s="1055" t="s">
        <v>540</v>
      </c>
      <c r="K80" s="1055" t="s">
        <v>541</v>
      </c>
      <c r="L80" s="1055" t="s">
        <v>542</v>
      </c>
      <c r="M80" s="1055" t="s">
        <v>543</v>
      </c>
      <c r="N80" s="1055" t="s">
        <v>817</v>
      </c>
      <c r="O80" s="1055" t="s">
        <v>1286</v>
      </c>
      <c r="P80" s="1057" t="str">
        <f>IFERROR(__xludf.DUMMYFUNCTION("IFERROR(
  TEXT(
    DATE(
      INDEX(SPLIT(O80,"" ""),3),
      VLOOKUP(INDEX(SPLIT(O80,"" ""),1),{""jan."",1;""Feb"",2;""mar."",3;""Apr"",4;""May"",5;""jun."",6;""jul."",7;""Aug"",8;""Sep"",9;""Oct"",10;""nov."",11;""Dec"",12},2,FALSE),
      INDEX(SPL"&amp;"IT(O80,"" ""),2)
    ),
    ""dd/mm/yyyy""
  ),
"""")"),"05/05/2026")</f>
        <v>05/05/2026</v>
      </c>
    </row>
    <row r="81">
      <c r="A81" s="1054" t="s">
        <v>1287</v>
      </c>
      <c r="B81" s="1054" t="s">
        <v>1288</v>
      </c>
      <c r="C81" s="1058"/>
      <c r="D81" s="1058"/>
      <c r="E81" s="1056"/>
      <c r="F81" s="1055" t="s">
        <v>415</v>
      </c>
      <c r="G81" s="1055" t="s">
        <v>540</v>
      </c>
      <c r="H81" s="1056"/>
      <c r="I81" s="1056"/>
      <c r="J81" s="1055" t="s">
        <v>540</v>
      </c>
      <c r="K81" s="1055" t="s">
        <v>541</v>
      </c>
      <c r="L81" s="1055" t="s">
        <v>542</v>
      </c>
      <c r="M81" s="1055" t="s">
        <v>543</v>
      </c>
      <c r="N81" s="1055" t="s">
        <v>1289</v>
      </c>
      <c r="O81" s="1055" t="s">
        <v>1290</v>
      </c>
      <c r="P81" s="1057" t="str">
        <f>IFERROR(__xludf.DUMMYFUNCTION("IFERROR(
  TEXT(
    DATE(
      INDEX(SPLIT(O81,"" ""),3),
      VLOOKUP(INDEX(SPLIT(O81,"" ""),1),{""jan."",1;""Feb"",2;""mar."",3;""Apr"",4;""May"",5;""jun."",6;""jul."",7;""Aug"",8;""Sep"",9;""Oct"",10;""nov."",11;""Dec"",12},2,FALSE),
      INDEX(SPL"&amp;"IT(O81,"" ""),2)
    ),
    ""dd/mm/yyyy""
  ),
"""")"),"03/02/2026")</f>
        <v>03/02/2026</v>
      </c>
    </row>
    <row r="82">
      <c r="A82" s="1054" t="s">
        <v>1291</v>
      </c>
      <c r="B82" s="1054" t="s">
        <v>1292</v>
      </c>
      <c r="C82" s="1058"/>
      <c r="D82" s="1058"/>
      <c r="E82" s="1056"/>
      <c r="F82" s="1055" t="s">
        <v>436</v>
      </c>
      <c r="G82" s="1055" t="s">
        <v>540</v>
      </c>
      <c r="H82" s="1056"/>
      <c r="I82" s="1056"/>
      <c r="J82" s="1055" t="s">
        <v>540</v>
      </c>
      <c r="K82" s="1055" t="s">
        <v>541</v>
      </c>
      <c r="L82" s="1055" t="s">
        <v>542</v>
      </c>
      <c r="M82" s="1055" t="s">
        <v>543</v>
      </c>
      <c r="N82" s="1055" t="s">
        <v>1293</v>
      </c>
      <c r="O82" s="1057">
        <v>46085.61875</v>
      </c>
      <c r="P82" s="1057" t="str">
        <f>IFERROR(__xludf.DUMMYFUNCTION("IFERROR(
  TEXT(
    DATE(
      INDEX(SPLIT(O82,"" ""),3),
      VLOOKUP(INDEX(SPLIT(O82,"" ""),1),{""jan."",1;""Feb"",2;""mar."",3;""Apr"",4;""May"",5;""jun."",6;""jul."",7;""Aug"",8;""Sep"",9;""Oct"",10;""nov."",11;""Dec"",12},2,FALSE),
      INDEX(SPL"&amp;"IT(O82,"" ""),2)
    ),
    ""dd/mm/yyyy""
  ),
"""")"),"04/03/2026")</f>
        <v>04/03/2026</v>
      </c>
    </row>
    <row r="83">
      <c r="A83" s="1054" t="s">
        <v>1294</v>
      </c>
      <c r="B83" s="1054" t="s">
        <v>1295</v>
      </c>
      <c r="C83" s="1058"/>
      <c r="D83" s="1058"/>
      <c r="E83" s="1056"/>
      <c r="F83" s="1055" t="s">
        <v>408</v>
      </c>
      <c r="G83" s="1055" t="s">
        <v>540</v>
      </c>
      <c r="H83" s="1056"/>
      <c r="I83" s="1056"/>
      <c r="J83" s="1055" t="s">
        <v>540</v>
      </c>
      <c r="K83" s="1055" t="s">
        <v>541</v>
      </c>
      <c r="L83" s="1055" t="s">
        <v>542</v>
      </c>
      <c r="M83" s="1055" t="s">
        <v>543</v>
      </c>
      <c r="N83" s="1055" t="s">
        <v>1217</v>
      </c>
      <c r="O83" s="1055" t="s">
        <v>1296</v>
      </c>
      <c r="P83" s="1057" t="str">
        <f>IFERROR(__xludf.DUMMYFUNCTION("IFERROR(
  TEXT(
    DATE(
      INDEX(SPLIT(O83,"" ""),3),
      VLOOKUP(INDEX(SPLIT(O83,"" ""),1),{""jan."",1;""Feb"",2;""mar."",3;""Apr"",4;""May"",5;""jun."",6;""jul."",7;""Aug"",8;""Sep"",9;""Oct"",10;""nov."",11;""Dec"",12},2,FALSE),
      INDEX(SPL"&amp;"IT(O83,"" ""),2)
    ),
    ""dd/mm/yyyy""
  ),
"""")"),"24/04/2026")</f>
        <v>24/04/2026</v>
      </c>
    </row>
    <row r="84">
      <c r="A84" s="1054" t="s">
        <v>1297</v>
      </c>
      <c r="B84" s="1054" t="s">
        <v>1298</v>
      </c>
      <c r="C84" s="1056"/>
      <c r="D84" s="1056"/>
      <c r="E84" s="1056"/>
      <c r="F84" s="1055" t="s">
        <v>414</v>
      </c>
      <c r="G84" s="1055" t="s">
        <v>540</v>
      </c>
      <c r="H84" s="1056"/>
      <c r="I84" s="1056"/>
      <c r="J84" s="1055" t="s">
        <v>540</v>
      </c>
      <c r="K84" s="1055" t="s">
        <v>541</v>
      </c>
      <c r="L84" s="1055" t="s">
        <v>542</v>
      </c>
      <c r="M84" s="1055" t="s">
        <v>543</v>
      </c>
      <c r="N84" s="1055" t="s">
        <v>829</v>
      </c>
      <c r="O84" s="1055" t="s">
        <v>1299</v>
      </c>
      <c r="P84" s="1057" t="str">
        <f>IFERROR(__xludf.DUMMYFUNCTION("IFERROR(
  TEXT(
    DATE(
      INDEX(SPLIT(O84,"" ""),3),
      VLOOKUP(INDEX(SPLIT(O84,"" ""),1),{""jan."",1;""Feb"",2;""mar."",3;""Apr"",4;""May"",5;""jun."",6;""jul."",7;""Aug"",8;""Sep"",9;""Oct"",10;""nov."",11;""Dec"",12},2,FALSE),
      INDEX(SPL"&amp;"IT(O84,"" ""),2)
    ),
    ""dd/mm/yyyy""
  ),
"""")"),"15/04/2026")</f>
        <v>15/04/2026</v>
      </c>
    </row>
    <row r="85">
      <c r="A85" s="1054" t="s">
        <v>1300</v>
      </c>
      <c r="B85" s="1054" t="s">
        <v>1301</v>
      </c>
      <c r="C85" s="1056"/>
      <c r="D85" s="1056"/>
      <c r="E85" s="1056"/>
      <c r="F85" s="1055" t="s">
        <v>419</v>
      </c>
      <c r="G85" s="1055" t="s">
        <v>540</v>
      </c>
      <c r="H85" s="1056"/>
      <c r="I85" s="1056"/>
      <c r="J85" s="1055" t="s">
        <v>540</v>
      </c>
      <c r="K85" s="1055" t="s">
        <v>541</v>
      </c>
      <c r="L85" s="1055" t="s">
        <v>542</v>
      </c>
      <c r="M85" s="1055" t="s">
        <v>543</v>
      </c>
      <c r="N85" s="1055" t="s">
        <v>802</v>
      </c>
      <c r="O85" s="1055" t="s">
        <v>1302</v>
      </c>
      <c r="P85" s="1057" t="str">
        <f>IFERROR(__xludf.DUMMYFUNCTION("IFERROR(
  TEXT(
    DATE(
      INDEX(SPLIT(O85,"" ""),3),
      VLOOKUP(INDEX(SPLIT(O85,"" ""),1),{""jan."",1;""Feb"",2;""mar."",3;""Apr"",4;""May"",5;""jun."",6;""jul."",7;""Aug"",8;""Sep"",9;""Oct"",10;""nov."",11;""Dec"",12},2,FALSE),
      INDEX(SPL"&amp;"IT(O85,"" ""),2)
    ),
    ""dd/mm/yyyy""
  ),
"""")"),"27/04/2026")</f>
        <v>27/04/2026</v>
      </c>
    </row>
    <row r="86">
      <c r="A86" s="1054" t="s">
        <v>1303</v>
      </c>
      <c r="B86" s="1054" t="s">
        <v>1304</v>
      </c>
      <c r="C86" s="1056"/>
      <c r="D86" s="1056"/>
      <c r="E86" s="1056"/>
      <c r="F86" s="1055" t="s">
        <v>444</v>
      </c>
      <c r="G86" s="1055" t="s">
        <v>540</v>
      </c>
      <c r="H86" s="1056"/>
      <c r="I86" s="1056"/>
      <c r="J86" s="1055" t="s">
        <v>540</v>
      </c>
      <c r="K86" s="1055" t="s">
        <v>541</v>
      </c>
      <c r="L86" s="1055" t="s">
        <v>542</v>
      </c>
      <c r="M86" s="1055" t="s">
        <v>543</v>
      </c>
      <c r="N86" s="1055" t="s">
        <v>1305</v>
      </c>
      <c r="O86" s="1055" t="s">
        <v>1306</v>
      </c>
      <c r="P86" s="1057" t="str">
        <f>IFERROR(__xludf.DUMMYFUNCTION("IFERROR(
  TEXT(
    DATE(
      INDEX(SPLIT(O86,"" ""),3),
      VLOOKUP(INDEX(SPLIT(O86,"" ""),1),{""jan."",1;""Feb"",2;""mar."",3;""Apr"",4;""May"",5;""jun."",6;""jul."",7;""Aug"",8;""Sep"",9;""Oct"",10;""nov."",11;""Dec"",12},2,FALSE),
      INDEX(SPL"&amp;"IT(O86,"" ""),2)
    ),
    ""dd/mm/yyyy""
  ),
"""")"),"13/04/2026")</f>
        <v>13/04/2026</v>
      </c>
    </row>
    <row r="87">
      <c r="A87" s="1054" t="s">
        <v>1307</v>
      </c>
      <c r="B87" s="1054" t="s">
        <v>1308</v>
      </c>
      <c r="C87" s="1058"/>
      <c r="D87" s="1058"/>
      <c r="E87" s="1056"/>
      <c r="F87" s="1055" t="s">
        <v>406</v>
      </c>
      <c r="G87" s="1055" t="s">
        <v>540</v>
      </c>
      <c r="H87" s="1056"/>
      <c r="I87" s="1056"/>
      <c r="J87" s="1055" t="s">
        <v>540</v>
      </c>
      <c r="K87" s="1055" t="s">
        <v>541</v>
      </c>
      <c r="L87" s="1055" t="s">
        <v>542</v>
      </c>
      <c r="M87" s="1055" t="s">
        <v>543</v>
      </c>
      <c r="N87" s="1055" t="s">
        <v>1309</v>
      </c>
      <c r="O87" s="1055" t="s">
        <v>1310</v>
      </c>
      <c r="P87" s="1057" t="str">
        <f>IFERROR(__xludf.DUMMYFUNCTION("IFERROR(
  TEXT(
    DATE(
      INDEX(SPLIT(O87,"" ""),3),
      VLOOKUP(INDEX(SPLIT(O87,"" ""),1),{""jan."",1;""Feb"",2;""mar."",3;""Apr"",4;""May"",5;""jun."",6;""jul."",7;""Aug"",8;""Sep"",9;""Oct"",10;""nov."",11;""Dec"",12},2,FALSE),
      INDEX(SPL"&amp;"IT(O87,"" ""),2)
    ),
    ""dd/mm/yyyy""
  ),
"""")"),"23/12/2025")</f>
        <v>23/12/2025</v>
      </c>
    </row>
    <row r="88">
      <c r="A88" s="1054" t="s">
        <v>1311</v>
      </c>
      <c r="B88" s="1054" t="s">
        <v>1312</v>
      </c>
      <c r="C88" s="1056"/>
      <c r="D88" s="1056"/>
      <c r="E88" s="1056"/>
      <c r="F88" s="1055" t="s">
        <v>415</v>
      </c>
      <c r="G88" s="1055" t="s">
        <v>540</v>
      </c>
      <c r="H88" s="1056"/>
      <c r="I88" s="1056"/>
      <c r="J88" s="1055" t="s">
        <v>540</v>
      </c>
      <c r="K88" s="1055" t="s">
        <v>541</v>
      </c>
      <c r="L88" s="1055" t="s">
        <v>542</v>
      </c>
      <c r="M88" s="1055" t="s">
        <v>543</v>
      </c>
      <c r="N88" s="1055" t="s">
        <v>668</v>
      </c>
      <c r="O88" s="1055" t="s">
        <v>1313</v>
      </c>
      <c r="P88" s="1057" t="str">
        <f>IFERROR(__xludf.DUMMYFUNCTION("IFERROR(
  TEXT(
    DATE(
      INDEX(SPLIT(O88,"" ""),3),
      VLOOKUP(INDEX(SPLIT(O88,"" ""),1),{""jan."",1;""Feb"",2;""mar."",3;""Apr"",4;""May"",5;""jun."",6;""jul."",7;""Aug"",8;""Sep"",9;""Oct"",10;""nov."",11;""Dec"",12},2,FALSE),
      INDEX(SPL"&amp;"IT(O88,"" ""),2)
    ),
    ""dd/mm/yyyy""
  ),
"""")"),"12/05/2026")</f>
        <v>12/05/2026</v>
      </c>
    </row>
    <row r="89">
      <c r="A89" s="1054" t="s">
        <v>1314</v>
      </c>
      <c r="B89" s="1054" t="s">
        <v>1315</v>
      </c>
      <c r="C89" s="1058"/>
      <c r="D89" s="1058"/>
      <c r="E89" s="1056"/>
      <c r="F89" s="1055" t="s">
        <v>412</v>
      </c>
      <c r="G89" s="1055" t="s">
        <v>540</v>
      </c>
      <c r="H89" s="1056"/>
      <c r="I89" s="1056"/>
      <c r="J89" s="1055" t="s">
        <v>540</v>
      </c>
      <c r="K89" s="1055" t="s">
        <v>541</v>
      </c>
      <c r="L89" s="1055" t="s">
        <v>542</v>
      </c>
      <c r="M89" s="1055" t="s">
        <v>543</v>
      </c>
      <c r="N89" s="1055" t="s">
        <v>1217</v>
      </c>
      <c r="O89" s="1055" t="s">
        <v>1316</v>
      </c>
      <c r="P89" s="1057" t="str">
        <f>IFERROR(__xludf.DUMMYFUNCTION("IFERROR(
  TEXT(
    DATE(
      INDEX(SPLIT(O89,"" ""),3),
      VLOOKUP(INDEX(SPLIT(O89,"" ""),1),{""jan."",1;""Feb"",2;""mar."",3;""Apr"",4;""May"",5;""jun."",6;""jul."",7;""Aug"",8;""Sep"",9;""Oct"",10;""nov."",11;""Dec"",12},2,FALSE),
      INDEX(SPL"&amp;"IT(O89,"" ""),2)
    ),
    ""dd/mm/yyyy""
  ),
"""")"),"08/12/2025")</f>
        <v>08/12/2025</v>
      </c>
    </row>
    <row r="90">
      <c r="A90" s="1054" t="s">
        <v>1317</v>
      </c>
      <c r="B90" s="1054" t="s">
        <v>1318</v>
      </c>
      <c r="C90" s="1058"/>
      <c r="D90" s="1058"/>
      <c r="E90" s="1056"/>
      <c r="F90" s="1055" t="s">
        <v>418</v>
      </c>
      <c r="G90" s="1055" t="s">
        <v>540</v>
      </c>
      <c r="H90" s="1056"/>
      <c r="I90" s="1056"/>
      <c r="J90" s="1055" t="s">
        <v>540</v>
      </c>
      <c r="K90" s="1055" t="s">
        <v>541</v>
      </c>
      <c r="L90" s="1055" t="s">
        <v>542</v>
      </c>
      <c r="M90" s="1055" t="s">
        <v>543</v>
      </c>
      <c r="N90" s="1055" t="s">
        <v>1319</v>
      </c>
      <c r="O90" s="1055" t="s">
        <v>1320</v>
      </c>
      <c r="P90" s="1057" t="str">
        <f>IFERROR(__xludf.DUMMYFUNCTION("IFERROR(
  TEXT(
    DATE(
      INDEX(SPLIT(O90,"" ""),3),
      VLOOKUP(INDEX(SPLIT(O90,"" ""),1),{""jan."",1;""Feb"",2;""mar."",3;""Apr"",4;""May"",5;""jun."",6;""jul."",7;""Aug"",8;""Sep"",9;""Oct"",10;""nov."",11;""Dec"",12},2,FALSE),
      INDEX(SPL"&amp;"IT(O90,"" ""),2)
    ),
    ""dd/mm/yyyy""
  ),
"""")"),"27/04/2026")</f>
        <v>27/04/2026</v>
      </c>
    </row>
    <row r="91">
      <c r="A91" s="1054" t="s">
        <v>1321</v>
      </c>
      <c r="B91" s="1054" t="s">
        <v>1322</v>
      </c>
      <c r="C91" s="1058"/>
      <c r="D91" s="1058"/>
      <c r="E91" s="1056"/>
      <c r="F91" s="1055" t="s">
        <v>385</v>
      </c>
      <c r="G91" s="1055" t="s">
        <v>540</v>
      </c>
      <c r="H91" s="1056"/>
      <c r="I91" s="1056"/>
      <c r="J91" s="1055" t="s">
        <v>540</v>
      </c>
      <c r="K91" s="1055" t="s">
        <v>541</v>
      </c>
      <c r="L91" s="1055" t="s">
        <v>542</v>
      </c>
      <c r="M91" s="1055" t="s">
        <v>543</v>
      </c>
      <c r="N91" s="1055" t="s">
        <v>1323</v>
      </c>
      <c r="O91" s="1055" t="s">
        <v>1324</v>
      </c>
      <c r="P91" s="1057" t="str">
        <f>IFERROR(__xludf.DUMMYFUNCTION("IFERROR(
  TEXT(
    DATE(
      INDEX(SPLIT(O91,"" ""),3),
      VLOOKUP(INDEX(SPLIT(O91,"" ""),1),{""jan."",1;""Feb"",2;""mar."",3;""Apr"",4;""May"",5;""jun."",6;""jul."",7;""Aug"",8;""Sep"",9;""Oct"",10;""nov."",11;""Dec"",12},2,FALSE),
      INDEX(SPL"&amp;"IT(O91,"" ""),2)
    ),
    ""dd/mm/yyyy""
  ),
"""")"),"03/02/2026")</f>
        <v>03/02/2026</v>
      </c>
    </row>
    <row r="92">
      <c r="A92" s="1054" t="s">
        <v>1325</v>
      </c>
      <c r="B92" s="1054" t="s">
        <v>1326</v>
      </c>
      <c r="C92" s="1058"/>
      <c r="D92" s="1058"/>
      <c r="E92" s="1056"/>
      <c r="F92" s="1055" t="s">
        <v>427</v>
      </c>
      <c r="G92" s="1055" t="s">
        <v>540</v>
      </c>
      <c r="H92" s="1056"/>
      <c r="I92" s="1056"/>
      <c r="J92" s="1055" t="s">
        <v>540</v>
      </c>
      <c r="K92" s="1055" t="s">
        <v>541</v>
      </c>
      <c r="L92" s="1055" t="s">
        <v>542</v>
      </c>
      <c r="M92" s="1055" t="s">
        <v>543</v>
      </c>
      <c r="N92" s="1055" t="s">
        <v>1327</v>
      </c>
      <c r="O92" s="1055" t="s">
        <v>571</v>
      </c>
      <c r="P92" s="1057" t="str">
        <f>IFERROR(__xludf.DUMMYFUNCTION("IFERROR(
  TEXT(
    DATE(
      INDEX(SPLIT(O92,"" ""),3),
      VLOOKUP(INDEX(SPLIT(O92,"" ""),1),{""jan."",1;""Feb"",2;""mar."",3;""Apr"",4;""May"",5;""jun."",6;""jul."",7;""Aug"",8;""Sep"",9;""Oct"",10;""nov."",11;""Dec"",12},2,FALSE),
      INDEX(SPL"&amp;"IT(O92,"" ""),2)
    ),
    ""dd/mm/yyyy""
  ),
"""")"),"15/05/2026")</f>
        <v>15/05/2026</v>
      </c>
    </row>
    <row r="93">
      <c r="A93" s="1054" t="s">
        <v>1328</v>
      </c>
      <c r="B93" s="1054" t="s">
        <v>1329</v>
      </c>
      <c r="C93" s="1058"/>
      <c r="D93" s="1058"/>
      <c r="E93" s="1056"/>
      <c r="F93" s="1055" t="s">
        <v>414</v>
      </c>
      <c r="G93" s="1055" t="s">
        <v>540</v>
      </c>
      <c r="H93" s="1056"/>
      <c r="I93" s="1056"/>
      <c r="J93" s="1055" t="s">
        <v>540</v>
      </c>
      <c r="K93" s="1055" t="s">
        <v>541</v>
      </c>
      <c r="L93" s="1055" t="s">
        <v>542</v>
      </c>
      <c r="M93" s="1055" t="s">
        <v>543</v>
      </c>
      <c r="N93" s="1055" t="s">
        <v>1330</v>
      </c>
      <c r="O93" s="1055" t="s">
        <v>1331</v>
      </c>
      <c r="P93" s="1057" t="str">
        <f>IFERROR(__xludf.DUMMYFUNCTION("IFERROR(
  TEXT(
    DATE(
      INDEX(SPLIT(O93,"" ""),3),
      VLOOKUP(INDEX(SPLIT(O93,"" ""),1),{""jan."",1;""Feb"",2;""mar."",3;""Apr"",4;""May"",5;""jun."",6;""jul."",7;""Aug"",8;""Sep"",9;""Oct"",10;""nov."",11;""Dec"",12},2,FALSE),
      INDEX(SPL"&amp;"IT(O93,"" ""),2)
    ),
    ""dd/mm/yyyy""
  ),
"""")"),"08/05/2026")</f>
        <v>08/05/2026</v>
      </c>
    </row>
    <row r="94">
      <c r="A94" s="1054" t="s">
        <v>1332</v>
      </c>
      <c r="B94" s="1054" t="s">
        <v>1333</v>
      </c>
      <c r="C94" s="1058"/>
      <c r="D94" s="1058"/>
      <c r="E94" s="1056"/>
      <c r="F94" s="1055" t="s">
        <v>425</v>
      </c>
      <c r="G94" s="1055" t="s">
        <v>540</v>
      </c>
      <c r="H94" s="1056"/>
      <c r="I94" s="1056"/>
      <c r="J94" s="1055" t="s">
        <v>540</v>
      </c>
      <c r="K94" s="1055" t="s">
        <v>541</v>
      </c>
      <c r="L94" s="1055" t="s">
        <v>542</v>
      </c>
      <c r="M94" s="1055" t="s">
        <v>543</v>
      </c>
      <c r="N94" s="1055" t="s">
        <v>1334</v>
      </c>
      <c r="O94" s="1055" t="s">
        <v>1335</v>
      </c>
      <c r="P94" s="1057" t="str">
        <f>IFERROR(__xludf.DUMMYFUNCTION("IFERROR(
  TEXT(
    DATE(
      INDEX(SPLIT(O94,"" ""),3),
      VLOOKUP(INDEX(SPLIT(O94,"" ""),1),{""jan."",1;""Feb"",2;""mar."",3;""Apr"",4;""May"",5;""jun."",6;""jul."",7;""Aug"",8;""Sep"",9;""Oct"",10;""nov."",11;""Dec"",12},2,FALSE),
      INDEX(SPL"&amp;"IT(O94,"" ""),2)
    ),
    ""dd/mm/yyyy""
  ),
"""")"),"14/05/2026")</f>
        <v>14/05/2026</v>
      </c>
    </row>
    <row r="95">
      <c r="A95" s="1054" t="s">
        <v>1336</v>
      </c>
      <c r="B95" s="1054" t="s">
        <v>1337</v>
      </c>
      <c r="C95" s="1058"/>
      <c r="D95" s="1058"/>
      <c r="E95" s="1056"/>
      <c r="F95" s="1055" t="s">
        <v>418</v>
      </c>
      <c r="G95" s="1055" t="s">
        <v>540</v>
      </c>
      <c r="H95" s="1056"/>
      <c r="I95" s="1056"/>
      <c r="J95" s="1055" t="s">
        <v>540</v>
      </c>
      <c r="K95" s="1055" t="s">
        <v>541</v>
      </c>
      <c r="L95" s="1055" t="s">
        <v>542</v>
      </c>
      <c r="M95" s="1055" t="s">
        <v>543</v>
      </c>
      <c r="N95" s="1055" t="s">
        <v>1338</v>
      </c>
      <c r="O95" s="1055" t="s">
        <v>1335</v>
      </c>
      <c r="P95" s="1057" t="str">
        <f>IFERROR(__xludf.DUMMYFUNCTION("IFERROR(
  TEXT(
    DATE(
      INDEX(SPLIT(O95,"" ""),3),
      VLOOKUP(INDEX(SPLIT(O95,"" ""),1),{""jan."",1;""Feb"",2;""mar."",3;""Apr"",4;""May"",5;""jun."",6;""jul."",7;""Aug"",8;""Sep"",9;""Oct"",10;""nov."",11;""Dec"",12},2,FALSE),
      INDEX(SPL"&amp;"IT(O95,"" ""),2)
    ),
    ""dd/mm/yyyy""
  ),
"""")"),"14/05/2026")</f>
        <v>14/05/2026</v>
      </c>
    </row>
    <row r="96">
      <c r="A96" s="1054" t="s">
        <v>1339</v>
      </c>
      <c r="B96" s="1054" t="s">
        <v>1340</v>
      </c>
      <c r="C96" s="1058"/>
      <c r="D96" s="1058"/>
      <c r="E96" s="1056"/>
      <c r="F96" s="1055" t="s">
        <v>418</v>
      </c>
      <c r="G96" s="1055" t="s">
        <v>540</v>
      </c>
      <c r="H96" s="1056"/>
      <c r="I96" s="1056"/>
      <c r="J96" s="1055" t="s">
        <v>540</v>
      </c>
      <c r="K96" s="1055" t="s">
        <v>541</v>
      </c>
      <c r="L96" s="1055" t="s">
        <v>542</v>
      </c>
      <c r="M96" s="1055" t="s">
        <v>543</v>
      </c>
      <c r="N96" s="1055" t="s">
        <v>817</v>
      </c>
      <c r="O96" s="1057">
        <v>46037.63958333333</v>
      </c>
      <c r="P96" s="1057" t="str">
        <f>IFERROR(__xludf.DUMMYFUNCTION("IFERROR(
  TEXT(
    DATE(
      INDEX(SPLIT(O96,"" ""),3),
      VLOOKUP(INDEX(SPLIT(O96,"" ""),1),{""jan."",1;""Feb"",2;""mar."",3;""Apr"",4;""May"",5;""jun."",6;""jul."",7;""Aug"",8;""Sep"",9;""Oct"",10;""nov."",11;""Dec"",12},2,FALSE),
      INDEX(SPL"&amp;"IT(O96,"" ""),2)
    ),
    ""dd/mm/yyyy""
  ),
"""")"),"15/01/2026")</f>
        <v>15/01/2026</v>
      </c>
    </row>
    <row r="97">
      <c r="A97" s="1054" t="s">
        <v>1341</v>
      </c>
      <c r="B97" s="1054" t="s">
        <v>1342</v>
      </c>
      <c r="C97" s="1058"/>
      <c r="D97" s="1058"/>
      <c r="E97" s="1056"/>
      <c r="F97" s="1055" t="s">
        <v>415</v>
      </c>
      <c r="G97" s="1055" t="s">
        <v>540</v>
      </c>
      <c r="H97" s="1056"/>
      <c r="I97" s="1056"/>
      <c r="J97" s="1055" t="s">
        <v>540</v>
      </c>
      <c r="K97" s="1055" t="s">
        <v>541</v>
      </c>
      <c r="L97" s="1055" t="s">
        <v>542</v>
      </c>
      <c r="M97" s="1055" t="s">
        <v>543</v>
      </c>
      <c r="N97" s="1055" t="s">
        <v>883</v>
      </c>
      <c r="O97" s="1057">
        <v>46084.36597222222</v>
      </c>
      <c r="P97" s="1057" t="str">
        <f>IFERROR(__xludf.DUMMYFUNCTION("IFERROR(
  TEXT(
    DATE(
      INDEX(SPLIT(O97,"" ""),3),
      VLOOKUP(INDEX(SPLIT(O97,"" ""),1),{""jan."",1;""Feb"",2;""mar."",3;""Apr"",4;""May"",5;""jun."",6;""jul."",7;""Aug"",8;""Sep"",9;""Oct"",10;""nov."",11;""Dec"",12},2,FALSE),
      INDEX(SPL"&amp;"IT(O97,"" ""),2)
    ),
    ""dd/mm/yyyy""
  ),
"""")"),"03/03/2026")</f>
        <v>03/03/2026</v>
      </c>
    </row>
    <row r="98">
      <c r="A98" s="1054" t="s">
        <v>1343</v>
      </c>
      <c r="B98" s="1054" t="s">
        <v>1344</v>
      </c>
      <c r="C98" s="1058"/>
      <c r="D98" s="1058"/>
      <c r="E98" s="1056"/>
      <c r="F98" s="1055" t="s">
        <v>408</v>
      </c>
      <c r="G98" s="1055" t="s">
        <v>540</v>
      </c>
      <c r="H98" s="1056"/>
      <c r="I98" s="1056"/>
      <c r="J98" s="1055" t="s">
        <v>540</v>
      </c>
      <c r="K98" s="1055" t="s">
        <v>541</v>
      </c>
      <c r="L98" s="1055" t="s">
        <v>542</v>
      </c>
      <c r="M98" s="1055" t="s">
        <v>543</v>
      </c>
      <c r="N98" s="1055" t="s">
        <v>1345</v>
      </c>
      <c r="O98" s="1057">
        <v>46105.81597222222</v>
      </c>
      <c r="P98" s="1057" t="str">
        <f>IFERROR(__xludf.DUMMYFUNCTION("IFERROR(
  TEXT(
    DATE(
      INDEX(SPLIT(O98,"" ""),3),
      VLOOKUP(INDEX(SPLIT(O98,"" ""),1),{""jan."",1;""Feb"",2;""mar."",3;""Apr"",4;""May"",5;""jun."",6;""jul."",7;""Aug"",8;""Sep"",9;""Oct"",10;""nov."",11;""Dec"",12},2,FALSE),
      INDEX(SPL"&amp;"IT(O98,"" ""),2)
    ),
    ""dd/mm/yyyy""
  ),
"""")"),"24/03/2026")</f>
        <v>24/03/2026</v>
      </c>
    </row>
    <row r="99">
      <c r="A99" s="1054" t="s">
        <v>1346</v>
      </c>
      <c r="B99" s="1054" t="s">
        <v>1347</v>
      </c>
      <c r="C99" s="1058"/>
      <c r="D99" s="1058"/>
      <c r="E99" s="1056"/>
      <c r="F99" s="1055" t="s">
        <v>406</v>
      </c>
      <c r="G99" s="1055" t="s">
        <v>540</v>
      </c>
      <c r="H99" s="1056"/>
      <c r="I99" s="1056"/>
      <c r="J99" s="1055" t="s">
        <v>540</v>
      </c>
      <c r="K99" s="1055" t="s">
        <v>541</v>
      </c>
      <c r="L99" s="1055" t="s">
        <v>542</v>
      </c>
      <c r="M99" s="1055" t="s">
        <v>543</v>
      </c>
      <c r="N99" s="1055" t="s">
        <v>1348</v>
      </c>
      <c r="O99" s="1055" t="s">
        <v>1349</v>
      </c>
      <c r="P99" s="1057" t="str">
        <f>IFERROR(__xludf.DUMMYFUNCTION("IFERROR(
  TEXT(
    DATE(
      INDEX(SPLIT(O99,"" ""),3),
      VLOOKUP(INDEX(SPLIT(O99,"" ""),1),{""jan."",1;""Feb"",2;""mar."",3;""Apr"",4;""May"",5;""jun."",6;""jul."",7;""Aug"",8;""Sep"",9;""Oct"",10;""nov."",11;""Dec"",12},2,FALSE),
      INDEX(SPL"&amp;"IT(O99,"" ""),2)
    ),
    ""dd/mm/yyyy""
  ),
"""")"),"08/04/2026")</f>
        <v>08/04/2026</v>
      </c>
    </row>
    <row r="100">
      <c r="A100" s="1054" t="s">
        <v>1350</v>
      </c>
      <c r="B100" s="1054" t="s">
        <v>1351</v>
      </c>
      <c r="C100" s="1058"/>
      <c r="D100" s="1058"/>
      <c r="E100" s="1056"/>
      <c r="F100" s="1055" t="s">
        <v>503</v>
      </c>
      <c r="G100" s="1055" t="s">
        <v>540</v>
      </c>
      <c r="H100" s="1056"/>
      <c r="I100" s="1056"/>
      <c r="J100" s="1055" t="s">
        <v>540</v>
      </c>
      <c r="K100" s="1055" t="s">
        <v>541</v>
      </c>
      <c r="L100" s="1055" t="s">
        <v>542</v>
      </c>
      <c r="M100" s="1055" t="s">
        <v>543</v>
      </c>
      <c r="N100" s="1055" t="s">
        <v>842</v>
      </c>
      <c r="O100" s="1055" t="s">
        <v>1352</v>
      </c>
      <c r="P100" s="1057" t="str">
        <f>IFERROR(__xludf.DUMMYFUNCTION("IFERROR(
  TEXT(
    DATE(
      INDEX(SPLIT(O100,"" ""),3),
      VLOOKUP(INDEX(SPLIT(O100,"" ""),1),{""jan."",1;""Feb"",2;""mar."",3;""Apr"",4;""May"",5;""jun."",6;""jul."",7;""Aug"",8;""Sep"",9;""Oct"",10;""nov."",11;""Dec"",12},2,FALSE),
      INDEX(S"&amp;"PLIT(O100,"" ""),2)
    ),
    ""dd/mm/yyyy""
  ),
"""")"),"08/05/2026")</f>
        <v>08/05/2026</v>
      </c>
    </row>
    <row r="101">
      <c r="A101" s="1054" t="s">
        <v>1353</v>
      </c>
      <c r="B101" s="1054" t="s">
        <v>1354</v>
      </c>
      <c r="C101" s="1058"/>
      <c r="D101" s="1058"/>
      <c r="E101" s="1056"/>
      <c r="F101" s="1055" t="s">
        <v>385</v>
      </c>
      <c r="G101" s="1055" t="s">
        <v>540</v>
      </c>
      <c r="H101" s="1056"/>
      <c r="I101" s="1056"/>
      <c r="J101" s="1055" t="s">
        <v>540</v>
      </c>
      <c r="K101" s="1055" t="s">
        <v>541</v>
      </c>
      <c r="L101" s="1055" t="s">
        <v>542</v>
      </c>
      <c r="M101" s="1055" t="s">
        <v>543</v>
      </c>
      <c r="N101" s="1055" t="s">
        <v>877</v>
      </c>
      <c r="O101" s="1055" t="s">
        <v>1355</v>
      </c>
      <c r="P101" s="1057" t="str">
        <f>IFERROR(__xludf.DUMMYFUNCTION("IFERROR(
  TEXT(
    DATE(
      INDEX(SPLIT(O101,"" ""),3),
      VLOOKUP(INDEX(SPLIT(O101,"" ""),1),{""jan."",1;""Feb"",2;""mar."",3;""Apr"",4;""May"",5;""jun."",6;""jul."",7;""Aug"",8;""Sep"",9;""Oct"",10;""nov."",11;""Dec"",12},2,FALSE),
      INDEX(S"&amp;"PLIT(O101,"" ""),2)
    ),
    ""dd/mm/yyyy""
  ),
"""")"),"13/05/2026")</f>
        <v>13/05/2026</v>
      </c>
    </row>
    <row r="102">
      <c r="A102" s="1054" t="s">
        <v>1356</v>
      </c>
      <c r="B102" s="1054" t="s">
        <v>1357</v>
      </c>
      <c r="C102" s="1058"/>
      <c r="D102" s="1058"/>
      <c r="E102" s="1056"/>
      <c r="F102" s="1055" t="s">
        <v>449</v>
      </c>
      <c r="G102" s="1055" t="s">
        <v>540</v>
      </c>
      <c r="H102" s="1056"/>
      <c r="I102" s="1056"/>
      <c r="J102" s="1055" t="s">
        <v>540</v>
      </c>
      <c r="K102" s="1055" t="s">
        <v>541</v>
      </c>
      <c r="L102" s="1055" t="s">
        <v>542</v>
      </c>
      <c r="M102" s="1055" t="s">
        <v>543</v>
      </c>
      <c r="N102" s="1055" t="s">
        <v>1358</v>
      </c>
      <c r="O102" s="1055" t="s">
        <v>1359</v>
      </c>
      <c r="P102" s="1057" t="str">
        <f>IFERROR(__xludf.DUMMYFUNCTION("IFERROR(
  TEXT(
    DATE(
      INDEX(SPLIT(O102,"" ""),3),
      VLOOKUP(INDEX(SPLIT(O102,"" ""),1),{""jan."",1;""Feb"",2;""mar."",3;""Apr"",4;""May"",5;""jun."",6;""jul."",7;""Aug"",8;""Sep"",9;""Oct"",10;""nov."",11;""Dec"",12},2,FALSE),
      INDEX(S"&amp;"PLIT(O102,"" ""),2)
    ),
    ""dd/mm/yyyy""
  ),
"""")"),"06/05/2026")</f>
        <v>06/05/2026</v>
      </c>
    </row>
    <row r="103">
      <c r="A103" s="1054" t="s">
        <v>1360</v>
      </c>
      <c r="B103" s="1054" t="s">
        <v>1361</v>
      </c>
      <c r="C103" s="1058"/>
      <c r="D103" s="1058"/>
      <c r="E103" s="1056"/>
      <c r="F103" s="1055" t="s">
        <v>468</v>
      </c>
      <c r="G103" s="1055" t="s">
        <v>540</v>
      </c>
      <c r="H103" s="1056"/>
      <c r="I103" s="1056"/>
      <c r="J103" s="1055" t="s">
        <v>540</v>
      </c>
      <c r="K103" s="1055" t="s">
        <v>541</v>
      </c>
      <c r="L103" s="1055" t="s">
        <v>542</v>
      </c>
      <c r="M103" s="1055" t="s">
        <v>543</v>
      </c>
      <c r="N103" s="1055" t="s">
        <v>1362</v>
      </c>
      <c r="O103" s="1055" t="s">
        <v>1363</v>
      </c>
      <c r="P103" s="1057" t="str">
        <f>IFERROR(__xludf.DUMMYFUNCTION("IFERROR(
  TEXT(
    DATE(
      INDEX(SPLIT(O103,"" ""),3),
      VLOOKUP(INDEX(SPLIT(O103,"" ""),1),{""jan."",1;""Feb"",2;""mar."",3;""Apr"",4;""May"",5;""jun."",6;""jul."",7;""Aug"",8;""Sep"",9;""Oct"",10;""nov."",11;""Dec"",12},2,FALSE),
      INDEX(S"&amp;"PLIT(O103,"" ""),2)
    ),
    ""dd/mm/yyyy""
  ),
"""")"),"10/04/2026")</f>
        <v>10/04/2026</v>
      </c>
    </row>
    <row r="104">
      <c r="A104" s="1054" t="s">
        <v>1364</v>
      </c>
      <c r="B104" s="1054" t="s">
        <v>1365</v>
      </c>
      <c r="C104" s="1058"/>
      <c r="D104" s="1058"/>
      <c r="E104" s="1056"/>
      <c r="F104" s="1055" t="s">
        <v>387</v>
      </c>
      <c r="G104" s="1055" t="s">
        <v>540</v>
      </c>
      <c r="H104" s="1056"/>
      <c r="I104" s="1056"/>
      <c r="J104" s="1055" t="s">
        <v>540</v>
      </c>
      <c r="K104" s="1055" t="s">
        <v>541</v>
      </c>
      <c r="L104" s="1055" t="s">
        <v>542</v>
      </c>
      <c r="M104" s="1055" t="s">
        <v>543</v>
      </c>
      <c r="N104" s="1055" t="s">
        <v>883</v>
      </c>
      <c r="O104" s="1055" t="s">
        <v>1366</v>
      </c>
      <c r="P104" s="1057" t="str">
        <f>IFERROR(__xludf.DUMMYFUNCTION("IFERROR(
  TEXT(
    DATE(
      INDEX(SPLIT(O104,"" ""),3),
      VLOOKUP(INDEX(SPLIT(O104,"" ""),1),{""jan."",1;""Feb"",2;""mar."",3;""Apr"",4;""May"",5;""jun."",6;""jul."",7;""Aug"",8;""Sep"",9;""Oct"",10;""nov."",11;""Dec"",12},2,FALSE),
      INDEX(S"&amp;"PLIT(O104,"" ""),2)
    ),
    ""dd/mm/yyyy""
  ),
"""")"),"07/05/2026")</f>
        <v>07/05/2026</v>
      </c>
    </row>
    <row r="105">
      <c r="A105" s="1054" t="s">
        <v>1367</v>
      </c>
      <c r="B105" s="1054" t="s">
        <v>1368</v>
      </c>
      <c r="C105" s="1058"/>
      <c r="D105" s="1058"/>
      <c r="E105" s="1056"/>
      <c r="F105" s="1055" t="s">
        <v>503</v>
      </c>
      <c r="G105" s="1055" t="s">
        <v>540</v>
      </c>
      <c r="H105" s="1056"/>
      <c r="I105" s="1056"/>
      <c r="J105" s="1055" t="s">
        <v>540</v>
      </c>
      <c r="K105" s="1055" t="s">
        <v>541</v>
      </c>
      <c r="L105" s="1055" t="s">
        <v>542</v>
      </c>
      <c r="M105" s="1055" t="s">
        <v>543</v>
      </c>
      <c r="N105" s="1055" t="s">
        <v>945</v>
      </c>
      <c r="O105" s="1057">
        <v>46100.67013888889</v>
      </c>
      <c r="P105" s="1057" t="str">
        <f>IFERROR(__xludf.DUMMYFUNCTION("IFERROR(
  TEXT(
    DATE(
      INDEX(SPLIT(O105,"" ""),3),
      VLOOKUP(INDEX(SPLIT(O105,"" ""),1),{""jan."",1;""Feb"",2;""mar."",3;""Apr"",4;""May"",5;""jun."",6;""jul."",7;""Aug"",8;""Sep"",9;""Oct"",10;""nov."",11;""Dec"",12},2,FALSE),
      INDEX(S"&amp;"PLIT(O105,"" ""),2)
    ),
    ""dd/mm/yyyy""
  ),
"""")"),"19/03/2026")</f>
        <v>19/03/2026</v>
      </c>
    </row>
    <row r="106">
      <c r="A106" s="1054" t="s">
        <v>1369</v>
      </c>
      <c r="B106" s="1054" t="s">
        <v>1370</v>
      </c>
      <c r="C106" s="1058"/>
      <c r="D106" s="1058"/>
      <c r="E106" s="1056"/>
      <c r="F106" s="1055" t="s">
        <v>436</v>
      </c>
      <c r="G106" s="1055" t="s">
        <v>540</v>
      </c>
      <c r="H106" s="1056"/>
      <c r="I106" s="1056"/>
      <c r="J106" s="1055" t="s">
        <v>540</v>
      </c>
      <c r="K106" s="1055" t="s">
        <v>541</v>
      </c>
      <c r="L106" s="1055" t="s">
        <v>542</v>
      </c>
      <c r="M106" s="1055" t="s">
        <v>543</v>
      </c>
      <c r="N106" s="1055" t="s">
        <v>1371</v>
      </c>
      <c r="O106" s="1055" t="s">
        <v>1372</v>
      </c>
      <c r="P106" s="1057" t="str">
        <f>IFERROR(__xludf.DUMMYFUNCTION("IFERROR(
  TEXT(
    DATE(
      INDEX(SPLIT(O106,"" ""),3),
      VLOOKUP(INDEX(SPLIT(O106,"" ""),1),{""jan."",1;""Feb"",2;""mar."",3;""Apr"",4;""May"",5;""jun."",6;""jul."",7;""Aug"",8;""Sep"",9;""Oct"",10;""nov."",11;""Dec"",12},2,FALSE),
      INDEX(S"&amp;"PLIT(O106,"" ""),2)
    ),
    ""dd/mm/yyyy""
  ),
"""")"),"05/05/2026")</f>
        <v>05/05/2026</v>
      </c>
    </row>
    <row r="107">
      <c r="A107" s="1054" t="s">
        <v>1373</v>
      </c>
      <c r="B107" s="1054" t="s">
        <v>1374</v>
      </c>
      <c r="C107" s="1058"/>
      <c r="D107" s="1058"/>
      <c r="E107" s="1056"/>
      <c r="F107" s="1055" t="s">
        <v>429</v>
      </c>
      <c r="G107" s="1055" t="s">
        <v>540</v>
      </c>
      <c r="H107" s="1056"/>
      <c r="I107" s="1056"/>
      <c r="J107" s="1055" t="s">
        <v>540</v>
      </c>
      <c r="K107" s="1055" t="s">
        <v>541</v>
      </c>
      <c r="L107" s="1055" t="s">
        <v>542</v>
      </c>
      <c r="M107" s="1055" t="s">
        <v>543</v>
      </c>
      <c r="N107" s="1055" t="s">
        <v>1375</v>
      </c>
      <c r="O107" s="1055" t="s">
        <v>1376</v>
      </c>
      <c r="P107" s="1057" t="str">
        <f>IFERROR(__xludf.DUMMYFUNCTION("IFERROR(
  TEXT(
    DATE(
      INDEX(SPLIT(O107,"" ""),3),
      VLOOKUP(INDEX(SPLIT(O107,"" ""),1),{""jan."",1;""Feb"",2;""mar."",3;""Apr"",4;""May"",5;""jun."",6;""jul."",7;""Aug"",8;""Sep"",9;""Oct"",10;""nov."",11;""Dec"",12},2,FALSE),
      INDEX(S"&amp;"PLIT(O107,"" ""),2)
    ),
    ""dd/mm/yyyy""
  ),
"""")"),"10/04/2026")</f>
        <v>10/04/2026</v>
      </c>
    </row>
    <row r="108">
      <c r="A108" s="1054" t="s">
        <v>1377</v>
      </c>
      <c r="B108" s="1054" t="s">
        <v>1378</v>
      </c>
      <c r="C108" s="1058"/>
      <c r="D108" s="1058"/>
      <c r="E108" s="1056"/>
      <c r="F108" s="1055" t="s">
        <v>429</v>
      </c>
      <c r="G108" s="1055" t="s">
        <v>540</v>
      </c>
      <c r="H108" s="1056"/>
      <c r="I108" s="1056"/>
      <c r="J108" s="1055" t="s">
        <v>540</v>
      </c>
      <c r="K108" s="1055" t="s">
        <v>541</v>
      </c>
      <c r="L108" s="1055" t="s">
        <v>542</v>
      </c>
      <c r="M108" s="1055" t="s">
        <v>543</v>
      </c>
      <c r="N108" s="1055" t="s">
        <v>1379</v>
      </c>
      <c r="O108" s="1055" t="s">
        <v>1380</v>
      </c>
      <c r="P108" s="1057" t="str">
        <f>IFERROR(__xludf.DUMMYFUNCTION("IFERROR(
  TEXT(
    DATE(
      INDEX(SPLIT(O108,"" ""),3),
      VLOOKUP(INDEX(SPLIT(O108,"" ""),1),{""jan."",1;""Feb"",2;""mar."",3;""Apr"",4;""May"",5;""jun."",6;""jul."",7;""Aug"",8;""Sep"",9;""Oct"",10;""nov."",11;""Dec"",12},2,FALSE),
      INDEX(S"&amp;"PLIT(O108,"" ""),2)
    ),
    ""dd/mm/yyyy""
  ),
"""")"),"12/05/2026")</f>
        <v>12/05/2026</v>
      </c>
    </row>
    <row r="109">
      <c r="A109" s="1054" t="s">
        <v>1381</v>
      </c>
      <c r="B109" s="1054" t="s">
        <v>1382</v>
      </c>
      <c r="C109" s="1058"/>
      <c r="D109" s="1058"/>
      <c r="E109" s="1056"/>
      <c r="F109" s="1055" t="s">
        <v>426</v>
      </c>
      <c r="G109" s="1055" t="s">
        <v>540</v>
      </c>
      <c r="H109" s="1056"/>
      <c r="I109" s="1056"/>
      <c r="J109" s="1055" t="s">
        <v>540</v>
      </c>
      <c r="K109" s="1055" t="s">
        <v>541</v>
      </c>
      <c r="L109" s="1055" t="s">
        <v>542</v>
      </c>
      <c r="M109" s="1055" t="s">
        <v>543</v>
      </c>
      <c r="N109" s="1055" t="s">
        <v>1383</v>
      </c>
      <c r="O109" s="1055" t="s">
        <v>1320</v>
      </c>
      <c r="P109" s="1057" t="str">
        <f>IFERROR(__xludf.DUMMYFUNCTION("IFERROR(
  TEXT(
    DATE(
      INDEX(SPLIT(O109,"" ""),3),
      VLOOKUP(INDEX(SPLIT(O109,"" ""),1),{""jan."",1;""Feb"",2;""mar."",3;""Apr"",4;""May"",5;""jun."",6;""jul."",7;""Aug"",8;""Sep"",9;""Oct"",10;""nov."",11;""Dec"",12},2,FALSE),
      INDEX(S"&amp;"PLIT(O109,"" ""),2)
    ),
    ""dd/mm/yyyy""
  ),
"""")"),"27/04/2026")</f>
        <v>27/04/2026</v>
      </c>
    </row>
    <row r="110">
      <c r="A110" s="1054" t="s">
        <v>1384</v>
      </c>
      <c r="B110" s="1054" t="s">
        <v>1385</v>
      </c>
      <c r="C110" s="1058"/>
      <c r="D110" s="1058"/>
      <c r="E110" s="1056"/>
      <c r="F110" s="1055" t="s">
        <v>415</v>
      </c>
      <c r="G110" s="1055" t="s">
        <v>540</v>
      </c>
      <c r="H110" s="1056"/>
      <c r="I110" s="1056"/>
      <c r="J110" s="1055" t="s">
        <v>540</v>
      </c>
      <c r="K110" s="1055" t="s">
        <v>541</v>
      </c>
      <c r="L110" s="1055" t="s">
        <v>542</v>
      </c>
      <c r="M110" s="1055" t="s">
        <v>543</v>
      </c>
      <c r="N110" s="1055" t="s">
        <v>1386</v>
      </c>
      <c r="O110" s="1055" t="s">
        <v>1387</v>
      </c>
      <c r="P110" s="1057" t="str">
        <f>IFERROR(__xludf.DUMMYFUNCTION("IFERROR(
  TEXT(
    DATE(
      INDEX(SPLIT(O110,"" ""),3),
      VLOOKUP(INDEX(SPLIT(O110,"" ""),1),{""jan."",1;""Feb"",2;""mar."",3;""Apr"",4;""May"",5;""jun."",6;""jul."",7;""Aug"",8;""Sep"",9;""Oct"",10;""nov."",11;""Dec"",12},2,FALSE),
      INDEX(S"&amp;"PLIT(O110,"" ""),2)
    ),
    ""dd/mm/yyyy""
  ),
"""")"),"29/04/2026")</f>
        <v>29/04/2026</v>
      </c>
    </row>
    <row r="111">
      <c r="A111" s="1054" t="s">
        <v>1388</v>
      </c>
      <c r="B111" s="1054" t="s">
        <v>1389</v>
      </c>
      <c r="C111" s="1055" t="s">
        <v>1085</v>
      </c>
      <c r="D111" s="1055" t="s">
        <v>539</v>
      </c>
      <c r="E111" s="1056"/>
      <c r="F111" s="1055" t="s">
        <v>382</v>
      </c>
      <c r="G111" s="1055" t="s">
        <v>540</v>
      </c>
      <c r="H111" s="1056"/>
      <c r="I111" s="1056"/>
      <c r="J111" s="1055" t="s">
        <v>540</v>
      </c>
      <c r="K111" s="1055" t="s">
        <v>541</v>
      </c>
      <c r="L111" s="1055" t="s">
        <v>542</v>
      </c>
      <c r="M111" s="1055" t="s">
        <v>543</v>
      </c>
      <c r="N111" s="1055" t="s">
        <v>1390</v>
      </c>
      <c r="O111" s="1055" t="s">
        <v>1391</v>
      </c>
      <c r="P111" s="1057" t="str">
        <f>IFERROR(__xludf.DUMMYFUNCTION("IFERROR(
  TEXT(
    DATE(
      INDEX(SPLIT(O111,"" ""),3),
      VLOOKUP(INDEX(SPLIT(O111,"" ""),1),{""jan."",1;""Feb"",2;""mar."",3;""Apr"",4;""May"",5;""jun."",6;""jul."",7;""Aug"",8;""Sep"",9;""Oct"",10;""nov."",11;""Dec"",12},2,FALSE),
      INDEX(S"&amp;"PLIT(O111,"" ""),2)
    ),
    ""dd/mm/yyyy""
  ),
"""")"),"13/12/2024")</f>
        <v>13/12/2024</v>
      </c>
    </row>
    <row r="112">
      <c r="A112" s="1054" t="s">
        <v>1392</v>
      </c>
      <c r="B112" s="1054" t="s">
        <v>1393</v>
      </c>
      <c r="C112" s="1058"/>
      <c r="D112" s="1058"/>
      <c r="E112" s="1056"/>
      <c r="F112" s="1055" t="s">
        <v>377</v>
      </c>
      <c r="G112" s="1055" t="s">
        <v>540</v>
      </c>
      <c r="H112" s="1056"/>
      <c r="I112" s="1056"/>
      <c r="J112" s="1055" t="s">
        <v>540</v>
      </c>
      <c r="K112" s="1055" t="s">
        <v>541</v>
      </c>
      <c r="L112" s="1055" t="s">
        <v>542</v>
      </c>
      <c r="M112" s="1055" t="s">
        <v>543</v>
      </c>
      <c r="N112" s="1055" t="s">
        <v>1394</v>
      </c>
      <c r="O112" s="1055" t="s">
        <v>1395</v>
      </c>
      <c r="P112" s="1057" t="str">
        <f>IFERROR(__xludf.DUMMYFUNCTION("IFERROR(
  TEXT(
    DATE(
      INDEX(SPLIT(O112,"" ""),3),
      VLOOKUP(INDEX(SPLIT(O112,"" ""),1),{""jan."",1;""Feb"",2;""mar."",3;""Apr"",4;""May"",5;""jun."",6;""jul."",7;""Aug"",8;""Sep"",9;""Oct"",10;""nov."",11;""Dec"",12},2,FALSE),
      INDEX(S"&amp;"PLIT(O112,"" ""),2)
    ),
    ""dd/mm/yyyy""
  ),
"""")"),"18/12/2024")</f>
        <v>18/12/2024</v>
      </c>
    </row>
    <row r="113">
      <c r="A113" s="1054" t="s">
        <v>1396</v>
      </c>
      <c r="B113" s="1054" t="s">
        <v>1397</v>
      </c>
      <c r="C113" s="1055" t="s">
        <v>1085</v>
      </c>
      <c r="D113" s="1055" t="s">
        <v>539</v>
      </c>
      <c r="E113" s="1056"/>
      <c r="F113" s="1055" t="s">
        <v>385</v>
      </c>
      <c r="G113" s="1055" t="s">
        <v>540</v>
      </c>
      <c r="H113" s="1056"/>
      <c r="I113" s="1056"/>
      <c r="J113" s="1055" t="s">
        <v>540</v>
      </c>
      <c r="K113" s="1055" t="s">
        <v>541</v>
      </c>
      <c r="L113" s="1055" t="s">
        <v>542</v>
      </c>
      <c r="M113" s="1055" t="s">
        <v>543</v>
      </c>
      <c r="N113" s="1055" t="s">
        <v>1398</v>
      </c>
      <c r="O113" s="1055" t="s">
        <v>1395</v>
      </c>
      <c r="P113" s="1057" t="str">
        <f>IFERROR(__xludf.DUMMYFUNCTION("IFERROR(
  TEXT(
    DATE(
      INDEX(SPLIT(O113,"" ""),3),
      VLOOKUP(INDEX(SPLIT(O113,"" ""),1),{""jan."",1;""Feb"",2;""mar."",3;""Apr"",4;""May"",5;""jun."",6;""jul."",7;""Aug"",8;""Sep"",9;""Oct"",10;""nov."",11;""Dec"",12},2,FALSE),
      INDEX(S"&amp;"PLIT(O113,"" ""),2)
    ),
    ""dd/mm/yyyy""
  ),
"""")"),"18/12/2024")</f>
        <v>18/12/2024</v>
      </c>
    </row>
    <row r="114">
      <c r="A114" s="1054" t="s">
        <v>1399</v>
      </c>
      <c r="B114" s="1054" t="s">
        <v>1400</v>
      </c>
      <c r="C114" s="1058"/>
      <c r="D114" s="1058"/>
      <c r="E114" s="1056"/>
      <c r="F114" s="1055" t="s">
        <v>377</v>
      </c>
      <c r="G114" s="1055" t="s">
        <v>540</v>
      </c>
      <c r="H114" s="1056"/>
      <c r="I114" s="1056"/>
      <c r="J114" s="1055" t="s">
        <v>540</v>
      </c>
      <c r="K114" s="1055" t="s">
        <v>541</v>
      </c>
      <c r="L114" s="1055" t="s">
        <v>542</v>
      </c>
      <c r="M114" s="1055" t="s">
        <v>543</v>
      </c>
      <c r="N114" s="1055" t="s">
        <v>1401</v>
      </c>
      <c r="O114" s="1055" t="s">
        <v>1395</v>
      </c>
      <c r="P114" s="1057" t="str">
        <f>IFERROR(__xludf.DUMMYFUNCTION("IFERROR(
  TEXT(
    DATE(
      INDEX(SPLIT(O114,"" ""),3),
      VLOOKUP(INDEX(SPLIT(O114,"" ""),1),{""jan."",1;""Feb"",2;""mar."",3;""Apr"",4;""May"",5;""jun."",6;""jul."",7;""Aug"",8;""Sep"",9;""Oct"",10;""nov."",11;""Dec"",12},2,FALSE),
      INDEX(S"&amp;"PLIT(O114,"" ""),2)
    ),
    ""dd/mm/yyyy""
  ),
"""")"),"18/12/2024")</f>
        <v>18/12/2024</v>
      </c>
    </row>
    <row r="115">
      <c r="A115" s="1054" t="s">
        <v>1402</v>
      </c>
      <c r="B115" s="1054" t="s">
        <v>1403</v>
      </c>
      <c r="C115" s="1055" t="s">
        <v>1085</v>
      </c>
      <c r="D115" s="1055" t="s">
        <v>539</v>
      </c>
      <c r="E115" s="1056"/>
      <c r="F115" s="1055" t="s">
        <v>384</v>
      </c>
      <c r="G115" s="1055" t="s">
        <v>540</v>
      </c>
      <c r="H115" s="1056"/>
      <c r="I115" s="1056"/>
      <c r="J115" s="1055" t="s">
        <v>540</v>
      </c>
      <c r="K115" s="1055" t="s">
        <v>541</v>
      </c>
      <c r="L115" s="1055" t="s">
        <v>542</v>
      </c>
      <c r="M115" s="1055" t="s">
        <v>543</v>
      </c>
      <c r="N115" s="1055" t="s">
        <v>1404</v>
      </c>
      <c r="O115" s="1055" t="s">
        <v>1395</v>
      </c>
      <c r="P115" s="1057" t="str">
        <f>IFERROR(__xludf.DUMMYFUNCTION("IFERROR(
  TEXT(
    DATE(
      INDEX(SPLIT(O115,"" ""),3),
      VLOOKUP(INDEX(SPLIT(O115,"" ""),1),{""jan."",1;""Feb"",2;""mar."",3;""Apr"",4;""May"",5;""jun."",6;""jul."",7;""Aug"",8;""Sep"",9;""Oct"",10;""nov."",11;""Dec"",12},2,FALSE),
      INDEX(S"&amp;"PLIT(O115,"" ""),2)
    ),
    ""dd/mm/yyyy""
  ),
"""")"),"18/12/2024")</f>
        <v>18/12/2024</v>
      </c>
    </row>
    <row r="116">
      <c r="A116" s="1054" t="s">
        <v>1405</v>
      </c>
      <c r="B116" s="1054" t="s">
        <v>1406</v>
      </c>
      <c r="C116" s="1055" t="s">
        <v>1085</v>
      </c>
      <c r="D116" s="1055" t="s">
        <v>539</v>
      </c>
      <c r="E116" s="1056"/>
      <c r="F116" s="1055" t="s">
        <v>399</v>
      </c>
      <c r="G116" s="1055" t="s">
        <v>540</v>
      </c>
      <c r="H116" s="1056"/>
      <c r="I116" s="1056"/>
      <c r="J116" s="1055" t="s">
        <v>540</v>
      </c>
      <c r="K116" s="1055" t="s">
        <v>541</v>
      </c>
      <c r="L116" s="1055" t="s">
        <v>542</v>
      </c>
      <c r="M116" s="1055" t="s">
        <v>543</v>
      </c>
      <c r="N116" s="1055" t="s">
        <v>1407</v>
      </c>
      <c r="O116" s="1057">
        <v>45667.666666666664</v>
      </c>
      <c r="P116" s="1057" t="str">
        <f>IFERROR(__xludf.DUMMYFUNCTION("IFERROR(
  TEXT(
    DATE(
      INDEX(SPLIT(O116,"" ""),3),
      VLOOKUP(INDEX(SPLIT(O116,"" ""),1),{""jan."",1;""Feb"",2;""mar."",3;""Apr"",4;""May"",5;""jun."",6;""jul."",7;""Aug"",8;""Sep"",9;""Oct"",10;""nov."",11;""Dec"",12},2,FALSE),
      INDEX(S"&amp;"PLIT(O116,"" ""),2)
    ),
    ""dd/mm/yyyy""
  ),
"""")"),"10/01/2025")</f>
        <v>10/01/2025</v>
      </c>
    </row>
    <row r="117">
      <c r="A117" s="1054" t="s">
        <v>1408</v>
      </c>
      <c r="B117" s="1054" t="s">
        <v>1409</v>
      </c>
      <c r="C117" s="1055" t="s">
        <v>1085</v>
      </c>
      <c r="D117" s="1055" t="s">
        <v>539</v>
      </c>
      <c r="E117" s="1056"/>
      <c r="F117" s="1055" t="s">
        <v>400</v>
      </c>
      <c r="G117" s="1055" t="s">
        <v>540</v>
      </c>
      <c r="H117" s="1056"/>
      <c r="I117" s="1056"/>
      <c r="J117" s="1055" t="s">
        <v>540</v>
      </c>
      <c r="K117" s="1055" t="s">
        <v>541</v>
      </c>
      <c r="L117" s="1055" t="s">
        <v>542</v>
      </c>
      <c r="M117" s="1055" t="s">
        <v>543</v>
      </c>
      <c r="N117" s="1055" t="s">
        <v>1410</v>
      </c>
      <c r="O117" s="1055" t="s">
        <v>1411</v>
      </c>
      <c r="P117" s="1057" t="str">
        <f>IFERROR(__xludf.DUMMYFUNCTION("IFERROR(
  TEXT(
    DATE(
      INDEX(SPLIT(O117,"" ""),3),
      VLOOKUP(INDEX(SPLIT(O117,"" ""),1),{""jan."",1;""Feb"",2;""mar."",3;""Apr"",4;""May"",5;""jun."",6;""jul."",7;""Aug"",8;""Sep"",9;""Oct"",10;""nov."",11;""Dec"",12},2,FALSE),
      INDEX(S"&amp;"PLIT(O117,"" ""),2)
    ),
    ""dd/mm/yyyy""
  ),
"""")"),"19/12/2024")</f>
        <v>19/12/2024</v>
      </c>
    </row>
    <row r="118">
      <c r="A118" s="1054" t="s">
        <v>1412</v>
      </c>
      <c r="B118" s="1054" t="s">
        <v>1413</v>
      </c>
      <c r="C118" s="1055" t="s">
        <v>1085</v>
      </c>
      <c r="D118" s="1055" t="s">
        <v>539</v>
      </c>
      <c r="E118" s="1056"/>
      <c r="F118" s="1055" t="s">
        <v>399</v>
      </c>
      <c r="G118" s="1055" t="s">
        <v>540</v>
      </c>
      <c r="H118" s="1056"/>
      <c r="I118" s="1056"/>
      <c r="J118" s="1055" t="s">
        <v>540</v>
      </c>
      <c r="K118" s="1055" t="s">
        <v>541</v>
      </c>
      <c r="L118" s="1055" t="s">
        <v>542</v>
      </c>
      <c r="M118" s="1055" t="s">
        <v>543</v>
      </c>
      <c r="N118" s="1055" t="s">
        <v>1414</v>
      </c>
      <c r="O118" s="1055" t="s">
        <v>1415</v>
      </c>
      <c r="P118" s="1057" t="str">
        <f>IFERROR(__xludf.DUMMYFUNCTION("IFERROR(
  TEXT(
    DATE(
      INDEX(SPLIT(O118,"" ""),3),
      VLOOKUP(INDEX(SPLIT(O118,"" ""),1),{""jan."",1;""Feb"",2;""mar."",3;""Apr"",4;""May"",5;""jun."",6;""jul."",7;""Aug"",8;""Sep"",9;""Oct"",10;""nov."",11;""Dec"",12},2,FALSE),
      INDEX(S"&amp;"PLIT(O118,"" ""),2)
    ),
    ""dd/mm/yyyy""
  ),
"""")"),"19/12/2024")</f>
        <v>19/12/2024</v>
      </c>
    </row>
    <row r="119">
      <c r="A119" s="1054" t="s">
        <v>1416</v>
      </c>
      <c r="B119" s="1054" t="s">
        <v>1417</v>
      </c>
      <c r="C119" s="1058"/>
      <c r="D119" s="1058"/>
      <c r="E119" s="1056"/>
      <c r="F119" s="1055" t="s">
        <v>387</v>
      </c>
      <c r="G119" s="1055" t="s">
        <v>540</v>
      </c>
      <c r="H119" s="1056"/>
      <c r="I119" s="1056"/>
      <c r="J119" s="1055" t="s">
        <v>540</v>
      </c>
      <c r="K119" s="1055" t="s">
        <v>541</v>
      </c>
      <c r="L119" s="1055" t="s">
        <v>542</v>
      </c>
      <c r="M119" s="1055" t="s">
        <v>543</v>
      </c>
      <c r="N119" s="1055" t="s">
        <v>612</v>
      </c>
      <c r="O119" s="1057">
        <v>45733.45625</v>
      </c>
      <c r="P119" s="1057" t="str">
        <f>IFERROR(__xludf.DUMMYFUNCTION("IFERROR(
  TEXT(
    DATE(
      INDEX(SPLIT(O119,"" ""),3),
      VLOOKUP(INDEX(SPLIT(O119,"" ""),1),{""jan."",1;""Feb"",2;""mar."",3;""Apr"",4;""May"",5;""jun."",6;""jul."",7;""Aug"",8;""Sep"",9;""Oct"",10;""nov."",11;""Dec"",12},2,FALSE),
      INDEX(S"&amp;"PLIT(O119,"" ""),2)
    ),
    ""dd/mm/yyyy""
  ),
"""")"),"17/03/2025")</f>
        <v>17/03/2025</v>
      </c>
    </row>
    <row r="120">
      <c r="A120" s="1054" t="s">
        <v>1418</v>
      </c>
      <c r="B120" s="1054" t="s">
        <v>1419</v>
      </c>
      <c r="C120" s="1055" t="s">
        <v>1085</v>
      </c>
      <c r="D120" s="1055" t="s">
        <v>539</v>
      </c>
      <c r="E120" s="1056"/>
      <c r="F120" s="1055" t="s">
        <v>411</v>
      </c>
      <c r="G120" s="1055" t="s">
        <v>540</v>
      </c>
      <c r="H120" s="1056"/>
      <c r="I120" s="1056"/>
      <c r="J120" s="1055" t="s">
        <v>540</v>
      </c>
      <c r="K120" s="1055" t="s">
        <v>541</v>
      </c>
      <c r="L120" s="1055" t="s">
        <v>542</v>
      </c>
      <c r="M120" s="1055" t="s">
        <v>543</v>
      </c>
      <c r="N120" s="1055" t="s">
        <v>1420</v>
      </c>
      <c r="O120" s="1057">
        <v>45687.50763888889</v>
      </c>
      <c r="P120" s="1057" t="str">
        <f>IFERROR(__xludf.DUMMYFUNCTION("IFERROR(
  TEXT(
    DATE(
      INDEX(SPLIT(O120,"" ""),3),
      VLOOKUP(INDEX(SPLIT(O120,"" ""),1),{""jan."",1;""Feb"",2;""mar."",3;""Apr"",4;""May"",5;""jun."",6;""jul."",7;""Aug"",8;""Sep"",9;""Oct"",10;""nov."",11;""Dec"",12},2,FALSE),
      INDEX(S"&amp;"PLIT(O120,"" ""),2)
    ),
    ""dd/mm/yyyy""
  ),
"""")"),"30/01/2025")</f>
        <v>30/01/2025</v>
      </c>
    </row>
    <row r="121">
      <c r="A121" s="1054" t="s">
        <v>1421</v>
      </c>
      <c r="B121" s="1054" t="s">
        <v>1422</v>
      </c>
      <c r="C121" s="1055" t="s">
        <v>1085</v>
      </c>
      <c r="D121" s="1055" t="s">
        <v>539</v>
      </c>
      <c r="E121" s="1056"/>
      <c r="F121" s="1055" t="s">
        <v>387</v>
      </c>
      <c r="G121" s="1055" t="s">
        <v>540</v>
      </c>
      <c r="H121" s="1056"/>
      <c r="I121" s="1056"/>
      <c r="J121" s="1055" t="s">
        <v>540</v>
      </c>
      <c r="K121" s="1055" t="s">
        <v>541</v>
      </c>
      <c r="L121" s="1055" t="s">
        <v>542</v>
      </c>
      <c r="M121" s="1055" t="s">
        <v>543</v>
      </c>
      <c r="N121" s="1055" t="s">
        <v>1420</v>
      </c>
      <c r="O121" s="1057">
        <v>45733.458333333336</v>
      </c>
      <c r="P121" s="1057" t="str">
        <f>IFERROR(__xludf.DUMMYFUNCTION("IFERROR(
  TEXT(
    DATE(
      INDEX(SPLIT(O121,"" ""),3),
      VLOOKUP(INDEX(SPLIT(O121,"" ""),1),{""jan."",1;""Feb"",2;""mar."",3;""Apr"",4;""May"",5;""jun."",6;""jul."",7;""Aug"",8;""Sep"",9;""Oct"",10;""nov."",11;""Dec"",12},2,FALSE),
      INDEX(S"&amp;"PLIT(O121,"" ""),2)
    ),
    ""dd/mm/yyyy""
  ),
"""")"),"17/03/2025")</f>
        <v>17/03/2025</v>
      </c>
    </row>
    <row r="122">
      <c r="A122" s="1054" t="s">
        <v>1423</v>
      </c>
      <c r="B122" s="1054" t="s">
        <v>1424</v>
      </c>
      <c r="C122" s="1055" t="s">
        <v>1085</v>
      </c>
      <c r="D122" s="1055" t="s">
        <v>539</v>
      </c>
      <c r="E122" s="1056"/>
      <c r="F122" s="1055" t="s">
        <v>382</v>
      </c>
      <c r="G122" s="1055" t="s">
        <v>540</v>
      </c>
      <c r="H122" s="1056"/>
      <c r="I122" s="1056"/>
      <c r="J122" s="1055" t="s">
        <v>540</v>
      </c>
      <c r="K122" s="1055" t="s">
        <v>541</v>
      </c>
      <c r="L122" s="1055" t="s">
        <v>542</v>
      </c>
      <c r="M122" s="1055" t="s">
        <v>543</v>
      </c>
      <c r="N122" s="1055" t="s">
        <v>1425</v>
      </c>
      <c r="O122" s="1055" t="s">
        <v>1426</v>
      </c>
      <c r="P122" s="1057" t="str">
        <f>IFERROR(__xludf.DUMMYFUNCTION("IFERROR(
  TEXT(
    DATE(
      INDEX(SPLIT(O122,"" ""),3),
      VLOOKUP(INDEX(SPLIT(O122,"" ""),1),{""jan."",1;""Feb"",2;""mar."",3;""Apr"",4;""May"",5;""jun."",6;""jul."",7;""Aug"",8;""Sep"",9;""Oct"",10;""nov."",11;""Dec"",12},2,FALSE),
      INDEX(S"&amp;"PLIT(O122,"" ""),2)
    ),
    ""dd/mm/yyyy""
  ),
"""")"),"19/12/2024")</f>
        <v>19/12/2024</v>
      </c>
    </row>
    <row r="123">
      <c r="A123" s="1054" t="s">
        <v>1427</v>
      </c>
      <c r="B123" s="1054" t="s">
        <v>1428</v>
      </c>
      <c r="C123" s="1058"/>
      <c r="D123" s="1058"/>
      <c r="E123" s="1056"/>
      <c r="F123" s="1055" t="s">
        <v>377</v>
      </c>
      <c r="G123" s="1055" t="s">
        <v>540</v>
      </c>
      <c r="H123" s="1056"/>
      <c r="I123" s="1056"/>
      <c r="J123" s="1055" t="s">
        <v>540</v>
      </c>
      <c r="K123" s="1055" t="s">
        <v>541</v>
      </c>
      <c r="L123" s="1055" t="s">
        <v>542</v>
      </c>
      <c r="M123" s="1055" t="s">
        <v>543</v>
      </c>
      <c r="N123" s="1055" t="s">
        <v>1429</v>
      </c>
      <c r="O123" s="1055" t="s">
        <v>1430</v>
      </c>
      <c r="P123" s="1057" t="str">
        <f>IFERROR(__xludf.DUMMYFUNCTION("IFERROR(
  TEXT(
    DATE(
      INDEX(SPLIT(O123,"" ""),3),
      VLOOKUP(INDEX(SPLIT(O123,"" ""),1),{""jan."",1;""Feb"",2;""mar."",3;""Apr"",4;""May"",5;""jun."",6;""jul."",7;""Aug"",8;""Sep"",9;""Oct"",10;""nov."",11;""Dec"",12},2,FALSE),
      INDEX(S"&amp;"PLIT(O123,"" ""),2)
    ),
    ""dd/mm/yyyy""
  ),
"""")"),"19/12/2024")</f>
        <v>19/12/2024</v>
      </c>
    </row>
    <row r="124">
      <c r="A124" s="1054" t="s">
        <v>1431</v>
      </c>
      <c r="B124" s="1054" t="s">
        <v>1432</v>
      </c>
      <c r="C124" s="1055" t="s">
        <v>1085</v>
      </c>
      <c r="D124" s="1055" t="s">
        <v>539</v>
      </c>
      <c r="E124" s="1056"/>
      <c r="F124" s="1055" t="s">
        <v>382</v>
      </c>
      <c r="G124" s="1055" t="s">
        <v>540</v>
      </c>
      <c r="H124" s="1056"/>
      <c r="I124" s="1056"/>
      <c r="J124" s="1055" t="s">
        <v>540</v>
      </c>
      <c r="K124" s="1055" t="s">
        <v>541</v>
      </c>
      <c r="L124" s="1055" t="s">
        <v>542</v>
      </c>
      <c r="M124" s="1055" t="s">
        <v>543</v>
      </c>
      <c r="N124" s="1055" t="s">
        <v>1433</v>
      </c>
      <c r="O124" s="1055" t="s">
        <v>1426</v>
      </c>
      <c r="P124" s="1057" t="str">
        <f>IFERROR(__xludf.DUMMYFUNCTION("IFERROR(
  TEXT(
    DATE(
      INDEX(SPLIT(O124,"" ""),3),
      VLOOKUP(INDEX(SPLIT(O124,"" ""),1),{""jan."",1;""Feb"",2;""mar."",3;""Apr"",4;""May"",5;""jun."",6;""jul."",7;""Aug"",8;""Sep"",9;""Oct"",10;""nov."",11;""Dec"",12},2,FALSE),
      INDEX(S"&amp;"PLIT(O124,"" ""),2)
    ),
    ""dd/mm/yyyy""
  ),
"""")"),"19/12/2024")</f>
        <v>19/12/2024</v>
      </c>
    </row>
    <row r="125">
      <c r="A125" s="1054" t="s">
        <v>1434</v>
      </c>
      <c r="B125" s="1054" t="s">
        <v>1435</v>
      </c>
      <c r="C125" s="1058"/>
      <c r="D125" s="1058"/>
      <c r="E125" s="1056"/>
      <c r="F125" s="1055" t="s">
        <v>377</v>
      </c>
      <c r="G125" s="1055" t="s">
        <v>540</v>
      </c>
      <c r="H125" s="1056"/>
      <c r="I125" s="1056"/>
      <c r="J125" s="1055" t="s">
        <v>540</v>
      </c>
      <c r="K125" s="1055" t="s">
        <v>541</v>
      </c>
      <c r="L125" s="1055" t="s">
        <v>542</v>
      </c>
      <c r="M125" s="1055" t="s">
        <v>543</v>
      </c>
      <c r="N125" s="1055" t="s">
        <v>1436</v>
      </c>
      <c r="O125" s="1055" t="s">
        <v>1426</v>
      </c>
      <c r="P125" s="1057" t="str">
        <f>IFERROR(__xludf.DUMMYFUNCTION("IFERROR(
  TEXT(
    DATE(
      INDEX(SPLIT(O125,"" ""),3),
      VLOOKUP(INDEX(SPLIT(O125,"" ""),1),{""jan."",1;""Feb"",2;""mar."",3;""Apr"",4;""May"",5;""jun."",6;""jul."",7;""Aug"",8;""Sep"",9;""Oct"",10;""nov."",11;""Dec"",12},2,FALSE),
      INDEX(S"&amp;"PLIT(O125,"" ""),2)
    ),
    ""dd/mm/yyyy""
  ),
"""")"),"19/12/2024")</f>
        <v>19/12/2024</v>
      </c>
    </row>
    <row r="126">
      <c r="A126" s="1054" t="s">
        <v>1437</v>
      </c>
      <c r="B126" s="1054" t="s">
        <v>1438</v>
      </c>
      <c r="C126" s="1055" t="s">
        <v>1085</v>
      </c>
      <c r="D126" s="1055" t="s">
        <v>539</v>
      </c>
      <c r="E126" s="1056"/>
      <c r="F126" s="1055" t="s">
        <v>382</v>
      </c>
      <c r="G126" s="1055" t="s">
        <v>540</v>
      </c>
      <c r="H126" s="1056"/>
      <c r="I126" s="1056"/>
      <c r="J126" s="1055" t="s">
        <v>540</v>
      </c>
      <c r="K126" s="1055" t="s">
        <v>541</v>
      </c>
      <c r="L126" s="1055" t="s">
        <v>542</v>
      </c>
      <c r="M126" s="1055" t="s">
        <v>543</v>
      </c>
      <c r="N126" s="1055" t="s">
        <v>808</v>
      </c>
      <c r="O126" s="1055" t="s">
        <v>1426</v>
      </c>
      <c r="P126" s="1057" t="str">
        <f>IFERROR(__xludf.DUMMYFUNCTION("IFERROR(
  TEXT(
    DATE(
      INDEX(SPLIT(O126,"" ""),3),
      VLOOKUP(INDEX(SPLIT(O126,"" ""),1),{""jan."",1;""Feb"",2;""mar."",3;""Apr"",4;""May"",5;""jun."",6;""jul."",7;""Aug"",8;""Sep"",9;""Oct"",10;""nov."",11;""Dec"",12},2,FALSE),
      INDEX(S"&amp;"PLIT(O126,"" ""),2)
    ),
    ""dd/mm/yyyy""
  ),
"""")"),"19/12/2024")</f>
        <v>19/12/2024</v>
      </c>
    </row>
    <row r="127">
      <c r="A127" s="1054" t="s">
        <v>1439</v>
      </c>
      <c r="B127" s="1054" t="s">
        <v>1440</v>
      </c>
      <c r="C127" s="1058"/>
      <c r="D127" s="1058"/>
      <c r="E127" s="1056"/>
      <c r="F127" s="1055" t="s">
        <v>387</v>
      </c>
      <c r="G127" s="1055" t="s">
        <v>540</v>
      </c>
      <c r="H127" s="1056"/>
      <c r="I127" s="1056"/>
      <c r="J127" s="1055" t="s">
        <v>540</v>
      </c>
      <c r="K127" s="1055" t="s">
        <v>541</v>
      </c>
      <c r="L127" s="1055" t="s">
        <v>542</v>
      </c>
      <c r="M127" s="1055" t="s">
        <v>543</v>
      </c>
      <c r="N127" s="1055" t="s">
        <v>1441</v>
      </c>
      <c r="O127" s="1055" t="s">
        <v>1442</v>
      </c>
      <c r="P127" s="1057" t="str">
        <f>IFERROR(__xludf.DUMMYFUNCTION("IFERROR(
  TEXT(
    DATE(
      INDEX(SPLIT(O127,"" ""),3),
      VLOOKUP(INDEX(SPLIT(O127,"" ""),1),{""jan."",1;""Feb"",2;""mar."",3;""Apr"",4;""May"",5;""jun."",6;""jul."",7;""Aug"",8;""Sep"",9;""Oct"",10;""nov."",11;""Dec"",12},2,FALSE),
      INDEX(S"&amp;"PLIT(O127,"" ""),2)
    ),
    ""dd/mm/yyyy""
  ),
"""")"),"13/05/2026")</f>
        <v>13/05/2026</v>
      </c>
    </row>
    <row r="128">
      <c r="A128" s="1054" t="s">
        <v>1443</v>
      </c>
      <c r="B128" s="1054" t="s">
        <v>1444</v>
      </c>
      <c r="C128" s="1055" t="s">
        <v>538</v>
      </c>
      <c r="D128" s="1055" t="s">
        <v>539</v>
      </c>
      <c r="E128" s="1056"/>
      <c r="F128" s="1055" t="s">
        <v>387</v>
      </c>
      <c r="G128" s="1055" t="s">
        <v>540</v>
      </c>
      <c r="H128" s="1056"/>
      <c r="I128" s="1056"/>
      <c r="J128" s="1055" t="s">
        <v>540</v>
      </c>
      <c r="K128" s="1055" t="s">
        <v>541</v>
      </c>
      <c r="L128" s="1055" t="s">
        <v>542</v>
      </c>
      <c r="M128" s="1055" t="s">
        <v>543</v>
      </c>
      <c r="N128" s="1055" t="s">
        <v>1445</v>
      </c>
      <c r="O128" s="1055" t="s">
        <v>1442</v>
      </c>
      <c r="P128" s="1057" t="str">
        <f>IFERROR(__xludf.DUMMYFUNCTION("IFERROR(
  TEXT(
    DATE(
      INDEX(SPLIT(O128,"" ""),3),
      VLOOKUP(INDEX(SPLIT(O128,"" ""),1),{""jan."",1;""Feb"",2;""mar."",3;""Apr"",4;""May"",5;""jun."",6;""jul."",7;""Aug"",8;""Sep"",9;""Oct"",10;""nov."",11;""Dec"",12},2,FALSE),
      INDEX(S"&amp;"PLIT(O128,"" ""),2)
    ),
    ""dd/mm/yyyy""
  ),
"""")"),"13/05/2026")</f>
        <v>13/05/2026</v>
      </c>
    </row>
    <row r="129">
      <c r="A129" s="1054" t="s">
        <v>1446</v>
      </c>
      <c r="B129" s="1054" t="s">
        <v>1447</v>
      </c>
      <c r="C129" s="1058"/>
      <c r="D129" s="1058"/>
      <c r="E129" s="1056"/>
      <c r="F129" s="1055" t="s">
        <v>400</v>
      </c>
      <c r="G129" s="1055" t="s">
        <v>540</v>
      </c>
      <c r="H129" s="1056"/>
      <c r="I129" s="1056"/>
      <c r="J129" s="1055" t="s">
        <v>540</v>
      </c>
      <c r="K129" s="1055" t="s">
        <v>541</v>
      </c>
      <c r="L129" s="1055" t="s">
        <v>542</v>
      </c>
      <c r="M129" s="1055" t="s">
        <v>543</v>
      </c>
      <c r="N129" s="1055" t="s">
        <v>1448</v>
      </c>
      <c r="O129" s="1057">
        <v>45667.666666666664</v>
      </c>
      <c r="P129" s="1057" t="str">
        <f>IFERROR(__xludf.DUMMYFUNCTION("IFERROR(
  TEXT(
    DATE(
      INDEX(SPLIT(O129,"" ""),3),
      VLOOKUP(INDEX(SPLIT(O129,"" ""),1),{""jan."",1;""Feb"",2;""mar."",3;""Apr"",4;""May"",5;""jun."",6;""jul."",7;""Aug"",8;""Sep"",9;""Oct"",10;""nov."",11;""Dec"",12},2,FALSE),
      INDEX(S"&amp;"PLIT(O129,"" ""),2)
    ),
    ""dd/mm/yyyy""
  ),
"""")"),"10/01/2025")</f>
        <v>10/01/2025</v>
      </c>
    </row>
    <row r="130">
      <c r="A130" s="1054" t="s">
        <v>1449</v>
      </c>
      <c r="B130" s="1054" t="s">
        <v>1450</v>
      </c>
      <c r="C130" s="1055" t="s">
        <v>1085</v>
      </c>
      <c r="D130" s="1055" t="s">
        <v>539</v>
      </c>
      <c r="E130" s="1056"/>
      <c r="F130" s="1055" t="s">
        <v>399</v>
      </c>
      <c r="G130" s="1055" t="s">
        <v>540</v>
      </c>
      <c r="H130" s="1056"/>
      <c r="I130" s="1056"/>
      <c r="J130" s="1055" t="s">
        <v>540</v>
      </c>
      <c r="K130" s="1055" t="s">
        <v>541</v>
      </c>
      <c r="L130" s="1055" t="s">
        <v>542</v>
      </c>
      <c r="M130" s="1055" t="s">
        <v>543</v>
      </c>
      <c r="N130" s="1055" t="s">
        <v>1451</v>
      </c>
      <c r="O130" s="1057">
        <v>45667.666666666664</v>
      </c>
      <c r="P130" s="1057" t="str">
        <f>IFERROR(__xludf.DUMMYFUNCTION("IFERROR(
  TEXT(
    DATE(
      INDEX(SPLIT(O130,"" ""),3),
      VLOOKUP(INDEX(SPLIT(O130,"" ""),1),{""jan."",1;""Feb"",2;""mar."",3;""Apr"",4;""May"",5;""jun."",6;""jul."",7;""Aug"",8;""Sep"",9;""Oct"",10;""nov."",11;""Dec"",12},2,FALSE),
      INDEX(S"&amp;"PLIT(O130,"" ""),2)
    ),
    ""dd/mm/yyyy""
  ),
"""")"),"10/01/2025")</f>
        <v>10/01/2025</v>
      </c>
    </row>
    <row r="131">
      <c r="A131" s="1054" t="s">
        <v>1452</v>
      </c>
      <c r="B131" s="1054" t="s">
        <v>1453</v>
      </c>
      <c r="C131" s="1058"/>
      <c r="D131" s="1058"/>
      <c r="E131" s="1056"/>
      <c r="F131" s="1055" t="s">
        <v>400</v>
      </c>
      <c r="G131" s="1055" t="s">
        <v>540</v>
      </c>
      <c r="H131" s="1056"/>
      <c r="I131" s="1056"/>
      <c r="J131" s="1055" t="s">
        <v>540</v>
      </c>
      <c r="K131" s="1055" t="s">
        <v>541</v>
      </c>
      <c r="L131" s="1055" t="s">
        <v>542</v>
      </c>
      <c r="M131" s="1055" t="s">
        <v>543</v>
      </c>
      <c r="N131" s="1055" t="s">
        <v>1454</v>
      </c>
      <c r="O131" s="1057">
        <v>45667.666666666664</v>
      </c>
      <c r="P131" s="1057" t="str">
        <f>IFERROR(__xludf.DUMMYFUNCTION("IFERROR(
  TEXT(
    DATE(
      INDEX(SPLIT(O131,"" ""),3),
      VLOOKUP(INDEX(SPLIT(O131,"" ""),1),{""jan."",1;""Feb"",2;""mar."",3;""Apr"",4;""May"",5;""jun."",6;""jul."",7;""Aug"",8;""Sep"",9;""Oct"",10;""nov."",11;""Dec"",12},2,FALSE),
      INDEX(S"&amp;"PLIT(O131,"" ""),2)
    ),
    ""dd/mm/yyyy""
  ),
"""")"),"10/01/2025")</f>
        <v>10/01/2025</v>
      </c>
    </row>
    <row r="132">
      <c r="A132" s="1054" t="s">
        <v>1455</v>
      </c>
      <c r="B132" s="1054" t="s">
        <v>1456</v>
      </c>
      <c r="C132" s="1055" t="s">
        <v>1085</v>
      </c>
      <c r="D132" s="1055" t="s">
        <v>539</v>
      </c>
      <c r="E132" s="1056"/>
      <c r="F132" s="1055" t="s">
        <v>400</v>
      </c>
      <c r="G132" s="1055" t="s">
        <v>540</v>
      </c>
      <c r="H132" s="1056"/>
      <c r="I132" s="1056"/>
      <c r="J132" s="1055" t="s">
        <v>540</v>
      </c>
      <c r="K132" s="1055" t="s">
        <v>541</v>
      </c>
      <c r="L132" s="1055" t="s">
        <v>542</v>
      </c>
      <c r="M132" s="1055" t="s">
        <v>543</v>
      </c>
      <c r="N132" s="1055" t="s">
        <v>1457</v>
      </c>
      <c r="O132" s="1057">
        <v>45667.666666666664</v>
      </c>
      <c r="P132" s="1057" t="str">
        <f>IFERROR(__xludf.DUMMYFUNCTION("IFERROR(
  TEXT(
    DATE(
      INDEX(SPLIT(O132,"" ""),3),
      VLOOKUP(INDEX(SPLIT(O132,"" ""),1),{""jan."",1;""Feb"",2;""mar."",3;""Apr"",4;""May"",5;""jun."",6;""jul."",7;""Aug"",8;""Sep"",9;""Oct"",10;""nov."",11;""Dec"",12},2,FALSE),
      INDEX(S"&amp;"PLIT(O132,"" ""),2)
    ),
    ""dd/mm/yyyy""
  ),
"""")"),"10/01/2025")</f>
        <v>10/01/2025</v>
      </c>
    </row>
    <row r="133">
      <c r="A133" s="1054" t="s">
        <v>1458</v>
      </c>
      <c r="B133" s="1054" t="s">
        <v>1459</v>
      </c>
      <c r="C133" s="1058"/>
      <c r="D133" s="1058"/>
      <c r="E133" s="1056"/>
      <c r="F133" s="1055" t="s">
        <v>377</v>
      </c>
      <c r="G133" s="1055" t="s">
        <v>540</v>
      </c>
      <c r="H133" s="1056"/>
      <c r="I133" s="1056"/>
      <c r="J133" s="1055" t="s">
        <v>540</v>
      </c>
      <c r="K133" s="1055" t="s">
        <v>541</v>
      </c>
      <c r="L133" s="1055" t="s">
        <v>542</v>
      </c>
      <c r="M133" s="1055" t="s">
        <v>543</v>
      </c>
      <c r="N133" s="1055" t="s">
        <v>1460</v>
      </c>
      <c r="O133" s="1055" t="s">
        <v>1426</v>
      </c>
      <c r="P133" s="1057" t="str">
        <f>IFERROR(__xludf.DUMMYFUNCTION("IFERROR(
  TEXT(
    DATE(
      INDEX(SPLIT(O133,"" ""),3),
      VLOOKUP(INDEX(SPLIT(O133,"" ""),1),{""jan."",1;""Feb"",2;""mar."",3;""Apr"",4;""May"",5;""jun."",6;""jul."",7;""Aug"",8;""Sep"",9;""Oct"",10;""nov."",11;""Dec"",12},2,FALSE),
      INDEX(S"&amp;"PLIT(O133,"" ""),2)
    ),
    ""dd/mm/yyyy""
  ),
"""")"),"19/12/2024")</f>
        <v>19/12/2024</v>
      </c>
    </row>
    <row r="134">
      <c r="A134" s="1054" t="s">
        <v>1461</v>
      </c>
      <c r="B134" s="1054" t="s">
        <v>1462</v>
      </c>
      <c r="C134" s="1055" t="s">
        <v>1085</v>
      </c>
      <c r="D134" s="1055" t="s">
        <v>539</v>
      </c>
      <c r="E134" s="1056"/>
      <c r="F134" s="1055" t="s">
        <v>382</v>
      </c>
      <c r="G134" s="1055" t="s">
        <v>540</v>
      </c>
      <c r="H134" s="1056"/>
      <c r="I134" s="1056"/>
      <c r="J134" s="1055" t="s">
        <v>540</v>
      </c>
      <c r="K134" s="1055" t="s">
        <v>541</v>
      </c>
      <c r="L134" s="1055" t="s">
        <v>542</v>
      </c>
      <c r="M134" s="1055" t="s">
        <v>543</v>
      </c>
      <c r="N134" s="1055" t="s">
        <v>1463</v>
      </c>
      <c r="O134" s="1055" t="s">
        <v>1426</v>
      </c>
      <c r="P134" s="1057" t="str">
        <f>IFERROR(__xludf.DUMMYFUNCTION("IFERROR(
  TEXT(
    DATE(
      INDEX(SPLIT(O134,"" ""),3),
      VLOOKUP(INDEX(SPLIT(O134,"" ""),1),{""jan."",1;""Feb"",2;""mar."",3;""Apr"",4;""May"",5;""jun."",6;""jul."",7;""Aug"",8;""Sep"",9;""Oct"",10;""nov."",11;""Dec"",12},2,FALSE),
      INDEX(S"&amp;"PLIT(O134,"" ""),2)
    ),
    ""dd/mm/yyyy""
  ),
"""")"),"19/12/2024")</f>
        <v>19/12/2024</v>
      </c>
    </row>
    <row r="135">
      <c r="A135" s="1054" t="s">
        <v>1464</v>
      </c>
      <c r="B135" s="1054" t="s">
        <v>1465</v>
      </c>
      <c r="C135" s="1055" t="s">
        <v>1085</v>
      </c>
      <c r="D135" s="1055" t="s">
        <v>539</v>
      </c>
      <c r="E135" s="1056"/>
      <c r="F135" s="1055" t="s">
        <v>402</v>
      </c>
      <c r="G135" s="1055" t="s">
        <v>540</v>
      </c>
      <c r="H135" s="1056"/>
      <c r="I135" s="1056"/>
      <c r="J135" s="1055" t="s">
        <v>540</v>
      </c>
      <c r="K135" s="1055" t="s">
        <v>541</v>
      </c>
      <c r="L135" s="1055" t="s">
        <v>542</v>
      </c>
      <c r="M135" s="1055" t="s">
        <v>543</v>
      </c>
      <c r="N135" s="1055" t="s">
        <v>1466</v>
      </c>
      <c r="O135" s="1055" t="s">
        <v>1286</v>
      </c>
      <c r="P135" s="1057" t="str">
        <f>IFERROR(__xludf.DUMMYFUNCTION("IFERROR(
  TEXT(
    DATE(
      INDEX(SPLIT(O135,"" ""),3),
      VLOOKUP(INDEX(SPLIT(O135,"" ""),1),{""jan."",1;""Feb"",2;""mar."",3;""Apr"",4;""May"",5;""jun."",6;""jul."",7;""Aug"",8;""Sep"",9;""Oct"",10;""nov."",11;""Dec"",12},2,FALSE),
      INDEX(S"&amp;"PLIT(O135,"" ""),2)
    ),
    ""dd/mm/yyyy""
  ),
"""")"),"05/05/2026")</f>
        <v>05/05/2026</v>
      </c>
    </row>
    <row r="136">
      <c r="A136" s="1054" t="s">
        <v>1467</v>
      </c>
      <c r="B136" s="1054" t="s">
        <v>1468</v>
      </c>
      <c r="C136" s="1055" t="s">
        <v>1085</v>
      </c>
      <c r="D136" s="1055" t="s">
        <v>539</v>
      </c>
      <c r="E136" s="1056"/>
      <c r="F136" s="1055" t="s">
        <v>418</v>
      </c>
      <c r="G136" s="1055" t="s">
        <v>540</v>
      </c>
      <c r="H136" s="1056"/>
      <c r="I136" s="1056"/>
      <c r="J136" s="1055" t="s">
        <v>540</v>
      </c>
      <c r="K136" s="1055" t="s">
        <v>541</v>
      </c>
      <c r="L136" s="1055" t="s">
        <v>542</v>
      </c>
      <c r="M136" s="1055" t="s">
        <v>543</v>
      </c>
      <c r="N136" s="1055" t="s">
        <v>1469</v>
      </c>
      <c r="O136" s="1055" t="s">
        <v>1290</v>
      </c>
      <c r="P136" s="1057" t="str">
        <f>IFERROR(__xludf.DUMMYFUNCTION("IFERROR(
  TEXT(
    DATE(
      INDEX(SPLIT(O136,"" ""),3),
      VLOOKUP(INDEX(SPLIT(O136,"" ""),1),{""jan."",1;""Feb"",2;""mar."",3;""Apr"",4;""May"",5;""jun."",6;""jul."",7;""Aug"",8;""Sep"",9;""Oct"",10;""nov."",11;""Dec"",12},2,FALSE),
      INDEX(S"&amp;"PLIT(O136,"" ""),2)
    ),
    ""dd/mm/yyyy""
  ),
"""")"),"03/02/2026")</f>
        <v>03/02/2026</v>
      </c>
    </row>
    <row r="137">
      <c r="A137" s="1054" t="s">
        <v>1470</v>
      </c>
      <c r="B137" s="1054" t="s">
        <v>1471</v>
      </c>
      <c r="C137" s="1055" t="s">
        <v>1085</v>
      </c>
      <c r="D137" s="1055" t="s">
        <v>539</v>
      </c>
      <c r="E137" s="1056"/>
      <c r="F137" s="1055" t="s">
        <v>446</v>
      </c>
      <c r="G137" s="1055" t="s">
        <v>540</v>
      </c>
      <c r="H137" s="1056"/>
      <c r="I137" s="1056"/>
      <c r="J137" s="1055" t="s">
        <v>540</v>
      </c>
      <c r="K137" s="1055" t="s">
        <v>541</v>
      </c>
      <c r="L137" s="1055" t="s">
        <v>542</v>
      </c>
      <c r="M137" s="1055" t="s">
        <v>543</v>
      </c>
      <c r="N137" s="1055" t="s">
        <v>1472</v>
      </c>
      <c r="O137" s="1057">
        <v>46085.62222222222</v>
      </c>
      <c r="P137" s="1057" t="str">
        <f>IFERROR(__xludf.DUMMYFUNCTION("IFERROR(
  TEXT(
    DATE(
      INDEX(SPLIT(O137,"" ""),3),
      VLOOKUP(INDEX(SPLIT(O137,"" ""),1),{""jan."",1;""Feb"",2;""mar."",3;""Apr"",4;""May"",5;""jun."",6;""jul."",7;""Aug"",8;""Sep"",9;""Oct"",10;""nov."",11;""Dec"",12},2,FALSE),
      INDEX(S"&amp;"PLIT(O137,"" ""),2)
    ),
    ""dd/mm/yyyy""
  ),
"""")"),"04/03/2026")</f>
        <v>04/03/2026</v>
      </c>
    </row>
    <row r="138">
      <c r="A138" s="1054" t="s">
        <v>1473</v>
      </c>
      <c r="B138" s="1054" t="s">
        <v>1474</v>
      </c>
      <c r="C138" s="1055" t="s">
        <v>1085</v>
      </c>
      <c r="D138" s="1055" t="s">
        <v>539</v>
      </c>
      <c r="E138" s="1056"/>
      <c r="F138" s="1055" t="s">
        <v>432</v>
      </c>
      <c r="G138" s="1055" t="s">
        <v>540</v>
      </c>
      <c r="H138" s="1056"/>
      <c r="I138" s="1056"/>
      <c r="J138" s="1055" t="s">
        <v>540</v>
      </c>
      <c r="K138" s="1055" t="s">
        <v>541</v>
      </c>
      <c r="L138" s="1055" t="s">
        <v>542</v>
      </c>
      <c r="M138" s="1055" t="s">
        <v>543</v>
      </c>
      <c r="N138" s="1055" t="s">
        <v>1475</v>
      </c>
      <c r="O138" s="1055" t="s">
        <v>1476</v>
      </c>
      <c r="P138" s="1057" t="str">
        <f>IFERROR(__xludf.DUMMYFUNCTION("IFERROR(
  TEXT(
    DATE(
      INDEX(SPLIT(O138,"" ""),3),
      VLOOKUP(INDEX(SPLIT(O138,"" ""),1),{""jan."",1;""Feb"",2;""mar."",3;""Apr"",4;""May"",5;""jun."",6;""jul."",7;""Aug"",8;""Sep"",9;""Oct"",10;""nov."",11;""Dec"",12},2,FALSE),
      INDEX(S"&amp;"PLIT(O138,"" ""),2)
    ),
    ""dd/mm/yyyy""
  ),
"""")"),"24/04/2026")</f>
        <v>24/04/2026</v>
      </c>
    </row>
    <row r="139">
      <c r="A139" s="1054" t="s">
        <v>1477</v>
      </c>
      <c r="B139" s="1054" t="s">
        <v>1478</v>
      </c>
      <c r="C139" s="1055" t="s">
        <v>1085</v>
      </c>
      <c r="D139" s="1055" t="s">
        <v>539</v>
      </c>
      <c r="E139" s="1056"/>
      <c r="F139" s="1055" t="s">
        <v>425</v>
      </c>
      <c r="G139" s="1055" t="s">
        <v>540</v>
      </c>
      <c r="H139" s="1056"/>
      <c r="I139" s="1056"/>
      <c r="J139" s="1055" t="s">
        <v>540</v>
      </c>
      <c r="K139" s="1055" t="s">
        <v>541</v>
      </c>
      <c r="L139" s="1055" t="s">
        <v>542</v>
      </c>
      <c r="M139" s="1055" t="s">
        <v>543</v>
      </c>
      <c r="N139" s="1055" t="s">
        <v>1479</v>
      </c>
      <c r="O139" s="1055" t="s">
        <v>1480</v>
      </c>
      <c r="P139" s="1057" t="str">
        <f>IFERROR(__xludf.DUMMYFUNCTION("IFERROR(
  TEXT(
    DATE(
      INDEX(SPLIT(O139,"" ""),3),
      VLOOKUP(INDEX(SPLIT(O139,"" ""),1),{""jan."",1;""Feb"",2;""mar."",3;""Apr"",4;""May"",5;""jun."",6;""jul."",7;""Aug"",8;""Sep"",9;""Oct"",10;""nov."",11;""Dec"",12},2,FALSE),
      INDEX(S"&amp;"PLIT(O139,"" ""),2)
    ),
    ""dd/mm/yyyy""
  ),
"""")"),"15/04/2026")</f>
        <v>15/04/2026</v>
      </c>
    </row>
    <row r="140">
      <c r="A140" s="1054" t="s">
        <v>1481</v>
      </c>
      <c r="B140" s="1054" t="s">
        <v>1482</v>
      </c>
      <c r="C140" s="1055" t="s">
        <v>1085</v>
      </c>
      <c r="D140" s="1055" t="s">
        <v>539</v>
      </c>
      <c r="E140" s="1056"/>
      <c r="F140" s="1055" t="s">
        <v>420</v>
      </c>
      <c r="G140" s="1055" t="s">
        <v>540</v>
      </c>
      <c r="H140" s="1056"/>
      <c r="I140" s="1056"/>
      <c r="J140" s="1055" t="s">
        <v>540</v>
      </c>
      <c r="K140" s="1055" t="s">
        <v>541</v>
      </c>
      <c r="L140" s="1055" t="s">
        <v>542</v>
      </c>
      <c r="M140" s="1055" t="s">
        <v>543</v>
      </c>
      <c r="N140" s="1055" t="s">
        <v>1483</v>
      </c>
      <c r="O140" s="1055" t="s">
        <v>1484</v>
      </c>
      <c r="P140" s="1057" t="str">
        <f>IFERROR(__xludf.DUMMYFUNCTION("IFERROR(
  TEXT(
    DATE(
      INDEX(SPLIT(O140,"" ""),3),
      VLOOKUP(INDEX(SPLIT(O140,"" ""),1),{""jan."",1;""Feb"",2;""mar."",3;""Apr"",4;""May"",5;""jun."",6;""jul."",7;""Aug"",8;""Sep"",9;""Oct"",10;""nov."",11;""Dec"",12},2,FALSE),
      INDEX(S"&amp;"PLIT(O140,"" ""),2)
    ),
    ""dd/mm/yyyy""
  ),
"""")"),"16/04/2026")</f>
        <v>16/04/2026</v>
      </c>
    </row>
    <row r="141">
      <c r="A141" s="1054" t="s">
        <v>1485</v>
      </c>
      <c r="B141" s="1054" t="s">
        <v>1486</v>
      </c>
      <c r="C141" s="1058"/>
      <c r="D141" s="1055" t="s">
        <v>539</v>
      </c>
      <c r="E141" s="1056"/>
      <c r="F141" s="1055" t="s">
        <v>1487</v>
      </c>
      <c r="G141" s="1055" t="s">
        <v>540</v>
      </c>
      <c r="H141" s="1056"/>
      <c r="I141" s="1056"/>
      <c r="J141" s="1055" t="s">
        <v>540</v>
      </c>
      <c r="K141" s="1055" t="s">
        <v>541</v>
      </c>
      <c r="L141" s="1055" t="s">
        <v>542</v>
      </c>
      <c r="M141" s="1055" t="s">
        <v>543</v>
      </c>
      <c r="N141" s="1055" t="s">
        <v>1488</v>
      </c>
      <c r="O141" s="1055" t="s">
        <v>1489</v>
      </c>
      <c r="P141" s="1057" t="str">
        <f>IFERROR(__xludf.DUMMYFUNCTION("IFERROR(
  TEXT(
    DATE(
      INDEX(SPLIT(O141,"" ""),3),
      VLOOKUP(INDEX(SPLIT(O141,"" ""),1),{""jan."",1;""Feb"",2;""mar."",3;""Apr"",4;""May"",5;""jun."",6;""jul."",7;""Aug"",8;""Sep"",9;""Oct"",10;""nov."",11;""Dec"",12},2,FALSE),
      INDEX(S"&amp;"PLIT(O141,"" ""),2)
    ),
    ""dd/mm/yyyy""
  ),
"""")"),"30/04/2026")</f>
        <v>30/04/2026</v>
      </c>
    </row>
    <row r="142">
      <c r="A142" s="1054" t="s">
        <v>1490</v>
      </c>
      <c r="B142" s="1054" t="s">
        <v>1491</v>
      </c>
      <c r="C142" s="1055" t="s">
        <v>1085</v>
      </c>
      <c r="D142" s="1055" t="s">
        <v>539</v>
      </c>
      <c r="E142" s="1056"/>
      <c r="F142" s="1055" t="s">
        <v>446</v>
      </c>
      <c r="G142" s="1055" t="s">
        <v>540</v>
      </c>
      <c r="H142" s="1056"/>
      <c r="I142" s="1056"/>
      <c r="J142" s="1055" t="s">
        <v>540</v>
      </c>
      <c r="K142" s="1055" t="s">
        <v>541</v>
      </c>
      <c r="L142" s="1055" t="s">
        <v>542</v>
      </c>
      <c r="M142" s="1055" t="s">
        <v>1492</v>
      </c>
      <c r="N142" s="1055" t="s">
        <v>1493</v>
      </c>
      <c r="O142" s="1057">
        <v>46086.25555555556</v>
      </c>
      <c r="P142" s="1057" t="str">
        <f>IFERROR(__xludf.DUMMYFUNCTION("IFERROR(
  TEXT(
    DATE(
      INDEX(SPLIT(O142,"" ""),3),
      VLOOKUP(INDEX(SPLIT(O142,"" ""),1),{""jan."",1;""Feb"",2;""mar."",3;""Apr"",4;""May"",5;""jun."",6;""jul."",7;""Aug"",8;""Sep"",9;""Oct"",10;""nov."",11;""Dec"",12},2,FALSE),
      INDEX(S"&amp;"PLIT(O142,"" ""),2)
    ),
    ""dd/mm/yyyy""
  ),
"""")"),"05/03/2026")</f>
        <v>05/03/2026</v>
      </c>
    </row>
    <row r="143">
      <c r="A143" s="1054" t="s">
        <v>1494</v>
      </c>
      <c r="B143" s="1054" t="s">
        <v>1495</v>
      </c>
      <c r="C143" s="1055" t="s">
        <v>1085</v>
      </c>
      <c r="D143" s="1055" t="s">
        <v>539</v>
      </c>
      <c r="E143" s="1056"/>
      <c r="F143" s="1055" t="s">
        <v>415</v>
      </c>
      <c r="G143" s="1055" t="s">
        <v>540</v>
      </c>
      <c r="H143" s="1056"/>
      <c r="I143" s="1056"/>
      <c r="J143" s="1055" t="s">
        <v>540</v>
      </c>
      <c r="K143" s="1055" t="s">
        <v>541</v>
      </c>
      <c r="L143" s="1055" t="s">
        <v>542</v>
      </c>
      <c r="M143" s="1055" t="s">
        <v>543</v>
      </c>
      <c r="N143" s="1055" t="s">
        <v>1496</v>
      </c>
      <c r="O143" s="1055" t="s">
        <v>1497</v>
      </c>
      <c r="P143" s="1057" t="str">
        <f>IFERROR(__xludf.DUMMYFUNCTION("IFERROR(
  TEXT(
    DATE(
      INDEX(SPLIT(O143,"" ""),3),
      VLOOKUP(INDEX(SPLIT(O143,"" ""),1),{""jan."",1;""Feb"",2;""mar."",3;""Apr"",4;""May"",5;""jun."",6;""jul."",7;""Aug"",8;""Sep"",9;""Oct"",10;""nov."",11;""Dec"",12},2,FALSE),
      INDEX(S"&amp;"PLIT(O143,"" ""),2)
    ),
    ""dd/mm/yyyy""
  ),
"""")"),"12/05/2026")</f>
        <v>12/05/2026</v>
      </c>
    </row>
    <row r="144">
      <c r="A144" s="1054" t="s">
        <v>1498</v>
      </c>
      <c r="B144" s="1054" t="s">
        <v>1499</v>
      </c>
      <c r="C144" s="1055" t="s">
        <v>1085</v>
      </c>
      <c r="D144" s="1055" t="s">
        <v>539</v>
      </c>
      <c r="E144" s="1056"/>
      <c r="F144" s="1055" t="s">
        <v>412</v>
      </c>
      <c r="G144" s="1055" t="s">
        <v>540</v>
      </c>
      <c r="H144" s="1056"/>
      <c r="I144" s="1056"/>
      <c r="J144" s="1055" t="s">
        <v>540</v>
      </c>
      <c r="K144" s="1055" t="s">
        <v>541</v>
      </c>
      <c r="L144" s="1055" t="s">
        <v>542</v>
      </c>
      <c r="M144" s="1055" t="s">
        <v>543</v>
      </c>
      <c r="N144" s="1055" t="s">
        <v>1500</v>
      </c>
      <c r="O144" s="1055" t="s">
        <v>1316</v>
      </c>
      <c r="P144" s="1057" t="str">
        <f>IFERROR(__xludf.DUMMYFUNCTION("IFERROR(
  TEXT(
    DATE(
      INDEX(SPLIT(O144,"" ""),3),
      VLOOKUP(INDEX(SPLIT(O144,"" ""),1),{""jan."",1;""Feb"",2;""mar."",3;""Apr"",4;""May"",5;""jun."",6;""jul."",7;""Aug"",8;""Sep"",9;""Oct"",10;""nov."",11;""Dec"",12},2,FALSE),
      INDEX(S"&amp;"PLIT(O144,"" ""),2)
    ),
    ""dd/mm/yyyy""
  ),
"""")"),"08/12/2025")</f>
        <v>08/12/2025</v>
      </c>
    </row>
    <row r="145">
      <c r="A145" s="1054" t="s">
        <v>1501</v>
      </c>
      <c r="B145" s="1054" t="s">
        <v>1502</v>
      </c>
      <c r="C145" s="1055" t="s">
        <v>1085</v>
      </c>
      <c r="D145" s="1055" t="s">
        <v>539</v>
      </c>
      <c r="E145" s="1056"/>
      <c r="F145" s="1055" t="s">
        <v>425</v>
      </c>
      <c r="G145" s="1055" t="s">
        <v>540</v>
      </c>
      <c r="H145" s="1056"/>
      <c r="I145" s="1056"/>
      <c r="J145" s="1055" t="s">
        <v>540</v>
      </c>
      <c r="K145" s="1055" t="s">
        <v>541</v>
      </c>
      <c r="L145" s="1055" t="s">
        <v>542</v>
      </c>
      <c r="M145" s="1055" t="s">
        <v>543</v>
      </c>
      <c r="N145" s="1055" t="s">
        <v>1503</v>
      </c>
      <c r="O145" s="1055" t="s">
        <v>1504</v>
      </c>
      <c r="P145" s="1057" t="str">
        <f>IFERROR(__xludf.DUMMYFUNCTION("IFERROR(
  TEXT(
    DATE(
      INDEX(SPLIT(O145,"" ""),3),
      VLOOKUP(INDEX(SPLIT(O145,"" ""),1),{""jan."",1;""Feb"",2;""mar."",3;""Apr"",4;""May"",5;""jun."",6;""jul."",7;""Aug"",8;""Sep"",9;""Oct"",10;""nov."",11;""Dec"",12},2,FALSE),
      INDEX(S"&amp;"PLIT(O145,"" ""),2)
    ),
    ""dd/mm/yyyy""
  ),
"""")"),"27/04/2026")</f>
        <v>27/04/2026</v>
      </c>
    </row>
    <row r="146">
      <c r="A146" s="1054" t="s">
        <v>1505</v>
      </c>
      <c r="B146" s="1054" t="s">
        <v>1506</v>
      </c>
      <c r="C146" s="1055" t="s">
        <v>1085</v>
      </c>
      <c r="D146" s="1055" t="s">
        <v>539</v>
      </c>
      <c r="E146" s="1056"/>
      <c r="F146" s="1055" t="s">
        <v>417</v>
      </c>
      <c r="G146" s="1055" t="s">
        <v>540</v>
      </c>
      <c r="H146" s="1056"/>
      <c r="I146" s="1056"/>
      <c r="J146" s="1055" t="s">
        <v>540</v>
      </c>
      <c r="K146" s="1055" t="s">
        <v>541</v>
      </c>
      <c r="L146" s="1055" t="s">
        <v>542</v>
      </c>
      <c r="M146" s="1055" t="s">
        <v>543</v>
      </c>
      <c r="N146" s="1055" t="s">
        <v>1507</v>
      </c>
      <c r="O146" s="1055" t="s">
        <v>1508</v>
      </c>
      <c r="P146" s="1057" t="str">
        <f>IFERROR(__xludf.DUMMYFUNCTION("IFERROR(
  TEXT(
    DATE(
      INDEX(SPLIT(O146,"" ""),3),
      VLOOKUP(INDEX(SPLIT(O146,"" ""),1),{""jan."",1;""Feb"",2;""mar."",3;""Apr"",4;""May"",5;""jun."",6;""jul."",7;""Aug"",8;""Sep"",9;""Oct"",10;""nov."",11;""Dec"",12},2,FALSE),
      INDEX(S"&amp;"PLIT(O146,"" ""),2)
    ),
    ""dd/mm/yyyy""
  ),
"""")"),"03/02/2026")</f>
        <v>03/02/2026</v>
      </c>
    </row>
    <row r="147">
      <c r="A147" s="1054" t="s">
        <v>1509</v>
      </c>
      <c r="B147" s="1054" t="s">
        <v>1510</v>
      </c>
      <c r="C147" s="1055" t="s">
        <v>538</v>
      </c>
      <c r="D147" s="1055" t="s">
        <v>539</v>
      </c>
      <c r="E147" s="1056"/>
      <c r="F147" s="1055" t="s">
        <v>405</v>
      </c>
      <c r="G147" s="1055" t="s">
        <v>540</v>
      </c>
      <c r="H147" s="1056"/>
      <c r="I147" s="1056"/>
      <c r="J147" s="1055" t="s">
        <v>540</v>
      </c>
      <c r="K147" s="1055" t="s">
        <v>541</v>
      </c>
      <c r="L147" s="1055" t="s">
        <v>542</v>
      </c>
      <c r="M147" s="1055" t="s">
        <v>543</v>
      </c>
      <c r="N147" s="1055" t="s">
        <v>1511</v>
      </c>
      <c r="O147" s="1055" t="s">
        <v>1512</v>
      </c>
      <c r="P147" s="1057" t="str">
        <f>IFERROR(__xludf.DUMMYFUNCTION("IFERROR(
  TEXT(
    DATE(
      INDEX(SPLIT(O147,"" ""),3),
      VLOOKUP(INDEX(SPLIT(O147,"" ""),1),{""jan."",1;""Feb"",2;""mar."",3;""Apr"",4;""May"",5;""jun."",6;""jul."",7;""Aug"",8;""Sep"",9;""Oct"",10;""nov."",11;""Dec"",12},2,FALSE),
      INDEX(S"&amp;"PLIT(O147,"" ""),2)
    ),
    ""dd/mm/yyyy""
  ),
"""")"),"15/05/2026")</f>
        <v>15/05/2026</v>
      </c>
    </row>
    <row r="148">
      <c r="A148" s="1054" t="s">
        <v>1513</v>
      </c>
      <c r="B148" s="1054" t="s">
        <v>1514</v>
      </c>
      <c r="C148" s="1055" t="s">
        <v>1085</v>
      </c>
      <c r="D148" s="1055" t="s">
        <v>539</v>
      </c>
      <c r="E148" s="1056"/>
      <c r="F148" s="1055" t="s">
        <v>417</v>
      </c>
      <c r="G148" s="1055" t="s">
        <v>540</v>
      </c>
      <c r="H148" s="1056"/>
      <c r="I148" s="1056"/>
      <c r="J148" s="1055" t="s">
        <v>540</v>
      </c>
      <c r="K148" s="1055" t="s">
        <v>541</v>
      </c>
      <c r="L148" s="1055" t="s">
        <v>542</v>
      </c>
      <c r="M148" s="1055" t="s">
        <v>543</v>
      </c>
      <c r="N148" s="1055" t="s">
        <v>1101</v>
      </c>
      <c r="O148" s="1055" t="s">
        <v>1515</v>
      </c>
      <c r="P148" s="1057" t="str">
        <f>IFERROR(__xludf.DUMMYFUNCTION("IFERROR(
  TEXT(
    DATE(
      INDEX(SPLIT(O148,"" ""),3),
      VLOOKUP(INDEX(SPLIT(O148,"" ""),1),{""jan."",1;""Feb"",2;""mar."",3;""Apr"",4;""May"",5;""jun."",6;""jul."",7;""Aug"",8;""Sep"",9;""Oct"",10;""nov."",11;""Dec"",12},2,FALSE),
      INDEX(S"&amp;"PLIT(O148,"" ""),2)
    ),
    ""dd/mm/yyyy""
  ),
"""")"),"08/05/2026")</f>
        <v>08/05/2026</v>
      </c>
    </row>
    <row r="149">
      <c r="A149" s="1054" t="s">
        <v>1516</v>
      </c>
      <c r="B149" s="1054" t="s">
        <v>1517</v>
      </c>
      <c r="C149" s="1055" t="s">
        <v>1085</v>
      </c>
      <c r="D149" s="1055" t="s">
        <v>539</v>
      </c>
      <c r="E149" s="1056"/>
      <c r="F149" s="1055" t="s">
        <v>426</v>
      </c>
      <c r="G149" s="1055" t="s">
        <v>540</v>
      </c>
      <c r="H149" s="1056"/>
      <c r="I149" s="1056"/>
      <c r="J149" s="1055" t="s">
        <v>540</v>
      </c>
      <c r="K149" s="1055" t="s">
        <v>541</v>
      </c>
      <c r="L149" s="1055" t="s">
        <v>542</v>
      </c>
      <c r="M149" s="1055" t="s">
        <v>543</v>
      </c>
      <c r="N149" s="1055" t="s">
        <v>1518</v>
      </c>
      <c r="O149" s="1055" t="s">
        <v>1519</v>
      </c>
      <c r="P149" s="1057" t="str">
        <f>IFERROR(__xludf.DUMMYFUNCTION("IFERROR(
  TEXT(
    DATE(
      INDEX(SPLIT(O149,"" ""),3),
      VLOOKUP(INDEX(SPLIT(O149,"" ""),1),{""jan."",1;""Feb"",2;""mar."",3;""Apr"",4;""May"",5;""jun."",6;""jul."",7;""Aug"",8;""Sep"",9;""Oct"",10;""nov."",11;""Dec"",12},2,FALSE),
      INDEX(S"&amp;"PLIT(O149,"" ""),2)
    ),
    ""dd/mm/yyyy""
  ),
"""")"),"14/05/2026")</f>
        <v>14/05/2026</v>
      </c>
    </row>
    <row r="150">
      <c r="A150" s="1054" t="s">
        <v>1520</v>
      </c>
      <c r="B150" s="1054" t="s">
        <v>1521</v>
      </c>
      <c r="C150" s="1055" t="s">
        <v>1085</v>
      </c>
      <c r="D150" s="1055" t="s">
        <v>539</v>
      </c>
      <c r="E150" s="1056"/>
      <c r="F150" s="1055" t="s">
        <v>419</v>
      </c>
      <c r="G150" s="1055" t="s">
        <v>540</v>
      </c>
      <c r="H150" s="1056"/>
      <c r="I150" s="1056"/>
      <c r="J150" s="1055" t="s">
        <v>540</v>
      </c>
      <c r="K150" s="1055" t="s">
        <v>541</v>
      </c>
      <c r="L150" s="1055" t="s">
        <v>542</v>
      </c>
      <c r="M150" s="1055" t="s">
        <v>543</v>
      </c>
      <c r="N150" s="1055" t="s">
        <v>1522</v>
      </c>
      <c r="O150" s="1055" t="s">
        <v>1523</v>
      </c>
      <c r="P150" s="1057" t="str">
        <f>IFERROR(__xludf.DUMMYFUNCTION("IFERROR(
  TEXT(
    DATE(
      INDEX(SPLIT(O150,"" ""),3),
      VLOOKUP(INDEX(SPLIT(O150,"" ""),1),{""jan."",1;""Feb"",2;""mar."",3;""Apr"",4;""May"",5;""jun."",6;""jul."",7;""Aug"",8;""Sep"",9;""Oct"",10;""nov."",11;""Dec"",12},2,FALSE),
      INDEX(S"&amp;"PLIT(O150,"" ""),2)
    ),
    ""dd/mm/yyyy""
  ),
"""")"),"14/05/2026")</f>
        <v>14/05/2026</v>
      </c>
    </row>
    <row r="151">
      <c r="A151" s="1054" t="s">
        <v>1524</v>
      </c>
      <c r="B151" s="1054" t="s">
        <v>1525</v>
      </c>
      <c r="C151" s="1055" t="s">
        <v>1085</v>
      </c>
      <c r="D151" s="1055" t="s">
        <v>539</v>
      </c>
      <c r="E151" s="1056"/>
      <c r="F151" s="1055" t="s">
        <v>419</v>
      </c>
      <c r="G151" s="1055" t="s">
        <v>540</v>
      </c>
      <c r="H151" s="1056"/>
      <c r="I151" s="1056"/>
      <c r="J151" s="1055" t="s">
        <v>540</v>
      </c>
      <c r="K151" s="1055" t="s">
        <v>541</v>
      </c>
      <c r="L151" s="1055" t="s">
        <v>542</v>
      </c>
      <c r="M151" s="1055" t="s">
        <v>543</v>
      </c>
      <c r="N151" s="1055" t="s">
        <v>1128</v>
      </c>
      <c r="O151" s="1057">
        <v>46087.711805555555</v>
      </c>
      <c r="P151" s="1057" t="str">
        <f>IFERROR(__xludf.DUMMYFUNCTION("IFERROR(
  TEXT(
    DATE(
      INDEX(SPLIT(O151,"" ""),3),
      VLOOKUP(INDEX(SPLIT(O151,"" ""),1),{""jan."",1;""Feb"",2;""mar."",3;""Apr"",4;""May"",5;""jun."",6;""jul."",7;""Aug"",8;""Sep"",9;""Oct"",10;""nov."",11;""Dec"",12},2,FALSE),
      INDEX(S"&amp;"PLIT(O151,"" ""),2)
    ),
    ""dd/mm/yyyy""
  ),
"""")"),"06/03/2026")</f>
        <v>06/03/2026</v>
      </c>
    </row>
    <row r="152">
      <c r="A152" s="1054" t="s">
        <v>1526</v>
      </c>
      <c r="B152" s="1054" t="s">
        <v>1527</v>
      </c>
      <c r="C152" s="1055" t="s">
        <v>1085</v>
      </c>
      <c r="D152" s="1055" t="s">
        <v>539</v>
      </c>
      <c r="E152" s="1056"/>
      <c r="F152" s="1055" t="s">
        <v>418</v>
      </c>
      <c r="G152" s="1055" t="s">
        <v>540</v>
      </c>
      <c r="H152" s="1056"/>
      <c r="I152" s="1056"/>
      <c r="J152" s="1055" t="s">
        <v>540</v>
      </c>
      <c r="K152" s="1055" t="s">
        <v>541</v>
      </c>
      <c r="L152" s="1055" t="s">
        <v>542</v>
      </c>
      <c r="M152" s="1055" t="s">
        <v>543</v>
      </c>
      <c r="N152" s="1055" t="s">
        <v>1528</v>
      </c>
      <c r="O152" s="1057">
        <v>46084.36944444444</v>
      </c>
      <c r="P152" s="1057" t="str">
        <f>IFERROR(__xludf.DUMMYFUNCTION("IFERROR(
  TEXT(
    DATE(
      INDEX(SPLIT(O152,"" ""),3),
      VLOOKUP(INDEX(SPLIT(O152,"" ""),1),{""jan."",1;""Feb"",2;""mar."",3;""Apr"",4;""May"",5;""jun."",6;""jul."",7;""Aug"",8;""Sep"",9;""Oct"",10;""nov."",11;""Dec"",12},2,FALSE),
      INDEX(S"&amp;"PLIT(O152,"" ""),2)
    ),
    ""dd/mm/yyyy""
  ),
"""")"),"03/03/2026")</f>
        <v>03/03/2026</v>
      </c>
    </row>
    <row r="153">
      <c r="A153" s="1054" t="s">
        <v>1529</v>
      </c>
      <c r="B153" s="1054" t="s">
        <v>1530</v>
      </c>
      <c r="C153" s="1055" t="s">
        <v>1085</v>
      </c>
      <c r="D153" s="1055" t="s">
        <v>539</v>
      </c>
      <c r="E153" s="1056"/>
      <c r="F153" s="1055" t="s">
        <v>436</v>
      </c>
      <c r="G153" s="1055" t="s">
        <v>540</v>
      </c>
      <c r="H153" s="1056"/>
      <c r="I153" s="1056"/>
      <c r="J153" s="1055" t="s">
        <v>540</v>
      </c>
      <c r="K153" s="1055" t="s">
        <v>541</v>
      </c>
      <c r="L153" s="1055" t="s">
        <v>542</v>
      </c>
      <c r="M153" s="1055" t="s">
        <v>543</v>
      </c>
      <c r="N153" s="1055" t="s">
        <v>688</v>
      </c>
      <c r="O153" s="1057">
        <v>46105.819444444445</v>
      </c>
      <c r="P153" s="1057" t="str">
        <f>IFERROR(__xludf.DUMMYFUNCTION("IFERROR(
  TEXT(
    DATE(
      INDEX(SPLIT(O153,"" ""),3),
      VLOOKUP(INDEX(SPLIT(O153,"" ""),1),{""jan."",1;""Feb"",2;""mar."",3;""Apr"",4;""May"",5;""jun."",6;""jul."",7;""Aug"",8;""Sep"",9;""Oct"",10;""nov."",11;""Dec"",12},2,FALSE),
      INDEX(S"&amp;"PLIT(O153,"" ""),2)
    ),
    ""dd/mm/yyyy""
  ),
"""")"),"24/03/2026")</f>
        <v>24/03/2026</v>
      </c>
    </row>
    <row r="154">
      <c r="A154" s="1054" t="s">
        <v>1531</v>
      </c>
      <c r="B154" s="1054" t="s">
        <v>1532</v>
      </c>
      <c r="C154" s="1055" t="s">
        <v>1085</v>
      </c>
      <c r="D154" s="1055" t="s">
        <v>539</v>
      </c>
      <c r="E154" s="1056"/>
      <c r="F154" s="1055" t="s">
        <v>407</v>
      </c>
      <c r="G154" s="1055" t="s">
        <v>540</v>
      </c>
      <c r="H154" s="1056"/>
      <c r="I154" s="1056"/>
      <c r="J154" s="1055" t="s">
        <v>540</v>
      </c>
      <c r="K154" s="1055" t="s">
        <v>541</v>
      </c>
      <c r="L154" s="1055" t="s">
        <v>542</v>
      </c>
      <c r="M154" s="1055" t="s">
        <v>543</v>
      </c>
      <c r="N154" s="1055" t="s">
        <v>1533</v>
      </c>
      <c r="O154" s="1055" t="s">
        <v>1534</v>
      </c>
      <c r="P154" s="1057" t="str">
        <f>IFERROR(__xludf.DUMMYFUNCTION("IFERROR(
  TEXT(
    DATE(
      INDEX(SPLIT(O154,"" ""),3),
      VLOOKUP(INDEX(SPLIT(O154,"" ""),1),{""jan."",1;""Feb"",2;""mar."",3;""Apr"",4;""May"",5;""jun."",6;""jul."",7;""Aug"",8;""Sep"",9;""Oct"",10;""nov."",11;""Dec"",12},2,FALSE),
      INDEX(S"&amp;"PLIT(O154,"" ""),2)
    ),
    ""dd/mm/yyyy""
  ),
"""")"),"08/04/2026")</f>
        <v>08/04/2026</v>
      </c>
    </row>
    <row r="155">
      <c r="A155" s="1054" t="s">
        <v>1535</v>
      </c>
      <c r="B155" s="1054" t="s">
        <v>1536</v>
      </c>
      <c r="C155" s="1055" t="s">
        <v>1085</v>
      </c>
      <c r="D155" s="1055" t="s">
        <v>539</v>
      </c>
      <c r="E155" s="1056"/>
      <c r="F155" s="1055" t="s">
        <v>503</v>
      </c>
      <c r="G155" s="1055" t="s">
        <v>540</v>
      </c>
      <c r="H155" s="1056"/>
      <c r="I155" s="1056"/>
      <c r="J155" s="1055" t="s">
        <v>540</v>
      </c>
      <c r="K155" s="1055" t="s">
        <v>541</v>
      </c>
      <c r="L155" s="1055" t="s">
        <v>542</v>
      </c>
      <c r="M155" s="1055" t="s">
        <v>543</v>
      </c>
      <c r="N155" s="1055" t="s">
        <v>1537</v>
      </c>
      <c r="O155" s="1055" t="s">
        <v>1538</v>
      </c>
      <c r="P155" s="1057" t="str">
        <f>IFERROR(__xludf.DUMMYFUNCTION("IFERROR(
  TEXT(
    DATE(
      INDEX(SPLIT(O155,"" ""),3),
      VLOOKUP(INDEX(SPLIT(O155,"" ""),1),{""jan."",1;""Feb"",2;""mar."",3;""Apr"",4;""May"",5;""jun."",6;""jul."",7;""Aug"",8;""Sep"",9;""Oct"",10;""nov."",11;""Dec"",12},2,FALSE),
      INDEX(S"&amp;"PLIT(O155,"" ""),2)
    ),
    ""dd/mm/yyyy""
  ),
"""")"),"08/05/2026")</f>
        <v>08/05/2026</v>
      </c>
    </row>
    <row r="156">
      <c r="A156" s="1054" t="s">
        <v>1539</v>
      </c>
      <c r="B156" s="1054" t="s">
        <v>1540</v>
      </c>
      <c r="C156" s="1055" t="s">
        <v>1085</v>
      </c>
      <c r="D156" s="1055" t="s">
        <v>539</v>
      </c>
      <c r="E156" s="1056"/>
      <c r="F156" s="1055" t="s">
        <v>414</v>
      </c>
      <c r="G156" s="1055" t="s">
        <v>540</v>
      </c>
      <c r="H156" s="1056"/>
      <c r="I156" s="1056"/>
      <c r="J156" s="1055" t="s">
        <v>540</v>
      </c>
      <c r="K156" s="1055" t="s">
        <v>541</v>
      </c>
      <c r="L156" s="1055" t="s">
        <v>542</v>
      </c>
      <c r="M156" s="1055" t="s">
        <v>543</v>
      </c>
      <c r="N156" s="1055" t="s">
        <v>1541</v>
      </c>
      <c r="O156" s="1055" t="s">
        <v>1355</v>
      </c>
      <c r="P156" s="1057" t="str">
        <f>IFERROR(__xludf.DUMMYFUNCTION("IFERROR(
  TEXT(
    DATE(
      INDEX(SPLIT(O156,"" ""),3),
      VLOOKUP(INDEX(SPLIT(O156,"" ""),1),{""jan."",1;""Feb"",2;""mar."",3;""Apr"",4;""May"",5;""jun."",6;""jul."",7;""Aug"",8;""Sep"",9;""Oct"",10;""nov."",11;""Dec"",12},2,FALSE),
      INDEX(S"&amp;"PLIT(O156,"" ""),2)
    ),
    ""dd/mm/yyyy""
  ),
"""")"),"13/05/2026")</f>
        <v>13/05/2026</v>
      </c>
    </row>
    <row r="157">
      <c r="A157" s="1054" t="s">
        <v>1542</v>
      </c>
      <c r="B157" s="1054" t="s">
        <v>1543</v>
      </c>
      <c r="C157" s="1055" t="s">
        <v>1085</v>
      </c>
      <c r="D157" s="1055" t="s">
        <v>539</v>
      </c>
      <c r="E157" s="1056"/>
      <c r="F157" s="1055" t="s">
        <v>443</v>
      </c>
      <c r="G157" s="1055" t="s">
        <v>540</v>
      </c>
      <c r="H157" s="1056"/>
      <c r="I157" s="1056"/>
      <c r="J157" s="1055" t="s">
        <v>540</v>
      </c>
      <c r="K157" s="1055" t="s">
        <v>541</v>
      </c>
      <c r="L157" s="1055" t="s">
        <v>542</v>
      </c>
      <c r="M157" s="1055" t="s">
        <v>543</v>
      </c>
      <c r="N157" s="1055" t="s">
        <v>1544</v>
      </c>
      <c r="O157" s="1055" t="s">
        <v>1545</v>
      </c>
      <c r="P157" s="1057" t="str">
        <f>IFERROR(__xludf.DUMMYFUNCTION("IFERROR(
  TEXT(
    DATE(
      INDEX(SPLIT(O157,"" ""),3),
      VLOOKUP(INDEX(SPLIT(O157,"" ""),1),{""jan."",1;""Feb"",2;""mar."",3;""Apr"",4;""May"",5;""jun."",6;""jul."",7;""Aug"",8;""Sep"",9;""Oct"",10;""nov."",11;""Dec"",12},2,FALSE),
      INDEX(S"&amp;"PLIT(O157,"" ""),2)
    ),
    ""dd/mm/yyyy""
  ),
"""")"),"06/05/2026")</f>
        <v>06/05/2026</v>
      </c>
    </row>
    <row r="158">
      <c r="A158" s="1054" t="s">
        <v>1546</v>
      </c>
      <c r="B158" s="1054" t="s">
        <v>1547</v>
      </c>
      <c r="C158" s="1055" t="s">
        <v>1085</v>
      </c>
      <c r="D158" s="1055" t="s">
        <v>539</v>
      </c>
      <c r="E158" s="1056"/>
      <c r="F158" s="1055" t="s">
        <v>441</v>
      </c>
      <c r="G158" s="1055" t="s">
        <v>540</v>
      </c>
      <c r="H158" s="1056"/>
      <c r="I158" s="1056"/>
      <c r="J158" s="1055" t="s">
        <v>540</v>
      </c>
      <c r="K158" s="1055" t="s">
        <v>541</v>
      </c>
      <c r="L158" s="1055" t="s">
        <v>542</v>
      </c>
      <c r="M158" s="1055" t="s">
        <v>543</v>
      </c>
      <c r="N158" s="1055" t="s">
        <v>1548</v>
      </c>
      <c r="O158" s="1055" t="s">
        <v>1549</v>
      </c>
      <c r="P158" s="1057" t="str">
        <f>IFERROR(__xludf.DUMMYFUNCTION("IFERROR(
  TEXT(
    DATE(
      INDEX(SPLIT(O158,"" ""),3),
      VLOOKUP(INDEX(SPLIT(O158,"" ""),1),{""jan."",1;""Feb"",2;""mar."",3;""Apr"",4;""May"",5;""jun."",6;""jul."",7;""Aug"",8;""Sep"",9;""Oct"",10;""nov."",11;""Dec"",12},2,FALSE),
      INDEX(S"&amp;"PLIT(O158,"" ""),2)
    ),
    ""dd/mm/yyyy""
  ),
"""")"),"10/04/2026")</f>
        <v>10/04/2026</v>
      </c>
    </row>
    <row r="159">
      <c r="A159" s="1054" t="s">
        <v>1550</v>
      </c>
      <c r="B159" s="1054" t="s">
        <v>1551</v>
      </c>
      <c r="C159" s="1058"/>
      <c r="D159" s="1058"/>
      <c r="E159" s="1056"/>
      <c r="F159" s="1055" t="s">
        <v>387</v>
      </c>
      <c r="G159" s="1055" t="s">
        <v>540</v>
      </c>
      <c r="H159" s="1056"/>
      <c r="I159" s="1056"/>
      <c r="J159" s="1055" t="s">
        <v>540</v>
      </c>
      <c r="K159" s="1055" t="s">
        <v>541</v>
      </c>
      <c r="L159" s="1055" t="s">
        <v>542</v>
      </c>
      <c r="M159" s="1055" t="s">
        <v>543</v>
      </c>
      <c r="N159" s="1055" t="s">
        <v>792</v>
      </c>
      <c r="O159" s="1055" t="s">
        <v>1552</v>
      </c>
      <c r="P159" s="1057" t="str">
        <f>IFERROR(__xludf.DUMMYFUNCTION("IFERROR(
  TEXT(
    DATE(
      INDEX(SPLIT(O159,"" ""),3),
      VLOOKUP(INDEX(SPLIT(O159,"" ""),1),{""jan."",1;""Feb"",2;""mar."",3;""Apr"",4;""May"",5;""jun."",6;""jul."",7;""Aug"",8;""Sep"",9;""Oct"",10;""nov."",11;""Dec"",12},2,FALSE),
      INDEX(S"&amp;"PLIT(O159,"" ""),2)
    ),
    ""dd/mm/yyyy""
  ),
"""")"),"07/05/2026")</f>
        <v>07/05/2026</v>
      </c>
    </row>
    <row r="160">
      <c r="A160" s="1054" t="s">
        <v>1553</v>
      </c>
      <c r="B160" s="1054" t="s">
        <v>1554</v>
      </c>
      <c r="C160" s="1055" t="s">
        <v>538</v>
      </c>
      <c r="D160" s="1055" t="s">
        <v>539</v>
      </c>
      <c r="E160" s="1056"/>
      <c r="F160" s="1055" t="s">
        <v>387</v>
      </c>
      <c r="G160" s="1055" t="s">
        <v>540</v>
      </c>
      <c r="H160" s="1056"/>
      <c r="I160" s="1056"/>
      <c r="J160" s="1055" t="s">
        <v>540</v>
      </c>
      <c r="K160" s="1055" t="s">
        <v>541</v>
      </c>
      <c r="L160" s="1055" t="s">
        <v>542</v>
      </c>
      <c r="M160" s="1055" t="s">
        <v>543</v>
      </c>
      <c r="N160" s="1055" t="s">
        <v>1555</v>
      </c>
      <c r="O160" s="1055" t="s">
        <v>1552</v>
      </c>
      <c r="P160" s="1057" t="str">
        <f>IFERROR(__xludf.DUMMYFUNCTION("IFERROR(
  TEXT(
    DATE(
      INDEX(SPLIT(O160,"" ""),3),
      VLOOKUP(INDEX(SPLIT(O160,"" ""),1),{""jan."",1;""Feb"",2;""mar."",3;""Apr"",4;""May"",5;""jun."",6;""jul."",7;""Aug"",8;""Sep"",9;""Oct"",10;""nov."",11;""Dec"",12},2,FALSE),
      INDEX(S"&amp;"PLIT(O160,"" ""),2)
    ),
    ""dd/mm/yyyy""
  ),
"""")"),"07/05/2026")</f>
        <v>07/05/2026</v>
      </c>
    </row>
    <row r="161">
      <c r="A161" s="1054" t="s">
        <v>1556</v>
      </c>
      <c r="B161" s="1054" t="s">
        <v>1557</v>
      </c>
      <c r="C161" s="1055" t="s">
        <v>1085</v>
      </c>
      <c r="D161" s="1055" t="s">
        <v>539</v>
      </c>
      <c r="E161" s="1056"/>
      <c r="F161" s="1055" t="s">
        <v>442</v>
      </c>
      <c r="G161" s="1055" t="s">
        <v>540</v>
      </c>
      <c r="H161" s="1056"/>
      <c r="I161" s="1056"/>
      <c r="J161" s="1055" t="s">
        <v>540</v>
      </c>
      <c r="K161" s="1055" t="s">
        <v>541</v>
      </c>
      <c r="L161" s="1055" t="s">
        <v>542</v>
      </c>
      <c r="M161" s="1055" t="s">
        <v>543</v>
      </c>
      <c r="N161" s="1055" t="s">
        <v>1558</v>
      </c>
      <c r="O161" s="1057">
        <v>46100.67222222222</v>
      </c>
      <c r="P161" s="1057" t="str">
        <f>IFERROR(__xludf.DUMMYFUNCTION("IFERROR(
  TEXT(
    DATE(
      INDEX(SPLIT(O161,"" ""),3),
      VLOOKUP(INDEX(SPLIT(O161,"" ""),1),{""jan."",1;""Feb"",2;""mar."",3;""Apr"",4;""May"",5;""jun."",6;""jul."",7;""Aug"",8;""Sep"",9;""Oct"",10;""nov."",11;""Dec"",12},2,FALSE),
      INDEX(S"&amp;"PLIT(O161,"" ""),2)
    ),
    ""dd/mm/yyyy""
  ),
"""")"),"19/03/2026")</f>
        <v>19/03/2026</v>
      </c>
    </row>
    <row r="162">
      <c r="A162" s="1054" t="s">
        <v>1559</v>
      </c>
      <c r="B162" s="1054" t="s">
        <v>1560</v>
      </c>
      <c r="C162" s="1055" t="s">
        <v>1085</v>
      </c>
      <c r="D162" s="1055" t="s">
        <v>539</v>
      </c>
      <c r="E162" s="1056"/>
      <c r="F162" s="1055" t="s">
        <v>438</v>
      </c>
      <c r="G162" s="1055" t="s">
        <v>540</v>
      </c>
      <c r="H162" s="1056"/>
      <c r="I162" s="1056"/>
      <c r="J162" s="1055" t="s">
        <v>540</v>
      </c>
      <c r="K162" s="1055" t="s">
        <v>541</v>
      </c>
      <c r="L162" s="1055" t="s">
        <v>542</v>
      </c>
      <c r="M162" s="1055" t="s">
        <v>543</v>
      </c>
      <c r="N162" s="1055" t="s">
        <v>1561</v>
      </c>
      <c r="O162" s="1055" t="s">
        <v>1372</v>
      </c>
      <c r="P162" s="1057" t="str">
        <f>IFERROR(__xludf.DUMMYFUNCTION("IFERROR(
  TEXT(
    DATE(
      INDEX(SPLIT(O162,"" ""),3),
      VLOOKUP(INDEX(SPLIT(O162,"" ""),1),{""jan."",1;""Feb"",2;""mar."",3;""Apr"",4;""May"",5;""jun."",6;""jul."",7;""Aug"",8;""Sep"",9;""Oct"",10;""nov."",11;""Dec"",12},2,FALSE),
      INDEX(S"&amp;"PLIT(O162,"" ""),2)
    ),
    ""dd/mm/yyyy""
  ),
"""")"),"05/05/2026")</f>
        <v>05/05/2026</v>
      </c>
    </row>
    <row r="163">
      <c r="A163" s="1054" t="s">
        <v>1562</v>
      </c>
      <c r="B163" s="1054" t="s">
        <v>1563</v>
      </c>
      <c r="C163" s="1055" t="s">
        <v>1085</v>
      </c>
      <c r="D163" s="1055" t="s">
        <v>539</v>
      </c>
      <c r="E163" s="1056"/>
      <c r="F163" s="1055" t="s">
        <v>443</v>
      </c>
      <c r="G163" s="1055" t="s">
        <v>540</v>
      </c>
      <c r="H163" s="1056"/>
      <c r="I163" s="1056"/>
      <c r="J163" s="1055" t="s">
        <v>540</v>
      </c>
      <c r="K163" s="1055" t="s">
        <v>541</v>
      </c>
      <c r="L163" s="1055" t="s">
        <v>542</v>
      </c>
      <c r="M163" s="1055" t="s">
        <v>543</v>
      </c>
      <c r="N163" s="1055" t="s">
        <v>1160</v>
      </c>
      <c r="O163" s="1055" t="s">
        <v>1564</v>
      </c>
      <c r="P163" s="1057" t="str">
        <f>IFERROR(__xludf.DUMMYFUNCTION("IFERROR(
  TEXT(
    DATE(
      INDEX(SPLIT(O163,"" ""),3),
      VLOOKUP(INDEX(SPLIT(O163,"" ""),1),{""jan."",1;""Feb"",2;""mar."",3;""Apr"",4;""May"",5;""jun."",6;""jul."",7;""Aug"",8;""Sep"",9;""Oct"",10;""nov."",11;""Dec"",12},2,FALSE),
      INDEX(S"&amp;"PLIT(O163,"" ""),2)
    ),
    ""dd/mm/yyyy""
  ),
"""")"),"10/04/2026")</f>
        <v>10/04/2026</v>
      </c>
    </row>
    <row r="164">
      <c r="A164" s="1054" t="s">
        <v>1565</v>
      </c>
      <c r="B164" s="1054" t="s">
        <v>1566</v>
      </c>
      <c r="C164" s="1055" t="s">
        <v>1085</v>
      </c>
      <c r="D164" s="1055" t="s">
        <v>539</v>
      </c>
      <c r="E164" s="1056"/>
      <c r="F164" s="1055" t="s">
        <v>442</v>
      </c>
      <c r="G164" s="1055" t="s">
        <v>540</v>
      </c>
      <c r="H164" s="1056"/>
      <c r="I164" s="1056"/>
      <c r="J164" s="1055" t="s">
        <v>540</v>
      </c>
      <c r="K164" s="1055" t="s">
        <v>541</v>
      </c>
      <c r="L164" s="1055" t="s">
        <v>542</v>
      </c>
      <c r="M164" s="1055" t="s">
        <v>543</v>
      </c>
      <c r="N164" s="1055" t="s">
        <v>1567</v>
      </c>
      <c r="O164" s="1055" t="s">
        <v>1568</v>
      </c>
      <c r="P164" s="1057" t="str">
        <f>IFERROR(__xludf.DUMMYFUNCTION("IFERROR(
  TEXT(
    DATE(
      INDEX(SPLIT(O164,"" ""),3),
      VLOOKUP(INDEX(SPLIT(O164,"" ""),1),{""jan."",1;""Feb"",2;""mar."",3;""Apr"",4;""May"",5;""jun."",6;""jul."",7;""Aug"",8;""Sep"",9;""Oct"",10;""nov."",11;""Dec"",12},2,FALSE),
      INDEX(S"&amp;"PLIT(O164,"" ""),2)
    ),
    ""dd/mm/yyyy""
  ),
"""")"),"12/05/2026")</f>
        <v>12/05/2026</v>
      </c>
    </row>
    <row r="165">
      <c r="A165" s="1054" t="s">
        <v>1569</v>
      </c>
      <c r="B165" s="1054" t="s">
        <v>1570</v>
      </c>
      <c r="C165" s="1055" t="s">
        <v>1085</v>
      </c>
      <c r="D165" s="1055" t="s">
        <v>539</v>
      </c>
      <c r="E165" s="1056"/>
      <c r="F165" s="1055" t="s">
        <v>427</v>
      </c>
      <c r="G165" s="1055" t="s">
        <v>540</v>
      </c>
      <c r="H165" s="1056"/>
      <c r="I165" s="1056"/>
      <c r="J165" s="1055" t="s">
        <v>540</v>
      </c>
      <c r="K165" s="1055" t="s">
        <v>541</v>
      </c>
      <c r="L165" s="1055" t="s">
        <v>542</v>
      </c>
      <c r="M165" s="1055" t="s">
        <v>543</v>
      </c>
      <c r="N165" s="1055" t="s">
        <v>1571</v>
      </c>
      <c r="O165" s="1055" t="s">
        <v>1572</v>
      </c>
      <c r="P165" s="1057" t="str">
        <f>IFERROR(__xludf.DUMMYFUNCTION("IFERROR(
  TEXT(
    DATE(
      INDEX(SPLIT(O165,"" ""),3),
      VLOOKUP(INDEX(SPLIT(O165,"" ""),1),{""jan."",1;""Feb"",2;""mar."",3;""Apr"",4;""May"",5;""jun."",6;""jul."",7;""Aug"",8;""Sep"",9;""Oct"",10;""nov."",11;""Dec"",12},2,FALSE),
      INDEX(S"&amp;"PLIT(O165,"" ""),2)
    ),
    ""dd/mm/yyyy""
  ),
"""")"),"30/04/2026")</f>
        <v>30/04/2026</v>
      </c>
    </row>
    <row r="166">
      <c r="A166" s="1054" t="s">
        <v>1573</v>
      </c>
      <c r="B166" s="1054" t="s">
        <v>1574</v>
      </c>
      <c r="C166" s="1055" t="s">
        <v>1085</v>
      </c>
      <c r="D166" s="1055" t="s">
        <v>539</v>
      </c>
      <c r="E166" s="1056"/>
      <c r="F166" s="1055" t="s">
        <v>418</v>
      </c>
      <c r="G166" s="1055" t="s">
        <v>540</v>
      </c>
      <c r="H166" s="1056"/>
      <c r="I166" s="1056"/>
      <c r="J166" s="1055" t="s">
        <v>540</v>
      </c>
      <c r="K166" s="1055" t="s">
        <v>541</v>
      </c>
      <c r="L166" s="1055" t="s">
        <v>542</v>
      </c>
      <c r="M166" s="1055" t="s">
        <v>543</v>
      </c>
      <c r="N166" s="1055" t="s">
        <v>1575</v>
      </c>
      <c r="O166" s="1055" t="s">
        <v>1576</v>
      </c>
      <c r="P166" s="1057" t="str">
        <f>IFERROR(__xludf.DUMMYFUNCTION("IFERROR(
  TEXT(
    DATE(
      INDEX(SPLIT(O166,"" ""),3),
      VLOOKUP(INDEX(SPLIT(O166,"" ""),1),{""jan."",1;""Feb"",2;""mar."",3;""Apr"",4;""May"",5;""jun."",6;""jul."",7;""Aug"",8;""Sep"",9;""Oct"",10;""nov."",11;""Dec"",12},2,FALSE),
      INDEX(S"&amp;"PLIT(O166,"" ""),2)
    ),
    ""dd/mm/yyyy""
  ),
"""")"),"29/04/2026")</f>
        <v>29/04/2026</v>
      </c>
    </row>
    <row r="167">
      <c r="A167" s="1054" t="s">
        <v>1577</v>
      </c>
      <c r="B167" s="1054" t="s">
        <v>1578</v>
      </c>
      <c r="C167" s="1058"/>
      <c r="D167" s="1058"/>
      <c r="E167" s="1056"/>
      <c r="F167" s="1055" t="s">
        <v>387</v>
      </c>
      <c r="G167" s="1055" t="s">
        <v>540</v>
      </c>
      <c r="H167" s="1056"/>
      <c r="I167" s="1056"/>
      <c r="J167" s="1055" t="s">
        <v>540</v>
      </c>
      <c r="K167" s="1055" t="s">
        <v>541</v>
      </c>
      <c r="L167" s="1055" t="s">
        <v>540</v>
      </c>
      <c r="M167" s="1055" t="s">
        <v>540</v>
      </c>
      <c r="N167" s="1055" t="s">
        <v>941</v>
      </c>
      <c r="O167" s="1057">
        <v>45811.31805555556</v>
      </c>
      <c r="P167" s="1057" t="str">
        <f>IFERROR(__xludf.DUMMYFUNCTION("IFERROR(
  TEXT(
    DATE(
      INDEX(SPLIT(O167,"" ""),3),
      VLOOKUP(INDEX(SPLIT(O167,"" ""),1),{""jan."",1;""Feb"",2;""mar."",3;""Apr"",4;""May"",5;""jun."",6;""jul."",7;""Aug"",8;""Sep"",9;""Oct"",10;""nov."",11;""Dec"",12},2,FALSE),
      INDEX(S"&amp;"PLIT(O167,"" ""),2)
    ),
    ""dd/mm/yyyy""
  ),
"""")"),"03/06/2025")</f>
        <v>03/06/2025</v>
      </c>
    </row>
    <row r="168">
      <c r="A168" s="1054" t="s">
        <v>1579</v>
      </c>
      <c r="B168" s="1054" t="s">
        <v>1580</v>
      </c>
      <c r="C168" s="1058"/>
      <c r="D168" s="1058"/>
      <c r="E168" s="1056"/>
      <c r="F168" s="1055" t="s">
        <v>382</v>
      </c>
      <c r="G168" s="1055" t="s">
        <v>540</v>
      </c>
      <c r="H168" s="1056"/>
      <c r="I168" s="1056"/>
      <c r="J168" s="1055" t="s">
        <v>540</v>
      </c>
      <c r="K168" s="1055" t="s">
        <v>541</v>
      </c>
      <c r="L168" s="1055" t="s">
        <v>542</v>
      </c>
      <c r="M168" s="1055" t="s">
        <v>543</v>
      </c>
      <c r="N168" s="1055" t="s">
        <v>945</v>
      </c>
      <c r="O168" s="1057">
        <v>45968.49236111111</v>
      </c>
      <c r="P168" s="1057" t="str">
        <f>IFERROR(__xludf.DUMMYFUNCTION("IFERROR(
  TEXT(
    DATE(
      INDEX(SPLIT(O168,"" ""),3),
      VLOOKUP(INDEX(SPLIT(O168,"" ""),1),{""jan."",1;""Feb"",2;""mar."",3;""Apr"",4;""May"",5;""jun."",6;""jul."",7;""Aug"",8;""Sep"",9;""Oct"",10;""nov."",11;""Dec"",12},2,FALSE),
      INDEX(S"&amp;"PLIT(O168,"" ""),2)
    ),
    ""dd/mm/yyyy""
  ),
"""")"),"07/11/2025")</f>
        <v>07/11/2025</v>
      </c>
    </row>
    <row r="169">
      <c r="A169" s="1054" t="s">
        <v>1581</v>
      </c>
      <c r="B169" s="1054" t="s">
        <v>1582</v>
      </c>
      <c r="C169" s="1058"/>
      <c r="D169" s="1058"/>
      <c r="E169" s="1056"/>
      <c r="F169" s="1055" t="s">
        <v>412</v>
      </c>
      <c r="G169" s="1055" t="s">
        <v>540</v>
      </c>
      <c r="H169" s="1056"/>
      <c r="I169" s="1056"/>
      <c r="J169" s="1055" t="s">
        <v>540</v>
      </c>
      <c r="K169" s="1055" t="s">
        <v>541</v>
      </c>
      <c r="L169" s="1055" t="s">
        <v>542</v>
      </c>
      <c r="M169" s="1055" t="s">
        <v>543</v>
      </c>
      <c r="N169" s="1055" t="s">
        <v>948</v>
      </c>
      <c r="O169" s="1057">
        <v>45968.49722222222</v>
      </c>
      <c r="P169" s="1057" t="str">
        <f>IFERROR(__xludf.DUMMYFUNCTION("IFERROR(
  TEXT(
    DATE(
      INDEX(SPLIT(O169,"" ""),3),
      VLOOKUP(INDEX(SPLIT(O169,"" ""),1),{""jan."",1;""Feb"",2;""mar."",3;""Apr"",4;""May"",5;""jun."",6;""jul."",7;""Aug"",8;""Sep"",9;""Oct"",10;""nov."",11;""Dec"",12},2,FALSE),
      INDEX(S"&amp;"PLIT(O169,"" ""),2)
    ),
    ""dd/mm/yyyy""
  ),
"""")"),"07/11/2025")</f>
        <v>07/11/2025</v>
      </c>
    </row>
    <row r="170">
      <c r="A170" s="1054" t="s">
        <v>1583</v>
      </c>
      <c r="B170" s="1054" t="s">
        <v>1584</v>
      </c>
      <c r="C170" s="1058"/>
      <c r="D170" s="1058"/>
      <c r="E170" s="1056"/>
      <c r="F170" s="1055" t="s">
        <v>428</v>
      </c>
      <c r="G170" s="1055" t="s">
        <v>540</v>
      </c>
      <c r="H170" s="1056"/>
      <c r="I170" s="1056"/>
      <c r="J170" s="1055" t="s">
        <v>540</v>
      </c>
      <c r="K170" s="1055" t="s">
        <v>541</v>
      </c>
      <c r="L170" s="1055" t="s">
        <v>542</v>
      </c>
      <c r="M170" s="1055" t="s">
        <v>543</v>
      </c>
      <c r="N170" s="1055" t="s">
        <v>951</v>
      </c>
      <c r="O170" s="1057">
        <v>45968.495833333334</v>
      </c>
      <c r="P170" s="1057" t="str">
        <f>IFERROR(__xludf.DUMMYFUNCTION("IFERROR(
  TEXT(
    DATE(
      INDEX(SPLIT(O170,"" ""),3),
      VLOOKUP(INDEX(SPLIT(O170,"" ""),1),{""jan."",1;""Feb"",2;""mar."",3;""Apr"",4;""May"",5;""jun."",6;""jul."",7;""Aug"",8;""Sep"",9;""Oct"",10;""nov."",11;""Dec"",12},2,FALSE),
      INDEX(S"&amp;"PLIT(O170,"" ""),2)
    ),
    ""dd/mm/yyyy""
  ),
"""")"),"07/11/2025")</f>
        <v>07/11/2025</v>
      </c>
    </row>
    <row r="171">
      <c r="A171" s="1054" t="s">
        <v>1585</v>
      </c>
      <c r="B171" s="1054" t="s">
        <v>1586</v>
      </c>
      <c r="C171" s="1058"/>
      <c r="D171" s="1058"/>
      <c r="E171" s="1056"/>
      <c r="F171" s="1055" t="s">
        <v>428</v>
      </c>
      <c r="G171" s="1055" t="s">
        <v>540</v>
      </c>
      <c r="H171" s="1056"/>
      <c r="I171" s="1056"/>
      <c r="J171" s="1055" t="s">
        <v>540</v>
      </c>
      <c r="K171" s="1055" t="s">
        <v>541</v>
      </c>
      <c r="L171" s="1055" t="s">
        <v>542</v>
      </c>
      <c r="M171" s="1055" t="s">
        <v>543</v>
      </c>
      <c r="N171" s="1055" t="s">
        <v>954</v>
      </c>
      <c r="O171" s="1057">
        <v>45968.49722222222</v>
      </c>
      <c r="P171" s="1057" t="str">
        <f>IFERROR(__xludf.DUMMYFUNCTION("IFERROR(
  TEXT(
    DATE(
      INDEX(SPLIT(O171,"" ""),3),
      VLOOKUP(INDEX(SPLIT(O171,"" ""),1),{""jan."",1;""Feb"",2;""mar."",3;""Apr"",4;""May"",5;""jun."",6;""jul."",7;""Aug"",8;""Sep"",9;""Oct"",10;""nov."",11;""Dec"",12},2,FALSE),
      INDEX(S"&amp;"PLIT(O171,"" ""),2)
    ),
    ""dd/mm/yyyy""
  ),
"""")"),"07/11/2025")</f>
        <v>07/11/2025</v>
      </c>
    </row>
    <row r="172">
      <c r="A172" s="1054" t="s">
        <v>1587</v>
      </c>
      <c r="B172" s="1054" t="s">
        <v>1588</v>
      </c>
      <c r="C172" s="1058"/>
      <c r="D172" s="1058"/>
      <c r="E172" s="1056"/>
      <c r="F172" s="1055" t="s">
        <v>412</v>
      </c>
      <c r="G172" s="1055" t="s">
        <v>540</v>
      </c>
      <c r="H172" s="1056"/>
      <c r="I172" s="1056"/>
      <c r="J172" s="1055" t="s">
        <v>540</v>
      </c>
      <c r="K172" s="1055" t="s">
        <v>541</v>
      </c>
      <c r="L172" s="1055" t="s">
        <v>542</v>
      </c>
      <c r="M172" s="1055" t="s">
        <v>543</v>
      </c>
      <c r="N172" s="1055" t="s">
        <v>957</v>
      </c>
      <c r="O172" s="1055" t="s">
        <v>1589</v>
      </c>
      <c r="P172" s="1057" t="str">
        <f>IFERROR(__xludf.DUMMYFUNCTION("IFERROR(
  TEXT(
    DATE(
      INDEX(SPLIT(O172,"" ""),3),
      VLOOKUP(INDEX(SPLIT(O172,"" ""),1),{""jan."",1;""Feb"",2;""mar."",3;""Apr"",4;""May"",5;""jun."",6;""jul."",7;""Aug"",8;""Sep"",9;""Oct"",10;""nov."",11;""Dec"",12},2,FALSE),
      INDEX(S"&amp;"PLIT(O172,"" ""),2)
    ),
    ""dd/mm/yyyy""
  ),
"""")"),"05/12/2025")</f>
        <v>05/12/2025</v>
      </c>
    </row>
    <row r="173">
      <c r="A173" s="1054" t="s">
        <v>1590</v>
      </c>
      <c r="B173" s="1054" t="s">
        <v>1591</v>
      </c>
      <c r="C173" s="1058"/>
      <c r="D173" s="1058"/>
      <c r="E173" s="1056"/>
      <c r="F173" s="1055" t="s">
        <v>428</v>
      </c>
      <c r="G173" s="1055" t="s">
        <v>540</v>
      </c>
      <c r="H173" s="1056"/>
      <c r="I173" s="1056"/>
      <c r="J173" s="1055" t="s">
        <v>540</v>
      </c>
      <c r="K173" s="1055" t="s">
        <v>541</v>
      </c>
      <c r="L173" s="1055" t="s">
        <v>542</v>
      </c>
      <c r="M173" s="1055" t="s">
        <v>543</v>
      </c>
      <c r="N173" s="1055" t="s">
        <v>765</v>
      </c>
      <c r="O173" s="1057">
        <v>45968.49722222222</v>
      </c>
      <c r="P173" s="1057" t="str">
        <f>IFERROR(__xludf.DUMMYFUNCTION("IFERROR(
  TEXT(
    DATE(
      INDEX(SPLIT(O173,"" ""),3),
      VLOOKUP(INDEX(SPLIT(O173,"" ""),1),{""jan."",1;""Feb"",2;""mar."",3;""Apr"",4;""May"",5;""jun."",6;""jul."",7;""Aug"",8;""Sep"",9;""Oct"",10;""nov."",11;""Dec"",12},2,FALSE),
      INDEX(S"&amp;"PLIT(O173,"" ""),2)
    ),
    ""dd/mm/yyyy""
  ),
"""")"),"07/11/2025")</f>
        <v>07/11/2025</v>
      </c>
    </row>
    <row r="174">
      <c r="A174" s="1054" t="s">
        <v>1592</v>
      </c>
      <c r="B174" s="1054" t="s">
        <v>1593</v>
      </c>
      <c r="C174" s="1058"/>
      <c r="D174" s="1058"/>
      <c r="E174" s="1056"/>
      <c r="F174" s="1055" t="s">
        <v>428</v>
      </c>
      <c r="G174" s="1055" t="s">
        <v>540</v>
      </c>
      <c r="H174" s="1056"/>
      <c r="I174" s="1056"/>
      <c r="J174" s="1055" t="s">
        <v>540</v>
      </c>
      <c r="K174" s="1055" t="s">
        <v>541</v>
      </c>
      <c r="L174" s="1055" t="s">
        <v>542</v>
      </c>
      <c r="M174" s="1055" t="s">
        <v>543</v>
      </c>
      <c r="N174" s="1055" t="s">
        <v>962</v>
      </c>
      <c r="O174" s="1057">
        <v>45962.40625</v>
      </c>
      <c r="P174" s="1057" t="str">
        <f>IFERROR(__xludf.DUMMYFUNCTION("IFERROR(
  TEXT(
    DATE(
      INDEX(SPLIT(O174,"" ""),3),
      VLOOKUP(INDEX(SPLIT(O174,"" ""),1),{""jan."",1;""Feb"",2;""mar."",3;""Apr"",4;""May"",5;""jun."",6;""jul."",7;""Aug"",8;""Sep"",9;""Oct"",10;""nov."",11;""Dec"",12},2,FALSE),
      INDEX(S"&amp;"PLIT(O174,"" ""),2)
    ),
    ""dd/mm/yyyy""
  ),
"""")"),"01/11/2025")</f>
        <v>01/11/2025</v>
      </c>
    </row>
    <row r="175">
      <c r="A175" s="1054" t="s">
        <v>1594</v>
      </c>
      <c r="B175" s="1054" t="s">
        <v>1595</v>
      </c>
      <c r="C175" s="1058"/>
      <c r="D175" s="1058"/>
      <c r="E175" s="1056"/>
      <c r="F175" s="1055" t="s">
        <v>400</v>
      </c>
      <c r="G175" s="1055" t="s">
        <v>540</v>
      </c>
      <c r="H175" s="1056"/>
      <c r="I175" s="1056"/>
      <c r="J175" s="1055" t="s">
        <v>540</v>
      </c>
      <c r="K175" s="1055" t="s">
        <v>541</v>
      </c>
      <c r="L175" s="1055" t="s">
        <v>542</v>
      </c>
      <c r="M175" s="1055" t="s">
        <v>543</v>
      </c>
      <c r="N175" s="1055" t="s">
        <v>965</v>
      </c>
      <c r="O175" s="1055" t="s">
        <v>1596</v>
      </c>
      <c r="P175" s="1057" t="str">
        <f>IFERROR(__xludf.DUMMYFUNCTION("IFERROR(
  TEXT(
    DATE(
      INDEX(SPLIT(O175,"" ""),3),
      VLOOKUP(INDEX(SPLIT(O175,"" ""),1),{""jan."",1;""Feb"",2;""mar."",3;""Apr"",4;""May"",5;""jun."",6;""jul."",7;""Aug"",8;""Sep"",9;""Oct"",10;""nov."",11;""Dec"",12},2,FALSE),
      INDEX(S"&amp;"PLIT(O175,"" ""),2)
    ),
    ""dd/mm/yyyy""
  ),
"""")"),"31/10/2025")</f>
        <v>31/10/2025</v>
      </c>
    </row>
    <row r="176">
      <c r="A176" s="1054" t="s">
        <v>1597</v>
      </c>
      <c r="B176" s="1054" t="s">
        <v>1598</v>
      </c>
      <c r="C176" s="1058"/>
      <c r="D176" s="1058"/>
      <c r="E176" s="1056"/>
      <c r="F176" s="1055" t="s">
        <v>428</v>
      </c>
      <c r="G176" s="1055" t="s">
        <v>540</v>
      </c>
      <c r="H176" s="1056"/>
      <c r="I176" s="1056"/>
      <c r="J176" s="1055" t="s">
        <v>540</v>
      </c>
      <c r="K176" s="1055" t="s">
        <v>541</v>
      </c>
      <c r="L176" s="1055" t="s">
        <v>542</v>
      </c>
      <c r="M176" s="1055" t="s">
        <v>543</v>
      </c>
      <c r="N176" s="1055" t="s">
        <v>968</v>
      </c>
      <c r="O176" s="1055" t="s">
        <v>1599</v>
      </c>
      <c r="P176" s="1057" t="str">
        <f>IFERROR(__xludf.DUMMYFUNCTION("IFERROR(
  TEXT(
    DATE(
      INDEX(SPLIT(O176,"" ""),3),
      VLOOKUP(INDEX(SPLIT(O176,"" ""),1),{""jan."",1;""Feb"",2;""mar."",3;""Apr"",4;""May"",5;""jun."",6;""jul."",7;""Aug"",8;""Sep"",9;""Oct"",10;""nov."",11;""Dec"",12},2,FALSE),
      INDEX(S"&amp;"PLIT(O176,"" ""),2)
    ),
    ""dd/mm/yyyy""
  ),
"""")"),"11/02/2026")</f>
        <v>11/02/2026</v>
      </c>
    </row>
    <row r="177">
      <c r="A177" s="1054" t="s">
        <v>1600</v>
      </c>
      <c r="B177" s="1054" t="s">
        <v>1601</v>
      </c>
      <c r="C177" s="1058"/>
      <c r="D177" s="1058"/>
      <c r="E177" s="1056"/>
      <c r="F177" s="1055" t="s">
        <v>377</v>
      </c>
      <c r="G177" s="1055" t="s">
        <v>540</v>
      </c>
      <c r="H177" s="1056"/>
      <c r="I177" s="1056"/>
      <c r="J177" s="1055" t="s">
        <v>540</v>
      </c>
      <c r="K177" s="1055" t="s">
        <v>541</v>
      </c>
      <c r="L177" s="1055" t="s">
        <v>540</v>
      </c>
      <c r="M177" s="1055" t="s">
        <v>540</v>
      </c>
      <c r="N177" s="1055" t="s">
        <v>1602</v>
      </c>
      <c r="O177" s="1055" t="s">
        <v>1603</v>
      </c>
      <c r="P177" s="1057" t="str">
        <f>IFERROR(__xludf.DUMMYFUNCTION("IFERROR(
  TEXT(
    DATE(
      INDEX(SPLIT(O177,"" ""),3),
      VLOOKUP(INDEX(SPLIT(O177,"" ""),1),{""jan."",1;""Feb"",2;""mar."",3;""Apr"",4;""May"",5;""jun."",6;""jul."",7;""Aug"",8;""Sep"",9;""Oct"",10;""nov."",11;""Dec"",12},2,FALSE),
      INDEX(S"&amp;"PLIT(O177,"" ""),2)
    ),
    ""dd/mm/yyyy""
  ),
"""")"),"12/02/2026")</f>
        <v>12/02/2026</v>
      </c>
    </row>
    <row r="178">
      <c r="A178" s="1054" t="s">
        <v>1604</v>
      </c>
      <c r="B178" s="1054" t="s">
        <v>1605</v>
      </c>
      <c r="C178" s="1055" t="s">
        <v>1085</v>
      </c>
      <c r="D178" s="1055" t="s">
        <v>539</v>
      </c>
      <c r="E178" s="1056"/>
      <c r="F178" s="1055" t="s">
        <v>377</v>
      </c>
      <c r="G178" s="1055" t="s">
        <v>540</v>
      </c>
      <c r="H178" s="1056"/>
      <c r="I178" s="1056"/>
      <c r="J178" s="1055" t="s">
        <v>540</v>
      </c>
      <c r="K178" s="1055" t="s">
        <v>541</v>
      </c>
      <c r="L178" s="1055" t="s">
        <v>542</v>
      </c>
      <c r="M178" s="1055" t="s">
        <v>543</v>
      </c>
      <c r="N178" s="1055" t="s">
        <v>1606</v>
      </c>
      <c r="O178" s="1055" t="s">
        <v>1607</v>
      </c>
      <c r="P178" s="1057" t="str">
        <f>IFERROR(__xludf.DUMMYFUNCTION("IFERROR(
  TEXT(
    DATE(
      INDEX(SPLIT(O178,"" ""),3),
      VLOOKUP(INDEX(SPLIT(O178,"" ""),1),{""jan."",1;""Feb"",2;""mar."",3;""Apr"",4;""May"",5;""jun."",6;""jul."",7;""Aug"",8;""Sep"",9;""Oct"",10;""nov."",11;""Dec"",12},2,FALSE),
      INDEX(S"&amp;"PLIT(O178,"" ""),2)
    ),
    ""dd/mm/yyyy""
  ),
"""")"),"12/02/2026")</f>
        <v>12/02/2026</v>
      </c>
    </row>
    <row r="179">
      <c r="A179" s="1054" t="s">
        <v>1608</v>
      </c>
      <c r="B179" s="1054" t="s">
        <v>1609</v>
      </c>
      <c r="C179" s="1058"/>
      <c r="D179" s="1058"/>
      <c r="E179" s="1056"/>
      <c r="F179" s="1055" t="s">
        <v>400</v>
      </c>
      <c r="G179" s="1055" t="s">
        <v>540</v>
      </c>
      <c r="H179" s="1056"/>
      <c r="I179" s="1056"/>
      <c r="J179" s="1055" t="s">
        <v>540</v>
      </c>
      <c r="K179" s="1055" t="s">
        <v>541</v>
      </c>
      <c r="L179" s="1055" t="s">
        <v>540</v>
      </c>
      <c r="M179" s="1055" t="s">
        <v>540</v>
      </c>
      <c r="N179" s="1055" t="s">
        <v>1610</v>
      </c>
      <c r="O179" s="1055" t="s">
        <v>1611</v>
      </c>
      <c r="P179" s="1057" t="str">
        <f>IFERROR(__xludf.DUMMYFUNCTION("IFERROR(
  TEXT(
    DATE(
      INDEX(SPLIT(O179,"" ""),3),
      VLOOKUP(INDEX(SPLIT(O179,"" ""),1),{""jan."",1;""Feb"",2;""mar."",3;""Apr"",4;""May"",5;""jun."",6;""jul."",7;""Aug"",8;""Sep"",9;""Oct"",10;""nov."",11;""Dec"",12},2,FALSE),
      INDEX(S"&amp;"PLIT(O179,"" ""),2)
    ),
    ""dd/mm/yyyy""
  ),
"""")"),"12/02/2026")</f>
        <v>12/02/2026</v>
      </c>
    </row>
    <row r="180">
      <c r="A180" s="1054" t="s">
        <v>1612</v>
      </c>
      <c r="B180" s="1054" t="s">
        <v>1613</v>
      </c>
      <c r="C180" s="1058"/>
      <c r="D180" s="1058"/>
      <c r="E180" s="1056"/>
      <c r="F180" s="1055" t="s">
        <v>377</v>
      </c>
      <c r="G180" s="1055" t="s">
        <v>540</v>
      </c>
      <c r="H180" s="1056"/>
      <c r="I180" s="1056"/>
      <c r="J180" s="1055" t="s">
        <v>540</v>
      </c>
      <c r="K180" s="1055" t="s">
        <v>541</v>
      </c>
      <c r="L180" s="1055" t="s">
        <v>542</v>
      </c>
      <c r="M180" s="1055" t="s">
        <v>543</v>
      </c>
      <c r="N180" s="1055" t="s">
        <v>1614</v>
      </c>
      <c r="O180" s="1055" t="s">
        <v>1615</v>
      </c>
      <c r="P180" s="1057" t="str">
        <f>IFERROR(__xludf.DUMMYFUNCTION("IFERROR(
  TEXT(
    DATE(
      INDEX(SPLIT(O180,"" ""),3),
      VLOOKUP(INDEX(SPLIT(O180,"" ""),1),{""jan."",1;""Feb"",2;""mar."",3;""Apr"",4;""May"",5;""jun."",6;""jul."",7;""Aug"",8;""Sep"",9;""Oct"",10;""nov."",11;""Dec"",12},2,FALSE),
      INDEX(S"&amp;"PLIT(O180,"" ""),2)
    ),
    ""dd/mm/yyyy""
  ),
"""")"),"19/02/2025")</f>
        <v>19/02/2025</v>
      </c>
    </row>
    <row r="181">
      <c r="A181" s="1054" t="s">
        <v>1616</v>
      </c>
      <c r="B181" s="1054" t="s">
        <v>1617</v>
      </c>
      <c r="C181" s="1058"/>
      <c r="D181" s="1058"/>
      <c r="E181" s="1056"/>
      <c r="F181" s="1055" t="s">
        <v>387</v>
      </c>
      <c r="G181" s="1055" t="s">
        <v>540</v>
      </c>
      <c r="H181" s="1056"/>
      <c r="I181" s="1056"/>
      <c r="J181" s="1055" t="s">
        <v>540</v>
      </c>
      <c r="K181" s="1055" t="s">
        <v>541</v>
      </c>
      <c r="L181" s="1055" t="s">
        <v>542</v>
      </c>
      <c r="M181" s="1055" t="s">
        <v>543</v>
      </c>
      <c r="N181" s="1055" t="s">
        <v>1618</v>
      </c>
      <c r="O181" s="1055" t="s">
        <v>1615</v>
      </c>
      <c r="P181" s="1057" t="str">
        <f>IFERROR(__xludf.DUMMYFUNCTION("IFERROR(
  TEXT(
    DATE(
      INDEX(SPLIT(O181,"" ""),3),
      VLOOKUP(INDEX(SPLIT(O181,"" ""),1),{""jan."",1;""Feb"",2;""mar."",3;""Apr"",4;""May"",5;""jun."",6;""jul."",7;""Aug"",8;""Sep"",9;""Oct"",10;""nov."",11;""Dec"",12},2,FALSE),
      INDEX(S"&amp;"PLIT(O181,"" ""),2)
    ),
    ""dd/mm/yyyy""
  ),
"""")"),"19/02/2025")</f>
        <v>19/02/2025</v>
      </c>
    </row>
    <row r="182">
      <c r="A182" s="1054" t="s">
        <v>1619</v>
      </c>
      <c r="B182" s="1054" t="s">
        <v>1620</v>
      </c>
      <c r="C182" s="1058"/>
      <c r="D182" s="1058"/>
      <c r="E182" s="1056"/>
      <c r="F182" s="1055" t="s">
        <v>377</v>
      </c>
      <c r="G182" s="1055" t="s">
        <v>540</v>
      </c>
      <c r="H182" s="1056"/>
      <c r="I182" s="1056"/>
      <c r="J182" s="1055" t="s">
        <v>540</v>
      </c>
      <c r="K182" s="1055" t="s">
        <v>541</v>
      </c>
      <c r="L182" s="1055" t="s">
        <v>542</v>
      </c>
      <c r="M182" s="1055" t="s">
        <v>543</v>
      </c>
      <c r="N182" s="1055" t="s">
        <v>1621</v>
      </c>
      <c r="O182" s="1055" t="s">
        <v>1615</v>
      </c>
      <c r="P182" s="1057" t="str">
        <f>IFERROR(__xludf.DUMMYFUNCTION("IFERROR(
  TEXT(
    DATE(
      INDEX(SPLIT(O182,"" ""),3),
      VLOOKUP(INDEX(SPLIT(O182,"" ""),1),{""jan."",1;""Feb"",2;""mar."",3;""Apr"",4;""May"",5;""jun."",6;""jul."",7;""Aug"",8;""Sep"",9;""Oct"",10;""nov."",11;""Dec"",12},2,FALSE),
      INDEX(S"&amp;"PLIT(O182,"" ""),2)
    ),
    ""dd/mm/yyyy""
  ),
"""")"),"19/02/2025")</f>
        <v>19/02/2025</v>
      </c>
    </row>
    <row r="183">
      <c r="A183" s="1054" t="s">
        <v>1622</v>
      </c>
      <c r="B183" s="1054" t="s">
        <v>1623</v>
      </c>
      <c r="C183" s="1058"/>
      <c r="D183" s="1058"/>
      <c r="E183" s="1056"/>
      <c r="F183" s="1055" t="s">
        <v>377</v>
      </c>
      <c r="G183" s="1055" t="s">
        <v>540</v>
      </c>
      <c r="H183" s="1056"/>
      <c r="I183" s="1056"/>
      <c r="J183" s="1055" t="s">
        <v>540</v>
      </c>
      <c r="K183" s="1055" t="s">
        <v>541</v>
      </c>
      <c r="L183" s="1055" t="s">
        <v>542</v>
      </c>
      <c r="M183" s="1055" t="s">
        <v>543</v>
      </c>
      <c r="N183" s="1055" t="s">
        <v>1621</v>
      </c>
      <c r="O183" s="1055" t="s">
        <v>1615</v>
      </c>
      <c r="P183" s="1057" t="str">
        <f>IFERROR(__xludf.DUMMYFUNCTION("IFERROR(
  TEXT(
    DATE(
      INDEX(SPLIT(O183,"" ""),3),
      VLOOKUP(INDEX(SPLIT(O183,"" ""),1),{""jan."",1;""Feb"",2;""mar."",3;""Apr"",4;""May"",5;""jun."",6;""jul."",7;""Aug"",8;""Sep"",9;""Oct"",10;""nov."",11;""Dec"",12},2,FALSE),
      INDEX(S"&amp;"PLIT(O183,"" ""),2)
    ),
    ""dd/mm/yyyy""
  ),
"""")"),"19/02/2025")</f>
        <v>19/02/2025</v>
      </c>
    </row>
    <row r="184">
      <c r="A184" s="1054" t="s">
        <v>1624</v>
      </c>
      <c r="B184" s="1054" t="s">
        <v>1625</v>
      </c>
      <c r="C184" s="1058"/>
      <c r="D184" s="1058"/>
      <c r="E184" s="1056"/>
      <c r="F184" s="1055" t="s">
        <v>377</v>
      </c>
      <c r="G184" s="1055" t="s">
        <v>540</v>
      </c>
      <c r="H184" s="1056"/>
      <c r="I184" s="1056"/>
      <c r="J184" s="1055" t="s">
        <v>540</v>
      </c>
      <c r="K184" s="1055" t="s">
        <v>541</v>
      </c>
      <c r="L184" s="1055" t="s">
        <v>542</v>
      </c>
      <c r="M184" s="1055" t="s">
        <v>543</v>
      </c>
      <c r="N184" s="1055" t="s">
        <v>1626</v>
      </c>
      <c r="O184" s="1055" t="s">
        <v>1615</v>
      </c>
      <c r="P184" s="1057" t="str">
        <f>IFERROR(__xludf.DUMMYFUNCTION("IFERROR(
  TEXT(
    DATE(
      INDEX(SPLIT(O184,"" ""),3),
      VLOOKUP(INDEX(SPLIT(O184,"" ""),1),{""jan."",1;""Feb"",2;""mar."",3;""Apr"",4;""May"",5;""jun."",6;""jul."",7;""Aug"",8;""Sep"",9;""Oct"",10;""nov."",11;""Dec"",12},2,FALSE),
      INDEX(S"&amp;"PLIT(O184,"" ""),2)
    ),
    ""dd/mm/yyyy""
  ),
"""")"),"19/02/2025")</f>
        <v>19/02/2025</v>
      </c>
    </row>
    <row r="185">
      <c r="A185" s="1054" t="s">
        <v>1627</v>
      </c>
      <c r="B185" s="1054" t="s">
        <v>1628</v>
      </c>
      <c r="C185" s="1058"/>
      <c r="D185" s="1058"/>
      <c r="E185" s="1056"/>
      <c r="F185" s="1055" t="s">
        <v>387</v>
      </c>
      <c r="G185" s="1055" t="s">
        <v>540</v>
      </c>
      <c r="H185" s="1056"/>
      <c r="I185" s="1056"/>
      <c r="J185" s="1055" t="s">
        <v>540</v>
      </c>
      <c r="K185" s="1055" t="s">
        <v>541</v>
      </c>
      <c r="L185" s="1055" t="s">
        <v>542</v>
      </c>
      <c r="M185" s="1055" t="s">
        <v>543</v>
      </c>
      <c r="N185" s="1055" t="s">
        <v>1629</v>
      </c>
      <c r="O185" s="1055" t="s">
        <v>1615</v>
      </c>
      <c r="P185" s="1057" t="str">
        <f>IFERROR(__xludf.DUMMYFUNCTION("IFERROR(
  TEXT(
    DATE(
      INDEX(SPLIT(O185,"" ""),3),
      VLOOKUP(INDEX(SPLIT(O185,"" ""),1),{""jan."",1;""Feb"",2;""mar."",3;""Apr"",4;""May"",5;""jun."",6;""jul."",7;""Aug"",8;""Sep"",9;""Oct"",10;""nov."",11;""Dec"",12},2,FALSE),
      INDEX(S"&amp;"PLIT(O185,"" ""),2)
    ),
    ""dd/mm/yyyy""
  ),
"""")"),"19/02/2025")</f>
        <v>19/02/2025</v>
      </c>
    </row>
    <row r="186">
      <c r="A186" s="1054" t="s">
        <v>1630</v>
      </c>
      <c r="B186" s="1054" t="s">
        <v>1631</v>
      </c>
      <c r="C186" s="1058"/>
      <c r="D186" s="1058"/>
      <c r="E186" s="1056"/>
      <c r="F186" s="1055" t="s">
        <v>377</v>
      </c>
      <c r="G186" s="1055" t="s">
        <v>540</v>
      </c>
      <c r="H186" s="1056"/>
      <c r="I186" s="1056"/>
      <c r="J186" s="1055" t="s">
        <v>540</v>
      </c>
      <c r="K186" s="1055" t="s">
        <v>541</v>
      </c>
      <c r="L186" s="1055" t="s">
        <v>542</v>
      </c>
      <c r="M186" s="1055" t="s">
        <v>543</v>
      </c>
      <c r="N186" s="1055" t="s">
        <v>1632</v>
      </c>
      <c r="O186" s="1057">
        <v>45841.67013888889</v>
      </c>
      <c r="P186" s="1057" t="str">
        <f>IFERROR(__xludf.DUMMYFUNCTION("IFERROR(
  TEXT(
    DATE(
      INDEX(SPLIT(O186,"" ""),3),
      VLOOKUP(INDEX(SPLIT(O186,"" ""),1),{""jan."",1;""Feb"",2;""mar."",3;""Apr"",4;""May"",5;""jun."",6;""jul."",7;""Aug"",8;""Sep"",9;""Oct"",10;""nov."",11;""Dec"",12},2,FALSE),
      INDEX(S"&amp;"PLIT(O186,"" ""),2)
    ),
    ""dd/mm/yyyy""
  ),
"""")"),"03/07/2025")</f>
        <v>03/07/2025</v>
      </c>
    </row>
    <row r="187">
      <c r="A187" s="1054" t="s">
        <v>1633</v>
      </c>
      <c r="B187" s="1054" t="s">
        <v>1634</v>
      </c>
      <c r="C187" s="1058"/>
      <c r="D187" s="1058"/>
      <c r="E187" s="1056"/>
      <c r="F187" s="1055" t="s">
        <v>377</v>
      </c>
      <c r="G187" s="1055" t="s">
        <v>540</v>
      </c>
      <c r="H187" s="1056"/>
      <c r="I187" s="1056"/>
      <c r="J187" s="1055" t="s">
        <v>540</v>
      </c>
      <c r="K187" s="1055" t="s">
        <v>541</v>
      </c>
      <c r="L187" s="1055" t="s">
        <v>542</v>
      </c>
      <c r="M187" s="1055" t="s">
        <v>543</v>
      </c>
      <c r="N187" s="1055" t="s">
        <v>1635</v>
      </c>
      <c r="O187" s="1055" t="s">
        <v>1636</v>
      </c>
      <c r="P187" s="1057" t="str">
        <f>IFERROR(__xludf.DUMMYFUNCTION("IFERROR(
  TEXT(
    DATE(
      INDEX(SPLIT(O187,"" ""),3),
      VLOOKUP(INDEX(SPLIT(O187,"" ""),1),{""jan."",1;""Feb"",2;""mar."",3;""Apr"",4;""May"",5;""jun."",6;""jul."",7;""Aug"",8;""Sep"",9;""Oct"",10;""nov."",11;""Dec"",12},2,FALSE),
      INDEX(S"&amp;"PLIT(O187,"" ""),2)
    ),
    ""dd/mm/yyyy""
  ),
"""")"),"08/05/2025")</f>
        <v>08/05/2025</v>
      </c>
    </row>
    <row r="188">
      <c r="A188" s="1054" t="s">
        <v>1637</v>
      </c>
      <c r="B188" s="1054" t="s">
        <v>1638</v>
      </c>
      <c r="C188" s="1058"/>
      <c r="D188" s="1058"/>
      <c r="E188" s="1056"/>
      <c r="F188" s="1055" t="s">
        <v>377</v>
      </c>
      <c r="G188" s="1055" t="s">
        <v>540</v>
      </c>
      <c r="H188" s="1056"/>
      <c r="I188" s="1056"/>
      <c r="J188" s="1055" t="s">
        <v>540</v>
      </c>
      <c r="K188" s="1055" t="s">
        <v>541</v>
      </c>
      <c r="L188" s="1055" t="s">
        <v>542</v>
      </c>
      <c r="M188" s="1055" t="s">
        <v>543</v>
      </c>
      <c r="N188" s="1055" t="s">
        <v>975</v>
      </c>
      <c r="O188" s="1055" t="s">
        <v>1636</v>
      </c>
      <c r="P188" s="1057" t="str">
        <f>IFERROR(__xludf.DUMMYFUNCTION("IFERROR(
  TEXT(
    DATE(
      INDEX(SPLIT(O188,"" ""),3),
      VLOOKUP(INDEX(SPLIT(O188,"" ""),1),{""jan."",1;""Feb"",2;""mar."",3;""Apr"",4;""May"",5;""jun."",6;""jul."",7;""Aug"",8;""Sep"",9;""Oct"",10;""nov."",11;""Dec"",12},2,FALSE),
      INDEX(S"&amp;"PLIT(O188,"" ""),2)
    ),
    ""dd/mm/yyyy""
  ),
"""")"),"08/05/2025")</f>
        <v>08/05/2025</v>
      </c>
    </row>
    <row r="189">
      <c r="A189" s="1054" t="s">
        <v>1639</v>
      </c>
      <c r="B189" s="1054" t="s">
        <v>1640</v>
      </c>
      <c r="C189" s="1058"/>
      <c r="D189" s="1058"/>
      <c r="E189" s="1056"/>
      <c r="F189" s="1055" t="s">
        <v>377</v>
      </c>
      <c r="G189" s="1055" t="s">
        <v>540</v>
      </c>
      <c r="H189" s="1056"/>
      <c r="I189" s="1056"/>
      <c r="J189" s="1055" t="s">
        <v>540</v>
      </c>
      <c r="K189" s="1055" t="s">
        <v>541</v>
      </c>
      <c r="L189" s="1055" t="s">
        <v>542</v>
      </c>
      <c r="M189" s="1055" t="s">
        <v>543</v>
      </c>
      <c r="N189" s="1055" t="s">
        <v>1202</v>
      </c>
      <c r="O189" s="1057">
        <v>45841.67013888889</v>
      </c>
      <c r="P189" s="1057" t="str">
        <f>IFERROR(__xludf.DUMMYFUNCTION("IFERROR(
  TEXT(
    DATE(
      INDEX(SPLIT(O189,"" ""),3),
      VLOOKUP(INDEX(SPLIT(O189,"" ""),1),{""jan."",1;""Feb"",2;""mar."",3;""Apr"",4;""May"",5;""jun."",6;""jul."",7;""Aug"",8;""Sep"",9;""Oct"",10;""nov."",11;""Dec"",12},2,FALSE),
      INDEX(S"&amp;"PLIT(O189,"" ""),2)
    ),
    ""dd/mm/yyyy""
  ),
"""")"),"03/07/2025")</f>
        <v>03/07/2025</v>
      </c>
    </row>
    <row r="190">
      <c r="A190" s="1054" t="s">
        <v>1641</v>
      </c>
      <c r="B190" s="1054" t="s">
        <v>1642</v>
      </c>
      <c r="C190" s="1058"/>
      <c r="D190" s="1058"/>
      <c r="E190" s="1056"/>
      <c r="F190" s="1055" t="s">
        <v>377</v>
      </c>
      <c r="G190" s="1055" t="s">
        <v>540</v>
      </c>
      <c r="H190" s="1056"/>
      <c r="I190" s="1056"/>
      <c r="J190" s="1055" t="s">
        <v>540</v>
      </c>
      <c r="K190" s="1055" t="s">
        <v>541</v>
      </c>
      <c r="L190" s="1055" t="s">
        <v>542</v>
      </c>
      <c r="M190" s="1055" t="s">
        <v>543</v>
      </c>
      <c r="N190" s="1055" t="s">
        <v>975</v>
      </c>
      <c r="O190" s="1055" t="s">
        <v>1615</v>
      </c>
      <c r="P190" s="1057" t="str">
        <f>IFERROR(__xludf.DUMMYFUNCTION("IFERROR(
  TEXT(
    DATE(
      INDEX(SPLIT(O190,"" ""),3),
      VLOOKUP(INDEX(SPLIT(O190,"" ""),1),{""jan."",1;""Feb"",2;""mar."",3;""Apr"",4;""May"",5;""jun."",6;""jul."",7;""Aug"",8;""Sep"",9;""Oct"",10;""nov."",11;""Dec"",12},2,FALSE),
      INDEX(S"&amp;"PLIT(O190,"" ""),2)
    ),
    ""dd/mm/yyyy""
  ),
"""")"),"19/02/2025")</f>
        <v>19/02/2025</v>
      </c>
    </row>
    <row r="191">
      <c r="A191" s="1054" t="s">
        <v>1643</v>
      </c>
      <c r="B191" s="1054" t="s">
        <v>1644</v>
      </c>
      <c r="C191" s="1058"/>
      <c r="D191" s="1058"/>
      <c r="E191" s="1056"/>
      <c r="F191" s="1055" t="s">
        <v>377</v>
      </c>
      <c r="G191" s="1055" t="s">
        <v>540</v>
      </c>
      <c r="H191" s="1056"/>
      <c r="I191" s="1056"/>
      <c r="J191" s="1055" t="s">
        <v>540</v>
      </c>
      <c r="K191" s="1055" t="s">
        <v>541</v>
      </c>
      <c r="L191" s="1055" t="s">
        <v>542</v>
      </c>
      <c r="M191" s="1055" t="s">
        <v>543</v>
      </c>
      <c r="N191" s="1055" t="s">
        <v>1645</v>
      </c>
      <c r="O191" s="1057">
        <v>45664.45</v>
      </c>
      <c r="P191" s="1057" t="str">
        <f>IFERROR(__xludf.DUMMYFUNCTION("IFERROR(
  TEXT(
    DATE(
      INDEX(SPLIT(O191,"" ""),3),
      VLOOKUP(INDEX(SPLIT(O191,"" ""),1),{""jan."",1;""Feb"",2;""mar."",3;""Apr"",4;""May"",5;""jun."",6;""jul."",7;""Aug"",8;""Sep"",9;""Oct"",10;""nov."",11;""Dec"",12},2,FALSE),
      INDEX(S"&amp;"PLIT(O191,"" ""),2)
    ),
    ""dd/mm/yyyy""
  ),
"""")"),"07/01/2025")</f>
        <v>07/01/2025</v>
      </c>
    </row>
    <row r="192">
      <c r="A192" s="1054" t="s">
        <v>1646</v>
      </c>
      <c r="B192" s="1054" t="s">
        <v>1647</v>
      </c>
      <c r="C192" s="1058"/>
      <c r="D192" s="1058"/>
      <c r="E192" s="1056"/>
      <c r="F192" s="1055" t="s">
        <v>377</v>
      </c>
      <c r="G192" s="1055" t="s">
        <v>540</v>
      </c>
      <c r="H192" s="1056"/>
      <c r="I192" s="1056"/>
      <c r="J192" s="1055" t="s">
        <v>540</v>
      </c>
      <c r="K192" s="1055" t="s">
        <v>541</v>
      </c>
      <c r="L192" s="1055" t="s">
        <v>542</v>
      </c>
      <c r="M192" s="1055" t="s">
        <v>543</v>
      </c>
      <c r="N192" s="1055" t="s">
        <v>655</v>
      </c>
      <c r="O192" s="1055" t="s">
        <v>1648</v>
      </c>
      <c r="P192" s="1057" t="str">
        <f>IFERROR(__xludf.DUMMYFUNCTION("IFERROR(
  TEXT(
    DATE(
      INDEX(SPLIT(O192,"" ""),3),
      VLOOKUP(INDEX(SPLIT(O192,"" ""),1),{""jan."",1;""Feb"",2;""mar."",3;""Apr"",4;""May"",5;""jun."",6;""jul."",7;""Aug"",8;""Sep"",9;""Oct"",10;""nov."",11;""Dec"",12},2,FALSE),
      INDEX(S"&amp;"PLIT(O192,"" ""),2)
    ),
    ""dd/mm/yyyy""
  ),
"""")"),"18/12/2024")</f>
        <v>18/12/2024</v>
      </c>
    </row>
    <row r="193">
      <c r="A193" s="1054" t="s">
        <v>1649</v>
      </c>
      <c r="B193" s="1054" t="s">
        <v>1650</v>
      </c>
      <c r="C193" s="1058"/>
      <c r="D193" s="1058"/>
      <c r="E193" s="1056"/>
      <c r="F193" s="1055" t="s">
        <v>377</v>
      </c>
      <c r="G193" s="1055" t="s">
        <v>540</v>
      </c>
      <c r="H193" s="1056"/>
      <c r="I193" s="1056"/>
      <c r="J193" s="1055" t="s">
        <v>540</v>
      </c>
      <c r="K193" s="1055" t="s">
        <v>541</v>
      </c>
      <c r="L193" s="1055" t="s">
        <v>542</v>
      </c>
      <c r="M193" s="1055" t="s">
        <v>543</v>
      </c>
      <c r="N193" s="1055" t="s">
        <v>968</v>
      </c>
      <c r="O193" s="1055" t="s">
        <v>1648</v>
      </c>
      <c r="P193" s="1057" t="str">
        <f>IFERROR(__xludf.DUMMYFUNCTION("IFERROR(
  TEXT(
    DATE(
      INDEX(SPLIT(O193,"" ""),3),
      VLOOKUP(INDEX(SPLIT(O193,"" ""),1),{""jan."",1;""Feb"",2;""mar."",3;""Apr"",4;""May"",5;""jun."",6;""jul."",7;""Aug"",8;""Sep"",9;""Oct"",10;""nov."",11;""Dec"",12},2,FALSE),
      INDEX(S"&amp;"PLIT(O193,"" ""),2)
    ),
    ""dd/mm/yyyy""
  ),
"""")"),"18/12/2024")</f>
        <v>18/12/2024</v>
      </c>
    </row>
    <row r="194">
      <c r="A194" s="1054" t="s">
        <v>1651</v>
      </c>
      <c r="B194" s="1054" t="s">
        <v>1652</v>
      </c>
      <c r="C194" s="1058"/>
      <c r="D194" s="1058"/>
      <c r="E194" s="1056"/>
      <c r="F194" s="1055" t="s">
        <v>377</v>
      </c>
      <c r="G194" s="1055" t="s">
        <v>540</v>
      </c>
      <c r="H194" s="1056"/>
      <c r="I194" s="1056"/>
      <c r="J194" s="1055" t="s">
        <v>540</v>
      </c>
      <c r="K194" s="1055" t="s">
        <v>541</v>
      </c>
      <c r="L194" s="1055" t="s">
        <v>542</v>
      </c>
      <c r="M194" s="1055" t="s">
        <v>543</v>
      </c>
      <c r="N194" s="1055" t="s">
        <v>1653</v>
      </c>
      <c r="O194" s="1057">
        <v>45664.44930555556</v>
      </c>
      <c r="P194" s="1057" t="str">
        <f>IFERROR(__xludf.DUMMYFUNCTION("IFERROR(
  TEXT(
    DATE(
      INDEX(SPLIT(O194,"" ""),3),
      VLOOKUP(INDEX(SPLIT(O194,"" ""),1),{""jan."",1;""Feb"",2;""mar."",3;""Apr"",4;""May"",5;""jun."",6;""jul."",7;""Aug"",8;""Sep"",9;""Oct"",10;""nov."",11;""Dec"",12},2,FALSE),
      INDEX(S"&amp;"PLIT(O194,"" ""),2)
    ),
    ""dd/mm/yyyy""
  ),
"""")"),"07/01/2025")</f>
        <v>07/01/2025</v>
      </c>
    </row>
    <row r="195">
      <c r="A195" s="1054" t="s">
        <v>1654</v>
      </c>
      <c r="B195" s="1054" t="s">
        <v>1655</v>
      </c>
      <c r="C195" s="1058"/>
      <c r="D195" s="1058"/>
      <c r="E195" s="1056"/>
      <c r="F195" s="1055" t="s">
        <v>377</v>
      </c>
      <c r="G195" s="1055" t="s">
        <v>540</v>
      </c>
      <c r="H195" s="1056"/>
      <c r="I195" s="1056"/>
      <c r="J195" s="1055" t="s">
        <v>540</v>
      </c>
      <c r="K195" s="1055" t="s">
        <v>541</v>
      </c>
      <c r="L195" s="1055" t="s">
        <v>542</v>
      </c>
      <c r="M195" s="1055" t="s">
        <v>543</v>
      </c>
      <c r="N195" s="1055" t="s">
        <v>1656</v>
      </c>
      <c r="O195" s="1057">
        <v>45664.44861111111</v>
      </c>
      <c r="P195" s="1057" t="str">
        <f>IFERROR(__xludf.DUMMYFUNCTION("IFERROR(
  TEXT(
    DATE(
      INDEX(SPLIT(O195,"" ""),3),
      VLOOKUP(INDEX(SPLIT(O195,"" ""),1),{""jan."",1;""Feb"",2;""mar."",3;""Apr"",4;""May"",5;""jun."",6;""jul."",7;""Aug"",8;""Sep"",9;""Oct"",10;""nov."",11;""Dec"",12},2,FALSE),
      INDEX(S"&amp;"PLIT(O195,"" ""),2)
    ),
    ""dd/mm/yyyy""
  ),
"""")"),"07/01/2025")</f>
        <v>07/01/2025</v>
      </c>
    </row>
    <row r="196">
      <c r="A196" s="1054" t="s">
        <v>1657</v>
      </c>
      <c r="B196" s="1054" t="s">
        <v>1658</v>
      </c>
      <c r="C196" s="1058"/>
      <c r="D196" s="1058"/>
      <c r="E196" s="1056"/>
      <c r="F196" s="1055" t="s">
        <v>377</v>
      </c>
      <c r="G196" s="1055" t="s">
        <v>540</v>
      </c>
      <c r="H196" s="1056"/>
      <c r="I196" s="1056"/>
      <c r="J196" s="1055" t="s">
        <v>540</v>
      </c>
      <c r="K196" s="1055" t="s">
        <v>541</v>
      </c>
      <c r="L196" s="1055" t="s">
        <v>542</v>
      </c>
      <c r="M196" s="1055" t="s">
        <v>543</v>
      </c>
      <c r="N196" s="1055" t="s">
        <v>1656</v>
      </c>
      <c r="O196" s="1057">
        <v>45664.44861111111</v>
      </c>
      <c r="P196" s="1057" t="str">
        <f>IFERROR(__xludf.DUMMYFUNCTION("IFERROR(
  TEXT(
    DATE(
      INDEX(SPLIT(O196,"" ""),3),
      VLOOKUP(INDEX(SPLIT(O196,"" ""),1),{""jan."",1;""Feb"",2;""mar."",3;""Apr"",4;""May"",5;""jun."",6;""jul."",7;""Aug"",8;""Sep"",9;""Oct"",10;""nov."",11;""Dec"",12},2,FALSE),
      INDEX(S"&amp;"PLIT(O196,"" ""),2)
    ),
    ""dd/mm/yyyy""
  ),
"""")"),"07/01/2025")</f>
        <v>07/01/2025</v>
      </c>
    </row>
    <row r="197">
      <c r="A197" s="1054" t="s">
        <v>1659</v>
      </c>
      <c r="B197" s="1054" t="s">
        <v>1660</v>
      </c>
      <c r="C197" s="1058"/>
      <c r="D197" s="1058"/>
      <c r="E197" s="1056"/>
      <c r="F197" s="1055" t="s">
        <v>377</v>
      </c>
      <c r="G197" s="1055" t="s">
        <v>540</v>
      </c>
      <c r="H197" s="1056"/>
      <c r="I197" s="1056"/>
      <c r="J197" s="1055" t="s">
        <v>540</v>
      </c>
      <c r="K197" s="1055" t="s">
        <v>541</v>
      </c>
      <c r="L197" s="1055" t="s">
        <v>542</v>
      </c>
      <c r="M197" s="1055" t="s">
        <v>543</v>
      </c>
      <c r="N197" s="1055" t="s">
        <v>1661</v>
      </c>
      <c r="O197" s="1057">
        <v>45664.44930555556</v>
      </c>
      <c r="P197" s="1057" t="str">
        <f>IFERROR(__xludf.DUMMYFUNCTION("IFERROR(
  TEXT(
    DATE(
      INDEX(SPLIT(O197,"" ""),3),
      VLOOKUP(INDEX(SPLIT(O197,"" ""),1),{""jan."",1;""Feb"",2;""mar."",3;""Apr"",4;""May"",5;""jun."",6;""jul."",7;""Aug"",8;""Sep"",9;""Oct"",10;""nov."",11;""Dec"",12},2,FALSE),
      INDEX(S"&amp;"PLIT(O197,"" ""),2)
    ),
    ""dd/mm/yyyy""
  ),
"""")"),"07/01/2025")</f>
        <v>07/01/2025</v>
      </c>
    </row>
    <row r="198">
      <c r="A198" s="1054" t="s">
        <v>1662</v>
      </c>
      <c r="B198" s="1054" t="s">
        <v>1663</v>
      </c>
      <c r="C198" s="1058"/>
      <c r="D198" s="1058"/>
      <c r="E198" s="1056"/>
      <c r="F198" s="1055" t="s">
        <v>377</v>
      </c>
      <c r="G198" s="1055" t="s">
        <v>540</v>
      </c>
      <c r="H198" s="1056"/>
      <c r="I198" s="1056"/>
      <c r="J198" s="1055" t="s">
        <v>540</v>
      </c>
      <c r="K198" s="1055" t="s">
        <v>541</v>
      </c>
      <c r="L198" s="1055" t="s">
        <v>542</v>
      </c>
      <c r="M198" s="1055" t="s">
        <v>543</v>
      </c>
      <c r="N198" s="1055" t="s">
        <v>1664</v>
      </c>
      <c r="O198" s="1057">
        <v>45664.44930555556</v>
      </c>
      <c r="P198" s="1057" t="str">
        <f>IFERROR(__xludf.DUMMYFUNCTION("IFERROR(
  TEXT(
    DATE(
      INDEX(SPLIT(O198,"" ""),3),
      VLOOKUP(INDEX(SPLIT(O198,"" ""),1),{""jan."",1;""Feb"",2;""mar."",3;""Apr"",4;""May"",5;""jun."",6;""jul."",7;""Aug"",8;""Sep"",9;""Oct"",10;""nov."",11;""Dec"",12},2,FALSE),
      INDEX(S"&amp;"PLIT(O198,"" ""),2)
    ),
    ""dd/mm/yyyy""
  ),
"""")"),"07/01/2025")</f>
        <v>07/01/2025</v>
      </c>
    </row>
    <row r="199">
      <c r="A199" s="1054" t="s">
        <v>1665</v>
      </c>
      <c r="B199" s="1054" t="s">
        <v>1666</v>
      </c>
      <c r="C199" s="1058"/>
      <c r="D199" s="1058"/>
      <c r="E199" s="1056"/>
      <c r="F199" s="1055" t="s">
        <v>387</v>
      </c>
      <c r="G199" s="1055" t="s">
        <v>540</v>
      </c>
      <c r="H199" s="1056"/>
      <c r="I199" s="1056"/>
      <c r="J199" s="1055" t="s">
        <v>540</v>
      </c>
      <c r="K199" s="1055" t="s">
        <v>541</v>
      </c>
      <c r="L199" s="1055" t="s">
        <v>542</v>
      </c>
      <c r="M199" s="1055" t="s">
        <v>543</v>
      </c>
      <c r="N199" s="1055" t="s">
        <v>1667</v>
      </c>
      <c r="O199" s="1055" t="s">
        <v>1648</v>
      </c>
      <c r="P199" s="1057" t="str">
        <f>IFERROR(__xludf.DUMMYFUNCTION("IFERROR(
  TEXT(
    DATE(
      INDEX(SPLIT(O199,"" ""),3),
      VLOOKUP(INDEX(SPLIT(O199,"" ""),1),{""jan."",1;""Feb"",2;""mar."",3;""Apr"",4;""May"",5;""jun."",6;""jul."",7;""Aug"",8;""Sep"",9;""Oct"",10;""nov."",11;""Dec"",12},2,FALSE),
      INDEX(S"&amp;"PLIT(O199,"" ""),2)
    ),
    ""dd/mm/yyyy""
  ),
"""")"),"18/12/2024")</f>
        <v>18/12/2024</v>
      </c>
    </row>
    <row r="200">
      <c r="A200" s="1054" t="s">
        <v>1668</v>
      </c>
      <c r="B200" s="1054" t="s">
        <v>1669</v>
      </c>
      <c r="C200" s="1058"/>
      <c r="D200" s="1058"/>
      <c r="E200" s="1056"/>
      <c r="F200" s="1055" t="s">
        <v>377</v>
      </c>
      <c r="G200" s="1055" t="s">
        <v>540</v>
      </c>
      <c r="H200" s="1056"/>
      <c r="I200" s="1056"/>
      <c r="J200" s="1055" t="s">
        <v>540</v>
      </c>
      <c r="K200" s="1055" t="s">
        <v>541</v>
      </c>
      <c r="L200" s="1055" t="s">
        <v>542</v>
      </c>
      <c r="M200" s="1055" t="s">
        <v>543</v>
      </c>
      <c r="N200" s="1055" t="s">
        <v>1670</v>
      </c>
      <c r="O200" s="1055" t="s">
        <v>1648</v>
      </c>
      <c r="P200" s="1057" t="str">
        <f>IFERROR(__xludf.DUMMYFUNCTION("IFERROR(
  TEXT(
    DATE(
      INDEX(SPLIT(O200,"" ""),3),
      VLOOKUP(INDEX(SPLIT(O200,"" ""),1),{""jan."",1;""Feb"",2;""mar."",3;""Apr"",4;""May"",5;""jun."",6;""jul."",7;""Aug"",8;""Sep"",9;""Oct"",10;""nov."",11;""Dec"",12},2,FALSE),
      INDEX(S"&amp;"PLIT(O200,"" ""),2)
    ),
    ""dd/mm/yyyy""
  ),
"""")"),"18/12/2024")</f>
        <v>18/12/2024</v>
      </c>
    </row>
    <row r="201">
      <c r="A201" s="1054" t="s">
        <v>1671</v>
      </c>
      <c r="B201" s="1054" t="s">
        <v>1672</v>
      </c>
      <c r="C201" s="1058"/>
      <c r="D201" s="1058"/>
      <c r="E201" s="1056"/>
      <c r="F201" s="1055" t="s">
        <v>377</v>
      </c>
      <c r="G201" s="1055" t="s">
        <v>540</v>
      </c>
      <c r="H201" s="1056"/>
      <c r="I201" s="1056"/>
      <c r="J201" s="1055" t="s">
        <v>540</v>
      </c>
      <c r="K201" s="1055" t="s">
        <v>541</v>
      </c>
      <c r="L201" s="1055" t="s">
        <v>542</v>
      </c>
      <c r="M201" s="1055" t="s">
        <v>543</v>
      </c>
      <c r="N201" s="1055" t="s">
        <v>1673</v>
      </c>
      <c r="O201" s="1055" t="s">
        <v>1648</v>
      </c>
      <c r="P201" s="1057" t="str">
        <f>IFERROR(__xludf.DUMMYFUNCTION("IFERROR(
  TEXT(
    DATE(
      INDEX(SPLIT(O201,"" ""),3),
      VLOOKUP(INDEX(SPLIT(O201,"" ""),1),{""jan."",1;""Feb"",2;""mar."",3;""Apr"",4;""May"",5;""jun."",6;""jul."",7;""Aug"",8;""Sep"",9;""Oct"",10;""nov."",11;""Dec"",12},2,FALSE),
      INDEX(S"&amp;"PLIT(O201,"" ""),2)
    ),
    ""dd/mm/yyyy""
  ),
"""")"),"18/12/2024")</f>
        <v>18/12/2024</v>
      </c>
    </row>
    <row r="202">
      <c r="A202" s="1054" t="s">
        <v>1674</v>
      </c>
      <c r="B202" s="1054" t="s">
        <v>1675</v>
      </c>
      <c r="C202" s="1058"/>
      <c r="D202" s="1058"/>
      <c r="E202" s="1056"/>
      <c r="F202" s="1055" t="s">
        <v>377</v>
      </c>
      <c r="G202" s="1055" t="s">
        <v>540</v>
      </c>
      <c r="H202" s="1056"/>
      <c r="I202" s="1056"/>
      <c r="J202" s="1055" t="s">
        <v>540</v>
      </c>
      <c r="K202" s="1055" t="s">
        <v>541</v>
      </c>
      <c r="L202" s="1055" t="s">
        <v>542</v>
      </c>
      <c r="M202" s="1055" t="s">
        <v>543</v>
      </c>
      <c r="N202" s="1055" t="s">
        <v>1445</v>
      </c>
      <c r="O202" s="1055" t="s">
        <v>1648</v>
      </c>
      <c r="P202" s="1057" t="str">
        <f>IFERROR(__xludf.DUMMYFUNCTION("IFERROR(
  TEXT(
    DATE(
      INDEX(SPLIT(O202,"" ""),3),
      VLOOKUP(INDEX(SPLIT(O202,"" ""),1),{""jan."",1;""Feb"",2;""mar."",3;""Apr"",4;""May"",5;""jun."",6;""jul."",7;""Aug"",8;""Sep"",9;""Oct"",10;""nov."",11;""Dec"",12},2,FALSE),
      INDEX(S"&amp;"PLIT(O202,"" ""),2)
    ),
    ""dd/mm/yyyy""
  ),
"""")"),"18/12/2024")</f>
        <v>18/12/2024</v>
      </c>
    </row>
    <row r="203">
      <c r="A203" s="1054" t="s">
        <v>1676</v>
      </c>
      <c r="B203" s="1054" t="s">
        <v>1677</v>
      </c>
      <c r="C203" s="1058"/>
      <c r="D203" s="1058"/>
      <c r="E203" s="1056"/>
      <c r="F203" s="1055" t="s">
        <v>377</v>
      </c>
      <c r="G203" s="1055" t="s">
        <v>540</v>
      </c>
      <c r="H203" s="1056"/>
      <c r="I203" s="1056"/>
      <c r="J203" s="1055" t="s">
        <v>540</v>
      </c>
      <c r="K203" s="1055" t="s">
        <v>541</v>
      </c>
      <c r="L203" s="1055" t="s">
        <v>542</v>
      </c>
      <c r="M203" s="1055" t="s">
        <v>543</v>
      </c>
      <c r="N203" s="1055" t="s">
        <v>1420</v>
      </c>
      <c r="O203" s="1055" t="s">
        <v>1648</v>
      </c>
      <c r="P203" s="1057" t="str">
        <f>IFERROR(__xludf.DUMMYFUNCTION("IFERROR(
  TEXT(
    DATE(
      INDEX(SPLIT(O203,"" ""),3),
      VLOOKUP(INDEX(SPLIT(O203,"" ""),1),{""jan."",1;""Feb"",2;""mar."",3;""Apr"",4;""May"",5;""jun."",6;""jul."",7;""Aug"",8;""Sep"",9;""Oct"",10;""nov."",11;""Dec"",12},2,FALSE),
      INDEX(S"&amp;"PLIT(O203,"" ""),2)
    ),
    ""dd/mm/yyyy""
  ),
"""")"),"18/12/2024")</f>
        <v>18/12/2024</v>
      </c>
    </row>
    <row r="204">
      <c r="A204" s="1054" t="s">
        <v>1678</v>
      </c>
      <c r="B204" s="1054" t="s">
        <v>1679</v>
      </c>
      <c r="C204" s="1055" t="s">
        <v>1085</v>
      </c>
      <c r="D204" s="1055" t="s">
        <v>539</v>
      </c>
      <c r="E204" s="1056"/>
      <c r="F204" s="1055" t="s">
        <v>382</v>
      </c>
      <c r="G204" s="1055" t="s">
        <v>540</v>
      </c>
      <c r="H204" s="1056"/>
      <c r="I204" s="1056"/>
      <c r="J204" s="1055" t="s">
        <v>540</v>
      </c>
      <c r="K204" s="1055" t="s">
        <v>541</v>
      </c>
      <c r="L204" s="1055" t="s">
        <v>542</v>
      </c>
      <c r="M204" s="1055" t="s">
        <v>543</v>
      </c>
      <c r="N204" s="1055" t="s">
        <v>1680</v>
      </c>
      <c r="O204" s="1057">
        <v>45965.61388888889</v>
      </c>
      <c r="P204" s="1057" t="str">
        <f>IFERROR(__xludf.DUMMYFUNCTION("IFERROR(
  TEXT(
    DATE(
      INDEX(SPLIT(O204,"" ""),3),
      VLOOKUP(INDEX(SPLIT(O204,"" ""),1),{""jan."",1;""Feb"",2;""mar."",3;""Apr"",4;""May"",5;""jun."",6;""jul."",7;""Aug"",8;""Sep"",9;""Oct"",10;""nov."",11;""Dec"",12},2,FALSE),
      INDEX(S"&amp;"PLIT(O204,"" ""),2)
    ),
    ""dd/mm/yyyy""
  ),
"""")"),"04/11/2025")</f>
        <v>04/11/2025</v>
      </c>
    </row>
    <row r="205">
      <c r="A205" s="1054" t="s">
        <v>1681</v>
      </c>
      <c r="B205" s="1054" t="s">
        <v>1682</v>
      </c>
      <c r="C205" s="1055" t="s">
        <v>1085</v>
      </c>
      <c r="D205" s="1055" t="s">
        <v>539</v>
      </c>
      <c r="E205" s="1056"/>
      <c r="F205" s="1055" t="s">
        <v>384</v>
      </c>
      <c r="G205" s="1055" t="s">
        <v>540</v>
      </c>
      <c r="H205" s="1056"/>
      <c r="I205" s="1056"/>
      <c r="J205" s="1055" t="s">
        <v>540</v>
      </c>
      <c r="K205" s="1055" t="s">
        <v>541</v>
      </c>
      <c r="L205" s="1055" t="s">
        <v>542</v>
      </c>
      <c r="M205" s="1055" t="s">
        <v>543</v>
      </c>
      <c r="N205" s="1055" t="s">
        <v>1683</v>
      </c>
      <c r="O205" s="1057">
        <v>45973.62222222222</v>
      </c>
      <c r="P205" s="1057" t="str">
        <f>IFERROR(__xludf.DUMMYFUNCTION("IFERROR(
  TEXT(
    DATE(
      INDEX(SPLIT(O205,"" ""),3),
      VLOOKUP(INDEX(SPLIT(O205,"" ""),1),{""jan."",1;""Feb"",2;""mar."",3;""Apr"",4;""May"",5;""jun."",6;""jul."",7;""Aug"",8;""Sep"",9;""Oct"",10;""nov."",11;""Dec"",12},2,FALSE),
      INDEX(S"&amp;"PLIT(O205,"" ""),2)
    ),
    ""dd/mm/yyyy""
  ),
"""")"),"12/11/2025")</f>
        <v>12/11/2025</v>
      </c>
    </row>
    <row r="206">
      <c r="A206" s="1054" t="s">
        <v>1684</v>
      </c>
      <c r="B206" s="1054" t="s">
        <v>1685</v>
      </c>
      <c r="C206" s="1055" t="s">
        <v>1085</v>
      </c>
      <c r="D206" s="1055" t="s">
        <v>539</v>
      </c>
      <c r="E206" s="1056"/>
      <c r="F206" s="1055" t="s">
        <v>382</v>
      </c>
      <c r="G206" s="1055" t="s">
        <v>540</v>
      </c>
      <c r="H206" s="1056"/>
      <c r="I206" s="1056"/>
      <c r="J206" s="1055" t="s">
        <v>540</v>
      </c>
      <c r="K206" s="1055" t="s">
        <v>541</v>
      </c>
      <c r="L206" s="1055" t="s">
        <v>542</v>
      </c>
      <c r="M206" s="1055" t="s">
        <v>543</v>
      </c>
      <c r="N206" s="1055" t="s">
        <v>1686</v>
      </c>
      <c r="O206" s="1057">
        <v>45973.63125</v>
      </c>
      <c r="P206" s="1057" t="str">
        <f>IFERROR(__xludf.DUMMYFUNCTION("IFERROR(
  TEXT(
    DATE(
      INDEX(SPLIT(O206,"" ""),3),
      VLOOKUP(INDEX(SPLIT(O206,"" ""),1),{""jan."",1;""Feb"",2;""mar."",3;""Apr"",4;""May"",5;""jun."",6;""jul."",7;""Aug"",8;""Sep"",9;""Oct"",10;""nov."",11;""Dec"",12},2,FALSE),
      INDEX(S"&amp;"PLIT(O206,"" ""),2)
    ),
    ""dd/mm/yyyy""
  ),
"""")"),"12/11/2025")</f>
        <v>12/11/2025</v>
      </c>
    </row>
    <row r="207">
      <c r="A207" s="1054" t="s">
        <v>1687</v>
      </c>
      <c r="B207" s="1054" t="s">
        <v>1688</v>
      </c>
      <c r="C207" s="1055" t="s">
        <v>1085</v>
      </c>
      <c r="D207" s="1055" t="s">
        <v>539</v>
      </c>
      <c r="E207" s="1056"/>
      <c r="F207" s="1055" t="s">
        <v>382</v>
      </c>
      <c r="G207" s="1055" t="s">
        <v>540</v>
      </c>
      <c r="H207" s="1056"/>
      <c r="I207" s="1056"/>
      <c r="J207" s="1055" t="s">
        <v>540</v>
      </c>
      <c r="K207" s="1055" t="s">
        <v>541</v>
      </c>
      <c r="L207" s="1055" t="s">
        <v>542</v>
      </c>
      <c r="M207" s="1055" t="s">
        <v>543</v>
      </c>
      <c r="N207" s="1055" t="s">
        <v>1689</v>
      </c>
      <c r="O207" s="1057">
        <v>45973.62847222222</v>
      </c>
      <c r="P207" s="1057" t="str">
        <f>IFERROR(__xludf.DUMMYFUNCTION("IFERROR(
  TEXT(
    DATE(
      INDEX(SPLIT(O207,"" ""),3),
      VLOOKUP(INDEX(SPLIT(O207,"" ""),1),{""jan."",1;""Feb"",2;""mar."",3;""Apr"",4;""May"",5;""jun."",6;""jul."",7;""Aug"",8;""Sep"",9;""Oct"",10;""nov."",11;""Dec"",12},2,FALSE),
      INDEX(S"&amp;"PLIT(O207,"" ""),2)
    ),
    ""dd/mm/yyyy""
  ),
"""")"),"12/11/2025")</f>
        <v>12/11/2025</v>
      </c>
    </row>
    <row r="208">
      <c r="A208" s="1054" t="s">
        <v>1690</v>
      </c>
      <c r="B208" s="1054" t="s">
        <v>1691</v>
      </c>
      <c r="C208" s="1055" t="s">
        <v>1085</v>
      </c>
      <c r="D208" s="1055" t="s">
        <v>539</v>
      </c>
      <c r="E208" s="1056"/>
      <c r="F208" s="1055" t="s">
        <v>384</v>
      </c>
      <c r="G208" s="1055" t="s">
        <v>540</v>
      </c>
      <c r="H208" s="1056"/>
      <c r="I208" s="1056"/>
      <c r="J208" s="1055" t="s">
        <v>540</v>
      </c>
      <c r="K208" s="1055" t="s">
        <v>541</v>
      </c>
      <c r="L208" s="1055" t="s">
        <v>542</v>
      </c>
      <c r="M208" s="1055" t="s">
        <v>543</v>
      </c>
      <c r="N208" s="1055" t="s">
        <v>1692</v>
      </c>
      <c r="O208" s="1055" t="s">
        <v>1693</v>
      </c>
      <c r="P208" s="1057" t="str">
        <f>IFERROR(__xludf.DUMMYFUNCTION("IFERROR(
  TEXT(
    DATE(
      INDEX(SPLIT(O208,"" ""),3),
      VLOOKUP(INDEX(SPLIT(O208,"" ""),1),{""jan."",1;""Feb"",2;""mar."",3;""Apr"",4;""May"",5;""jun."",6;""jul."",7;""Aug"",8;""Sep"",9;""Oct"",10;""nov."",11;""Dec"",12},2,FALSE),
      INDEX(S"&amp;"PLIT(O208,"" ""),2)
    ),
    ""dd/mm/yyyy""
  ),
"""")"),"17/12/2025")</f>
        <v>17/12/2025</v>
      </c>
    </row>
    <row r="209">
      <c r="A209" s="1054" t="s">
        <v>1694</v>
      </c>
      <c r="B209" s="1054" t="s">
        <v>1695</v>
      </c>
      <c r="C209" s="1055" t="s">
        <v>1085</v>
      </c>
      <c r="D209" s="1055" t="s">
        <v>539</v>
      </c>
      <c r="E209" s="1056"/>
      <c r="F209" s="1055" t="s">
        <v>382</v>
      </c>
      <c r="G209" s="1055" t="s">
        <v>540</v>
      </c>
      <c r="H209" s="1056"/>
      <c r="I209" s="1056"/>
      <c r="J209" s="1055" t="s">
        <v>540</v>
      </c>
      <c r="K209" s="1055" t="s">
        <v>541</v>
      </c>
      <c r="L209" s="1055" t="s">
        <v>542</v>
      </c>
      <c r="M209" s="1055" t="s">
        <v>543</v>
      </c>
      <c r="N209" s="1055" t="s">
        <v>1696</v>
      </c>
      <c r="O209" s="1057">
        <v>45973.63402777778</v>
      </c>
      <c r="P209" s="1057" t="str">
        <f>IFERROR(__xludf.DUMMYFUNCTION("IFERROR(
  TEXT(
    DATE(
      INDEX(SPLIT(O209,"" ""),3),
      VLOOKUP(INDEX(SPLIT(O209,"" ""),1),{""jan."",1;""Feb"",2;""mar."",3;""Apr"",4;""May"",5;""jun."",6;""jul."",7;""Aug"",8;""Sep"",9;""Oct"",10;""nov."",11;""Dec"",12},2,FALSE),
      INDEX(S"&amp;"PLIT(O209,"" ""),2)
    ),
    ""dd/mm/yyyy""
  ),
"""")"),"12/11/2025")</f>
        <v>12/11/2025</v>
      </c>
    </row>
    <row r="210">
      <c r="A210" s="1054" t="s">
        <v>1697</v>
      </c>
      <c r="B210" s="1054" t="s">
        <v>1698</v>
      </c>
      <c r="C210" s="1055" t="s">
        <v>1085</v>
      </c>
      <c r="D210" s="1055" t="s">
        <v>539</v>
      </c>
      <c r="E210" s="1056"/>
      <c r="F210" s="1055" t="s">
        <v>384</v>
      </c>
      <c r="G210" s="1055" t="s">
        <v>540</v>
      </c>
      <c r="H210" s="1056"/>
      <c r="I210" s="1056"/>
      <c r="J210" s="1055" t="s">
        <v>540</v>
      </c>
      <c r="K210" s="1055" t="s">
        <v>541</v>
      </c>
      <c r="L210" s="1055" t="s">
        <v>542</v>
      </c>
      <c r="M210" s="1055" t="s">
        <v>543</v>
      </c>
      <c r="N210" s="1055" t="s">
        <v>1699</v>
      </c>
      <c r="O210" s="1057">
        <v>45965.60972222222</v>
      </c>
      <c r="P210" s="1057" t="str">
        <f>IFERROR(__xludf.DUMMYFUNCTION("IFERROR(
  TEXT(
    DATE(
      INDEX(SPLIT(O210,"" ""),3),
      VLOOKUP(INDEX(SPLIT(O210,"" ""),1),{""jan."",1;""Feb"",2;""mar."",3;""Apr"",4;""May"",5;""jun."",6;""jul."",7;""Aug"",8;""Sep"",9;""Oct"",10;""nov."",11;""Dec"",12},2,FALSE),
      INDEX(S"&amp;"PLIT(O210,"" ""),2)
    ),
    ""dd/mm/yyyy""
  ),
"""")"),"04/11/2025")</f>
        <v>04/11/2025</v>
      </c>
    </row>
    <row r="211">
      <c r="A211" s="1054" t="s">
        <v>1700</v>
      </c>
      <c r="B211" s="1054" t="s">
        <v>1701</v>
      </c>
      <c r="C211" s="1055" t="s">
        <v>1085</v>
      </c>
      <c r="D211" s="1055" t="s">
        <v>539</v>
      </c>
      <c r="E211" s="1056"/>
      <c r="F211" s="1055" t="s">
        <v>412</v>
      </c>
      <c r="G211" s="1055" t="s">
        <v>540</v>
      </c>
      <c r="H211" s="1056"/>
      <c r="I211" s="1056"/>
      <c r="J211" s="1055" t="s">
        <v>540</v>
      </c>
      <c r="K211" s="1055" t="s">
        <v>541</v>
      </c>
      <c r="L211" s="1055" t="s">
        <v>542</v>
      </c>
      <c r="M211" s="1055" t="s">
        <v>543</v>
      </c>
      <c r="N211" s="1055" t="s">
        <v>1702</v>
      </c>
      <c r="O211" s="1057">
        <v>45965.61111111111</v>
      </c>
      <c r="P211" s="1057" t="str">
        <f>IFERROR(__xludf.DUMMYFUNCTION("IFERROR(
  TEXT(
    DATE(
      INDEX(SPLIT(O211,"" ""),3),
      VLOOKUP(INDEX(SPLIT(O211,"" ""),1),{""jan."",1;""Feb"",2;""mar."",3;""Apr"",4;""May"",5;""jun."",6;""jul."",7;""Aug"",8;""Sep"",9;""Oct"",10;""nov."",11;""Dec"",12},2,FALSE),
      INDEX(S"&amp;"PLIT(O211,"" ""),2)
    ),
    ""dd/mm/yyyy""
  ),
"""")"),"04/11/2025")</f>
        <v>04/11/2025</v>
      </c>
    </row>
    <row r="212">
      <c r="A212" s="1054" t="s">
        <v>1703</v>
      </c>
      <c r="B212" s="1054" t="s">
        <v>1704</v>
      </c>
      <c r="C212" s="1055" t="s">
        <v>1085</v>
      </c>
      <c r="D212" s="1055" t="s">
        <v>539</v>
      </c>
      <c r="E212" s="1056"/>
      <c r="F212" s="1055" t="s">
        <v>385</v>
      </c>
      <c r="G212" s="1055" t="s">
        <v>540</v>
      </c>
      <c r="H212" s="1056"/>
      <c r="I212" s="1056"/>
      <c r="J212" s="1055" t="s">
        <v>540</v>
      </c>
      <c r="K212" s="1055" t="s">
        <v>541</v>
      </c>
      <c r="L212" s="1055" t="s">
        <v>542</v>
      </c>
      <c r="M212" s="1055" t="s">
        <v>543</v>
      </c>
      <c r="N212" s="1055" t="s">
        <v>1705</v>
      </c>
      <c r="O212" s="1055" t="s">
        <v>1706</v>
      </c>
      <c r="P212" s="1057" t="str">
        <f>IFERROR(__xludf.DUMMYFUNCTION("IFERROR(
  TEXT(
    DATE(
      INDEX(SPLIT(O212,"" ""),3),
      VLOOKUP(INDEX(SPLIT(O212,"" ""),1),{""jan."",1;""Feb"",2;""mar."",3;""Apr"",4;""May"",5;""jun."",6;""jul."",7;""Aug"",8;""Sep"",9;""Oct"",10;""nov."",11;""Dec"",12},2,FALSE),
      INDEX(S"&amp;"PLIT(O212,"" ""),2)
    ),
    ""dd/mm/yyyy""
  ),
"""")"),"13/02/2026")</f>
        <v>13/02/2026</v>
      </c>
    </row>
    <row r="213">
      <c r="A213" s="1054" t="s">
        <v>1707</v>
      </c>
      <c r="B213" s="1054" t="s">
        <v>1708</v>
      </c>
      <c r="C213" s="1058"/>
      <c r="D213" s="1058"/>
      <c r="E213" s="1056"/>
      <c r="F213" s="1055" t="s">
        <v>385</v>
      </c>
      <c r="G213" s="1055" t="s">
        <v>540</v>
      </c>
      <c r="H213" s="1056"/>
      <c r="I213" s="1056"/>
      <c r="J213" s="1055" t="s">
        <v>540</v>
      </c>
      <c r="K213" s="1055" t="s">
        <v>541</v>
      </c>
      <c r="L213" s="1055" t="s">
        <v>542</v>
      </c>
      <c r="M213" s="1055" t="s">
        <v>543</v>
      </c>
      <c r="N213" s="1055" t="s">
        <v>1709</v>
      </c>
      <c r="O213" s="1055" t="s">
        <v>1710</v>
      </c>
      <c r="P213" s="1057" t="str">
        <f>IFERROR(__xludf.DUMMYFUNCTION("IFERROR(
  TEXT(
    DATE(
      INDEX(SPLIT(O213,"" ""),3),
      VLOOKUP(INDEX(SPLIT(O213,"" ""),1),{""jan."",1;""Feb"",2;""mar."",3;""Apr"",4;""May"",5;""jun."",6;""jul."",7;""Aug"",8;""Sep"",9;""Oct"",10;""nov."",11;""Dec"",12},2,FALSE),
      INDEX(S"&amp;"PLIT(O213,"" ""),2)
    ),
    ""dd/mm/yyyy""
  ),
"""")"),"22/04/2026")</f>
        <v>22/04/2026</v>
      </c>
    </row>
    <row r="214">
      <c r="A214" s="1054" t="s">
        <v>1711</v>
      </c>
      <c r="B214" s="1054" t="s">
        <v>1712</v>
      </c>
      <c r="C214" s="1058"/>
      <c r="D214" s="1058"/>
      <c r="E214" s="1056"/>
      <c r="F214" s="1055" t="s">
        <v>426</v>
      </c>
      <c r="G214" s="1055" t="s">
        <v>540</v>
      </c>
      <c r="H214" s="1056"/>
      <c r="I214" s="1056"/>
      <c r="J214" s="1055" t="s">
        <v>540</v>
      </c>
      <c r="K214" s="1055" t="s">
        <v>541</v>
      </c>
      <c r="L214" s="1055" t="s">
        <v>542</v>
      </c>
      <c r="M214" s="1055" t="s">
        <v>543</v>
      </c>
      <c r="N214" s="1055" t="s">
        <v>1713</v>
      </c>
      <c r="O214" s="1055" t="s">
        <v>1714</v>
      </c>
      <c r="P214" s="1057" t="str">
        <f>IFERROR(__xludf.DUMMYFUNCTION("IFERROR(
  TEXT(
    DATE(
      INDEX(SPLIT(O214,"" ""),3),
      VLOOKUP(INDEX(SPLIT(O214,"" ""),1),{""jan."",1;""Feb"",2;""mar."",3;""Apr"",4;""May"",5;""jun."",6;""jul."",7;""Aug"",8;""Sep"",9;""Oct"",10;""nov."",11;""Dec"",12},2,FALSE),
      INDEX(S"&amp;"PLIT(O214,"" ""),2)
    ),
    ""dd/mm/yyyy""
  ),
"""")"),"12/05/2026")</f>
        <v>12/05/2026</v>
      </c>
    </row>
    <row r="215">
      <c r="A215" s="1054" t="s">
        <v>1715</v>
      </c>
      <c r="B215" s="1054" t="s">
        <v>1716</v>
      </c>
      <c r="C215" s="1058"/>
      <c r="D215" s="1058"/>
      <c r="E215" s="1056"/>
      <c r="F215" s="1055" t="s">
        <v>417</v>
      </c>
      <c r="G215" s="1055" t="s">
        <v>540</v>
      </c>
      <c r="H215" s="1056"/>
      <c r="I215" s="1056"/>
      <c r="J215" s="1055" t="s">
        <v>540</v>
      </c>
      <c r="K215" s="1055" t="s">
        <v>541</v>
      </c>
      <c r="L215" s="1055" t="s">
        <v>542</v>
      </c>
      <c r="M215" s="1055" t="s">
        <v>543</v>
      </c>
      <c r="N215" s="1055" t="s">
        <v>1717</v>
      </c>
      <c r="O215" s="1055" t="s">
        <v>1718</v>
      </c>
      <c r="P215" s="1057" t="str">
        <f>IFERROR(__xludf.DUMMYFUNCTION("IFERROR(
  TEXT(
    DATE(
      INDEX(SPLIT(O215,"" ""),3),
      VLOOKUP(INDEX(SPLIT(O215,"" ""),1),{""jan."",1;""Feb"",2;""mar."",3;""Apr"",4;""May"",5;""jun."",6;""jul."",7;""Aug"",8;""Sep"",9;""Oct"",10;""nov."",11;""Dec"",12},2,FALSE),
      INDEX(S"&amp;"PLIT(O215,"" ""),2)
    ),
    ""dd/mm/yyyy""
  ),
"""")"),"28/04/2026")</f>
        <v>28/04/2026</v>
      </c>
    </row>
    <row r="216">
      <c r="A216" s="1054" t="s">
        <v>1719</v>
      </c>
      <c r="B216" s="1054" t="s">
        <v>1720</v>
      </c>
      <c r="C216" s="1058"/>
      <c r="D216" s="1058"/>
      <c r="E216" s="1056"/>
      <c r="F216" s="1055" t="s">
        <v>415</v>
      </c>
      <c r="G216" s="1055" t="s">
        <v>540</v>
      </c>
      <c r="H216" s="1056"/>
      <c r="I216" s="1056"/>
      <c r="J216" s="1055" t="s">
        <v>540</v>
      </c>
      <c r="K216" s="1055" t="s">
        <v>541</v>
      </c>
      <c r="L216" s="1055" t="s">
        <v>542</v>
      </c>
      <c r="M216" s="1055" t="s">
        <v>543</v>
      </c>
      <c r="N216" s="1055" t="s">
        <v>817</v>
      </c>
      <c r="O216" s="1055" t="s">
        <v>1714</v>
      </c>
      <c r="P216" s="1057" t="str">
        <f>IFERROR(__xludf.DUMMYFUNCTION("IFERROR(
  TEXT(
    DATE(
      INDEX(SPLIT(O216,"" ""),3),
      VLOOKUP(INDEX(SPLIT(O216,"" ""),1),{""jan."",1;""Feb"",2;""mar."",3;""Apr"",4;""May"",5;""jun."",6;""jul."",7;""Aug"",8;""Sep"",9;""Oct"",10;""nov."",11;""Dec"",12},2,FALSE),
      INDEX(S"&amp;"PLIT(O216,"" ""),2)
    ),
    ""dd/mm/yyyy""
  ),
"""")"),"12/05/2026")</f>
        <v>12/05/2026</v>
      </c>
    </row>
    <row r="217">
      <c r="A217" s="1054" t="s">
        <v>1721</v>
      </c>
      <c r="B217" s="1054" t="s">
        <v>1722</v>
      </c>
      <c r="C217" s="1058"/>
      <c r="D217" s="1058"/>
      <c r="E217" s="1056"/>
      <c r="F217" s="1055" t="s">
        <v>377</v>
      </c>
      <c r="G217" s="1055" t="s">
        <v>540</v>
      </c>
      <c r="H217" s="1056"/>
      <c r="I217" s="1056"/>
      <c r="J217" s="1055" t="s">
        <v>540</v>
      </c>
      <c r="K217" s="1055" t="s">
        <v>541</v>
      </c>
      <c r="L217" s="1055" t="s">
        <v>542</v>
      </c>
      <c r="M217" s="1055" t="s">
        <v>543</v>
      </c>
      <c r="N217" s="1055" t="s">
        <v>1723</v>
      </c>
      <c r="O217" s="1055" t="s">
        <v>1724</v>
      </c>
      <c r="P217" s="1057" t="str">
        <f>IFERROR(__xludf.DUMMYFUNCTION("IFERROR(
  TEXT(
    DATE(
      INDEX(SPLIT(O217,"" ""),3),
      VLOOKUP(INDEX(SPLIT(O217,"" ""),1),{""jan."",1;""Feb"",2;""mar."",3;""Apr"",4;""May"",5;""jun."",6;""jul."",7;""Aug"",8;""Sep"",9;""Oct"",10;""nov."",11;""Dec"",12},2,FALSE),
      INDEX(S"&amp;"PLIT(O217,"" ""),2)
    ),
    ""dd/mm/yyyy""
  ),
"""")"),"05/05/2026")</f>
        <v>05/05/2026</v>
      </c>
    </row>
    <row r="218">
      <c r="A218" s="1054" t="s">
        <v>1725</v>
      </c>
      <c r="B218" s="1054" t="s">
        <v>1726</v>
      </c>
      <c r="C218" s="1058"/>
      <c r="D218" s="1058"/>
      <c r="E218" s="1056"/>
      <c r="F218" s="1055" t="s">
        <v>377</v>
      </c>
      <c r="G218" s="1055" t="s">
        <v>540</v>
      </c>
      <c r="H218" s="1056"/>
      <c r="I218" s="1056"/>
      <c r="J218" s="1055" t="s">
        <v>540</v>
      </c>
      <c r="K218" s="1055" t="s">
        <v>541</v>
      </c>
      <c r="L218" s="1055" t="s">
        <v>542</v>
      </c>
      <c r="M218" s="1055" t="s">
        <v>543</v>
      </c>
      <c r="N218" s="1055" t="s">
        <v>1727</v>
      </c>
      <c r="O218" s="1055" t="s">
        <v>1728</v>
      </c>
      <c r="P218" s="1057" t="str">
        <f>IFERROR(__xludf.DUMMYFUNCTION("IFERROR(
  TEXT(
    DATE(
      INDEX(SPLIT(O218,"" ""),3),
      VLOOKUP(INDEX(SPLIT(O218,"" ""),1),{""jan."",1;""Feb"",2;""mar."",3;""Apr"",4;""May"",5;""jun."",6;""jul."",7;""Aug"",8;""Sep"",9;""Oct"",10;""nov."",11;""Dec"",12},2,FALSE),
      INDEX(S"&amp;"PLIT(O218,"" ""),2)
    ),
    ""dd/mm/yyyy""
  ),
"""")"),"05/05/2026")</f>
        <v>05/05/2026</v>
      </c>
    </row>
    <row r="219">
      <c r="A219" s="1054" t="s">
        <v>1729</v>
      </c>
      <c r="B219" s="1054" t="s">
        <v>1730</v>
      </c>
      <c r="C219" s="1055" t="s">
        <v>1085</v>
      </c>
      <c r="D219" s="1055" t="s">
        <v>539</v>
      </c>
      <c r="E219" s="1056"/>
      <c r="F219" s="1055" t="s">
        <v>385</v>
      </c>
      <c r="G219" s="1055" t="s">
        <v>540</v>
      </c>
      <c r="H219" s="1056"/>
      <c r="I219" s="1056"/>
      <c r="J219" s="1055" t="s">
        <v>540</v>
      </c>
      <c r="K219" s="1055" t="s">
        <v>541</v>
      </c>
      <c r="L219" s="1055" t="s">
        <v>542</v>
      </c>
      <c r="M219" s="1055" t="s">
        <v>543</v>
      </c>
      <c r="N219" s="1055" t="s">
        <v>1731</v>
      </c>
      <c r="O219" s="1055" t="s">
        <v>1732</v>
      </c>
      <c r="P219" s="1057" t="str">
        <f>IFERROR(__xludf.DUMMYFUNCTION("IFERROR(
  TEXT(
    DATE(
      INDEX(SPLIT(O219,"" ""),3),
      VLOOKUP(INDEX(SPLIT(O219,"" ""),1),{""jan."",1;""Feb"",2;""mar."",3;""Apr"",4;""May"",5;""jun."",6;""jul."",7;""Aug"",8;""Sep"",9;""Oct"",10;""nov."",11;""Dec"",12},2,FALSE),
      INDEX(S"&amp;"PLIT(O219,"" ""),2)
    ),
    ""dd/mm/yyyy""
  ),
"""")"),"22/04/2026")</f>
        <v>22/04/2026</v>
      </c>
    </row>
    <row r="220">
      <c r="A220" s="1054" t="s">
        <v>1733</v>
      </c>
      <c r="B220" s="1054" t="s">
        <v>1734</v>
      </c>
      <c r="C220" s="1055" t="s">
        <v>1085</v>
      </c>
      <c r="D220" s="1055" t="s">
        <v>539</v>
      </c>
      <c r="E220" s="1056"/>
      <c r="F220" s="1055" t="s">
        <v>426</v>
      </c>
      <c r="G220" s="1055" t="s">
        <v>540</v>
      </c>
      <c r="H220" s="1056"/>
      <c r="I220" s="1056"/>
      <c r="J220" s="1055" t="s">
        <v>540</v>
      </c>
      <c r="K220" s="1055" t="s">
        <v>541</v>
      </c>
      <c r="L220" s="1055" t="s">
        <v>542</v>
      </c>
      <c r="M220" s="1055" t="s">
        <v>543</v>
      </c>
      <c r="N220" s="1055" t="s">
        <v>749</v>
      </c>
      <c r="O220" s="1055" t="s">
        <v>1735</v>
      </c>
      <c r="P220" s="1057" t="str">
        <f>IFERROR(__xludf.DUMMYFUNCTION("IFERROR(
  TEXT(
    DATE(
      INDEX(SPLIT(O220,"" ""),3),
      VLOOKUP(INDEX(SPLIT(O220,"" ""),1),{""jan."",1;""Feb"",2;""mar."",3;""Apr"",4;""May"",5;""jun."",6;""jul."",7;""Aug"",8;""Sep"",9;""Oct"",10;""nov."",11;""Dec"",12},2,FALSE),
      INDEX(S"&amp;"PLIT(O220,"" ""),2)
    ),
    ""dd/mm/yyyy""
  ),
"""")"),"12/05/2026")</f>
        <v>12/05/2026</v>
      </c>
    </row>
    <row r="221">
      <c r="A221" s="1054" t="s">
        <v>1736</v>
      </c>
      <c r="B221" s="1054" t="s">
        <v>1737</v>
      </c>
      <c r="C221" s="1055" t="s">
        <v>1085</v>
      </c>
      <c r="D221" s="1055" t="s">
        <v>539</v>
      </c>
      <c r="E221" s="1056"/>
      <c r="F221" s="1055" t="s">
        <v>417</v>
      </c>
      <c r="G221" s="1055" t="s">
        <v>540</v>
      </c>
      <c r="H221" s="1056"/>
      <c r="I221" s="1056"/>
      <c r="J221" s="1055" t="s">
        <v>540</v>
      </c>
      <c r="K221" s="1055" t="s">
        <v>541</v>
      </c>
      <c r="L221" s="1055" t="s">
        <v>542</v>
      </c>
      <c r="M221" s="1055" t="s">
        <v>543</v>
      </c>
      <c r="N221" s="1055" t="s">
        <v>615</v>
      </c>
      <c r="O221" s="1055" t="s">
        <v>1738</v>
      </c>
      <c r="P221" s="1057" t="str">
        <f>IFERROR(__xludf.DUMMYFUNCTION("IFERROR(
  TEXT(
    DATE(
      INDEX(SPLIT(O221,"" ""),3),
      VLOOKUP(INDEX(SPLIT(O221,"" ""),1),{""jan."",1;""Feb"",2;""mar."",3;""Apr"",4;""May"",5;""jun."",6;""jul."",7;""Aug"",8;""Sep"",9;""Oct"",10;""nov."",11;""Dec"",12},2,FALSE),
      INDEX(S"&amp;"PLIT(O221,"" ""),2)
    ),
    ""dd/mm/yyyy""
  ),
"""")"),"28/04/2026")</f>
        <v>28/04/2026</v>
      </c>
    </row>
    <row r="222">
      <c r="A222" s="1054" t="s">
        <v>1739</v>
      </c>
      <c r="B222" s="1054" t="s">
        <v>1740</v>
      </c>
      <c r="C222" s="1055" t="s">
        <v>1085</v>
      </c>
      <c r="D222" s="1055" t="s">
        <v>539</v>
      </c>
      <c r="E222" s="1056"/>
      <c r="F222" s="1055" t="s">
        <v>415</v>
      </c>
      <c r="G222" s="1055" t="s">
        <v>540</v>
      </c>
      <c r="H222" s="1056"/>
      <c r="I222" s="1056"/>
      <c r="J222" s="1055" t="s">
        <v>540</v>
      </c>
      <c r="K222" s="1055" t="s">
        <v>541</v>
      </c>
      <c r="L222" s="1055" t="s">
        <v>542</v>
      </c>
      <c r="M222" s="1055" t="s">
        <v>543</v>
      </c>
      <c r="N222" s="1055" t="s">
        <v>1741</v>
      </c>
      <c r="O222" s="1055" t="s">
        <v>1714</v>
      </c>
      <c r="P222" s="1057" t="str">
        <f>IFERROR(__xludf.DUMMYFUNCTION("IFERROR(
  TEXT(
    DATE(
      INDEX(SPLIT(O222,"" ""),3),
      VLOOKUP(INDEX(SPLIT(O222,"" ""),1),{""jan."",1;""Feb"",2;""mar."",3;""Apr"",4;""May"",5;""jun."",6;""jul."",7;""Aug"",8;""Sep"",9;""Oct"",10;""nov."",11;""Dec"",12},2,FALSE),
      INDEX(S"&amp;"PLIT(O222,"" ""),2)
    ),
    ""dd/mm/yyyy""
  ),
"""")"),"12/05/2026")</f>
        <v>12/05/2026</v>
      </c>
    </row>
    <row r="223">
      <c r="A223" s="1054" t="s">
        <v>1742</v>
      </c>
      <c r="B223" s="1054" t="s">
        <v>1743</v>
      </c>
      <c r="C223" s="1055" t="s">
        <v>1085</v>
      </c>
      <c r="D223" s="1055" t="s">
        <v>539</v>
      </c>
      <c r="E223" s="1056"/>
      <c r="F223" s="1055" t="s">
        <v>377</v>
      </c>
      <c r="G223" s="1055" t="s">
        <v>540</v>
      </c>
      <c r="H223" s="1056"/>
      <c r="I223" s="1056"/>
      <c r="J223" s="1055" t="s">
        <v>540</v>
      </c>
      <c r="K223" s="1055" t="s">
        <v>541</v>
      </c>
      <c r="L223" s="1055" t="s">
        <v>542</v>
      </c>
      <c r="M223" s="1055" t="s">
        <v>543</v>
      </c>
      <c r="N223" s="1055" t="s">
        <v>1744</v>
      </c>
      <c r="O223" s="1055" t="s">
        <v>1745</v>
      </c>
      <c r="P223" s="1057" t="str">
        <f>IFERROR(__xludf.DUMMYFUNCTION("IFERROR(
  TEXT(
    DATE(
      INDEX(SPLIT(O223,"" ""),3),
      VLOOKUP(INDEX(SPLIT(O223,"" ""),1),{""jan."",1;""Feb"",2;""mar."",3;""Apr"",4;""May"",5;""jun."",6;""jul."",7;""Aug"",8;""Sep"",9;""Oct"",10;""nov."",11;""Dec"",12},2,FALSE),
      INDEX(S"&amp;"PLIT(O223,"" ""),2)
    ),
    ""dd/mm/yyyy""
  ),
"""")"),"05/05/2026")</f>
        <v>05/05/2026</v>
      </c>
    </row>
    <row r="224">
      <c r="A224" s="1054" t="s">
        <v>1746</v>
      </c>
      <c r="B224" s="1054" t="s">
        <v>1747</v>
      </c>
      <c r="C224" s="1055" t="s">
        <v>1085</v>
      </c>
      <c r="D224" s="1055" t="s">
        <v>539</v>
      </c>
      <c r="E224" s="1056"/>
      <c r="F224" s="1055" t="s">
        <v>377</v>
      </c>
      <c r="G224" s="1055" t="s">
        <v>540</v>
      </c>
      <c r="H224" s="1056"/>
      <c r="I224" s="1056"/>
      <c r="J224" s="1055" t="s">
        <v>540</v>
      </c>
      <c r="K224" s="1055" t="s">
        <v>541</v>
      </c>
      <c r="L224" s="1055" t="s">
        <v>542</v>
      </c>
      <c r="M224" s="1055" t="s">
        <v>543</v>
      </c>
      <c r="N224" s="1055" t="s">
        <v>1748</v>
      </c>
      <c r="O224" s="1055" t="s">
        <v>1728</v>
      </c>
      <c r="P224" s="1057" t="str">
        <f>IFERROR(__xludf.DUMMYFUNCTION("IFERROR(
  TEXT(
    DATE(
      INDEX(SPLIT(O224,"" ""),3),
      VLOOKUP(INDEX(SPLIT(O224,"" ""),1),{""jan."",1;""Feb"",2;""mar."",3;""Apr"",4;""May"",5;""jun."",6;""jul."",7;""Aug"",8;""Sep"",9;""Oct"",10;""nov."",11;""Dec"",12},2,FALSE),
      INDEX(S"&amp;"PLIT(O224,"" ""),2)
    ),
    ""dd/mm/yyyy""
  ),
"""")"),"05/05/2026")</f>
        <v>05/05/2026</v>
      </c>
    </row>
    <row r="225">
      <c r="A225" s="1059"/>
      <c r="B225" s="1059"/>
      <c r="C225" s="1055"/>
      <c r="D225" s="1055"/>
      <c r="E225" s="1056"/>
      <c r="F225" s="1055"/>
      <c r="G225" s="1055"/>
      <c r="H225" s="1056"/>
      <c r="I225" s="1056"/>
      <c r="J225" s="1055"/>
      <c r="K225" s="1055"/>
      <c r="L225" s="1055"/>
      <c r="M225" s="1055"/>
      <c r="N225" s="1055"/>
      <c r="O225" s="1055"/>
      <c r="P225" s="1057" t="str">
        <f>IFERROR(__xludf.DUMMYFUNCTION("IFERROR(
  TEXT(
    DATE(
      INDEX(SPLIT(O225,"" ""),3),
      VLOOKUP(INDEX(SPLIT(O225,"" ""),1),{""jan."",1;""Feb"",2;""mar."",3;""Apr"",4;""May"",5;""jun."",6;""jul."",7;""Aug"",8;""Sep"",9;""Oct"",10;""nov."",11;""Dec"",12},2,FALSE),
      INDEX(S"&amp;"PLIT(O225,"" ""),2)
    ),
    ""dd/mm/yyyy""
  ),
"""")"),"")</f>
        <v/>
      </c>
    </row>
    <row r="226">
      <c r="A226" s="1059"/>
      <c r="B226" s="1059"/>
      <c r="C226" s="1055"/>
      <c r="D226" s="1055"/>
      <c r="E226" s="1056"/>
      <c r="F226" s="1055"/>
      <c r="G226" s="1055"/>
      <c r="H226" s="1056"/>
      <c r="I226" s="1056"/>
      <c r="J226" s="1055"/>
      <c r="K226" s="1055"/>
      <c r="L226" s="1055"/>
      <c r="M226" s="1055"/>
      <c r="N226" s="1055"/>
      <c r="O226" s="1055"/>
      <c r="P226" s="1057" t="str">
        <f>IFERROR(__xludf.DUMMYFUNCTION("IFERROR(
  TEXT(
    DATE(
      INDEX(SPLIT(O226,"" ""),3),
      VLOOKUP(INDEX(SPLIT(O226,"" ""),1),{""jan."",1;""Feb"",2;""mar."",3;""Apr"",4;""May"",5;""jun."",6;""jul."",7;""Aug"",8;""Sep"",9;""Oct"",10;""nov."",11;""Dec"",12},2,FALSE),
      INDEX(S"&amp;"PLIT(O226,"" ""),2)
    ),
    ""dd/mm/yyyy""
  ),
"""")"),"")</f>
        <v/>
      </c>
    </row>
    <row r="227">
      <c r="A227" s="1059"/>
      <c r="B227" s="1059"/>
      <c r="C227" s="1058"/>
      <c r="D227" s="1058"/>
      <c r="E227" s="1056"/>
      <c r="F227" s="1055"/>
      <c r="G227" s="1055"/>
      <c r="H227" s="1056"/>
      <c r="I227" s="1056"/>
      <c r="J227" s="1055"/>
      <c r="K227" s="1055"/>
      <c r="L227" s="1055"/>
      <c r="M227" s="1055"/>
      <c r="N227" s="1055"/>
      <c r="O227" s="1055"/>
      <c r="P227" s="1057" t="str">
        <f>IFERROR(__xludf.DUMMYFUNCTION("IFERROR(
  TEXT(
    DATE(
      INDEX(SPLIT(O227,"" ""),3),
      VLOOKUP(INDEX(SPLIT(O227,"" ""),1),{""jan."",1;""Feb"",2;""mar."",3;""Apr"",4;""May"",5;""jun."",6;""jul."",7;""Aug"",8;""Sep"",9;""Oct"",10;""nov."",11;""Dec"",12},2,FALSE),
      INDEX(S"&amp;"PLIT(O227,"" ""),2)
    ),
    ""dd/mm/yyyy""
  ),
"""")"),"")</f>
        <v/>
      </c>
    </row>
    <row r="228">
      <c r="A228" s="1059"/>
      <c r="B228" s="1059"/>
      <c r="C228" s="1056"/>
      <c r="D228" s="1056"/>
      <c r="E228" s="1056"/>
      <c r="F228" s="1055"/>
      <c r="G228" s="1055"/>
      <c r="H228" s="1056"/>
      <c r="I228" s="1056"/>
      <c r="J228" s="1055"/>
      <c r="K228" s="1055"/>
      <c r="L228" s="1055"/>
      <c r="M228" s="1055"/>
      <c r="N228" s="1055"/>
      <c r="O228" s="1055"/>
      <c r="P228" s="1057" t="str">
        <f>IFERROR(__xludf.DUMMYFUNCTION("IFERROR(
  TEXT(
    DATE(
      INDEX(SPLIT(O228,"" ""),3),
      VLOOKUP(INDEX(SPLIT(O228,"" ""),1),{""jan."",1;""Feb"",2;""mar."",3;""Apr"",4;""May"",5;""jun."",6;""jul."",7;""Aug"",8;""Sep"",9;""Oct"",10;""nov."",11;""Dec"",12},2,FALSE),
      INDEX(S"&amp;"PLIT(O228,"" ""),2)
    ),
    ""dd/mm/yyyy""
  ),
"""")"),"")</f>
        <v/>
      </c>
    </row>
    <row r="229">
      <c r="A229" s="1059"/>
      <c r="B229" s="1059"/>
      <c r="C229" s="1056"/>
      <c r="D229" s="1056"/>
      <c r="E229" s="1056"/>
      <c r="F229" s="1055"/>
      <c r="G229" s="1055"/>
      <c r="H229" s="1056"/>
      <c r="I229" s="1056"/>
      <c r="J229" s="1055"/>
      <c r="K229" s="1055"/>
      <c r="L229" s="1055"/>
      <c r="M229" s="1055"/>
      <c r="N229" s="1055"/>
      <c r="O229" s="1055"/>
      <c r="P229" s="1057" t="str">
        <f>IFERROR(__xludf.DUMMYFUNCTION("IFERROR(
  TEXT(
    DATE(
      INDEX(SPLIT(O229,"" ""),3),
      VLOOKUP(INDEX(SPLIT(O229,"" ""),1),{""jan."",1;""Feb"",2;""mar."",3;""Apr"",4;""May"",5;""jun."",6;""jul."",7;""Aug"",8;""Sep"",9;""Oct"",10;""nov."",11;""Dec"",12},2,FALSE),
      INDEX(S"&amp;"PLIT(O229,"" ""),2)
    ),
    ""dd/mm/yyyy""
  ),
"""")"),"")</f>
        <v/>
      </c>
    </row>
    <row r="230">
      <c r="A230" s="1059"/>
      <c r="B230" s="1059"/>
      <c r="C230" s="1056"/>
      <c r="D230" s="1056"/>
      <c r="E230" s="1056"/>
      <c r="F230" s="1055"/>
      <c r="G230" s="1055"/>
      <c r="H230" s="1056"/>
      <c r="I230" s="1056"/>
      <c r="J230" s="1055"/>
      <c r="K230" s="1055"/>
      <c r="L230" s="1055"/>
      <c r="M230" s="1055"/>
      <c r="N230" s="1055"/>
      <c r="O230" s="1055"/>
      <c r="P230" s="1057" t="str">
        <f>IFERROR(__xludf.DUMMYFUNCTION("IFERROR(
  TEXT(
    DATE(
      INDEX(SPLIT(O230,"" ""),3),
      VLOOKUP(INDEX(SPLIT(O230,"" ""),1),{""jan."",1;""Feb"",2;""mar."",3;""Apr"",4;""May"",5;""jun."",6;""jul."",7;""Aug"",8;""Sep"",9;""Oct"",10;""nov."",11;""Dec"",12},2,FALSE),
      INDEX(S"&amp;"PLIT(O230,"" ""),2)
    ),
    ""dd/mm/yyyy""
  ),
"""")"),"")</f>
        <v/>
      </c>
    </row>
    <row r="231">
      <c r="A231" s="1059"/>
      <c r="B231" s="1059"/>
      <c r="C231" s="1056"/>
      <c r="D231" s="1056"/>
      <c r="E231" s="1056"/>
      <c r="F231" s="1055"/>
      <c r="G231" s="1055"/>
      <c r="H231" s="1056"/>
      <c r="I231" s="1056"/>
      <c r="J231" s="1055"/>
      <c r="K231" s="1055"/>
      <c r="L231" s="1055"/>
      <c r="M231" s="1055"/>
      <c r="N231" s="1055"/>
      <c r="O231" s="1055"/>
      <c r="P231" s="1057" t="str">
        <f>IFERROR(__xludf.DUMMYFUNCTION("IFERROR(
  TEXT(
    DATE(
      INDEX(SPLIT(O231,"" ""),3),
      VLOOKUP(INDEX(SPLIT(O231,"" ""),1),{""jan."",1;""Feb"",2;""mar."",3;""Apr"",4;""May"",5;""jun."",6;""jul."",7;""Aug"",8;""Sep"",9;""Oct"",10;""nov."",11;""Dec"",12},2,FALSE),
      INDEX(S"&amp;"PLIT(O231,"" ""),2)
    ),
    ""dd/mm/yyyy""
  ),
"""")"),"")</f>
        <v/>
      </c>
    </row>
    <row r="232">
      <c r="A232" s="1059"/>
      <c r="B232" s="1059"/>
      <c r="C232" s="1056"/>
      <c r="D232" s="1056"/>
      <c r="E232" s="1056"/>
      <c r="F232" s="1055"/>
      <c r="G232" s="1055"/>
      <c r="H232" s="1056"/>
      <c r="I232" s="1056"/>
      <c r="J232" s="1055"/>
      <c r="K232" s="1055"/>
      <c r="L232" s="1055"/>
      <c r="M232" s="1055"/>
      <c r="N232" s="1055"/>
      <c r="O232" s="1055"/>
      <c r="P232" s="1057" t="str">
        <f>IFERROR(__xludf.DUMMYFUNCTION("IFERROR(
  TEXT(
    DATE(
      INDEX(SPLIT(O232,"" ""),3),
      VLOOKUP(INDEX(SPLIT(O232,"" ""),1),{""jan."",1;""Feb"",2;""mar."",3;""Apr"",4;""May"",5;""jun."",6;""jul."",7;""Aug"",8;""Sep"",9;""Oct"",10;""nov."",11;""Dec"",12},2,FALSE),
      INDEX(S"&amp;"PLIT(O232,"" ""),2)
    ),
    ""dd/mm/yyyy""
  ),
"""")"),"")</f>
        <v/>
      </c>
    </row>
    <row r="233">
      <c r="A233" s="1059"/>
      <c r="B233" s="1059"/>
      <c r="C233" s="1055"/>
      <c r="D233" s="1055"/>
      <c r="E233" s="1056"/>
      <c r="F233" s="1055"/>
      <c r="G233" s="1055"/>
      <c r="H233" s="1056"/>
      <c r="I233" s="1056"/>
      <c r="J233" s="1055"/>
      <c r="K233" s="1055"/>
      <c r="L233" s="1055"/>
      <c r="M233" s="1055"/>
      <c r="N233" s="1055"/>
      <c r="O233" s="1055"/>
      <c r="P233" s="1057" t="str">
        <f>IFERROR(__xludf.DUMMYFUNCTION("IFERROR(
  TEXT(
    DATE(
      INDEX(SPLIT(O233,"" ""),3),
      VLOOKUP(INDEX(SPLIT(O233,"" ""),1),{""jan."",1;""Feb"",2;""mar."",3;""Apr"",4;""May"",5;""jun."",6;""jul."",7;""Aug"",8;""Sep"",9;""Oct"",10;""nov."",11;""Dec"",12},2,FALSE),
      INDEX(S"&amp;"PLIT(O233,"" ""),2)
    ),
    ""dd/mm/yyyy""
  ),
"""")"),"")</f>
        <v/>
      </c>
    </row>
    <row r="234">
      <c r="A234" s="1059"/>
      <c r="B234" s="1059"/>
      <c r="C234" s="1055"/>
      <c r="D234" s="1055"/>
      <c r="E234" s="1056"/>
      <c r="F234" s="1055"/>
      <c r="G234" s="1055"/>
      <c r="H234" s="1056"/>
      <c r="I234" s="1056"/>
      <c r="J234" s="1055"/>
      <c r="K234" s="1055"/>
      <c r="L234" s="1055"/>
      <c r="M234" s="1055"/>
      <c r="N234" s="1055"/>
      <c r="O234" s="1055"/>
      <c r="P234" s="1057" t="str">
        <f>IFERROR(__xludf.DUMMYFUNCTION("IFERROR(
  TEXT(
    DATE(
      INDEX(SPLIT(O234,"" ""),3),
      VLOOKUP(INDEX(SPLIT(O234,"" ""),1),{""jan."",1;""Feb"",2;""mar."",3;""Apr"",4;""May"",5;""jun."",6;""jul."",7;""Aug"",8;""Sep"",9;""Oct"",10;""nov."",11;""Dec"",12},2,FALSE),
      INDEX(S"&amp;"PLIT(O234,"" ""),2)
    ),
    ""dd/mm/yyyy""
  ),
"""")"),"")</f>
        <v/>
      </c>
    </row>
    <row r="235">
      <c r="A235" s="1059"/>
      <c r="B235" s="1059"/>
      <c r="C235" s="1055"/>
      <c r="D235" s="1055"/>
      <c r="E235" s="1056"/>
      <c r="F235" s="1055"/>
      <c r="G235" s="1055"/>
      <c r="H235" s="1056"/>
      <c r="I235" s="1056"/>
      <c r="J235" s="1055"/>
      <c r="K235" s="1055"/>
      <c r="L235" s="1055"/>
      <c r="M235" s="1055"/>
      <c r="N235" s="1055"/>
      <c r="O235" s="1055"/>
      <c r="P235" s="1057" t="str">
        <f>IFERROR(__xludf.DUMMYFUNCTION("IFERROR(
  TEXT(
    DATE(
      INDEX(SPLIT(O235,"" ""),3),
      VLOOKUP(INDEX(SPLIT(O235,"" ""),1),{""jan."",1;""Feb"",2;""mar."",3;""Apr"",4;""May"",5;""jun."",6;""jul."",7;""Aug"",8;""Sep"",9;""Oct"",10;""nov."",11;""Dec"",12},2,FALSE),
      INDEX(S"&amp;"PLIT(O235,"" ""),2)
    ),
    ""dd/mm/yyyy""
  ),
"""")"),"")</f>
        <v/>
      </c>
    </row>
    <row r="236">
      <c r="A236" s="1059"/>
      <c r="B236" s="1059"/>
      <c r="C236" s="1055"/>
      <c r="D236" s="1055"/>
      <c r="E236" s="1056"/>
      <c r="F236" s="1055"/>
      <c r="G236" s="1055"/>
      <c r="H236" s="1056"/>
      <c r="I236" s="1056"/>
      <c r="J236" s="1055"/>
      <c r="K236" s="1055"/>
      <c r="L236" s="1055"/>
      <c r="M236" s="1055"/>
      <c r="N236" s="1055"/>
      <c r="O236" s="1055"/>
      <c r="P236" s="1057" t="str">
        <f>IFERROR(__xludf.DUMMYFUNCTION("IFERROR(
  TEXT(
    DATE(
      INDEX(SPLIT(O236,"" ""),3),
      VLOOKUP(INDEX(SPLIT(O236,"" ""),1),{""jan."",1;""Feb"",2;""mar."",3;""Apr"",4;""May"",5;""jun."",6;""jul."",7;""Aug"",8;""Sep"",9;""Oct"",10;""nov."",11;""Dec"",12},2,FALSE),
      INDEX(S"&amp;"PLIT(O236,"" ""),2)
    ),
    ""dd/mm/yyyy""
  ),
"""")"),"")</f>
        <v/>
      </c>
    </row>
    <row r="237">
      <c r="A237" s="1059"/>
      <c r="B237" s="1059"/>
      <c r="C237" s="1055"/>
      <c r="D237" s="1055"/>
      <c r="E237" s="1056"/>
      <c r="F237" s="1055"/>
      <c r="G237" s="1055"/>
      <c r="H237" s="1056"/>
      <c r="I237" s="1056"/>
      <c r="J237" s="1055"/>
      <c r="K237" s="1055"/>
      <c r="L237" s="1055"/>
      <c r="M237" s="1055"/>
      <c r="N237" s="1055"/>
      <c r="O237" s="1055"/>
      <c r="P237" s="1057" t="str">
        <f>IFERROR(__xludf.DUMMYFUNCTION("IFERROR(
  TEXT(
    DATE(
      INDEX(SPLIT(O237,"" ""),3),
      VLOOKUP(INDEX(SPLIT(O237,"" ""),1),{""jan."",1;""Feb"",2;""mar."",3;""Apr"",4;""May"",5;""jun."",6;""jul."",7;""Aug"",8;""Sep"",9;""Oct"",10;""nov."",11;""Dec"",12},2,FALSE),
      INDEX(S"&amp;"PLIT(O237,"" ""),2)
    ),
    ""dd/mm/yyyy""
  ),
"""")"),"")</f>
        <v/>
      </c>
    </row>
    <row r="238">
      <c r="A238" s="1059"/>
      <c r="B238" s="1059"/>
      <c r="C238" s="1055"/>
      <c r="D238" s="1055"/>
      <c r="E238" s="1056"/>
      <c r="F238" s="1055"/>
      <c r="G238" s="1055"/>
      <c r="H238" s="1056"/>
      <c r="I238" s="1056"/>
      <c r="J238" s="1055"/>
      <c r="K238" s="1055"/>
      <c r="L238" s="1055"/>
      <c r="M238" s="1055"/>
      <c r="N238" s="1055"/>
      <c r="O238" s="1055"/>
      <c r="P238" s="1057" t="str">
        <f>IFERROR(__xludf.DUMMYFUNCTION("IFERROR(
  TEXT(
    DATE(
      INDEX(SPLIT(O238,"" ""),3),
      VLOOKUP(INDEX(SPLIT(O238,"" ""),1),{""jan."",1;""Feb"",2;""mar."",3;""Apr"",4;""May"",5;""jun."",6;""jul."",7;""Aug"",8;""Sep"",9;""Oct"",10;""nov."",11;""Dec"",12},2,FALSE),
      INDEX(S"&amp;"PLIT(O238,"" ""),2)
    ),
    ""dd/mm/yyyy""
  ),
"""")"),"")</f>
        <v/>
      </c>
    </row>
    <row r="245">
      <c r="A245" s="1059"/>
      <c r="B245" s="1059"/>
      <c r="C245" s="1055"/>
      <c r="D245" s="1055"/>
      <c r="E245" s="1056"/>
      <c r="F245" s="1055"/>
      <c r="G245" s="1055"/>
      <c r="H245" s="1056"/>
      <c r="I245" s="1056"/>
      <c r="J245" s="1055"/>
      <c r="K245" s="1055"/>
      <c r="L245" s="1055"/>
      <c r="M245" s="1055"/>
      <c r="N245" s="1055"/>
      <c r="O245" s="1057"/>
    </row>
    <row r="246">
      <c r="A246" s="1059"/>
      <c r="B246" s="1059"/>
      <c r="C246" s="1055"/>
      <c r="D246" s="1055"/>
      <c r="E246" s="1056"/>
      <c r="F246" s="1055"/>
      <c r="G246" s="1055"/>
      <c r="H246" s="1056"/>
      <c r="I246" s="1056"/>
      <c r="J246" s="1055"/>
      <c r="K246" s="1055"/>
      <c r="L246" s="1055"/>
      <c r="M246" s="1055"/>
      <c r="N246" s="1055"/>
      <c r="O246" s="1055"/>
    </row>
    <row r="247">
      <c r="A247" s="1059"/>
      <c r="B247" s="1059"/>
      <c r="C247" s="1056"/>
      <c r="D247" s="1056"/>
      <c r="E247" s="1056"/>
      <c r="F247" s="1055"/>
      <c r="G247" s="1055"/>
      <c r="H247" s="1056"/>
      <c r="I247" s="1056"/>
      <c r="J247" s="1055"/>
      <c r="K247" s="1055"/>
      <c r="L247" s="1055"/>
      <c r="M247" s="1055"/>
      <c r="N247" s="1055"/>
      <c r="O247" s="1057"/>
    </row>
    <row r="248">
      <c r="A248" s="1059"/>
      <c r="B248" s="1059"/>
      <c r="C248" s="1056"/>
      <c r="D248" s="1056"/>
      <c r="E248" s="1056"/>
      <c r="F248" s="1055"/>
      <c r="G248" s="1055"/>
      <c r="H248" s="1056"/>
      <c r="I248" s="1056"/>
      <c r="J248" s="1055"/>
      <c r="K248" s="1055"/>
      <c r="L248" s="1055"/>
      <c r="M248" s="1055"/>
      <c r="N248" s="1055"/>
      <c r="O248" s="1057"/>
    </row>
    <row r="249">
      <c r="A249" s="1059"/>
      <c r="B249" s="1059"/>
      <c r="C249" s="1056"/>
      <c r="D249" s="1056"/>
      <c r="E249" s="1056"/>
      <c r="F249" s="1055"/>
      <c r="G249" s="1055"/>
      <c r="H249" s="1056"/>
      <c r="I249" s="1056"/>
      <c r="J249" s="1055"/>
      <c r="K249" s="1055"/>
      <c r="L249" s="1055"/>
      <c r="M249" s="1055"/>
      <c r="N249" s="1055"/>
      <c r="O249" s="1057"/>
    </row>
    <row r="250">
      <c r="A250" s="1059"/>
      <c r="B250" s="1059"/>
      <c r="C250" s="1056"/>
      <c r="D250" s="1056"/>
      <c r="E250" s="1056"/>
      <c r="F250" s="1055"/>
      <c r="G250" s="1055"/>
      <c r="H250" s="1056"/>
      <c r="I250" s="1056"/>
      <c r="J250" s="1055"/>
      <c r="K250" s="1055"/>
      <c r="L250" s="1055"/>
      <c r="M250" s="1055"/>
      <c r="N250" s="1055"/>
      <c r="O250" s="1057"/>
    </row>
    <row r="251">
      <c r="A251" s="1059"/>
      <c r="B251" s="1059"/>
      <c r="C251" s="1055"/>
      <c r="D251" s="1055"/>
      <c r="E251" s="1056"/>
      <c r="F251" s="1055"/>
      <c r="G251" s="1055"/>
      <c r="H251" s="1056"/>
      <c r="I251" s="1056"/>
      <c r="J251" s="1055"/>
      <c r="K251" s="1055"/>
      <c r="L251" s="1055"/>
      <c r="M251" s="1055"/>
      <c r="N251" s="1055"/>
      <c r="O251" s="1057"/>
    </row>
    <row r="252">
      <c r="A252" s="1059"/>
      <c r="B252" s="1059"/>
      <c r="C252" s="1055"/>
      <c r="D252" s="1055"/>
      <c r="E252" s="1056"/>
      <c r="F252" s="1055"/>
      <c r="G252" s="1055"/>
      <c r="H252" s="1056"/>
      <c r="I252" s="1056"/>
      <c r="J252" s="1055"/>
      <c r="K252" s="1055"/>
      <c r="L252" s="1055"/>
      <c r="M252" s="1055"/>
      <c r="N252" s="1055"/>
      <c r="O252" s="1057"/>
    </row>
    <row r="253">
      <c r="A253" s="1059"/>
      <c r="B253" s="1059"/>
      <c r="C253" s="1055"/>
      <c r="D253" s="1055"/>
      <c r="E253" s="1056"/>
      <c r="F253" s="1055"/>
      <c r="G253" s="1055"/>
      <c r="H253" s="1056"/>
      <c r="I253" s="1056"/>
      <c r="J253" s="1055"/>
      <c r="K253" s="1055"/>
      <c r="L253" s="1055"/>
      <c r="M253" s="1055"/>
      <c r="N253" s="1055"/>
      <c r="O253" s="1057"/>
    </row>
    <row r="254">
      <c r="A254" s="1059"/>
      <c r="B254" s="1059"/>
      <c r="C254" s="1056"/>
      <c r="D254" s="1056"/>
      <c r="E254" s="1056"/>
      <c r="F254" s="1055"/>
      <c r="G254" s="1055"/>
      <c r="H254" s="1056"/>
      <c r="I254" s="1056"/>
      <c r="J254" s="1055"/>
      <c r="K254" s="1055"/>
      <c r="L254" s="1055"/>
      <c r="M254" s="1055"/>
      <c r="N254" s="1055"/>
      <c r="O254" s="1055"/>
    </row>
    <row r="255">
      <c r="A255" s="1059"/>
      <c r="B255" s="1059"/>
      <c r="C255" s="1055"/>
      <c r="D255" s="1055"/>
      <c r="E255" s="1056"/>
      <c r="F255" s="1055"/>
      <c r="G255" s="1055"/>
      <c r="H255" s="1056"/>
      <c r="I255" s="1056"/>
      <c r="J255" s="1055"/>
      <c r="K255" s="1055"/>
      <c r="L255" s="1055"/>
      <c r="M255" s="1055"/>
      <c r="N255" s="1055"/>
      <c r="O255" s="1057"/>
    </row>
    <row r="256">
      <c r="A256" s="1059"/>
      <c r="B256" s="1059"/>
      <c r="C256" s="1056"/>
      <c r="D256" s="1056"/>
      <c r="E256" s="1056"/>
      <c r="F256" s="1055"/>
      <c r="G256" s="1055"/>
      <c r="H256" s="1056"/>
      <c r="I256" s="1056"/>
      <c r="J256" s="1055"/>
      <c r="K256" s="1055"/>
      <c r="L256" s="1055"/>
      <c r="M256" s="1055"/>
      <c r="N256" s="1055"/>
      <c r="O256" s="1055"/>
    </row>
    <row r="257">
      <c r="A257" s="1059"/>
      <c r="B257" s="1059"/>
      <c r="C257" s="1056"/>
      <c r="D257" s="1056"/>
      <c r="E257" s="1056"/>
      <c r="F257" s="1055"/>
      <c r="G257" s="1055"/>
      <c r="H257" s="1056"/>
      <c r="I257" s="1056"/>
      <c r="J257" s="1055"/>
      <c r="K257" s="1055"/>
      <c r="L257" s="1055"/>
      <c r="M257" s="1055"/>
      <c r="N257" s="1055"/>
      <c r="O257" s="1057"/>
    </row>
    <row r="258">
      <c r="A258" s="1059"/>
      <c r="B258" s="1059"/>
      <c r="C258" s="1056"/>
      <c r="D258" s="1056"/>
      <c r="E258" s="1056"/>
      <c r="F258" s="1055"/>
      <c r="G258" s="1055"/>
      <c r="H258" s="1056"/>
      <c r="I258" s="1056"/>
      <c r="J258" s="1055"/>
      <c r="K258" s="1055"/>
      <c r="L258" s="1055"/>
      <c r="M258" s="1055"/>
      <c r="N258" s="1055"/>
      <c r="O258" s="1057"/>
    </row>
    <row r="259">
      <c r="A259" s="1059"/>
      <c r="B259" s="1059"/>
      <c r="C259" s="1056"/>
      <c r="D259" s="1056"/>
      <c r="E259" s="1056"/>
      <c r="F259" s="1055"/>
      <c r="G259" s="1055"/>
      <c r="H259" s="1056"/>
      <c r="I259" s="1056"/>
      <c r="J259" s="1055"/>
      <c r="K259" s="1055"/>
      <c r="L259" s="1055"/>
      <c r="M259" s="1055"/>
      <c r="N259" s="1055"/>
      <c r="O259" s="1057"/>
    </row>
    <row r="260">
      <c r="A260" s="1059"/>
      <c r="B260" s="1059"/>
      <c r="C260" s="1056"/>
      <c r="D260" s="1056"/>
      <c r="E260" s="1056"/>
      <c r="F260" s="1055"/>
      <c r="G260" s="1055"/>
      <c r="H260" s="1056"/>
      <c r="I260" s="1056"/>
      <c r="J260" s="1055"/>
      <c r="K260" s="1055"/>
      <c r="L260" s="1055"/>
      <c r="M260" s="1055"/>
      <c r="N260" s="1055"/>
      <c r="O260" s="1057"/>
    </row>
    <row r="261">
      <c r="A261" s="1059"/>
      <c r="B261" s="1059"/>
      <c r="C261" s="1056"/>
      <c r="D261" s="1056"/>
      <c r="E261" s="1056"/>
      <c r="F261" s="1055"/>
      <c r="G261" s="1055"/>
      <c r="H261" s="1056"/>
      <c r="I261" s="1056"/>
      <c r="J261" s="1055"/>
      <c r="K261" s="1055"/>
      <c r="L261" s="1055"/>
      <c r="M261" s="1055"/>
      <c r="N261" s="1055"/>
      <c r="O261" s="1055"/>
    </row>
    <row r="262">
      <c r="A262" s="1059"/>
      <c r="B262" s="1059"/>
      <c r="C262" s="1055"/>
      <c r="D262" s="1055"/>
      <c r="E262" s="1056"/>
      <c r="F262" s="1055"/>
      <c r="G262" s="1055"/>
      <c r="H262" s="1056"/>
      <c r="I262" s="1056"/>
      <c r="J262" s="1055"/>
      <c r="K262" s="1055"/>
      <c r="L262" s="1055"/>
      <c r="M262" s="1055"/>
      <c r="N262" s="1055"/>
      <c r="O262" s="1055"/>
    </row>
    <row r="263">
      <c r="A263" s="1059"/>
      <c r="B263" s="1059"/>
      <c r="C263" s="1056"/>
      <c r="D263" s="1056"/>
      <c r="E263" s="1056"/>
      <c r="F263" s="1055"/>
      <c r="G263" s="1055"/>
      <c r="H263" s="1056"/>
      <c r="I263" s="1056"/>
      <c r="J263" s="1055"/>
      <c r="K263" s="1055"/>
      <c r="L263" s="1055"/>
      <c r="M263" s="1055"/>
      <c r="N263" s="1055"/>
      <c r="O263" s="1055"/>
    </row>
    <row r="264">
      <c r="A264" s="1059"/>
      <c r="B264" s="1059"/>
      <c r="C264" s="1056"/>
      <c r="D264" s="1056"/>
      <c r="E264" s="1056"/>
      <c r="F264" s="1055"/>
      <c r="G264" s="1055"/>
      <c r="H264" s="1056"/>
      <c r="I264" s="1056"/>
      <c r="J264" s="1055"/>
      <c r="K264" s="1055"/>
      <c r="L264" s="1055"/>
      <c r="M264" s="1055"/>
      <c r="N264" s="1055"/>
      <c r="O264" s="1055"/>
    </row>
    <row r="265">
      <c r="A265" s="1059"/>
      <c r="B265" s="1059"/>
      <c r="C265" s="1056"/>
      <c r="D265" s="1056"/>
      <c r="E265" s="1056"/>
      <c r="F265" s="1055"/>
      <c r="G265" s="1055"/>
      <c r="H265" s="1056"/>
      <c r="I265" s="1056"/>
      <c r="J265" s="1055"/>
      <c r="K265" s="1055"/>
      <c r="L265" s="1055"/>
      <c r="M265" s="1055"/>
      <c r="N265" s="1055"/>
      <c r="O265" s="1055"/>
    </row>
    <row r="266">
      <c r="A266" s="1059"/>
      <c r="B266" s="1059"/>
      <c r="C266" s="1055"/>
      <c r="D266" s="1055"/>
      <c r="E266" s="1056"/>
      <c r="F266" s="1055"/>
      <c r="G266" s="1055"/>
      <c r="H266" s="1056"/>
      <c r="I266" s="1056"/>
      <c r="J266" s="1055"/>
      <c r="K266" s="1055"/>
      <c r="L266" s="1055"/>
      <c r="M266" s="1055"/>
      <c r="N266" s="1055"/>
      <c r="O266" s="1055"/>
    </row>
    <row r="267">
      <c r="A267" s="1059"/>
      <c r="B267" s="1059"/>
      <c r="C267" s="1056"/>
      <c r="D267" s="1056"/>
      <c r="E267" s="1056"/>
      <c r="F267" s="1055"/>
      <c r="G267" s="1055"/>
      <c r="H267" s="1056"/>
      <c r="I267" s="1056"/>
      <c r="J267" s="1055"/>
      <c r="K267" s="1055"/>
      <c r="L267" s="1055"/>
      <c r="M267" s="1055"/>
      <c r="N267" s="1055"/>
      <c r="O267" s="1055"/>
    </row>
    <row r="268">
      <c r="A268" s="1059"/>
      <c r="B268" s="1059"/>
      <c r="C268" s="1056"/>
      <c r="D268" s="1056"/>
      <c r="E268" s="1056"/>
      <c r="F268" s="1055"/>
      <c r="G268" s="1055"/>
      <c r="H268" s="1056"/>
      <c r="I268" s="1056"/>
      <c r="J268" s="1055"/>
      <c r="K268" s="1055"/>
      <c r="L268" s="1055"/>
      <c r="M268" s="1055"/>
      <c r="N268" s="1055"/>
      <c r="O268" s="1055"/>
    </row>
    <row r="269">
      <c r="A269" s="1059"/>
      <c r="B269" s="1059"/>
      <c r="C269" s="1056"/>
      <c r="D269" s="1056"/>
      <c r="E269" s="1056"/>
      <c r="F269" s="1055"/>
      <c r="G269" s="1055"/>
      <c r="H269" s="1056"/>
      <c r="I269" s="1056"/>
      <c r="J269" s="1055"/>
      <c r="K269" s="1055"/>
      <c r="L269" s="1055"/>
      <c r="M269" s="1055"/>
      <c r="N269" s="1055"/>
      <c r="O269" s="1055"/>
    </row>
    <row r="270">
      <c r="A270" s="1059"/>
      <c r="B270" s="1059"/>
      <c r="C270" s="1056"/>
      <c r="D270" s="1056"/>
      <c r="E270" s="1056"/>
      <c r="F270" s="1055"/>
      <c r="G270" s="1055"/>
      <c r="H270" s="1056"/>
      <c r="I270" s="1056"/>
      <c r="J270" s="1055"/>
      <c r="K270" s="1055"/>
      <c r="L270" s="1055"/>
      <c r="M270" s="1055"/>
      <c r="N270" s="1055"/>
      <c r="O270" s="1055"/>
    </row>
    <row r="271">
      <c r="A271" s="1059"/>
      <c r="B271" s="1059"/>
      <c r="C271" s="1055"/>
      <c r="D271" s="1055"/>
      <c r="E271" s="1056"/>
      <c r="F271" s="1055"/>
      <c r="G271" s="1055"/>
      <c r="H271" s="1056"/>
      <c r="I271" s="1056"/>
      <c r="J271" s="1055"/>
      <c r="K271" s="1055"/>
      <c r="L271" s="1055"/>
      <c r="M271" s="1055"/>
      <c r="N271" s="1055"/>
      <c r="O271" s="1055"/>
    </row>
    <row r="272">
      <c r="A272" s="1059"/>
      <c r="B272" s="1059"/>
      <c r="C272" s="1055"/>
      <c r="D272" s="1055"/>
      <c r="E272" s="1056"/>
      <c r="F272" s="1055"/>
      <c r="G272" s="1055"/>
      <c r="H272" s="1056"/>
      <c r="I272" s="1056"/>
      <c r="J272" s="1055"/>
      <c r="K272" s="1055"/>
      <c r="L272" s="1055"/>
      <c r="M272" s="1055"/>
      <c r="N272" s="1055"/>
      <c r="O272" s="1055"/>
    </row>
    <row r="273">
      <c r="A273" s="1059"/>
      <c r="B273" s="1059"/>
      <c r="C273" s="1055"/>
      <c r="D273" s="1055"/>
      <c r="E273" s="1056"/>
      <c r="F273" s="1055"/>
      <c r="G273" s="1055"/>
      <c r="H273" s="1056"/>
      <c r="I273" s="1056"/>
      <c r="J273" s="1055"/>
      <c r="K273" s="1055"/>
      <c r="L273" s="1055"/>
      <c r="M273" s="1055"/>
      <c r="N273" s="1055"/>
      <c r="O273" s="1057"/>
    </row>
    <row r="274">
      <c r="A274" s="1059"/>
      <c r="B274" s="1059"/>
      <c r="C274" s="1055"/>
      <c r="D274" s="1055"/>
      <c r="E274" s="1056"/>
      <c r="F274" s="1055"/>
      <c r="G274" s="1055"/>
      <c r="H274" s="1056"/>
      <c r="I274" s="1056"/>
      <c r="J274" s="1055"/>
      <c r="K274" s="1055"/>
      <c r="L274" s="1055"/>
      <c r="M274" s="1055"/>
      <c r="N274" s="1055"/>
      <c r="O274" s="1057"/>
    </row>
    <row r="275">
      <c r="A275" s="1059"/>
      <c r="B275" s="1059"/>
      <c r="C275" s="1055"/>
      <c r="D275" s="1055"/>
      <c r="E275" s="1056"/>
      <c r="F275" s="1055"/>
      <c r="G275" s="1055"/>
      <c r="H275" s="1056"/>
      <c r="I275" s="1056"/>
      <c r="J275" s="1055"/>
      <c r="K275" s="1055"/>
      <c r="L275" s="1055"/>
      <c r="M275" s="1055"/>
      <c r="N275" s="1055"/>
      <c r="O275" s="1057"/>
    </row>
    <row r="276">
      <c r="A276" s="1059"/>
      <c r="B276" s="1059"/>
      <c r="C276" s="1055"/>
      <c r="D276" s="1055"/>
      <c r="E276" s="1056"/>
      <c r="F276" s="1055"/>
      <c r="G276" s="1055"/>
      <c r="H276" s="1056"/>
      <c r="I276" s="1056"/>
      <c r="J276" s="1055"/>
      <c r="K276" s="1055"/>
      <c r="L276" s="1055"/>
      <c r="M276" s="1055"/>
      <c r="N276" s="1055"/>
      <c r="O276" s="1057"/>
    </row>
    <row r="277">
      <c r="A277" s="1059"/>
      <c r="B277" s="1059"/>
      <c r="C277" s="1056"/>
      <c r="D277" s="1056"/>
      <c r="E277" s="1056"/>
      <c r="F277" s="1055"/>
      <c r="G277" s="1055"/>
      <c r="H277" s="1056"/>
      <c r="I277" s="1056"/>
      <c r="J277" s="1055"/>
      <c r="K277" s="1055"/>
      <c r="L277" s="1055"/>
      <c r="M277" s="1055"/>
      <c r="N277" s="1055"/>
      <c r="O277" s="1057"/>
    </row>
    <row r="278">
      <c r="A278" s="1059"/>
      <c r="B278" s="1059"/>
      <c r="C278" s="1056"/>
      <c r="D278" s="1056"/>
      <c r="E278" s="1056"/>
      <c r="F278" s="1055"/>
      <c r="G278" s="1055"/>
      <c r="H278" s="1056"/>
      <c r="I278" s="1056"/>
      <c r="J278" s="1055"/>
      <c r="K278" s="1055"/>
      <c r="L278" s="1055"/>
      <c r="M278" s="1055"/>
      <c r="N278" s="1055"/>
      <c r="O278" s="1057"/>
    </row>
    <row r="279">
      <c r="A279" s="1059"/>
      <c r="B279" s="1059"/>
      <c r="C279" s="1056"/>
      <c r="D279" s="1056"/>
      <c r="E279" s="1056"/>
      <c r="F279" s="1055"/>
      <c r="G279" s="1055"/>
      <c r="H279" s="1056"/>
      <c r="I279" s="1056"/>
      <c r="J279" s="1055"/>
      <c r="K279" s="1055"/>
      <c r="L279" s="1055"/>
      <c r="M279" s="1055"/>
      <c r="N279" s="1055"/>
      <c r="O279" s="1057"/>
    </row>
    <row r="280">
      <c r="A280" s="1059"/>
      <c r="B280" s="1059"/>
      <c r="C280" s="1056"/>
      <c r="D280" s="1056"/>
      <c r="E280" s="1056"/>
      <c r="F280" s="1055"/>
      <c r="G280" s="1055"/>
      <c r="H280" s="1056"/>
      <c r="I280" s="1056"/>
      <c r="J280" s="1055"/>
      <c r="K280" s="1055"/>
      <c r="L280" s="1055"/>
      <c r="M280" s="1055"/>
      <c r="N280" s="1055"/>
      <c r="O280" s="1057"/>
    </row>
    <row r="281">
      <c r="A281" s="1059"/>
      <c r="B281" s="1059"/>
      <c r="C281" s="1056"/>
      <c r="D281" s="1056"/>
      <c r="E281" s="1056"/>
      <c r="F281" s="1055"/>
      <c r="G281" s="1055"/>
      <c r="H281" s="1056"/>
      <c r="I281" s="1056"/>
      <c r="J281" s="1055"/>
      <c r="K281" s="1055"/>
      <c r="L281" s="1055"/>
      <c r="M281" s="1055"/>
      <c r="N281" s="1055"/>
      <c r="O281" s="1057"/>
    </row>
    <row r="282">
      <c r="A282" s="1059"/>
      <c r="B282" s="1059"/>
      <c r="C282" s="1056"/>
      <c r="D282" s="1056"/>
      <c r="E282" s="1056"/>
      <c r="F282" s="1055"/>
      <c r="G282" s="1055"/>
      <c r="H282" s="1056"/>
      <c r="I282" s="1056"/>
      <c r="J282" s="1055"/>
      <c r="K282" s="1055"/>
      <c r="L282" s="1055"/>
      <c r="M282" s="1055"/>
      <c r="N282" s="1055"/>
      <c r="O282" s="1057"/>
    </row>
    <row r="283">
      <c r="A283" s="1059"/>
      <c r="B283" s="1059"/>
      <c r="C283" s="1056"/>
      <c r="D283" s="1056"/>
      <c r="E283" s="1056"/>
      <c r="F283" s="1055"/>
      <c r="G283" s="1055"/>
      <c r="H283" s="1056"/>
      <c r="I283" s="1056"/>
      <c r="J283" s="1055"/>
      <c r="K283" s="1055"/>
      <c r="L283" s="1055"/>
      <c r="M283" s="1055"/>
      <c r="N283" s="1055"/>
      <c r="O283" s="1057"/>
    </row>
    <row r="284">
      <c r="A284" s="1059"/>
      <c r="B284" s="1059"/>
      <c r="C284" s="1056"/>
      <c r="D284" s="1056"/>
      <c r="E284" s="1056"/>
      <c r="F284" s="1055"/>
      <c r="G284" s="1055"/>
      <c r="H284" s="1056"/>
      <c r="I284" s="1056"/>
      <c r="J284" s="1055"/>
      <c r="K284" s="1055"/>
      <c r="L284" s="1055"/>
      <c r="M284" s="1055"/>
      <c r="N284" s="1055"/>
      <c r="O284" s="1057"/>
    </row>
    <row r="285">
      <c r="A285" s="1059"/>
      <c r="B285" s="1059"/>
      <c r="C285" s="1056"/>
      <c r="D285" s="1056"/>
      <c r="E285" s="1056"/>
      <c r="F285" s="1055"/>
      <c r="G285" s="1055"/>
      <c r="H285" s="1056"/>
      <c r="I285" s="1056"/>
      <c r="J285" s="1055"/>
      <c r="K285" s="1055"/>
      <c r="L285" s="1055"/>
      <c r="M285" s="1055"/>
      <c r="N285" s="1055"/>
      <c r="O285" s="1057"/>
    </row>
    <row r="286">
      <c r="A286" s="1059"/>
      <c r="B286" s="1059"/>
      <c r="C286" s="1056"/>
      <c r="D286" s="1056"/>
      <c r="E286" s="1056"/>
      <c r="F286" s="1055"/>
      <c r="G286" s="1055"/>
      <c r="H286" s="1056"/>
      <c r="I286" s="1056"/>
      <c r="J286" s="1055"/>
      <c r="K286" s="1055"/>
      <c r="L286" s="1055"/>
      <c r="M286" s="1055"/>
      <c r="N286" s="1055"/>
      <c r="O286" s="1057"/>
    </row>
    <row r="287">
      <c r="A287" s="1059"/>
      <c r="B287" s="1059"/>
      <c r="C287" s="1056"/>
      <c r="D287" s="1056"/>
      <c r="E287" s="1056"/>
      <c r="F287" s="1055"/>
      <c r="G287" s="1055"/>
      <c r="H287" s="1056"/>
      <c r="I287" s="1056"/>
      <c r="J287" s="1055"/>
      <c r="K287" s="1055"/>
      <c r="L287" s="1055"/>
      <c r="M287" s="1055"/>
      <c r="N287" s="1055"/>
      <c r="O287" s="1057"/>
    </row>
    <row r="288">
      <c r="A288" s="1059"/>
      <c r="B288" s="1059"/>
      <c r="C288" s="1056"/>
      <c r="D288" s="1056"/>
      <c r="E288" s="1056"/>
      <c r="F288" s="1055"/>
      <c r="G288" s="1055"/>
      <c r="H288" s="1056"/>
      <c r="I288" s="1056"/>
      <c r="J288" s="1055"/>
      <c r="K288" s="1055"/>
      <c r="L288" s="1055"/>
      <c r="M288" s="1055"/>
      <c r="N288" s="1055"/>
      <c r="O288" s="1057"/>
    </row>
    <row r="289">
      <c r="A289" s="1059"/>
      <c r="B289" s="1059"/>
      <c r="C289" s="1056"/>
      <c r="D289" s="1056"/>
      <c r="E289" s="1056"/>
      <c r="F289" s="1055"/>
      <c r="G289" s="1055"/>
      <c r="H289" s="1056"/>
      <c r="I289" s="1056"/>
      <c r="J289" s="1055"/>
      <c r="K289" s="1055"/>
      <c r="L289" s="1055"/>
      <c r="M289" s="1055"/>
      <c r="N289" s="1055"/>
      <c r="O289" s="1057"/>
    </row>
    <row r="290">
      <c r="A290" s="1059"/>
      <c r="B290" s="1059"/>
      <c r="C290" s="1056"/>
      <c r="D290" s="1056"/>
      <c r="E290" s="1056"/>
      <c r="F290" s="1055"/>
      <c r="G290" s="1055"/>
      <c r="H290" s="1056"/>
      <c r="I290" s="1056"/>
      <c r="J290" s="1055"/>
      <c r="K290" s="1055"/>
      <c r="L290" s="1055"/>
      <c r="M290" s="1055"/>
      <c r="N290" s="1055"/>
      <c r="O290" s="1055"/>
    </row>
    <row r="291">
      <c r="A291" s="1059"/>
      <c r="B291" s="1059"/>
      <c r="C291" s="1056"/>
      <c r="D291" s="1056"/>
      <c r="E291" s="1056"/>
      <c r="F291" s="1055"/>
      <c r="G291" s="1055"/>
      <c r="H291" s="1056"/>
      <c r="I291" s="1056"/>
      <c r="J291" s="1055"/>
      <c r="K291" s="1055"/>
      <c r="L291" s="1055"/>
      <c r="M291" s="1055"/>
      <c r="N291" s="1055"/>
      <c r="O291" s="1057"/>
    </row>
    <row r="292">
      <c r="A292" s="1059"/>
      <c r="B292" s="1059"/>
      <c r="C292" s="1056"/>
      <c r="D292" s="1056"/>
      <c r="E292" s="1056"/>
      <c r="F292" s="1055"/>
      <c r="G292" s="1055"/>
      <c r="H292" s="1056"/>
      <c r="I292" s="1056"/>
      <c r="J292" s="1055"/>
      <c r="K292" s="1055"/>
      <c r="L292" s="1055"/>
      <c r="M292" s="1055"/>
      <c r="N292" s="1055"/>
      <c r="O292" s="1055"/>
    </row>
    <row r="293">
      <c r="A293" s="1059"/>
      <c r="B293" s="1059"/>
      <c r="C293" s="1056"/>
      <c r="D293" s="1056"/>
      <c r="E293" s="1056"/>
      <c r="F293" s="1055"/>
      <c r="G293" s="1055"/>
      <c r="H293" s="1056"/>
      <c r="I293" s="1056"/>
      <c r="J293" s="1055"/>
      <c r="K293" s="1055"/>
      <c r="L293" s="1055"/>
      <c r="M293" s="1055"/>
      <c r="N293" s="1055"/>
      <c r="O293" s="1057"/>
    </row>
    <row r="294">
      <c r="A294" s="1059"/>
      <c r="B294" s="1059"/>
      <c r="C294" s="1056"/>
      <c r="D294" s="1056"/>
      <c r="E294" s="1056"/>
      <c r="F294" s="1055"/>
      <c r="G294" s="1055"/>
      <c r="H294" s="1056"/>
      <c r="I294" s="1056"/>
      <c r="J294" s="1055"/>
      <c r="K294" s="1055"/>
      <c r="L294" s="1055"/>
      <c r="M294" s="1055"/>
      <c r="N294" s="1055"/>
      <c r="O294" s="1057"/>
    </row>
    <row r="295">
      <c r="A295" s="1059"/>
      <c r="B295" s="1059"/>
      <c r="C295" s="1056"/>
      <c r="D295" s="1056"/>
      <c r="E295" s="1056"/>
      <c r="F295" s="1055"/>
      <c r="G295" s="1055"/>
      <c r="H295" s="1056"/>
      <c r="I295" s="1056"/>
      <c r="J295" s="1055"/>
      <c r="K295" s="1055"/>
      <c r="L295" s="1055"/>
      <c r="M295" s="1055"/>
      <c r="N295" s="1055"/>
      <c r="O295" s="1057"/>
    </row>
    <row r="296">
      <c r="A296" s="1059"/>
      <c r="B296" s="1059"/>
      <c r="C296" s="1056"/>
      <c r="D296" s="1056"/>
      <c r="E296" s="1056"/>
      <c r="F296" s="1055"/>
      <c r="G296" s="1055"/>
      <c r="H296" s="1056"/>
      <c r="I296" s="1056"/>
      <c r="J296" s="1055"/>
      <c r="K296" s="1055"/>
      <c r="L296" s="1055"/>
      <c r="M296" s="1055"/>
      <c r="N296" s="1055"/>
      <c r="O296" s="1057"/>
    </row>
    <row r="297">
      <c r="A297" s="1059"/>
      <c r="B297" s="1059"/>
      <c r="C297" s="1056"/>
      <c r="D297" s="1056"/>
      <c r="E297" s="1056"/>
      <c r="F297" s="1055"/>
      <c r="G297" s="1055"/>
      <c r="H297" s="1056"/>
      <c r="I297" s="1056"/>
      <c r="J297" s="1055"/>
      <c r="K297" s="1055"/>
      <c r="L297" s="1055"/>
      <c r="M297" s="1055"/>
      <c r="N297" s="1055"/>
      <c r="O297" s="1057"/>
    </row>
    <row r="298">
      <c r="A298" s="1059"/>
      <c r="B298" s="1059"/>
      <c r="C298" s="1056"/>
      <c r="D298" s="1056"/>
      <c r="E298" s="1056"/>
      <c r="F298" s="1055"/>
      <c r="G298" s="1055"/>
      <c r="H298" s="1056"/>
      <c r="I298" s="1056"/>
      <c r="J298" s="1055"/>
      <c r="K298" s="1055"/>
      <c r="L298" s="1055"/>
      <c r="M298" s="1055"/>
      <c r="N298" s="1055"/>
      <c r="O298" s="1057"/>
    </row>
    <row r="299">
      <c r="A299" s="1059"/>
      <c r="B299" s="1059"/>
      <c r="C299" s="1056"/>
      <c r="D299" s="1056"/>
      <c r="E299" s="1056"/>
      <c r="F299" s="1055"/>
      <c r="G299" s="1055"/>
      <c r="H299" s="1056"/>
      <c r="I299" s="1056"/>
      <c r="J299" s="1055"/>
      <c r="K299" s="1055"/>
      <c r="L299" s="1055"/>
      <c r="M299" s="1055"/>
      <c r="N299" s="1055"/>
      <c r="O299" s="1057"/>
    </row>
    <row r="300">
      <c r="A300" s="1059"/>
      <c r="B300" s="1059"/>
      <c r="C300" s="1056"/>
      <c r="D300" s="1056"/>
      <c r="E300" s="1056"/>
      <c r="F300" s="1055"/>
      <c r="G300" s="1055"/>
      <c r="H300" s="1056"/>
      <c r="I300" s="1056"/>
      <c r="J300" s="1055"/>
      <c r="K300" s="1055"/>
      <c r="L300" s="1055"/>
      <c r="M300" s="1055"/>
      <c r="N300" s="1055"/>
      <c r="O300" s="1057"/>
    </row>
    <row r="301">
      <c r="A301" s="1059"/>
      <c r="B301" s="1059"/>
      <c r="C301" s="1056"/>
      <c r="D301" s="1056"/>
      <c r="E301" s="1056"/>
      <c r="F301" s="1055"/>
      <c r="G301" s="1055"/>
      <c r="H301" s="1056"/>
      <c r="I301" s="1056"/>
      <c r="J301" s="1055"/>
      <c r="K301" s="1055"/>
      <c r="L301" s="1055"/>
      <c r="M301" s="1055"/>
      <c r="N301" s="1055"/>
      <c r="O301" s="1057"/>
    </row>
    <row r="302">
      <c r="A302" s="1059"/>
      <c r="B302" s="1059"/>
      <c r="C302" s="1056"/>
      <c r="D302" s="1056"/>
      <c r="E302" s="1056"/>
      <c r="F302" s="1055"/>
      <c r="G302" s="1055"/>
      <c r="H302" s="1056"/>
      <c r="I302" s="1056"/>
      <c r="J302" s="1055"/>
      <c r="K302" s="1055"/>
      <c r="L302" s="1055"/>
      <c r="M302" s="1055"/>
      <c r="N302" s="1055"/>
      <c r="O302" s="1057"/>
    </row>
    <row r="303">
      <c r="A303" s="1059"/>
      <c r="B303" s="1059"/>
      <c r="C303" s="1056"/>
      <c r="D303" s="1056"/>
      <c r="E303" s="1056"/>
      <c r="F303" s="1055"/>
      <c r="G303" s="1055"/>
      <c r="H303" s="1056"/>
      <c r="I303" s="1056"/>
      <c r="J303" s="1055"/>
      <c r="K303" s="1055"/>
      <c r="L303" s="1055"/>
      <c r="M303" s="1055"/>
      <c r="N303" s="1055"/>
      <c r="O303" s="1057"/>
    </row>
    <row r="304">
      <c r="A304" s="1059"/>
      <c r="B304" s="1059"/>
      <c r="C304" s="1056"/>
      <c r="D304" s="1056"/>
      <c r="E304" s="1056"/>
      <c r="F304" s="1055"/>
      <c r="G304" s="1055"/>
      <c r="H304" s="1056"/>
      <c r="I304" s="1056"/>
      <c r="J304" s="1055"/>
      <c r="K304" s="1055"/>
      <c r="L304" s="1055"/>
      <c r="M304" s="1055"/>
      <c r="N304" s="1055"/>
      <c r="O304" s="1057"/>
    </row>
    <row r="305">
      <c r="A305" s="1059"/>
      <c r="B305" s="1059"/>
      <c r="C305" s="1056"/>
      <c r="D305" s="1056"/>
      <c r="E305" s="1056"/>
      <c r="F305" s="1055"/>
      <c r="G305" s="1055"/>
      <c r="H305" s="1056"/>
      <c r="I305" s="1056"/>
      <c r="J305" s="1055"/>
      <c r="K305" s="1055"/>
      <c r="L305" s="1055"/>
      <c r="M305" s="1055"/>
      <c r="N305" s="1055"/>
      <c r="O305" s="1057"/>
    </row>
    <row r="306">
      <c r="A306" s="1059"/>
      <c r="B306" s="1059"/>
      <c r="C306" s="1056"/>
      <c r="D306" s="1056"/>
      <c r="E306" s="1056"/>
      <c r="F306" s="1055"/>
      <c r="G306" s="1055"/>
      <c r="H306" s="1056"/>
      <c r="I306" s="1056"/>
      <c r="J306" s="1055"/>
      <c r="K306" s="1055"/>
      <c r="L306" s="1055"/>
      <c r="M306" s="1055"/>
      <c r="N306" s="1055"/>
      <c r="O306" s="1057"/>
    </row>
    <row r="307">
      <c r="A307" s="1059"/>
      <c r="B307" s="1059"/>
      <c r="C307" s="1055"/>
      <c r="D307" s="1055"/>
      <c r="E307" s="1056"/>
      <c r="F307" s="1055"/>
      <c r="G307" s="1055"/>
      <c r="H307" s="1056"/>
      <c r="I307" s="1056"/>
      <c r="J307" s="1055"/>
      <c r="K307" s="1055"/>
      <c r="L307" s="1055"/>
      <c r="M307" s="1055"/>
      <c r="N307" s="1055"/>
      <c r="O307" s="1055"/>
    </row>
    <row r="308">
      <c r="A308" s="1059"/>
      <c r="B308" s="1059"/>
      <c r="C308" s="1056"/>
      <c r="D308" s="1056"/>
      <c r="E308" s="1056"/>
      <c r="F308" s="1055"/>
      <c r="G308" s="1055"/>
      <c r="H308" s="1056"/>
      <c r="I308" s="1056"/>
      <c r="J308" s="1055"/>
      <c r="K308" s="1055"/>
      <c r="L308" s="1055"/>
      <c r="M308" s="1055"/>
      <c r="N308" s="1055"/>
      <c r="O308" s="1055"/>
    </row>
    <row r="309">
      <c r="A309" s="1059"/>
      <c r="B309" s="1059"/>
      <c r="C309" s="1055"/>
      <c r="D309" s="1055"/>
      <c r="E309" s="1056"/>
      <c r="F309" s="1055"/>
      <c r="G309" s="1055"/>
      <c r="H309" s="1056"/>
      <c r="I309" s="1056"/>
      <c r="J309" s="1055"/>
      <c r="K309" s="1055"/>
      <c r="L309" s="1055"/>
      <c r="M309" s="1055"/>
      <c r="N309" s="1055"/>
      <c r="O309" s="1055"/>
    </row>
    <row r="310">
      <c r="A310" s="1059"/>
      <c r="B310" s="1059"/>
      <c r="C310" s="1056"/>
      <c r="D310" s="1056"/>
      <c r="E310" s="1056"/>
      <c r="F310" s="1055"/>
      <c r="G310" s="1055"/>
      <c r="H310" s="1056"/>
      <c r="I310" s="1056"/>
      <c r="J310" s="1055"/>
      <c r="K310" s="1055"/>
      <c r="L310" s="1055"/>
      <c r="M310" s="1055"/>
      <c r="N310" s="1055"/>
      <c r="O310" s="1055"/>
    </row>
    <row r="311">
      <c r="A311" s="1059"/>
      <c r="B311" s="1059"/>
      <c r="C311" s="1055"/>
      <c r="D311" s="1055"/>
      <c r="E311" s="1056"/>
      <c r="F311" s="1055"/>
      <c r="G311" s="1055"/>
      <c r="H311" s="1056"/>
      <c r="I311" s="1056"/>
      <c r="J311" s="1055"/>
      <c r="K311" s="1055"/>
      <c r="L311" s="1055"/>
      <c r="M311" s="1055"/>
      <c r="N311" s="1055"/>
      <c r="O311" s="1055"/>
    </row>
    <row r="312">
      <c r="A312" s="1059"/>
      <c r="B312" s="1059"/>
      <c r="C312" s="1055"/>
      <c r="D312" s="1055"/>
      <c r="E312" s="1056"/>
      <c r="F312" s="1055"/>
      <c r="G312" s="1055"/>
      <c r="H312" s="1056"/>
      <c r="I312" s="1056"/>
      <c r="J312" s="1055"/>
      <c r="K312" s="1055"/>
      <c r="L312" s="1055"/>
      <c r="M312" s="1055"/>
      <c r="N312" s="1055"/>
      <c r="O312" s="1057"/>
    </row>
    <row r="313">
      <c r="A313" s="1059"/>
      <c r="B313" s="1059"/>
      <c r="C313" s="1055"/>
      <c r="D313" s="1055"/>
      <c r="E313" s="1056"/>
      <c r="F313" s="1055"/>
      <c r="G313" s="1055"/>
      <c r="H313" s="1056"/>
      <c r="I313" s="1056"/>
      <c r="J313" s="1055"/>
      <c r="K313" s="1055"/>
      <c r="L313" s="1055"/>
      <c r="M313" s="1055"/>
      <c r="N313" s="1055"/>
      <c r="O313" s="1055"/>
    </row>
    <row r="314">
      <c r="A314" s="1059"/>
      <c r="B314" s="1059"/>
      <c r="C314" s="1055"/>
      <c r="D314" s="1055"/>
      <c r="E314" s="1056"/>
      <c r="F314" s="1055"/>
      <c r="G314" s="1055"/>
      <c r="H314" s="1056"/>
      <c r="I314" s="1056"/>
      <c r="J314" s="1055"/>
      <c r="K314" s="1055"/>
      <c r="L314" s="1055"/>
      <c r="M314" s="1055"/>
      <c r="N314" s="1055"/>
      <c r="O314" s="1055"/>
    </row>
    <row r="315">
      <c r="A315" s="1059"/>
      <c r="B315" s="1059"/>
      <c r="C315" s="1056"/>
      <c r="D315" s="1056"/>
      <c r="E315" s="1056"/>
      <c r="F315" s="1055"/>
      <c r="G315" s="1055"/>
      <c r="H315" s="1056"/>
      <c r="I315" s="1056"/>
      <c r="J315" s="1055"/>
      <c r="K315" s="1055"/>
      <c r="L315" s="1055"/>
      <c r="M315" s="1055"/>
      <c r="N315" s="1055"/>
      <c r="O315" s="1057"/>
    </row>
    <row r="316">
      <c r="A316" s="1059"/>
      <c r="B316" s="1059"/>
      <c r="C316" s="1055"/>
      <c r="D316" s="1055"/>
      <c r="E316" s="1056"/>
      <c r="F316" s="1055"/>
      <c r="G316" s="1055"/>
      <c r="H316" s="1056"/>
      <c r="I316" s="1056"/>
      <c r="J316" s="1055"/>
      <c r="K316" s="1055"/>
      <c r="L316" s="1055"/>
      <c r="M316" s="1055"/>
      <c r="N316" s="1055"/>
      <c r="O316" s="1057"/>
    </row>
    <row r="317">
      <c r="A317" s="1059"/>
      <c r="B317" s="1059"/>
      <c r="C317" s="1055"/>
      <c r="D317" s="1055"/>
      <c r="E317" s="1056"/>
      <c r="F317" s="1055"/>
      <c r="G317" s="1055"/>
      <c r="H317" s="1056"/>
      <c r="I317" s="1056"/>
      <c r="J317" s="1055"/>
      <c r="K317" s="1055"/>
      <c r="L317" s="1055"/>
      <c r="M317" s="1055"/>
      <c r="N317" s="1055"/>
      <c r="O317" s="1057"/>
    </row>
    <row r="318">
      <c r="A318" s="1059"/>
      <c r="B318" s="1059"/>
      <c r="C318" s="1055"/>
      <c r="D318" s="1055"/>
      <c r="E318" s="1056"/>
      <c r="F318" s="1055"/>
      <c r="G318" s="1055"/>
      <c r="H318" s="1056"/>
      <c r="I318" s="1056"/>
      <c r="J318" s="1055"/>
      <c r="K318" s="1055"/>
      <c r="L318" s="1055"/>
      <c r="M318" s="1055"/>
      <c r="N318" s="1055"/>
      <c r="O318" s="1055"/>
    </row>
    <row r="319">
      <c r="A319" s="1059"/>
      <c r="B319" s="1059"/>
      <c r="C319" s="1056"/>
      <c r="D319" s="1056"/>
      <c r="E319" s="1056"/>
      <c r="F319" s="1055"/>
      <c r="G319" s="1055"/>
      <c r="H319" s="1056"/>
      <c r="I319" s="1056"/>
      <c r="J319" s="1055"/>
      <c r="K319" s="1055"/>
      <c r="L319" s="1055"/>
      <c r="M319" s="1055"/>
      <c r="N319" s="1055"/>
      <c r="O319" s="1055"/>
    </row>
    <row r="320">
      <c r="A320" s="1059"/>
      <c r="B320" s="1059"/>
      <c r="C320" s="1055"/>
      <c r="D320" s="1055"/>
      <c r="E320" s="1056"/>
      <c r="F320" s="1055"/>
      <c r="G320" s="1055"/>
      <c r="H320" s="1056"/>
      <c r="I320" s="1056"/>
      <c r="J320" s="1055"/>
      <c r="K320" s="1055"/>
      <c r="L320" s="1055"/>
      <c r="M320" s="1055"/>
      <c r="N320" s="1055"/>
      <c r="O320" s="1055"/>
    </row>
    <row r="321">
      <c r="A321" s="1059"/>
      <c r="B321" s="1059"/>
      <c r="C321" s="1056"/>
      <c r="D321" s="1056"/>
      <c r="E321" s="1056"/>
      <c r="F321" s="1055"/>
      <c r="G321" s="1055"/>
      <c r="H321" s="1056"/>
      <c r="I321" s="1056"/>
      <c r="J321" s="1055"/>
      <c r="K321" s="1055"/>
      <c r="L321" s="1055"/>
      <c r="M321" s="1055"/>
      <c r="N321" s="1055"/>
      <c r="O321" s="1055"/>
    </row>
    <row r="322">
      <c r="A322" s="1059"/>
      <c r="B322" s="1059"/>
      <c r="C322" s="1055"/>
      <c r="D322" s="1055"/>
      <c r="E322" s="1056"/>
      <c r="F322" s="1055"/>
      <c r="G322" s="1055"/>
      <c r="H322" s="1056"/>
      <c r="I322" s="1056"/>
      <c r="J322" s="1055"/>
      <c r="K322" s="1055"/>
      <c r="L322" s="1055"/>
      <c r="M322" s="1055"/>
      <c r="N322" s="1055"/>
      <c r="O322" s="1055"/>
    </row>
    <row r="323">
      <c r="A323" s="1059"/>
      <c r="B323" s="1059"/>
      <c r="C323" s="1056"/>
      <c r="D323" s="1056"/>
      <c r="E323" s="1056"/>
      <c r="F323" s="1055"/>
      <c r="G323" s="1055"/>
      <c r="H323" s="1056"/>
      <c r="I323" s="1056"/>
      <c r="J323" s="1055"/>
      <c r="K323" s="1055"/>
      <c r="L323" s="1055"/>
      <c r="M323" s="1055"/>
      <c r="N323" s="1055"/>
      <c r="O323" s="1057"/>
    </row>
    <row r="324">
      <c r="A324" s="1059"/>
      <c r="B324" s="1059"/>
      <c r="C324" s="1055"/>
      <c r="D324" s="1055"/>
      <c r="E324" s="1056"/>
      <c r="F324" s="1055"/>
      <c r="G324" s="1055"/>
      <c r="H324" s="1056"/>
      <c r="I324" s="1056"/>
      <c r="J324" s="1055"/>
      <c r="K324" s="1055"/>
      <c r="L324" s="1055"/>
      <c r="M324" s="1055"/>
      <c r="N324" s="1055"/>
      <c r="O324" s="1057"/>
    </row>
    <row r="325">
      <c r="A325" s="1059"/>
      <c r="B325" s="1059"/>
      <c r="C325" s="1056"/>
      <c r="D325" s="1056"/>
      <c r="E325" s="1056"/>
      <c r="F325" s="1055"/>
      <c r="G325" s="1055"/>
      <c r="H325" s="1056"/>
      <c r="I325" s="1056"/>
      <c r="J325" s="1055"/>
      <c r="K325" s="1055"/>
      <c r="L325" s="1055"/>
      <c r="M325" s="1055"/>
      <c r="N325" s="1055"/>
      <c r="O325" s="1057"/>
    </row>
    <row r="326">
      <c r="A326" s="1059"/>
      <c r="B326" s="1059"/>
      <c r="C326" s="1055"/>
      <c r="D326" s="1055"/>
      <c r="E326" s="1056"/>
      <c r="F326" s="1055"/>
      <c r="G326" s="1055"/>
      <c r="H326" s="1056"/>
      <c r="I326" s="1056"/>
      <c r="J326" s="1055"/>
      <c r="K326" s="1055"/>
      <c r="L326" s="1055"/>
      <c r="M326" s="1055"/>
      <c r="N326" s="1055"/>
      <c r="O326" s="1057"/>
    </row>
    <row r="327">
      <c r="A327" s="1059"/>
      <c r="B327" s="1059"/>
      <c r="C327" s="1056"/>
      <c r="D327" s="1056"/>
      <c r="E327" s="1056"/>
      <c r="F327" s="1055"/>
      <c r="G327" s="1055"/>
      <c r="H327" s="1056"/>
      <c r="I327" s="1056"/>
      <c r="J327" s="1055"/>
      <c r="K327" s="1055"/>
      <c r="L327" s="1055"/>
      <c r="M327" s="1055"/>
      <c r="N327" s="1055"/>
      <c r="O327" s="1055"/>
    </row>
    <row r="328">
      <c r="A328" s="1059"/>
      <c r="B328" s="1059"/>
      <c r="C328" s="1055"/>
      <c r="D328" s="1055"/>
      <c r="E328" s="1056"/>
      <c r="F328" s="1055"/>
      <c r="G328" s="1055"/>
      <c r="H328" s="1056"/>
      <c r="I328" s="1056"/>
      <c r="J328" s="1055"/>
      <c r="K328" s="1055"/>
      <c r="L328" s="1055"/>
      <c r="M328" s="1055"/>
      <c r="N328" s="1055"/>
      <c r="O328" s="1055"/>
    </row>
    <row r="329">
      <c r="A329" s="1059"/>
      <c r="B329" s="1059"/>
      <c r="C329" s="1055"/>
      <c r="D329" s="1055"/>
      <c r="E329" s="1056"/>
      <c r="F329" s="1055"/>
      <c r="G329" s="1055"/>
      <c r="H329" s="1056"/>
      <c r="I329" s="1056"/>
      <c r="J329" s="1055"/>
      <c r="K329" s="1055"/>
      <c r="L329" s="1055"/>
      <c r="M329" s="1055"/>
      <c r="N329" s="1055"/>
      <c r="O329" s="1057"/>
    </row>
    <row r="330">
      <c r="A330" s="1059"/>
      <c r="B330" s="1059"/>
      <c r="C330" s="1055"/>
      <c r="D330" s="1055"/>
      <c r="E330" s="1056"/>
      <c r="F330" s="1055"/>
      <c r="G330" s="1055"/>
      <c r="H330" s="1056"/>
      <c r="I330" s="1056"/>
      <c r="J330" s="1055"/>
      <c r="K330" s="1055"/>
      <c r="L330" s="1055"/>
      <c r="M330" s="1055"/>
      <c r="N330" s="1055"/>
      <c r="O330" s="1057"/>
    </row>
    <row r="331">
      <c r="A331" s="1059"/>
      <c r="B331" s="1059"/>
      <c r="C331" s="1055"/>
      <c r="D331" s="1055"/>
      <c r="E331" s="1056"/>
      <c r="F331" s="1055"/>
      <c r="G331" s="1055"/>
      <c r="H331" s="1056"/>
      <c r="I331" s="1056"/>
      <c r="J331" s="1055"/>
      <c r="K331" s="1055"/>
      <c r="L331" s="1055"/>
      <c r="M331" s="1055"/>
      <c r="N331" s="1055"/>
      <c r="O331" s="1057"/>
    </row>
    <row r="332">
      <c r="A332" s="1059"/>
      <c r="B332" s="1059"/>
      <c r="C332" s="1055"/>
      <c r="D332" s="1055"/>
      <c r="E332" s="1056"/>
      <c r="F332" s="1055"/>
      <c r="G332" s="1055"/>
      <c r="H332" s="1056"/>
      <c r="I332" s="1056"/>
      <c r="J332" s="1055"/>
      <c r="K332" s="1055"/>
      <c r="L332" s="1055"/>
      <c r="M332" s="1055"/>
      <c r="N332" s="1055"/>
      <c r="O332" s="1057"/>
    </row>
    <row r="333">
      <c r="A333" s="1059"/>
      <c r="B333" s="1059"/>
      <c r="C333" s="1055"/>
      <c r="D333" s="1055"/>
      <c r="E333" s="1056"/>
      <c r="F333" s="1055"/>
      <c r="G333" s="1055"/>
      <c r="H333" s="1056"/>
      <c r="I333" s="1056"/>
      <c r="J333" s="1055"/>
      <c r="K333" s="1055"/>
      <c r="L333" s="1055"/>
      <c r="M333" s="1055"/>
      <c r="N333" s="1055"/>
      <c r="O333" s="1057"/>
    </row>
    <row r="334">
      <c r="A334" s="1059"/>
      <c r="B334" s="1059"/>
      <c r="C334" s="1055"/>
      <c r="D334" s="1055"/>
      <c r="E334" s="1056"/>
      <c r="F334" s="1055"/>
      <c r="G334" s="1055"/>
      <c r="H334" s="1056"/>
      <c r="I334" s="1056"/>
      <c r="J334" s="1055"/>
      <c r="K334" s="1055"/>
      <c r="L334" s="1055"/>
      <c r="M334" s="1055"/>
      <c r="N334" s="1055"/>
      <c r="O334" s="1057"/>
    </row>
    <row r="335">
      <c r="A335" s="1059"/>
      <c r="B335" s="1059"/>
      <c r="C335" s="1056"/>
      <c r="D335" s="1055"/>
      <c r="E335" s="1056"/>
      <c r="F335" s="1055"/>
      <c r="G335" s="1055"/>
      <c r="H335" s="1056"/>
      <c r="I335" s="1056"/>
      <c r="J335" s="1055"/>
      <c r="K335" s="1055"/>
      <c r="L335" s="1055"/>
      <c r="M335" s="1055"/>
      <c r="N335" s="1055"/>
      <c r="O335" s="1057"/>
    </row>
    <row r="336">
      <c r="A336" s="1059"/>
      <c r="B336" s="1059"/>
      <c r="C336" s="1055"/>
      <c r="D336" s="1055"/>
      <c r="E336" s="1056"/>
      <c r="F336" s="1055"/>
      <c r="G336" s="1055"/>
      <c r="H336" s="1056"/>
      <c r="I336" s="1056"/>
      <c r="J336" s="1055"/>
      <c r="K336" s="1055"/>
      <c r="L336" s="1055"/>
      <c r="M336" s="1055"/>
      <c r="N336" s="1055"/>
      <c r="O336" s="1057"/>
    </row>
    <row r="337">
      <c r="A337" s="1059"/>
      <c r="B337" s="1059"/>
      <c r="C337" s="1055"/>
      <c r="D337" s="1055"/>
      <c r="E337" s="1056"/>
      <c r="F337" s="1055"/>
      <c r="G337" s="1055"/>
      <c r="H337" s="1056"/>
      <c r="I337" s="1056"/>
      <c r="J337" s="1055"/>
      <c r="K337" s="1055"/>
      <c r="L337" s="1055"/>
      <c r="M337" s="1055"/>
      <c r="N337" s="1055"/>
      <c r="O337" s="1057"/>
    </row>
    <row r="338">
      <c r="A338" s="1059"/>
      <c r="B338" s="1059"/>
      <c r="C338" s="1055"/>
      <c r="D338" s="1055"/>
      <c r="E338" s="1056"/>
      <c r="F338" s="1055"/>
      <c r="G338" s="1055"/>
      <c r="H338" s="1056"/>
      <c r="I338" s="1056"/>
      <c r="J338" s="1055"/>
      <c r="K338" s="1055"/>
      <c r="L338" s="1055"/>
      <c r="M338" s="1055"/>
      <c r="N338" s="1055"/>
      <c r="O338" s="1057"/>
    </row>
    <row r="339">
      <c r="A339" s="1059"/>
      <c r="B339" s="1059"/>
      <c r="C339" s="1055"/>
      <c r="D339" s="1055"/>
      <c r="E339" s="1056"/>
      <c r="F339" s="1055"/>
      <c r="G339" s="1055"/>
      <c r="H339" s="1056"/>
      <c r="I339" s="1056"/>
      <c r="J339" s="1055"/>
      <c r="K339" s="1055"/>
      <c r="L339" s="1055"/>
      <c r="M339" s="1055"/>
      <c r="N339" s="1055"/>
      <c r="O339" s="1057"/>
    </row>
    <row r="340">
      <c r="A340" s="1059"/>
      <c r="B340" s="1059"/>
      <c r="C340" s="1055"/>
      <c r="D340" s="1055"/>
      <c r="E340" s="1056"/>
      <c r="F340" s="1055"/>
      <c r="G340" s="1055"/>
      <c r="H340" s="1056"/>
      <c r="I340" s="1056"/>
      <c r="J340" s="1055"/>
      <c r="K340" s="1055"/>
      <c r="L340" s="1055"/>
      <c r="M340" s="1055"/>
      <c r="N340" s="1055"/>
      <c r="O340" s="1057"/>
    </row>
    <row r="341">
      <c r="A341" s="1059"/>
      <c r="B341" s="1059"/>
      <c r="C341" s="1055"/>
      <c r="D341" s="1055"/>
      <c r="E341" s="1056"/>
      <c r="F341" s="1055"/>
      <c r="G341" s="1055"/>
      <c r="H341" s="1056"/>
      <c r="I341" s="1056"/>
      <c r="J341" s="1055"/>
      <c r="K341" s="1055"/>
      <c r="L341" s="1055"/>
      <c r="M341" s="1055"/>
      <c r="N341" s="1055"/>
      <c r="O341" s="1057"/>
    </row>
    <row r="342">
      <c r="A342" s="1059"/>
      <c r="B342" s="1059"/>
      <c r="C342" s="1055"/>
      <c r="D342" s="1055"/>
      <c r="E342" s="1056"/>
      <c r="F342" s="1055"/>
      <c r="G342" s="1055"/>
      <c r="H342" s="1056"/>
      <c r="I342" s="1056"/>
      <c r="J342" s="1055"/>
      <c r="K342" s="1055"/>
      <c r="L342" s="1055"/>
      <c r="M342" s="1055"/>
      <c r="N342" s="1055"/>
      <c r="O342" s="1057"/>
    </row>
    <row r="343">
      <c r="A343" s="1059"/>
      <c r="B343" s="1059"/>
      <c r="C343" s="1055"/>
      <c r="D343" s="1055"/>
      <c r="E343" s="1056"/>
      <c r="F343" s="1055"/>
      <c r="G343" s="1055"/>
      <c r="H343" s="1056"/>
      <c r="I343" s="1056"/>
      <c r="J343" s="1055"/>
      <c r="K343" s="1055"/>
      <c r="L343" s="1055"/>
      <c r="M343" s="1055"/>
      <c r="N343" s="1055"/>
      <c r="O343" s="1057"/>
    </row>
    <row r="344">
      <c r="A344" s="1059"/>
      <c r="B344" s="1059"/>
      <c r="C344" s="1055"/>
      <c r="D344" s="1055"/>
      <c r="E344" s="1056"/>
      <c r="F344" s="1055"/>
      <c r="G344" s="1055"/>
      <c r="H344" s="1056"/>
      <c r="I344" s="1056"/>
      <c r="J344" s="1055"/>
      <c r="K344" s="1055"/>
      <c r="L344" s="1055"/>
      <c r="M344" s="1055"/>
      <c r="N344" s="1055"/>
      <c r="O344" s="1055"/>
    </row>
    <row r="345">
      <c r="A345" s="1059"/>
      <c r="B345" s="1059"/>
      <c r="C345" s="1055"/>
      <c r="D345" s="1055"/>
      <c r="E345" s="1056"/>
      <c r="F345" s="1055"/>
      <c r="G345" s="1055"/>
      <c r="H345" s="1056"/>
      <c r="I345" s="1056"/>
      <c r="J345" s="1055"/>
      <c r="K345" s="1055"/>
      <c r="L345" s="1055"/>
      <c r="M345" s="1055"/>
      <c r="N345" s="1055"/>
      <c r="O345" s="1057"/>
    </row>
    <row r="346">
      <c r="A346" s="1059"/>
      <c r="B346" s="1059"/>
      <c r="C346" s="1055"/>
      <c r="D346" s="1055"/>
      <c r="E346" s="1056"/>
      <c r="F346" s="1055"/>
      <c r="G346" s="1055"/>
      <c r="H346" s="1056"/>
      <c r="I346" s="1056"/>
      <c r="J346" s="1055"/>
      <c r="K346" s="1055"/>
      <c r="L346" s="1055"/>
      <c r="M346" s="1055"/>
      <c r="N346" s="1055"/>
      <c r="O346" s="1057"/>
    </row>
    <row r="347">
      <c r="A347" s="1059"/>
      <c r="B347" s="1059"/>
      <c r="C347" s="1055"/>
      <c r="D347" s="1055"/>
      <c r="E347" s="1056"/>
      <c r="F347" s="1055"/>
      <c r="G347" s="1055"/>
      <c r="H347" s="1056"/>
      <c r="I347" s="1056"/>
      <c r="J347" s="1055"/>
      <c r="K347" s="1055"/>
      <c r="L347" s="1055"/>
      <c r="M347" s="1055"/>
      <c r="N347" s="1055"/>
      <c r="O347" s="1057"/>
    </row>
    <row r="348">
      <c r="A348" s="1059"/>
      <c r="B348" s="1059"/>
      <c r="C348" s="1055"/>
      <c r="D348" s="1055"/>
      <c r="E348" s="1056"/>
      <c r="F348" s="1055"/>
      <c r="G348" s="1055"/>
      <c r="H348" s="1056"/>
      <c r="I348" s="1056"/>
      <c r="J348" s="1055"/>
      <c r="K348" s="1055"/>
      <c r="L348" s="1055"/>
      <c r="M348" s="1055"/>
      <c r="N348" s="1055"/>
      <c r="O348" s="1057"/>
    </row>
    <row r="349">
      <c r="A349" s="1059"/>
      <c r="B349" s="1059"/>
      <c r="C349" s="1055"/>
      <c r="D349" s="1055"/>
      <c r="E349" s="1056"/>
      <c r="F349" s="1055"/>
      <c r="G349" s="1055"/>
      <c r="H349" s="1056"/>
      <c r="I349" s="1056"/>
      <c r="J349" s="1055"/>
      <c r="K349" s="1055"/>
      <c r="L349" s="1055"/>
      <c r="M349" s="1055"/>
      <c r="N349" s="1055"/>
      <c r="O349" s="1057"/>
    </row>
    <row r="350">
      <c r="A350" s="1059"/>
      <c r="B350" s="1059"/>
      <c r="C350" s="1055"/>
      <c r="D350" s="1055"/>
      <c r="E350" s="1056"/>
      <c r="F350" s="1055"/>
      <c r="G350" s="1055"/>
      <c r="H350" s="1056"/>
      <c r="I350" s="1056"/>
      <c r="J350" s="1055"/>
      <c r="K350" s="1055"/>
      <c r="L350" s="1055"/>
      <c r="M350" s="1055"/>
      <c r="N350" s="1055"/>
      <c r="O350" s="1057"/>
    </row>
    <row r="351">
      <c r="A351" s="1059"/>
      <c r="B351" s="1059"/>
      <c r="C351" s="1055"/>
      <c r="D351" s="1055"/>
      <c r="E351" s="1056"/>
      <c r="F351" s="1055"/>
      <c r="G351" s="1055"/>
      <c r="H351" s="1056"/>
      <c r="I351" s="1056"/>
      <c r="J351" s="1055"/>
      <c r="K351" s="1055"/>
      <c r="L351" s="1055"/>
      <c r="M351" s="1055"/>
      <c r="N351" s="1055"/>
      <c r="O351" s="1057"/>
    </row>
    <row r="352">
      <c r="A352" s="1059"/>
      <c r="B352" s="1059"/>
      <c r="C352" s="1055"/>
      <c r="D352" s="1055"/>
      <c r="E352" s="1056"/>
      <c r="F352" s="1055"/>
      <c r="G352" s="1055"/>
      <c r="H352" s="1056"/>
      <c r="I352" s="1056"/>
      <c r="J352" s="1055"/>
      <c r="K352" s="1055"/>
      <c r="L352" s="1055"/>
      <c r="M352" s="1055"/>
      <c r="N352" s="1055"/>
      <c r="O352" s="1057"/>
    </row>
    <row r="353">
      <c r="A353" s="1059"/>
      <c r="B353" s="1059"/>
      <c r="C353" s="1055"/>
      <c r="D353" s="1055"/>
      <c r="E353" s="1056"/>
      <c r="F353" s="1055"/>
      <c r="G353" s="1055"/>
      <c r="H353" s="1056"/>
      <c r="I353" s="1056"/>
      <c r="J353" s="1055"/>
      <c r="K353" s="1055"/>
      <c r="L353" s="1055"/>
      <c r="M353" s="1055"/>
      <c r="N353" s="1055"/>
      <c r="O353" s="1057"/>
    </row>
    <row r="354">
      <c r="A354" s="1059"/>
      <c r="B354" s="1059"/>
      <c r="C354" s="1055"/>
      <c r="D354" s="1055"/>
      <c r="E354" s="1056"/>
      <c r="F354" s="1055"/>
      <c r="G354" s="1055"/>
      <c r="H354" s="1056"/>
      <c r="I354" s="1056"/>
      <c r="J354" s="1055"/>
      <c r="K354" s="1055"/>
      <c r="L354" s="1055"/>
      <c r="M354" s="1055"/>
      <c r="N354" s="1055"/>
      <c r="O354" s="1057"/>
    </row>
    <row r="355">
      <c r="A355" s="1059"/>
      <c r="B355" s="1059"/>
      <c r="C355" s="1055"/>
      <c r="D355" s="1055"/>
      <c r="E355" s="1056"/>
      <c r="F355" s="1055"/>
      <c r="G355" s="1055"/>
      <c r="H355" s="1056"/>
      <c r="I355" s="1056"/>
      <c r="J355" s="1055"/>
      <c r="K355" s="1055"/>
      <c r="L355" s="1055"/>
      <c r="M355" s="1055"/>
      <c r="N355" s="1055"/>
      <c r="O355" s="1057"/>
    </row>
    <row r="356">
      <c r="A356" s="1059"/>
      <c r="B356" s="1059"/>
      <c r="C356" s="1055"/>
      <c r="D356" s="1055"/>
      <c r="E356" s="1056"/>
      <c r="F356" s="1055"/>
      <c r="G356" s="1055"/>
      <c r="H356" s="1056"/>
      <c r="I356" s="1056"/>
      <c r="J356" s="1055"/>
      <c r="K356" s="1055"/>
      <c r="L356" s="1055"/>
      <c r="M356" s="1055"/>
      <c r="N356" s="1055"/>
      <c r="O356" s="1057"/>
    </row>
    <row r="357">
      <c r="A357" s="1059"/>
      <c r="B357" s="1059"/>
      <c r="C357" s="1055"/>
      <c r="D357" s="1055"/>
      <c r="E357" s="1056"/>
      <c r="F357" s="1055"/>
      <c r="G357" s="1055"/>
      <c r="H357" s="1056"/>
      <c r="I357" s="1056"/>
      <c r="J357" s="1055"/>
      <c r="K357" s="1055"/>
      <c r="L357" s="1055"/>
      <c r="M357" s="1055"/>
      <c r="N357" s="1055"/>
      <c r="O357" s="1057"/>
    </row>
    <row r="358">
      <c r="A358" s="1059"/>
      <c r="B358" s="1059"/>
      <c r="C358" s="1055"/>
      <c r="D358" s="1055"/>
      <c r="E358" s="1056"/>
      <c r="F358" s="1055"/>
      <c r="G358" s="1055"/>
      <c r="H358" s="1056"/>
      <c r="I358" s="1056"/>
      <c r="J358" s="1055"/>
      <c r="K358" s="1055"/>
      <c r="L358" s="1055"/>
      <c r="M358" s="1055"/>
      <c r="N358" s="1055"/>
      <c r="O358" s="1057"/>
    </row>
    <row r="359">
      <c r="A359" s="1059"/>
      <c r="B359" s="1059"/>
      <c r="C359" s="1056"/>
      <c r="D359" s="1056"/>
      <c r="E359" s="1056"/>
      <c r="F359" s="1055"/>
      <c r="G359" s="1055"/>
      <c r="H359" s="1056"/>
      <c r="I359" s="1056"/>
      <c r="J359" s="1055"/>
      <c r="K359" s="1055"/>
      <c r="L359" s="1055"/>
      <c r="M359" s="1055"/>
      <c r="N359" s="1055"/>
      <c r="O359" s="1057"/>
    </row>
    <row r="360">
      <c r="A360" s="1059"/>
      <c r="B360" s="1059"/>
      <c r="C360" s="1056"/>
      <c r="D360" s="1056"/>
      <c r="E360" s="1056"/>
      <c r="F360" s="1055"/>
      <c r="G360" s="1055"/>
      <c r="H360" s="1056"/>
      <c r="I360" s="1056"/>
      <c r="J360" s="1055"/>
      <c r="K360" s="1055"/>
      <c r="L360" s="1055"/>
      <c r="M360" s="1055"/>
      <c r="N360" s="1055"/>
      <c r="O360" s="1057"/>
    </row>
    <row r="361">
      <c r="A361" s="1059"/>
      <c r="B361" s="1059"/>
      <c r="C361" s="1056"/>
      <c r="D361" s="1056"/>
      <c r="E361" s="1056"/>
      <c r="F361" s="1055"/>
      <c r="G361" s="1055"/>
      <c r="H361" s="1056"/>
      <c r="I361" s="1056"/>
      <c r="J361" s="1055"/>
      <c r="K361" s="1055"/>
      <c r="L361" s="1055"/>
      <c r="M361" s="1055"/>
      <c r="N361" s="1055"/>
      <c r="O361" s="1057"/>
    </row>
    <row r="362">
      <c r="A362" s="1059"/>
      <c r="B362" s="1059"/>
      <c r="C362" s="1056"/>
      <c r="D362" s="1056"/>
      <c r="E362" s="1056"/>
      <c r="F362" s="1055"/>
      <c r="G362" s="1055"/>
      <c r="H362" s="1056"/>
      <c r="I362" s="1056"/>
      <c r="J362" s="1055"/>
      <c r="K362" s="1055"/>
      <c r="L362" s="1055"/>
      <c r="M362" s="1055"/>
      <c r="N362" s="1055"/>
      <c r="O362" s="1057"/>
    </row>
    <row r="363">
      <c r="A363" s="1059"/>
      <c r="B363" s="1059"/>
      <c r="C363" s="1056"/>
      <c r="D363" s="1056"/>
      <c r="E363" s="1056"/>
      <c r="F363" s="1055"/>
      <c r="G363" s="1055"/>
      <c r="H363" s="1056"/>
      <c r="I363" s="1056"/>
      <c r="J363" s="1055"/>
      <c r="K363" s="1055"/>
      <c r="L363" s="1055"/>
      <c r="M363" s="1055"/>
      <c r="N363" s="1055"/>
      <c r="O363" s="1057"/>
    </row>
    <row r="364">
      <c r="A364" s="1059"/>
      <c r="B364" s="1059"/>
      <c r="C364" s="1056"/>
      <c r="D364" s="1056"/>
      <c r="E364" s="1056"/>
      <c r="F364" s="1055"/>
      <c r="G364" s="1055"/>
      <c r="H364" s="1056"/>
      <c r="I364" s="1056"/>
      <c r="J364" s="1055"/>
      <c r="K364" s="1055"/>
      <c r="L364" s="1055"/>
      <c r="M364" s="1055"/>
      <c r="N364" s="1055"/>
      <c r="O364" s="1057"/>
    </row>
    <row r="365">
      <c r="A365" s="1059"/>
      <c r="B365" s="1059"/>
      <c r="C365" s="1056"/>
      <c r="D365" s="1056"/>
      <c r="E365" s="1056"/>
      <c r="F365" s="1055"/>
      <c r="G365" s="1055"/>
      <c r="H365" s="1056"/>
      <c r="I365" s="1056"/>
      <c r="J365" s="1055"/>
      <c r="K365" s="1055"/>
      <c r="L365" s="1055"/>
      <c r="M365" s="1055"/>
      <c r="N365" s="1055"/>
      <c r="O365" s="1057"/>
    </row>
    <row r="366">
      <c r="A366" s="1059"/>
      <c r="B366" s="1059"/>
      <c r="C366" s="1056"/>
      <c r="D366" s="1056"/>
      <c r="E366" s="1056"/>
      <c r="F366" s="1055"/>
      <c r="G366" s="1055"/>
      <c r="H366" s="1056"/>
      <c r="I366" s="1056"/>
      <c r="J366" s="1055"/>
      <c r="K366" s="1055"/>
      <c r="L366" s="1055"/>
      <c r="M366" s="1055"/>
      <c r="N366" s="1055"/>
      <c r="O366" s="1057"/>
    </row>
    <row r="367">
      <c r="A367" s="1059"/>
      <c r="B367" s="1059"/>
      <c r="C367" s="1056"/>
      <c r="D367" s="1056"/>
      <c r="E367" s="1056"/>
      <c r="F367" s="1055"/>
      <c r="G367" s="1055"/>
      <c r="H367" s="1056"/>
      <c r="I367" s="1056"/>
      <c r="J367" s="1055"/>
      <c r="K367" s="1055"/>
      <c r="L367" s="1055"/>
      <c r="M367" s="1055"/>
      <c r="N367" s="1055"/>
      <c r="O367" s="1055"/>
    </row>
    <row r="368">
      <c r="A368" s="1059"/>
      <c r="B368" s="1059"/>
      <c r="C368" s="1056"/>
      <c r="D368" s="1056"/>
      <c r="E368" s="1056"/>
      <c r="F368" s="1055"/>
      <c r="G368" s="1055"/>
      <c r="H368" s="1056"/>
      <c r="I368" s="1056"/>
      <c r="J368" s="1055"/>
      <c r="K368" s="1055"/>
      <c r="L368" s="1055"/>
      <c r="M368" s="1055"/>
      <c r="N368" s="1055"/>
      <c r="O368" s="1055"/>
    </row>
    <row r="369">
      <c r="A369" s="1059"/>
      <c r="B369" s="1059"/>
      <c r="C369" s="1056"/>
      <c r="D369" s="1056"/>
      <c r="E369" s="1056"/>
      <c r="F369" s="1055"/>
      <c r="G369" s="1055"/>
      <c r="H369" s="1056"/>
      <c r="I369" s="1056"/>
      <c r="J369" s="1055"/>
      <c r="K369" s="1055"/>
      <c r="L369" s="1055"/>
      <c r="M369" s="1055"/>
      <c r="N369" s="1055"/>
      <c r="O369" s="1055"/>
    </row>
    <row r="370">
      <c r="A370" s="1059"/>
      <c r="B370" s="1059"/>
      <c r="C370" s="1056"/>
      <c r="D370" s="1056"/>
      <c r="E370" s="1056"/>
      <c r="F370" s="1055"/>
      <c r="G370" s="1055"/>
      <c r="H370" s="1056"/>
      <c r="I370" s="1056"/>
      <c r="J370" s="1055"/>
      <c r="K370" s="1055"/>
      <c r="L370" s="1055"/>
      <c r="M370" s="1055"/>
      <c r="N370" s="1055"/>
      <c r="O370" s="1055"/>
    </row>
    <row r="371">
      <c r="A371" s="1059"/>
      <c r="B371" s="1059"/>
      <c r="C371" s="1056"/>
      <c r="D371" s="1056"/>
      <c r="E371" s="1056"/>
      <c r="F371" s="1055"/>
      <c r="G371" s="1055"/>
      <c r="H371" s="1056"/>
      <c r="I371" s="1056"/>
      <c r="J371" s="1055"/>
      <c r="K371" s="1055"/>
      <c r="L371" s="1055"/>
      <c r="M371" s="1055"/>
      <c r="N371" s="1055"/>
      <c r="O371" s="1055"/>
    </row>
    <row r="372">
      <c r="A372" s="1059"/>
      <c r="B372" s="1059"/>
      <c r="C372" s="1056"/>
      <c r="D372" s="1056"/>
      <c r="E372" s="1056"/>
      <c r="F372" s="1055"/>
      <c r="G372" s="1055"/>
      <c r="H372" s="1056"/>
      <c r="I372" s="1056"/>
      <c r="J372" s="1055"/>
      <c r="K372" s="1055"/>
      <c r="L372" s="1055"/>
      <c r="M372" s="1055"/>
      <c r="N372" s="1055"/>
      <c r="O372" s="1055"/>
    </row>
    <row r="373">
      <c r="A373" s="1059"/>
      <c r="B373" s="1059"/>
      <c r="C373" s="1056"/>
      <c r="D373" s="1056"/>
      <c r="E373" s="1056"/>
      <c r="F373" s="1055"/>
      <c r="G373" s="1055"/>
      <c r="H373" s="1056"/>
      <c r="I373" s="1056"/>
      <c r="J373" s="1055"/>
      <c r="K373" s="1055"/>
      <c r="L373" s="1055"/>
      <c r="M373" s="1055"/>
      <c r="N373" s="1055"/>
      <c r="O373" s="1055"/>
    </row>
    <row r="374">
      <c r="A374" s="1059"/>
      <c r="B374" s="1059"/>
      <c r="C374" s="1056"/>
      <c r="D374" s="1056"/>
      <c r="E374" s="1056"/>
      <c r="F374" s="1055"/>
      <c r="G374" s="1055"/>
      <c r="H374" s="1056"/>
      <c r="I374" s="1056"/>
      <c r="J374" s="1055"/>
      <c r="K374" s="1055"/>
      <c r="L374" s="1055"/>
      <c r="M374" s="1055"/>
      <c r="N374" s="1055"/>
      <c r="O374" s="1055"/>
    </row>
    <row r="375">
      <c r="A375" s="1059"/>
      <c r="B375" s="1059"/>
      <c r="C375" s="1056"/>
      <c r="D375" s="1056"/>
      <c r="E375" s="1056"/>
      <c r="F375" s="1055"/>
      <c r="G375" s="1055"/>
      <c r="H375" s="1056"/>
      <c r="I375" s="1056"/>
      <c r="J375" s="1055"/>
      <c r="K375" s="1055"/>
      <c r="L375" s="1055"/>
      <c r="M375" s="1055"/>
      <c r="N375" s="1055"/>
      <c r="O375" s="1057"/>
    </row>
    <row r="376">
      <c r="A376" s="1059"/>
      <c r="B376" s="1059"/>
      <c r="C376" s="1056"/>
      <c r="D376" s="1056"/>
      <c r="E376" s="1056"/>
      <c r="F376" s="1055"/>
      <c r="G376" s="1055"/>
      <c r="H376" s="1056"/>
      <c r="I376" s="1056"/>
      <c r="J376" s="1055"/>
      <c r="K376" s="1055"/>
      <c r="L376" s="1055"/>
      <c r="M376" s="1055"/>
      <c r="N376" s="1055"/>
      <c r="O376" s="1055"/>
    </row>
    <row r="377">
      <c r="A377" s="1059"/>
      <c r="B377" s="1059"/>
      <c r="C377" s="1056"/>
      <c r="D377" s="1056"/>
      <c r="E377" s="1056"/>
      <c r="F377" s="1055"/>
      <c r="G377" s="1055"/>
      <c r="H377" s="1056"/>
      <c r="I377" s="1056"/>
      <c r="J377" s="1055"/>
      <c r="K377" s="1055"/>
      <c r="L377" s="1055"/>
      <c r="M377" s="1055"/>
      <c r="N377" s="1055"/>
      <c r="O377" s="1055"/>
    </row>
    <row r="378">
      <c r="A378" s="1059"/>
      <c r="B378" s="1059"/>
      <c r="C378" s="1056"/>
      <c r="D378" s="1056"/>
      <c r="E378" s="1056"/>
      <c r="F378" s="1055"/>
      <c r="G378" s="1055"/>
      <c r="H378" s="1056"/>
      <c r="I378" s="1056"/>
      <c r="J378" s="1055"/>
      <c r="K378" s="1055"/>
      <c r="L378" s="1055"/>
      <c r="M378" s="1055"/>
      <c r="N378" s="1055"/>
      <c r="O378" s="1057"/>
    </row>
    <row r="379">
      <c r="A379" s="1059"/>
      <c r="B379" s="1059"/>
      <c r="C379" s="1056"/>
      <c r="D379" s="1056"/>
      <c r="E379" s="1056"/>
      <c r="F379" s="1055"/>
      <c r="G379" s="1055"/>
      <c r="H379" s="1056"/>
      <c r="I379" s="1056"/>
      <c r="J379" s="1055"/>
      <c r="K379" s="1055"/>
      <c r="L379" s="1055"/>
      <c r="M379" s="1055"/>
      <c r="N379" s="1055"/>
      <c r="O379" s="1055"/>
    </row>
    <row r="380">
      <c r="A380" s="1059"/>
      <c r="B380" s="1059"/>
      <c r="C380" s="1056"/>
      <c r="D380" s="1056"/>
      <c r="E380" s="1056"/>
      <c r="F380" s="1055"/>
      <c r="G380" s="1055"/>
      <c r="H380" s="1056"/>
      <c r="I380" s="1056"/>
      <c r="J380" s="1055"/>
      <c r="K380" s="1055"/>
      <c r="L380" s="1055"/>
      <c r="M380" s="1055"/>
      <c r="N380" s="1055"/>
      <c r="O380" s="1057"/>
    </row>
    <row r="381">
      <c r="A381" s="1059"/>
      <c r="B381" s="1059"/>
      <c r="C381" s="1056"/>
      <c r="D381" s="1056"/>
      <c r="E381" s="1056"/>
      <c r="F381" s="1055"/>
      <c r="G381" s="1055"/>
      <c r="H381" s="1056"/>
      <c r="I381" s="1056"/>
      <c r="J381" s="1055"/>
      <c r="K381" s="1055"/>
      <c r="L381" s="1055"/>
      <c r="M381" s="1055"/>
      <c r="N381" s="1055"/>
      <c r="O381" s="1055"/>
    </row>
    <row r="382">
      <c r="A382" s="1059"/>
      <c r="B382" s="1059"/>
      <c r="C382" s="1056"/>
      <c r="D382" s="1056"/>
      <c r="E382" s="1056"/>
      <c r="F382" s="1055"/>
      <c r="G382" s="1055"/>
      <c r="H382" s="1056"/>
      <c r="I382" s="1056"/>
      <c r="J382" s="1055"/>
      <c r="K382" s="1055"/>
      <c r="L382" s="1055"/>
      <c r="M382" s="1055"/>
      <c r="N382" s="1055"/>
      <c r="O382" s="1055"/>
    </row>
    <row r="383">
      <c r="A383" s="1059"/>
      <c r="B383" s="1059"/>
      <c r="C383" s="1056"/>
      <c r="D383" s="1056"/>
      <c r="E383" s="1056"/>
      <c r="F383" s="1055"/>
      <c r="G383" s="1055"/>
      <c r="H383" s="1056"/>
      <c r="I383" s="1056"/>
      <c r="J383" s="1055"/>
      <c r="K383" s="1055"/>
      <c r="L383" s="1055"/>
      <c r="M383" s="1055"/>
      <c r="N383" s="1055"/>
      <c r="O383" s="1057"/>
    </row>
    <row r="384">
      <c r="A384" s="1059"/>
      <c r="B384" s="1059"/>
      <c r="C384" s="1056"/>
      <c r="D384" s="1056"/>
      <c r="E384" s="1056"/>
      <c r="F384" s="1055"/>
      <c r="G384" s="1055"/>
      <c r="H384" s="1056"/>
      <c r="I384" s="1056"/>
      <c r="J384" s="1055"/>
      <c r="K384" s="1055"/>
      <c r="L384" s="1055"/>
      <c r="M384" s="1055"/>
      <c r="N384" s="1055"/>
      <c r="O384" s="1057"/>
    </row>
    <row r="385">
      <c r="A385" s="1059"/>
      <c r="B385" s="1059"/>
      <c r="C385" s="1056"/>
      <c r="D385" s="1056"/>
      <c r="E385" s="1056"/>
      <c r="F385" s="1055"/>
      <c r="G385" s="1055"/>
      <c r="H385" s="1056"/>
      <c r="I385" s="1056"/>
      <c r="J385" s="1055"/>
      <c r="K385" s="1055"/>
      <c r="L385" s="1055"/>
      <c r="M385" s="1055"/>
      <c r="N385" s="1055"/>
      <c r="O385" s="1057"/>
    </row>
    <row r="386">
      <c r="A386" s="1059"/>
      <c r="B386" s="1059"/>
      <c r="C386" s="1056"/>
      <c r="D386" s="1056"/>
      <c r="E386" s="1056"/>
      <c r="F386" s="1055"/>
      <c r="G386" s="1055"/>
      <c r="H386" s="1056"/>
      <c r="I386" s="1056"/>
      <c r="J386" s="1055"/>
      <c r="K386" s="1055"/>
      <c r="L386" s="1055"/>
      <c r="M386" s="1055"/>
      <c r="N386" s="1055"/>
      <c r="O386" s="1057"/>
    </row>
    <row r="387">
      <c r="A387" s="1059"/>
      <c r="B387" s="1059"/>
      <c r="C387" s="1056"/>
      <c r="D387" s="1056"/>
      <c r="E387" s="1056"/>
      <c r="F387" s="1055"/>
      <c r="G387" s="1055"/>
      <c r="H387" s="1056"/>
      <c r="I387" s="1056"/>
      <c r="J387" s="1055"/>
      <c r="K387" s="1055"/>
      <c r="L387" s="1055"/>
      <c r="M387" s="1055"/>
      <c r="N387" s="1055"/>
      <c r="O387" s="1057"/>
    </row>
    <row r="388">
      <c r="A388" s="1059"/>
      <c r="B388" s="1059"/>
      <c r="C388" s="1056"/>
      <c r="D388" s="1056"/>
      <c r="E388" s="1056"/>
      <c r="F388" s="1055"/>
      <c r="G388" s="1055"/>
      <c r="H388" s="1056"/>
      <c r="I388" s="1056"/>
      <c r="J388" s="1055"/>
      <c r="K388" s="1055"/>
      <c r="L388" s="1055"/>
      <c r="M388" s="1055"/>
      <c r="N388" s="1055"/>
      <c r="O388" s="1055"/>
    </row>
    <row r="389">
      <c r="A389" s="1059"/>
      <c r="B389" s="1059"/>
      <c r="C389" s="1056"/>
      <c r="D389" s="1056"/>
      <c r="E389" s="1056"/>
      <c r="F389" s="1055"/>
      <c r="G389" s="1055"/>
      <c r="H389" s="1056"/>
      <c r="I389" s="1056"/>
      <c r="J389" s="1055"/>
      <c r="K389" s="1055"/>
      <c r="L389" s="1055"/>
      <c r="M389" s="1055"/>
      <c r="N389" s="1055"/>
      <c r="O389" s="1055"/>
    </row>
    <row r="390">
      <c r="A390" s="1059"/>
      <c r="B390" s="1059"/>
      <c r="C390" s="1056"/>
      <c r="D390" s="1056"/>
      <c r="E390" s="1056"/>
      <c r="F390" s="1055"/>
      <c r="G390" s="1055"/>
      <c r="H390" s="1056"/>
      <c r="I390" s="1056"/>
      <c r="J390" s="1055"/>
      <c r="K390" s="1055"/>
      <c r="L390" s="1055"/>
      <c r="M390" s="1055"/>
      <c r="N390" s="1055"/>
      <c r="O390" s="1055"/>
    </row>
    <row r="391">
      <c r="A391" s="1059"/>
      <c r="B391" s="1059"/>
      <c r="C391" s="1056"/>
      <c r="D391" s="1056"/>
      <c r="E391" s="1056"/>
      <c r="F391" s="1055"/>
      <c r="G391" s="1055"/>
      <c r="H391" s="1056"/>
      <c r="I391" s="1056"/>
      <c r="J391" s="1055"/>
      <c r="K391" s="1055"/>
      <c r="L391" s="1055"/>
      <c r="M391" s="1055"/>
      <c r="N391" s="1055"/>
      <c r="O391" s="1055"/>
    </row>
    <row r="392">
      <c r="A392" s="1059"/>
      <c r="B392" s="1059"/>
      <c r="C392" s="1056"/>
      <c r="D392" s="1056"/>
      <c r="E392" s="1056"/>
      <c r="F392" s="1055"/>
      <c r="G392" s="1055"/>
      <c r="H392" s="1056"/>
      <c r="I392" s="1056"/>
      <c r="J392" s="1055"/>
      <c r="K392" s="1055"/>
      <c r="L392" s="1055"/>
      <c r="M392" s="1055"/>
      <c r="N392" s="1055"/>
      <c r="O392" s="1055"/>
    </row>
    <row r="393">
      <c r="A393" s="1059"/>
      <c r="B393" s="1059"/>
      <c r="C393" s="1055"/>
      <c r="D393" s="1055"/>
      <c r="E393" s="1056"/>
      <c r="F393" s="1055"/>
      <c r="G393" s="1055"/>
      <c r="H393" s="1056"/>
      <c r="I393" s="1056"/>
      <c r="J393" s="1055"/>
      <c r="K393" s="1055"/>
      <c r="L393" s="1055"/>
      <c r="M393" s="1055"/>
      <c r="N393" s="1055"/>
      <c r="O393" s="1057"/>
    </row>
    <row r="394">
      <c r="A394" s="1059"/>
      <c r="B394" s="1059"/>
      <c r="C394" s="1055"/>
      <c r="D394" s="1055"/>
      <c r="E394" s="1056"/>
      <c r="F394" s="1055"/>
      <c r="G394" s="1055"/>
      <c r="H394" s="1056"/>
      <c r="I394" s="1056"/>
      <c r="J394" s="1055"/>
      <c r="K394" s="1055"/>
      <c r="L394" s="1055"/>
      <c r="M394" s="1055"/>
      <c r="N394" s="1055"/>
      <c r="O394" s="1057"/>
    </row>
    <row r="395">
      <c r="A395" s="1059"/>
      <c r="B395" s="1059"/>
      <c r="C395" s="1055"/>
      <c r="D395" s="1055"/>
      <c r="E395" s="1056"/>
      <c r="F395" s="1055"/>
      <c r="G395" s="1055"/>
      <c r="H395" s="1056"/>
      <c r="I395" s="1056"/>
      <c r="J395" s="1055"/>
      <c r="K395" s="1055"/>
      <c r="L395" s="1055"/>
      <c r="M395" s="1055"/>
      <c r="N395" s="1055"/>
      <c r="O395" s="1057"/>
    </row>
    <row r="396">
      <c r="A396" s="1059"/>
      <c r="B396" s="1059"/>
      <c r="C396" s="1055"/>
      <c r="D396" s="1055"/>
      <c r="E396" s="1056"/>
      <c r="F396" s="1055"/>
      <c r="G396" s="1055"/>
      <c r="H396" s="1056"/>
      <c r="I396" s="1056"/>
      <c r="J396" s="1055"/>
      <c r="K396" s="1055"/>
      <c r="L396" s="1055"/>
      <c r="M396" s="1055"/>
      <c r="N396" s="1055"/>
      <c r="O396" s="1057"/>
    </row>
    <row r="397">
      <c r="A397" s="1059"/>
      <c r="B397" s="1059"/>
      <c r="C397" s="1055"/>
      <c r="D397" s="1055"/>
      <c r="E397" s="1056"/>
      <c r="F397" s="1055"/>
      <c r="G397" s="1055"/>
      <c r="H397" s="1056"/>
      <c r="I397" s="1056"/>
      <c r="J397" s="1055"/>
      <c r="K397" s="1055"/>
      <c r="L397" s="1055"/>
      <c r="M397" s="1055"/>
      <c r="N397" s="1055"/>
      <c r="O397" s="1057"/>
    </row>
    <row r="398">
      <c r="A398" s="1059"/>
      <c r="B398" s="1059"/>
      <c r="C398" s="1055"/>
      <c r="D398" s="1055"/>
      <c r="E398" s="1056"/>
      <c r="F398" s="1055"/>
      <c r="G398" s="1055"/>
      <c r="H398" s="1056"/>
      <c r="I398" s="1056"/>
      <c r="J398" s="1055"/>
      <c r="K398" s="1055"/>
      <c r="L398" s="1055"/>
      <c r="M398" s="1055"/>
      <c r="N398" s="1055"/>
      <c r="O398" s="1057"/>
    </row>
    <row r="399">
      <c r="A399" s="1059"/>
      <c r="B399" s="1059"/>
      <c r="C399" s="1055"/>
      <c r="D399" s="1055"/>
      <c r="E399" s="1056"/>
      <c r="F399" s="1055"/>
      <c r="G399" s="1055"/>
      <c r="H399" s="1056"/>
      <c r="I399" s="1056"/>
      <c r="J399" s="1055"/>
      <c r="K399" s="1055"/>
      <c r="L399" s="1055"/>
      <c r="M399" s="1055"/>
      <c r="N399" s="1055"/>
      <c r="O399" s="1057"/>
    </row>
    <row r="400">
      <c r="A400" s="1059"/>
      <c r="B400" s="1059"/>
      <c r="C400" s="1055"/>
      <c r="D400" s="1055"/>
      <c r="E400" s="1056"/>
      <c r="F400" s="1055"/>
      <c r="G400" s="1055"/>
      <c r="H400" s="1056"/>
      <c r="I400" s="1056"/>
      <c r="J400" s="1055"/>
      <c r="K400" s="1055"/>
      <c r="L400" s="1055"/>
      <c r="M400" s="1055"/>
      <c r="N400" s="1055"/>
      <c r="O400" s="1057"/>
    </row>
    <row r="401">
      <c r="A401" s="1059"/>
      <c r="B401" s="1059"/>
      <c r="C401" s="1055"/>
      <c r="D401" s="1055"/>
      <c r="E401" s="1056"/>
      <c r="F401" s="1055"/>
      <c r="G401" s="1055"/>
      <c r="H401" s="1056"/>
      <c r="I401" s="1056"/>
      <c r="J401" s="1055"/>
      <c r="K401" s="1055"/>
      <c r="L401" s="1055"/>
      <c r="M401" s="1055"/>
      <c r="N401" s="1055"/>
      <c r="O401" s="1057"/>
    </row>
    <row r="402">
      <c r="A402" s="1059"/>
      <c r="B402" s="1059"/>
      <c r="C402" s="1056"/>
      <c r="D402" s="1056"/>
      <c r="E402" s="1056"/>
      <c r="F402" s="1055"/>
      <c r="G402" s="1055"/>
      <c r="H402" s="1056"/>
      <c r="I402" s="1056"/>
      <c r="J402" s="1055"/>
      <c r="K402" s="1055"/>
      <c r="L402" s="1055"/>
      <c r="M402" s="1055"/>
      <c r="N402" s="1055"/>
      <c r="O402" s="1057"/>
    </row>
    <row r="403">
      <c r="A403" s="1059"/>
      <c r="B403" s="1059"/>
      <c r="C403" s="1056"/>
      <c r="D403" s="1056"/>
      <c r="E403" s="1056"/>
      <c r="F403" s="1055"/>
      <c r="G403" s="1055"/>
      <c r="H403" s="1056"/>
      <c r="I403" s="1056"/>
      <c r="J403" s="1055"/>
      <c r="K403" s="1055"/>
      <c r="L403" s="1055"/>
      <c r="M403" s="1055"/>
      <c r="N403" s="1055"/>
      <c r="O403" s="1057"/>
    </row>
    <row r="404">
      <c r="A404" s="1059"/>
      <c r="B404" s="1059"/>
      <c r="C404" s="1056"/>
      <c r="D404" s="1056"/>
      <c r="E404" s="1056"/>
      <c r="F404" s="1055"/>
      <c r="G404" s="1055"/>
      <c r="H404" s="1056"/>
      <c r="I404" s="1056"/>
      <c r="J404" s="1055"/>
      <c r="K404" s="1055"/>
      <c r="L404" s="1055"/>
      <c r="M404" s="1055"/>
      <c r="N404" s="1055"/>
      <c r="O404" s="1057"/>
    </row>
    <row r="405">
      <c r="A405" s="1059"/>
      <c r="B405" s="1059"/>
      <c r="C405" s="1056"/>
      <c r="D405" s="1056"/>
      <c r="E405" s="1056"/>
      <c r="F405" s="1055"/>
      <c r="G405" s="1055"/>
      <c r="H405" s="1056"/>
      <c r="I405" s="1056"/>
      <c r="J405" s="1055"/>
      <c r="K405" s="1055"/>
      <c r="L405" s="1055"/>
      <c r="M405" s="1055"/>
      <c r="N405" s="1055"/>
      <c r="O405" s="1057"/>
    </row>
    <row r="406">
      <c r="A406" s="1059"/>
      <c r="B406" s="1059"/>
      <c r="C406" s="1055"/>
      <c r="D406" s="1055"/>
      <c r="E406" s="1056"/>
      <c r="F406" s="1055"/>
      <c r="G406" s="1055"/>
      <c r="H406" s="1056"/>
      <c r="I406" s="1056"/>
      <c r="J406" s="1055"/>
      <c r="K406" s="1055"/>
      <c r="L406" s="1055"/>
      <c r="M406" s="1055"/>
      <c r="N406" s="1055"/>
      <c r="O406" s="1057"/>
    </row>
    <row r="407">
      <c r="A407" s="1059"/>
      <c r="B407" s="1059"/>
      <c r="C407" s="1055"/>
      <c r="D407" s="1055"/>
      <c r="E407" s="1056"/>
      <c r="F407" s="1055"/>
      <c r="G407" s="1055"/>
      <c r="H407" s="1056"/>
      <c r="I407" s="1056"/>
      <c r="J407" s="1055"/>
      <c r="K407" s="1055"/>
      <c r="L407" s="1055"/>
      <c r="M407" s="1055"/>
      <c r="N407" s="1055"/>
      <c r="O407" s="1057"/>
    </row>
    <row r="408">
      <c r="A408" s="1059"/>
      <c r="B408" s="1059"/>
      <c r="C408" s="1055"/>
      <c r="D408" s="1055"/>
      <c r="E408" s="1056"/>
      <c r="F408" s="1055"/>
      <c r="G408" s="1055"/>
      <c r="H408" s="1056"/>
      <c r="I408" s="1056"/>
      <c r="J408" s="1055"/>
      <c r="K408" s="1055"/>
      <c r="L408" s="1055"/>
      <c r="M408" s="1055"/>
      <c r="N408" s="1055"/>
      <c r="O408" s="1057"/>
    </row>
    <row r="409">
      <c r="A409" s="1059"/>
      <c r="B409" s="1059"/>
      <c r="C409" s="1055"/>
      <c r="D409" s="1055"/>
      <c r="E409" s="1056"/>
      <c r="F409" s="1055"/>
      <c r="G409" s="1055"/>
      <c r="H409" s="1056"/>
      <c r="I409" s="1056"/>
      <c r="J409" s="1055"/>
      <c r="K409" s="1055"/>
      <c r="L409" s="1055"/>
      <c r="M409" s="1055"/>
      <c r="N409" s="1055"/>
      <c r="O409" s="1057"/>
    </row>
  </sheetData>
  <autoFilter ref="$A$1:$V$409"/>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s>
  <drawing r:id="rId44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outlineLevelRow="1"/>
  <cols>
    <col customWidth="1" min="1" max="1" width="5.88"/>
    <col customWidth="1" min="2" max="3" width="44.75"/>
    <col customWidth="1" min="4" max="4" width="10.88"/>
    <col customWidth="1" min="5" max="5" width="19.75"/>
    <col customWidth="1" hidden="1" min="6" max="6" width="10.75"/>
    <col customWidth="1" min="7" max="7" width="18.63"/>
    <col customWidth="1" hidden="1" min="8" max="8" width="9.38"/>
    <col customWidth="1" min="9" max="9" width="20.38"/>
    <col customWidth="1" min="10" max="10" width="18.75"/>
    <col customWidth="1" min="11" max="11" width="15.25"/>
    <col customWidth="1" min="12" max="12" width="17.13"/>
    <col customWidth="1" hidden="1" min="13" max="13" width="22.13"/>
    <col customWidth="1" min="14" max="14" width="16.38"/>
    <col customWidth="1" min="15" max="15" width="16.25"/>
    <col customWidth="1" min="16" max="25" width="16.88"/>
    <col customWidth="1" min="26" max="27" width="16.38"/>
    <col customWidth="1" min="28" max="45" width="16.75"/>
    <col customWidth="1" min="46" max="46" width="18.63"/>
    <col customWidth="1" min="47" max="52" width="16.25"/>
    <col customWidth="1" min="53" max="55" width="24.25"/>
    <col customWidth="1" min="56" max="56" width="153.13"/>
    <col customWidth="1" min="57" max="57" width="16.25"/>
    <col customWidth="1" min="58" max="58" width="51.75"/>
  </cols>
  <sheetData>
    <row r="1" ht="111.0" customHeight="1">
      <c r="A1" s="1"/>
      <c r="B1" s="2"/>
      <c r="C1" s="3"/>
      <c r="D1" s="1060" t="s">
        <v>1749</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1061"/>
      <c r="BC1" s="1062"/>
      <c r="BE1" s="497"/>
      <c r="BF1" s="497"/>
    </row>
    <row r="2">
      <c r="A2" s="1063"/>
      <c r="B2" s="1064" t="s">
        <v>1750</v>
      </c>
      <c r="C2" s="1065"/>
      <c r="D2" s="1066"/>
      <c r="E2" s="1066"/>
      <c r="F2" s="1066"/>
      <c r="G2" s="1066"/>
      <c r="H2" s="1066"/>
      <c r="I2" s="1066"/>
      <c r="J2" s="1066"/>
      <c r="K2" s="1066"/>
      <c r="L2" s="1066"/>
      <c r="M2" s="1067" t="s">
        <v>1751</v>
      </c>
      <c r="N2" s="1068" t="s">
        <v>2</v>
      </c>
      <c r="O2" s="1069"/>
      <c r="P2" s="1069"/>
      <c r="Q2" s="1069"/>
      <c r="R2" s="1069"/>
      <c r="S2" s="1069"/>
      <c r="T2" s="1069"/>
      <c r="U2" s="1069"/>
      <c r="V2" s="1069"/>
      <c r="W2" s="1069"/>
      <c r="X2" s="1069"/>
      <c r="Y2" s="1070"/>
      <c r="Z2" s="1071" t="s">
        <v>3</v>
      </c>
      <c r="AA2" s="1069"/>
      <c r="AB2" s="1069"/>
      <c r="AC2" s="1069"/>
      <c r="AD2" s="1069"/>
      <c r="AE2" s="1069"/>
      <c r="AF2" s="1069"/>
      <c r="AG2" s="1069"/>
      <c r="AH2" s="1069"/>
      <c r="AI2" s="1069"/>
      <c r="AJ2" s="1069"/>
      <c r="AK2" s="1070"/>
      <c r="AL2" s="1071" t="s">
        <v>4</v>
      </c>
      <c r="AM2" s="1069"/>
      <c r="AN2" s="1069"/>
      <c r="AO2" s="1069"/>
      <c r="AP2" s="1069"/>
      <c r="AQ2" s="1069"/>
      <c r="AR2" s="1069"/>
      <c r="AS2" s="1070"/>
      <c r="AT2" s="1072" t="s">
        <v>1752</v>
      </c>
      <c r="AU2" s="1069"/>
      <c r="AV2" s="1069"/>
      <c r="AW2" s="1069"/>
      <c r="AX2" s="1069"/>
      <c r="AY2" s="1069"/>
      <c r="AZ2" s="1069"/>
      <c r="BA2" s="1069"/>
      <c r="BB2" s="1069"/>
      <c r="BC2" s="1073"/>
      <c r="BD2" s="497"/>
      <c r="BE2" s="497"/>
      <c r="BF2" s="497"/>
    </row>
    <row r="3" ht="54.0" customHeight="1">
      <c r="A3" s="14"/>
      <c r="B3" s="1074" t="s">
        <v>298</v>
      </c>
      <c r="C3" s="1075"/>
      <c r="D3" s="1076" t="s">
        <v>11</v>
      </c>
      <c r="E3" s="1077" t="s">
        <v>12</v>
      </c>
      <c r="F3" s="1078" t="s">
        <v>13</v>
      </c>
      <c r="G3" s="1077" t="s">
        <v>14</v>
      </c>
      <c r="H3" s="1079" t="s">
        <v>13</v>
      </c>
      <c r="I3" s="1080" t="s">
        <v>1753</v>
      </c>
      <c r="J3" s="1080" t="s">
        <v>1754</v>
      </c>
      <c r="K3" s="1075" t="s">
        <v>305</v>
      </c>
      <c r="L3" s="1081" t="s">
        <v>306</v>
      </c>
      <c r="M3" s="1082" t="s">
        <v>1755</v>
      </c>
      <c r="N3" s="1083" t="s">
        <v>30</v>
      </c>
      <c r="O3" s="1084" t="s">
        <v>31</v>
      </c>
      <c r="P3" s="1085" t="s">
        <v>32</v>
      </c>
      <c r="Q3" s="1086" t="s">
        <v>33</v>
      </c>
      <c r="R3" s="1087" t="s">
        <v>34</v>
      </c>
      <c r="S3" s="1088" t="s">
        <v>35</v>
      </c>
      <c r="T3" s="1089" t="s">
        <v>36</v>
      </c>
      <c r="U3" s="1090" t="s">
        <v>37</v>
      </c>
      <c r="V3" s="1091" t="s">
        <v>38</v>
      </c>
      <c r="W3" s="1091" t="s">
        <v>39</v>
      </c>
      <c r="X3" s="1091" t="s">
        <v>40</v>
      </c>
      <c r="Y3" s="1092" t="s">
        <v>64</v>
      </c>
      <c r="Z3" s="1093" t="s">
        <v>30</v>
      </c>
      <c r="AA3" s="1084" t="s">
        <v>31</v>
      </c>
      <c r="AB3" s="1094" t="s">
        <v>32</v>
      </c>
      <c r="AC3" s="1095" t="s">
        <v>33</v>
      </c>
      <c r="AD3" s="1096" t="s">
        <v>34</v>
      </c>
      <c r="AE3" s="1097" t="s">
        <v>35</v>
      </c>
      <c r="AF3" s="1098" t="s">
        <v>36</v>
      </c>
      <c r="AG3" s="1099" t="s">
        <v>37</v>
      </c>
      <c r="AH3" s="1091" t="s">
        <v>38</v>
      </c>
      <c r="AI3" s="1091" t="s">
        <v>39</v>
      </c>
      <c r="AJ3" s="1091" t="s">
        <v>40</v>
      </c>
      <c r="AK3" s="1100" t="s">
        <v>64</v>
      </c>
      <c r="AL3" s="1083" t="s">
        <v>30</v>
      </c>
      <c r="AM3" s="1084" t="s">
        <v>31</v>
      </c>
      <c r="AN3" s="1085" t="s">
        <v>32</v>
      </c>
      <c r="AO3" s="1101" t="s">
        <v>33</v>
      </c>
      <c r="AP3" s="1102" t="s">
        <v>34</v>
      </c>
      <c r="AQ3" s="1103" t="s">
        <v>35</v>
      </c>
      <c r="AR3" s="1104" t="s">
        <v>36</v>
      </c>
      <c r="AS3" s="1100" t="s">
        <v>64</v>
      </c>
      <c r="AT3" s="1083" t="s">
        <v>30</v>
      </c>
      <c r="AU3" s="1105" t="s">
        <v>31</v>
      </c>
      <c r="AV3" s="1106" t="s">
        <v>32</v>
      </c>
      <c r="AW3" s="1107" t="s">
        <v>33</v>
      </c>
      <c r="AX3" s="1108" t="s">
        <v>34</v>
      </c>
      <c r="AY3" s="1109" t="s">
        <v>35</v>
      </c>
      <c r="AZ3" s="1110" t="s">
        <v>36</v>
      </c>
      <c r="BA3" s="1111" t="s">
        <v>37</v>
      </c>
      <c r="BB3" s="1112" t="s">
        <v>38</v>
      </c>
      <c r="BC3" s="1113" t="s">
        <v>64</v>
      </c>
      <c r="BD3" s="556"/>
      <c r="BE3" s="556"/>
      <c r="BF3" s="556"/>
    </row>
    <row r="4">
      <c r="A4" s="53">
        <v>1.0</v>
      </c>
      <c r="B4" s="1114" t="s">
        <v>77</v>
      </c>
      <c r="C4" s="53">
        <v>1.0</v>
      </c>
      <c r="D4" s="1115"/>
      <c r="E4" s="1115"/>
      <c r="F4" s="1115"/>
      <c r="G4" s="1115"/>
      <c r="H4" s="1115"/>
      <c r="I4" s="1115"/>
      <c r="J4" s="1115"/>
      <c r="K4" s="1115"/>
      <c r="L4" s="1115"/>
      <c r="M4" s="1115"/>
      <c r="N4" s="1115"/>
      <c r="O4" s="1115"/>
      <c r="P4" s="1115"/>
      <c r="Q4" s="1115"/>
      <c r="R4" s="1115"/>
      <c r="S4" s="1115"/>
      <c r="T4" s="1115"/>
      <c r="U4" s="1115"/>
      <c r="V4" s="1115"/>
      <c r="W4" s="1115"/>
      <c r="X4" s="1115"/>
      <c r="Y4" s="1115"/>
      <c r="Z4" s="1115"/>
      <c r="AA4" s="1115"/>
      <c r="AB4" s="1115"/>
      <c r="AC4" s="1115"/>
      <c r="AD4" s="1115"/>
      <c r="AE4" s="1115"/>
      <c r="AF4" s="1115"/>
      <c r="AG4" s="1115"/>
      <c r="AH4" s="1115"/>
      <c r="AI4" s="1115"/>
      <c r="AJ4" s="1115"/>
      <c r="AK4" s="1115"/>
      <c r="AL4" s="1115"/>
      <c r="AM4" s="1115"/>
      <c r="AN4" s="1115"/>
      <c r="AO4" s="1115"/>
      <c r="AP4" s="1115"/>
      <c r="AQ4" s="1115"/>
      <c r="AR4" s="1115"/>
      <c r="AS4" s="1115"/>
      <c r="AT4" s="1115"/>
      <c r="AU4" s="1115"/>
      <c r="AV4" s="1115"/>
      <c r="AW4" s="1115"/>
      <c r="AX4" s="1115"/>
      <c r="AY4" s="1115"/>
      <c r="AZ4" s="1115"/>
      <c r="BA4" s="1115"/>
      <c r="BB4" s="1115"/>
      <c r="BC4" s="1116"/>
      <c r="BD4" s="545"/>
      <c r="BE4" s="545"/>
      <c r="BF4" s="545"/>
    </row>
    <row r="5" ht="16.5" customHeight="1" outlineLevel="1">
      <c r="A5" s="53">
        <v>2.0</v>
      </c>
      <c r="B5" s="1117" t="s">
        <v>79</v>
      </c>
      <c r="C5" s="53">
        <v>2.0</v>
      </c>
      <c r="D5" s="1118" t="s">
        <v>1756</v>
      </c>
      <c r="E5" s="64" t="s">
        <v>80</v>
      </c>
      <c r="F5" s="65">
        <v>1130.0</v>
      </c>
      <c r="G5" s="650" t="s">
        <v>80</v>
      </c>
      <c r="H5" s="650">
        <v>1130.0</v>
      </c>
      <c r="I5" s="70" t="str">
        <f>IFERROR(VLOOKUP(B2:B192,'RELATÓRIO ACC'!B:F,5,FALSE),"NOT PUBLISHED")</f>
        <v>NOT PUBLISHED</v>
      </c>
      <c r="J5" s="1119" t="str">
        <f>IFERROR(VLOOKUP(B2:B192,'RELATÓRIO ACC'!B:P,15,FALSE),"NOT PUBLISHED")</f>
        <v>NOT PUBLISHED</v>
      </c>
      <c r="K5" s="1120" t="str">
        <f t="shared" ref="K5:K35" si="2">IF(OR($D5="UTLS",$D5="GUAR",$D5="STIR",$D5="PUMP",$D5="SITE"),
   VLOOKUP($B5,'LOD 300 - SITE'!C:K,9,FALSE),
   VLOOKUP($B5,'LOD 300 - ADMN'!C:K,9,FALSE)
)</f>
        <v>#REF!</v>
      </c>
      <c r="L5" s="1120" t="str">
        <f t="shared" ref="L5:L35" si="3">IF(OR($D5="UTLS",$D5="GUAR",$D5="STIR",$D5="PUMP",$D5="SITE"),
   VLOOKUP($B5,'LOD 300 - SITE'!C:L,10,FALSE),
   VLOOKUP($B5,'LOD 300 - ADMN'!C:Q,10,FALSE)
)</f>
        <v>#REF!</v>
      </c>
      <c r="M5" s="187" t="s">
        <v>1757</v>
      </c>
      <c r="N5" s="1121" t="str">
        <f t="shared" ref="N5:N35" si="4">IFERROR(VLOOKUP($B5,'LOD 300 - ADMN'!$B:P,14,FALSE),"N/A")</f>
        <v>N/A</v>
      </c>
      <c r="O5" s="1122" t="str">
        <f t="shared" ref="O5:O35" si="5">IFERROR(VLOOKUP($B5,'LOD 300 - ADMN'!$B:S,17,FALSE),"N/A")</f>
        <v>N/A</v>
      </c>
      <c r="P5" s="1122" t="str">
        <f t="shared" ref="P5:P35" si="6">IFERROR(VLOOKUP($B5,'LOD 300 - ADMN'!$B:V,20,FALSE),"N/A")</f>
        <v>N/A</v>
      </c>
      <c r="Q5" s="1122" t="str">
        <f t="shared" ref="Q5:Q35" si="7">IFERROR(VLOOKUP($B5,'LOD 300 - ADMN'!$B:Y,23,FALSE),"N/A")</f>
        <v>N/A</v>
      </c>
      <c r="R5" s="1123" t="str">
        <f t="shared" ref="R5:T5" si="1">IFERROR(VLOOKUP($B5,'LOD 300 - ADMN'!$B:AB,26,FALSE),"N/A")</f>
        <v>N/A</v>
      </c>
      <c r="S5" s="1123" t="str">
        <f t="shared" si="1"/>
        <v>N/A</v>
      </c>
      <c r="T5" s="1123" t="str">
        <f t="shared" si="1"/>
        <v>N/A</v>
      </c>
      <c r="U5" s="1122" t="str">
        <f t="shared" ref="U5:U35" si="8">IFERROR(VLOOKUP($B5,'LOD 300 - ADMN'!$B:AK,35,FALSE),"N/A")</f>
        <v>N/A</v>
      </c>
      <c r="V5" s="1122" t="str">
        <f t="shared" ref="V5:V35" si="9">IFERROR(VLOOKUP($B5,'LOD 300 - ADMN'!$B:AN,38,FALSE),"N/A")</f>
        <v>N/A</v>
      </c>
      <c r="W5" s="1124" t="str">
        <f t="shared" ref="W5:W35" si="10">IFERROR(VLOOKUP($B5,'LOD 300 - ADMN'!$B:AQ,41,FALSE),"N/A")</f>
        <v>N/A</v>
      </c>
      <c r="X5" s="1124" t="str">
        <f t="shared" ref="X5:X35" si="11">IFERROR(VLOOKUP($B5,'LOD 300 - ADMN'!$B:AT,44,FALSE),"N/A")</f>
        <v>N/A</v>
      </c>
      <c r="Y5" s="1125" t="str">
        <f>IFERROR(__xludf.DUMMYFUNCTION("IF(
  OR(X5=""NOT PUBLISHED"", X5=""N/A""),
  X5,
  IFERROR(MAX(FILTER(N5:X5, ISNUMBER(N5:X5))),"""")
)"),"N/A")</f>
        <v>N/A</v>
      </c>
      <c r="Z5" s="72" t="str">
        <f t="shared" ref="Z5:Z35" si="12">IFERROR(VLOOKUP($B5,'LOD 300 - COLO1'!$B:P,14,FALSE),"N/A")</f>
        <v>N/A</v>
      </c>
      <c r="AA5" s="1124" t="str">
        <f t="shared" ref="AA5:AA35" si="13">IFERROR(VLOOKUP($B5,'LOD 300 - COLO1'!$B:S,17,FALSE),"N/A")</f>
        <v>N/A</v>
      </c>
      <c r="AB5" s="1124" t="str">
        <f t="shared" ref="AB5:AB35" si="14">IFERROR(VLOOKUP($B5,'LOD 300 - COLO1'!$B:V,20,FALSE),"N/A")</f>
        <v>N/A</v>
      </c>
      <c r="AC5" s="1124" t="str">
        <f t="shared" ref="AC5:AC35" si="15">IFERROR(VLOOKUP($B5,'LOD 300 - COLO1'!$B:Y,23,FALSE),"N/A")</f>
        <v>N/A</v>
      </c>
      <c r="AD5" s="1124" t="str">
        <f t="shared" ref="AD5:AD35" si="16">IFERROR(VLOOKUP($B5,'LOD 300 - COLO1'!$B:AB,26,FALSE),"N/A")</f>
        <v>N/A</v>
      </c>
      <c r="AE5" s="1124" t="str">
        <f t="shared" ref="AE5:AE35" si="17">IFERROR(VLOOKUP($B5,'LOD 300 - COLO1'!$B:AE,29,FALSE),"N/A")</f>
        <v>N/A</v>
      </c>
      <c r="AF5" s="1124" t="str">
        <f t="shared" ref="AF5:AF35" si="18">IFERROR(VLOOKUP($B5,'LOD 300 - COLO1'!$B:AH,32,FALSE),"N/A")</f>
        <v>N/A</v>
      </c>
      <c r="AG5" s="1124" t="str">
        <f t="shared" ref="AG5:AG35" si="19">IFERROR(VLOOKUP($B5,'LOD 300 - COLO1'!$B:AK,35,FALSE),"N/A")</f>
        <v>N/A</v>
      </c>
      <c r="AH5" s="1122" t="str">
        <f t="shared" ref="AH5:AH35" si="20">IFERROR(VLOOKUP($B5,'LOD 300 - COLO1'!$B:AN,38,FALSE),"N/A")</f>
        <v>N/A</v>
      </c>
      <c r="AI5" s="1124" t="str">
        <f t="shared" ref="AI5:AI35" si="21">IFERROR(VLOOKUP($B5,'LOD 300 - COLO1'!$B:AQ,41,FALSE),"N/A")</f>
        <v>N/A</v>
      </c>
      <c r="AJ5" s="1124" t="str">
        <f t="shared" ref="AJ5:AJ35" si="22">IFERROR(VLOOKUP($B5,'LOD 300 - COLO1'!$B:AT,44,FALSE),"N/A")</f>
        <v>N/A</v>
      </c>
      <c r="AK5" s="1125" t="str">
        <f>IFERROR(__xludf.DUMMYFUNCTION("IF(
  OR(AJ5=""NOT PUBLISHED"", AJ5=""N/A""),
  AJ5,
  IFERROR(MAX(FILTER(Z5:AJ5, ISNUMBER(Z5:AJ5))),"""")
)"),"N/A")</f>
        <v>N/A</v>
      </c>
      <c r="AL5" s="72" t="str">
        <f t="shared" ref="AL5:AL35" si="23">IFERROR(VLOOKUP($B5,'LOD 300 - COLO2'!$B:P,14,FALSE),"N/A")</f>
        <v>N/A</v>
      </c>
      <c r="AM5" s="1124" t="str">
        <f t="shared" ref="AM5:AM35" si="24">IFERROR(VLOOKUP($B5,'LOD 300 - COLO2'!$B:S,17,FALSE),"N/A")</f>
        <v>N/A</v>
      </c>
      <c r="AN5" s="1124" t="str">
        <f t="shared" ref="AN5:AN35" si="25">IFERROR(VLOOKUP($B5,'LOD 300 - COLO2'!$B:V,20,FALSE),"N/A")</f>
        <v>N/A</v>
      </c>
      <c r="AO5" s="1124" t="str">
        <f t="shared" ref="AO5:AO35" si="26">IFERROR(VLOOKUP($B5,'LOD 300 - COLO2'!$B:Y,23,FALSE),"N/A")</f>
        <v>N/A</v>
      </c>
      <c r="AP5" s="1126" t="str">
        <f t="shared" ref="AP5:AP35" si="27">IFERROR(VLOOKUP($B5,'LOD 300 - COLO2'!$B:AB,26,FALSE),"N/A")</f>
        <v>N/A</v>
      </c>
      <c r="AQ5" s="1124" t="str">
        <f t="shared" ref="AQ5:AQ35" si="28">IFERROR(VLOOKUP($B5,'LOD 300 - COLO2'!$B:AE,29,FALSE),"N/A")</f>
        <v>N/A</v>
      </c>
      <c r="AR5" s="1124" t="str">
        <f t="shared" ref="AR5:AR35" si="29">IFERROR(VLOOKUP($B5,'LOD 300 - COLO2'!$B:AH,32,FALSE),"N/A")</f>
        <v>N/A</v>
      </c>
      <c r="AS5" s="1125" t="str">
        <f>IFERROR(__xludf.DUMMYFUNCTION("IF(
  OR(AR5=""NOT PUBLISHED"", AR5=""N/A""),
  AR5,
  IFERROR(MAX(FILTER(AL5:AR5, ISNUMBER(AL5:AR5))),"""")
)"),"N/A")</f>
        <v>N/A</v>
      </c>
      <c r="AT5" s="72" t="str">
        <f t="shared" ref="AT5:AT35" si="30">IFERROR(VLOOKUP($B5,'LOD 300 - SITE'!$B:P,14,FALSE),"N/A")</f>
        <v>N/A</v>
      </c>
      <c r="AU5" s="1124" t="str">
        <f t="shared" ref="AU5:AU35" si="31">IFERROR(VLOOKUP($B5,'LOD 300 - SITE'!$B:S,17,FALSE),"N/A")</f>
        <v>N/A</v>
      </c>
      <c r="AV5" s="1124" t="str">
        <f t="shared" ref="AV5:AV35" si="32">IFERROR(VLOOKUP($B5,'LOD 300 - SITE'!$B:V,20,FALSE),"N/A")</f>
        <v>N/A</v>
      </c>
      <c r="AW5" s="1124" t="str">
        <f t="shared" ref="AW5:AW35" si="33">IFERROR(VLOOKUP($B5,'LOD 300 - SITE'!$B:Y,23,FALSE),"N/A")</f>
        <v>N/A</v>
      </c>
      <c r="AX5" s="1124" t="str">
        <f t="shared" ref="AX5:AX35" si="34">IFERROR(VLOOKUP($B5,'LOD 300 - SITE'!$B:AB,26,FALSE),"N/A")</f>
        <v>N/A</v>
      </c>
      <c r="AY5" s="1127" t="str">
        <f t="shared" ref="AY5:AY35" si="35">IFERROR(VLOOKUP($B5,'LOD 300 - SITE'!$B:AE,29,FALSE),"N/A")</f>
        <v>N/A</v>
      </c>
      <c r="AZ5" s="1127" t="str">
        <f t="shared" ref="AZ5:AZ35" si="36">IFERROR(VLOOKUP($B5,'LOD 300 - SITE'!$B:AH,32,FALSE),"N/A")</f>
        <v>N/A</v>
      </c>
      <c r="BA5" s="1127" t="str">
        <f t="shared" ref="BA5:BA35" si="37">IFERROR(VLOOKUP($B5,'LOD 300 - SITE'!$B:AK,35,FALSE),"N/A")</f>
        <v>N/A</v>
      </c>
      <c r="BB5" s="1127" t="str">
        <f t="shared" ref="BB5:BB35" si="38">IFERROR(VLOOKUP($B5,'LOD 300 - SITE'!$B:AN,38,FALSE),"N/A")</f>
        <v>N/A</v>
      </c>
      <c r="BC5" s="1128" t="str">
        <f>IFERROR(__xludf.DUMMYFUNCTION("IF(
  OR(BB5=""NOT PUBLISHED"", BB5=""N/A""),
  BB5,
  IFERROR(MAX(FILTER(AT5:BB5, ISNUMBER(AT5:BB5))),"""")
)"),"N/A")</f>
        <v>N/A</v>
      </c>
      <c r="BD5" s="1129"/>
      <c r="BE5" s="1129"/>
      <c r="BF5" s="1129"/>
    </row>
    <row r="6" outlineLevel="1">
      <c r="A6" s="53">
        <v>3.0</v>
      </c>
      <c r="B6" s="63" t="s">
        <v>82</v>
      </c>
      <c r="C6" s="53">
        <v>3.0</v>
      </c>
      <c r="D6" s="1130" t="s">
        <v>7</v>
      </c>
      <c r="E6" s="101" t="s">
        <v>80</v>
      </c>
      <c r="F6" s="102">
        <v>1130.0</v>
      </c>
      <c r="G6" s="517" t="s">
        <v>80</v>
      </c>
      <c r="H6" s="517">
        <v>1130.0</v>
      </c>
      <c r="I6" s="821" t="str">
        <f>IFERROR(VLOOKUP(B3:B193,'RELATÓRIO ACC'!B:F,5,FALSE),"NOT PUBLISHED")</f>
        <v>NOT PUBLISHED</v>
      </c>
      <c r="J6" s="1119" t="str">
        <f>IFERROR(VLOOKUP(B3:B193,'RELATÓRIO ACC'!B:P,15,FALSE),"NOT PUBLISHED")</f>
        <v>NOT PUBLISHED</v>
      </c>
      <c r="K6" s="552" t="str">
        <f t="shared" si="2"/>
        <v>#REF!</v>
      </c>
      <c r="L6" s="552" t="str">
        <f t="shared" si="3"/>
        <v>#REF!</v>
      </c>
      <c r="M6" s="1131" t="s">
        <v>445</v>
      </c>
      <c r="N6" s="1132" t="str">
        <f t="shared" si="4"/>
        <v>N/A</v>
      </c>
      <c r="O6" s="1133" t="str">
        <f t="shared" si="5"/>
        <v>N/A</v>
      </c>
      <c r="P6" s="1133" t="str">
        <f t="shared" si="6"/>
        <v>N/A</v>
      </c>
      <c r="Q6" s="1133" t="str">
        <f t="shared" si="7"/>
        <v>N/A</v>
      </c>
      <c r="R6" s="1133" t="str">
        <f t="shared" ref="R6:R35" si="39">IFERROR(VLOOKUP($B6,'LOD 300 - ADMN'!$B:AB,26,FALSE),"N/A")</f>
        <v>N/A</v>
      </c>
      <c r="S6" s="1133" t="str">
        <f t="shared" ref="S6:S35" si="40">IFERROR(VLOOKUP($B6,'LOD 300 - ADMN'!$B:AE,29,FALSE),"N/A")</f>
        <v>N/A</v>
      </c>
      <c r="T6" s="1133" t="str">
        <f t="shared" ref="T6:T35" si="41">IFERROR(VLOOKUP($B6,'LOD 300 - ADMN'!$B:AH,32,FALSE),"N/A")</f>
        <v>N/A</v>
      </c>
      <c r="U6" s="1133" t="str">
        <f t="shared" si="8"/>
        <v>N/A</v>
      </c>
      <c r="V6" s="1122" t="str">
        <f t="shared" si="9"/>
        <v>N/A</v>
      </c>
      <c r="W6" s="1124" t="str">
        <f t="shared" si="10"/>
        <v>N/A</v>
      </c>
      <c r="X6" s="1124" t="str">
        <f t="shared" si="11"/>
        <v>N/A</v>
      </c>
      <c r="Y6" s="1125" t="str">
        <f>IFERROR(__xludf.DUMMYFUNCTION("IF(
  OR(X6=""NOT PUBLISHED"", X6=""N/A""),
  X6,
  IFERROR(MAX(FILTER(N6:X6, ISNUMBER(N6:X6))),"""")
)"),"N/A")</f>
        <v>N/A</v>
      </c>
      <c r="Z6" s="72" t="str">
        <f t="shared" si="12"/>
        <v>N/A</v>
      </c>
      <c r="AA6" s="1134" t="str">
        <f t="shared" si="13"/>
        <v>N/A</v>
      </c>
      <c r="AB6" s="1134" t="str">
        <f t="shared" si="14"/>
        <v>N/A</v>
      </c>
      <c r="AC6" s="1134" t="str">
        <f t="shared" si="15"/>
        <v>N/A</v>
      </c>
      <c r="AD6" s="1134" t="str">
        <f t="shared" si="16"/>
        <v>N/A</v>
      </c>
      <c r="AE6" s="1134" t="str">
        <f t="shared" si="17"/>
        <v>N/A</v>
      </c>
      <c r="AF6" s="1134" t="str">
        <f t="shared" si="18"/>
        <v>N/A</v>
      </c>
      <c r="AG6" s="1134" t="str">
        <f t="shared" si="19"/>
        <v>N/A</v>
      </c>
      <c r="AH6" s="1122" t="str">
        <f t="shared" si="20"/>
        <v>N/A</v>
      </c>
      <c r="AI6" s="1124" t="str">
        <f t="shared" si="21"/>
        <v>N/A</v>
      </c>
      <c r="AJ6" s="1124" t="str">
        <f t="shared" si="22"/>
        <v>N/A</v>
      </c>
      <c r="AK6" s="1125" t="str">
        <f>IFERROR(__xludf.DUMMYFUNCTION("IF(
  OR(AJ6=""NOT PUBLISHED"", AJ6=""N/A""),
  AJ6,
  IFERROR(MAX(FILTER(Z6:AJ6, ISNUMBER(Z6:AJ6))),"""")
)"),"N/A")</f>
        <v>N/A</v>
      </c>
      <c r="AL6" s="72" t="str">
        <f t="shared" si="23"/>
        <v>N/A</v>
      </c>
      <c r="AM6" s="1134" t="str">
        <f t="shared" si="24"/>
        <v>N/A</v>
      </c>
      <c r="AN6" s="1134" t="str">
        <f t="shared" si="25"/>
        <v>N/A</v>
      </c>
      <c r="AO6" s="1134" t="str">
        <f t="shared" si="26"/>
        <v>N/A</v>
      </c>
      <c r="AP6" s="1126" t="str">
        <f t="shared" si="27"/>
        <v>N/A</v>
      </c>
      <c r="AQ6" s="1124" t="str">
        <f t="shared" si="28"/>
        <v>N/A</v>
      </c>
      <c r="AR6" s="1124" t="str">
        <f t="shared" si="29"/>
        <v>N/A</v>
      </c>
      <c r="AS6" s="1125" t="str">
        <f>IFERROR(__xludf.DUMMYFUNCTION("IF(
  OR(AR6=""NOT PUBLISHED"", AR6=""N/A""),
  AR6,
  IFERROR(MAX(FILTER(AL6:AR6, ISNUMBER(AL6:AR6))),"""")
)"),"N/A")</f>
        <v>N/A</v>
      </c>
      <c r="AT6" s="72" t="str">
        <f t="shared" si="30"/>
        <v>N/A</v>
      </c>
      <c r="AU6" s="1134" t="str">
        <f t="shared" si="31"/>
        <v>N/A</v>
      </c>
      <c r="AV6" s="1134" t="str">
        <f t="shared" si="32"/>
        <v>N/A</v>
      </c>
      <c r="AW6" s="1134" t="str">
        <f t="shared" si="33"/>
        <v>N/A</v>
      </c>
      <c r="AX6" s="1134" t="str">
        <f t="shared" si="34"/>
        <v>N/A</v>
      </c>
      <c r="AY6" s="1135" t="str">
        <f t="shared" si="35"/>
        <v>N/A</v>
      </c>
      <c r="AZ6" s="1127" t="str">
        <f t="shared" si="36"/>
        <v>N/A</v>
      </c>
      <c r="BA6" s="1135" t="str">
        <f t="shared" si="37"/>
        <v>N/A</v>
      </c>
      <c r="BB6" s="1127" t="str">
        <f t="shared" si="38"/>
        <v>N/A</v>
      </c>
      <c r="BC6" s="1128" t="str">
        <f>IFERROR(__xludf.DUMMYFUNCTION("IF(
  OR(BB6=""NOT PUBLISHED"", BB6=""N/A""),
  BB6,
  IFERROR(MAX(FILTER(AT6:BB6, ISNUMBER(AT6:BB6))),"""")
)"),"N/A")</f>
        <v>N/A</v>
      </c>
      <c r="BD6" s="545"/>
      <c r="BE6" s="545"/>
      <c r="BF6" s="545"/>
    </row>
    <row r="7" outlineLevel="1">
      <c r="A7" s="53">
        <v>4.0</v>
      </c>
      <c r="B7" s="100" t="s">
        <v>391</v>
      </c>
      <c r="C7" s="53">
        <v>4.0</v>
      </c>
      <c r="D7" s="1130" t="s">
        <v>1756</v>
      </c>
      <c r="E7" s="552" t="s">
        <v>392</v>
      </c>
      <c r="F7" s="118">
        <v>1111.0</v>
      </c>
      <c r="G7" s="517" t="s">
        <v>80</v>
      </c>
      <c r="H7" s="517">
        <v>1130.0</v>
      </c>
      <c r="I7" s="821" t="str">
        <f>IFERROR(VLOOKUP(B4:B194,'RELATÓRIO ACC'!B:F,5,FALSE),"NOT PUBLISHED")</f>
        <v>NOT PUBLISHED</v>
      </c>
      <c r="J7" s="1119" t="str">
        <f>IFERROR(VLOOKUP(B4:B194,'RELATÓRIO ACC'!B:P,15,FALSE),"NOT PUBLISHED")</f>
        <v>NOT PUBLISHED</v>
      </c>
      <c r="K7" s="552" t="str">
        <f t="shared" si="2"/>
        <v>#REF!</v>
      </c>
      <c r="L7" s="552" t="str">
        <f t="shared" si="3"/>
        <v>#REF!</v>
      </c>
      <c r="M7" s="899"/>
      <c r="N7" s="1132" t="str">
        <f t="shared" si="4"/>
        <v>N/A</v>
      </c>
      <c r="O7" s="1133" t="str">
        <f t="shared" si="5"/>
        <v>N/A</v>
      </c>
      <c r="P7" s="1133" t="str">
        <f t="shared" si="6"/>
        <v>N/A</v>
      </c>
      <c r="Q7" s="1133" t="str">
        <f t="shared" si="7"/>
        <v>N/A</v>
      </c>
      <c r="R7" s="1133" t="str">
        <f t="shared" si="39"/>
        <v>N/A</v>
      </c>
      <c r="S7" s="1133" t="str">
        <f t="shared" si="40"/>
        <v>N/A</v>
      </c>
      <c r="T7" s="1133" t="str">
        <f t="shared" si="41"/>
        <v>N/A</v>
      </c>
      <c r="U7" s="1133" t="str">
        <f t="shared" si="8"/>
        <v>N/A</v>
      </c>
      <c r="V7" s="1122" t="str">
        <f t="shared" si="9"/>
        <v>N/A</v>
      </c>
      <c r="W7" s="1124" t="str">
        <f t="shared" si="10"/>
        <v>N/A</v>
      </c>
      <c r="X7" s="1124" t="str">
        <f t="shared" si="11"/>
        <v>N/A</v>
      </c>
      <c r="Y7" s="1136" t="str">
        <f>IFERROR(__xludf.DUMMYFUNCTION("IF(
  OR(W7=""NOT PUBLISHED"", W7=""N/A""),
  W7,
  IFERROR(MAX(FILTER(N7:W7, ISNUMBER(N7:W7))),"""")
)"),"N/A")</f>
        <v>N/A</v>
      </c>
      <c r="Z7" s="72" t="str">
        <f t="shared" si="12"/>
        <v>N/A</v>
      </c>
      <c r="AA7" s="1134" t="str">
        <f t="shared" si="13"/>
        <v>N/A</v>
      </c>
      <c r="AB7" s="1134" t="str">
        <f t="shared" si="14"/>
        <v>N/A</v>
      </c>
      <c r="AC7" s="1134" t="str">
        <f t="shared" si="15"/>
        <v>N/A</v>
      </c>
      <c r="AD7" s="1134" t="str">
        <f t="shared" si="16"/>
        <v>N/A</v>
      </c>
      <c r="AE7" s="1134" t="str">
        <f t="shared" si="17"/>
        <v>N/A</v>
      </c>
      <c r="AF7" s="1134" t="str">
        <f t="shared" si="18"/>
        <v>N/A</v>
      </c>
      <c r="AG7" s="1134" t="str">
        <f t="shared" si="19"/>
        <v>N/A</v>
      </c>
      <c r="AH7" s="1122" t="str">
        <f t="shared" si="20"/>
        <v>N/A</v>
      </c>
      <c r="AI7" s="1124" t="str">
        <f t="shared" si="21"/>
        <v>N/A</v>
      </c>
      <c r="AJ7" s="1124" t="str">
        <f t="shared" si="22"/>
        <v>N/A</v>
      </c>
      <c r="AK7" s="1136" t="str">
        <f>IFERROR(__xludf.DUMMYFUNCTION("IF(
  OR(AI7=""NOT PUBLISHED"", AI7=""N/A""),
  AI7,
  IFERROR(MAX(FILTER(Z7:AI7, ISNUMBER(Z7:AI7))),"""")
)"),"N/A")</f>
        <v>N/A</v>
      </c>
      <c r="AL7" s="72" t="str">
        <f t="shared" si="23"/>
        <v>N/A</v>
      </c>
      <c r="AM7" s="1134" t="str">
        <f t="shared" si="24"/>
        <v>N/A</v>
      </c>
      <c r="AN7" s="1134" t="str">
        <f t="shared" si="25"/>
        <v>N/A</v>
      </c>
      <c r="AO7" s="1134" t="str">
        <f t="shared" si="26"/>
        <v>N/A</v>
      </c>
      <c r="AP7" s="1126" t="str">
        <f t="shared" si="27"/>
        <v>N/A</v>
      </c>
      <c r="AQ7" s="1124" t="str">
        <f t="shared" si="28"/>
        <v>N/A</v>
      </c>
      <c r="AR7" s="1124" t="str">
        <f t="shared" si="29"/>
        <v>N/A</v>
      </c>
      <c r="AS7" s="1136" t="str">
        <f>IFERROR(__xludf.DUMMYFUNCTION("IF(
  OR(AQ7=""NOT PUBLISHED"", AQ7=""N/A""),
  AQ7,
  IFERROR(MAX(FILTER(AL7:AQ7, ISNUMBER(AL7:AQ7))),"""")
)"),"N/A")</f>
        <v>N/A</v>
      </c>
      <c r="AT7" s="72" t="str">
        <f t="shared" si="30"/>
        <v>N/A</v>
      </c>
      <c r="AU7" s="1134" t="str">
        <f t="shared" si="31"/>
        <v>N/A</v>
      </c>
      <c r="AV7" s="1134" t="str">
        <f t="shared" si="32"/>
        <v>N/A</v>
      </c>
      <c r="AW7" s="1134" t="str">
        <f t="shared" si="33"/>
        <v>N/A</v>
      </c>
      <c r="AX7" s="1134" t="str">
        <f t="shared" si="34"/>
        <v>N/A</v>
      </c>
      <c r="AY7" s="1135" t="str">
        <f t="shared" si="35"/>
        <v>N/A</v>
      </c>
      <c r="AZ7" s="1127" t="str">
        <f t="shared" si="36"/>
        <v>N/A</v>
      </c>
      <c r="BA7" s="1135" t="str">
        <f t="shared" si="37"/>
        <v>N/A</v>
      </c>
      <c r="BB7" s="1127" t="str">
        <f t="shared" si="38"/>
        <v>N/A</v>
      </c>
      <c r="BC7" s="1137" t="str">
        <f>IFERROR(__xludf.DUMMYFUNCTION("IF(
  OR(BA7=""NOT PUBLISHED"", BA7=""N/A""),
  BA7,
  IFERROR(MAX(FILTER(AT7:BA7, ISNUMBER(AT7:BA7))),"""")
)"),"N/A")</f>
        <v>N/A</v>
      </c>
      <c r="BD7" s="545"/>
      <c r="BE7" s="545"/>
      <c r="BF7" s="545"/>
    </row>
    <row r="8" outlineLevel="1">
      <c r="A8" s="53">
        <v>5.0</v>
      </c>
      <c r="B8" s="100" t="s">
        <v>496</v>
      </c>
      <c r="C8" s="53">
        <v>5.0</v>
      </c>
      <c r="D8" s="1130" t="s">
        <v>7</v>
      </c>
      <c r="E8" s="552" t="s">
        <v>392</v>
      </c>
      <c r="F8" s="118">
        <v>1111.0</v>
      </c>
      <c r="G8" s="517" t="s">
        <v>80</v>
      </c>
      <c r="H8" s="517">
        <v>1130.0</v>
      </c>
      <c r="I8" s="821" t="str">
        <f>IFERROR(VLOOKUP(B5:B195,'RELATÓRIO ACC'!B:F,5,FALSE),"NOT PUBLISHED")</f>
        <v>NOT PUBLISHED</v>
      </c>
      <c r="J8" s="1119" t="str">
        <f>IFERROR(VLOOKUP(B5:B195,'RELATÓRIO ACC'!B:P,15,FALSE),"NOT PUBLISHED")</f>
        <v>NOT PUBLISHED</v>
      </c>
      <c r="K8" s="552" t="str">
        <f t="shared" si="2"/>
        <v>#REF!</v>
      </c>
      <c r="L8" s="552" t="str">
        <f t="shared" si="3"/>
        <v>#REF!</v>
      </c>
      <c r="M8" s="899"/>
      <c r="N8" s="1132" t="str">
        <f t="shared" si="4"/>
        <v>N/A</v>
      </c>
      <c r="O8" s="1133" t="str">
        <f t="shared" si="5"/>
        <v>N/A</v>
      </c>
      <c r="P8" s="1133" t="str">
        <f t="shared" si="6"/>
        <v>N/A</v>
      </c>
      <c r="Q8" s="1133" t="str">
        <f t="shared" si="7"/>
        <v>N/A</v>
      </c>
      <c r="R8" s="1133" t="str">
        <f t="shared" si="39"/>
        <v>N/A</v>
      </c>
      <c r="S8" s="1133" t="str">
        <f t="shared" si="40"/>
        <v>N/A</v>
      </c>
      <c r="T8" s="1133" t="str">
        <f t="shared" si="41"/>
        <v>N/A</v>
      </c>
      <c r="U8" s="1133" t="str">
        <f t="shared" si="8"/>
        <v>N/A</v>
      </c>
      <c r="V8" s="1122" t="str">
        <f t="shared" si="9"/>
        <v>N/A</v>
      </c>
      <c r="W8" s="1124" t="str">
        <f t="shared" si="10"/>
        <v>N/A</v>
      </c>
      <c r="X8" s="1124" t="str">
        <f t="shared" si="11"/>
        <v>N/A</v>
      </c>
      <c r="Y8" s="1136" t="str">
        <f>IFERROR(__xludf.DUMMYFUNCTION("IF(
  OR(W8=""NOT PUBLISHED"", W8=""N/A""),
  W8,
  IFERROR(MAX(FILTER(N8:W8, ISNUMBER(N8:W8))),"""")
)"),"N/A")</f>
        <v>N/A</v>
      </c>
      <c r="Z8" s="72" t="str">
        <f t="shared" si="12"/>
        <v>N/A</v>
      </c>
      <c r="AA8" s="1134" t="str">
        <f t="shared" si="13"/>
        <v>N/A</v>
      </c>
      <c r="AB8" s="1134" t="str">
        <f t="shared" si="14"/>
        <v>N/A</v>
      </c>
      <c r="AC8" s="1134" t="str">
        <f t="shared" si="15"/>
        <v>N/A</v>
      </c>
      <c r="AD8" s="1134" t="str">
        <f t="shared" si="16"/>
        <v>N/A</v>
      </c>
      <c r="AE8" s="1134" t="str">
        <f t="shared" si="17"/>
        <v>N/A</v>
      </c>
      <c r="AF8" s="1134" t="str">
        <f t="shared" si="18"/>
        <v>N/A</v>
      </c>
      <c r="AG8" s="1134" t="str">
        <f t="shared" si="19"/>
        <v>N/A</v>
      </c>
      <c r="AH8" s="1122" t="str">
        <f t="shared" si="20"/>
        <v>N/A</v>
      </c>
      <c r="AI8" s="1124" t="str">
        <f t="shared" si="21"/>
        <v>N/A</v>
      </c>
      <c r="AJ8" s="1124" t="str">
        <f t="shared" si="22"/>
        <v>N/A</v>
      </c>
      <c r="AK8" s="1136" t="str">
        <f>IFERROR(__xludf.DUMMYFUNCTION("IF(
  OR(AI8=""NOT PUBLISHED"", AI8=""N/A""),
  AI8,
  IFERROR(MAX(FILTER(Z8:AI8, ISNUMBER(Z8:AI8))),"""")
)"),"N/A")</f>
        <v>N/A</v>
      </c>
      <c r="AL8" s="72" t="str">
        <f t="shared" si="23"/>
        <v>N/A</v>
      </c>
      <c r="AM8" s="1134" t="str">
        <f t="shared" si="24"/>
        <v>N/A</v>
      </c>
      <c r="AN8" s="1134" t="str">
        <f t="shared" si="25"/>
        <v>N/A</v>
      </c>
      <c r="AO8" s="1134" t="str">
        <f t="shared" si="26"/>
        <v>N/A</v>
      </c>
      <c r="AP8" s="1126" t="str">
        <f t="shared" si="27"/>
        <v>N/A</v>
      </c>
      <c r="AQ8" s="1124" t="str">
        <f t="shared" si="28"/>
        <v>N/A</v>
      </c>
      <c r="AR8" s="1124" t="str">
        <f t="shared" si="29"/>
        <v>N/A</v>
      </c>
      <c r="AS8" s="1136" t="str">
        <f>IFERROR(__xludf.DUMMYFUNCTION("IF(
  OR(AQ8=""NOT PUBLISHED"", AQ8=""N/A""),
  AQ8,
  IFERROR(MAX(FILTER(AL8:AQ8, ISNUMBER(AL8:AQ8))),"""")
)"),"N/A")</f>
        <v>N/A</v>
      </c>
      <c r="AT8" s="72" t="str">
        <f t="shared" si="30"/>
        <v>N/A</v>
      </c>
      <c r="AU8" s="1134" t="str">
        <f t="shared" si="31"/>
        <v>N/A</v>
      </c>
      <c r="AV8" s="1134" t="str">
        <f t="shared" si="32"/>
        <v>N/A</v>
      </c>
      <c r="AW8" s="1134" t="str">
        <f t="shared" si="33"/>
        <v>N/A</v>
      </c>
      <c r="AX8" s="1134" t="str">
        <f t="shared" si="34"/>
        <v>N/A</v>
      </c>
      <c r="AY8" s="1135" t="str">
        <f t="shared" si="35"/>
        <v>N/A</v>
      </c>
      <c r="AZ8" s="1127" t="str">
        <f t="shared" si="36"/>
        <v>N/A</v>
      </c>
      <c r="BA8" s="1135" t="str">
        <f t="shared" si="37"/>
        <v>N/A</v>
      </c>
      <c r="BB8" s="1127" t="str">
        <f t="shared" si="38"/>
        <v>N/A</v>
      </c>
      <c r="BC8" s="1137" t="str">
        <f>IFERROR(__xludf.DUMMYFUNCTION("IF(
  OR(BA8=""NOT PUBLISHED"", BA8=""N/A""),
  BA8,
  IFERROR(MAX(FILTER(AT8:BA8, ISNUMBER(AT8:BA8))),"""")
)"),"N/A")</f>
        <v>N/A</v>
      </c>
      <c r="BD8" s="545"/>
      <c r="BE8" s="545"/>
      <c r="BF8" s="545"/>
    </row>
    <row r="9" ht="15.0" customHeight="1" outlineLevel="1">
      <c r="A9" s="53">
        <v>6.0</v>
      </c>
      <c r="B9" s="100" t="s">
        <v>394</v>
      </c>
      <c r="C9" s="53">
        <v>6.0</v>
      </c>
      <c r="D9" s="1130" t="s">
        <v>1756</v>
      </c>
      <c r="E9" s="101" t="s">
        <v>395</v>
      </c>
      <c r="F9" s="102">
        <v>1102.0</v>
      </c>
      <c r="G9" s="517" t="s">
        <v>80</v>
      </c>
      <c r="H9" s="517">
        <v>1130.0</v>
      </c>
      <c r="I9" s="821" t="str">
        <f>IFERROR(VLOOKUP(B6:B196,'RELATÓRIO ACC'!B:F,5,FALSE),"NOT PUBLISHED")</f>
        <v>NOT PUBLISHED</v>
      </c>
      <c r="J9" s="1119" t="str">
        <f>IFERROR(VLOOKUP(B6:B196,'RELATÓRIO ACC'!B:P,15,FALSE),"NOT PUBLISHED")</f>
        <v>NOT PUBLISHED</v>
      </c>
      <c r="K9" s="552" t="str">
        <f t="shared" si="2"/>
        <v>#REF!</v>
      </c>
      <c r="L9" s="552" t="str">
        <f t="shared" si="3"/>
        <v>#REF!</v>
      </c>
      <c r="M9" s="899"/>
      <c r="N9" s="1132" t="str">
        <f t="shared" si="4"/>
        <v>N/A</v>
      </c>
      <c r="O9" s="1133" t="str">
        <f t="shared" si="5"/>
        <v>N/A</v>
      </c>
      <c r="P9" s="1133" t="str">
        <f t="shared" si="6"/>
        <v>N/A</v>
      </c>
      <c r="Q9" s="1133" t="str">
        <f t="shared" si="7"/>
        <v>N/A</v>
      </c>
      <c r="R9" s="1133" t="str">
        <f t="shared" si="39"/>
        <v>N/A</v>
      </c>
      <c r="S9" s="1133" t="str">
        <f t="shared" si="40"/>
        <v>N/A</v>
      </c>
      <c r="T9" s="1133" t="str">
        <f t="shared" si="41"/>
        <v>N/A</v>
      </c>
      <c r="U9" s="1133" t="str">
        <f t="shared" si="8"/>
        <v>N/A</v>
      </c>
      <c r="V9" s="1122" t="str">
        <f t="shared" si="9"/>
        <v>N/A</v>
      </c>
      <c r="W9" s="1124" t="str">
        <f t="shared" si="10"/>
        <v>N/A</v>
      </c>
      <c r="X9" s="1124" t="str">
        <f t="shared" si="11"/>
        <v>N/A</v>
      </c>
      <c r="Y9" s="1136" t="str">
        <f>IFERROR(__xludf.DUMMYFUNCTION("IF(
  OR(W9=""NOT PUBLISHED"", W9=""N/A""),
  W9,
  IFERROR(MAX(FILTER(N9:W9, ISNUMBER(N9:W9))),"""")
)"),"N/A")</f>
        <v>N/A</v>
      </c>
      <c r="Z9" s="72" t="str">
        <f t="shared" si="12"/>
        <v>N/A</v>
      </c>
      <c r="AA9" s="1134" t="str">
        <f t="shared" si="13"/>
        <v>N/A</v>
      </c>
      <c r="AB9" s="1134" t="str">
        <f t="shared" si="14"/>
        <v>N/A</v>
      </c>
      <c r="AC9" s="1134" t="str">
        <f t="shared" si="15"/>
        <v>N/A</v>
      </c>
      <c r="AD9" s="1134" t="str">
        <f t="shared" si="16"/>
        <v>N/A</v>
      </c>
      <c r="AE9" s="1134" t="str">
        <f t="shared" si="17"/>
        <v>N/A</v>
      </c>
      <c r="AF9" s="1134" t="str">
        <f t="shared" si="18"/>
        <v>N/A</v>
      </c>
      <c r="AG9" s="1134" t="str">
        <f t="shared" si="19"/>
        <v>N/A</v>
      </c>
      <c r="AH9" s="1122" t="str">
        <f t="shared" si="20"/>
        <v>N/A</v>
      </c>
      <c r="AI9" s="1124" t="str">
        <f t="shared" si="21"/>
        <v>N/A</v>
      </c>
      <c r="AJ9" s="1124" t="str">
        <f t="shared" si="22"/>
        <v>N/A</v>
      </c>
      <c r="AK9" s="1136" t="str">
        <f>IFERROR(__xludf.DUMMYFUNCTION("IF(
  OR(AI9=""NOT PUBLISHED"", AI9=""N/A""),
  AI9,
  IFERROR(MAX(FILTER(Z9:AI9, ISNUMBER(Z9:AI9))),"""")
)"),"N/A")</f>
        <v>N/A</v>
      </c>
      <c r="AL9" s="72" t="str">
        <f t="shared" si="23"/>
        <v>N/A</v>
      </c>
      <c r="AM9" s="1134" t="str">
        <f t="shared" si="24"/>
        <v>N/A</v>
      </c>
      <c r="AN9" s="1134" t="str">
        <f t="shared" si="25"/>
        <v>N/A</v>
      </c>
      <c r="AO9" s="1134" t="str">
        <f t="shared" si="26"/>
        <v>N/A</v>
      </c>
      <c r="AP9" s="1126" t="str">
        <f t="shared" si="27"/>
        <v>N/A</v>
      </c>
      <c r="AQ9" s="1124" t="str">
        <f t="shared" si="28"/>
        <v>N/A</v>
      </c>
      <c r="AR9" s="1124" t="str">
        <f t="shared" si="29"/>
        <v>N/A</v>
      </c>
      <c r="AS9" s="1136" t="str">
        <f>IFERROR(__xludf.DUMMYFUNCTION("IF(
  OR(AQ9=""NOT PUBLISHED"", AQ9=""N/A""),
  AQ9,
  IFERROR(MAX(FILTER(AL9:AQ9, ISNUMBER(AL9:AQ9))),"""")
)"),"N/A")</f>
        <v>N/A</v>
      </c>
      <c r="AT9" s="72" t="str">
        <f t="shared" si="30"/>
        <v>N/A</v>
      </c>
      <c r="AU9" s="1134" t="str">
        <f t="shared" si="31"/>
        <v>N/A</v>
      </c>
      <c r="AV9" s="1134" t="str">
        <f t="shared" si="32"/>
        <v>N/A</v>
      </c>
      <c r="AW9" s="1134" t="str">
        <f t="shared" si="33"/>
        <v>N/A</v>
      </c>
      <c r="AX9" s="1134" t="str">
        <f t="shared" si="34"/>
        <v>N/A</v>
      </c>
      <c r="AY9" s="1135" t="str">
        <f t="shared" si="35"/>
        <v>N/A</v>
      </c>
      <c r="AZ9" s="1127" t="str">
        <f t="shared" si="36"/>
        <v>N/A</v>
      </c>
      <c r="BA9" s="1135" t="str">
        <f t="shared" si="37"/>
        <v>N/A</v>
      </c>
      <c r="BB9" s="1127" t="str">
        <f t="shared" si="38"/>
        <v>N/A</v>
      </c>
      <c r="BC9" s="1137" t="str">
        <f>IFERROR(__xludf.DUMMYFUNCTION("IF(
  OR(BA9=""NOT PUBLISHED"", BA9=""N/A""),
  BA9,
  IFERROR(MAX(FILTER(AT9:BA9, ISNUMBER(AT9:BA9))),"""")
)"),"N/A")</f>
        <v>N/A</v>
      </c>
      <c r="BD9" s="545"/>
      <c r="BE9" s="545"/>
      <c r="BF9" s="545"/>
    </row>
    <row r="10" ht="15.0" customHeight="1" outlineLevel="1">
      <c r="A10" s="53">
        <v>7.0</v>
      </c>
      <c r="B10" s="100" t="s">
        <v>492</v>
      </c>
      <c r="C10" s="53">
        <v>7.0</v>
      </c>
      <c r="D10" s="1130" t="s">
        <v>7</v>
      </c>
      <c r="E10" s="101" t="s">
        <v>395</v>
      </c>
      <c r="F10" s="102">
        <v>1102.0</v>
      </c>
      <c r="G10" s="517" t="s">
        <v>80</v>
      </c>
      <c r="H10" s="517">
        <v>1130.0</v>
      </c>
      <c r="I10" s="821" t="str">
        <f>IFERROR(VLOOKUP(B7:B197,'RELATÓRIO ACC'!B:F,5,FALSE),"NOT PUBLISHED")</f>
        <v>NOT PUBLISHED</v>
      </c>
      <c r="J10" s="1119" t="str">
        <f>IFERROR(VLOOKUP(B7:B197,'RELATÓRIO ACC'!B:P,15,FALSE),"NOT PUBLISHED")</f>
        <v>NOT PUBLISHED</v>
      </c>
      <c r="K10" s="552" t="str">
        <f t="shared" si="2"/>
        <v>#REF!</v>
      </c>
      <c r="L10" s="552" t="str">
        <f t="shared" si="3"/>
        <v>#REF!</v>
      </c>
      <c r="M10" s="899"/>
      <c r="N10" s="1132" t="str">
        <f t="shared" si="4"/>
        <v>N/A</v>
      </c>
      <c r="O10" s="1133" t="str">
        <f t="shared" si="5"/>
        <v>N/A</v>
      </c>
      <c r="P10" s="1133" t="str">
        <f t="shared" si="6"/>
        <v>N/A</v>
      </c>
      <c r="Q10" s="1133" t="str">
        <f t="shared" si="7"/>
        <v>N/A</v>
      </c>
      <c r="R10" s="1133" t="str">
        <f t="shared" si="39"/>
        <v>N/A</v>
      </c>
      <c r="S10" s="1133" t="str">
        <f t="shared" si="40"/>
        <v>N/A</v>
      </c>
      <c r="T10" s="1133" t="str">
        <f t="shared" si="41"/>
        <v>N/A</v>
      </c>
      <c r="U10" s="1133" t="str">
        <f t="shared" si="8"/>
        <v>N/A</v>
      </c>
      <c r="V10" s="1122" t="str">
        <f t="shared" si="9"/>
        <v>N/A</v>
      </c>
      <c r="W10" s="1124" t="str">
        <f t="shared" si="10"/>
        <v>N/A</v>
      </c>
      <c r="X10" s="1124" t="str">
        <f t="shared" si="11"/>
        <v>N/A</v>
      </c>
      <c r="Y10" s="1136" t="str">
        <f>IFERROR(__xludf.DUMMYFUNCTION("IF(
  OR(W10=""NOT PUBLISHED"", W10=""N/A""),
  W10,
  IFERROR(MAX(FILTER(N10:W10, ISNUMBER(N10:W10))),"""")
)"),"N/A")</f>
        <v>N/A</v>
      </c>
      <c r="Z10" s="72" t="str">
        <f t="shared" si="12"/>
        <v>N/A</v>
      </c>
      <c r="AA10" s="1134" t="str">
        <f t="shared" si="13"/>
        <v>N/A</v>
      </c>
      <c r="AB10" s="1134" t="str">
        <f t="shared" si="14"/>
        <v>N/A</v>
      </c>
      <c r="AC10" s="1134" t="str">
        <f t="shared" si="15"/>
        <v>N/A</v>
      </c>
      <c r="AD10" s="1134" t="str">
        <f t="shared" si="16"/>
        <v>N/A</v>
      </c>
      <c r="AE10" s="1134" t="str">
        <f t="shared" si="17"/>
        <v>N/A</v>
      </c>
      <c r="AF10" s="1134" t="str">
        <f t="shared" si="18"/>
        <v>N/A</v>
      </c>
      <c r="AG10" s="1134" t="str">
        <f t="shared" si="19"/>
        <v>N/A</v>
      </c>
      <c r="AH10" s="1122" t="str">
        <f t="shared" si="20"/>
        <v>N/A</v>
      </c>
      <c r="AI10" s="1124" t="str">
        <f t="shared" si="21"/>
        <v>N/A</v>
      </c>
      <c r="AJ10" s="1124" t="str">
        <f t="shared" si="22"/>
        <v>N/A</v>
      </c>
      <c r="AK10" s="1136" t="str">
        <f>IFERROR(__xludf.DUMMYFUNCTION("IF(
  OR(AI10=""NOT PUBLISHED"", AI10=""N/A""),
  AI10,
  IFERROR(MAX(FILTER(Z10:AI10, ISNUMBER(Z10:AI10))),"""")
)"),"N/A")</f>
        <v>N/A</v>
      </c>
      <c r="AL10" s="72" t="str">
        <f t="shared" si="23"/>
        <v>N/A</v>
      </c>
      <c r="AM10" s="1134" t="str">
        <f t="shared" si="24"/>
        <v>N/A</v>
      </c>
      <c r="AN10" s="1134" t="str">
        <f t="shared" si="25"/>
        <v>N/A</v>
      </c>
      <c r="AO10" s="1134" t="str">
        <f t="shared" si="26"/>
        <v>N/A</v>
      </c>
      <c r="AP10" s="1126" t="str">
        <f t="shared" si="27"/>
        <v>N/A</v>
      </c>
      <c r="AQ10" s="1124" t="str">
        <f t="shared" si="28"/>
        <v>N/A</v>
      </c>
      <c r="AR10" s="1124" t="str">
        <f t="shared" si="29"/>
        <v>N/A</v>
      </c>
      <c r="AS10" s="1136" t="str">
        <f>IFERROR(__xludf.DUMMYFUNCTION("IF(
  OR(AQ10=""NOT PUBLISHED"", AQ10=""N/A""),
  AQ10,
  IFERROR(MAX(FILTER(AL10:AQ10, ISNUMBER(AL10:AQ10))),"""")
)"),"N/A")</f>
        <v>N/A</v>
      </c>
      <c r="AT10" s="72" t="str">
        <f t="shared" si="30"/>
        <v>N/A</v>
      </c>
      <c r="AU10" s="1134" t="str">
        <f t="shared" si="31"/>
        <v>N/A</v>
      </c>
      <c r="AV10" s="1134" t="str">
        <f t="shared" si="32"/>
        <v>N/A</v>
      </c>
      <c r="AW10" s="1134" t="str">
        <f t="shared" si="33"/>
        <v>N/A</v>
      </c>
      <c r="AX10" s="1134" t="str">
        <f t="shared" si="34"/>
        <v>N/A</v>
      </c>
      <c r="AY10" s="1135" t="str">
        <f t="shared" si="35"/>
        <v>N/A</v>
      </c>
      <c r="AZ10" s="1127" t="str">
        <f t="shared" si="36"/>
        <v>N/A</v>
      </c>
      <c r="BA10" s="1135" t="str">
        <f t="shared" si="37"/>
        <v>N/A</v>
      </c>
      <c r="BB10" s="1127" t="str">
        <f t="shared" si="38"/>
        <v>N/A</v>
      </c>
      <c r="BC10" s="1137" t="str">
        <f>IFERROR(__xludf.DUMMYFUNCTION("IF(
  OR(BA10=""NOT PUBLISHED"", BA10=""N/A""),
  BA10,
  IFERROR(MAX(FILTER(AT10:BA10, ISNUMBER(AT10:BA10))),"""")
)"),"N/A")</f>
        <v>N/A</v>
      </c>
      <c r="BD10" s="545"/>
      <c r="BE10" s="545"/>
      <c r="BF10" s="545"/>
    </row>
    <row r="11" ht="15.0" customHeight="1" outlineLevel="1">
      <c r="A11" s="53">
        <v>8.0</v>
      </c>
      <c r="B11" s="100" t="s">
        <v>494</v>
      </c>
      <c r="C11" s="53">
        <v>8.0</v>
      </c>
      <c r="D11" s="1130" t="s">
        <v>7</v>
      </c>
      <c r="E11" s="101" t="s">
        <v>85</v>
      </c>
      <c r="F11" s="102">
        <v>1103.0</v>
      </c>
      <c r="G11" s="517" t="s">
        <v>80</v>
      </c>
      <c r="H11" s="517">
        <v>1130.0</v>
      </c>
      <c r="I11" s="821" t="str">
        <f>IFERROR(VLOOKUP(B8:B198,'RELATÓRIO ACC'!B:F,5,FALSE),"NOT PUBLISHED")</f>
        <v>NOT PUBLISHED</v>
      </c>
      <c r="J11" s="1119" t="str">
        <f>IFERROR(VLOOKUP(B8:B198,'RELATÓRIO ACC'!B:P,15,FALSE),"NOT PUBLISHED")</f>
        <v>NOT PUBLISHED</v>
      </c>
      <c r="K11" s="552" t="str">
        <f t="shared" si="2"/>
        <v>#REF!</v>
      </c>
      <c r="L11" s="552" t="str">
        <f t="shared" si="3"/>
        <v>#REF!</v>
      </c>
      <c r="M11" s="899"/>
      <c r="N11" s="1132" t="str">
        <f t="shared" si="4"/>
        <v>N/A</v>
      </c>
      <c r="O11" s="1133" t="str">
        <f t="shared" si="5"/>
        <v>N/A</v>
      </c>
      <c r="P11" s="1133" t="str">
        <f t="shared" si="6"/>
        <v>N/A</v>
      </c>
      <c r="Q11" s="1133" t="str">
        <f t="shared" si="7"/>
        <v>N/A</v>
      </c>
      <c r="R11" s="1133" t="str">
        <f t="shared" si="39"/>
        <v>N/A</v>
      </c>
      <c r="S11" s="1133" t="str">
        <f t="shared" si="40"/>
        <v>N/A</v>
      </c>
      <c r="T11" s="1133" t="str">
        <f t="shared" si="41"/>
        <v>N/A</v>
      </c>
      <c r="U11" s="1133" t="str">
        <f t="shared" si="8"/>
        <v>N/A</v>
      </c>
      <c r="V11" s="1122" t="str">
        <f t="shared" si="9"/>
        <v>N/A</v>
      </c>
      <c r="W11" s="1124" t="str">
        <f t="shared" si="10"/>
        <v>N/A</v>
      </c>
      <c r="X11" s="1124" t="str">
        <f t="shared" si="11"/>
        <v>N/A</v>
      </c>
      <c r="Y11" s="1136" t="str">
        <f>IFERROR(__xludf.DUMMYFUNCTION("IF(
  OR(W11=""NOT PUBLISHED"", W11=""N/A""),
  W11,
  IFERROR(MAX(FILTER(N11:W11, ISNUMBER(N11:W11))),"""")
)"),"N/A")</f>
        <v>N/A</v>
      </c>
      <c r="Z11" s="72" t="str">
        <f t="shared" si="12"/>
        <v>N/A</v>
      </c>
      <c r="AA11" s="1134" t="str">
        <f t="shared" si="13"/>
        <v>N/A</v>
      </c>
      <c r="AB11" s="1134" t="str">
        <f t="shared" si="14"/>
        <v>N/A</v>
      </c>
      <c r="AC11" s="1134" t="str">
        <f t="shared" si="15"/>
        <v>N/A</v>
      </c>
      <c r="AD11" s="1134" t="str">
        <f t="shared" si="16"/>
        <v>N/A</v>
      </c>
      <c r="AE11" s="1134" t="str">
        <f t="shared" si="17"/>
        <v>N/A</v>
      </c>
      <c r="AF11" s="1134" t="str">
        <f t="shared" si="18"/>
        <v>N/A</v>
      </c>
      <c r="AG11" s="1134" t="str">
        <f t="shared" si="19"/>
        <v>N/A</v>
      </c>
      <c r="AH11" s="1122" t="str">
        <f t="shared" si="20"/>
        <v>N/A</v>
      </c>
      <c r="AI11" s="1124" t="str">
        <f t="shared" si="21"/>
        <v>N/A</v>
      </c>
      <c r="AJ11" s="1124" t="str">
        <f t="shared" si="22"/>
        <v>N/A</v>
      </c>
      <c r="AK11" s="1136" t="str">
        <f>IFERROR(__xludf.DUMMYFUNCTION("IF(
  OR(AI11=""NOT PUBLISHED"", AI11=""N/A""),
  AI11,
  IFERROR(MAX(FILTER(Z11:AI11, ISNUMBER(Z11:AI11))),"""")
)"),"N/A")</f>
        <v>N/A</v>
      </c>
      <c r="AL11" s="72" t="str">
        <f t="shared" si="23"/>
        <v>N/A</v>
      </c>
      <c r="AM11" s="1134" t="str">
        <f t="shared" si="24"/>
        <v>N/A</v>
      </c>
      <c r="AN11" s="1134" t="str">
        <f t="shared" si="25"/>
        <v>N/A</v>
      </c>
      <c r="AO11" s="1134" t="str">
        <f t="shared" si="26"/>
        <v>N/A</v>
      </c>
      <c r="AP11" s="1126" t="str">
        <f t="shared" si="27"/>
        <v>N/A</v>
      </c>
      <c r="AQ11" s="1124" t="str">
        <f t="shared" si="28"/>
        <v>N/A</v>
      </c>
      <c r="AR11" s="1124" t="str">
        <f t="shared" si="29"/>
        <v>N/A</v>
      </c>
      <c r="AS11" s="1136" t="str">
        <f>IFERROR(__xludf.DUMMYFUNCTION("IF(
  OR(AQ11=""NOT PUBLISHED"", AQ11=""N/A""),
  AQ11,
  IFERROR(MAX(FILTER(AL11:AQ11, ISNUMBER(AL11:AQ11))),"""")
)"),"N/A")</f>
        <v>N/A</v>
      </c>
      <c r="AT11" s="72" t="str">
        <f t="shared" si="30"/>
        <v>N/A</v>
      </c>
      <c r="AU11" s="1134" t="str">
        <f t="shared" si="31"/>
        <v>N/A</v>
      </c>
      <c r="AV11" s="1134" t="str">
        <f t="shared" si="32"/>
        <v>N/A</v>
      </c>
      <c r="AW11" s="1134" t="str">
        <f t="shared" si="33"/>
        <v>N/A</v>
      </c>
      <c r="AX11" s="1134" t="str">
        <f t="shared" si="34"/>
        <v>N/A</v>
      </c>
      <c r="AY11" s="1135" t="str">
        <f t="shared" si="35"/>
        <v>N/A</v>
      </c>
      <c r="AZ11" s="1127" t="str">
        <f t="shared" si="36"/>
        <v>N/A</v>
      </c>
      <c r="BA11" s="1135" t="str">
        <f t="shared" si="37"/>
        <v>N/A</v>
      </c>
      <c r="BB11" s="1127" t="str">
        <f t="shared" si="38"/>
        <v>N/A</v>
      </c>
      <c r="BC11" s="1137" t="str">
        <f>IFERROR(__xludf.DUMMYFUNCTION("IF(
  OR(BA11=""NOT PUBLISHED"", BA11=""N/A""),
  BA11,
  IFERROR(MAX(FILTER(AT11:BA11, ISNUMBER(AT11:BA11))),"""")
)"),"N/A")</f>
        <v>N/A</v>
      </c>
      <c r="BD11" s="545"/>
      <c r="BE11" s="545"/>
      <c r="BF11" s="545"/>
    </row>
    <row r="12" ht="15.0" customHeight="1" outlineLevel="1">
      <c r="A12" s="53">
        <v>9.0</v>
      </c>
      <c r="B12" s="145" t="s">
        <v>84</v>
      </c>
      <c r="C12" s="53">
        <v>9.0</v>
      </c>
      <c r="D12" s="1130" t="s">
        <v>7</v>
      </c>
      <c r="E12" s="101" t="s">
        <v>85</v>
      </c>
      <c r="F12" s="101"/>
      <c r="G12" s="111" t="s">
        <v>80</v>
      </c>
      <c r="H12" s="517"/>
      <c r="I12" s="821" t="str">
        <f>IFERROR(VLOOKUP(B9:B199,'RELATÓRIO ACC'!B:F,5,FALSE),"NOT PUBLISHED")</f>
        <v>NOT PUBLISHED</v>
      </c>
      <c r="J12" s="1119" t="str">
        <f>IFERROR(VLOOKUP(B9:B199,'RELATÓRIO ACC'!B:P,15,FALSE),"NOT PUBLISHED")</f>
        <v>NOT PUBLISHED</v>
      </c>
      <c r="K12" s="552" t="str">
        <f t="shared" si="2"/>
        <v>#REF!</v>
      </c>
      <c r="L12" s="552" t="str">
        <f t="shared" si="3"/>
        <v>#REF!</v>
      </c>
      <c r="M12" s="899"/>
      <c r="N12" s="1132" t="str">
        <f t="shared" si="4"/>
        <v>N/A</v>
      </c>
      <c r="O12" s="1133" t="str">
        <f t="shared" si="5"/>
        <v>N/A</v>
      </c>
      <c r="P12" s="1133" t="str">
        <f t="shared" si="6"/>
        <v>N/A</v>
      </c>
      <c r="Q12" s="1133" t="str">
        <f t="shared" si="7"/>
        <v>N/A</v>
      </c>
      <c r="R12" s="1133" t="str">
        <f t="shared" si="39"/>
        <v>N/A</v>
      </c>
      <c r="S12" s="1133" t="str">
        <f t="shared" si="40"/>
        <v>N/A</v>
      </c>
      <c r="T12" s="1133" t="str">
        <f t="shared" si="41"/>
        <v>N/A</v>
      </c>
      <c r="U12" s="1133" t="str">
        <f t="shared" si="8"/>
        <v>N/A</v>
      </c>
      <c r="V12" s="1122" t="str">
        <f t="shared" si="9"/>
        <v>N/A</v>
      </c>
      <c r="W12" s="1124" t="str">
        <f t="shared" si="10"/>
        <v>N/A</v>
      </c>
      <c r="X12" s="1124" t="str">
        <f t="shared" si="11"/>
        <v>N/A</v>
      </c>
      <c r="Y12" s="1125" t="str">
        <f>IFERROR(__xludf.DUMMYFUNCTION("IF(
  OR(X12=""NOT PUBLISHED"", X12=""N/A""),
  X12,
  IFERROR(MAX(FILTER(N12:X12, ISNUMBER(N12:X12))),"""")
)"),"N/A")</f>
        <v>N/A</v>
      </c>
      <c r="Z12" s="72" t="str">
        <f t="shared" si="12"/>
        <v>N/A</v>
      </c>
      <c r="AA12" s="1134" t="str">
        <f t="shared" si="13"/>
        <v>N/A</v>
      </c>
      <c r="AB12" s="1134" t="str">
        <f t="shared" si="14"/>
        <v>N/A</v>
      </c>
      <c r="AC12" s="1134" t="str">
        <f t="shared" si="15"/>
        <v>N/A</v>
      </c>
      <c r="AD12" s="1134" t="str">
        <f t="shared" si="16"/>
        <v>N/A</v>
      </c>
      <c r="AE12" s="1134" t="str">
        <f t="shared" si="17"/>
        <v>N/A</v>
      </c>
      <c r="AF12" s="1134" t="str">
        <f t="shared" si="18"/>
        <v>N/A</v>
      </c>
      <c r="AG12" s="1134" t="str">
        <f t="shared" si="19"/>
        <v>N/A</v>
      </c>
      <c r="AH12" s="1122" t="str">
        <f t="shared" si="20"/>
        <v>N/A</v>
      </c>
      <c r="AI12" s="1124" t="str">
        <f t="shared" si="21"/>
        <v>N/A</v>
      </c>
      <c r="AJ12" s="1124" t="str">
        <f t="shared" si="22"/>
        <v>N/A</v>
      </c>
      <c r="AK12" s="1125" t="str">
        <f>IFERROR(__xludf.DUMMYFUNCTION("IF(
  OR(AJ12=""NOT PUBLISHED"", AJ12=""N/A""),
  AJ12,
  IFERROR(MAX(FILTER(Z12:AJ12, ISNUMBER(Z12:AJ12))),"""")
)"),"N/A")</f>
        <v>N/A</v>
      </c>
      <c r="AL12" s="72" t="str">
        <f t="shared" si="23"/>
        <v>N/A</v>
      </c>
      <c r="AM12" s="1134" t="str">
        <f t="shared" si="24"/>
        <v>N/A</v>
      </c>
      <c r="AN12" s="1134" t="str">
        <f t="shared" si="25"/>
        <v>N/A</v>
      </c>
      <c r="AO12" s="1134" t="str">
        <f t="shared" si="26"/>
        <v>N/A</v>
      </c>
      <c r="AP12" s="1126" t="str">
        <f t="shared" si="27"/>
        <v>N/A</v>
      </c>
      <c r="AQ12" s="1124" t="str">
        <f t="shared" si="28"/>
        <v>N/A</v>
      </c>
      <c r="AR12" s="1124" t="str">
        <f t="shared" si="29"/>
        <v>N/A</v>
      </c>
      <c r="AS12" s="1125" t="str">
        <f>IFERROR(__xludf.DUMMYFUNCTION("IF(
  OR(AR12=""NOT PUBLISHED"", AR12=""N/A""),
  AR12,
  IFERROR(MAX(FILTER(AL12:AR12, ISNUMBER(AL12:AR12))),"""")
)"),"N/A")</f>
        <v>N/A</v>
      </c>
      <c r="AT12" s="72" t="str">
        <f t="shared" si="30"/>
        <v>N/A</v>
      </c>
      <c r="AU12" s="1134" t="str">
        <f t="shared" si="31"/>
        <v>N/A</v>
      </c>
      <c r="AV12" s="1134" t="str">
        <f t="shared" si="32"/>
        <v>N/A</v>
      </c>
      <c r="AW12" s="1134" t="str">
        <f t="shared" si="33"/>
        <v>N/A</v>
      </c>
      <c r="AX12" s="1134" t="str">
        <f t="shared" si="34"/>
        <v>N/A</v>
      </c>
      <c r="AY12" s="1135" t="str">
        <f t="shared" si="35"/>
        <v>N/A</v>
      </c>
      <c r="AZ12" s="1127" t="str">
        <f t="shared" si="36"/>
        <v>N/A</v>
      </c>
      <c r="BA12" s="1135" t="str">
        <f t="shared" si="37"/>
        <v>N/A</v>
      </c>
      <c r="BB12" s="1127" t="str">
        <f t="shared" si="38"/>
        <v>N/A</v>
      </c>
      <c r="BC12" s="1128" t="str">
        <f>IFERROR(__xludf.DUMMYFUNCTION("IF(
  OR(BB12=""NOT PUBLISHED"", BB12=""N/A""),
  BB12,
  IFERROR(MAX(FILTER(AT12:BB12, ISNUMBER(AT12:BB12))),"""")
)"),"N/A")</f>
        <v>N/A</v>
      </c>
      <c r="BD12" s="545"/>
      <c r="BE12" s="545"/>
      <c r="BF12" s="545"/>
    </row>
    <row r="13" ht="15.0" customHeight="1" outlineLevel="1">
      <c r="A13" s="53">
        <v>10.0</v>
      </c>
      <c r="B13" s="100" t="s">
        <v>87</v>
      </c>
      <c r="C13" s="53">
        <v>10.0</v>
      </c>
      <c r="D13" s="1130" t="s">
        <v>1756</v>
      </c>
      <c r="E13" s="111" t="s">
        <v>88</v>
      </c>
      <c r="F13" s="111"/>
      <c r="G13" s="111" t="s">
        <v>88</v>
      </c>
      <c r="H13" s="517"/>
      <c r="I13" s="821" t="str">
        <f>IFERROR(VLOOKUP(B10:B200,'RELATÓRIO ACC'!B:F,5,FALSE),"NOT PUBLISHED")</f>
        <v>NOT PUBLISHED</v>
      </c>
      <c r="J13" s="1119" t="str">
        <f>IFERROR(VLOOKUP(B10:B200,'RELATÓRIO ACC'!B:P,15,FALSE),"NOT PUBLISHED")</f>
        <v>NOT PUBLISHED</v>
      </c>
      <c r="K13" s="552" t="str">
        <f t="shared" si="2"/>
        <v>#REF!</v>
      </c>
      <c r="L13" s="552" t="str">
        <f t="shared" si="3"/>
        <v>#REF!</v>
      </c>
      <c r="M13" s="899"/>
      <c r="N13" s="1132" t="str">
        <f t="shared" si="4"/>
        <v>N/A</v>
      </c>
      <c r="O13" s="1133" t="str">
        <f t="shared" si="5"/>
        <v>N/A</v>
      </c>
      <c r="P13" s="1133" t="str">
        <f t="shared" si="6"/>
        <v>N/A</v>
      </c>
      <c r="Q13" s="1133" t="str">
        <f t="shared" si="7"/>
        <v>N/A</v>
      </c>
      <c r="R13" s="1133" t="str">
        <f t="shared" si="39"/>
        <v>N/A</v>
      </c>
      <c r="S13" s="1133" t="str">
        <f t="shared" si="40"/>
        <v>N/A</v>
      </c>
      <c r="T13" s="1133" t="str">
        <f t="shared" si="41"/>
        <v>N/A</v>
      </c>
      <c r="U13" s="1133" t="str">
        <f t="shared" si="8"/>
        <v>N/A</v>
      </c>
      <c r="V13" s="1122" t="str">
        <f t="shared" si="9"/>
        <v>N/A</v>
      </c>
      <c r="W13" s="1124" t="str">
        <f t="shared" si="10"/>
        <v>N/A</v>
      </c>
      <c r="X13" s="1124" t="str">
        <f t="shared" si="11"/>
        <v>N/A</v>
      </c>
      <c r="Y13" s="1136" t="str">
        <f>IFERROR(__xludf.DUMMYFUNCTION("IF(
  OR(W13=""NOT PUBLISHED"", W13=""N/A""),
  W13,
  IFERROR(MAX(FILTER(N13:W13, ISNUMBER(N13:W13))),"""")
)"),"N/A")</f>
        <v>N/A</v>
      </c>
      <c r="Z13" s="72" t="str">
        <f t="shared" si="12"/>
        <v>N/A</v>
      </c>
      <c r="AA13" s="1134" t="str">
        <f t="shared" si="13"/>
        <v>N/A</v>
      </c>
      <c r="AB13" s="1134" t="str">
        <f t="shared" si="14"/>
        <v>N/A</v>
      </c>
      <c r="AC13" s="1134" t="str">
        <f t="shared" si="15"/>
        <v>N/A</v>
      </c>
      <c r="AD13" s="1134" t="str">
        <f t="shared" si="16"/>
        <v>N/A</v>
      </c>
      <c r="AE13" s="1134" t="str">
        <f t="shared" si="17"/>
        <v>N/A</v>
      </c>
      <c r="AF13" s="1134" t="str">
        <f t="shared" si="18"/>
        <v>N/A</v>
      </c>
      <c r="AG13" s="1134" t="str">
        <f t="shared" si="19"/>
        <v>N/A</v>
      </c>
      <c r="AH13" s="1122" t="str">
        <f t="shared" si="20"/>
        <v>N/A</v>
      </c>
      <c r="AI13" s="1124" t="str">
        <f t="shared" si="21"/>
        <v>N/A</v>
      </c>
      <c r="AJ13" s="1124" t="str">
        <f t="shared" si="22"/>
        <v>N/A</v>
      </c>
      <c r="AK13" s="1136" t="str">
        <f>IFERROR(__xludf.DUMMYFUNCTION("IF(
  OR(AI13=""NOT PUBLISHED"", AI13=""N/A""),
  AI13,
  IFERROR(MAX(FILTER(Z13:AI13, ISNUMBER(Z13:AI13))),"""")
)"),"N/A")</f>
        <v>N/A</v>
      </c>
      <c r="AL13" s="72" t="str">
        <f t="shared" si="23"/>
        <v>N/A</v>
      </c>
      <c r="AM13" s="1134" t="str">
        <f t="shared" si="24"/>
        <v>N/A</v>
      </c>
      <c r="AN13" s="1134" t="str">
        <f t="shared" si="25"/>
        <v>N/A</v>
      </c>
      <c r="AO13" s="1134" t="str">
        <f t="shared" si="26"/>
        <v>N/A</v>
      </c>
      <c r="AP13" s="1126" t="str">
        <f t="shared" si="27"/>
        <v>N/A</v>
      </c>
      <c r="AQ13" s="1124" t="str">
        <f t="shared" si="28"/>
        <v>N/A</v>
      </c>
      <c r="AR13" s="1124" t="str">
        <f t="shared" si="29"/>
        <v>N/A</v>
      </c>
      <c r="AS13" s="1136" t="str">
        <f>IFERROR(__xludf.DUMMYFUNCTION("IF(
  OR(AQ13=""NOT PUBLISHED"", AQ13=""N/A""),
  AQ13,
  IFERROR(MAX(FILTER(AL13:AQ13, ISNUMBER(AL13:AQ13))),"""")
)"),"N/A")</f>
        <v>N/A</v>
      </c>
      <c r="AT13" s="72" t="str">
        <f t="shared" si="30"/>
        <v>N/A</v>
      </c>
      <c r="AU13" s="1134" t="str">
        <f t="shared" si="31"/>
        <v>N/A</v>
      </c>
      <c r="AV13" s="1134" t="str">
        <f t="shared" si="32"/>
        <v>N/A</v>
      </c>
      <c r="AW13" s="1134" t="str">
        <f t="shared" si="33"/>
        <v>N/A</v>
      </c>
      <c r="AX13" s="1134" t="str">
        <f t="shared" si="34"/>
        <v>N/A</v>
      </c>
      <c r="AY13" s="1135" t="str">
        <f t="shared" si="35"/>
        <v>N/A</v>
      </c>
      <c r="AZ13" s="1127" t="str">
        <f t="shared" si="36"/>
        <v>N/A</v>
      </c>
      <c r="BA13" s="1135" t="str">
        <f t="shared" si="37"/>
        <v>N/A</v>
      </c>
      <c r="BB13" s="1127" t="str">
        <f t="shared" si="38"/>
        <v>N/A</v>
      </c>
      <c r="BC13" s="1137" t="str">
        <f>IFERROR(__xludf.DUMMYFUNCTION("IF(
  OR(BA13=""NOT PUBLISHED"", BA13=""N/A""),
  BA13,
  IFERROR(MAX(FILTER(AT13:BA13, ISNUMBER(AT13:BA13))),"""")
)"),"N/A")</f>
        <v>N/A</v>
      </c>
      <c r="BD13" s="545"/>
      <c r="BE13" s="545"/>
      <c r="BF13" s="545"/>
    </row>
    <row r="14" ht="32.25" customHeight="1" outlineLevel="1">
      <c r="A14" s="53">
        <v>11.0</v>
      </c>
      <c r="B14" s="100" t="s">
        <v>90</v>
      </c>
      <c r="C14" s="53">
        <v>11.0</v>
      </c>
      <c r="D14" s="1130" t="s">
        <v>1756</v>
      </c>
      <c r="E14" s="111" t="s">
        <v>91</v>
      </c>
      <c r="F14" s="102">
        <v>1104.0</v>
      </c>
      <c r="G14" s="517" t="s">
        <v>92</v>
      </c>
      <c r="H14" s="517">
        <v>1127.0</v>
      </c>
      <c r="I14" s="821" t="str">
        <f>IFERROR(VLOOKUP(B11:B201,'RELATÓRIO ACC'!B:F,5,FALSE),"NOT PUBLISHED")</f>
        <v>NOT PUBLISHED</v>
      </c>
      <c r="J14" s="1119" t="str">
        <f>IFERROR(VLOOKUP(B11:B201,'RELATÓRIO ACC'!B:P,15,FALSE),"NOT PUBLISHED")</f>
        <v>NOT PUBLISHED</v>
      </c>
      <c r="K14" s="552" t="str">
        <f t="shared" si="2"/>
        <v>#REF!</v>
      </c>
      <c r="L14" s="552" t="str">
        <f t="shared" si="3"/>
        <v>#REF!</v>
      </c>
      <c r="M14" s="899" t="s">
        <v>1758</v>
      </c>
      <c r="N14" s="1132" t="str">
        <f t="shared" si="4"/>
        <v>N/A</v>
      </c>
      <c r="O14" s="1133" t="str">
        <f t="shared" si="5"/>
        <v>N/A</v>
      </c>
      <c r="P14" s="1133" t="str">
        <f t="shared" si="6"/>
        <v>N/A</v>
      </c>
      <c r="Q14" s="1133" t="str">
        <f t="shared" si="7"/>
        <v>N/A</v>
      </c>
      <c r="R14" s="1133" t="str">
        <f t="shared" si="39"/>
        <v>N/A</v>
      </c>
      <c r="S14" s="1133" t="str">
        <f t="shared" si="40"/>
        <v>N/A</v>
      </c>
      <c r="T14" s="1133" t="str">
        <f t="shared" si="41"/>
        <v>N/A</v>
      </c>
      <c r="U14" s="1133" t="str">
        <f t="shared" si="8"/>
        <v>N/A</v>
      </c>
      <c r="V14" s="1122" t="str">
        <f t="shared" si="9"/>
        <v>N/A</v>
      </c>
      <c r="W14" s="1124" t="str">
        <f t="shared" si="10"/>
        <v>N/A</v>
      </c>
      <c r="X14" s="1124" t="str">
        <f t="shared" si="11"/>
        <v>N/A</v>
      </c>
      <c r="Y14" s="1125" t="str">
        <f>IFERROR(__xludf.DUMMYFUNCTION("IF(
  OR(X14=""NOT PUBLISHED"", X14=""N/A""),
  X14,
  IFERROR(MAX(FILTER(N14:X14, ISNUMBER(N14:X14))),"""")
)"),"N/A")</f>
        <v>N/A</v>
      </c>
      <c r="Z14" s="72" t="str">
        <f t="shared" si="12"/>
        <v>N/A</v>
      </c>
      <c r="AA14" s="1134" t="str">
        <f t="shared" si="13"/>
        <v>N/A</v>
      </c>
      <c r="AB14" s="1134" t="str">
        <f t="shared" si="14"/>
        <v>N/A</v>
      </c>
      <c r="AC14" s="1134" t="str">
        <f t="shared" si="15"/>
        <v>N/A</v>
      </c>
      <c r="AD14" s="1134" t="str">
        <f t="shared" si="16"/>
        <v>N/A</v>
      </c>
      <c r="AE14" s="1134" t="str">
        <f t="shared" si="17"/>
        <v>N/A</v>
      </c>
      <c r="AF14" s="1134" t="str">
        <f t="shared" si="18"/>
        <v>N/A</v>
      </c>
      <c r="AG14" s="1134" t="str">
        <f t="shared" si="19"/>
        <v>N/A</v>
      </c>
      <c r="AH14" s="1122" t="str">
        <f t="shared" si="20"/>
        <v>N/A</v>
      </c>
      <c r="AI14" s="1124" t="str">
        <f t="shared" si="21"/>
        <v>N/A</v>
      </c>
      <c r="AJ14" s="1124" t="str">
        <f t="shared" si="22"/>
        <v>N/A</v>
      </c>
      <c r="AK14" s="1125" t="str">
        <f>IFERROR(__xludf.DUMMYFUNCTION("IF(
  OR(AJ14=""NOT PUBLISHED"", AJ14=""N/A""),
  AJ14,
  IFERROR(MAX(FILTER(Z14:AJ14, ISNUMBER(Z14:AJ14))),"""")
)"),"N/A")</f>
        <v>N/A</v>
      </c>
      <c r="AL14" s="72" t="str">
        <f t="shared" si="23"/>
        <v>N/A</v>
      </c>
      <c r="AM14" s="1134" t="str">
        <f t="shared" si="24"/>
        <v>N/A</v>
      </c>
      <c r="AN14" s="1134" t="str">
        <f t="shared" si="25"/>
        <v>N/A</v>
      </c>
      <c r="AO14" s="1134" t="str">
        <f t="shared" si="26"/>
        <v>N/A</v>
      </c>
      <c r="AP14" s="1126" t="str">
        <f t="shared" si="27"/>
        <v>N/A</v>
      </c>
      <c r="AQ14" s="1124" t="str">
        <f t="shared" si="28"/>
        <v>N/A</v>
      </c>
      <c r="AR14" s="1124" t="str">
        <f t="shared" si="29"/>
        <v>N/A</v>
      </c>
      <c r="AS14" s="1125" t="str">
        <f>IFERROR(__xludf.DUMMYFUNCTION("IF(
  OR(AR14=""NOT PUBLISHED"", AR14=""N/A""),
  AR14,
  IFERROR(MAX(FILTER(AL14:AR14, ISNUMBER(AL14:AR14))),"""")
)"),"N/A")</f>
        <v>N/A</v>
      </c>
      <c r="AT14" s="72" t="str">
        <f t="shared" si="30"/>
        <v>N/A</v>
      </c>
      <c r="AU14" s="1134" t="str">
        <f t="shared" si="31"/>
        <v>N/A</v>
      </c>
      <c r="AV14" s="1134" t="str">
        <f t="shared" si="32"/>
        <v>N/A</v>
      </c>
      <c r="AW14" s="1134" t="str">
        <f t="shared" si="33"/>
        <v>N/A</v>
      </c>
      <c r="AX14" s="1134" t="str">
        <f t="shared" si="34"/>
        <v>N/A</v>
      </c>
      <c r="AY14" s="1135" t="str">
        <f t="shared" si="35"/>
        <v>N/A</v>
      </c>
      <c r="AZ14" s="1127" t="str">
        <f t="shared" si="36"/>
        <v>N/A</v>
      </c>
      <c r="BA14" s="1135" t="str">
        <f t="shared" si="37"/>
        <v>N/A</v>
      </c>
      <c r="BB14" s="1127" t="str">
        <f t="shared" si="38"/>
        <v>N/A</v>
      </c>
      <c r="BC14" s="1128" t="str">
        <f>IFERROR(__xludf.DUMMYFUNCTION("IF(
  OR(BB14=""NOT PUBLISHED"", BB14=""N/A""),
  BB14,
  IFERROR(MAX(FILTER(AT14:BB14, ISNUMBER(AT14:BB14))),"""")
)"),"N/A")</f>
        <v>N/A</v>
      </c>
      <c r="BD14" s="1129"/>
      <c r="BE14" s="1129"/>
      <c r="BF14" s="1129"/>
    </row>
    <row r="15" outlineLevel="1">
      <c r="A15" s="53">
        <v>12.0</v>
      </c>
      <c r="B15" s="100" t="s">
        <v>94</v>
      </c>
      <c r="C15" s="53">
        <v>12.0</v>
      </c>
      <c r="D15" s="1130" t="s">
        <v>7</v>
      </c>
      <c r="E15" s="111" t="s">
        <v>91</v>
      </c>
      <c r="F15" s="102">
        <v>1104.0</v>
      </c>
      <c r="G15" s="517" t="s">
        <v>92</v>
      </c>
      <c r="H15" s="517">
        <v>1127.0</v>
      </c>
      <c r="I15" s="821" t="str">
        <f>IFERROR(VLOOKUP(B12:B202,'RELATÓRIO ACC'!B:F,5,FALSE),"NOT PUBLISHED")</f>
        <v>NOT PUBLISHED</v>
      </c>
      <c r="J15" s="1119" t="str">
        <f>IFERROR(VLOOKUP(B12:B202,'RELATÓRIO ACC'!B:P,15,FALSE),"NOT PUBLISHED")</f>
        <v>NOT PUBLISHED</v>
      </c>
      <c r="K15" s="552" t="str">
        <f t="shared" si="2"/>
        <v>#REF!</v>
      </c>
      <c r="L15" s="552" t="str">
        <f t="shared" si="3"/>
        <v>#REF!</v>
      </c>
      <c r="M15" s="899"/>
      <c r="N15" s="1132" t="str">
        <f t="shared" si="4"/>
        <v>N/A</v>
      </c>
      <c r="O15" s="1133" t="str">
        <f t="shared" si="5"/>
        <v>N/A</v>
      </c>
      <c r="P15" s="1133" t="str">
        <f t="shared" si="6"/>
        <v>N/A</v>
      </c>
      <c r="Q15" s="1133" t="str">
        <f t="shared" si="7"/>
        <v>N/A</v>
      </c>
      <c r="R15" s="1133" t="str">
        <f t="shared" si="39"/>
        <v>N/A</v>
      </c>
      <c r="S15" s="1133" t="str">
        <f t="shared" si="40"/>
        <v>N/A</v>
      </c>
      <c r="T15" s="1133" t="str">
        <f t="shared" si="41"/>
        <v>N/A</v>
      </c>
      <c r="U15" s="1133" t="str">
        <f t="shared" si="8"/>
        <v>N/A</v>
      </c>
      <c r="V15" s="1122" t="str">
        <f t="shared" si="9"/>
        <v>N/A</v>
      </c>
      <c r="W15" s="1124" t="str">
        <f t="shared" si="10"/>
        <v>N/A</v>
      </c>
      <c r="X15" s="1124" t="str">
        <f t="shared" si="11"/>
        <v>N/A</v>
      </c>
      <c r="Y15" s="1125" t="str">
        <f>IFERROR(__xludf.DUMMYFUNCTION("IF(
  OR(X15=""NOT PUBLISHED"", X15=""N/A""),
  X15,
  IFERROR(MAX(FILTER(N15:X15, ISNUMBER(N15:X15))),"""")
)"),"N/A")</f>
        <v>N/A</v>
      </c>
      <c r="Z15" s="72" t="str">
        <f t="shared" si="12"/>
        <v>N/A</v>
      </c>
      <c r="AA15" s="1134" t="str">
        <f t="shared" si="13"/>
        <v>N/A</v>
      </c>
      <c r="AB15" s="1134" t="str">
        <f t="shared" si="14"/>
        <v>N/A</v>
      </c>
      <c r="AC15" s="1134" t="str">
        <f t="shared" si="15"/>
        <v>N/A</v>
      </c>
      <c r="AD15" s="1134" t="str">
        <f t="shared" si="16"/>
        <v>N/A</v>
      </c>
      <c r="AE15" s="1134" t="str">
        <f t="shared" si="17"/>
        <v>N/A</v>
      </c>
      <c r="AF15" s="1134" t="str">
        <f t="shared" si="18"/>
        <v>N/A</v>
      </c>
      <c r="AG15" s="1134" t="str">
        <f t="shared" si="19"/>
        <v>N/A</v>
      </c>
      <c r="AH15" s="1122" t="str">
        <f t="shared" si="20"/>
        <v>N/A</v>
      </c>
      <c r="AI15" s="1124" t="str">
        <f t="shared" si="21"/>
        <v>N/A</v>
      </c>
      <c r="AJ15" s="1124" t="str">
        <f t="shared" si="22"/>
        <v>N/A</v>
      </c>
      <c r="AK15" s="1125" t="str">
        <f>IFERROR(__xludf.DUMMYFUNCTION("IF(
  OR(AJ15=""NOT PUBLISHED"", AJ15=""N/A""),
  AJ15,
  IFERROR(MAX(FILTER(Z15:AJ15, ISNUMBER(Z15:AJ15))),"""")
)"),"N/A")</f>
        <v>N/A</v>
      </c>
      <c r="AL15" s="72" t="str">
        <f t="shared" si="23"/>
        <v>N/A</v>
      </c>
      <c r="AM15" s="1134" t="str">
        <f t="shared" si="24"/>
        <v>N/A</v>
      </c>
      <c r="AN15" s="1134" t="str">
        <f t="shared" si="25"/>
        <v>N/A</v>
      </c>
      <c r="AO15" s="1134" t="str">
        <f t="shared" si="26"/>
        <v>N/A</v>
      </c>
      <c r="AP15" s="1126" t="str">
        <f t="shared" si="27"/>
        <v>N/A</v>
      </c>
      <c r="AQ15" s="1124" t="str">
        <f t="shared" si="28"/>
        <v>N/A</v>
      </c>
      <c r="AR15" s="1124" t="str">
        <f t="shared" si="29"/>
        <v>N/A</v>
      </c>
      <c r="AS15" s="1125" t="str">
        <f>IFERROR(__xludf.DUMMYFUNCTION("IF(
  OR(AR15=""NOT PUBLISHED"", AR15=""N/A""),
  AR15,
  IFERROR(MAX(FILTER(AL15:AR15, ISNUMBER(AL15:AR15))),"""")
)"),"N/A")</f>
        <v>N/A</v>
      </c>
      <c r="AT15" s="72" t="str">
        <f t="shared" si="30"/>
        <v>N/A</v>
      </c>
      <c r="AU15" s="1134" t="str">
        <f t="shared" si="31"/>
        <v>N/A</v>
      </c>
      <c r="AV15" s="1134" t="str">
        <f t="shared" si="32"/>
        <v>N/A</v>
      </c>
      <c r="AW15" s="1134" t="str">
        <f t="shared" si="33"/>
        <v>N/A</v>
      </c>
      <c r="AX15" s="1134" t="str">
        <f t="shared" si="34"/>
        <v>N/A</v>
      </c>
      <c r="AY15" s="1135" t="str">
        <f t="shared" si="35"/>
        <v>N/A</v>
      </c>
      <c r="AZ15" s="1127" t="str">
        <f t="shared" si="36"/>
        <v>N/A</v>
      </c>
      <c r="BA15" s="1135" t="str">
        <f t="shared" si="37"/>
        <v>N/A</v>
      </c>
      <c r="BB15" s="1127" t="str">
        <f t="shared" si="38"/>
        <v>N/A</v>
      </c>
      <c r="BC15" s="1128" t="str">
        <f>IFERROR(__xludf.DUMMYFUNCTION("IF(
  OR(BB15=""NOT PUBLISHED"", BB15=""N/A""),
  BB15,
  IFERROR(MAX(FILTER(AT15:BB15, ISNUMBER(AT15:BB15))),"""")
)"),"N/A")</f>
        <v>N/A</v>
      </c>
      <c r="BD15" s="1138"/>
      <c r="BE15" s="1138"/>
      <c r="BF15" s="1138"/>
    </row>
    <row r="16" ht="15.0" customHeight="1" outlineLevel="1">
      <c r="A16" s="53">
        <v>13.0</v>
      </c>
      <c r="B16" s="145" t="s">
        <v>96</v>
      </c>
      <c r="C16" s="53">
        <v>13.0</v>
      </c>
      <c r="D16" s="1130" t="s">
        <v>1756</v>
      </c>
      <c r="E16" s="101" t="s">
        <v>97</v>
      </c>
      <c r="F16" s="102">
        <v>1105.0</v>
      </c>
      <c r="G16" s="534" t="s">
        <v>92</v>
      </c>
      <c r="H16" s="517">
        <v>1105.0</v>
      </c>
      <c r="I16" s="821" t="str">
        <f>IFERROR(VLOOKUP(B13:B203,'RELATÓRIO ACC'!B:F,5,FALSE),"NOT PUBLISHED")</f>
        <v>NOT PUBLISHED</v>
      </c>
      <c r="J16" s="1119" t="str">
        <f>IFERROR(VLOOKUP(B13:B203,'RELATÓRIO ACC'!B:P,15,FALSE),"NOT PUBLISHED")</f>
        <v>NOT PUBLISHED</v>
      </c>
      <c r="K16" s="552" t="str">
        <f t="shared" si="2"/>
        <v>#REF!</v>
      </c>
      <c r="L16" s="552" t="str">
        <f t="shared" si="3"/>
        <v>#REF!</v>
      </c>
      <c r="M16" s="899" t="s">
        <v>1758</v>
      </c>
      <c r="N16" s="1132" t="str">
        <f t="shared" si="4"/>
        <v>N/A</v>
      </c>
      <c r="O16" s="1133" t="str">
        <f t="shared" si="5"/>
        <v>N/A</v>
      </c>
      <c r="P16" s="1133" t="str">
        <f t="shared" si="6"/>
        <v>N/A</v>
      </c>
      <c r="Q16" s="1133" t="str">
        <f t="shared" si="7"/>
        <v>N/A</v>
      </c>
      <c r="R16" s="1133" t="str">
        <f t="shared" si="39"/>
        <v>N/A</v>
      </c>
      <c r="S16" s="1133" t="str">
        <f t="shared" si="40"/>
        <v>N/A</v>
      </c>
      <c r="T16" s="1133" t="str">
        <f t="shared" si="41"/>
        <v>N/A</v>
      </c>
      <c r="U16" s="1133" t="str">
        <f t="shared" si="8"/>
        <v>N/A</v>
      </c>
      <c r="V16" s="1122" t="str">
        <f t="shared" si="9"/>
        <v>N/A</v>
      </c>
      <c r="W16" s="1124" t="str">
        <f t="shared" si="10"/>
        <v>N/A</v>
      </c>
      <c r="X16" s="1124" t="str">
        <f t="shared" si="11"/>
        <v>N/A</v>
      </c>
      <c r="Y16" s="1125" t="str">
        <f>IFERROR(__xludf.DUMMYFUNCTION("IF(
  OR(X16=""NOT PUBLISHED"", X16=""N/A""),
  X16,
  IFERROR(MAX(FILTER(N16:X16, ISNUMBER(N16:X16))),"""")
)"),"N/A")</f>
        <v>N/A</v>
      </c>
      <c r="Z16" s="72" t="str">
        <f t="shared" si="12"/>
        <v>N/A</v>
      </c>
      <c r="AA16" s="1134" t="str">
        <f t="shared" si="13"/>
        <v>N/A</v>
      </c>
      <c r="AB16" s="1134" t="str">
        <f t="shared" si="14"/>
        <v>N/A</v>
      </c>
      <c r="AC16" s="1134" t="str">
        <f t="shared" si="15"/>
        <v>N/A</v>
      </c>
      <c r="AD16" s="1134" t="str">
        <f t="shared" si="16"/>
        <v>N/A</v>
      </c>
      <c r="AE16" s="1134" t="str">
        <f t="shared" si="17"/>
        <v>N/A</v>
      </c>
      <c r="AF16" s="1134" t="str">
        <f t="shared" si="18"/>
        <v>N/A</v>
      </c>
      <c r="AG16" s="1134" t="str">
        <f t="shared" si="19"/>
        <v>N/A</v>
      </c>
      <c r="AH16" s="1122" t="str">
        <f t="shared" si="20"/>
        <v>N/A</v>
      </c>
      <c r="AI16" s="1124" t="str">
        <f t="shared" si="21"/>
        <v>N/A</v>
      </c>
      <c r="AJ16" s="1124" t="str">
        <f t="shared" si="22"/>
        <v>N/A</v>
      </c>
      <c r="AK16" s="1125" t="str">
        <f>IFERROR(__xludf.DUMMYFUNCTION("IF(
  OR(AJ16=""NOT PUBLISHED"", AJ16=""N/A""),
  AJ16,
  IFERROR(MAX(FILTER(Z16:AJ16, ISNUMBER(Z16:AJ16))),"""")
)"),"N/A")</f>
        <v>N/A</v>
      </c>
      <c r="AL16" s="72" t="str">
        <f t="shared" si="23"/>
        <v>N/A</v>
      </c>
      <c r="AM16" s="1134" t="str">
        <f t="shared" si="24"/>
        <v>N/A</v>
      </c>
      <c r="AN16" s="1134" t="str">
        <f t="shared" si="25"/>
        <v>N/A</v>
      </c>
      <c r="AO16" s="1134" t="str">
        <f t="shared" si="26"/>
        <v>N/A</v>
      </c>
      <c r="AP16" s="1126" t="str">
        <f t="shared" si="27"/>
        <v>N/A</v>
      </c>
      <c r="AQ16" s="1124" t="str">
        <f t="shared" si="28"/>
        <v>N/A</v>
      </c>
      <c r="AR16" s="1124" t="str">
        <f t="shared" si="29"/>
        <v>N/A</v>
      </c>
      <c r="AS16" s="1125" t="str">
        <f>IFERROR(__xludf.DUMMYFUNCTION("IF(
  OR(AR16=""NOT PUBLISHED"", AR16=""N/A""),
  AR16,
  IFERROR(MAX(FILTER(AL16:AR16, ISNUMBER(AL16:AR16))),"""")
)"),"N/A")</f>
        <v>N/A</v>
      </c>
      <c r="AT16" s="72" t="str">
        <f t="shared" si="30"/>
        <v>N/A</v>
      </c>
      <c r="AU16" s="1134" t="str">
        <f t="shared" si="31"/>
        <v>N/A</v>
      </c>
      <c r="AV16" s="1134" t="str">
        <f t="shared" si="32"/>
        <v>N/A</v>
      </c>
      <c r="AW16" s="1134" t="str">
        <f t="shared" si="33"/>
        <v>N/A</v>
      </c>
      <c r="AX16" s="1134" t="str">
        <f t="shared" si="34"/>
        <v>N/A</v>
      </c>
      <c r="AY16" s="1135" t="str">
        <f t="shared" si="35"/>
        <v>N/A</v>
      </c>
      <c r="AZ16" s="1127" t="str">
        <f t="shared" si="36"/>
        <v>N/A</v>
      </c>
      <c r="BA16" s="1135" t="str">
        <f t="shared" si="37"/>
        <v>N/A</v>
      </c>
      <c r="BB16" s="1127" t="str">
        <f t="shared" si="38"/>
        <v>N/A</v>
      </c>
      <c r="BC16" s="1128" t="str">
        <f>IFERROR(__xludf.DUMMYFUNCTION("IF(
  OR(BB16=""NOT PUBLISHED"", BB16=""N/A""),
  BB16,
  IFERROR(MAX(FILTER(AT16:BB16, ISNUMBER(AT16:BB16))),"""")
)"),"N/A")</f>
        <v>N/A</v>
      </c>
      <c r="BD16" s="1129"/>
      <c r="BE16" s="1129"/>
      <c r="BF16" s="1129"/>
    </row>
    <row r="17" ht="15.0" customHeight="1" outlineLevel="1">
      <c r="A17" s="53">
        <v>14.0</v>
      </c>
      <c r="B17" s="145" t="s">
        <v>99</v>
      </c>
      <c r="C17" s="53">
        <v>14.0</v>
      </c>
      <c r="D17" s="1130" t="s">
        <v>1756</v>
      </c>
      <c r="E17" s="111" t="s">
        <v>91</v>
      </c>
      <c r="F17" s="102">
        <v>1104.0</v>
      </c>
      <c r="G17" s="517" t="s">
        <v>92</v>
      </c>
      <c r="H17" s="517">
        <v>1127.0</v>
      </c>
      <c r="I17" s="821" t="str">
        <f>IFERROR(VLOOKUP(B14:B204,'RELATÓRIO ACC'!B:F,5,FALSE),"NOT PUBLISHED")</f>
        <v>NOT PUBLISHED</v>
      </c>
      <c r="J17" s="1119" t="str">
        <f>IFERROR(VLOOKUP(B14:B204,'RELATÓRIO ACC'!B:P,15,FALSE),"NOT PUBLISHED")</f>
        <v>NOT PUBLISHED</v>
      </c>
      <c r="K17" s="552" t="str">
        <f t="shared" si="2"/>
        <v>#REF!</v>
      </c>
      <c r="L17" s="552" t="str">
        <f t="shared" si="3"/>
        <v>#REF!</v>
      </c>
      <c r="M17" s="899" t="s">
        <v>1758</v>
      </c>
      <c r="N17" s="1132" t="str">
        <f t="shared" si="4"/>
        <v>N/A</v>
      </c>
      <c r="O17" s="1133" t="str">
        <f t="shared" si="5"/>
        <v>N/A</v>
      </c>
      <c r="P17" s="1133" t="str">
        <f t="shared" si="6"/>
        <v>N/A</v>
      </c>
      <c r="Q17" s="1133" t="str">
        <f t="shared" si="7"/>
        <v>N/A</v>
      </c>
      <c r="R17" s="1133" t="str">
        <f t="shared" si="39"/>
        <v>N/A</v>
      </c>
      <c r="S17" s="1133" t="str">
        <f t="shared" si="40"/>
        <v>N/A</v>
      </c>
      <c r="T17" s="1133" t="str">
        <f t="shared" si="41"/>
        <v>N/A</v>
      </c>
      <c r="U17" s="1133" t="str">
        <f t="shared" si="8"/>
        <v>N/A</v>
      </c>
      <c r="V17" s="1122" t="str">
        <f t="shared" si="9"/>
        <v>N/A</v>
      </c>
      <c r="W17" s="1124" t="str">
        <f t="shared" si="10"/>
        <v>N/A</v>
      </c>
      <c r="X17" s="1124" t="str">
        <f t="shared" si="11"/>
        <v>N/A</v>
      </c>
      <c r="Y17" s="1125" t="str">
        <f>IFERROR(__xludf.DUMMYFUNCTION("IF(
  OR(X17=""NOT PUBLISHED"", X17=""N/A""),
  X17,
  IFERROR(MAX(FILTER(N17:X17, ISNUMBER(N17:X17))),"""")
)"),"N/A")</f>
        <v>N/A</v>
      </c>
      <c r="Z17" s="72" t="str">
        <f t="shared" si="12"/>
        <v>N/A</v>
      </c>
      <c r="AA17" s="1134" t="str">
        <f t="shared" si="13"/>
        <v>N/A</v>
      </c>
      <c r="AB17" s="1134" t="str">
        <f t="shared" si="14"/>
        <v>N/A</v>
      </c>
      <c r="AC17" s="1134" t="str">
        <f t="shared" si="15"/>
        <v>N/A</v>
      </c>
      <c r="AD17" s="1134" t="str">
        <f t="shared" si="16"/>
        <v>N/A</v>
      </c>
      <c r="AE17" s="1134" t="str">
        <f t="shared" si="17"/>
        <v>N/A</v>
      </c>
      <c r="AF17" s="1134" t="str">
        <f t="shared" si="18"/>
        <v>N/A</v>
      </c>
      <c r="AG17" s="1134" t="str">
        <f t="shared" si="19"/>
        <v>N/A</v>
      </c>
      <c r="AH17" s="1122" t="str">
        <f t="shared" si="20"/>
        <v>N/A</v>
      </c>
      <c r="AI17" s="1124" t="str">
        <f t="shared" si="21"/>
        <v>N/A</v>
      </c>
      <c r="AJ17" s="1124" t="str">
        <f t="shared" si="22"/>
        <v>N/A</v>
      </c>
      <c r="AK17" s="1125" t="str">
        <f>IFERROR(__xludf.DUMMYFUNCTION("IF(
  OR(AJ17=""NOT PUBLISHED"", AJ17=""N/A""),
  AJ17,
  IFERROR(MAX(FILTER(Z17:AJ17, ISNUMBER(Z17:AJ17))),"""")
)"),"N/A")</f>
        <v>N/A</v>
      </c>
      <c r="AL17" s="72" t="str">
        <f t="shared" si="23"/>
        <v>N/A</v>
      </c>
      <c r="AM17" s="1134" t="str">
        <f t="shared" si="24"/>
        <v>N/A</v>
      </c>
      <c r="AN17" s="1134" t="str">
        <f t="shared" si="25"/>
        <v>N/A</v>
      </c>
      <c r="AO17" s="1134" t="str">
        <f t="shared" si="26"/>
        <v>N/A</v>
      </c>
      <c r="AP17" s="1126" t="str">
        <f t="shared" si="27"/>
        <v>N/A</v>
      </c>
      <c r="AQ17" s="1124" t="str">
        <f t="shared" si="28"/>
        <v>N/A</v>
      </c>
      <c r="AR17" s="1124" t="str">
        <f t="shared" si="29"/>
        <v>N/A</v>
      </c>
      <c r="AS17" s="1125" t="str">
        <f>IFERROR(__xludf.DUMMYFUNCTION("IF(
  OR(AR17=""NOT PUBLISHED"", AR17=""N/A""),
  AR17,
  IFERROR(MAX(FILTER(AL17:AR17, ISNUMBER(AL17:AR17))),"""")
)"),"N/A")</f>
        <v>N/A</v>
      </c>
      <c r="AT17" s="72" t="str">
        <f t="shared" si="30"/>
        <v>N/A</v>
      </c>
      <c r="AU17" s="1134" t="str">
        <f t="shared" si="31"/>
        <v>N/A</v>
      </c>
      <c r="AV17" s="1134" t="str">
        <f t="shared" si="32"/>
        <v>N/A</v>
      </c>
      <c r="AW17" s="1134" t="str">
        <f t="shared" si="33"/>
        <v>N/A</v>
      </c>
      <c r="AX17" s="1134" t="str">
        <f t="shared" si="34"/>
        <v>N/A</v>
      </c>
      <c r="AY17" s="1135" t="str">
        <f t="shared" si="35"/>
        <v>N/A</v>
      </c>
      <c r="AZ17" s="1127" t="str">
        <f t="shared" si="36"/>
        <v>N/A</v>
      </c>
      <c r="BA17" s="1135" t="str">
        <f t="shared" si="37"/>
        <v>N/A</v>
      </c>
      <c r="BB17" s="1127" t="str">
        <f t="shared" si="38"/>
        <v>N/A</v>
      </c>
      <c r="BC17" s="1128" t="str">
        <f>IFERROR(__xludf.DUMMYFUNCTION("IF(
  OR(BB17=""NOT PUBLISHED"", BB17=""N/A""),
  BB17,
  IFERROR(MAX(FILTER(AT17:BB17, ISNUMBER(AT17:BB17))),"""")
)"),"N/A")</f>
        <v>N/A</v>
      </c>
      <c r="BD17" s="1129"/>
      <c r="BE17" s="1129"/>
      <c r="BF17" s="1129"/>
    </row>
    <row r="18" ht="15.0" customHeight="1" outlineLevel="1">
      <c r="A18" s="53">
        <v>15.0</v>
      </c>
      <c r="B18" s="100" t="s">
        <v>101</v>
      </c>
      <c r="C18" s="53">
        <v>15.0</v>
      </c>
      <c r="D18" s="1130" t="s">
        <v>7</v>
      </c>
      <c r="E18" s="111" t="s">
        <v>91</v>
      </c>
      <c r="F18" s="102">
        <v>1104.0</v>
      </c>
      <c r="G18" s="517" t="s">
        <v>92</v>
      </c>
      <c r="H18" s="517">
        <v>1127.0</v>
      </c>
      <c r="I18" s="821" t="str">
        <f>IFERROR(VLOOKUP(B15:B205,'RELATÓRIO ACC'!B:F,5,FALSE),"NOT PUBLISHED")</f>
        <v>NOT PUBLISHED</v>
      </c>
      <c r="J18" s="1119" t="str">
        <f>IFERROR(VLOOKUP(B15:B205,'RELATÓRIO ACC'!B:P,15,FALSE),"NOT PUBLISHED")</f>
        <v>NOT PUBLISHED</v>
      </c>
      <c r="K18" s="552" t="str">
        <f t="shared" si="2"/>
        <v>#REF!</v>
      </c>
      <c r="L18" s="552" t="str">
        <f t="shared" si="3"/>
        <v>#REF!</v>
      </c>
      <c r="M18" s="1131" t="s">
        <v>1757</v>
      </c>
      <c r="N18" s="1132" t="str">
        <f t="shared" si="4"/>
        <v>N/A</v>
      </c>
      <c r="O18" s="1133" t="str">
        <f t="shared" si="5"/>
        <v>N/A</v>
      </c>
      <c r="P18" s="1133" t="str">
        <f t="shared" si="6"/>
        <v>N/A</v>
      </c>
      <c r="Q18" s="1133" t="str">
        <f t="shared" si="7"/>
        <v>N/A</v>
      </c>
      <c r="R18" s="1133" t="str">
        <f t="shared" si="39"/>
        <v>N/A</v>
      </c>
      <c r="S18" s="1133" t="str">
        <f t="shared" si="40"/>
        <v>N/A</v>
      </c>
      <c r="T18" s="1133" t="str">
        <f t="shared" si="41"/>
        <v>N/A</v>
      </c>
      <c r="U18" s="1133" t="str">
        <f t="shared" si="8"/>
        <v>N/A</v>
      </c>
      <c r="V18" s="1122" t="str">
        <f t="shared" si="9"/>
        <v>N/A</v>
      </c>
      <c r="W18" s="1124" t="str">
        <f t="shared" si="10"/>
        <v>N/A</v>
      </c>
      <c r="X18" s="1124" t="str">
        <f t="shared" si="11"/>
        <v>N/A</v>
      </c>
      <c r="Y18" s="1125" t="str">
        <f>IFERROR(__xludf.DUMMYFUNCTION("IF(
  OR(X18=""NOT PUBLISHED"", X18=""N/A""),
  X18,
  IFERROR(MAX(FILTER(N18:X18, ISNUMBER(N18:X18))),"""")
)"),"N/A")</f>
        <v>N/A</v>
      </c>
      <c r="Z18" s="72" t="str">
        <f t="shared" si="12"/>
        <v>N/A</v>
      </c>
      <c r="AA18" s="1134" t="str">
        <f t="shared" si="13"/>
        <v>N/A</v>
      </c>
      <c r="AB18" s="1134" t="str">
        <f t="shared" si="14"/>
        <v>N/A</v>
      </c>
      <c r="AC18" s="1134" t="str">
        <f t="shared" si="15"/>
        <v>N/A</v>
      </c>
      <c r="AD18" s="1134" t="str">
        <f t="shared" si="16"/>
        <v>N/A</v>
      </c>
      <c r="AE18" s="1134" t="str">
        <f t="shared" si="17"/>
        <v>N/A</v>
      </c>
      <c r="AF18" s="1134" t="str">
        <f t="shared" si="18"/>
        <v>N/A</v>
      </c>
      <c r="AG18" s="1134" t="str">
        <f t="shared" si="19"/>
        <v>N/A</v>
      </c>
      <c r="AH18" s="1122" t="str">
        <f t="shared" si="20"/>
        <v>N/A</v>
      </c>
      <c r="AI18" s="1124" t="str">
        <f t="shared" si="21"/>
        <v>N/A</v>
      </c>
      <c r="AJ18" s="1124" t="str">
        <f t="shared" si="22"/>
        <v>N/A</v>
      </c>
      <c r="AK18" s="1125" t="str">
        <f>IFERROR(__xludf.DUMMYFUNCTION("IF(
  OR(AJ18=""NOT PUBLISHED"", AJ18=""N/A""),
  AJ18,
  IFERROR(MAX(FILTER(Z18:AJ18, ISNUMBER(Z18:AJ18))),"""")
)"),"N/A")</f>
        <v>N/A</v>
      </c>
      <c r="AL18" s="72" t="str">
        <f t="shared" si="23"/>
        <v>N/A</v>
      </c>
      <c r="AM18" s="1134" t="str">
        <f t="shared" si="24"/>
        <v>N/A</v>
      </c>
      <c r="AN18" s="1134" t="str">
        <f t="shared" si="25"/>
        <v>N/A</v>
      </c>
      <c r="AO18" s="1134" t="str">
        <f t="shared" si="26"/>
        <v>N/A</v>
      </c>
      <c r="AP18" s="1126" t="str">
        <f t="shared" si="27"/>
        <v>N/A</v>
      </c>
      <c r="AQ18" s="1124" t="str">
        <f t="shared" si="28"/>
        <v>N/A</v>
      </c>
      <c r="AR18" s="1124" t="str">
        <f t="shared" si="29"/>
        <v>N/A</v>
      </c>
      <c r="AS18" s="1125" t="str">
        <f>IFERROR(__xludf.DUMMYFUNCTION("IF(
  OR(AR18=""NOT PUBLISHED"", AR18=""N/A""),
  AR18,
  IFERROR(MAX(FILTER(AL18:AR18, ISNUMBER(AL18:AR18))),"""")
)"),"N/A")</f>
        <v>N/A</v>
      </c>
      <c r="AT18" s="72" t="str">
        <f t="shared" si="30"/>
        <v>N/A</v>
      </c>
      <c r="AU18" s="1134" t="str">
        <f t="shared" si="31"/>
        <v>N/A</v>
      </c>
      <c r="AV18" s="1134" t="str">
        <f t="shared" si="32"/>
        <v>N/A</v>
      </c>
      <c r="AW18" s="1134" t="str">
        <f t="shared" si="33"/>
        <v>N/A</v>
      </c>
      <c r="AX18" s="1134" t="str">
        <f t="shared" si="34"/>
        <v>N/A</v>
      </c>
      <c r="AY18" s="1135" t="str">
        <f t="shared" si="35"/>
        <v>N/A</v>
      </c>
      <c r="AZ18" s="1127" t="str">
        <f t="shared" si="36"/>
        <v>N/A</v>
      </c>
      <c r="BA18" s="1135" t="str">
        <f t="shared" si="37"/>
        <v>N/A</v>
      </c>
      <c r="BB18" s="1127" t="str">
        <f t="shared" si="38"/>
        <v>N/A</v>
      </c>
      <c r="BC18" s="1128" t="str">
        <f>IFERROR(__xludf.DUMMYFUNCTION("IF(
  OR(BB18=""NOT PUBLISHED"", BB18=""N/A""),
  BB18,
  IFERROR(MAX(FILTER(AT18:BB18, ISNUMBER(AT18:BB18))),"""")
)"),"N/A")</f>
        <v>N/A</v>
      </c>
      <c r="BD18" s="1138"/>
      <c r="BE18" s="1138"/>
      <c r="BF18" s="1138"/>
    </row>
    <row r="19" ht="15.0" customHeight="1" outlineLevel="1">
      <c r="A19" s="53">
        <v>16.0</v>
      </c>
      <c r="B19" s="100" t="s">
        <v>103</v>
      </c>
      <c r="C19" s="53">
        <v>16.0</v>
      </c>
      <c r="D19" s="1130" t="s">
        <v>1756</v>
      </c>
      <c r="E19" s="111" t="s">
        <v>104</v>
      </c>
      <c r="F19" s="115">
        <v>1106.0</v>
      </c>
      <c r="G19" s="517" t="s">
        <v>105</v>
      </c>
      <c r="H19" s="535">
        <v>0.0</v>
      </c>
      <c r="I19" s="821" t="str">
        <f>IFERROR(VLOOKUP(B16:B206,'RELATÓRIO ACC'!B:F,5,FALSE),"NOT PUBLISHED")</f>
        <v>NOT PUBLISHED</v>
      </c>
      <c r="J19" s="1119" t="str">
        <f>IFERROR(VLOOKUP(B16:B206,'RELATÓRIO ACC'!B:P,15,FALSE),"NOT PUBLISHED")</f>
        <v>NOT PUBLISHED</v>
      </c>
      <c r="K19" s="552" t="str">
        <f t="shared" si="2"/>
        <v>#REF!</v>
      </c>
      <c r="L19" s="552" t="str">
        <f t="shared" si="3"/>
        <v>#REF!</v>
      </c>
      <c r="M19" s="899"/>
      <c r="N19" s="1132" t="str">
        <f t="shared" si="4"/>
        <v>N/A</v>
      </c>
      <c r="O19" s="1133" t="str">
        <f t="shared" si="5"/>
        <v>N/A</v>
      </c>
      <c r="P19" s="1133" t="str">
        <f t="shared" si="6"/>
        <v>N/A</v>
      </c>
      <c r="Q19" s="1133" t="str">
        <f t="shared" si="7"/>
        <v>N/A</v>
      </c>
      <c r="R19" s="1133" t="str">
        <f t="shared" si="39"/>
        <v>N/A</v>
      </c>
      <c r="S19" s="1133" t="str">
        <f t="shared" si="40"/>
        <v>N/A</v>
      </c>
      <c r="T19" s="1133" t="str">
        <f t="shared" si="41"/>
        <v>N/A</v>
      </c>
      <c r="U19" s="1133" t="str">
        <f t="shared" si="8"/>
        <v>N/A</v>
      </c>
      <c r="V19" s="1122" t="str">
        <f t="shared" si="9"/>
        <v>N/A</v>
      </c>
      <c r="W19" s="1124" t="str">
        <f t="shared" si="10"/>
        <v>N/A</v>
      </c>
      <c r="X19" s="1124" t="str">
        <f t="shared" si="11"/>
        <v>N/A</v>
      </c>
      <c r="Y19" s="1136" t="str">
        <f>IFERROR(__xludf.DUMMYFUNCTION("IF(
  OR(W19=""NOT PUBLISHED"", W19=""N/A""),
  W19,
  IFERROR(MAX(FILTER(N19:W19, ISNUMBER(N19:W19))),"""")
)"),"N/A")</f>
        <v>N/A</v>
      </c>
      <c r="Z19" s="72" t="str">
        <f t="shared" si="12"/>
        <v>N/A</v>
      </c>
      <c r="AA19" s="1134" t="str">
        <f t="shared" si="13"/>
        <v>N/A</v>
      </c>
      <c r="AB19" s="1134" t="str">
        <f t="shared" si="14"/>
        <v>N/A</v>
      </c>
      <c r="AC19" s="1134" t="str">
        <f t="shared" si="15"/>
        <v>N/A</v>
      </c>
      <c r="AD19" s="1134" t="str">
        <f t="shared" si="16"/>
        <v>N/A</v>
      </c>
      <c r="AE19" s="1134" t="str">
        <f t="shared" si="17"/>
        <v>N/A</v>
      </c>
      <c r="AF19" s="1134" t="str">
        <f t="shared" si="18"/>
        <v>N/A</v>
      </c>
      <c r="AG19" s="1134" t="str">
        <f t="shared" si="19"/>
        <v>N/A</v>
      </c>
      <c r="AH19" s="1122" t="str">
        <f t="shared" si="20"/>
        <v>N/A</v>
      </c>
      <c r="AI19" s="1124" t="str">
        <f t="shared" si="21"/>
        <v>N/A</v>
      </c>
      <c r="AJ19" s="1124" t="str">
        <f t="shared" si="22"/>
        <v>N/A</v>
      </c>
      <c r="AK19" s="1136" t="str">
        <f>IFERROR(__xludf.DUMMYFUNCTION("IF(
  OR(AI19=""NOT PUBLISHED"", AI19=""N/A""),
  AI19,
  IFERROR(MAX(FILTER(Z19:AI19, ISNUMBER(Z19:AI19))),"""")
)"),"N/A")</f>
        <v>N/A</v>
      </c>
      <c r="AL19" s="72" t="str">
        <f t="shared" si="23"/>
        <v>N/A</v>
      </c>
      <c r="AM19" s="1134" t="str">
        <f t="shared" si="24"/>
        <v>N/A</v>
      </c>
      <c r="AN19" s="1134" t="str">
        <f t="shared" si="25"/>
        <v>N/A</v>
      </c>
      <c r="AO19" s="1134" t="str">
        <f t="shared" si="26"/>
        <v>N/A</v>
      </c>
      <c r="AP19" s="1126" t="str">
        <f t="shared" si="27"/>
        <v>N/A</v>
      </c>
      <c r="AQ19" s="1124" t="str">
        <f t="shared" si="28"/>
        <v>N/A</v>
      </c>
      <c r="AR19" s="1124" t="str">
        <f t="shared" si="29"/>
        <v>N/A</v>
      </c>
      <c r="AS19" s="1136" t="str">
        <f>IFERROR(__xludf.DUMMYFUNCTION("IF(
  OR(AQ19=""NOT PUBLISHED"", AQ19=""N/A""),
  AQ19,
  IFERROR(MAX(FILTER(AL19:AQ19, ISNUMBER(AL19:AQ19))),"""")
)"),"N/A")</f>
        <v>N/A</v>
      </c>
      <c r="AT19" s="72" t="str">
        <f t="shared" si="30"/>
        <v>N/A</v>
      </c>
      <c r="AU19" s="1134" t="str">
        <f t="shared" si="31"/>
        <v>N/A</v>
      </c>
      <c r="AV19" s="1134" t="str">
        <f t="shared" si="32"/>
        <v>N/A</v>
      </c>
      <c r="AW19" s="1134" t="str">
        <f t="shared" si="33"/>
        <v>N/A</v>
      </c>
      <c r="AX19" s="1134" t="str">
        <f t="shared" si="34"/>
        <v>N/A</v>
      </c>
      <c r="AY19" s="1135" t="str">
        <f t="shared" si="35"/>
        <v>N/A</v>
      </c>
      <c r="AZ19" s="1127" t="str">
        <f t="shared" si="36"/>
        <v>N/A</v>
      </c>
      <c r="BA19" s="1135" t="str">
        <f t="shared" si="37"/>
        <v>N/A</v>
      </c>
      <c r="BB19" s="1127" t="str">
        <f t="shared" si="38"/>
        <v>N/A</v>
      </c>
      <c r="BC19" s="1137" t="str">
        <f>IFERROR(__xludf.DUMMYFUNCTION("IF(
  OR(BA19=""NOT PUBLISHED"", BA19=""N/A""),
  BA19,
  IFERROR(MAX(FILTER(AT19:BA19, ISNUMBER(AT19:BA19))),"""")
)"),"N/A")</f>
        <v>N/A</v>
      </c>
      <c r="BD19" s="545"/>
      <c r="BE19" s="545"/>
      <c r="BF19" s="545"/>
    </row>
    <row r="20" ht="15.0" customHeight="1" outlineLevel="1">
      <c r="A20" s="53">
        <v>17.0</v>
      </c>
      <c r="B20" s="100" t="s">
        <v>518</v>
      </c>
      <c r="C20" s="53">
        <v>17.0</v>
      </c>
      <c r="D20" s="1130" t="s">
        <v>7</v>
      </c>
      <c r="E20" s="111" t="s">
        <v>104</v>
      </c>
      <c r="F20" s="115">
        <v>1106.0</v>
      </c>
      <c r="G20" s="534" t="s">
        <v>270</v>
      </c>
      <c r="H20" s="535">
        <v>0.0</v>
      </c>
      <c r="I20" s="821" t="str">
        <f>IFERROR(VLOOKUP(B17:B207,'RELATÓRIO ACC'!B:F,5,FALSE),"NOT PUBLISHED")</f>
        <v>NOT PUBLISHED</v>
      </c>
      <c r="J20" s="1119" t="str">
        <f>IFERROR(VLOOKUP(B17:B207,'RELATÓRIO ACC'!B:P,15,FALSE),"NOT PUBLISHED")</f>
        <v>NOT PUBLISHED</v>
      </c>
      <c r="K20" s="552" t="str">
        <f t="shared" si="2"/>
        <v>#REF!</v>
      </c>
      <c r="L20" s="552" t="str">
        <f t="shared" si="3"/>
        <v>#REF!</v>
      </c>
      <c r="M20" s="899"/>
      <c r="N20" s="1132" t="str">
        <f t="shared" si="4"/>
        <v>N/A</v>
      </c>
      <c r="O20" s="1133" t="str">
        <f t="shared" si="5"/>
        <v>N/A</v>
      </c>
      <c r="P20" s="1133" t="str">
        <f t="shared" si="6"/>
        <v>N/A</v>
      </c>
      <c r="Q20" s="1133" t="str">
        <f t="shared" si="7"/>
        <v>N/A</v>
      </c>
      <c r="R20" s="1133" t="str">
        <f t="shared" si="39"/>
        <v>N/A</v>
      </c>
      <c r="S20" s="1133" t="str">
        <f t="shared" si="40"/>
        <v>N/A</v>
      </c>
      <c r="T20" s="1133" t="str">
        <f t="shared" si="41"/>
        <v>N/A</v>
      </c>
      <c r="U20" s="1133" t="str">
        <f t="shared" si="8"/>
        <v>N/A</v>
      </c>
      <c r="V20" s="1122" t="str">
        <f t="shared" si="9"/>
        <v>N/A</v>
      </c>
      <c r="W20" s="1124" t="str">
        <f t="shared" si="10"/>
        <v>N/A</v>
      </c>
      <c r="X20" s="1124" t="str">
        <f t="shared" si="11"/>
        <v>N/A</v>
      </c>
      <c r="Y20" s="1136" t="str">
        <f>IFERROR(__xludf.DUMMYFUNCTION("IF(
  OR(W20=""NOT PUBLISHED"", W20=""N/A""),
  W20,
  IFERROR(MAX(FILTER(N20:W20, ISNUMBER(N20:W20))),"""")
)"),"N/A")</f>
        <v>N/A</v>
      </c>
      <c r="Z20" s="72" t="str">
        <f t="shared" si="12"/>
        <v>N/A</v>
      </c>
      <c r="AA20" s="1134" t="str">
        <f t="shared" si="13"/>
        <v>N/A</v>
      </c>
      <c r="AB20" s="1134" t="str">
        <f t="shared" si="14"/>
        <v>N/A</v>
      </c>
      <c r="AC20" s="1134" t="str">
        <f t="shared" si="15"/>
        <v>N/A</v>
      </c>
      <c r="AD20" s="1134" t="str">
        <f t="shared" si="16"/>
        <v>N/A</v>
      </c>
      <c r="AE20" s="1134" t="str">
        <f t="shared" si="17"/>
        <v>N/A</v>
      </c>
      <c r="AF20" s="1134" t="str">
        <f t="shared" si="18"/>
        <v>N/A</v>
      </c>
      <c r="AG20" s="1134" t="str">
        <f t="shared" si="19"/>
        <v>N/A</v>
      </c>
      <c r="AH20" s="1122" t="str">
        <f t="shared" si="20"/>
        <v>N/A</v>
      </c>
      <c r="AI20" s="1124" t="str">
        <f t="shared" si="21"/>
        <v>N/A</v>
      </c>
      <c r="AJ20" s="1124" t="str">
        <f t="shared" si="22"/>
        <v>N/A</v>
      </c>
      <c r="AK20" s="1136" t="str">
        <f>IFERROR(__xludf.DUMMYFUNCTION("IF(
  OR(AI20=""NOT PUBLISHED"", AI20=""N/A""),
  AI20,
  IFERROR(MAX(FILTER(Z20:AI20, ISNUMBER(Z20:AI20))),"""")
)"),"N/A")</f>
        <v>N/A</v>
      </c>
      <c r="AL20" s="72" t="str">
        <f t="shared" si="23"/>
        <v>N/A</v>
      </c>
      <c r="AM20" s="1134" t="str">
        <f t="shared" si="24"/>
        <v>N/A</v>
      </c>
      <c r="AN20" s="1134" t="str">
        <f t="shared" si="25"/>
        <v>N/A</v>
      </c>
      <c r="AO20" s="1134" t="str">
        <f t="shared" si="26"/>
        <v>N/A</v>
      </c>
      <c r="AP20" s="1126" t="str">
        <f t="shared" si="27"/>
        <v>N/A</v>
      </c>
      <c r="AQ20" s="1124" t="str">
        <f t="shared" si="28"/>
        <v>N/A</v>
      </c>
      <c r="AR20" s="1124" t="str">
        <f t="shared" si="29"/>
        <v>N/A</v>
      </c>
      <c r="AS20" s="1136" t="str">
        <f>IFERROR(__xludf.DUMMYFUNCTION("IF(
  OR(AQ20=""NOT PUBLISHED"", AQ20=""N/A""),
  AQ20,
  IFERROR(MAX(FILTER(AL20:AQ20, ISNUMBER(AL20:AQ20))),"""")
)"),"N/A")</f>
        <v>N/A</v>
      </c>
      <c r="AT20" s="72" t="str">
        <f t="shared" si="30"/>
        <v>N/A</v>
      </c>
      <c r="AU20" s="1134" t="str">
        <f t="shared" si="31"/>
        <v>N/A</v>
      </c>
      <c r="AV20" s="1134" t="str">
        <f t="shared" si="32"/>
        <v>N/A</v>
      </c>
      <c r="AW20" s="1134" t="str">
        <f t="shared" si="33"/>
        <v>N/A</v>
      </c>
      <c r="AX20" s="1134" t="str">
        <f t="shared" si="34"/>
        <v>N/A</v>
      </c>
      <c r="AY20" s="1135" t="str">
        <f t="shared" si="35"/>
        <v>N/A</v>
      </c>
      <c r="AZ20" s="1127" t="str">
        <f t="shared" si="36"/>
        <v>N/A</v>
      </c>
      <c r="BA20" s="1135" t="str">
        <f t="shared" si="37"/>
        <v>N/A</v>
      </c>
      <c r="BB20" s="1127" t="str">
        <f t="shared" si="38"/>
        <v>N/A</v>
      </c>
      <c r="BC20" s="1137" t="str">
        <f>IFERROR(__xludf.DUMMYFUNCTION("IF(
  OR(BA20=""NOT PUBLISHED"", BA20=""N/A""),
  BA20,
  IFERROR(MAX(FILTER(AT20:BA20, ISNUMBER(AT20:BA20))),"""")
)"),"N/A")</f>
        <v>N/A</v>
      </c>
      <c r="BD20" s="545"/>
      <c r="BE20" s="545"/>
      <c r="BF20" s="545"/>
    </row>
    <row r="21" ht="15.0" customHeight="1" outlineLevel="1">
      <c r="A21" s="53">
        <v>18.0</v>
      </c>
      <c r="B21" s="100" t="s">
        <v>107</v>
      </c>
      <c r="C21" s="53">
        <v>18.0</v>
      </c>
      <c r="D21" s="1130" t="s">
        <v>1756</v>
      </c>
      <c r="E21" s="101" t="s">
        <v>108</v>
      </c>
      <c r="F21" s="115">
        <v>1107.0</v>
      </c>
      <c r="G21" s="534" t="s">
        <v>109</v>
      </c>
      <c r="H21" s="535">
        <v>0.0</v>
      </c>
      <c r="I21" s="821" t="str">
        <f>IFERROR(VLOOKUP(B18:B208,'RELATÓRIO ACC'!B:F,5,FALSE),"NOT PUBLISHED")</f>
        <v>NOT PUBLISHED</v>
      </c>
      <c r="J21" s="1119" t="str">
        <f>IFERROR(VLOOKUP(B18:B208,'RELATÓRIO ACC'!B:P,15,FALSE),"NOT PUBLISHED")</f>
        <v>NOT PUBLISHED</v>
      </c>
      <c r="K21" s="552" t="str">
        <f t="shared" si="2"/>
        <v>#REF!</v>
      </c>
      <c r="L21" s="552" t="str">
        <f t="shared" si="3"/>
        <v>#REF!</v>
      </c>
      <c r="M21" s="899"/>
      <c r="N21" s="1132" t="str">
        <f t="shared" si="4"/>
        <v>N/A</v>
      </c>
      <c r="O21" s="1133" t="str">
        <f t="shared" si="5"/>
        <v>N/A</v>
      </c>
      <c r="P21" s="1133" t="str">
        <f t="shared" si="6"/>
        <v>N/A</v>
      </c>
      <c r="Q21" s="1133" t="str">
        <f t="shared" si="7"/>
        <v>N/A</v>
      </c>
      <c r="R21" s="1133" t="str">
        <f t="shared" si="39"/>
        <v>N/A</v>
      </c>
      <c r="S21" s="1133" t="str">
        <f t="shared" si="40"/>
        <v>N/A</v>
      </c>
      <c r="T21" s="1133" t="str">
        <f t="shared" si="41"/>
        <v>N/A</v>
      </c>
      <c r="U21" s="1133" t="str">
        <f t="shared" si="8"/>
        <v>N/A</v>
      </c>
      <c r="V21" s="1122" t="str">
        <f t="shared" si="9"/>
        <v>N/A</v>
      </c>
      <c r="W21" s="1124" t="str">
        <f t="shared" si="10"/>
        <v>N/A</v>
      </c>
      <c r="X21" s="1124" t="str">
        <f t="shared" si="11"/>
        <v>N/A</v>
      </c>
      <c r="Y21" s="1136" t="str">
        <f>IFERROR(__xludf.DUMMYFUNCTION("IF(
  OR(W21=""NOT PUBLISHED"", W21=""N/A""),
  W21,
  IFERROR(MAX(FILTER(N21:W21, ISNUMBER(N21:W21))),"""")
)"),"N/A")</f>
        <v>N/A</v>
      </c>
      <c r="Z21" s="72" t="str">
        <f t="shared" si="12"/>
        <v>N/A</v>
      </c>
      <c r="AA21" s="1134" t="str">
        <f t="shared" si="13"/>
        <v>N/A</v>
      </c>
      <c r="AB21" s="1134" t="str">
        <f t="shared" si="14"/>
        <v>N/A</v>
      </c>
      <c r="AC21" s="1134" t="str">
        <f t="shared" si="15"/>
        <v>N/A</v>
      </c>
      <c r="AD21" s="1134" t="str">
        <f t="shared" si="16"/>
        <v>N/A</v>
      </c>
      <c r="AE21" s="1134" t="str">
        <f t="shared" si="17"/>
        <v>N/A</v>
      </c>
      <c r="AF21" s="1134" t="str">
        <f t="shared" si="18"/>
        <v>N/A</v>
      </c>
      <c r="AG21" s="1134" t="str">
        <f t="shared" si="19"/>
        <v>N/A</v>
      </c>
      <c r="AH21" s="1122" t="str">
        <f t="shared" si="20"/>
        <v>N/A</v>
      </c>
      <c r="AI21" s="1124" t="str">
        <f t="shared" si="21"/>
        <v>N/A</v>
      </c>
      <c r="AJ21" s="1124" t="str">
        <f t="shared" si="22"/>
        <v>N/A</v>
      </c>
      <c r="AK21" s="1136" t="str">
        <f>IFERROR(__xludf.DUMMYFUNCTION("IF(
  OR(AI21=""NOT PUBLISHED"", AI21=""N/A""),
  AI21,
  IFERROR(MAX(FILTER(Z21:AI21, ISNUMBER(Z21:AI21))),"""")
)"),"N/A")</f>
        <v>N/A</v>
      </c>
      <c r="AL21" s="72" t="str">
        <f t="shared" si="23"/>
        <v>N/A</v>
      </c>
      <c r="AM21" s="1134" t="str">
        <f t="shared" si="24"/>
        <v>N/A</v>
      </c>
      <c r="AN21" s="1134" t="str">
        <f t="shared" si="25"/>
        <v>N/A</v>
      </c>
      <c r="AO21" s="1134" t="str">
        <f t="shared" si="26"/>
        <v>N/A</v>
      </c>
      <c r="AP21" s="1126" t="str">
        <f t="shared" si="27"/>
        <v>N/A</v>
      </c>
      <c r="AQ21" s="1124" t="str">
        <f t="shared" si="28"/>
        <v>N/A</v>
      </c>
      <c r="AR21" s="1124" t="str">
        <f t="shared" si="29"/>
        <v>N/A</v>
      </c>
      <c r="AS21" s="1136" t="str">
        <f>IFERROR(__xludf.DUMMYFUNCTION("IF(
  OR(AQ21=""NOT PUBLISHED"", AQ21=""N/A""),
  AQ21,
  IFERROR(MAX(FILTER(AL21:AQ21, ISNUMBER(AL21:AQ21))),"""")
)"),"N/A")</f>
        <v>N/A</v>
      </c>
      <c r="AT21" s="72" t="str">
        <f t="shared" si="30"/>
        <v>N/A</v>
      </c>
      <c r="AU21" s="1134" t="str">
        <f t="shared" si="31"/>
        <v>N/A</v>
      </c>
      <c r="AV21" s="1134" t="str">
        <f t="shared" si="32"/>
        <v>N/A</v>
      </c>
      <c r="AW21" s="1134" t="str">
        <f t="shared" si="33"/>
        <v>N/A</v>
      </c>
      <c r="AX21" s="1134" t="str">
        <f t="shared" si="34"/>
        <v>N/A</v>
      </c>
      <c r="AY21" s="1135" t="str">
        <f t="shared" si="35"/>
        <v>N/A</v>
      </c>
      <c r="AZ21" s="1127" t="str">
        <f t="shared" si="36"/>
        <v>N/A</v>
      </c>
      <c r="BA21" s="1135" t="str">
        <f t="shared" si="37"/>
        <v>N/A</v>
      </c>
      <c r="BB21" s="1127" t="str">
        <f t="shared" si="38"/>
        <v>N/A</v>
      </c>
      <c r="BC21" s="1137" t="str">
        <f>IFERROR(__xludf.DUMMYFUNCTION("IF(
  OR(BA21=""NOT PUBLISHED"", BA21=""N/A""),
  BA21,
  IFERROR(MAX(FILTER(AT21:BA21, ISNUMBER(AT21:BA21))),"""")
)"),"N/A")</f>
        <v>N/A</v>
      </c>
      <c r="BD21" s="545"/>
      <c r="BE21" s="545"/>
      <c r="BF21" s="545"/>
    </row>
    <row r="22" ht="15.0" customHeight="1" outlineLevel="1">
      <c r="A22" s="53">
        <v>19.0</v>
      </c>
      <c r="B22" s="100" t="s">
        <v>111</v>
      </c>
      <c r="C22" s="53">
        <v>19.0</v>
      </c>
      <c r="D22" s="1130" t="s">
        <v>7</v>
      </c>
      <c r="E22" s="101" t="s">
        <v>108</v>
      </c>
      <c r="F22" s="115">
        <v>1107.0</v>
      </c>
      <c r="G22" s="534" t="s">
        <v>109</v>
      </c>
      <c r="H22" s="535">
        <v>0.0</v>
      </c>
      <c r="I22" s="821" t="str">
        <f>IFERROR(VLOOKUP(B19:B209,'RELATÓRIO ACC'!B:F,5,FALSE),"NOT PUBLISHED")</f>
        <v>NOT PUBLISHED</v>
      </c>
      <c r="J22" s="1119" t="str">
        <f>IFERROR(VLOOKUP(B19:B209,'RELATÓRIO ACC'!B:P,15,FALSE),"NOT PUBLISHED")</f>
        <v>NOT PUBLISHED</v>
      </c>
      <c r="K22" s="552" t="str">
        <f t="shared" si="2"/>
        <v>#REF!</v>
      </c>
      <c r="L22" s="552" t="str">
        <f t="shared" si="3"/>
        <v>#REF!</v>
      </c>
      <c r="M22" s="899"/>
      <c r="N22" s="1132" t="str">
        <f t="shared" si="4"/>
        <v>N/A</v>
      </c>
      <c r="O22" s="1133" t="str">
        <f t="shared" si="5"/>
        <v>N/A</v>
      </c>
      <c r="P22" s="1133" t="str">
        <f t="shared" si="6"/>
        <v>N/A</v>
      </c>
      <c r="Q22" s="1133" t="str">
        <f t="shared" si="7"/>
        <v>N/A</v>
      </c>
      <c r="R22" s="1133" t="str">
        <f t="shared" si="39"/>
        <v>N/A</v>
      </c>
      <c r="S22" s="1133" t="str">
        <f t="shared" si="40"/>
        <v>N/A</v>
      </c>
      <c r="T22" s="1133" t="str">
        <f t="shared" si="41"/>
        <v>N/A</v>
      </c>
      <c r="U22" s="1133" t="str">
        <f t="shared" si="8"/>
        <v>N/A</v>
      </c>
      <c r="V22" s="1122" t="str">
        <f t="shared" si="9"/>
        <v>N/A</v>
      </c>
      <c r="W22" s="1124" t="str">
        <f t="shared" si="10"/>
        <v>N/A</v>
      </c>
      <c r="X22" s="1124" t="str">
        <f t="shared" si="11"/>
        <v>N/A</v>
      </c>
      <c r="Y22" s="1136" t="str">
        <f>IFERROR(__xludf.DUMMYFUNCTION("IF(
  OR(W22=""NOT PUBLISHED"", W22=""N/A""),
  W22,
  IFERROR(MAX(FILTER(N22:W22, ISNUMBER(N22:W22))),"""")
)"),"N/A")</f>
        <v>N/A</v>
      </c>
      <c r="Z22" s="72" t="str">
        <f t="shared" si="12"/>
        <v>N/A</v>
      </c>
      <c r="AA22" s="1134" t="str">
        <f t="shared" si="13"/>
        <v>N/A</v>
      </c>
      <c r="AB22" s="1134" t="str">
        <f t="shared" si="14"/>
        <v>N/A</v>
      </c>
      <c r="AC22" s="1134" t="str">
        <f t="shared" si="15"/>
        <v>N/A</v>
      </c>
      <c r="AD22" s="1134" t="str">
        <f t="shared" si="16"/>
        <v>N/A</v>
      </c>
      <c r="AE22" s="1134" t="str">
        <f t="shared" si="17"/>
        <v>N/A</v>
      </c>
      <c r="AF22" s="1134" t="str">
        <f t="shared" si="18"/>
        <v>N/A</v>
      </c>
      <c r="AG22" s="1134" t="str">
        <f t="shared" si="19"/>
        <v>N/A</v>
      </c>
      <c r="AH22" s="1122" t="str">
        <f t="shared" si="20"/>
        <v>N/A</v>
      </c>
      <c r="AI22" s="1124" t="str">
        <f t="shared" si="21"/>
        <v>N/A</v>
      </c>
      <c r="AJ22" s="1124" t="str">
        <f t="shared" si="22"/>
        <v>N/A</v>
      </c>
      <c r="AK22" s="1136" t="str">
        <f>IFERROR(__xludf.DUMMYFUNCTION("IF(
  OR(AI22=""NOT PUBLISHED"", AI22=""N/A""),
  AI22,
  IFERROR(MAX(FILTER(Z22:AI22, ISNUMBER(Z22:AI22))),"""")
)"),"N/A")</f>
        <v>N/A</v>
      </c>
      <c r="AL22" s="72" t="str">
        <f t="shared" si="23"/>
        <v>N/A</v>
      </c>
      <c r="AM22" s="1134" t="str">
        <f t="shared" si="24"/>
        <v>N/A</v>
      </c>
      <c r="AN22" s="1134" t="str">
        <f t="shared" si="25"/>
        <v>N/A</v>
      </c>
      <c r="AO22" s="1134" t="str">
        <f t="shared" si="26"/>
        <v>N/A</v>
      </c>
      <c r="AP22" s="1126" t="str">
        <f t="shared" si="27"/>
        <v>N/A</v>
      </c>
      <c r="AQ22" s="1124" t="str">
        <f t="shared" si="28"/>
        <v>N/A</v>
      </c>
      <c r="AR22" s="1124" t="str">
        <f t="shared" si="29"/>
        <v>N/A</v>
      </c>
      <c r="AS22" s="1136" t="str">
        <f>IFERROR(__xludf.DUMMYFUNCTION("IF(
  OR(AQ22=""NOT PUBLISHED"", AQ22=""N/A""),
  AQ22,
  IFERROR(MAX(FILTER(AL22:AQ22, ISNUMBER(AL22:AQ22))),"""")
)"),"N/A")</f>
        <v>N/A</v>
      </c>
      <c r="AT22" s="72" t="str">
        <f t="shared" si="30"/>
        <v>N/A</v>
      </c>
      <c r="AU22" s="1134" t="str">
        <f t="shared" si="31"/>
        <v>N/A</v>
      </c>
      <c r="AV22" s="1134" t="str">
        <f t="shared" si="32"/>
        <v>N/A</v>
      </c>
      <c r="AW22" s="1134" t="str">
        <f t="shared" si="33"/>
        <v>N/A</v>
      </c>
      <c r="AX22" s="1134" t="str">
        <f t="shared" si="34"/>
        <v>N/A</v>
      </c>
      <c r="AY22" s="1135" t="str">
        <f t="shared" si="35"/>
        <v>N/A</v>
      </c>
      <c r="AZ22" s="1127" t="str">
        <f t="shared" si="36"/>
        <v>N/A</v>
      </c>
      <c r="BA22" s="1135" t="str">
        <f t="shared" si="37"/>
        <v>N/A</v>
      </c>
      <c r="BB22" s="1127" t="str">
        <f t="shared" si="38"/>
        <v>N/A</v>
      </c>
      <c r="BC22" s="1137" t="str">
        <f>IFERROR(__xludf.DUMMYFUNCTION("IF(
  OR(BA22=""NOT PUBLISHED"", BA22=""N/A""),
  BA22,
  IFERROR(MAX(FILTER(AT22:BA22, ISNUMBER(AT22:BA22))),"""")
)"),"N/A")</f>
        <v>N/A</v>
      </c>
      <c r="BD22" s="545"/>
      <c r="BE22" s="545"/>
      <c r="BF22" s="545"/>
    </row>
    <row r="23" ht="15.0" customHeight="1" outlineLevel="1">
      <c r="A23" s="53">
        <v>20.0</v>
      </c>
      <c r="B23" s="100" t="s">
        <v>113</v>
      </c>
      <c r="C23" s="53">
        <v>20.0</v>
      </c>
      <c r="D23" s="1130" t="s">
        <v>1756</v>
      </c>
      <c r="E23" s="101" t="s">
        <v>114</v>
      </c>
      <c r="F23" s="102">
        <v>1108.0</v>
      </c>
      <c r="G23" s="517" t="s">
        <v>114</v>
      </c>
      <c r="H23" s="517">
        <v>1108.0</v>
      </c>
      <c r="I23" s="821" t="str">
        <f>IFERROR(VLOOKUP(B20:B210,'RELATÓRIO ACC'!B:F,5,FALSE),"NOT PUBLISHED")</f>
        <v>NOT PUBLISHED</v>
      </c>
      <c r="J23" s="1119" t="str">
        <f>IFERROR(VLOOKUP(B20:B210,'RELATÓRIO ACC'!B:P,15,FALSE),"NOT PUBLISHED")</f>
        <v>NOT PUBLISHED</v>
      </c>
      <c r="K23" s="552" t="str">
        <f t="shared" si="2"/>
        <v>#REF!</v>
      </c>
      <c r="L23" s="552" t="str">
        <f t="shared" si="3"/>
        <v>#REF!</v>
      </c>
      <c r="M23" s="899"/>
      <c r="N23" s="1132" t="str">
        <f t="shared" si="4"/>
        <v>N/A</v>
      </c>
      <c r="O23" s="1133" t="str">
        <f t="shared" si="5"/>
        <v>N/A</v>
      </c>
      <c r="P23" s="1133" t="str">
        <f t="shared" si="6"/>
        <v>N/A</v>
      </c>
      <c r="Q23" s="1133" t="str">
        <f t="shared" si="7"/>
        <v>N/A</v>
      </c>
      <c r="R23" s="1133" t="str">
        <f t="shared" si="39"/>
        <v>N/A</v>
      </c>
      <c r="S23" s="1133" t="str">
        <f t="shared" si="40"/>
        <v>N/A</v>
      </c>
      <c r="T23" s="1133" t="str">
        <f t="shared" si="41"/>
        <v>N/A</v>
      </c>
      <c r="U23" s="1133" t="str">
        <f t="shared" si="8"/>
        <v>N/A</v>
      </c>
      <c r="V23" s="1122" t="str">
        <f t="shared" si="9"/>
        <v>N/A</v>
      </c>
      <c r="W23" s="1124" t="str">
        <f t="shared" si="10"/>
        <v>N/A</v>
      </c>
      <c r="X23" s="1124" t="str">
        <f t="shared" si="11"/>
        <v>N/A</v>
      </c>
      <c r="Y23" s="1136" t="str">
        <f>IFERROR(__xludf.DUMMYFUNCTION("IF(
  OR(W23=""NOT PUBLISHED"", W23=""N/A""),
  W23,
  IFERROR(MAX(FILTER(N23:W23, ISNUMBER(N23:W23))),"""")
)"),"N/A")</f>
        <v>N/A</v>
      </c>
      <c r="Z23" s="72" t="str">
        <f t="shared" si="12"/>
        <v>N/A</v>
      </c>
      <c r="AA23" s="1134" t="str">
        <f t="shared" si="13"/>
        <v>N/A</v>
      </c>
      <c r="AB23" s="1134" t="str">
        <f t="shared" si="14"/>
        <v>N/A</v>
      </c>
      <c r="AC23" s="1134" t="str">
        <f t="shared" si="15"/>
        <v>N/A</v>
      </c>
      <c r="AD23" s="1134" t="str">
        <f t="shared" si="16"/>
        <v>N/A</v>
      </c>
      <c r="AE23" s="1134" t="str">
        <f t="shared" si="17"/>
        <v>N/A</v>
      </c>
      <c r="AF23" s="1134" t="str">
        <f t="shared" si="18"/>
        <v>N/A</v>
      </c>
      <c r="AG23" s="1134" t="str">
        <f t="shared" si="19"/>
        <v>N/A</v>
      </c>
      <c r="AH23" s="1122" t="str">
        <f t="shared" si="20"/>
        <v>N/A</v>
      </c>
      <c r="AI23" s="1124" t="str">
        <f t="shared" si="21"/>
        <v>N/A</v>
      </c>
      <c r="AJ23" s="1124" t="str">
        <f t="shared" si="22"/>
        <v>N/A</v>
      </c>
      <c r="AK23" s="1136" t="str">
        <f>IFERROR(__xludf.DUMMYFUNCTION("IF(
  OR(AI23=""NOT PUBLISHED"", AI23=""N/A""),
  AI23,
  IFERROR(MAX(FILTER(Z23:AI23, ISNUMBER(Z23:AI23))),"""")
)"),"N/A")</f>
        <v>N/A</v>
      </c>
      <c r="AL23" s="72" t="str">
        <f t="shared" si="23"/>
        <v>N/A</v>
      </c>
      <c r="AM23" s="1134" t="str">
        <f t="shared" si="24"/>
        <v>N/A</v>
      </c>
      <c r="AN23" s="1134" t="str">
        <f t="shared" si="25"/>
        <v>N/A</v>
      </c>
      <c r="AO23" s="1134" t="str">
        <f t="shared" si="26"/>
        <v>N/A</v>
      </c>
      <c r="AP23" s="1126" t="str">
        <f t="shared" si="27"/>
        <v>N/A</v>
      </c>
      <c r="AQ23" s="1124" t="str">
        <f t="shared" si="28"/>
        <v>N/A</v>
      </c>
      <c r="AR23" s="1124" t="str">
        <f t="shared" si="29"/>
        <v>N/A</v>
      </c>
      <c r="AS23" s="1136" t="str">
        <f>IFERROR(__xludf.DUMMYFUNCTION("IF(
  OR(AQ23=""NOT PUBLISHED"", AQ23=""N/A""),
  AQ23,
  IFERROR(MAX(FILTER(AL23:AQ23, ISNUMBER(AL23:AQ23))),"""")
)"),"N/A")</f>
        <v>N/A</v>
      </c>
      <c r="AT23" s="72" t="str">
        <f t="shared" si="30"/>
        <v>N/A</v>
      </c>
      <c r="AU23" s="1134" t="str">
        <f t="shared" si="31"/>
        <v>N/A</v>
      </c>
      <c r="AV23" s="1134" t="str">
        <f t="shared" si="32"/>
        <v>N/A</v>
      </c>
      <c r="AW23" s="1134" t="str">
        <f t="shared" si="33"/>
        <v>N/A</v>
      </c>
      <c r="AX23" s="1134" t="str">
        <f t="shared" si="34"/>
        <v>N/A</v>
      </c>
      <c r="AY23" s="1135" t="str">
        <f t="shared" si="35"/>
        <v>N/A</v>
      </c>
      <c r="AZ23" s="1127" t="str">
        <f t="shared" si="36"/>
        <v>N/A</v>
      </c>
      <c r="BA23" s="1135" t="str">
        <f t="shared" si="37"/>
        <v>N/A</v>
      </c>
      <c r="BB23" s="1127" t="str">
        <f t="shared" si="38"/>
        <v>N/A</v>
      </c>
      <c r="BC23" s="1137" t="str">
        <f>IFERROR(__xludf.DUMMYFUNCTION("IF(
  OR(BA23=""NOT PUBLISHED"", BA23=""N/A""),
  BA23,
  IFERROR(MAX(FILTER(AT23:BA23, ISNUMBER(AT23:BA23))),"""")
)"),"N/A")</f>
        <v>N/A</v>
      </c>
      <c r="BD23" s="545"/>
      <c r="BE23" s="545"/>
      <c r="BF23" s="545"/>
    </row>
    <row r="24" ht="15.0" customHeight="1" outlineLevel="1">
      <c r="A24" s="53">
        <v>21.0</v>
      </c>
      <c r="B24" s="100" t="s">
        <v>116</v>
      </c>
      <c r="C24" s="53">
        <v>21.0</v>
      </c>
      <c r="D24" s="1130" t="s">
        <v>1759</v>
      </c>
      <c r="E24" s="101" t="s">
        <v>117</v>
      </c>
      <c r="F24" s="102">
        <v>1109.0</v>
      </c>
      <c r="G24" s="517" t="s">
        <v>117</v>
      </c>
      <c r="H24" s="517">
        <v>1109.0</v>
      </c>
      <c r="I24" s="821" t="str">
        <f>IFERROR(VLOOKUP(B21:B211,'RELATÓRIO ACC'!B:F,5,FALSE),"NOT PUBLISHED")</f>
        <v>NOT PUBLISHED</v>
      </c>
      <c r="J24" s="1119" t="str">
        <f>IFERROR(VLOOKUP(B21:B211,'RELATÓRIO ACC'!B:P,15,FALSE),"NOT PUBLISHED")</f>
        <v>NOT PUBLISHED</v>
      </c>
      <c r="K24" s="552" t="str">
        <f t="shared" si="2"/>
        <v>#REF!</v>
      </c>
      <c r="L24" s="552" t="str">
        <f t="shared" si="3"/>
        <v>#REF!</v>
      </c>
      <c r="M24" s="899" t="s">
        <v>461</v>
      </c>
      <c r="N24" s="1132" t="str">
        <f t="shared" si="4"/>
        <v>N/A</v>
      </c>
      <c r="O24" s="1133" t="str">
        <f t="shared" si="5"/>
        <v>N/A</v>
      </c>
      <c r="P24" s="1133" t="str">
        <f t="shared" si="6"/>
        <v>N/A</v>
      </c>
      <c r="Q24" s="1133" t="str">
        <f t="shared" si="7"/>
        <v>N/A</v>
      </c>
      <c r="R24" s="1133" t="str">
        <f t="shared" si="39"/>
        <v>N/A</v>
      </c>
      <c r="S24" s="1133" t="str">
        <f t="shared" si="40"/>
        <v>N/A</v>
      </c>
      <c r="T24" s="1133" t="str">
        <f t="shared" si="41"/>
        <v>N/A</v>
      </c>
      <c r="U24" s="1133" t="str">
        <f t="shared" si="8"/>
        <v>N/A</v>
      </c>
      <c r="V24" s="1122" t="str">
        <f t="shared" si="9"/>
        <v>N/A</v>
      </c>
      <c r="W24" s="1124" t="str">
        <f t="shared" si="10"/>
        <v>N/A</v>
      </c>
      <c r="X24" s="1124" t="str">
        <f t="shared" si="11"/>
        <v>N/A</v>
      </c>
      <c r="Y24" s="1125" t="str">
        <f>IFERROR(__xludf.DUMMYFUNCTION("IF(
  OR(X24=""NOT PUBLISHED"", X24=""N/A""),
  X24,
  IFERROR(MAX(FILTER(N24:X24, ISNUMBER(N24:X24))),"""")
)"),"N/A")</f>
        <v>N/A</v>
      </c>
      <c r="Z24" s="72" t="str">
        <f t="shared" si="12"/>
        <v>N/A</v>
      </c>
      <c r="AA24" s="1134" t="str">
        <f t="shared" si="13"/>
        <v>N/A</v>
      </c>
      <c r="AB24" s="1134" t="str">
        <f t="shared" si="14"/>
        <v>N/A</v>
      </c>
      <c r="AC24" s="1134" t="str">
        <f t="shared" si="15"/>
        <v>N/A</v>
      </c>
      <c r="AD24" s="1134" t="str">
        <f t="shared" si="16"/>
        <v>N/A</v>
      </c>
      <c r="AE24" s="1134" t="str">
        <f t="shared" si="17"/>
        <v>N/A</v>
      </c>
      <c r="AF24" s="1134" t="str">
        <f t="shared" si="18"/>
        <v>N/A</v>
      </c>
      <c r="AG24" s="1134" t="str">
        <f t="shared" si="19"/>
        <v>N/A</v>
      </c>
      <c r="AH24" s="1122" t="str">
        <f t="shared" si="20"/>
        <v>N/A</v>
      </c>
      <c r="AI24" s="1124" t="str">
        <f t="shared" si="21"/>
        <v>N/A</v>
      </c>
      <c r="AJ24" s="1124" t="str">
        <f t="shared" si="22"/>
        <v>N/A</v>
      </c>
      <c r="AK24" s="1125" t="str">
        <f>IFERROR(__xludf.DUMMYFUNCTION("IF(
  OR(AJ24=""NOT PUBLISHED"", AJ24=""N/A""),
  AJ24,
  IFERROR(MAX(FILTER(Z24:AJ24, ISNUMBER(Z24:AJ24))),"""")
)"),"N/A")</f>
        <v>N/A</v>
      </c>
      <c r="AL24" s="72" t="str">
        <f t="shared" si="23"/>
        <v>N/A</v>
      </c>
      <c r="AM24" s="1134" t="str">
        <f t="shared" si="24"/>
        <v>N/A</v>
      </c>
      <c r="AN24" s="1134" t="str">
        <f t="shared" si="25"/>
        <v>N/A</v>
      </c>
      <c r="AO24" s="1134" t="str">
        <f t="shared" si="26"/>
        <v>N/A</v>
      </c>
      <c r="AP24" s="1126" t="str">
        <f t="shared" si="27"/>
        <v>N/A</v>
      </c>
      <c r="AQ24" s="1124" t="str">
        <f t="shared" si="28"/>
        <v>N/A</v>
      </c>
      <c r="AR24" s="1124" t="str">
        <f t="shared" si="29"/>
        <v>N/A</v>
      </c>
      <c r="AS24" s="1125" t="str">
        <f>IFERROR(__xludf.DUMMYFUNCTION("IF(
  OR(AR24=""NOT PUBLISHED"", AR24=""N/A""),
  AR24,
  IFERROR(MAX(FILTER(AL24:AR24, ISNUMBER(AL24:AR24))),"""")
)"),"N/A")</f>
        <v>N/A</v>
      </c>
      <c r="AT24" s="72" t="str">
        <f t="shared" si="30"/>
        <v>N/A</v>
      </c>
      <c r="AU24" s="1134" t="str">
        <f t="shared" si="31"/>
        <v>N/A</v>
      </c>
      <c r="AV24" s="1134" t="str">
        <f t="shared" si="32"/>
        <v>N/A</v>
      </c>
      <c r="AW24" s="1134" t="str">
        <f t="shared" si="33"/>
        <v>N/A</v>
      </c>
      <c r="AX24" s="1134" t="str">
        <f t="shared" si="34"/>
        <v>N/A</v>
      </c>
      <c r="AY24" s="1135" t="str">
        <f t="shared" si="35"/>
        <v>N/A</v>
      </c>
      <c r="AZ24" s="1127" t="str">
        <f t="shared" si="36"/>
        <v>N/A</v>
      </c>
      <c r="BA24" s="1135" t="str">
        <f t="shared" si="37"/>
        <v>N/A</v>
      </c>
      <c r="BB24" s="1127" t="str">
        <f t="shared" si="38"/>
        <v>N/A</v>
      </c>
      <c r="BC24" s="1128" t="str">
        <f>IFERROR(__xludf.DUMMYFUNCTION("IF(
  OR(BB24=""NOT PUBLISHED"", BB24=""N/A""),
  BB24,
  IFERROR(MAX(FILTER(AT24:BB24, ISNUMBER(AT24:BB24))),"""")
)"),"N/A")</f>
        <v>N/A</v>
      </c>
      <c r="BD24" s="545"/>
      <c r="BE24" s="545"/>
      <c r="BF24" s="545"/>
    </row>
    <row r="25" ht="15.0" customHeight="1" outlineLevel="1">
      <c r="A25" s="53">
        <v>22.0</v>
      </c>
      <c r="B25" s="100" t="s">
        <v>119</v>
      </c>
      <c r="C25" s="53">
        <v>22.0</v>
      </c>
      <c r="D25" s="1130" t="s">
        <v>1756</v>
      </c>
      <c r="E25" s="101" t="s">
        <v>120</v>
      </c>
      <c r="F25" s="102">
        <v>1110.0</v>
      </c>
      <c r="G25" s="517" t="s">
        <v>121</v>
      </c>
      <c r="H25" s="517">
        <v>1128.0</v>
      </c>
      <c r="I25" s="821" t="str">
        <f>IFERROR(VLOOKUP(B22:B212,'RELATÓRIO ACC'!B:F,5,FALSE),"NOT PUBLISHED")</f>
        <v>NOT PUBLISHED</v>
      </c>
      <c r="J25" s="1119" t="str">
        <f>IFERROR(VLOOKUP(B22:B212,'RELATÓRIO ACC'!B:P,15,FALSE),"NOT PUBLISHED")</f>
        <v>NOT PUBLISHED</v>
      </c>
      <c r="K25" s="552" t="str">
        <f t="shared" si="2"/>
        <v>#REF!</v>
      </c>
      <c r="L25" s="552" t="str">
        <f t="shared" si="3"/>
        <v>#REF!</v>
      </c>
      <c r="M25" s="899" t="s">
        <v>1758</v>
      </c>
      <c r="N25" s="1132" t="str">
        <f t="shared" si="4"/>
        <v>N/A</v>
      </c>
      <c r="O25" s="1133" t="str">
        <f t="shared" si="5"/>
        <v>N/A</v>
      </c>
      <c r="P25" s="1133" t="str">
        <f t="shared" si="6"/>
        <v>N/A</v>
      </c>
      <c r="Q25" s="1133" t="str">
        <f t="shared" si="7"/>
        <v>N/A</v>
      </c>
      <c r="R25" s="1133" t="str">
        <f t="shared" si="39"/>
        <v>N/A</v>
      </c>
      <c r="S25" s="1133" t="str">
        <f t="shared" si="40"/>
        <v>N/A</v>
      </c>
      <c r="T25" s="1133" t="str">
        <f t="shared" si="41"/>
        <v>N/A</v>
      </c>
      <c r="U25" s="1133" t="str">
        <f t="shared" si="8"/>
        <v>N/A</v>
      </c>
      <c r="V25" s="1122" t="str">
        <f t="shared" si="9"/>
        <v>N/A</v>
      </c>
      <c r="W25" s="1124" t="str">
        <f t="shared" si="10"/>
        <v>N/A</v>
      </c>
      <c r="X25" s="1124" t="str">
        <f t="shared" si="11"/>
        <v>N/A</v>
      </c>
      <c r="Y25" s="1125" t="str">
        <f>IFERROR(__xludf.DUMMYFUNCTION("IF(
  OR(X25=""NOT PUBLISHED"", X25=""N/A""),
  X25,
  IFERROR(MAX(FILTER(N25:X25, ISNUMBER(N25:X25))),"""")
)"),"N/A")</f>
        <v>N/A</v>
      </c>
      <c r="Z25" s="72" t="str">
        <f t="shared" si="12"/>
        <v>N/A</v>
      </c>
      <c r="AA25" s="1134" t="str">
        <f t="shared" si="13"/>
        <v>N/A</v>
      </c>
      <c r="AB25" s="1134" t="str">
        <f t="shared" si="14"/>
        <v>N/A</v>
      </c>
      <c r="AC25" s="1134" t="str">
        <f t="shared" si="15"/>
        <v>N/A</v>
      </c>
      <c r="AD25" s="1134" t="str">
        <f t="shared" si="16"/>
        <v>N/A</v>
      </c>
      <c r="AE25" s="1134" t="str">
        <f t="shared" si="17"/>
        <v>N/A</v>
      </c>
      <c r="AF25" s="1134" t="str">
        <f t="shared" si="18"/>
        <v>N/A</v>
      </c>
      <c r="AG25" s="1134" t="str">
        <f t="shared" si="19"/>
        <v>N/A</v>
      </c>
      <c r="AH25" s="1122" t="str">
        <f t="shared" si="20"/>
        <v>N/A</v>
      </c>
      <c r="AI25" s="1124" t="str">
        <f t="shared" si="21"/>
        <v>N/A</v>
      </c>
      <c r="AJ25" s="1124" t="str">
        <f t="shared" si="22"/>
        <v>N/A</v>
      </c>
      <c r="AK25" s="1125" t="str">
        <f>IFERROR(__xludf.DUMMYFUNCTION("IF(
  OR(AJ25=""NOT PUBLISHED"", AJ25=""N/A""),
  AJ25,
  IFERROR(MAX(FILTER(Z25:AJ25, ISNUMBER(Z25:AJ25))),"""")
)"),"N/A")</f>
        <v>N/A</v>
      </c>
      <c r="AL25" s="72" t="str">
        <f t="shared" si="23"/>
        <v>N/A</v>
      </c>
      <c r="AM25" s="1134" t="str">
        <f t="shared" si="24"/>
        <v>N/A</v>
      </c>
      <c r="AN25" s="1134" t="str">
        <f t="shared" si="25"/>
        <v>N/A</v>
      </c>
      <c r="AO25" s="1134" t="str">
        <f t="shared" si="26"/>
        <v>N/A</v>
      </c>
      <c r="AP25" s="1126" t="str">
        <f t="shared" si="27"/>
        <v>N/A</v>
      </c>
      <c r="AQ25" s="1124" t="str">
        <f t="shared" si="28"/>
        <v>N/A</v>
      </c>
      <c r="AR25" s="1124" t="str">
        <f t="shared" si="29"/>
        <v>N/A</v>
      </c>
      <c r="AS25" s="1125" t="str">
        <f>IFERROR(__xludf.DUMMYFUNCTION("IF(
  OR(AR25=""NOT PUBLISHED"", AR25=""N/A""),
  AR25,
  IFERROR(MAX(FILTER(AL25:AR25, ISNUMBER(AL25:AR25))),"""")
)"),"N/A")</f>
        <v>N/A</v>
      </c>
      <c r="AT25" s="72" t="str">
        <f t="shared" si="30"/>
        <v>N/A</v>
      </c>
      <c r="AU25" s="1134" t="str">
        <f t="shared" si="31"/>
        <v>N/A</v>
      </c>
      <c r="AV25" s="1134" t="str">
        <f t="shared" si="32"/>
        <v>N/A</v>
      </c>
      <c r="AW25" s="1134" t="str">
        <f t="shared" si="33"/>
        <v>N/A</v>
      </c>
      <c r="AX25" s="1134" t="str">
        <f t="shared" si="34"/>
        <v>N/A</v>
      </c>
      <c r="AY25" s="1135" t="str">
        <f t="shared" si="35"/>
        <v>N/A</v>
      </c>
      <c r="AZ25" s="1127" t="str">
        <f t="shared" si="36"/>
        <v>N/A</v>
      </c>
      <c r="BA25" s="1135" t="str">
        <f t="shared" si="37"/>
        <v>N/A</v>
      </c>
      <c r="BB25" s="1127" t="str">
        <f t="shared" si="38"/>
        <v>N/A</v>
      </c>
      <c r="BC25" s="1128" t="str">
        <f>IFERROR(__xludf.DUMMYFUNCTION("IF(
  OR(BB25=""NOT PUBLISHED"", BB25=""N/A""),
  BB25,
  IFERROR(MAX(FILTER(AT25:BB25, ISNUMBER(AT25:BB25))),"""")
)"),"N/A")</f>
        <v>N/A</v>
      </c>
      <c r="BD25" s="1129"/>
      <c r="BE25" s="1129"/>
      <c r="BF25" s="1129"/>
    </row>
    <row r="26" ht="15.0" customHeight="1" outlineLevel="1">
      <c r="A26" s="53">
        <v>23.0</v>
      </c>
      <c r="B26" s="100" t="s">
        <v>123</v>
      </c>
      <c r="C26" s="53">
        <v>23.0</v>
      </c>
      <c r="D26" s="1130" t="s">
        <v>1756</v>
      </c>
      <c r="E26" s="101" t="s">
        <v>120</v>
      </c>
      <c r="F26" s="102">
        <v>1110.0</v>
      </c>
      <c r="G26" s="517" t="s">
        <v>121</v>
      </c>
      <c r="H26" s="517">
        <v>1128.0</v>
      </c>
      <c r="I26" s="821" t="str">
        <f>IFERROR(VLOOKUP(B23:B213,'RELATÓRIO ACC'!B:F,5,FALSE),"NOT PUBLISHED")</f>
        <v>NOT PUBLISHED</v>
      </c>
      <c r="J26" s="1119" t="str">
        <f>IFERROR(VLOOKUP(B23:B213,'RELATÓRIO ACC'!B:P,15,FALSE),"NOT PUBLISHED")</f>
        <v>NOT PUBLISHED</v>
      </c>
      <c r="K26" s="552" t="str">
        <f t="shared" si="2"/>
        <v>#REF!</v>
      </c>
      <c r="L26" s="552" t="str">
        <f t="shared" si="3"/>
        <v>#REF!</v>
      </c>
      <c r="M26" s="1139" t="s">
        <v>461</v>
      </c>
      <c r="N26" s="1132" t="str">
        <f t="shared" si="4"/>
        <v>N/A</v>
      </c>
      <c r="O26" s="1133" t="str">
        <f t="shared" si="5"/>
        <v>N/A</v>
      </c>
      <c r="P26" s="1133" t="str">
        <f t="shared" si="6"/>
        <v>N/A</v>
      </c>
      <c r="Q26" s="1133" t="str">
        <f t="shared" si="7"/>
        <v>N/A</v>
      </c>
      <c r="R26" s="1133" t="str">
        <f t="shared" si="39"/>
        <v>N/A</v>
      </c>
      <c r="S26" s="1133" t="str">
        <f t="shared" si="40"/>
        <v>N/A</v>
      </c>
      <c r="T26" s="1133" t="str">
        <f t="shared" si="41"/>
        <v>N/A</v>
      </c>
      <c r="U26" s="1133" t="str">
        <f t="shared" si="8"/>
        <v>N/A</v>
      </c>
      <c r="V26" s="1122" t="str">
        <f t="shared" si="9"/>
        <v>N/A</v>
      </c>
      <c r="W26" s="1124" t="str">
        <f t="shared" si="10"/>
        <v>N/A</v>
      </c>
      <c r="X26" s="1124" t="str">
        <f t="shared" si="11"/>
        <v>N/A</v>
      </c>
      <c r="Y26" s="1125" t="str">
        <f>IFERROR(__xludf.DUMMYFUNCTION("IF(
  OR(X26=""NOT PUBLISHED"", X26=""N/A""),
  X26,
  IFERROR(MAX(FILTER(N26:X26, ISNUMBER(N26:X26))),"""")
)"),"N/A")</f>
        <v>N/A</v>
      </c>
      <c r="Z26" s="72" t="str">
        <f t="shared" si="12"/>
        <v>N/A</v>
      </c>
      <c r="AA26" s="1134" t="str">
        <f t="shared" si="13"/>
        <v>N/A</v>
      </c>
      <c r="AB26" s="1134" t="str">
        <f t="shared" si="14"/>
        <v>N/A</v>
      </c>
      <c r="AC26" s="1134" t="str">
        <f t="shared" si="15"/>
        <v>N/A</v>
      </c>
      <c r="AD26" s="1134" t="str">
        <f t="shared" si="16"/>
        <v>N/A</v>
      </c>
      <c r="AE26" s="1134" t="str">
        <f t="shared" si="17"/>
        <v>N/A</v>
      </c>
      <c r="AF26" s="1134" t="str">
        <f t="shared" si="18"/>
        <v>N/A</v>
      </c>
      <c r="AG26" s="1134" t="str">
        <f t="shared" si="19"/>
        <v>N/A</v>
      </c>
      <c r="AH26" s="1122" t="str">
        <f t="shared" si="20"/>
        <v>N/A</v>
      </c>
      <c r="AI26" s="1124" t="str">
        <f t="shared" si="21"/>
        <v>N/A</v>
      </c>
      <c r="AJ26" s="1124" t="str">
        <f t="shared" si="22"/>
        <v>N/A</v>
      </c>
      <c r="AK26" s="1125" t="str">
        <f>IFERROR(__xludf.DUMMYFUNCTION("IF(
  OR(AJ26=""NOT PUBLISHED"", AJ26=""N/A""),
  AJ26,
  IFERROR(MAX(FILTER(Z26:AJ26, ISNUMBER(Z26:AJ26))),"""")
)"),"N/A")</f>
        <v>N/A</v>
      </c>
      <c r="AL26" s="72" t="str">
        <f t="shared" si="23"/>
        <v>N/A</v>
      </c>
      <c r="AM26" s="1134" t="str">
        <f t="shared" si="24"/>
        <v>N/A</v>
      </c>
      <c r="AN26" s="1134" t="str">
        <f t="shared" si="25"/>
        <v>N/A</v>
      </c>
      <c r="AO26" s="1134" t="str">
        <f t="shared" si="26"/>
        <v>N/A</v>
      </c>
      <c r="AP26" s="1126" t="str">
        <f t="shared" si="27"/>
        <v>N/A</v>
      </c>
      <c r="AQ26" s="1124" t="str">
        <f t="shared" si="28"/>
        <v>N/A</v>
      </c>
      <c r="AR26" s="1124" t="str">
        <f t="shared" si="29"/>
        <v>N/A</v>
      </c>
      <c r="AS26" s="1125" t="str">
        <f>IFERROR(__xludf.DUMMYFUNCTION("IF(
  OR(AR26=""NOT PUBLISHED"", AR26=""N/A""),
  AR26,
  IFERROR(MAX(FILTER(AL26:AR26, ISNUMBER(AL26:AR26))),"""")
)"),"N/A")</f>
        <v>N/A</v>
      </c>
      <c r="AT26" s="72" t="str">
        <f t="shared" si="30"/>
        <v>N/A</v>
      </c>
      <c r="AU26" s="1134" t="str">
        <f t="shared" si="31"/>
        <v>N/A</v>
      </c>
      <c r="AV26" s="1134" t="str">
        <f t="shared" si="32"/>
        <v>N/A</v>
      </c>
      <c r="AW26" s="1134" t="str">
        <f t="shared" si="33"/>
        <v>N/A</v>
      </c>
      <c r="AX26" s="1134" t="str">
        <f t="shared" si="34"/>
        <v>N/A</v>
      </c>
      <c r="AY26" s="1135" t="str">
        <f t="shared" si="35"/>
        <v>N/A</v>
      </c>
      <c r="AZ26" s="1127" t="str">
        <f t="shared" si="36"/>
        <v>N/A</v>
      </c>
      <c r="BA26" s="1135" t="str">
        <f t="shared" si="37"/>
        <v>N/A</v>
      </c>
      <c r="BB26" s="1127" t="str">
        <f t="shared" si="38"/>
        <v>N/A</v>
      </c>
      <c r="BC26" s="1128" t="str">
        <f>IFERROR(__xludf.DUMMYFUNCTION("IF(
  OR(BB26=""NOT PUBLISHED"", BB26=""N/A""),
  BB26,
  IFERROR(MAX(FILTER(AT26:BB26, ISNUMBER(AT26:BB26))),"""")
)"),"N/A")</f>
        <v>N/A</v>
      </c>
      <c r="BD26" s="1129"/>
      <c r="BE26" s="1129"/>
      <c r="BF26" s="1129"/>
    </row>
    <row r="27" ht="15.0" customHeight="1" outlineLevel="1">
      <c r="A27" s="53">
        <v>24.0</v>
      </c>
      <c r="B27" s="100" t="s">
        <v>125</v>
      </c>
      <c r="C27" s="53">
        <v>24.0</v>
      </c>
      <c r="D27" s="1130" t="s">
        <v>7</v>
      </c>
      <c r="E27" s="101" t="s">
        <v>126</v>
      </c>
      <c r="F27" s="118">
        <v>1101.0</v>
      </c>
      <c r="G27" s="517" t="s">
        <v>127</v>
      </c>
      <c r="H27" s="517">
        <v>1126.0</v>
      </c>
      <c r="I27" s="821" t="str">
        <f>IFERROR(VLOOKUP(B24:B214,'RELATÓRIO ACC'!B:F,5,FALSE),"NOT PUBLISHED")</f>
        <v>NOT PUBLISHED</v>
      </c>
      <c r="J27" s="1119" t="str">
        <f>IFERROR(VLOOKUP(B24:B214,'RELATÓRIO ACC'!B:P,15,FALSE),"NOT PUBLISHED")</f>
        <v>NOT PUBLISHED</v>
      </c>
      <c r="K27" s="552" t="str">
        <f t="shared" si="2"/>
        <v>#REF!</v>
      </c>
      <c r="L27" s="552" t="str">
        <f t="shared" si="3"/>
        <v>#REF!</v>
      </c>
      <c r="M27" s="899" t="s">
        <v>1758</v>
      </c>
      <c r="N27" s="1132" t="str">
        <f t="shared" si="4"/>
        <v>N/A</v>
      </c>
      <c r="O27" s="1133" t="str">
        <f t="shared" si="5"/>
        <v>N/A</v>
      </c>
      <c r="P27" s="1133" t="str">
        <f t="shared" si="6"/>
        <v>N/A</v>
      </c>
      <c r="Q27" s="1133" t="str">
        <f t="shared" si="7"/>
        <v>N/A</v>
      </c>
      <c r="R27" s="1133" t="str">
        <f t="shared" si="39"/>
        <v>N/A</v>
      </c>
      <c r="S27" s="1133" t="str">
        <f t="shared" si="40"/>
        <v>N/A</v>
      </c>
      <c r="T27" s="1133" t="str">
        <f t="shared" si="41"/>
        <v>N/A</v>
      </c>
      <c r="U27" s="1133" t="str">
        <f t="shared" si="8"/>
        <v>N/A</v>
      </c>
      <c r="V27" s="1122" t="str">
        <f t="shared" si="9"/>
        <v>N/A</v>
      </c>
      <c r="W27" s="1124" t="str">
        <f t="shared" si="10"/>
        <v>N/A</v>
      </c>
      <c r="X27" s="1124" t="str">
        <f t="shared" si="11"/>
        <v>N/A</v>
      </c>
      <c r="Y27" s="1125" t="str">
        <f>IFERROR(__xludf.DUMMYFUNCTION("IF(
  OR(X27=""NOT PUBLISHED"", X27=""N/A""),
  X27,
  IFERROR(MAX(FILTER(N27:X27, ISNUMBER(N27:X27))),"""")
)"),"N/A")</f>
        <v>N/A</v>
      </c>
      <c r="Z27" s="72" t="str">
        <f t="shared" si="12"/>
        <v>N/A</v>
      </c>
      <c r="AA27" s="1134" t="str">
        <f t="shared" si="13"/>
        <v>N/A</v>
      </c>
      <c r="AB27" s="1134" t="str">
        <f t="shared" si="14"/>
        <v>N/A</v>
      </c>
      <c r="AC27" s="1134" t="str">
        <f t="shared" si="15"/>
        <v>N/A</v>
      </c>
      <c r="AD27" s="1134" t="str">
        <f t="shared" si="16"/>
        <v>N/A</v>
      </c>
      <c r="AE27" s="1134" t="str">
        <f t="shared" si="17"/>
        <v>N/A</v>
      </c>
      <c r="AF27" s="1134" t="str">
        <f t="shared" si="18"/>
        <v>N/A</v>
      </c>
      <c r="AG27" s="1134" t="str">
        <f t="shared" si="19"/>
        <v>N/A</v>
      </c>
      <c r="AH27" s="1122" t="str">
        <f t="shared" si="20"/>
        <v>N/A</v>
      </c>
      <c r="AI27" s="1124" t="str">
        <f t="shared" si="21"/>
        <v>N/A</v>
      </c>
      <c r="AJ27" s="1124" t="str">
        <f t="shared" si="22"/>
        <v>N/A</v>
      </c>
      <c r="AK27" s="1125" t="str">
        <f>IFERROR(__xludf.DUMMYFUNCTION("IF(
  OR(AJ27=""NOT PUBLISHED"", AJ27=""N/A""),
  AJ27,
  IFERROR(MAX(FILTER(Z27:AJ27, ISNUMBER(Z27:AJ27))),"""")
)"),"N/A")</f>
        <v>N/A</v>
      </c>
      <c r="AL27" s="72" t="str">
        <f t="shared" si="23"/>
        <v>N/A</v>
      </c>
      <c r="AM27" s="1134" t="str">
        <f t="shared" si="24"/>
        <v>N/A</v>
      </c>
      <c r="AN27" s="1134" t="str">
        <f t="shared" si="25"/>
        <v>N/A</v>
      </c>
      <c r="AO27" s="1134" t="str">
        <f t="shared" si="26"/>
        <v>N/A</v>
      </c>
      <c r="AP27" s="1126" t="str">
        <f t="shared" si="27"/>
        <v>N/A</v>
      </c>
      <c r="AQ27" s="1124" t="str">
        <f t="shared" si="28"/>
        <v>N/A</v>
      </c>
      <c r="AR27" s="1124" t="str">
        <f t="shared" si="29"/>
        <v>N/A</v>
      </c>
      <c r="AS27" s="1125" t="str">
        <f>IFERROR(__xludf.DUMMYFUNCTION("IF(
  OR(AR27=""NOT PUBLISHED"", AR27=""N/A""),
  AR27,
  IFERROR(MAX(FILTER(AL27:AR27, ISNUMBER(AL27:AR27))),"""")
)"),"N/A")</f>
        <v>N/A</v>
      </c>
      <c r="AT27" s="72" t="str">
        <f t="shared" si="30"/>
        <v>N/A</v>
      </c>
      <c r="AU27" s="1134" t="str">
        <f t="shared" si="31"/>
        <v>N/A</v>
      </c>
      <c r="AV27" s="1134" t="str">
        <f t="shared" si="32"/>
        <v>N/A</v>
      </c>
      <c r="AW27" s="1134" t="str">
        <f t="shared" si="33"/>
        <v>N/A</v>
      </c>
      <c r="AX27" s="1134" t="str">
        <f t="shared" si="34"/>
        <v>N/A</v>
      </c>
      <c r="AY27" s="1135" t="str">
        <f t="shared" si="35"/>
        <v>N/A</v>
      </c>
      <c r="AZ27" s="1127" t="str">
        <f t="shared" si="36"/>
        <v>N/A</v>
      </c>
      <c r="BA27" s="1135" t="str">
        <f t="shared" si="37"/>
        <v>N/A</v>
      </c>
      <c r="BB27" s="1127" t="str">
        <f t="shared" si="38"/>
        <v>N/A</v>
      </c>
      <c r="BC27" s="1128" t="str">
        <f>IFERROR(__xludf.DUMMYFUNCTION("IF(
  OR(BB27=""NOT PUBLISHED"", BB27=""N/A""),
  BB27,
  IFERROR(MAX(FILTER(AT27:BB27, ISNUMBER(AT27:BB27))),"""")
)"),"N/A")</f>
        <v>N/A</v>
      </c>
      <c r="BD27" s="545"/>
      <c r="BE27" s="545"/>
      <c r="BF27" s="545"/>
    </row>
    <row r="28" ht="15.0" customHeight="1" outlineLevel="1">
      <c r="A28" s="53">
        <v>25.0</v>
      </c>
      <c r="B28" s="100" t="s">
        <v>129</v>
      </c>
      <c r="C28" s="53">
        <v>25.0</v>
      </c>
      <c r="D28" s="1130" t="s">
        <v>1760</v>
      </c>
      <c r="E28" s="101" t="s">
        <v>126</v>
      </c>
      <c r="F28" s="118">
        <v>1101.0</v>
      </c>
      <c r="G28" s="517" t="s">
        <v>127</v>
      </c>
      <c r="H28" s="517">
        <v>1126.0</v>
      </c>
      <c r="I28" s="821" t="str">
        <f>IFERROR(VLOOKUP(B25:B215,'RELATÓRIO ACC'!B:F,5,FALSE),"NOT PUBLISHED")</f>
        <v>NOT PUBLISHED</v>
      </c>
      <c r="J28" s="1119" t="str">
        <f>IFERROR(VLOOKUP(B25:B215,'RELATÓRIO ACC'!B:P,15,FALSE),"NOT PUBLISHED")</f>
        <v>NOT PUBLISHED</v>
      </c>
      <c r="K28" s="552" t="str">
        <f t="shared" si="2"/>
        <v>#REF!</v>
      </c>
      <c r="L28" s="552" t="str">
        <f t="shared" si="3"/>
        <v>#REF!</v>
      </c>
      <c r="M28" s="899"/>
      <c r="N28" s="1132" t="str">
        <f t="shared" si="4"/>
        <v>N/A</v>
      </c>
      <c r="O28" s="1133" t="str">
        <f t="shared" si="5"/>
        <v>N/A</v>
      </c>
      <c r="P28" s="1133" t="str">
        <f t="shared" si="6"/>
        <v>N/A</v>
      </c>
      <c r="Q28" s="1133" t="str">
        <f t="shared" si="7"/>
        <v>N/A</v>
      </c>
      <c r="R28" s="1133" t="str">
        <f t="shared" si="39"/>
        <v>N/A</v>
      </c>
      <c r="S28" s="1133" t="str">
        <f t="shared" si="40"/>
        <v>N/A</v>
      </c>
      <c r="T28" s="1133" t="str">
        <f t="shared" si="41"/>
        <v>N/A</v>
      </c>
      <c r="U28" s="1133" t="str">
        <f t="shared" si="8"/>
        <v>N/A</v>
      </c>
      <c r="V28" s="1122" t="str">
        <f t="shared" si="9"/>
        <v>N/A</v>
      </c>
      <c r="W28" s="1124" t="str">
        <f t="shared" si="10"/>
        <v>N/A</v>
      </c>
      <c r="X28" s="1124" t="str">
        <f t="shared" si="11"/>
        <v>N/A</v>
      </c>
      <c r="Y28" s="1125" t="str">
        <f>IFERROR(__xludf.DUMMYFUNCTION("IF(
  OR(X28=""NOT PUBLISHED"", X28=""N/A""),
  X28,
  IFERROR(MAX(FILTER(N28:X28, ISNUMBER(N28:X28))),"""")
)"),"N/A")</f>
        <v>N/A</v>
      </c>
      <c r="Z28" s="72" t="str">
        <f t="shared" si="12"/>
        <v>N/A</v>
      </c>
      <c r="AA28" s="1134" t="str">
        <f t="shared" si="13"/>
        <v>N/A</v>
      </c>
      <c r="AB28" s="1134" t="str">
        <f t="shared" si="14"/>
        <v>N/A</v>
      </c>
      <c r="AC28" s="1134" t="str">
        <f t="shared" si="15"/>
        <v>N/A</v>
      </c>
      <c r="AD28" s="1134" t="str">
        <f t="shared" si="16"/>
        <v>N/A</v>
      </c>
      <c r="AE28" s="1134" t="str">
        <f t="shared" si="17"/>
        <v>N/A</v>
      </c>
      <c r="AF28" s="1134" t="str">
        <f t="shared" si="18"/>
        <v>N/A</v>
      </c>
      <c r="AG28" s="1134" t="str">
        <f t="shared" si="19"/>
        <v>N/A</v>
      </c>
      <c r="AH28" s="1122" t="str">
        <f t="shared" si="20"/>
        <v>N/A</v>
      </c>
      <c r="AI28" s="1124" t="str">
        <f t="shared" si="21"/>
        <v>N/A</v>
      </c>
      <c r="AJ28" s="1124" t="str">
        <f t="shared" si="22"/>
        <v>N/A</v>
      </c>
      <c r="AK28" s="1125" t="str">
        <f>IFERROR(__xludf.DUMMYFUNCTION("IF(
  OR(AJ28=""NOT PUBLISHED"", AJ28=""N/A""),
  AJ28,
  IFERROR(MAX(FILTER(Z28:AJ28, ISNUMBER(Z28:AJ28))),"""")
)"),"N/A")</f>
        <v>N/A</v>
      </c>
      <c r="AL28" s="72" t="str">
        <f t="shared" si="23"/>
        <v>N/A</v>
      </c>
      <c r="AM28" s="1134" t="str">
        <f t="shared" si="24"/>
        <v>N/A</v>
      </c>
      <c r="AN28" s="1134" t="str">
        <f t="shared" si="25"/>
        <v>N/A</v>
      </c>
      <c r="AO28" s="1134" t="str">
        <f t="shared" si="26"/>
        <v>N/A</v>
      </c>
      <c r="AP28" s="1126" t="str">
        <f t="shared" si="27"/>
        <v>N/A</v>
      </c>
      <c r="AQ28" s="1124" t="str">
        <f t="shared" si="28"/>
        <v>N/A</v>
      </c>
      <c r="AR28" s="1124" t="str">
        <f t="shared" si="29"/>
        <v>N/A</v>
      </c>
      <c r="AS28" s="1125" t="str">
        <f>IFERROR(__xludf.DUMMYFUNCTION("IF(
  OR(AR28=""NOT PUBLISHED"", AR28=""N/A""),
  AR28,
  IFERROR(MAX(FILTER(AL28:AR28, ISNUMBER(AL28:AR28))),"""")
)"),"N/A")</f>
        <v>N/A</v>
      </c>
      <c r="AT28" s="72" t="str">
        <f t="shared" si="30"/>
        <v>N/A</v>
      </c>
      <c r="AU28" s="1134" t="str">
        <f t="shared" si="31"/>
        <v>N/A</v>
      </c>
      <c r="AV28" s="1134" t="str">
        <f t="shared" si="32"/>
        <v>N/A</v>
      </c>
      <c r="AW28" s="1134" t="str">
        <f t="shared" si="33"/>
        <v>N/A</v>
      </c>
      <c r="AX28" s="1134" t="str">
        <f t="shared" si="34"/>
        <v>N/A</v>
      </c>
      <c r="AY28" s="1135" t="str">
        <f t="shared" si="35"/>
        <v>N/A</v>
      </c>
      <c r="AZ28" s="1127" t="str">
        <f t="shared" si="36"/>
        <v>N/A</v>
      </c>
      <c r="BA28" s="1135" t="str">
        <f t="shared" si="37"/>
        <v>N/A</v>
      </c>
      <c r="BB28" s="1127" t="str">
        <f t="shared" si="38"/>
        <v>N/A</v>
      </c>
      <c r="BC28" s="1128" t="str">
        <f>IFERROR(__xludf.DUMMYFUNCTION("IF(
  OR(BB28=""NOT PUBLISHED"", BB28=""N/A""),
  BB28,
  IFERROR(MAX(FILTER(AT28:BB28, ISNUMBER(AT28:BB28))),"""")
)"),"N/A")</f>
        <v>N/A</v>
      </c>
      <c r="BD28" s="1129"/>
      <c r="BE28" s="1129"/>
      <c r="BF28" s="1129"/>
    </row>
    <row r="29" ht="15.0" customHeight="1" outlineLevel="1">
      <c r="A29" s="53">
        <v>26.0</v>
      </c>
      <c r="B29" s="100" t="s">
        <v>131</v>
      </c>
      <c r="C29" s="53">
        <v>26.0</v>
      </c>
      <c r="D29" s="1130" t="s">
        <v>1761</v>
      </c>
      <c r="E29" s="101" t="s">
        <v>126</v>
      </c>
      <c r="F29" s="118">
        <v>1101.0</v>
      </c>
      <c r="G29" s="517" t="s">
        <v>127</v>
      </c>
      <c r="H29" s="517">
        <v>1126.0</v>
      </c>
      <c r="I29" s="821" t="str">
        <f>IFERROR(VLOOKUP(B26:B216,'RELATÓRIO ACC'!B:F,5,FALSE),"NOT PUBLISHED")</f>
        <v>NOT PUBLISHED</v>
      </c>
      <c r="J29" s="1119" t="str">
        <f>IFERROR(VLOOKUP(B26:B216,'RELATÓRIO ACC'!B:P,15,FALSE),"NOT PUBLISHED")</f>
        <v>NOT PUBLISHED</v>
      </c>
      <c r="K29" s="552" t="str">
        <f t="shared" si="2"/>
        <v>#REF!</v>
      </c>
      <c r="L29" s="552" t="str">
        <f t="shared" si="3"/>
        <v>#REF!</v>
      </c>
      <c r="M29" s="899" t="s">
        <v>1762</v>
      </c>
      <c r="N29" s="1132" t="str">
        <f t="shared" si="4"/>
        <v>N/A</v>
      </c>
      <c r="O29" s="1133" t="str">
        <f t="shared" si="5"/>
        <v>N/A</v>
      </c>
      <c r="P29" s="1133" t="str">
        <f t="shared" si="6"/>
        <v>N/A</v>
      </c>
      <c r="Q29" s="1133" t="str">
        <f t="shared" si="7"/>
        <v>N/A</v>
      </c>
      <c r="R29" s="1133" t="str">
        <f t="shared" si="39"/>
        <v>N/A</v>
      </c>
      <c r="S29" s="1133" t="str">
        <f t="shared" si="40"/>
        <v>N/A</v>
      </c>
      <c r="T29" s="1133" t="str">
        <f t="shared" si="41"/>
        <v>N/A</v>
      </c>
      <c r="U29" s="1133" t="str">
        <f t="shared" si="8"/>
        <v>N/A</v>
      </c>
      <c r="V29" s="1122" t="str">
        <f t="shared" si="9"/>
        <v>N/A</v>
      </c>
      <c r="W29" s="1124" t="str">
        <f t="shared" si="10"/>
        <v>N/A</v>
      </c>
      <c r="X29" s="1124" t="str">
        <f t="shared" si="11"/>
        <v>N/A</v>
      </c>
      <c r="Y29" s="1125" t="str">
        <f>IFERROR(__xludf.DUMMYFUNCTION("IF(
  OR(X29=""NOT PUBLISHED"", X29=""N/A""),
  X29,
  IFERROR(MAX(FILTER(N29:X29, ISNUMBER(N29:X29))),"""")
)"),"N/A")</f>
        <v>N/A</v>
      </c>
      <c r="Z29" s="72" t="str">
        <f t="shared" si="12"/>
        <v>N/A</v>
      </c>
      <c r="AA29" s="1134" t="str">
        <f t="shared" si="13"/>
        <v>N/A</v>
      </c>
      <c r="AB29" s="1134" t="str">
        <f t="shared" si="14"/>
        <v>N/A</v>
      </c>
      <c r="AC29" s="1134" t="str">
        <f t="shared" si="15"/>
        <v>N/A</v>
      </c>
      <c r="AD29" s="1134" t="str">
        <f t="shared" si="16"/>
        <v>N/A</v>
      </c>
      <c r="AE29" s="1134" t="str">
        <f t="shared" si="17"/>
        <v>N/A</v>
      </c>
      <c r="AF29" s="1134" t="str">
        <f t="shared" si="18"/>
        <v>N/A</v>
      </c>
      <c r="AG29" s="1134" t="str">
        <f t="shared" si="19"/>
        <v>N/A</v>
      </c>
      <c r="AH29" s="1122" t="str">
        <f t="shared" si="20"/>
        <v>N/A</v>
      </c>
      <c r="AI29" s="1124" t="str">
        <f t="shared" si="21"/>
        <v>N/A</v>
      </c>
      <c r="AJ29" s="1124" t="str">
        <f t="shared" si="22"/>
        <v>N/A</v>
      </c>
      <c r="AK29" s="1125" t="str">
        <f>IFERROR(__xludf.DUMMYFUNCTION("IF(
  OR(AJ29=""NOT PUBLISHED"", AJ29=""N/A""),
  AJ29,
  IFERROR(MAX(FILTER(Z29:AJ29, ISNUMBER(Z29:AJ29))),"""")
)"),"N/A")</f>
        <v>N/A</v>
      </c>
      <c r="AL29" s="72" t="str">
        <f t="shared" si="23"/>
        <v>N/A</v>
      </c>
      <c r="AM29" s="1134" t="str">
        <f t="shared" si="24"/>
        <v>N/A</v>
      </c>
      <c r="AN29" s="1134" t="str">
        <f t="shared" si="25"/>
        <v>N/A</v>
      </c>
      <c r="AO29" s="1134" t="str">
        <f t="shared" si="26"/>
        <v>N/A</v>
      </c>
      <c r="AP29" s="1126" t="str">
        <f t="shared" si="27"/>
        <v>N/A</v>
      </c>
      <c r="AQ29" s="1124" t="str">
        <f t="shared" si="28"/>
        <v>N/A</v>
      </c>
      <c r="AR29" s="1124" t="str">
        <f t="shared" si="29"/>
        <v>N/A</v>
      </c>
      <c r="AS29" s="1125" t="str">
        <f>IFERROR(__xludf.DUMMYFUNCTION("IF(
  OR(AR29=""NOT PUBLISHED"", AR29=""N/A""),
  AR29,
  IFERROR(MAX(FILTER(AL29:AR29, ISNUMBER(AL29:AR29))),"""")
)"),"N/A")</f>
        <v>N/A</v>
      </c>
      <c r="AT29" s="72" t="str">
        <f t="shared" si="30"/>
        <v>N/A</v>
      </c>
      <c r="AU29" s="1134" t="str">
        <f t="shared" si="31"/>
        <v>N/A</v>
      </c>
      <c r="AV29" s="1134" t="str">
        <f t="shared" si="32"/>
        <v>N/A</v>
      </c>
      <c r="AW29" s="1134" t="str">
        <f t="shared" si="33"/>
        <v>N/A</v>
      </c>
      <c r="AX29" s="1134" t="str">
        <f t="shared" si="34"/>
        <v>N/A</v>
      </c>
      <c r="AY29" s="1135" t="str">
        <f t="shared" si="35"/>
        <v>N/A</v>
      </c>
      <c r="AZ29" s="1127" t="str">
        <f t="shared" si="36"/>
        <v>N/A</v>
      </c>
      <c r="BA29" s="1135" t="str">
        <f t="shared" si="37"/>
        <v>N/A</v>
      </c>
      <c r="BB29" s="1127" t="str">
        <f t="shared" si="38"/>
        <v>N/A</v>
      </c>
      <c r="BC29" s="1128" t="str">
        <f>IFERROR(__xludf.DUMMYFUNCTION("IF(
  OR(BB29=""NOT PUBLISHED"", BB29=""N/A""),
  BB29,
  IFERROR(MAX(FILTER(AT29:BB29, ISNUMBER(AT29:BB29))),"""")
)"),"N/A")</f>
        <v>N/A</v>
      </c>
      <c r="BD29" s="1129"/>
      <c r="BE29" s="1129"/>
      <c r="BF29" s="1129"/>
    </row>
    <row r="30" ht="15.0" customHeight="1" outlineLevel="1">
      <c r="A30" s="53">
        <v>27.0</v>
      </c>
      <c r="B30" s="100" t="s">
        <v>133</v>
      </c>
      <c r="C30" s="53">
        <v>27.0</v>
      </c>
      <c r="D30" s="1130" t="s">
        <v>1756</v>
      </c>
      <c r="E30" s="101" t="s">
        <v>105</v>
      </c>
      <c r="F30" s="115">
        <v>0.0</v>
      </c>
      <c r="G30" s="535" t="s">
        <v>105</v>
      </c>
      <c r="H30" s="535">
        <v>0.0</v>
      </c>
      <c r="I30" s="821" t="str">
        <f>IFERROR(VLOOKUP(B27:B217,'RELATÓRIO ACC'!B:F,5,FALSE),"NOT PUBLISHED")</f>
        <v>NOT PUBLISHED</v>
      </c>
      <c r="J30" s="1119" t="str">
        <f>IFERROR(VLOOKUP(B27:B217,'RELATÓRIO ACC'!B:P,15,FALSE),"NOT PUBLISHED")</f>
        <v>NOT PUBLISHED</v>
      </c>
      <c r="K30" s="552" t="str">
        <f t="shared" si="2"/>
        <v>#REF!</v>
      </c>
      <c r="L30" s="552" t="str">
        <f t="shared" si="3"/>
        <v>#REF!</v>
      </c>
      <c r="M30" s="899"/>
      <c r="N30" s="1132" t="str">
        <f t="shared" si="4"/>
        <v>N/A</v>
      </c>
      <c r="O30" s="1133" t="str">
        <f t="shared" si="5"/>
        <v>N/A</v>
      </c>
      <c r="P30" s="1133" t="str">
        <f t="shared" si="6"/>
        <v>N/A</v>
      </c>
      <c r="Q30" s="1133" t="str">
        <f t="shared" si="7"/>
        <v>N/A</v>
      </c>
      <c r="R30" s="1133" t="str">
        <f t="shared" si="39"/>
        <v>N/A</v>
      </c>
      <c r="S30" s="1133" t="str">
        <f t="shared" si="40"/>
        <v>N/A</v>
      </c>
      <c r="T30" s="1133" t="str">
        <f t="shared" si="41"/>
        <v>N/A</v>
      </c>
      <c r="U30" s="1133" t="str">
        <f t="shared" si="8"/>
        <v>N/A</v>
      </c>
      <c r="V30" s="1122" t="str">
        <f t="shared" si="9"/>
        <v>N/A</v>
      </c>
      <c r="W30" s="1124" t="str">
        <f t="shared" si="10"/>
        <v>N/A</v>
      </c>
      <c r="X30" s="1124" t="str">
        <f t="shared" si="11"/>
        <v>N/A</v>
      </c>
      <c r="Y30" s="1136" t="str">
        <f>IFERROR(__xludf.DUMMYFUNCTION("IF(
  OR(W30=""NOT PUBLISHED"", W30=""N/A""),
  W30,
  IFERROR(MAX(FILTER(N30:W30, ISNUMBER(N30:W30))),"""")
)"),"N/A")</f>
        <v>N/A</v>
      </c>
      <c r="Z30" s="72" t="str">
        <f t="shared" si="12"/>
        <v>N/A</v>
      </c>
      <c r="AA30" s="1134" t="str">
        <f t="shared" si="13"/>
        <v>N/A</v>
      </c>
      <c r="AB30" s="1134" t="str">
        <f t="shared" si="14"/>
        <v>N/A</v>
      </c>
      <c r="AC30" s="1134" t="str">
        <f t="shared" si="15"/>
        <v>N/A</v>
      </c>
      <c r="AD30" s="1134" t="str">
        <f t="shared" si="16"/>
        <v>N/A</v>
      </c>
      <c r="AE30" s="1134" t="str">
        <f t="shared" si="17"/>
        <v>N/A</v>
      </c>
      <c r="AF30" s="1134" t="str">
        <f t="shared" si="18"/>
        <v>N/A</v>
      </c>
      <c r="AG30" s="1134" t="str">
        <f t="shared" si="19"/>
        <v>N/A</v>
      </c>
      <c r="AH30" s="1122" t="str">
        <f t="shared" si="20"/>
        <v>N/A</v>
      </c>
      <c r="AI30" s="1124" t="str">
        <f t="shared" si="21"/>
        <v>N/A</v>
      </c>
      <c r="AJ30" s="1124" t="str">
        <f t="shared" si="22"/>
        <v>N/A</v>
      </c>
      <c r="AK30" s="1136" t="str">
        <f>IFERROR(__xludf.DUMMYFUNCTION("IF(
  OR(AI30=""NOT PUBLISHED"", AI30=""N/A""),
  AI30,
  IFERROR(MAX(FILTER(Z30:AI30, ISNUMBER(Z30:AI30))),"""")
)"),"N/A")</f>
        <v>N/A</v>
      </c>
      <c r="AL30" s="72" t="str">
        <f t="shared" si="23"/>
        <v>N/A</v>
      </c>
      <c r="AM30" s="1134" t="str">
        <f t="shared" si="24"/>
        <v>N/A</v>
      </c>
      <c r="AN30" s="1134" t="str">
        <f t="shared" si="25"/>
        <v>N/A</v>
      </c>
      <c r="AO30" s="1134" t="str">
        <f t="shared" si="26"/>
        <v>N/A</v>
      </c>
      <c r="AP30" s="1126" t="str">
        <f t="shared" si="27"/>
        <v>N/A</v>
      </c>
      <c r="AQ30" s="1124" t="str">
        <f t="shared" si="28"/>
        <v>N/A</v>
      </c>
      <c r="AR30" s="1124" t="str">
        <f t="shared" si="29"/>
        <v>N/A</v>
      </c>
      <c r="AS30" s="1136" t="str">
        <f>IFERROR(__xludf.DUMMYFUNCTION("IF(
  OR(AQ30=""NOT PUBLISHED"", AQ30=""N/A""),
  AQ30,
  IFERROR(MAX(FILTER(AL30:AQ30, ISNUMBER(AL30:AQ30))),"""")
)"),"N/A")</f>
        <v>N/A</v>
      </c>
      <c r="AT30" s="72" t="str">
        <f t="shared" si="30"/>
        <v>N/A</v>
      </c>
      <c r="AU30" s="1134" t="str">
        <f t="shared" si="31"/>
        <v>N/A</v>
      </c>
      <c r="AV30" s="1134" t="str">
        <f t="shared" si="32"/>
        <v>N/A</v>
      </c>
      <c r="AW30" s="1134" t="str">
        <f t="shared" si="33"/>
        <v>N/A</v>
      </c>
      <c r="AX30" s="1134" t="str">
        <f t="shared" si="34"/>
        <v>N/A</v>
      </c>
      <c r="AY30" s="1135" t="str">
        <f t="shared" si="35"/>
        <v>N/A</v>
      </c>
      <c r="AZ30" s="1127" t="str">
        <f t="shared" si="36"/>
        <v>N/A</v>
      </c>
      <c r="BA30" s="1135" t="str">
        <f t="shared" si="37"/>
        <v>N/A</v>
      </c>
      <c r="BB30" s="1127" t="str">
        <f t="shared" si="38"/>
        <v>N/A</v>
      </c>
      <c r="BC30" s="1137" t="str">
        <f>IFERROR(__xludf.DUMMYFUNCTION("IF(
  OR(BA30=""NOT PUBLISHED"", BA30=""N/A""),
  BA30,
  IFERROR(MAX(FILTER(AT30:BA30, ISNUMBER(AT30:BA30))),"""")
)"),"N/A")</f>
        <v>N/A</v>
      </c>
      <c r="BD30" s="545"/>
      <c r="BE30" s="545"/>
      <c r="BF30" s="545"/>
    </row>
    <row r="31" ht="15.0" customHeight="1" outlineLevel="1">
      <c r="A31" s="53">
        <v>28.0</v>
      </c>
      <c r="B31" s="100" t="s">
        <v>135</v>
      </c>
      <c r="C31" s="53">
        <v>28.0</v>
      </c>
      <c r="D31" s="1130" t="s">
        <v>7</v>
      </c>
      <c r="E31" s="111" t="s">
        <v>136</v>
      </c>
      <c r="F31" s="115">
        <v>0.0</v>
      </c>
      <c r="G31" s="535" t="s">
        <v>105</v>
      </c>
      <c r="H31" s="535"/>
      <c r="I31" s="821" t="str">
        <f>IFERROR(VLOOKUP(B28:B218,'RELATÓRIO ACC'!B:F,5,FALSE),"NOT PUBLISHED")</f>
        <v>NOT PUBLISHED</v>
      </c>
      <c r="J31" s="1119" t="str">
        <f>IFERROR(VLOOKUP(B28:B218,'RELATÓRIO ACC'!B:P,15,FALSE),"NOT PUBLISHED")</f>
        <v>NOT PUBLISHED</v>
      </c>
      <c r="K31" s="552" t="str">
        <f t="shared" si="2"/>
        <v>#REF!</v>
      </c>
      <c r="L31" s="552" t="str">
        <f t="shared" si="3"/>
        <v>#REF!</v>
      </c>
      <c r="M31" s="899"/>
      <c r="N31" s="1132" t="str">
        <f t="shared" si="4"/>
        <v>N/A</v>
      </c>
      <c r="O31" s="1133" t="str">
        <f t="shared" si="5"/>
        <v>N/A</v>
      </c>
      <c r="P31" s="1133" t="str">
        <f t="shared" si="6"/>
        <v>N/A</v>
      </c>
      <c r="Q31" s="1133" t="str">
        <f t="shared" si="7"/>
        <v>N/A</v>
      </c>
      <c r="R31" s="1133" t="str">
        <f t="shared" si="39"/>
        <v>N/A</v>
      </c>
      <c r="S31" s="1133" t="str">
        <f t="shared" si="40"/>
        <v>N/A</v>
      </c>
      <c r="T31" s="1133" t="str">
        <f t="shared" si="41"/>
        <v>N/A</v>
      </c>
      <c r="U31" s="1133" t="str">
        <f t="shared" si="8"/>
        <v>N/A</v>
      </c>
      <c r="V31" s="1122" t="str">
        <f t="shared" si="9"/>
        <v>N/A</v>
      </c>
      <c r="W31" s="1124" t="str">
        <f t="shared" si="10"/>
        <v>N/A</v>
      </c>
      <c r="X31" s="1124" t="str">
        <f t="shared" si="11"/>
        <v>N/A</v>
      </c>
      <c r="Y31" s="1136" t="str">
        <f>IFERROR(__xludf.DUMMYFUNCTION("IF(
  OR(W31=""NOT PUBLISHED"", W31=""N/A""),
  W31,
  IFERROR(MAX(FILTER(N31:W31, ISNUMBER(N31:W31))),"""")
)"),"N/A")</f>
        <v>N/A</v>
      </c>
      <c r="Z31" s="72" t="str">
        <f t="shared" si="12"/>
        <v>N/A</v>
      </c>
      <c r="AA31" s="1134" t="str">
        <f t="shared" si="13"/>
        <v>N/A</v>
      </c>
      <c r="AB31" s="1134" t="str">
        <f t="shared" si="14"/>
        <v>N/A</v>
      </c>
      <c r="AC31" s="1134" t="str">
        <f t="shared" si="15"/>
        <v>N/A</v>
      </c>
      <c r="AD31" s="1134" t="str">
        <f t="shared" si="16"/>
        <v>N/A</v>
      </c>
      <c r="AE31" s="1134" t="str">
        <f t="shared" si="17"/>
        <v>N/A</v>
      </c>
      <c r="AF31" s="1134" t="str">
        <f t="shared" si="18"/>
        <v>N/A</v>
      </c>
      <c r="AG31" s="1134" t="str">
        <f t="shared" si="19"/>
        <v>N/A</v>
      </c>
      <c r="AH31" s="1122" t="str">
        <f t="shared" si="20"/>
        <v>N/A</v>
      </c>
      <c r="AI31" s="1124" t="str">
        <f t="shared" si="21"/>
        <v>N/A</v>
      </c>
      <c r="AJ31" s="1124" t="str">
        <f t="shared" si="22"/>
        <v>N/A</v>
      </c>
      <c r="AK31" s="1136" t="str">
        <f>IFERROR(__xludf.DUMMYFUNCTION("IF(
  OR(AI31=""NOT PUBLISHED"", AI31=""N/A""),
  AI31,
  IFERROR(MAX(FILTER(Z31:AI31, ISNUMBER(Z31:AI31))),"""")
)"),"N/A")</f>
        <v>N/A</v>
      </c>
      <c r="AL31" s="72" t="str">
        <f t="shared" si="23"/>
        <v>N/A</v>
      </c>
      <c r="AM31" s="1134" t="str">
        <f t="shared" si="24"/>
        <v>N/A</v>
      </c>
      <c r="AN31" s="1134" t="str">
        <f t="shared" si="25"/>
        <v>N/A</v>
      </c>
      <c r="AO31" s="1134" t="str">
        <f t="shared" si="26"/>
        <v>N/A</v>
      </c>
      <c r="AP31" s="1126" t="str">
        <f t="shared" si="27"/>
        <v>N/A</v>
      </c>
      <c r="AQ31" s="1124" t="str">
        <f t="shared" si="28"/>
        <v>N/A</v>
      </c>
      <c r="AR31" s="1124" t="str">
        <f t="shared" si="29"/>
        <v>N/A</v>
      </c>
      <c r="AS31" s="1136" t="str">
        <f>IFERROR(__xludf.DUMMYFUNCTION("IF(
  OR(AQ31=""NOT PUBLISHED"", AQ31=""N/A""),
  AQ31,
  IFERROR(MAX(FILTER(AL31:AQ31, ISNUMBER(AL31:AQ31))),"""")
)"),"N/A")</f>
        <v>N/A</v>
      </c>
      <c r="AT31" s="72" t="str">
        <f t="shared" si="30"/>
        <v>N/A</v>
      </c>
      <c r="AU31" s="1134" t="str">
        <f t="shared" si="31"/>
        <v>N/A</v>
      </c>
      <c r="AV31" s="1134" t="str">
        <f t="shared" si="32"/>
        <v>N/A</v>
      </c>
      <c r="AW31" s="1134" t="str">
        <f t="shared" si="33"/>
        <v>N/A</v>
      </c>
      <c r="AX31" s="1134" t="str">
        <f t="shared" si="34"/>
        <v>N/A</v>
      </c>
      <c r="AY31" s="1135" t="str">
        <f t="shared" si="35"/>
        <v>N/A</v>
      </c>
      <c r="AZ31" s="1127" t="str">
        <f t="shared" si="36"/>
        <v>N/A</v>
      </c>
      <c r="BA31" s="1135" t="str">
        <f t="shared" si="37"/>
        <v>N/A</v>
      </c>
      <c r="BB31" s="1127" t="str">
        <f t="shared" si="38"/>
        <v>N/A</v>
      </c>
      <c r="BC31" s="1137" t="str">
        <f>IFERROR(__xludf.DUMMYFUNCTION("IF(
  OR(BA31=""NOT PUBLISHED"", BA31=""N/A""),
  BA31,
  IFERROR(MAX(FILTER(AT31:BA31, ISNUMBER(AT31:BA31))),"""")
)"),"N/A")</f>
        <v>N/A</v>
      </c>
      <c r="BD31" s="545"/>
      <c r="BE31" s="545"/>
      <c r="BF31" s="545"/>
    </row>
    <row r="32" ht="15.0" customHeight="1" outlineLevel="1">
      <c r="A32" s="53">
        <v>29.0</v>
      </c>
      <c r="B32" s="100" t="s">
        <v>138</v>
      </c>
      <c r="C32" s="53">
        <v>29.0</v>
      </c>
      <c r="D32" s="1130" t="s">
        <v>7</v>
      </c>
      <c r="E32" s="101" t="s">
        <v>105</v>
      </c>
      <c r="F32" s="115">
        <v>0.0</v>
      </c>
      <c r="G32" s="535" t="s">
        <v>105</v>
      </c>
      <c r="H32" s="535"/>
      <c r="I32" s="821" t="str">
        <f>IFERROR(VLOOKUP(B29:B219,'RELATÓRIO ACC'!B:F,5,FALSE),"NOT PUBLISHED")</f>
        <v>NOT PUBLISHED</v>
      </c>
      <c r="J32" s="1119" t="str">
        <f>IFERROR(VLOOKUP(B29:B219,'RELATÓRIO ACC'!B:P,15,FALSE),"NOT PUBLISHED")</f>
        <v>NOT PUBLISHED</v>
      </c>
      <c r="K32" s="552" t="str">
        <f t="shared" si="2"/>
        <v>#REF!</v>
      </c>
      <c r="L32" s="552" t="str">
        <f t="shared" si="3"/>
        <v>#REF!</v>
      </c>
      <c r="M32" s="899"/>
      <c r="N32" s="1132" t="str">
        <f t="shared" si="4"/>
        <v>N/A</v>
      </c>
      <c r="O32" s="1133" t="str">
        <f t="shared" si="5"/>
        <v>N/A</v>
      </c>
      <c r="P32" s="1133" t="str">
        <f t="shared" si="6"/>
        <v>N/A</v>
      </c>
      <c r="Q32" s="1133" t="str">
        <f t="shared" si="7"/>
        <v>N/A</v>
      </c>
      <c r="R32" s="1133" t="str">
        <f t="shared" si="39"/>
        <v>N/A</v>
      </c>
      <c r="S32" s="1133" t="str">
        <f t="shared" si="40"/>
        <v>N/A</v>
      </c>
      <c r="T32" s="1133" t="str">
        <f t="shared" si="41"/>
        <v>N/A</v>
      </c>
      <c r="U32" s="1133" t="str">
        <f t="shared" si="8"/>
        <v>N/A</v>
      </c>
      <c r="V32" s="1122" t="str">
        <f t="shared" si="9"/>
        <v>N/A</v>
      </c>
      <c r="W32" s="1124" t="str">
        <f t="shared" si="10"/>
        <v>N/A</v>
      </c>
      <c r="X32" s="1124" t="str">
        <f t="shared" si="11"/>
        <v>N/A</v>
      </c>
      <c r="Y32" s="1136" t="str">
        <f>IFERROR(__xludf.DUMMYFUNCTION("IF(
  OR(W32=""NOT PUBLISHED"", W32=""N/A""),
  W32,
  IFERROR(MAX(FILTER(N32:W32, ISNUMBER(N32:W32))),"""")
)"),"N/A")</f>
        <v>N/A</v>
      </c>
      <c r="Z32" s="72" t="str">
        <f t="shared" si="12"/>
        <v>N/A</v>
      </c>
      <c r="AA32" s="1134" t="str">
        <f t="shared" si="13"/>
        <v>N/A</v>
      </c>
      <c r="AB32" s="1134" t="str">
        <f t="shared" si="14"/>
        <v>N/A</v>
      </c>
      <c r="AC32" s="1134" t="str">
        <f t="shared" si="15"/>
        <v>N/A</v>
      </c>
      <c r="AD32" s="1134" t="str">
        <f t="shared" si="16"/>
        <v>N/A</v>
      </c>
      <c r="AE32" s="1134" t="str">
        <f t="shared" si="17"/>
        <v>N/A</v>
      </c>
      <c r="AF32" s="1134" t="str">
        <f t="shared" si="18"/>
        <v>N/A</v>
      </c>
      <c r="AG32" s="1134" t="str">
        <f t="shared" si="19"/>
        <v>N/A</v>
      </c>
      <c r="AH32" s="1122" t="str">
        <f t="shared" si="20"/>
        <v>N/A</v>
      </c>
      <c r="AI32" s="1124" t="str">
        <f t="shared" si="21"/>
        <v>N/A</v>
      </c>
      <c r="AJ32" s="1124" t="str">
        <f t="shared" si="22"/>
        <v>N/A</v>
      </c>
      <c r="AK32" s="1136" t="str">
        <f>IFERROR(__xludf.DUMMYFUNCTION("IF(
  OR(AI32=""NOT PUBLISHED"", AI32=""N/A""),
  AI32,
  IFERROR(MAX(FILTER(Z32:AI32, ISNUMBER(Z32:AI32))),"""")
)"),"N/A")</f>
        <v>N/A</v>
      </c>
      <c r="AL32" s="72" t="str">
        <f t="shared" si="23"/>
        <v>N/A</v>
      </c>
      <c r="AM32" s="1134" t="str">
        <f t="shared" si="24"/>
        <v>N/A</v>
      </c>
      <c r="AN32" s="1134" t="str">
        <f t="shared" si="25"/>
        <v>N/A</v>
      </c>
      <c r="AO32" s="1134" t="str">
        <f t="shared" si="26"/>
        <v>N/A</v>
      </c>
      <c r="AP32" s="1126" t="str">
        <f t="shared" si="27"/>
        <v>N/A</v>
      </c>
      <c r="AQ32" s="1124" t="str">
        <f t="shared" si="28"/>
        <v>N/A</v>
      </c>
      <c r="AR32" s="1124" t="str">
        <f t="shared" si="29"/>
        <v>N/A</v>
      </c>
      <c r="AS32" s="1136" t="str">
        <f>IFERROR(__xludf.DUMMYFUNCTION("IF(
  OR(AQ32=""NOT PUBLISHED"", AQ32=""N/A""),
  AQ32,
  IFERROR(MAX(FILTER(AL32:AQ32, ISNUMBER(AL32:AQ32))),"""")
)"),"N/A")</f>
        <v>N/A</v>
      </c>
      <c r="AT32" s="72" t="str">
        <f t="shared" si="30"/>
        <v>N/A</v>
      </c>
      <c r="AU32" s="1134" t="str">
        <f t="shared" si="31"/>
        <v>N/A</v>
      </c>
      <c r="AV32" s="1134" t="str">
        <f t="shared" si="32"/>
        <v>N/A</v>
      </c>
      <c r="AW32" s="1134" t="str">
        <f t="shared" si="33"/>
        <v>N/A</v>
      </c>
      <c r="AX32" s="1134" t="str">
        <f t="shared" si="34"/>
        <v>N/A</v>
      </c>
      <c r="AY32" s="1135" t="str">
        <f t="shared" si="35"/>
        <v>N/A</v>
      </c>
      <c r="AZ32" s="1127" t="str">
        <f t="shared" si="36"/>
        <v>N/A</v>
      </c>
      <c r="BA32" s="1135" t="str">
        <f t="shared" si="37"/>
        <v>N/A</v>
      </c>
      <c r="BB32" s="1127" t="str">
        <f t="shared" si="38"/>
        <v>N/A</v>
      </c>
      <c r="BC32" s="1137" t="str">
        <f>IFERROR(__xludf.DUMMYFUNCTION("IF(
  OR(BA32=""NOT PUBLISHED"", BA32=""N/A""),
  BA32,
  IFERROR(MAX(FILTER(AT32:BA32, ISNUMBER(AT32:BA32))),"""")
)"),"N/A")</f>
        <v>N/A</v>
      </c>
      <c r="BD32" s="545"/>
      <c r="BE32" s="545"/>
      <c r="BF32" s="545"/>
    </row>
    <row r="33" ht="15.0" customHeight="1" outlineLevel="1">
      <c r="A33" s="53">
        <v>30.0</v>
      </c>
      <c r="B33" s="100" t="s">
        <v>140</v>
      </c>
      <c r="C33" s="53">
        <v>30.0</v>
      </c>
      <c r="D33" s="1130" t="s">
        <v>1756</v>
      </c>
      <c r="E33" s="111" t="s">
        <v>141</v>
      </c>
      <c r="F33" s="115">
        <v>0.0</v>
      </c>
      <c r="G33" s="563" t="s">
        <v>142</v>
      </c>
      <c r="H33" s="535"/>
      <c r="I33" s="821" t="str">
        <f>IFERROR(VLOOKUP(B30:B220,'RELATÓRIO ACC'!B:F,5,FALSE),"NOT PUBLISHED")</f>
        <v>NOT PUBLISHED</v>
      </c>
      <c r="J33" s="1119" t="str">
        <f>IFERROR(VLOOKUP(B30:B220,'RELATÓRIO ACC'!B:P,15,FALSE),"NOT PUBLISHED")</f>
        <v>NOT PUBLISHED</v>
      </c>
      <c r="K33" s="552" t="str">
        <f t="shared" si="2"/>
        <v>#REF!</v>
      </c>
      <c r="L33" s="552" t="str">
        <f t="shared" si="3"/>
        <v>#REF!</v>
      </c>
      <c r="M33" s="899"/>
      <c r="N33" s="1132" t="str">
        <f t="shared" si="4"/>
        <v>N/A</v>
      </c>
      <c r="O33" s="1133" t="str">
        <f t="shared" si="5"/>
        <v>N/A</v>
      </c>
      <c r="P33" s="1133" t="str">
        <f t="shared" si="6"/>
        <v>N/A</v>
      </c>
      <c r="Q33" s="1133" t="str">
        <f t="shared" si="7"/>
        <v>N/A</v>
      </c>
      <c r="R33" s="1133" t="str">
        <f t="shared" si="39"/>
        <v>N/A</v>
      </c>
      <c r="S33" s="1133" t="str">
        <f t="shared" si="40"/>
        <v>N/A</v>
      </c>
      <c r="T33" s="1133" t="str">
        <f t="shared" si="41"/>
        <v>N/A</v>
      </c>
      <c r="U33" s="1133" t="str">
        <f t="shared" si="8"/>
        <v>N/A</v>
      </c>
      <c r="V33" s="1122" t="str">
        <f t="shared" si="9"/>
        <v>N/A</v>
      </c>
      <c r="W33" s="1124" t="str">
        <f t="shared" si="10"/>
        <v>N/A</v>
      </c>
      <c r="X33" s="1124" t="str">
        <f t="shared" si="11"/>
        <v>N/A</v>
      </c>
      <c r="Y33" s="1136" t="str">
        <f>IFERROR(__xludf.DUMMYFUNCTION("IF(
  OR(W33=""NOT PUBLISHED"", W33=""N/A""),
  W33,
  IFERROR(MAX(FILTER(N33:W33, ISNUMBER(N33:W33))),"""")
)"),"N/A")</f>
        <v>N/A</v>
      </c>
      <c r="Z33" s="72" t="str">
        <f t="shared" si="12"/>
        <v>N/A</v>
      </c>
      <c r="AA33" s="1134" t="str">
        <f t="shared" si="13"/>
        <v>N/A</v>
      </c>
      <c r="AB33" s="1134" t="str">
        <f t="shared" si="14"/>
        <v>N/A</v>
      </c>
      <c r="AC33" s="1134" t="str">
        <f t="shared" si="15"/>
        <v>N/A</v>
      </c>
      <c r="AD33" s="1134" t="str">
        <f t="shared" si="16"/>
        <v>N/A</v>
      </c>
      <c r="AE33" s="1134" t="str">
        <f t="shared" si="17"/>
        <v>N/A</v>
      </c>
      <c r="AF33" s="1134" t="str">
        <f t="shared" si="18"/>
        <v>N/A</v>
      </c>
      <c r="AG33" s="1134" t="str">
        <f t="shared" si="19"/>
        <v>N/A</v>
      </c>
      <c r="AH33" s="1122" t="str">
        <f t="shared" si="20"/>
        <v>N/A</v>
      </c>
      <c r="AI33" s="1124" t="str">
        <f t="shared" si="21"/>
        <v>N/A</v>
      </c>
      <c r="AJ33" s="1124" t="str">
        <f t="shared" si="22"/>
        <v>N/A</v>
      </c>
      <c r="AK33" s="1136" t="str">
        <f>IFERROR(__xludf.DUMMYFUNCTION("IF(
  OR(AI33=""NOT PUBLISHED"", AI33=""N/A""),
  AI33,
  IFERROR(MAX(FILTER(Z33:AI33, ISNUMBER(Z33:AI33))),"""")
)"),"N/A")</f>
        <v>N/A</v>
      </c>
      <c r="AL33" s="72" t="str">
        <f t="shared" si="23"/>
        <v>N/A</v>
      </c>
      <c r="AM33" s="1134" t="str">
        <f t="shared" si="24"/>
        <v>N/A</v>
      </c>
      <c r="AN33" s="1134" t="str">
        <f t="shared" si="25"/>
        <v>N/A</v>
      </c>
      <c r="AO33" s="1134" t="str">
        <f t="shared" si="26"/>
        <v>N/A</v>
      </c>
      <c r="AP33" s="1126" t="str">
        <f t="shared" si="27"/>
        <v>N/A</v>
      </c>
      <c r="AQ33" s="1124" t="str">
        <f t="shared" si="28"/>
        <v>N/A</v>
      </c>
      <c r="AR33" s="1124" t="str">
        <f t="shared" si="29"/>
        <v>N/A</v>
      </c>
      <c r="AS33" s="1136" t="str">
        <f>IFERROR(__xludf.DUMMYFUNCTION("IF(
  OR(AQ33=""NOT PUBLISHED"", AQ33=""N/A""),
  AQ33,
  IFERROR(MAX(FILTER(AL33:AQ33, ISNUMBER(AL33:AQ33))),"""")
)"),"N/A")</f>
        <v>N/A</v>
      </c>
      <c r="AT33" s="72" t="str">
        <f t="shared" si="30"/>
        <v>N/A</v>
      </c>
      <c r="AU33" s="1134" t="str">
        <f t="shared" si="31"/>
        <v>N/A</v>
      </c>
      <c r="AV33" s="1134" t="str">
        <f t="shared" si="32"/>
        <v>N/A</v>
      </c>
      <c r="AW33" s="1134" t="str">
        <f t="shared" si="33"/>
        <v>N/A</v>
      </c>
      <c r="AX33" s="1134" t="str">
        <f t="shared" si="34"/>
        <v>N/A</v>
      </c>
      <c r="AY33" s="1135" t="str">
        <f t="shared" si="35"/>
        <v>N/A</v>
      </c>
      <c r="AZ33" s="1127" t="str">
        <f t="shared" si="36"/>
        <v>N/A</v>
      </c>
      <c r="BA33" s="1135" t="str">
        <f t="shared" si="37"/>
        <v>N/A</v>
      </c>
      <c r="BB33" s="1127" t="str">
        <f t="shared" si="38"/>
        <v>N/A</v>
      </c>
      <c r="BC33" s="1137" t="str">
        <f>IFERROR(__xludf.DUMMYFUNCTION("IF(
  OR(BA33=""NOT PUBLISHED"", BA33=""N/A""),
  BA33,
  IFERROR(MAX(FILTER(AT33:BA33, ISNUMBER(AT33:BA33))),"""")
)"),"N/A")</f>
        <v>N/A</v>
      </c>
      <c r="BD33" s="545"/>
      <c r="BE33" s="545"/>
      <c r="BF33" s="545"/>
    </row>
    <row r="34" ht="15.0" customHeight="1" outlineLevel="1">
      <c r="A34" s="53">
        <v>31.0</v>
      </c>
      <c r="B34" s="110" t="s">
        <v>1763</v>
      </c>
      <c r="C34" s="53">
        <v>31.0</v>
      </c>
      <c r="D34" s="1130" t="s">
        <v>1759</v>
      </c>
      <c r="E34" s="111" t="s">
        <v>141</v>
      </c>
      <c r="F34" s="115">
        <v>0.0</v>
      </c>
      <c r="G34" s="563" t="s">
        <v>142</v>
      </c>
      <c r="H34" s="535"/>
      <c r="I34" s="821" t="str">
        <f>IFERROR(VLOOKUP(B31:B221,'RELATÓRIO ACC'!B:F,5,FALSE),"NOT PUBLISHED")</f>
        <v>NOT PUBLISHED</v>
      </c>
      <c r="J34" s="1119" t="str">
        <f>IFERROR(VLOOKUP(B31:B221,'RELATÓRIO ACC'!B:P,15,FALSE),"NOT PUBLISHED")</f>
        <v>NOT PUBLISHED</v>
      </c>
      <c r="K34" s="552" t="str">
        <f t="shared" si="2"/>
        <v>#REF!</v>
      </c>
      <c r="L34" s="552" t="str">
        <f t="shared" si="3"/>
        <v>#REF!</v>
      </c>
      <c r="M34" s="899"/>
      <c r="N34" s="1132" t="str">
        <f t="shared" si="4"/>
        <v>N/A</v>
      </c>
      <c r="O34" s="1133" t="str">
        <f t="shared" si="5"/>
        <v>N/A</v>
      </c>
      <c r="P34" s="1133" t="str">
        <f t="shared" si="6"/>
        <v>N/A</v>
      </c>
      <c r="Q34" s="1133" t="str">
        <f t="shared" si="7"/>
        <v>N/A</v>
      </c>
      <c r="R34" s="1133" t="str">
        <f t="shared" si="39"/>
        <v>N/A</v>
      </c>
      <c r="S34" s="1133" t="str">
        <f t="shared" si="40"/>
        <v>N/A</v>
      </c>
      <c r="T34" s="1133" t="str">
        <f t="shared" si="41"/>
        <v>N/A</v>
      </c>
      <c r="U34" s="1133" t="str">
        <f t="shared" si="8"/>
        <v>N/A</v>
      </c>
      <c r="V34" s="1122" t="str">
        <f t="shared" si="9"/>
        <v>N/A</v>
      </c>
      <c r="W34" s="1124" t="str">
        <f t="shared" si="10"/>
        <v>N/A</v>
      </c>
      <c r="X34" s="1124" t="str">
        <f t="shared" si="11"/>
        <v>N/A</v>
      </c>
      <c r="Y34" s="1136" t="str">
        <f>IFERROR(__xludf.DUMMYFUNCTION("IF(
  OR(W34=""NOT PUBLISHED"", W34=""N/A""),
  W34,
  IFERROR(MAX(FILTER(N34:W34, ISNUMBER(N34:W34))),"""")
)"),"N/A")</f>
        <v>N/A</v>
      </c>
      <c r="Z34" s="72" t="str">
        <f t="shared" si="12"/>
        <v>N/A</v>
      </c>
      <c r="AA34" s="1134" t="str">
        <f t="shared" si="13"/>
        <v>N/A</v>
      </c>
      <c r="AB34" s="1134" t="str">
        <f t="shared" si="14"/>
        <v>N/A</v>
      </c>
      <c r="AC34" s="1134" t="str">
        <f t="shared" si="15"/>
        <v>N/A</v>
      </c>
      <c r="AD34" s="1134" t="str">
        <f t="shared" si="16"/>
        <v>N/A</v>
      </c>
      <c r="AE34" s="1134" t="str">
        <f t="shared" si="17"/>
        <v>N/A</v>
      </c>
      <c r="AF34" s="1134" t="str">
        <f t="shared" si="18"/>
        <v>N/A</v>
      </c>
      <c r="AG34" s="1134" t="str">
        <f t="shared" si="19"/>
        <v>N/A</v>
      </c>
      <c r="AH34" s="1122" t="str">
        <f t="shared" si="20"/>
        <v>N/A</v>
      </c>
      <c r="AI34" s="1124" t="str">
        <f t="shared" si="21"/>
        <v>N/A</v>
      </c>
      <c r="AJ34" s="1124" t="str">
        <f t="shared" si="22"/>
        <v>N/A</v>
      </c>
      <c r="AK34" s="1136" t="str">
        <f>IFERROR(__xludf.DUMMYFUNCTION("IF(
  OR(AI34=""NOT PUBLISHED"", AI34=""N/A""),
  AI34,
  IFERROR(MAX(FILTER(Z34:AI34, ISNUMBER(Z34:AI34))),"""")
)"),"N/A")</f>
        <v>N/A</v>
      </c>
      <c r="AL34" s="72" t="str">
        <f t="shared" si="23"/>
        <v>N/A</v>
      </c>
      <c r="AM34" s="1134" t="str">
        <f t="shared" si="24"/>
        <v>N/A</v>
      </c>
      <c r="AN34" s="1134" t="str">
        <f t="shared" si="25"/>
        <v>N/A</v>
      </c>
      <c r="AO34" s="1134" t="str">
        <f t="shared" si="26"/>
        <v>N/A</v>
      </c>
      <c r="AP34" s="1126" t="str">
        <f t="shared" si="27"/>
        <v>N/A</v>
      </c>
      <c r="AQ34" s="1124" t="str">
        <f t="shared" si="28"/>
        <v>N/A</v>
      </c>
      <c r="AR34" s="1124" t="str">
        <f t="shared" si="29"/>
        <v>N/A</v>
      </c>
      <c r="AS34" s="1136" t="str">
        <f>IFERROR(__xludf.DUMMYFUNCTION("IF(
  OR(AQ34=""NOT PUBLISHED"", AQ34=""N/A""),
  AQ34,
  IFERROR(MAX(FILTER(AL34:AQ34, ISNUMBER(AL34:AQ34))),"""")
)"),"N/A")</f>
        <v>N/A</v>
      </c>
      <c r="AT34" s="72" t="str">
        <f t="shared" si="30"/>
        <v>N/A</v>
      </c>
      <c r="AU34" s="1134" t="str">
        <f t="shared" si="31"/>
        <v>N/A</v>
      </c>
      <c r="AV34" s="1134" t="str">
        <f t="shared" si="32"/>
        <v>N/A</v>
      </c>
      <c r="AW34" s="1134" t="str">
        <f t="shared" si="33"/>
        <v>N/A</v>
      </c>
      <c r="AX34" s="1134" t="str">
        <f t="shared" si="34"/>
        <v>N/A</v>
      </c>
      <c r="AY34" s="1135" t="str">
        <f t="shared" si="35"/>
        <v>N/A</v>
      </c>
      <c r="AZ34" s="1127" t="str">
        <f t="shared" si="36"/>
        <v>N/A</v>
      </c>
      <c r="BA34" s="1135" t="str">
        <f t="shared" si="37"/>
        <v>N/A</v>
      </c>
      <c r="BB34" s="1127" t="str">
        <f t="shared" si="38"/>
        <v>N/A</v>
      </c>
      <c r="BC34" s="1137" t="str">
        <f>IFERROR(__xludf.DUMMYFUNCTION("IF(
  OR(BA34=""NOT PUBLISHED"", BA34=""N/A""),
  BA34,
  IFERROR(MAX(FILTER(AT34:BA34, ISNUMBER(AT34:BA34))),"""")
)"),"N/A")</f>
        <v>N/A</v>
      </c>
      <c r="BD34" s="545"/>
      <c r="BE34" s="545"/>
      <c r="BF34" s="545"/>
    </row>
    <row r="35" ht="15.0" customHeight="1" outlineLevel="1">
      <c r="A35" s="53">
        <v>32.0</v>
      </c>
      <c r="B35" s="100" t="s">
        <v>146</v>
      </c>
      <c r="C35" s="53">
        <v>32.0</v>
      </c>
      <c r="D35" s="1130" t="s">
        <v>1756</v>
      </c>
      <c r="E35" s="111" t="s">
        <v>147</v>
      </c>
      <c r="F35" s="111" t="s">
        <v>147</v>
      </c>
      <c r="G35" s="111" t="s">
        <v>147</v>
      </c>
      <c r="H35" s="535"/>
      <c r="I35" s="821" t="str">
        <f>IFERROR(VLOOKUP(B32:B222,'RELATÓRIO ACC'!B:F,5,FALSE),"NOT PUBLISHED")</f>
        <v>NOT PUBLISHED</v>
      </c>
      <c r="J35" s="1119" t="str">
        <f>IFERROR(VLOOKUP(B32:B222,'RELATÓRIO ACC'!B:P,15,FALSE),"NOT PUBLISHED")</f>
        <v>NOT PUBLISHED</v>
      </c>
      <c r="K35" s="552" t="str">
        <f t="shared" si="2"/>
        <v>#REF!</v>
      </c>
      <c r="L35" s="552" t="str">
        <f t="shared" si="3"/>
        <v>#REF!</v>
      </c>
      <c r="M35" s="899"/>
      <c r="N35" s="1132" t="str">
        <f t="shared" si="4"/>
        <v>N/A</v>
      </c>
      <c r="O35" s="1133" t="str">
        <f t="shared" si="5"/>
        <v>N/A</v>
      </c>
      <c r="P35" s="1133" t="str">
        <f t="shared" si="6"/>
        <v>N/A</v>
      </c>
      <c r="Q35" s="1133" t="str">
        <f t="shared" si="7"/>
        <v>N/A</v>
      </c>
      <c r="R35" s="1133" t="str">
        <f t="shared" si="39"/>
        <v>N/A</v>
      </c>
      <c r="S35" s="1133" t="str">
        <f t="shared" si="40"/>
        <v>N/A</v>
      </c>
      <c r="T35" s="1133" t="str">
        <f t="shared" si="41"/>
        <v>N/A</v>
      </c>
      <c r="U35" s="1133" t="str">
        <f t="shared" si="8"/>
        <v>N/A</v>
      </c>
      <c r="V35" s="1122" t="str">
        <f t="shared" si="9"/>
        <v>N/A</v>
      </c>
      <c r="W35" s="1124" t="str">
        <f t="shared" si="10"/>
        <v>N/A</v>
      </c>
      <c r="X35" s="1124" t="str">
        <f t="shared" si="11"/>
        <v>N/A</v>
      </c>
      <c r="Y35" s="1125" t="str">
        <f>IFERROR(__xludf.DUMMYFUNCTION("IF(
  OR(X35=""NOT PUBLISHED"", X35=""N/A""),
  X35,
  IFERROR(MAX(FILTER(N35:X35, ISNUMBER(N35:X35))),"""")
)"),"N/A")</f>
        <v>N/A</v>
      </c>
      <c r="Z35" s="72" t="str">
        <f t="shared" si="12"/>
        <v>N/A</v>
      </c>
      <c r="AA35" s="1134" t="str">
        <f t="shared" si="13"/>
        <v>N/A</v>
      </c>
      <c r="AB35" s="1134" t="str">
        <f t="shared" si="14"/>
        <v>N/A</v>
      </c>
      <c r="AC35" s="1134" t="str">
        <f t="shared" si="15"/>
        <v>N/A</v>
      </c>
      <c r="AD35" s="1134" t="str">
        <f t="shared" si="16"/>
        <v>N/A</v>
      </c>
      <c r="AE35" s="1134" t="str">
        <f t="shared" si="17"/>
        <v>N/A</v>
      </c>
      <c r="AF35" s="1134" t="str">
        <f t="shared" si="18"/>
        <v>N/A</v>
      </c>
      <c r="AG35" s="1134" t="str">
        <f t="shared" si="19"/>
        <v>N/A</v>
      </c>
      <c r="AH35" s="1122" t="str">
        <f t="shared" si="20"/>
        <v>N/A</v>
      </c>
      <c r="AI35" s="1124" t="str">
        <f t="shared" si="21"/>
        <v>N/A</v>
      </c>
      <c r="AJ35" s="1124" t="str">
        <f t="shared" si="22"/>
        <v>N/A</v>
      </c>
      <c r="AK35" s="1125" t="str">
        <f>IFERROR(__xludf.DUMMYFUNCTION("IF(
  OR(AJ35=""NOT PUBLISHED"", AJ35=""N/A""),
  AJ35,
  IFERROR(MAX(FILTER(Z35:AJ35, ISNUMBER(Z35:AJ35))),"""")
)"),"N/A")</f>
        <v>N/A</v>
      </c>
      <c r="AL35" s="72" t="str">
        <f t="shared" si="23"/>
        <v>N/A</v>
      </c>
      <c r="AM35" s="1134" t="str">
        <f t="shared" si="24"/>
        <v>N/A</v>
      </c>
      <c r="AN35" s="1134" t="str">
        <f t="shared" si="25"/>
        <v>N/A</v>
      </c>
      <c r="AO35" s="1134" t="str">
        <f t="shared" si="26"/>
        <v>N/A</v>
      </c>
      <c r="AP35" s="1126" t="str">
        <f t="shared" si="27"/>
        <v>N/A</v>
      </c>
      <c r="AQ35" s="1124" t="str">
        <f t="shared" si="28"/>
        <v>N/A</v>
      </c>
      <c r="AR35" s="1124" t="str">
        <f t="shared" si="29"/>
        <v>N/A</v>
      </c>
      <c r="AS35" s="1125" t="str">
        <f>IFERROR(__xludf.DUMMYFUNCTION("IF(
  OR(AR35=""NOT PUBLISHED"", AR35=""N/A""),
  AR35,
  IFERROR(MAX(FILTER(AL35:AR35, ISNUMBER(AL35:AR35))),"""")
)"),"N/A")</f>
        <v>N/A</v>
      </c>
      <c r="AT35" s="72" t="str">
        <f t="shared" si="30"/>
        <v>N/A</v>
      </c>
      <c r="AU35" s="1134" t="str">
        <f t="shared" si="31"/>
        <v>N/A</v>
      </c>
      <c r="AV35" s="1134" t="str">
        <f t="shared" si="32"/>
        <v>N/A</v>
      </c>
      <c r="AW35" s="1134" t="str">
        <f t="shared" si="33"/>
        <v>N/A</v>
      </c>
      <c r="AX35" s="1134" t="str">
        <f t="shared" si="34"/>
        <v>N/A</v>
      </c>
      <c r="AY35" s="1135" t="str">
        <f t="shared" si="35"/>
        <v>N/A</v>
      </c>
      <c r="AZ35" s="1127" t="str">
        <f t="shared" si="36"/>
        <v>N/A</v>
      </c>
      <c r="BA35" s="1135" t="str">
        <f t="shared" si="37"/>
        <v>N/A</v>
      </c>
      <c r="BB35" s="1127" t="str">
        <f t="shared" si="38"/>
        <v>N/A</v>
      </c>
      <c r="BC35" s="1128" t="str">
        <f>IFERROR(__xludf.DUMMYFUNCTION("IF(
  OR(BB35=""NOT PUBLISHED"", BB35=""N/A""),
  BB35,
  IFERROR(MAX(FILTER(AT35:BB35, ISNUMBER(AT35:BB35))),"""")
)"),"N/A")</f>
        <v>N/A</v>
      </c>
      <c r="BD35" s="1129"/>
      <c r="BE35" s="1129"/>
      <c r="BF35" s="1129"/>
    </row>
    <row r="36" ht="15.0" customHeight="1">
      <c r="A36" s="53">
        <v>33.0</v>
      </c>
      <c r="B36" s="124" t="s">
        <v>151</v>
      </c>
      <c r="C36" s="53">
        <v>33.0</v>
      </c>
      <c r="D36" s="126"/>
      <c r="E36" s="126"/>
      <c r="F36" s="126"/>
      <c r="G36" s="126"/>
      <c r="H36" s="128"/>
      <c r="I36" s="129"/>
      <c r="J36" s="574"/>
      <c r="K36" s="126"/>
      <c r="L36" s="126"/>
      <c r="M36" s="129"/>
      <c r="N36" s="1140"/>
      <c r="O36" s="1141"/>
      <c r="P36" s="1141"/>
      <c r="Q36" s="1142"/>
      <c r="R36" s="1143"/>
      <c r="S36" s="1143"/>
      <c r="T36" s="1143"/>
      <c r="U36" s="1143"/>
      <c r="V36" s="1143"/>
      <c r="W36" s="1144"/>
      <c r="X36" s="1144"/>
      <c r="Y36" s="1144"/>
      <c r="Z36" s="1145"/>
      <c r="AA36" s="1146"/>
      <c r="AB36" s="1146"/>
      <c r="AC36" s="1147"/>
      <c r="AD36" s="1148"/>
      <c r="AE36" s="1148"/>
      <c r="AF36" s="1148"/>
      <c r="AG36" s="1148"/>
      <c r="AH36" s="1143"/>
      <c r="AI36" s="1144"/>
      <c r="AJ36" s="1144"/>
      <c r="AK36" s="1144"/>
      <c r="AL36" s="1144"/>
      <c r="AM36" s="1148"/>
      <c r="AN36" s="1148"/>
      <c r="AO36" s="1148"/>
      <c r="AP36" s="1143"/>
      <c r="AQ36" s="1144"/>
      <c r="AR36" s="1144"/>
      <c r="AS36" s="1144"/>
      <c r="AT36" s="1144"/>
      <c r="AU36" s="1144"/>
      <c r="AV36" s="1144"/>
      <c r="AW36" s="1144"/>
      <c r="AX36" s="1144"/>
      <c r="AY36" s="1144"/>
      <c r="AZ36" s="1144"/>
      <c r="BA36" s="1144"/>
      <c r="BB36" s="1144"/>
      <c r="BC36" s="1144"/>
      <c r="BD36" s="1149"/>
      <c r="BE36" s="1149"/>
      <c r="BF36" s="1149"/>
    </row>
    <row r="37" ht="15.0" customHeight="1" outlineLevel="1">
      <c r="A37" s="53">
        <v>34.0</v>
      </c>
      <c r="B37" s="100" t="s">
        <v>153</v>
      </c>
      <c r="C37" s="53">
        <v>34.0</v>
      </c>
      <c r="D37" s="1130" t="s">
        <v>1756</v>
      </c>
      <c r="E37" s="101" t="s">
        <v>154</v>
      </c>
      <c r="F37" s="102">
        <v>1112.0</v>
      </c>
      <c r="G37" s="517" t="s">
        <v>155</v>
      </c>
      <c r="H37" s="517">
        <v>1129.0</v>
      </c>
      <c r="I37" s="821" t="str">
        <f>IFERROR(VLOOKUP(B34:B224,'RELATÓRIO ACC'!B:F,5,FALSE),"NOT PUBLISHED")</f>
        <v>NOT PUBLISHED</v>
      </c>
      <c r="J37" s="1119" t="str">
        <f>IFERROR(VLOOKUP(B34:B224,'RELATÓRIO ACC'!B:P,15,FALSE),"NOT PUBLISHED")</f>
        <v>NOT PUBLISHED</v>
      </c>
      <c r="K37" s="552" t="str">
        <f t="shared" ref="K37:K38" si="42">IF(OR($D37="UTLS",$D37="GUAR",$D37="STIR",$D37="PUMP",$D37="SITE"),
   VLOOKUP($B37,'LOD 300 - SITE'!C:K,9,FALSE),
   VLOOKUP($B37,'LOD 300 - ADMN'!C:K,9,FALSE)
)</f>
        <v>#REF!</v>
      </c>
      <c r="L37" s="552" t="str">
        <f t="shared" ref="L37:L38" si="43">IF(OR($D37="UTLS",$D37="GUAR",$D37="STIR",$D37="PUMP",$D37="SITE"),
   VLOOKUP($B37,'LOD 300 - SITE'!C:L,10,FALSE),
   VLOOKUP($B37,'LOD 300 - ADMN'!C:Q,10,FALSE)
)</f>
        <v>#REF!</v>
      </c>
      <c r="M37" s="899" t="s">
        <v>1758</v>
      </c>
      <c r="N37" s="1132" t="str">
        <f t="shared" ref="N37:N38" si="44">IFERROR(VLOOKUP($B37,'LOD 300 - ADMN'!$B:P,14,FALSE),"N/A")</f>
        <v>N/A</v>
      </c>
      <c r="O37" s="1133" t="str">
        <f t="shared" ref="O37:O38" si="45">IFERROR(VLOOKUP($B37,'LOD 300 - ADMN'!$B:S,17,FALSE),"N/A")</f>
        <v>N/A</v>
      </c>
      <c r="P37" s="1133" t="str">
        <f t="shared" ref="P37:P38" si="46">IFERROR(VLOOKUP($B37,'LOD 300 - ADMN'!$B:V,20,FALSE),"N/A")</f>
        <v>N/A</v>
      </c>
      <c r="Q37" s="1133" t="str">
        <f t="shared" ref="Q37:Q38" si="47">IFERROR(VLOOKUP($B37,'LOD 300 - ADMN'!$B:Y,23,FALSE),"N/A")</f>
        <v>N/A</v>
      </c>
      <c r="R37" s="1133" t="str">
        <f t="shared" ref="R37:R38" si="48">IFERROR(VLOOKUP($B37,'LOD 300 - ADMN'!$B:AB,26,FALSE),"N/A")</f>
        <v>N/A</v>
      </c>
      <c r="S37" s="1133" t="str">
        <f t="shared" ref="S37:S38" si="49">IFERROR(VLOOKUP($B37,'LOD 300 - ADMN'!$B:AE,29,FALSE),"N/A")</f>
        <v>N/A</v>
      </c>
      <c r="T37" s="1133" t="str">
        <f t="shared" ref="T37:T38" si="50">IFERROR(VLOOKUP($B37,'LOD 300 - ADMN'!$B:AH,32,FALSE),"N/A")</f>
        <v>N/A</v>
      </c>
      <c r="U37" s="1133" t="str">
        <f t="shared" ref="U37:U38" si="51">IFERROR(VLOOKUP($B37,'LOD 300 - ADMN'!$B:AK,35,FALSE),"N/A")</f>
        <v>N/A</v>
      </c>
      <c r="V37" s="1122" t="str">
        <f t="shared" ref="V37:V38" si="52">IFERROR(VLOOKUP($B37,'LOD 300 - ADMN'!$B:AN,38,FALSE),"N/A")</f>
        <v>N/A</v>
      </c>
      <c r="W37" s="1124" t="str">
        <f t="shared" ref="W37:W38" si="53">IFERROR(VLOOKUP($B37,'LOD 300 - ADMN'!$B:AQ,41,FALSE),"N/A")</f>
        <v>N/A</v>
      </c>
      <c r="X37" s="1124" t="str">
        <f t="shared" ref="X37:X38" si="54">IFERROR(VLOOKUP($B37,'LOD 300 - ADMN'!$B:AT,44,FALSE),"N/A")</f>
        <v>N/A</v>
      </c>
      <c r="Y37" s="1125" t="str">
        <f>IFERROR(__xludf.DUMMYFUNCTION("IF(
  OR(X37=""NOT PUBLISHED"", X37=""N/A""),
  X37,
  IFERROR(MAX(FILTER(N37:X37, ISNUMBER(N37:X37))),"""")
)"),"N/A")</f>
        <v>N/A</v>
      </c>
      <c r="Z37" s="72" t="str">
        <f t="shared" ref="Z37:Z38" si="55">IFERROR(VLOOKUP($B37,'LOD 300 - COLO1'!$B:P,14,FALSE),"N/A")</f>
        <v>N/A</v>
      </c>
      <c r="AA37" s="1134" t="str">
        <f t="shared" ref="AA37:AA38" si="56">IFERROR(VLOOKUP($B37,'LOD 300 - COLO1'!$B:S,17,FALSE),"N/A")</f>
        <v>N/A</v>
      </c>
      <c r="AB37" s="1134" t="str">
        <f t="shared" ref="AB37:AB38" si="57">IFERROR(VLOOKUP($B37,'LOD 300 - COLO1'!$B:V,20,FALSE),"N/A")</f>
        <v>N/A</v>
      </c>
      <c r="AC37" s="1134" t="str">
        <f t="shared" ref="AC37:AC38" si="58">IFERROR(VLOOKUP($B37,'LOD 300 - COLO1'!$B:Y,23,FALSE),"N/A")</f>
        <v>N/A</v>
      </c>
      <c r="AD37" s="1134" t="str">
        <f t="shared" ref="AD37:AD38" si="59">IFERROR(VLOOKUP($B37,'LOD 300 - COLO1'!$B:AB,26,FALSE),"N/A")</f>
        <v>N/A</v>
      </c>
      <c r="AE37" s="1134" t="str">
        <f t="shared" ref="AE37:AE38" si="60">IFERROR(VLOOKUP($B37,'LOD 300 - COLO1'!$B:AE,29,FALSE),"N/A")</f>
        <v>N/A</v>
      </c>
      <c r="AF37" s="1134" t="str">
        <f t="shared" ref="AF37:AF38" si="61">IFERROR(VLOOKUP($B37,'LOD 300 - COLO1'!$B:AH,32,FALSE),"N/A")</f>
        <v>N/A</v>
      </c>
      <c r="AG37" s="1134" t="str">
        <f t="shared" ref="AG37:AG38" si="62">IFERROR(VLOOKUP($B37,'LOD 300 - COLO1'!$B:AK,35,FALSE),"N/A")</f>
        <v>N/A</v>
      </c>
      <c r="AH37" s="1122" t="str">
        <f t="shared" ref="AH37:AH38" si="63">IFERROR(VLOOKUP($B37,'LOD 300 - COLO1'!$B:AN,38,FALSE),"N/A")</f>
        <v>N/A</v>
      </c>
      <c r="AI37" s="1124" t="str">
        <f t="shared" ref="AI37:AI38" si="64">IFERROR(VLOOKUP($B37,'LOD 300 - COLO1'!$B:AQ,41,FALSE),"N/A")</f>
        <v>N/A</v>
      </c>
      <c r="AJ37" s="1124" t="str">
        <f t="shared" ref="AJ37:AJ38" si="65">IFERROR(VLOOKUP($B37,'LOD 300 - COLO1'!$B:AT,44,FALSE),"N/A")</f>
        <v>N/A</v>
      </c>
      <c r="AK37" s="1125" t="str">
        <f>IFERROR(__xludf.DUMMYFUNCTION("IF(
  OR(AJ37=""NOT PUBLISHED"", AJ37=""N/A""),
  AJ37,
  IFERROR(MAX(FILTER(Z37:AJ37, ISNUMBER(Z37:AJ37))),"""")
)"),"N/A")</f>
        <v>N/A</v>
      </c>
      <c r="AL37" s="72" t="str">
        <f t="shared" ref="AL37:AL38" si="66">IFERROR(VLOOKUP($B37,'LOD 300 - COLO2'!$B:P,14,FALSE),"N/A")</f>
        <v>N/A</v>
      </c>
      <c r="AM37" s="1134" t="str">
        <f t="shared" ref="AM37:AM38" si="67">IFERROR(VLOOKUP($B37,'LOD 300 - COLO2'!$B:S,17,FALSE),"N/A")</f>
        <v>N/A</v>
      </c>
      <c r="AN37" s="1134" t="str">
        <f t="shared" ref="AN37:AN38" si="68">IFERROR(VLOOKUP($B37,'LOD 300 - COLO2'!$B:V,20,FALSE),"N/A")</f>
        <v>N/A</v>
      </c>
      <c r="AO37" s="1134" t="str">
        <f t="shared" ref="AO37:AO38" si="69">IFERROR(VLOOKUP($B37,'LOD 300 - COLO2'!$B:Y,23,FALSE),"N/A")</f>
        <v>N/A</v>
      </c>
      <c r="AP37" s="1126" t="str">
        <f t="shared" ref="AP37:AP38" si="70">IFERROR(VLOOKUP($B37,'LOD 300 - COLO2'!$B:AB,26,FALSE),"N/A")</f>
        <v>N/A</v>
      </c>
      <c r="AQ37" s="1124" t="str">
        <f t="shared" ref="AQ37:AQ38" si="71">IFERROR(VLOOKUP($B37,'LOD 300 - COLO2'!$B:AE,29,FALSE),"N/A")</f>
        <v>N/A</v>
      </c>
      <c r="AR37" s="1124" t="str">
        <f t="shared" ref="AR37:AR38" si="72">IFERROR(VLOOKUP($B37,'LOD 300 - COLO2'!$B:AH,32,FALSE),"N/A")</f>
        <v>N/A</v>
      </c>
      <c r="AS37" s="1125" t="str">
        <f>IFERROR(__xludf.DUMMYFUNCTION("IF(
  OR(AR37=""NOT PUBLISHED"", AR37=""N/A""),
  AR37,
  IFERROR(MAX(FILTER(AL37:AR37, ISNUMBER(AL37:AR37))),"""")
)"),"N/A")</f>
        <v>N/A</v>
      </c>
      <c r="AT37" s="72" t="str">
        <f t="shared" ref="AT37:AT38" si="73">IFERROR(VLOOKUP($B37,'LOD 300 - SITE'!$B:P,14,FALSE),"N/A")</f>
        <v>N/A</v>
      </c>
      <c r="AU37" s="1134" t="str">
        <f t="shared" ref="AU37:AU38" si="74">IFERROR(VLOOKUP($B37,'LOD 300 - SITE'!$B:S,17,FALSE),"N/A")</f>
        <v>N/A</v>
      </c>
      <c r="AV37" s="1134" t="str">
        <f t="shared" ref="AV37:AV38" si="75">IFERROR(VLOOKUP($B37,'LOD 300 - SITE'!$B:V,20,FALSE),"N/A")</f>
        <v>N/A</v>
      </c>
      <c r="AW37" s="1134" t="str">
        <f t="shared" ref="AW37:AW38" si="76">IFERROR(VLOOKUP($B37,'LOD 300 - SITE'!$B:Y,23,FALSE),"N/A")</f>
        <v>N/A</v>
      </c>
      <c r="AX37" s="1134" t="str">
        <f t="shared" ref="AX37:AX38" si="77">IFERROR(VLOOKUP($B37,'LOD 300 - SITE'!$B:AB,26,FALSE),"N/A")</f>
        <v>N/A</v>
      </c>
      <c r="AY37" s="1135" t="str">
        <f t="shared" ref="AY37:AY38" si="78">IFERROR(VLOOKUP($B37,'LOD 300 - SITE'!$B:AE,29,FALSE),"N/A")</f>
        <v>N/A</v>
      </c>
      <c r="AZ37" s="1127" t="str">
        <f t="shared" ref="AZ37:AZ38" si="79">IFERROR(VLOOKUP($B37,'LOD 300 - SITE'!$B:AH,32,FALSE),"N/A")</f>
        <v>N/A</v>
      </c>
      <c r="BA37" s="1135" t="str">
        <f t="shared" ref="BA37:BA38" si="80">IFERROR(VLOOKUP($B37,'LOD 300 - SITE'!$B:AK,35,FALSE),"N/A")</f>
        <v>N/A</v>
      </c>
      <c r="BB37" s="1127" t="str">
        <f t="shared" ref="BB37:BB38" si="81">IFERROR(VLOOKUP($B37,'LOD 300 - SITE'!$B:AN,38,FALSE),"N/A")</f>
        <v>N/A</v>
      </c>
      <c r="BC37" s="1128" t="str">
        <f>IFERROR(__xludf.DUMMYFUNCTION("IF(
  OR(BB37=""NOT PUBLISHED"", BB37=""N/A""),
  BB37,
  IFERROR(MAX(FILTER(AT37:BB37, ISNUMBER(AT37:BB37))),"""")
)"),"N/A")</f>
        <v>N/A</v>
      </c>
      <c r="BD37" s="1129"/>
      <c r="BE37" s="1129"/>
      <c r="BF37" s="1129"/>
    </row>
    <row r="38" ht="15.0" customHeight="1" outlineLevel="1">
      <c r="A38" s="53">
        <v>35.0</v>
      </c>
      <c r="B38" s="100" t="s">
        <v>157</v>
      </c>
      <c r="C38" s="53">
        <v>35.0</v>
      </c>
      <c r="D38" s="1130" t="s">
        <v>7</v>
      </c>
      <c r="E38" s="101" t="s">
        <v>154</v>
      </c>
      <c r="F38" s="102">
        <v>1112.0</v>
      </c>
      <c r="G38" s="517" t="s">
        <v>155</v>
      </c>
      <c r="H38" s="517">
        <v>1129.0</v>
      </c>
      <c r="I38" s="821" t="str">
        <f>IFERROR(VLOOKUP(B35:B225,'RELATÓRIO ACC'!B:F,5,FALSE),"NOT PUBLISHED")</f>
        <v>NOT PUBLISHED</v>
      </c>
      <c r="J38" s="1119" t="str">
        <f>IFERROR(VLOOKUP(B35:B225,'RELATÓRIO ACC'!B:P,15,FALSE),"NOT PUBLISHED")</f>
        <v>NOT PUBLISHED</v>
      </c>
      <c r="K38" s="552" t="str">
        <f t="shared" si="42"/>
        <v>#REF!</v>
      </c>
      <c r="L38" s="552" t="str">
        <f t="shared" si="43"/>
        <v>#REF!</v>
      </c>
      <c r="M38" s="899" t="s">
        <v>461</v>
      </c>
      <c r="N38" s="1132" t="str">
        <f t="shared" si="44"/>
        <v>N/A</v>
      </c>
      <c r="O38" s="1133" t="str">
        <f t="shared" si="45"/>
        <v>N/A</v>
      </c>
      <c r="P38" s="1133" t="str">
        <f t="shared" si="46"/>
        <v>N/A</v>
      </c>
      <c r="Q38" s="1133" t="str">
        <f t="shared" si="47"/>
        <v>N/A</v>
      </c>
      <c r="R38" s="1133" t="str">
        <f t="shared" si="48"/>
        <v>N/A</v>
      </c>
      <c r="S38" s="1133" t="str">
        <f t="shared" si="49"/>
        <v>N/A</v>
      </c>
      <c r="T38" s="1133" t="str">
        <f t="shared" si="50"/>
        <v>N/A</v>
      </c>
      <c r="U38" s="1133" t="str">
        <f t="shared" si="51"/>
        <v>N/A</v>
      </c>
      <c r="V38" s="1122" t="str">
        <f t="shared" si="52"/>
        <v>N/A</v>
      </c>
      <c r="W38" s="1124" t="str">
        <f t="shared" si="53"/>
        <v>N/A</v>
      </c>
      <c r="X38" s="1124" t="str">
        <f t="shared" si="54"/>
        <v>N/A</v>
      </c>
      <c r="Y38" s="1125" t="str">
        <f>IFERROR(__xludf.DUMMYFUNCTION("IF(
  OR(X38=""NOT PUBLISHED"", X38=""N/A""),
  X38,
  IFERROR(MAX(FILTER(N38:X38, ISNUMBER(N38:X38))),"""")
)"),"N/A")</f>
        <v>N/A</v>
      </c>
      <c r="Z38" s="72" t="str">
        <f t="shared" si="55"/>
        <v>N/A</v>
      </c>
      <c r="AA38" s="1134" t="str">
        <f t="shared" si="56"/>
        <v>N/A</v>
      </c>
      <c r="AB38" s="1134" t="str">
        <f t="shared" si="57"/>
        <v>N/A</v>
      </c>
      <c r="AC38" s="1134" t="str">
        <f t="shared" si="58"/>
        <v>N/A</v>
      </c>
      <c r="AD38" s="1134" t="str">
        <f t="shared" si="59"/>
        <v>N/A</v>
      </c>
      <c r="AE38" s="1134" t="str">
        <f t="shared" si="60"/>
        <v>N/A</v>
      </c>
      <c r="AF38" s="1134" t="str">
        <f t="shared" si="61"/>
        <v>N/A</v>
      </c>
      <c r="AG38" s="1134" t="str">
        <f t="shared" si="62"/>
        <v>N/A</v>
      </c>
      <c r="AH38" s="1122" t="str">
        <f t="shared" si="63"/>
        <v>N/A</v>
      </c>
      <c r="AI38" s="1124" t="str">
        <f t="shared" si="64"/>
        <v>N/A</v>
      </c>
      <c r="AJ38" s="1124" t="str">
        <f t="shared" si="65"/>
        <v>N/A</v>
      </c>
      <c r="AK38" s="1125" t="str">
        <f>IFERROR(__xludf.DUMMYFUNCTION("IF(
  OR(AJ38=""NOT PUBLISHED"", AJ38=""N/A""),
  AJ38,
  IFERROR(MAX(FILTER(Z38:AJ38, ISNUMBER(Z38:AJ38))),"""")
)"),"N/A")</f>
        <v>N/A</v>
      </c>
      <c r="AL38" s="72" t="str">
        <f t="shared" si="66"/>
        <v>N/A</v>
      </c>
      <c r="AM38" s="1134" t="str">
        <f t="shared" si="67"/>
        <v>N/A</v>
      </c>
      <c r="AN38" s="1134" t="str">
        <f t="shared" si="68"/>
        <v>N/A</v>
      </c>
      <c r="AO38" s="1134" t="str">
        <f t="shared" si="69"/>
        <v>N/A</v>
      </c>
      <c r="AP38" s="1126" t="str">
        <f t="shared" si="70"/>
        <v>N/A</v>
      </c>
      <c r="AQ38" s="1124" t="str">
        <f t="shared" si="71"/>
        <v>N/A</v>
      </c>
      <c r="AR38" s="1124" t="str">
        <f t="shared" si="72"/>
        <v>N/A</v>
      </c>
      <c r="AS38" s="1125" t="str">
        <f>IFERROR(__xludf.DUMMYFUNCTION("IF(
  OR(AR38=""NOT PUBLISHED"", AR38=""N/A""),
  AR38,
  IFERROR(MAX(FILTER(AL38:AR38, ISNUMBER(AL38:AR38))),"""")
)"),"N/A")</f>
        <v>N/A</v>
      </c>
      <c r="AT38" s="72" t="str">
        <f t="shared" si="73"/>
        <v>N/A</v>
      </c>
      <c r="AU38" s="1134" t="str">
        <f t="shared" si="74"/>
        <v>N/A</v>
      </c>
      <c r="AV38" s="1134" t="str">
        <f t="shared" si="75"/>
        <v>N/A</v>
      </c>
      <c r="AW38" s="1134" t="str">
        <f t="shared" si="76"/>
        <v>N/A</v>
      </c>
      <c r="AX38" s="1134" t="str">
        <f t="shared" si="77"/>
        <v>N/A</v>
      </c>
      <c r="AY38" s="1135" t="str">
        <f t="shared" si="78"/>
        <v>N/A</v>
      </c>
      <c r="AZ38" s="1127" t="str">
        <f t="shared" si="79"/>
        <v>N/A</v>
      </c>
      <c r="BA38" s="1135" t="str">
        <f t="shared" si="80"/>
        <v>N/A</v>
      </c>
      <c r="BB38" s="1127" t="str">
        <f t="shared" si="81"/>
        <v>N/A</v>
      </c>
      <c r="BC38" s="1128" t="str">
        <f>IFERROR(__xludf.DUMMYFUNCTION("IF(
  OR(BB38=""NOT PUBLISHED"", BB38=""N/A""),
  BB38,
  IFERROR(MAX(FILTER(AT38:BB38, ISNUMBER(AT38:BB38))),"""")
)"),"N/A")</f>
        <v>N/A</v>
      </c>
      <c r="BD38" s="1138"/>
      <c r="BE38" s="1138"/>
      <c r="BF38" s="1138"/>
    </row>
    <row r="39" ht="15.0" customHeight="1">
      <c r="A39" s="53">
        <v>36.0</v>
      </c>
      <c r="B39" s="146" t="s">
        <v>158</v>
      </c>
      <c r="C39" s="53">
        <v>36.0</v>
      </c>
      <c r="D39" s="148"/>
      <c r="E39" s="148"/>
      <c r="F39" s="148"/>
      <c r="G39" s="148"/>
      <c r="H39" s="150"/>
      <c r="I39" s="151"/>
      <c r="J39" s="581"/>
      <c r="K39" s="148"/>
      <c r="L39" s="148"/>
      <c r="M39" s="151"/>
      <c r="N39" s="1150"/>
      <c r="O39" s="1151"/>
      <c r="P39" s="1152"/>
      <c r="Q39" s="1153"/>
      <c r="R39" s="1154"/>
      <c r="S39" s="1154"/>
      <c r="T39" s="1154"/>
      <c r="U39" s="1154"/>
      <c r="V39" s="1154"/>
      <c r="W39" s="1155"/>
      <c r="X39" s="1155"/>
      <c r="Y39" s="1155"/>
      <c r="Z39" s="1156"/>
      <c r="AA39" s="1157"/>
      <c r="AB39" s="1157"/>
      <c r="AC39" s="1158"/>
      <c r="AD39" s="1159"/>
      <c r="AE39" s="1159"/>
      <c r="AF39" s="1159"/>
      <c r="AG39" s="1159"/>
      <c r="AH39" s="1154"/>
      <c r="AI39" s="1155"/>
      <c r="AJ39" s="1155"/>
      <c r="AK39" s="1155"/>
      <c r="AL39" s="1155"/>
      <c r="AM39" s="1159"/>
      <c r="AN39" s="1159"/>
      <c r="AO39" s="1159"/>
      <c r="AP39" s="1154"/>
      <c r="AQ39" s="1155"/>
      <c r="AR39" s="1155"/>
      <c r="AS39" s="1155"/>
      <c r="AT39" s="1155"/>
      <c r="AU39" s="1155"/>
      <c r="AV39" s="1155"/>
      <c r="AW39" s="1155"/>
      <c r="AX39" s="1155"/>
      <c r="AY39" s="1155"/>
      <c r="AZ39" s="1155"/>
      <c r="BA39" s="1155"/>
      <c r="BB39" s="1155"/>
      <c r="BC39" s="1155"/>
      <c r="BD39" s="1160"/>
      <c r="BE39" s="1160"/>
      <c r="BF39" s="1160"/>
    </row>
    <row r="40" ht="15.0" customHeight="1" outlineLevel="1">
      <c r="A40" s="53">
        <v>37.0</v>
      </c>
      <c r="B40" s="100" t="s">
        <v>160</v>
      </c>
      <c r="C40" s="53">
        <v>37.0</v>
      </c>
      <c r="D40" s="1130" t="s">
        <v>1756</v>
      </c>
      <c r="E40" s="101" t="s">
        <v>161</v>
      </c>
      <c r="F40" s="102">
        <v>1113.0</v>
      </c>
      <c r="G40" s="517" t="s">
        <v>161</v>
      </c>
      <c r="H40" s="517">
        <v>1113.0</v>
      </c>
      <c r="I40" s="821" t="str">
        <f>IFERROR(VLOOKUP(B37:B227,'RELATÓRIO ACC'!B:F,5,FALSE),"NOT PUBLISHED")</f>
        <v>NOT PUBLISHED</v>
      </c>
      <c r="J40" s="1119" t="str">
        <f>IFERROR(VLOOKUP(B37:B227,'RELATÓRIO ACC'!B:P,15,FALSE),"NOT PUBLISHED")</f>
        <v>NOT PUBLISHED</v>
      </c>
      <c r="K40" s="552" t="str">
        <f>IF(OR($D40="UTLS",$D40="GUAR",$D40="STIR",$D40="PUMP",$D40="SITE"),
   VLOOKUP($B40,'LOD 300 - SITE'!C:K,9,FALSE),
   VLOOKUP($B40,'LOD 300 - ADMN'!C:K,9,FALSE)
)</f>
        <v>#REF!</v>
      </c>
      <c r="L40" s="552" t="str">
        <f>IF(OR($D40="UTLS",$D40="GUAR",$D40="STIR",$D40="PUMP",$D40="SITE"),
   VLOOKUP($B40,'LOD 300 - SITE'!C:L,10,FALSE),
   VLOOKUP($B40,'LOD 300 - ADMN'!C:Q,10,FALSE)
)</f>
        <v>#REF!</v>
      </c>
      <c r="M40" s="899" t="s">
        <v>461</v>
      </c>
      <c r="N40" s="1132" t="str">
        <f>IFERROR(VLOOKUP($B40,'LOD 300 - ADMN'!$B:P,14,FALSE),"N/A")</f>
        <v>N/A</v>
      </c>
      <c r="O40" s="1133" t="str">
        <f>IFERROR(VLOOKUP($B40,'LOD 300 - ADMN'!$B:S,17,FALSE),"N/A")</f>
        <v>N/A</v>
      </c>
      <c r="P40" s="1133" t="str">
        <f>IFERROR(VLOOKUP($B40,'LOD 300 - ADMN'!$B:V,20,FALSE),"N/A")</f>
        <v>N/A</v>
      </c>
      <c r="Q40" s="1133" t="str">
        <f>IFERROR(VLOOKUP($B40,'LOD 300 - ADMN'!$B:Y,23,FALSE),"N/A")</f>
        <v>N/A</v>
      </c>
      <c r="R40" s="1133" t="str">
        <f>IFERROR(VLOOKUP($B40,'LOD 300 - ADMN'!$B:AB,26,FALSE),"N/A")</f>
        <v>N/A</v>
      </c>
      <c r="S40" s="1133" t="str">
        <f>IFERROR(VLOOKUP($B40,'LOD 300 - ADMN'!$B:AE,29,FALSE),"N/A")</f>
        <v>N/A</v>
      </c>
      <c r="T40" s="1133" t="str">
        <f>IFERROR(VLOOKUP($B40,'LOD 300 - ADMN'!$B:AH,32,FALSE),"N/A")</f>
        <v>N/A</v>
      </c>
      <c r="U40" s="1133" t="str">
        <f>IFERROR(VLOOKUP($B40,'LOD 300 - ADMN'!$B:AK,35,FALSE),"N/A")</f>
        <v>N/A</v>
      </c>
      <c r="V40" s="1122" t="str">
        <f>IFERROR(VLOOKUP($B40,'LOD 300 - ADMN'!$B:AN,38,FALSE),"N/A")</f>
        <v>N/A</v>
      </c>
      <c r="W40" s="1124" t="str">
        <f>IFERROR(VLOOKUP($B40,'LOD 300 - ADMN'!$B:AQ,41,FALSE),"N/A")</f>
        <v>N/A</v>
      </c>
      <c r="X40" s="1124" t="str">
        <f>IFERROR(VLOOKUP($B40,'LOD 300 - ADMN'!$B:AT,44,FALSE),"N/A")</f>
        <v>N/A</v>
      </c>
      <c r="Y40" s="1125" t="str">
        <f>IFERROR(__xludf.DUMMYFUNCTION("IF(
  OR(X40=""NOT PUBLISHED"", X40=""N/A""),
  X40,
  IFERROR(MAX(FILTER(N40:X40, ISNUMBER(N40:X40))),"""")
)"),"N/A")</f>
        <v>N/A</v>
      </c>
      <c r="Z40" s="72" t="str">
        <f>IFERROR(VLOOKUP($B40,'LOD 300 - COLO1'!$B:P,14,FALSE),"N/A")</f>
        <v>N/A</v>
      </c>
      <c r="AA40" s="1134" t="str">
        <f>IFERROR(VLOOKUP($B40,'LOD 300 - COLO1'!$B:S,17,FALSE),"N/A")</f>
        <v>N/A</v>
      </c>
      <c r="AB40" s="1134" t="str">
        <f>IFERROR(VLOOKUP($B40,'LOD 300 - COLO1'!$B:V,20,FALSE),"N/A")</f>
        <v>N/A</v>
      </c>
      <c r="AC40" s="1134" t="str">
        <f>IFERROR(VLOOKUP($B40,'LOD 300 - COLO1'!$B:Y,23,FALSE),"N/A")</f>
        <v>N/A</v>
      </c>
      <c r="AD40" s="1134" t="str">
        <f>IFERROR(VLOOKUP($B40,'LOD 300 - COLO1'!$B:AB,26,FALSE),"N/A")</f>
        <v>N/A</v>
      </c>
      <c r="AE40" s="1134" t="str">
        <f>IFERROR(VLOOKUP($B40,'LOD 300 - COLO1'!$B:AE,29,FALSE),"N/A")</f>
        <v>N/A</v>
      </c>
      <c r="AF40" s="1134" t="str">
        <f>IFERROR(VLOOKUP($B40,'LOD 300 - COLO1'!$B:AH,32,FALSE),"N/A")</f>
        <v>N/A</v>
      </c>
      <c r="AG40" s="1134" t="str">
        <f>IFERROR(VLOOKUP($B40,'LOD 300 - COLO1'!$B:AK,35,FALSE),"N/A")</f>
        <v>N/A</v>
      </c>
      <c r="AH40" s="1122" t="str">
        <f>IFERROR(VLOOKUP($B40,'LOD 300 - COLO1'!$B:AN,38,FALSE),"N/A")</f>
        <v>N/A</v>
      </c>
      <c r="AI40" s="1124" t="str">
        <f>IFERROR(VLOOKUP($B40,'LOD 300 - COLO1'!$B:AQ,41,FALSE),"N/A")</f>
        <v>N/A</v>
      </c>
      <c r="AJ40" s="1124" t="str">
        <f>IFERROR(VLOOKUP($B40,'LOD 300 - COLO1'!$B:AT,44,FALSE),"N/A")</f>
        <v>N/A</v>
      </c>
      <c r="AK40" s="1125" t="str">
        <f>IFERROR(__xludf.DUMMYFUNCTION("IF(
  OR(AJ40=""NOT PUBLISHED"", AJ40=""N/A""),
  AJ40,
  IFERROR(MAX(FILTER(Z40:AJ40, ISNUMBER(Z40:AJ40))),"""")
)"),"N/A")</f>
        <v>N/A</v>
      </c>
      <c r="AL40" s="72" t="str">
        <f>IFERROR(VLOOKUP($B40,'LOD 300 - COLO2'!$B:P,14,FALSE),"N/A")</f>
        <v>N/A</v>
      </c>
      <c r="AM40" s="1134" t="str">
        <f>IFERROR(VLOOKUP($B40,'LOD 300 - COLO2'!$B:S,17,FALSE),"N/A")</f>
        <v>N/A</v>
      </c>
      <c r="AN40" s="1134" t="str">
        <f>IFERROR(VLOOKUP($B40,'LOD 300 - COLO2'!$B:V,20,FALSE),"N/A")</f>
        <v>N/A</v>
      </c>
      <c r="AO40" s="1134" t="str">
        <f>IFERROR(VLOOKUP($B40,'LOD 300 - COLO2'!$B:Y,23,FALSE),"N/A")</f>
        <v>N/A</v>
      </c>
      <c r="AP40" s="1126" t="str">
        <f>IFERROR(VLOOKUP($B40,'LOD 300 - COLO2'!$B:AB,26,FALSE),"N/A")</f>
        <v>N/A</v>
      </c>
      <c r="AQ40" s="1124" t="str">
        <f>IFERROR(VLOOKUP($B40,'LOD 300 - COLO2'!$B:AE,29,FALSE),"N/A")</f>
        <v>N/A</v>
      </c>
      <c r="AR40" s="1124" t="str">
        <f>IFERROR(VLOOKUP($B40,'LOD 300 - COLO2'!$B:AH,32,FALSE),"N/A")</f>
        <v>N/A</v>
      </c>
      <c r="AS40" s="1125" t="str">
        <f>IFERROR(__xludf.DUMMYFUNCTION("IF(
  OR(AR40=""NOT PUBLISHED"", AR40=""N/A""),
  AR40,
  IFERROR(MAX(FILTER(AL40:AR40, ISNUMBER(AL40:AR40))),"""")
)"),"N/A")</f>
        <v>N/A</v>
      </c>
      <c r="AT40" s="72" t="str">
        <f>IFERROR(VLOOKUP($B40,'LOD 300 - SITE'!$B:P,14,FALSE),"N/A")</f>
        <v>N/A</v>
      </c>
      <c r="AU40" s="1134" t="str">
        <f>IFERROR(VLOOKUP($B40,'LOD 300 - SITE'!$B:S,17,FALSE),"N/A")</f>
        <v>N/A</v>
      </c>
      <c r="AV40" s="1134" t="str">
        <f>IFERROR(VLOOKUP($B40,'LOD 300 - SITE'!$B:V,20,FALSE),"N/A")</f>
        <v>N/A</v>
      </c>
      <c r="AW40" s="1134" t="str">
        <f>IFERROR(VLOOKUP($B40,'LOD 300 - SITE'!$B:Y,23,FALSE),"N/A")</f>
        <v>N/A</v>
      </c>
      <c r="AX40" s="1134" t="str">
        <f>IFERROR(VLOOKUP($B40,'LOD 300 - SITE'!$B:AB,26,FALSE),"N/A")</f>
        <v>N/A</v>
      </c>
      <c r="AY40" s="1135" t="str">
        <f>IFERROR(VLOOKUP($B40,'LOD 300 - SITE'!$B:AE,29,FALSE),"N/A")</f>
        <v>N/A</v>
      </c>
      <c r="AZ40" s="1127" t="str">
        <f>IFERROR(VLOOKUP($B40,'LOD 300 - SITE'!$B:AH,32,FALSE),"N/A")</f>
        <v>N/A</v>
      </c>
      <c r="BA40" s="1135" t="str">
        <f>IFERROR(VLOOKUP($B40,'LOD 300 - SITE'!$B:AK,35,FALSE),"N/A")</f>
        <v>N/A</v>
      </c>
      <c r="BB40" s="1127" t="str">
        <f>IFERROR(VLOOKUP($B40,'LOD 300 - SITE'!$B:AN,38,FALSE),"N/A")</f>
        <v>N/A</v>
      </c>
      <c r="BC40" s="1128" t="str">
        <f>IFERROR(__xludf.DUMMYFUNCTION("IF(
  OR(BB40=""NOT PUBLISHED"", BB40=""N/A""),
  BB40,
  IFERROR(MAX(FILTER(AT40:BB40, ISNUMBER(AT40:BB40))),"""")
)"),"N/A")</f>
        <v>N/A</v>
      </c>
      <c r="BD40" s="1129"/>
      <c r="BE40" s="1129"/>
      <c r="BF40" s="1129"/>
    </row>
    <row r="41" ht="13.5" customHeight="1">
      <c r="A41" s="53">
        <v>38.0</v>
      </c>
      <c r="B41" s="146" t="s">
        <v>162</v>
      </c>
      <c r="C41" s="53">
        <v>38.0</v>
      </c>
      <c r="D41" s="148"/>
      <c r="E41" s="148"/>
      <c r="F41" s="148"/>
      <c r="G41" s="148"/>
      <c r="H41" s="150"/>
      <c r="I41" s="151"/>
      <c r="J41" s="581"/>
      <c r="K41" s="148"/>
      <c r="L41" s="148"/>
      <c r="M41" s="151"/>
      <c r="N41" s="1150"/>
      <c r="O41" s="1151"/>
      <c r="P41" s="1161"/>
      <c r="Q41" s="1153"/>
      <c r="R41" s="1154"/>
      <c r="S41" s="1154"/>
      <c r="T41" s="1154"/>
      <c r="U41" s="1154"/>
      <c r="V41" s="1154"/>
      <c r="W41" s="1155"/>
      <c r="X41" s="1155"/>
      <c r="Y41" s="1155"/>
      <c r="Z41" s="1156"/>
      <c r="AA41" s="1157"/>
      <c r="AB41" s="1157"/>
      <c r="AC41" s="1158"/>
      <c r="AD41" s="1159"/>
      <c r="AE41" s="1159"/>
      <c r="AF41" s="1159"/>
      <c r="AG41" s="1159"/>
      <c r="AH41" s="1154"/>
      <c r="AI41" s="1155"/>
      <c r="AJ41" s="1155"/>
      <c r="AK41" s="1155"/>
      <c r="AL41" s="1155"/>
      <c r="AM41" s="1159"/>
      <c r="AN41" s="1159"/>
      <c r="AO41" s="1159"/>
      <c r="AP41" s="1154"/>
      <c r="AQ41" s="1155"/>
      <c r="AR41" s="1155"/>
      <c r="AS41" s="1155"/>
      <c r="AT41" s="1155"/>
      <c r="AU41" s="1155"/>
      <c r="AV41" s="1155"/>
      <c r="AW41" s="1155"/>
      <c r="AX41" s="1155"/>
      <c r="AY41" s="1155"/>
      <c r="AZ41" s="1155"/>
      <c r="BA41" s="1155"/>
      <c r="BB41" s="1155"/>
      <c r="BC41" s="1155"/>
      <c r="BD41" s="1149"/>
      <c r="BE41" s="1149"/>
      <c r="BF41" s="1149"/>
    </row>
    <row r="42" ht="15.0" customHeight="1" outlineLevel="1">
      <c r="A42" s="53">
        <v>39.0</v>
      </c>
      <c r="B42" s="100" t="s">
        <v>164</v>
      </c>
      <c r="C42" s="53">
        <v>39.0</v>
      </c>
      <c r="D42" s="1130" t="s">
        <v>1756</v>
      </c>
      <c r="E42" s="101" t="s">
        <v>165</v>
      </c>
      <c r="F42" s="102">
        <v>1114.0</v>
      </c>
      <c r="G42" s="517" t="s">
        <v>165</v>
      </c>
      <c r="H42" s="517">
        <v>1114.0</v>
      </c>
      <c r="I42" s="821" t="str">
        <f>IFERROR(VLOOKUP(B39:B229,'RELATÓRIO ACC'!B:F,5,FALSE),"NOT PUBLISHED")</f>
        <v>NOT PUBLISHED</v>
      </c>
      <c r="J42" s="1119" t="str">
        <f>IFERROR(VLOOKUP(B39:B229,'RELATÓRIO ACC'!B:P,15,FALSE),"NOT PUBLISHED")</f>
        <v>NOT PUBLISHED</v>
      </c>
      <c r="K42" s="552" t="str">
        <f t="shared" ref="K42:K43" si="82">IF(OR($D42="UTLS",$D42="GUAR",$D42="STIR",$D42="PUMP",$D42="SITE"),
   VLOOKUP($B42,'LOD 300 - SITE'!C:K,9,FALSE),
   VLOOKUP($B42,'LOD 300 - ADMN'!C:K,9,FALSE)
)</f>
        <v>#REF!</v>
      </c>
      <c r="L42" s="552" t="str">
        <f t="shared" ref="L42:L43" si="83">IF(OR($D42="UTLS",$D42="GUAR",$D42="STIR",$D42="PUMP",$D42="SITE"),
   VLOOKUP($B42,'LOD 300 - SITE'!C:L,10,FALSE),
   VLOOKUP($B42,'LOD 300 - ADMN'!C:Q,10,FALSE)
)</f>
        <v>#REF!</v>
      </c>
      <c r="M42" s="899" t="s">
        <v>1758</v>
      </c>
      <c r="N42" s="1132" t="str">
        <f t="shared" ref="N42:N43" si="84">IFERROR(VLOOKUP($B42,'LOD 300 - ADMN'!$B:P,14,FALSE),"N/A")</f>
        <v>N/A</v>
      </c>
      <c r="O42" s="1133" t="str">
        <f t="shared" ref="O42:O43" si="85">IFERROR(VLOOKUP($B42,'LOD 300 - ADMN'!$B:S,17,FALSE),"N/A")</f>
        <v>N/A</v>
      </c>
      <c r="P42" s="1133" t="str">
        <f t="shared" ref="P42:P43" si="86">IFERROR(VLOOKUP($B42,'LOD 300 - ADMN'!$B:V,20,FALSE),"N/A")</f>
        <v>N/A</v>
      </c>
      <c r="Q42" s="1133" t="str">
        <f t="shared" ref="Q42:Q43" si="87">IFERROR(VLOOKUP($B42,'LOD 300 - ADMN'!$B:Y,23,FALSE),"N/A")</f>
        <v>N/A</v>
      </c>
      <c r="R42" s="1133" t="str">
        <f t="shared" ref="R42:R43" si="88">IFERROR(VLOOKUP($B42,'LOD 300 - ADMN'!$B:AB,26,FALSE),"N/A")</f>
        <v>N/A</v>
      </c>
      <c r="S42" s="1133" t="str">
        <f t="shared" ref="S42:S43" si="89">IFERROR(VLOOKUP($B42,'LOD 300 - ADMN'!$B:AE,29,FALSE),"N/A")</f>
        <v>N/A</v>
      </c>
      <c r="T42" s="1133" t="str">
        <f t="shared" ref="T42:T43" si="90">IFERROR(VLOOKUP($B42,'LOD 300 - ADMN'!$B:AH,32,FALSE),"N/A")</f>
        <v>N/A</v>
      </c>
      <c r="U42" s="1133" t="str">
        <f t="shared" ref="U42:U43" si="91">IFERROR(VLOOKUP($B42,'LOD 300 - ADMN'!$B:AK,35,FALSE),"N/A")</f>
        <v>N/A</v>
      </c>
      <c r="V42" s="1122" t="str">
        <f t="shared" ref="V42:V43" si="92">IFERROR(VLOOKUP($B42,'LOD 300 - ADMN'!$B:AN,38,FALSE),"N/A")</f>
        <v>N/A</v>
      </c>
      <c r="W42" s="1124" t="str">
        <f t="shared" ref="W42:W43" si="93">IFERROR(VLOOKUP($B42,'LOD 300 - ADMN'!$B:AQ,41,FALSE),"N/A")</f>
        <v>N/A</v>
      </c>
      <c r="X42" s="1124" t="str">
        <f t="shared" ref="X42:X43" si="94">IFERROR(VLOOKUP($B42,'LOD 300 - ADMN'!$B:AT,44,FALSE),"N/A")</f>
        <v>N/A</v>
      </c>
      <c r="Y42" s="1125" t="str">
        <f>IFERROR(__xludf.DUMMYFUNCTION("IF(
  OR(X42=""NOT PUBLISHED"", X42=""N/A""),
  X42,
  IFERROR(MAX(FILTER(N42:X42, ISNUMBER(N42:X42))),"""")
)"),"N/A")</f>
        <v>N/A</v>
      </c>
      <c r="Z42" s="72" t="str">
        <f t="shared" ref="Z42:Z43" si="95">IFERROR(VLOOKUP($B42,'LOD 300 - COLO1'!$B:P,14,FALSE),"N/A")</f>
        <v>N/A</v>
      </c>
      <c r="AA42" s="1134" t="str">
        <f t="shared" ref="AA42:AA43" si="96">IFERROR(VLOOKUP($B42,'LOD 300 - COLO1'!$B:S,17,FALSE),"N/A")</f>
        <v>N/A</v>
      </c>
      <c r="AB42" s="1134" t="str">
        <f t="shared" ref="AB42:AB43" si="97">IFERROR(VLOOKUP($B42,'LOD 300 - COLO1'!$B:V,20,FALSE),"N/A")</f>
        <v>N/A</v>
      </c>
      <c r="AC42" s="1134" t="str">
        <f t="shared" ref="AC42:AC43" si="98">IFERROR(VLOOKUP($B42,'LOD 300 - COLO1'!$B:Y,23,FALSE),"N/A")</f>
        <v>N/A</v>
      </c>
      <c r="AD42" s="1134" t="str">
        <f t="shared" ref="AD42:AD43" si="99">IFERROR(VLOOKUP($B42,'LOD 300 - COLO1'!$B:AB,26,FALSE),"N/A")</f>
        <v>N/A</v>
      </c>
      <c r="AE42" s="1134" t="str">
        <f t="shared" ref="AE42:AE43" si="100">IFERROR(VLOOKUP($B42,'LOD 300 - COLO1'!$B:AE,29,FALSE),"N/A")</f>
        <v>N/A</v>
      </c>
      <c r="AF42" s="1134" t="str">
        <f t="shared" ref="AF42:AF43" si="101">IFERROR(VLOOKUP($B42,'LOD 300 - COLO1'!$B:AH,32,FALSE),"N/A")</f>
        <v>N/A</v>
      </c>
      <c r="AG42" s="1134" t="str">
        <f t="shared" ref="AG42:AG43" si="102">IFERROR(VLOOKUP($B42,'LOD 300 - COLO1'!$B:AK,35,FALSE),"N/A")</f>
        <v>N/A</v>
      </c>
      <c r="AH42" s="1122" t="str">
        <f t="shared" ref="AH42:AH43" si="103">IFERROR(VLOOKUP($B42,'LOD 300 - COLO1'!$B:AN,38,FALSE),"N/A")</f>
        <v>N/A</v>
      </c>
      <c r="AI42" s="1124" t="str">
        <f t="shared" ref="AI42:AI43" si="104">IFERROR(VLOOKUP($B42,'LOD 300 - COLO1'!$B:AQ,41,FALSE),"N/A")</f>
        <v>N/A</v>
      </c>
      <c r="AJ42" s="1124" t="str">
        <f t="shared" ref="AJ42:AJ43" si="105">IFERROR(VLOOKUP($B42,'LOD 300 - COLO1'!$B:AT,44,FALSE),"N/A")</f>
        <v>N/A</v>
      </c>
      <c r="AK42" s="1125" t="str">
        <f>IFERROR(__xludf.DUMMYFUNCTION("IF(
  OR(AJ42=""NOT PUBLISHED"", AJ42=""N/A""),
  AJ42,
  IFERROR(MAX(FILTER(Z42:AJ42, ISNUMBER(Z42:AJ42))),"""")
)"),"N/A")</f>
        <v>N/A</v>
      </c>
      <c r="AL42" s="72" t="str">
        <f t="shared" ref="AL42:AL43" si="106">IFERROR(VLOOKUP($B42,'LOD 300 - COLO2'!$B:P,14,FALSE),"N/A")</f>
        <v>N/A</v>
      </c>
      <c r="AM42" s="1134" t="str">
        <f t="shared" ref="AM42:AM43" si="107">IFERROR(VLOOKUP($B42,'LOD 300 - COLO2'!$B:S,17,FALSE),"N/A")</f>
        <v>N/A</v>
      </c>
      <c r="AN42" s="1134" t="str">
        <f t="shared" ref="AN42:AN43" si="108">IFERROR(VLOOKUP($B42,'LOD 300 - COLO2'!$B:V,20,FALSE),"N/A")</f>
        <v>N/A</v>
      </c>
      <c r="AO42" s="1134" t="str">
        <f t="shared" ref="AO42:AO43" si="109">IFERROR(VLOOKUP($B42,'LOD 300 - COLO2'!$B:Y,23,FALSE),"N/A")</f>
        <v>N/A</v>
      </c>
      <c r="AP42" s="1126" t="str">
        <f t="shared" ref="AP42:AP43" si="110">IFERROR(VLOOKUP($B42,'LOD 300 - COLO2'!$B:AB,26,FALSE),"N/A")</f>
        <v>N/A</v>
      </c>
      <c r="AQ42" s="1124" t="str">
        <f t="shared" ref="AQ42:AQ43" si="111">IFERROR(VLOOKUP($B42,'LOD 300 - COLO2'!$B:AE,29,FALSE),"N/A")</f>
        <v>N/A</v>
      </c>
      <c r="AR42" s="1124" t="str">
        <f t="shared" ref="AR42:AR43" si="112">IFERROR(VLOOKUP($B42,'LOD 300 - COLO2'!$B:AH,32,FALSE),"N/A")</f>
        <v>N/A</v>
      </c>
      <c r="AS42" s="1125" t="str">
        <f>IFERROR(__xludf.DUMMYFUNCTION("IF(
  OR(AR42=""NOT PUBLISHED"", AR42=""N/A""),
  AR42,
  IFERROR(MAX(FILTER(AL42:AR42, ISNUMBER(AL42:AR42))),"""")
)"),"N/A")</f>
        <v>N/A</v>
      </c>
      <c r="AT42" s="72" t="str">
        <f t="shared" ref="AT42:AT43" si="113">IFERROR(VLOOKUP($B42,'LOD 300 - SITE'!$B:P,14,FALSE),"N/A")</f>
        <v>N/A</v>
      </c>
      <c r="AU42" s="1134" t="str">
        <f t="shared" ref="AU42:AU43" si="114">IFERROR(VLOOKUP($B42,'LOD 300 - SITE'!$B:S,17,FALSE),"N/A")</f>
        <v>N/A</v>
      </c>
      <c r="AV42" s="1134" t="str">
        <f t="shared" ref="AV42:AV43" si="115">IFERROR(VLOOKUP($B42,'LOD 300 - SITE'!$B:V,20,FALSE),"N/A")</f>
        <v>N/A</v>
      </c>
      <c r="AW42" s="1134" t="str">
        <f t="shared" ref="AW42:AW43" si="116">IFERROR(VLOOKUP($B42,'LOD 300 - SITE'!$B:Y,23,FALSE),"N/A")</f>
        <v>N/A</v>
      </c>
      <c r="AX42" s="1134" t="str">
        <f t="shared" ref="AX42:AX43" si="117">IFERROR(VLOOKUP($B42,'LOD 300 - SITE'!$B:AB,26,FALSE),"N/A")</f>
        <v>N/A</v>
      </c>
      <c r="AY42" s="1135" t="str">
        <f t="shared" ref="AY42:AY43" si="118">IFERROR(VLOOKUP($B42,'LOD 300 - SITE'!$B:AE,29,FALSE),"N/A")</f>
        <v>N/A</v>
      </c>
      <c r="AZ42" s="1127" t="str">
        <f t="shared" ref="AZ42:AZ43" si="119">IFERROR(VLOOKUP($B42,'LOD 300 - SITE'!$B:AH,32,FALSE),"N/A")</f>
        <v>N/A</v>
      </c>
      <c r="BA42" s="1135" t="str">
        <f t="shared" ref="BA42:BA43" si="120">IFERROR(VLOOKUP($B42,'LOD 300 - SITE'!$B:AK,35,FALSE),"N/A")</f>
        <v>N/A</v>
      </c>
      <c r="BB42" s="1127" t="str">
        <f t="shared" ref="BB42:BB43" si="121">IFERROR(VLOOKUP($B42,'LOD 300 - SITE'!$B:AN,38,FALSE),"N/A")</f>
        <v>N/A</v>
      </c>
      <c r="BC42" s="1128" t="str">
        <f>IFERROR(__xludf.DUMMYFUNCTION("IF(
  OR(BB42=""NOT PUBLISHED"", BB42=""N/A""),
  BB42,
  IFERROR(MAX(FILTER(AT42:BB42, ISNUMBER(AT42:BB42))),"""")
)"),"N/A")</f>
        <v>N/A</v>
      </c>
      <c r="BD42" s="1129"/>
      <c r="BE42" s="1129"/>
      <c r="BF42" s="1129"/>
    </row>
    <row r="43" ht="15.0" customHeight="1" outlineLevel="1">
      <c r="A43" s="53">
        <v>40.0</v>
      </c>
      <c r="B43" s="100" t="s">
        <v>167</v>
      </c>
      <c r="C43" s="53">
        <v>40.0</v>
      </c>
      <c r="D43" s="1130" t="s">
        <v>7</v>
      </c>
      <c r="E43" s="101" t="s">
        <v>165</v>
      </c>
      <c r="F43" s="102">
        <v>1114.0</v>
      </c>
      <c r="G43" s="517" t="s">
        <v>165</v>
      </c>
      <c r="H43" s="517">
        <v>1114.0</v>
      </c>
      <c r="I43" s="821" t="str">
        <f>IFERROR(VLOOKUP(B40:B230,'RELATÓRIO ACC'!B:F,5,FALSE),"NOT PUBLISHED")</f>
        <v>NOT PUBLISHED</v>
      </c>
      <c r="J43" s="1119" t="str">
        <f>IFERROR(VLOOKUP(B40:B230,'RELATÓRIO ACC'!B:P,15,FALSE),"NOT PUBLISHED")</f>
        <v>NOT PUBLISHED</v>
      </c>
      <c r="K43" s="552" t="str">
        <f t="shared" si="82"/>
        <v>#REF!</v>
      </c>
      <c r="L43" s="552" t="str">
        <f t="shared" si="83"/>
        <v>#REF!</v>
      </c>
      <c r="M43" s="899" t="s">
        <v>1757</v>
      </c>
      <c r="N43" s="1132" t="str">
        <f t="shared" si="84"/>
        <v>N/A</v>
      </c>
      <c r="O43" s="1133" t="str">
        <f t="shared" si="85"/>
        <v>N/A</v>
      </c>
      <c r="P43" s="1133" t="str">
        <f t="shared" si="86"/>
        <v>N/A</v>
      </c>
      <c r="Q43" s="1133" t="str">
        <f t="shared" si="87"/>
        <v>N/A</v>
      </c>
      <c r="R43" s="1133" t="str">
        <f t="shared" si="88"/>
        <v>N/A</v>
      </c>
      <c r="S43" s="1133" t="str">
        <f t="shared" si="89"/>
        <v>N/A</v>
      </c>
      <c r="T43" s="1133" t="str">
        <f t="shared" si="90"/>
        <v>N/A</v>
      </c>
      <c r="U43" s="1133" t="str">
        <f t="shared" si="91"/>
        <v>N/A</v>
      </c>
      <c r="V43" s="1122" t="str">
        <f t="shared" si="92"/>
        <v>N/A</v>
      </c>
      <c r="W43" s="1124" t="str">
        <f t="shared" si="93"/>
        <v>N/A</v>
      </c>
      <c r="X43" s="1124" t="str">
        <f t="shared" si="94"/>
        <v>N/A</v>
      </c>
      <c r="Y43" s="1125" t="str">
        <f>IFERROR(__xludf.DUMMYFUNCTION("IF(
  OR(X43=""NOT PUBLISHED"", X43=""N/A""),
  X43,
  IFERROR(MAX(FILTER(N43:X43, ISNUMBER(N43:X43))),"""")
)"),"N/A")</f>
        <v>N/A</v>
      </c>
      <c r="Z43" s="72" t="str">
        <f t="shared" si="95"/>
        <v>N/A</v>
      </c>
      <c r="AA43" s="1134" t="str">
        <f t="shared" si="96"/>
        <v>N/A</v>
      </c>
      <c r="AB43" s="1134" t="str">
        <f t="shared" si="97"/>
        <v>N/A</v>
      </c>
      <c r="AC43" s="1134" t="str">
        <f t="shared" si="98"/>
        <v>N/A</v>
      </c>
      <c r="AD43" s="1134" t="str">
        <f t="shared" si="99"/>
        <v>N/A</v>
      </c>
      <c r="AE43" s="1134" t="str">
        <f t="shared" si="100"/>
        <v>N/A</v>
      </c>
      <c r="AF43" s="1134" t="str">
        <f t="shared" si="101"/>
        <v>N/A</v>
      </c>
      <c r="AG43" s="1134" t="str">
        <f t="shared" si="102"/>
        <v>N/A</v>
      </c>
      <c r="AH43" s="1122" t="str">
        <f t="shared" si="103"/>
        <v>N/A</v>
      </c>
      <c r="AI43" s="1124" t="str">
        <f t="shared" si="104"/>
        <v>N/A</v>
      </c>
      <c r="AJ43" s="1124" t="str">
        <f t="shared" si="105"/>
        <v>N/A</v>
      </c>
      <c r="AK43" s="1125" t="str">
        <f>IFERROR(__xludf.DUMMYFUNCTION("IF(
  OR(AJ43=""NOT PUBLISHED"", AJ43=""N/A""),
  AJ43,
  IFERROR(MAX(FILTER(Z43:AJ43, ISNUMBER(Z43:AJ43))),"""")
)"),"N/A")</f>
        <v>N/A</v>
      </c>
      <c r="AL43" s="72" t="str">
        <f t="shared" si="106"/>
        <v>N/A</v>
      </c>
      <c r="AM43" s="1134" t="str">
        <f t="shared" si="107"/>
        <v>N/A</v>
      </c>
      <c r="AN43" s="1134" t="str">
        <f t="shared" si="108"/>
        <v>N/A</v>
      </c>
      <c r="AO43" s="1134" t="str">
        <f t="shared" si="109"/>
        <v>N/A</v>
      </c>
      <c r="AP43" s="1126" t="str">
        <f t="shared" si="110"/>
        <v>N/A</v>
      </c>
      <c r="AQ43" s="1124" t="str">
        <f t="shared" si="111"/>
        <v>N/A</v>
      </c>
      <c r="AR43" s="1124" t="str">
        <f t="shared" si="112"/>
        <v>N/A</v>
      </c>
      <c r="AS43" s="1125" t="str">
        <f>IFERROR(__xludf.DUMMYFUNCTION("IF(
  OR(AR43=""NOT PUBLISHED"", AR43=""N/A""),
  AR43,
  IFERROR(MAX(FILTER(AL43:AR43, ISNUMBER(AL43:AR43))),"""")
)"),"N/A")</f>
        <v>N/A</v>
      </c>
      <c r="AT43" s="72" t="str">
        <f t="shared" si="113"/>
        <v>N/A</v>
      </c>
      <c r="AU43" s="1134" t="str">
        <f t="shared" si="114"/>
        <v>N/A</v>
      </c>
      <c r="AV43" s="1134" t="str">
        <f t="shared" si="115"/>
        <v>N/A</v>
      </c>
      <c r="AW43" s="1134" t="str">
        <f t="shared" si="116"/>
        <v>N/A</v>
      </c>
      <c r="AX43" s="1134" t="str">
        <f t="shared" si="117"/>
        <v>N/A</v>
      </c>
      <c r="AY43" s="1135" t="str">
        <f t="shared" si="118"/>
        <v>N/A</v>
      </c>
      <c r="AZ43" s="1127" t="str">
        <f t="shared" si="119"/>
        <v>N/A</v>
      </c>
      <c r="BA43" s="1135" t="str">
        <f t="shared" si="120"/>
        <v>N/A</v>
      </c>
      <c r="BB43" s="1127" t="str">
        <f t="shared" si="121"/>
        <v>N/A</v>
      </c>
      <c r="BC43" s="1128" t="str">
        <f>IFERROR(__xludf.DUMMYFUNCTION("IF(
  OR(BB43=""NOT PUBLISHED"", BB43=""N/A""),
  BB43,
  IFERROR(MAX(FILTER(AT43:BB43, ISNUMBER(AT43:BB43))),"""")
)"),"N/A")</f>
        <v>N/A</v>
      </c>
      <c r="BD43" s="1138"/>
      <c r="BE43" s="1138"/>
      <c r="BF43" s="1138"/>
    </row>
    <row r="44" ht="15.0" customHeight="1" collapsed="1">
      <c r="A44" s="53">
        <v>41.0</v>
      </c>
      <c r="B44" s="146" t="s">
        <v>168</v>
      </c>
      <c r="C44" s="53">
        <v>41.0</v>
      </c>
      <c r="D44" s="148"/>
      <c r="E44" s="148"/>
      <c r="F44" s="148"/>
      <c r="G44" s="148"/>
      <c r="H44" s="150"/>
      <c r="I44" s="151"/>
      <c r="J44" s="581"/>
      <c r="K44" s="148"/>
      <c r="L44" s="148"/>
      <c r="M44" s="151"/>
      <c r="N44" s="1150"/>
      <c r="O44" s="1151"/>
      <c r="P44" s="1151"/>
      <c r="Q44" s="1153"/>
      <c r="R44" s="1154"/>
      <c r="S44" s="1154"/>
      <c r="T44" s="1154"/>
      <c r="U44" s="1154"/>
      <c r="V44" s="1154"/>
      <c r="W44" s="1155"/>
      <c r="X44" s="1155"/>
      <c r="Y44" s="1155"/>
      <c r="Z44" s="1156"/>
      <c r="AA44" s="1157"/>
      <c r="AB44" s="1157"/>
      <c r="AC44" s="1158"/>
      <c r="AD44" s="1159"/>
      <c r="AE44" s="1159"/>
      <c r="AF44" s="1159"/>
      <c r="AG44" s="1159"/>
      <c r="AH44" s="1154"/>
      <c r="AI44" s="1155"/>
      <c r="AJ44" s="1155"/>
      <c r="AK44" s="1155"/>
      <c r="AL44" s="1155"/>
      <c r="AM44" s="1159"/>
      <c r="AN44" s="1159"/>
      <c r="AO44" s="1159"/>
      <c r="AP44" s="1154"/>
      <c r="AQ44" s="1155"/>
      <c r="AR44" s="1155"/>
      <c r="AS44" s="1155"/>
      <c r="AT44" s="1155"/>
      <c r="AU44" s="1155"/>
      <c r="AV44" s="1155"/>
      <c r="AW44" s="1155"/>
      <c r="AX44" s="1155"/>
      <c r="AY44" s="1155"/>
      <c r="AZ44" s="1155"/>
      <c r="BA44" s="1155"/>
      <c r="BB44" s="1155"/>
      <c r="BC44" s="1155"/>
      <c r="BD44" s="1160"/>
      <c r="BE44" s="1160"/>
      <c r="BF44" s="1160"/>
    </row>
    <row r="45" ht="15.0" customHeight="1" outlineLevel="1">
      <c r="A45" s="53">
        <v>42.0</v>
      </c>
      <c r="B45" s="100" t="s">
        <v>170</v>
      </c>
      <c r="C45" s="53">
        <v>42.0</v>
      </c>
      <c r="D45" s="1130" t="s">
        <v>1759</v>
      </c>
      <c r="E45" s="101" t="s">
        <v>161</v>
      </c>
      <c r="F45" s="102">
        <v>1113.0</v>
      </c>
      <c r="G45" s="517" t="s">
        <v>161</v>
      </c>
      <c r="H45" s="517">
        <v>1113.0</v>
      </c>
      <c r="I45" s="821" t="str">
        <f>IFERROR(VLOOKUP(B42:B232,'RELATÓRIO ACC'!B:F,5,FALSE),"NOT PUBLISHED")</f>
        <v>NOT PUBLISHED</v>
      </c>
      <c r="J45" s="1119" t="str">
        <f>IFERROR(VLOOKUP(B42:B232,'RELATÓRIO ACC'!B:P,15,FALSE),"NOT PUBLISHED")</f>
        <v>NOT PUBLISHED</v>
      </c>
      <c r="K45" s="552" t="str">
        <f t="shared" ref="K45:K46" si="122">IF(OR($D45="UTLS",$D45="GUAR",$D45="STIR",$D45="PUMP",$D45="SITE"),
   VLOOKUP($B45,'LOD 300 - SITE'!C:K,9,FALSE),
   VLOOKUP($B45,'LOD 300 - ADMN'!C:K,9,FALSE)
)</f>
        <v>#REF!</v>
      </c>
      <c r="L45" s="552" t="str">
        <f t="shared" ref="L45:L46" si="123">IF(OR($D45="UTLS",$D45="GUAR",$D45="STIR",$D45="PUMP",$D45="SITE"),
   VLOOKUP($B45,'LOD 300 - SITE'!C:L,10,FALSE),
   VLOOKUP($B45,'LOD 300 - ADMN'!C:Q,10,FALSE)
)</f>
        <v>#REF!</v>
      </c>
      <c r="M45" s="899" t="s">
        <v>505</v>
      </c>
      <c r="N45" s="1132" t="str">
        <f t="shared" ref="N45:N46" si="124">IFERROR(VLOOKUP($B45,'LOD 300 - ADMN'!$B:P,14,FALSE),"N/A")</f>
        <v>N/A</v>
      </c>
      <c r="O45" s="1133" t="str">
        <f t="shared" ref="O45:O46" si="125">IFERROR(VLOOKUP($B45,'LOD 300 - ADMN'!$B:S,17,FALSE),"N/A")</f>
        <v>N/A</v>
      </c>
      <c r="P45" s="1133" t="str">
        <f t="shared" ref="P45:P46" si="126">IFERROR(VLOOKUP($B45,'LOD 300 - ADMN'!$B:V,20,FALSE),"N/A")</f>
        <v>N/A</v>
      </c>
      <c r="Q45" s="1133" t="str">
        <f t="shared" ref="Q45:Q46" si="127">IFERROR(VLOOKUP($B45,'LOD 300 - ADMN'!$B:Y,23,FALSE),"N/A")</f>
        <v>N/A</v>
      </c>
      <c r="R45" s="1133" t="str">
        <f t="shared" ref="R45:R46" si="128">IFERROR(VLOOKUP($B45,'LOD 300 - ADMN'!$B:AB,26,FALSE),"N/A")</f>
        <v>N/A</v>
      </c>
      <c r="S45" s="1133" t="str">
        <f t="shared" ref="S45:S46" si="129">IFERROR(VLOOKUP($B45,'LOD 300 - ADMN'!$B:AE,29,FALSE),"N/A")</f>
        <v>N/A</v>
      </c>
      <c r="T45" s="1133" t="str">
        <f t="shared" ref="T45:T46" si="130">IFERROR(VLOOKUP($B45,'LOD 300 - ADMN'!$B:AH,32,FALSE),"N/A")</f>
        <v>N/A</v>
      </c>
      <c r="U45" s="1133" t="str">
        <f t="shared" ref="U45:U46" si="131">IFERROR(VLOOKUP($B45,'LOD 300 - ADMN'!$B:AK,35,FALSE),"N/A")</f>
        <v>N/A</v>
      </c>
      <c r="V45" s="1122" t="str">
        <f t="shared" ref="V45:V46" si="132">IFERROR(VLOOKUP($B45,'LOD 300 - ADMN'!$B:AN,38,FALSE),"N/A")</f>
        <v>N/A</v>
      </c>
      <c r="W45" s="1124" t="str">
        <f t="shared" ref="W45:W46" si="133">IFERROR(VLOOKUP($B45,'LOD 300 - ADMN'!$B:AQ,41,FALSE),"N/A")</f>
        <v>N/A</v>
      </c>
      <c r="X45" s="1124" t="str">
        <f t="shared" ref="X45:X46" si="134">IFERROR(VLOOKUP($B45,'LOD 300 - ADMN'!$B:AT,44,FALSE),"N/A")</f>
        <v>N/A</v>
      </c>
      <c r="Y45" s="1125" t="str">
        <f>IFERROR(__xludf.DUMMYFUNCTION("IF(
  OR(X45=""NOT PUBLISHED"", X45=""N/A""),
  X45,
  IFERROR(MAX(FILTER(N45:X45, ISNUMBER(N45:X45))),"""")
)"),"N/A")</f>
        <v>N/A</v>
      </c>
      <c r="Z45" s="72" t="str">
        <f t="shared" ref="Z45:Z46" si="135">IFERROR(VLOOKUP($B45,'LOD 300 - COLO1'!$B:P,14,FALSE),"N/A")</f>
        <v>N/A</v>
      </c>
      <c r="AA45" s="1134" t="str">
        <f t="shared" ref="AA45:AA46" si="136">IFERROR(VLOOKUP($B45,'LOD 300 - COLO1'!$B:S,17,FALSE),"N/A")</f>
        <v>N/A</v>
      </c>
      <c r="AB45" s="1134" t="str">
        <f t="shared" ref="AB45:AB46" si="137">IFERROR(VLOOKUP($B45,'LOD 300 - COLO1'!$B:V,20,FALSE),"N/A")</f>
        <v>N/A</v>
      </c>
      <c r="AC45" s="1134" t="str">
        <f t="shared" ref="AC45:AC46" si="138">IFERROR(VLOOKUP($B45,'LOD 300 - COLO1'!$B:Y,23,FALSE),"N/A")</f>
        <v>N/A</v>
      </c>
      <c r="AD45" s="1134" t="str">
        <f t="shared" ref="AD45:AD46" si="139">IFERROR(VLOOKUP($B45,'LOD 300 - COLO1'!$B:AB,26,FALSE),"N/A")</f>
        <v>N/A</v>
      </c>
      <c r="AE45" s="1134" t="str">
        <f t="shared" ref="AE45:AE46" si="140">IFERROR(VLOOKUP($B45,'LOD 300 - COLO1'!$B:AE,29,FALSE),"N/A")</f>
        <v>N/A</v>
      </c>
      <c r="AF45" s="1134" t="str">
        <f t="shared" ref="AF45:AF46" si="141">IFERROR(VLOOKUP($B45,'LOD 300 - COLO1'!$B:AH,32,FALSE),"N/A")</f>
        <v>N/A</v>
      </c>
      <c r="AG45" s="1134" t="str">
        <f t="shared" ref="AG45:AG46" si="142">IFERROR(VLOOKUP($B45,'LOD 300 - COLO1'!$B:AK,35,FALSE),"N/A")</f>
        <v>N/A</v>
      </c>
      <c r="AH45" s="1122" t="str">
        <f t="shared" ref="AH45:AH46" si="143">IFERROR(VLOOKUP($B45,'LOD 300 - COLO1'!$B:AN,38,FALSE),"N/A")</f>
        <v>N/A</v>
      </c>
      <c r="AI45" s="1124" t="str">
        <f t="shared" ref="AI45:AI46" si="144">IFERROR(VLOOKUP($B45,'LOD 300 - COLO1'!$B:AQ,41,FALSE),"N/A")</f>
        <v>N/A</v>
      </c>
      <c r="AJ45" s="1124" t="str">
        <f t="shared" ref="AJ45:AJ46" si="145">IFERROR(VLOOKUP($B45,'LOD 300 - COLO1'!$B:AT,44,FALSE),"N/A")</f>
        <v>N/A</v>
      </c>
      <c r="AK45" s="1125" t="str">
        <f>IFERROR(__xludf.DUMMYFUNCTION("IF(
  OR(AJ45=""NOT PUBLISHED"", AJ45=""N/A""),
  AJ45,
  IFERROR(MAX(FILTER(Z45:AJ45, ISNUMBER(Z45:AJ45))),"""")
)"),"N/A")</f>
        <v>N/A</v>
      </c>
      <c r="AL45" s="72" t="str">
        <f t="shared" ref="AL45:AL46" si="146">IFERROR(VLOOKUP($B45,'LOD 300 - COLO2'!$B:P,14,FALSE),"N/A")</f>
        <v>N/A</v>
      </c>
      <c r="AM45" s="1134" t="str">
        <f t="shared" ref="AM45:AM46" si="147">IFERROR(VLOOKUP($B45,'LOD 300 - COLO2'!$B:S,17,FALSE),"N/A")</f>
        <v>N/A</v>
      </c>
      <c r="AN45" s="1134" t="str">
        <f t="shared" ref="AN45:AN46" si="148">IFERROR(VLOOKUP($B45,'LOD 300 - COLO2'!$B:V,20,FALSE),"N/A")</f>
        <v>N/A</v>
      </c>
      <c r="AO45" s="1134" t="str">
        <f t="shared" ref="AO45:AO46" si="149">IFERROR(VLOOKUP($B45,'LOD 300 - COLO2'!$B:Y,23,FALSE),"N/A")</f>
        <v>N/A</v>
      </c>
      <c r="AP45" s="1126" t="str">
        <f t="shared" ref="AP45:AP46" si="150">IFERROR(VLOOKUP($B45,'LOD 300 - COLO2'!$B:AB,26,FALSE),"N/A")</f>
        <v>N/A</v>
      </c>
      <c r="AQ45" s="1124" t="str">
        <f t="shared" ref="AQ45:AQ46" si="151">IFERROR(VLOOKUP($B45,'LOD 300 - COLO2'!$B:AE,29,FALSE),"N/A")</f>
        <v>N/A</v>
      </c>
      <c r="AR45" s="1124" t="str">
        <f t="shared" ref="AR45:AR46" si="152">IFERROR(VLOOKUP($B45,'LOD 300 - COLO2'!$B:AH,32,FALSE),"N/A")</f>
        <v>N/A</v>
      </c>
      <c r="AS45" s="1125" t="str">
        <f>IFERROR(__xludf.DUMMYFUNCTION("IF(
  OR(AR45=""NOT PUBLISHED"", AR45=""N/A""),
  AR45,
  IFERROR(MAX(FILTER(AL45:AR45, ISNUMBER(AL45:AR45))),"""")
)"),"N/A")</f>
        <v>N/A</v>
      </c>
      <c r="AT45" s="72" t="str">
        <f t="shared" ref="AT45:AT46" si="153">IFERROR(VLOOKUP($B45,'LOD 300 - SITE'!$B:P,14,FALSE),"N/A")</f>
        <v>N/A</v>
      </c>
      <c r="AU45" s="1134" t="str">
        <f t="shared" ref="AU45:AU46" si="154">IFERROR(VLOOKUP($B45,'LOD 300 - SITE'!$B:S,17,FALSE),"N/A")</f>
        <v>N/A</v>
      </c>
      <c r="AV45" s="1134" t="str">
        <f t="shared" ref="AV45:AV46" si="155">IFERROR(VLOOKUP($B45,'LOD 300 - SITE'!$B:V,20,FALSE),"N/A")</f>
        <v>N/A</v>
      </c>
      <c r="AW45" s="1134" t="str">
        <f t="shared" ref="AW45:AW46" si="156">IFERROR(VLOOKUP($B45,'LOD 300 - SITE'!$B:Y,23,FALSE),"N/A")</f>
        <v>N/A</v>
      </c>
      <c r="AX45" s="1134" t="str">
        <f t="shared" ref="AX45:AX46" si="157">IFERROR(VLOOKUP($B45,'LOD 300 - SITE'!$B:AB,26,FALSE),"N/A")</f>
        <v>N/A</v>
      </c>
      <c r="AY45" s="1135" t="str">
        <f t="shared" ref="AY45:AY46" si="158">IFERROR(VLOOKUP($B45,'LOD 300 - SITE'!$B:AE,29,FALSE),"N/A")</f>
        <v>N/A</v>
      </c>
      <c r="AZ45" s="1127" t="str">
        <f t="shared" ref="AZ45:AZ46" si="159">IFERROR(VLOOKUP($B45,'LOD 300 - SITE'!$B:AH,32,FALSE),"N/A")</f>
        <v>N/A</v>
      </c>
      <c r="BA45" s="1135" t="str">
        <f t="shared" ref="BA45:BA46" si="160">IFERROR(VLOOKUP($B45,'LOD 300 - SITE'!$B:AK,35,FALSE),"N/A")</f>
        <v>N/A</v>
      </c>
      <c r="BB45" s="1127" t="str">
        <f t="shared" ref="BB45:BB46" si="161">IFERROR(VLOOKUP($B45,'LOD 300 - SITE'!$B:AN,38,FALSE),"N/A")</f>
        <v>N/A</v>
      </c>
      <c r="BC45" s="1128" t="str">
        <f>IFERROR(__xludf.DUMMYFUNCTION("IF(
  OR(BB45=""NOT PUBLISHED"", BB45=""N/A""),
  BB45,
  IFERROR(MAX(FILTER(AT45:BB45, ISNUMBER(AT45:BB45))),"""")
)"),"N/A")</f>
        <v>N/A</v>
      </c>
      <c r="BD45" s="1138"/>
      <c r="BE45" s="1138"/>
      <c r="BF45" s="1138"/>
    </row>
    <row r="46" ht="15.0" customHeight="1" outlineLevel="1">
      <c r="A46" s="53">
        <v>43.0</v>
      </c>
      <c r="B46" s="100" t="s">
        <v>172</v>
      </c>
      <c r="C46" s="53">
        <v>43.0</v>
      </c>
      <c r="D46" s="1130" t="s">
        <v>1756</v>
      </c>
      <c r="E46" s="101" t="s">
        <v>161</v>
      </c>
      <c r="F46" s="102">
        <v>1113.0</v>
      </c>
      <c r="G46" s="517" t="s">
        <v>161</v>
      </c>
      <c r="H46" s="517">
        <v>1113.0</v>
      </c>
      <c r="I46" s="821" t="str">
        <f>IFERROR(VLOOKUP(B43:B233,'RELATÓRIO ACC'!B:F,5,FALSE),"NOT PUBLISHED")</f>
        <v>NOT PUBLISHED</v>
      </c>
      <c r="J46" s="1119" t="str">
        <f>IFERROR(VLOOKUP(B43:B233,'RELATÓRIO ACC'!B:P,15,FALSE),"NOT PUBLISHED")</f>
        <v>NOT PUBLISHED</v>
      </c>
      <c r="K46" s="552" t="str">
        <f t="shared" si="122"/>
        <v>#REF!</v>
      </c>
      <c r="L46" s="552" t="str">
        <f t="shared" si="123"/>
        <v>#REF!</v>
      </c>
      <c r="M46" s="899" t="s">
        <v>1762</v>
      </c>
      <c r="N46" s="1132" t="str">
        <f t="shared" si="124"/>
        <v>N/A</v>
      </c>
      <c r="O46" s="1133" t="str">
        <f t="shared" si="125"/>
        <v>N/A</v>
      </c>
      <c r="P46" s="1133" t="str">
        <f t="shared" si="126"/>
        <v>N/A</v>
      </c>
      <c r="Q46" s="1133" t="str">
        <f t="shared" si="127"/>
        <v>N/A</v>
      </c>
      <c r="R46" s="1133" t="str">
        <f t="shared" si="128"/>
        <v>N/A</v>
      </c>
      <c r="S46" s="1133" t="str">
        <f t="shared" si="129"/>
        <v>N/A</v>
      </c>
      <c r="T46" s="1133" t="str">
        <f t="shared" si="130"/>
        <v>N/A</v>
      </c>
      <c r="U46" s="1133" t="str">
        <f t="shared" si="131"/>
        <v>N/A</v>
      </c>
      <c r="V46" s="1122" t="str">
        <f t="shared" si="132"/>
        <v>N/A</v>
      </c>
      <c r="W46" s="1124" t="str">
        <f t="shared" si="133"/>
        <v>N/A</v>
      </c>
      <c r="X46" s="1124" t="str">
        <f t="shared" si="134"/>
        <v>N/A</v>
      </c>
      <c r="Y46" s="1125" t="str">
        <f>IFERROR(__xludf.DUMMYFUNCTION("IF(
  OR(X46=""NOT PUBLISHED"", X46=""N/A""),
  X46,
  IFERROR(MAX(FILTER(N46:X46, ISNUMBER(N46:X46))),"""")
)"),"N/A")</f>
        <v>N/A</v>
      </c>
      <c r="Z46" s="72" t="str">
        <f t="shared" si="135"/>
        <v>N/A</v>
      </c>
      <c r="AA46" s="1134" t="str">
        <f t="shared" si="136"/>
        <v>N/A</v>
      </c>
      <c r="AB46" s="1134" t="str">
        <f t="shared" si="137"/>
        <v>N/A</v>
      </c>
      <c r="AC46" s="1134" t="str">
        <f t="shared" si="138"/>
        <v>N/A</v>
      </c>
      <c r="AD46" s="1134" t="str">
        <f t="shared" si="139"/>
        <v>N/A</v>
      </c>
      <c r="AE46" s="1134" t="str">
        <f t="shared" si="140"/>
        <v>N/A</v>
      </c>
      <c r="AF46" s="1134" t="str">
        <f t="shared" si="141"/>
        <v>N/A</v>
      </c>
      <c r="AG46" s="1134" t="str">
        <f t="shared" si="142"/>
        <v>N/A</v>
      </c>
      <c r="AH46" s="1122" t="str">
        <f t="shared" si="143"/>
        <v>N/A</v>
      </c>
      <c r="AI46" s="1124" t="str">
        <f t="shared" si="144"/>
        <v>N/A</v>
      </c>
      <c r="AJ46" s="1124" t="str">
        <f t="shared" si="145"/>
        <v>N/A</v>
      </c>
      <c r="AK46" s="1125" t="str">
        <f>IFERROR(__xludf.DUMMYFUNCTION("IF(
  OR(AJ46=""NOT PUBLISHED"", AJ46=""N/A""),
  AJ46,
  IFERROR(MAX(FILTER(Z46:AJ46, ISNUMBER(Z46:AJ46))),"""")
)"),"N/A")</f>
        <v>N/A</v>
      </c>
      <c r="AL46" s="72" t="str">
        <f t="shared" si="146"/>
        <v>N/A</v>
      </c>
      <c r="AM46" s="1134" t="str">
        <f t="shared" si="147"/>
        <v>N/A</v>
      </c>
      <c r="AN46" s="1134" t="str">
        <f t="shared" si="148"/>
        <v>N/A</v>
      </c>
      <c r="AO46" s="1134" t="str">
        <f t="shared" si="149"/>
        <v>N/A</v>
      </c>
      <c r="AP46" s="1126" t="str">
        <f t="shared" si="150"/>
        <v>N/A</v>
      </c>
      <c r="AQ46" s="1124" t="str">
        <f t="shared" si="151"/>
        <v>N/A</v>
      </c>
      <c r="AR46" s="1124" t="str">
        <f t="shared" si="152"/>
        <v>N/A</v>
      </c>
      <c r="AS46" s="1125" t="str">
        <f>IFERROR(__xludf.DUMMYFUNCTION("IF(
  OR(AR46=""NOT PUBLISHED"", AR46=""N/A""),
  AR46,
  IFERROR(MAX(FILTER(AL46:AR46, ISNUMBER(AL46:AR46))),"""")
)"),"N/A")</f>
        <v>N/A</v>
      </c>
      <c r="AT46" s="72" t="str">
        <f t="shared" si="153"/>
        <v>N/A</v>
      </c>
      <c r="AU46" s="1134" t="str">
        <f t="shared" si="154"/>
        <v>N/A</v>
      </c>
      <c r="AV46" s="1134" t="str">
        <f t="shared" si="155"/>
        <v>N/A</v>
      </c>
      <c r="AW46" s="1134" t="str">
        <f t="shared" si="156"/>
        <v>N/A</v>
      </c>
      <c r="AX46" s="1134" t="str">
        <f t="shared" si="157"/>
        <v>N/A</v>
      </c>
      <c r="AY46" s="1135" t="str">
        <f t="shared" si="158"/>
        <v>N/A</v>
      </c>
      <c r="AZ46" s="1127" t="str">
        <f t="shared" si="159"/>
        <v>N/A</v>
      </c>
      <c r="BA46" s="1135" t="str">
        <f t="shared" si="160"/>
        <v>N/A</v>
      </c>
      <c r="BB46" s="1127" t="str">
        <f t="shared" si="161"/>
        <v>N/A</v>
      </c>
      <c r="BC46" s="1128" t="str">
        <f>IFERROR(__xludf.DUMMYFUNCTION("IF(
  OR(BB46=""NOT PUBLISHED"", BB46=""N/A""),
  BB46,
  IFERROR(MAX(FILTER(AT46:BB46, ISNUMBER(AT46:BB46))),"""")
)"),"N/A")</f>
        <v>N/A</v>
      </c>
      <c r="BD46" s="1129"/>
      <c r="BE46" s="1129"/>
      <c r="BF46" s="1129"/>
    </row>
    <row r="47" ht="15.0" customHeight="1">
      <c r="A47" s="53">
        <v>44.0</v>
      </c>
      <c r="B47" s="146" t="s">
        <v>173</v>
      </c>
      <c r="C47" s="53">
        <v>44.0</v>
      </c>
      <c r="D47" s="148"/>
      <c r="E47" s="148"/>
      <c r="F47" s="148"/>
      <c r="G47" s="148"/>
      <c r="H47" s="150"/>
      <c r="I47" s="151"/>
      <c r="J47" s="581"/>
      <c r="K47" s="148"/>
      <c r="L47" s="148"/>
      <c r="M47" s="151"/>
      <c r="N47" s="1150"/>
      <c r="O47" s="1151"/>
      <c r="P47" s="1151"/>
      <c r="Q47" s="1153"/>
      <c r="R47" s="1154"/>
      <c r="S47" s="1154"/>
      <c r="T47" s="1154"/>
      <c r="U47" s="1154"/>
      <c r="V47" s="1154"/>
      <c r="W47" s="1155"/>
      <c r="X47" s="1155"/>
      <c r="Y47" s="1155"/>
      <c r="Z47" s="1156"/>
      <c r="AA47" s="1157"/>
      <c r="AB47" s="1157"/>
      <c r="AC47" s="1158"/>
      <c r="AD47" s="1159"/>
      <c r="AE47" s="1159"/>
      <c r="AF47" s="1159"/>
      <c r="AG47" s="1159"/>
      <c r="AH47" s="1154"/>
      <c r="AI47" s="1155"/>
      <c r="AJ47" s="1155"/>
      <c r="AK47" s="1155"/>
      <c r="AL47" s="1155"/>
      <c r="AM47" s="1159"/>
      <c r="AN47" s="1159"/>
      <c r="AO47" s="1159"/>
      <c r="AP47" s="1154"/>
      <c r="AQ47" s="1155"/>
      <c r="AR47" s="1155"/>
      <c r="AS47" s="1155"/>
      <c r="AT47" s="1155"/>
      <c r="AU47" s="1155"/>
      <c r="AV47" s="1155"/>
      <c r="AW47" s="1155"/>
      <c r="AX47" s="1155"/>
      <c r="AY47" s="1155"/>
      <c r="AZ47" s="1155"/>
      <c r="BA47" s="1155"/>
      <c r="BB47" s="1155"/>
      <c r="BC47" s="1155"/>
      <c r="BD47" s="1149"/>
      <c r="BE47" s="1149"/>
      <c r="BF47" s="1149"/>
    </row>
    <row r="48" ht="15.0" customHeight="1" outlineLevel="1">
      <c r="A48" s="53">
        <v>45.0</v>
      </c>
      <c r="B48" s="100" t="s">
        <v>175</v>
      </c>
      <c r="C48" s="53">
        <v>45.0</v>
      </c>
      <c r="D48" s="1130" t="s">
        <v>7</v>
      </c>
      <c r="E48" s="101" t="s">
        <v>165</v>
      </c>
      <c r="F48" s="102">
        <v>1114.0</v>
      </c>
      <c r="G48" s="517" t="s">
        <v>165</v>
      </c>
      <c r="H48" s="517">
        <v>1114.0</v>
      </c>
      <c r="I48" s="821" t="str">
        <f>IFERROR(VLOOKUP(B45:B235,'RELATÓRIO ACC'!B:F,5,FALSE),"NOT PUBLISHED")</f>
        <v>NOT PUBLISHED</v>
      </c>
      <c r="J48" s="1119" t="str">
        <f>IFERROR(VLOOKUP(B45:B235,'RELATÓRIO ACC'!B:P,15,FALSE),"NOT PUBLISHED")</f>
        <v>NOT PUBLISHED</v>
      </c>
      <c r="K48" s="552" t="str">
        <f t="shared" ref="K48:K49" si="162">IF(OR($D48="UTLS",$D48="GUAR",$D48="STIR",$D48="PUMP",$D48="SITE"),
   VLOOKUP($B48,'LOD 300 - SITE'!C:K,9,FALSE),
   VLOOKUP($B48,'LOD 300 - ADMN'!C:K,9,FALSE)
)</f>
        <v>#REF!</v>
      </c>
      <c r="L48" s="552" t="str">
        <f t="shared" ref="L48:L49" si="163">IF(OR($D48="UTLS",$D48="GUAR",$D48="STIR",$D48="PUMP",$D48="SITE"),
   VLOOKUP($B48,'LOD 300 - SITE'!C:L,10,FALSE),
   VLOOKUP($B48,'LOD 300 - ADMN'!C:Q,10,FALSE)
)</f>
        <v>#REF!</v>
      </c>
      <c r="M48" s="899" t="s">
        <v>1757</v>
      </c>
      <c r="N48" s="1132" t="str">
        <f t="shared" ref="N48:N49" si="164">IFERROR(VLOOKUP($B48,'LOD 300 - ADMN'!$B:P,14,FALSE),"N/A")</f>
        <v>N/A</v>
      </c>
      <c r="O48" s="1133" t="str">
        <f t="shared" ref="O48:O49" si="165">IFERROR(VLOOKUP($B48,'LOD 300 - ADMN'!$B:S,17,FALSE),"N/A")</f>
        <v>N/A</v>
      </c>
      <c r="P48" s="1133" t="str">
        <f t="shared" ref="P48:P49" si="166">IFERROR(VLOOKUP($B48,'LOD 300 - ADMN'!$B:V,20,FALSE),"N/A")</f>
        <v>N/A</v>
      </c>
      <c r="Q48" s="1133" t="str">
        <f t="shared" ref="Q48:Q49" si="167">IFERROR(VLOOKUP($B48,'LOD 300 - ADMN'!$B:Y,23,FALSE),"N/A")</f>
        <v>N/A</v>
      </c>
      <c r="R48" s="1133" t="str">
        <f t="shared" ref="R48:R49" si="168">IFERROR(VLOOKUP($B48,'LOD 300 - ADMN'!$B:AB,26,FALSE),"N/A")</f>
        <v>N/A</v>
      </c>
      <c r="S48" s="1133" t="str">
        <f t="shared" ref="S48:S49" si="169">IFERROR(VLOOKUP($B48,'LOD 300 - ADMN'!$B:AE,29,FALSE),"N/A")</f>
        <v>N/A</v>
      </c>
      <c r="T48" s="1133" t="str">
        <f t="shared" ref="T48:T49" si="170">IFERROR(VLOOKUP($B48,'LOD 300 - ADMN'!$B:AH,32,FALSE),"N/A")</f>
        <v>N/A</v>
      </c>
      <c r="U48" s="1133" t="str">
        <f t="shared" ref="U48:U49" si="171">IFERROR(VLOOKUP($B48,'LOD 300 - ADMN'!$B:AK,35,FALSE),"N/A")</f>
        <v>N/A</v>
      </c>
      <c r="V48" s="1122" t="str">
        <f t="shared" ref="V48:V49" si="172">IFERROR(VLOOKUP($B48,'LOD 300 - ADMN'!$B:AN,38,FALSE),"N/A")</f>
        <v>N/A</v>
      </c>
      <c r="W48" s="1124" t="str">
        <f t="shared" ref="W48:W49" si="173">IFERROR(VLOOKUP($B48,'LOD 300 - ADMN'!$B:AQ,41,FALSE),"N/A")</f>
        <v>N/A</v>
      </c>
      <c r="X48" s="1124" t="str">
        <f t="shared" ref="X48:X49" si="174">IFERROR(VLOOKUP($B48,'LOD 300 - ADMN'!$B:AT,44,FALSE),"N/A")</f>
        <v>N/A</v>
      </c>
      <c r="Y48" s="1125" t="str">
        <f>IFERROR(__xludf.DUMMYFUNCTION("IF(
  OR(X48=""NOT PUBLISHED"", X48=""N/A""),
  X48,
  IFERROR(MAX(FILTER(N48:X48, ISNUMBER(N48:X48))),"""")
)"),"N/A")</f>
        <v>N/A</v>
      </c>
      <c r="Z48" s="72" t="str">
        <f t="shared" ref="Z48:Z49" si="175">IFERROR(VLOOKUP($B48,'LOD 300 - COLO1'!$B:P,14,FALSE),"N/A")</f>
        <v>N/A</v>
      </c>
      <c r="AA48" s="1134" t="str">
        <f t="shared" ref="AA48:AA49" si="176">IFERROR(VLOOKUP($B48,'LOD 300 - COLO1'!$B:S,17,FALSE),"N/A")</f>
        <v>N/A</v>
      </c>
      <c r="AB48" s="1134" t="str">
        <f t="shared" ref="AB48:AB49" si="177">IFERROR(VLOOKUP($B48,'LOD 300 - COLO1'!$B:V,20,FALSE),"N/A")</f>
        <v>N/A</v>
      </c>
      <c r="AC48" s="1134" t="str">
        <f t="shared" ref="AC48:AC49" si="178">IFERROR(VLOOKUP($B48,'LOD 300 - COLO1'!$B:Y,23,FALSE),"N/A")</f>
        <v>N/A</v>
      </c>
      <c r="AD48" s="1134" t="str">
        <f t="shared" ref="AD48:AD49" si="179">IFERROR(VLOOKUP($B48,'LOD 300 - COLO1'!$B:AB,26,FALSE),"N/A")</f>
        <v>N/A</v>
      </c>
      <c r="AE48" s="1134" t="str">
        <f t="shared" ref="AE48:AE49" si="180">IFERROR(VLOOKUP($B48,'LOD 300 - COLO1'!$B:AE,29,FALSE),"N/A")</f>
        <v>N/A</v>
      </c>
      <c r="AF48" s="1134" t="str">
        <f t="shared" ref="AF48:AF49" si="181">IFERROR(VLOOKUP($B48,'LOD 300 - COLO1'!$B:AH,32,FALSE),"N/A")</f>
        <v>N/A</v>
      </c>
      <c r="AG48" s="1134" t="str">
        <f t="shared" ref="AG48:AG49" si="182">IFERROR(VLOOKUP($B48,'LOD 300 - COLO1'!$B:AK,35,FALSE),"N/A")</f>
        <v>N/A</v>
      </c>
      <c r="AH48" s="1122" t="str">
        <f t="shared" ref="AH48:AH49" si="183">IFERROR(VLOOKUP($B48,'LOD 300 - COLO1'!$B:AN,38,FALSE),"N/A")</f>
        <v>N/A</v>
      </c>
      <c r="AI48" s="1124" t="str">
        <f t="shared" ref="AI48:AI49" si="184">IFERROR(VLOOKUP($B48,'LOD 300 - COLO1'!$B:AQ,41,FALSE),"N/A")</f>
        <v>N/A</v>
      </c>
      <c r="AJ48" s="1124" t="str">
        <f t="shared" ref="AJ48:AJ49" si="185">IFERROR(VLOOKUP($B48,'LOD 300 - COLO1'!$B:AT,44,FALSE),"N/A")</f>
        <v>N/A</v>
      </c>
      <c r="AK48" s="1125" t="str">
        <f>IFERROR(__xludf.DUMMYFUNCTION("IF(
  OR(AJ48=""NOT PUBLISHED"", AJ48=""N/A""),
  AJ48,
  IFERROR(MAX(FILTER(Z48:AJ48, ISNUMBER(Z48:AJ48))),"""")
)"),"N/A")</f>
        <v>N/A</v>
      </c>
      <c r="AL48" s="72" t="str">
        <f t="shared" ref="AL48:AL49" si="186">IFERROR(VLOOKUP($B48,'LOD 300 - COLO2'!$B:P,14,FALSE),"N/A")</f>
        <v>N/A</v>
      </c>
      <c r="AM48" s="1134" t="str">
        <f t="shared" ref="AM48:AM49" si="187">IFERROR(VLOOKUP($B48,'LOD 300 - COLO2'!$B:S,17,FALSE),"N/A")</f>
        <v>N/A</v>
      </c>
      <c r="AN48" s="1134" t="str">
        <f t="shared" ref="AN48:AN49" si="188">IFERROR(VLOOKUP($B48,'LOD 300 - COLO2'!$B:V,20,FALSE),"N/A")</f>
        <v>N/A</v>
      </c>
      <c r="AO48" s="1134" t="str">
        <f t="shared" ref="AO48:AO49" si="189">IFERROR(VLOOKUP($B48,'LOD 300 - COLO2'!$B:Y,23,FALSE),"N/A")</f>
        <v>N/A</v>
      </c>
      <c r="AP48" s="1126" t="str">
        <f t="shared" ref="AP48:AP49" si="190">IFERROR(VLOOKUP($B48,'LOD 300 - COLO2'!$B:AB,26,FALSE),"N/A")</f>
        <v>N/A</v>
      </c>
      <c r="AQ48" s="1124" t="str">
        <f t="shared" ref="AQ48:AQ49" si="191">IFERROR(VLOOKUP($B48,'LOD 300 - COLO2'!$B:AE,29,FALSE),"N/A")</f>
        <v>N/A</v>
      </c>
      <c r="AR48" s="1124" t="str">
        <f t="shared" ref="AR48:AR49" si="192">IFERROR(VLOOKUP($B48,'LOD 300 - COLO2'!$B:AH,32,FALSE),"N/A")</f>
        <v>N/A</v>
      </c>
      <c r="AS48" s="1125" t="str">
        <f>IFERROR(__xludf.DUMMYFUNCTION("IF(
  OR(AR48=""NOT PUBLISHED"", AR48=""N/A""),
  AR48,
  IFERROR(MAX(FILTER(AL48:AR48, ISNUMBER(AL48:AR48))),"""")
)"),"N/A")</f>
        <v>N/A</v>
      </c>
      <c r="AT48" s="72" t="str">
        <f t="shared" ref="AT48:AT49" si="193">IFERROR(VLOOKUP($B48,'LOD 300 - SITE'!$B:P,14,FALSE),"N/A")</f>
        <v>N/A</v>
      </c>
      <c r="AU48" s="1134" t="str">
        <f t="shared" ref="AU48:AU49" si="194">IFERROR(VLOOKUP($B48,'LOD 300 - SITE'!$B:S,17,FALSE),"N/A")</f>
        <v>N/A</v>
      </c>
      <c r="AV48" s="1134" t="str">
        <f t="shared" ref="AV48:AV49" si="195">IFERROR(VLOOKUP($B48,'LOD 300 - SITE'!$B:V,20,FALSE),"N/A")</f>
        <v>N/A</v>
      </c>
      <c r="AW48" s="1134" t="str">
        <f t="shared" ref="AW48:AW49" si="196">IFERROR(VLOOKUP($B48,'LOD 300 - SITE'!$B:Y,23,FALSE),"N/A")</f>
        <v>N/A</v>
      </c>
      <c r="AX48" s="1134" t="str">
        <f t="shared" ref="AX48:AX49" si="197">IFERROR(VLOOKUP($B48,'LOD 300 - SITE'!$B:AB,26,FALSE),"N/A")</f>
        <v>N/A</v>
      </c>
      <c r="AY48" s="1135" t="str">
        <f t="shared" ref="AY48:AY49" si="198">IFERROR(VLOOKUP($B48,'LOD 300 - SITE'!$B:AE,29,FALSE),"N/A")</f>
        <v>N/A</v>
      </c>
      <c r="AZ48" s="1127" t="str">
        <f t="shared" ref="AZ48:AZ49" si="199">IFERROR(VLOOKUP($B48,'LOD 300 - SITE'!$B:AH,32,FALSE),"N/A")</f>
        <v>N/A</v>
      </c>
      <c r="BA48" s="1135" t="str">
        <f t="shared" ref="BA48:BA49" si="200">IFERROR(VLOOKUP($B48,'LOD 300 - SITE'!$B:AK,35,FALSE),"N/A")</f>
        <v>N/A</v>
      </c>
      <c r="BB48" s="1127" t="str">
        <f t="shared" ref="BB48:BB49" si="201">IFERROR(VLOOKUP($B48,'LOD 300 - SITE'!$B:AN,38,FALSE),"N/A")</f>
        <v>N/A</v>
      </c>
      <c r="BC48" s="1128" t="str">
        <f>IFERROR(__xludf.DUMMYFUNCTION("IF(
  OR(BB48=""NOT PUBLISHED"", BB48=""N/A""),
  BB48,
  IFERROR(MAX(FILTER(AT48:BB48, ISNUMBER(AT48:BB48))),"""")
)"),"N/A")</f>
        <v>N/A</v>
      </c>
      <c r="BD48" s="1138"/>
      <c r="BE48" s="1138"/>
      <c r="BF48" s="1138"/>
    </row>
    <row r="49" ht="15.0" customHeight="1" outlineLevel="1">
      <c r="A49" s="53">
        <v>46.0</v>
      </c>
      <c r="B49" s="100" t="s">
        <v>177</v>
      </c>
      <c r="C49" s="53">
        <v>46.0</v>
      </c>
      <c r="D49" s="1130" t="s">
        <v>1756</v>
      </c>
      <c r="E49" s="101" t="s">
        <v>165</v>
      </c>
      <c r="F49" s="102">
        <v>1114.0</v>
      </c>
      <c r="G49" s="517" t="s">
        <v>165</v>
      </c>
      <c r="H49" s="517">
        <v>1114.0</v>
      </c>
      <c r="I49" s="821" t="str">
        <f>IFERROR(VLOOKUP(B46:B236,'RELATÓRIO ACC'!B:F,5,FALSE),"NOT PUBLISHED")</f>
        <v>NOT PUBLISHED</v>
      </c>
      <c r="J49" s="1119" t="str">
        <f>IFERROR(VLOOKUP(B46:B236,'RELATÓRIO ACC'!B:P,15,FALSE),"NOT PUBLISHED")</f>
        <v>NOT PUBLISHED</v>
      </c>
      <c r="K49" s="552" t="str">
        <f t="shared" si="162"/>
        <v>#REF!</v>
      </c>
      <c r="L49" s="552" t="str">
        <f t="shared" si="163"/>
        <v>#REF!</v>
      </c>
      <c r="M49" s="899" t="s">
        <v>1764</v>
      </c>
      <c r="N49" s="1132" t="str">
        <f t="shared" si="164"/>
        <v>N/A</v>
      </c>
      <c r="O49" s="1133" t="str">
        <f t="shared" si="165"/>
        <v>N/A</v>
      </c>
      <c r="P49" s="1133" t="str">
        <f t="shared" si="166"/>
        <v>N/A</v>
      </c>
      <c r="Q49" s="1133" t="str">
        <f t="shared" si="167"/>
        <v>N/A</v>
      </c>
      <c r="R49" s="1133" t="str">
        <f t="shared" si="168"/>
        <v>N/A</v>
      </c>
      <c r="S49" s="1133" t="str">
        <f t="shared" si="169"/>
        <v>N/A</v>
      </c>
      <c r="T49" s="1133" t="str">
        <f t="shared" si="170"/>
        <v>N/A</v>
      </c>
      <c r="U49" s="1133" t="str">
        <f t="shared" si="171"/>
        <v>N/A</v>
      </c>
      <c r="V49" s="1122" t="str">
        <f t="shared" si="172"/>
        <v>N/A</v>
      </c>
      <c r="W49" s="1124" t="str">
        <f t="shared" si="173"/>
        <v>N/A</v>
      </c>
      <c r="X49" s="1124" t="str">
        <f t="shared" si="174"/>
        <v>N/A</v>
      </c>
      <c r="Y49" s="1125" t="str">
        <f>IFERROR(__xludf.DUMMYFUNCTION("IF(
  OR(X49=""NOT PUBLISHED"", X49=""N/A""),
  X49,
  IFERROR(MAX(FILTER(N49:X49, ISNUMBER(N49:X49))),"""")
)"),"N/A")</f>
        <v>N/A</v>
      </c>
      <c r="Z49" s="72" t="str">
        <f t="shared" si="175"/>
        <v>N/A</v>
      </c>
      <c r="AA49" s="1134" t="str">
        <f t="shared" si="176"/>
        <v>N/A</v>
      </c>
      <c r="AB49" s="1134" t="str">
        <f t="shared" si="177"/>
        <v>N/A</v>
      </c>
      <c r="AC49" s="1134" t="str">
        <f t="shared" si="178"/>
        <v>N/A</v>
      </c>
      <c r="AD49" s="1134" t="str">
        <f t="shared" si="179"/>
        <v>N/A</v>
      </c>
      <c r="AE49" s="1134" t="str">
        <f t="shared" si="180"/>
        <v>N/A</v>
      </c>
      <c r="AF49" s="1134" t="str">
        <f t="shared" si="181"/>
        <v>N/A</v>
      </c>
      <c r="AG49" s="1134" t="str">
        <f t="shared" si="182"/>
        <v>N/A</v>
      </c>
      <c r="AH49" s="1122" t="str">
        <f t="shared" si="183"/>
        <v>N/A</v>
      </c>
      <c r="AI49" s="1124" t="str">
        <f t="shared" si="184"/>
        <v>N/A</v>
      </c>
      <c r="AJ49" s="1124" t="str">
        <f t="shared" si="185"/>
        <v>N/A</v>
      </c>
      <c r="AK49" s="1125" t="str">
        <f>IFERROR(__xludf.DUMMYFUNCTION("IF(
  OR(AJ49=""NOT PUBLISHED"", AJ49=""N/A""),
  AJ49,
  IFERROR(MAX(FILTER(Z49:AJ49, ISNUMBER(Z49:AJ49))),"""")
)"),"N/A")</f>
        <v>N/A</v>
      </c>
      <c r="AL49" s="72" t="str">
        <f t="shared" si="186"/>
        <v>N/A</v>
      </c>
      <c r="AM49" s="1134" t="str">
        <f t="shared" si="187"/>
        <v>N/A</v>
      </c>
      <c r="AN49" s="1134" t="str">
        <f t="shared" si="188"/>
        <v>N/A</v>
      </c>
      <c r="AO49" s="1134" t="str">
        <f t="shared" si="189"/>
        <v>N/A</v>
      </c>
      <c r="AP49" s="1126" t="str">
        <f t="shared" si="190"/>
        <v>N/A</v>
      </c>
      <c r="AQ49" s="1124" t="str">
        <f t="shared" si="191"/>
        <v>N/A</v>
      </c>
      <c r="AR49" s="1124" t="str">
        <f t="shared" si="192"/>
        <v>N/A</v>
      </c>
      <c r="AS49" s="1125" t="str">
        <f>IFERROR(__xludf.DUMMYFUNCTION("IF(
  OR(AR49=""NOT PUBLISHED"", AR49=""N/A""),
  AR49,
  IFERROR(MAX(FILTER(AL49:AR49, ISNUMBER(AL49:AR49))),"""")
)"),"N/A")</f>
        <v>N/A</v>
      </c>
      <c r="AT49" s="72" t="str">
        <f t="shared" si="193"/>
        <v>N/A</v>
      </c>
      <c r="AU49" s="1134" t="str">
        <f t="shared" si="194"/>
        <v>N/A</v>
      </c>
      <c r="AV49" s="1134" t="str">
        <f t="shared" si="195"/>
        <v>N/A</v>
      </c>
      <c r="AW49" s="1134" t="str">
        <f t="shared" si="196"/>
        <v>N/A</v>
      </c>
      <c r="AX49" s="1134" t="str">
        <f t="shared" si="197"/>
        <v>N/A</v>
      </c>
      <c r="AY49" s="1135" t="str">
        <f t="shared" si="198"/>
        <v>N/A</v>
      </c>
      <c r="AZ49" s="1127" t="str">
        <f t="shared" si="199"/>
        <v>N/A</v>
      </c>
      <c r="BA49" s="1135" t="str">
        <f t="shared" si="200"/>
        <v>N/A</v>
      </c>
      <c r="BB49" s="1127" t="str">
        <f t="shared" si="201"/>
        <v>N/A</v>
      </c>
      <c r="BC49" s="1128" t="str">
        <f>IFERROR(__xludf.DUMMYFUNCTION("IF(
  OR(BB49=""NOT PUBLISHED"", BB49=""N/A""),
  BB49,
  IFERROR(MAX(FILTER(AT49:BB49, ISNUMBER(AT49:BB49))),"""")
)"),"N/A")</f>
        <v>N/A</v>
      </c>
      <c r="BD49" s="1129"/>
      <c r="BE49" s="1129"/>
      <c r="BF49" s="1129"/>
    </row>
    <row r="50" ht="15.0" customHeight="1">
      <c r="A50" s="53">
        <v>47.0</v>
      </c>
      <c r="B50" s="124" t="s">
        <v>178</v>
      </c>
      <c r="C50" s="53">
        <v>47.0</v>
      </c>
      <c r="D50" s="167"/>
      <c r="E50" s="167"/>
      <c r="F50" s="167"/>
      <c r="G50" s="167"/>
      <c r="H50" s="169"/>
      <c r="I50" s="170"/>
      <c r="J50" s="592"/>
      <c r="K50" s="167"/>
      <c r="L50" s="167"/>
      <c r="M50" s="170"/>
      <c r="N50" s="1162"/>
      <c r="O50" s="1163"/>
      <c r="P50" s="1163"/>
      <c r="Q50" s="1164"/>
      <c r="R50" s="1165"/>
      <c r="S50" s="1165"/>
      <c r="T50" s="1165"/>
      <c r="U50" s="1165"/>
      <c r="V50" s="1165"/>
      <c r="W50" s="1166"/>
      <c r="X50" s="1166"/>
      <c r="Y50" s="1166"/>
      <c r="Z50" s="1167"/>
      <c r="AA50" s="1168"/>
      <c r="AB50" s="1168"/>
      <c r="AC50" s="1169"/>
      <c r="AD50" s="1170"/>
      <c r="AE50" s="1170"/>
      <c r="AF50" s="1170"/>
      <c r="AG50" s="1170"/>
      <c r="AH50" s="1165"/>
      <c r="AI50" s="1166"/>
      <c r="AJ50" s="1166"/>
      <c r="AK50" s="1166"/>
      <c r="AL50" s="1166"/>
      <c r="AM50" s="1170"/>
      <c r="AN50" s="1170"/>
      <c r="AO50" s="1170"/>
      <c r="AP50" s="1165"/>
      <c r="AQ50" s="1166"/>
      <c r="AR50" s="1166"/>
      <c r="AS50" s="1166"/>
      <c r="AT50" s="1166"/>
      <c r="AU50" s="1166"/>
      <c r="AV50" s="1166"/>
      <c r="AW50" s="1166"/>
      <c r="AX50" s="1166"/>
      <c r="AY50" s="1166"/>
      <c r="AZ50" s="1166"/>
      <c r="BA50" s="1166"/>
      <c r="BB50" s="1166"/>
      <c r="BC50" s="1166"/>
      <c r="BD50" s="1160"/>
      <c r="BE50" s="1160"/>
      <c r="BF50" s="1160"/>
    </row>
    <row r="51" ht="15.0" customHeight="1" outlineLevel="1">
      <c r="A51" s="53">
        <v>48.0</v>
      </c>
      <c r="B51" s="100" t="s">
        <v>180</v>
      </c>
      <c r="C51" s="53">
        <v>48.0</v>
      </c>
      <c r="D51" s="1130" t="s">
        <v>1756</v>
      </c>
      <c r="E51" s="101" t="s">
        <v>154</v>
      </c>
      <c r="F51" s="102">
        <v>1112.0</v>
      </c>
      <c r="G51" s="517" t="s">
        <v>155</v>
      </c>
      <c r="H51" s="517">
        <v>1129.0</v>
      </c>
      <c r="I51" s="821" t="str">
        <f>IFERROR(VLOOKUP(B48:B238,'RELATÓRIO ACC'!B:F,5,FALSE),"NOT PUBLISHED")</f>
        <v>NOT PUBLISHED</v>
      </c>
      <c r="J51" s="1119" t="str">
        <f>IFERROR(VLOOKUP(B48:B238,'RELATÓRIO ACC'!B:P,15,FALSE),"NOT PUBLISHED")</f>
        <v>NOT PUBLISHED</v>
      </c>
      <c r="K51" s="552" t="str">
        <f t="shared" ref="K51:K52" si="202">IF(OR($D51="UTLS",$D51="GUAR",$D51="STIR",$D51="PUMP",$D51="SITE"),
   VLOOKUP($B51,'LOD 300 - SITE'!C:K,9,FALSE),
   VLOOKUP($B51,'LOD 300 - ADMN'!C:K,9,FALSE)
)</f>
        <v>#REF!</v>
      </c>
      <c r="L51" s="552" t="str">
        <f t="shared" ref="L51:L52" si="203">IF(OR($D51="UTLS",$D51="GUAR",$D51="STIR",$D51="PUMP",$D51="SITE"),
   VLOOKUP($B51,'LOD 300 - SITE'!C:L,10,FALSE),
   VLOOKUP($B51,'LOD 300 - ADMN'!C:Q,10,FALSE)
)</f>
        <v>#REF!</v>
      </c>
      <c r="M51" s="899" t="s">
        <v>445</v>
      </c>
      <c r="N51" s="1132" t="str">
        <f t="shared" ref="N51:N52" si="204">IFERROR(VLOOKUP($B51,'LOD 300 - ADMN'!$B:P,14,FALSE),"N/A")</f>
        <v>N/A</v>
      </c>
      <c r="O51" s="1133" t="str">
        <f t="shared" ref="O51:O52" si="205">IFERROR(VLOOKUP($B51,'LOD 300 - ADMN'!$B:S,17,FALSE),"N/A")</f>
        <v>N/A</v>
      </c>
      <c r="P51" s="1133" t="str">
        <f t="shared" ref="P51:P52" si="206">IFERROR(VLOOKUP($B51,'LOD 300 - ADMN'!$B:V,20,FALSE),"N/A")</f>
        <v>N/A</v>
      </c>
      <c r="Q51" s="1133" t="str">
        <f t="shared" ref="Q51:Q52" si="207">IFERROR(VLOOKUP($B51,'LOD 300 - ADMN'!$B:Y,23,FALSE),"N/A")</f>
        <v>N/A</v>
      </c>
      <c r="R51" s="1133" t="str">
        <f t="shared" ref="R51:R52" si="208">IFERROR(VLOOKUP($B51,'LOD 300 - ADMN'!$B:AB,26,FALSE),"N/A")</f>
        <v>N/A</v>
      </c>
      <c r="S51" s="1133" t="str">
        <f t="shared" ref="S51:S52" si="209">IFERROR(VLOOKUP($B51,'LOD 300 - ADMN'!$B:AE,29,FALSE),"N/A")</f>
        <v>N/A</v>
      </c>
      <c r="T51" s="1133" t="str">
        <f t="shared" ref="T51:T52" si="210">IFERROR(VLOOKUP($B51,'LOD 300 - ADMN'!$B:AH,32,FALSE),"N/A")</f>
        <v>N/A</v>
      </c>
      <c r="U51" s="1133" t="str">
        <f t="shared" ref="U51:U52" si="211">IFERROR(VLOOKUP($B51,'LOD 300 - ADMN'!$B:AK,35,FALSE),"N/A")</f>
        <v>N/A</v>
      </c>
      <c r="V51" s="1122" t="str">
        <f t="shared" ref="V51:V52" si="212">IFERROR(VLOOKUP($B51,'LOD 300 - ADMN'!$B:AN,38,FALSE),"N/A")</f>
        <v>N/A</v>
      </c>
      <c r="W51" s="1124" t="str">
        <f t="shared" ref="W51:W52" si="213">IFERROR(VLOOKUP($B51,'LOD 300 - ADMN'!$B:AQ,41,FALSE),"N/A")</f>
        <v>N/A</v>
      </c>
      <c r="X51" s="1124" t="str">
        <f t="shared" ref="X51:X52" si="214">IFERROR(VLOOKUP($B51,'LOD 300 - ADMN'!$B:AT,44,FALSE),"N/A")</f>
        <v>N/A</v>
      </c>
      <c r="Y51" s="1125" t="str">
        <f>IFERROR(__xludf.DUMMYFUNCTION("IF(
  OR(X51=""NOT PUBLISHED"", X51=""N/A""),
  X51,
  IFERROR(MAX(FILTER(N51:X51, ISNUMBER(N51:X51))),"""")
)"),"N/A")</f>
        <v>N/A</v>
      </c>
      <c r="Z51" s="72" t="str">
        <f t="shared" ref="Z51:Z52" si="215">IFERROR(VLOOKUP($B51,'LOD 300 - COLO1'!$B:P,14,FALSE),"N/A")</f>
        <v>N/A</v>
      </c>
      <c r="AA51" s="1134" t="str">
        <f t="shared" ref="AA51:AA52" si="216">IFERROR(VLOOKUP($B51,'LOD 300 - COLO1'!$B:S,17,FALSE),"N/A")</f>
        <v>N/A</v>
      </c>
      <c r="AB51" s="1134" t="str">
        <f t="shared" ref="AB51:AB52" si="217">IFERROR(VLOOKUP($B51,'LOD 300 - COLO1'!$B:V,20,FALSE),"N/A")</f>
        <v>N/A</v>
      </c>
      <c r="AC51" s="1134" t="str">
        <f t="shared" ref="AC51:AC52" si="218">IFERROR(VLOOKUP($B51,'LOD 300 - COLO1'!$B:Y,23,FALSE),"N/A")</f>
        <v>N/A</v>
      </c>
      <c r="AD51" s="1134" t="str">
        <f t="shared" ref="AD51:AD52" si="219">IFERROR(VLOOKUP($B51,'LOD 300 - COLO1'!$B:AB,26,FALSE),"N/A")</f>
        <v>N/A</v>
      </c>
      <c r="AE51" s="1134" t="str">
        <f t="shared" ref="AE51:AE52" si="220">IFERROR(VLOOKUP($B51,'LOD 300 - COLO1'!$B:AE,29,FALSE),"N/A")</f>
        <v>N/A</v>
      </c>
      <c r="AF51" s="1134" t="str">
        <f t="shared" ref="AF51:AF52" si="221">IFERROR(VLOOKUP($B51,'LOD 300 - COLO1'!$B:AH,32,FALSE),"N/A")</f>
        <v>N/A</v>
      </c>
      <c r="AG51" s="1134" t="str">
        <f t="shared" ref="AG51:AG52" si="222">IFERROR(VLOOKUP($B51,'LOD 300 - COLO1'!$B:AK,35,FALSE),"N/A")</f>
        <v>N/A</v>
      </c>
      <c r="AH51" s="1122" t="str">
        <f t="shared" ref="AH51:AH52" si="223">IFERROR(VLOOKUP($B51,'LOD 300 - COLO1'!$B:AN,38,FALSE),"N/A")</f>
        <v>N/A</v>
      </c>
      <c r="AI51" s="1124" t="str">
        <f t="shared" ref="AI51:AI52" si="224">IFERROR(VLOOKUP($B51,'LOD 300 - COLO1'!$B:AQ,41,FALSE),"N/A")</f>
        <v>N/A</v>
      </c>
      <c r="AJ51" s="1124" t="str">
        <f t="shared" ref="AJ51:AJ52" si="225">IFERROR(VLOOKUP($B51,'LOD 300 - COLO1'!$B:AT,44,FALSE),"N/A")</f>
        <v>N/A</v>
      </c>
      <c r="AK51" s="1125" t="str">
        <f>IFERROR(__xludf.DUMMYFUNCTION("IF(
  OR(AJ51=""NOT PUBLISHED"", AJ51=""N/A""),
  AJ51,
  IFERROR(MAX(FILTER(Z51:AJ51, ISNUMBER(Z51:AJ51))),"""")
)"),"N/A")</f>
        <v>N/A</v>
      </c>
      <c r="AL51" s="72" t="str">
        <f t="shared" ref="AL51:AL52" si="226">IFERROR(VLOOKUP($B51,'LOD 300 - COLO2'!$B:P,14,FALSE),"N/A")</f>
        <v>N/A</v>
      </c>
      <c r="AM51" s="1134" t="str">
        <f t="shared" ref="AM51:AM52" si="227">IFERROR(VLOOKUP($B51,'LOD 300 - COLO2'!$B:S,17,FALSE),"N/A")</f>
        <v>N/A</v>
      </c>
      <c r="AN51" s="1134" t="str">
        <f t="shared" ref="AN51:AN52" si="228">IFERROR(VLOOKUP($B51,'LOD 300 - COLO2'!$B:V,20,FALSE),"N/A")</f>
        <v>N/A</v>
      </c>
      <c r="AO51" s="1134" t="str">
        <f t="shared" ref="AO51:AO52" si="229">IFERROR(VLOOKUP($B51,'LOD 300 - COLO2'!$B:Y,23,FALSE),"N/A")</f>
        <v>N/A</v>
      </c>
      <c r="AP51" s="1126" t="str">
        <f t="shared" ref="AP51:AP52" si="230">IFERROR(VLOOKUP($B51,'LOD 300 - COLO2'!$B:AB,26,FALSE),"N/A")</f>
        <v>N/A</v>
      </c>
      <c r="AQ51" s="1124" t="str">
        <f t="shared" ref="AQ51:AQ52" si="231">IFERROR(VLOOKUP($B51,'LOD 300 - COLO2'!$B:AE,29,FALSE),"N/A")</f>
        <v>N/A</v>
      </c>
      <c r="AR51" s="1124" t="str">
        <f t="shared" ref="AR51:AR52" si="232">IFERROR(VLOOKUP($B51,'LOD 300 - COLO2'!$B:AH,32,FALSE),"N/A")</f>
        <v>N/A</v>
      </c>
      <c r="AS51" s="1125" t="str">
        <f>IFERROR(__xludf.DUMMYFUNCTION("IF(
  OR(AR51=""NOT PUBLISHED"", AR51=""N/A""),
  AR51,
  IFERROR(MAX(FILTER(AL51:AR51, ISNUMBER(AL51:AR51))),"""")
)"),"N/A")</f>
        <v>N/A</v>
      </c>
      <c r="AT51" s="72" t="str">
        <f t="shared" ref="AT51:AT52" si="233">IFERROR(VLOOKUP($B51,'LOD 300 - SITE'!$B:P,14,FALSE),"N/A")</f>
        <v>N/A</v>
      </c>
      <c r="AU51" s="1134" t="str">
        <f t="shared" ref="AU51:AU52" si="234">IFERROR(VLOOKUP($B51,'LOD 300 - SITE'!$B:S,17,FALSE),"N/A")</f>
        <v>N/A</v>
      </c>
      <c r="AV51" s="1134" t="str">
        <f t="shared" ref="AV51:AV52" si="235">IFERROR(VLOOKUP($B51,'LOD 300 - SITE'!$B:V,20,FALSE),"N/A")</f>
        <v>N/A</v>
      </c>
      <c r="AW51" s="1134" t="str">
        <f t="shared" ref="AW51:AW52" si="236">IFERROR(VLOOKUP($B51,'LOD 300 - SITE'!$B:Y,23,FALSE),"N/A")</f>
        <v>N/A</v>
      </c>
      <c r="AX51" s="1134" t="str">
        <f t="shared" ref="AX51:AX52" si="237">IFERROR(VLOOKUP($B51,'LOD 300 - SITE'!$B:AB,26,FALSE),"N/A")</f>
        <v>N/A</v>
      </c>
      <c r="AY51" s="1135" t="str">
        <f t="shared" ref="AY51:AY52" si="238">IFERROR(VLOOKUP($B51,'LOD 300 - SITE'!$B:AE,29,FALSE),"N/A")</f>
        <v>N/A</v>
      </c>
      <c r="AZ51" s="1127" t="str">
        <f t="shared" ref="AZ51:AZ52" si="239">IFERROR(VLOOKUP($B51,'LOD 300 - SITE'!$B:AH,32,FALSE),"N/A")</f>
        <v>N/A</v>
      </c>
      <c r="BA51" s="1135" t="str">
        <f t="shared" ref="BA51:BA52" si="240">IFERROR(VLOOKUP($B51,'LOD 300 - SITE'!$B:AK,35,FALSE),"N/A")</f>
        <v>N/A</v>
      </c>
      <c r="BB51" s="1127" t="str">
        <f t="shared" ref="BB51:BB52" si="241">IFERROR(VLOOKUP($B51,'LOD 300 - SITE'!$B:AN,38,FALSE),"N/A")</f>
        <v>N/A</v>
      </c>
      <c r="BC51" s="1128" t="str">
        <f>IFERROR(__xludf.DUMMYFUNCTION("IF(
  OR(BB51=""NOT PUBLISHED"", BB51=""N/A""),
  BB51,
  IFERROR(MAX(FILTER(AT51:BB51, ISNUMBER(AT51:BB51))),"""")
)"),"N/A")</f>
        <v>N/A</v>
      </c>
      <c r="BD51" s="1129"/>
      <c r="BE51" s="1129"/>
      <c r="BF51" s="1129"/>
    </row>
    <row r="52" ht="15.0" customHeight="1" outlineLevel="1">
      <c r="A52" s="53">
        <v>49.0</v>
      </c>
      <c r="B52" s="100" t="s">
        <v>182</v>
      </c>
      <c r="C52" s="53">
        <v>49.0</v>
      </c>
      <c r="D52" s="1130" t="s">
        <v>1765</v>
      </c>
      <c r="E52" s="101" t="s">
        <v>154</v>
      </c>
      <c r="F52" s="102">
        <v>1112.0</v>
      </c>
      <c r="G52" s="517" t="s">
        <v>155</v>
      </c>
      <c r="H52" s="517">
        <v>1129.0</v>
      </c>
      <c r="I52" s="821" t="str">
        <f>IFERROR(VLOOKUP(B49:B239,'RELATÓRIO ACC'!B:F,5,FALSE),"NOT PUBLISHED")</f>
        <v>NOT PUBLISHED</v>
      </c>
      <c r="J52" s="1119" t="str">
        <f>IFERROR(VLOOKUP(B49:B239,'RELATÓRIO ACC'!B:P,15,FALSE),"NOT PUBLISHED")</f>
        <v>NOT PUBLISHED</v>
      </c>
      <c r="K52" s="552" t="str">
        <f t="shared" si="202"/>
        <v>#REF!</v>
      </c>
      <c r="L52" s="552" t="str">
        <f t="shared" si="203"/>
        <v>#REF!</v>
      </c>
      <c r="M52" s="899" t="s">
        <v>445</v>
      </c>
      <c r="N52" s="1132" t="str">
        <f t="shared" si="204"/>
        <v>N/A</v>
      </c>
      <c r="O52" s="1133" t="str">
        <f t="shared" si="205"/>
        <v>N/A</v>
      </c>
      <c r="P52" s="1133" t="str">
        <f t="shared" si="206"/>
        <v>N/A</v>
      </c>
      <c r="Q52" s="1133" t="str">
        <f t="shared" si="207"/>
        <v>N/A</v>
      </c>
      <c r="R52" s="1133" t="str">
        <f t="shared" si="208"/>
        <v>N/A</v>
      </c>
      <c r="S52" s="1133" t="str">
        <f t="shared" si="209"/>
        <v>N/A</v>
      </c>
      <c r="T52" s="1133" t="str">
        <f t="shared" si="210"/>
        <v>N/A</v>
      </c>
      <c r="U52" s="1133" t="str">
        <f t="shared" si="211"/>
        <v>N/A</v>
      </c>
      <c r="V52" s="1122" t="str">
        <f t="shared" si="212"/>
        <v>N/A</v>
      </c>
      <c r="W52" s="1124" t="str">
        <f t="shared" si="213"/>
        <v>N/A</v>
      </c>
      <c r="X52" s="1124" t="str">
        <f t="shared" si="214"/>
        <v>N/A</v>
      </c>
      <c r="Y52" s="1125" t="str">
        <f>IFERROR(__xludf.DUMMYFUNCTION("IF(
  OR(X52=""NOT PUBLISHED"", X52=""N/A""),
  X52,
  IFERROR(MAX(FILTER(N52:X52, ISNUMBER(N52:X52))),"""")
)"),"N/A")</f>
        <v>N/A</v>
      </c>
      <c r="Z52" s="72" t="str">
        <f t="shared" si="215"/>
        <v>N/A</v>
      </c>
      <c r="AA52" s="1134" t="str">
        <f t="shared" si="216"/>
        <v>N/A</v>
      </c>
      <c r="AB52" s="1134" t="str">
        <f t="shared" si="217"/>
        <v>N/A</v>
      </c>
      <c r="AC52" s="1134" t="str">
        <f t="shared" si="218"/>
        <v>N/A</v>
      </c>
      <c r="AD52" s="1134" t="str">
        <f t="shared" si="219"/>
        <v>N/A</v>
      </c>
      <c r="AE52" s="1134" t="str">
        <f t="shared" si="220"/>
        <v>N/A</v>
      </c>
      <c r="AF52" s="1134" t="str">
        <f t="shared" si="221"/>
        <v>N/A</v>
      </c>
      <c r="AG52" s="1134" t="str">
        <f t="shared" si="222"/>
        <v>N/A</v>
      </c>
      <c r="AH52" s="1122" t="str">
        <f t="shared" si="223"/>
        <v>N/A</v>
      </c>
      <c r="AI52" s="1124" t="str">
        <f t="shared" si="224"/>
        <v>N/A</v>
      </c>
      <c r="AJ52" s="1124" t="str">
        <f t="shared" si="225"/>
        <v>N/A</v>
      </c>
      <c r="AK52" s="1125" t="str">
        <f>IFERROR(__xludf.DUMMYFUNCTION("IF(
  OR(AJ52=""NOT PUBLISHED"", AJ52=""N/A""),
  AJ52,
  IFERROR(MAX(FILTER(Z52:AJ52, ISNUMBER(Z52:AJ52))),"""")
)"),"N/A")</f>
        <v>N/A</v>
      </c>
      <c r="AL52" s="72" t="str">
        <f t="shared" si="226"/>
        <v>N/A</v>
      </c>
      <c r="AM52" s="1134" t="str">
        <f t="shared" si="227"/>
        <v>N/A</v>
      </c>
      <c r="AN52" s="1134" t="str">
        <f t="shared" si="228"/>
        <v>N/A</v>
      </c>
      <c r="AO52" s="1134" t="str">
        <f t="shared" si="229"/>
        <v>N/A</v>
      </c>
      <c r="AP52" s="1126" t="str">
        <f t="shared" si="230"/>
        <v>N/A</v>
      </c>
      <c r="AQ52" s="1124" t="str">
        <f t="shared" si="231"/>
        <v>N/A</v>
      </c>
      <c r="AR52" s="1124" t="str">
        <f t="shared" si="232"/>
        <v>N/A</v>
      </c>
      <c r="AS52" s="1125" t="str">
        <f>IFERROR(__xludf.DUMMYFUNCTION("IF(
  OR(AR52=""NOT PUBLISHED"", AR52=""N/A""),
  AR52,
  IFERROR(MAX(FILTER(AL52:AR52, ISNUMBER(AL52:AR52))),"""")
)"),"N/A")</f>
        <v>N/A</v>
      </c>
      <c r="AT52" s="72" t="str">
        <f t="shared" si="233"/>
        <v>N/A</v>
      </c>
      <c r="AU52" s="1134" t="str">
        <f t="shared" si="234"/>
        <v>N/A</v>
      </c>
      <c r="AV52" s="1134" t="str">
        <f t="shared" si="235"/>
        <v>N/A</v>
      </c>
      <c r="AW52" s="1134" t="str">
        <f t="shared" si="236"/>
        <v>N/A</v>
      </c>
      <c r="AX52" s="1134" t="str">
        <f t="shared" si="237"/>
        <v>N/A</v>
      </c>
      <c r="AY52" s="1135" t="str">
        <f t="shared" si="238"/>
        <v>N/A</v>
      </c>
      <c r="AZ52" s="1127" t="str">
        <f t="shared" si="239"/>
        <v>N/A</v>
      </c>
      <c r="BA52" s="1135" t="str">
        <f t="shared" si="240"/>
        <v>N/A</v>
      </c>
      <c r="BB52" s="1127" t="str">
        <f t="shared" si="241"/>
        <v>N/A</v>
      </c>
      <c r="BC52" s="1128" t="str">
        <f>IFERROR(__xludf.DUMMYFUNCTION("IF(
  OR(BB52=""NOT PUBLISHED"", BB52=""N/A""),
  BB52,
  IFERROR(MAX(FILTER(AT52:BB52, ISNUMBER(AT52:BB52))),"""")
)"),"N/A")</f>
        <v>N/A</v>
      </c>
      <c r="BD52" s="545"/>
      <c r="BE52" s="545"/>
      <c r="BF52" s="545"/>
    </row>
    <row r="53" ht="15.0" customHeight="1">
      <c r="A53" s="53">
        <v>50.0</v>
      </c>
      <c r="B53" s="146" t="s">
        <v>183</v>
      </c>
      <c r="C53" s="53">
        <v>50.0</v>
      </c>
      <c r="D53" s="148"/>
      <c r="E53" s="148"/>
      <c r="F53" s="148"/>
      <c r="G53" s="148"/>
      <c r="H53" s="150"/>
      <c r="I53" s="151"/>
      <c r="J53" s="581"/>
      <c r="K53" s="148"/>
      <c r="L53" s="148"/>
      <c r="M53" s="151"/>
      <c r="N53" s="1171"/>
      <c r="O53" s="1172"/>
      <c r="P53" s="1172"/>
      <c r="Q53" s="1173"/>
      <c r="R53" s="1174"/>
      <c r="S53" s="1174"/>
      <c r="T53" s="1174"/>
      <c r="U53" s="1174"/>
      <c r="V53" s="1174"/>
      <c r="W53" s="1175"/>
      <c r="X53" s="1175"/>
      <c r="Y53" s="1175"/>
      <c r="Z53" s="148"/>
      <c r="AA53" s="1176"/>
      <c r="AB53" s="1176"/>
      <c r="AC53" s="1177"/>
      <c r="AD53" s="1178"/>
      <c r="AE53" s="1178"/>
      <c r="AF53" s="1178"/>
      <c r="AG53" s="1178"/>
      <c r="AH53" s="1174"/>
      <c r="AI53" s="1175"/>
      <c r="AJ53" s="1175"/>
      <c r="AK53" s="1175"/>
      <c r="AL53" s="1175"/>
      <c r="AM53" s="1178"/>
      <c r="AN53" s="1178"/>
      <c r="AO53" s="1178"/>
      <c r="AP53" s="1174"/>
      <c r="AQ53" s="1175"/>
      <c r="AR53" s="1175"/>
      <c r="AS53" s="1175"/>
      <c r="AT53" s="1175"/>
      <c r="AU53" s="1175"/>
      <c r="AV53" s="1175"/>
      <c r="AW53" s="1175"/>
      <c r="AX53" s="1175"/>
      <c r="AY53" s="1175"/>
      <c r="AZ53" s="1175"/>
      <c r="BA53" s="1175"/>
      <c r="BB53" s="1175"/>
      <c r="BC53" s="1175"/>
      <c r="BD53" s="1160"/>
      <c r="BE53" s="1160"/>
      <c r="BF53" s="1160"/>
    </row>
    <row r="54" ht="15.0" customHeight="1" outlineLevel="1">
      <c r="A54" s="53">
        <v>51.0</v>
      </c>
      <c r="B54" s="100" t="s">
        <v>185</v>
      </c>
      <c r="C54" s="53">
        <v>51.0</v>
      </c>
      <c r="D54" s="1130" t="s">
        <v>1765</v>
      </c>
      <c r="E54" s="101" t="s">
        <v>165</v>
      </c>
      <c r="F54" s="102">
        <v>1114.0</v>
      </c>
      <c r="G54" s="517" t="s">
        <v>165</v>
      </c>
      <c r="H54" s="517">
        <v>1114.0</v>
      </c>
      <c r="I54" s="821" t="str">
        <f>IFERROR(VLOOKUP(B51:B241,'RELATÓRIO ACC'!B:F,5,FALSE),"NOT PUBLISHED")</f>
        <v>NOT PUBLISHED</v>
      </c>
      <c r="J54" s="1119" t="str">
        <f>IFERROR(VLOOKUP(B51:B241,'RELATÓRIO ACC'!B:P,15,FALSE),"NOT PUBLISHED")</f>
        <v>NOT PUBLISHED</v>
      </c>
      <c r="K54" s="552" t="str">
        <f t="shared" ref="K54:K55" si="242">IF(OR($D54="UTLS",$D54="GUAR",$D54="STIR",$D54="PUMP",$D54="SITE"),
   VLOOKUP($B54,'LOD 300 - SITE'!C:K,9,FALSE),
   VLOOKUP($B54,'LOD 300 - ADMN'!C:K,9,FALSE)
)</f>
        <v>#REF!</v>
      </c>
      <c r="L54" s="552" t="str">
        <f t="shared" ref="L54:L55" si="243">IF(OR($D54="UTLS",$D54="GUAR",$D54="STIR",$D54="PUMP",$D54="SITE"),
   VLOOKUP($B54,'LOD 300 - SITE'!C:L,10,FALSE),
   VLOOKUP($B54,'LOD 300 - ADMN'!C:Q,10,FALSE)
)</f>
        <v>#REF!</v>
      </c>
      <c r="M54" s="899" t="s">
        <v>461</v>
      </c>
      <c r="N54" s="1132" t="str">
        <f t="shared" ref="N54:N55" si="244">IFERROR(VLOOKUP($B54,'LOD 300 - ADMN'!$B:P,14,FALSE),"N/A")</f>
        <v>N/A</v>
      </c>
      <c r="O54" s="1133" t="str">
        <f t="shared" ref="O54:O55" si="245">IFERROR(VLOOKUP($B54,'LOD 300 - ADMN'!$B:S,17,FALSE),"N/A")</f>
        <v>N/A</v>
      </c>
      <c r="P54" s="1133" t="str">
        <f t="shared" ref="P54:P55" si="246">IFERROR(VLOOKUP($B54,'LOD 300 - ADMN'!$B:V,20,FALSE),"N/A")</f>
        <v>N/A</v>
      </c>
      <c r="Q54" s="1133" t="str">
        <f t="shared" ref="Q54:Q55" si="247">IFERROR(VLOOKUP($B54,'LOD 300 - ADMN'!$B:Y,23,FALSE),"N/A")</f>
        <v>N/A</v>
      </c>
      <c r="R54" s="1133" t="str">
        <f t="shared" ref="R54:R55" si="248">IFERROR(VLOOKUP($B54,'LOD 300 - ADMN'!$B:AB,26,FALSE),"N/A")</f>
        <v>N/A</v>
      </c>
      <c r="S54" s="1133" t="str">
        <f t="shared" ref="S54:S55" si="249">IFERROR(VLOOKUP($B54,'LOD 300 - ADMN'!$B:AE,29,FALSE),"N/A")</f>
        <v>N/A</v>
      </c>
      <c r="T54" s="1133" t="str">
        <f t="shared" ref="T54:T55" si="250">IFERROR(VLOOKUP($B54,'LOD 300 - ADMN'!$B:AH,32,FALSE),"N/A")</f>
        <v>N/A</v>
      </c>
      <c r="U54" s="1133" t="str">
        <f t="shared" ref="U54:U55" si="251">IFERROR(VLOOKUP($B54,'LOD 300 - ADMN'!$B:AK,35,FALSE),"N/A")</f>
        <v>N/A</v>
      </c>
      <c r="V54" s="1122" t="str">
        <f t="shared" ref="V54:V55" si="252">IFERROR(VLOOKUP($B54,'LOD 300 - ADMN'!$B:AN,38,FALSE),"N/A")</f>
        <v>N/A</v>
      </c>
      <c r="W54" s="1124" t="str">
        <f t="shared" ref="W54:W55" si="253">IFERROR(VLOOKUP($B54,'LOD 300 - ADMN'!$B:AQ,41,FALSE),"N/A")</f>
        <v>N/A</v>
      </c>
      <c r="X54" s="1124" t="str">
        <f t="shared" ref="X54:X55" si="254">IFERROR(VLOOKUP($B54,'LOD 300 - ADMN'!$B:AT,44,FALSE),"N/A")</f>
        <v>N/A</v>
      </c>
      <c r="Y54" s="1125" t="str">
        <f>IFERROR(__xludf.DUMMYFUNCTION("IF(
  OR(X54=""NOT PUBLISHED"", X54=""N/A""),
  X54,
  IFERROR(MAX(FILTER(N54:X54, ISNUMBER(N54:X54))),"""")
)"),"N/A")</f>
        <v>N/A</v>
      </c>
      <c r="Z54" s="72" t="str">
        <f t="shared" ref="Z54:Z55" si="255">IFERROR(VLOOKUP($B54,'LOD 300 - COLO1'!$B:P,14,FALSE),"N/A")</f>
        <v>N/A</v>
      </c>
      <c r="AA54" s="1134" t="str">
        <f t="shared" ref="AA54:AA55" si="256">IFERROR(VLOOKUP($B54,'LOD 300 - COLO1'!$B:S,17,FALSE),"N/A")</f>
        <v>N/A</v>
      </c>
      <c r="AB54" s="1134" t="str">
        <f t="shared" ref="AB54:AB55" si="257">IFERROR(VLOOKUP($B54,'LOD 300 - COLO1'!$B:V,20,FALSE),"N/A")</f>
        <v>N/A</v>
      </c>
      <c r="AC54" s="1134" t="str">
        <f t="shared" ref="AC54:AC55" si="258">IFERROR(VLOOKUP($B54,'LOD 300 - COLO1'!$B:Y,23,FALSE),"N/A")</f>
        <v>N/A</v>
      </c>
      <c r="AD54" s="1134" t="str">
        <f t="shared" ref="AD54:AD55" si="259">IFERROR(VLOOKUP($B54,'LOD 300 - COLO1'!$B:AB,26,FALSE),"N/A")</f>
        <v>N/A</v>
      </c>
      <c r="AE54" s="1134" t="str">
        <f t="shared" ref="AE54:AE55" si="260">IFERROR(VLOOKUP($B54,'LOD 300 - COLO1'!$B:AE,29,FALSE),"N/A")</f>
        <v>N/A</v>
      </c>
      <c r="AF54" s="1134" t="str">
        <f t="shared" ref="AF54:AF55" si="261">IFERROR(VLOOKUP($B54,'LOD 300 - COLO1'!$B:AH,32,FALSE),"N/A")</f>
        <v>N/A</v>
      </c>
      <c r="AG54" s="1134" t="str">
        <f t="shared" ref="AG54:AG55" si="262">IFERROR(VLOOKUP($B54,'LOD 300 - COLO1'!$B:AK,35,FALSE),"N/A")</f>
        <v>N/A</v>
      </c>
      <c r="AH54" s="1122" t="str">
        <f t="shared" ref="AH54:AH55" si="263">IFERROR(VLOOKUP($B54,'LOD 300 - COLO1'!$B:AN,38,FALSE),"N/A")</f>
        <v>N/A</v>
      </c>
      <c r="AI54" s="1124" t="str">
        <f t="shared" ref="AI54:AI55" si="264">IFERROR(VLOOKUP($B54,'LOD 300 - COLO1'!$B:AQ,41,FALSE),"N/A")</f>
        <v>N/A</v>
      </c>
      <c r="AJ54" s="1124" t="str">
        <f t="shared" ref="AJ54:AJ55" si="265">IFERROR(VLOOKUP($B54,'LOD 300 - COLO1'!$B:AT,44,FALSE),"N/A")</f>
        <v>N/A</v>
      </c>
      <c r="AK54" s="1125" t="str">
        <f>IFERROR(__xludf.DUMMYFUNCTION("IF(
  OR(AJ54=""NOT PUBLISHED"", AJ54=""N/A""),
  AJ54,
  IFERROR(MAX(FILTER(Z54:AJ54, ISNUMBER(Z54:AJ54))),"""")
)"),"N/A")</f>
        <v>N/A</v>
      </c>
      <c r="AL54" s="72" t="str">
        <f t="shared" ref="AL54:AL55" si="266">IFERROR(VLOOKUP($B54,'LOD 300 - COLO2'!$B:P,14,FALSE),"N/A")</f>
        <v>N/A</v>
      </c>
      <c r="AM54" s="1134" t="str">
        <f t="shared" ref="AM54:AM55" si="267">IFERROR(VLOOKUP($B54,'LOD 300 - COLO2'!$B:S,17,FALSE),"N/A")</f>
        <v>N/A</v>
      </c>
      <c r="AN54" s="1134" t="str">
        <f t="shared" ref="AN54:AN55" si="268">IFERROR(VLOOKUP($B54,'LOD 300 - COLO2'!$B:V,20,FALSE),"N/A")</f>
        <v>N/A</v>
      </c>
      <c r="AO54" s="1134" t="str">
        <f t="shared" ref="AO54:AO55" si="269">IFERROR(VLOOKUP($B54,'LOD 300 - COLO2'!$B:Y,23,FALSE),"N/A")</f>
        <v>N/A</v>
      </c>
      <c r="AP54" s="1126" t="str">
        <f t="shared" ref="AP54:AP55" si="270">IFERROR(VLOOKUP($B54,'LOD 300 - COLO2'!$B:AB,26,FALSE),"N/A")</f>
        <v>N/A</v>
      </c>
      <c r="AQ54" s="1124" t="str">
        <f t="shared" ref="AQ54:AQ55" si="271">IFERROR(VLOOKUP($B54,'LOD 300 - COLO2'!$B:AE,29,FALSE),"N/A")</f>
        <v>N/A</v>
      </c>
      <c r="AR54" s="1124" t="str">
        <f t="shared" ref="AR54:AR55" si="272">IFERROR(VLOOKUP($B54,'LOD 300 - COLO2'!$B:AH,32,FALSE),"N/A")</f>
        <v>N/A</v>
      </c>
      <c r="AS54" s="1125" t="str">
        <f>IFERROR(__xludf.DUMMYFUNCTION("IF(
  OR(AR54=""NOT PUBLISHED"", AR54=""N/A""),
  AR54,
  IFERROR(MAX(FILTER(AL54:AR54, ISNUMBER(AL54:AR54))),"""")
)"),"N/A")</f>
        <v>N/A</v>
      </c>
      <c r="AT54" s="72" t="str">
        <f t="shared" ref="AT54:AT55" si="273">IFERROR(VLOOKUP($B54,'LOD 300 - SITE'!$B:P,14,FALSE),"N/A")</f>
        <v>N/A</v>
      </c>
      <c r="AU54" s="1134" t="str">
        <f t="shared" ref="AU54:AU55" si="274">IFERROR(VLOOKUP($B54,'LOD 300 - SITE'!$B:S,17,FALSE),"N/A")</f>
        <v>N/A</v>
      </c>
      <c r="AV54" s="1134" t="str">
        <f t="shared" ref="AV54:AV55" si="275">IFERROR(VLOOKUP($B54,'LOD 300 - SITE'!$B:V,20,FALSE),"N/A")</f>
        <v>N/A</v>
      </c>
      <c r="AW54" s="1134" t="str">
        <f t="shared" ref="AW54:AW55" si="276">IFERROR(VLOOKUP($B54,'LOD 300 - SITE'!$B:Y,23,FALSE),"N/A")</f>
        <v>N/A</v>
      </c>
      <c r="AX54" s="1134" t="str">
        <f t="shared" ref="AX54:AX55" si="277">IFERROR(VLOOKUP($B54,'LOD 300 - SITE'!$B:AB,26,FALSE),"N/A")</f>
        <v>N/A</v>
      </c>
      <c r="AY54" s="1135" t="str">
        <f t="shared" ref="AY54:AY55" si="278">IFERROR(VLOOKUP($B54,'LOD 300 - SITE'!$B:AE,29,FALSE),"N/A")</f>
        <v>N/A</v>
      </c>
      <c r="AZ54" s="1127" t="str">
        <f t="shared" ref="AZ54:AZ55" si="279">IFERROR(VLOOKUP($B54,'LOD 300 - SITE'!$B:AH,32,FALSE),"N/A")</f>
        <v>N/A</v>
      </c>
      <c r="BA54" s="1135" t="str">
        <f t="shared" ref="BA54:BA55" si="280">IFERROR(VLOOKUP($B54,'LOD 300 - SITE'!$B:AK,35,FALSE),"N/A")</f>
        <v>N/A</v>
      </c>
      <c r="BB54" s="1127" t="str">
        <f t="shared" ref="BB54:BB55" si="281">IFERROR(VLOOKUP($B54,'LOD 300 - SITE'!$B:AN,38,FALSE),"N/A")</f>
        <v>N/A</v>
      </c>
      <c r="BC54" s="1128" t="str">
        <f>IFERROR(__xludf.DUMMYFUNCTION("IF(
  OR(BB54=""NOT PUBLISHED"", BB54=""N/A""),
  BB54,
  IFERROR(MAX(FILTER(AT54:BB54, ISNUMBER(AT54:BB54))),"""")
)"),"N/A")</f>
        <v>N/A</v>
      </c>
      <c r="BD54" s="1138"/>
      <c r="BE54" s="1138"/>
      <c r="BF54" s="1138"/>
    </row>
    <row r="55" ht="15.0" customHeight="1" outlineLevel="1">
      <c r="A55" s="53">
        <v>52.0</v>
      </c>
      <c r="B55" s="100" t="s">
        <v>187</v>
      </c>
      <c r="C55" s="53">
        <v>52.0</v>
      </c>
      <c r="D55" s="1130" t="s">
        <v>1756</v>
      </c>
      <c r="E55" s="101" t="s">
        <v>165</v>
      </c>
      <c r="F55" s="102">
        <v>1114.0</v>
      </c>
      <c r="G55" s="517" t="s">
        <v>165</v>
      </c>
      <c r="H55" s="517">
        <v>1114.0</v>
      </c>
      <c r="I55" s="821" t="str">
        <f>IFERROR(VLOOKUP(B52:B242,'RELATÓRIO ACC'!B:F,5,FALSE),"NOT PUBLISHED")</f>
        <v>NOT PUBLISHED</v>
      </c>
      <c r="J55" s="1119" t="str">
        <f>IFERROR(VLOOKUP(B52:B242,'RELATÓRIO ACC'!B:P,15,FALSE),"NOT PUBLISHED")</f>
        <v>NOT PUBLISHED</v>
      </c>
      <c r="K55" s="552" t="str">
        <f t="shared" si="242"/>
        <v>#REF!</v>
      </c>
      <c r="L55" s="552" t="str">
        <f t="shared" si="243"/>
        <v>#REF!</v>
      </c>
      <c r="M55" s="1131" t="s">
        <v>1757</v>
      </c>
      <c r="N55" s="1132" t="str">
        <f t="shared" si="244"/>
        <v>N/A</v>
      </c>
      <c r="O55" s="1133" t="str">
        <f t="shared" si="245"/>
        <v>N/A</v>
      </c>
      <c r="P55" s="1133" t="str">
        <f t="shared" si="246"/>
        <v>N/A</v>
      </c>
      <c r="Q55" s="1133" t="str">
        <f t="shared" si="247"/>
        <v>N/A</v>
      </c>
      <c r="R55" s="1133" t="str">
        <f t="shared" si="248"/>
        <v>N/A</v>
      </c>
      <c r="S55" s="1133" t="str">
        <f t="shared" si="249"/>
        <v>N/A</v>
      </c>
      <c r="T55" s="1133" t="str">
        <f t="shared" si="250"/>
        <v>N/A</v>
      </c>
      <c r="U55" s="1133" t="str">
        <f t="shared" si="251"/>
        <v>N/A</v>
      </c>
      <c r="V55" s="1122" t="str">
        <f t="shared" si="252"/>
        <v>N/A</v>
      </c>
      <c r="W55" s="1124" t="str">
        <f t="shared" si="253"/>
        <v>N/A</v>
      </c>
      <c r="X55" s="1124" t="str">
        <f t="shared" si="254"/>
        <v>N/A</v>
      </c>
      <c r="Y55" s="1125" t="str">
        <f>IFERROR(__xludf.DUMMYFUNCTION("IF(
  OR(X55=""NOT PUBLISHED"", X55=""N/A""),
  X55,
  IFERROR(MAX(FILTER(N55:X55, ISNUMBER(N55:X55))),"""")
)"),"N/A")</f>
        <v>N/A</v>
      </c>
      <c r="Z55" s="72" t="str">
        <f t="shared" si="255"/>
        <v>N/A</v>
      </c>
      <c r="AA55" s="1134" t="str">
        <f t="shared" si="256"/>
        <v>N/A</v>
      </c>
      <c r="AB55" s="1134" t="str">
        <f t="shared" si="257"/>
        <v>N/A</v>
      </c>
      <c r="AC55" s="1134" t="str">
        <f t="shared" si="258"/>
        <v>N/A</v>
      </c>
      <c r="AD55" s="1134" t="str">
        <f t="shared" si="259"/>
        <v>N/A</v>
      </c>
      <c r="AE55" s="1134" t="str">
        <f t="shared" si="260"/>
        <v>N/A</v>
      </c>
      <c r="AF55" s="1134" t="str">
        <f t="shared" si="261"/>
        <v>N/A</v>
      </c>
      <c r="AG55" s="1134" t="str">
        <f t="shared" si="262"/>
        <v>N/A</v>
      </c>
      <c r="AH55" s="1122" t="str">
        <f t="shared" si="263"/>
        <v>N/A</v>
      </c>
      <c r="AI55" s="1124" t="str">
        <f t="shared" si="264"/>
        <v>N/A</v>
      </c>
      <c r="AJ55" s="1124" t="str">
        <f t="shared" si="265"/>
        <v>N/A</v>
      </c>
      <c r="AK55" s="1125" t="str">
        <f>IFERROR(__xludf.DUMMYFUNCTION("IF(
  OR(AJ55=""NOT PUBLISHED"", AJ55=""N/A""),
  AJ55,
  IFERROR(MAX(FILTER(Z55:AJ55, ISNUMBER(Z55:AJ55))),"""")
)"),"N/A")</f>
        <v>N/A</v>
      </c>
      <c r="AL55" s="72" t="str">
        <f t="shared" si="266"/>
        <v>N/A</v>
      </c>
      <c r="AM55" s="1134" t="str">
        <f t="shared" si="267"/>
        <v>N/A</v>
      </c>
      <c r="AN55" s="1134" t="str">
        <f t="shared" si="268"/>
        <v>N/A</v>
      </c>
      <c r="AO55" s="1134" t="str">
        <f t="shared" si="269"/>
        <v>N/A</v>
      </c>
      <c r="AP55" s="1126" t="str">
        <f t="shared" si="270"/>
        <v>N/A</v>
      </c>
      <c r="AQ55" s="1124" t="str">
        <f t="shared" si="271"/>
        <v>N/A</v>
      </c>
      <c r="AR55" s="1124" t="str">
        <f t="shared" si="272"/>
        <v>N/A</v>
      </c>
      <c r="AS55" s="1125" t="str">
        <f>IFERROR(__xludf.DUMMYFUNCTION("IF(
  OR(AR55=""NOT PUBLISHED"", AR55=""N/A""),
  AR55,
  IFERROR(MAX(FILTER(AL55:AR55, ISNUMBER(AL55:AR55))),"""")
)"),"N/A")</f>
        <v>N/A</v>
      </c>
      <c r="AT55" s="72" t="str">
        <f t="shared" si="273"/>
        <v>N/A</v>
      </c>
      <c r="AU55" s="1134" t="str">
        <f t="shared" si="274"/>
        <v>N/A</v>
      </c>
      <c r="AV55" s="1134" t="str">
        <f t="shared" si="275"/>
        <v>N/A</v>
      </c>
      <c r="AW55" s="1134" t="str">
        <f t="shared" si="276"/>
        <v>N/A</v>
      </c>
      <c r="AX55" s="1134" t="str">
        <f t="shared" si="277"/>
        <v>N/A</v>
      </c>
      <c r="AY55" s="1135" t="str">
        <f t="shared" si="278"/>
        <v>N/A</v>
      </c>
      <c r="AZ55" s="1127" t="str">
        <f t="shared" si="279"/>
        <v>N/A</v>
      </c>
      <c r="BA55" s="1135" t="str">
        <f t="shared" si="280"/>
        <v>N/A</v>
      </c>
      <c r="BB55" s="1127" t="str">
        <f t="shared" si="281"/>
        <v>N/A</v>
      </c>
      <c r="BC55" s="1128" t="str">
        <f>IFERROR(__xludf.DUMMYFUNCTION("IF(
  OR(BB55=""NOT PUBLISHED"", BB55=""N/A""),
  BB55,
  IFERROR(MAX(FILTER(AT55:BB55, ISNUMBER(AT55:BB55))),"""")
)"),"N/A")</f>
        <v>N/A</v>
      </c>
      <c r="BD55" s="1129"/>
      <c r="BE55" s="1129"/>
      <c r="BF55" s="1129"/>
    </row>
    <row r="56" ht="15.0" customHeight="1">
      <c r="A56" s="53">
        <v>53.0</v>
      </c>
      <c r="B56" s="124" t="s">
        <v>188</v>
      </c>
      <c r="C56" s="53">
        <v>53.0</v>
      </c>
      <c r="D56" s="126"/>
      <c r="E56" s="126"/>
      <c r="F56" s="126"/>
      <c r="G56" s="126"/>
      <c r="H56" s="128"/>
      <c r="I56" s="129"/>
      <c r="J56" s="574"/>
      <c r="K56" s="126"/>
      <c r="L56" s="126"/>
      <c r="M56" s="129"/>
      <c r="N56" s="1140"/>
      <c r="O56" s="1141"/>
      <c r="P56" s="1141"/>
      <c r="Q56" s="1142"/>
      <c r="R56" s="1143"/>
      <c r="S56" s="1143"/>
      <c r="T56" s="1143"/>
      <c r="U56" s="1143"/>
      <c r="V56" s="1143"/>
      <c r="W56" s="1144"/>
      <c r="X56" s="1144"/>
      <c r="Y56" s="1144"/>
      <c r="Z56" s="1145"/>
      <c r="AA56" s="1146"/>
      <c r="AB56" s="1146"/>
      <c r="AC56" s="1147"/>
      <c r="AD56" s="1148"/>
      <c r="AE56" s="1148"/>
      <c r="AF56" s="1148"/>
      <c r="AG56" s="1148"/>
      <c r="AH56" s="1143"/>
      <c r="AI56" s="1144"/>
      <c r="AJ56" s="1144"/>
      <c r="AK56" s="1144"/>
      <c r="AL56" s="1144"/>
      <c r="AM56" s="1148"/>
      <c r="AN56" s="1148"/>
      <c r="AO56" s="1148"/>
      <c r="AP56" s="1143"/>
      <c r="AQ56" s="1144"/>
      <c r="AR56" s="1144"/>
      <c r="AS56" s="1144"/>
      <c r="AT56" s="1144"/>
      <c r="AU56" s="1144"/>
      <c r="AV56" s="1144"/>
      <c r="AW56" s="1144"/>
      <c r="AX56" s="1144"/>
      <c r="AY56" s="1144"/>
      <c r="AZ56" s="1144"/>
      <c r="BA56" s="1144"/>
      <c r="BB56" s="1144"/>
      <c r="BC56" s="1144"/>
      <c r="BD56" s="1160"/>
      <c r="BE56" s="1160"/>
      <c r="BF56" s="1160"/>
    </row>
    <row r="57" ht="16.5" customHeight="1" outlineLevel="1">
      <c r="A57" s="53">
        <v>54.0</v>
      </c>
      <c r="B57" s="100" t="s">
        <v>190</v>
      </c>
      <c r="C57" s="53">
        <v>54.0</v>
      </c>
      <c r="D57" s="1130" t="s">
        <v>1756</v>
      </c>
      <c r="E57" s="101" t="s">
        <v>154</v>
      </c>
      <c r="F57" s="102">
        <v>1112.0</v>
      </c>
      <c r="G57" s="517" t="s">
        <v>155</v>
      </c>
      <c r="H57" s="517">
        <v>1129.0</v>
      </c>
      <c r="I57" s="821" t="str">
        <f>IFERROR(VLOOKUP(B54:B244,'RELATÓRIO ACC'!B:F,5,FALSE),"NOT PUBLISHED")</f>
        <v>NOT PUBLISHED</v>
      </c>
      <c r="J57" s="1119" t="str">
        <f>IFERROR(VLOOKUP(B54:B244,'RELATÓRIO ACC'!B:P,15,FALSE),"NOT PUBLISHED")</f>
        <v>NOT PUBLISHED</v>
      </c>
      <c r="K57" s="552" t="str">
        <f t="shared" ref="K57:K58" si="282">IF(OR($D57="UTLS",$D57="GUAR",$D57="STIR",$D57="PUMP",$D57="SITE"),
   VLOOKUP($B57,'LOD 300 - SITE'!C:K,9,FALSE),
   VLOOKUP($B57,'LOD 300 - ADMN'!C:K,9,FALSE)
)</f>
        <v>#REF!</v>
      </c>
      <c r="L57" s="552" t="str">
        <f t="shared" ref="L57:L58" si="283">IF(OR($D57="UTLS",$D57="GUAR",$D57="STIR",$D57="PUMP",$D57="SITE"),
   VLOOKUP($B57,'LOD 300 - SITE'!C:L,10,FALSE),
   VLOOKUP($B57,'LOD 300 - ADMN'!C:Q,10,FALSE)
)</f>
        <v>#REF!</v>
      </c>
      <c r="M57" s="899" t="s">
        <v>461</v>
      </c>
      <c r="N57" s="1132" t="str">
        <f t="shared" ref="N57:N58" si="284">IFERROR(VLOOKUP($B57,'LOD 300 - ADMN'!$B:P,14,FALSE),"N/A")</f>
        <v>N/A</v>
      </c>
      <c r="O57" s="1133" t="str">
        <f t="shared" ref="O57:O58" si="285">IFERROR(VLOOKUP($B57,'LOD 300 - ADMN'!$B:S,17,FALSE),"N/A")</f>
        <v>N/A</v>
      </c>
      <c r="P57" s="1133" t="str">
        <f t="shared" ref="P57:P58" si="286">IFERROR(VLOOKUP($B57,'LOD 300 - ADMN'!$B:V,20,FALSE),"N/A")</f>
        <v>N/A</v>
      </c>
      <c r="Q57" s="1133" t="str">
        <f t="shared" ref="Q57:Q58" si="287">IFERROR(VLOOKUP($B57,'LOD 300 - ADMN'!$B:Y,23,FALSE),"N/A")</f>
        <v>N/A</v>
      </c>
      <c r="R57" s="1133" t="str">
        <f t="shared" ref="R57:R58" si="288">IFERROR(VLOOKUP($B57,'LOD 300 - ADMN'!$B:AB,26,FALSE),"N/A")</f>
        <v>N/A</v>
      </c>
      <c r="S57" s="1133" t="str">
        <f t="shared" ref="S57:S58" si="289">IFERROR(VLOOKUP($B57,'LOD 300 - ADMN'!$B:AE,29,FALSE),"N/A")</f>
        <v>N/A</v>
      </c>
      <c r="T57" s="1133" t="str">
        <f t="shared" ref="T57:T58" si="290">IFERROR(VLOOKUP($B57,'LOD 300 - ADMN'!$B:AH,32,FALSE),"N/A")</f>
        <v>N/A</v>
      </c>
      <c r="U57" s="1133" t="str">
        <f t="shared" ref="U57:U58" si="291">IFERROR(VLOOKUP($B57,'LOD 300 - ADMN'!$B:AK,35,FALSE),"N/A")</f>
        <v>N/A</v>
      </c>
      <c r="V57" s="1122" t="str">
        <f t="shared" ref="V57:V58" si="292">IFERROR(VLOOKUP($B57,'LOD 300 - ADMN'!$B:AN,38,FALSE),"N/A")</f>
        <v>N/A</v>
      </c>
      <c r="W57" s="1124" t="str">
        <f t="shared" ref="W57:W58" si="293">IFERROR(VLOOKUP($B57,'LOD 300 - ADMN'!$B:AQ,41,FALSE),"N/A")</f>
        <v>N/A</v>
      </c>
      <c r="X57" s="1124" t="str">
        <f t="shared" ref="X57:X61" si="294">IFERROR(VLOOKUP($B57,'LOD 300 - ADMN'!$B:AT,44,FALSE),"N/A")</f>
        <v>N/A</v>
      </c>
      <c r="Y57" s="1125" t="str">
        <f>IFERROR(__xludf.DUMMYFUNCTION("IF(
  OR(X57=""NOT PUBLISHED"", X57=""N/A""),
  X57,
  IFERROR(MAX(FILTER(N57:X57, ISNUMBER(N57:X57))),"""")
)"),"N/A")</f>
        <v>N/A</v>
      </c>
      <c r="Z57" s="72" t="str">
        <f t="shared" ref="Z57:Z58" si="295">IFERROR(VLOOKUP($B57,'LOD 300 - COLO1'!$B:P,14,FALSE),"N/A")</f>
        <v>N/A</v>
      </c>
      <c r="AA57" s="1134" t="str">
        <f t="shared" ref="AA57:AA58" si="296">IFERROR(VLOOKUP($B57,'LOD 300 - COLO1'!$B:S,17,FALSE),"N/A")</f>
        <v>N/A</v>
      </c>
      <c r="AB57" s="1134" t="str">
        <f t="shared" ref="AB57:AB58" si="297">IFERROR(VLOOKUP($B57,'LOD 300 - COLO1'!$B:V,20,FALSE),"N/A")</f>
        <v>N/A</v>
      </c>
      <c r="AC57" s="1134" t="str">
        <f t="shared" ref="AC57:AC58" si="298">IFERROR(VLOOKUP($B57,'LOD 300 - COLO1'!$B:Y,23,FALSE),"N/A")</f>
        <v>N/A</v>
      </c>
      <c r="AD57" s="1134" t="str">
        <f t="shared" ref="AD57:AD58" si="299">IFERROR(VLOOKUP($B57,'LOD 300 - COLO1'!$B:AB,26,FALSE),"N/A")</f>
        <v>N/A</v>
      </c>
      <c r="AE57" s="1134" t="str">
        <f t="shared" ref="AE57:AE58" si="300">IFERROR(VLOOKUP($B57,'LOD 300 - COLO1'!$B:AE,29,FALSE),"N/A")</f>
        <v>N/A</v>
      </c>
      <c r="AF57" s="1134" t="str">
        <f t="shared" ref="AF57:AF58" si="301">IFERROR(VLOOKUP($B57,'LOD 300 - COLO1'!$B:AH,32,FALSE),"N/A")</f>
        <v>N/A</v>
      </c>
      <c r="AG57" s="1134" t="str">
        <f t="shared" ref="AG57:AG58" si="302">IFERROR(VLOOKUP($B57,'LOD 300 - COLO1'!$B:AK,35,FALSE),"N/A")</f>
        <v>N/A</v>
      </c>
      <c r="AH57" s="1122" t="str">
        <f t="shared" ref="AH57:AH58" si="303">IFERROR(VLOOKUP($B57,'LOD 300 - COLO1'!$B:AN,38,FALSE),"N/A")</f>
        <v>N/A</v>
      </c>
      <c r="AI57" s="1124" t="str">
        <f t="shared" ref="AI57:AI58" si="304">IFERROR(VLOOKUP($B57,'LOD 300 - COLO1'!$B:AQ,41,FALSE),"N/A")</f>
        <v>N/A</v>
      </c>
      <c r="AJ57" s="1124" t="str">
        <f t="shared" ref="AJ57:AJ58" si="305">IFERROR(VLOOKUP($B57,'LOD 300 - COLO1'!$B:AT,44,FALSE),"N/A")</f>
        <v>N/A</v>
      </c>
      <c r="AK57" s="1125" t="str">
        <f>IFERROR(__xludf.DUMMYFUNCTION("IF(
  OR(AJ57=""NOT PUBLISHED"", AJ57=""N/A""),
  AJ57,
  IFERROR(MAX(FILTER(Z57:AJ57, ISNUMBER(Z57:AJ57))),"""")
)"),"N/A")</f>
        <v>N/A</v>
      </c>
      <c r="AL57" s="72" t="str">
        <f t="shared" ref="AL57:AL58" si="306">IFERROR(VLOOKUP($B57,'LOD 300 - COLO2'!$B:P,14,FALSE),"N/A")</f>
        <v>N/A</v>
      </c>
      <c r="AM57" s="1134" t="str">
        <f t="shared" ref="AM57:AM58" si="307">IFERROR(VLOOKUP($B57,'LOD 300 - COLO2'!$B:S,17,FALSE),"N/A")</f>
        <v>N/A</v>
      </c>
      <c r="AN57" s="1134" t="str">
        <f t="shared" ref="AN57:AN58" si="308">IFERROR(VLOOKUP($B57,'LOD 300 - COLO2'!$B:V,20,FALSE),"N/A")</f>
        <v>N/A</v>
      </c>
      <c r="AO57" s="1134" t="str">
        <f t="shared" ref="AO57:AO58" si="309">IFERROR(VLOOKUP($B57,'LOD 300 - COLO2'!$B:Y,23,FALSE),"N/A")</f>
        <v>N/A</v>
      </c>
      <c r="AP57" s="1126" t="str">
        <f t="shared" ref="AP57:AP58" si="310">IFERROR(VLOOKUP($B57,'LOD 300 - COLO2'!$B:AB,26,FALSE),"N/A")</f>
        <v>N/A</v>
      </c>
      <c r="AQ57" s="1124" t="str">
        <f t="shared" ref="AQ57:AQ58" si="311">IFERROR(VLOOKUP($B57,'LOD 300 - COLO2'!$B:AE,29,FALSE),"N/A")</f>
        <v>N/A</v>
      </c>
      <c r="AR57" s="1124" t="str">
        <f t="shared" ref="AR57:AR58" si="312">IFERROR(VLOOKUP($B57,'LOD 300 - COLO2'!$B:AH,32,FALSE),"N/A")</f>
        <v>N/A</v>
      </c>
      <c r="AS57" s="1125" t="str">
        <f>IFERROR(__xludf.DUMMYFUNCTION("IF(
  OR(AR57=""NOT PUBLISHED"", AR57=""N/A""),
  AR57,
  IFERROR(MAX(FILTER(AL57:AR57, ISNUMBER(AL57:AR57))),"""")
)"),"N/A")</f>
        <v>N/A</v>
      </c>
      <c r="AT57" s="72" t="str">
        <f t="shared" ref="AT57:AT58" si="313">IFERROR(VLOOKUP($B57,'LOD 300 - SITE'!$B:P,14,FALSE),"N/A")</f>
        <v>N/A</v>
      </c>
      <c r="AU57" s="1134" t="str">
        <f t="shared" ref="AU57:AU58" si="314">IFERROR(VLOOKUP($B57,'LOD 300 - SITE'!$B:S,17,FALSE),"N/A")</f>
        <v>N/A</v>
      </c>
      <c r="AV57" s="1134" t="str">
        <f t="shared" ref="AV57:AV58" si="315">IFERROR(VLOOKUP($B57,'LOD 300 - SITE'!$B:V,20,FALSE),"N/A")</f>
        <v>N/A</v>
      </c>
      <c r="AW57" s="1134" t="str">
        <f t="shared" ref="AW57:AW58" si="316">IFERROR(VLOOKUP($B57,'LOD 300 - SITE'!$B:Y,23,FALSE),"N/A")</f>
        <v>N/A</v>
      </c>
      <c r="AX57" s="1134" t="str">
        <f t="shared" ref="AX57:AX58" si="317">IFERROR(VLOOKUP($B57,'LOD 300 - SITE'!$B:AB,26,FALSE),"N/A")</f>
        <v>N/A</v>
      </c>
      <c r="AY57" s="1135" t="str">
        <f t="shared" ref="AY57:AY58" si="318">IFERROR(VLOOKUP($B57,'LOD 300 - SITE'!$B:AE,29,FALSE),"N/A")</f>
        <v>N/A</v>
      </c>
      <c r="AZ57" s="1127" t="str">
        <f t="shared" ref="AZ57:AZ58" si="319">IFERROR(VLOOKUP($B57,'LOD 300 - SITE'!$B:AH,32,FALSE),"N/A")</f>
        <v>N/A</v>
      </c>
      <c r="BA57" s="1135" t="str">
        <f t="shared" ref="BA57:BA58" si="320">IFERROR(VLOOKUP($B57,'LOD 300 - SITE'!$B:AK,35,FALSE),"N/A")</f>
        <v>N/A</v>
      </c>
      <c r="BB57" s="1127" t="str">
        <f t="shared" ref="BB57:BB58" si="321">IFERROR(VLOOKUP($B57,'LOD 300 - SITE'!$B:AN,38,FALSE),"N/A")</f>
        <v>N/A</v>
      </c>
      <c r="BC57" s="1128" t="str">
        <f>IFERROR(__xludf.DUMMYFUNCTION("IF(
  OR(BB57=""NOT PUBLISHED"", BB57=""N/A""),
  BB57,
  IFERROR(MAX(FILTER(AT57:BB57, ISNUMBER(AT57:BB57))),"""")
)"),"N/A")</f>
        <v>N/A</v>
      </c>
      <c r="BD57" s="1129"/>
      <c r="BE57" s="1129"/>
      <c r="BF57" s="1129"/>
    </row>
    <row r="58" ht="15.0" customHeight="1" outlineLevel="1">
      <c r="A58" s="53">
        <v>55.0</v>
      </c>
      <c r="B58" s="100" t="s">
        <v>192</v>
      </c>
      <c r="C58" s="53">
        <v>55.0</v>
      </c>
      <c r="D58" s="1130" t="s">
        <v>7</v>
      </c>
      <c r="E58" s="101" t="s">
        <v>154</v>
      </c>
      <c r="F58" s="102">
        <v>1112.0</v>
      </c>
      <c r="G58" s="517" t="s">
        <v>155</v>
      </c>
      <c r="H58" s="517">
        <v>1129.0</v>
      </c>
      <c r="I58" s="821" t="str">
        <f>IFERROR(VLOOKUP(B55:B245,'RELATÓRIO ACC'!B:F,5,FALSE),"NOT PUBLISHED")</f>
        <v>NOT PUBLISHED</v>
      </c>
      <c r="J58" s="1119" t="str">
        <f>IFERROR(VLOOKUP(B55:B245,'RELATÓRIO ACC'!B:P,15,FALSE),"NOT PUBLISHED")</f>
        <v>NOT PUBLISHED</v>
      </c>
      <c r="K58" s="552" t="str">
        <f t="shared" si="282"/>
        <v>#REF!</v>
      </c>
      <c r="L58" s="552" t="str">
        <f t="shared" si="283"/>
        <v>#REF!</v>
      </c>
      <c r="M58" s="899"/>
      <c r="N58" s="1132" t="str">
        <f t="shared" si="284"/>
        <v>N/A</v>
      </c>
      <c r="O58" s="1133" t="str">
        <f t="shared" si="285"/>
        <v>N/A</v>
      </c>
      <c r="P58" s="1133" t="str">
        <f t="shared" si="286"/>
        <v>N/A</v>
      </c>
      <c r="Q58" s="1133" t="str">
        <f t="shared" si="287"/>
        <v>N/A</v>
      </c>
      <c r="R58" s="1133" t="str">
        <f t="shared" si="288"/>
        <v>N/A</v>
      </c>
      <c r="S58" s="1133" t="str">
        <f t="shared" si="289"/>
        <v>N/A</v>
      </c>
      <c r="T58" s="1133" t="str">
        <f t="shared" si="290"/>
        <v>N/A</v>
      </c>
      <c r="U58" s="1133" t="str">
        <f t="shared" si="291"/>
        <v>N/A</v>
      </c>
      <c r="V58" s="1122" t="str">
        <f t="shared" si="292"/>
        <v>N/A</v>
      </c>
      <c r="W58" s="1124" t="str">
        <f t="shared" si="293"/>
        <v>N/A</v>
      </c>
      <c r="X58" s="1124" t="str">
        <f t="shared" si="294"/>
        <v>N/A</v>
      </c>
      <c r="Y58" s="1125" t="str">
        <f>IFERROR(__xludf.DUMMYFUNCTION("IF(
  OR(X58=""NOT PUBLISHED"", X58=""N/A""),
  X58,
  IFERROR(MAX(FILTER(N58:X58, ISNUMBER(N58:X58))),"""")
)"),"N/A")</f>
        <v>N/A</v>
      </c>
      <c r="Z58" s="72" t="str">
        <f t="shared" si="295"/>
        <v>N/A</v>
      </c>
      <c r="AA58" s="1134" t="str">
        <f t="shared" si="296"/>
        <v>N/A</v>
      </c>
      <c r="AB58" s="1134" t="str">
        <f t="shared" si="297"/>
        <v>N/A</v>
      </c>
      <c r="AC58" s="1134" t="str">
        <f t="shared" si="298"/>
        <v>N/A</v>
      </c>
      <c r="AD58" s="1134" t="str">
        <f t="shared" si="299"/>
        <v>N/A</v>
      </c>
      <c r="AE58" s="1134" t="str">
        <f t="shared" si="300"/>
        <v>N/A</v>
      </c>
      <c r="AF58" s="1134" t="str">
        <f t="shared" si="301"/>
        <v>N/A</v>
      </c>
      <c r="AG58" s="1134" t="str">
        <f t="shared" si="302"/>
        <v>N/A</v>
      </c>
      <c r="AH58" s="1122" t="str">
        <f t="shared" si="303"/>
        <v>N/A</v>
      </c>
      <c r="AI58" s="1124" t="str">
        <f t="shared" si="304"/>
        <v>N/A</v>
      </c>
      <c r="AJ58" s="1124" t="str">
        <f t="shared" si="305"/>
        <v>N/A</v>
      </c>
      <c r="AK58" s="1125" t="str">
        <f>IFERROR(__xludf.DUMMYFUNCTION("IF(
  OR(AJ58=""NOT PUBLISHED"", AJ58=""N/A""),
  AJ58,
  IFERROR(MAX(FILTER(Z58:AJ58, ISNUMBER(Z58:AJ58))),"""")
)"),"N/A")</f>
        <v>N/A</v>
      </c>
      <c r="AL58" s="72" t="str">
        <f t="shared" si="306"/>
        <v>N/A</v>
      </c>
      <c r="AM58" s="1134" t="str">
        <f t="shared" si="307"/>
        <v>N/A</v>
      </c>
      <c r="AN58" s="1134" t="str">
        <f t="shared" si="308"/>
        <v>N/A</v>
      </c>
      <c r="AO58" s="1134" t="str">
        <f t="shared" si="309"/>
        <v>N/A</v>
      </c>
      <c r="AP58" s="1126" t="str">
        <f t="shared" si="310"/>
        <v>N/A</v>
      </c>
      <c r="AQ58" s="1124" t="str">
        <f t="shared" si="311"/>
        <v>N/A</v>
      </c>
      <c r="AR58" s="1124" t="str">
        <f t="shared" si="312"/>
        <v>N/A</v>
      </c>
      <c r="AS58" s="1125" t="str">
        <f>IFERROR(__xludf.DUMMYFUNCTION("IF(
  OR(AR58=""NOT PUBLISHED"", AR58=""N/A""),
  AR58,
  IFERROR(MAX(FILTER(AL58:AR58, ISNUMBER(AL58:AR58))),"""")
)"),"N/A")</f>
        <v>N/A</v>
      </c>
      <c r="AT58" s="72" t="str">
        <f t="shared" si="313"/>
        <v>N/A</v>
      </c>
      <c r="AU58" s="1134" t="str">
        <f t="shared" si="314"/>
        <v>N/A</v>
      </c>
      <c r="AV58" s="1134" t="str">
        <f t="shared" si="315"/>
        <v>N/A</v>
      </c>
      <c r="AW58" s="1134" t="str">
        <f t="shared" si="316"/>
        <v>N/A</v>
      </c>
      <c r="AX58" s="1134" t="str">
        <f t="shared" si="317"/>
        <v>N/A</v>
      </c>
      <c r="AY58" s="1135" t="str">
        <f t="shared" si="318"/>
        <v>N/A</v>
      </c>
      <c r="AZ58" s="1127" t="str">
        <f t="shared" si="319"/>
        <v>N/A</v>
      </c>
      <c r="BA58" s="1135" t="str">
        <f t="shared" si="320"/>
        <v>N/A</v>
      </c>
      <c r="BB58" s="1127" t="str">
        <f t="shared" si="321"/>
        <v>N/A</v>
      </c>
      <c r="BC58" s="1128" t="str">
        <f>IFERROR(__xludf.DUMMYFUNCTION("IF(
  OR(BB58=""NOT PUBLISHED"", BB58=""N/A""),
  BB58,
  IFERROR(MAX(FILTER(AT58:BB58, ISNUMBER(AT58:BB58))),"""")
)"),"N/A")</f>
        <v>N/A</v>
      </c>
      <c r="BD58" s="1138"/>
      <c r="BE58" s="1138"/>
      <c r="BF58" s="1138"/>
    </row>
    <row r="59" ht="15.0" customHeight="1">
      <c r="A59" s="53">
        <v>56.0</v>
      </c>
      <c r="B59" s="146" t="s">
        <v>193</v>
      </c>
      <c r="C59" s="53">
        <v>56.0</v>
      </c>
      <c r="D59" s="148"/>
      <c r="E59" s="148"/>
      <c r="F59" s="148"/>
      <c r="G59" s="148"/>
      <c r="H59" s="150"/>
      <c r="I59" s="151"/>
      <c r="J59" s="581"/>
      <c r="K59" s="148"/>
      <c r="L59" s="148"/>
      <c r="M59" s="151"/>
      <c r="N59" s="1150"/>
      <c r="O59" s="1151"/>
      <c r="P59" s="1151"/>
      <c r="Q59" s="1153"/>
      <c r="R59" s="1154"/>
      <c r="S59" s="1154"/>
      <c r="T59" s="1154"/>
      <c r="U59" s="1154"/>
      <c r="V59" s="1154"/>
      <c r="W59" s="1155"/>
      <c r="X59" s="1124" t="str">
        <f t="shared" si="294"/>
        <v>N/A</v>
      </c>
      <c r="Y59" s="1155"/>
      <c r="Z59" s="1156"/>
      <c r="AA59" s="1157"/>
      <c r="AB59" s="1157"/>
      <c r="AC59" s="1158"/>
      <c r="AD59" s="1159"/>
      <c r="AE59" s="1159"/>
      <c r="AF59" s="1159"/>
      <c r="AG59" s="1159"/>
      <c r="AH59" s="1154"/>
      <c r="AI59" s="1155"/>
      <c r="AJ59" s="1155"/>
      <c r="AK59" s="1155"/>
      <c r="AL59" s="1155"/>
      <c r="AM59" s="1159"/>
      <c r="AN59" s="1159"/>
      <c r="AO59" s="1159"/>
      <c r="AP59" s="1154"/>
      <c r="AQ59" s="1155"/>
      <c r="AR59" s="1155"/>
      <c r="AS59" s="1155"/>
      <c r="AT59" s="1155"/>
      <c r="AU59" s="1155"/>
      <c r="AV59" s="1155"/>
      <c r="AW59" s="1155"/>
      <c r="AX59" s="1155"/>
      <c r="AY59" s="1155"/>
      <c r="AZ59" s="1155"/>
      <c r="BA59" s="1155"/>
      <c r="BB59" s="1155"/>
      <c r="BC59" s="1155"/>
      <c r="BD59" s="1160"/>
      <c r="BE59" s="1160"/>
      <c r="BF59" s="1160"/>
    </row>
    <row r="60" ht="15.0" customHeight="1" outlineLevel="1">
      <c r="A60" s="53">
        <v>57.0</v>
      </c>
      <c r="B60" s="100" t="s">
        <v>195</v>
      </c>
      <c r="C60" s="53">
        <v>57.0</v>
      </c>
      <c r="D60" s="1130" t="s">
        <v>7</v>
      </c>
      <c r="E60" s="101" t="s">
        <v>196</v>
      </c>
      <c r="F60" s="102">
        <v>1115.0</v>
      </c>
      <c r="G60" s="517" t="s">
        <v>196</v>
      </c>
      <c r="H60" s="517">
        <v>1115.0</v>
      </c>
      <c r="I60" s="821" t="str">
        <f>IFERROR(VLOOKUP(B57:B247,'RELATÓRIO ACC'!B:F,5,FALSE),"NOT PUBLISHED")</f>
        <v>NOT PUBLISHED</v>
      </c>
      <c r="J60" s="1119" t="str">
        <f>IFERROR(VLOOKUP(B57:B247,'RELATÓRIO ACC'!B:P,15,FALSE),"NOT PUBLISHED")</f>
        <v>NOT PUBLISHED</v>
      </c>
      <c r="K60" s="552" t="str">
        <f t="shared" ref="K60:K61" si="322">IF(OR($D60="UTLS",$D60="GUAR",$D60="STIR",$D60="PUMP",$D60="SITE"),
   VLOOKUP($B60,'LOD 300 - SITE'!C:K,9,FALSE),
   VLOOKUP($B60,'LOD 300 - ADMN'!C:K,9,FALSE)
)</f>
        <v>#REF!</v>
      </c>
      <c r="L60" s="552" t="str">
        <f t="shared" ref="L60:L61" si="323">IF(OR($D60="UTLS",$D60="GUAR",$D60="STIR",$D60="PUMP",$D60="SITE"),
   VLOOKUP($B60,'LOD 300 - SITE'!C:L,10,FALSE),
   VLOOKUP($B60,'LOD 300 - ADMN'!C:Q,10,FALSE)
)</f>
        <v>#REF!</v>
      </c>
      <c r="M60" s="899" t="s">
        <v>1762</v>
      </c>
      <c r="N60" s="1132" t="str">
        <f t="shared" ref="N60:N61" si="324">IFERROR(VLOOKUP($B60,'LOD 300 - ADMN'!$B:P,14,FALSE),"N/A")</f>
        <v>N/A</v>
      </c>
      <c r="O60" s="1133" t="str">
        <f t="shared" ref="O60:O61" si="325">IFERROR(VLOOKUP($B60,'LOD 300 - ADMN'!$B:S,17,FALSE),"N/A")</f>
        <v>N/A</v>
      </c>
      <c r="P60" s="1133" t="str">
        <f t="shared" ref="P60:P61" si="326">IFERROR(VLOOKUP($B60,'LOD 300 - ADMN'!$B:V,20,FALSE),"N/A")</f>
        <v>N/A</v>
      </c>
      <c r="Q60" s="1133" t="str">
        <f t="shared" ref="Q60:Q61" si="327">IFERROR(VLOOKUP($B60,'LOD 300 - ADMN'!$B:Y,23,FALSE),"N/A")</f>
        <v>N/A</v>
      </c>
      <c r="R60" s="1133" t="str">
        <f t="shared" ref="R60:R61" si="328">IFERROR(VLOOKUP($B60,'LOD 300 - ADMN'!$B:AB,26,FALSE),"N/A")</f>
        <v>N/A</v>
      </c>
      <c r="S60" s="1133" t="str">
        <f t="shared" ref="S60:S61" si="329">IFERROR(VLOOKUP($B60,'LOD 300 - ADMN'!$B:AE,29,FALSE),"N/A")</f>
        <v>N/A</v>
      </c>
      <c r="T60" s="1133" t="str">
        <f t="shared" ref="T60:T61" si="330">IFERROR(VLOOKUP($B60,'LOD 300 - ADMN'!$B:AH,32,FALSE),"N/A")</f>
        <v>N/A</v>
      </c>
      <c r="U60" s="1133" t="str">
        <f t="shared" ref="U60:U61" si="331">IFERROR(VLOOKUP($B60,'LOD 300 - ADMN'!$B:AK,35,FALSE),"N/A")</f>
        <v>N/A</v>
      </c>
      <c r="V60" s="1122" t="str">
        <f t="shared" ref="V60:V61" si="332">IFERROR(VLOOKUP($B60,'LOD 300 - ADMN'!$B:AN,38,FALSE),"N/A")</f>
        <v>N/A</v>
      </c>
      <c r="W60" s="1124" t="str">
        <f t="shared" ref="W60:W61" si="333">IFERROR(VLOOKUP($B60,'LOD 300 - ADMN'!$B:AQ,41,FALSE),"N/A")</f>
        <v>N/A</v>
      </c>
      <c r="X60" s="1124" t="str">
        <f t="shared" si="294"/>
        <v>N/A</v>
      </c>
      <c r="Y60" s="1125" t="str">
        <f>IFERROR(__xludf.DUMMYFUNCTION("IF(
  OR(X60=""NOT PUBLISHED"", X60=""N/A""),
  X60,
  IFERROR(MAX(FILTER(N60:X60, ISNUMBER(N60:X60))),"""")
)"),"N/A")</f>
        <v>N/A</v>
      </c>
      <c r="Z60" s="72" t="str">
        <f t="shared" ref="Z60:Z61" si="334">IFERROR(VLOOKUP($B60,'LOD 300 - COLO1'!$B:P,14,FALSE),"N/A")</f>
        <v>N/A</v>
      </c>
      <c r="AA60" s="1134" t="str">
        <f t="shared" ref="AA60:AA61" si="335">IFERROR(VLOOKUP($B60,'LOD 300 - COLO1'!$B:S,17,FALSE),"N/A")</f>
        <v>N/A</v>
      </c>
      <c r="AB60" s="1134" t="str">
        <f t="shared" ref="AB60:AB61" si="336">IFERROR(VLOOKUP($B60,'LOD 300 - COLO1'!$B:V,20,FALSE),"N/A")</f>
        <v>N/A</v>
      </c>
      <c r="AC60" s="1134" t="str">
        <f t="shared" ref="AC60:AC61" si="337">IFERROR(VLOOKUP($B60,'LOD 300 - COLO1'!$B:Y,23,FALSE),"N/A")</f>
        <v>N/A</v>
      </c>
      <c r="AD60" s="1134" t="str">
        <f t="shared" ref="AD60:AD61" si="338">IFERROR(VLOOKUP($B60,'LOD 300 - COLO1'!$B:AB,26,FALSE),"N/A")</f>
        <v>N/A</v>
      </c>
      <c r="AE60" s="1134" t="str">
        <f t="shared" ref="AE60:AE61" si="339">IFERROR(VLOOKUP($B60,'LOD 300 - COLO1'!$B:AE,29,FALSE),"N/A")</f>
        <v>N/A</v>
      </c>
      <c r="AF60" s="1134" t="str">
        <f t="shared" ref="AF60:AF61" si="340">IFERROR(VLOOKUP($B60,'LOD 300 - COLO1'!$B:AH,32,FALSE),"N/A")</f>
        <v>N/A</v>
      </c>
      <c r="AG60" s="1134" t="str">
        <f t="shared" ref="AG60:AG61" si="341">IFERROR(VLOOKUP($B60,'LOD 300 - COLO1'!$B:AK,35,FALSE),"N/A")</f>
        <v>N/A</v>
      </c>
      <c r="AH60" s="1122" t="str">
        <f t="shared" ref="AH60:AH61" si="342">IFERROR(VLOOKUP($B60,'LOD 300 - COLO1'!$B:AN,38,FALSE),"N/A")</f>
        <v>N/A</v>
      </c>
      <c r="AI60" s="1124" t="str">
        <f t="shared" ref="AI60:AI61" si="343">IFERROR(VLOOKUP($B60,'LOD 300 - COLO1'!$B:AQ,41,FALSE),"N/A")</f>
        <v>N/A</v>
      </c>
      <c r="AJ60" s="1124" t="str">
        <f t="shared" ref="AJ60:AJ61" si="344">IFERROR(VLOOKUP($B60,'LOD 300 - COLO1'!$B:AT,44,FALSE),"N/A")</f>
        <v>N/A</v>
      </c>
      <c r="AK60" s="1125" t="str">
        <f>IFERROR(__xludf.DUMMYFUNCTION("IF(
  OR(AJ60=""NOT PUBLISHED"", AJ60=""N/A""),
  AJ60,
  IFERROR(MAX(FILTER(Z60:AJ60, ISNUMBER(Z60:AJ60))),"""")
)"),"N/A")</f>
        <v>N/A</v>
      </c>
      <c r="AL60" s="72" t="str">
        <f t="shared" ref="AL60:AL61" si="345">IFERROR(VLOOKUP($B60,'LOD 300 - COLO2'!$B:P,14,FALSE),"N/A")</f>
        <v>N/A</v>
      </c>
      <c r="AM60" s="1134" t="str">
        <f t="shared" ref="AM60:AM61" si="346">IFERROR(VLOOKUP($B60,'LOD 300 - COLO2'!$B:S,17,FALSE),"N/A")</f>
        <v>N/A</v>
      </c>
      <c r="AN60" s="1134" t="str">
        <f t="shared" ref="AN60:AN61" si="347">IFERROR(VLOOKUP($B60,'LOD 300 - COLO2'!$B:V,20,FALSE),"N/A")</f>
        <v>N/A</v>
      </c>
      <c r="AO60" s="1134" t="str">
        <f t="shared" ref="AO60:AO61" si="348">IFERROR(VLOOKUP($B60,'LOD 300 - COLO2'!$B:Y,23,FALSE),"N/A")</f>
        <v>N/A</v>
      </c>
      <c r="AP60" s="1126" t="str">
        <f t="shared" ref="AP60:AP61" si="349">IFERROR(VLOOKUP($B60,'LOD 300 - COLO2'!$B:AB,26,FALSE),"N/A")</f>
        <v>N/A</v>
      </c>
      <c r="AQ60" s="1124" t="str">
        <f t="shared" ref="AQ60:AQ61" si="350">IFERROR(VLOOKUP($B60,'LOD 300 - COLO2'!$B:AE,29,FALSE),"N/A")</f>
        <v>N/A</v>
      </c>
      <c r="AR60" s="1124" t="str">
        <f t="shared" ref="AR60:AR61" si="351">IFERROR(VLOOKUP($B60,'LOD 300 - COLO2'!$B:AH,32,FALSE),"N/A")</f>
        <v>N/A</v>
      </c>
      <c r="AS60" s="1125" t="str">
        <f>IFERROR(__xludf.DUMMYFUNCTION("IF(
  OR(AR60=""NOT PUBLISHED"", AR60=""N/A""),
  AR60,
  IFERROR(MAX(FILTER(AL60:AR60, ISNUMBER(AL60:AR60))),"""")
)"),"N/A")</f>
        <v>N/A</v>
      </c>
      <c r="AT60" s="72" t="str">
        <f t="shared" ref="AT60:AT61" si="352">IFERROR(VLOOKUP($B60,'LOD 300 - SITE'!$B:P,14,FALSE),"N/A")</f>
        <v>N/A</v>
      </c>
      <c r="AU60" s="1134" t="str">
        <f t="shared" ref="AU60:AU61" si="353">IFERROR(VLOOKUP($B60,'LOD 300 - SITE'!$B:S,17,FALSE),"N/A")</f>
        <v>N/A</v>
      </c>
      <c r="AV60" s="1134" t="str">
        <f t="shared" ref="AV60:AV61" si="354">IFERROR(VLOOKUP($B60,'LOD 300 - SITE'!$B:V,20,FALSE),"N/A")</f>
        <v>N/A</v>
      </c>
      <c r="AW60" s="1134" t="str">
        <f t="shared" ref="AW60:AW61" si="355">IFERROR(VLOOKUP($B60,'LOD 300 - SITE'!$B:Y,23,FALSE),"N/A")</f>
        <v>N/A</v>
      </c>
      <c r="AX60" s="1134" t="str">
        <f t="shared" ref="AX60:AX61" si="356">IFERROR(VLOOKUP($B60,'LOD 300 - SITE'!$B:AB,26,FALSE),"N/A")</f>
        <v>N/A</v>
      </c>
      <c r="AY60" s="1135" t="str">
        <f t="shared" ref="AY60:AY61" si="357">IFERROR(VLOOKUP($B60,'LOD 300 - SITE'!$B:AE,29,FALSE),"N/A")</f>
        <v>N/A</v>
      </c>
      <c r="AZ60" s="1127" t="str">
        <f t="shared" ref="AZ60:AZ61" si="358">IFERROR(VLOOKUP($B60,'LOD 300 - SITE'!$B:AH,32,FALSE),"N/A")</f>
        <v>N/A</v>
      </c>
      <c r="BA60" s="1135" t="str">
        <f t="shared" ref="BA60:BA61" si="359">IFERROR(VLOOKUP($B60,'LOD 300 - SITE'!$B:AK,35,FALSE),"N/A")</f>
        <v>N/A</v>
      </c>
      <c r="BB60" s="1127" t="str">
        <f t="shared" ref="BB60:BB61" si="360">IFERROR(VLOOKUP($B60,'LOD 300 - SITE'!$B:AN,38,FALSE),"N/A")</f>
        <v>N/A</v>
      </c>
      <c r="BC60" s="1128" t="str">
        <f>IFERROR(__xludf.DUMMYFUNCTION("IF(
  OR(BB60=""NOT PUBLISHED"", BB60=""N/A""),
  BB60,
  IFERROR(MAX(FILTER(AT60:BB60, ISNUMBER(AT60:BB60))),"""")
)"),"N/A")</f>
        <v>N/A</v>
      </c>
      <c r="BD60" s="1138"/>
      <c r="BE60" s="1138"/>
      <c r="BF60" s="1138"/>
    </row>
    <row r="61" ht="15.0" customHeight="1" outlineLevel="1">
      <c r="A61" s="53">
        <v>58.0</v>
      </c>
      <c r="B61" s="100" t="s">
        <v>198</v>
      </c>
      <c r="C61" s="53">
        <v>58.0</v>
      </c>
      <c r="D61" s="1130" t="s">
        <v>1756</v>
      </c>
      <c r="E61" s="101" t="s">
        <v>196</v>
      </c>
      <c r="F61" s="102">
        <v>1115.0</v>
      </c>
      <c r="G61" s="517" t="s">
        <v>196</v>
      </c>
      <c r="H61" s="517">
        <v>1115.0</v>
      </c>
      <c r="I61" s="821" t="str">
        <f>IFERROR(VLOOKUP(B58:B248,'RELATÓRIO ACC'!B:F,5,FALSE),"NOT PUBLISHED")</f>
        <v>NOT PUBLISHED</v>
      </c>
      <c r="J61" s="1119" t="str">
        <f>IFERROR(VLOOKUP(B58:B248,'RELATÓRIO ACC'!B:P,15,FALSE),"NOT PUBLISHED")</f>
        <v>NOT PUBLISHED</v>
      </c>
      <c r="K61" s="552" t="str">
        <f t="shared" si="322"/>
        <v>#REF!</v>
      </c>
      <c r="L61" s="552" t="str">
        <f t="shared" si="323"/>
        <v>#REF!</v>
      </c>
      <c r="M61" s="899" t="s">
        <v>461</v>
      </c>
      <c r="N61" s="1132" t="str">
        <f t="shared" si="324"/>
        <v>N/A</v>
      </c>
      <c r="O61" s="1133" t="str">
        <f t="shared" si="325"/>
        <v>N/A</v>
      </c>
      <c r="P61" s="1133" t="str">
        <f t="shared" si="326"/>
        <v>N/A</v>
      </c>
      <c r="Q61" s="1133" t="str">
        <f t="shared" si="327"/>
        <v>N/A</v>
      </c>
      <c r="R61" s="1133" t="str">
        <f t="shared" si="328"/>
        <v>N/A</v>
      </c>
      <c r="S61" s="1133" t="str">
        <f t="shared" si="329"/>
        <v>N/A</v>
      </c>
      <c r="T61" s="1133" t="str">
        <f t="shared" si="330"/>
        <v>N/A</v>
      </c>
      <c r="U61" s="1133" t="str">
        <f t="shared" si="331"/>
        <v>N/A</v>
      </c>
      <c r="V61" s="1122" t="str">
        <f t="shared" si="332"/>
        <v>N/A</v>
      </c>
      <c r="W61" s="1124" t="str">
        <f t="shared" si="333"/>
        <v>N/A</v>
      </c>
      <c r="X61" s="1124" t="str">
        <f t="shared" si="294"/>
        <v>N/A</v>
      </c>
      <c r="Y61" s="1125" t="str">
        <f>IFERROR(__xludf.DUMMYFUNCTION("IF(
  OR(X61=""NOT PUBLISHED"", X61=""N/A""),
  X61,
  IFERROR(MAX(FILTER(N61:X61, ISNUMBER(N61:X61))),"""")
)"),"N/A")</f>
        <v>N/A</v>
      </c>
      <c r="Z61" s="72" t="str">
        <f t="shared" si="334"/>
        <v>N/A</v>
      </c>
      <c r="AA61" s="1134" t="str">
        <f t="shared" si="335"/>
        <v>N/A</v>
      </c>
      <c r="AB61" s="1134" t="str">
        <f t="shared" si="336"/>
        <v>N/A</v>
      </c>
      <c r="AC61" s="1134" t="str">
        <f t="shared" si="337"/>
        <v>N/A</v>
      </c>
      <c r="AD61" s="1134" t="str">
        <f t="shared" si="338"/>
        <v>N/A</v>
      </c>
      <c r="AE61" s="1134" t="str">
        <f t="shared" si="339"/>
        <v>N/A</v>
      </c>
      <c r="AF61" s="1134" t="str">
        <f t="shared" si="340"/>
        <v>N/A</v>
      </c>
      <c r="AG61" s="1134" t="str">
        <f t="shared" si="341"/>
        <v>N/A</v>
      </c>
      <c r="AH61" s="1122" t="str">
        <f t="shared" si="342"/>
        <v>N/A</v>
      </c>
      <c r="AI61" s="1124" t="str">
        <f t="shared" si="343"/>
        <v>N/A</v>
      </c>
      <c r="AJ61" s="1124" t="str">
        <f t="shared" si="344"/>
        <v>N/A</v>
      </c>
      <c r="AK61" s="1125" t="str">
        <f>IFERROR(__xludf.DUMMYFUNCTION("IF(
  OR(AJ61=""NOT PUBLISHED"", AJ61=""N/A""),
  AJ61,
  IFERROR(MAX(FILTER(Z61:AJ61, ISNUMBER(Z61:AJ61))),"""")
)"),"N/A")</f>
        <v>N/A</v>
      </c>
      <c r="AL61" s="72" t="str">
        <f t="shared" si="345"/>
        <v>N/A</v>
      </c>
      <c r="AM61" s="1134" t="str">
        <f t="shared" si="346"/>
        <v>N/A</v>
      </c>
      <c r="AN61" s="1134" t="str">
        <f t="shared" si="347"/>
        <v>N/A</v>
      </c>
      <c r="AO61" s="1134" t="str">
        <f t="shared" si="348"/>
        <v>N/A</v>
      </c>
      <c r="AP61" s="1126" t="str">
        <f t="shared" si="349"/>
        <v>N/A</v>
      </c>
      <c r="AQ61" s="1124" t="str">
        <f t="shared" si="350"/>
        <v>N/A</v>
      </c>
      <c r="AR61" s="1124" t="str">
        <f t="shared" si="351"/>
        <v>N/A</v>
      </c>
      <c r="AS61" s="1125" t="str">
        <f>IFERROR(__xludf.DUMMYFUNCTION("IF(
  OR(AR61=""NOT PUBLISHED"", AR61=""N/A""),
  AR61,
  IFERROR(MAX(FILTER(AL61:AR61, ISNUMBER(AL61:AR61))),"""")
)"),"N/A")</f>
        <v>N/A</v>
      </c>
      <c r="AT61" s="72" t="str">
        <f t="shared" si="352"/>
        <v>N/A</v>
      </c>
      <c r="AU61" s="1134" t="str">
        <f t="shared" si="353"/>
        <v>N/A</v>
      </c>
      <c r="AV61" s="1134" t="str">
        <f t="shared" si="354"/>
        <v>N/A</v>
      </c>
      <c r="AW61" s="1134" t="str">
        <f t="shared" si="355"/>
        <v>N/A</v>
      </c>
      <c r="AX61" s="1134" t="str">
        <f t="shared" si="356"/>
        <v>N/A</v>
      </c>
      <c r="AY61" s="1135" t="str">
        <f t="shared" si="357"/>
        <v>N/A</v>
      </c>
      <c r="AZ61" s="1127" t="str">
        <f t="shared" si="358"/>
        <v>N/A</v>
      </c>
      <c r="BA61" s="1135" t="str">
        <f t="shared" si="359"/>
        <v>N/A</v>
      </c>
      <c r="BB61" s="1127" t="str">
        <f t="shared" si="360"/>
        <v>N/A</v>
      </c>
      <c r="BC61" s="1128" t="str">
        <f>IFERROR(__xludf.DUMMYFUNCTION("IF(
  OR(BB61=""NOT PUBLISHED"", BB61=""N/A""),
  BB61,
  IFERROR(MAX(FILTER(AT61:BB61, ISNUMBER(AT61:BB61))),"""")
)"),"N/A")</f>
        <v>N/A</v>
      </c>
      <c r="BD61" s="1129"/>
      <c r="BE61" s="1129"/>
      <c r="BF61" s="1129"/>
    </row>
    <row r="62" ht="15.0" customHeight="1">
      <c r="A62" s="53">
        <v>59.0</v>
      </c>
      <c r="B62" s="188" t="s">
        <v>201</v>
      </c>
      <c r="C62" s="53">
        <v>59.0</v>
      </c>
      <c r="D62" s="190"/>
      <c r="E62" s="190"/>
      <c r="F62" s="190"/>
      <c r="G62" s="190"/>
      <c r="H62" s="192"/>
      <c r="I62" s="193"/>
      <c r="J62" s="599"/>
      <c r="K62" s="190"/>
      <c r="L62" s="190"/>
      <c r="M62" s="193"/>
      <c r="N62" s="1179"/>
      <c r="O62" s="1180"/>
      <c r="P62" s="1180"/>
      <c r="Q62" s="1181"/>
      <c r="R62" s="1182"/>
      <c r="S62" s="1182"/>
      <c r="T62" s="1182"/>
      <c r="U62" s="1182"/>
      <c r="V62" s="1182"/>
      <c r="W62" s="1183"/>
      <c r="X62" s="1183"/>
      <c r="Y62" s="1183"/>
      <c r="Z62" s="1184"/>
      <c r="AA62" s="1185"/>
      <c r="AB62" s="1185"/>
      <c r="AC62" s="1186"/>
      <c r="AD62" s="1187"/>
      <c r="AE62" s="1187"/>
      <c r="AF62" s="1187"/>
      <c r="AG62" s="1187"/>
      <c r="AH62" s="1182"/>
      <c r="AI62" s="1183"/>
      <c r="AJ62" s="1183"/>
      <c r="AK62" s="1183"/>
      <c r="AL62" s="1183"/>
      <c r="AM62" s="1187"/>
      <c r="AN62" s="1187"/>
      <c r="AO62" s="1187"/>
      <c r="AP62" s="1182"/>
      <c r="AQ62" s="1183"/>
      <c r="AR62" s="1183"/>
      <c r="AS62" s="1183"/>
      <c r="AT62" s="1183"/>
      <c r="AU62" s="1183"/>
      <c r="AV62" s="1183"/>
      <c r="AW62" s="1183"/>
      <c r="AX62" s="1183"/>
      <c r="AY62" s="1183"/>
      <c r="AZ62" s="1183"/>
      <c r="BA62" s="1183"/>
      <c r="BB62" s="1183"/>
      <c r="BC62" s="1183"/>
      <c r="BD62" s="1149"/>
      <c r="BE62" s="1149"/>
      <c r="BF62" s="1149"/>
    </row>
    <row r="63" ht="15.0" customHeight="1" outlineLevel="1">
      <c r="A63" s="53">
        <v>60.0</v>
      </c>
      <c r="B63" s="100" t="s">
        <v>203</v>
      </c>
      <c r="C63" s="53">
        <v>60.0</v>
      </c>
      <c r="D63" s="1130" t="s">
        <v>7</v>
      </c>
      <c r="E63" s="101" t="s">
        <v>154</v>
      </c>
      <c r="F63" s="102">
        <v>1112.0</v>
      </c>
      <c r="G63" s="517" t="s">
        <v>155</v>
      </c>
      <c r="H63" s="517">
        <v>1129.0</v>
      </c>
      <c r="I63" s="821" t="str">
        <f>IFERROR(VLOOKUP(B60:B250,'RELATÓRIO ACC'!B:F,5,FALSE),"NOT PUBLISHED")</f>
        <v>NOT PUBLISHED</v>
      </c>
      <c r="J63" s="1119" t="str">
        <f>IFERROR(VLOOKUP(B60:B250,'RELATÓRIO ACC'!B:P,15,FALSE),"NOT PUBLISHED")</f>
        <v>NOT PUBLISHED</v>
      </c>
      <c r="K63" s="552" t="str">
        <f t="shared" ref="K63:K64" si="361">IF(OR($D63="UTLS",$D63="GUAR",$D63="STIR",$D63="PUMP",$D63="SITE"),
   VLOOKUP($B63,'LOD 300 - SITE'!C:K,9,FALSE),
   VLOOKUP($B63,'LOD 300 - ADMN'!C:K,9,FALSE)
)</f>
        <v>#REF!</v>
      </c>
      <c r="L63" s="552" t="str">
        <f t="shared" ref="L63:L64" si="362">IF(OR($D63="UTLS",$D63="GUAR",$D63="STIR",$D63="PUMP",$D63="SITE"),
   VLOOKUP($B63,'LOD 300 - SITE'!C:L,10,FALSE),
   VLOOKUP($B63,'LOD 300 - ADMN'!C:Q,10,FALSE)
)</f>
        <v>#REF!</v>
      </c>
      <c r="M63" s="899" t="s">
        <v>461</v>
      </c>
      <c r="N63" s="1132" t="str">
        <f t="shared" ref="N63:N64" si="363">IFERROR(VLOOKUP($B63,'LOD 300 - ADMN'!$B:P,14,FALSE),"N/A")</f>
        <v>N/A</v>
      </c>
      <c r="O63" s="1133" t="str">
        <f t="shared" ref="O63:O64" si="364">IFERROR(VLOOKUP($B63,'LOD 300 - ADMN'!$B:S,17,FALSE),"N/A")</f>
        <v>N/A</v>
      </c>
      <c r="P63" s="1133" t="str">
        <f t="shared" ref="P63:P64" si="365">IFERROR(VLOOKUP($B63,'LOD 300 - ADMN'!$B:V,20,FALSE),"N/A")</f>
        <v>N/A</v>
      </c>
      <c r="Q63" s="1133" t="str">
        <f t="shared" ref="Q63:Q64" si="366">IFERROR(VLOOKUP($B63,'LOD 300 - ADMN'!$B:Y,23,FALSE),"N/A")</f>
        <v>N/A</v>
      </c>
      <c r="R63" s="1133" t="str">
        <f t="shared" ref="R63:R64" si="367">IFERROR(VLOOKUP($B63,'LOD 300 - ADMN'!$B:AB,26,FALSE),"N/A")</f>
        <v>N/A</v>
      </c>
      <c r="S63" s="1133" t="str">
        <f t="shared" ref="S63:S64" si="368">IFERROR(VLOOKUP($B63,'LOD 300 - ADMN'!$B:AE,29,FALSE),"N/A")</f>
        <v>N/A</v>
      </c>
      <c r="T63" s="1133" t="str">
        <f t="shared" ref="T63:T64" si="369">IFERROR(VLOOKUP($B63,'LOD 300 - ADMN'!$B:AH,32,FALSE),"N/A")</f>
        <v>N/A</v>
      </c>
      <c r="U63" s="1133" t="str">
        <f t="shared" ref="U63:U64" si="370">IFERROR(VLOOKUP($B63,'LOD 300 - ADMN'!$B:AK,35,FALSE),"N/A")</f>
        <v>N/A</v>
      </c>
      <c r="V63" s="1122" t="str">
        <f t="shared" ref="V63:V64" si="371">IFERROR(VLOOKUP($B63,'LOD 300 - ADMN'!$B:AN,38,FALSE),"N/A")</f>
        <v>N/A</v>
      </c>
      <c r="W63" s="1124" t="str">
        <f t="shared" ref="W63:W64" si="372">IFERROR(VLOOKUP($B63,'LOD 300 - ADMN'!$B:AQ,41,FALSE),"N/A")</f>
        <v>N/A</v>
      </c>
      <c r="X63" s="1124" t="str">
        <f t="shared" ref="X63:X64" si="373">IFERROR(VLOOKUP($B63,'LOD 300 - ADMN'!$B:AT,44,FALSE),"N/A")</f>
        <v>N/A</v>
      </c>
      <c r="Y63" s="1125" t="str">
        <f>IFERROR(__xludf.DUMMYFUNCTION("IF(
  OR(X63=""NOT PUBLISHED"", X63=""N/A""),
  X63,
  IFERROR(MAX(FILTER(N63:X63, ISNUMBER(N63:X63))),"""")
)"),"N/A")</f>
        <v>N/A</v>
      </c>
      <c r="Z63" s="72" t="str">
        <f t="shared" ref="Z63:Z64" si="374">IFERROR(VLOOKUP($B63,'LOD 300 - COLO1'!$B:P,14,FALSE),"N/A")</f>
        <v>N/A</v>
      </c>
      <c r="AA63" s="1134" t="str">
        <f t="shared" ref="AA63:AA64" si="375">IFERROR(VLOOKUP($B63,'LOD 300 - COLO1'!$B:S,17,FALSE),"N/A")</f>
        <v>N/A</v>
      </c>
      <c r="AB63" s="1134" t="str">
        <f t="shared" ref="AB63:AB64" si="376">IFERROR(VLOOKUP($B63,'LOD 300 - COLO1'!$B:V,20,FALSE),"N/A")</f>
        <v>N/A</v>
      </c>
      <c r="AC63" s="1134" t="str">
        <f t="shared" ref="AC63:AC64" si="377">IFERROR(VLOOKUP($B63,'LOD 300 - COLO1'!$B:Y,23,FALSE),"N/A")</f>
        <v>N/A</v>
      </c>
      <c r="AD63" s="1134" t="str">
        <f t="shared" ref="AD63:AD64" si="378">IFERROR(VLOOKUP($B63,'LOD 300 - COLO1'!$B:AB,26,FALSE),"N/A")</f>
        <v>N/A</v>
      </c>
      <c r="AE63" s="1134" t="str">
        <f t="shared" ref="AE63:AE64" si="379">IFERROR(VLOOKUP($B63,'LOD 300 - COLO1'!$B:AE,29,FALSE),"N/A")</f>
        <v>N/A</v>
      </c>
      <c r="AF63" s="1134" t="str">
        <f t="shared" ref="AF63:AF64" si="380">IFERROR(VLOOKUP($B63,'LOD 300 - COLO1'!$B:AH,32,FALSE),"N/A")</f>
        <v>N/A</v>
      </c>
      <c r="AG63" s="1134" t="str">
        <f t="shared" ref="AG63:AG64" si="381">IFERROR(VLOOKUP($B63,'LOD 300 - COLO1'!$B:AK,35,FALSE),"N/A")</f>
        <v>N/A</v>
      </c>
      <c r="AH63" s="1122" t="str">
        <f t="shared" ref="AH63:AH64" si="382">IFERROR(VLOOKUP($B63,'LOD 300 - COLO1'!$B:AN,38,FALSE),"N/A")</f>
        <v>N/A</v>
      </c>
      <c r="AI63" s="1124" t="str">
        <f t="shared" ref="AI63:AI64" si="383">IFERROR(VLOOKUP($B63,'LOD 300 - COLO1'!$B:AQ,41,FALSE),"N/A")</f>
        <v>N/A</v>
      </c>
      <c r="AJ63" s="1124" t="str">
        <f t="shared" ref="AJ63:AJ64" si="384">IFERROR(VLOOKUP($B63,'LOD 300 - COLO1'!$B:AT,44,FALSE),"N/A")</f>
        <v>N/A</v>
      </c>
      <c r="AK63" s="1125" t="str">
        <f>IFERROR(__xludf.DUMMYFUNCTION("IF(
  OR(AJ63=""NOT PUBLISHED"", AJ63=""N/A""),
  AJ63,
  IFERROR(MAX(FILTER(Z63:AJ63, ISNUMBER(Z63:AJ63))),"""")
)"),"N/A")</f>
        <v>N/A</v>
      </c>
      <c r="AL63" s="72" t="str">
        <f t="shared" ref="AL63:AL64" si="385">IFERROR(VLOOKUP($B63,'LOD 300 - COLO2'!$B:P,14,FALSE),"N/A")</f>
        <v>N/A</v>
      </c>
      <c r="AM63" s="1134" t="str">
        <f t="shared" ref="AM63:AM64" si="386">IFERROR(VLOOKUP($B63,'LOD 300 - COLO2'!$B:S,17,FALSE),"N/A")</f>
        <v>N/A</v>
      </c>
      <c r="AN63" s="1134" t="str">
        <f t="shared" ref="AN63:AN64" si="387">IFERROR(VLOOKUP($B63,'LOD 300 - COLO2'!$B:V,20,FALSE),"N/A")</f>
        <v>N/A</v>
      </c>
      <c r="AO63" s="1134" t="str">
        <f t="shared" ref="AO63:AO64" si="388">IFERROR(VLOOKUP($B63,'LOD 300 - COLO2'!$B:Y,23,FALSE),"N/A")</f>
        <v>N/A</v>
      </c>
      <c r="AP63" s="1126" t="str">
        <f t="shared" ref="AP63:AP64" si="389">IFERROR(VLOOKUP($B63,'LOD 300 - COLO2'!$B:AB,26,FALSE),"N/A")</f>
        <v>N/A</v>
      </c>
      <c r="AQ63" s="1124" t="str">
        <f t="shared" ref="AQ63:AQ64" si="390">IFERROR(VLOOKUP($B63,'LOD 300 - COLO2'!$B:AE,29,FALSE),"N/A")</f>
        <v>N/A</v>
      </c>
      <c r="AR63" s="1124" t="str">
        <f t="shared" ref="AR63:AR64" si="391">IFERROR(VLOOKUP($B63,'LOD 300 - COLO2'!$B:AH,32,FALSE),"N/A")</f>
        <v>N/A</v>
      </c>
      <c r="AS63" s="1125" t="str">
        <f>IFERROR(__xludf.DUMMYFUNCTION("IF(
  OR(AR63=""NOT PUBLISHED"", AR63=""N/A""),
  AR63,
  IFERROR(MAX(FILTER(AL63:AR63, ISNUMBER(AL63:AR63))),"""")
)"),"N/A")</f>
        <v>N/A</v>
      </c>
      <c r="AT63" s="72" t="str">
        <f t="shared" ref="AT63:AT64" si="392">IFERROR(VLOOKUP($B63,'LOD 300 - SITE'!$B:P,14,FALSE),"N/A")</f>
        <v>N/A</v>
      </c>
      <c r="AU63" s="1134" t="str">
        <f t="shared" ref="AU63:AU64" si="393">IFERROR(VLOOKUP($B63,'LOD 300 - SITE'!$B:S,17,FALSE),"N/A")</f>
        <v>N/A</v>
      </c>
      <c r="AV63" s="1134" t="str">
        <f t="shared" ref="AV63:AV64" si="394">IFERROR(VLOOKUP($B63,'LOD 300 - SITE'!$B:V,20,FALSE),"N/A")</f>
        <v>N/A</v>
      </c>
      <c r="AW63" s="1134" t="str">
        <f t="shared" ref="AW63:AW64" si="395">IFERROR(VLOOKUP($B63,'LOD 300 - SITE'!$B:Y,23,FALSE),"N/A")</f>
        <v>N/A</v>
      </c>
      <c r="AX63" s="1134" t="str">
        <f t="shared" ref="AX63:AX64" si="396">IFERROR(VLOOKUP($B63,'LOD 300 - SITE'!$B:AB,26,FALSE),"N/A")</f>
        <v>N/A</v>
      </c>
      <c r="AY63" s="1135" t="str">
        <f t="shared" ref="AY63:AY64" si="397">IFERROR(VLOOKUP($B63,'LOD 300 - SITE'!$B:AE,29,FALSE),"N/A")</f>
        <v>N/A</v>
      </c>
      <c r="AZ63" s="1127" t="str">
        <f t="shared" ref="AZ63:AZ64" si="398">IFERROR(VLOOKUP($B63,'LOD 300 - SITE'!$B:AH,32,FALSE),"N/A")</f>
        <v>N/A</v>
      </c>
      <c r="BA63" s="1135" t="str">
        <f t="shared" ref="BA63:BA64" si="399">IFERROR(VLOOKUP($B63,'LOD 300 - SITE'!$B:AK,35,FALSE),"N/A")</f>
        <v>N/A</v>
      </c>
      <c r="BB63" s="1127" t="str">
        <f t="shared" ref="BB63:BB64" si="400">IFERROR(VLOOKUP($B63,'LOD 300 - SITE'!$B:AN,38,FALSE),"N/A")</f>
        <v>N/A</v>
      </c>
      <c r="BC63" s="1128" t="str">
        <f>IFERROR(__xludf.DUMMYFUNCTION("IF(
  OR(BB63=""NOT PUBLISHED"", BB63=""N/A""),
  BB63,
  IFERROR(MAX(FILTER(AT63:BB63, ISNUMBER(AT63:BB63))),"""")
)"),"N/A")</f>
        <v>N/A</v>
      </c>
      <c r="BD63" s="1138"/>
      <c r="BE63" s="1138"/>
      <c r="BF63" s="1138"/>
    </row>
    <row r="64" ht="15.0" customHeight="1" outlineLevel="1">
      <c r="A64" s="53">
        <v>61.0</v>
      </c>
      <c r="B64" s="100" t="s">
        <v>205</v>
      </c>
      <c r="C64" s="53">
        <v>61.0</v>
      </c>
      <c r="D64" s="1130" t="s">
        <v>1756</v>
      </c>
      <c r="E64" s="101" t="s">
        <v>154</v>
      </c>
      <c r="F64" s="102">
        <v>1112.0</v>
      </c>
      <c r="G64" s="517" t="s">
        <v>155</v>
      </c>
      <c r="H64" s="517">
        <v>1129.0</v>
      </c>
      <c r="I64" s="821" t="str">
        <f>IFERROR(VLOOKUP(B61:B251,'RELATÓRIO ACC'!B:F,5,FALSE),"NOT PUBLISHED")</f>
        <v>NOT PUBLISHED</v>
      </c>
      <c r="J64" s="1119" t="str">
        <f>IFERROR(VLOOKUP(B61:B251,'RELATÓRIO ACC'!B:P,15,FALSE),"NOT PUBLISHED")</f>
        <v>NOT PUBLISHED</v>
      </c>
      <c r="K64" s="552" t="str">
        <f t="shared" si="361"/>
        <v>#REF!</v>
      </c>
      <c r="L64" s="552" t="str">
        <f t="shared" si="362"/>
        <v>#REF!</v>
      </c>
      <c r="M64" s="899" t="s">
        <v>461</v>
      </c>
      <c r="N64" s="1132" t="str">
        <f t="shared" si="363"/>
        <v>N/A</v>
      </c>
      <c r="O64" s="1133" t="str">
        <f t="shared" si="364"/>
        <v>N/A</v>
      </c>
      <c r="P64" s="1133" t="str">
        <f t="shared" si="365"/>
        <v>N/A</v>
      </c>
      <c r="Q64" s="1133" t="str">
        <f t="shared" si="366"/>
        <v>N/A</v>
      </c>
      <c r="R64" s="1133" t="str">
        <f t="shared" si="367"/>
        <v>N/A</v>
      </c>
      <c r="S64" s="1133" t="str">
        <f t="shared" si="368"/>
        <v>N/A</v>
      </c>
      <c r="T64" s="1133" t="str">
        <f t="shared" si="369"/>
        <v>N/A</v>
      </c>
      <c r="U64" s="1133" t="str">
        <f t="shared" si="370"/>
        <v>N/A</v>
      </c>
      <c r="V64" s="1122" t="str">
        <f t="shared" si="371"/>
        <v>N/A</v>
      </c>
      <c r="W64" s="1124" t="str">
        <f t="shared" si="372"/>
        <v>N/A</v>
      </c>
      <c r="X64" s="1124" t="str">
        <f t="shared" si="373"/>
        <v>N/A</v>
      </c>
      <c r="Y64" s="1125" t="str">
        <f>IFERROR(__xludf.DUMMYFUNCTION("IF(
  OR(X64=""NOT PUBLISHED"", X64=""N/A""),
  X64,
  IFERROR(MAX(FILTER(N64:X64, ISNUMBER(N64:X64))),"""")
)"),"N/A")</f>
        <v>N/A</v>
      </c>
      <c r="Z64" s="72" t="str">
        <f t="shared" si="374"/>
        <v>N/A</v>
      </c>
      <c r="AA64" s="1134" t="str">
        <f t="shared" si="375"/>
        <v>N/A</v>
      </c>
      <c r="AB64" s="1134" t="str">
        <f t="shared" si="376"/>
        <v>N/A</v>
      </c>
      <c r="AC64" s="1134" t="str">
        <f t="shared" si="377"/>
        <v>N/A</v>
      </c>
      <c r="AD64" s="1134" t="str">
        <f t="shared" si="378"/>
        <v>N/A</v>
      </c>
      <c r="AE64" s="1134" t="str">
        <f t="shared" si="379"/>
        <v>N/A</v>
      </c>
      <c r="AF64" s="1134" t="str">
        <f t="shared" si="380"/>
        <v>N/A</v>
      </c>
      <c r="AG64" s="1134" t="str">
        <f t="shared" si="381"/>
        <v>N/A</v>
      </c>
      <c r="AH64" s="1122" t="str">
        <f t="shared" si="382"/>
        <v>N/A</v>
      </c>
      <c r="AI64" s="1124" t="str">
        <f t="shared" si="383"/>
        <v>N/A</v>
      </c>
      <c r="AJ64" s="1124" t="str">
        <f t="shared" si="384"/>
        <v>N/A</v>
      </c>
      <c r="AK64" s="1125" t="str">
        <f>IFERROR(__xludf.DUMMYFUNCTION("IF(
  OR(AJ64=""NOT PUBLISHED"", AJ64=""N/A""),
  AJ64,
  IFERROR(MAX(FILTER(Z64:AJ64, ISNUMBER(Z64:AJ64))),"""")
)"),"N/A")</f>
        <v>N/A</v>
      </c>
      <c r="AL64" s="72" t="str">
        <f t="shared" si="385"/>
        <v>N/A</v>
      </c>
      <c r="AM64" s="1134" t="str">
        <f t="shared" si="386"/>
        <v>N/A</v>
      </c>
      <c r="AN64" s="1134" t="str">
        <f t="shared" si="387"/>
        <v>N/A</v>
      </c>
      <c r="AO64" s="1134" t="str">
        <f t="shared" si="388"/>
        <v>N/A</v>
      </c>
      <c r="AP64" s="1126" t="str">
        <f t="shared" si="389"/>
        <v>N/A</v>
      </c>
      <c r="AQ64" s="1124" t="str">
        <f t="shared" si="390"/>
        <v>N/A</v>
      </c>
      <c r="AR64" s="1124" t="str">
        <f t="shared" si="391"/>
        <v>N/A</v>
      </c>
      <c r="AS64" s="1125" t="str">
        <f>IFERROR(__xludf.DUMMYFUNCTION("IF(
  OR(AR64=""NOT PUBLISHED"", AR64=""N/A""),
  AR64,
  IFERROR(MAX(FILTER(AL64:AR64, ISNUMBER(AL64:AR64))),"""")
)"),"N/A")</f>
        <v>N/A</v>
      </c>
      <c r="AT64" s="72" t="str">
        <f t="shared" si="392"/>
        <v>N/A</v>
      </c>
      <c r="AU64" s="1134" t="str">
        <f t="shared" si="393"/>
        <v>N/A</v>
      </c>
      <c r="AV64" s="1134" t="str">
        <f t="shared" si="394"/>
        <v>N/A</v>
      </c>
      <c r="AW64" s="1134" t="str">
        <f t="shared" si="395"/>
        <v>N/A</v>
      </c>
      <c r="AX64" s="1134" t="str">
        <f t="shared" si="396"/>
        <v>N/A</v>
      </c>
      <c r="AY64" s="1135" t="str">
        <f t="shared" si="397"/>
        <v>N/A</v>
      </c>
      <c r="AZ64" s="1127" t="str">
        <f t="shared" si="398"/>
        <v>N/A</v>
      </c>
      <c r="BA64" s="1135" t="str">
        <f t="shared" si="399"/>
        <v>N/A</v>
      </c>
      <c r="BB64" s="1127" t="str">
        <f t="shared" si="400"/>
        <v>N/A</v>
      </c>
      <c r="BC64" s="1128" t="str">
        <f>IFERROR(__xludf.DUMMYFUNCTION("IF(
  OR(BB64=""NOT PUBLISHED"", BB64=""N/A""),
  BB64,
  IFERROR(MAX(FILTER(AT64:BB64, ISNUMBER(AT64:BB64))),"""")
)"),"N/A")</f>
        <v>N/A</v>
      </c>
      <c r="BD64" s="1129"/>
      <c r="BE64" s="1129"/>
      <c r="BF64" s="1129"/>
    </row>
    <row r="65" ht="15.0" customHeight="1" outlineLevel="1">
      <c r="A65" s="53">
        <v>62.0</v>
      </c>
      <c r="B65" s="209" t="s">
        <v>206</v>
      </c>
      <c r="C65" s="53">
        <v>62.0</v>
      </c>
      <c r="D65" s="211"/>
      <c r="E65" s="211"/>
      <c r="F65" s="211"/>
      <c r="G65" s="211"/>
      <c r="H65" s="213"/>
      <c r="I65" s="214"/>
      <c r="J65" s="606"/>
      <c r="K65" s="211"/>
      <c r="L65" s="211"/>
      <c r="M65" s="214"/>
      <c r="N65" s="1188"/>
      <c r="O65" s="1189"/>
      <c r="P65" s="1189"/>
      <c r="Q65" s="1190"/>
      <c r="R65" s="1191"/>
      <c r="S65" s="1191"/>
      <c r="T65" s="1191"/>
      <c r="U65" s="1191"/>
      <c r="V65" s="1191"/>
      <c r="W65" s="1192"/>
      <c r="X65" s="1192"/>
      <c r="Y65" s="1192"/>
      <c r="Z65" s="1193"/>
      <c r="AA65" s="1194"/>
      <c r="AB65" s="1194"/>
      <c r="AC65" s="1195"/>
      <c r="AD65" s="1196"/>
      <c r="AE65" s="1196"/>
      <c r="AF65" s="1196"/>
      <c r="AG65" s="1196"/>
      <c r="AH65" s="1191"/>
      <c r="AI65" s="1192"/>
      <c r="AJ65" s="1192"/>
      <c r="AK65" s="1192"/>
      <c r="AL65" s="1192"/>
      <c r="AM65" s="1196"/>
      <c r="AN65" s="1196"/>
      <c r="AO65" s="1196"/>
      <c r="AP65" s="1191"/>
      <c r="AQ65" s="1192"/>
      <c r="AR65" s="1192"/>
      <c r="AS65" s="1192"/>
      <c r="AT65" s="1192"/>
      <c r="AU65" s="1192"/>
      <c r="AV65" s="1192"/>
      <c r="AW65" s="1192"/>
      <c r="AX65" s="1192"/>
      <c r="AY65" s="1192"/>
      <c r="AZ65" s="1192"/>
      <c r="BA65" s="1192"/>
      <c r="BB65" s="1192"/>
      <c r="BC65" s="1192"/>
      <c r="BD65" s="1149"/>
      <c r="BE65" s="1149"/>
      <c r="BF65" s="1149"/>
    </row>
    <row r="66" ht="15.0" customHeight="1" outlineLevel="1">
      <c r="A66" s="53">
        <v>63.0</v>
      </c>
      <c r="B66" s="100" t="s">
        <v>208</v>
      </c>
      <c r="C66" s="53">
        <v>63.0</v>
      </c>
      <c r="D66" s="1130" t="s">
        <v>1756</v>
      </c>
      <c r="E66" s="101" t="s">
        <v>154</v>
      </c>
      <c r="F66" s="101" t="s">
        <v>154</v>
      </c>
      <c r="G66" s="101" t="s">
        <v>154</v>
      </c>
      <c r="H66" s="517"/>
      <c r="I66" s="821" t="str">
        <f>IFERROR(VLOOKUP(B63:B253,'RELATÓRIO ACC'!B:F,5,FALSE),"NOT PUBLISHED")</f>
        <v>NOT PUBLISHED</v>
      </c>
      <c r="J66" s="1119" t="str">
        <f>IFERROR(VLOOKUP(B63:B253,'RELATÓRIO ACC'!B:P,15,FALSE),"NOT PUBLISHED")</f>
        <v>NOT PUBLISHED</v>
      </c>
      <c r="K66" s="552" t="str">
        <f t="shared" ref="K66:K67" si="401">IF(OR($D66="UTLS",$D66="GUAR",$D66="STIR",$D66="PUMP",$D66="SITE"),
   VLOOKUP($B66,'LOD 300 - SITE'!C:K,9,FALSE),
   VLOOKUP($B66,'LOD 300 - ADMN'!C:K,9,FALSE)
)</f>
        <v>#REF!</v>
      </c>
      <c r="L66" s="552" t="str">
        <f t="shared" ref="L66:L67" si="402">IF(OR($D66="UTLS",$D66="GUAR",$D66="STIR",$D66="PUMP",$D66="SITE"),
   VLOOKUP($B66,'LOD 300 - SITE'!C:L,10,FALSE),
   VLOOKUP($B66,'LOD 300 - ADMN'!C:Q,10,FALSE)
)</f>
        <v>#REF!</v>
      </c>
      <c r="M66" s="899"/>
      <c r="N66" s="1132" t="str">
        <f t="shared" ref="N66:N67" si="403">IFERROR(VLOOKUP($B66,'LOD 300 - ADMN'!$B:P,14,FALSE),"N/A")</f>
        <v>N/A</v>
      </c>
      <c r="O66" s="1133" t="str">
        <f t="shared" ref="O66:O67" si="404">IFERROR(VLOOKUP($B66,'LOD 300 - ADMN'!$B:S,17,FALSE),"N/A")</f>
        <v>N/A</v>
      </c>
      <c r="P66" s="1133" t="str">
        <f t="shared" ref="P66:P67" si="405">IFERROR(VLOOKUP($B66,'LOD 300 - ADMN'!$B:V,20,FALSE),"N/A")</f>
        <v>N/A</v>
      </c>
      <c r="Q66" s="1133" t="str">
        <f t="shared" ref="Q66:Q67" si="406">IFERROR(VLOOKUP($B66,'LOD 300 - ADMN'!$B:Y,23,FALSE),"N/A")</f>
        <v>N/A</v>
      </c>
      <c r="R66" s="1133" t="str">
        <f t="shared" ref="R66:R67" si="407">IFERROR(VLOOKUP($B66,'LOD 300 - ADMN'!$B:AB,26,FALSE),"N/A")</f>
        <v>N/A</v>
      </c>
      <c r="S66" s="1133" t="str">
        <f t="shared" ref="S66:S67" si="408">IFERROR(VLOOKUP($B66,'LOD 300 - ADMN'!$B:AE,29,FALSE),"N/A")</f>
        <v>N/A</v>
      </c>
      <c r="T66" s="1133" t="str">
        <f t="shared" ref="T66:T67" si="409">IFERROR(VLOOKUP($B66,'LOD 300 - ADMN'!$B:AH,32,FALSE),"N/A")</f>
        <v>N/A</v>
      </c>
      <c r="U66" s="1133" t="str">
        <f t="shared" ref="U66:U67" si="410">IFERROR(VLOOKUP($B66,'LOD 300 - ADMN'!$B:AK,35,FALSE),"N/A")</f>
        <v>N/A</v>
      </c>
      <c r="V66" s="1122" t="str">
        <f t="shared" ref="V66:V67" si="411">IFERROR(VLOOKUP($B66,'LOD 300 - ADMN'!$B:AN,38,FALSE),"N/A")</f>
        <v>N/A</v>
      </c>
      <c r="W66" s="1124" t="str">
        <f t="shared" ref="W66:W67" si="412">IFERROR(VLOOKUP($B66,'LOD 300 - ADMN'!$B:AQ,41,FALSE),"N/A")</f>
        <v>N/A</v>
      </c>
      <c r="X66" s="1124" t="str">
        <f t="shared" ref="X66:X67" si="413">IFERROR(VLOOKUP($B66,'LOD 300 - ADMN'!$B:AT,44,FALSE),"N/A")</f>
        <v>N/A</v>
      </c>
      <c r="Y66" s="1125" t="str">
        <f>IFERROR(__xludf.DUMMYFUNCTION("IF(
  OR(X66=""NOT PUBLISHED"", X66=""N/A""),
  X66,
  IFERROR(MAX(FILTER(N66:X66, ISNUMBER(N66:X66))),"""")
)"),"N/A")</f>
        <v>N/A</v>
      </c>
      <c r="Z66" s="72" t="str">
        <f t="shared" ref="Z66:Z67" si="414">IFERROR(VLOOKUP($B66,'LOD 300 - COLO1'!$B:P,14,FALSE),"N/A")</f>
        <v>N/A</v>
      </c>
      <c r="AA66" s="1134" t="str">
        <f t="shared" ref="AA66:AA67" si="415">IFERROR(VLOOKUP($B66,'LOD 300 - COLO1'!$B:S,17,FALSE),"N/A")</f>
        <v>N/A</v>
      </c>
      <c r="AB66" s="1134" t="str">
        <f t="shared" ref="AB66:AB67" si="416">IFERROR(VLOOKUP($B66,'LOD 300 - COLO1'!$B:V,20,FALSE),"N/A")</f>
        <v>N/A</v>
      </c>
      <c r="AC66" s="1134" t="str">
        <f t="shared" ref="AC66:AC67" si="417">IFERROR(VLOOKUP($B66,'LOD 300 - COLO1'!$B:Y,23,FALSE),"N/A")</f>
        <v>N/A</v>
      </c>
      <c r="AD66" s="1134" t="str">
        <f t="shared" ref="AD66:AD67" si="418">IFERROR(VLOOKUP($B66,'LOD 300 - COLO1'!$B:AB,26,FALSE),"N/A")</f>
        <v>N/A</v>
      </c>
      <c r="AE66" s="1134" t="str">
        <f t="shared" ref="AE66:AE67" si="419">IFERROR(VLOOKUP($B66,'LOD 300 - COLO1'!$B:AE,29,FALSE),"N/A")</f>
        <v>N/A</v>
      </c>
      <c r="AF66" s="1134" t="str">
        <f t="shared" ref="AF66:AF67" si="420">IFERROR(VLOOKUP($B66,'LOD 300 - COLO1'!$B:AH,32,FALSE),"N/A")</f>
        <v>N/A</v>
      </c>
      <c r="AG66" s="1134" t="str">
        <f t="shared" ref="AG66:AG67" si="421">IFERROR(VLOOKUP($B66,'LOD 300 - COLO1'!$B:AK,35,FALSE),"N/A")</f>
        <v>N/A</v>
      </c>
      <c r="AH66" s="1122" t="str">
        <f t="shared" ref="AH66:AH67" si="422">IFERROR(VLOOKUP($B66,'LOD 300 - COLO1'!$B:AN,38,FALSE),"N/A")</f>
        <v>N/A</v>
      </c>
      <c r="AI66" s="1124" t="str">
        <f t="shared" ref="AI66:AI67" si="423">IFERROR(VLOOKUP($B66,'LOD 300 - COLO1'!$B:AQ,41,FALSE),"N/A")</f>
        <v>N/A</v>
      </c>
      <c r="AJ66" s="1124" t="str">
        <f t="shared" ref="AJ66:AJ67" si="424">IFERROR(VLOOKUP($B66,'LOD 300 - COLO1'!$B:AT,44,FALSE),"N/A")</f>
        <v>N/A</v>
      </c>
      <c r="AK66" s="1125" t="str">
        <f>IFERROR(__xludf.DUMMYFUNCTION("IF(
  OR(AJ66=""NOT PUBLISHED"", AJ66=""N/A""),
  AJ66,
  IFERROR(MAX(FILTER(Z66:AJ66, ISNUMBER(Z66:AJ66))),"""")
)"),"N/A")</f>
        <v>N/A</v>
      </c>
      <c r="AL66" s="72" t="str">
        <f t="shared" ref="AL66:AL67" si="425">IFERROR(VLOOKUP($B66,'LOD 300 - COLO2'!$B:P,14,FALSE),"N/A")</f>
        <v>N/A</v>
      </c>
      <c r="AM66" s="1134" t="str">
        <f t="shared" ref="AM66:AM67" si="426">IFERROR(VLOOKUP($B66,'LOD 300 - COLO2'!$B:S,17,FALSE),"N/A")</f>
        <v>N/A</v>
      </c>
      <c r="AN66" s="1134" t="str">
        <f t="shared" ref="AN66:AN67" si="427">IFERROR(VLOOKUP($B66,'LOD 300 - COLO2'!$B:V,20,FALSE),"N/A")</f>
        <v>N/A</v>
      </c>
      <c r="AO66" s="1134" t="str">
        <f t="shared" ref="AO66:AO67" si="428">IFERROR(VLOOKUP($B66,'LOD 300 - COLO2'!$B:Y,23,FALSE),"N/A")</f>
        <v>N/A</v>
      </c>
      <c r="AP66" s="1126" t="str">
        <f t="shared" ref="AP66:AP67" si="429">IFERROR(VLOOKUP($B66,'LOD 300 - COLO2'!$B:AB,26,FALSE),"N/A")</f>
        <v>N/A</v>
      </c>
      <c r="AQ66" s="1124" t="str">
        <f t="shared" ref="AQ66:AQ67" si="430">IFERROR(VLOOKUP($B66,'LOD 300 - COLO2'!$B:AE,29,FALSE),"N/A")</f>
        <v>N/A</v>
      </c>
      <c r="AR66" s="1124" t="str">
        <f t="shared" ref="AR66:AR67" si="431">IFERROR(VLOOKUP($B66,'LOD 300 - COLO2'!$B:AH,32,FALSE),"N/A")</f>
        <v>N/A</v>
      </c>
      <c r="AS66" s="1125" t="str">
        <f>IFERROR(__xludf.DUMMYFUNCTION("IF(
  OR(AR66=""NOT PUBLISHED"", AR66=""N/A""),
  AR66,
  IFERROR(MAX(FILTER(AL66:AR66, ISNUMBER(AL66:AR66))),"""")
)"),"N/A")</f>
        <v>N/A</v>
      </c>
      <c r="AT66" s="72" t="str">
        <f t="shared" ref="AT66:AT67" si="432">IFERROR(VLOOKUP($B66,'LOD 300 - SITE'!$B:P,14,FALSE),"N/A")</f>
        <v>N/A</v>
      </c>
      <c r="AU66" s="1134" t="str">
        <f t="shared" ref="AU66:AU67" si="433">IFERROR(VLOOKUP($B66,'LOD 300 - SITE'!$B:S,17,FALSE),"N/A")</f>
        <v>N/A</v>
      </c>
      <c r="AV66" s="1134" t="str">
        <f t="shared" ref="AV66:AV67" si="434">IFERROR(VLOOKUP($B66,'LOD 300 - SITE'!$B:V,20,FALSE),"N/A")</f>
        <v>N/A</v>
      </c>
      <c r="AW66" s="1134" t="str">
        <f t="shared" ref="AW66:AW67" si="435">IFERROR(VLOOKUP($B66,'LOD 300 - SITE'!$B:Y,23,FALSE),"N/A")</f>
        <v>N/A</v>
      </c>
      <c r="AX66" s="1134" t="str">
        <f t="shared" ref="AX66:AX67" si="436">IFERROR(VLOOKUP($B66,'LOD 300 - SITE'!$B:AB,26,FALSE),"N/A")</f>
        <v>N/A</v>
      </c>
      <c r="AY66" s="1135" t="str">
        <f t="shared" ref="AY66:AY67" si="437">IFERROR(VLOOKUP($B66,'LOD 300 - SITE'!$B:AE,29,FALSE),"N/A")</f>
        <v>N/A</v>
      </c>
      <c r="AZ66" s="1127" t="str">
        <f t="shared" ref="AZ66:AZ67" si="438">IFERROR(VLOOKUP($B66,'LOD 300 - SITE'!$B:AH,32,FALSE),"N/A")</f>
        <v>N/A</v>
      </c>
      <c r="BA66" s="1135" t="str">
        <f t="shared" ref="BA66:BA67" si="439">IFERROR(VLOOKUP($B66,'LOD 300 - SITE'!$B:AK,35,FALSE),"N/A")</f>
        <v>N/A</v>
      </c>
      <c r="BB66" s="1127" t="str">
        <f t="shared" ref="BB66:BB67" si="440">IFERROR(VLOOKUP($B66,'LOD 300 - SITE'!$B:AN,38,FALSE),"N/A")</f>
        <v>N/A</v>
      </c>
      <c r="BC66" s="1128" t="str">
        <f>IFERROR(__xludf.DUMMYFUNCTION("IF(
  OR(BB66=""NOT PUBLISHED"", BB66=""N/A""),
  BB66,
  IFERROR(MAX(FILTER(AT66:BB66, ISNUMBER(AT66:BB66))),"""")
)"),"N/A")</f>
        <v>N/A</v>
      </c>
      <c r="BD66" s="1129"/>
      <c r="BE66" s="1129"/>
      <c r="BF66" s="1129"/>
    </row>
    <row r="67" ht="15.0" customHeight="1" outlineLevel="1">
      <c r="A67" s="53">
        <v>64.0</v>
      </c>
      <c r="B67" s="145" t="s">
        <v>210</v>
      </c>
      <c r="C67" s="53">
        <v>64.0</v>
      </c>
      <c r="D67" s="1130" t="s">
        <v>7</v>
      </c>
      <c r="E67" s="101" t="s">
        <v>154</v>
      </c>
      <c r="F67" s="101" t="s">
        <v>154</v>
      </c>
      <c r="G67" s="101" t="s">
        <v>154</v>
      </c>
      <c r="H67" s="517"/>
      <c r="I67" s="821" t="str">
        <f>IFERROR(VLOOKUP(B64:B254,'RELATÓRIO ACC'!B:F,5,FALSE),"NOT PUBLISHED")</f>
        <v>NOT PUBLISHED</v>
      </c>
      <c r="J67" s="1119" t="str">
        <f>IFERROR(VLOOKUP(B64:B254,'RELATÓRIO ACC'!B:P,15,FALSE),"NOT PUBLISHED")</f>
        <v>NOT PUBLISHED</v>
      </c>
      <c r="K67" s="552" t="str">
        <f t="shared" si="401"/>
        <v>#REF!</v>
      </c>
      <c r="L67" s="552" t="str">
        <f t="shared" si="402"/>
        <v>#REF!</v>
      </c>
      <c r="M67" s="899"/>
      <c r="N67" s="1132" t="str">
        <f t="shared" si="403"/>
        <v>N/A</v>
      </c>
      <c r="O67" s="1133" t="str">
        <f t="shared" si="404"/>
        <v>N/A</v>
      </c>
      <c r="P67" s="1133" t="str">
        <f t="shared" si="405"/>
        <v>N/A</v>
      </c>
      <c r="Q67" s="1133" t="str">
        <f t="shared" si="406"/>
        <v>N/A</v>
      </c>
      <c r="R67" s="1133" t="str">
        <f t="shared" si="407"/>
        <v>N/A</v>
      </c>
      <c r="S67" s="1133" t="str">
        <f t="shared" si="408"/>
        <v>N/A</v>
      </c>
      <c r="T67" s="1133" t="str">
        <f t="shared" si="409"/>
        <v>N/A</v>
      </c>
      <c r="U67" s="1133" t="str">
        <f t="shared" si="410"/>
        <v>N/A</v>
      </c>
      <c r="V67" s="1122" t="str">
        <f t="shared" si="411"/>
        <v>N/A</v>
      </c>
      <c r="W67" s="1124" t="str">
        <f t="shared" si="412"/>
        <v>N/A</v>
      </c>
      <c r="X67" s="1124" t="str">
        <f t="shared" si="413"/>
        <v>N/A</v>
      </c>
      <c r="Y67" s="1125" t="str">
        <f>IFERROR(__xludf.DUMMYFUNCTION("IF(
  OR(X67=""NOT PUBLISHED"", X67=""N/A""),
  X67,
  IFERROR(MAX(FILTER(N67:X67, ISNUMBER(N67:X67))),"""")
)"),"N/A")</f>
        <v>N/A</v>
      </c>
      <c r="Z67" s="72" t="str">
        <f t="shared" si="414"/>
        <v>N/A</v>
      </c>
      <c r="AA67" s="1134" t="str">
        <f t="shared" si="415"/>
        <v>N/A</v>
      </c>
      <c r="AB67" s="1134" t="str">
        <f t="shared" si="416"/>
        <v>N/A</v>
      </c>
      <c r="AC67" s="1134" t="str">
        <f t="shared" si="417"/>
        <v>N/A</v>
      </c>
      <c r="AD67" s="1134" t="str">
        <f t="shared" si="418"/>
        <v>N/A</v>
      </c>
      <c r="AE67" s="1134" t="str">
        <f t="shared" si="419"/>
        <v>N/A</v>
      </c>
      <c r="AF67" s="1134" t="str">
        <f t="shared" si="420"/>
        <v>N/A</v>
      </c>
      <c r="AG67" s="1134" t="str">
        <f t="shared" si="421"/>
        <v>N/A</v>
      </c>
      <c r="AH67" s="1122" t="str">
        <f t="shared" si="422"/>
        <v>N/A</v>
      </c>
      <c r="AI67" s="1124" t="str">
        <f t="shared" si="423"/>
        <v>N/A</v>
      </c>
      <c r="AJ67" s="1124" t="str">
        <f t="shared" si="424"/>
        <v>N/A</v>
      </c>
      <c r="AK67" s="1125" t="str">
        <f>IFERROR(__xludf.DUMMYFUNCTION("IF(
  OR(AJ67=""NOT PUBLISHED"", AJ67=""N/A""),
  AJ67,
  IFERROR(MAX(FILTER(Z67:AJ67, ISNUMBER(Z67:AJ67))),"""")
)"),"N/A")</f>
        <v>N/A</v>
      </c>
      <c r="AL67" s="72" t="str">
        <f t="shared" si="425"/>
        <v>N/A</v>
      </c>
      <c r="AM67" s="1134" t="str">
        <f t="shared" si="426"/>
        <v>N/A</v>
      </c>
      <c r="AN67" s="1134" t="str">
        <f t="shared" si="427"/>
        <v>N/A</v>
      </c>
      <c r="AO67" s="1134" t="str">
        <f t="shared" si="428"/>
        <v>N/A</v>
      </c>
      <c r="AP67" s="1126" t="str">
        <f t="shared" si="429"/>
        <v>N/A</v>
      </c>
      <c r="AQ67" s="1124" t="str">
        <f t="shared" si="430"/>
        <v>N/A</v>
      </c>
      <c r="AR67" s="1124" t="str">
        <f t="shared" si="431"/>
        <v>N/A</v>
      </c>
      <c r="AS67" s="1125" t="str">
        <f>IFERROR(__xludf.DUMMYFUNCTION("IF(
  OR(AR67=""NOT PUBLISHED"", AR67=""N/A""),
  AR67,
  IFERROR(MAX(FILTER(AL67:AR67, ISNUMBER(AL67:AR67))),"""")
)"),"N/A")</f>
        <v>N/A</v>
      </c>
      <c r="AT67" s="72" t="str">
        <f t="shared" si="432"/>
        <v>N/A</v>
      </c>
      <c r="AU67" s="1134" t="str">
        <f t="shared" si="433"/>
        <v>N/A</v>
      </c>
      <c r="AV67" s="1134" t="str">
        <f t="shared" si="434"/>
        <v>N/A</v>
      </c>
      <c r="AW67" s="1134" t="str">
        <f t="shared" si="435"/>
        <v>N/A</v>
      </c>
      <c r="AX67" s="1134" t="str">
        <f t="shared" si="436"/>
        <v>N/A</v>
      </c>
      <c r="AY67" s="1135" t="str">
        <f t="shared" si="437"/>
        <v>N/A</v>
      </c>
      <c r="AZ67" s="1127" t="str">
        <f t="shared" si="438"/>
        <v>N/A</v>
      </c>
      <c r="BA67" s="1135" t="str">
        <f t="shared" si="439"/>
        <v>N/A</v>
      </c>
      <c r="BB67" s="1127" t="str">
        <f t="shared" si="440"/>
        <v>N/A</v>
      </c>
      <c r="BC67" s="1128" t="str">
        <f>IFERROR(__xludf.DUMMYFUNCTION("IF(
  OR(BB67=""NOT PUBLISHED"", BB67=""N/A""),
  BB67,
  IFERROR(MAX(FILTER(AT67:BB67, ISNUMBER(AT67:BB67))),"""")
)"),"N/A")</f>
        <v>N/A</v>
      </c>
      <c r="BD67" s="545"/>
      <c r="BE67" s="545"/>
      <c r="BF67" s="545"/>
    </row>
    <row r="68" ht="15.0" customHeight="1">
      <c r="A68" s="53">
        <v>65.0</v>
      </c>
      <c r="B68" s="209" t="s">
        <v>211</v>
      </c>
      <c r="C68" s="53">
        <v>65.0</v>
      </c>
      <c r="D68" s="211"/>
      <c r="E68" s="211"/>
      <c r="F68" s="211"/>
      <c r="G68" s="211"/>
      <c r="H68" s="213"/>
      <c r="I68" s="214"/>
      <c r="J68" s="606"/>
      <c r="K68" s="211"/>
      <c r="L68" s="211"/>
      <c r="M68" s="214"/>
      <c r="N68" s="1188"/>
      <c r="O68" s="1189"/>
      <c r="P68" s="1189"/>
      <c r="Q68" s="1190"/>
      <c r="R68" s="1191"/>
      <c r="S68" s="1191"/>
      <c r="T68" s="1191"/>
      <c r="U68" s="1191"/>
      <c r="V68" s="1191"/>
      <c r="W68" s="1192"/>
      <c r="X68" s="1192"/>
      <c r="Y68" s="1192"/>
      <c r="Z68" s="1193"/>
      <c r="AA68" s="1194"/>
      <c r="AB68" s="1194"/>
      <c r="AC68" s="1195"/>
      <c r="AD68" s="1196"/>
      <c r="AE68" s="1196"/>
      <c r="AF68" s="1196"/>
      <c r="AG68" s="1196"/>
      <c r="AH68" s="1191"/>
      <c r="AI68" s="1192"/>
      <c r="AJ68" s="1192"/>
      <c r="AK68" s="1192"/>
      <c r="AL68" s="1192"/>
      <c r="AM68" s="1196"/>
      <c r="AN68" s="1196"/>
      <c r="AO68" s="1196"/>
      <c r="AP68" s="1191"/>
      <c r="AQ68" s="1192"/>
      <c r="AR68" s="1192"/>
      <c r="AS68" s="1192"/>
      <c r="AT68" s="1192"/>
      <c r="AU68" s="1192"/>
      <c r="AV68" s="1192"/>
      <c r="AW68" s="1192"/>
      <c r="AX68" s="1192"/>
      <c r="AY68" s="1192"/>
      <c r="AZ68" s="1192"/>
      <c r="BA68" s="1192"/>
      <c r="BB68" s="1192"/>
      <c r="BC68" s="1192"/>
      <c r="BD68" s="1149"/>
      <c r="BE68" s="1149"/>
      <c r="BF68" s="1149"/>
    </row>
    <row r="69" ht="15.0" customHeight="1" outlineLevel="1">
      <c r="A69" s="53">
        <v>66.0</v>
      </c>
      <c r="B69" s="100" t="s">
        <v>213</v>
      </c>
      <c r="C69" s="53">
        <v>66.0</v>
      </c>
      <c r="D69" s="1130" t="s">
        <v>1756</v>
      </c>
      <c r="E69" s="101" t="s">
        <v>214</v>
      </c>
      <c r="F69" s="102">
        <v>1116.0</v>
      </c>
      <c r="G69" s="517" t="s">
        <v>214</v>
      </c>
      <c r="H69" s="517">
        <v>1116.0</v>
      </c>
      <c r="I69" s="821" t="str">
        <f>IFERROR(VLOOKUP(B66:B256,'RELATÓRIO ACC'!B:F,5,FALSE),"NOT PUBLISHED")</f>
        <v>NOT PUBLISHED</v>
      </c>
      <c r="J69" s="1119" t="str">
        <f>IFERROR(VLOOKUP(B66:B256,'RELATÓRIO ACC'!B:P,15,FALSE),"NOT PUBLISHED")</f>
        <v>NOT PUBLISHED</v>
      </c>
      <c r="K69" s="552" t="str">
        <f>IF(OR($D69="UTLS",$D69="GUAR",$D69="STIR",$D69="PUMP",$D69="SITE"),
   VLOOKUP($B69,'LOD 300 - SITE'!C:K,9,FALSE),
   VLOOKUP($B69,'LOD 300 - ADMN'!C:K,9,FALSE)
)</f>
        <v>#REF!</v>
      </c>
      <c r="L69" s="552" t="str">
        <f>IF(OR($D69="UTLS",$D69="GUAR",$D69="STIR",$D69="PUMP",$D69="SITE"),
   VLOOKUP($B69,'LOD 300 - SITE'!C:L,10,FALSE),
   VLOOKUP($B69,'LOD 300 - ADMN'!C:Q,10,FALSE)
)</f>
        <v>#REF!</v>
      </c>
      <c r="M69" s="899" t="s">
        <v>445</v>
      </c>
      <c r="N69" s="1132" t="str">
        <f>IFERROR(VLOOKUP($B69,'LOD 300 - ADMN'!$B:P,14,FALSE),"N/A")</f>
        <v>N/A</v>
      </c>
      <c r="O69" s="1133" t="str">
        <f>IFERROR(VLOOKUP($B69,'LOD 300 - ADMN'!$B:S,17,FALSE),"N/A")</f>
        <v>N/A</v>
      </c>
      <c r="P69" s="1133" t="str">
        <f>IFERROR(VLOOKUP($B69,'LOD 300 - ADMN'!$B:V,20,FALSE),"N/A")</f>
        <v>N/A</v>
      </c>
      <c r="Q69" s="1133" t="str">
        <f>IFERROR(VLOOKUP($B69,'LOD 300 - ADMN'!$B:Y,23,FALSE),"N/A")</f>
        <v>N/A</v>
      </c>
      <c r="R69" s="1133" t="str">
        <f>IFERROR(VLOOKUP($B69,'LOD 300 - ADMN'!$B:AB,26,FALSE),"N/A")</f>
        <v>N/A</v>
      </c>
      <c r="S69" s="1133" t="str">
        <f>IFERROR(VLOOKUP($B69,'LOD 300 - ADMN'!$B:AE,29,FALSE),"N/A")</f>
        <v>N/A</v>
      </c>
      <c r="T69" s="1133" t="str">
        <f>IFERROR(VLOOKUP($B69,'LOD 300 - ADMN'!$B:AH,32,FALSE),"N/A")</f>
        <v>N/A</v>
      </c>
      <c r="U69" s="1133" t="str">
        <f>IFERROR(VLOOKUP($B69,'LOD 300 - ADMN'!$B:AK,35,FALSE),"N/A")</f>
        <v>N/A</v>
      </c>
      <c r="V69" s="1122" t="str">
        <f>IFERROR(VLOOKUP($B69,'LOD 300 - ADMN'!$B:AN,38,FALSE),"N/A")</f>
        <v>N/A</v>
      </c>
      <c r="W69" s="1124" t="str">
        <f>IFERROR(VLOOKUP($B69,'LOD 300 - ADMN'!$B:AQ,41,FALSE),"N/A")</f>
        <v>N/A</v>
      </c>
      <c r="X69" s="1124" t="str">
        <f>IFERROR(VLOOKUP($B69,'LOD 300 - ADMN'!$B:AT,44,FALSE),"N/A")</f>
        <v>N/A</v>
      </c>
      <c r="Y69" s="1125" t="str">
        <f>IFERROR(__xludf.DUMMYFUNCTION("IF(
  OR(X69=""NOT PUBLISHED"", X69=""N/A""),
  X69,
  IFERROR(MAX(FILTER(N69:X69, ISNUMBER(N69:X69))),"""")
)"),"N/A")</f>
        <v>N/A</v>
      </c>
      <c r="Z69" s="72" t="str">
        <f>IFERROR(VLOOKUP($B69,'LOD 300 - COLO1'!$B:P,14,FALSE),"N/A")</f>
        <v>N/A</v>
      </c>
      <c r="AA69" s="1134" t="str">
        <f>IFERROR(VLOOKUP($B69,'LOD 300 - COLO1'!$B:S,17,FALSE),"N/A")</f>
        <v>N/A</v>
      </c>
      <c r="AB69" s="1134" t="str">
        <f>IFERROR(VLOOKUP($B69,'LOD 300 - COLO1'!$B:V,20,FALSE),"N/A")</f>
        <v>N/A</v>
      </c>
      <c r="AC69" s="1134" t="str">
        <f>IFERROR(VLOOKUP($B69,'LOD 300 - COLO1'!$B:Y,23,FALSE),"N/A")</f>
        <v>N/A</v>
      </c>
      <c r="AD69" s="1134" t="str">
        <f>IFERROR(VLOOKUP($B69,'LOD 300 - COLO1'!$B:AB,26,FALSE),"N/A")</f>
        <v>N/A</v>
      </c>
      <c r="AE69" s="1134" t="str">
        <f>IFERROR(VLOOKUP($B69,'LOD 300 - COLO1'!$B:AE,29,FALSE),"N/A")</f>
        <v>N/A</v>
      </c>
      <c r="AF69" s="1134" t="str">
        <f>IFERROR(VLOOKUP($B69,'LOD 300 - COLO1'!$B:AH,32,FALSE),"N/A")</f>
        <v>N/A</v>
      </c>
      <c r="AG69" s="1134" t="str">
        <f>IFERROR(VLOOKUP($B69,'LOD 300 - COLO1'!$B:AK,35,FALSE),"N/A")</f>
        <v>N/A</v>
      </c>
      <c r="AH69" s="1122" t="str">
        <f>IFERROR(VLOOKUP($B69,'LOD 300 - COLO1'!$B:AN,38,FALSE),"N/A")</f>
        <v>N/A</v>
      </c>
      <c r="AI69" s="1124" t="str">
        <f>IFERROR(VLOOKUP($B69,'LOD 300 - COLO1'!$B:AQ,41,FALSE),"N/A")</f>
        <v>N/A</v>
      </c>
      <c r="AJ69" s="1124" t="str">
        <f>IFERROR(VLOOKUP($B69,'LOD 300 - COLO1'!$B:AT,44,FALSE),"N/A")</f>
        <v>N/A</v>
      </c>
      <c r="AK69" s="1125" t="str">
        <f>IFERROR(__xludf.DUMMYFUNCTION("IF(
  OR(AJ69=""NOT PUBLISHED"", AJ69=""N/A""),
  AJ69,
  IFERROR(MAX(FILTER(Z69:AJ69, ISNUMBER(Z69:AJ69))),"""")
)"),"N/A")</f>
        <v>N/A</v>
      </c>
      <c r="AL69" s="72" t="str">
        <f>IFERROR(VLOOKUP($B69,'LOD 300 - COLO2'!$B:P,14,FALSE),"N/A")</f>
        <v>N/A</v>
      </c>
      <c r="AM69" s="1134" t="str">
        <f>IFERROR(VLOOKUP($B69,'LOD 300 - COLO2'!$B:S,17,FALSE),"N/A")</f>
        <v>N/A</v>
      </c>
      <c r="AN69" s="1134" t="str">
        <f>IFERROR(VLOOKUP($B69,'LOD 300 - COLO2'!$B:V,20,FALSE),"N/A")</f>
        <v>N/A</v>
      </c>
      <c r="AO69" s="1134" t="str">
        <f>IFERROR(VLOOKUP($B69,'LOD 300 - COLO2'!$B:Y,23,FALSE),"N/A")</f>
        <v>N/A</v>
      </c>
      <c r="AP69" s="1126" t="str">
        <f>IFERROR(VLOOKUP($B69,'LOD 300 - COLO2'!$B:AB,26,FALSE),"N/A")</f>
        <v>N/A</v>
      </c>
      <c r="AQ69" s="1124" t="str">
        <f>IFERROR(VLOOKUP($B69,'LOD 300 - COLO2'!$B:AE,29,FALSE),"N/A")</f>
        <v>N/A</v>
      </c>
      <c r="AR69" s="1124" t="str">
        <f>IFERROR(VLOOKUP($B69,'LOD 300 - COLO2'!$B:AH,32,FALSE),"N/A")</f>
        <v>N/A</v>
      </c>
      <c r="AS69" s="1125" t="str">
        <f>IFERROR(__xludf.DUMMYFUNCTION("IF(
  OR(AR69=""NOT PUBLISHED"", AR69=""N/A""),
  AR69,
  IFERROR(MAX(FILTER(AL69:AR69, ISNUMBER(AL69:AR69))),"""")
)"),"N/A")</f>
        <v>N/A</v>
      </c>
      <c r="AT69" s="72" t="str">
        <f>IFERROR(VLOOKUP($B69,'LOD 300 - SITE'!$B:P,14,FALSE),"N/A")</f>
        <v>N/A</v>
      </c>
      <c r="AU69" s="1134" t="str">
        <f>IFERROR(VLOOKUP($B69,'LOD 300 - SITE'!$B:S,17,FALSE),"N/A")</f>
        <v>N/A</v>
      </c>
      <c r="AV69" s="1134" t="str">
        <f>IFERROR(VLOOKUP($B69,'LOD 300 - SITE'!$B:V,20,FALSE),"N/A")</f>
        <v>N/A</v>
      </c>
      <c r="AW69" s="1134" t="str">
        <f>IFERROR(VLOOKUP($B69,'LOD 300 - SITE'!$B:Y,23,FALSE),"N/A")</f>
        <v>N/A</v>
      </c>
      <c r="AX69" s="1134" t="str">
        <f>IFERROR(VLOOKUP($B69,'LOD 300 - SITE'!$B:AB,26,FALSE),"N/A")</f>
        <v>N/A</v>
      </c>
      <c r="AY69" s="1135" t="str">
        <f>IFERROR(VLOOKUP($B69,'LOD 300 - SITE'!$B:AE,29,FALSE),"N/A")</f>
        <v>N/A</v>
      </c>
      <c r="AZ69" s="1127" t="str">
        <f>IFERROR(VLOOKUP($B69,'LOD 300 - SITE'!$B:AH,32,FALSE),"N/A")</f>
        <v>N/A</v>
      </c>
      <c r="BA69" s="1135" t="str">
        <f>IFERROR(VLOOKUP($B69,'LOD 300 - SITE'!$B:AK,35,FALSE),"N/A")</f>
        <v>N/A</v>
      </c>
      <c r="BB69" s="1127" t="str">
        <f>IFERROR(VLOOKUP($B69,'LOD 300 - SITE'!$B:AN,38,FALSE),"N/A")</f>
        <v>N/A</v>
      </c>
      <c r="BC69" s="1128" t="str">
        <f>IFERROR(__xludf.DUMMYFUNCTION("IF(
  OR(BB69=""NOT PUBLISHED"", BB69=""N/A""),
  BB69,
  IFERROR(MAX(FILTER(AT69:BB69, ISNUMBER(AT69:BB69))),"""")
)"),"N/A")</f>
        <v>N/A</v>
      </c>
      <c r="BD69" s="1129"/>
      <c r="BE69" s="1129"/>
      <c r="BF69" s="1129"/>
    </row>
    <row r="70" ht="15.0" customHeight="1">
      <c r="A70" s="53">
        <v>67.0</v>
      </c>
      <c r="B70" s="230" t="s">
        <v>215</v>
      </c>
      <c r="C70" s="53">
        <v>67.0</v>
      </c>
      <c r="D70" s="232"/>
      <c r="E70" s="232"/>
      <c r="F70" s="232"/>
      <c r="G70" s="232"/>
      <c r="H70" s="234"/>
      <c r="I70" s="235"/>
      <c r="J70" s="613"/>
      <c r="K70" s="232"/>
      <c r="L70" s="232"/>
      <c r="M70" s="235"/>
      <c r="N70" s="1197"/>
      <c r="O70" s="1198"/>
      <c r="P70" s="1198"/>
      <c r="Q70" s="1199"/>
      <c r="R70" s="1200"/>
      <c r="S70" s="1200"/>
      <c r="T70" s="1200"/>
      <c r="U70" s="1200"/>
      <c r="V70" s="1200"/>
      <c r="W70" s="1201"/>
      <c r="X70" s="1201"/>
      <c r="Y70" s="1201"/>
      <c r="Z70" s="232"/>
      <c r="AA70" s="1202"/>
      <c r="AB70" s="1202"/>
      <c r="AC70" s="1203"/>
      <c r="AD70" s="1204"/>
      <c r="AE70" s="1204"/>
      <c r="AF70" s="1204"/>
      <c r="AG70" s="1204"/>
      <c r="AH70" s="1200"/>
      <c r="AI70" s="1201"/>
      <c r="AJ70" s="1201"/>
      <c r="AK70" s="1201"/>
      <c r="AL70" s="1201"/>
      <c r="AM70" s="1204"/>
      <c r="AN70" s="1204"/>
      <c r="AO70" s="1204"/>
      <c r="AP70" s="1200"/>
      <c r="AQ70" s="1201"/>
      <c r="AR70" s="1201"/>
      <c r="AS70" s="1201"/>
      <c r="AT70" s="1201"/>
      <c r="AU70" s="1201"/>
      <c r="AV70" s="1201"/>
      <c r="AW70" s="1201"/>
      <c r="AX70" s="1201"/>
      <c r="AY70" s="1201"/>
      <c r="AZ70" s="1201"/>
      <c r="BA70" s="1201"/>
      <c r="BB70" s="1201"/>
      <c r="BC70" s="1201"/>
      <c r="BD70" s="545"/>
      <c r="BE70" s="545"/>
      <c r="BF70" s="545"/>
    </row>
    <row r="71" ht="15.0" customHeight="1" outlineLevel="1">
      <c r="A71" s="53">
        <v>68.0</v>
      </c>
      <c r="B71" s="100" t="s">
        <v>217</v>
      </c>
      <c r="C71" s="53">
        <v>68.0</v>
      </c>
      <c r="D71" s="1130" t="s">
        <v>7</v>
      </c>
      <c r="E71" s="101" t="s">
        <v>154</v>
      </c>
      <c r="F71" s="102">
        <v>1112.0</v>
      </c>
      <c r="G71" s="517" t="s">
        <v>154</v>
      </c>
      <c r="H71" s="517">
        <v>1112.0</v>
      </c>
      <c r="I71" s="821" t="str">
        <f>IFERROR(VLOOKUP(B68:B258,'RELATÓRIO ACC'!B:F,5,FALSE),"NOT PUBLISHED")</f>
        <v>NOT PUBLISHED</v>
      </c>
      <c r="J71" s="1119" t="str">
        <f>IFERROR(VLOOKUP(B68:B258,'RELATÓRIO ACC'!B:P,15,FALSE),"NOT PUBLISHED")</f>
        <v>NOT PUBLISHED</v>
      </c>
      <c r="K71" s="552" t="str">
        <f t="shared" ref="K71:K72" si="441">IF(OR($D71="UTLS",$D71="GUAR",$D71="STIR",$D71="PUMP",$D71="SITE"),
   VLOOKUP($B71,'LOD 300 - SITE'!C:K,9,FALSE),
   VLOOKUP($B71,'LOD 300 - ADMN'!C:K,9,FALSE)
)</f>
        <v>#REF!</v>
      </c>
      <c r="L71" s="552" t="str">
        <f t="shared" ref="L71:L72" si="442">IF(OR($D71="UTLS",$D71="GUAR",$D71="STIR",$D71="PUMP",$D71="SITE"),
   VLOOKUP($B71,'LOD 300 - SITE'!C:L,10,FALSE),
   VLOOKUP($B71,'LOD 300 - ADMN'!C:Q,10,FALSE)
)</f>
        <v>#REF!</v>
      </c>
      <c r="M71" s="899" t="s">
        <v>1757</v>
      </c>
      <c r="N71" s="1132" t="str">
        <f t="shared" ref="N71:N72" si="443">IFERROR(VLOOKUP($B71,'LOD 300 - ADMN'!$B:P,14,FALSE),"N/A")</f>
        <v>N/A</v>
      </c>
      <c r="O71" s="1133" t="str">
        <f t="shared" ref="O71:O72" si="444">IFERROR(VLOOKUP($B71,'LOD 300 - ADMN'!$B:S,17,FALSE),"N/A")</f>
        <v>N/A</v>
      </c>
      <c r="P71" s="1133" t="str">
        <f t="shared" ref="P71:P72" si="445">IFERROR(VLOOKUP($B71,'LOD 300 - ADMN'!$B:V,20,FALSE),"N/A")</f>
        <v>N/A</v>
      </c>
      <c r="Q71" s="1133" t="str">
        <f t="shared" ref="Q71:Q72" si="446">IFERROR(VLOOKUP($B71,'LOD 300 - ADMN'!$B:Y,23,FALSE),"N/A")</f>
        <v>N/A</v>
      </c>
      <c r="R71" s="1133" t="str">
        <f t="shared" ref="R71:R72" si="447">IFERROR(VLOOKUP($B71,'LOD 300 - ADMN'!$B:AB,26,FALSE),"N/A")</f>
        <v>N/A</v>
      </c>
      <c r="S71" s="1133" t="str">
        <f t="shared" ref="S71:S72" si="448">IFERROR(VLOOKUP($B71,'LOD 300 - ADMN'!$B:AE,29,FALSE),"N/A")</f>
        <v>N/A</v>
      </c>
      <c r="T71" s="1133" t="str">
        <f t="shared" ref="T71:T72" si="449">IFERROR(VLOOKUP($B71,'LOD 300 - ADMN'!$B:AH,32,FALSE),"N/A")</f>
        <v>N/A</v>
      </c>
      <c r="U71" s="1133" t="str">
        <f t="shared" ref="U71:U72" si="450">IFERROR(VLOOKUP($B71,'LOD 300 - ADMN'!$B:AK,35,FALSE),"N/A")</f>
        <v>N/A</v>
      </c>
      <c r="V71" s="1122" t="str">
        <f t="shared" ref="V71:V72" si="451">IFERROR(VLOOKUP($B71,'LOD 300 - ADMN'!$B:AN,38,FALSE),"N/A")</f>
        <v>N/A</v>
      </c>
      <c r="W71" s="1124" t="str">
        <f t="shared" ref="W71:W72" si="452">IFERROR(VLOOKUP($B71,'LOD 300 - ADMN'!$B:AQ,41,FALSE),"N/A")</f>
        <v>N/A</v>
      </c>
      <c r="X71" s="1124" t="str">
        <f t="shared" ref="X71:X72" si="453">IFERROR(VLOOKUP($B71,'LOD 300 - ADMN'!$B:AT,44,FALSE),"N/A")</f>
        <v>N/A</v>
      </c>
      <c r="Y71" s="1125" t="str">
        <f>IFERROR(__xludf.DUMMYFUNCTION("IF(
  OR(X71=""NOT PUBLISHED"", X71=""N/A""),
  X71,
  IFERROR(MAX(FILTER(N71:X71, ISNUMBER(N71:X71))),"""")
)"),"N/A")</f>
        <v>N/A</v>
      </c>
      <c r="Z71" s="72" t="str">
        <f t="shared" ref="Z71:Z72" si="454">IFERROR(VLOOKUP($B71,'LOD 300 - COLO1'!$B:P,14,FALSE),"N/A")</f>
        <v>N/A</v>
      </c>
      <c r="AA71" s="1134" t="str">
        <f t="shared" ref="AA71:AA72" si="455">IFERROR(VLOOKUP($B71,'LOD 300 - COLO1'!$B:S,17,FALSE),"N/A")</f>
        <v>N/A</v>
      </c>
      <c r="AB71" s="1134" t="str">
        <f t="shared" ref="AB71:AB72" si="456">IFERROR(VLOOKUP($B71,'LOD 300 - COLO1'!$B:V,20,FALSE),"N/A")</f>
        <v>N/A</v>
      </c>
      <c r="AC71" s="1134" t="str">
        <f t="shared" ref="AC71:AC72" si="457">IFERROR(VLOOKUP($B71,'LOD 300 - COLO1'!$B:Y,23,FALSE),"N/A")</f>
        <v>N/A</v>
      </c>
      <c r="AD71" s="1134" t="str">
        <f t="shared" ref="AD71:AD72" si="458">IFERROR(VLOOKUP($B71,'LOD 300 - COLO1'!$B:AB,26,FALSE),"N/A")</f>
        <v>N/A</v>
      </c>
      <c r="AE71" s="1134" t="str">
        <f t="shared" ref="AE71:AE72" si="459">IFERROR(VLOOKUP($B71,'LOD 300 - COLO1'!$B:AE,29,FALSE),"N/A")</f>
        <v>N/A</v>
      </c>
      <c r="AF71" s="1134" t="str">
        <f t="shared" ref="AF71:AF72" si="460">IFERROR(VLOOKUP($B71,'LOD 300 - COLO1'!$B:AH,32,FALSE),"N/A")</f>
        <v>N/A</v>
      </c>
      <c r="AG71" s="1134" t="str">
        <f t="shared" ref="AG71:AG72" si="461">IFERROR(VLOOKUP($B71,'LOD 300 - COLO1'!$B:AK,35,FALSE),"N/A")</f>
        <v>N/A</v>
      </c>
      <c r="AH71" s="1122" t="str">
        <f t="shared" ref="AH71:AH72" si="462">IFERROR(VLOOKUP($B71,'LOD 300 - COLO1'!$B:AN,38,FALSE),"N/A")</f>
        <v>N/A</v>
      </c>
      <c r="AI71" s="1124" t="str">
        <f t="shared" ref="AI71:AI72" si="463">IFERROR(VLOOKUP($B71,'LOD 300 - COLO1'!$B:AQ,41,FALSE),"N/A")</f>
        <v>N/A</v>
      </c>
      <c r="AJ71" s="1124" t="str">
        <f t="shared" ref="AJ71:AJ72" si="464">IFERROR(VLOOKUP($B71,'LOD 300 - COLO1'!$B:AT,44,FALSE),"N/A")</f>
        <v>N/A</v>
      </c>
      <c r="AK71" s="1125" t="str">
        <f>IFERROR(__xludf.DUMMYFUNCTION("IF(
  OR(AJ71=""NOT PUBLISHED"", AJ71=""N/A""),
  AJ71,
  IFERROR(MAX(FILTER(Z71:AJ71, ISNUMBER(Z71:AJ71))),"""")
)"),"N/A")</f>
        <v>N/A</v>
      </c>
      <c r="AL71" s="72" t="str">
        <f t="shared" ref="AL71:AL72" si="465">IFERROR(VLOOKUP($B71,'LOD 300 - COLO2'!$B:P,14,FALSE),"N/A")</f>
        <v>N/A</v>
      </c>
      <c r="AM71" s="1134" t="str">
        <f t="shared" ref="AM71:AM72" si="466">IFERROR(VLOOKUP($B71,'LOD 300 - COLO2'!$B:S,17,FALSE),"N/A")</f>
        <v>N/A</v>
      </c>
      <c r="AN71" s="1134" t="str">
        <f t="shared" ref="AN71:AN72" si="467">IFERROR(VLOOKUP($B71,'LOD 300 - COLO2'!$B:V,20,FALSE),"N/A")</f>
        <v>N/A</v>
      </c>
      <c r="AO71" s="1134" t="str">
        <f t="shared" ref="AO71:AO72" si="468">IFERROR(VLOOKUP($B71,'LOD 300 - COLO2'!$B:Y,23,FALSE),"N/A")</f>
        <v>N/A</v>
      </c>
      <c r="AP71" s="1126" t="str">
        <f t="shared" ref="AP71:AP72" si="469">IFERROR(VLOOKUP($B71,'LOD 300 - COLO2'!$B:AB,26,FALSE),"N/A")</f>
        <v>N/A</v>
      </c>
      <c r="AQ71" s="1124" t="str">
        <f t="shared" ref="AQ71:AQ72" si="470">IFERROR(VLOOKUP($B71,'LOD 300 - COLO2'!$B:AE,29,FALSE),"N/A")</f>
        <v>N/A</v>
      </c>
      <c r="AR71" s="1124" t="str">
        <f t="shared" ref="AR71:AR72" si="471">IFERROR(VLOOKUP($B71,'LOD 300 - COLO2'!$B:AH,32,FALSE),"N/A")</f>
        <v>N/A</v>
      </c>
      <c r="AS71" s="1125" t="str">
        <f>IFERROR(__xludf.DUMMYFUNCTION("IF(
  OR(AR71=""NOT PUBLISHED"", AR71=""N/A""),
  AR71,
  IFERROR(MAX(FILTER(AL71:AR71, ISNUMBER(AL71:AR71))),"""")
)"),"N/A")</f>
        <v>N/A</v>
      </c>
      <c r="AT71" s="72" t="str">
        <f t="shared" ref="AT71:AT72" si="472">IFERROR(VLOOKUP($B71,'LOD 300 - SITE'!$B:P,14,FALSE),"N/A")</f>
        <v>N/A</v>
      </c>
      <c r="AU71" s="1134" t="str">
        <f t="shared" ref="AU71:AU72" si="473">IFERROR(VLOOKUP($B71,'LOD 300 - SITE'!$B:S,17,FALSE),"N/A")</f>
        <v>N/A</v>
      </c>
      <c r="AV71" s="1134" t="str">
        <f t="shared" ref="AV71:AV72" si="474">IFERROR(VLOOKUP($B71,'LOD 300 - SITE'!$B:V,20,FALSE),"N/A")</f>
        <v>N/A</v>
      </c>
      <c r="AW71" s="1134" t="str">
        <f t="shared" ref="AW71:AW72" si="475">IFERROR(VLOOKUP($B71,'LOD 300 - SITE'!$B:Y,23,FALSE),"N/A")</f>
        <v>N/A</v>
      </c>
      <c r="AX71" s="1134" t="str">
        <f t="shared" ref="AX71:AX72" si="476">IFERROR(VLOOKUP($B71,'LOD 300 - SITE'!$B:AB,26,FALSE),"N/A")</f>
        <v>N/A</v>
      </c>
      <c r="AY71" s="1135" t="str">
        <f t="shared" ref="AY71:AY72" si="477">IFERROR(VLOOKUP($B71,'LOD 300 - SITE'!$B:AE,29,FALSE),"N/A")</f>
        <v>N/A</v>
      </c>
      <c r="AZ71" s="1127" t="str">
        <f t="shared" ref="AZ71:AZ72" si="478">IFERROR(VLOOKUP($B71,'LOD 300 - SITE'!$B:AH,32,FALSE),"N/A")</f>
        <v>N/A</v>
      </c>
      <c r="BA71" s="1135" t="str">
        <f t="shared" ref="BA71:BA72" si="479">IFERROR(VLOOKUP($B71,'LOD 300 - SITE'!$B:AK,35,FALSE),"N/A")</f>
        <v>N/A</v>
      </c>
      <c r="BB71" s="1127" t="str">
        <f t="shared" ref="BB71:BB72" si="480">IFERROR(VLOOKUP($B71,'LOD 300 - SITE'!$B:AN,38,FALSE),"N/A")</f>
        <v>N/A</v>
      </c>
      <c r="BC71" s="1128" t="str">
        <f>IFERROR(__xludf.DUMMYFUNCTION("IF(
  OR(BB71=""NOT PUBLISHED"", BB71=""N/A""),
  BB71,
  IFERROR(MAX(FILTER(AT71:BB71, ISNUMBER(AT71:BB71))),"""")
)"),"N/A")</f>
        <v>N/A</v>
      </c>
      <c r="BD71" s="545"/>
      <c r="BE71" s="545"/>
      <c r="BF71" s="545"/>
    </row>
    <row r="72" ht="15.0" customHeight="1" outlineLevel="1">
      <c r="A72" s="53">
        <v>69.0</v>
      </c>
      <c r="B72" s="100" t="s">
        <v>219</v>
      </c>
      <c r="C72" s="53">
        <v>69.0</v>
      </c>
      <c r="D72" s="1130" t="s">
        <v>1756</v>
      </c>
      <c r="E72" s="101" t="s">
        <v>154</v>
      </c>
      <c r="F72" s="102">
        <v>1112.0</v>
      </c>
      <c r="G72" s="517" t="s">
        <v>154</v>
      </c>
      <c r="H72" s="517">
        <v>1112.0</v>
      </c>
      <c r="I72" s="821" t="str">
        <f>IFERROR(VLOOKUP(B69:B259,'RELATÓRIO ACC'!B:F,5,FALSE),"NOT PUBLISHED")</f>
        <v>NOT PUBLISHED</v>
      </c>
      <c r="J72" s="1119" t="str">
        <f>IFERROR(VLOOKUP(B69:B259,'RELATÓRIO ACC'!B:P,15,FALSE),"NOT PUBLISHED")</f>
        <v>NOT PUBLISHED</v>
      </c>
      <c r="K72" s="552" t="str">
        <f t="shared" si="441"/>
        <v>#REF!</v>
      </c>
      <c r="L72" s="552" t="str">
        <f t="shared" si="442"/>
        <v>#REF!</v>
      </c>
      <c r="M72" s="899" t="s">
        <v>1757</v>
      </c>
      <c r="N72" s="1132" t="str">
        <f t="shared" si="443"/>
        <v>N/A</v>
      </c>
      <c r="O72" s="1133" t="str">
        <f t="shared" si="444"/>
        <v>N/A</v>
      </c>
      <c r="P72" s="1133" t="str">
        <f t="shared" si="445"/>
        <v>N/A</v>
      </c>
      <c r="Q72" s="1133" t="str">
        <f t="shared" si="446"/>
        <v>N/A</v>
      </c>
      <c r="R72" s="1133" t="str">
        <f t="shared" si="447"/>
        <v>N/A</v>
      </c>
      <c r="S72" s="1133" t="str">
        <f t="shared" si="448"/>
        <v>N/A</v>
      </c>
      <c r="T72" s="1133" t="str">
        <f t="shared" si="449"/>
        <v>N/A</v>
      </c>
      <c r="U72" s="1133" t="str">
        <f t="shared" si="450"/>
        <v>N/A</v>
      </c>
      <c r="V72" s="1122" t="str">
        <f t="shared" si="451"/>
        <v>N/A</v>
      </c>
      <c r="W72" s="1124" t="str">
        <f t="shared" si="452"/>
        <v>N/A</v>
      </c>
      <c r="X72" s="1124" t="str">
        <f t="shared" si="453"/>
        <v>N/A</v>
      </c>
      <c r="Y72" s="1125" t="str">
        <f>IFERROR(__xludf.DUMMYFUNCTION("IF(
  OR(X72=""NOT PUBLISHED"", X72=""N/A""),
  X72,
  IFERROR(MAX(FILTER(N72:X72, ISNUMBER(N72:X72))),"""")
)"),"N/A")</f>
        <v>N/A</v>
      </c>
      <c r="Z72" s="72" t="str">
        <f t="shared" si="454"/>
        <v>N/A</v>
      </c>
      <c r="AA72" s="1134" t="str">
        <f t="shared" si="455"/>
        <v>N/A</v>
      </c>
      <c r="AB72" s="1134" t="str">
        <f t="shared" si="456"/>
        <v>N/A</v>
      </c>
      <c r="AC72" s="1134" t="str">
        <f t="shared" si="457"/>
        <v>N/A</v>
      </c>
      <c r="AD72" s="1134" t="str">
        <f t="shared" si="458"/>
        <v>N/A</v>
      </c>
      <c r="AE72" s="1134" t="str">
        <f t="shared" si="459"/>
        <v>N/A</v>
      </c>
      <c r="AF72" s="1134" t="str">
        <f t="shared" si="460"/>
        <v>N/A</v>
      </c>
      <c r="AG72" s="1134" t="str">
        <f t="shared" si="461"/>
        <v>N/A</v>
      </c>
      <c r="AH72" s="1122" t="str">
        <f t="shared" si="462"/>
        <v>N/A</v>
      </c>
      <c r="AI72" s="1124" t="str">
        <f t="shared" si="463"/>
        <v>N/A</v>
      </c>
      <c r="AJ72" s="1124" t="str">
        <f t="shared" si="464"/>
        <v>N/A</v>
      </c>
      <c r="AK72" s="1125" t="str">
        <f>IFERROR(__xludf.DUMMYFUNCTION("IF(
  OR(AJ72=""NOT PUBLISHED"", AJ72=""N/A""),
  AJ72,
  IFERROR(MAX(FILTER(Z72:AJ72, ISNUMBER(Z72:AJ72))),"""")
)"),"N/A")</f>
        <v>N/A</v>
      </c>
      <c r="AL72" s="72" t="str">
        <f t="shared" si="465"/>
        <v>N/A</v>
      </c>
      <c r="AM72" s="1134" t="str">
        <f t="shared" si="466"/>
        <v>N/A</v>
      </c>
      <c r="AN72" s="1134" t="str">
        <f t="shared" si="467"/>
        <v>N/A</v>
      </c>
      <c r="AO72" s="1134" t="str">
        <f t="shared" si="468"/>
        <v>N/A</v>
      </c>
      <c r="AP72" s="1126" t="str">
        <f t="shared" si="469"/>
        <v>N/A</v>
      </c>
      <c r="AQ72" s="1124" t="str">
        <f t="shared" si="470"/>
        <v>N/A</v>
      </c>
      <c r="AR72" s="1124" t="str">
        <f t="shared" si="471"/>
        <v>N/A</v>
      </c>
      <c r="AS72" s="1125" t="str">
        <f>IFERROR(__xludf.DUMMYFUNCTION("IF(
  OR(AR72=""NOT PUBLISHED"", AR72=""N/A""),
  AR72,
  IFERROR(MAX(FILTER(AL72:AR72, ISNUMBER(AL72:AR72))),"""")
)"),"N/A")</f>
        <v>N/A</v>
      </c>
      <c r="AT72" s="72" t="str">
        <f t="shared" si="472"/>
        <v>N/A</v>
      </c>
      <c r="AU72" s="1134" t="str">
        <f t="shared" si="473"/>
        <v>N/A</v>
      </c>
      <c r="AV72" s="1134" t="str">
        <f t="shared" si="474"/>
        <v>N/A</v>
      </c>
      <c r="AW72" s="1134" t="str">
        <f t="shared" si="475"/>
        <v>N/A</v>
      </c>
      <c r="AX72" s="1134" t="str">
        <f t="shared" si="476"/>
        <v>N/A</v>
      </c>
      <c r="AY72" s="1135" t="str">
        <f t="shared" si="477"/>
        <v>N/A</v>
      </c>
      <c r="AZ72" s="1127" t="str">
        <f t="shared" si="478"/>
        <v>N/A</v>
      </c>
      <c r="BA72" s="1135" t="str">
        <f t="shared" si="479"/>
        <v>N/A</v>
      </c>
      <c r="BB72" s="1127" t="str">
        <f t="shared" si="480"/>
        <v>N/A</v>
      </c>
      <c r="BC72" s="1128" t="str">
        <f>IFERROR(__xludf.DUMMYFUNCTION("IF(
  OR(BB72=""NOT PUBLISHED"", BB72=""N/A""),
  BB72,
  IFERROR(MAX(FILTER(AT72:BB72, ISNUMBER(AT72:BB72))),"""")
)"),"N/A")</f>
        <v>N/A</v>
      </c>
      <c r="BD72" s="1129"/>
      <c r="BE72" s="1129"/>
      <c r="BF72" s="1129"/>
    </row>
    <row r="73" ht="15.0" customHeight="1">
      <c r="A73" s="53">
        <v>70.0</v>
      </c>
      <c r="B73" s="251" t="s">
        <v>220</v>
      </c>
      <c r="C73" s="53">
        <v>70.0</v>
      </c>
      <c r="D73" s="253"/>
      <c r="E73" s="253"/>
      <c r="F73" s="253"/>
      <c r="G73" s="253"/>
      <c r="H73" s="255"/>
      <c r="I73" s="256"/>
      <c r="J73" s="620"/>
      <c r="K73" s="253"/>
      <c r="L73" s="253"/>
      <c r="M73" s="256"/>
      <c r="N73" s="1205"/>
      <c r="O73" s="1206"/>
      <c r="P73" s="1206"/>
      <c r="Q73" s="1207"/>
      <c r="R73" s="1208"/>
      <c r="S73" s="1208"/>
      <c r="T73" s="1208"/>
      <c r="U73" s="1208"/>
      <c r="V73" s="1208"/>
      <c r="W73" s="1209"/>
      <c r="X73" s="1209"/>
      <c r="Y73" s="1209"/>
      <c r="Z73" s="1210"/>
      <c r="AA73" s="1211"/>
      <c r="AB73" s="1211"/>
      <c r="AC73" s="1212"/>
      <c r="AD73" s="1213"/>
      <c r="AE73" s="1213"/>
      <c r="AF73" s="1213"/>
      <c r="AG73" s="1213"/>
      <c r="AH73" s="1208"/>
      <c r="AI73" s="1209"/>
      <c r="AJ73" s="1209"/>
      <c r="AK73" s="1209"/>
      <c r="AL73" s="1209"/>
      <c r="AM73" s="1213"/>
      <c r="AN73" s="1213"/>
      <c r="AO73" s="1213"/>
      <c r="AP73" s="1208"/>
      <c r="AQ73" s="1209"/>
      <c r="AR73" s="1209"/>
      <c r="AS73" s="1209"/>
      <c r="AT73" s="1209"/>
      <c r="AU73" s="1209"/>
      <c r="AV73" s="1209"/>
      <c r="AW73" s="1209"/>
      <c r="AX73" s="1209"/>
      <c r="AY73" s="1209"/>
      <c r="AZ73" s="1209"/>
      <c r="BA73" s="1209"/>
      <c r="BB73" s="1209"/>
      <c r="BC73" s="1209"/>
      <c r="BD73" s="1149"/>
      <c r="BE73" s="1149"/>
      <c r="BF73" s="1149"/>
    </row>
    <row r="74" ht="15.0" customHeight="1" outlineLevel="1">
      <c r="A74" s="53">
        <v>71.0</v>
      </c>
      <c r="B74" s="100" t="s">
        <v>222</v>
      </c>
      <c r="C74" s="53">
        <v>71.0</v>
      </c>
      <c r="D74" s="1130" t="s">
        <v>7</v>
      </c>
      <c r="E74" s="101" t="s">
        <v>154</v>
      </c>
      <c r="F74" s="102">
        <v>1112.0</v>
      </c>
      <c r="G74" s="517" t="s">
        <v>154</v>
      </c>
      <c r="H74" s="517">
        <v>1112.0</v>
      </c>
      <c r="I74" s="821" t="str">
        <f>IFERROR(VLOOKUP(B71:B261,'RELATÓRIO ACC'!B:F,5,FALSE),"NOT PUBLISHED")</f>
        <v>NOT PUBLISHED</v>
      </c>
      <c r="J74" s="1119" t="str">
        <f>IFERROR(VLOOKUP(B71:B261,'RELATÓRIO ACC'!B:P,15,FALSE),"NOT PUBLISHED")</f>
        <v>NOT PUBLISHED</v>
      </c>
      <c r="K74" s="552" t="str">
        <f t="shared" ref="K74:K76" si="481">IF(OR($D74="UTLS",$D74="GUAR",$D74="STIR",$D74="PUMP",$D74="SITE"),
   VLOOKUP($B74,'LOD 300 - SITE'!C:K,9,FALSE),
   VLOOKUP($B74,'LOD 300 - ADMN'!C:K,9,FALSE)
)</f>
        <v>#REF!</v>
      </c>
      <c r="L74" s="552" t="str">
        <f t="shared" ref="L74:L76" si="482">IF(OR($D74="UTLS",$D74="GUAR",$D74="STIR",$D74="PUMP",$D74="SITE"),
   VLOOKUP($B74,'LOD 300 - SITE'!C:L,10,FALSE),
   VLOOKUP($B74,'LOD 300 - ADMN'!C:Q,10,FALSE)
)</f>
        <v>#REF!</v>
      </c>
      <c r="M74" s="899" t="s">
        <v>1757</v>
      </c>
      <c r="N74" s="1132" t="str">
        <f t="shared" ref="N74:N76" si="483">IFERROR(VLOOKUP($B74,'LOD 300 - ADMN'!$B:P,14,FALSE),"N/A")</f>
        <v>N/A</v>
      </c>
      <c r="O74" s="1133" t="str">
        <f t="shared" ref="O74:O76" si="484">IFERROR(VLOOKUP($B74,'LOD 300 - ADMN'!$B:S,17,FALSE),"N/A")</f>
        <v>N/A</v>
      </c>
      <c r="P74" s="1133" t="str">
        <f t="shared" ref="P74:P76" si="485">IFERROR(VLOOKUP($B74,'LOD 300 - ADMN'!$B:V,20,FALSE),"N/A")</f>
        <v>N/A</v>
      </c>
      <c r="Q74" s="1133" t="str">
        <f t="shared" ref="Q74:Q76" si="486">IFERROR(VLOOKUP($B74,'LOD 300 - ADMN'!$B:Y,23,FALSE),"N/A")</f>
        <v>N/A</v>
      </c>
      <c r="R74" s="1133" t="str">
        <f t="shared" ref="R74:R76" si="487">IFERROR(VLOOKUP($B74,'LOD 300 - ADMN'!$B:AB,26,FALSE),"N/A")</f>
        <v>N/A</v>
      </c>
      <c r="S74" s="1133" t="str">
        <f t="shared" ref="S74:S76" si="488">IFERROR(VLOOKUP($B74,'LOD 300 - ADMN'!$B:AE,29,FALSE),"N/A")</f>
        <v>N/A</v>
      </c>
      <c r="T74" s="1133" t="str">
        <f t="shared" ref="T74:T76" si="489">IFERROR(VLOOKUP($B74,'LOD 300 - ADMN'!$B:AH,32,FALSE),"N/A")</f>
        <v>N/A</v>
      </c>
      <c r="U74" s="1133" t="str">
        <f t="shared" ref="U74:U76" si="490">IFERROR(VLOOKUP($B74,'LOD 300 - ADMN'!$B:AK,35,FALSE),"N/A")</f>
        <v>N/A</v>
      </c>
      <c r="V74" s="1122" t="str">
        <f t="shared" ref="V74:V76" si="491">IFERROR(VLOOKUP($B74,'LOD 300 - ADMN'!$B:AN,38,FALSE),"N/A")</f>
        <v>N/A</v>
      </c>
      <c r="W74" s="1124" t="str">
        <f t="shared" ref="W74:W76" si="492">IFERROR(VLOOKUP($B74,'LOD 300 - ADMN'!$B:AQ,41,FALSE),"N/A")</f>
        <v>N/A</v>
      </c>
      <c r="X74" s="1124" t="str">
        <f t="shared" ref="X74:X76" si="493">IFERROR(VLOOKUP($B74,'LOD 300 - ADMN'!$B:AT,44,FALSE),"N/A")</f>
        <v>N/A</v>
      </c>
      <c r="Y74" s="1125" t="str">
        <f>IFERROR(__xludf.DUMMYFUNCTION("IF(
  OR(X74=""NOT PUBLISHED"", X74=""N/A""),
  X74,
  IFERROR(MAX(FILTER(N74:X74, ISNUMBER(N74:X74))),"""")
)"),"N/A")</f>
        <v>N/A</v>
      </c>
      <c r="Z74" s="72" t="str">
        <f t="shared" ref="Z74:Z76" si="494">IFERROR(VLOOKUP($B74,'LOD 300 - COLO1'!$B:P,14,FALSE),"N/A")</f>
        <v>N/A</v>
      </c>
      <c r="AA74" s="1134" t="str">
        <f t="shared" ref="AA74:AA76" si="495">IFERROR(VLOOKUP($B74,'LOD 300 - COLO1'!$B:S,17,FALSE),"N/A")</f>
        <v>N/A</v>
      </c>
      <c r="AB74" s="1134" t="str">
        <f t="shared" ref="AB74:AB76" si="496">IFERROR(VLOOKUP($B74,'LOD 300 - COLO1'!$B:V,20,FALSE),"N/A")</f>
        <v>N/A</v>
      </c>
      <c r="AC74" s="1134" t="str">
        <f t="shared" ref="AC74:AC76" si="497">IFERROR(VLOOKUP($B74,'LOD 300 - COLO1'!$B:Y,23,FALSE),"N/A")</f>
        <v>N/A</v>
      </c>
      <c r="AD74" s="1134" t="str">
        <f t="shared" ref="AD74:AD76" si="498">IFERROR(VLOOKUP($B74,'LOD 300 - COLO1'!$B:AB,26,FALSE),"N/A")</f>
        <v>N/A</v>
      </c>
      <c r="AE74" s="1134" t="str">
        <f t="shared" ref="AE74:AE76" si="499">IFERROR(VLOOKUP($B74,'LOD 300 - COLO1'!$B:AE,29,FALSE),"N/A")</f>
        <v>N/A</v>
      </c>
      <c r="AF74" s="1134" t="str">
        <f t="shared" ref="AF74:AF76" si="500">IFERROR(VLOOKUP($B74,'LOD 300 - COLO1'!$B:AH,32,FALSE),"N/A")</f>
        <v>N/A</v>
      </c>
      <c r="AG74" s="1134" t="str">
        <f t="shared" ref="AG74:AG76" si="501">IFERROR(VLOOKUP($B74,'LOD 300 - COLO1'!$B:AK,35,FALSE),"N/A")</f>
        <v>N/A</v>
      </c>
      <c r="AH74" s="1122" t="str">
        <f t="shared" ref="AH74:AH76" si="502">IFERROR(VLOOKUP($B74,'LOD 300 - COLO1'!$B:AN,38,FALSE),"N/A")</f>
        <v>N/A</v>
      </c>
      <c r="AI74" s="1124" t="str">
        <f t="shared" ref="AI74:AI76" si="503">IFERROR(VLOOKUP($B74,'LOD 300 - COLO1'!$B:AQ,41,FALSE),"N/A")</f>
        <v>N/A</v>
      </c>
      <c r="AJ74" s="1124" t="str">
        <f t="shared" ref="AJ74:AJ76" si="504">IFERROR(VLOOKUP($B74,'LOD 300 - COLO1'!$B:AT,44,FALSE),"N/A")</f>
        <v>N/A</v>
      </c>
      <c r="AK74" s="1125" t="str">
        <f>IFERROR(__xludf.DUMMYFUNCTION("IF(
  OR(AJ74=""NOT PUBLISHED"", AJ74=""N/A""),
  AJ74,
  IFERROR(MAX(FILTER(Z74:AJ74, ISNUMBER(Z74:AJ74))),"""")
)"),"N/A")</f>
        <v>N/A</v>
      </c>
      <c r="AL74" s="72" t="str">
        <f t="shared" ref="AL74:AL76" si="505">IFERROR(VLOOKUP($B74,'LOD 300 - COLO2'!$B:P,14,FALSE),"N/A")</f>
        <v>N/A</v>
      </c>
      <c r="AM74" s="1134" t="str">
        <f t="shared" ref="AM74:AM76" si="506">IFERROR(VLOOKUP($B74,'LOD 300 - COLO2'!$B:S,17,FALSE),"N/A")</f>
        <v>N/A</v>
      </c>
      <c r="AN74" s="1134" t="str">
        <f t="shared" ref="AN74:AN76" si="507">IFERROR(VLOOKUP($B74,'LOD 300 - COLO2'!$B:V,20,FALSE),"N/A")</f>
        <v>N/A</v>
      </c>
      <c r="AO74" s="1134" t="str">
        <f t="shared" ref="AO74:AO76" si="508">IFERROR(VLOOKUP($B74,'LOD 300 - COLO2'!$B:Y,23,FALSE),"N/A")</f>
        <v>N/A</v>
      </c>
      <c r="AP74" s="1126" t="str">
        <f t="shared" ref="AP74:AP76" si="509">IFERROR(VLOOKUP($B74,'LOD 300 - COLO2'!$B:AB,26,FALSE),"N/A")</f>
        <v>N/A</v>
      </c>
      <c r="AQ74" s="1124" t="str">
        <f t="shared" ref="AQ74:AQ76" si="510">IFERROR(VLOOKUP($B74,'LOD 300 - COLO2'!$B:AE,29,FALSE),"N/A")</f>
        <v>N/A</v>
      </c>
      <c r="AR74" s="1124" t="str">
        <f t="shared" ref="AR74:AR76" si="511">IFERROR(VLOOKUP($B74,'LOD 300 - COLO2'!$B:AH,32,FALSE),"N/A")</f>
        <v>N/A</v>
      </c>
      <c r="AS74" s="1125" t="str">
        <f>IFERROR(__xludf.DUMMYFUNCTION("IF(
  OR(AR74=""NOT PUBLISHED"", AR74=""N/A""),
  AR74,
  IFERROR(MAX(FILTER(AL74:AR74, ISNUMBER(AL74:AR74))),"""")
)"),"N/A")</f>
        <v>N/A</v>
      </c>
      <c r="AT74" s="72" t="str">
        <f t="shared" ref="AT74:AT76" si="512">IFERROR(VLOOKUP($B74,'LOD 300 - SITE'!$B:P,14,FALSE),"N/A")</f>
        <v>N/A</v>
      </c>
      <c r="AU74" s="1134" t="str">
        <f t="shared" ref="AU74:AU76" si="513">IFERROR(VLOOKUP($B74,'LOD 300 - SITE'!$B:S,17,FALSE),"N/A")</f>
        <v>N/A</v>
      </c>
      <c r="AV74" s="1134" t="str">
        <f t="shared" ref="AV74:AV76" si="514">IFERROR(VLOOKUP($B74,'LOD 300 - SITE'!$B:V,20,FALSE),"N/A")</f>
        <v>N/A</v>
      </c>
      <c r="AW74" s="1134" t="str">
        <f t="shared" ref="AW74:AW76" si="515">IFERROR(VLOOKUP($B74,'LOD 300 - SITE'!$B:Y,23,FALSE),"N/A")</f>
        <v>N/A</v>
      </c>
      <c r="AX74" s="1134" t="str">
        <f t="shared" ref="AX74:AX76" si="516">IFERROR(VLOOKUP($B74,'LOD 300 - SITE'!$B:AB,26,FALSE),"N/A")</f>
        <v>N/A</v>
      </c>
      <c r="AY74" s="1135" t="str">
        <f t="shared" ref="AY74:AY76" si="517">IFERROR(VLOOKUP($B74,'LOD 300 - SITE'!$B:AE,29,FALSE),"N/A")</f>
        <v>N/A</v>
      </c>
      <c r="AZ74" s="1127" t="str">
        <f t="shared" ref="AZ74:AZ76" si="518">IFERROR(VLOOKUP($B74,'LOD 300 - SITE'!$B:AH,32,FALSE),"N/A")</f>
        <v>N/A</v>
      </c>
      <c r="BA74" s="1135" t="str">
        <f t="shared" ref="BA74:BA76" si="519">IFERROR(VLOOKUP($B74,'LOD 300 - SITE'!$B:AK,35,FALSE),"N/A")</f>
        <v>N/A</v>
      </c>
      <c r="BB74" s="1127" t="str">
        <f t="shared" ref="BB74:BB76" si="520">IFERROR(VLOOKUP($B74,'LOD 300 - SITE'!$B:AN,38,FALSE),"N/A")</f>
        <v>N/A</v>
      </c>
      <c r="BC74" s="1128" t="str">
        <f>IFERROR(__xludf.DUMMYFUNCTION("IF(
  OR(BB74=""NOT PUBLISHED"", BB74=""N/A""),
  BB74,
  IFERROR(MAX(FILTER(AT74:BB74, ISNUMBER(AT74:BB74))),"""")
)"),"N/A")</f>
        <v>N/A</v>
      </c>
      <c r="BD74" s="545"/>
      <c r="BE74" s="545"/>
      <c r="BF74" s="545"/>
    </row>
    <row r="75" ht="15.0" customHeight="1" outlineLevel="1">
      <c r="A75" s="53">
        <v>72.0</v>
      </c>
      <c r="B75" s="100" t="s">
        <v>224</v>
      </c>
      <c r="C75" s="53">
        <v>72.0</v>
      </c>
      <c r="D75" s="1130" t="s">
        <v>1756</v>
      </c>
      <c r="E75" s="101" t="s">
        <v>154</v>
      </c>
      <c r="F75" s="102">
        <v>1112.0</v>
      </c>
      <c r="G75" s="517" t="s">
        <v>154</v>
      </c>
      <c r="H75" s="517">
        <v>1112.0</v>
      </c>
      <c r="I75" s="821" t="str">
        <f>IFERROR(VLOOKUP(B72:B262,'RELATÓRIO ACC'!B:F,5,FALSE),"NOT PUBLISHED")</f>
        <v>NOT PUBLISHED</v>
      </c>
      <c r="J75" s="1119" t="str">
        <f>IFERROR(VLOOKUP(B72:B262,'RELATÓRIO ACC'!B:P,15,FALSE),"NOT PUBLISHED")</f>
        <v>NOT PUBLISHED</v>
      </c>
      <c r="K75" s="552" t="str">
        <f t="shared" si="481"/>
        <v>#REF!</v>
      </c>
      <c r="L75" s="552" t="str">
        <f t="shared" si="482"/>
        <v>#REF!</v>
      </c>
      <c r="M75" s="899" t="s">
        <v>1757</v>
      </c>
      <c r="N75" s="1132" t="str">
        <f t="shared" si="483"/>
        <v>N/A</v>
      </c>
      <c r="O75" s="1133" t="str">
        <f t="shared" si="484"/>
        <v>N/A</v>
      </c>
      <c r="P75" s="1133" t="str">
        <f t="shared" si="485"/>
        <v>N/A</v>
      </c>
      <c r="Q75" s="1133" t="str">
        <f t="shared" si="486"/>
        <v>N/A</v>
      </c>
      <c r="R75" s="1133" t="str">
        <f t="shared" si="487"/>
        <v>N/A</v>
      </c>
      <c r="S75" s="1133" t="str">
        <f t="shared" si="488"/>
        <v>N/A</v>
      </c>
      <c r="T75" s="1133" t="str">
        <f t="shared" si="489"/>
        <v>N/A</v>
      </c>
      <c r="U75" s="1133" t="str">
        <f t="shared" si="490"/>
        <v>N/A</v>
      </c>
      <c r="V75" s="1122" t="str">
        <f t="shared" si="491"/>
        <v>N/A</v>
      </c>
      <c r="W75" s="1124" t="str">
        <f t="shared" si="492"/>
        <v>N/A</v>
      </c>
      <c r="X75" s="1124" t="str">
        <f t="shared" si="493"/>
        <v>N/A</v>
      </c>
      <c r="Y75" s="1125" t="str">
        <f>IFERROR(__xludf.DUMMYFUNCTION("IF(
  OR(X75=""NOT PUBLISHED"", X75=""N/A""),
  X75,
  IFERROR(MAX(FILTER(N75:X75, ISNUMBER(N75:X75))),"""")
)"),"N/A")</f>
        <v>N/A</v>
      </c>
      <c r="Z75" s="72" t="str">
        <f t="shared" si="494"/>
        <v>N/A</v>
      </c>
      <c r="AA75" s="1134" t="str">
        <f t="shared" si="495"/>
        <v>N/A</v>
      </c>
      <c r="AB75" s="1134" t="str">
        <f t="shared" si="496"/>
        <v>N/A</v>
      </c>
      <c r="AC75" s="1134" t="str">
        <f t="shared" si="497"/>
        <v>N/A</v>
      </c>
      <c r="AD75" s="1134" t="str">
        <f t="shared" si="498"/>
        <v>N/A</v>
      </c>
      <c r="AE75" s="1134" t="str">
        <f t="shared" si="499"/>
        <v>N/A</v>
      </c>
      <c r="AF75" s="1134" t="str">
        <f t="shared" si="500"/>
        <v>N/A</v>
      </c>
      <c r="AG75" s="1134" t="str">
        <f t="shared" si="501"/>
        <v>N/A</v>
      </c>
      <c r="AH75" s="1122" t="str">
        <f t="shared" si="502"/>
        <v>N/A</v>
      </c>
      <c r="AI75" s="1124" t="str">
        <f t="shared" si="503"/>
        <v>N/A</v>
      </c>
      <c r="AJ75" s="1124" t="str">
        <f t="shared" si="504"/>
        <v>N/A</v>
      </c>
      <c r="AK75" s="1125" t="str">
        <f>IFERROR(__xludf.DUMMYFUNCTION("IF(
  OR(AJ75=""NOT PUBLISHED"", AJ75=""N/A""),
  AJ75,
  IFERROR(MAX(FILTER(Z75:AJ75, ISNUMBER(Z75:AJ75))),"""")
)"),"N/A")</f>
        <v>N/A</v>
      </c>
      <c r="AL75" s="72" t="str">
        <f t="shared" si="505"/>
        <v>N/A</v>
      </c>
      <c r="AM75" s="1134" t="str">
        <f t="shared" si="506"/>
        <v>N/A</v>
      </c>
      <c r="AN75" s="1134" t="str">
        <f t="shared" si="507"/>
        <v>N/A</v>
      </c>
      <c r="AO75" s="1134" t="str">
        <f t="shared" si="508"/>
        <v>N/A</v>
      </c>
      <c r="AP75" s="1126" t="str">
        <f t="shared" si="509"/>
        <v>N/A</v>
      </c>
      <c r="AQ75" s="1124" t="str">
        <f t="shared" si="510"/>
        <v>N/A</v>
      </c>
      <c r="AR75" s="1124" t="str">
        <f t="shared" si="511"/>
        <v>N/A</v>
      </c>
      <c r="AS75" s="1125" t="str">
        <f>IFERROR(__xludf.DUMMYFUNCTION("IF(
  OR(AR75=""NOT PUBLISHED"", AR75=""N/A""),
  AR75,
  IFERROR(MAX(FILTER(AL75:AR75, ISNUMBER(AL75:AR75))),"""")
)"),"N/A")</f>
        <v>N/A</v>
      </c>
      <c r="AT75" s="72" t="str">
        <f t="shared" si="512"/>
        <v>N/A</v>
      </c>
      <c r="AU75" s="1134" t="str">
        <f t="shared" si="513"/>
        <v>N/A</v>
      </c>
      <c r="AV75" s="1134" t="str">
        <f t="shared" si="514"/>
        <v>N/A</v>
      </c>
      <c r="AW75" s="1134" t="str">
        <f t="shared" si="515"/>
        <v>N/A</v>
      </c>
      <c r="AX75" s="1134" t="str">
        <f t="shared" si="516"/>
        <v>N/A</v>
      </c>
      <c r="AY75" s="1135" t="str">
        <f t="shared" si="517"/>
        <v>N/A</v>
      </c>
      <c r="AZ75" s="1127" t="str">
        <f t="shared" si="518"/>
        <v>N/A</v>
      </c>
      <c r="BA75" s="1135" t="str">
        <f t="shared" si="519"/>
        <v>N/A</v>
      </c>
      <c r="BB75" s="1127" t="str">
        <f t="shared" si="520"/>
        <v>N/A</v>
      </c>
      <c r="BC75" s="1128" t="str">
        <f>IFERROR(__xludf.DUMMYFUNCTION("IF(
  OR(BB75=""NOT PUBLISHED"", BB75=""N/A""),
  BB75,
  IFERROR(MAX(FILTER(AT75:BB75, ISNUMBER(AT75:BB75))),"""")
)"),"N/A")</f>
        <v>N/A</v>
      </c>
      <c r="BD75" s="1129"/>
      <c r="BE75" s="1129"/>
      <c r="BF75" s="1129"/>
    </row>
    <row r="76" ht="15.0" customHeight="1" outlineLevel="1">
      <c r="A76" s="53">
        <v>73.0</v>
      </c>
      <c r="B76" s="100" t="s">
        <v>226</v>
      </c>
      <c r="C76" s="53">
        <v>73.0</v>
      </c>
      <c r="D76" s="1130" t="s">
        <v>8</v>
      </c>
      <c r="E76" s="101" t="s">
        <v>227</v>
      </c>
      <c r="F76" s="102">
        <v>1117.0</v>
      </c>
      <c r="G76" s="517" t="s">
        <v>121</v>
      </c>
      <c r="H76" s="517">
        <v>1128.0</v>
      </c>
      <c r="I76" s="821" t="str">
        <f>IFERROR(VLOOKUP(B73:B263,'RELATÓRIO ACC'!B:F,5,FALSE),"NOT PUBLISHED")</f>
        <v>NOT PUBLISHED</v>
      </c>
      <c r="J76" s="1119" t="str">
        <f>IFERROR(VLOOKUP(B73:B263,'RELATÓRIO ACC'!B:P,15,FALSE),"NOT PUBLISHED")</f>
        <v>NOT PUBLISHED</v>
      </c>
      <c r="K76" s="552" t="str">
        <f t="shared" si="481"/>
        <v>#REF!</v>
      </c>
      <c r="L76" s="552" t="str">
        <f t="shared" si="482"/>
        <v>#REF!</v>
      </c>
      <c r="M76" s="899" t="s">
        <v>1758</v>
      </c>
      <c r="N76" s="1132" t="str">
        <f t="shared" si="483"/>
        <v>N/A</v>
      </c>
      <c r="O76" s="1133" t="str">
        <f t="shared" si="484"/>
        <v>N/A</v>
      </c>
      <c r="P76" s="1133" t="str">
        <f t="shared" si="485"/>
        <v>N/A</v>
      </c>
      <c r="Q76" s="1133" t="str">
        <f t="shared" si="486"/>
        <v>N/A</v>
      </c>
      <c r="R76" s="1133" t="str">
        <f t="shared" si="487"/>
        <v>N/A</v>
      </c>
      <c r="S76" s="1133" t="str">
        <f t="shared" si="488"/>
        <v>N/A</v>
      </c>
      <c r="T76" s="1133" t="str">
        <f t="shared" si="489"/>
        <v>N/A</v>
      </c>
      <c r="U76" s="1133" t="str">
        <f t="shared" si="490"/>
        <v>N/A</v>
      </c>
      <c r="V76" s="1122" t="str">
        <f t="shared" si="491"/>
        <v>N/A</v>
      </c>
      <c r="W76" s="1124" t="str">
        <f t="shared" si="492"/>
        <v>N/A</v>
      </c>
      <c r="X76" s="1124" t="str">
        <f t="shared" si="493"/>
        <v>N/A</v>
      </c>
      <c r="Y76" s="1125" t="str">
        <f>IFERROR(__xludf.DUMMYFUNCTION("IF(
  OR(X76=""NOT PUBLISHED"", X76=""N/A""),
  X76,
  IFERROR(MAX(FILTER(N76:X76, ISNUMBER(N76:X76))),"""")
)"),"N/A")</f>
        <v>N/A</v>
      </c>
      <c r="Z76" s="72" t="str">
        <f t="shared" si="494"/>
        <v>N/A</v>
      </c>
      <c r="AA76" s="1134" t="str">
        <f t="shared" si="495"/>
        <v>N/A</v>
      </c>
      <c r="AB76" s="1134" t="str">
        <f t="shared" si="496"/>
        <v>N/A</v>
      </c>
      <c r="AC76" s="1134" t="str">
        <f t="shared" si="497"/>
        <v>N/A</v>
      </c>
      <c r="AD76" s="1134" t="str">
        <f t="shared" si="498"/>
        <v>N/A</v>
      </c>
      <c r="AE76" s="1134" t="str">
        <f t="shared" si="499"/>
        <v>N/A</v>
      </c>
      <c r="AF76" s="1134" t="str">
        <f t="shared" si="500"/>
        <v>N/A</v>
      </c>
      <c r="AG76" s="1134" t="str">
        <f t="shared" si="501"/>
        <v>N/A</v>
      </c>
      <c r="AH76" s="1122" t="str">
        <f t="shared" si="502"/>
        <v>N/A</v>
      </c>
      <c r="AI76" s="1124" t="str">
        <f t="shared" si="503"/>
        <v>N/A</v>
      </c>
      <c r="AJ76" s="1124" t="str">
        <f t="shared" si="504"/>
        <v>N/A</v>
      </c>
      <c r="AK76" s="1125" t="str">
        <f>IFERROR(__xludf.DUMMYFUNCTION("IF(
  OR(AJ76=""NOT PUBLISHED"", AJ76=""N/A""),
  AJ76,
  IFERROR(MAX(FILTER(Z76:AJ76, ISNUMBER(Z76:AJ76))),"""")
)"),"N/A")</f>
        <v>N/A</v>
      </c>
      <c r="AL76" s="72" t="str">
        <f t="shared" si="505"/>
        <v>N/A</v>
      </c>
      <c r="AM76" s="1134" t="str">
        <f t="shared" si="506"/>
        <v>N/A</v>
      </c>
      <c r="AN76" s="1134" t="str">
        <f t="shared" si="507"/>
        <v>N/A</v>
      </c>
      <c r="AO76" s="1134" t="str">
        <f t="shared" si="508"/>
        <v>N/A</v>
      </c>
      <c r="AP76" s="1126" t="str">
        <f t="shared" si="509"/>
        <v>N/A</v>
      </c>
      <c r="AQ76" s="1124" t="str">
        <f t="shared" si="510"/>
        <v>N/A</v>
      </c>
      <c r="AR76" s="1124" t="str">
        <f t="shared" si="511"/>
        <v>N/A</v>
      </c>
      <c r="AS76" s="1125" t="str">
        <f>IFERROR(__xludf.DUMMYFUNCTION("IF(
  OR(AR76=""NOT PUBLISHED"", AR76=""N/A""),
  AR76,
  IFERROR(MAX(FILTER(AL76:AR76, ISNUMBER(AL76:AR76))),"""")
)"),"N/A")</f>
        <v>N/A</v>
      </c>
      <c r="AT76" s="72" t="str">
        <f t="shared" si="512"/>
        <v>N/A</v>
      </c>
      <c r="AU76" s="1134" t="str">
        <f t="shared" si="513"/>
        <v>N/A</v>
      </c>
      <c r="AV76" s="1134" t="str">
        <f t="shared" si="514"/>
        <v>N/A</v>
      </c>
      <c r="AW76" s="1134" t="str">
        <f t="shared" si="515"/>
        <v>N/A</v>
      </c>
      <c r="AX76" s="1134" t="str">
        <f t="shared" si="516"/>
        <v>N/A</v>
      </c>
      <c r="AY76" s="1135" t="str">
        <f t="shared" si="517"/>
        <v>N/A</v>
      </c>
      <c r="AZ76" s="1127" t="str">
        <f t="shared" si="518"/>
        <v>N/A</v>
      </c>
      <c r="BA76" s="1135" t="str">
        <f t="shared" si="519"/>
        <v>N/A</v>
      </c>
      <c r="BB76" s="1127" t="str">
        <f t="shared" si="520"/>
        <v>N/A</v>
      </c>
      <c r="BC76" s="1128" t="str">
        <f>IFERROR(__xludf.DUMMYFUNCTION("IF(
  OR(BB76=""NOT PUBLISHED"", BB76=""N/A""),
  BB76,
  IFERROR(MAX(FILTER(AT76:BB76, ISNUMBER(AT76:BB76))),"""")
)"),"N/A")</f>
        <v>N/A</v>
      </c>
      <c r="BD76" s="1138"/>
      <c r="BE76" s="1138"/>
      <c r="BF76" s="1138"/>
    </row>
    <row r="77" ht="15.0" customHeight="1">
      <c r="A77" s="53">
        <v>74.0</v>
      </c>
      <c r="B77" s="271" t="s">
        <v>228</v>
      </c>
      <c r="C77" s="53">
        <v>74.0</v>
      </c>
      <c r="D77" s="273"/>
      <c r="E77" s="273"/>
      <c r="F77" s="273"/>
      <c r="G77" s="273"/>
      <c r="H77" s="275"/>
      <c r="I77" s="276"/>
      <c r="J77" s="627"/>
      <c r="K77" s="273"/>
      <c r="L77" s="273"/>
      <c r="M77" s="276"/>
      <c r="N77" s="1214"/>
      <c r="O77" s="1215"/>
      <c r="P77" s="1215"/>
      <c r="Q77" s="1216"/>
      <c r="R77" s="1217"/>
      <c r="S77" s="1217"/>
      <c r="T77" s="1217"/>
      <c r="U77" s="1217"/>
      <c r="V77" s="1217"/>
      <c r="W77" s="1218"/>
      <c r="X77" s="1218"/>
      <c r="Y77" s="1218"/>
      <c r="Z77" s="1219"/>
      <c r="AA77" s="1220"/>
      <c r="AB77" s="1220"/>
      <c r="AC77" s="1221"/>
      <c r="AD77" s="1222"/>
      <c r="AE77" s="1222"/>
      <c r="AF77" s="1222"/>
      <c r="AG77" s="1222"/>
      <c r="AH77" s="1217"/>
      <c r="AI77" s="1218"/>
      <c r="AJ77" s="1218"/>
      <c r="AK77" s="1218"/>
      <c r="AL77" s="1218"/>
      <c r="AM77" s="1222"/>
      <c r="AN77" s="1222"/>
      <c r="AO77" s="1222"/>
      <c r="AP77" s="1217"/>
      <c r="AQ77" s="1218"/>
      <c r="AR77" s="1218"/>
      <c r="AS77" s="1218"/>
      <c r="AT77" s="1218"/>
      <c r="AU77" s="1218"/>
      <c r="AV77" s="1218"/>
      <c r="AW77" s="1218"/>
      <c r="AX77" s="1218"/>
      <c r="AY77" s="1218"/>
      <c r="AZ77" s="1218"/>
      <c r="BA77" s="1218"/>
      <c r="BB77" s="1218"/>
      <c r="BC77" s="1218"/>
      <c r="BD77" s="1149"/>
      <c r="BE77" s="1149"/>
      <c r="BF77" s="1149"/>
    </row>
    <row r="78" ht="15.0" customHeight="1" outlineLevel="1">
      <c r="A78" s="53">
        <v>75.0</v>
      </c>
      <c r="B78" s="100" t="s">
        <v>230</v>
      </c>
      <c r="C78" s="53">
        <v>75.0</v>
      </c>
      <c r="D78" s="1130" t="s">
        <v>7</v>
      </c>
      <c r="E78" s="101" t="s">
        <v>154</v>
      </c>
      <c r="F78" s="102">
        <v>1112.0</v>
      </c>
      <c r="G78" s="517" t="s">
        <v>155</v>
      </c>
      <c r="H78" s="517">
        <v>1129.0</v>
      </c>
      <c r="I78" s="821" t="str">
        <f>IFERROR(VLOOKUP(B75:B265,'RELATÓRIO ACC'!B:F,5,FALSE),"NOT PUBLISHED")</f>
        <v>NOT PUBLISHED</v>
      </c>
      <c r="J78" s="1119" t="str">
        <f>IFERROR(VLOOKUP(B75:B265,'RELATÓRIO ACC'!B:P,15,FALSE),"NOT PUBLISHED")</f>
        <v>NOT PUBLISHED</v>
      </c>
      <c r="K78" s="552" t="str">
        <f t="shared" ref="K78:K83" si="521">IF(OR($D78="UTLS",$D78="GUAR",$D78="STIR",$D78="PUMP",$D78="SITE"),
   VLOOKUP($B78,'LOD 300 - SITE'!C:K,9,FALSE),
   VLOOKUP($B78,'LOD 300 - ADMN'!C:K,9,FALSE)
)</f>
        <v>#REF!</v>
      </c>
      <c r="L78" s="552" t="str">
        <f t="shared" ref="L78:L83" si="522">IF(OR($D78="UTLS",$D78="GUAR",$D78="STIR",$D78="PUMP",$D78="SITE"),
   VLOOKUP($B78,'LOD 300 - SITE'!C:L,10,FALSE),
   VLOOKUP($B78,'LOD 300 - ADMN'!C:Q,10,FALSE)
)</f>
        <v>#REF!</v>
      </c>
      <c r="M78" s="899" t="s">
        <v>461</v>
      </c>
      <c r="N78" s="1132" t="str">
        <f t="shared" ref="N78:N83" si="523">IFERROR(VLOOKUP($B78,'LOD 300 - ADMN'!$B:P,14,FALSE),"N/A")</f>
        <v>N/A</v>
      </c>
      <c r="O78" s="1133" t="str">
        <f t="shared" ref="O78:O83" si="524">IFERROR(VLOOKUP($B78,'LOD 300 - ADMN'!$B:S,17,FALSE),"N/A")</f>
        <v>N/A</v>
      </c>
      <c r="P78" s="1133" t="str">
        <f t="shared" ref="P78:P83" si="525">IFERROR(VLOOKUP($B78,'LOD 300 - ADMN'!$B:V,20,FALSE),"N/A")</f>
        <v>N/A</v>
      </c>
      <c r="Q78" s="1133" t="str">
        <f t="shared" ref="Q78:Q83" si="526">IFERROR(VLOOKUP($B78,'LOD 300 - ADMN'!$B:Y,23,FALSE),"N/A")</f>
        <v>N/A</v>
      </c>
      <c r="R78" s="1133" t="str">
        <f t="shared" ref="R78:R83" si="527">IFERROR(VLOOKUP($B78,'LOD 300 - ADMN'!$B:AB,26,FALSE),"N/A")</f>
        <v>N/A</v>
      </c>
      <c r="S78" s="1133" t="str">
        <f t="shared" ref="S78:S83" si="528">IFERROR(VLOOKUP($B78,'LOD 300 - ADMN'!$B:AE,29,FALSE),"N/A")</f>
        <v>N/A</v>
      </c>
      <c r="T78" s="1133" t="str">
        <f t="shared" ref="T78:T83" si="529">IFERROR(VLOOKUP($B78,'LOD 300 - ADMN'!$B:AH,32,FALSE),"N/A")</f>
        <v>N/A</v>
      </c>
      <c r="U78" s="1133" t="str">
        <f t="shared" ref="U78:U83" si="530">IFERROR(VLOOKUP($B78,'LOD 300 - ADMN'!$B:AK,35,FALSE),"N/A")</f>
        <v>N/A</v>
      </c>
      <c r="V78" s="1122" t="str">
        <f t="shared" ref="V78:V83" si="531">IFERROR(VLOOKUP($B78,'LOD 300 - ADMN'!$B:AN,38,FALSE),"N/A")</f>
        <v>N/A</v>
      </c>
      <c r="W78" s="1124" t="str">
        <f t="shared" ref="W78:W83" si="532">IFERROR(VLOOKUP($B78,'LOD 300 - ADMN'!$B:AQ,41,FALSE),"N/A")</f>
        <v>N/A</v>
      </c>
      <c r="X78" s="1124" t="str">
        <f t="shared" ref="X78:X83" si="533">IFERROR(VLOOKUP($B78,'LOD 300 - ADMN'!$B:AT,44,FALSE),"N/A")</f>
        <v>N/A</v>
      </c>
      <c r="Y78" s="1125" t="str">
        <f>IFERROR(__xludf.DUMMYFUNCTION("IF(
  OR(X78=""NOT PUBLISHED"", X78=""N/A""),
  X78,
  IFERROR(MAX(FILTER(N78:X78, ISNUMBER(N78:X78))),"""")
)"),"N/A")</f>
        <v>N/A</v>
      </c>
      <c r="Z78" s="72" t="str">
        <f t="shared" ref="Z78:Z83" si="534">IFERROR(VLOOKUP($B78,'LOD 300 - COLO1'!$B:P,14,FALSE),"N/A")</f>
        <v>N/A</v>
      </c>
      <c r="AA78" s="1134" t="str">
        <f t="shared" ref="AA78:AA83" si="535">IFERROR(VLOOKUP($B78,'LOD 300 - COLO1'!$B:S,17,FALSE),"N/A")</f>
        <v>N/A</v>
      </c>
      <c r="AB78" s="1134" t="str">
        <f t="shared" ref="AB78:AB83" si="536">IFERROR(VLOOKUP($B78,'LOD 300 - COLO1'!$B:V,20,FALSE),"N/A")</f>
        <v>N/A</v>
      </c>
      <c r="AC78" s="1134" t="str">
        <f t="shared" ref="AC78:AC83" si="537">IFERROR(VLOOKUP($B78,'LOD 300 - COLO1'!$B:Y,23,FALSE),"N/A")</f>
        <v>N/A</v>
      </c>
      <c r="AD78" s="1134" t="str">
        <f t="shared" ref="AD78:AD83" si="538">IFERROR(VLOOKUP($B78,'LOD 300 - COLO1'!$B:AB,26,FALSE),"N/A")</f>
        <v>N/A</v>
      </c>
      <c r="AE78" s="1134" t="str">
        <f t="shared" ref="AE78:AE83" si="539">IFERROR(VLOOKUP($B78,'LOD 300 - COLO1'!$B:AE,29,FALSE),"N/A")</f>
        <v>N/A</v>
      </c>
      <c r="AF78" s="1134" t="str">
        <f t="shared" ref="AF78:AF83" si="540">IFERROR(VLOOKUP($B78,'LOD 300 - COLO1'!$B:AH,32,FALSE),"N/A")</f>
        <v>N/A</v>
      </c>
      <c r="AG78" s="1134" t="str">
        <f t="shared" ref="AG78:AG83" si="541">IFERROR(VLOOKUP($B78,'LOD 300 - COLO1'!$B:AK,35,FALSE),"N/A")</f>
        <v>N/A</v>
      </c>
      <c r="AH78" s="1122" t="str">
        <f t="shared" ref="AH78:AH83" si="542">IFERROR(VLOOKUP($B78,'LOD 300 - COLO1'!$B:AN,38,FALSE),"N/A")</f>
        <v>N/A</v>
      </c>
      <c r="AI78" s="1124" t="str">
        <f t="shared" ref="AI78:AI83" si="543">IFERROR(VLOOKUP($B78,'LOD 300 - COLO1'!$B:AQ,41,FALSE),"N/A")</f>
        <v>N/A</v>
      </c>
      <c r="AJ78" s="1124" t="str">
        <f t="shared" ref="AJ78:AJ83" si="544">IFERROR(VLOOKUP($B78,'LOD 300 - COLO1'!$B:AT,44,FALSE),"N/A")</f>
        <v>N/A</v>
      </c>
      <c r="AK78" s="1125" t="str">
        <f>IFERROR(__xludf.DUMMYFUNCTION("IF(
  OR(AJ78=""NOT PUBLISHED"", AJ78=""N/A""),
  AJ78,
  IFERROR(MAX(FILTER(Z78:AJ78, ISNUMBER(Z78:AJ78))),"""")
)"),"N/A")</f>
        <v>N/A</v>
      </c>
      <c r="AL78" s="72" t="str">
        <f t="shared" ref="AL78:AL83" si="545">IFERROR(VLOOKUP($B78,'LOD 300 - COLO2'!$B:P,14,FALSE),"N/A")</f>
        <v>N/A</v>
      </c>
      <c r="AM78" s="1134" t="str">
        <f t="shared" ref="AM78:AM83" si="546">IFERROR(VLOOKUP($B78,'LOD 300 - COLO2'!$B:S,17,FALSE),"N/A")</f>
        <v>N/A</v>
      </c>
      <c r="AN78" s="1134" t="str">
        <f t="shared" ref="AN78:AN83" si="547">IFERROR(VLOOKUP($B78,'LOD 300 - COLO2'!$B:V,20,FALSE),"N/A")</f>
        <v>N/A</v>
      </c>
      <c r="AO78" s="1134" t="str">
        <f t="shared" ref="AO78:AO83" si="548">IFERROR(VLOOKUP($B78,'LOD 300 - COLO2'!$B:Y,23,FALSE),"N/A")</f>
        <v>N/A</v>
      </c>
      <c r="AP78" s="1126" t="str">
        <f t="shared" ref="AP78:AP83" si="549">IFERROR(VLOOKUP($B78,'LOD 300 - COLO2'!$B:AB,26,FALSE),"N/A")</f>
        <v>N/A</v>
      </c>
      <c r="AQ78" s="1124" t="str">
        <f t="shared" ref="AQ78:AQ83" si="550">IFERROR(VLOOKUP($B78,'LOD 300 - COLO2'!$B:AE,29,FALSE),"N/A")</f>
        <v>N/A</v>
      </c>
      <c r="AR78" s="1124" t="str">
        <f t="shared" ref="AR78:AR83" si="551">IFERROR(VLOOKUP($B78,'LOD 300 - COLO2'!$B:AH,32,FALSE),"N/A")</f>
        <v>N/A</v>
      </c>
      <c r="AS78" s="1125" t="str">
        <f>IFERROR(__xludf.DUMMYFUNCTION("IF(
  OR(AR78=""NOT PUBLISHED"", AR78=""N/A""),
  AR78,
  IFERROR(MAX(FILTER(AL78:AR78, ISNUMBER(AL78:AR78))),"""")
)"),"N/A")</f>
        <v>N/A</v>
      </c>
      <c r="AT78" s="72" t="str">
        <f t="shared" ref="AT78:AT83" si="552">IFERROR(VLOOKUP($B78,'LOD 300 - SITE'!$B:P,14,FALSE),"N/A")</f>
        <v>N/A</v>
      </c>
      <c r="AU78" s="1134" t="str">
        <f t="shared" ref="AU78:AU83" si="553">IFERROR(VLOOKUP($B78,'LOD 300 - SITE'!$B:S,17,FALSE),"N/A")</f>
        <v>N/A</v>
      </c>
      <c r="AV78" s="1134" t="str">
        <f t="shared" ref="AV78:AV83" si="554">IFERROR(VLOOKUP($B78,'LOD 300 - SITE'!$B:V,20,FALSE),"N/A")</f>
        <v>N/A</v>
      </c>
      <c r="AW78" s="1134" t="str">
        <f t="shared" ref="AW78:AW83" si="555">IFERROR(VLOOKUP($B78,'LOD 300 - SITE'!$B:Y,23,FALSE),"N/A")</f>
        <v>N/A</v>
      </c>
      <c r="AX78" s="1134" t="str">
        <f t="shared" ref="AX78:AX83" si="556">IFERROR(VLOOKUP($B78,'LOD 300 - SITE'!$B:AB,26,FALSE),"N/A")</f>
        <v>N/A</v>
      </c>
      <c r="AY78" s="1135" t="str">
        <f t="shared" ref="AY78:AY83" si="557">IFERROR(VLOOKUP($B78,'LOD 300 - SITE'!$B:AE,29,FALSE),"N/A")</f>
        <v>N/A</v>
      </c>
      <c r="AZ78" s="1127" t="str">
        <f t="shared" ref="AZ78:AZ83" si="558">IFERROR(VLOOKUP($B78,'LOD 300 - SITE'!$B:AH,32,FALSE),"N/A")</f>
        <v>N/A</v>
      </c>
      <c r="BA78" s="1135" t="str">
        <f t="shared" ref="BA78:BA83" si="559">IFERROR(VLOOKUP($B78,'LOD 300 - SITE'!$B:AK,35,FALSE),"N/A")</f>
        <v>N/A</v>
      </c>
      <c r="BB78" s="1127" t="str">
        <f t="shared" ref="BB78:BB83" si="560">IFERROR(VLOOKUP($B78,'LOD 300 - SITE'!$B:AN,38,FALSE),"N/A")</f>
        <v>N/A</v>
      </c>
      <c r="BC78" s="1128" t="str">
        <f>IFERROR(__xludf.DUMMYFUNCTION("IF(
  OR(BB78=""NOT PUBLISHED"", BB78=""N/A""),
  BB78,
  IFERROR(MAX(FILTER(AT78:BB78, ISNUMBER(AT78:BB78))),"""")
)"),"N/A")</f>
        <v>N/A</v>
      </c>
      <c r="BD78" s="1138"/>
      <c r="BE78" s="1138"/>
      <c r="BF78" s="1138"/>
    </row>
    <row r="79" ht="15.75" customHeight="1" outlineLevel="1">
      <c r="A79" s="53">
        <v>76.0</v>
      </c>
      <c r="B79" s="100" t="s">
        <v>232</v>
      </c>
      <c r="C79" s="53">
        <v>76.0</v>
      </c>
      <c r="D79" s="1130" t="s">
        <v>1756</v>
      </c>
      <c r="E79" s="101" t="s">
        <v>154</v>
      </c>
      <c r="F79" s="102">
        <v>1112.0</v>
      </c>
      <c r="G79" s="517" t="s">
        <v>155</v>
      </c>
      <c r="H79" s="517">
        <v>1129.0</v>
      </c>
      <c r="I79" s="821" t="str">
        <f>IFERROR(VLOOKUP(B76:B266,'RELATÓRIO ACC'!B:F,5,FALSE),"NOT PUBLISHED")</f>
        <v>NOT PUBLISHED</v>
      </c>
      <c r="J79" s="1119" t="str">
        <f>IFERROR(VLOOKUP(B76:B266,'RELATÓRIO ACC'!B:P,15,FALSE),"NOT PUBLISHED")</f>
        <v>NOT PUBLISHED</v>
      </c>
      <c r="K79" s="552" t="str">
        <f t="shared" si="521"/>
        <v>#REF!</v>
      </c>
      <c r="L79" s="552" t="str">
        <f t="shared" si="522"/>
        <v>#REF!</v>
      </c>
      <c r="M79" s="899" t="s">
        <v>1758</v>
      </c>
      <c r="N79" s="1132" t="str">
        <f t="shared" si="523"/>
        <v>N/A</v>
      </c>
      <c r="O79" s="1133" t="str">
        <f t="shared" si="524"/>
        <v>N/A</v>
      </c>
      <c r="P79" s="1133" t="str">
        <f t="shared" si="525"/>
        <v>N/A</v>
      </c>
      <c r="Q79" s="1133" t="str">
        <f t="shared" si="526"/>
        <v>N/A</v>
      </c>
      <c r="R79" s="1133" t="str">
        <f t="shared" si="527"/>
        <v>N/A</v>
      </c>
      <c r="S79" s="1133" t="str">
        <f t="shared" si="528"/>
        <v>N/A</v>
      </c>
      <c r="T79" s="1133" t="str">
        <f t="shared" si="529"/>
        <v>N/A</v>
      </c>
      <c r="U79" s="1133" t="str">
        <f t="shared" si="530"/>
        <v>N/A</v>
      </c>
      <c r="V79" s="1122" t="str">
        <f t="shared" si="531"/>
        <v>N/A</v>
      </c>
      <c r="W79" s="1124" t="str">
        <f t="shared" si="532"/>
        <v>N/A</v>
      </c>
      <c r="X79" s="1124" t="str">
        <f t="shared" si="533"/>
        <v>N/A</v>
      </c>
      <c r="Y79" s="1125" t="str">
        <f>IFERROR(__xludf.DUMMYFUNCTION("IF(
  OR(X79=""NOT PUBLISHED"", X79=""N/A""),
  X79,
  IFERROR(MAX(FILTER(N79:X79, ISNUMBER(N79:X79))),"""")
)"),"N/A")</f>
        <v>N/A</v>
      </c>
      <c r="Z79" s="72" t="str">
        <f t="shared" si="534"/>
        <v>N/A</v>
      </c>
      <c r="AA79" s="1134" t="str">
        <f t="shared" si="535"/>
        <v>N/A</v>
      </c>
      <c r="AB79" s="1134" t="str">
        <f t="shared" si="536"/>
        <v>N/A</v>
      </c>
      <c r="AC79" s="1134" t="str">
        <f t="shared" si="537"/>
        <v>N/A</v>
      </c>
      <c r="AD79" s="1134" t="str">
        <f t="shared" si="538"/>
        <v>N/A</v>
      </c>
      <c r="AE79" s="1134" t="str">
        <f t="shared" si="539"/>
        <v>N/A</v>
      </c>
      <c r="AF79" s="1134" t="str">
        <f t="shared" si="540"/>
        <v>N/A</v>
      </c>
      <c r="AG79" s="1134" t="str">
        <f t="shared" si="541"/>
        <v>N/A</v>
      </c>
      <c r="AH79" s="1122" t="str">
        <f t="shared" si="542"/>
        <v>N/A</v>
      </c>
      <c r="AI79" s="1124" t="str">
        <f t="shared" si="543"/>
        <v>N/A</v>
      </c>
      <c r="AJ79" s="1124" t="str">
        <f t="shared" si="544"/>
        <v>N/A</v>
      </c>
      <c r="AK79" s="1125" t="str">
        <f>IFERROR(__xludf.DUMMYFUNCTION("IF(
  OR(AJ79=""NOT PUBLISHED"", AJ79=""N/A""),
  AJ79,
  IFERROR(MAX(FILTER(Z79:AJ79, ISNUMBER(Z79:AJ79))),"""")
)"),"N/A")</f>
        <v>N/A</v>
      </c>
      <c r="AL79" s="72" t="str">
        <f t="shared" si="545"/>
        <v>N/A</v>
      </c>
      <c r="AM79" s="1134" t="str">
        <f t="shared" si="546"/>
        <v>N/A</v>
      </c>
      <c r="AN79" s="1134" t="str">
        <f t="shared" si="547"/>
        <v>N/A</v>
      </c>
      <c r="AO79" s="1134" t="str">
        <f t="shared" si="548"/>
        <v>N/A</v>
      </c>
      <c r="AP79" s="1126" t="str">
        <f t="shared" si="549"/>
        <v>N/A</v>
      </c>
      <c r="AQ79" s="1124" t="str">
        <f t="shared" si="550"/>
        <v>N/A</v>
      </c>
      <c r="AR79" s="1124" t="str">
        <f t="shared" si="551"/>
        <v>N/A</v>
      </c>
      <c r="AS79" s="1125" t="str">
        <f>IFERROR(__xludf.DUMMYFUNCTION("IF(
  OR(AR79=""NOT PUBLISHED"", AR79=""N/A""),
  AR79,
  IFERROR(MAX(FILTER(AL79:AR79, ISNUMBER(AL79:AR79))),"""")
)"),"N/A")</f>
        <v>N/A</v>
      </c>
      <c r="AT79" s="72" t="str">
        <f t="shared" si="552"/>
        <v>N/A</v>
      </c>
      <c r="AU79" s="1134" t="str">
        <f t="shared" si="553"/>
        <v>N/A</v>
      </c>
      <c r="AV79" s="1134" t="str">
        <f t="shared" si="554"/>
        <v>N/A</v>
      </c>
      <c r="AW79" s="1134" t="str">
        <f t="shared" si="555"/>
        <v>N/A</v>
      </c>
      <c r="AX79" s="1134" t="str">
        <f t="shared" si="556"/>
        <v>N/A</v>
      </c>
      <c r="AY79" s="1135" t="str">
        <f t="shared" si="557"/>
        <v>N/A</v>
      </c>
      <c r="AZ79" s="1127" t="str">
        <f t="shared" si="558"/>
        <v>N/A</v>
      </c>
      <c r="BA79" s="1135" t="str">
        <f t="shared" si="559"/>
        <v>N/A</v>
      </c>
      <c r="BB79" s="1127" t="str">
        <f t="shared" si="560"/>
        <v>N/A</v>
      </c>
      <c r="BC79" s="1128" t="str">
        <f>IFERROR(__xludf.DUMMYFUNCTION("IF(
  OR(BB79=""NOT PUBLISHED"", BB79=""N/A""),
  BB79,
  IFERROR(MAX(FILTER(AT79:BB79, ISNUMBER(AT79:BB79))),"""")
)"),"N/A")</f>
        <v>N/A</v>
      </c>
      <c r="BD79" s="1129"/>
      <c r="BE79" s="1129"/>
      <c r="BF79" s="1129"/>
    </row>
    <row r="80" ht="15.0" customHeight="1" outlineLevel="1">
      <c r="A80" s="53">
        <v>77.0</v>
      </c>
      <c r="B80" s="100" t="s">
        <v>234</v>
      </c>
      <c r="C80" s="53">
        <v>77.0</v>
      </c>
      <c r="D80" s="1130" t="s">
        <v>7</v>
      </c>
      <c r="E80" s="101" t="s">
        <v>154</v>
      </c>
      <c r="F80" s="102">
        <v>1112.0</v>
      </c>
      <c r="G80" s="517" t="s">
        <v>154</v>
      </c>
      <c r="H80" s="517">
        <v>1112.0</v>
      </c>
      <c r="I80" s="821" t="str">
        <f>IFERROR(VLOOKUP(B77:B267,'RELATÓRIO ACC'!B:F,5,FALSE),"NOT PUBLISHED")</f>
        <v>NOT PUBLISHED</v>
      </c>
      <c r="J80" s="1119" t="str">
        <f>IFERROR(VLOOKUP(B77:B267,'RELATÓRIO ACC'!B:P,15,FALSE),"NOT PUBLISHED")</f>
        <v>NOT PUBLISHED</v>
      </c>
      <c r="K80" s="552" t="str">
        <f t="shared" si="521"/>
        <v>#REF!</v>
      </c>
      <c r="L80" s="552" t="str">
        <f t="shared" si="522"/>
        <v>#REF!</v>
      </c>
      <c r="M80" s="899" t="s">
        <v>461</v>
      </c>
      <c r="N80" s="1132" t="str">
        <f t="shared" si="523"/>
        <v>N/A</v>
      </c>
      <c r="O80" s="1133" t="str">
        <f t="shared" si="524"/>
        <v>N/A</v>
      </c>
      <c r="P80" s="1133" t="str">
        <f t="shared" si="525"/>
        <v>N/A</v>
      </c>
      <c r="Q80" s="1133" t="str">
        <f t="shared" si="526"/>
        <v>N/A</v>
      </c>
      <c r="R80" s="1133" t="str">
        <f t="shared" si="527"/>
        <v>N/A</v>
      </c>
      <c r="S80" s="1133" t="str">
        <f t="shared" si="528"/>
        <v>N/A</v>
      </c>
      <c r="T80" s="1133" t="str">
        <f t="shared" si="529"/>
        <v>N/A</v>
      </c>
      <c r="U80" s="1133" t="str">
        <f t="shared" si="530"/>
        <v>N/A</v>
      </c>
      <c r="V80" s="1122" t="str">
        <f t="shared" si="531"/>
        <v>N/A</v>
      </c>
      <c r="W80" s="1124" t="str">
        <f t="shared" si="532"/>
        <v>N/A</v>
      </c>
      <c r="X80" s="1124" t="str">
        <f t="shared" si="533"/>
        <v>N/A</v>
      </c>
      <c r="Y80" s="1125" t="str">
        <f>IFERROR(__xludf.DUMMYFUNCTION("IF(
  OR(X80=""NOT PUBLISHED"", X80=""N/A""),
  X80,
  IFERROR(MAX(FILTER(N80:X80, ISNUMBER(N80:X80))),"""")
)"),"N/A")</f>
        <v>N/A</v>
      </c>
      <c r="Z80" s="72" t="str">
        <f t="shared" si="534"/>
        <v>N/A</v>
      </c>
      <c r="AA80" s="1134" t="str">
        <f t="shared" si="535"/>
        <v>N/A</v>
      </c>
      <c r="AB80" s="1134" t="str">
        <f t="shared" si="536"/>
        <v>N/A</v>
      </c>
      <c r="AC80" s="1134" t="str">
        <f t="shared" si="537"/>
        <v>N/A</v>
      </c>
      <c r="AD80" s="1134" t="str">
        <f t="shared" si="538"/>
        <v>N/A</v>
      </c>
      <c r="AE80" s="1134" t="str">
        <f t="shared" si="539"/>
        <v>N/A</v>
      </c>
      <c r="AF80" s="1134" t="str">
        <f t="shared" si="540"/>
        <v>N/A</v>
      </c>
      <c r="AG80" s="1134" t="str">
        <f t="shared" si="541"/>
        <v>N/A</v>
      </c>
      <c r="AH80" s="1122" t="str">
        <f t="shared" si="542"/>
        <v>N/A</v>
      </c>
      <c r="AI80" s="1124" t="str">
        <f t="shared" si="543"/>
        <v>N/A</v>
      </c>
      <c r="AJ80" s="1124" t="str">
        <f t="shared" si="544"/>
        <v>N/A</v>
      </c>
      <c r="AK80" s="1125" t="str">
        <f>IFERROR(__xludf.DUMMYFUNCTION("IF(
  OR(AJ80=""NOT PUBLISHED"", AJ80=""N/A""),
  AJ80,
  IFERROR(MAX(FILTER(Z80:AJ80, ISNUMBER(Z80:AJ80))),"""")
)"),"N/A")</f>
        <v>N/A</v>
      </c>
      <c r="AL80" s="72" t="str">
        <f t="shared" si="545"/>
        <v>N/A</v>
      </c>
      <c r="AM80" s="1134" t="str">
        <f t="shared" si="546"/>
        <v>N/A</v>
      </c>
      <c r="AN80" s="1134" t="str">
        <f t="shared" si="547"/>
        <v>N/A</v>
      </c>
      <c r="AO80" s="1134" t="str">
        <f t="shared" si="548"/>
        <v>N/A</v>
      </c>
      <c r="AP80" s="1126" t="str">
        <f t="shared" si="549"/>
        <v>N/A</v>
      </c>
      <c r="AQ80" s="1124" t="str">
        <f t="shared" si="550"/>
        <v>N/A</v>
      </c>
      <c r="AR80" s="1124" t="str">
        <f t="shared" si="551"/>
        <v>N/A</v>
      </c>
      <c r="AS80" s="1125" t="str">
        <f>IFERROR(__xludf.DUMMYFUNCTION("IF(
  OR(AR80=""NOT PUBLISHED"", AR80=""N/A""),
  AR80,
  IFERROR(MAX(FILTER(AL80:AR80, ISNUMBER(AL80:AR80))),"""")
)"),"N/A")</f>
        <v>N/A</v>
      </c>
      <c r="AT80" s="72" t="str">
        <f t="shared" si="552"/>
        <v>N/A</v>
      </c>
      <c r="AU80" s="1134" t="str">
        <f t="shared" si="553"/>
        <v>N/A</v>
      </c>
      <c r="AV80" s="1134" t="str">
        <f t="shared" si="554"/>
        <v>N/A</v>
      </c>
      <c r="AW80" s="1134" t="str">
        <f t="shared" si="555"/>
        <v>N/A</v>
      </c>
      <c r="AX80" s="1134" t="str">
        <f t="shared" si="556"/>
        <v>N/A</v>
      </c>
      <c r="AY80" s="1135" t="str">
        <f t="shared" si="557"/>
        <v>N/A</v>
      </c>
      <c r="AZ80" s="1127" t="str">
        <f t="shared" si="558"/>
        <v>N/A</v>
      </c>
      <c r="BA80" s="1135" t="str">
        <f t="shared" si="559"/>
        <v>N/A</v>
      </c>
      <c r="BB80" s="1127" t="str">
        <f t="shared" si="560"/>
        <v>N/A</v>
      </c>
      <c r="BC80" s="1128" t="str">
        <f>IFERROR(__xludf.DUMMYFUNCTION("IF(
  OR(BB80=""NOT PUBLISHED"", BB80=""N/A""),
  BB80,
  IFERROR(MAX(FILTER(AT80:BB80, ISNUMBER(AT80:BB80))),"""")
)"),"N/A")</f>
        <v>N/A</v>
      </c>
      <c r="BD80" s="545"/>
      <c r="BE80" s="545"/>
      <c r="BF80" s="545"/>
    </row>
    <row r="81" ht="15.0" customHeight="1" outlineLevel="1">
      <c r="A81" s="53">
        <v>78.0</v>
      </c>
      <c r="B81" s="100" t="s">
        <v>236</v>
      </c>
      <c r="C81" s="53">
        <v>78.0</v>
      </c>
      <c r="D81" s="1130" t="s">
        <v>7</v>
      </c>
      <c r="E81" s="101" t="s">
        <v>237</v>
      </c>
      <c r="F81" s="102">
        <v>1118.0</v>
      </c>
      <c r="G81" s="517" t="s">
        <v>237</v>
      </c>
      <c r="H81" s="517">
        <v>1118.0</v>
      </c>
      <c r="I81" s="821" t="str">
        <f>IFERROR(VLOOKUP(B78:B268,'RELATÓRIO ACC'!B:F,5,FALSE),"NOT PUBLISHED")</f>
        <v>NOT PUBLISHED</v>
      </c>
      <c r="J81" s="1119" t="str">
        <f>IFERROR(VLOOKUP(B78:B268,'RELATÓRIO ACC'!B:P,15,FALSE),"NOT PUBLISHED")</f>
        <v>NOT PUBLISHED</v>
      </c>
      <c r="K81" s="552" t="str">
        <f t="shared" si="521"/>
        <v>#REF!</v>
      </c>
      <c r="L81" s="552" t="str">
        <f t="shared" si="522"/>
        <v>#REF!</v>
      </c>
      <c r="M81" s="1139" t="s">
        <v>461</v>
      </c>
      <c r="N81" s="1132" t="str">
        <f t="shared" si="523"/>
        <v>N/A</v>
      </c>
      <c r="O81" s="1133" t="str">
        <f t="shared" si="524"/>
        <v>N/A</v>
      </c>
      <c r="P81" s="1133" t="str">
        <f t="shared" si="525"/>
        <v>N/A</v>
      </c>
      <c r="Q81" s="1133" t="str">
        <f t="shared" si="526"/>
        <v>N/A</v>
      </c>
      <c r="R81" s="1133" t="str">
        <f t="shared" si="527"/>
        <v>N/A</v>
      </c>
      <c r="S81" s="1133" t="str">
        <f t="shared" si="528"/>
        <v>N/A</v>
      </c>
      <c r="T81" s="1133" t="str">
        <f t="shared" si="529"/>
        <v>N/A</v>
      </c>
      <c r="U81" s="1133" t="str">
        <f t="shared" si="530"/>
        <v>N/A</v>
      </c>
      <c r="V81" s="1122" t="str">
        <f t="shared" si="531"/>
        <v>N/A</v>
      </c>
      <c r="W81" s="1124" t="str">
        <f t="shared" si="532"/>
        <v>N/A</v>
      </c>
      <c r="X81" s="1124" t="str">
        <f t="shared" si="533"/>
        <v>N/A</v>
      </c>
      <c r="Y81" s="1125" t="str">
        <f>IFERROR(__xludf.DUMMYFUNCTION("IF(
  OR(X81=""NOT PUBLISHED"", X81=""N/A""),
  X81,
  IFERROR(MAX(FILTER(N81:X81, ISNUMBER(N81:X81))),"""")
)"),"N/A")</f>
        <v>N/A</v>
      </c>
      <c r="Z81" s="72" t="str">
        <f t="shared" si="534"/>
        <v>N/A</v>
      </c>
      <c r="AA81" s="1134" t="str">
        <f t="shared" si="535"/>
        <v>N/A</v>
      </c>
      <c r="AB81" s="1134" t="str">
        <f t="shared" si="536"/>
        <v>N/A</v>
      </c>
      <c r="AC81" s="1134" t="str">
        <f t="shared" si="537"/>
        <v>N/A</v>
      </c>
      <c r="AD81" s="1134" t="str">
        <f t="shared" si="538"/>
        <v>N/A</v>
      </c>
      <c r="AE81" s="1134" t="str">
        <f t="shared" si="539"/>
        <v>N/A</v>
      </c>
      <c r="AF81" s="1134" t="str">
        <f t="shared" si="540"/>
        <v>N/A</v>
      </c>
      <c r="AG81" s="1134" t="str">
        <f t="shared" si="541"/>
        <v>N/A</v>
      </c>
      <c r="AH81" s="1122" t="str">
        <f t="shared" si="542"/>
        <v>N/A</v>
      </c>
      <c r="AI81" s="1124" t="str">
        <f t="shared" si="543"/>
        <v>N/A</v>
      </c>
      <c r="AJ81" s="1124" t="str">
        <f t="shared" si="544"/>
        <v>N/A</v>
      </c>
      <c r="AK81" s="1125" t="str">
        <f>IFERROR(__xludf.DUMMYFUNCTION("IF(
  OR(AJ81=""NOT PUBLISHED"", AJ81=""N/A""),
  AJ81,
  IFERROR(MAX(FILTER(Z81:AJ81, ISNUMBER(Z81:AJ81))),"""")
)"),"N/A")</f>
        <v>N/A</v>
      </c>
      <c r="AL81" s="72" t="str">
        <f t="shared" si="545"/>
        <v>N/A</v>
      </c>
      <c r="AM81" s="1134" t="str">
        <f t="shared" si="546"/>
        <v>N/A</v>
      </c>
      <c r="AN81" s="1134" t="str">
        <f t="shared" si="547"/>
        <v>N/A</v>
      </c>
      <c r="AO81" s="1134" t="str">
        <f t="shared" si="548"/>
        <v>N/A</v>
      </c>
      <c r="AP81" s="1126" t="str">
        <f t="shared" si="549"/>
        <v>N/A</v>
      </c>
      <c r="AQ81" s="1124" t="str">
        <f t="shared" si="550"/>
        <v>N/A</v>
      </c>
      <c r="AR81" s="1124" t="str">
        <f t="shared" si="551"/>
        <v>N/A</v>
      </c>
      <c r="AS81" s="1125" t="str">
        <f>IFERROR(__xludf.DUMMYFUNCTION("IF(
  OR(AR81=""NOT PUBLISHED"", AR81=""N/A""),
  AR81,
  IFERROR(MAX(FILTER(AL81:AR81, ISNUMBER(AL81:AR81))),"""")
)"),"N/A")</f>
        <v>N/A</v>
      </c>
      <c r="AT81" s="72" t="str">
        <f t="shared" si="552"/>
        <v>N/A</v>
      </c>
      <c r="AU81" s="1134" t="str">
        <f t="shared" si="553"/>
        <v>N/A</v>
      </c>
      <c r="AV81" s="1134" t="str">
        <f t="shared" si="554"/>
        <v>N/A</v>
      </c>
      <c r="AW81" s="1134" t="str">
        <f t="shared" si="555"/>
        <v>N/A</v>
      </c>
      <c r="AX81" s="1134" t="str">
        <f t="shared" si="556"/>
        <v>N/A</v>
      </c>
      <c r="AY81" s="1135" t="str">
        <f t="shared" si="557"/>
        <v>N/A</v>
      </c>
      <c r="AZ81" s="1127" t="str">
        <f t="shared" si="558"/>
        <v>N/A</v>
      </c>
      <c r="BA81" s="1135" t="str">
        <f t="shared" si="559"/>
        <v>N/A</v>
      </c>
      <c r="BB81" s="1127" t="str">
        <f t="shared" si="560"/>
        <v>N/A</v>
      </c>
      <c r="BC81" s="1128" t="str">
        <f>IFERROR(__xludf.DUMMYFUNCTION("IF(
  OR(BB81=""NOT PUBLISHED"", BB81=""N/A""),
  BB81,
  IFERROR(MAX(FILTER(AT81:BB81, ISNUMBER(AT81:BB81))),"""")
)"),"N/A")</f>
        <v>N/A</v>
      </c>
      <c r="BD81" s="545"/>
      <c r="BE81" s="545"/>
      <c r="BF81" s="545"/>
    </row>
    <row r="82" ht="15.0" customHeight="1" outlineLevel="1">
      <c r="A82" s="53">
        <v>79.0</v>
      </c>
      <c r="B82" s="145" t="s">
        <v>239</v>
      </c>
      <c r="C82" s="53">
        <v>79.0</v>
      </c>
      <c r="D82" s="1130" t="s">
        <v>1756</v>
      </c>
      <c r="E82" s="101" t="s">
        <v>237</v>
      </c>
      <c r="F82" s="102">
        <v>1118.0</v>
      </c>
      <c r="G82" s="517" t="s">
        <v>237</v>
      </c>
      <c r="H82" s="517">
        <v>1118.0</v>
      </c>
      <c r="I82" s="821" t="str">
        <f>IFERROR(VLOOKUP(B79:B269,'RELATÓRIO ACC'!B:F,5,FALSE),"NOT PUBLISHED")</f>
        <v>NOT PUBLISHED</v>
      </c>
      <c r="J82" s="1119" t="str">
        <f>IFERROR(VLOOKUP(B79:B269,'RELATÓRIO ACC'!B:P,15,FALSE),"NOT PUBLISHED")</f>
        <v>NOT PUBLISHED</v>
      </c>
      <c r="K82" s="552" t="str">
        <f t="shared" si="521"/>
        <v>#REF!</v>
      </c>
      <c r="L82" s="552" t="str">
        <f t="shared" si="522"/>
        <v>#REF!</v>
      </c>
      <c r="M82" s="899" t="s">
        <v>461</v>
      </c>
      <c r="N82" s="1132" t="str">
        <f t="shared" si="523"/>
        <v>N/A</v>
      </c>
      <c r="O82" s="1133" t="str">
        <f t="shared" si="524"/>
        <v>N/A</v>
      </c>
      <c r="P82" s="1133" t="str">
        <f t="shared" si="525"/>
        <v>N/A</v>
      </c>
      <c r="Q82" s="1133" t="str">
        <f t="shared" si="526"/>
        <v>N/A</v>
      </c>
      <c r="R82" s="1133" t="str">
        <f t="shared" si="527"/>
        <v>N/A</v>
      </c>
      <c r="S82" s="1133" t="str">
        <f t="shared" si="528"/>
        <v>N/A</v>
      </c>
      <c r="T82" s="1133" t="str">
        <f t="shared" si="529"/>
        <v>N/A</v>
      </c>
      <c r="U82" s="1133" t="str">
        <f t="shared" si="530"/>
        <v>N/A</v>
      </c>
      <c r="V82" s="1122" t="str">
        <f t="shared" si="531"/>
        <v>N/A</v>
      </c>
      <c r="W82" s="1124" t="str">
        <f t="shared" si="532"/>
        <v>N/A</v>
      </c>
      <c r="X82" s="1124" t="str">
        <f t="shared" si="533"/>
        <v>N/A</v>
      </c>
      <c r="Y82" s="1125" t="str">
        <f>IFERROR(__xludf.DUMMYFUNCTION("IF(
  OR(X82=""NOT PUBLISHED"", X82=""N/A""),
  X82,
  IFERROR(MAX(FILTER(N82:X82, ISNUMBER(N82:X82))),"""")
)"),"N/A")</f>
        <v>N/A</v>
      </c>
      <c r="Z82" s="72" t="str">
        <f t="shared" si="534"/>
        <v>N/A</v>
      </c>
      <c r="AA82" s="1134" t="str">
        <f t="shared" si="535"/>
        <v>N/A</v>
      </c>
      <c r="AB82" s="1134" t="str">
        <f t="shared" si="536"/>
        <v>N/A</v>
      </c>
      <c r="AC82" s="1134" t="str">
        <f t="shared" si="537"/>
        <v>N/A</v>
      </c>
      <c r="AD82" s="1134" t="str">
        <f t="shared" si="538"/>
        <v>N/A</v>
      </c>
      <c r="AE82" s="1134" t="str">
        <f t="shared" si="539"/>
        <v>N/A</v>
      </c>
      <c r="AF82" s="1134" t="str">
        <f t="shared" si="540"/>
        <v>N/A</v>
      </c>
      <c r="AG82" s="1134" t="str">
        <f t="shared" si="541"/>
        <v>N/A</v>
      </c>
      <c r="AH82" s="1122" t="str">
        <f t="shared" si="542"/>
        <v>N/A</v>
      </c>
      <c r="AI82" s="1124" t="str">
        <f t="shared" si="543"/>
        <v>N/A</v>
      </c>
      <c r="AJ82" s="1124" t="str">
        <f t="shared" si="544"/>
        <v>N/A</v>
      </c>
      <c r="AK82" s="1125" t="str">
        <f>IFERROR(__xludf.DUMMYFUNCTION("IF(
  OR(AJ82=""NOT PUBLISHED"", AJ82=""N/A""),
  AJ82,
  IFERROR(MAX(FILTER(Z82:AJ82, ISNUMBER(Z82:AJ82))),"""")
)"),"N/A")</f>
        <v>N/A</v>
      </c>
      <c r="AL82" s="72" t="str">
        <f t="shared" si="545"/>
        <v>N/A</v>
      </c>
      <c r="AM82" s="1134" t="str">
        <f t="shared" si="546"/>
        <v>N/A</v>
      </c>
      <c r="AN82" s="1134" t="str">
        <f t="shared" si="547"/>
        <v>N/A</v>
      </c>
      <c r="AO82" s="1134" t="str">
        <f t="shared" si="548"/>
        <v>N/A</v>
      </c>
      <c r="AP82" s="1126" t="str">
        <f t="shared" si="549"/>
        <v>N/A</v>
      </c>
      <c r="AQ82" s="1124" t="str">
        <f t="shared" si="550"/>
        <v>N/A</v>
      </c>
      <c r="AR82" s="1124" t="str">
        <f t="shared" si="551"/>
        <v>N/A</v>
      </c>
      <c r="AS82" s="1125" t="str">
        <f>IFERROR(__xludf.DUMMYFUNCTION("IF(
  OR(AR82=""NOT PUBLISHED"", AR82=""N/A""),
  AR82,
  IFERROR(MAX(FILTER(AL82:AR82, ISNUMBER(AL82:AR82))),"""")
)"),"N/A")</f>
        <v>N/A</v>
      </c>
      <c r="AT82" s="72" t="str">
        <f t="shared" si="552"/>
        <v>N/A</v>
      </c>
      <c r="AU82" s="1134" t="str">
        <f t="shared" si="553"/>
        <v>N/A</v>
      </c>
      <c r="AV82" s="1134" t="str">
        <f t="shared" si="554"/>
        <v>N/A</v>
      </c>
      <c r="AW82" s="1134" t="str">
        <f t="shared" si="555"/>
        <v>N/A</v>
      </c>
      <c r="AX82" s="1134" t="str">
        <f t="shared" si="556"/>
        <v>N/A</v>
      </c>
      <c r="AY82" s="1135" t="str">
        <f t="shared" si="557"/>
        <v>N/A</v>
      </c>
      <c r="AZ82" s="1127" t="str">
        <f t="shared" si="558"/>
        <v>N/A</v>
      </c>
      <c r="BA82" s="1135" t="str">
        <f t="shared" si="559"/>
        <v>N/A</v>
      </c>
      <c r="BB82" s="1127" t="str">
        <f t="shared" si="560"/>
        <v>N/A</v>
      </c>
      <c r="BC82" s="1128" t="str">
        <f>IFERROR(__xludf.DUMMYFUNCTION("IF(
  OR(BB82=""NOT PUBLISHED"", BB82=""N/A""),
  BB82,
  IFERROR(MAX(FILTER(AT82:BB82, ISNUMBER(AT82:BB82))),"""")
)"),"N/A")</f>
        <v>N/A</v>
      </c>
      <c r="BD82" s="1129"/>
      <c r="BE82" s="1129"/>
      <c r="BF82" s="1129"/>
    </row>
    <row r="83" ht="15.0" customHeight="1" outlineLevel="1">
      <c r="A83" s="53">
        <v>80.0</v>
      </c>
      <c r="B83" s="100" t="s">
        <v>241</v>
      </c>
      <c r="C83" s="53">
        <v>80.0</v>
      </c>
      <c r="D83" s="1130" t="s">
        <v>8</v>
      </c>
      <c r="E83" s="101" t="s">
        <v>237</v>
      </c>
      <c r="F83" s="102">
        <v>1118.0</v>
      </c>
      <c r="G83" s="517" t="s">
        <v>237</v>
      </c>
      <c r="H83" s="517">
        <v>1118.0</v>
      </c>
      <c r="I83" s="821" t="str">
        <f>IFERROR(VLOOKUP(B80:B270,'RELATÓRIO ACC'!B:F,5,FALSE),"NOT PUBLISHED")</f>
        <v>NOT PUBLISHED</v>
      </c>
      <c r="J83" s="1119" t="str">
        <f>IFERROR(VLOOKUP(B80:B270,'RELATÓRIO ACC'!B:P,15,FALSE),"NOT PUBLISHED")</f>
        <v>NOT PUBLISHED</v>
      </c>
      <c r="K83" s="552" t="str">
        <f t="shared" si="521"/>
        <v>#REF!</v>
      </c>
      <c r="L83" s="552" t="str">
        <f t="shared" si="522"/>
        <v>#REF!</v>
      </c>
      <c r="M83" s="899" t="s">
        <v>461</v>
      </c>
      <c r="N83" s="1132" t="str">
        <f t="shared" si="523"/>
        <v>N/A</v>
      </c>
      <c r="O83" s="1133" t="str">
        <f t="shared" si="524"/>
        <v>N/A</v>
      </c>
      <c r="P83" s="1133" t="str">
        <f t="shared" si="525"/>
        <v>N/A</v>
      </c>
      <c r="Q83" s="1133" t="str">
        <f t="shared" si="526"/>
        <v>N/A</v>
      </c>
      <c r="R83" s="1133" t="str">
        <f t="shared" si="527"/>
        <v>N/A</v>
      </c>
      <c r="S83" s="1133" t="str">
        <f t="shared" si="528"/>
        <v>N/A</v>
      </c>
      <c r="T83" s="1133" t="str">
        <f t="shared" si="529"/>
        <v>N/A</v>
      </c>
      <c r="U83" s="1133" t="str">
        <f t="shared" si="530"/>
        <v>N/A</v>
      </c>
      <c r="V83" s="1122" t="str">
        <f t="shared" si="531"/>
        <v>N/A</v>
      </c>
      <c r="W83" s="1124" t="str">
        <f t="shared" si="532"/>
        <v>N/A</v>
      </c>
      <c r="X83" s="1124" t="str">
        <f t="shared" si="533"/>
        <v>N/A</v>
      </c>
      <c r="Y83" s="1125" t="str">
        <f>IFERROR(__xludf.DUMMYFUNCTION("IF(
  OR(X83=""NOT PUBLISHED"", X83=""N/A""),
  X83,
  IFERROR(MAX(FILTER(N83:X83, ISNUMBER(N83:X83))),"""")
)"),"N/A")</f>
        <v>N/A</v>
      </c>
      <c r="Z83" s="72" t="str">
        <f t="shared" si="534"/>
        <v>N/A</v>
      </c>
      <c r="AA83" s="1134" t="str">
        <f t="shared" si="535"/>
        <v>N/A</v>
      </c>
      <c r="AB83" s="1134" t="str">
        <f t="shared" si="536"/>
        <v>N/A</v>
      </c>
      <c r="AC83" s="1134" t="str">
        <f t="shared" si="537"/>
        <v>N/A</v>
      </c>
      <c r="AD83" s="1134" t="str">
        <f t="shared" si="538"/>
        <v>N/A</v>
      </c>
      <c r="AE83" s="1134" t="str">
        <f t="shared" si="539"/>
        <v>N/A</v>
      </c>
      <c r="AF83" s="1134" t="str">
        <f t="shared" si="540"/>
        <v>N/A</v>
      </c>
      <c r="AG83" s="1134" t="str">
        <f t="shared" si="541"/>
        <v>N/A</v>
      </c>
      <c r="AH83" s="1122" t="str">
        <f t="shared" si="542"/>
        <v>N/A</v>
      </c>
      <c r="AI83" s="1124" t="str">
        <f t="shared" si="543"/>
        <v>N/A</v>
      </c>
      <c r="AJ83" s="1124" t="str">
        <f t="shared" si="544"/>
        <v>N/A</v>
      </c>
      <c r="AK83" s="1125" t="str">
        <f>IFERROR(__xludf.DUMMYFUNCTION("IF(
  OR(AJ83=""NOT PUBLISHED"", AJ83=""N/A""),
  AJ83,
  IFERROR(MAX(FILTER(Z83:AJ83, ISNUMBER(Z83:AJ83))),"""")
)"),"N/A")</f>
        <v>N/A</v>
      </c>
      <c r="AL83" s="72" t="str">
        <f t="shared" si="545"/>
        <v>N/A</v>
      </c>
      <c r="AM83" s="1134" t="str">
        <f t="shared" si="546"/>
        <v>N/A</v>
      </c>
      <c r="AN83" s="1134" t="str">
        <f t="shared" si="547"/>
        <v>N/A</v>
      </c>
      <c r="AO83" s="1134" t="str">
        <f t="shared" si="548"/>
        <v>N/A</v>
      </c>
      <c r="AP83" s="1126" t="str">
        <f t="shared" si="549"/>
        <v>N/A</v>
      </c>
      <c r="AQ83" s="1124" t="str">
        <f t="shared" si="550"/>
        <v>N/A</v>
      </c>
      <c r="AR83" s="1124" t="str">
        <f t="shared" si="551"/>
        <v>N/A</v>
      </c>
      <c r="AS83" s="1125" t="str">
        <f>IFERROR(__xludf.DUMMYFUNCTION("IF(
  OR(AR83=""NOT PUBLISHED"", AR83=""N/A""),
  AR83,
  IFERROR(MAX(FILTER(AL83:AR83, ISNUMBER(AL83:AR83))),"""")
)"),"N/A")</f>
        <v>N/A</v>
      </c>
      <c r="AT83" s="72" t="str">
        <f t="shared" si="552"/>
        <v>N/A</v>
      </c>
      <c r="AU83" s="1134" t="str">
        <f t="shared" si="553"/>
        <v>N/A</v>
      </c>
      <c r="AV83" s="1134" t="str">
        <f t="shared" si="554"/>
        <v>N/A</v>
      </c>
      <c r="AW83" s="1134" t="str">
        <f t="shared" si="555"/>
        <v>N/A</v>
      </c>
      <c r="AX83" s="1134" t="str">
        <f t="shared" si="556"/>
        <v>N/A</v>
      </c>
      <c r="AY83" s="1135" t="str">
        <f t="shared" si="557"/>
        <v>N/A</v>
      </c>
      <c r="AZ83" s="1127" t="str">
        <f t="shared" si="558"/>
        <v>N/A</v>
      </c>
      <c r="BA83" s="1135" t="str">
        <f t="shared" si="559"/>
        <v>N/A</v>
      </c>
      <c r="BB83" s="1127" t="str">
        <f t="shared" si="560"/>
        <v>N/A</v>
      </c>
      <c r="BC83" s="1128" t="str">
        <f>IFERROR(__xludf.DUMMYFUNCTION("IF(
  OR(BB83=""NOT PUBLISHED"", BB83=""N/A""),
  BB83,
  IFERROR(MAX(FILTER(AT83:BB83, ISNUMBER(AT83:BB83))),"""")
)"),"N/A")</f>
        <v>N/A</v>
      </c>
      <c r="BD83" s="1138"/>
      <c r="BE83" s="1138"/>
      <c r="BF83" s="1138"/>
    </row>
    <row r="84" ht="15.0" customHeight="1">
      <c r="A84" s="53">
        <v>81.0</v>
      </c>
      <c r="B84" s="291" t="s">
        <v>242</v>
      </c>
      <c r="C84" s="53">
        <v>81.0</v>
      </c>
      <c r="D84" s="293"/>
      <c r="E84" s="293"/>
      <c r="F84" s="293"/>
      <c r="G84" s="293"/>
      <c r="H84" s="295"/>
      <c r="I84" s="296"/>
      <c r="J84" s="635"/>
      <c r="K84" s="293"/>
      <c r="L84" s="293"/>
      <c r="M84" s="296"/>
      <c r="N84" s="1223"/>
      <c r="O84" s="1224"/>
      <c r="P84" s="1224"/>
      <c r="Q84" s="1225"/>
      <c r="R84" s="1226"/>
      <c r="S84" s="1226"/>
      <c r="T84" s="1226"/>
      <c r="U84" s="1226"/>
      <c r="V84" s="1226"/>
      <c r="W84" s="1227"/>
      <c r="X84" s="1227"/>
      <c r="Y84" s="1227"/>
      <c r="Z84" s="1228"/>
      <c r="AA84" s="1229"/>
      <c r="AB84" s="1229"/>
      <c r="AC84" s="1230"/>
      <c r="AD84" s="1231"/>
      <c r="AE84" s="1231"/>
      <c r="AF84" s="1231"/>
      <c r="AG84" s="1231"/>
      <c r="AH84" s="1226"/>
      <c r="AI84" s="1227"/>
      <c r="AJ84" s="1227"/>
      <c r="AK84" s="1227"/>
      <c r="AL84" s="1227"/>
      <c r="AM84" s="1231"/>
      <c r="AN84" s="1231"/>
      <c r="AO84" s="1231"/>
      <c r="AP84" s="1226"/>
      <c r="AQ84" s="1227"/>
      <c r="AR84" s="1227"/>
      <c r="AS84" s="1227"/>
      <c r="AT84" s="1227"/>
      <c r="AU84" s="1227"/>
      <c r="AV84" s="1227"/>
      <c r="AW84" s="1227"/>
      <c r="AX84" s="1227"/>
      <c r="AY84" s="1227"/>
      <c r="AZ84" s="1227"/>
      <c r="BA84" s="1227"/>
      <c r="BB84" s="1227"/>
      <c r="BC84" s="1227"/>
      <c r="BD84" s="1160"/>
      <c r="BE84" s="1160"/>
      <c r="BF84" s="1160"/>
    </row>
    <row r="85" ht="15.0" customHeight="1" outlineLevel="1">
      <c r="A85" s="53">
        <v>82.0</v>
      </c>
      <c r="B85" s="100" t="s">
        <v>244</v>
      </c>
      <c r="C85" s="53">
        <v>82.0</v>
      </c>
      <c r="D85" s="1130" t="s">
        <v>1756</v>
      </c>
      <c r="E85" s="101" t="s">
        <v>237</v>
      </c>
      <c r="F85" s="102">
        <v>1118.0</v>
      </c>
      <c r="G85" s="517" t="s">
        <v>237</v>
      </c>
      <c r="H85" s="517">
        <v>1118.0</v>
      </c>
      <c r="I85" s="821" t="str">
        <f>IFERROR(VLOOKUP(B82:B272,'RELATÓRIO ACC'!B:F,5,FALSE),"NOT PUBLISHED")</f>
        <v>NOT PUBLISHED</v>
      </c>
      <c r="J85" s="1119" t="str">
        <f>IFERROR(VLOOKUP(B82:B272,'RELATÓRIO ACC'!B:P,15,FALSE),"NOT PUBLISHED")</f>
        <v>NOT PUBLISHED</v>
      </c>
      <c r="K85" s="552" t="str">
        <f t="shared" ref="K85:K86" si="561">IF(OR($D85="UTLS",$D85="GUAR",$D85="STIR",$D85="PUMP",$D85="SITE"),
   VLOOKUP($B85,'LOD 300 - SITE'!C:K,9,FALSE),
   VLOOKUP($B85,'LOD 300 - ADMN'!C:K,9,FALSE)
)</f>
        <v>#REF!</v>
      </c>
      <c r="L85" s="552" t="str">
        <f t="shared" ref="L85:L86" si="562">IF(OR($D85="UTLS",$D85="GUAR",$D85="STIR",$D85="PUMP",$D85="SITE"),
   VLOOKUP($B85,'LOD 300 - SITE'!C:L,10,FALSE),
   VLOOKUP($B85,'LOD 300 - ADMN'!C:Q,10,FALSE)
)</f>
        <v>#REF!</v>
      </c>
      <c r="M85" s="899" t="s">
        <v>1758</v>
      </c>
      <c r="N85" s="1132" t="str">
        <f t="shared" ref="N85:N86" si="563">IFERROR(VLOOKUP($B85,'LOD 300 - ADMN'!$B:P,14,FALSE),"N/A")</f>
        <v>N/A</v>
      </c>
      <c r="O85" s="1133" t="str">
        <f t="shared" ref="O85:O86" si="564">IFERROR(VLOOKUP($B85,'LOD 300 - ADMN'!$B:S,17,FALSE),"N/A")</f>
        <v>N/A</v>
      </c>
      <c r="P85" s="1133" t="str">
        <f t="shared" ref="P85:P86" si="565">IFERROR(VLOOKUP($B85,'LOD 300 - ADMN'!$B:V,20,FALSE),"N/A")</f>
        <v>N/A</v>
      </c>
      <c r="Q85" s="1133" t="str">
        <f t="shared" ref="Q85:Q86" si="566">IFERROR(VLOOKUP($B85,'LOD 300 - ADMN'!$B:Y,23,FALSE),"N/A")</f>
        <v>N/A</v>
      </c>
      <c r="R85" s="1133" t="str">
        <f t="shared" ref="R85:R86" si="567">IFERROR(VLOOKUP($B85,'LOD 300 - ADMN'!$B:AB,26,FALSE),"N/A")</f>
        <v>N/A</v>
      </c>
      <c r="S85" s="1133" t="str">
        <f t="shared" ref="S85:S86" si="568">IFERROR(VLOOKUP($B85,'LOD 300 - ADMN'!$B:AE,29,FALSE),"N/A")</f>
        <v>N/A</v>
      </c>
      <c r="T85" s="1133" t="str">
        <f t="shared" ref="T85:T86" si="569">IFERROR(VLOOKUP($B85,'LOD 300 - ADMN'!$B:AH,32,FALSE),"N/A")</f>
        <v>N/A</v>
      </c>
      <c r="U85" s="1133" t="str">
        <f t="shared" ref="U85:U86" si="570">IFERROR(VLOOKUP($B85,'LOD 300 - ADMN'!$B:AK,35,FALSE),"N/A")</f>
        <v>N/A</v>
      </c>
      <c r="V85" s="1122" t="str">
        <f t="shared" ref="V85:V86" si="571">IFERROR(VLOOKUP($B85,'LOD 300 - ADMN'!$B:AN,38,FALSE),"N/A")</f>
        <v>N/A</v>
      </c>
      <c r="W85" s="1124" t="str">
        <f t="shared" ref="W85:W86" si="572">IFERROR(VLOOKUP($B85,'LOD 300 - ADMN'!$B:AQ,41,FALSE),"N/A")</f>
        <v>N/A</v>
      </c>
      <c r="X85" s="1124" t="str">
        <f t="shared" ref="X85:X86" si="573">IFERROR(VLOOKUP($B85,'LOD 300 - ADMN'!$B:AT,44,FALSE),"N/A")</f>
        <v>N/A</v>
      </c>
      <c r="Y85" s="1125" t="str">
        <f>IFERROR(__xludf.DUMMYFUNCTION("IF(
  OR(X85=""NOT PUBLISHED"", X85=""N/A""),
  X85,
  IFERROR(MAX(FILTER(N85:X85, ISNUMBER(N85:X85))),"""")
)"),"N/A")</f>
        <v>N/A</v>
      </c>
      <c r="Z85" s="72" t="str">
        <f t="shared" ref="Z85:Z86" si="574">IFERROR(VLOOKUP($B85,'LOD 300 - COLO1'!$B:P,14,FALSE),"N/A")</f>
        <v>N/A</v>
      </c>
      <c r="AA85" s="1134" t="str">
        <f t="shared" ref="AA85:AA86" si="575">IFERROR(VLOOKUP($B85,'LOD 300 - COLO1'!$B:S,17,FALSE),"N/A")</f>
        <v>N/A</v>
      </c>
      <c r="AB85" s="1134" t="str">
        <f t="shared" ref="AB85:AB86" si="576">IFERROR(VLOOKUP($B85,'LOD 300 - COLO1'!$B:V,20,FALSE),"N/A")</f>
        <v>N/A</v>
      </c>
      <c r="AC85" s="1134" t="str">
        <f t="shared" ref="AC85:AC86" si="577">IFERROR(VLOOKUP($B85,'LOD 300 - COLO1'!$B:Y,23,FALSE),"N/A")</f>
        <v>N/A</v>
      </c>
      <c r="AD85" s="1134" t="str">
        <f t="shared" ref="AD85:AD86" si="578">IFERROR(VLOOKUP($B85,'LOD 300 - COLO1'!$B:AB,26,FALSE),"N/A")</f>
        <v>N/A</v>
      </c>
      <c r="AE85" s="1134" t="str">
        <f t="shared" ref="AE85:AE86" si="579">IFERROR(VLOOKUP($B85,'LOD 300 - COLO1'!$B:AE,29,FALSE),"N/A")</f>
        <v>N/A</v>
      </c>
      <c r="AF85" s="1134" t="str">
        <f t="shared" ref="AF85:AF86" si="580">IFERROR(VLOOKUP($B85,'LOD 300 - COLO1'!$B:AH,32,FALSE),"N/A")</f>
        <v>N/A</v>
      </c>
      <c r="AG85" s="1134" t="str">
        <f t="shared" ref="AG85:AG86" si="581">IFERROR(VLOOKUP($B85,'LOD 300 - COLO1'!$B:AK,35,FALSE),"N/A")</f>
        <v>N/A</v>
      </c>
      <c r="AH85" s="1122" t="str">
        <f t="shared" ref="AH85:AH86" si="582">IFERROR(VLOOKUP($B85,'LOD 300 - COLO1'!$B:AN,38,FALSE),"N/A")</f>
        <v>N/A</v>
      </c>
      <c r="AI85" s="1124" t="str">
        <f t="shared" ref="AI85:AI86" si="583">IFERROR(VLOOKUP($B85,'LOD 300 - COLO1'!$B:AQ,41,FALSE),"N/A")</f>
        <v>N/A</v>
      </c>
      <c r="AJ85" s="1124" t="str">
        <f t="shared" ref="AJ85:AJ86" si="584">IFERROR(VLOOKUP($B85,'LOD 300 - COLO1'!$B:AT,44,FALSE),"N/A")</f>
        <v>N/A</v>
      </c>
      <c r="AK85" s="1125" t="str">
        <f>IFERROR(__xludf.DUMMYFUNCTION("IF(
  OR(AJ85=""NOT PUBLISHED"", AJ85=""N/A""),
  AJ85,
  IFERROR(MAX(FILTER(Z85:AJ85, ISNUMBER(Z85:AJ85))),"""")
)"),"N/A")</f>
        <v>N/A</v>
      </c>
      <c r="AL85" s="72" t="str">
        <f t="shared" ref="AL85:AL86" si="585">IFERROR(VLOOKUP($B85,'LOD 300 - COLO2'!$B:P,14,FALSE),"N/A")</f>
        <v>N/A</v>
      </c>
      <c r="AM85" s="1134" t="str">
        <f t="shared" ref="AM85:AM86" si="586">IFERROR(VLOOKUP($B85,'LOD 300 - COLO2'!$B:S,17,FALSE),"N/A")</f>
        <v>N/A</v>
      </c>
      <c r="AN85" s="1134" t="str">
        <f t="shared" ref="AN85:AN86" si="587">IFERROR(VLOOKUP($B85,'LOD 300 - COLO2'!$B:V,20,FALSE),"N/A")</f>
        <v>N/A</v>
      </c>
      <c r="AO85" s="1134" t="str">
        <f t="shared" ref="AO85:AO86" si="588">IFERROR(VLOOKUP($B85,'LOD 300 - COLO2'!$B:Y,23,FALSE),"N/A")</f>
        <v>N/A</v>
      </c>
      <c r="AP85" s="1126" t="str">
        <f t="shared" ref="AP85:AP86" si="589">IFERROR(VLOOKUP($B85,'LOD 300 - COLO2'!$B:AB,26,FALSE),"N/A")</f>
        <v>N/A</v>
      </c>
      <c r="AQ85" s="1124" t="str">
        <f t="shared" ref="AQ85:AQ86" si="590">IFERROR(VLOOKUP($B85,'LOD 300 - COLO2'!$B:AE,29,FALSE),"N/A")</f>
        <v>N/A</v>
      </c>
      <c r="AR85" s="1124" t="str">
        <f t="shared" ref="AR85:AR86" si="591">IFERROR(VLOOKUP($B85,'LOD 300 - COLO2'!$B:AH,32,FALSE),"N/A")</f>
        <v>N/A</v>
      </c>
      <c r="AS85" s="1125" t="str">
        <f>IFERROR(__xludf.DUMMYFUNCTION("IF(
  OR(AR85=""NOT PUBLISHED"", AR85=""N/A""),
  AR85,
  IFERROR(MAX(FILTER(AL85:AR85, ISNUMBER(AL85:AR85))),"""")
)"),"N/A")</f>
        <v>N/A</v>
      </c>
      <c r="AT85" s="72" t="str">
        <f t="shared" ref="AT85:AT86" si="592">IFERROR(VLOOKUP($B85,'LOD 300 - SITE'!$B:P,14,FALSE),"N/A")</f>
        <v>N/A</v>
      </c>
      <c r="AU85" s="1134" t="str">
        <f t="shared" ref="AU85:AU86" si="593">IFERROR(VLOOKUP($B85,'LOD 300 - SITE'!$B:S,17,FALSE),"N/A")</f>
        <v>N/A</v>
      </c>
      <c r="AV85" s="1134" t="str">
        <f t="shared" ref="AV85:AV86" si="594">IFERROR(VLOOKUP($B85,'LOD 300 - SITE'!$B:V,20,FALSE),"N/A")</f>
        <v>N/A</v>
      </c>
      <c r="AW85" s="1134" t="str">
        <f t="shared" ref="AW85:AW86" si="595">IFERROR(VLOOKUP($B85,'LOD 300 - SITE'!$B:Y,23,FALSE),"N/A")</f>
        <v>N/A</v>
      </c>
      <c r="AX85" s="1134" t="str">
        <f t="shared" ref="AX85:AX86" si="596">IFERROR(VLOOKUP($B85,'LOD 300 - SITE'!$B:AB,26,FALSE),"N/A")</f>
        <v>N/A</v>
      </c>
      <c r="AY85" s="1135" t="str">
        <f t="shared" ref="AY85:AY86" si="597">IFERROR(VLOOKUP($B85,'LOD 300 - SITE'!$B:AE,29,FALSE),"N/A")</f>
        <v>N/A</v>
      </c>
      <c r="AZ85" s="1127" t="str">
        <f t="shared" ref="AZ85:AZ86" si="598">IFERROR(VLOOKUP($B85,'LOD 300 - SITE'!$B:AH,32,FALSE),"N/A")</f>
        <v>N/A</v>
      </c>
      <c r="BA85" s="1135" t="str">
        <f t="shared" ref="BA85:BA86" si="599">IFERROR(VLOOKUP($B85,'LOD 300 - SITE'!$B:AK,35,FALSE),"N/A")</f>
        <v>N/A</v>
      </c>
      <c r="BB85" s="1127" t="str">
        <f t="shared" ref="BB85:BB86" si="600">IFERROR(VLOOKUP($B85,'LOD 300 - SITE'!$B:AN,38,FALSE),"N/A")</f>
        <v>N/A</v>
      </c>
      <c r="BC85" s="1128" t="str">
        <f>IFERROR(__xludf.DUMMYFUNCTION("IF(
  OR(BB85=""NOT PUBLISHED"", BB85=""N/A""),
  BB85,
  IFERROR(MAX(FILTER(AT85:BB85, ISNUMBER(AT85:BB85))),"""")
)"),"N/A")</f>
        <v>N/A</v>
      </c>
      <c r="BD85" s="1129"/>
      <c r="BE85" s="1129"/>
      <c r="BF85" s="1129"/>
    </row>
    <row r="86" ht="15.0" customHeight="1" outlineLevel="1">
      <c r="A86" s="53">
        <v>83.0</v>
      </c>
      <c r="B86" s="100" t="s">
        <v>246</v>
      </c>
      <c r="C86" s="53">
        <v>83.0</v>
      </c>
      <c r="D86" s="1130" t="s">
        <v>1759</v>
      </c>
      <c r="E86" s="101" t="s">
        <v>237</v>
      </c>
      <c r="F86" s="102">
        <v>1118.0</v>
      </c>
      <c r="G86" s="517" t="s">
        <v>237</v>
      </c>
      <c r="H86" s="517">
        <v>1118.0</v>
      </c>
      <c r="I86" s="821" t="str">
        <f>IFERROR(VLOOKUP(B83:B273,'RELATÓRIO ACC'!B:F,5,FALSE),"NOT PUBLISHED")</f>
        <v>NOT PUBLISHED</v>
      </c>
      <c r="J86" s="1119" t="str">
        <f>IFERROR(VLOOKUP(B83:B273,'RELATÓRIO ACC'!B:P,15,FALSE),"NOT PUBLISHED")</f>
        <v>NOT PUBLISHED</v>
      </c>
      <c r="K86" s="552" t="str">
        <f t="shared" si="561"/>
        <v>#REF!</v>
      </c>
      <c r="L86" s="552" t="str">
        <f t="shared" si="562"/>
        <v>#REF!</v>
      </c>
      <c r="M86" s="899" t="s">
        <v>461</v>
      </c>
      <c r="N86" s="1132" t="str">
        <f t="shared" si="563"/>
        <v>N/A</v>
      </c>
      <c r="O86" s="1133" t="str">
        <f t="shared" si="564"/>
        <v>N/A</v>
      </c>
      <c r="P86" s="1133" t="str">
        <f t="shared" si="565"/>
        <v>N/A</v>
      </c>
      <c r="Q86" s="1133" t="str">
        <f t="shared" si="566"/>
        <v>N/A</v>
      </c>
      <c r="R86" s="1133" t="str">
        <f t="shared" si="567"/>
        <v>N/A</v>
      </c>
      <c r="S86" s="1133" t="str">
        <f t="shared" si="568"/>
        <v>N/A</v>
      </c>
      <c r="T86" s="1133" t="str">
        <f t="shared" si="569"/>
        <v>N/A</v>
      </c>
      <c r="U86" s="1133" t="str">
        <f t="shared" si="570"/>
        <v>N/A</v>
      </c>
      <c r="V86" s="1122" t="str">
        <f t="shared" si="571"/>
        <v>N/A</v>
      </c>
      <c r="W86" s="1124" t="str">
        <f t="shared" si="572"/>
        <v>N/A</v>
      </c>
      <c r="X86" s="1124" t="str">
        <f t="shared" si="573"/>
        <v>N/A</v>
      </c>
      <c r="Y86" s="1125" t="str">
        <f>IFERROR(__xludf.DUMMYFUNCTION("IF(
  OR(X86=""NOT PUBLISHED"", X86=""N/A""),
  X86,
  IFERROR(MAX(FILTER(N86:X86, ISNUMBER(N86:X86))),"""")
)"),"N/A")</f>
        <v>N/A</v>
      </c>
      <c r="Z86" s="72" t="str">
        <f t="shared" si="574"/>
        <v>N/A</v>
      </c>
      <c r="AA86" s="1134" t="str">
        <f t="shared" si="575"/>
        <v>N/A</v>
      </c>
      <c r="AB86" s="1134" t="str">
        <f t="shared" si="576"/>
        <v>N/A</v>
      </c>
      <c r="AC86" s="1134" t="str">
        <f t="shared" si="577"/>
        <v>N/A</v>
      </c>
      <c r="AD86" s="1134" t="str">
        <f t="shared" si="578"/>
        <v>N/A</v>
      </c>
      <c r="AE86" s="1134" t="str">
        <f t="shared" si="579"/>
        <v>N/A</v>
      </c>
      <c r="AF86" s="1134" t="str">
        <f t="shared" si="580"/>
        <v>N/A</v>
      </c>
      <c r="AG86" s="1134" t="str">
        <f t="shared" si="581"/>
        <v>N/A</v>
      </c>
      <c r="AH86" s="1122" t="str">
        <f t="shared" si="582"/>
        <v>N/A</v>
      </c>
      <c r="AI86" s="1124" t="str">
        <f t="shared" si="583"/>
        <v>N/A</v>
      </c>
      <c r="AJ86" s="1124" t="str">
        <f t="shared" si="584"/>
        <v>N/A</v>
      </c>
      <c r="AK86" s="1125" t="str">
        <f>IFERROR(__xludf.DUMMYFUNCTION("IF(
  OR(AJ86=""NOT PUBLISHED"", AJ86=""N/A""),
  AJ86,
  IFERROR(MAX(FILTER(Z86:AJ86, ISNUMBER(Z86:AJ86))),"""")
)"),"N/A")</f>
        <v>N/A</v>
      </c>
      <c r="AL86" s="72" t="str">
        <f t="shared" si="585"/>
        <v>N/A</v>
      </c>
      <c r="AM86" s="1134" t="str">
        <f t="shared" si="586"/>
        <v>N/A</v>
      </c>
      <c r="AN86" s="1134" t="str">
        <f t="shared" si="587"/>
        <v>N/A</v>
      </c>
      <c r="AO86" s="1134" t="str">
        <f t="shared" si="588"/>
        <v>N/A</v>
      </c>
      <c r="AP86" s="1126" t="str">
        <f t="shared" si="589"/>
        <v>N/A</v>
      </c>
      <c r="AQ86" s="1124" t="str">
        <f t="shared" si="590"/>
        <v>N/A</v>
      </c>
      <c r="AR86" s="1124" t="str">
        <f t="shared" si="591"/>
        <v>N/A</v>
      </c>
      <c r="AS86" s="1125" t="str">
        <f>IFERROR(__xludf.DUMMYFUNCTION("IF(
  OR(AR86=""NOT PUBLISHED"", AR86=""N/A""),
  AR86,
  IFERROR(MAX(FILTER(AL86:AR86, ISNUMBER(AL86:AR86))),"""")
)"),"N/A")</f>
        <v>N/A</v>
      </c>
      <c r="AT86" s="72" t="str">
        <f t="shared" si="592"/>
        <v>N/A</v>
      </c>
      <c r="AU86" s="1134" t="str">
        <f t="shared" si="593"/>
        <v>N/A</v>
      </c>
      <c r="AV86" s="1134" t="str">
        <f t="shared" si="594"/>
        <v>N/A</v>
      </c>
      <c r="AW86" s="1134" t="str">
        <f t="shared" si="595"/>
        <v>N/A</v>
      </c>
      <c r="AX86" s="1134" t="str">
        <f t="shared" si="596"/>
        <v>N/A</v>
      </c>
      <c r="AY86" s="1135" t="str">
        <f t="shared" si="597"/>
        <v>N/A</v>
      </c>
      <c r="AZ86" s="1127" t="str">
        <f t="shared" si="598"/>
        <v>N/A</v>
      </c>
      <c r="BA86" s="1135" t="str">
        <f t="shared" si="599"/>
        <v>N/A</v>
      </c>
      <c r="BB86" s="1127" t="str">
        <f t="shared" si="600"/>
        <v>N/A</v>
      </c>
      <c r="BC86" s="1128" t="str">
        <f>IFERROR(__xludf.DUMMYFUNCTION("IF(
  OR(BB86=""NOT PUBLISHED"", BB86=""N/A""),
  BB86,
  IFERROR(MAX(FILTER(AT86:BB86, ISNUMBER(AT86:BB86))),"""")
)"),"N/A")</f>
        <v>N/A</v>
      </c>
      <c r="BD86" s="1138"/>
      <c r="BE86" s="1138"/>
      <c r="BF86" s="1138"/>
    </row>
    <row r="87" ht="15.0" customHeight="1">
      <c r="A87" s="53">
        <v>84.0</v>
      </c>
      <c r="B87" s="312" t="s">
        <v>247</v>
      </c>
      <c r="C87" s="53">
        <v>84.0</v>
      </c>
      <c r="D87" s="314"/>
      <c r="E87" s="314"/>
      <c r="F87" s="314"/>
      <c r="G87" s="314"/>
      <c r="H87" s="316"/>
      <c r="I87" s="317"/>
      <c r="J87" s="947"/>
      <c r="K87" s="314"/>
      <c r="L87" s="314"/>
      <c r="M87" s="317"/>
      <c r="N87" s="1232"/>
      <c r="O87" s="1233"/>
      <c r="P87" s="1233"/>
      <c r="Q87" s="1234"/>
      <c r="R87" s="1235"/>
      <c r="S87" s="1235"/>
      <c r="T87" s="1235"/>
      <c r="U87" s="1235"/>
      <c r="V87" s="1235"/>
      <c r="W87" s="1236"/>
      <c r="X87" s="1236"/>
      <c r="Y87" s="1236"/>
      <c r="Z87" s="1237"/>
      <c r="AA87" s="1238"/>
      <c r="AB87" s="1238"/>
      <c r="AC87" s="1239"/>
      <c r="AD87" s="1240"/>
      <c r="AE87" s="1240"/>
      <c r="AF87" s="1240"/>
      <c r="AG87" s="1240"/>
      <c r="AH87" s="1241"/>
      <c r="AI87" s="1242"/>
      <c r="AJ87" s="1242"/>
      <c r="AK87" s="1242"/>
      <c r="AL87" s="1242"/>
      <c r="AM87" s="1240"/>
      <c r="AN87" s="1240"/>
      <c r="AO87" s="1240"/>
      <c r="AP87" s="1241"/>
      <c r="AQ87" s="1242"/>
      <c r="AR87" s="1242"/>
      <c r="AS87" s="1242"/>
      <c r="AT87" s="1242"/>
      <c r="AU87" s="1242"/>
      <c r="AV87" s="1242"/>
      <c r="AW87" s="1242"/>
      <c r="AX87" s="1242"/>
      <c r="AY87" s="1242"/>
      <c r="AZ87" s="1242"/>
      <c r="BA87" s="1242"/>
      <c r="BB87" s="1242"/>
      <c r="BC87" s="1242"/>
      <c r="BD87" s="1160"/>
      <c r="BE87" s="1160"/>
      <c r="BF87" s="1160"/>
    </row>
    <row r="88" ht="15.0" customHeight="1" outlineLevel="1">
      <c r="A88" s="53">
        <v>85.0</v>
      </c>
      <c r="B88" s="100" t="s">
        <v>249</v>
      </c>
      <c r="C88" s="53">
        <v>85.0</v>
      </c>
      <c r="D88" s="1130" t="s">
        <v>7</v>
      </c>
      <c r="E88" s="111" t="s">
        <v>250</v>
      </c>
      <c r="F88" s="115">
        <v>0.0</v>
      </c>
      <c r="G88" s="517" t="s">
        <v>105</v>
      </c>
      <c r="H88" s="535">
        <v>0.0</v>
      </c>
      <c r="I88" s="821" t="str">
        <f>IFERROR(VLOOKUP(B85:B275,'RELATÓRIO ACC'!B:F,5,FALSE),"NOT PUBLISHED")</f>
        <v>NOT PUBLISHED</v>
      </c>
      <c r="J88" s="1119" t="str">
        <f>IFERROR(VLOOKUP(B85:B275,'RELATÓRIO ACC'!B:P,15,FALSE),"NOT PUBLISHED")</f>
        <v>NOT PUBLISHED</v>
      </c>
      <c r="K88" s="552" t="str">
        <f>IF(OR($D88="UTLS",$D88="GUAR",$D88="STIR",$D88="PUMP",$D88="SITE"),
   VLOOKUP($B88,'LOD 300 - SITE'!C:K,9,FALSE),
   VLOOKUP($B88,'LOD 300 - ADMN'!C:K,9,FALSE)
)</f>
        <v>#REF!</v>
      </c>
      <c r="L88" s="552" t="str">
        <f>IF(OR($D88="UTLS",$D88="GUAR",$D88="STIR",$D88="PUMP",$D88="SITE"),
   VLOOKUP($B88,'LOD 300 - SITE'!C:L,10,FALSE),
   VLOOKUP($B88,'LOD 300 - ADMN'!C:Q,10,FALSE)
)</f>
        <v>#REF!</v>
      </c>
      <c r="M88" s="899"/>
      <c r="N88" s="1132" t="str">
        <f>IFERROR(VLOOKUP($B88,'LOD 300 - ADMN'!$B:P,14,FALSE),"N/A")</f>
        <v>N/A</v>
      </c>
      <c r="O88" s="1133" t="str">
        <f>IFERROR(VLOOKUP($B88,'LOD 300 - ADMN'!$B:S,17,FALSE),"N/A")</f>
        <v>N/A</v>
      </c>
      <c r="P88" s="1133" t="str">
        <f>IFERROR(VLOOKUP($B88,'LOD 300 - ADMN'!$B:V,20,FALSE),"N/A")</f>
        <v>N/A</v>
      </c>
      <c r="Q88" s="1133" t="str">
        <f>IFERROR(VLOOKUP($B88,'LOD 300 - ADMN'!$B:Y,23,FALSE),"N/A")</f>
        <v>N/A</v>
      </c>
      <c r="R88" s="1133" t="str">
        <f>IFERROR(VLOOKUP($B88,'LOD 300 - ADMN'!$B:AB,26,FALSE),"N/A")</f>
        <v>N/A</v>
      </c>
      <c r="S88" s="1133" t="str">
        <f>IFERROR(VLOOKUP($B88,'LOD 300 - ADMN'!$B:AE,29,FALSE),"N/A")</f>
        <v>N/A</v>
      </c>
      <c r="T88" s="1133" t="str">
        <f>IFERROR(VLOOKUP($B88,'LOD 300 - ADMN'!$B:AH,32,FALSE),"N/A")</f>
        <v>N/A</v>
      </c>
      <c r="U88" s="1133" t="str">
        <f>IFERROR(VLOOKUP($B88,'LOD 300 - ADMN'!$B:AK,35,FALSE),"N/A")</f>
        <v>N/A</v>
      </c>
      <c r="V88" s="1122" t="str">
        <f>IFERROR(VLOOKUP($B88,'LOD 300 - ADMN'!$B:AN,38,FALSE),"N/A")</f>
        <v>N/A</v>
      </c>
      <c r="W88" s="1124" t="str">
        <f>IFERROR(VLOOKUP($B88,'LOD 300 - ADMN'!$B:AQ,41,FALSE),"N/A")</f>
        <v>N/A</v>
      </c>
      <c r="X88" s="1124" t="str">
        <f>IFERROR(VLOOKUP($B88,'LOD 300 - ADMN'!$B:AT,44,FALSE),"N/A")</f>
        <v>N/A</v>
      </c>
      <c r="Y88" s="1136" t="str">
        <f>IFERROR(__xludf.DUMMYFUNCTION("IF(
  OR(W88=""NOT PUBLISHED"", W88=""N/A""),
  W88,
  IFERROR(MAX(FILTER(N88:W88, ISNUMBER(N88:W88))),"""")
)"),"N/A")</f>
        <v>N/A</v>
      </c>
      <c r="Z88" s="72" t="str">
        <f>IFERROR(VLOOKUP($B88,'LOD 300 - COLO1'!$B:P,14,FALSE),"N/A")</f>
        <v>N/A</v>
      </c>
      <c r="AA88" s="1134" t="str">
        <f>IFERROR(VLOOKUP($B88,'LOD 300 - COLO1'!$B:S,17,FALSE),"N/A")</f>
        <v>N/A</v>
      </c>
      <c r="AB88" s="1134" t="str">
        <f>IFERROR(VLOOKUP($B88,'LOD 300 - COLO1'!$B:V,20,FALSE),"N/A")</f>
        <v>N/A</v>
      </c>
      <c r="AC88" s="1134" t="str">
        <f>IFERROR(VLOOKUP($B88,'LOD 300 - COLO1'!$B:Y,23,FALSE),"N/A")</f>
        <v>N/A</v>
      </c>
      <c r="AD88" s="1134" t="str">
        <f>IFERROR(VLOOKUP($B88,'LOD 300 - COLO1'!$B:AB,26,FALSE),"N/A")</f>
        <v>N/A</v>
      </c>
      <c r="AE88" s="1134" t="str">
        <f>IFERROR(VLOOKUP($B88,'LOD 300 - COLO1'!$B:AE,29,FALSE),"N/A")</f>
        <v>N/A</v>
      </c>
      <c r="AF88" s="1134" t="str">
        <f>IFERROR(VLOOKUP($B88,'LOD 300 - COLO1'!$B:AH,32,FALSE),"N/A")</f>
        <v>N/A</v>
      </c>
      <c r="AG88" s="1134" t="str">
        <f>IFERROR(VLOOKUP($B88,'LOD 300 - COLO1'!$B:AK,35,FALSE),"N/A")</f>
        <v>N/A</v>
      </c>
      <c r="AH88" s="1122" t="str">
        <f>IFERROR(VLOOKUP($B88,'LOD 300 - COLO1'!$B:AN,38,FALSE),"N/A")</f>
        <v>N/A</v>
      </c>
      <c r="AI88" s="1124" t="str">
        <f>IFERROR(VLOOKUP($B88,'LOD 300 - COLO1'!$B:AQ,41,FALSE),"N/A")</f>
        <v>N/A</v>
      </c>
      <c r="AJ88" s="1124" t="str">
        <f>IFERROR(VLOOKUP($B88,'LOD 300 - COLO1'!$B:AT,44,FALSE),"N/A")</f>
        <v>N/A</v>
      </c>
      <c r="AK88" s="1136" t="str">
        <f>IFERROR(__xludf.DUMMYFUNCTION("IF(
  OR(AI88=""NOT PUBLISHED"", AI88=""N/A""),
  AI88,
  IFERROR(MAX(FILTER(Z88:AI88, ISNUMBER(Z88:AI88))),"""")
)"),"N/A")</f>
        <v>N/A</v>
      </c>
      <c r="AL88" s="72" t="str">
        <f>IFERROR(VLOOKUP($B88,'LOD 300 - COLO2'!$B:P,14,FALSE),"N/A")</f>
        <v>N/A</v>
      </c>
      <c r="AM88" s="1134" t="str">
        <f>IFERROR(VLOOKUP($B88,'LOD 300 - COLO2'!$B:S,17,FALSE),"N/A")</f>
        <v>N/A</v>
      </c>
      <c r="AN88" s="1134" t="str">
        <f>IFERROR(VLOOKUP($B88,'LOD 300 - COLO2'!$B:V,20,FALSE),"N/A")</f>
        <v>N/A</v>
      </c>
      <c r="AO88" s="1134" t="str">
        <f>IFERROR(VLOOKUP($B88,'LOD 300 - COLO2'!$B:Y,23,FALSE),"N/A")</f>
        <v>N/A</v>
      </c>
      <c r="AP88" s="1126" t="str">
        <f>IFERROR(VLOOKUP($B88,'LOD 300 - COLO2'!$B:AB,26,FALSE),"N/A")</f>
        <v>N/A</v>
      </c>
      <c r="AQ88" s="1124" t="str">
        <f>IFERROR(VLOOKUP($B88,'LOD 300 - COLO2'!$B:AE,29,FALSE),"N/A")</f>
        <v>N/A</v>
      </c>
      <c r="AR88" s="1124" t="str">
        <f>IFERROR(VLOOKUP($B88,'LOD 300 - COLO2'!$B:AH,32,FALSE),"N/A")</f>
        <v>N/A</v>
      </c>
      <c r="AS88" s="1136" t="str">
        <f>IFERROR(__xludf.DUMMYFUNCTION("IF(
  OR(AQ88=""NOT PUBLISHED"", AQ88=""N/A""),
  AQ88,
  IFERROR(MAX(FILTER(AL88:AQ88, ISNUMBER(AL88:AQ88))),"""")
)"),"N/A")</f>
        <v>N/A</v>
      </c>
      <c r="AT88" s="72" t="str">
        <f>IFERROR(VLOOKUP($B88,'LOD 300 - SITE'!$B:P,14,FALSE),"N/A")</f>
        <v>N/A</v>
      </c>
      <c r="AU88" s="1134" t="str">
        <f>IFERROR(VLOOKUP($B88,'LOD 300 - SITE'!$B:S,17,FALSE),"N/A")</f>
        <v>N/A</v>
      </c>
      <c r="AV88" s="1134" t="str">
        <f>IFERROR(VLOOKUP($B88,'LOD 300 - SITE'!$B:V,20,FALSE),"N/A")</f>
        <v>N/A</v>
      </c>
      <c r="AW88" s="1134" t="str">
        <f>IFERROR(VLOOKUP($B88,'LOD 300 - SITE'!$B:Y,23,FALSE),"N/A")</f>
        <v>N/A</v>
      </c>
      <c r="AX88" s="1134" t="str">
        <f>IFERROR(VLOOKUP($B88,'LOD 300 - SITE'!$B:AB,26,FALSE),"N/A")</f>
        <v>N/A</v>
      </c>
      <c r="AY88" s="1135" t="str">
        <f>IFERROR(VLOOKUP($B88,'LOD 300 - SITE'!$B:AE,29,FALSE),"N/A")</f>
        <v>N/A</v>
      </c>
      <c r="AZ88" s="1127" t="str">
        <f>IFERROR(VLOOKUP($B88,'LOD 300 - SITE'!$B:AH,32,FALSE),"N/A")</f>
        <v>N/A</v>
      </c>
      <c r="BA88" s="1135" t="str">
        <f>IFERROR(VLOOKUP($B88,'LOD 300 - SITE'!$B:AK,35,FALSE),"N/A")</f>
        <v>N/A</v>
      </c>
      <c r="BB88" s="1127" t="str">
        <f>IFERROR(VLOOKUP($B88,'LOD 300 - SITE'!$B:AN,38,FALSE),"N/A")</f>
        <v>N/A</v>
      </c>
      <c r="BC88" s="1137" t="str">
        <f>IFERROR(__xludf.DUMMYFUNCTION("IF(
  OR(BA88=""NOT PUBLISHED"", BA88=""N/A""),
  BA88,
  IFERROR(MAX(FILTER(AT88:BA88, ISNUMBER(AT88:BA88))),"""")
)"),"N/A")</f>
        <v>N/A</v>
      </c>
      <c r="BD88" s="545"/>
      <c r="BE88" s="545"/>
      <c r="BF88" s="545"/>
    </row>
    <row r="89" ht="15.0" customHeight="1">
      <c r="A89" s="53">
        <v>86.0</v>
      </c>
      <c r="B89" s="333" t="s">
        <v>251</v>
      </c>
      <c r="C89" s="53">
        <v>86.0</v>
      </c>
      <c r="D89" s="335"/>
      <c r="E89" s="335"/>
      <c r="F89" s="335"/>
      <c r="G89" s="335"/>
      <c r="H89" s="337"/>
      <c r="I89" s="338"/>
      <c r="J89" s="953"/>
      <c r="K89" s="335"/>
      <c r="L89" s="335"/>
      <c r="M89" s="338"/>
      <c r="N89" s="1243"/>
      <c r="O89" s="1244"/>
      <c r="P89" s="1244"/>
      <c r="Q89" s="1245"/>
      <c r="R89" s="1244"/>
      <c r="S89" s="1244"/>
      <c r="T89" s="1244"/>
      <c r="U89" s="1244"/>
      <c r="V89" s="1244"/>
      <c r="W89" s="1246"/>
      <c r="X89" s="1246"/>
      <c r="Y89" s="1247"/>
      <c r="Z89" s="1248"/>
      <c r="AA89" s="1249"/>
      <c r="AB89" s="1249"/>
      <c r="AC89" s="1250"/>
      <c r="AD89" s="1251"/>
      <c r="AE89" s="1251"/>
      <c r="AF89" s="1251"/>
      <c r="AG89" s="1251"/>
      <c r="AH89" s="1252"/>
      <c r="AI89" s="1253"/>
      <c r="AJ89" s="1253"/>
      <c r="AK89" s="1247"/>
      <c r="AL89" s="1253"/>
      <c r="AM89" s="1251"/>
      <c r="AN89" s="1251"/>
      <c r="AO89" s="1251"/>
      <c r="AP89" s="1252"/>
      <c r="AQ89" s="1253"/>
      <c r="AR89" s="1253"/>
      <c r="AS89" s="1253"/>
      <c r="AT89" s="1253"/>
      <c r="AU89" s="1253"/>
      <c r="AV89" s="1253"/>
      <c r="AW89" s="1253"/>
      <c r="AX89" s="1253"/>
      <c r="AY89" s="1253"/>
      <c r="AZ89" s="1253"/>
      <c r="BA89" s="1253"/>
      <c r="BB89" s="1253"/>
      <c r="BC89" s="1253"/>
      <c r="BD89" s="1160"/>
      <c r="BE89" s="1160"/>
      <c r="BF89" s="1160"/>
    </row>
    <row r="90" ht="15.0" customHeight="1" outlineLevel="1">
      <c r="A90" s="53">
        <v>87.0</v>
      </c>
      <c r="B90" s="100" t="s">
        <v>253</v>
      </c>
      <c r="C90" s="53">
        <v>87.0</v>
      </c>
      <c r="D90" s="1130" t="s">
        <v>7</v>
      </c>
      <c r="E90" s="101" t="s">
        <v>254</v>
      </c>
      <c r="F90" s="102">
        <v>1119.0</v>
      </c>
      <c r="G90" s="534" t="s">
        <v>121</v>
      </c>
      <c r="H90" s="535">
        <v>0.0</v>
      </c>
      <c r="I90" s="821" t="str">
        <f>IFERROR(VLOOKUP(B87:B277,'RELATÓRIO ACC'!B:F,5,FALSE),"NOT PUBLISHED")</f>
        <v>NOT PUBLISHED</v>
      </c>
      <c r="J90" s="1119" t="str">
        <f>IFERROR(VLOOKUP(B87:B277,'RELATÓRIO ACC'!B:P,15,FALSE),"NOT PUBLISHED")</f>
        <v>NOT PUBLISHED</v>
      </c>
      <c r="K90" s="552" t="str">
        <f t="shared" ref="K90:K94" si="601">IF(OR($D90="UTLS",$D90="GUAR",$D90="STIR",$D90="PUMP",$D90="SITE"),
   VLOOKUP($B90,'LOD 300 - SITE'!C:K,9,FALSE),
   VLOOKUP($B90,'LOD 300 - ADMN'!C:K,9,FALSE)
)</f>
        <v>#REF!</v>
      </c>
      <c r="L90" s="552" t="str">
        <f t="shared" ref="L90:L94" si="602">IF(OR($D90="UTLS",$D90="GUAR",$D90="STIR",$D90="PUMP",$D90="SITE"),
   VLOOKUP($B90,'LOD 300 - SITE'!C:L,10,FALSE),
   VLOOKUP($B90,'LOD 300 - ADMN'!C:Q,10,FALSE)
)</f>
        <v>#REF!</v>
      </c>
      <c r="M90" s="899"/>
      <c r="N90" s="1132" t="str">
        <f t="shared" ref="N90:N94" si="603">IFERROR(VLOOKUP($B90,'LOD 300 - ADMN'!$B:P,14,FALSE),"N/A")</f>
        <v>N/A</v>
      </c>
      <c r="O90" s="1133" t="str">
        <f t="shared" ref="O90:O94" si="604">IFERROR(VLOOKUP($B90,'LOD 300 - ADMN'!$B:S,17,FALSE),"N/A")</f>
        <v>N/A</v>
      </c>
      <c r="P90" s="1133" t="str">
        <f t="shared" ref="P90:P94" si="605">IFERROR(VLOOKUP($B90,'LOD 300 - ADMN'!$B:V,20,FALSE),"N/A")</f>
        <v>N/A</v>
      </c>
      <c r="Q90" s="1133" t="str">
        <f t="shared" ref="Q90:Q94" si="606">IFERROR(VLOOKUP($B90,'LOD 300 - ADMN'!$B:Y,23,FALSE),"N/A")</f>
        <v>N/A</v>
      </c>
      <c r="R90" s="1133" t="str">
        <f t="shared" ref="R90:R94" si="607">IFERROR(VLOOKUP($B90,'LOD 300 - ADMN'!$B:AB,26,FALSE),"N/A")</f>
        <v>N/A</v>
      </c>
      <c r="S90" s="1133" t="str">
        <f t="shared" ref="S90:S94" si="608">IFERROR(VLOOKUP($B90,'LOD 300 - ADMN'!$B:AE,29,FALSE),"N/A")</f>
        <v>N/A</v>
      </c>
      <c r="T90" s="1133" t="str">
        <f t="shared" ref="T90:T94" si="609">IFERROR(VLOOKUP($B90,'LOD 300 - ADMN'!$B:AH,32,FALSE),"N/A")</f>
        <v>N/A</v>
      </c>
      <c r="U90" s="1133" t="str">
        <f t="shared" ref="U90:U94" si="610">IFERROR(VLOOKUP($B90,'LOD 300 - ADMN'!$B:AK,35,FALSE),"N/A")</f>
        <v>N/A</v>
      </c>
      <c r="V90" s="1122" t="str">
        <f t="shared" ref="V90:V94" si="611">IFERROR(VLOOKUP($B90,'LOD 300 - ADMN'!$B:AN,38,FALSE),"N/A")</f>
        <v>N/A</v>
      </c>
      <c r="W90" s="1124" t="str">
        <f t="shared" ref="W90:W94" si="612">IFERROR(VLOOKUP($B90,'LOD 300 - ADMN'!$B:AQ,41,FALSE),"N/A")</f>
        <v>N/A</v>
      </c>
      <c r="X90" s="1124" t="str">
        <f t="shared" ref="X90:X94" si="613">IFERROR(VLOOKUP($B90,'LOD 300 - ADMN'!$B:AT,44,FALSE),"N/A")</f>
        <v>N/A</v>
      </c>
      <c r="Y90" s="1125" t="str">
        <f>IFERROR(__xludf.DUMMYFUNCTION("IF(
  OR(X90=""NOT PUBLISHED"", X90=""N/A""),
  X90,
  IFERROR(MAX(FILTER(N90:X90, ISNUMBER(N90:X90))),"""")
)"),"N/A")</f>
        <v>N/A</v>
      </c>
      <c r="Z90" s="72" t="str">
        <f t="shared" ref="Z90:Z94" si="614">IFERROR(VLOOKUP($B90,'LOD 300 - COLO1'!$B:P,14,FALSE),"N/A")</f>
        <v>N/A</v>
      </c>
      <c r="AA90" s="1134" t="str">
        <f t="shared" ref="AA90:AA94" si="615">IFERROR(VLOOKUP($B90,'LOD 300 - COLO1'!$B:S,17,FALSE),"N/A")</f>
        <v>N/A</v>
      </c>
      <c r="AB90" s="1134" t="str">
        <f t="shared" ref="AB90:AB94" si="616">IFERROR(VLOOKUP($B90,'LOD 300 - COLO1'!$B:V,20,FALSE),"N/A")</f>
        <v>N/A</v>
      </c>
      <c r="AC90" s="1134" t="str">
        <f t="shared" ref="AC90:AC94" si="617">IFERROR(VLOOKUP($B90,'LOD 300 - COLO1'!$B:Y,23,FALSE),"N/A")</f>
        <v>N/A</v>
      </c>
      <c r="AD90" s="1134" t="str">
        <f t="shared" ref="AD90:AD94" si="618">IFERROR(VLOOKUP($B90,'LOD 300 - COLO1'!$B:AB,26,FALSE),"N/A")</f>
        <v>N/A</v>
      </c>
      <c r="AE90" s="1134" t="str">
        <f t="shared" ref="AE90:AE94" si="619">IFERROR(VLOOKUP($B90,'LOD 300 - COLO1'!$B:AE,29,FALSE),"N/A")</f>
        <v>N/A</v>
      </c>
      <c r="AF90" s="1134" t="str">
        <f t="shared" ref="AF90:AF94" si="620">IFERROR(VLOOKUP($B90,'LOD 300 - COLO1'!$B:AH,32,FALSE),"N/A")</f>
        <v>N/A</v>
      </c>
      <c r="AG90" s="1134" t="str">
        <f t="shared" ref="AG90:AG94" si="621">IFERROR(VLOOKUP($B90,'LOD 300 - COLO1'!$B:AK,35,FALSE),"N/A")</f>
        <v>N/A</v>
      </c>
      <c r="AH90" s="1122" t="str">
        <f t="shared" ref="AH90:AH94" si="622">IFERROR(VLOOKUP($B90,'LOD 300 - COLO1'!$B:AN,38,FALSE),"N/A")</f>
        <v>N/A</v>
      </c>
      <c r="AI90" s="1124" t="str">
        <f t="shared" ref="AI90:AI94" si="623">IFERROR(VLOOKUP($B90,'LOD 300 - COLO1'!$B:AQ,41,FALSE),"N/A")</f>
        <v>N/A</v>
      </c>
      <c r="AJ90" s="1124" t="str">
        <f t="shared" ref="AJ90:AJ94" si="624">IFERROR(VLOOKUP($B90,'LOD 300 - COLO1'!$B:AT,44,FALSE),"N/A")</f>
        <v>N/A</v>
      </c>
      <c r="AK90" s="1125" t="str">
        <f>IFERROR(__xludf.DUMMYFUNCTION("IF(
  OR(AJ90=""NOT PUBLISHED"", AJ90=""N/A""),
  AJ90,
  IFERROR(MAX(FILTER(Z90:AJ90, ISNUMBER(Z90:AJ90))),"""")
)"),"N/A")</f>
        <v>N/A</v>
      </c>
      <c r="AL90" s="72" t="str">
        <f t="shared" ref="AL90:AL94" si="625">IFERROR(VLOOKUP($B90,'LOD 300 - COLO2'!$B:P,14,FALSE),"N/A")</f>
        <v>N/A</v>
      </c>
      <c r="AM90" s="1134" t="str">
        <f t="shared" ref="AM90:AM94" si="626">IFERROR(VLOOKUP($B90,'LOD 300 - COLO2'!$B:S,17,FALSE),"N/A")</f>
        <v>N/A</v>
      </c>
      <c r="AN90" s="1134" t="str">
        <f t="shared" ref="AN90:AN94" si="627">IFERROR(VLOOKUP($B90,'LOD 300 - COLO2'!$B:V,20,FALSE),"N/A")</f>
        <v>N/A</v>
      </c>
      <c r="AO90" s="1134" t="str">
        <f t="shared" ref="AO90:AO94" si="628">IFERROR(VLOOKUP($B90,'LOD 300 - COLO2'!$B:Y,23,FALSE),"N/A")</f>
        <v>N/A</v>
      </c>
      <c r="AP90" s="1126" t="str">
        <f t="shared" ref="AP90:AP94" si="629">IFERROR(VLOOKUP($B90,'LOD 300 - COLO2'!$B:AB,26,FALSE),"N/A")</f>
        <v>N/A</v>
      </c>
      <c r="AQ90" s="1124" t="str">
        <f t="shared" ref="AQ90:AQ94" si="630">IFERROR(VLOOKUP($B90,'LOD 300 - COLO2'!$B:AE,29,FALSE),"N/A")</f>
        <v>N/A</v>
      </c>
      <c r="AR90" s="1124" t="str">
        <f t="shared" ref="AR90:AR94" si="631">IFERROR(VLOOKUP($B90,'LOD 300 - COLO2'!$B:AH,32,FALSE),"N/A")</f>
        <v>N/A</v>
      </c>
      <c r="AS90" s="1125" t="str">
        <f>IFERROR(__xludf.DUMMYFUNCTION("IF(
  OR(AR90=""NOT PUBLISHED"", AR90=""N/A""),
  AR90,
  IFERROR(MAX(FILTER(AL90:AR90, ISNUMBER(AL90:AR90))),"""")
)"),"N/A")</f>
        <v>N/A</v>
      </c>
      <c r="AT90" s="72" t="str">
        <f t="shared" ref="AT90:AT94" si="632">IFERROR(VLOOKUP($B90,'LOD 300 - SITE'!$B:P,14,FALSE),"N/A")</f>
        <v>N/A</v>
      </c>
      <c r="AU90" s="1134" t="str">
        <f t="shared" ref="AU90:AU94" si="633">IFERROR(VLOOKUP($B90,'LOD 300 - SITE'!$B:S,17,FALSE),"N/A")</f>
        <v>N/A</v>
      </c>
      <c r="AV90" s="1134" t="str">
        <f t="shared" ref="AV90:AV94" si="634">IFERROR(VLOOKUP($B90,'LOD 300 - SITE'!$B:V,20,FALSE),"N/A")</f>
        <v>N/A</v>
      </c>
      <c r="AW90" s="1134" t="str">
        <f t="shared" ref="AW90:AW94" si="635">IFERROR(VLOOKUP($B90,'LOD 300 - SITE'!$B:Y,23,FALSE),"N/A")</f>
        <v>N/A</v>
      </c>
      <c r="AX90" s="1134" t="str">
        <f t="shared" ref="AX90:AX94" si="636">IFERROR(VLOOKUP($B90,'LOD 300 - SITE'!$B:AB,26,FALSE),"N/A")</f>
        <v>N/A</v>
      </c>
      <c r="AY90" s="1135" t="str">
        <f t="shared" ref="AY90:AY94" si="637">IFERROR(VLOOKUP($B90,'LOD 300 - SITE'!$B:AE,29,FALSE),"N/A")</f>
        <v>N/A</v>
      </c>
      <c r="AZ90" s="1127" t="str">
        <f t="shared" ref="AZ90:AZ94" si="638">IFERROR(VLOOKUP($B90,'LOD 300 - SITE'!$B:AH,32,FALSE),"N/A")</f>
        <v>N/A</v>
      </c>
      <c r="BA90" s="1135" t="str">
        <f t="shared" ref="BA90:BA94" si="639">IFERROR(VLOOKUP($B90,'LOD 300 - SITE'!$B:AK,35,FALSE),"N/A")</f>
        <v>N/A</v>
      </c>
      <c r="BB90" s="1127" t="str">
        <f t="shared" ref="BB90:BB94" si="640">IFERROR(VLOOKUP($B90,'LOD 300 - SITE'!$B:AN,38,FALSE),"N/A")</f>
        <v>N/A</v>
      </c>
      <c r="BC90" s="1128" t="str">
        <f>IFERROR(__xludf.DUMMYFUNCTION("IF(
  OR(BB90=""NOT PUBLISHED"", BB90=""N/A""),
  BB90,
  IFERROR(MAX(FILTER(AT90:BB90, ISNUMBER(AT90:BB90))),"""")
)"),"N/A")</f>
        <v>N/A</v>
      </c>
      <c r="BD90" s="545"/>
      <c r="BE90" s="545"/>
      <c r="BF90" s="545"/>
    </row>
    <row r="91" ht="15.0" customHeight="1" outlineLevel="1">
      <c r="A91" s="53">
        <v>88.0</v>
      </c>
      <c r="B91" s="100" t="s">
        <v>256</v>
      </c>
      <c r="C91" s="53">
        <v>88.0</v>
      </c>
      <c r="D91" s="1130" t="s">
        <v>7</v>
      </c>
      <c r="E91" s="101" t="s">
        <v>254</v>
      </c>
      <c r="F91" s="102">
        <v>1119.0</v>
      </c>
      <c r="G91" s="534" t="s">
        <v>121</v>
      </c>
      <c r="H91" s="535">
        <v>0.0</v>
      </c>
      <c r="I91" s="821" t="str">
        <f>IFERROR(VLOOKUP(B88:B278,'RELATÓRIO ACC'!B:F,5,FALSE),"NOT PUBLISHED")</f>
        <v>NOT PUBLISHED</v>
      </c>
      <c r="J91" s="1119" t="str">
        <f>IFERROR(VLOOKUP(B88:B278,'RELATÓRIO ACC'!B:P,15,FALSE),"NOT PUBLISHED")</f>
        <v>NOT PUBLISHED</v>
      </c>
      <c r="K91" s="552" t="str">
        <f t="shared" si="601"/>
        <v>#REF!</v>
      </c>
      <c r="L91" s="552" t="str">
        <f t="shared" si="602"/>
        <v>#REF!</v>
      </c>
      <c r="M91" s="899"/>
      <c r="N91" s="1132" t="str">
        <f t="shared" si="603"/>
        <v>N/A</v>
      </c>
      <c r="O91" s="1133" t="str">
        <f t="shared" si="604"/>
        <v>N/A</v>
      </c>
      <c r="P91" s="1133" t="str">
        <f t="shared" si="605"/>
        <v>N/A</v>
      </c>
      <c r="Q91" s="1133" t="str">
        <f t="shared" si="606"/>
        <v>N/A</v>
      </c>
      <c r="R91" s="1133" t="str">
        <f t="shared" si="607"/>
        <v>N/A</v>
      </c>
      <c r="S91" s="1133" t="str">
        <f t="shared" si="608"/>
        <v>N/A</v>
      </c>
      <c r="T91" s="1133" t="str">
        <f t="shared" si="609"/>
        <v>N/A</v>
      </c>
      <c r="U91" s="1133" t="str">
        <f t="shared" si="610"/>
        <v>N/A</v>
      </c>
      <c r="V91" s="1122" t="str">
        <f t="shared" si="611"/>
        <v>N/A</v>
      </c>
      <c r="W91" s="1124" t="str">
        <f t="shared" si="612"/>
        <v>N/A</v>
      </c>
      <c r="X91" s="1124" t="str">
        <f t="shared" si="613"/>
        <v>N/A</v>
      </c>
      <c r="Y91" s="1125" t="str">
        <f>IFERROR(__xludf.DUMMYFUNCTION("IF(
  OR(X91=""NOT PUBLISHED"", X91=""N/A""),
  X91,
  IFERROR(MAX(FILTER(N91:X91, ISNUMBER(N91:X91))),"""")
)"),"N/A")</f>
        <v>N/A</v>
      </c>
      <c r="Z91" s="72" t="str">
        <f t="shared" si="614"/>
        <v>N/A</v>
      </c>
      <c r="AA91" s="1134" t="str">
        <f t="shared" si="615"/>
        <v>N/A</v>
      </c>
      <c r="AB91" s="1134" t="str">
        <f t="shared" si="616"/>
        <v>N/A</v>
      </c>
      <c r="AC91" s="1134" t="str">
        <f t="shared" si="617"/>
        <v>N/A</v>
      </c>
      <c r="AD91" s="1134" t="str">
        <f t="shared" si="618"/>
        <v>N/A</v>
      </c>
      <c r="AE91" s="1134" t="str">
        <f t="shared" si="619"/>
        <v>N/A</v>
      </c>
      <c r="AF91" s="1134" t="str">
        <f t="shared" si="620"/>
        <v>N/A</v>
      </c>
      <c r="AG91" s="1134" t="str">
        <f t="shared" si="621"/>
        <v>N/A</v>
      </c>
      <c r="AH91" s="1122" t="str">
        <f t="shared" si="622"/>
        <v>N/A</v>
      </c>
      <c r="AI91" s="1124" t="str">
        <f t="shared" si="623"/>
        <v>N/A</v>
      </c>
      <c r="AJ91" s="1124" t="str">
        <f t="shared" si="624"/>
        <v>N/A</v>
      </c>
      <c r="AK91" s="1125" t="str">
        <f>IFERROR(__xludf.DUMMYFUNCTION("IF(
  OR(AJ91=""NOT PUBLISHED"", AJ91=""N/A""),
  AJ91,
  IFERROR(MAX(FILTER(Z91:AJ91, ISNUMBER(Z91:AJ91))),"""")
)"),"N/A")</f>
        <v>N/A</v>
      </c>
      <c r="AL91" s="72" t="str">
        <f t="shared" si="625"/>
        <v>N/A</v>
      </c>
      <c r="AM91" s="1134" t="str">
        <f t="shared" si="626"/>
        <v>N/A</v>
      </c>
      <c r="AN91" s="1134" t="str">
        <f t="shared" si="627"/>
        <v>N/A</v>
      </c>
      <c r="AO91" s="1134" t="str">
        <f t="shared" si="628"/>
        <v>N/A</v>
      </c>
      <c r="AP91" s="1126" t="str">
        <f t="shared" si="629"/>
        <v>N/A</v>
      </c>
      <c r="AQ91" s="1124" t="str">
        <f t="shared" si="630"/>
        <v>N/A</v>
      </c>
      <c r="AR91" s="1124" t="str">
        <f t="shared" si="631"/>
        <v>N/A</v>
      </c>
      <c r="AS91" s="1125" t="str">
        <f>IFERROR(__xludf.DUMMYFUNCTION("IF(
  OR(AR91=""NOT PUBLISHED"", AR91=""N/A""),
  AR91,
  IFERROR(MAX(FILTER(AL91:AR91, ISNUMBER(AL91:AR91))),"""")
)"),"N/A")</f>
        <v>N/A</v>
      </c>
      <c r="AT91" s="72" t="str">
        <f t="shared" si="632"/>
        <v>N/A</v>
      </c>
      <c r="AU91" s="1134" t="str">
        <f t="shared" si="633"/>
        <v>N/A</v>
      </c>
      <c r="AV91" s="1134" t="str">
        <f t="shared" si="634"/>
        <v>N/A</v>
      </c>
      <c r="AW91" s="1134" t="str">
        <f t="shared" si="635"/>
        <v>N/A</v>
      </c>
      <c r="AX91" s="1134" t="str">
        <f t="shared" si="636"/>
        <v>N/A</v>
      </c>
      <c r="AY91" s="1135" t="str">
        <f t="shared" si="637"/>
        <v>N/A</v>
      </c>
      <c r="AZ91" s="1127" t="str">
        <f t="shared" si="638"/>
        <v>N/A</v>
      </c>
      <c r="BA91" s="1135" t="str">
        <f t="shared" si="639"/>
        <v>N/A</v>
      </c>
      <c r="BB91" s="1127" t="str">
        <f t="shared" si="640"/>
        <v>N/A</v>
      </c>
      <c r="BC91" s="1128" t="str">
        <f>IFERROR(__xludf.DUMMYFUNCTION("IF(
  OR(BB91=""NOT PUBLISHED"", BB91=""N/A""),
  BB91,
  IFERROR(MAX(FILTER(AT91:BB91, ISNUMBER(AT91:BB91))),"""")
)"),"N/A")</f>
        <v>N/A</v>
      </c>
      <c r="BD91" s="1138"/>
      <c r="BE91" s="1138"/>
      <c r="BF91" s="1138"/>
    </row>
    <row r="92" ht="15.0" customHeight="1" outlineLevel="1">
      <c r="A92" s="53">
        <v>89.0</v>
      </c>
      <c r="B92" s="100" t="s">
        <v>259</v>
      </c>
      <c r="C92" s="53">
        <v>89.0</v>
      </c>
      <c r="D92" s="1130" t="s">
        <v>7</v>
      </c>
      <c r="E92" s="101" t="s">
        <v>254</v>
      </c>
      <c r="F92" s="102">
        <v>1119.0</v>
      </c>
      <c r="G92" s="534" t="s">
        <v>121</v>
      </c>
      <c r="H92" s="535">
        <v>0.0</v>
      </c>
      <c r="I92" s="821" t="str">
        <f>IFERROR(VLOOKUP(B89:B279,'RELATÓRIO ACC'!B:F,5,FALSE),"NOT PUBLISHED")</f>
        <v>NOT PUBLISHED</v>
      </c>
      <c r="J92" s="1119" t="str">
        <f>IFERROR(VLOOKUP(B89:B279,'RELATÓRIO ACC'!B:P,15,FALSE),"NOT PUBLISHED")</f>
        <v>NOT PUBLISHED</v>
      </c>
      <c r="K92" s="552" t="str">
        <f t="shared" si="601"/>
        <v>#REF!</v>
      </c>
      <c r="L92" s="552" t="str">
        <f t="shared" si="602"/>
        <v>#REF!</v>
      </c>
      <c r="M92" s="899"/>
      <c r="N92" s="1132" t="str">
        <f t="shared" si="603"/>
        <v>N/A</v>
      </c>
      <c r="O92" s="1133" t="str">
        <f t="shared" si="604"/>
        <v>N/A</v>
      </c>
      <c r="P92" s="1133" t="str">
        <f t="shared" si="605"/>
        <v>N/A</v>
      </c>
      <c r="Q92" s="1133" t="str">
        <f t="shared" si="606"/>
        <v>N/A</v>
      </c>
      <c r="R92" s="1133" t="str">
        <f t="shared" si="607"/>
        <v>N/A</v>
      </c>
      <c r="S92" s="1133" t="str">
        <f t="shared" si="608"/>
        <v>N/A</v>
      </c>
      <c r="T92" s="1133" t="str">
        <f t="shared" si="609"/>
        <v>N/A</v>
      </c>
      <c r="U92" s="1254" t="str">
        <f t="shared" si="610"/>
        <v>N/A</v>
      </c>
      <c r="V92" s="1122" t="str">
        <f t="shared" si="611"/>
        <v>N/A</v>
      </c>
      <c r="W92" s="1124" t="str">
        <f t="shared" si="612"/>
        <v>N/A</v>
      </c>
      <c r="X92" s="1124" t="str">
        <f t="shared" si="613"/>
        <v>N/A</v>
      </c>
      <c r="Y92" s="1125" t="str">
        <f>IFERROR(__xludf.DUMMYFUNCTION("IF(
  OR(X92=""NOT PUBLISHED"", X92=""N/A""),
  X92,
  IFERROR(MAX(FILTER(N92:X92, ISNUMBER(N92:X92))),"""")
)"),"N/A")</f>
        <v>N/A</v>
      </c>
      <c r="Z92" s="72" t="str">
        <f t="shared" si="614"/>
        <v>N/A</v>
      </c>
      <c r="AA92" s="1134" t="str">
        <f t="shared" si="615"/>
        <v>N/A</v>
      </c>
      <c r="AB92" s="1134" t="str">
        <f t="shared" si="616"/>
        <v>N/A</v>
      </c>
      <c r="AC92" s="1134" t="str">
        <f t="shared" si="617"/>
        <v>N/A</v>
      </c>
      <c r="AD92" s="1134" t="str">
        <f t="shared" si="618"/>
        <v>N/A</v>
      </c>
      <c r="AE92" s="1134" t="str">
        <f t="shared" si="619"/>
        <v>N/A</v>
      </c>
      <c r="AF92" s="1134" t="str">
        <f t="shared" si="620"/>
        <v>N/A</v>
      </c>
      <c r="AG92" s="1255" t="str">
        <f t="shared" si="621"/>
        <v>N/A</v>
      </c>
      <c r="AH92" s="1122" t="str">
        <f t="shared" si="622"/>
        <v>N/A</v>
      </c>
      <c r="AI92" s="1124" t="str">
        <f t="shared" si="623"/>
        <v>N/A</v>
      </c>
      <c r="AJ92" s="1124" t="str">
        <f t="shared" si="624"/>
        <v>N/A</v>
      </c>
      <c r="AK92" s="1125" t="str">
        <f>IFERROR(__xludf.DUMMYFUNCTION("IF(
  OR(AJ92=""NOT PUBLISHED"", AJ92=""N/A""),
  AJ92,
  IFERROR(MAX(FILTER(Z92:AJ92, ISNUMBER(Z92:AJ92))),"""")
)"),"N/A")</f>
        <v>N/A</v>
      </c>
      <c r="AL92" s="72" t="str">
        <f t="shared" si="625"/>
        <v>N/A</v>
      </c>
      <c r="AM92" s="1134" t="str">
        <f t="shared" si="626"/>
        <v>N/A</v>
      </c>
      <c r="AN92" s="1134" t="str">
        <f t="shared" si="627"/>
        <v>N/A</v>
      </c>
      <c r="AO92" s="1255" t="str">
        <f t="shared" si="628"/>
        <v>N/A</v>
      </c>
      <c r="AP92" s="1126" t="str">
        <f t="shared" si="629"/>
        <v>N/A</v>
      </c>
      <c r="AQ92" s="1124" t="str">
        <f t="shared" si="630"/>
        <v>N/A</v>
      </c>
      <c r="AR92" s="1124" t="str">
        <f t="shared" si="631"/>
        <v>N/A</v>
      </c>
      <c r="AS92" s="1125" t="str">
        <f>IFERROR(__xludf.DUMMYFUNCTION("IF(
  OR(AR92=""NOT PUBLISHED"", AR92=""N/A""),
  AR92,
  IFERROR(MAX(FILTER(AL92:AR92, ISNUMBER(AL92:AR92))),"""")
)"),"N/A")</f>
        <v>N/A</v>
      </c>
      <c r="AT92" s="72" t="str">
        <f t="shared" si="632"/>
        <v>N/A</v>
      </c>
      <c r="AU92" s="1134" t="str">
        <f t="shared" si="633"/>
        <v>N/A</v>
      </c>
      <c r="AV92" s="1134" t="str">
        <f t="shared" si="634"/>
        <v>N/A</v>
      </c>
      <c r="AW92" s="1134" t="str">
        <f t="shared" si="635"/>
        <v>N/A</v>
      </c>
      <c r="AX92" s="1134" t="str">
        <f t="shared" si="636"/>
        <v>N/A</v>
      </c>
      <c r="AY92" s="1135" t="str">
        <f t="shared" si="637"/>
        <v>N/A</v>
      </c>
      <c r="AZ92" s="1127" t="str">
        <f t="shared" si="638"/>
        <v>N/A</v>
      </c>
      <c r="BA92" s="1135" t="str">
        <f t="shared" si="639"/>
        <v>N/A</v>
      </c>
      <c r="BB92" s="1127" t="str">
        <f t="shared" si="640"/>
        <v>N/A</v>
      </c>
      <c r="BC92" s="1128" t="str">
        <f>IFERROR(__xludf.DUMMYFUNCTION("IF(
  OR(BB92=""NOT PUBLISHED"", BB92=""N/A""),
  BB92,
  IFERROR(MAX(FILTER(AT92:BB92, ISNUMBER(AT92:BB92))),"""")
)"),"N/A")</f>
        <v>N/A</v>
      </c>
      <c r="BD92" s="545"/>
      <c r="BE92" s="545"/>
      <c r="BF92" s="545"/>
    </row>
    <row r="93" ht="15.0" customHeight="1" outlineLevel="1">
      <c r="A93" s="53">
        <v>90.0</v>
      </c>
      <c r="B93" s="100" t="s">
        <v>261</v>
      </c>
      <c r="C93" s="53">
        <v>90.0</v>
      </c>
      <c r="D93" s="1130" t="s">
        <v>7</v>
      </c>
      <c r="E93" s="101" t="s">
        <v>105</v>
      </c>
      <c r="F93" s="115">
        <v>0.0</v>
      </c>
      <c r="G93" s="517" t="s">
        <v>105</v>
      </c>
      <c r="H93" s="535">
        <v>0.0</v>
      </c>
      <c r="I93" s="821" t="str">
        <f>IFERROR(VLOOKUP(B90:B280,'RELATÓRIO ACC'!B:F,5,FALSE),"NOT PUBLISHED")</f>
        <v>NOT PUBLISHED</v>
      </c>
      <c r="J93" s="1119" t="str">
        <f>IFERROR(VLOOKUP(B90:B280,'RELATÓRIO ACC'!B:P,15,FALSE),"NOT PUBLISHED")</f>
        <v>NOT PUBLISHED</v>
      </c>
      <c r="K93" s="552" t="str">
        <f t="shared" si="601"/>
        <v>#REF!</v>
      </c>
      <c r="L93" s="552" t="str">
        <f t="shared" si="602"/>
        <v>#REF!</v>
      </c>
      <c r="M93" s="899"/>
      <c r="N93" s="1132" t="str">
        <f t="shared" si="603"/>
        <v>N/A</v>
      </c>
      <c r="O93" s="1133" t="str">
        <f t="shared" si="604"/>
        <v>N/A</v>
      </c>
      <c r="P93" s="1133" t="str">
        <f t="shared" si="605"/>
        <v>N/A</v>
      </c>
      <c r="Q93" s="1133" t="str">
        <f t="shared" si="606"/>
        <v>N/A</v>
      </c>
      <c r="R93" s="1133" t="str">
        <f t="shared" si="607"/>
        <v>N/A</v>
      </c>
      <c r="S93" s="1133" t="str">
        <f t="shared" si="608"/>
        <v>N/A</v>
      </c>
      <c r="T93" s="1133" t="str">
        <f t="shared" si="609"/>
        <v>N/A</v>
      </c>
      <c r="U93" s="1133" t="str">
        <f t="shared" si="610"/>
        <v>N/A</v>
      </c>
      <c r="V93" s="1122" t="str">
        <f t="shared" si="611"/>
        <v>N/A</v>
      </c>
      <c r="W93" s="1124" t="str">
        <f t="shared" si="612"/>
        <v>N/A</v>
      </c>
      <c r="X93" s="1124" t="str">
        <f t="shared" si="613"/>
        <v>N/A</v>
      </c>
      <c r="Y93" s="1136" t="str">
        <f>IFERROR(__xludf.DUMMYFUNCTION("IF(
  OR(W93=""NOT PUBLISHED"", W93=""N/A""),
  W93,
  IFERROR(MAX(FILTER(N93:W93, ISNUMBER(N93:W93))),"""")
)"),"N/A")</f>
        <v>N/A</v>
      </c>
      <c r="Z93" s="72" t="str">
        <f t="shared" si="614"/>
        <v>N/A</v>
      </c>
      <c r="AA93" s="1134" t="str">
        <f t="shared" si="615"/>
        <v>N/A</v>
      </c>
      <c r="AB93" s="1134" t="str">
        <f t="shared" si="616"/>
        <v>N/A</v>
      </c>
      <c r="AC93" s="1134" t="str">
        <f t="shared" si="617"/>
        <v>N/A</v>
      </c>
      <c r="AD93" s="1134" t="str">
        <f t="shared" si="618"/>
        <v>N/A</v>
      </c>
      <c r="AE93" s="1134" t="str">
        <f t="shared" si="619"/>
        <v>N/A</v>
      </c>
      <c r="AF93" s="1134" t="str">
        <f t="shared" si="620"/>
        <v>N/A</v>
      </c>
      <c r="AG93" s="1134" t="str">
        <f t="shared" si="621"/>
        <v>N/A</v>
      </c>
      <c r="AH93" s="1122" t="str">
        <f t="shared" si="622"/>
        <v>N/A</v>
      </c>
      <c r="AI93" s="1124" t="str">
        <f t="shared" si="623"/>
        <v>N/A</v>
      </c>
      <c r="AJ93" s="1124" t="str">
        <f t="shared" si="624"/>
        <v>N/A</v>
      </c>
      <c r="AK93" s="1136" t="str">
        <f>IFERROR(__xludf.DUMMYFUNCTION("IF(
  OR(AI93=""NOT PUBLISHED"", AI93=""N/A""),
  AI93,
  IFERROR(MAX(FILTER(Z93:AI93, ISNUMBER(Z93:AI93))),"""")
)"),"N/A")</f>
        <v>N/A</v>
      </c>
      <c r="AL93" s="72" t="str">
        <f t="shared" si="625"/>
        <v>N/A</v>
      </c>
      <c r="AM93" s="1134" t="str">
        <f t="shared" si="626"/>
        <v>N/A</v>
      </c>
      <c r="AN93" s="1134" t="str">
        <f t="shared" si="627"/>
        <v>N/A</v>
      </c>
      <c r="AO93" s="1134" t="str">
        <f t="shared" si="628"/>
        <v>N/A</v>
      </c>
      <c r="AP93" s="1126" t="str">
        <f t="shared" si="629"/>
        <v>N/A</v>
      </c>
      <c r="AQ93" s="1124" t="str">
        <f t="shared" si="630"/>
        <v>N/A</v>
      </c>
      <c r="AR93" s="1124" t="str">
        <f t="shared" si="631"/>
        <v>N/A</v>
      </c>
      <c r="AS93" s="1136" t="str">
        <f>IFERROR(__xludf.DUMMYFUNCTION("IF(
  OR(AQ93=""NOT PUBLISHED"", AQ93=""N/A""),
  AQ93,
  IFERROR(MAX(FILTER(AL93:AQ93, ISNUMBER(AL93:AQ93))),"""")
)"),"N/A")</f>
        <v>N/A</v>
      </c>
      <c r="AT93" s="72" t="str">
        <f t="shared" si="632"/>
        <v>N/A</v>
      </c>
      <c r="AU93" s="1134" t="str">
        <f t="shared" si="633"/>
        <v>N/A</v>
      </c>
      <c r="AV93" s="1134" t="str">
        <f t="shared" si="634"/>
        <v>N/A</v>
      </c>
      <c r="AW93" s="1134" t="str">
        <f t="shared" si="635"/>
        <v>N/A</v>
      </c>
      <c r="AX93" s="1134" t="str">
        <f t="shared" si="636"/>
        <v>N/A</v>
      </c>
      <c r="AY93" s="1135" t="str">
        <f t="shared" si="637"/>
        <v>N/A</v>
      </c>
      <c r="AZ93" s="1127" t="str">
        <f t="shared" si="638"/>
        <v>N/A</v>
      </c>
      <c r="BA93" s="1135" t="str">
        <f t="shared" si="639"/>
        <v>N/A</v>
      </c>
      <c r="BB93" s="1127" t="str">
        <f t="shared" si="640"/>
        <v>N/A</v>
      </c>
      <c r="BC93" s="1137" t="str">
        <f>IFERROR(__xludf.DUMMYFUNCTION("IF(
  OR(BA93=""NOT PUBLISHED"", BA93=""N/A""),
  BA93,
  IFERROR(MAX(FILTER(AT93:BA93, ISNUMBER(AT93:BA93))),"""")
)"),"N/A")</f>
        <v>N/A</v>
      </c>
      <c r="BD93" s="545"/>
      <c r="BE93" s="545"/>
      <c r="BF93" s="545"/>
    </row>
    <row r="94" ht="15.0" customHeight="1" outlineLevel="1">
      <c r="A94" s="53">
        <v>91.0</v>
      </c>
      <c r="B94" s="100" t="s">
        <v>263</v>
      </c>
      <c r="C94" s="53">
        <v>91.0</v>
      </c>
      <c r="D94" s="1130" t="s">
        <v>7</v>
      </c>
      <c r="E94" s="111" t="s">
        <v>264</v>
      </c>
      <c r="F94" s="115">
        <v>0.0</v>
      </c>
      <c r="G94" s="534" t="s">
        <v>265</v>
      </c>
      <c r="H94" s="535">
        <v>0.0</v>
      </c>
      <c r="I94" s="821" t="str">
        <f>IFERROR(VLOOKUP(B91:B281,'RELATÓRIO ACC'!B:F,5,FALSE),"NOT PUBLISHED")</f>
        <v>NOT PUBLISHED</v>
      </c>
      <c r="J94" s="1119" t="str">
        <f>IFERROR(VLOOKUP(B91:B281,'RELATÓRIO ACC'!B:P,15,FALSE),"NOT PUBLISHED")</f>
        <v>NOT PUBLISHED</v>
      </c>
      <c r="K94" s="552" t="str">
        <f t="shared" si="601"/>
        <v>#REF!</v>
      </c>
      <c r="L94" s="552" t="str">
        <f t="shared" si="602"/>
        <v>#REF!</v>
      </c>
      <c r="M94" s="899" t="s">
        <v>461</v>
      </c>
      <c r="N94" s="1132" t="str">
        <f t="shared" si="603"/>
        <v>N/A</v>
      </c>
      <c r="O94" s="1133" t="str">
        <f t="shared" si="604"/>
        <v>N/A</v>
      </c>
      <c r="P94" s="1133" t="str">
        <f t="shared" si="605"/>
        <v>N/A</v>
      </c>
      <c r="Q94" s="1133" t="str">
        <f t="shared" si="606"/>
        <v>N/A</v>
      </c>
      <c r="R94" s="1133" t="str">
        <f t="shared" si="607"/>
        <v>N/A</v>
      </c>
      <c r="S94" s="1133" t="str">
        <f t="shared" si="608"/>
        <v>N/A</v>
      </c>
      <c r="T94" s="1133" t="str">
        <f t="shared" si="609"/>
        <v>N/A</v>
      </c>
      <c r="U94" s="1133" t="str">
        <f t="shared" si="610"/>
        <v>N/A</v>
      </c>
      <c r="V94" s="1122" t="str">
        <f t="shared" si="611"/>
        <v>N/A</v>
      </c>
      <c r="W94" s="1124" t="str">
        <f t="shared" si="612"/>
        <v>N/A</v>
      </c>
      <c r="X94" s="1124" t="str">
        <f t="shared" si="613"/>
        <v>N/A</v>
      </c>
      <c r="Y94" s="1125" t="str">
        <f>IFERROR(__xludf.DUMMYFUNCTION("IF(
  OR(X94=""NOT PUBLISHED"", X94=""N/A""),
  X94,
  IFERROR(MAX(FILTER(N94:X94, ISNUMBER(N94:X94))),"""")
)"),"N/A")</f>
        <v>N/A</v>
      </c>
      <c r="Z94" s="72" t="str">
        <f t="shared" si="614"/>
        <v>N/A</v>
      </c>
      <c r="AA94" s="1134" t="str">
        <f t="shared" si="615"/>
        <v>N/A</v>
      </c>
      <c r="AB94" s="1134" t="str">
        <f t="shared" si="616"/>
        <v>N/A</v>
      </c>
      <c r="AC94" s="1134" t="str">
        <f t="shared" si="617"/>
        <v>N/A</v>
      </c>
      <c r="AD94" s="1134" t="str">
        <f t="shared" si="618"/>
        <v>N/A</v>
      </c>
      <c r="AE94" s="1134" t="str">
        <f t="shared" si="619"/>
        <v>N/A</v>
      </c>
      <c r="AF94" s="1134" t="str">
        <f t="shared" si="620"/>
        <v>N/A</v>
      </c>
      <c r="AG94" s="1134" t="str">
        <f t="shared" si="621"/>
        <v>N/A</v>
      </c>
      <c r="AH94" s="1122" t="str">
        <f t="shared" si="622"/>
        <v>N/A</v>
      </c>
      <c r="AI94" s="1124" t="str">
        <f t="shared" si="623"/>
        <v>N/A</v>
      </c>
      <c r="AJ94" s="1124" t="str">
        <f t="shared" si="624"/>
        <v>N/A</v>
      </c>
      <c r="AK94" s="1125" t="str">
        <f>IFERROR(__xludf.DUMMYFUNCTION("IF(
  OR(AJ94=""NOT PUBLISHED"", AJ94=""N/A""),
  AJ94,
  IFERROR(MAX(FILTER(Z94:AJ94, ISNUMBER(Z94:AJ94))),"""")
)"),"N/A")</f>
        <v>N/A</v>
      </c>
      <c r="AL94" s="72" t="str">
        <f t="shared" si="625"/>
        <v>N/A</v>
      </c>
      <c r="AM94" s="1134" t="str">
        <f t="shared" si="626"/>
        <v>N/A</v>
      </c>
      <c r="AN94" s="1134" t="str">
        <f t="shared" si="627"/>
        <v>N/A</v>
      </c>
      <c r="AO94" s="1134" t="str">
        <f t="shared" si="628"/>
        <v>N/A</v>
      </c>
      <c r="AP94" s="1126" t="str">
        <f t="shared" si="629"/>
        <v>N/A</v>
      </c>
      <c r="AQ94" s="1124" t="str">
        <f t="shared" si="630"/>
        <v>N/A</v>
      </c>
      <c r="AR94" s="1124" t="str">
        <f t="shared" si="631"/>
        <v>N/A</v>
      </c>
      <c r="AS94" s="1125" t="str">
        <f>IFERROR(__xludf.DUMMYFUNCTION("IF(
  OR(AR94=""NOT PUBLISHED"", AR94=""N/A""),
  AR94,
  IFERROR(MAX(FILTER(AL94:AR94, ISNUMBER(AL94:AR94))),"""")
)"),"N/A")</f>
        <v>N/A</v>
      </c>
      <c r="AT94" s="72" t="str">
        <f t="shared" si="632"/>
        <v>N/A</v>
      </c>
      <c r="AU94" s="1134" t="str">
        <f t="shared" si="633"/>
        <v>N/A</v>
      </c>
      <c r="AV94" s="1134" t="str">
        <f t="shared" si="634"/>
        <v>N/A</v>
      </c>
      <c r="AW94" s="1134" t="str">
        <f t="shared" si="635"/>
        <v>N/A</v>
      </c>
      <c r="AX94" s="1134" t="str">
        <f t="shared" si="636"/>
        <v>N/A</v>
      </c>
      <c r="AY94" s="1135" t="str">
        <f t="shared" si="637"/>
        <v>N/A</v>
      </c>
      <c r="AZ94" s="1127" t="str">
        <f t="shared" si="638"/>
        <v>N/A</v>
      </c>
      <c r="BA94" s="1135" t="str">
        <f t="shared" si="639"/>
        <v>N/A</v>
      </c>
      <c r="BB94" s="1127" t="str">
        <f t="shared" si="640"/>
        <v>N/A</v>
      </c>
      <c r="BC94" s="1128" t="str">
        <f>IFERROR(__xludf.DUMMYFUNCTION("IF(
  OR(BB94=""NOT PUBLISHED"", BB94=""N/A""),
  BB94,
  IFERROR(MAX(FILTER(AT94:BB94, ISNUMBER(AT94:BB94))),"""")
)"),"N/A")</f>
        <v>N/A</v>
      </c>
      <c r="BD94" s="1256"/>
      <c r="BE94" s="1256"/>
      <c r="BF94" s="1256"/>
    </row>
    <row r="95" ht="15.0" customHeight="1">
      <c r="A95" s="53">
        <v>92.0</v>
      </c>
      <c r="B95" s="354" t="s">
        <v>266</v>
      </c>
      <c r="C95" s="53">
        <v>92.0</v>
      </c>
      <c r="D95" s="356"/>
      <c r="E95" s="356"/>
      <c r="F95" s="356"/>
      <c r="G95" s="356"/>
      <c r="H95" s="358"/>
      <c r="I95" s="359"/>
      <c r="J95" s="642"/>
      <c r="K95" s="356"/>
      <c r="L95" s="356"/>
      <c r="M95" s="359"/>
      <c r="N95" s="1257"/>
      <c r="O95" s="1258"/>
      <c r="P95" s="1258"/>
      <c r="Q95" s="1259"/>
      <c r="R95" s="1260"/>
      <c r="S95" s="1260"/>
      <c r="T95" s="1260"/>
      <c r="U95" s="1260"/>
      <c r="V95" s="1260"/>
      <c r="W95" s="1261"/>
      <c r="X95" s="1261"/>
      <c r="Y95" s="1261"/>
      <c r="Z95" s="1262"/>
      <c r="AA95" s="1263"/>
      <c r="AB95" s="1263"/>
      <c r="AC95" s="1264"/>
      <c r="AD95" s="1265"/>
      <c r="AE95" s="1265"/>
      <c r="AF95" s="1265"/>
      <c r="AG95" s="1265"/>
      <c r="AH95" s="1266"/>
      <c r="AI95" s="1267"/>
      <c r="AJ95" s="1267"/>
      <c r="AK95" s="1267"/>
      <c r="AL95" s="1267"/>
      <c r="AM95" s="1265"/>
      <c r="AN95" s="1265"/>
      <c r="AO95" s="1265"/>
      <c r="AP95" s="1266"/>
      <c r="AQ95" s="1267"/>
      <c r="AR95" s="1267"/>
      <c r="AS95" s="1267"/>
      <c r="AT95" s="1267"/>
      <c r="AU95" s="1267"/>
      <c r="AV95" s="1267"/>
      <c r="AW95" s="1267"/>
      <c r="AX95" s="1267"/>
      <c r="AY95" s="1267"/>
      <c r="AZ95" s="1267"/>
      <c r="BA95" s="1267"/>
      <c r="BB95" s="1267"/>
      <c r="BC95" s="1267"/>
      <c r="BD95" s="1149"/>
      <c r="BE95" s="1149"/>
      <c r="BF95" s="1149"/>
    </row>
    <row r="96" ht="15.0" customHeight="1" outlineLevel="1">
      <c r="A96" s="53">
        <v>93.0</v>
      </c>
      <c r="B96" s="100" t="s">
        <v>268</v>
      </c>
      <c r="C96" s="53">
        <v>93.0</v>
      </c>
      <c r="D96" s="1130" t="s">
        <v>1756</v>
      </c>
      <c r="E96" s="101" t="s">
        <v>269</v>
      </c>
      <c r="F96" s="104"/>
      <c r="G96" s="534" t="s">
        <v>270</v>
      </c>
      <c r="H96" s="535"/>
      <c r="I96" s="821" t="str">
        <f>IFERROR(VLOOKUP(B93:B283,'RELATÓRIO ACC'!B:F,5,FALSE),"NOT PUBLISHED")</f>
        <v>NOT PUBLISHED</v>
      </c>
      <c r="J96" s="1119" t="str">
        <f>IFERROR(VLOOKUP(B93:B283,'RELATÓRIO ACC'!B:P,15,FALSE),"NOT PUBLISHED")</f>
        <v>NOT PUBLISHED</v>
      </c>
      <c r="K96" s="552" t="str">
        <f t="shared" ref="K96:K116" si="641">IF(OR($D96="UTLS",$D96="GUAR",$D96="STIR",$D96="PUMP",$D96="SITE"),
   VLOOKUP($B96,'LOD 300 - SITE'!C:K,9,FALSE),
   VLOOKUP($B96,'LOD 300 - ADMN'!C:K,9,FALSE)
)</f>
        <v>#REF!</v>
      </c>
      <c r="L96" s="552" t="str">
        <f t="shared" ref="L96:L116" si="642">IF(OR($D96="UTLS",$D96="GUAR",$D96="STIR",$D96="PUMP",$D96="SITE"),
   VLOOKUP($B96,'LOD 300 - SITE'!C:L,10,FALSE),
   VLOOKUP($B96,'LOD 300 - ADMN'!C:Q,10,FALSE)
)</f>
        <v>#REF!</v>
      </c>
      <c r="M96" s="899" t="s">
        <v>1758</v>
      </c>
      <c r="N96" s="1132" t="str">
        <f t="shared" ref="N96:N116" si="643">IFERROR(VLOOKUP($B96,'LOD 300 - ADMN'!$B:P,14,FALSE),"N/A")</f>
        <v>N/A</v>
      </c>
      <c r="O96" s="1133" t="str">
        <f t="shared" ref="O96:O116" si="644">IFERROR(VLOOKUP($B96,'LOD 300 - ADMN'!$B:S,17,FALSE),"N/A")</f>
        <v>N/A</v>
      </c>
      <c r="P96" s="1133" t="str">
        <f t="shared" ref="P96:P116" si="645">IFERROR(VLOOKUP($B96,'LOD 300 - ADMN'!$B:V,20,FALSE),"N/A")</f>
        <v>N/A</v>
      </c>
      <c r="Q96" s="1133" t="str">
        <f t="shared" ref="Q96:Q116" si="646">IFERROR(VLOOKUP($B96,'LOD 300 - ADMN'!$B:Y,23,FALSE),"N/A")</f>
        <v>N/A</v>
      </c>
      <c r="R96" s="1133" t="str">
        <f t="shared" ref="R96:R116" si="647">IFERROR(VLOOKUP($B96,'LOD 300 - ADMN'!$B:AB,26,FALSE),"N/A")</f>
        <v>N/A</v>
      </c>
      <c r="S96" s="1133" t="str">
        <f t="shared" ref="S96:S116" si="648">IFERROR(VLOOKUP($B96,'LOD 300 - ADMN'!$B:AE,29,FALSE),"N/A")</f>
        <v>N/A</v>
      </c>
      <c r="T96" s="1133" t="str">
        <f t="shared" ref="T96:T116" si="649">IFERROR(VLOOKUP($B96,'LOD 300 - ADMN'!$B:AH,32,FALSE),"N/A")</f>
        <v>N/A</v>
      </c>
      <c r="U96" s="1133" t="str">
        <f t="shared" ref="U96:U116" si="650">IFERROR(VLOOKUP($B96,'LOD 300 - ADMN'!$B:AK,35,FALSE),"N/A")</f>
        <v>N/A</v>
      </c>
      <c r="V96" s="1122" t="str">
        <f t="shared" ref="V96:V116" si="651">IFERROR(VLOOKUP($B96,'LOD 300 - ADMN'!$B:AN,38,FALSE),"N/A")</f>
        <v>N/A</v>
      </c>
      <c r="W96" s="1255" t="str">
        <f t="shared" ref="W96:W116" si="652">IFERROR(VLOOKUP($B96,'LOD 300 - ADMN'!$B:AQ,41,FALSE),"N/A")</f>
        <v>N/A</v>
      </c>
      <c r="X96" s="1124" t="str">
        <f t="shared" ref="X96:X116" si="653">IFERROR(VLOOKUP($B96,'LOD 300 - ADMN'!$B:AT,44,FALSE),"N/A")</f>
        <v>N/A</v>
      </c>
      <c r="Y96" s="1125" t="str">
        <f>IFERROR(__xludf.DUMMYFUNCTION("IF(
  OR(X96=""NOT PUBLISHED"", X96=""N/A""),
  X96,
  IFERROR(MAX(FILTER(N96:X96, ISNUMBER(N96:X96))),"""")
)"),"N/A")</f>
        <v>N/A</v>
      </c>
      <c r="Z96" s="72" t="str">
        <f t="shared" ref="Z96:Z116" si="654">IFERROR(VLOOKUP($B96,'LOD 300 - COLO1'!$B:P,14,FALSE),"N/A")</f>
        <v>N/A</v>
      </c>
      <c r="AA96" s="1134" t="str">
        <f t="shared" ref="AA96:AA116" si="655">IFERROR(VLOOKUP($B96,'LOD 300 - COLO1'!$B:S,17,FALSE),"N/A")</f>
        <v>N/A</v>
      </c>
      <c r="AB96" s="1134" t="str">
        <f t="shared" ref="AB96:AB116" si="656">IFERROR(VLOOKUP($B96,'LOD 300 - COLO1'!$B:V,20,FALSE),"N/A")</f>
        <v>N/A</v>
      </c>
      <c r="AC96" s="1134" t="str">
        <f t="shared" ref="AC96:AC116" si="657">IFERROR(VLOOKUP($B96,'LOD 300 - COLO1'!$B:Y,23,FALSE),"N/A")</f>
        <v>N/A</v>
      </c>
      <c r="AD96" s="1134" t="str">
        <f t="shared" ref="AD96:AD116" si="658">IFERROR(VLOOKUP($B96,'LOD 300 - COLO1'!$B:AB,26,FALSE),"N/A")</f>
        <v>N/A</v>
      </c>
      <c r="AE96" s="1134" t="str">
        <f t="shared" ref="AE96:AE116" si="659">IFERROR(VLOOKUP($B96,'LOD 300 - COLO1'!$B:AE,29,FALSE),"N/A")</f>
        <v>N/A</v>
      </c>
      <c r="AF96" s="1134" t="str">
        <f t="shared" ref="AF96:AF116" si="660">IFERROR(VLOOKUP($B96,'LOD 300 - COLO1'!$B:AH,32,FALSE),"N/A")</f>
        <v>N/A</v>
      </c>
      <c r="AG96" s="1134" t="str">
        <f t="shared" ref="AG96:AG116" si="661">IFERROR(VLOOKUP($B96,'LOD 300 - COLO1'!$B:AK,35,FALSE),"N/A")</f>
        <v>N/A</v>
      </c>
      <c r="AH96" s="1122" t="str">
        <f t="shared" ref="AH96:AH116" si="662">IFERROR(VLOOKUP($B96,'LOD 300 - COLO1'!$B:AN,38,FALSE),"N/A")</f>
        <v>N/A</v>
      </c>
      <c r="AI96" s="1124" t="str">
        <f t="shared" ref="AI96:AI116" si="663">IFERROR(VLOOKUP($B96,'LOD 300 - COLO1'!$B:AQ,41,FALSE),"N/A")</f>
        <v>N/A</v>
      </c>
      <c r="AJ96" s="1124" t="str">
        <f t="shared" ref="AJ96:AJ116" si="664">IFERROR(VLOOKUP($B96,'LOD 300 - COLO1'!$B:AT,44,FALSE),"N/A")</f>
        <v>N/A</v>
      </c>
      <c r="AK96" s="1125" t="str">
        <f>IFERROR(__xludf.DUMMYFUNCTION("IF(
  OR(AJ96=""NOT PUBLISHED"", AJ96=""N/A""),
  AJ96,
  IFERROR(MAX(FILTER(Z96:AJ96, ISNUMBER(Z96:AJ96))),"""")
)"),"N/A")</f>
        <v>N/A</v>
      </c>
      <c r="AL96" s="72" t="str">
        <f t="shared" ref="AL96:AL116" si="665">IFERROR(VLOOKUP($B96,'LOD 300 - COLO2'!$B:P,14,FALSE),"N/A")</f>
        <v>N/A</v>
      </c>
      <c r="AM96" s="1134" t="str">
        <f t="shared" ref="AM96:AM116" si="666">IFERROR(VLOOKUP($B96,'LOD 300 - COLO2'!$B:S,17,FALSE),"N/A")</f>
        <v>N/A</v>
      </c>
      <c r="AN96" s="1134" t="str">
        <f t="shared" ref="AN96:AN116" si="667">IFERROR(VLOOKUP($B96,'LOD 300 - COLO2'!$B:V,20,FALSE),"N/A")</f>
        <v>N/A</v>
      </c>
      <c r="AO96" s="1134" t="str">
        <f t="shared" ref="AO96:AO116" si="668">IFERROR(VLOOKUP($B96,'LOD 300 - COLO2'!$B:Y,23,FALSE),"N/A")</f>
        <v>N/A</v>
      </c>
      <c r="AP96" s="1126" t="str">
        <f t="shared" ref="AP96:AP116" si="669">IFERROR(VLOOKUP($B96,'LOD 300 - COLO2'!$B:AB,26,FALSE),"N/A")</f>
        <v>N/A</v>
      </c>
      <c r="AQ96" s="1124" t="str">
        <f t="shared" ref="AQ96:AQ116" si="670">IFERROR(VLOOKUP($B96,'LOD 300 - COLO2'!$B:AE,29,FALSE),"N/A")</f>
        <v>N/A</v>
      </c>
      <c r="AR96" s="1124" t="str">
        <f t="shared" ref="AR96:AR116" si="671">IFERROR(VLOOKUP($B96,'LOD 300 - COLO2'!$B:AH,32,FALSE),"N/A")</f>
        <v>N/A</v>
      </c>
      <c r="AS96" s="1125" t="str">
        <f>IFERROR(__xludf.DUMMYFUNCTION("IF(
  OR(AR96=""NOT PUBLISHED"", AR96=""N/A""),
  AR96,
  IFERROR(MAX(FILTER(AL96:AR96, ISNUMBER(AL96:AR96))),"""")
)"),"N/A")</f>
        <v>N/A</v>
      </c>
      <c r="AT96" s="72" t="str">
        <f t="shared" ref="AT96:AT116" si="672">IFERROR(VLOOKUP($B96,'LOD 300 - SITE'!$B:P,14,FALSE),"N/A")</f>
        <v>N/A</v>
      </c>
      <c r="AU96" s="1134" t="str">
        <f t="shared" ref="AU96:AU116" si="673">IFERROR(VLOOKUP($B96,'LOD 300 - SITE'!$B:S,17,FALSE),"N/A")</f>
        <v>N/A</v>
      </c>
      <c r="AV96" s="1134" t="str">
        <f t="shared" ref="AV96:AV116" si="674">IFERROR(VLOOKUP($B96,'LOD 300 - SITE'!$B:V,20,FALSE),"N/A")</f>
        <v>N/A</v>
      </c>
      <c r="AW96" s="1134" t="str">
        <f t="shared" ref="AW96:AW116" si="675">IFERROR(VLOOKUP($B96,'LOD 300 - SITE'!$B:Y,23,FALSE),"N/A")</f>
        <v>N/A</v>
      </c>
      <c r="AX96" s="1134" t="str">
        <f t="shared" ref="AX96:AX116" si="676">IFERROR(VLOOKUP($B96,'LOD 300 - SITE'!$B:AB,26,FALSE),"N/A")</f>
        <v>N/A</v>
      </c>
      <c r="AY96" s="1135" t="str">
        <f t="shared" ref="AY96:AY116" si="677">IFERROR(VLOOKUP($B96,'LOD 300 - SITE'!$B:AE,29,FALSE),"N/A")</f>
        <v>N/A</v>
      </c>
      <c r="AZ96" s="1127" t="str">
        <f t="shared" ref="AZ96:AZ116" si="678">IFERROR(VLOOKUP($B96,'LOD 300 - SITE'!$B:AH,32,FALSE),"N/A")</f>
        <v>N/A</v>
      </c>
      <c r="BA96" s="1135" t="str">
        <f t="shared" ref="BA96:BA116" si="679">IFERROR(VLOOKUP($B96,'LOD 300 - SITE'!$B:AK,35,FALSE),"N/A")</f>
        <v>N/A</v>
      </c>
      <c r="BB96" s="1127" t="str">
        <f t="shared" ref="BB96:BB116" si="680">IFERROR(VLOOKUP($B96,'LOD 300 - SITE'!$B:AN,38,FALSE),"N/A")</f>
        <v>N/A</v>
      </c>
      <c r="BC96" s="1128" t="str">
        <f>IFERROR(__xludf.DUMMYFUNCTION("IF(
  OR(BB96=""NOT PUBLISHED"", BB96=""N/A""),
  BB96,
  IFERROR(MAX(FILTER(AT96:BB96, ISNUMBER(AT96:BB96))),"""")
)"),"N/A")</f>
        <v>N/A</v>
      </c>
      <c r="BD96" s="1129"/>
      <c r="BE96" s="1129"/>
      <c r="BF96" s="1129"/>
    </row>
    <row r="97" ht="15.0" customHeight="1" outlineLevel="1">
      <c r="A97" s="53">
        <v>94.0</v>
      </c>
      <c r="B97" s="100" t="s">
        <v>272</v>
      </c>
      <c r="C97" s="53">
        <v>94.0</v>
      </c>
      <c r="D97" s="1130" t="s">
        <v>7</v>
      </c>
      <c r="E97" s="101" t="s">
        <v>269</v>
      </c>
      <c r="F97" s="102">
        <v>1120.0</v>
      </c>
      <c r="G97" s="534" t="s">
        <v>270</v>
      </c>
      <c r="H97" s="535">
        <v>0.0</v>
      </c>
      <c r="I97" s="821" t="str">
        <f>IFERROR(VLOOKUP(B94:B284,'RELATÓRIO ACC'!B:F,5,FALSE),"NOT PUBLISHED")</f>
        <v>NOT PUBLISHED</v>
      </c>
      <c r="J97" s="1119" t="str">
        <f>IFERROR(VLOOKUP(B94:B284,'RELATÓRIO ACC'!B:P,15,FALSE),"NOT PUBLISHED")</f>
        <v>NOT PUBLISHED</v>
      </c>
      <c r="K97" s="552" t="str">
        <f t="shared" si="641"/>
        <v>#REF!</v>
      </c>
      <c r="L97" s="552" t="str">
        <f t="shared" si="642"/>
        <v>#REF!</v>
      </c>
      <c r="M97" s="899" t="s">
        <v>461</v>
      </c>
      <c r="N97" s="1132" t="str">
        <f t="shared" si="643"/>
        <v>N/A</v>
      </c>
      <c r="O97" s="1133" t="str">
        <f t="shared" si="644"/>
        <v>N/A</v>
      </c>
      <c r="P97" s="1133" t="str">
        <f t="shared" si="645"/>
        <v>N/A</v>
      </c>
      <c r="Q97" s="1133" t="str">
        <f t="shared" si="646"/>
        <v>N/A</v>
      </c>
      <c r="R97" s="1133" t="str">
        <f t="shared" si="647"/>
        <v>N/A</v>
      </c>
      <c r="S97" s="1133" t="str">
        <f t="shared" si="648"/>
        <v>N/A</v>
      </c>
      <c r="T97" s="1133" t="str">
        <f t="shared" si="649"/>
        <v>N/A</v>
      </c>
      <c r="U97" s="1133" t="str">
        <f t="shared" si="650"/>
        <v>N/A</v>
      </c>
      <c r="V97" s="1122" t="str">
        <f t="shared" si="651"/>
        <v>N/A</v>
      </c>
      <c r="W97" s="1255" t="str">
        <f t="shared" si="652"/>
        <v>N/A</v>
      </c>
      <c r="X97" s="1124" t="str">
        <f t="shared" si="653"/>
        <v>N/A</v>
      </c>
      <c r="Y97" s="1125" t="str">
        <f>IFERROR(__xludf.DUMMYFUNCTION("IF(
  OR(X97=""NOT PUBLISHED"", X97=""N/A""),
  X97,
  IFERROR(MAX(FILTER(N97:X97, ISNUMBER(N97:X97))),"""")
)"),"N/A")</f>
        <v>N/A</v>
      </c>
      <c r="Z97" s="72" t="str">
        <f t="shared" si="654"/>
        <v>N/A</v>
      </c>
      <c r="AA97" s="1134" t="str">
        <f t="shared" si="655"/>
        <v>N/A</v>
      </c>
      <c r="AB97" s="1134" t="str">
        <f t="shared" si="656"/>
        <v>N/A</v>
      </c>
      <c r="AC97" s="1134" t="str">
        <f t="shared" si="657"/>
        <v>N/A</v>
      </c>
      <c r="AD97" s="1134" t="str">
        <f t="shared" si="658"/>
        <v>N/A</v>
      </c>
      <c r="AE97" s="1134" t="str">
        <f t="shared" si="659"/>
        <v>N/A</v>
      </c>
      <c r="AF97" s="1134" t="str">
        <f t="shared" si="660"/>
        <v>N/A</v>
      </c>
      <c r="AG97" s="1134" t="str">
        <f t="shared" si="661"/>
        <v>N/A</v>
      </c>
      <c r="AH97" s="1122" t="str">
        <f t="shared" si="662"/>
        <v>N/A</v>
      </c>
      <c r="AI97" s="1124" t="str">
        <f t="shared" si="663"/>
        <v>N/A</v>
      </c>
      <c r="AJ97" s="1124" t="str">
        <f t="shared" si="664"/>
        <v>N/A</v>
      </c>
      <c r="AK97" s="1125" t="str">
        <f>IFERROR(__xludf.DUMMYFUNCTION("IF(
  OR(AJ97=""NOT PUBLISHED"", AJ97=""N/A""),
  AJ97,
  IFERROR(MAX(FILTER(Z97:AJ97, ISNUMBER(Z97:AJ97))),"""")
)"),"N/A")</f>
        <v>N/A</v>
      </c>
      <c r="AL97" s="72" t="str">
        <f t="shared" si="665"/>
        <v>N/A</v>
      </c>
      <c r="AM97" s="1134" t="str">
        <f t="shared" si="666"/>
        <v>N/A</v>
      </c>
      <c r="AN97" s="1134" t="str">
        <f t="shared" si="667"/>
        <v>N/A</v>
      </c>
      <c r="AO97" s="1134" t="str">
        <f t="shared" si="668"/>
        <v>N/A</v>
      </c>
      <c r="AP97" s="1126" t="str">
        <f t="shared" si="669"/>
        <v>N/A</v>
      </c>
      <c r="AQ97" s="1124" t="str">
        <f t="shared" si="670"/>
        <v>N/A</v>
      </c>
      <c r="AR97" s="1124" t="str">
        <f t="shared" si="671"/>
        <v>N/A</v>
      </c>
      <c r="AS97" s="1125" t="str">
        <f>IFERROR(__xludf.DUMMYFUNCTION("IF(
  OR(AR97=""NOT PUBLISHED"", AR97=""N/A""),
  AR97,
  IFERROR(MAX(FILTER(AL97:AR97, ISNUMBER(AL97:AR97))),"""")
)"),"N/A")</f>
        <v>N/A</v>
      </c>
      <c r="AT97" s="72" t="str">
        <f t="shared" si="672"/>
        <v>N/A</v>
      </c>
      <c r="AU97" s="1134" t="str">
        <f t="shared" si="673"/>
        <v>N/A</v>
      </c>
      <c r="AV97" s="1134" t="str">
        <f t="shared" si="674"/>
        <v>N/A</v>
      </c>
      <c r="AW97" s="1134" t="str">
        <f t="shared" si="675"/>
        <v>N/A</v>
      </c>
      <c r="AX97" s="1134" t="str">
        <f t="shared" si="676"/>
        <v>N/A</v>
      </c>
      <c r="AY97" s="1135" t="str">
        <f t="shared" si="677"/>
        <v>N/A</v>
      </c>
      <c r="AZ97" s="1127" t="str">
        <f t="shared" si="678"/>
        <v>N/A</v>
      </c>
      <c r="BA97" s="1135" t="str">
        <f t="shared" si="679"/>
        <v>N/A</v>
      </c>
      <c r="BB97" s="1127" t="str">
        <f t="shared" si="680"/>
        <v>N/A</v>
      </c>
      <c r="BC97" s="1128" t="str">
        <f>IFERROR(__xludf.DUMMYFUNCTION("IF(
  OR(BB97=""NOT PUBLISHED"", BB97=""N/A""),
  BB97,
  IFERROR(MAX(FILTER(AT97:BB97, ISNUMBER(AT97:BB97))),"""")
)"),"N/A")</f>
        <v>N/A</v>
      </c>
      <c r="BD97" s="545"/>
      <c r="BE97" s="545"/>
      <c r="BF97" s="545"/>
    </row>
    <row r="98" ht="15.0" customHeight="1" outlineLevel="1">
      <c r="A98" s="53">
        <v>95.0</v>
      </c>
      <c r="B98" s="100" t="s">
        <v>274</v>
      </c>
      <c r="C98" s="53">
        <v>95.0</v>
      </c>
      <c r="D98" s="1130" t="s">
        <v>1756</v>
      </c>
      <c r="E98" s="111" t="s">
        <v>275</v>
      </c>
      <c r="F98" s="102"/>
      <c r="G98" s="534" t="s">
        <v>270</v>
      </c>
      <c r="H98" s="535"/>
      <c r="I98" s="821" t="str">
        <f>IFERROR(VLOOKUP(B95:B285,'RELATÓRIO ACC'!B:F,5,FALSE),"NOT PUBLISHED")</f>
        <v>NOT PUBLISHED</v>
      </c>
      <c r="J98" s="1119" t="str">
        <f>IFERROR(VLOOKUP(B95:B285,'RELATÓRIO ACC'!B:P,15,FALSE),"NOT PUBLISHED")</f>
        <v>NOT PUBLISHED</v>
      </c>
      <c r="K98" s="552" t="str">
        <f t="shared" si="641"/>
        <v>#REF!</v>
      </c>
      <c r="L98" s="552" t="str">
        <f t="shared" si="642"/>
        <v>#REF!</v>
      </c>
      <c r="M98" s="899" t="s">
        <v>1762</v>
      </c>
      <c r="N98" s="1132" t="str">
        <f t="shared" si="643"/>
        <v>N/A</v>
      </c>
      <c r="O98" s="1133" t="str">
        <f t="shared" si="644"/>
        <v>N/A</v>
      </c>
      <c r="P98" s="1133" t="str">
        <f t="shared" si="645"/>
        <v>N/A</v>
      </c>
      <c r="Q98" s="1133" t="str">
        <f t="shared" si="646"/>
        <v>N/A</v>
      </c>
      <c r="R98" s="1133" t="str">
        <f t="shared" si="647"/>
        <v>N/A</v>
      </c>
      <c r="S98" s="1133" t="str">
        <f t="shared" si="648"/>
        <v>N/A</v>
      </c>
      <c r="T98" s="1133" t="str">
        <f t="shared" si="649"/>
        <v>N/A</v>
      </c>
      <c r="U98" s="1133" t="str">
        <f t="shared" si="650"/>
        <v>N/A</v>
      </c>
      <c r="V98" s="1122" t="str">
        <f t="shared" si="651"/>
        <v>N/A</v>
      </c>
      <c r="W98" s="1124" t="str">
        <f t="shared" si="652"/>
        <v>N/A</v>
      </c>
      <c r="X98" s="1124" t="str">
        <f t="shared" si="653"/>
        <v>N/A</v>
      </c>
      <c r="Y98" s="1125" t="str">
        <f>IFERROR(__xludf.DUMMYFUNCTION("IF(
  OR(X98=""NOT PUBLISHED"", X98=""N/A""),
  X98,
  IFERROR(MAX(FILTER(N98:X98, ISNUMBER(N98:X98))),"""")
)"),"N/A")</f>
        <v>N/A</v>
      </c>
      <c r="Z98" s="72" t="str">
        <f t="shared" si="654"/>
        <v>N/A</v>
      </c>
      <c r="AA98" s="1134" t="str">
        <f t="shared" si="655"/>
        <v>N/A</v>
      </c>
      <c r="AB98" s="1134" t="str">
        <f t="shared" si="656"/>
        <v>N/A</v>
      </c>
      <c r="AC98" s="1134" t="str">
        <f t="shared" si="657"/>
        <v>N/A</v>
      </c>
      <c r="AD98" s="1134" t="str">
        <f t="shared" si="658"/>
        <v>N/A</v>
      </c>
      <c r="AE98" s="1134" t="str">
        <f t="shared" si="659"/>
        <v>N/A</v>
      </c>
      <c r="AF98" s="1134" t="str">
        <f t="shared" si="660"/>
        <v>N/A</v>
      </c>
      <c r="AG98" s="1134" t="str">
        <f t="shared" si="661"/>
        <v>N/A</v>
      </c>
      <c r="AH98" s="1122" t="str">
        <f t="shared" si="662"/>
        <v>N/A</v>
      </c>
      <c r="AI98" s="1124" t="str">
        <f t="shared" si="663"/>
        <v>N/A</v>
      </c>
      <c r="AJ98" s="1124" t="str">
        <f t="shared" si="664"/>
        <v>N/A</v>
      </c>
      <c r="AK98" s="1125" t="str">
        <f>IFERROR(__xludf.DUMMYFUNCTION("IF(
  OR(AJ98=""NOT PUBLISHED"", AJ98=""N/A""),
  AJ98,
  IFERROR(MAX(FILTER(Z98:AJ98, ISNUMBER(Z98:AJ98))),"""")
)"),"N/A")</f>
        <v>N/A</v>
      </c>
      <c r="AL98" s="72" t="str">
        <f t="shared" si="665"/>
        <v>N/A</v>
      </c>
      <c r="AM98" s="1134" t="str">
        <f t="shared" si="666"/>
        <v>N/A</v>
      </c>
      <c r="AN98" s="1134" t="str">
        <f t="shared" si="667"/>
        <v>N/A</v>
      </c>
      <c r="AO98" s="1134" t="str">
        <f t="shared" si="668"/>
        <v>N/A</v>
      </c>
      <c r="AP98" s="1126" t="str">
        <f t="shared" si="669"/>
        <v>N/A</v>
      </c>
      <c r="AQ98" s="1124" t="str">
        <f t="shared" si="670"/>
        <v>N/A</v>
      </c>
      <c r="AR98" s="1124" t="str">
        <f t="shared" si="671"/>
        <v>N/A</v>
      </c>
      <c r="AS98" s="1125" t="str">
        <f>IFERROR(__xludf.DUMMYFUNCTION("IF(
  OR(AR98=""NOT PUBLISHED"", AR98=""N/A""),
  AR98,
  IFERROR(MAX(FILTER(AL98:AR98, ISNUMBER(AL98:AR98))),"""")
)"),"N/A")</f>
        <v>N/A</v>
      </c>
      <c r="AT98" s="72" t="str">
        <f t="shared" si="672"/>
        <v>N/A</v>
      </c>
      <c r="AU98" s="1134" t="str">
        <f t="shared" si="673"/>
        <v>N/A</v>
      </c>
      <c r="AV98" s="1134" t="str">
        <f t="shared" si="674"/>
        <v>N/A</v>
      </c>
      <c r="AW98" s="1134" t="str">
        <f t="shared" si="675"/>
        <v>N/A</v>
      </c>
      <c r="AX98" s="1134" t="str">
        <f t="shared" si="676"/>
        <v>N/A</v>
      </c>
      <c r="AY98" s="1135" t="str">
        <f t="shared" si="677"/>
        <v>N/A</v>
      </c>
      <c r="AZ98" s="1127" t="str">
        <f t="shared" si="678"/>
        <v>N/A</v>
      </c>
      <c r="BA98" s="1135" t="str">
        <f t="shared" si="679"/>
        <v>N/A</v>
      </c>
      <c r="BB98" s="1127" t="str">
        <f t="shared" si="680"/>
        <v>N/A</v>
      </c>
      <c r="BC98" s="1128" t="str">
        <f>IFERROR(__xludf.DUMMYFUNCTION("IF(
  OR(BB98=""NOT PUBLISHED"", BB98=""N/A""),
  BB98,
  IFERROR(MAX(FILTER(AT98:BB98, ISNUMBER(AT98:BB98))),"""")
)"),"N/A")</f>
        <v>N/A</v>
      </c>
      <c r="BD98" s="1129"/>
      <c r="BE98" s="1129"/>
      <c r="BF98" s="1129"/>
    </row>
    <row r="99" ht="15.0" customHeight="1" outlineLevel="1">
      <c r="A99" s="53">
        <v>96.0</v>
      </c>
      <c r="B99" s="100" t="s">
        <v>277</v>
      </c>
      <c r="C99" s="53">
        <v>96.0</v>
      </c>
      <c r="D99" s="1130" t="s">
        <v>7</v>
      </c>
      <c r="E99" s="111" t="s">
        <v>275</v>
      </c>
      <c r="F99" s="102"/>
      <c r="G99" s="534" t="s">
        <v>270</v>
      </c>
      <c r="H99" s="535"/>
      <c r="I99" s="821" t="str">
        <f>IFERROR(VLOOKUP(B96:B286,'RELATÓRIO ACC'!B:F,5,FALSE),"NOT PUBLISHED")</f>
        <v>NOT PUBLISHED</v>
      </c>
      <c r="J99" s="1119" t="str">
        <f>IFERROR(VLOOKUP(B96:B286,'RELATÓRIO ACC'!B:P,15,FALSE),"NOT PUBLISHED")</f>
        <v>NOT PUBLISHED</v>
      </c>
      <c r="K99" s="552" t="str">
        <f t="shared" si="641"/>
        <v>#REF!</v>
      </c>
      <c r="L99" s="552" t="str">
        <f t="shared" si="642"/>
        <v>#REF!</v>
      </c>
      <c r="M99" s="899" t="s">
        <v>1758</v>
      </c>
      <c r="N99" s="1132" t="str">
        <f t="shared" si="643"/>
        <v>N/A</v>
      </c>
      <c r="O99" s="1133" t="str">
        <f t="shared" si="644"/>
        <v>N/A</v>
      </c>
      <c r="P99" s="1133" t="str">
        <f t="shared" si="645"/>
        <v>N/A</v>
      </c>
      <c r="Q99" s="1133" t="str">
        <f t="shared" si="646"/>
        <v>N/A</v>
      </c>
      <c r="R99" s="1133" t="str">
        <f t="shared" si="647"/>
        <v>N/A</v>
      </c>
      <c r="S99" s="1133" t="str">
        <f t="shared" si="648"/>
        <v>N/A</v>
      </c>
      <c r="T99" s="1133" t="str">
        <f t="shared" si="649"/>
        <v>N/A</v>
      </c>
      <c r="U99" s="1133" t="str">
        <f t="shared" si="650"/>
        <v>N/A</v>
      </c>
      <c r="V99" s="1122" t="str">
        <f t="shared" si="651"/>
        <v>N/A</v>
      </c>
      <c r="W99" s="1124" t="str">
        <f t="shared" si="652"/>
        <v>N/A</v>
      </c>
      <c r="X99" s="1124" t="str">
        <f t="shared" si="653"/>
        <v>N/A</v>
      </c>
      <c r="Y99" s="1125" t="str">
        <f>IFERROR(__xludf.DUMMYFUNCTION("IF(
  OR(X99=""NOT PUBLISHED"", X99=""N/A""),
  X99,
  IFERROR(MAX(FILTER(N99:X99, ISNUMBER(N99:X99))),"""")
)"),"N/A")</f>
        <v>N/A</v>
      </c>
      <c r="Z99" s="72" t="str">
        <f t="shared" si="654"/>
        <v>N/A</v>
      </c>
      <c r="AA99" s="1134" t="str">
        <f t="shared" si="655"/>
        <v>N/A</v>
      </c>
      <c r="AB99" s="1134" t="str">
        <f t="shared" si="656"/>
        <v>N/A</v>
      </c>
      <c r="AC99" s="1134" t="str">
        <f t="shared" si="657"/>
        <v>N/A</v>
      </c>
      <c r="AD99" s="1134" t="str">
        <f t="shared" si="658"/>
        <v>N/A</v>
      </c>
      <c r="AE99" s="1134" t="str">
        <f t="shared" si="659"/>
        <v>N/A</v>
      </c>
      <c r="AF99" s="1134" t="str">
        <f t="shared" si="660"/>
        <v>N/A</v>
      </c>
      <c r="AG99" s="1134" t="str">
        <f t="shared" si="661"/>
        <v>N/A</v>
      </c>
      <c r="AH99" s="1122" t="str">
        <f t="shared" si="662"/>
        <v>N/A</v>
      </c>
      <c r="AI99" s="1124" t="str">
        <f t="shared" si="663"/>
        <v>N/A</v>
      </c>
      <c r="AJ99" s="1124" t="str">
        <f t="shared" si="664"/>
        <v>N/A</v>
      </c>
      <c r="AK99" s="1125" t="str">
        <f>IFERROR(__xludf.DUMMYFUNCTION("IF(
  OR(AJ99=""NOT PUBLISHED"", AJ99=""N/A""),
  AJ99,
  IFERROR(MAX(FILTER(Z99:AJ99, ISNUMBER(Z99:AJ99))),"""")
)"),"N/A")</f>
        <v>N/A</v>
      </c>
      <c r="AL99" s="72" t="str">
        <f t="shared" si="665"/>
        <v>N/A</v>
      </c>
      <c r="AM99" s="1134" t="str">
        <f t="shared" si="666"/>
        <v>N/A</v>
      </c>
      <c r="AN99" s="1134" t="str">
        <f t="shared" si="667"/>
        <v>N/A</v>
      </c>
      <c r="AO99" s="1134" t="str">
        <f t="shared" si="668"/>
        <v>N/A</v>
      </c>
      <c r="AP99" s="1126" t="str">
        <f t="shared" si="669"/>
        <v>N/A</v>
      </c>
      <c r="AQ99" s="1124" t="str">
        <f t="shared" si="670"/>
        <v>N/A</v>
      </c>
      <c r="AR99" s="1124" t="str">
        <f t="shared" si="671"/>
        <v>N/A</v>
      </c>
      <c r="AS99" s="1125" t="str">
        <f>IFERROR(__xludf.DUMMYFUNCTION("IF(
  OR(AR99=""NOT PUBLISHED"", AR99=""N/A""),
  AR99,
  IFERROR(MAX(FILTER(AL99:AR99, ISNUMBER(AL99:AR99))),"""")
)"),"N/A")</f>
        <v>N/A</v>
      </c>
      <c r="AT99" s="72" t="str">
        <f t="shared" si="672"/>
        <v>N/A</v>
      </c>
      <c r="AU99" s="1134" t="str">
        <f t="shared" si="673"/>
        <v>N/A</v>
      </c>
      <c r="AV99" s="1134" t="str">
        <f t="shared" si="674"/>
        <v>N/A</v>
      </c>
      <c r="AW99" s="1134" t="str">
        <f t="shared" si="675"/>
        <v>N/A</v>
      </c>
      <c r="AX99" s="1134" t="str">
        <f t="shared" si="676"/>
        <v>N/A</v>
      </c>
      <c r="AY99" s="1135" t="str">
        <f t="shared" si="677"/>
        <v>N/A</v>
      </c>
      <c r="AZ99" s="1127" t="str">
        <f t="shared" si="678"/>
        <v>N/A</v>
      </c>
      <c r="BA99" s="1135" t="str">
        <f t="shared" si="679"/>
        <v>N/A</v>
      </c>
      <c r="BB99" s="1127" t="str">
        <f t="shared" si="680"/>
        <v>N/A</v>
      </c>
      <c r="BC99" s="1128" t="str">
        <f>IFERROR(__xludf.DUMMYFUNCTION("IF(
  OR(BB99=""NOT PUBLISHED"", BB99=""N/A""),
  BB99,
  IFERROR(MAX(FILTER(AT99:BB99, ISNUMBER(AT99:BB99))),"""")
)"),"N/A")</f>
        <v>N/A</v>
      </c>
      <c r="BD99" s="545"/>
      <c r="BE99" s="545"/>
      <c r="BF99" s="545"/>
    </row>
    <row r="100" ht="15.0" customHeight="1" outlineLevel="1">
      <c r="A100" s="53">
        <v>97.0</v>
      </c>
      <c r="B100" s="100" t="s">
        <v>279</v>
      </c>
      <c r="C100" s="53">
        <v>97.0</v>
      </c>
      <c r="D100" s="1130" t="s">
        <v>1756</v>
      </c>
      <c r="E100" s="111" t="s">
        <v>1766</v>
      </c>
      <c r="F100" s="102">
        <v>1121.0</v>
      </c>
      <c r="G100" s="534" t="s">
        <v>109</v>
      </c>
      <c r="H100" s="535">
        <v>0.0</v>
      </c>
      <c r="I100" s="821" t="str">
        <f>IFERROR(VLOOKUP(B97:B287,'RELATÓRIO ACC'!B:F,5,FALSE),"NOT PUBLISHED")</f>
        <v>NOT PUBLISHED</v>
      </c>
      <c r="J100" s="1119" t="str">
        <f>IFERROR(VLOOKUP(B97:B287,'RELATÓRIO ACC'!B:P,15,FALSE),"NOT PUBLISHED")</f>
        <v>NOT PUBLISHED</v>
      </c>
      <c r="K100" s="552" t="str">
        <f t="shared" si="641"/>
        <v>#REF!</v>
      </c>
      <c r="L100" s="552" t="str">
        <f t="shared" si="642"/>
        <v>#REF!</v>
      </c>
      <c r="M100" s="899"/>
      <c r="N100" s="1132" t="str">
        <f t="shared" si="643"/>
        <v>N/A</v>
      </c>
      <c r="O100" s="1133" t="str">
        <f t="shared" si="644"/>
        <v>N/A</v>
      </c>
      <c r="P100" s="1133" t="str">
        <f t="shared" si="645"/>
        <v>N/A</v>
      </c>
      <c r="Q100" s="1133" t="str">
        <f t="shared" si="646"/>
        <v>N/A</v>
      </c>
      <c r="R100" s="1133" t="str">
        <f t="shared" si="647"/>
        <v>N/A</v>
      </c>
      <c r="S100" s="1133" t="str">
        <f t="shared" si="648"/>
        <v>N/A</v>
      </c>
      <c r="T100" s="1133" t="str">
        <f t="shared" si="649"/>
        <v>N/A</v>
      </c>
      <c r="U100" s="1133" t="str">
        <f t="shared" si="650"/>
        <v>N/A</v>
      </c>
      <c r="V100" s="1122" t="str">
        <f t="shared" si="651"/>
        <v>N/A</v>
      </c>
      <c r="W100" s="1124" t="str">
        <f t="shared" si="652"/>
        <v>N/A</v>
      </c>
      <c r="X100" s="1124" t="str">
        <f t="shared" si="653"/>
        <v>N/A</v>
      </c>
      <c r="Y100" s="1136" t="str">
        <f>IFERROR(__xludf.DUMMYFUNCTION("IF(
  OR(W100=""NOT PUBLISHED"", W100=""N/A""),
  W100,
  IFERROR(MAX(FILTER(N100:W100, ISNUMBER(N100:W100))),"""")
)"),"N/A")</f>
        <v>N/A</v>
      </c>
      <c r="Z100" s="72" t="str">
        <f t="shared" si="654"/>
        <v>N/A</v>
      </c>
      <c r="AA100" s="1134" t="str">
        <f t="shared" si="655"/>
        <v>N/A</v>
      </c>
      <c r="AB100" s="1134" t="str">
        <f t="shared" si="656"/>
        <v>N/A</v>
      </c>
      <c r="AC100" s="1134" t="str">
        <f t="shared" si="657"/>
        <v>N/A</v>
      </c>
      <c r="AD100" s="1134" t="str">
        <f t="shared" si="658"/>
        <v>N/A</v>
      </c>
      <c r="AE100" s="1134" t="str">
        <f t="shared" si="659"/>
        <v>N/A</v>
      </c>
      <c r="AF100" s="1134" t="str">
        <f t="shared" si="660"/>
        <v>N/A</v>
      </c>
      <c r="AG100" s="1134" t="str">
        <f t="shared" si="661"/>
        <v>N/A</v>
      </c>
      <c r="AH100" s="1122" t="str">
        <f t="shared" si="662"/>
        <v>N/A</v>
      </c>
      <c r="AI100" s="1124" t="str">
        <f t="shared" si="663"/>
        <v>N/A</v>
      </c>
      <c r="AJ100" s="1124" t="str">
        <f t="shared" si="664"/>
        <v>N/A</v>
      </c>
      <c r="AK100" s="1136" t="str">
        <f>IFERROR(__xludf.DUMMYFUNCTION("IF(
  OR(AI100=""NOT PUBLISHED"", AI100=""N/A""),
  AI100,
  IFERROR(MAX(FILTER(Z100:AI100, ISNUMBER(Z100:AI100))),"""")
)"),"N/A")</f>
        <v>N/A</v>
      </c>
      <c r="AL100" s="72" t="str">
        <f t="shared" si="665"/>
        <v>N/A</v>
      </c>
      <c r="AM100" s="1134" t="str">
        <f t="shared" si="666"/>
        <v>N/A</v>
      </c>
      <c r="AN100" s="1134" t="str">
        <f t="shared" si="667"/>
        <v>N/A</v>
      </c>
      <c r="AO100" s="1134" t="str">
        <f t="shared" si="668"/>
        <v>N/A</v>
      </c>
      <c r="AP100" s="1126" t="str">
        <f t="shared" si="669"/>
        <v>N/A</v>
      </c>
      <c r="AQ100" s="1124" t="str">
        <f t="shared" si="670"/>
        <v>N/A</v>
      </c>
      <c r="AR100" s="1124" t="str">
        <f t="shared" si="671"/>
        <v>N/A</v>
      </c>
      <c r="AS100" s="1136" t="str">
        <f>IFERROR(__xludf.DUMMYFUNCTION("IF(
  OR(AQ100=""NOT PUBLISHED"", AQ100=""N/A""),
  AQ100,
  IFERROR(MAX(FILTER(AL100:AQ100, ISNUMBER(AL100:AQ100))),"""")
)"),"N/A")</f>
        <v>N/A</v>
      </c>
      <c r="AT100" s="72" t="str">
        <f t="shared" si="672"/>
        <v>N/A</v>
      </c>
      <c r="AU100" s="1134" t="str">
        <f t="shared" si="673"/>
        <v>N/A</v>
      </c>
      <c r="AV100" s="1134" t="str">
        <f t="shared" si="674"/>
        <v>N/A</v>
      </c>
      <c r="AW100" s="1134" t="str">
        <f t="shared" si="675"/>
        <v>N/A</v>
      </c>
      <c r="AX100" s="1134" t="str">
        <f t="shared" si="676"/>
        <v>N/A</v>
      </c>
      <c r="AY100" s="1135" t="str">
        <f t="shared" si="677"/>
        <v>N/A</v>
      </c>
      <c r="AZ100" s="1127" t="str">
        <f t="shared" si="678"/>
        <v>N/A</v>
      </c>
      <c r="BA100" s="1135" t="str">
        <f t="shared" si="679"/>
        <v>N/A</v>
      </c>
      <c r="BB100" s="1127" t="str">
        <f t="shared" si="680"/>
        <v>N/A</v>
      </c>
      <c r="BC100" s="1137" t="str">
        <f>IFERROR(__xludf.DUMMYFUNCTION("IF(
  OR(BA100=""NOT PUBLISHED"", BA100=""N/A""),
  BA100,
  IFERROR(MAX(FILTER(AT100:BA100, ISNUMBER(AT100:BA100))),"""")
)"),"N/A")</f>
        <v>N/A</v>
      </c>
      <c r="BD100" s="545"/>
      <c r="BE100" s="545"/>
      <c r="BF100" s="545"/>
    </row>
    <row r="101" ht="15.0" customHeight="1" outlineLevel="1">
      <c r="A101" s="53">
        <v>98.0</v>
      </c>
      <c r="B101" s="100" t="s">
        <v>282</v>
      </c>
      <c r="C101" s="53">
        <v>98.0</v>
      </c>
      <c r="D101" s="1130" t="s">
        <v>7</v>
      </c>
      <c r="E101" s="111" t="s">
        <v>1766</v>
      </c>
      <c r="F101" s="102"/>
      <c r="G101" s="534" t="s">
        <v>109</v>
      </c>
      <c r="H101" s="535"/>
      <c r="I101" s="821" t="str">
        <f>IFERROR(VLOOKUP(B98:B288,'RELATÓRIO ACC'!B:F,5,FALSE),"NOT PUBLISHED")</f>
        <v>NOT PUBLISHED</v>
      </c>
      <c r="J101" s="1119" t="str">
        <f>IFERROR(VLOOKUP(B98:B288,'RELATÓRIO ACC'!B:P,15,FALSE),"NOT PUBLISHED")</f>
        <v>NOT PUBLISHED</v>
      </c>
      <c r="K101" s="552" t="str">
        <f t="shared" si="641"/>
        <v>#REF!</v>
      </c>
      <c r="L101" s="552" t="str">
        <f t="shared" si="642"/>
        <v>#REF!</v>
      </c>
      <c r="M101" s="899"/>
      <c r="N101" s="1132" t="str">
        <f t="shared" si="643"/>
        <v>N/A</v>
      </c>
      <c r="O101" s="1133" t="str">
        <f t="shared" si="644"/>
        <v>N/A</v>
      </c>
      <c r="P101" s="1133" t="str">
        <f t="shared" si="645"/>
        <v>N/A</v>
      </c>
      <c r="Q101" s="1133" t="str">
        <f t="shared" si="646"/>
        <v>N/A</v>
      </c>
      <c r="R101" s="1133" t="str">
        <f t="shared" si="647"/>
        <v>N/A</v>
      </c>
      <c r="S101" s="1133" t="str">
        <f t="shared" si="648"/>
        <v>N/A</v>
      </c>
      <c r="T101" s="1133" t="str">
        <f t="shared" si="649"/>
        <v>N/A</v>
      </c>
      <c r="U101" s="1133" t="str">
        <f t="shared" si="650"/>
        <v>N/A</v>
      </c>
      <c r="V101" s="1122" t="str">
        <f t="shared" si="651"/>
        <v>N/A</v>
      </c>
      <c r="W101" s="1124" t="str">
        <f t="shared" si="652"/>
        <v>N/A</v>
      </c>
      <c r="X101" s="1124" t="str">
        <f t="shared" si="653"/>
        <v>N/A</v>
      </c>
      <c r="Y101" s="1136" t="str">
        <f>IFERROR(__xludf.DUMMYFUNCTION("IF(
  OR(W101=""NOT PUBLISHED"", W101=""N/A""),
  W101,
  IFERROR(MAX(FILTER(N101:W101, ISNUMBER(N101:W101))),"""")
)"),"N/A")</f>
        <v>N/A</v>
      </c>
      <c r="Z101" s="72" t="str">
        <f t="shared" si="654"/>
        <v>N/A</v>
      </c>
      <c r="AA101" s="1134" t="str">
        <f t="shared" si="655"/>
        <v>N/A</v>
      </c>
      <c r="AB101" s="1134" t="str">
        <f t="shared" si="656"/>
        <v>N/A</v>
      </c>
      <c r="AC101" s="1134" t="str">
        <f t="shared" si="657"/>
        <v>N/A</v>
      </c>
      <c r="AD101" s="1134" t="str">
        <f t="shared" si="658"/>
        <v>N/A</v>
      </c>
      <c r="AE101" s="1134" t="str">
        <f t="shared" si="659"/>
        <v>N/A</v>
      </c>
      <c r="AF101" s="1134" t="str">
        <f t="shared" si="660"/>
        <v>N/A</v>
      </c>
      <c r="AG101" s="1134" t="str">
        <f t="shared" si="661"/>
        <v>N/A</v>
      </c>
      <c r="AH101" s="1122" t="str">
        <f t="shared" si="662"/>
        <v>N/A</v>
      </c>
      <c r="AI101" s="1124" t="str">
        <f t="shared" si="663"/>
        <v>N/A</v>
      </c>
      <c r="AJ101" s="1124" t="str">
        <f t="shared" si="664"/>
        <v>N/A</v>
      </c>
      <c r="AK101" s="1136" t="str">
        <f>IFERROR(__xludf.DUMMYFUNCTION("IF(
  OR(AI101=""NOT PUBLISHED"", AI101=""N/A""),
  AI101,
  IFERROR(MAX(FILTER(Z101:AI101, ISNUMBER(Z101:AI101))),"""")
)"),"N/A")</f>
        <v>N/A</v>
      </c>
      <c r="AL101" s="72" t="str">
        <f t="shared" si="665"/>
        <v>N/A</v>
      </c>
      <c r="AM101" s="1134" t="str">
        <f t="shared" si="666"/>
        <v>N/A</v>
      </c>
      <c r="AN101" s="1134" t="str">
        <f t="shared" si="667"/>
        <v>N/A</v>
      </c>
      <c r="AO101" s="1134" t="str">
        <f t="shared" si="668"/>
        <v>N/A</v>
      </c>
      <c r="AP101" s="1126" t="str">
        <f t="shared" si="669"/>
        <v>N/A</v>
      </c>
      <c r="AQ101" s="1124" t="str">
        <f t="shared" si="670"/>
        <v>N/A</v>
      </c>
      <c r="AR101" s="1124" t="str">
        <f t="shared" si="671"/>
        <v>N/A</v>
      </c>
      <c r="AS101" s="1136" t="str">
        <f>IFERROR(__xludf.DUMMYFUNCTION("IF(
  OR(AQ101=""NOT PUBLISHED"", AQ101=""N/A""),
  AQ101,
  IFERROR(MAX(FILTER(AL101:AQ101, ISNUMBER(AL101:AQ101))),"""")
)"),"N/A")</f>
        <v>N/A</v>
      </c>
      <c r="AT101" s="72" t="str">
        <f t="shared" si="672"/>
        <v>N/A</v>
      </c>
      <c r="AU101" s="1134" t="str">
        <f t="shared" si="673"/>
        <v>N/A</v>
      </c>
      <c r="AV101" s="1134" t="str">
        <f t="shared" si="674"/>
        <v>N/A</v>
      </c>
      <c r="AW101" s="1134" t="str">
        <f t="shared" si="675"/>
        <v>N/A</v>
      </c>
      <c r="AX101" s="1134" t="str">
        <f t="shared" si="676"/>
        <v>N/A</v>
      </c>
      <c r="AY101" s="1135" t="str">
        <f t="shared" si="677"/>
        <v>N/A</v>
      </c>
      <c r="AZ101" s="1127" t="str">
        <f t="shared" si="678"/>
        <v>N/A</v>
      </c>
      <c r="BA101" s="1135" t="str">
        <f t="shared" si="679"/>
        <v>N/A</v>
      </c>
      <c r="BB101" s="1127" t="str">
        <f t="shared" si="680"/>
        <v>N/A</v>
      </c>
      <c r="BC101" s="1137" t="str">
        <f>IFERROR(__xludf.DUMMYFUNCTION("IF(
  OR(BA101=""NOT PUBLISHED"", BA101=""N/A""),
  BA101,
  IFERROR(MAX(FILTER(AT101:BA101, ISNUMBER(AT101:BA101))),"""")
)"),"N/A")</f>
        <v>N/A</v>
      </c>
      <c r="BD101" s="545"/>
      <c r="BE101" s="545"/>
      <c r="BF101" s="545"/>
    </row>
    <row r="102" ht="15.0" customHeight="1" outlineLevel="1">
      <c r="A102" s="53">
        <v>99.0</v>
      </c>
      <c r="B102" s="100" t="s">
        <v>1767</v>
      </c>
      <c r="C102" s="53">
        <v>99.0</v>
      </c>
      <c r="D102" s="1130" t="s">
        <v>7</v>
      </c>
      <c r="E102" s="101" t="s">
        <v>1768</v>
      </c>
      <c r="F102" s="102">
        <v>1122.0</v>
      </c>
      <c r="G102" s="534" t="s">
        <v>270</v>
      </c>
      <c r="H102" s="535">
        <v>0.0</v>
      </c>
      <c r="I102" s="821" t="str">
        <f>IFERROR(VLOOKUP(B99:B289,'RELATÓRIO ACC'!B:F,5,FALSE),"NOT PUBLISHED")</f>
        <v>NOT PUBLISHED</v>
      </c>
      <c r="J102" s="1119" t="str">
        <f>IFERROR(VLOOKUP(B99:B289,'RELATÓRIO ACC'!B:P,15,FALSE),"NOT PUBLISHED")</f>
        <v>NOT PUBLISHED</v>
      </c>
      <c r="K102" s="552" t="str">
        <f t="shared" si="641"/>
        <v>#REF!</v>
      </c>
      <c r="L102" s="552" t="str">
        <f t="shared" si="642"/>
        <v>#REF!</v>
      </c>
      <c r="M102" s="899"/>
      <c r="N102" s="1132" t="str">
        <f t="shared" si="643"/>
        <v>N/A</v>
      </c>
      <c r="O102" s="1133" t="str">
        <f t="shared" si="644"/>
        <v>N/A</v>
      </c>
      <c r="P102" s="1133" t="str">
        <f t="shared" si="645"/>
        <v>N/A</v>
      </c>
      <c r="Q102" s="1133" t="str">
        <f t="shared" si="646"/>
        <v>N/A</v>
      </c>
      <c r="R102" s="1133" t="str">
        <f t="shared" si="647"/>
        <v>N/A</v>
      </c>
      <c r="S102" s="1133" t="str">
        <f t="shared" si="648"/>
        <v>N/A</v>
      </c>
      <c r="T102" s="1133" t="str">
        <f t="shared" si="649"/>
        <v>N/A</v>
      </c>
      <c r="U102" s="1133" t="str">
        <f t="shared" si="650"/>
        <v>N/A</v>
      </c>
      <c r="V102" s="1122" t="str">
        <f t="shared" si="651"/>
        <v>N/A</v>
      </c>
      <c r="W102" s="1124" t="str">
        <f t="shared" si="652"/>
        <v>N/A</v>
      </c>
      <c r="X102" s="1124" t="str">
        <f t="shared" si="653"/>
        <v>N/A</v>
      </c>
      <c r="Y102" s="1136" t="str">
        <f>IFERROR(__xludf.DUMMYFUNCTION("IF(
  OR(W102=""NOT PUBLISHED"", W102=""N/A""),
  W102,
  IFERROR(MAX(FILTER(N102:W102, ISNUMBER(N102:W102))),"""")
)"),"N/A")</f>
        <v>N/A</v>
      </c>
      <c r="Z102" s="72" t="str">
        <f t="shared" si="654"/>
        <v>N/A</v>
      </c>
      <c r="AA102" s="1134" t="str">
        <f t="shared" si="655"/>
        <v>N/A</v>
      </c>
      <c r="AB102" s="1134" t="str">
        <f t="shared" si="656"/>
        <v>N/A</v>
      </c>
      <c r="AC102" s="1134" t="str">
        <f t="shared" si="657"/>
        <v>N/A</v>
      </c>
      <c r="AD102" s="1134" t="str">
        <f t="shared" si="658"/>
        <v>N/A</v>
      </c>
      <c r="AE102" s="1134" t="str">
        <f t="shared" si="659"/>
        <v>N/A</v>
      </c>
      <c r="AF102" s="1134" t="str">
        <f t="shared" si="660"/>
        <v>N/A</v>
      </c>
      <c r="AG102" s="1134" t="str">
        <f t="shared" si="661"/>
        <v>N/A</v>
      </c>
      <c r="AH102" s="1122" t="str">
        <f t="shared" si="662"/>
        <v>N/A</v>
      </c>
      <c r="AI102" s="1124" t="str">
        <f t="shared" si="663"/>
        <v>N/A</v>
      </c>
      <c r="AJ102" s="1124" t="str">
        <f t="shared" si="664"/>
        <v>N/A</v>
      </c>
      <c r="AK102" s="1136" t="str">
        <f>IFERROR(__xludf.DUMMYFUNCTION("IF(
  OR(AI102=""NOT PUBLISHED"", AI102=""N/A""),
  AI102,
  IFERROR(MAX(FILTER(Z102:AI102, ISNUMBER(Z102:AI102))),"""")
)"),"N/A")</f>
        <v>N/A</v>
      </c>
      <c r="AL102" s="72" t="str">
        <f t="shared" si="665"/>
        <v>N/A</v>
      </c>
      <c r="AM102" s="1134" t="str">
        <f t="shared" si="666"/>
        <v>N/A</v>
      </c>
      <c r="AN102" s="1134" t="str">
        <f t="shared" si="667"/>
        <v>N/A</v>
      </c>
      <c r="AO102" s="1134" t="str">
        <f t="shared" si="668"/>
        <v>N/A</v>
      </c>
      <c r="AP102" s="1126" t="str">
        <f t="shared" si="669"/>
        <v>N/A</v>
      </c>
      <c r="AQ102" s="1124" t="str">
        <f t="shared" si="670"/>
        <v>N/A</v>
      </c>
      <c r="AR102" s="1124" t="str">
        <f t="shared" si="671"/>
        <v>N/A</v>
      </c>
      <c r="AS102" s="1136" t="str">
        <f>IFERROR(__xludf.DUMMYFUNCTION("IF(
  OR(AQ102=""NOT PUBLISHED"", AQ102=""N/A""),
  AQ102,
  IFERROR(MAX(FILTER(AL102:AQ102, ISNUMBER(AL102:AQ102))),"""")
)"),"N/A")</f>
        <v>N/A</v>
      </c>
      <c r="AT102" s="72" t="str">
        <f t="shared" si="672"/>
        <v>N/A</v>
      </c>
      <c r="AU102" s="1134" t="str">
        <f t="shared" si="673"/>
        <v>N/A</v>
      </c>
      <c r="AV102" s="1134" t="str">
        <f t="shared" si="674"/>
        <v>N/A</v>
      </c>
      <c r="AW102" s="1134" t="str">
        <f t="shared" si="675"/>
        <v>N/A</v>
      </c>
      <c r="AX102" s="1134" t="str">
        <f t="shared" si="676"/>
        <v>N/A</v>
      </c>
      <c r="AY102" s="1135" t="str">
        <f t="shared" si="677"/>
        <v>N/A</v>
      </c>
      <c r="AZ102" s="1127" t="str">
        <f t="shared" si="678"/>
        <v>N/A</v>
      </c>
      <c r="BA102" s="1135" t="str">
        <f t="shared" si="679"/>
        <v>N/A</v>
      </c>
      <c r="BB102" s="1127" t="str">
        <f t="shared" si="680"/>
        <v>N/A</v>
      </c>
      <c r="BC102" s="1137" t="str">
        <f>IFERROR(__xludf.DUMMYFUNCTION("IF(
  OR(BA102=""NOT PUBLISHED"", BA102=""N/A""),
  BA102,
  IFERROR(MAX(FILTER(AT102:BA102, ISNUMBER(AT102:BA102))),"""")
)"),"N/A")</f>
        <v>N/A</v>
      </c>
      <c r="BD102" s="545"/>
      <c r="BE102" s="545"/>
      <c r="BF102" s="545"/>
    </row>
    <row r="103" ht="15.0" customHeight="1" outlineLevel="1">
      <c r="A103" s="53">
        <v>100.0</v>
      </c>
      <c r="B103" s="100" t="s">
        <v>1769</v>
      </c>
      <c r="C103" s="53">
        <v>100.0</v>
      </c>
      <c r="D103" s="1130" t="s">
        <v>1756</v>
      </c>
      <c r="E103" s="101" t="s">
        <v>1768</v>
      </c>
      <c r="F103" s="102">
        <v>1122.0</v>
      </c>
      <c r="G103" s="534" t="s">
        <v>270</v>
      </c>
      <c r="H103" s="535">
        <v>0.0</v>
      </c>
      <c r="I103" s="821" t="str">
        <f>IFERROR(VLOOKUP(B100:B290,'RELATÓRIO ACC'!B:F,5,FALSE),"NOT PUBLISHED")</f>
        <v>NOT PUBLISHED</v>
      </c>
      <c r="J103" s="1119" t="str">
        <f>IFERROR(VLOOKUP(B100:B290,'RELATÓRIO ACC'!B:P,15,FALSE),"NOT PUBLISHED")</f>
        <v>NOT PUBLISHED</v>
      </c>
      <c r="K103" s="552" t="str">
        <f t="shared" si="641"/>
        <v>#REF!</v>
      </c>
      <c r="L103" s="552" t="str">
        <f t="shared" si="642"/>
        <v>#REF!</v>
      </c>
      <c r="M103" s="899"/>
      <c r="N103" s="1132" t="str">
        <f t="shared" si="643"/>
        <v>N/A</v>
      </c>
      <c r="O103" s="1133" t="str">
        <f t="shared" si="644"/>
        <v>N/A</v>
      </c>
      <c r="P103" s="1133" t="str">
        <f t="shared" si="645"/>
        <v>N/A</v>
      </c>
      <c r="Q103" s="1133" t="str">
        <f t="shared" si="646"/>
        <v>N/A</v>
      </c>
      <c r="R103" s="1133" t="str">
        <f t="shared" si="647"/>
        <v>N/A</v>
      </c>
      <c r="S103" s="1133" t="str">
        <f t="shared" si="648"/>
        <v>N/A</v>
      </c>
      <c r="T103" s="1133" t="str">
        <f t="shared" si="649"/>
        <v>N/A</v>
      </c>
      <c r="U103" s="1133" t="str">
        <f t="shared" si="650"/>
        <v>N/A</v>
      </c>
      <c r="V103" s="1122" t="str">
        <f t="shared" si="651"/>
        <v>N/A</v>
      </c>
      <c r="W103" s="1124" t="str">
        <f t="shared" si="652"/>
        <v>N/A</v>
      </c>
      <c r="X103" s="1124" t="str">
        <f t="shared" si="653"/>
        <v>N/A</v>
      </c>
      <c r="Y103" s="1136" t="str">
        <f>IFERROR(__xludf.DUMMYFUNCTION("IF(
  OR(W103=""NOT PUBLISHED"", W103=""N/A""),
  W103,
  IFERROR(MAX(FILTER(N103:W103, ISNUMBER(N103:W103))),"""")
)"),"N/A")</f>
        <v>N/A</v>
      </c>
      <c r="Z103" s="72" t="str">
        <f t="shared" si="654"/>
        <v>N/A</v>
      </c>
      <c r="AA103" s="1134" t="str">
        <f t="shared" si="655"/>
        <v>N/A</v>
      </c>
      <c r="AB103" s="1134" t="str">
        <f t="shared" si="656"/>
        <v>N/A</v>
      </c>
      <c r="AC103" s="1134" t="str">
        <f t="shared" si="657"/>
        <v>N/A</v>
      </c>
      <c r="AD103" s="1134" t="str">
        <f t="shared" si="658"/>
        <v>N/A</v>
      </c>
      <c r="AE103" s="1134" t="str">
        <f t="shared" si="659"/>
        <v>N/A</v>
      </c>
      <c r="AF103" s="1134" t="str">
        <f t="shared" si="660"/>
        <v>N/A</v>
      </c>
      <c r="AG103" s="1134" t="str">
        <f t="shared" si="661"/>
        <v>N/A</v>
      </c>
      <c r="AH103" s="1122" t="str">
        <f t="shared" si="662"/>
        <v>N/A</v>
      </c>
      <c r="AI103" s="1124" t="str">
        <f t="shared" si="663"/>
        <v>N/A</v>
      </c>
      <c r="AJ103" s="1124" t="str">
        <f t="shared" si="664"/>
        <v>N/A</v>
      </c>
      <c r="AK103" s="1136" t="str">
        <f>IFERROR(__xludf.DUMMYFUNCTION("IF(
  OR(AI103=""NOT PUBLISHED"", AI103=""N/A""),
  AI103,
  IFERROR(MAX(FILTER(Z103:AI103, ISNUMBER(Z103:AI103))),"""")
)"),"N/A")</f>
        <v>N/A</v>
      </c>
      <c r="AL103" s="72" t="str">
        <f t="shared" si="665"/>
        <v>N/A</v>
      </c>
      <c r="AM103" s="1134" t="str">
        <f t="shared" si="666"/>
        <v>N/A</v>
      </c>
      <c r="AN103" s="1134" t="str">
        <f t="shared" si="667"/>
        <v>N/A</v>
      </c>
      <c r="AO103" s="1134" t="str">
        <f t="shared" si="668"/>
        <v>N/A</v>
      </c>
      <c r="AP103" s="1126" t="str">
        <f t="shared" si="669"/>
        <v>N/A</v>
      </c>
      <c r="AQ103" s="1124" t="str">
        <f t="shared" si="670"/>
        <v>N/A</v>
      </c>
      <c r="AR103" s="1124" t="str">
        <f t="shared" si="671"/>
        <v>N/A</v>
      </c>
      <c r="AS103" s="1136" t="str">
        <f>IFERROR(__xludf.DUMMYFUNCTION("IF(
  OR(AQ103=""NOT PUBLISHED"", AQ103=""N/A""),
  AQ103,
  IFERROR(MAX(FILTER(AL103:AQ103, ISNUMBER(AL103:AQ103))),"""")
)"),"N/A")</f>
        <v>N/A</v>
      </c>
      <c r="AT103" s="72" t="str">
        <f t="shared" si="672"/>
        <v>N/A</v>
      </c>
      <c r="AU103" s="1134" t="str">
        <f t="shared" si="673"/>
        <v>N/A</v>
      </c>
      <c r="AV103" s="1134" t="str">
        <f t="shared" si="674"/>
        <v>N/A</v>
      </c>
      <c r="AW103" s="1134" t="str">
        <f t="shared" si="675"/>
        <v>N/A</v>
      </c>
      <c r="AX103" s="1134" t="str">
        <f t="shared" si="676"/>
        <v>N/A</v>
      </c>
      <c r="AY103" s="1135" t="str">
        <f t="shared" si="677"/>
        <v>N/A</v>
      </c>
      <c r="AZ103" s="1127" t="str">
        <f t="shared" si="678"/>
        <v>N/A</v>
      </c>
      <c r="BA103" s="1135" t="str">
        <f t="shared" si="679"/>
        <v>N/A</v>
      </c>
      <c r="BB103" s="1127" t="str">
        <f t="shared" si="680"/>
        <v>N/A</v>
      </c>
      <c r="BC103" s="1137" t="str">
        <f>IFERROR(__xludf.DUMMYFUNCTION("IF(
  OR(BA103=""NOT PUBLISHED"", BA103=""N/A""),
  BA103,
  IFERROR(MAX(FILTER(AT103:BA103, ISNUMBER(AT103:BA103))),"""")
)"),"N/A")</f>
        <v>N/A</v>
      </c>
      <c r="BD103" s="545"/>
      <c r="BE103" s="545"/>
      <c r="BF103" s="545"/>
    </row>
    <row r="104" ht="15.0" customHeight="1" outlineLevel="1">
      <c r="A104" s="53">
        <v>101.0</v>
      </c>
      <c r="B104" s="100" t="s">
        <v>1770</v>
      </c>
      <c r="C104" s="53">
        <v>101.0</v>
      </c>
      <c r="D104" s="1130" t="s">
        <v>7</v>
      </c>
      <c r="E104" s="101" t="s">
        <v>1771</v>
      </c>
      <c r="F104" s="102">
        <v>1123.0</v>
      </c>
      <c r="G104" s="534" t="s">
        <v>270</v>
      </c>
      <c r="H104" s="535">
        <v>0.0</v>
      </c>
      <c r="I104" s="821" t="str">
        <f>IFERROR(VLOOKUP(B101:B291,'RELATÓRIO ACC'!B:F,5,FALSE),"NOT PUBLISHED")</f>
        <v>NOT PUBLISHED</v>
      </c>
      <c r="J104" s="1119" t="str">
        <f>IFERROR(VLOOKUP(B101:B291,'RELATÓRIO ACC'!B:P,15,FALSE),"NOT PUBLISHED")</f>
        <v>NOT PUBLISHED</v>
      </c>
      <c r="K104" s="552" t="str">
        <f t="shared" si="641"/>
        <v>#REF!</v>
      </c>
      <c r="L104" s="552" t="str">
        <f t="shared" si="642"/>
        <v>#REF!</v>
      </c>
      <c r="M104" s="899"/>
      <c r="N104" s="1132" t="str">
        <f t="shared" si="643"/>
        <v>N/A</v>
      </c>
      <c r="O104" s="1133" t="str">
        <f t="shared" si="644"/>
        <v>N/A</v>
      </c>
      <c r="P104" s="1133" t="str">
        <f t="shared" si="645"/>
        <v>N/A</v>
      </c>
      <c r="Q104" s="1133" t="str">
        <f t="shared" si="646"/>
        <v>N/A</v>
      </c>
      <c r="R104" s="1133" t="str">
        <f t="shared" si="647"/>
        <v>N/A</v>
      </c>
      <c r="S104" s="1133" t="str">
        <f t="shared" si="648"/>
        <v>N/A</v>
      </c>
      <c r="T104" s="1133" t="str">
        <f t="shared" si="649"/>
        <v>N/A</v>
      </c>
      <c r="U104" s="1133" t="str">
        <f t="shared" si="650"/>
        <v>N/A</v>
      </c>
      <c r="V104" s="1122" t="str">
        <f t="shared" si="651"/>
        <v>N/A</v>
      </c>
      <c r="W104" s="1124" t="str">
        <f t="shared" si="652"/>
        <v>N/A</v>
      </c>
      <c r="X104" s="1124" t="str">
        <f t="shared" si="653"/>
        <v>N/A</v>
      </c>
      <c r="Y104" s="1136" t="str">
        <f>IFERROR(__xludf.DUMMYFUNCTION("IF(
  OR(W104=""NOT PUBLISHED"", W104=""N/A""),
  W104,
  IFERROR(MAX(FILTER(N104:W104, ISNUMBER(N104:W104))),"""")
)"),"N/A")</f>
        <v>N/A</v>
      </c>
      <c r="Z104" s="72" t="str">
        <f t="shared" si="654"/>
        <v>N/A</v>
      </c>
      <c r="AA104" s="1134" t="str">
        <f t="shared" si="655"/>
        <v>N/A</v>
      </c>
      <c r="AB104" s="1134" t="str">
        <f t="shared" si="656"/>
        <v>N/A</v>
      </c>
      <c r="AC104" s="1134" t="str">
        <f t="shared" si="657"/>
        <v>N/A</v>
      </c>
      <c r="AD104" s="1134" t="str">
        <f t="shared" si="658"/>
        <v>N/A</v>
      </c>
      <c r="AE104" s="1134" t="str">
        <f t="shared" si="659"/>
        <v>N/A</v>
      </c>
      <c r="AF104" s="1134" t="str">
        <f t="shared" si="660"/>
        <v>N/A</v>
      </c>
      <c r="AG104" s="1134" t="str">
        <f t="shared" si="661"/>
        <v>N/A</v>
      </c>
      <c r="AH104" s="1122" t="str">
        <f t="shared" si="662"/>
        <v>N/A</v>
      </c>
      <c r="AI104" s="1124" t="str">
        <f t="shared" si="663"/>
        <v>N/A</v>
      </c>
      <c r="AJ104" s="1124" t="str">
        <f t="shared" si="664"/>
        <v>N/A</v>
      </c>
      <c r="AK104" s="1136" t="str">
        <f>IFERROR(__xludf.DUMMYFUNCTION("IF(
  OR(AI104=""NOT PUBLISHED"", AI104=""N/A""),
  AI104,
  IFERROR(MAX(FILTER(Z104:AI104, ISNUMBER(Z104:AI104))),"""")
)"),"N/A")</f>
        <v>N/A</v>
      </c>
      <c r="AL104" s="72" t="str">
        <f t="shared" si="665"/>
        <v>N/A</v>
      </c>
      <c r="AM104" s="1134" t="str">
        <f t="shared" si="666"/>
        <v>N/A</v>
      </c>
      <c r="AN104" s="1134" t="str">
        <f t="shared" si="667"/>
        <v>N/A</v>
      </c>
      <c r="AO104" s="1134" t="str">
        <f t="shared" si="668"/>
        <v>N/A</v>
      </c>
      <c r="AP104" s="1126" t="str">
        <f t="shared" si="669"/>
        <v>N/A</v>
      </c>
      <c r="AQ104" s="1124" t="str">
        <f t="shared" si="670"/>
        <v>N/A</v>
      </c>
      <c r="AR104" s="1124" t="str">
        <f t="shared" si="671"/>
        <v>N/A</v>
      </c>
      <c r="AS104" s="1136" t="str">
        <f>IFERROR(__xludf.DUMMYFUNCTION("IF(
  OR(AQ104=""NOT PUBLISHED"", AQ104=""N/A""),
  AQ104,
  IFERROR(MAX(FILTER(AL104:AQ104, ISNUMBER(AL104:AQ104))),"""")
)"),"N/A")</f>
        <v>N/A</v>
      </c>
      <c r="AT104" s="72" t="str">
        <f t="shared" si="672"/>
        <v>N/A</v>
      </c>
      <c r="AU104" s="1134" t="str">
        <f t="shared" si="673"/>
        <v>N/A</v>
      </c>
      <c r="AV104" s="1134" t="str">
        <f t="shared" si="674"/>
        <v>N/A</v>
      </c>
      <c r="AW104" s="1134" t="str">
        <f t="shared" si="675"/>
        <v>N/A</v>
      </c>
      <c r="AX104" s="1134" t="str">
        <f t="shared" si="676"/>
        <v>N/A</v>
      </c>
      <c r="AY104" s="1135" t="str">
        <f t="shared" si="677"/>
        <v>N/A</v>
      </c>
      <c r="AZ104" s="1127" t="str">
        <f t="shared" si="678"/>
        <v>N/A</v>
      </c>
      <c r="BA104" s="1135" t="str">
        <f t="shared" si="679"/>
        <v>N/A</v>
      </c>
      <c r="BB104" s="1127" t="str">
        <f t="shared" si="680"/>
        <v>N/A</v>
      </c>
      <c r="BC104" s="1137" t="str">
        <f>IFERROR(__xludf.DUMMYFUNCTION("IF(
  OR(BA104=""NOT PUBLISHED"", BA104=""N/A""),
  BA104,
  IFERROR(MAX(FILTER(AT104:BA104, ISNUMBER(AT104:BA104))),"""")
)"),"N/A")</f>
        <v>N/A</v>
      </c>
      <c r="BD104" s="545"/>
      <c r="BE104" s="545"/>
      <c r="BF104" s="545"/>
    </row>
    <row r="105" ht="15.0" customHeight="1" outlineLevel="1">
      <c r="A105" s="53">
        <v>102.0</v>
      </c>
      <c r="B105" s="100" t="s">
        <v>1772</v>
      </c>
      <c r="C105" s="53">
        <v>102.0</v>
      </c>
      <c r="D105" s="1130" t="s">
        <v>1756</v>
      </c>
      <c r="E105" s="101" t="s">
        <v>1771</v>
      </c>
      <c r="F105" s="102">
        <v>1123.0</v>
      </c>
      <c r="G105" s="534" t="s">
        <v>270</v>
      </c>
      <c r="H105" s="535">
        <v>0.0</v>
      </c>
      <c r="I105" s="821" t="str">
        <f>IFERROR(VLOOKUP(B102:B292,'RELATÓRIO ACC'!B:F,5,FALSE),"NOT PUBLISHED")</f>
        <v>NOT PUBLISHED</v>
      </c>
      <c r="J105" s="1119" t="str">
        <f>IFERROR(VLOOKUP(B102:B292,'RELATÓRIO ACC'!B:P,15,FALSE),"NOT PUBLISHED")</f>
        <v>NOT PUBLISHED</v>
      </c>
      <c r="K105" s="552" t="str">
        <f t="shared" si="641"/>
        <v>#REF!</v>
      </c>
      <c r="L105" s="552" t="str">
        <f t="shared" si="642"/>
        <v>#REF!</v>
      </c>
      <c r="M105" s="899"/>
      <c r="N105" s="1132" t="str">
        <f t="shared" si="643"/>
        <v>N/A</v>
      </c>
      <c r="O105" s="1133" t="str">
        <f t="shared" si="644"/>
        <v>N/A</v>
      </c>
      <c r="P105" s="1133" t="str">
        <f t="shared" si="645"/>
        <v>N/A</v>
      </c>
      <c r="Q105" s="1133" t="str">
        <f t="shared" si="646"/>
        <v>N/A</v>
      </c>
      <c r="R105" s="1133" t="str">
        <f t="shared" si="647"/>
        <v>N/A</v>
      </c>
      <c r="S105" s="1133" t="str">
        <f t="shared" si="648"/>
        <v>N/A</v>
      </c>
      <c r="T105" s="1133" t="str">
        <f t="shared" si="649"/>
        <v>N/A</v>
      </c>
      <c r="U105" s="1133" t="str">
        <f t="shared" si="650"/>
        <v>N/A</v>
      </c>
      <c r="V105" s="1122" t="str">
        <f t="shared" si="651"/>
        <v>N/A</v>
      </c>
      <c r="W105" s="1124" t="str">
        <f t="shared" si="652"/>
        <v>N/A</v>
      </c>
      <c r="X105" s="1124" t="str">
        <f t="shared" si="653"/>
        <v>N/A</v>
      </c>
      <c r="Y105" s="1136" t="str">
        <f>IFERROR(__xludf.DUMMYFUNCTION("IF(
  OR(W105=""NOT PUBLISHED"", W105=""N/A""),
  W105,
  IFERROR(MAX(FILTER(N105:W105, ISNUMBER(N105:W105))),"""")
)"),"N/A")</f>
        <v>N/A</v>
      </c>
      <c r="Z105" s="72" t="str">
        <f t="shared" si="654"/>
        <v>N/A</v>
      </c>
      <c r="AA105" s="1134" t="str">
        <f t="shared" si="655"/>
        <v>N/A</v>
      </c>
      <c r="AB105" s="1134" t="str">
        <f t="shared" si="656"/>
        <v>N/A</v>
      </c>
      <c r="AC105" s="1134" t="str">
        <f t="shared" si="657"/>
        <v>N/A</v>
      </c>
      <c r="AD105" s="1134" t="str">
        <f t="shared" si="658"/>
        <v>N/A</v>
      </c>
      <c r="AE105" s="1134" t="str">
        <f t="shared" si="659"/>
        <v>N/A</v>
      </c>
      <c r="AF105" s="1134" t="str">
        <f t="shared" si="660"/>
        <v>N/A</v>
      </c>
      <c r="AG105" s="1134" t="str">
        <f t="shared" si="661"/>
        <v>N/A</v>
      </c>
      <c r="AH105" s="1122" t="str">
        <f t="shared" si="662"/>
        <v>N/A</v>
      </c>
      <c r="AI105" s="1124" t="str">
        <f t="shared" si="663"/>
        <v>N/A</v>
      </c>
      <c r="AJ105" s="1124" t="str">
        <f t="shared" si="664"/>
        <v>N/A</v>
      </c>
      <c r="AK105" s="1136" t="str">
        <f>IFERROR(__xludf.DUMMYFUNCTION("IF(
  OR(AI105=""NOT PUBLISHED"", AI105=""N/A""),
  AI105,
  IFERROR(MAX(FILTER(Z105:AI105, ISNUMBER(Z105:AI105))),"""")
)"),"N/A")</f>
        <v>N/A</v>
      </c>
      <c r="AL105" s="72" t="str">
        <f t="shared" si="665"/>
        <v>N/A</v>
      </c>
      <c r="AM105" s="1134" t="str">
        <f t="shared" si="666"/>
        <v>N/A</v>
      </c>
      <c r="AN105" s="1134" t="str">
        <f t="shared" si="667"/>
        <v>N/A</v>
      </c>
      <c r="AO105" s="1134" t="str">
        <f t="shared" si="668"/>
        <v>N/A</v>
      </c>
      <c r="AP105" s="1126" t="str">
        <f t="shared" si="669"/>
        <v>N/A</v>
      </c>
      <c r="AQ105" s="1124" t="str">
        <f t="shared" si="670"/>
        <v>N/A</v>
      </c>
      <c r="AR105" s="1124" t="str">
        <f t="shared" si="671"/>
        <v>N/A</v>
      </c>
      <c r="AS105" s="1136" t="str">
        <f>IFERROR(__xludf.DUMMYFUNCTION("IF(
  OR(AQ105=""NOT PUBLISHED"", AQ105=""N/A""),
  AQ105,
  IFERROR(MAX(FILTER(AL105:AQ105, ISNUMBER(AL105:AQ105))),"""")
)"),"N/A")</f>
        <v>N/A</v>
      </c>
      <c r="AT105" s="72" t="str">
        <f t="shared" si="672"/>
        <v>N/A</v>
      </c>
      <c r="AU105" s="1134" t="str">
        <f t="shared" si="673"/>
        <v>N/A</v>
      </c>
      <c r="AV105" s="1134" t="str">
        <f t="shared" si="674"/>
        <v>N/A</v>
      </c>
      <c r="AW105" s="1134" t="str">
        <f t="shared" si="675"/>
        <v>N/A</v>
      </c>
      <c r="AX105" s="1134" t="str">
        <f t="shared" si="676"/>
        <v>N/A</v>
      </c>
      <c r="AY105" s="1135" t="str">
        <f t="shared" si="677"/>
        <v>N/A</v>
      </c>
      <c r="AZ105" s="1127" t="str">
        <f t="shared" si="678"/>
        <v>N/A</v>
      </c>
      <c r="BA105" s="1135" t="str">
        <f t="shared" si="679"/>
        <v>N/A</v>
      </c>
      <c r="BB105" s="1127" t="str">
        <f t="shared" si="680"/>
        <v>N/A</v>
      </c>
      <c r="BC105" s="1137" t="str">
        <f>IFERROR(__xludf.DUMMYFUNCTION("IF(
  OR(BA105=""NOT PUBLISHED"", BA105=""N/A""),
  BA105,
  IFERROR(MAX(FILTER(AT105:BA105, ISNUMBER(AT105:BA105))),"""")
)"),"N/A")</f>
        <v>N/A</v>
      </c>
      <c r="BD105" s="545"/>
      <c r="BE105" s="545"/>
      <c r="BF105" s="545"/>
    </row>
    <row r="106" ht="15.0" customHeight="1" outlineLevel="1">
      <c r="A106" s="53">
        <v>103.0</v>
      </c>
      <c r="B106" s="100" t="s">
        <v>284</v>
      </c>
      <c r="C106" s="53">
        <v>103.0</v>
      </c>
      <c r="D106" s="1130" t="s">
        <v>7</v>
      </c>
      <c r="E106" s="111" t="s">
        <v>91</v>
      </c>
      <c r="F106" s="102">
        <v>1104.0</v>
      </c>
      <c r="G106" s="517" t="s">
        <v>92</v>
      </c>
      <c r="H106" s="517">
        <v>1127.0</v>
      </c>
      <c r="I106" s="821" t="str">
        <f>IFERROR(VLOOKUP(B103:B293,'RELATÓRIO ACC'!B:F,5,FALSE),"NOT PUBLISHED")</f>
        <v>NOT PUBLISHED</v>
      </c>
      <c r="J106" s="1119" t="str">
        <f>IFERROR(VLOOKUP(B103:B293,'RELATÓRIO ACC'!B:P,15,FALSE),"NOT PUBLISHED")</f>
        <v>NOT PUBLISHED</v>
      </c>
      <c r="K106" s="552" t="str">
        <f t="shared" si="641"/>
        <v>#REF!</v>
      </c>
      <c r="L106" s="552" t="str">
        <f t="shared" si="642"/>
        <v>#REF!</v>
      </c>
      <c r="M106" s="899"/>
      <c r="N106" s="1132" t="str">
        <f t="shared" si="643"/>
        <v>N/A</v>
      </c>
      <c r="O106" s="1133" t="str">
        <f t="shared" si="644"/>
        <v>N/A</v>
      </c>
      <c r="P106" s="1133" t="str">
        <f t="shared" si="645"/>
        <v>N/A</v>
      </c>
      <c r="Q106" s="1133" t="str">
        <f t="shared" si="646"/>
        <v>N/A</v>
      </c>
      <c r="R106" s="1133" t="str">
        <f t="shared" si="647"/>
        <v>N/A</v>
      </c>
      <c r="S106" s="1133" t="str">
        <f t="shared" si="648"/>
        <v>N/A</v>
      </c>
      <c r="T106" s="1133" t="str">
        <f t="shared" si="649"/>
        <v>N/A</v>
      </c>
      <c r="U106" s="1133" t="str">
        <f t="shared" si="650"/>
        <v>N/A</v>
      </c>
      <c r="V106" s="1122" t="str">
        <f t="shared" si="651"/>
        <v>N/A</v>
      </c>
      <c r="W106" s="1124" t="str">
        <f t="shared" si="652"/>
        <v>N/A</v>
      </c>
      <c r="X106" s="1124" t="str">
        <f t="shared" si="653"/>
        <v>N/A</v>
      </c>
      <c r="Y106" s="1136" t="str">
        <f>IFERROR(__xludf.DUMMYFUNCTION("IF(
  OR(W106=""NOT PUBLISHED"", W106=""N/A""),
  W106,
  IFERROR(MAX(FILTER(N106:W106, ISNUMBER(N106:W106))),"""")
)"),"N/A")</f>
        <v>N/A</v>
      </c>
      <c r="Z106" s="72" t="str">
        <f t="shared" si="654"/>
        <v>N/A</v>
      </c>
      <c r="AA106" s="1134" t="str">
        <f t="shared" si="655"/>
        <v>N/A</v>
      </c>
      <c r="AB106" s="1134" t="str">
        <f t="shared" si="656"/>
        <v>N/A</v>
      </c>
      <c r="AC106" s="1134" t="str">
        <f t="shared" si="657"/>
        <v>N/A</v>
      </c>
      <c r="AD106" s="1134" t="str">
        <f t="shared" si="658"/>
        <v>N/A</v>
      </c>
      <c r="AE106" s="1134" t="str">
        <f t="shared" si="659"/>
        <v>N/A</v>
      </c>
      <c r="AF106" s="1134" t="str">
        <f t="shared" si="660"/>
        <v>N/A</v>
      </c>
      <c r="AG106" s="1134" t="str">
        <f t="shared" si="661"/>
        <v>N/A</v>
      </c>
      <c r="AH106" s="1122" t="str">
        <f t="shared" si="662"/>
        <v>N/A</v>
      </c>
      <c r="AI106" s="1124" t="str">
        <f t="shared" si="663"/>
        <v>N/A</v>
      </c>
      <c r="AJ106" s="1124" t="str">
        <f t="shared" si="664"/>
        <v>N/A</v>
      </c>
      <c r="AK106" s="1136" t="str">
        <f>IFERROR(__xludf.DUMMYFUNCTION("IF(
  OR(AI106=""NOT PUBLISHED"", AI106=""N/A""),
  AI106,
  IFERROR(MAX(FILTER(Z106:AI106, ISNUMBER(Z106:AI106))),"""")
)"),"N/A")</f>
        <v>N/A</v>
      </c>
      <c r="AL106" s="72" t="str">
        <f t="shared" si="665"/>
        <v>N/A</v>
      </c>
      <c r="AM106" s="1134" t="str">
        <f t="shared" si="666"/>
        <v>N/A</v>
      </c>
      <c r="AN106" s="1134" t="str">
        <f t="shared" si="667"/>
        <v>N/A</v>
      </c>
      <c r="AO106" s="1134" t="str">
        <f t="shared" si="668"/>
        <v>N/A</v>
      </c>
      <c r="AP106" s="1126" t="str">
        <f t="shared" si="669"/>
        <v>N/A</v>
      </c>
      <c r="AQ106" s="1124" t="str">
        <f t="shared" si="670"/>
        <v>N/A</v>
      </c>
      <c r="AR106" s="1124" t="str">
        <f t="shared" si="671"/>
        <v>N/A</v>
      </c>
      <c r="AS106" s="1136" t="str">
        <f>IFERROR(__xludf.DUMMYFUNCTION("IF(
  OR(AQ106=""NOT PUBLISHED"", AQ106=""N/A""),
  AQ106,
  IFERROR(MAX(FILTER(AL106:AQ106, ISNUMBER(AL106:AQ106))),"""")
)"),"N/A")</f>
        <v>N/A</v>
      </c>
      <c r="AT106" s="72" t="str">
        <f t="shared" si="672"/>
        <v>N/A</v>
      </c>
      <c r="AU106" s="1134" t="str">
        <f t="shared" si="673"/>
        <v>N/A</v>
      </c>
      <c r="AV106" s="1134" t="str">
        <f t="shared" si="674"/>
        <v>N/A</v>
      </c>
      <c r="AW106" s="1134" t="str">
        <f t="shared" si="675"/>
        <v>N/A</v>
      </c>
      <c r="AX106" s="1134" t="str">
        <f t="shared" si="676"/>
        <v>N/A</v>
      </c>
      <c r="AY106" s="1135" t="str">
        <f t="shared" si="677"/>
        <v>N/A</v>
      </c>
      <c r="AZ106" s="1127" t="str">
        <f t="shared" si="678"/>
        <v>N/A</v>
      </c>
      <c r="BA106" s="1135" t="str">
        <f t="shared" si="679"/>
        <v>N/A</v>
      </c>
      <c r="BB106" s="1127" t="str">
        <f t="shared" si="680"/>
        <v>N/A</v>
      </c>
      <c r="BC106" s="1137" t="str">
        <f>IFERROR(__xludf.DUMMYFUNCTION("IF(
  OR(BA106=""NOT PUBLISHED"", BA106=""N/A""),
  BA106,
  IFERROR(MAX(FILTER(AT106:BA106, ISNUMBER(AT106:BA106))),"""")
)"),"N/A")</f>
        <v>N/A</v>
      </c>
      <c r="BD106" s="545"/>
      <c r="BE106" s="545"/>
      <c r="BF106" s="545"/>
    </row>
    <row r="107" ht="15.0" customHeight="1" outlineLevel="1">
      <c r="A107" s="53">
        <v>104.0</v>
      </c>
      <c r="B107" s="100" t="s">
        <v>286</v>
      </c>
      <c r="C107" s="53">
        <v>104.0</v>
      </c>
      <c r="D107" s="1130" t="s">
        <v>7</v>
      </c>
      <c r="E107" s="111" t="s">
        <v>287</v>
      </c>
      <c r="F107" s="102">
        <v>1124.0</v>
      </c>
      <c r="G107" s="517" t="s">
        <v>105</v>
      </c>
      <c r="H107" s="535">
        <v>0.0</v>
      </c>
      <c r="I107" s="821" t="str">
        <f>IFERROR(VLOOKUP(B104:B294,'RELATÓRIO ACC'!B:F,5,FALSE),"NOT PUBLISHED")</f>
        <v>NOT PUBLISHED</v>
      </c>
      <c r="J107" s="1119" t="str">
        <f>IFERROR(VLOOKUP(B104:B294,'RELATÓRIO ACC'!B:P,15,FALSE),"NOT PUBLISHED")</f>
        <v>NOT PUBLISHED</v>
      </c>
      <c r="K107" s="552" t="str">
        <f t="shared" si="641"/>
        <v>#REF!</v>
      </c>
      <c r="L107" s="552" t="str">
        <f t="shared" si="642"/>
        <v>#REF!</v>
      </c>
      <c r="M107" s="899"/>
      <c r="N107" s="1132" t="str">
        <f t="shared" si="643"/>
        <v>N/A</v>
      </c>
      <c r="O107" s="1133" t="str">
        <f t="shared" si="644"/>
        <v>N/A</v>
      </c>
      <c r="P107" s="1133" t="str">
        <f t="shared" si="645"/>
        <v>N/A</v>
      </c>
      <c r="Q107" s="1133" t="str">
        <f t="shared" si="646"/>
        <v>N/A</v>
      </c>
      <c r="R107" s="1133" t="str">
        <f t="shared" si="647"/>
        <v>N/A</v>
      </c>
      <c r="S107" s="1133" t="str">
        <f t="shared" si="648"/>
        <v>N/A</v>
      </c>
      <c r="T107" s="1133" t="str">
        <f t="shared" si="649"/>
        <v>N/A</v>
      </c>
      <c r="U107" s="1133" t="str">
        <f t="shared" si="650"/>
        <v>N/A</v>
      </c>
      <c r="V107" s="1122" t="str">
        <f t="shared" si="651"/>
        <v>N/A</v>
      </c>
      <c r="W107" s="1124" t="str">
        <f t="shared" si="652"/>
        <v>N/A</v>
      </c>
      <c r="X107" s="1124" t="str">
        <f t="shared" si="653"/>
        <v>N/A</v>
      </c>
      <c r="Y107" s="1136" t="str">
        <f>IFERROR(__xludf.DUMMYFUNCTION("IF(
  OR(W107=""NOT PUBLISHED"", W107=""N/A""),
  W107,
  IFERROR(MAX(FILTER(N107:W107, ISNUMBER(N107:W107))),"""")
)"),"N/A")</f>
        <v>N/A</v>
      </c>
      <c r="Z107" s="72" t="str">
        <f t="shared" si="654"/>
        <v>N/A</v>
      </c>
      <c r="AA107" s="1134" t="str">
        <f t="shared" si="655"/>
        <v>N/A</v>
      </c>
      <c r="AB107" s="1134" t="str">
        <f t="shared" si="656"/>
        <v>N/A</v>
      </c>
      <c r="AC107" s="1134" t="str">
        <f t="shared" si="657"/>
        <v>N/A</v>
      </c>
      <c r="AD107" s="1134" t="str">
        <f t="shared" si="658"/>
        <v>N/A</v>
      </c>
      <c r="AE107" s="1134" t="str">
        <f t="shared" si="659"/>
        <v>N/A</v>
      </c>
      <c r="AF107" s="1134" t="str">
        <f t="shared" si="660"/>
        <v>N/A</v>
      </c>
      <c r="AG107" s="1134" t="str">
        <f t="shared" si="661"/>
        <v>N/A</v>
      </c>
      <c r="AH107" s="1122" t="str">
        <f t="shared" si="662"/>
        <v>N/A</v>
      </c>
      <c r="AI107" s="1124" t="str">
        <f t="shared" si="663"/>
        <v>N/A</v>
      </c>
      <c r="AJ107" s="1124" t="str">
        <f t="shared" si="664"/>
        <v>N/A</v>
      </c>
      <c r="AK107" s="1136" t="str">
        <f>IFERROR(__xludf.DUMMYFUNCTION("IF(
  OR(AI107=""NOT PUBLISHED"", AI107=""N/A""),
  AI107,
  IFERROR(MAX(FILTER(Z107:AI107, ISNUMBER(Z107:AI107))),"""")
)"),"N/A")</f>
        <v>N/A</v>
      </c>
      <c r="AL107" s="72" t="str">
        <f t="shared" si="665"/>
        <v>N/A</v>
      </c>
      <c r="AM107" s="1134" t="str">
        <f t="shared" si="666"/>
        <v>N/A</v>
      </c>
      <c r="AN107" s="1134" t="str">
        <f t="shared" si="667"/>
        <v>N/A</v>
      </c>
      <c r="AO107" s="1134" t="str">
        <f t="shared" si="668"/>
        <v>N/A</v>
      </c>
      <c r="AP107" s="1126" t="str">
        <f t="shared" si="669"/>
        <v>N/A</v>
      </c>
      <c r="AQ107" s="1124" t="str">
        <f t="shared" si="670"/>
        <v>N/A</v>
      </c>
      <c r="AR107" s="1124" t="str">
        <f t="shared" si="671"/>
        <v>N/A</v>
      </c>
      <c r="AS107" s="1136" t="str">
        <f>IFERROR(__xludf.DUMMYFUNCTION("IF(
  OR(AQ107=""NOT PUBLISHED"", AQ107=""N/A""),
  AQ107,
  IFERROR(MAX(FILTER(AL107:AQ107, ISNUMBER(AL107:AQ107))),"""")
)"),"N/A")</f>
        <v>N/A</v>
      </c>
      <c r="AT107" s="72" t="str">
        <f t="shared" si="672"/>
        <v>N/A</v>
      </c>
      <c r="AU107" s="1134" t="str">
        <f t="shared" si="673"/>
        <v>N/A</v>
      </c>
      <c r="AV107" s="1134" t="str">
        <f t="shared" si="674"/>
        <v>N/A</v>
      </c>
      <c r="AW107" s="1134" t="str">
        <f t="shared" si="675"/>
        <v>N/A</v>
      </c>
      <c r="AX107" s="1134" t="str">
        <f t="shared" si="676"/>
        <v>N/A</v>
      </c>
      <c r="AY107" s="1135" t="str">
        <f t="shared" si="677"/>
        <v>N/A</v>
      </c>
      <c r="AZ107" s="1127" t="str">
        <f t="shared" si="678"/>
        <v>N/A</v>
      </c>
      <c r="BA107" s="1135" t="str">
        <f t="shared" si="679"/>
        <v>N/A</v>
      </c>
      <c r="BB107" s="1127" t="str">
        <f t="shared" si="680"/>
        <v>N/A</v>
      </c>
      <c r="BC107" s="1137" t="str">
        <f>IFERROR(__xludf.DUMMYFUNCTION("IF(
  OR(BA107=""NOT PUBLISHED"", BA107=""N/A""),
  BA107,
  IFERROR(MAX(FILTER(AT107:BA107, ISNUMBER(AT107:BA107))),"""")
)"),"N/A")</f>
        <v>N/A</v>
      </c>
      <c r="BD107" s="545"/>
      <c r="BE107" s="545"/>
      <c r="BF107" s="545"/>
    </row>
    <row r="108" ht="15.0" customHeight="1" outlineLevel="1">
      <c r="A108" s="53">
        <v>105.0</v>
      </c>
      <c r="B108" s="100" t="s">
        <v>288</v>
      </c>
      <c r="C108" s="53">
        <v>105.0</v>
      </c>
      <c r="D108" s="1130" t="s">
        <v>2</v>
      </c>
      <c r="E108" s="101" t="s">
        <v>289</v>
      </c>
      <c r="F108" s="102">
        <v>1125.0</v>
      </c>
      <c r="G108" s="517" t="s">
        <v>289</v>
      </c>
      <c r="H108" s="517">
        <v>1125.0</v>
      </c>
      <c r="I108" s="821" t="str">
        <f>IFERROR(VLOOKUP(B105:B295,'RELATÓRIO ACC'!B:F,5,FALSE),"NOT PUBLISHED")</f>
        <v>V1</v>
      </c>
      <c r="J108" s="1119" t="str">
        <f>IFERROR(VLOOKUP(B105:B295,'RELATÓRIO ACC'!B:P,15,FALSE),"NOT PUBLISHED")</f>
        <v>21/05/2026</v>
      </c>
      <c r="K108" s="552" t="str">
        <f t="shared" si="641"/>
        <v>#REF!</v>
      </c>
      <c r="L108" s="552" t="str">
        <f t="shared" si="642"/>
        <v>#REF!</v>
      </c>
      <c r="M108" s="899" t="s">
        <v>461</v>
      </c>
      <c r="N108" s="1132" t="str">
        <f t="shared" si="643"/>
        <v>N/A</v>
      </c>
      <c r="O108" s="1133" t="str">
        <f t="shared" si="644"/>
        <v>N/A</v>
      </c>
      <c r="P108" s="1133" t="str">
        <f t="shared" si="645"/>
        <v>N/A</v>
      </c>
      <c r="Q108" s="1133" t="str">
        <f t="shared" si="646"/>
        <v>N/A</v>
      </c>
      <c r="R108" s="1133" t="str">
        <f t="shared" si="647"/>
        <v>N/A</v>
      </c>
      <c r="S108" s="1133" t="str">
        <f t="shared" si="648"/>
        <v>N/A</v>
      </c>
      <c r="T108" s="1133" t="str">
        <f t="shared" si="649"/>
        <v>N/A</v>
      </c>
      <c r="U108" s="1133" t="str">
        <f t="shared" si="650"/>
        <v>N/A</v>
      </c>
      <c r="V108" s="1122" t="str">
        <f t="shared" si="651"/>
        <v>N/A</v>
      </c>
      <c r="W108" s="1124" t="str">
        <f t="shared" si="652"/>
        <v>N/A</v>
      </c>
      <c r="X108" s="1124" t="str">
        <f t="shared" si="653"/>
        <v>N/A</v>
      </c>
      <c r="Y108" s="1125" t="str">
        <f>IFERROR(__xludf.DUMMYFUNCTION("IF(
  OR(X108=""NOT PUBLISHED"", X108=""N/A""),
  X108,
  IFERROR(MAX(FILTER(N108:X108, ISNUMBER(N108:X108))),"""")
)"),"N/A")</f>
        <v>N/A</v>
      </c>
      <c r="Z108" s="72" t="str">
        <f t="shared" si="654"/>
        <v>N/A</v>
      </c>
      <c r="AA108" s="1134" t="str">
        <f t="shared" si="655"/>
        <v>N/A</v>
      </c>
      <c r="AB108" s="1134" t="str">
        <f t="shared" si="656"/>
        <v>N/A</v>
      </c>
      <c r="AC108" s="1134" t="str">
        <f t="shared" si="657"/>
        <v>N/A</v>
      </c>
      <c r="AD108" s="1134" t="str">
        <f t="shared" si="658"/>
        <v>N/A</v>
      </c>
      <c r="AE108" s="1134" t="str">
        <f t="shared" si="659"/>
        <v>N/A</v>
      </c>
      <c r="AF108" s="1134" t="str">
        <f t="shared" si="660"/>
        <v>N/A</v>
      </c>
      <c r="AG108" s="1134" t="str">
        <f t="shared" si="661"/>
        <v>N/A</v>
      </c>
      <c r="AH108" s="1122" t="str">
        <f t="shared" si="662"/>
        <v>N/A</v>
      </c>
      <c r="AI108" s="1124" t="str">
        <f t="shared" si="663"/>
        <v>N/A</v>
      </c>
      <c r="AJ108" s="1124" t="str">
        <f t="shared" si="664"/>
        <v>N/A</v>
      </c>
      <c r="AK108" s="1125" t="str">
        <f>IFERROR(__xludf.DUMMYFUNCTION("IF(
  OR(AJ108=""NOT PUBLISHED"", AJ108=""N/A""),
  AJ108,
  IFERROR(MAX(FILTER(Z108:AJ108, ISNUMBER(Z108:AJ108))),"""")
)"),"N/A")</f>
        <v>N/A</v>
      </c>
      <c r="AL108" s="72" t="str">
        <f t="shared" si="665"/>
        <v>N/A</v>
      </c>
      <c r="AM108" s="1134" t="str">
        <f t="shared" si="666"/>
        <v>N/A</v>
      </c>
      <c r="AN108" s="1134" t="str">
        <f t="shared" si="667"/>
        <v>N/A</v>
      </c>
      <c r="AO108" s="1134" t="str">
        <f t="shared" si="668"/>
        <v>N/A</v>
      </c>
      <c r="AP108" s="1126" t="str">
        <f t="shared" si="669"/>
        <v>N/A</v>
      </c>
      <c r="AQ108" s="1124" t="str">
        <f t="shared" si="670"/>
        <v>N/A</v>
      </c>
      <c r="AR108" s="1124" t="str">
        <f t="shared" si="671"/>
        <v>N/A</v>
      </c>
      <c r="AS108" s="1125" t="str">
        <f>IFERROR(__xludf.DUMMYFUNCTION("IF(
  OR(AR108=""NOT PUBLISHED"", AR108=""N/A""),
  AR108,
  IFERROR(MAX(FILTER(AL108:AR108, ISNUMBER(AL108:AR108))),"""")
)"),"N/A")</f>
        <v>N/A</v>
      </c>
      <c r="AT108" s="72" t="str">
        <f t="shared" si="672"/>
        <v>N/A</v>
      </c>
      <c r="AU108" s="1134" t="str">
        <f t="shared" si="673"/>
        <v>N/A</v>
      </c>
      <c r="AV108" s="1134" t="str">
        <f t="shared" si="674"/>
        <v>N/A</v>
      </c>
      <c r="AW108" s="1134" t="str">
        <f t="shared" si="675"/>
        <v>N/A</v>
      </c>
      <c r="AX108" s="1134" t="str">
        <f t="shared" si="676"/>
        <v>N/A</v>
      </c>
      <c r="AY108" s="1135" t="str">
        <f t="shared" si="677"/>
        <v>N/A</v>
      </c>
      <c r="AZ108" s="1127" t="str">
        <f t="shared" si="678"/>
        <v>N/A</v>
      </c>
      <c r="BA108" s="1135" t="str">
        <f t="shared" si="679"/>
        <v>N/A</v>
      </c>
      <c r="BB108" s="1127" t="str">
        <f t="shared" si="680"/>
        <v>N/A</v>
      </c>
      <c r="BC108" s="1128" t="str">
        <f>IFERROR(__xludf.DUMMYFUNCTION("IF(
  OR(BB108=""NOT PUBLISHED"", BB108=""N/A""),
  BB108,
  IFERROR(MAX(FILTER(AT108:BB108, ISNUMBER(AT108:BB108))),"""")
)"),"N/A")</f>
        <v>N/A</v>
      </c>
      <c r="BD108" s="1129"/>
      <c r="BE108" s="1129"/>
      <c r="BF108" s="1129"/>
    </row>
    <row r="109" ht="15.0" customHeight="1" outlineLevel="1">
      <c r="A109" s="53">
        <v>106.0</v>
      </c>
      <c r="B109" s="100" t="s">
        <v>290</v>
      </c>
      <c r="C109" s="53">
        <v>106.0</v>
      </c>
      <c r="D109" s="1268" t="s">
        <v>1773</v>
      </c>
      <c r="E109" s="101" t="s">
        <v>289</v>
      </c>
      <c r="F109" s="102">
        <v>1125.0</v>
      </c>
      <c r="G109" s="517" t="s">
        <v>289</v>
      </c>
      <c r="H109" s="517">
        <v>1125.0</v>
      </c>
      <c r="I109" s="821" t="str">
        <f>IFERROR(VLOOKUP(B106:B296,'RELATÓRIO ACC'!B:F,5,FALSE),"NOT PUBLISHED")</f>
        <v>V1</v>
      </c>
      <c r="J109" s="1119" t="str">
        <f>IFERROR(VLOOKUP(B106:B296,'RELATÓRIO ACC'!B:P,15,FALSE),"NOT PUBLISHED")</f>
        <v>21/05/2026</v>
      </c>
      <c r="K109" s="552" t="str">
        <f t="shared" si="641"/>
        <v>#REF!</v>
      </c>
      <c r="L109" s="552" t="str">
        <f t="shared" si="642"/>
        <v>#REF!</v>
      </c>
      <c r="M109" s="899" t="s">
        <v>1764</v>
      </c>
      <c r="N109" s="1132" t="str">
        <f t="shared" si="643"/>
        <v>N/A</v>
      </c>
      <c r="O109" s="1133" t="str">
        <f t="shared" si="644"/>
        <v>N/A</v>
      </c>
      <c r="P109" s="1133" t="str">
        <f t="shared" si="645"/>
        <v>N/A</v>
      </c>
      <c r="Q109" s="1133" t="str">
        <f t="shared" si="646"/>
        <v>N/A</v>
      </c>
      <c r="R109" s="1133" t="str">
        <f t="shared" si="647"/>
        <v>N/A</v>
      </c>
      <c r="S109" s="1133" t="str">
        <f t="shared" si="648"/>
        <v>N/A</v>
      </c>
      <c r="T109" s="1133" t="str">
        <f t="shared" si="649"/>
        <v>N/A</v>
      </c>
      <c r="U109" s="1133" t="str">
        <f t="shared" si="650"/>
        <v>N/A</v>
      </c>
      <c r="V109" s="1122" t="str">
        <f t="shared" si="651"/>
        <v>N/A</v>
      </c>
      <c r="W109" s="1124" t="str">
        <f t="shared" si="652"/>
        <v>N/A</v>
      </c>
      <c r="X109" s="1124" t="str">
        <f t="shared" si="653"/>
        <v>N/A</v>
      </c>
      <c r="Y109" s="1125" t="str">
        <f>IFERROR(__xludf.DUMMYFUNCTION("IF(
  OR(X109=""NOT PUBLISHED"", X109=""N/A""),
  X109,
  IFERROR(MAX(FILTER(N109:X109, ISNUMBER(N109:X109))),"""")
)"),"N/A")</f>
        <v>N/A</v>
      </c>
      <c r="Z109" s="72" t="str">
        <f t="shared" si="654"/>
        <v>N/A</v>
      </c>
      <c r="AA109" s="1134" t="str">
        <f t="shared" si="655"/>
        <v>N/A</v>
      </c>
      <c r="AB109" s="1134" t="str">
        <f t="shared" si="656"/>
        <v>N/A</v>
      </c>
      <c r="AC109" s="1134" t="str">
        <f t="shared" si="657"/>
        <v>N/A</v>
      </c>
      <c r="AD109" s="1134" t="str">
        <f t="shared" si="658"/>
        <v>N/A</v>
      </c>
      <c r="AE109" s="1134" t="str">
        <f t="shared" si="659"/>
        <v>N/A</v>
      </c>
      <c r="AF109" s="1134" t="str">
        <f t="shared" si="660"/>
        <v>N/A</v>
      </c>
      <c r="AG109" s="1134" t="str">
        <f t="shared" si="661"/>
        <v>N/A</v>
      </c>
      <c r="AH109" s="1122" t="str">
        <f t="shared" si="662"/>
        <v>N/A</v>
      </c>
      <c r="AI109" s="1124" t="str">
        <f t="shared" si="663"/>
        <v>N/A</v>
      </c>
      <c r="AJ109" s="1124" t="str">
        <f t="shared" si="664"/>
        <v>N/A</v>
      </c>
      <c r="AK109" s="1125" t="str">
        <f>IFERROR(__xludf.DUMMYFUNCTION("IF(
  OR(AJ109=""NOT PUBLISHED"", AJ109=""N/A""),
  AJ109,
  IFERROR(MAX(FILTER(Z109:AJ109, ISNUMBER(Z109:AJ109))),"""")
)"),"N/A")</f>
        <v>N/A</v>
      </c>
      <c r="AL109" s="72" t="str">
        <f t="shared" si="665"/>
        <v>N/A</v>
      </c>
      <c r="AM109" s="1134" t="str">
        <f t="shared" si="666"/>
        <v>N/A</v>
      </c>
      <c r="AN109" s="1134" t="str">
        <f t="shared" si="667"/>
        <v>N/A</v>
      </c>
      <c r="AO109" s="1134" t="str">
        <f t="shared" si="668"/>
        <v>N/A</v>
      </c>
      <c r="AP109" s="1126" t="str">
        <f t="shared" si="669"/>
        <v>N/A</v>
      </c>
      <c r="AQ109" s="1124" t="str">
        <f t="shared" si="670"/>
        <v>N/A</v>
      </c>
      <c r="AR109" s="1124" t="str">
        <f t="shared" si="671"/>
        <v>N/A</v>
      </c>
      <c r="AS109" s="1125" t="str">
        <f>IFERROR(__xludf.DUMMYFUNCTION("IF(
  OR(AR109=""NOT PUBLISHED"", AR109=""N/A""),
  AR109,
  IFERROR(MAX(FILTER(AL109:AR109, ISNUMBER(AL109:AR109))),"""")
)"),"N/A")</f>
        <v>N/A</v>
      </c>
      <c r="AT109" s="72" t="str">
        <f t="shared" si="672"/>
        <v>N/A</v>
      </c>
      <c r="AU109" s="1134" t="str">
        <f t="shared" si="673"/>
        <v>N/A</v>
      </c>
      <c r="AV109" s="1134" t="str">
        <f t="shared" si="674"/>
        <v>N/A</v>
      </c>
      <c r="AW109" s="1134" t="str">
        <f t="shared" si="675"/>
        <v>N/A</v>
      </c>
      <c r="AX109" s="1134" t="str">
        <f t="shared" si="676"/>
        <v>N/A</v>
      </c>
      <c r="AY109" s="1135" t="str">
        <f t="shared" si="677"/>
        <v>N/A</v>
      </c>
      <c r="AZ109" s="1127" t="str">
        <f t="shared" si="678"/>
        <v>N/A</v>
      </c>
      <c r="BA109" s="1135" t="str">
        <f t="shared" si="679"/>
        <v>N/A</v>
      </c>
      <c r="BB109" s="1127" t="str">
        <f t="shared" si="680"/>
        <v>N/A</v>
      </c>
      <c r="BC109" s="1128" t="str">
        <f>IFERROR(__xludf.DUMMYFUNCTION("IF(
  OR(BB109=""NOT PUBLISHED"", BB109=""N/A""),
  BB109,
  IFERROR(MAX(FILTER(AT109:BB109, ISNUMBER(AT109:BB109))),"""")
)"),"N/A")</f>
        <v>N/A</v>
      </c>
      <c r="BD109" s="1129"/>
      <c r="BE109" s="1129"/>
      <c r="BF109" s="1129"/>
    </row>
    <row r="110" ht="15.0" customHeight="1" outlineLevel="1">
      <c r="A110" s="53">
        <v>107.0</v>
      </c>
      <c r="B110" s="100" t="s">
        <v>291</v>
      </c>
      <c r="C110" s="53">
        <v>107.0</v>
      </c>
      <c r="D110" s="1268" t="s">
        <v>1774</v>
      </c>
      <c r="E110" s="101" t="s">
        <v>289</v>
      </c>
      <c r="F110" s="102">
        <v>1125.0</v>
      </c>
      <c r="G110" s="102" t="s">
        <v>289</v>
      </c>
      <c r="H110" s="650">
        <v>1125.0</v>
      </c>
      <c r="I110" s="821" t="str">
        <f>IFERROR(VLOOKUP(B107:B297,'RELATÓRIO ACC'!B:F,5,FALSE),"NOT PUBLISHED")</f>
        <v>V1</v>
      </c>
      <c r="J110" s="1119" t="str">
        <f>IFERROR(VLOOKUP(B107:B297,'RELATÓRIO ACC'!B:P,15,FALSE),"NOT PUBLISHED")</f>
        <v>21/05/2026</v>
      </c>
      <c r="K110" s="552" t="str">
        <f t="shared" si="641"/>
        <v>#REF!</v>
      </c>
      <c r="L110" s="552" t="str">
        <f t="shared" si="642"/>
        <v>#REF!</v>
      </c>
      <c r="M110" s="187"/>
      <c r="N110" s="1132" t="str">
        <f t="shared" si="643"/>
        <v>N/A</v>
      </c>
      <c r="O110" s="1133" t="str">
        <f t="shared" si="644"/>
        <v>N/A</v>
      </c>
      <c r="P110" s="1133" t="str">
        <f t="shared" si="645"/>
        <v>N/A</v>
      </c>
      <c r="Q110" s="1133" t="str">
        <f t="shared" si="646"/>
        <v>N/A</v>
      </c>
      <c r="R110" s="1133" t="str">
        <f t="shared" si="647"/>
        <v>N/A</v>
      </c>
      <c r="S110" s="1133" t="str">
        <f t="shared" si="648"/>
        <v>N/A</v>
      </c>
      <c r="T110" s="1133" t="str">
        <f t="shared" si="649"/>
        <v>N/A</v>
      </c>
      <c r="U110" s="1133" t="str">
        <f t="shared" si="650"/>
        <v>N/A</v>
      </c>
      <c r="V110" s="1122" t="str">
        <f t="shared" si="651"/>
        <v>N/A</v>
      </c>
      <c r="W110" s="1124" t="str">
        <f t="shared" si="652"/>
        <v>N/A</v>
      </c>
      <c r="X110" s="1124" t="str">
        <f t="shared" si="653"/>
        <v>N/A</v>
      </c>
      <c r="Y110" s="1125" t="str">
        <f>IFERROR(__xludf.DUMMYFUNCTION("IF(
  OR(X110=""NOT PUBLISHED"", X110=""N/A""),
  X110,
  IFERROR(MAX(FILTER(N110:X110, ISNUMBER(N110:X110))),"""")
)"),"N/A")</f>
        <v>N/A</v>
      </c>
      <c r="Z110" s="72" t="str">
        <f t="shared" si="654"/>
        <v>N/A</v>
      </c>
      <c r="AA110" s="1134" t="str">
        <f t="shared" si="655"/>
        <v>N/A</v>
      </c>
      <c r="AB110" s="1134" t="str">
        <f t="shared" si="656"/>
        <v>N/A</v>
      </c>
      <c r="AC110" s="1134" t="str">
        <f t="shared" si="657"/>
        <v>N/A</v>
      </c>
      <c r="AD110" s="1134" t="str">
        <f t="shared" si="658"/>
        <v>N/A</v>
      </c>
      <c r="AE110" s="1134" t="str">
        <f t="shared" si="659"/>
        <v>N/A</v>
      </c>
      <c r="AF110" s="1134" t="str">
        <f t="shared" si="660"/>
        <v>N/A</v>
      </c>
      <c r="AG110" s="1134" t="str">
        <f t="shared" si="661"/>
        <v>N/A</v>
      </c>
      <c r="AH110" s="1122" t="str">
        <f t="shared" si="662"/>
        <v>N/A</v>
      </c>
      <c r="AI110" s="1124" t="str">
        <f t="shared" si="663"/>
        <v>N/A</v>
      </c>
      <c r="AJ110" s="1124" t="str">
        <f t="shared" si="664"/>
        <v>N/A</v>
      </c>
      <c r="AK110" s="1125" t="str">
        <f>IFERROR(__xludf.DUMMYFUNCTION("IF(
  OR(AJ110=""NOT PUBLISHED"", AJ110=""N/A""),
  AJ110,
  IFERROR(MAX(FILTER(Z110:AJ110, ISNUMBER(Z110:AJ110))),"""")
)"),"N/A")</f>
        <v>N/A</v>
      </c>
      <c r="AL110" s="72" t="str">
        <f t="shared" si="665"/>
        <v>N/A</v>
      </c>
      <c r="AM110" s="1134" t="str">
        <f t="shared" si="666"/>
        <v>N/A</v>
      </c>
      <c r="AN110" s="1134" t="str">
        <f t="shared" si="667"/>
        <v>N/A</v>
      </c>
      <c r="AO110" s="1134" t="str">
        <f t="shared" si="668"/>
        <v>N/A</v>
      </c>
      <c r="AP110" s="1126" t="str">
        <f t="shared" si="669"/>
        <v>N/A</v>
      </c>
      <c r="AQ110" s="1124" t="str">
        <f t="shared" si="670"/>
        <v>N/A</v>
      </c>
      <c r="AR110" s="1124" t="str">
        <f t="shared" si="671"/>
        <v>N/A</v>
      </c>
      <c r="AS110" s="1125" t="str">
        <f>IFERROR(__xludf.DUMMYFUNCTION("IF(
  OR(AR110=""NOT PUBLISHED"", AR110=""N/A""),
  AR110,
  IFERROR(MAX(FILTER(AL110:AR110, ISNUMBER(AL110:AR110))),"""")
)"),"N/A")</f>
        <v>N/A</v>
      </c>
      <c r="AT110" s="72" t="str">
        <f t="shared" si="672"/>
        <v>N/A</v>
      </c>
      <c r="AU110" s="1134" t="str">
        <f t="shared" si="673"/>
        <v>N/A</v>
      </c>
      <c r="AV110" s="1134" t="str">
        <f t="shared" si="674"/>
        <v>N/A</v>
      </c>
      <c r="AW110" s="1134" t="str">
        <f t="shared" si="675"/>
        <v>N/A</v>
      </c>
      <c r="AX110" s="1134" t="str">
        <f t="shared" si="676"/>
        <v>N/A</v>
      </c>
      <c r="AY110" s="1135" t="str">
        <f t="shared" si="677"/>
        <v>N/A</v>
      </c>
      <c r="AZ110" s="1127" t="str">
        <f t="shared" si="678"/>
        <v>N/A</v>
      </c>
      <c r="BA110" s="1135" t="str">
        <f t="shared" si="679"/>
        <v>N/A</v>
      </c>
      <c r="BB110" s="1127" t="str">
        <f t="shared" si="680"/>
        <v>N/A</v>
      </c>
      <c r="BC110" s="1128" t="str">
        <f>IFERROR(__xludf.DUMMYFUNCTION("IF(
  OR(BB110=""NOT PUBLISHED"", BB110=""N/A""),
  BB110,
  IFERROR(MAX(FILTER(AT110:BB110, ISNUMBER(AT110:BB110))),"""")
)"),"N/A")</f>
        <v>N/A</v>
      </c>
      <c r="BD110" s="1129"/>
      <c r="BE110" s="1129"/>
      <c r="BF110" s="1129"/>
    </row>
    <row r="111" ht="15.0" customHeight="1" outlineLevel="1">
      <c r="A111" s="53">
        <v>108.0</v>
      </c>
      <c r="B111" s="100" t="s">
        <v>292</v>
      </c>
      <c r="C111" s="53">
        <v>108.0</v>
      </c>
      <c r="D111" s="1268" t="s">
        <v>1775</v>
      </c>
      <c r="E111" s="101" t="s">
        <v>289</v>
      </c>
      <c r="F111" s="102">
        <v>1125.0</v>
      </c>
      <c r="G111" s="102" t="s">
        <v>289</v>
      </c>
      <c r="H111" s="517">
        <v>1125.0</v>
      </c>
      <c r="I111" s="821" t="str">
        <f>IFERROR(VLOOKUP(B108:B298,'RELATÓRIO ACC'!B:F,5,FALSE),"NOT PUBLISHED")</f>
        <v>V1</v>
      </c>
      <c r="J111" s="1119" t="str">
        <f>IFERROR(VLOOKUP(B108:B298,'RELATÓRIO ACC'!B:P,15,FALSE),"NOT PUBLISHED")</f>
        <v>21/05/2026</v>
      </c>
      <c r="K111" s="552" t="str">
        <f t="shared" si="641"/>
        <v>#REF!</v>
      </c>
      <c r="L111" s="552" t="str">
        <f t="shared" si="642"/>
        <v>#REF!</v>
      </c>
      <c r="M111" s="899"/>
      <c r="N111" s="1132" t="str">
        <f t="shared" si="643"/>
        <v>N/A</v>
      </c>
      <c r="O111" s="1133" t="str">
        <f t="shared" si="644"/>
        <v>N/A</v>
      </c>
      <c r="P111" s="1133" t="str">
        <f t="shared" si="645"/>
        <v>N/A</v>
      </c>
      <c r="Q111" s="1133" t="str">
        <f t="shared" si="646"/>
        <v>N/A</v>
      </c>
      <c r="R111" s="1133" t="str">
        <f t="shared" si="647"/>
        <v>N/A</v>
      </c>
      <c r="S111" s="1133" t="str">
        <f t="shared" si="648"/>
        <v>N/A</v>
      </c>
      <c r="T111" s="1133" t="str">
        <f t="shared" si="649"/>
        <v>N/A</v>
      </c>
      <c r="U111" s="1133" t="str">
        <f t="shared" si="650"/>
        <v>N/A</v>
      </c>
      <c r="V111" s="1122" t="str">
        <f t="shared" si="651"/>
        <v>N/A</v>
      </c>
      <c r="W111" s="1124" t="str">
        <f t="shared" si="652"/>
        <v>N/A</v>
      </c>
      <c r="X111" s="1124" t="str">
        <f t="shared" si="653"/>
        <v>N/A</v>
      </c>
      <c r="Y111" s="1125" t="str">
        <f>IFERROR(__xludf.DUMMYFUNCTION("IF(
  OR(X111=""NOT PUBLISHED"", X111=""N/A""),
  X111,
  IFERROR(MAX(FILTER(N111:X111, ISNUMBER(N111:X111))),"""")
)"),"N/A")</f>
        <v>N/A</v>
      </c>
      <c r="Z111" s="72" t="str">
        <f t="shared" si="654"/>
        <v>N/A</v>
      </c>
      <c r="AA111" s="1134" t="str">
        <f t="shared" si="655"/>
        <v>N/A</v>
      </c>
      <c r="AB111" s="1134" t="str">
        <f t="shared" si="656"/>
        <v>N/A</v>
      </c>
      <c r="AC111" s="1134" t="str">
        <f t="shared" si="657"/>
        <v>N/A</v>
      </c>
      <c r="AD111" s="1134" t="str">
        <f t="shared" si="658"/>
        <v>N/A</v>
      </c>
      <c r="AE111" s="1134" t="str">
        <f t="shared" si="659"/>
        <v>N/A</v>
      </c>
      <c r="AF111" s="1134" t="str">
        <f t="shared" si="660"/>
        <v>N/A</v>
      </c>
      <c r="AG111" s="1134" t="str">
        <f t="shared" si="661"/>
        <v>N/A</v>
      </c>
      <c r="AH111" s="1122" t="str">
        <f t="shared" si="662"/>
        <v>N/A</v>
      </c>
      <c r="AI111" s="1124" t="str">
        <f t="shared" si="663"/>
        <v>N/A</v>
      </c>
      <c r="AJ111" s="1124" t="str">
        <f t="shared" si="664"/>
        <v>N/A</v>
      </c>
      <c r="AK111" s="1125" t="str">
        <f>IFERROR(__xludf.DUMMYFUNCTION("IF(
  OR(AJ111=""NOT PUBLISHED"", AJ111=""N/A""),
  AJ111,
  IFERROR(MAX(FILTER(Z111:AJ111, ISNUMBER(Z111:AJ111))),"""")
)"),"N/A")</f>
        <v>N/A</v>
      </c>
      <c r="AL111" s="72" t="str">
        <f t="shared" si="665"/>
        <v>N/A</v>
      </c>
      <c r="AM111" s="1134" t="str">
        <f t="shared" si="666"/>
        <v>N/A</v>
      </c>
      <c r="AN111" s="1134" t="str">
        <f t="shared" si="667"/>
        <v>N/A</v>
      </c>
      <c r="AO111" s="1134" t="str">
        <f t="shared" si="668"/>
        <v>N/A</v>
      </c>
      <c r="AP111" s="1126" t="str">
        <f t="shared" si="669"/>
        <v>N/A</v>
      </c>
      <c r="AQ111" s="1124" t="str">
        <f t="shared" si="670"/>
        <v>N/A</v>
      </c>
      <c r="AR111" s="1124" t="str">
        <f t="shared" si="671"/>
        <v>N/A</v>
      </c>
      <c r="AS111" s="1125" t="str">
        <f>IFERROR(__xludf.DUMMYFUNCTION("IF(
  OR(AR111=""NOT PUBLISHED"", AR111=""N/A""),
  AR111,
  IFERROR(MAX(FILTER(AL111:AR111, ISNUMBER(AL111:AR111))),"""")
)"),"N/A")</f>
        <v>N/A</v>
      </c>
      <c r="AT111" s="72" t="str">
        <f t="shared" si="672"/>
        <v>N/A</v>
      </c>
      <c r="AU111" s="1134" t="str">
        <f t="shared" si="673"/>
        <v>N/A</v>
      </c>
      <c r="AV111" s="1134" t="str">
        <f t="shared" si="674"/>
        <v>N/A</v>
      </c>
      <c r="AW111" s="1134" t="str">
        <f t="shared" si="675"/>
        <v>N/A</v>
      </c>
      <c r="AX111" s="1134" t="str">
        <f t="shared" si="676"/>
        <v>N/A</v>
      </c>
      <c r="AY111" s="1135" t="str">
        <f t="shared" si="677"/>
        <v>N/A</v>
      </c>
      <c r="AZ111" s="1127" t="str">
        <f t="shared" si="678"/>
        <v>N/A</v>
      </c>
      <c r="BA111" s="1135" t="str">
        <f t="shared" si="679"/>
        <v>N/A</v>
      </c>
      <c r="BB111" s="1127" t="str">
        <f t="shared" si="680"/>
        <v>N/A</v>
      </c>
      <c r="BC111" s="1128" t="str">
        <f>IFERROR(__xludf.DUMMYFUNCTION("IF(
  OR(BB111=""NOT PUBLISHED"", BB111=""N/A""),
  BB111,
  IFERROR(MAX(FILTER(AT111:BB111, ISNUMBER(AT111:BB111))),"""")
)"),"N/A")</f>
        <v>N/A</v>
      </c>
      <c r="BD111" s="1129"/>
      <c r="BE111" s="1129"/>
      <c r="BF111" s="1129"/>
    </row>
    <row r="112" ht="15.0" customHeight="1" outlineLevel="1">
      <c r="A112" s="53">
        <v>109.0</v>
      </c>
      <c r="B112" s="100" t="s">
        <v>293</v>
      </c>
      <c r="C112" s="53">
        <v>109.0</v>
      </c>
      <c r="D112" s="1268" t="s">
        <v>1776</v>
      </c>
      <c r="E112" s="101" t="s">
        <v>289</v>
      </c>
      <c r="F112" s="102">
        <v>1125.0</v>
      </c>
      <c r="G112" s="102" t="s">
        <v>289</v>
      </c>
      <c r="H112" s="517">
        <v>1125.0</v>
      </c>
      <c r="I112" s="821" t="str">
        <f>IFERROR(VLOOKUP(B109:B299,'RELATÓRIO ACC'!B:F,5,FALSE),"NOT PUBLISHED")</f>
        <v>V1</v>
      </c>
      <c r="J112" s="1119" t="str">
        <f>IFERROR(VLOOKUP(B109:B299,'RELATÓRIO ACC'!B:P,15,FALSE),"NOT PUBLISHED")</f>
        <v>21/05/2026</v>
      </c>
      <c r="K112" s="552" t="str">
        <f t="shared" si="641"/>
        <v>#REF!</v>
      </c>
      <c r="L112" s="552" t="str">
        <f t="shared" si="642"/>
        <v>#REF!</v>
      </c>
      <c r="M112" s="899"/>
      <c r="N112" s="1132" t="str">
        <f t="shared" si="643"/>
        <v>N/A</v>
      </c>
      <c r="O112" s="1133" t="str">
        <f t="shared" si="644"/>
        <v>N/A</v>
      </c>
      <c r="P112" s="1133" t="str">
        <f t="shared" si="645"/>
        <v>N/A</v>
      </c>
      <c r="Q112" s="1133" t="str">
        <f t="shared" si="646"/>
        <v>N/A</v>
      </c>
      <c r="R112" s="1133" t="str">
        <f t="shared" si="647"/>
        <v>N/A</v>
      </c>
      <c r="S112" s="1133" t="str">
        <f t="shared" si="648"/>
        <v>N/A</v>
      </c>
      <c r="T112" s="1133" t="str">
        <f t="shared" si="649"/>
        <v>N/A</v>
      </c>
      <c r="U112" s="1133" t="str">
        <f t="shared" si="650"/>
        <v>N/A</v>
      </c>
      <c r="V112" s="1122" t="str">
        <f t="shared" si="651"/>
        <v>N/A</v>
      </c>
      <c r="W112" s="1124" t="str">
        <f t="shared" si="652"/>
        <v>N/A</v>
      </c>
      <c r="X112" s="1124" t="str">
        <f t="shared" si="653"/>
        <v>N/A</v>
      </c>
      <c r="Y112" s="1125" t="str">
        <f>IFERROR(__xludf.DUMMYFUNCTION("IF(
  OR(X112=""NOT PUBLISHED"", X112=""N/A""),
  X112,
  IFERROR(MAX(FILTER(N112:X112, ISNUMBER(N112:X112))),"""")
)"),"N/A")</f>
        <v>N/A</v>
      </c>
      <c r="Z112" s="72" t="str">
        <f t="shared" si="654"/>
        <v>N/A</v>
      </c>
      <c r="AA112" s="1134" t="str">
        <f t="shared" si="655"/>
        <v>N/A</v>
      </c>
      <c r="AB112" s="1134" t="str">
        <f t="shared" si="656"/>
        <v>N/A</v>
      </c>
      <c r="AC112" s="1134" t="str">
        <f t="shared" si="657"/>
        <v>N/A</v>
      </c>
      <c r="AD112" s="1134" t="str">
        <f t="shared" si="658"/>
        <v>N/A</v>
      </c>
      <c r="AE112" s="1134" t="str">
        <f t="shared" si="659"/>
        <v>N/A</v>
      </c>
      <c r="AF112" s="1134" t="str">
        <f t="shared" si="660"/>
        <v>N/A</v>
      </c>
      <c r="AG112" s="1134" t="str">
        <f t="shared" si="661"/>
        <v>N/A</v>
      </c>
      <c r="AH112" s="1122" t="str">
        <f t="shared" si="662"/>
        <v>N/A</v>
      </c>
      <c r="AI112" s="1124" t="str">
        <f t="shared" si="663"/>
        <v>N/A</v>
      </c>
      <c r="AJ112" s="1124" t="str">
        <f t="shared" si="664"/>
        <v>N/A</v>
      </c>
      <c r="AK112" s="1125" t="str">
        <f>IFERROR(__xludf.DUMMYFUNCTION("IF(
  OR(AJ112=""NOT PUBLISHED"", AJ112=""N/A""),
  AJ112,
  IFERROR(MAX(FILTER(Z112:AJ112, ISNUMBER(Z112:AJ112))),"""")
)"),"N/A")</f>
        <v>N/A</v>
      </c>
      <c r="AL112" s="72" t="str">
        <f t="shared" si="665"/>
        <v>N/A</v>
      </c>
      <c r="AM112" s="1134" t="str">
        <f t="shared" si="666"/>
        <v>N/A</v>
      </c>
      <c r="AN112" s="1134" t="str">
        <f t="shared" si="667"/>
        <v>N/A</v>
      </c>
      <c r="AO112" s="1134" t="str">
        <f t="shared" si="668"/>
        <v>N/A</v>
      </c>
      <c r="AP112" s="1126" t="str">
        <f t="shared" si="669"/>
        <v>N/A</v>
      </c>
      <c r="AQ112" s="1124" t="str">
        <f t="shared" si="670"/>
        <v>N/A</v>
      </c>
      <c r="AR112" s="1124" t="str">
        <f t="shared" si="671"/>
        <v>N/A</v>
      </c>
      <c r="AS112" s="1125" t="str">
        <f>IFERROR(__xludf.DUMMYFUNCTION("IF(
  OR(AR112=""NOT PUBLISHED"", AR112=""N/A""),
  AR112,
  IFERROR(MAX(FILTER(AL112:AR112, ISNUMBER(AL112:AR112))),"""")
)"),"N/A")</f>
        <v>N/A</v>
      </c>
      <c r="AT112" s="72" t="str">
        <f t="shared" si="672"/>
        <v>N/A</v>
      </c>
      <c r="AU112" s="1134" t="str">
        <f t="shared" si="673"/>
        <v>N/A</v>
      </c>
      <c r="AV112" s="1134" t="str">
        <f t="shared" si="674"/>
        <v>N/A</v>
      </c>
      <c r="AW112" s="1134" t="str">
        <f t="shared" si="675"/>
        <v>N/A</v>
      </c>
      <c r="AX112" s="1134" t="str">
        <f t="shared" si="676"/>
        <v>N/A</v>
      </c>
      <c r="AY112" s="1135" t="str">
        <f t="shared" si="677"/>
        <v>N/A</v>
      </c>
      <c r="AZ112" s="1127" t="str">
        <f t="shared" si="678"/>
        <v>N/A</v>
      </c>
      <c r="BA112" s="1135" t="str">
        <f t="shared" si="679"/>
        <v>N/A</v>
      </c>
      <c r="BB112" s="1127" t="str">
        <f t="shared" si="680"/>
        <v>N/A</v>
      </c>
      <c r="BC112" s="1128" t="str">
        <f>IFERROR(__xludf.DUMMYFUNCTION("IF(
  OR(BB112=""NOT PUBLISHED"", BB112=""N/A""),
  BB112,
  IFERROR(MAX(FILTER(AT112:BB112, ISNUMBER(AT112:BB112))),"""")
)"),"N/A")</f>
        <v>N/A</v>
      </c>
      <c r="BD112" s="1129"/>
      <c r="BE112" s="1129"/>
      <c r="BF112" s="1129"/>
    </row>
    <row r="113" ht="15.0" customHeight="1" outlineLevel="1">
      <c r="A113" s="53">
        <v>110.0</v>
      </c>
      <c r="B113" s="100" t="s">
        <v>294</v>
      </c>
      <c r="C113" s="53">
        <v>110.0</v>
      </c>
      <c r="D113" s="1268" t="s">
        <v>1777</v>
      </c>
      <c r="E113" s="101" t="s">
        <v>289</v>
      </c>
      <c r="F113" s="102">
        <v>1125.0</v>
      </c>
      <c r="G113" s="102" t="s">
        <v>289</v>
      </c>
      <c r="H113" s="517">
        <v>1125.0</v>
      </c>
      <c r="I113" s="821" t="str">
        <f>IFERROR(VLOOKUP(B110:B300,'RELATÓRIO ACC'!B:F,5,FALSE),"NOT PUBLISHED")</f>
        <v>V1</v>
      </c>
      <c r="J113" s="1119" t="str">
        <f>IFERROR(VLOOKUP(B110:B300,'RELATÓRIO ACC'!B:P,15,FALSE),"NOT PUBLISHED")</f>
        <v>21/05/2026</v>
      </c>
      <c r="K113" s="552" t="str">
        <f t="shared" si="641"/>
        <v>#REF!</v>
      </c>
      <c r="L113" s="552" t="str">
        <f t="shared" si="642"/>
        <v>#REF!</v>
      </c>
      <c r="M113" s="899"/>
      <c r="N113" s="1132" t="str">
        <f t="shared" si="643"/>
        <v>N/A</v>
      </c>
      <c r="O113" s="1133" t="str">
        <f t="shared" si="644"/>
        <v>N/A</v>
      </c>
      <c r="P113" s="1133" t="str">
        <f t="shared" si="645"/>
        <v>N/A</v>
      </c>
      <c r="Q113" s="1133" t="str">
        <f t="shared" si="646"/>
        <v>N/A</v>
      </c>
      <c r="R113" s="1133" t="str">
        <f t="shared" si="647"/>
        <v>N/A</v>
      </c>
      <c r="S113" s="1133" t="str">
        <f t="shared" si="648"/>
        <v>N/A</v>
      </c>
      <c r="T113" s="1133" t="str">
        <f t="shared" si="649"/>
        <v>N/A</v>
      </c>
      <c r="U113" s="1133" t="str">
        <f t="shared" si="650"/>
        <v>N/A</v>
      </c>
      <c r="V113" s="1122" t="str">
        <f t="shared" si="651"/>
        <v>N/A</v>
      </c>
      <c r="W113" s="1124" t="str">
        <f t="shared" si="652"/>
        <v>N/A</v>
      </c>
      <c r="X113" s="1124" t="str">
        <f t="shared" si="653"/>
        <v>N/A</v>
      </c>
      <c r="Y113" s="1125" t="str">
        <f>IFERROR(__xludf.DUMMYFUNCTION("IF(
  OR(X113=""NOT PUBLISHED"", X113=""N/A""),
  X113,
  IFERROR(MAX(FILTER(N113:X113, ISNUMBER(N113:X113))),"""")
)"),"N/A")</f>
        <v>N/A</v>
      </c>
      <c r="Z113" s="72" t="str">
        <f t="shared" si="654"/>
        <v>N/A</v>
      </c>
      <c r="AA113" s="1134" t="str">
        <f t="shared" si="655"/>
        <v>N/A</v>
      </c>
      <c r="AB113" s="1134" t="str">
        <f t="shared" si="656"/>
        <v>N/A</v>
      </c>
      <c r="AC113" s="1134" t="str">
        <f t="shared" si="657"/>
        <v>N/A</v>
      </c>
      <c r="AD113" s="1134" t="str">
        <f t="shared" si="658"/>
        <v>N/A</v>
      </c>
      <c r="AE113" s="1134" t="str">
        <f t="shared" si="659"/>
        <v>N/A</v>
      </c>
      <c r="AF113" s="1134" t="str">
        <f t="shared" si="660"/>
        <v>N/A</v>
      </c>
      <c r="AG113" s="1134" t="str">
        <f t="shared" si="661"/>
        <v>N/A</v>
      </c>
      <c r="AH113" s="1122" t="str">
        <f t="shared" si="662"/>
        <v>N/A</v>
      </c>
      <c r="AI113" s="1124" t="str">
        <f t="shared" si="663"/>
        <v>N/A</v>
      </c>
      <c r="AJ113" s="1124" t="str">
        <f t="shared" si="664"/>
        <v>N/A</v>
      </c>
      <c r="AK113" s="1125" t="str">
        <f>IFERROR(__xludf.DUMMYFUNCTION("IF(
  OR(AJ113=""NOT PUBLISHED"", AJ113=""N/A""),
  AJ113,
  IFERROR(MAX(FILTER(Z113:AJ113, ISNUMBER(Z113:AJ113))),"""")
)"),"N/A")</f>
        <v>N/A</v>
      </c>
      <c r="AL113" s="72" t="str">
        <f t="shared" si="665"/>
        <v>N/A</v>
      </c>
      <c r="AM113" s="1134" t="str">
        <f t="shared" si="666"/>
        <v>N/A</v>
      </c>
      <c r="AN113" s="1134" t="str">
        <f t="shared" si="667"/>
        <v>N/A</v>
      </c>
      <c r="AO113" s="1134" t="str">
        <f t="shared" si="668"/>
        <v>N/A</v>
      </c>
      <c r="AP113" s="1126" t="str">
        <f t="shared" si="669"/>
        <v>N/A</v>
      </c>
      <c r="AQ113" s="1124" t="str">
        <f t="shared" si="670"/>
        <v>N/A</v>
      </c>
      <c r="AR113" s="1124" t="str">
        <f t="shared" si="671"/>
        <v>N/A</v>
      </c>
      <c r="AS113" s="1125" t="str">
        <f>IFERROR(__xludf.DUMMYFUNCTION("IF(
  OR(AR113=""NOT PUBLISHED"", AR113=""N/A""),
  AR113,
  IFERROR(MAX(FILTER(AL113:AR113, ISNUMBER(AL113:AR113))),"""")
)"),"N/A")</f>
        <v>N/A</v>
      </c>
      <c r="AT113" s="72" t="str">
        <f t="shared" si="672"/>
        <v>N/A</v>
      </c>
      <c r="AU113" s="1134" t="str">
        <f t="shared" si="673"/>
        <v>N/A</v>
      </c>
      <c r="AV113" s="1134" t="str">
        <f t="shared" si="674"/>
        <v>N/A</v>
      </c>
      <c r="AW113" s="1134" t="str">
        <f t="shared" si="675"/>
        <v>N/A</v>
      </c>
      <c r="AX113" s="1134" t="str">
        <f t="shared" si="676"/>
        <v>N/A</v>
      </c>
      <c r="AY113" s="1135" t="str">
        <f t="shared" si="677"/>
        <v>N/A</v>
      </c>
      <c r="AZ113" s="1127" t="str">
        <f t="shared" si="678"/>
        <v>N/A</v>
      </c>
      <c r="BA113" s="1135" t="str">
        <f t="shared" si="679"/>
        <v>N/A</v>
      </c>
      <c r="BB113" s="1127" t="str">
        <f t="shared" si="680"/>
        <v>N/A</v>
      </c>
      <c r="BC113" s="1128" t="str">
        <f>IFERROR(__xludf.DUMMYFUNCTION("IF(
  OR(BB113=""NOT PUBLISHED"", BB113=""N/A""),
  BB113,
  IFERROR(MAX(FILTER(AT113:BB113, ISNUMBER(AT113:BB113))),"""")
)"),"N/A")</f>
        <v>N/A</v>
      </c>
      <c r="BD113" s="1129"/>
      <c r="BE113" s="1129"/>
      <c r="BF113" s="1129"/>
    </row>
    <row r="114" ht="15.0" customHeight="1" outlineLevel="1">
      <c r="A114" s="53">
        <v>111.0</v>
      </c>
      <c r="B114" s="100" t="s">
        <v>295</v>
      </c>
      <c r="C114" s="53">
        <v>111.0</v>
      </c>
      <c r="D114" s="1130" t="s">
        <v>8</v>
      </c>
      <c r="E114" s="101" t="s">
        <v>289</v>
      </c>
      <c r="F114" s="102">
        <v>1125.0</v>
      </c>
      <c r="G114" s="102" t="s">
        <v>289</v>
      </c>
      <c r="H114" s="517">
        <v>1125.0</v>
      </c>
      <c r="I114" s="821" t="str">
        <f>IFERROR(VLOOKUP(B111:B301,'RELATÓRIO ACC'!B:F,5,FALSE),"NOT PUBLISHED")</f>
        <v>V1</v>
      </c>
      <c r="J114" s="1119" t="str">
        <f>IFERROR(VLOOKUP(B111:B301,'RELATÓRIO ACC'!B:P,15,FALSE),"NOT PUBLISHED")</f>
        <v>21/05/2026</v>
      </c>
      <c r="K114" s="552" t="str">
        <f t="shared" si="641"/>
        <v>#REF!</v>
      </c>
      <c r="L114" s="552" t="str">
        <f t="shared" si="642"/>
        <v>#REF!</v>
      </c>
      <c r="M114" s="858" t="s">
        <v>1758</v>
      </c>
      <c r="N114" s="1132" t="str">
        <f t="shared" si="643"/>
        <v>N/A</v>
      </c>
      <c r="O114" s="1133" t="str">
        <f t="shared" si="644"/>
        <v>N/A</v>
      </c>
      <c r="P114" s="1133" t="str">
        <f t="shared" si="645"/>
        <v>N/A</v>
      </c>
      <c r="Q114" s="1133" t="str">
        <f t="shared" si="646"/>
        <v>N/A</v>
      </c>
      <c r="R114" s="1133" t="str">
        <f t="shared" si="647"/>
        <v>N/A</v>
      </c>
      <c r="S114" s="1133" t="str">
        <f t="shared" si="648"/>
        <v>N/A</v>
      </c>
      <c r="T114" s="1133" t="str">
        <f t="shared" si="649"/>
        <v>N/A</v>
      </c>
      <c r="U114" s="1133" t="str">
        <f t="shared" si="650"/>
        <v>N/A</v>
      </c>
      <c r="V114" s="1122" t="str">
        <f t="shared" si="651"/>
        <v>N/A</v>
      </c>
      <c r="W114" s="1124" t="str">
        <f t="shared" si="652"/>
        <v>N/A</v>
      </c>
      <c r="X114" s="1124" t="str">
        <f t="shared" si="653"/>
        <v>N/A</v>
      </c>
      <c r="Y114" s="1125" t="str">
        <f>IFERROR(__xludf.DUMMYFUNCTION("IF(
  OR(X114=""NOT PUBLISHED"", X114=""N/A""),
  X114,
  IFERROR(MAX(FILTER(N114:X114, ISNUMBER(N114:X114))),"""")
)"),"N/A")</f>
        <v>N/A</v>
      </c>
      <c r="Z114" s="72" t="str">
        <f t="shared" si="654"/>
        <v>N/A</v>
      </c>
      <c r="AA114" s="1134" t="str">
        <f t="shared" si="655"/>
        <v>N/A</v>
      </c>
      <c r="AB114" s="1134" t="str">
        <f t="shared" si="656"/>
        <v>N/A</v>
      </c>
      <c r="AC114" s="1134" t="str">
        <f t="shared" si="657"/>
        <v>N/A</v>
      </c>
      <c r="AD114" s="1134" t="str">
        <f t="shared" si="658"/>
        <v>N/A</v>
      </c>
      <c r="AE114" s="1134" t="str">
        <f t="shared" si="659"/>
        <v>N/A</v>
      </c>
      <c r="AF114" s="1134" t="str">
        <f t="shared" si="660"/>
        <v>N/A</v>
      </c>
      <c r="AG114" s="1134" t="str">
        <f t="shared" si="661"/>
        <v>N/A</v>
      </c>
      <c r="AH114" s="1122" t="str">
        <f t="shared" si="662"/>
        <v>N/A</v>
      </c>
      <c r="AI114" s="1124" t="str">
        <f t="shared" si="663"/>
        <v>N/A</v>
      </c>
      <c r="AJ114" s="1124" t="str">
        <f t="shared" si="664"/>
        <v>N/A</v>
      </c>
      <c r="AK114" s="1125" t="str">
        <f>IFERROR(__xludf.DUMMYFUNCTION("IF(
  OR(AJ114=""NOT PUBLISHED"", AJ114=""N/A""),
  AJ114,
  IFERROR(MAX(FILTER(Z114:AJ114, ISNUMBER(Z114:AJ114))),"""")
)"),"N/A")</f>
        <v>N/A</v>
      </c>
      <c r="AL114" s="72" t="str">
        <f t="shared" si="665"/>
        <v>N/A</v>
      </c>
      <c r="AM114" s="1134" t="str">
        <f t="shared" si="666"/>
        <v>N/A</v>
      </c>
      <c r="AN114" s="1134" t="str">
        <f t="shared" si="667"/>
        <v>N/A</v>
      </c>
      <c r="AO114" s="1134" t="str">
        <f t="shared" si="668"/>
        <v>N/A</v>
      </c>
      <c r="AP114" s="1126" t="str">
        <f t="shared" si="669"/>
        <v>N/A</v>
      </c>
      <c r="AQ114" s="1124" t="str">
        <f t="shared" si="670"/>
        <v>N/A</v>
      </c>
      <c r="AR114" s="1124" t="str">
        <f t="shared" si="671"/>
        <v>N/A</v>
      </c>
      <c r="AS114" s="1125" t="str">
        <f>IFERROR(__xludf.DUMMYFUNCTION("IF(
  OR(AR114=""NOT PUBLISHED"", AR114=""N/A""),
  AR114,
  IFERROR(MAX(FILTER(AL114:AR114, ISNUMBER(AL114:AR114))),"""")
)"),"N/A")</f>
        <v>N/A</v>
      </c>
      <c r="AT114" s="72" t="str">
        <f t="shared" si="672"/>
        <v>N/A</v>
      </c>
      <c r="AU114" s="1134" t="str">
        <f t="shared" si="673"/>
        <v>N/A</v>
      </c>
      <c r="AV114" s="1134" t="str">
        <f t="shared" si="674"/>
        <v>N/A</v>
      </c>
      <c r="AW114" s="1134" t="str">
        <f t="shared" si="675"/>
        <v>N/A</v>
      </c>
      <c r="AX114" s="1134" t="str">
        <f t="shared" si="676"/>
        <v>N/A</v>
      </c>
      <c r="AY114" s="1135" t="str">
        <f t="shared" si="677"/>
        <v>N/A</v>
      </c>
      <c r="AZ114" s="1127" t="str">
        <f t="shared" si="678"/>
        <v>N/A</v>
      </c>
      <c r="BA114" s="1135" t="str">
        <f t="shared" si="679"/>
        <v>N/A</v>
      </c>
      <c r="BB114" s="1127" t="str">
        <f t="shared" si="680"/>
        <v>N/A</v>
      </c>
      <c r="BC114" s="1128" t="str">
        <f>IFERROR(__xludf.DUMMYFUNCTION("IF(
  OR(BB114=""NOT PUBLISHED"", BB114=""N/A""),
  BB114,
  IFERROR(MAX(FILTER(AT114:BB114, ISNUMBER(AT114:BB114))),"""")
)"),"N/A")</f>
        <v>N/A</v>
      </c>
      <c r="BD114" s="545"/>
      <c r="BE114" s="545"/>
      <c r="BF114" s="545"/>
    </row>
    <row r="115" outlineLevel="1">
      <c r="A115" s="53">
        <v>112.0</v>
      </c>
      <c r="B115" s="100" t="s">
        <v>296</v>
      </c>
      <c r="C115" s="53">
        <v>112.0</v>
      </c>
      <c r="D115" s="1130" t="s">
        <v>1759</v>
      </c>
      <c r="E115" s="1269" t="s">
        <v>289</v>
      </c>
      <c r="F115" s="101">
        <v>1125.0</v>
      </c>
      <c r="G115" s="102" t="s">
        <v>289</v>
      </c>
      <c r="H115" s="517">
        <v>1125.0</v>
      </c>
      <c r="I115" s="821" t="str">
        <f>IFERROR(VLOOKUP(B112:B302,'RELATÓRIO ACC'!B:F,5,FALSE),"NOT PUBLISHED")</f>
        <v>V1</v>
      </c>
      <c r="J115" s="1119" t="str">
        <f>IFERROR(VLOOKUP(B112:B302,'RELATÓRIO ACC'!B:P,15,FALSE),"NOT PUBLISHED")</f>
        <v>21/05/2026</v>
      </c>
      <c r="K115" s="552" t="str">
        <f t="shared" si="641"/>
        <v>#REF!</v>
      </c>
      <c r="L115" s="552" t="str">
        <f t="shared" si="642"/>
        <v>#REF!</v>
      </c>
      <c r="M115" s="858" t="s">
        <v>1758</v>
      </c>
      <c r="N115" s="1132" t="str">
        <f t="shared" si="643"/>
        <v>N/A</v>
      </c>
      <c r="O115" s="1133" t="str">
        <f t="shared" si="644"/>
        <v>N/A</v>
      </c>
      <c r="P115" s="1133" t="str">
        <f t="shared" si="645"/>
        <v>N/A</v>
      </c>
      <c r="Q115" s="1133" t="str">
        <f t="shared" si="646"/>
        <v>N/A</v>
      </c>
      <c r="R115" s="1133" t="str">
        <f t="shared" si="647"/>
        <v>N/A</v>
      </c>
      <c r="S115" s="1133" t="str">
        <f t="shared" si="648"/>
        <v>N/A</v>
      </c>
      <c r="T115" s="1133" t="str">
        <f t="shared" si="649"/>
        <v>N/A</v>
      </c>
      <c r="U115" s="1133" t="str">
        <f t="shared" si="650"/>
        <v>N/A</v>
      </c>
      <c r="V115" s="1122" t="str">
        <f t="shared" si="651"/>
        <v>N/A</v>
      </c>
      <c r="W115" s="1124" t="str">
        <f t="shared" si="652"/>
        <v>N/A</v>
      </c>
      <c r="X115" s="1124" t="str">
        <f t="shared" si="653"/>
        <v>N/A</v>
      </c>
      <c r="Y115" s="1125" t="str">
        <f>IFERROR(__xludf.DUMMYFUNCTION("IF(
  OR(X115=""NOT PUBLISHED"", X115=""N/A""),
  X115,
  IFERROR(MAX(FILTER(N115:X115, ISNUMBER(N115:X115))),"""")
)"),"N/A")</f>
        <v>N/A</v>
      </c>
      <c r="Z115" s="72" t="str">
        <f t="shared" si="654"/>
        <v>N/A</v>
      </c>
      <c r="AA115" s="1134" t="str">
        <f t="shared" si="655"/>
        <v>N/A</v>
      </c>
      <c r="AB115" s="1134" t="str">
        <f t="shared" si="656"/>
        <v>N/A</v>
      </c>
      <c r="AC115" s="1134" t="str">
        <f t="shared" si="657"/>
        <v>N/A</v>
      </c>
      <c r="AD115" s="1134" t="str">
        <f t="shared" si="658"/>
        <v>N/A</v>
      </c>
      <c r="AE115" s="1134" t="str">
        <f t="shared" si="659"/>
        <v>N/A</v>
      </c>
      <c r="AF115" s="1134" t="str">
        <f t="shared" si="660"/>
        <v>N/A</v>
      </c>
      <c r="AG115" s="1134" t="str">
        <f t="shared" si="661"/>
        <v>N/A</v>
      </c>
      <c r="AH115" s="1122" t="str">
        <f t="shared" si="662"/>
        <v>N/A</v>
      </c>
      <c r="AI115" s="1124" t="str">
        <f t="shared" si="663"/>
        <v>N/A</v>
      </c>
      <c r="AJ115" s="1124" t="str">
        <f t="shared" si="664"/>
        <v>N/A</v>
      </c>
      <c r="AK115" s="1125" t="str">
        <f>IFERROR(__xludf.DUMMYFUNCTION("IF(
  OR(AJ115=""NOT PUBLISHED"", AJ115=""N/A""),
  AJ115,
  IFERROR(MAX(FILTER(Z115:AJ115, ISNUMBER(Z115:AJ115))),"""")
)"),"N/A")</f>
        <v>N/A</v>
      </c>
      <c r="AL115" s="72" t="str">
        <f t="shared" si="665"/>
        <v>N/A</v>
      </c>
      <c r="AM115" s="1134" t="str">
        <f t="shared" si="666"/>
        <v>N/A</v>
      </c>
      <c r="AN115" s="1134" t="str">
        <f t="shared" si="667"/>
        <v>N/A</v>
      </c>
      <c r="AO115" s="1134" t="str">
        <f t="shared" si="668"/>
        <v>N/A</v>
      </c>
      <c r="AP115" s="1126" t="str">
        <f t="shared" si="669"/>
        <v>N/A</v>
      </c>
      <c r="AQ115" s="1124" t="str">
        <f t="shared" si="670"/>
        <v>N/A</v>
      </c>
      <c r="AR115" s="1124" t="str">
        <f t="shared" si="671"/>
        <v>N/A</v>
      </c>
      <c r="AS115" s="1125" t="str">
        <f>IFERROR(__xludf.DUMMYFUNCTION("IF(
  OR(AR115=""NOT PUBLISHED"", AR115=""N/A""),
  AR115,
  IFERROR(MAX(FILTER(AL115:AR115, ISNUMBER(AL115:AR115))),"""")
)"),"N/A")</f>
        <v>N/A</v>
      </c>
      <c r="AT115" s="72" t="str">
        <f t="shared" si="672"/>
        <v>N/A</v>
      </c>
      <c r="AU115" s="1134" t="str">
        <f t="shared" si="673"/>
        <v>N/A</v>
      </c>
      <c r="AV115" s="1134" t="str">
        <f t="shared" si="674"/>
        <v>N/A</v>
      </c>
      <c r="AW115" s="1134" t="str">
        <f t="shared" si="675"/>
        <v>N/A</v>
      </c>
      <c r="AX115" s="1134" t="str">
        <f t="shared" si="676"/>
        <v>N/A</v>
      </c>
      <c r="AY115" s="1135" t="str">
        <f t="shared" si="677"/>
        <v>N/A</v>
      </c>
      <c r="AZ115" s="1127" t="str">
        <f t="shared" si="678"/>
        <v>N/A</v>
      </c>
      <c r="BA115" s="1135" t="str">
        <f t="shared" si="679"/>
        <v>N/A</v>
      </c>
      <c r="BB115" s="1127" t="str">
        <f t="shared" si="680"/>
        <v>N/A</v>
      </c>
      <c r="BC115" s="1128" t="str">
        <f>IFERROR(__xludf.DUMMYFUNCTION("IF(
  OR(BB115=""NOT PUBLISHED"", BB115=""N/A""),
  BB115,
  IFERROR(MAX(FILTER(AT115:BB115, ISNUMBER(AT115:BB115))),"""")
)"),"N/A")</f>
        <v>N/A</v>
      </c>
      <c r="BD115" s="545"/>
      <c r="BE115" s="545"/>
      <c r="BF115" s="545"/>
    </row>
    <row r="116" outlineLevel="1">
      <c r="A116" s="53">
        <v>113.0</v>
      </c>
      <c r="B116" s="1270" t="s">
        <v>297</v>
      </c>
      <c r="C116" s="53">
        <v>113.0</v>
      </c>
      <c r="D116" s="1271" t="s">
        <v>1778</v>
      </c>
      <c r="E116" s="1272" t="s">
        <v>289</v>
      </c>
      <c r="F116" s="1272">
        <v>1125.0</v>
      </c>
      <c r="G116" s="1273" t="s">
        <v>289</v>
      </c>
      <c r="H116" s="967">
        <v>1125.0</v>
      </c>
      <c r="I116" s="1274" t="str">
        <f>IFERROR(VLOOKUP(B113:B303,'RELATÓRIO ACC'!B:F,5,FALSE),"NOT PUBLISHED")</f>
        <v>V1</v>
      </c>
      <c r="J116" s="1275" t="str">
        <f>IFERROR(VLOOKUP(B113:B303,'RELATÓRIO ACC'!B:P,15,FALSE),"NOT PUBLISHED")</f>
        <v>21/05/2026</v>
      </c>
      <c r="K116" s="1276" t="str">
        <f t="shared" si="641"/>
        <v>#REF!</v>
      </c>
      <c r="L116" s="1276" t="str">
        <f t="shared" si="642"/>
        <v>#REF!</v>
      </c>
      <c r="M116" s="1277" t="s">
        <v>1758</v>
      </c>
      <c r="N116" s="1278" t="str">
        <f t="shared" si="643"/>
        <v>N/A</v>
      </c>
      <c r="O116" s="1279" t="str">
        <f t="shared" si="644"/>
        <v>N/A</v>
      </c>
      <c r="P116" s="1279" t="str">
        <f t="shared" si="645"/>
        <v>N/A</v>
      </c>
      <c r="Q116" s="1279" t="str">
        <f t="shared" si="646"/>
        <v>N/A</v>
      </c>
      <c r="R116" s="1279" t="str">
        <f t="shared" si="647"/>
        <v>N/A</v>
      </c>
      <c r="S116" s="1279" t="str">
        <f t="shared" si="648"/>
        <v>N/A</v>
      </c>
      <c r="T116" s="1279" t="str">
        <f t="shared" si="649"/>
        <v>N/A</v>
      </c>
      <c r="U116" s="1279" t="str">
        <f t="shared" si="650"/>
        <v>N/A</v>
      </c>
      <c r="V116" s="1280" t="str">
        <f t="shared" si="651"/>
        <v>N/A</v>
      </c>
      <c r="W116" s="1281" t="str">
        <f t="shared" si="652"/>
        <v>N/A</v>
      </c>
      <c r="X116" s="1281" t="str">
        <f t="shared" si="653"/>
        <v>N/A</v>
      </c>
      <c r="Y116" s="1282" t="str">
        <f>IFERROR(__xludf.DUMMYFUNCTION("IF(
  OR(X116=""NOT PUBLISHED"", X116=""N/A""),
  X116,
  IFERROR(MAX(FILTER(N116:X116, ISNUMBER(N116:X116))),"""")
)"),"N/A")</f>
        <v>N/A</v>
      </c>
      <c r="Z116" s="1283" t="str">
        <f t="shared" si="654"/>
        <v>N/A</v>
      </c>
      <c r="AA116" s="1284" t="str">
        <f t="shared" si="655"/>
        <v>N/A</v>
      </c>
      <c r="AB116" s="1284" t="str">
        <f t="shared" si="656"/>
        <v>N/A</v>
      </c>
      <c r="AC116" s="1284" t="str">
        <f t="shared" si="657"/>
        <v>N/A</v>
      </c>
      <c r="AD116" s="1284" t="str">
        <f t="shared" si="658"/>
        <v>N/A</v>
      </c>
      <c r="AE116" s="1284" t="str">
        <f t="shared" si="659"/>
        <v>N/A</v>
      </c>
      <c r="AF116" s="1284" t="str">
        <f t="shared" si="660"/>
        <v>N/A</v>
      </c>
      <c r="AG116" s="1284" t="str">
        <f t="shared" si="661"/>
        <v>N/A</v>
      </c>
      <c r="AH116" s="1280" t="str">
        <f t="shared" si="662"/>
        <v>N/A</v>
      </c>
      <c r="AI116" s="1281" t="str">
        <f t="shared" si="663"/>
        <v>N/A</v>
      </c>
      <c r="AJ116" s="1281" t="str">
        <f t="shared" si="664"/>
        <v>N/A</v>
      </c>
      <c r="AK116" s="1282" t="str">
        <f>IFERROR(__xludf.DUMMYFUNCTION("IF(
  OR(AJ116=""NOT PUBLISHED"", AJ116=""N/A""),
  AJ116,
  IFERROR(MAX(FILTER(Z116:AJ116, ISNUMBER(Z116:AJ116))),"""")
)"),"N/A")</f>
        <v>N/A</v>
      </c>
      <c r="AL116" s="1283" t="str">
        <f t="shared" si="665"/>
        <v>N/A</v>
      </c>
      <c r="AM116" s="1284" t="str">
        <f t="shared" si="666"/>
        <v>N/A</v>
      </c>
      <c r="AN116" s="1284" t="str">
        <f t="shared" si="667"/>
        <v>N/A</v>
      </c>
      <c r="AO116" s="1284" t="str">
        <f t="shared" si="668"/>
        <v>N/A</v>
      </c>
      <c r="AP116" s="1285" t="str">
        <f t="shared" si="669"/>
        <v>N/A</v>
      </c>
      <c r="AQ116" s="1281" t="str">
        <f t="shared" si="670"/>
        <v>N/A</v>
      </c>
      <c r="AR116" s="1281" t="str">
        <f t="shared" si="671"/>
        <v>N/A</v>
      </c>
      <c r="AS116" s="1282" t="str">
        <f>IFERROR(__xludf.DUMMYFUNCTION("IF(
  OR(AR116=""NOT PUBLISHED"", AR116=""N/A""),
  AR116,
  IFERROR(MAX(FILTER(AL116:AR116, ISNUMBER(AL116:AR116))),"""")
)"),"N/A")</f>
        <v>N/A</v>
      </c>
      <c r="AT116" s="1283" t="str">
        <f t="shared" si="672"/>
        <v>N/A</v>
      </c>
      <c r="AU116" s="1284" t="str">
        <f t="shared" si="673"/>
        <v>N/A</v>
      </c>
      <c r="AV116" s="1284" t="str">
        <f t="shared" si="674"/>
        <v>N/A</v>
      </c>
      <c r="AW116" s="1284" t="str">
        <f t="shared" si="675"/>
        <v>N/A</v>
      </c>
      <c r="AX116" s="1284" t="str">
        <f t="shared" si="676"/>
        <v>N/A</v>
      </c>
      <c r="AY116" s="1286" t="str">
        <f t="shared" si="677"/>
        <v>N/A</v>
      </c>
      <c r="AZ116" s="1287" t="str">
        <f t="shared" si="678"/>
        <v>N/A</v>
      </c>
      <c r="BA116" s="1286" t="str">
        <f t="shared" si="679"/>
        <v>N/A</v>
      </c>
      <c r="BB116" s="1287" t="str">
        <f t="shared" si="680"/>
        <v>N/A</v>
      </c>
      <c r="BC116" s="1288" t="str">
        <f>IFERROR(__xludf.DUMMYFUNCTION("IF(
  OR(BB116=""NOT PUBLISHED"", BB116=""N/A""),
  BB116,
  IFERROR(MAX(FILTER(AT116:BB116, ISNUMBER(AT116:BB116))),"""")
)"),"N/A")</f>
        <v>N/A</v>
      </c>
      <c r="BD116" s="1138"/>
      <c r="BE116" s="1138"/>
      <c r="BF116" s="1138"/>
    </row>
    <row r="117" ht="498.0" customHeight="1" outlineLevel="1">
      <c r="A117" s="1289"/>
      <c r="B117" s="533"/>
      <c r="C117" s="533"/>
      <c r="D117" s="533"/>
      <c r="E117" s="1290"/>
      <c r="F117" s="1290"/>
      <c r="G117" s="1290"/>
      <c r="H117" s="1290"/>
      <c r="I117" s="545"/>
      <c r="J117" s="1291"/>
      <c r="K117" s="545"/>
      <c r="L117" s="1292"/>
      <c r="M117" s="545"/>
      <c r="N117" s="545"/>
      <c r="O117" s="545"/>
      <c r="P117" s="545"/>
      <c r="Q117" s="545"/>
      <c r="R117" s="545"/>
      <c r="S117" s="545"/>
      <c r="T117" s="545"/>
      <c r="U117" s="545"/>
      <c r="V117" s="545"/>
      <c r="W117" s="545"/>
      <c r="X117" s="545"/>
      <c r="Y117" s="545"/>
      <c r="Z117" s="545"/>
      <c r="AA117" s="545"/>
      <c r="AB117" s="545"/>
      <c r="AC117" s="545"/>
      <c r="AD117" s="545"/>
      <c r="AE117" s="545"/>
      <c r="AF117" s="545"/>
      <c r="AG117" s="545"/>
      <c r="AH117" s="545"/>
      <c r="AI117" s="545"/>
      <c r="AJ117" s="545"/>
      <c r="AK117" s="545"/>
      <c r="AL117" s="545"/>
      <c r="AM117" s="545"/>
      <c r="AN117" s="545"/>
      <c r="AO117" s="545"/>
      <c r="AP117" s="545"/>
      <c r="AQ117" s="545"/>
      <c r="AR117" s="545"/>
      <c r="AS117" s="545"/>
      <c r="AT117" s="1138"/>
      <c r="AU117" s="545"/>
      <c r="AV117" s="545"/>
      <c r="AW117" s="545"/>
      <c r="AX117" s="545"/>
      <c r="AY117" s="545"/>
      <c r="AZ117" s="545"/>
      <c r="BA117" s="545"/>
      <c r="BB117" s="545"/>
      <c r="BC117" s="545"/>
      <c r="BD117" s="545"/>
      <c r="BE117" s="545"/>
      <c r="BF117" s="545"/>
    </row>
    <row r="118" ht="52.5" customHeight="1" outlineLevel="1">
      <c r="A118" s="556"/>
      <c r="B118" s="556"/>
      <c r="C118" s="556"/>
      <c r="D118" s="799"/>
      <c r="E118" s="653"/>
      <c r="F118" s="653"/>
      <c r="G118" s="653"/>
      <c r="H118" s="653"/>
      <c r="I118" s="556"/>
      <c r="J118" s="556"/>
      <c r="K118" s="556"/>
      <c r="L118" s="556"/>
      <c r="M118" s="556"/>
      <c r="N118" s="568"/>
      <c r="O118" s="568"/>
      <c r="P118" s="568"/>
      <c r="Q118" s="568"/>
      <c r="R118" s="568"/>
      <c r="S118" s="568"/>
      <c r="T118" s="568"/>
      <c r="U118" s="568"/>
      <c r="V118" s="568"/>
      <c r="W118" s="568"/>
      <c r="X118" s="568"/>
      <c r="Y118" s="568"/>
      <c r="Z118" s="568"/>
      <c r="AA118" s="568"/>
      <c r="AB118" s="568"/>
      <c r="AC118" s="568"/>
      <c r="AD118" s="568"/>
      <c r="AE118" s="568"/>
      <c r="AF118" s="568"/>
      <c r="AG118" s="568"/>
      <c r="AH118" s="568"/>
      <c r="AI118" s="568"/>
      <c r="AJ118" s="568"/>
      <c r="AK118" s="568"/>
      <c r="AL118" s="568"/>
      <c r="AM118" s="568"/>
      <c r="AN118" s="568"/>
      <c r="AO118" s="568"/>
      <c r="AP118" s="568"/>
      <c r="AQ118" s="568"/>
      <c r="AR118" s="568"/>
      <c r="AS118" s="568"/>
      <c r="AT118" s="1293"/>
      <c r="AU118" s="1293"/>
      <c r="AV118" s="1293"/>
      <c r="AW118" s="1293"/>
      <c r="AX118" s="1293"/>
      <c r="AY118" s="1293"/>
      <c r="AZ118" s="1293"/>
      <c r="BA118" s="1293"/>
      <c r="BB118" s="1293"/>
      <c r="BC118" s="1293"/>
      <c r="BD118" s="1293"/>
      <c r="BE118" s="1293"/>
      <c r="BF118" s="1293"/>
    </row>
  </sheetData>
  <autoFilter ref="$A$3:$BC$116">
    <sortState ref="A3:BC116">
      <sortCondition ref="A3:A116"/>
      <sortCondition ref="B3:B116"/>
    </sortState>
  </autoFilter>
  <mergeCells count="6">
    <mergeCell ref="D1:BA1"/>
    <mergeCell ref="BB1:BC1"/>
    <mergeCell ref="N2:Y2"/>
    <mergeCell ref="Z2:AK2"/>
    <mergeCell ref="AL2:AS2"/>
    <mergeCell ref="AT2:BC2"/>
  </mergeCells>
  <conditionalFormatting sqref="N3:P118 Q3:X116 Z3:AJ118 AL3:AR118 AT3:BB118 BD3:BF118 Y4 AK4 AS4 BC4 AS36 BC36 AS39 BC39 AS41 BC41 AS44 BC44 AS47 BC47 AS50 BC50 AS53 BC53 AS56 BC56 AS59 BC59 AS62 BC62 AS65 BC65 AS68 BC68 AS70 BC70 AS73 BC73 AS77 BC77 AS84 BC84 AS87 BC87 AS89 BC89 AS95 BC95 AK117:AK118 AS117:AS118 BC117:BC118 Q118:Y118">
    <cfRule type="cellIs" dxfId="1" priority="1" operator="greaterThanOrEqual">
      <formula>"70%"</formula>
    </cfRule>
  </conditionalFormatting>
  <conditionalFormatting sqref="P3:P118 Q3:X116 Z3:AJ118 AL3:AR118 AT3:AT118 Y4 AK4 AS4 N5:O116 AU5:BB116 BD6:BF6 BD12:BF13 BD15:BF15 BD18:BF18 BD24:BF24 BD27:BF27 AS36 BC36 BD38:BF38 AS39 BC39 AS41 BC41 BD43:BF43 AS44 BC44 BD45:BF45 AS47 BC47 BD48:BF49 AS50 BC50 BD52:BF52 AS53 BC53 BD54:BF54 AS56 BC56 BD58:BF58 AS59 BC59 BD60:BF60 AS62 BC62 BD63:BF63 AS65 BC65 BD66:BF66 AS68 BC68 AS70 BC70 BD71:BF71 AS73 BC73 BD74:BF74 BD76:BF76 AS77 BC77 BD78:BF78 BD80:BF81 BD83:BF83 AS84 BC84 BD86:BF86 AS87 BC87 AS89 BC89 BD91:BF91 BD94:BF94 AS95 BC95 BD97:BF97 BD99:BF99 BD114:BF116 AK117:AK118 AS117:AS118 Q118:Y118">
    <cfRule type="cellIs" dxfId="2" priority="2" operator="between">
      <formula>"49%"</formula>
      <formula>"69%"</formula>
    </cfRule>
  </conditionalFormatting>
  <conditionalFormatting sqref="O3:P118 Q3:X116 Z3:AJ118 AL3:AR118 AT3:AT118 Y4 AK4 AS4 AU5:BB116 BD6:BF6 BD12:BF13 BD15:BF15 BD18:BF18 BD24:BF24 BD27:BF27 AS36 BC36 BD38:BF38 AS39 BC39 AS41 BC41 BD43:BF43 AS44 BC44 BD45:BF45 AS47 BC47 BD48:BF49 AS50 BC50 BD52:BF52 AS53 BC53 BD54:BF54 AS56 BC56 BD58:BF58 AS59 BC59 BD60:BF60 AS62 BC62 BD63:BF63 AS65 BC65 BD66:BF66 AS68 BC68 AS70 BC70 BD71:BF71 AS73 BC73 BD74:BF74 BD76:BF76 AS77 BC77 BD78:BF78 BD80:BF81 BD83:BF83 AS84 BC84 BD86:BF86 AS87 BC87 AS89 BC89 BD91:BF91 BD94:BF94 AS95 BC95 BD97:BF97 BD99:BF99 N106 BD114:BF116 AK117:AK118 AS117:AS118 Q118:Y118">
    <cfRule type="cellIs" dxfId="3" priority="3" operator="between">
      <formula>"1%"</formula>
      <formula>"50%"</formula>
    </cfRule>
  </conditionalFormatting>
  <conditionalFormatting sqref="N3:P118 Q3:X116 Z3:AJ118 AL3:AR118 AT3:BB118 BD3:BF118 Y4 AK4 AS4 BC4 AS36 BC36 AS39 BC39 AS41 BC41 AS44 BC44 AS47 BC47 AS50 BC50 AS53 BC53 AS56 BC56 AS59 BC59 AS62 BC62 AS65 BC65 AS68 BC68 AS70 BC70 AS73 BC73 AS77 BC77 AS84 BC84 AS87 BC87 AS89 BC89 AS95 BC95 AK117:AK118 AS117:AS118 BC117:BC118 Q118:Y118">
    <cfRule type="cellIs" dxfId="3" priority="4" operator="between">
      <formula>"1%"</formula>
      <formula>"50%"</formula>
    </cfRule>
  </conditionalFormatting>
  <conditionalFormatting sqref="N3:P118 Q3:X116 Z3:AJ118 AL3:AR118 AT3:BB118 BD3:BF118 Y4 AK4 AS4 BC4 AS36 BC36 AS39 BC39 AS41 BC41 AS44 BC44 AS47 BC47 AS50 BC50 AS53 BC53 AS56 BC56 AS59 BC59 AS62 BC62 AS65 BC65 AS68 BC68 AS70 BC70 AS73 BC73 AS77 BC77 AS84 BC84 AS87 BC87 AS89 BC89 AS95 BC95 AK117:AK118 AS117:AS118 BC117:BC118 Q118:Y118">
    <cfRule type="cellIs" dxfId="2" priority="5" operator="between">
      <formula>"49%"</formula>
      <formula>"69%"</formula>
    </cfRule>
  </conditionalFormatting>
  <conditionalFormatting sqref="I3:K3">
    <cfRule type="cellIs" dxfId="4" priority="6" operator="equal">
      <formula>"VERSION"</formula>
    </cfRule>
  </conditionalFormatting>
  <conditionalFormatting sqref="K4:K117 L18">
    <cfRule type="expression" dxfId="2" priority="7">
      <formula>IFERROR(ARRAYFORMULA(VALUE(MID(I4,2,10))) &gt; VALUE(MID(K4,2,10)), FALSE)</formula>
    </cfRule>
  </conditionalFormatting>
  <conditionalFormatting sqref="I3:I118 J3 K3:K117 J5:J118 L5:L116">
    <cfRule type="beginsWith" dxfId="5" priority="8" operator="beginsWith" text="V">
      <formula>LEFT((I3),LEN("V"))=("V")</formula>
    </cfRule>
  </conditionalFormatting>
  <conditionalFormatting sqref="M3:M118">
    <cfRule type="cellIs" dxfId="18" priority="9" operator="equal">
      <formula>"YASMIN"</formula>
    </cfRule>
  </conditionalFormatting>
  <conditionalFormatting sqref="M3:M118">
    <cfRule type="cellIs" dxfId="19" priority="10" operator="equal">
      <formula>"LETÍCIA"</formula>
    </cfRule>
  </conditionalFormatting>
  <conditionalFormatting sqref="M2:M118">
    <cfRule type="cellIs" dxfId="20" priority="11" operator="equal">
      <formula>"CICI"</formula>
    </cfRule>
  </conditionalFormatting>
  <conditionalFormatting sqref="M2:M118">
    <cfRule type="cellIs" dxfId="2" priority="12" operator="equal">
      <formula>"AIRTON"</formula>
    </cfRule>
  </conditionalFormatting>
  <conditionalFormatting sqref="M2:M118">
    <cfRule type="cellIs" dxfId="15" priority="13" operator="equal">
      <formula>"GUILHERME"</formula>
    </cfRule>
  </conditionalFormatting>
  <conditionalFormatting sqref="M79 M82">
    <cfRule type="cellIs" dxfId="21" priority="14" operator="equal">
      <formula>"JOÃO"</formula>
    </cfRule>
  </conditionalFormatting>
  <conditionalFormatting sqref="K4">
    <cfRule type="notContainsBlanks" dxfId="22" priority="15">
      <formula>LEN(TRIM(K4))&gt;0</formula>
    </cfRule>
  </conditionalFormatting>
  <conditionalFormatting sqref="R5:X116 Z5:AJ116 AL5:AR116 AT5:BB116 AS36 BC36 AS39 BC39 AS41 BC41 AS44 BC44 AS47 BC47 AS50 BC50 AS53 BC53 AS56 BC56 AS59 BC59 AS62 BC62 AS65 BC65 AS68 BC68 AS70 BC70 AS73 BC73 AS77 BC77 AS84 BC84 AS87 BC87 AS89 BC89 AS95 BC95">
    <cfRule type="cellIs" dxfId="6" priority="16" operator="equal">
      <formula>"OUTDATED MODEL"</formula>
    </cfRule>
  </conditionalFormatting>
  <conditionalFormatting sqref="O5:O116">
    <cfRule type="cellIs" dxfId="6" priority="17" operator="equal">
      <formula>"OUTDATED MODEL"</formula>
    </cfRule>
  </conditionalFormatting>
  <conditionalFormatting sqref="U5:X116 AG5:AJ116 AO5:AR116 AY5:BB116 AS36:AX36 BC36 AS39:AX39 BC39 AS41:AX41 BC41 AS44:AX44 BC44 AS47:AX47 BC47 AS50:AX50 BC50 AS53:AX53 BC53 AS56:AX56 BC56 AS59:AX59 BC59 AS62:AX62 BC62 AS65:AX65 BC65 AS68:AX68 BC68 AS70:AX70 BC70 AS73:AX73 BC73 AS77:AX77 BC77 AS84:AX84 BC84 AS87:AX87 BC87 AS89:AX89 BC89 AS95:AX95 BC95">
    <cfRule type="cellIs" dxfId="7" priority="18" operator="equal">
      <formula>"ANALYSING"</formula>
    </cfRule>
  </conditionalFormatting>
  <conditionalFormatting sqref="U5:X116 AG5:AJ116 AO5:AR116 AY5:BB116 AS36:AX36 BC36 AS39:AX39 BC39 AS41:AX41 BC41 AS44:AX44 BC44 AS47:AX47 BC47 AS50:AX50 BC50 AS53:AX53 BC53 AS56:AX56 BC56 AS59:AX59 BC59 AS62:AX62 BC62 AS65:AX65 BC65 AS68:AX68 BC68 AS70:AX70 BC70 AS73:AX73 BC73 AS77:AX77 BC77 AS84:AX84 BC84 AS87:AX87 BC87 AS89:AX89 BC89 AS95:AX95 BC95">
    <cfRule type="cellIs" dxfId="16" priority="19" operator="equal">
      <formula>"NEXT ROUND"</formula>
    </cfRule>
  </conditionalFormatting>
  <conditionalFormatting sqref="U5:X116 AG5:AJ116 AO5:AR116 AY5:BB116 AS36:AX36 BC36 AS39:AX39 BC39 AS41:AX41 BC41 AS44:AX44 BC44 AS47:AX47 BC47 AS50:AX50 BC50 AS53:AX53 BC53 AS56:AX56 BC56 AS59:AX59 BC59 AS62:AX62 BC62 AS65:AX65 BC65 AS68:AX68 BC68 AS70:AX70 BC70 AS73:AX73 BC73 AS77:AX77 BC77 AS84:AX84 BC84 AS87:AX87 BC87 AS89:AX89 BC89 AS95:AX95 BC95">
    <cfRule type="cellIs" dxfId="9" priority="20" operator="equal">
      <formula>"IMPROPER"</formula>
    </cfRule>
  </conditionalFormatting>
  <conditionalFormatting sqref="U5:X116 AG5:AJ116 AO5:AR116 AY5:BB116 AS36:AX36 BC36 AS39:AX39 BC39 AS41:AX41 BC41 AS44:AX44 BC44 AS47:AX47 BC47 AS50:AX50 BC50 AS53:AX53 BC53 AS56:AX56 BC56 AS59:AX59 BC59 AS62:AX62 BC62 AS65:AX65 BC65 AS68:AX68 BC68 AS70:AX70 BC70 AS73:AX73 BC73 AS77:AX77 BC77 AS84:AX84 BC84 AS87:AX87 BC87 AS89:AX89 BC89 AS95:AX95 BC95">
    <cfRule type="cellIs" dxfId="4" priority="21" operator="equal">
      <formula>"NOT PUBLISHED"</formula>
    </cfRule>
  </conditionalFormatting>
  <dataValidations>
    <dataValidation type="list" allowBlank="1" showDropDown="1" showErrorMessage="1" sqref="D5:D35 D37:D38 D40 D42:D43 D45:D46 D48:D49 D51:D52 D54:D55 D57:D58 D60:D61 D63:D64 D66:D67 D69 D71:D72 D74:D76 D78:D83 D85:D86 D88 D90:D94 D96:D117">
      <formula1>"DATA,SITE,GUAR,C345,C12A,PUMP,UTLS,ADMN,COL1,COL2,COL3,COL4,COL5,STIR"</formula1>
    </dataValidation>
    <dataValidation type="list" allowBlank="1" showDropDown="1" showErrorMessage="1" sqref="Q117:Y117">
      <formula1>"APPROVED,REPROVED,N/A"</formula1>
    </dataValidation>
  </dataValidations>
  <printOptions gridLines="1" horizontalCentered="1" verticalCentered="1"/>
  <pageMargins bottom="0.75" footer="0.0" header="0.0" left="0.25" right="0.25" top="0.75"/>
  <pageSetup fitToHeight="0" paperSize="9"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3.63"/>
    <col customWidth="1" min="5" max="5" width="51.13"/>
    <col customWidth="1" min="7" max="8" width="17.25"/>
  </cols>
  <sheetData>
    <row r="1">
      <c r="A1" s="1294" t="s">
        <v>1779</v>
      </c>
    </row>
    <row r="2">
      <c r="A2" s="1295" t="s">
        <v>1780</v>
      </c>
      <c r="B2" s="1295" t="s">
        <v>1781</v>
      </c>
      <c r="C2" s="1295" t="s">
        <v>1782</v>
      </c>
      <c r="D2" s="1295" t="s">
        <v>1783</v>
      </c>
      <c r="E2" s="1295" t="s">
        <v>1784</v>
      </c>
      <c r="F2" s="1295" t="s">
        <v>1785</v>
      </c>
      <c r="G2" s="1295" t="s">
        <v>1786</v>
      </c>
      <c r="H2" s="1295" t="s">
        <v>1787</v>
      </c>
    </row>
    <row r="3">
      <c r="A3" s="1296" t="s">
        <v>1788</v>
      </c>
      <c r="B3" s="1296" t="s">
        <v>1789</v>
      </c>
      <c r="C3" s="1296" t="s">
        <v>1790</v>
      </c>
      <c r="D3" s="1297" t="b">
        <v>1</v>
      </c>
      <c r="E3" s="1298" t="s">
        <v>1791</v>
      </c>
      <c r="F3" s="1296" t="b">
        <v>1</v>
      </c>
      <c r="G3" s="1296" t="s">
        <v>1792</v>
      </c>
      <c r="H3" s="1296" t="b">
        <v>0</v>
      </c>
    </row>
    <row r="4">
      <c r="A4" s="1296" t="s">
        <v>1793</v>
      </c>
      <c r="B4" s="1296" t="s">
        <v>1789</v>
      </c>
      <c r="C4" s="1296" t="s">
        <v>1756</v>
      </c>
      <c r="D4" s="1297" t="b">
        <v>1</v>
      </c>
      <c r="E4" s="1298" t="s">
        <v>1791</v>
      </c>
      <c r="F4" s="1296" t="b">
        <v>1</v>
      </c>
      <c r="G4" s="1296" t="s">
        <v>1792</v>
      </c>
      <c r="H4" s="1296" t="b">
        <v>0</v>
      </c>
    </row>
    <row r="5">
      <c r="A5" s="1296" t="s">
        <v>1794</v>
      </c>
      <c r="B5" s="1296" t="s">
        <v>1789</v>
      </c>
      <c r="C5" s="1296" t="s">
        <v>1790</v>
      </c>
      <c r="D5" s="1297" t="b">
        <v>1</v>
      </c>
      <c r="E5" s="1298" t="s">
        <v>1791</v>
      </c>
      <c r="F5" s="1296" t="b">
        <v>1</v>
      </c>
      <c r="G5" s="1296" t="s">
        <v>1792</v>
      </c>
      <c r="H5" s="1296" t="b">
        <v>0</v>
      </c>
    </row>
    <row r="6" hidden="1">
      <c r="A6" s="1299" t="s">
        <v>1795</v>
      </c>
      <c r="B6" s="1299" t="s">
        <v>1796</v>
      </c>
      <c r="C6" s="1299" t="s">
        <v>1756</v>
      </c>
      <c r="D6" s="1299" t="b">
        <v>0</v>
      </c>
      <c r="E6" s="1300"/>
      <c r="F6" s="1296" t="b">
        <v>0</v>
      </c>
      <c r="G6" s="1296"/>
      <c r="H6" s="1296" t="b">
        <v>0</v>
      </c>
    </row>
    <row r="7" hidden="1">
      <c r="A7" s="1299" t="s">
        <v>1795</v>
      </c>
      <c r="B7" s="1299" t="s">
        <v>1797</v>
      </c>
      <c r="C7" s="1299" t="s">
        <v>1759</v>
      </c>
      <c r="D7" s="1300" t="b">
        <v>0</v>
      </c>
      <c r="E7" s="1300"/>
      <c r="F7" s="1296" t="b">
        <v>0</v>
      </c>
      <c r="G7" s="1296"/>
      <c r="H7" s="1296" t="b">
        <v>0</v>
      </c>
    </row>
    <row r="8" hidden="1">
      <c r="A8" s="1299" t="s">
        <v>1795</v>
      </c>
      <c r="B8" s="1299" t="s">
        <v>1798</v>
      </c>
      <c r="C8" s="1299" t="s">
        <v>7</v>
      </c>
      <c r="D8" s="1300" t="b">
        <v>0</v>
      </c>
      <c r="E8" s="1300"/>
      <c r="F8" s="1296" t="b">
        <v>0</v>
      </c>
      <c r="G8" s="1296"/>
      <c r="H8" s="1296" t="b">
        <v>0</v>
      </c>
    </row>
    <row r="9" hidden="1">
      <c r="A9" s="1299" t="s">
        <v>1795</v>
      </c>
      <c r="B9" s="1299" t="s">
        <v>1799</v>
      </c>
      <c r="C9" s="1299" t="s">
        <v>1756</v>
      </c>
      <c r="D9" s="1300" t="b">
        <v>0</v>
      </c>
      <c r="E9" s="1300"/>
      <c r="F9" s="1296" t="b">
        <v>0</v>
      </c>
      <c r="G9" s="1296"/>
      <c r="H9" s="1296" t="b">
        <v>0</v>
      </c>
    </row>
    <row r="10" hidden="1">
      <c r="A10" s="1299" t="s">
        <v>1795</v>
      </c>
      <c r="B10" s="1299" t="s">
        <v>1800</v>
      </c>
      <c r="C10" s="1299" t="s">
        <v>7</v>
      </c>
      <c r="D10" s="1300" t="b">
        <v>0</v>
      </c>
      <c r="E10" s="1300"/>
      <c r="F10" s="1296" t="b">
        <v>0</v>
      </c>
      <c r="G10" s="1296"/>
      <c r="H10" s="1296" t="b">
        <v>0</v>
      </c>
    </row>
    <row r="11" hidden="1">
      <c r="A11" s="1299" t="s">
        <v>1795</v>
      </c>
      <c r="B11" s="1299" t="s">
        <v>1801</v>
      </c>
      <c r="C11" s="1299" t="s">
        <v>1756</v>
      </c>
      <c r="D11" s="1300" t="b">
        <v>0</v>
      </c>
      <c r="E11" s="1300"/>
      <c r="F11" s="1296" t="b">
        <v>0</v>
      </c>
      <c r="G11" s="1296"/>
      <c r="H11" s="1296" t="b">
        <v>0</v>
      </c>
    </row>
    <row r="12" hidden="1">
      <c r="A12" s="1299" t="s">
        <v>1795</v>
      </c>
      <c r="B12" s="1299" t="s">
        <v>1802</v>
      </c>
      <c r="C12" s="1299" t="s">
        <v>1756</v>
      </c>
      <c r="D12" s="1300" t="b">
        <v>0</v>
      </c>
      <c r="E12" s="1300"/>
      <c r="F12" s="1296" t="b">
        <v>0</v>
      </c>
      <c r="G12" s="1296"/>
      <c r="H12" s="1296" t="b">
        <v>0</v>
      </c>
    </row>
    <row r="13" hidden="1">
      <c r="A13" s="1301" t="s">
        <v>1803</v>
      </c>
      <c r="B13" s="1301" t="s">
        <v>1804</v>
      </c>
      <c r="C13" s="1299" t="s">
        <v>7</v>
      </c>
      <c r="D13" s="1300" t="b">
        <v>0</v>
      </c>
      <c r="E13" s="1300"/>
    </row>
    <row r="14">
      <c r="A14" s="1296" t="s">
        <v>1805</v>
      </c>
      <c r="B14" s="1296" t="s">
        <v>1806</v>
      </c>
      <c r="C14" s="1296" t="s">
        <v>1756</v>
      </c>
      <c r="D14" s="1297" t="b">
        <v>1</v>
      </c>
      <c r="E14" s="1298" t="s">
        <v>1807</v>
      </c>
      <c r="F14" s="1296" t="b">
        <v>1</v>
      </c>
      <c r="G14" s="1296" t="s">
        <v>1757</v>
      </c>
      <c r="H14" s="1296" t="b">
        <v>0</v>
      </c>
    </row>
    <row r="15">
      <c r="A15" s="1296" t="s">
        <v>1793</v>
      </c>
      <c r="B15" s="1296" t="s">
        <v>1789</v>
      </c>
      <c r="C15" s="1296" t="s">
        <v>7</v>
      </c>
      <c r="D15" s="1297" t="b">
        <v>1</v>
      </c>
      <c r="E15" s="1298" t="s">
        <v>1808</v>
      </c>
      <c r="F15" s="1296" t="b">
        <v>1</v>
      </c>
      <c r="G15" s="1296" t="s">
        <v>1792</v>
      </c>
      <c r="H15" s="1296" t="b">
        <v>0</v>
      </c>
    </row>
    <row r="16">
      <c r="A16" s="1296" t="s">
        <v>1809</v>
      </c>
      <c r="B16" s="1296" t="s">
        <v>1809</v>
      </c>
      <c r="C16" s="1296" t="s">
        <v>1756</v>
      </c>
      <c r="D16" s="1297" t="b">
        <v>1</v>
      </c>
      <c r="E16" s="1298" t="s">
        <v>1810</v>
      </c>
      <c r="F16" s="1299" t="b">
        <v>1</v>
      </c>
      <c r="G16" s="1299" t="s">
        <v>1757</v>
      </c>
      <c r="H16" s="1296" t="b">
        <v>0</v>
      </c>
    </row>
    <row r="17">
      <c r="A17" s="1296" t="s">
        <v>1811</v>
      </c>
      <c r="B17" s="1296" t="s">
        <v>1789</v>
      </c>
      <c r="C17" s="1296" t="s">
        <v>1756</v>
      </c>
      <c r="D17" s="1297" t="b">
        <v>1</v>
      </c>
      <c r="E17" s="1298" t="s">
        <v>1812</v>
      </c>
      <c r="F17" s="1296" t="b">
        <v>1</v>
      </c>
      <c r="G17" s="1296" t="s">
        <v>1757</v>
      </c>
      <c r="H17" s="1296" t="b">
        <v>0</v>
      </c>
    </row>
    <row r="18">
      <c r="A18" s="1296" t="s">
        <v>1813</v>
      </c>
      <c r="B18" s="1296" t="s">
        <v>1789</v>
      </c>
      <c r="C18" s="1296" t="s">
        <v>1790</v>
      </c>
      <c r="D18" s="1297" t="b">
        <v>1</v>
      </c>
      <c r="E18" s="1298" t="s">
        <v>1814</v>
      </c>
      <c r="F18" s="1296" t="b">
        <v>1</v>
      </c>
      <c r="G18" s="1296" t="s">
        <v>461</v>
      </c>
      <c r="H18" s="1296" t="b">
        <v>0</v>
      </c>
    </row>
    <row r="19">
      <c r="A19" s="1299" t="s">
        <v>1805</v>
      </c>
      <c r="B19" s="1299" t="s">
        <v>1815</v>
      </c>
      <c r="C19" s="1299" t="s">
        <v>7</v>
      </c>
      <c r="D19" s="1297" t="b">
        <v>1</v>
      </c>
      <c r="E19" s="1298" t="s">
        <v>1816</v>
      </c>
      <c r="F19" s="1296" t="b">
        <v>1</v>
      </c>
      <c r="G19" s="1296" t="s">
        <v>461</v>
      </c>
      <c r="H19" s="1296" t="b">
        <v>0</v>
      </c>
    </row>
    <row r="20">
      <c r="A20" s="1296" t="s">
        <v>1817</v>
      </c>
      <c r="B20" s="1296" t="s">
        <v>1817</v>
      </c>
      <c r="C20" s="1296" t="s">
        <v>1756</v>
      </c>
      <c r="D20" s="1297" t="b">
        <v>1</v>
      </c>
      <c r="E20" s="1298" t="s">
        <v>1818</v>
      </c>
      <c r="F20" s="1296" t="b">
        <v>1</v>
      </c>
      <c r="G20" s="1299" t="s">
        <v>1757</v>
      </c>
      <c r="H20" s="1296" t="b">
        <v>0</v>
      </c>
    </row>
    <row r="21">
      <c r="A21" s="1296" t="s">
        <v>1817</v>
      </c>
      <c r="B21" s="1296" t="s">
        <v>1817</v>
      </c>
      <c r="C21" s="1296" t="s">
        <v>7</v>
      </c>
      <c r="D21" s="1297" t="b">
        <v>1</v>
      </c>
      <c r="E21" s="1298" t="s">
        <v>1818</v>
      </c>
      <c r="F21" s="1296" t="b">
        <v>1</v>
      </c>
      <c r="G21" s="1299" t="s">
        <v>1757</v>
      </c>
      <c r="H21" s="1296" t="b">
        <v>0</v>
      </c>
    </row>
    <row r="22">
      <c r="A22" s="1296" t="s">
        <v>1819</v>
      </c>
      <c r="B22" s="1296" t="s">
        <v>1819</v>
      </c>
      <c r="C22" s="1296" t="s">
        <v>1756</v>
      </c>
      <c r="D22" s="1297" t="b">
        <v>1</v>
      </c>
      <c r="E22" s="1298" t="s">
        <v>1818</v>
      </c>
      <c r="F22" s="1296" t="b">
        <v>1</v>
      </c>
      <c r="G22" s="1299" t="s">
        <v>1757</v>
      </c>
      <c r="H22" s="1296" t="b">
        <v>0</v>
      </c>
    </row>
    <row r="23">
      <c r="A23" s="1296" t="s">
        <v>1819</v>
      </c>
      <c r="B23" s="1296" t="s">
        <v>1819</v>
      </c>
      <c r="C23" s="1296" t="s">
        <v>7</v>
      </c>
      <c r="D23" s="1297" t="b">
        <v>1</v>
      </c>
      <c r="E23" s="1298" t="s">
        <v>1818</v>
      </c>
      <c r="F23" s="1296" t="b">
        <v>1</v>
      </c>
      <c r="G23" s="1299" t="s">
        <v>1757</v>
      </c>
      <c r="H23" s="1296" t="b">
        <v>0</v>
      </c>
    </row>
    <row r="24">
      <c r="A24" s="1296" t="s">
        <v>1809</v>
      </c>
      <c r="B24" s="1296" t="s">
        <v>1809</v>
      </c>
      <c r="C24" s="1296" t="s">
        <v>1759</v>
      </c>
      <c r="D24" s="1297" t="b">
        <v>1</v>
      </c>
      <c r="E24" s="1298" t="s">
        <v>1820</v>
      </c>
      <c r="F24" s="1299" t="b">
        <v>1</v>
      </c>
      <c r="G24" s="1299" t="s">
        <v>1757</v>
      </c>
      <c r="H24" s="1296" t="b">
        <v>0</v>
      </c>
    </row>
    <row r="25">
      <c r="A25" s="1296" t="s">
        <v>1805</v>
      </c>
      <c r="B25" s="1296" t="s">
        <v>1821</v>
      </c>
      <c r="C25" s="1296" t="s">
        <v>8</v>
      </c>
      <c r="D25" s="1297" t="b">
        <v>1</v>
      </c>
      <c r="E25" s="1298" t="s">
        <v>1820</v>
      </c>
      <c r="F25" s="1299" t="b">
        <v>1</v>
      </c>
      <c r="G25" s="1299" t="s">
        <v>1757</v>
      </c>
      <c r="H25" s="1296" t="b">
        <v>0</v>
      </c>
    </row>
    <row r="26">
      <c r="A26" s="1296" t="s">
        <v>1805</v>
      </c>
      <c r="B26" s="1296" t="s">
        <v>1806</v>
      </c>
      <c r="C26" s="1296" t="s">
        <v>7</v>
      </c>
      <c r="D26" s="1297" t="b">
        <v>1</v>
      </c>
      <c r="E26" s="1298" t="s">
        <v>1820</v>
      </c>
      <c r="F26" s="1296" t="b">
        <v>1</v>
      </c>
      <c r="G26" s="1296" t="s">
        <v>1757</v>
      </c>
      <c r="H26" s="1296" t="b">
        <v>0</v>
      </c>
    </row>
    <row r="27">
      <c r="A27" s="1296" t="s">
        <v>1795</v>
      </c>
      <c r="B27" s="1296" t="s">
        <v>1795</v>
      </c>
      <c r="C27" s="1296" t="s">
        <v>1790</v>
      </c>
      <c r="D27" s="1297" t="b">
        <v>1</v>
      </c>
      <c r="E27" s="1298"/>
      <c r="F27" s="1296" t="b">
        <v>1</v>
      </c>
      <c r="G27" s="1296" t="s">
        <v>1792</v>
      </c>
      <c r="H27" s="1296" t="b">
        <v>0</v>
      </c>
    </row>
    <row r="28">
      <c r="A28" s="1296" t="s">
        <v>1795</v>
      </c>
      <c r="B28" s="1296" t="s">
        <v>1822</v>
      </c>
      <c r="C28" s="1296" t="s">
        <v>1790</v>
      </c>
      <c r="D28" s="1297" t="b">
        <v>1</v>
      </c>
      <c r="E28" s="1298"/>
      <c r="F28" s="1296" t="b">
        <v>1</v>
      </c>
      <c r="G28" s="1296" t="s">
        <v>1757</v>
      </c>
      <c r="H28" s="1296" t="b">
        <v>0</v>
      </c>
    </row>
    <row r="29">
      <c r="A29" s="1296" t="s">
        <v>1803</v>
      </c>
      <c r="B29" s="1296" t="s">
        <v>1823</v>
      </c>
      <c r="C29" s="1296" t="s">
        <v>7</v>
      </c>
      <c r="D29" s="1297" t="b">
        <v>1</v>
      </c>
      <c r="E29" s="1298"/>
      <c r="F29" s="1296" t="b">
        <v>1</v>
      </c>
      <c r="G29" s="1296" t="s">
        <v>1792</v>
      </c>
      <c r="H29" s="1296" t="b">
        <v>0</v>
      </c>
    </row>
    <row r="30">
      <c r="A30" s="1296" t="s">
        <v>1819</v>
      </c>
      <c r="B30" s="1296" t="s">
        <v>1821</v>
      </c>
      <c r="C30" s="1296" t="s">
        <v>8</v>
      </c>
      <c r="D30" s="1297" t="b">
        <v>1</v>
      </c>
      <c r="E30" s="1298"/>
      <c r="F30" s="1296" t="b">
        <v>1</v>
      </c>
      <c r="G30" s="1299" t="s">
        <v>1757</v>
      </c>
      <c r="H30" s="1296" t="b">
        <v>0</v>
      </c>
    </row>
    <row r="31">
      <c r="A31" s="1299" t="s">
        <v>1795</v>
      </c>
      <c r="B31" s="1299" t="s">
        <v>1824</v>
      </c>
      <c r="C31" s="1299" t="s">
        <v>1756</v>
      </c>
      <c r="D31" s="1302" t="b">
        <v>1</v>
      </c>
      <c r="E31" s="1298" t="s">
        <v>1825</v>
      </c>
      <c r="F31" s="1296" t="b">
        <v>1</v>
      </c>
      <c r="G31" s="1296" t="s">
        <v>1757</v>
      </c>
      <c r="H31" s="1296" t="b">
        <v>0</v>
      </c>
    </row>
    <row r="32" ht="22.5" customHeight="1">
      <c r="A32" s="1296" t="s">
        <v>1788</v>
      </c>
      <c r="B32" s="1296" t="s">
        <v>1826</v>
      </c>
      <c r="C32" s="1296" t="s">
        <v>1790</v>
      </c>
      <c r="D32" s="1302" t="b">
        <v>1</v>
      </c>
      <c r="E32" s="1298" t="s">
        <v>1825</v>
      </c>
      <c r="F32" s="1296" t="b">
        <v>1</v>
      </c>
      <c r="G32" s="1296" t="s">
        <v>461</v>
      </c>
      <c r="H32" s="1296" t="b">
        <v>0</v>
      </c>
    </row>
    <row r="33">
      <c r="A33" s="1299" t="s">
        <v>1827</v>
      </c>
      <c r="B33" s="1299" t="s">
        <v>1789</v>
      </c>
      <c r="C33" s="1299" t="s">
        <v>1756</v>
      </c>
      <c r="D33" s="1302" t="b">
        <v>1</v>
      </c>
      <c r="E33" s="1298" t="s">
        <v>1825</v>
      </c>
      <c r="F33" s="1296" t="b">
        <v>1</v>
      </c>
      <c r="G33" s="1296" t="s">
        <v>461</v>
      </c>
      <c r="H33" s="1296" t="b">
        <v>0</v>
      </c>
    </row>
    <row r="34">
      <c r="A34" s="1299" t="s">
        <v>1828</v>
      </c>
      <c r="B34" s="1299" t="s">
        <v>1828</v>
      </c>
      <c r="C34" s="1299" t="s">
        <v>1756</v>
      </c>
      <c r="D34" s="1302" t="b">
        <v>1</v>
      </c>
      <c r="E34" s="1298" t="s">
        <v>1825</v>
      </c>
      <c r="F34" s="1296" t="b">
        <v>1</v>
      </c>
      <c r="G34" s="1296" t="s">
        <v>1757</v>
      </c>
      <c r="H34" s="1296" t="b">
        <v>0</v>
      </c>
    </row>
    <row r="35">
      <c r="A35" s="1299" t="s">
        <v>1828</v>
      </c>
      <c r="B35" s="1299" t="s">
        <v>1828</v>
      </c>
      <c r="C35" s="1299" t="s">
        <v>7</v>
      </c>
      <c r="D35" s="1302" t="b">
        <v>1</v>
      </c>
      <c r="E35" s="1298" t="s">
        <v>1825</v>
      </c>
      <c r="F35" s="1296" t="b">
        <v>1</v>
      </c>
      <c r="G35" s="1296" t="s">
        <v>461</v>
      </c>
      <c r="H35" s="1296" t="b">
        <v>0</v>
      </c>
    </row>
    <row r="36">
      <c r="A36" s="1299" t="s">
        <v>1805</v>
      </c>
      <c r="B36" s="1299" t="s">
        <v>1805</v>
      </c>
      <c r="C36" s="1299" t="s">
        <v>1790</v>
      </c>
      <c r="D36" s="1302" t="b">
        <v>1</v>
      </c>
      <c r="E36" s="1298" t="s">
        <v>1825</v>
      </c>
      <c r="F36" s="1296" t="b">
        <v>1</v>
      </c>
      <c r="G36" s="1296" t="s">
        <v>461</v>
      </c>
      <c r="H36" s="1296" t="b">
        <v>0</v>
      </c>
    </row>
    <row r="37">
      <c r="A37" s="1299" t="s">
        <v>1829</v>
      </c>
      <c r="B37" s="1299" t="s">
        <v>1789</v>
      </c>
      <c r="C37" s="1299" t="s">
        <v>1790</v>
      </c>
      <c r="D37" s="1302" t="b">
        <v>1</v>
      </c>
      <c r="E37" s="1298" t="s">
        <v>1825</v>
      </c>
      <c r="F37" s="1296" t="b">
        <v>1</v>
      </c>
      <c r="G37" s="1296" t="s">
        <v>1757</v>
      </c>
      <c r="H37" s="1296" t="b">
        <v>0</v>
      </c>
    </row>
    <row r="38" hidden="1">
      <c r="A38" s="1299" t="s">
        <v>1830</v>
      </c>
      <c r="B38" s="1299" t="s">
        <v>1831</v>
      </c>
      <c r="C38" s="1300"/>
      <c r="D38" s="1300" t="b">
        <v>0</v>
      </c>
      <c r="E38" s="1300"/>
      <c r="F38" s="1296" t="b">
        <v>0</v>
      </c>
      <c r="G38" s="1296"/>
      <c r="H38" s="1296" t="b">
        <v>0</v>
      </c>
    </row>
    <row r="39" hidden="1">
      <c r="A39" s="1299" t="s">
        <v>1831</v>
      </c>
      <c r="B39" s="1299" t="s">
        <v>1832</v>
      </c>
      <c r="C39" s="1299" t="s">
        <v>1790</v>
      </c>
      <c r="D39" s="1300" t="b">
        <v>0</v>
      </c>
      <c r="E39" s="1300"/>
      <c r="F39" s="1296" t="b">
        <v>0</v>
      </c>
      <c r="G39" s="1296"/>
      <c r="H39" s="1296" t="b">
        <v>0</v>
      </c>
    </row>
    <row r="40" hidden="1">
      <c r="A40" s="1299" t="s">
        <v>1831</v>
      </c>
      <c r="B40" s="1299" t="s">
        <v>1833</v>
      </c>
      <c r="C40" s="1299" t="s">
        <v>1790</v>
      </c>
      <c r="D40" s="1300" t="b">
        <v>0</v>
      </c>
      <c r="E40" s="1300"/>
      <c r="F40" s="1296" t="b">
        <v>0</v>
      </c>
      <c r="G40" s="1296"/>
      <c r="H40" s="1296" t="b">
        <v>0</v>
      </c>
    </row>
    <row r="41">
      <c r="A41" s="1299" t="s">
        <v>1813</v>
      </c>
      <c r="B41" s="1299" t="s">
        <v>1826</v>
      </c>
      <c r="C41" s="1299" t="s">
        <v>1790</v>
      </c>
      <c r="D41" s="1302" t="b">
        <v>1</v>
      </c>
      <c r="E41" s="1298" t="s">
        <v>1825</v>
      </c>
      <c r="F41" s="1296" t="b">
        <v>1</v>
      </c>
      <c r="G41" s="1296" t="s">
        <v>461</v>
      </c>
      <c r="H41" s="1296" t="b">
        <v>0</v>
      </c>
    </row>
    <row r="42">
      <c r="A42" s="1296" t="s">
        <v>1834</v>
      </c>
      <c r="B42" s="1296" t="s">
        <v>1826</v>
      </c>
      <c r="C42" s="1296" t="s">
        <v>1790</v>
      </c>
      <c r="D42" s="1302" t="b">
        <v>1</v>
      </c>
      <c r="E42" s="1298" t="s">
        <v>1825</v>
      </c>
      <c r="F42" s="1296" t="b">
        <v>1</v>
      </c>
      <c r="G42" s="1296" t="s">
        <v>1757</v>
      </c>
      <c r="H42" s="1296" t="b">
        <v>0</v>
      </c>
    </row>
  </sheetData>
  <autoFilter ref="$A$2:$H$42">
    <filterColumn colId="3">
      <filters>
        <filter val="TRUE"/>
      </filters>
    </filterColumn>
    <sortState ref="A2:H42">
      <sortCondition descending="1" sortBy="cellColor" ref="D2:D42" dxfId="24"/>
      <sortCondition ref="E2:E42"/>
      <sortCondition ref="A2:A42"/>
      <sortCondition descending="1" ref="F2:F42"/>
    </sortState>
  </autoFilter>
  <mergeCells count="1">
    <mergeCell ref="A1:D1"/>
  </mergeCells>
  <drawing r:id="rId1"/>
</worksheet>
</file>