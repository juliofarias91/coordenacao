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D CONTROL" sheetId="1" r:id="rId5"/>
    <sheet state="visible" name="4D OVERVIEW" sheetId="2" r:id="rId6"/>
    <sheet state="visible" name="RELATÓRIO ACC" sheetId="3" r:id="rId7"/>
    <sheet state="visible" name="R22 RELATÓRIO ACC" sheetId="4" r:id="rId8"/>
  </sheets>
  <definedNames>
    <definedName hidden="1" localSheetId="0" name="_xlnm._FilterDatabase">'4D CONTROL'!$A$2:$CM$76</definedName>
    <definedName hidden="1" localSheetId="2" name="_xlnm._FilterDatabase">'RELATÓRIO ACC'!$A$1:$T$146</definedName>
    <definedName hidden="1" localSheetId="3" name="_xlnm._FilterDatabase">'R22 RELATÓRIO ACC'!$A$1:$T$242</definedName>
  </definedNames>
  <calcPr/>
</workbook>
</file>

<file path=xl/sharedStrings.xml><?xml version="1.0" encoding="utf-8"?>
<sst xmlns="http://schemas.openxmlformats.org/spreadsheetml/2006/main" count="10089" uniqueCount="1576">
  <si>
    <t>4D PARAMETER AUDIT</t>
  </si>
  <si>
    <t>TRADE COMPANY</t>
  </si>
  <si>
    <t>CODE</t>
  </si>
  <si>
    <t>BIM COMPANY</t>
  </si>
  <si>
    <t>ACC VERSION  (R22) - META DO DIA 17/07</t>
  </si>
  <si>
    <t>ACC FILE DATE (R22) - META DO DIA 17/07</t>
  </si>
  <si>
    <t>ACC VERSION  (R24) - META DO DIA 17/07</t>
  </si>
  <si>
    <t>ACC FILE DATE (R24) - META DO DIA 17/07</t>
  </si>
  <si>
    <t>VERSION</t>
  </si>
  <si>
    <t>VERSION DATE</t>
  </si>
  <si>
    <t>FILE NAME (R22)</t>
  </si>
  <si>
    <t>FILE NAME (R24)</t>
  </si>
  <si>
    <t>SHARED PARAMETER</t>
  </si>
  <si>
    <t>PARAMETER  INFORMATION FILLED - TABLE</t>
  </si>
  <si>
    <t>ROUND 1</t>
  </si>
  <si>
    <t xml:space="preserve">ROUND 2 </t>
  </si>
  <si>
    <t>ROUND 3</t>
  </si>
  <si>
    <t>ISSUES (ROUND 3)</t>
  </si>
  <si>
    <t>ROUND 4</t>
  </si>
  <si>
    <t>ISSUES (ROUND 4)</t>
  </si>
  <si>
    <t>ROUND 5</t>
  </si>
  <si>
    <t>ISSUES (ROUND 5)</t>
  </si>
  <si>
    <t>ROUND 6</t>
  </si>
  <si>
    <t>ISSUES (ROUND 6)</t>
  </si>
  <si>
    <t>ROUND 7</t>
  </si>
  <si>
    <t>ISSUES (ROUND 7)</t>
  </si>
  <si>
    <t>ROUND 8</t>
  </si>
  <si>
    <t>ISSUES (ROUND 8)</t>
  </si>
  <si>
    <t>ROUND 9</t>
  </si>
  <si>
    <t>ISSUES (ROUND 9)</t>
  </si>
  <si>
    <t>ROUND 10</t>
  </si>
  <si>
    <t>ISSUES (ROUND 10)</t>
  </si>
  <si>
    <t>ROUND 11</t>
  </si>
  <si>
    <t>ISSUES (ROUND 11)</t>
  </si>
  <si>
    <t>ROUND 12</t>
  </si>
  <si>
    <t>ISSUES (ROUND 12)</t>
  </si>
  <si>
    <t>ROUND 13</t>
  </si>
  <si>
    <t>ISSUES (ROUND 13)</t>
  </si>
  <si>
    <t>ROUND 14</t>
  </si>
  <si>
    <t>ISSUES (ROUND 14)</t>
  </si>
  <si>
    <t>ROUND 15</t>
  </si>
  <si>
    <t>ISSUES (ROUND 15)</t>
  </si>
  <si>
    <t>ROUND 16</t>
  </si>
  <si>
    <t>ISSUES (ROUND 16)</t>
  </si>
  <si>
    <t>ROUND 17</t>
  </si>
  <si>
    <t>ISSUES (ROUND 17)</t>
  </si>
  <si>
    <t>ROUND 18</t>
  </si>
  <si>
    <t>ISSUES (ROUND 18)</t>
  </si>
  <si>
    <t>ROUND 19</t>
  </si>
  <si>
    <t>ISSUES (ROUND 19)</t>
  </si>
  <si>
    <t>ROUND 20</t>
  </si>
  <si>
    <t>ISSUES (ROUND 20)</t>
  </si>
  <si>
    <t>ROUND 21</t>
  </si>
  <si>
    <t>ISSUES (ROUND 21)</t>
  </si>
  <si>
    <t>ROUND 22</t>
  </si>
  <si>
    <t>ISSUES (ROUND 22)</t>
  </si>
  <si>
    <t>ROUND 23</t>
  </si>
  <si>
    <t>ISSUES (ROUND 23)</t>
  </si>
  <si>
    <t>ROUND 24</t>
  </si>
  <si>
    <t>ISSUES (ROUND 24)</t>
  </si>
  <si>
    <t>ROUND 25</t>
  </si>
  <si>
    <t>ISSUES (ROUND 25)</t>
  </si>
  <si>
    <t>ROUND 26</t>
  </si>
  <si>
    <t>ISSUES (ROUND 26)</t>
  </si>
  <si>
    <t>ROUND 27</t>
  </si>
  <si>
    <t>ISSUES (ROUND 27)</t>
  </si>
  <si>
    <t>ROUND 28</t>
  </si>
  <si>
    <t>ISSUES (ROUND 28)</t>
  </si>
  <si>
    <t>ROUND 29</t>
  </si>
  <si>
    <t>ISSUES (ROUND 29)</t>
  </si>
  <si>
    <t>ROUND 30</t>
  </si>
  <si>
    <t>ISSUES (ROUND 30)</t>
  </si>
  <si>
    <t>ROUND 31</t>
  </si>
  <si>
    <t>ISSUES (ROUND 31)</t>
  </si>
  <si>
    <t>ROUND 32</t>
  </si>
  <si>
    <t>ISSUES (ROUND 32)</t>
  </si>
  <si>
    <t>ROUND 33</t>
  </si>
  <si>
    <t>ISSUES (ROUND 33)</t>
  </si>
  <si>
    <t>ROUND 34</t>
  </si>
  <si>
    <t>ISSUES (ROUND 34)</t>
  </si>
  <si>
    <t>ROUND 35</t>
  </si>
  <si>
    <t>ISSUES (ROUND 35)</t>
  </si>
  <si>
    <t>ROUND 36</t>
  </si>
  <si>
    <t>ISSUES (ROUND 36)</t>
  </si>
  <si>
    <t>ROUND 37</t>
  </si>
  <si>
    <t>ISSUES (ROUND 37)</t>
  </si>
  <si>
    <t>ROUND 38</t>
  </si>
  <si>
    <t>ISSUES (ROUND 38)</t>
  </si>
  <si>
    <t>ESTIMATED DELIVERY R38(DD/MM/AAAA)</t>
  </si>
  <si>
    <t>RESUMO</t>
  </si>
  <si>
    <t>RESPONSÁVEL DA ANÁLISE - R4</t>
  </si>
  <si>
    <t>HÁ ATUALIZAÇÃO NO ACC (ATUALIZADO XX/XX)</t>
  </si>
  <si>
    <t>STATUS DAS ISSUES (ATUALIZADO)</t>
  </si>
  <si>
    <t>INTERAÇÃO NA ISSUE</t>
  </si>
  <si>
    <t>BLACKBOX</t>
  </si>
  <si>
    <t>V2</t>
  </si>
  <si>
    <t>29/06/2026</t>
  </si>
  <si>
    <t>CPQ11-EPMS-DEVS-DATA-R22.rvt</t>
  </si>
  <si>
    <t>CPQ11-EPMS-DEVS-DATA-R24.rvt</t>
  </si>
  <si>
    <t>NOT FOUND</t>
  </si>
  <si>
    <t>APPROVED</t>
  </si>
  <si>
    <t>NO ISSUE</t>
  </si>
  <si>
    <t>PREVIOUSLY APPROVED</t>
  </si>
  <si>
    <t>REPROVED</t>
  </si>
  <si>
    <t>POSTED ISSUE</t>
  </si>
  <si>
    <t>OUTDATED</t>
  </si>
  <si>
    <t>NEXT ROUND</t>
  </si>
  <si>
    <t>ANALYSING</t>
  </si>
  <si>
    <t>ABERTO</t>
  </si>
  <si>
    <t>COMENTÁRIO</t>
  </si>
  <si>
    <t>MENDES HOLLER</t>
  </si>
  <si>
    <t>V3</t>
  </si>
  <si>
    <t>10/07/2026</t>
  </si>
  <si>
    <t>CPQ11-FALM-FALM-SITE-R22.rvt</t>
  </si>
  <si>
    <t>CPQ11-FALM-FALM-SITE-R24.rvt</t>
  </si>
  <si>
    <t>POSTED ISSUES</t>
  </si>
  <si>
    <t>IMPROPER</t>
  </si>
  <si>
    <t>SEM INTERAÇÃO</t>
  </si>
  <si>
    <t>V1</t>
  </si>
  <si>
    <t>CPQ11-FALM-FALM-DATA-R22.rvt</t>
  </si>
  <si>
    <t>CPQ11-FALM-FALM-DATA-R24.rvt</t>
  </si>
  <si>
    <t>NON-RECIVED TABLE</t>
  </si>
  <si>
    <t>NA</t>
  </si>
  <si>
    <t>IDEIA DRYWALL</t>
  </si>
  <si>
    <t>FCH</t>
  </si>
  <si>
    <t>V23</t>
  </si>
  <si>
    <t>CPQ11-ARCH-PART-C12A-R22.rvt</t>
  </si>
  <si>
    <t>CPQ11-ARCH-PART-C12A-R24.rvt</t>
  </si>
  <si>
    <t>FECHADO</t>
  </si>
  <si>
    <t>PGMAK</t>
  </si>
  <si>
    <t>V4</t>
  </si>
  <si>
    <t>06/07/2026</t>
  </si>
  <si>
    <t>CPQ11-ELEC-ELEC-DATA-R22.rvt</t>
  </si>
  <si>
    <t>CPQ11-ELEC-ELEC-DATA-R24.rvt</t>
  </si>
  <si>
    <t>V5</t>
  </si>
  <si>
    <t>CPQ11-ELEC-SPDA-DATA-R22.rvt</t>
  </si>
  <si>
    <t>CPQ11-ELEC-SPDA-DATA-R24.rvt</t>
  </si>
  <si>
    <t>SERCOP</t>
  </si>
  <si>
    <t>ARE ARQUITETURA</t>
  </si>
  <si>
    <t>22/06/2026</t>
  </si>
  <si>
    <t>CPQ11-ARCH-METL-SITE-R22.rvt</t>
  </si>
  <si>
    <t>CPQ11-ARCH-METL-SITE-R24.rvt</t>
  </si>
  <si>
    <t>SEM INTERAÇÃO, COMENTÁRIO</t>
  </si>
  <si>
    <t>25/06/2026</t>
  </si>
  <si>
    <t>CPQ11-FPRT-FPRT-DATA-R22.rvt</t>
  </si>
  <si>
    <t>CPQ11-FPRT-FPRT-DATA-R24.rvt</t>
  </si>
  <si>
    <t>T2B</t>
  </si>
  <si>
    <t>04/06/2026</t>
  </si>
  <si>
    <t>CPQ11-ARCH-CEIL-DATA-R22.rvt</t>
  </si>
  <si>
    <t>CPQ11-ARCH-CEIL-DATA-R24.rvt</t>
  </si>
  <si>
    <t>CPQ11-ARCH-CEIL-SITE-R22.rvt</t>
  </si>
  <si>
    <t>CPQ11-ARCH-CEIL-SITE-R24.rvt</t>
  </si>
  <si>
    <t>SEM ISSUE</t>
  </si>
  <si>
    <t>FM SECURITY</t>
  </si>
  <si>
    <t>02/07/2026</t>
  </si>
  <si>
    <t>CPQ11-SCTY-GATE-SITE-R24.rvt</t>
  </si>
  <si>
    <t>MODAX</t>
  </si>
  <si>
    <t>26/05/2026</t>
  </si>
  <si>
    <t>CPQ11-STRC-FLOO-DATA-R22.rvt</t>
  </si>
  <si>
    <t>CPQ11-STRC-FLOO-DATA-R24.rvt</t>
  </si>
  <si>
    <t>CPQ11-STRC-FLOO-SITE-R22.rvt</t>
  </si>
  <si>
    <t>CPQ11-STRC-FLOO-SITE-R24.rvt</t>
  </si>
  <si>
    <t>PENDENTE</t>
  </si>
  <si>
    <t>V18</t>
  </si>
  <si>
    <t>CPQ11-ARCH-ARCH-DATA-R22.rvt</t>
  </si>
  <si>
    <t>CPQ11-ARCH-ARCH-DATA-R24.rvt</t>
  </si>
  <si>
    <t>V19</t>
  </si>
  <si>
    <t>CPQ11-ARCH-ARCH-SITE-R22.rvt</t>
  </si>
  <si>
    <t>CPQ11-ARCH-ARCH-SITE-R24.rvt</t>
  </si>
  <si>
    <t>INOVAGLASS</t>
  </si>
  <si>
    <t>V7</t>
  </si>
  <si>
    <t>CPQ11-ARCH-BLPR-GUAR-R22.rvt</t>
  </si>
  <si>
    <t>CPQ11-ARCH-BLPR-GUAR-R24.rvt</t>
  </si>
  <si>
    <t>VALE</t>
  </si>
  <si>
    <t>SPBIM</t>
  </si>
  <si>
    <t>CPQ11-ARCH-CHAI-SITE-R22.rvt</t>
  </si>
  <si>
    <t>CPQ11-ARCH-CHAI-SITE-R24.rvt</t>
  </si>
  <si>
    <t>OMNITRADE</t>
  </si>
  <si>
    <t>CADBIM</t>
  </si>
  <si>
    <t>V8</t>
  </si>
  <si>
    <t>CPQ11-ARCH-FACD-DATA-R22.rvt</t>
  </si>
  <si>
    <t>CPQ11-ARCH-FACD-DATA-R24.rvt</t>
  </si>
  <si>
    <t>ZEUS/PORTEX</t>
  </si>
  <si>
    <t>PORTEX</t>
  </si>
  <si>
    <t>CPQ11-ARCH-HM90-DATA-R22.rvt</t>
  </si>
  <si>
    <t>CPQ11-ARCH-HM90-DATA-R24.rvt</t>
  </si>
  <si>
    <t>S-VALE</t>
  </si>
  <si>
    <t>CPQ11-ARCH-HMET-DATA-R22.rvt</t>
  </si>
  <si>
    <t>CPQ11-ARCH-HMET-DATA-R24.rvt</t>
  </si>
  <si>
    <t>CPQ11-ARCH-HMET-SITE-R22.rvt</t>
  </si>
  <si>
    <t>CPQ11-ARCH-HMET-SITE-R24.rvt</t>
  </si>
  <si>
    <t>PEDING INFORMATION</t>
  </si>
  <si>
    <t>V9</t>
  </si>
  <si>
    <t>CPQ11-ARCH-PART-SITE-R22.rvt</t>
  </si>
  <si>
    <t>CPQ11-ARCH-PART-SITE-R24.rvt</t>
  </si>
  <si>
    <t>NON-FILLED</t>
  </si>
  <si>
    <t>V17</t>
  </si>
  <si>
    <t>CPQ11-ARCH-ROOF-DATA-R22.rvt</t>
  </si>
  <si>
    <t>CPQ11-ARCH-ROOF-DATA-R24.rvt</t>
  </si>
  <si>
    <t>ALTAMIRA</t>
  </si>
  <si>
    <t>CPQ11-ARCH-SHLV-DATA-R22.rvt</t>
  </si>
  <si>
    <t>CPQ11-ARCH-SHLV-DATA-R24.rvt</t>
  </si>
  <si>
    <t>CPQ11-ARCH-WMES-DATA-R22.rvt</t>
  </si>
  <si>
    <t>CPQ11-ARCH-WMES-DATA-R24.rvt</t>
  </si>
  <si>
    <t>V11</t>
  </si>
  <si>
    <t>CPQ11-BASM-DEVS-DATA-R22.rvt</t>
  </si>
  <si>
    <t>CPQ11-BASM-DEVS-DATA-R24.rvt</t>
  </si>
  <si>
    <t>CPQ11-BASM-DEVS-PUMP-R22.rvt</t>
  </si>
  <si>
    <t>CPQ11-BASM-DEVS-PUMP-R24.rvt</t>
  </si>
  <si>
    <t>V25</t>
  </si>
  <si>
    <t>CPQ11-BASM-INFR-DATA-R22.rvt</t>
  </si>
  <si>
    <t>CPQ11-BASM-INFR-DATA-R24.rvt</t>
  </si>
  <si>
    <t>CPQ11-BASM-INFR-PUMP-R22.rvt</t>
  </si>
  <si>
    <t>CPQ11-BASM-INFR-PUMP-R24.rvt</t>
  </si>
  <si>
    <t>GARCIA</t>
  </si>
  <si>
    <t>CPQ11-CIVL-ERTH-SITE-R22.rvt</t>
  </si>
  <si>
    <t>CPQ11-CIVL-ERTH-SITE-R24.rvt</t>
  </si>
  <si>
    <t>CPQ11-CIVL-DRNG-SITE-R22.rvt</t>
  </si>
  <si>
    <t>CPQ11-CIVL-DRNG-SITE-R24.rvt</t>
  </si>
  <si>
    <t>CPQ11-CIVL-PAVM-SITE-R22.rvt</t>
  </si>
  <si>
    <t>CPQ11-CIVL-PAVM-SITE-R24.rvt</t>
  </si>
  <si>
    <t>IN PROGRESS</t>
  </si>
  <si>
    <t>STEINER</t>
  </si>
  <si>
    <t>PMD</t>
  </si>
  <si>
    <t>V6</t>
  </si>
  <si>
    <t>CPQ11-CIVL-LOCK-SITE-R22.rvt</t>
  </si>
  <si>
    <t>CPQ11-CIVL-LOCK-SITE-R24.rvt</t>
  </si>
  <si>
    <t>AUTOBRÁS</t>
  </si>
  <si>
    <t>CPQ11-DALI-DEVS-DATA-R22.rvt</t>
  </si>
  <si>
    <t>CPQ11-DALI-DEVS-DATA-R24.rvt</t>
  </si>
  <si>
    <t>IB TECH</t>
  </si>
  <si>
    <t>CPQ11-DASM-DEVS-DATA-R22.rvt</t>
  </si>
  <si>
    <t>CPQ11-DASM-DEVS-DATA-R24.rvt</t>
  </si>
  <si>
    <t>CPQ11-EPMS-DEVS-SITE-R22.rvt</t>
  </si>
  <si>
    <t>CPQ11-EPMS-DEVS-SITE-R24.rvt</t>
  </si>
  <si>
    <t>CPQ11-FPRT-FPRT-SITE-R22.rvt</t>
  </si>
  <si>
    <t>CPQ11-FPRT-FPRT-SITE-R24.rvt</t>
  </si>
  <si>
    <t>PETROTANQUE</t>
  </si>
  <si>
    <t>V10</t>
  </si>
  <si>
    <t>CPQ11-FPRT-METK-UTLS-R22.rvt</t>
  </si>
  <si>
    <t>CPQ11-FPRT-METK-UTLS-R24.rvt</t>
  </si>
  <si>
    <t>STARCENTER</t>
  </si>
  <si>
    <t>V45</t>
  </si>
  <si>
    <t>CPQ11-MECH-MECH-DATA-R22.rvt</t>
  </si>
  <si>
    <t>CPQ11-MECH-MECH-DATA-R24.rvt</t>
  </si>
  <si>
    <t>V14</t>
  </si>
  <si>
    <t>CPQ11-MECH-MECH-GUAR-R22.rvt</t>
  </si>
  <si>
    <t>CPQ11-MECH-MECH-GUAR-R24.rvt</t>
  </si>
  <si>
    <t>CPQ11-PLMB-DIES-SITE-R22.rvt</t>
  </si>
  <si>
    <t>CPQ11-PLMB-DIES-SITE-R24.rvt</t>
  </si>
  <si>
    <t>V21</t>
  </si>
  <si>
    <t>CPQ11-PLMB-METK-UTLS-R22.rvt</t>
  </si>
  <si>
    <t>CPQ11-PLMB-METK-UTLS-R24.rvt</t>
  </si>
  <si>
    <t>V29</t>
  </si>
  <si>
    <t>CPQ11-PLMB-NPWT-DATA-R22.rvt</t>
  </si>
  <si>
    <t>CPQ11-PLMB-NPWT-DATA-R24.rvt</t>
  </si>
  <si>
    <t>V32</t>
  </si>
  <si>
    <t>CPQ11-PLMB-NPWT-SITE-R22.rvt</t>
  </si>
  <si>
    <t>CPQ11-PLMB-NPWT-SITE-R24.rvt</t>
  </si>
  <si>
    <t>V26</t>
  </si>
  <si>
    <t>CPQ11-PLMB-PLMB-SITE-R22.rvt</t>
  </si>
  <si>
    <t>CPQ11-PLMB-PLMB-SITE-R24.rvt</t>
  </si>
  <si>
    <t>CPQ11-ROIP-DEVS-DATA-R22.rvt</t>
  </si>
  <si>
    <t>CPQ11-ROIP-DEVS-DATA-R24.rvt</t>
  </si>
  <si>
    <t>CPQ11-ROIP-DEVS-GUAR-R22.rvt</t>
  </si>
  <si>
    <t>CPQ11-ROIP-DEVS-GUAR-R24.rvt</t>
  </si>
  <si>
    <t>SEGURPRO</t>
  </si>
  <si>
    <t>CPQ11-SCTY-DEVS-DATA-R22.rvt</t>
  </si>
  <si>
    <t>CPQ11-SCTY-DEVS-DATA-R24.rvt</t>
  </si>
  <si>
    <t>V20</t>
  </si>
  <si>
    <t>CPQ11-SCTY-DEVS-SITE-R22.rvt</t>
  </si>
  <si>
    <t>CPQ11-SCTY-DEVS-SITE-R24.rvt</t>
  </si>
  <si>
    <t>V28</t>
  </si>
  <si>
    <t>CPQ11-SCTY-INFR-DATA-R22.rvt</t>
  </si>
  <si>
    <t>CPQ11-SCTY-INFR-DATA-R24.rvt</t>
  </si>
  <si>
    <t>CPQ11-SCTY-INFR-SITE-R22.rvt</t>
  </si>
  <si>
    <t>CPQ11-SCTY-INFR-SITE-R24.rvt</t>
  </si>
  <si>
    <t xml:space="preserve">SERV OBRAS </t>
  </si>
  <si>
    <t>TENAX</t>
  </si>
  <si>
    <t>CPQ11-STRC-CONC-DATA-R22.rvt</t>
  </si>
  <si>
    <t>CPQ11-STRC-CONC-DATA-R24.rvt</t>
  </si>
  <si>
    <t>CPQ11-STRC-CONC-SITE-R22.rvt</t>
  </si>
  <si>
    <t>CPQ11-STRC-CONC-SITE-R24.rvt</t>
  </si>
  <si>
    <t>GEOFIX/TECNOGEO</t>
  </si>
  <si>
    <t>CPQ11-STRC-DPFN-DATA-R22.rvt</t>
  </si>
  <si>
    <t>CPQ11-STRC-DPFN-DATA-R24.rvt</t>
  </si>
  <si>
    <t>CPQ11-STRC-DPFN-SITE-R22.rvt</t>
  </si>
  <si>
    <t>CPQ11-STRC-DPFN-SITE-R24.rvt</t>
  </si>
  <si>
    <t>METASA</t>
  </si>
  <si>
    <t>CPQ11-STRC-STEE-ADMN-2X3.ifc</t>
  </si>
  <si>
    <t>CPQ11-STRC-STEE-STIR-2X3.ifc</t>
  </si>
  <si>
    <t>CPQ11-STRC-STEE-UTLS-2X3.ifc</t>
  </si>
  <si>
    <t>CPQ11-SYST-INFR-DATA-R22.rvt</t>
  </si>
  <si>
    <t>CPQ11-SYST-INFR-DATA-R24.rvt</t>
  </si>
  <si>
    <t>V36</t>
  </si>
  <si>
    <t>CPQ11-SYST-INFR-SITE-R22.rvt</t>
  </si>
  <si>
    <t>CPQ11-SYST-INFR-SITE-R24.rvt</t>
  </si>
  <si>
    <t>EM REVISÃO</t>
  </si>
  <si>
    <t>CPQ11-TCOM-DEVS-DATA-R22.rvt</t>
  </si>
  <si>
    <t>CPQ11-TCOM-DEVS-DATA-R24.rvt</t>
  </si>
  <si>
    <t>CPQ11-TCOM-DEVS-SITE-R22.rvt</t>
  </si>
  <si>
    <t>CPQ11-TCOM-DEVS-SITE-R24.rvt</t>
  </si>
  <si>
    <t>CPQ11-ELEC-SPDA-SITE-R22.rvt</t>
  </si>
  <si>
    <t>CPQ11-ELEC-SPDA-SITE-R24.rvt</t>
  </si>
  <si>
    <t>GUI</t>
  </si>
  <si>
    <t>STONE</t>
  </si>
  <si>
    <t>CPQ11-ARCH-STON-SITE-R23.rvt</t>
  </si>
  <si>
    <t>CPQ11-ARCH-STON-SITE-R24.rvt</t>
  </si>
  <si>
    <t>MEGADOORS</t>
  </si>
  <si>
    <t>CPQ11-ARCH-OHCD-DATA-R22.rvt</t>
  </si>
  <si>
    <t>CPQ11-ARCH-OHCD-DATA-R24.rvt</t>
  </si>
  <si>
    <t>CPQ11-ARCH-PART-C345-R22.rvt</t>
  </si>
  <si>
    <t>CPQ11-ARCH-PART-C345-R24.rvt</t>
  </si>
  <si>
    <t>V33</t>
  </si>
  <si>
    <t>CPQ11-ELEC-ELEC-SITE-R22.rvt</t>
  </si>
  <si>
    <t>CPQ11-ELEC-ELEC-SITE-R24.rvt</t>
  </si>
  <si>
    <t>V30</t>
  </si>
  <si>
    <t>24/03/2026</t>
  </si>
  <si>
    <t>CPQ11-PLMB-PLMB-DATA-R22.rvt</t>
  </si>
  <si>
    <t>CPQ11-PLMB-PLMB-DATA-R24.rvt</t>
  </si>
  <si>
    <t>CPQ11-STRC-STEE-COL1-2X3.ifc</t>
  </si>
  <si>
    <t>CPQ11-STRC-STEE-COL2-2X3.ifc</t>
  </si>
  <si>
    <t>CPQ11-STRC-STEE-COL3-2X3.ifc</t>
  </si>
  <si>
    <t>CPQ11-STRC-STEE-COL4-2X3.ifc</t>
  </si>
  <si>
    <t>CPQ11-STRC-STEE-COL5-2X3.ifc</t>
  </si>
  <si>
    <t>CPQ11-STRC-STEE-GUAR-2X3.ifc</t>
  </si>
  <si>
    <t>4D</t>
  </si>
  <si>
    <t>VERSÃO AUDITADA</t>
  </si>
  <si>
    <t>Folder name and path</t>
  </si>
  <si>
    <t>Name</t>
  </si>
  <si>
    <t>Software version</t>
  </si>
  <si>
    <t>Model type</t>
  </si>
  <si>
    <t>Description</t>
  </si>
  <si>
    <t>Version number</t>
  </si>
  <si>
    <t>Published to</t>
  </si>
  <si>
    <t>Extracted to folder</t>
  </si>
  <si>
    <t>Added to Packages</t>
  </si>
  <si>
    <t>Publicly shared</t>
  </si>
  <si>
    <t>Synced with Bridge</t>
  </si>
  <si>
    <t>Markups</t>
  </si>
  <si>
    <t>Issues</t>
  </si>
  <si>
    <t>File size</t>
  </si>
  <si>
    <t>Last updated</t>
  </si>
  <si>
    <t>Last updated for control table</t>
  </si>
  <si>
    <t>Updated by</t>
  </si>
  <si>
    <t>Version added at</t>
  </si>
  <si>
    <t>Version added by</t>
  </si>
  <si>
    <t>Review status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</si>
  <si>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</si>
  <si>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CPQ11-ARCH-ARCH-DATA-R24.rvt</t>
    </r>
  </si>
  <si>
    <t>Revit 2024</t>
  </si>
  <si>
    <t>Added manually</t>
  </si>
  <si>
    <t>--</t>
  </si>
  <si>
    <t>Sharing to</t>
  </si>
  <si>
    <t>No published markups</t>
  </si>
  <si>
    <t>No unresolved issues</t>
  </si>
  <si>
    <t>255.8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</si>
  <si>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</si>
  <si>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CPQ11-ARCH-ARCH-SITE-R24.rvt</t>
    </r>
  </si>
  <si>
    <t>69.4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</si>
  <si>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</si>
  <si>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CPQ11-ARCH-BLPR-GUAR-R24.rvt</t>
    </r>
  </si>
  <si>
    <t>36.2 MB</t>
  </si>
  <si>
    <t>May 20, 2026 5:55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</si>
  <si>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</si>
  <si>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CPQ11-ARCH-CEIL-DATA-R24.rvt</t>
    </r>
  </si>
  <si>
    <t>186.8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</si>
  <si>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</si>
  <si>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CPQ11-ARCH-CEIL-SITE-R24.rvt</t>
    </r>
  </si>
  <si>
    <t>49.2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</si>
  <si>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</si>
  <si>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CPQ11-ARCH-CHAI-SITE-R24.rvt</t>
    </r>
  </si>
  <si>
    <t>10.3 MB</t>
  </si>
  <si>
    <t>May 15, 2026 3:26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</si>
  <si>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</si>
  <si>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CPQ11-ARCH-FACD-DATA-R24.rvt</t>
    </r>
  </si>
  <si>
    <t>132.9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</si>
  <si>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</si>
  <si>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CPQ11-ARCH-HM90-DATA-R24.rvt</t>
    </r>
  </si>
  <si>
    <t>30.9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</si>
  <si>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</si>
  <si>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CPQ11-ARCH-HMET-DATA-R24.rvt</t>
    </r>
  </si>
  <si>
    <t>75.2 MB</t>
  </si>
  <si>
    <t>May 15, 2026 4:56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</si>
  <si>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</si>
  <si>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CPQ11-ARCH-HMET-SITE-R24.rvt</t>
    </r>
  </si>
  <si>
    <t>26.7 MB</t>
  </si>
  <si>
    <t>May 15, 2026 5:26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</si>
  <si>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</si>
  <si>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CPQ11-ARCH-METL-SITE-R24.rvt</t>
    </r>
  </si>
  <si>
    <t>36.3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</si>
  <si>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</si>
  <si>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CPQ11-ARCH-OHCD-DATA-R24.rvt</t>
    </r>
  </si>
  <si>
    <t>11.6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</si>
  <si>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</si>
  <si>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CPQ11-ARCH-PART-C12A-R24.rvt</t>
    </r>
  </si>
  <si>
    <t>87.8 MB</t>
  </si>
  <si>
    <t>May 27, 2026 10:24 AM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</si>
  <si>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</si>
  <si>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CPQ11-ARCH-PART-C345-R24.rvt</t>
    </r>
  </si>
  <si>
    <t>68.2 MB</t>
  </si>
  <si>
    <t>May 19, 2026 2:37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</si>
  <si>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</si>
  <si>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CPQ11-ARCH-PART-SITE-R24.rvt</t>
    </r>
  </si>
  <si>
    <t>21.6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</si>
  <si>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</si>
  <si>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CPQ11-ARCH-ROOF-DATA-R24.rvt</t>
    </r>
  </si>
  <si>
    <t>22.6 MB</t>
  </si>
  <si>
    <t>May 20, 2026 3:57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</si>
  <si>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</si>
  <si>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CPQ11-ARCH-SHLV-DATA-R24.rvt</t>
    </r>
  </si>
  <si>
    <t>23.3 MB</t>
  </si>
  <si>
    <t>May 20, 2026 5:54 PM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</si>
  <si>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</si>
  <si>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CPQ11-ARCH-STON-SITE-R24.rvt</t>
    </r>
  </si>
  <si>
    <t>10.4 MB</t>
  </si>
  <si>
    <r>
      <rPr>
        <rFont val="Calibri"/>
        <b/>
        <color rgb="FF1155CC"/>
        <sz val="11.0"/>
        <u/>
      </rPr>
      <t>01-WORK IN PROGRESS/BIM/MODELS/DELEGATED DESIGN R24/ARCH</t>
    </r>
  </si>
  <si>
    <r>
      <rPr>
        <rFont val="Calibri"/>
        <b/>
        <color rgb="FF1155CC"/>
        <sz val="11.0"/>
        <u/>
      </rPr>
      <t>CPQ11-ARCH-WMES-DATA-R24.rvt</t>
    </r>
  </si>
  <si>
    <t>31.3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</si>
  <si>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</si>
  <si>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CPQ11-ARCH-ARCH-DATA-R24.nwc</t>
    </r>
  </si>
  <si>
    <t>7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</si>
  <si>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</si>
  <si>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CPQ11-ARCH-ARCH-SITE-R24.nwc</t>
    </r>
  </si>
  <si>
    <t>1.7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</si>
  <si>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</si>
  <si>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CPQ11-ARCH-CHAI-SITE-R24.nwc</t>
    </r>
  </si>
  <si>
    <t>11.5 MB</t>
  </si>
  <si>
    <t>May 15, 2026 3:29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</si>
  <si>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</si>
  <si>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CPQ11-ARCH-FACD-DATA-R24.nwc</t>
    </r>
  </si>
  <si>
    <t>120.4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</si>
  <si>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</si>
  <si>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CPQ11-ARCH-HM90-DATA-R24.nwc</t>
    </r>
  </si>
  <si>
    <t>334.4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</si>
  <si>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</si>
  <si>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CPQ11-ARCH-HMET-DATA-R24.nwc</t>
    </r>
  </si>
  <si>
    <t>3.2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</si>
  <si>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</si>
  <si>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CPQ11-ARCH-HMET-SITE-R24.nwc</t>
    </r>
  </si>
  <si>
    <t>737.3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</si>
  <si>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</si>
  <si>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CPQ11-ARCH-METL-SITE-R24.nwc</t>
    </r>
  </si>
  <si>
    <t>161.1 MB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</si>
  <si>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</si>
  <si>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CPQ11-ARCH-OHCD-DATA-R24.nwc</t>
    </r>
  </si>
  <si>
    <t>8.5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</si>
  <si>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</si>
  <si>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CPQ11-ARCH-PART-C12A-R24.nwc</t>
    </r>
  </si>
  <si>
    <t>5.6 MB</t>
  </si>
  <si>
    <t>May 27, 2026 10:18 AM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</si>
  <si>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</si>
  <si>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CPQ11-ARCH-PART-C345-R24.nwc</t>
    </r>
  </si>
  <si>
    <t>3.8 MB</t>
  </si>
  <si>
    <t>May 19, 2026 2:27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</si>
  <si>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</si>
  <si>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CPQ11-ARCH-PART-SITE-R24.nwc</t>
    </r>
  </si>
  <si>
    <t>677.6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</si>
  <si>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</si>
  <si>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CPQ11-ARCH-ROOF-DATA-R24.nwc</t>
    </r>
  </si>
  <si>
    <t>12.6 MB</t>
  </si>
  <si>
    <t>May 20, 2026 3:41 PM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</si>
  <si>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</si>
  <si>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CPQ11-ARCH-STON-SITE-R24.nwc</t>
    </r>
  </si>
  <si>
    <t>298.8 KB</t>
  </si>
  <si>
    <r>
      <rPr>
        <rFont val="Calibri"/>
        <b/>
        <color rgb="FF1155CC"/>
        <sz val="11.0"/>
        <u/>
      </rPr>
      <t>01-WORK IN PROGRESS/BIM/MODELS/DELEGATED DESIGN R24/ARCH/NWC</t>
    </r>
  </si>
  <si>
    <r>
      <rPr>
        <rFont val="Calibri"/>
        <b/>
        <color rgb="FF1155CC"/>
        <sz val="11.0"/>
        <u/>
      </rPr>
      <t>CPQ11-ARCH-WMES-DATA-R24.nwc</t>
    </r>
  </si>
  <si>
    <t>17.1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</si>
  <si>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</si>
  <si>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CPQ11-CIVL-DRNG-SITE-R24.rvt</t>
    </r>
  </si>
  <si>
    <t>80.9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</si>
  <si>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</si>
  <si>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CPQ11-CIVL-ERTH-SITE-R24.rvt</t>
    </r>
  </si>
  <si>
    <t>38.7 MB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</si>
  <si>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</si>
  <si>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CPQ11-CIVL-LOCK-SITE-R24.rvt</t>
    </r>
  </si>
  <si>
    <t>332.3 MB</t>
  </si>
  <si>
    <t>May 18, 2026 5:11 PM</t>
  </si>
  <si>
    <r>
      <rPr>
        <rFont val="Calibri"/>
        <b/>
        <color rgb="FF1155CC"/>
        <sz val="11.0"/>
        <u/>
      </rPr>
      <t>01-WORK IN PROGRESS/BIM/MODELS/DELEGATED DESIGN R24/CIVIL</t>
    </r>
  </si>
  <si>
    <r>
      <rPr>
        <rFont val="Calibri"/>
        <b/>
        <color rgb="FF1155CC"/>
        <sz val="11.0"/>
        <u/>
      </rPr>
      <t>CPQ11-CIVL-PAVM-SITE-R24.rvt</t>
    </r>
  </si>
  <si>
    <t>47.1 MB</t>
  </si>
  <si>
    <t>May 20, 2026 3:44 PM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</si>
  <si>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</si>
  <si>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CPQ11-CIVL-DRNG-SITE-R24.nwc</t>
    </r>
  </si>
  <si>
    <t>11.9 MB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</si>
  <si>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</si>
  <si>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CPQ11-CIVL-ERTH-SITE-R24.nwc</t>
    </r>
  </si>
  <si>
    <t>2 MB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</si>
  <si>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</si>
  <si>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CPQ11-CIVL-LOCK-SITE-R24.nwc</t>
    </r>
  </si>
  <si>
    <t>187.1 MB</t>
  </si>
  <si>
    <t>May 18, 2026 5:01 PM</t>
  </si>
  <si>
    <r>
      <rPr>
        <rFont val="Calibri"/>
        <b/>
        <color rgb="FF1155CC"/>
        <sz val="11.0"/>
        <u/>
      </rPr>
      <t>01-WORK IN PROGRESS/BIM/MODELS/DELEGATED DESIGN R24/CIVIL/NWC</t>
    </r>
  </si>
  <si>
    <r>
      <rPr>
        <rFont val="Calibri"/>
        <b/>
        <color rgb="FF1155CC"/>
        <sz val="11.0"/>
        <u/>
      </rPr>
      <t>CPQ11-CIVL-PAVM-SITE-R24.nwc</t>
    </r>
  </si>
  <si>
    <t>14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</si>
  <si>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</si>
  <si>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CPQ11-MECH-MECH-DATA-R24.rvt</t>
    </r>
  </si>
  <si>
    <t>220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</si>
  <si>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</si>
  <si>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CPQ11-MECH-MECH-GUAR-R24.rvt</t>
    </r>
  </si>
  <si>
    <t>123.7 MB</t>
  </si>
  <si>
    <t>May 19, 2026 2:43 PM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</si>
  <si>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</si>
  <si>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CPQ11-PLMB-METK-UTLS-R24.rvt</t>
    </r>
  </si>
  <si>
    <t>62.2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</si>
  <si>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</si>
  <si>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CPQ11-PLMB-NPWT-DATA-R24.rvt</t>
    </r>
  </si>
  <si>
    <t>177.4 MB</t>
  </si>
  <si>
    <r>
      <rPr>
        <rFont val="Calibri"/>
        <b/>
        <color rgb="FF1155CC"/>
        <sz val="11.0"/>
        <u/>
      </rPr>
      <t>01-WORK IN PROGRESS/BIM/MODELS/DELEGATED DESIGN R24/MECH</t>
    </r>
  </si>
  <si>
    <r>
      <rPr>
        <rFont val="Calibri"/>
        <b/>
        <color rgb="FF1155CC"/>
        <sz val="11.0"/>
        <u/>
      </rPr>
      <t>CPQ11-PLMB-NPWT-SITE-R24.rvt</t>
    </r>
  </si>
  <si>
    <t>127.6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</si>
  <si>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</si>
  <si>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CPQ11-MECH-MECH-DATA-R24.nwc</t>
    </r>
  </si>
  <si>
    <t>30.1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</si>
  <si>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</si>
  <si>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CPQ11-MECH-MECH-GUAR-R24.nwc</t>
    </r>
  </si>
  <si>
    <t>863.2 KB</t>
  </si>
  <si>
    <t>May 15, 2026 1:24 PM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</si>
  <si>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</si>
  <si>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CPQ11-PLMB-METK-UTLS-R24.nwc</t>
    </r>
  </si>
  <si>
    <t>3.1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</si>
  <si>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</si>
  <si>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CPQ11-PLMB-NPWT-DATA-R24.nwc</t>
    </r>
  </si>
  <si>
    <t>12.7 MB</t>
  </si>
  <si>
    <r>
      <rPr>
        <rFont val="Calibri"/>
        <b/>
        <color rgb="FF1155CC"/>
        <sz val="11.0"/>
        <u/>
      </rPr>
      <t>01-WORK IN PROGRESS/BIM/MODELS/DELEGATED DESIGN R24/MECH/NWC</t>
    </r>
  </si>
  <si>
    <r>
      <rPr>
        <rFont val="Calibri"/>
        <b/>
        <color rgb="FF1155CC"/>
        <sz val="11.0"/>
        <u/>
      </rPr>
      <t>CPQ11-PLMB-NPWT-SITE-R24.nwc</t>
    </r>
  </si>
  <si>
    <t>5.4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</si>
  <si>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</si>
  <si>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CPQ11-BASM-DEVS-DATA-R24.rvt</t>
    </r>
  </si>
  <si>
    <t>53.4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</si>
  <si>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</si>
  <si>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CPQ11-BASM-DEVS-PUMP-R24.rvt</t>
    </r>
  </si>
  <si>
    <t>42.4 MB</t>
  </si>
  <si>
    <t>May 15, 2026 5:44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</si>
  <si>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</si>
  <si>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CPQ11-BASM-INFR-DATA-R24.rvt</t>
    </r>
  </si>
  <si>
    <t>66.1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</si>
  <si>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</si>
  <si>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CPQ11-BASM-INFR-PUMP-R24.rvt</t>
    </r>
  </si>
  <si>
    <t>34.4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</si>
  <si>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</si>
  <si>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CPQ11-DALI-DEVS-DATA-R24.rvt</t>
    </r>
  </si>
  <si>
    <t>215.4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</si>
  <si>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</si>
  <si>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CPQ11-DASM-DEVS-DATA-R24.rvt</t>
    </r>
  </si>
  <si>
    <t>340.4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</si>
  <si>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</si>
  <si>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CPQ11-ELEC-ELEC-DATA-R24.rvt</t>
    </r>
  </si>
  <si>
    <t>302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</si>
  <si>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</si>
  <si>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CPQ11-ELEC-ELEC-SITE-R24.rvt</t>
    </r>
  </si>
  <si>
    <t>45.4 MB</t>
  </si>
  <si>
    <t>May 19, 2026 3:56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</si>
  <si>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</si>
  <si>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CPQ11-ELEC-SPDA-DATA-R24.rvt</t>
    </r>
  </si>
  <si>
    <t>118.1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</si>
  <si>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</si>
  <si>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CPQ11-ELEC-SPDA-SITE-R24.rvt</t>
    </r>
  </si>
  <si>
    <t>70.9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</si>
  <si>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</si>
  <si>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CPQ11-EPMS-DEVS-DATA-R24.rvt</t>
    </r>
  </si>
  <si>
    <t>27.3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</si>
  <si>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</si>
  <si>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CPQ11-EPMS-DEVS-SITE-R24.rvt</t>
    </r>
  </si>
  <si>
    <t>15.5 MB</t>
  </si>
  <si>
    <t>May 15, 2026 5:45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</si>
  <si>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</si>
  <si>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CPQ11-FALM-FALM-DATA-R24.rvt</t>
    </r>
  </si>
  <si>
    <t>71.8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</si>
  <si>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</si>
  <si>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CPQ11-FALM-FALM-SITE-R24.rvt</t>
    </r>
  </si>
  <si>
    <t>17.5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</si>
  <si>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</si>
  <si>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CPQ11-FPRT-FPRT-DATA-R24.rvt</t>
    </r>
  </si>
  <si>
    <t>140.8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</si>
  <si>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</si>
  <si>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CPQ11-FPRT-FPRT-SITE-R24.rvt</t>
    </r>
  </si>
  <si>
    <t>92.9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</si>
  <si>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</si>
  <si>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CPQ11-FPRT-METK-UTLS-R24.rvt</t>
    </r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</si>
  <si>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</si>
  <si>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CPQ11-PLMB-DIES-SITE-R24.rvt</t>
    </r>
  </si>
  <si>
    <t>11.8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</si>
  <si>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</si>
  <si>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CPQ11-PLMB-PLMB-DATA-R24.rvt</t>
    </r>
  </si>
  <si>
    <t>138.1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</si>
  <si>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</si>
  <si>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CPQ11-PLMB-PLMB-SITE-R24.rvt</t>
    </r>
  </si>
  <si>
    <t>68.6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</si>
  <si>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</si>
  <si>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CPQ11-ROIP-DEVS-DATA-R24.rvt</t>
    </r>
  </si>
  <si>
    <t>698.8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</si>
  <si>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</si>
  <si>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CPQ11-ROIP-DEVS-GUAR-R24.rvt</t>
    </r>
  </si>
  <si>
    <t>39.5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</si>
  <si>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</si>
  <si>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CPQ11-SCTY-DEVS-DATA-R24.rvt</t>
    </r>
  </si>
  <si>
    <t>232.5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</si>
  <si>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</si>
  <si>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CPQ11-SCTY-DEVS-SITE-R24.rvt</t>
    </r>
  </si>
  <si>
    <t>234.5 MB</t>
  </si>
  <si>
    <t>May 20, 2026 9:33 AM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</si>
  <si>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</si>
  <si>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CPQ11-SCTY-GATE-SITE-R24.ifc</t>
    </r>
  </si>
  <si>
    <t>48 MB</t>
  </si>
  <si>
    <t>May 19, 2026 2:19 PM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</si>
  <si>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</si>
  <si>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CPQ11-SCTY-GATE-SITE-R24.rvt</t>
    </r>
  </si>
  <si>
    <t>94.6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</si>
  <si>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</si>
  <si>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CPQ11-SCTY-INFR-DATA-R24.rvt</t>
    </r>
  </si>
  <si>
    <t>35.1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</si>
  <si>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</si>
  <si>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CPQ11-SCTY-INFR-SITE-R24.rvt</t>
    </r>
  </si>
  <si>
    <t>33.5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</si>
  <si>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</si>
  <si>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CPQ11-SYST-INFR-DATA-R24.rvt</t>
    </r>
  </si>
  <si>
    <t>121.7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</si>
  <si>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</si>
  <si>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CPQ11-SYST-INFR-SITE-R24.rvt</t>
    </r>
  </si>
  <si>
    <t>79.4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</si>
  <si>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</si>
  <si>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CPQ11-TCOM-DEVS-DATA-R24.rvt</t>
    </r>
  </si>
  <si>
    <t>121.8 MB</t>
  </si>
  <si>
    <r>
      <rPr>
        <rFont val="Calibri"/>
        <b/>
        <color rgb="FF1155CC"/>
        <sz val="11.0"/>
        <u/>
      </rPr>
      <t>01-WORK IN PROGRESS/BIM/MODELS/DELEGATED DESIGN R24/MEP</t>
    </r>
  </si>
  <si>
    <r>
      <rPr>
        <rFont val="Calibri"/>
        <b/>
        <color rgb="FF1155CC"/>
        <sz val="11.0"/>
        <u/>
      </rPr>
      <t>CPQ11-TCOM-DEVS-SITE-R24.rvt</t>
    </r>
  </si>
  <si>
    <t>40.3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</si>
  <si>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</si>
  <si>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CPQ11-BASM-DEVS-DATA-R24.nwc</t>
    </r>
  </si>
  <si>
    <t>1.6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</si>
  <si>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</si>
  <si>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CPQ11-BASM-DEVS-PUMP-R24.nwc</t>
    </r>
  </si>
  <si>
    <t>830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</si>
  <si>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</si>
  <si>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CPQ11-BASM-INFR-DATA-R24.nwc</t>
    </r>
  </si>
  <si>
    <t>40.9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</si>
  <si>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</si>
  <si>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CPQ11-BASM-INFR-PUMP-R24.nwc</t>
    </r>
  </si>
  <si>
    <t>1.3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</si>
  <si>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</si>
  <si>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CPQ11-DALI-DEVS-DATA-R24.nwc</t>
    </r>
  </si>
  <si>
    <t>2.2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</si>
  <si>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</si>
  <si>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CPQ11-DASM-DEVS-DATA-R24.nwc</t>
    </r>
  </si>
  <si>
    <t>33.1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</si>
  <si>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</si>
  <si>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CPQ11-ELEC-ELEC-DATA-R24.nwc</t>
    </r>
  </si>
  <si>
    <t>199.5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</si>
  <si>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</si>
  <si>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CPQ11-ELEC-ELEC-SITE-R24.nwc</t>
    </r>
  </si>
  <si>
    <t>162.7 MB</t>
  </si>
  <si>
    <t>May 18, 2026 8:11 AM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</si>
  <si>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</si>
  <si>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CPQ11-ELEC-SPDA-DATA-R24.nwc</t>
    </r>
  </si>
  <si>
    <t>55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</si>
  <si>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</si>
  <si>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CPQ11-ELEC-SPDA-SITE-R24.nwc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</si>
  <si>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</si>
  <si>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CPQ11-EPMS-DEVS-DATA-R24.nwc</t>
    </r>
  </si>
  <si>
    <t>57.2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</si>
  <si>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</si>
  <si>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CPQ11-EPMS-DEVS-SITE-R24.nwc</t>
    </r>
  </si>
  <si>
    <t>70.1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</si>
  <si>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</si>
  <si>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CPQ11-FALM-FALM-DATA-R24.nwc</t>
    </r>
  </si>
  <si>
    <t>142.4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</si>
  <si>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</si>
  <si>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CPQ11-FALM-FALM-SITE-R24.nwc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</si>
  <si>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</si>
  <si>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CPQ11-FPRT-FPRT-DATA-R24.nwc</t>
    </r>
  </si>
  <si>
    <t>111.7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</si>
  <si>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</si>
  <si>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CPQ11-FPRT-FPRT-SITE-R24.nwc</t>
    </r>
  </si>
  <si>
    <t>19.2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</si>
  <si>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</si>
  <si>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CPQ11-FPRT-METK-UTLS-R24.nwc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</si>
  <si>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</si>
  <si>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CPQ11-PLMB-DIES-SITE-R24.nwc</t>
    </r>
  </si>
  <si>
    <t>3.9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</si>
  <si>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</si>
  <si>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CPQ11-PLMB-PLMB-DATA-R24.nwc</t>
    </r>
  </si>
  <si>
    <t>31.4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</si>
  <si>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</si>
  <si>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CPQ11-PLMB-PLMB-SITE-R24.nwc</t>
    </r>
  </si>
  <si>
    <t>6.7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</si>
  <si>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</si>
  <si>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CPQ11-ROIP-DEVS-DATA-R24.nwc</t>
    </r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</si>
  <si>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</si>
  <si>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CPQ11-ROIP-DEVS-GUAR-R24.nwc</t>
    </r>
  </si>
  <si>
    <t>2.3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</si>
  <si>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</si>
  <si>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CPQ11-SCTY-DEVS-DATA-R24.nwc</t>
    </r>
  </si>
  <si>
    <t>4.6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</si>
  <si>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</si>
  <si>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CPQ11-SCTY-GATE-SITE-R24.nwc</t>
    </r>
  </si>
  <si>
    <t>4.7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</si>
  <si>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</si>
  <si>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CPQ11-SCTY-INFR-DATA-R24.nwc</t>
    </r>
  </si>
  <si>
    <t>35.9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</si>
  <si>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</si>
  <si>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CPQ11-SCTY-INFR-SITE-R24.nwc</t>
    </r>
  </si>
  <si>
    <t>915.3 KB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</si>
  <si>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</si>
  <si>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CPQ11-SYST-INFR-DATA-R24.nwc</t>
    </r>
  </si>
  <si>
    <t>62.5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</si>
  <si>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</si>
  <si>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CPQ11-SYST-INFR-SITE-R24.nwc</t>
    </r>
  </si>
  <si>
    <t>155.4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</si>
  <si>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</si>
  <si>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CPQ11-TCOM-DEVS-DATA-R24.nwc</t>
    </r>
  </si>
  <si>
    <t>6 MB</t>
  </si>
  <si>
    <r>
      <rPr>
        <rFont val="Calibri"/>
        <b/>
        <color rgb="FF1155CC"/>
        <sz val="11.0"/>
        <u/>
      </rPr>
      <t>01-WORK IN PROGRESS/BIM/MODELS/DELEGATED DESIGN R24/MEP/NWC</t>
    </r>
  </si>
  <si>
    <r>
      <rPr>
        <rFont val="Calibri"/>
        <b/>
        <color rgb="FF1155CC"/>
        <sz val="11.0"/>
        <u/>
      </rPr>
      <t>CPQ11-TCOM-DEVS-SITE-R24.nwc</t>
    </r>
  </si>
  <si>
    <t>190.4 KB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</si>
  <si>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</si>
  <si>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CPQ11-STRC-STEE-ADMN-R24.rvt</t>
    </r>
  </si>
  <si>
    <t>213.2 MB</t>
  </si>
  <si>
    <t>May 20, 2026 9:25 AM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</si>
  <si>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</si>
  <si>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CPQ11-STRC-STEE-COL1-R24.rvt</t>
    </r>
  </si>
  <si>
    <t>645.9 MB</t>
  </si>
  <si>
    <t>May 20, 2026 11:13 AM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</si>
  <si>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</si>
  <si>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CPQ11-STRC-STEE-COL2-R24.rvt</t>
    </r>
  </si>
  <si>
    <t>724 MB</t>
  </si>
  <si>
    <t>May 20, 2026 12:45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</si>
  <si>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</si>
  <si>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CPQ11-STRC-STEE-COL3-R24.rvt</t>
    </r>
  </si>
  <si>
    <t>724.3 MB</t>
  </si>
  <si>
    <t>May 20, 2026 2:16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</si>
  <si>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</si>
  <si>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CPQ11-STRC-STEE-COL4-R24.rvt</t>
    </r>
  </si>
  <si>
    <t>661.3 MB</t>
  </si>
  <si>
    <t>May 20, 2026 5:52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</si>
  <si>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</si>
  <si>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CPQ11-STRC-STEE-COL5-R24.rvt</t>
    </r>
  </si>
  <si>
    <t>740.2 MB</t>
  </si>
  <si>
    <t>May 20, 2026 5:51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</si>
  <si>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</si>
  <si>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CPQ11-STRC-STEE-GUAR-R24.rvt</t>
    </r>
  </si>
  <si>
    <t>25.1 MB</t>
  </si>
  <si>
    <t>May 20, 2026 3:49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</si>
  <si>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</si>
  <si>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CPQ11-STRC-STEE-STIR-R24.rvt</t>
    </r>
  </si>
  <si>
    <t>103.7 MB</t>
  </si>
  <si>
    <t>May 20, 2026 4:13 PM</t>
  </si>
  <si>
    <r>
      <rPr>
        <rFont val="Calibri"/>
        <b/>
        <color rgb="FF1155CC"/>
        <sz val="11.0"/>
        <u/>
      </rPr>
      <t>01-WORK IN PROGRESS/BIM/MODELS/DELEGATED DESIGN R24/STEEL</t>
    </r>
  </si>
  <si>
    <r>
      <rPr>
        <rFont val="Calibri"/>
        <b/>
        <color rgb="FF1155CC"/>
        <sz val="11.0"/>
        <u/>
      </rPr>
      <t>CPQ11-STRC-STEE-UTLS-R24.rvt</t>
    </r>
  </si>
  <si>
    <t>101.8 MB</t>
  </si>
  <si>
    <t>May 20, 2026 4:24 PM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</si>
  <si>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</si>
  <si>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837-RACIONAL-PROJETO_GALILEU.zip</t>
    </r>
  </si>
  <si>
    <t>Not synced</t>
  </si>
  <si>
    <t>303.1 MB</t>
  </si>
  <si>
    <t>May 21, 2026 5:25 PM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</si>
  <si>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</si>
  <si>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CPQ11-STRC-STEE-ADMN-2X3.ifc</t>
    </r>
  </si>
  <si>
    <t>36.5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</si>
  <si>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</si>
  <si>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CPQ11-STRC-STEE-COL1-2X3.ifc</t>
    </r>
  </si>
  <si>
    <t>84.9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</si>
  <si>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</si>
  <si>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CPQ11-STRC-STEE-COL2-2X3.ifc</t>
    </r>
  </si>
  <si>
    <t>88.7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</si>
  <si>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</si>
  <si>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CPQ11-STRC-STEE-COL3-2X3.ifc</t>
    </r>
  </si>
  <si>
    <t>88.9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</si>
  <si>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</si>
  <si>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CPQ11-STRC-STEE-COL4-2X3.ifc</t>
    </r>
  </si>
  <si>
    <t>90.6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</si>
  <si>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</si>
  <si>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CPQ11-STRC-STEE-COL5-2X3.ifc</t>
    </r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</si>
  <si>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</si>
  <si>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CPQ11-STRC-STEE-GUAR-2X3.ifc</t>
    </r>
  </si>
  <si>
    <t>4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</si>
  <si>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</si>
  <si>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CPQ11-STRC-STEE-STIR-2X3.ifc</t>
    </r>
  </si>
  <si>
    <t>12.2 MB</t>
  </si>
  <si>
    <r>
      <rPr>
        <rFont val="Calibri"/>
        <b/>
        <color rgb="FF1155CC"/>
        <sz val="11.0"/>
        <u/>
      </rPr>
      <t>01-WORK IN PROGRESS/BIM/MODELS/DELEGATED DESIGN R24/STEEL/IFC</t>
    </r>
  </si>
  <si>
    <r>
      <rPr>
        <rFont val="Calibri"/>
        <b/>
        <color rgb="FF1155CC"/>
        <sz val="11.0"/>
        <u/>
      </rPr>
      <t>CPQ11-STRC-STEE-UTLS-2X3.ifc</t>
    </r>
  </si>
  <si>
    <t>18.2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</si>
  <si>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</si>
  <si>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CPQ11-STRC-CONC-DATA-R24.rvt</t>
    </r>
  </si>
  <si>
    <t>16.9 MB</t>
  </si>
  <si>
    <t>May 15, 2026 8:51 AM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</si>
  <si>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</si>
  <si>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CPQ11-STRC-CONC-SITE-R24.rvt</t>
    </r>
  </si>
  <si>
    <t>27.2 MB</t>
  </si>
  <si>
    <t>May 15, 2026 8:52 AM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</si>
  <si>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</si>
  <si>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CPQ11-STRC-DPFN-DATA-R24.rvt</t>
    </r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</si>
  <si>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</si>
  <si>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CPQ11-STRC-DPFN-SITE-R24.rvt</t>
    </r>
  </si>
  <si>
    <t>13.6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</si>
  <si>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</si>
  <si>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CPQ11-STRC-FLOO-DATA-R24.rvt</t>
    </r>
  </si>
  <si>
    <t>122.5 MB</t>
  </si>
  <si>
    <r>
      <rPr>
        <rFont val="Calibri"/>
        <b/>
        <color rgb="FF1155CC"/>
        <sz val="11.0"/>
        <u/>
      </rPr>
      <t>01-WORK IN PROGRESS/BIM/MODELS/DELEGATED DESIGN R24/STRC</t>
    </r>
  </si>
  <si>
    <r>
      <rPr>
        <rFont val="Calibri"/>
        <b/>
        <color rgb="FF1155CC"/>
        <sz val="11.0"/>
        <u/>
      </rPr>
      <t>CPQ11-STRC-FLOO-SITE-R24.rvt</t>
    </r>
  </si>
  <si>
    <t>15.8 MB</t>
  </si>
  <si>
    <t>May 26, 2026 11:37 AM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</si>
  <si>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</si>
  <si>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CPQ11-STRC-CONC-DATA-R24.nwc</t>
    </r>
  </si>
  <si>
    <t>476 KB</t>
  </si>
  <si>
    <t>May 15, 2026 8:50 AM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</si>
  <si>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</si>
  <si>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CPQ11-STRC-CONC-SITE-R24.nwc</t>
    </r>
  </si>
  <si>
    <t>598.6 KB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</si>
  <si>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</si>
  <si>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CPQ11-STRC-DPFN-DATA-R24.nwc</t>
    </r>
  </si>
  <si>
    <t>259.5 KB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</si>
  <si>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</si>
  <si>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CPQ11-STRC-DPFN-SITE-R24.nwc</t>
    </r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</si>
  <si>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</si>
  <si>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CPQ11-STRC-FLOO-DATA-R24.nwc</t>
    </r>
  </si>
  <si>
    <t>203.3 MB</t>
  </si>
  <si>
    <r>
      <rPr>
        <rFont val="Calibri"/>
        <b/>
        <color rgb="FF1155CC"/>
        <sz val="11.0"/>
        <u/>
      </rPr>
      <t>01-WORK IN PROGRESS/BIM/MODELS/DELEGATED DESIGN R24/STRC/NWC</t>
    </r>
  </si>
  <si>
    <r>
      <rPr>
        <rFont val="Calibri"/>
        <b/>
        <color rgb="FF1155CC"/>
        <sz val="11.0"/>
        <u/>
      </rPr>
      <t>CPQ11-STRC-FLOO-SITE-R24.nwc</t>
    </r>
  </si>
  <si>
    <t>10.2 MB</t>
  </si>
  <si>
    <t>May 26, 2026 11:36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</si>
  <si>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</si>
  <si>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CPQ11-ARCH-ARCH-DATA-R22.nwc</t>
    </r>
  </si>
  <si>
    <t>V27</t>
  </si>
  <si>
    <t>7.1 MB</t>
  </si>
  <si>
    <t>Apr 10, 2026 4:49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</si>
  <si>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</si>
  <si>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CPQ11-ARCH-ARCH-SITE-R22.nwc</t>
    </r>
  </si>
  <si>
    <t>1.8 MB</t>
  </si>
  <si>
    <t>Apr 17, 2026 4:45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</si>
  <si>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</si>
  <si>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CPQ11-ARCH-BLPR-GUAR-R22.nwc</t>
    </r>
  </si>
  <si>
    <t>Dec 4, 2025 6:42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</si>
  <si>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</si>
  <si>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CPQ11-ARCH-CEIL-DATA-R22.nwc</t>
    </r>
  </si>
  <si>
    <t>5.3 MB</t>
  </si>
  <si>
    <t>Apr 29, 2026 6:51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</si>
  <si>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</si>
  <si>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CPQ11-ARCH-CEIL-SITE-R22.nwc</t>
    </r>
  </si>
  <si>
    <t>21.9 KB</t>
  </si>
  <si>
    <t>Apr 29, 2026 6:50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</si>
  <si>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</si>
  <si>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CPQ11-ARCH-CHAI-SITE-R22.nwc</t>
    </r>
  </si>
  <si>
    <t>Apr 6, 2026 10:43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</si>
  <si>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</si>
  <si>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CPQ11-ARCH-FACD-DATA-R22.nwc</t>
    </r>
  </si>
  <si>
    <t>V22</t>
  </si>
  <si>
    <t>120.2 MB</t>
  </si>
  <si>
    <t>Apr 10, 2026 5:50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</si>
  <si>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</si>
  <si>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CPQ11-ARCH-HM90-DATA-R22.nwc</t>
    </r>
  </si>
  <si>
    <t>305.7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</si>
  <si>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</si>
  <si>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CPQ11-ARCH-HMET-DATA-R22.nwc</t>
    </r>
  </si>
  <si>
    <t>Apr 8, 2026 8:02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</si>
  <si>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</si>
  <si>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CPQ11-ARCH-HMET-SITE-R22.nwc</t>
    </r>
  </si>
  <si>
    <t>Apr 10, 2026 8:25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</si>
  <si>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</si>
  <si>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CPQ11-ARCH-METL-SITE-R22.nwc</t>
    </r>
  </si>
  <si>
    <t>162.6 MB</t>
  </si>
  <si>
    <t>May 5, 2026 10:51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</si>
  <si>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</si>
  <si>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CPQ11-ARCH-OHCD-DATA-R22.nwc</t>
    </r>
  </si>
  <si>
    <t>229.3 KB</t>
  </si>
  <si>
    <t>Apr 10, 2026 9:03 AM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</si>
  <si>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</si>
  <si>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CPQ11-ARCH-PART-C12A-R22.nwc</t>
    </r>
  </si>
  <si>
    <t>5.2 MB</t>
  </si>
  <si>
    <t>Apr 7, 2026 10:09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</si>
  <si>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</si>
  <si>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CPQ11-ARCH-PART-C345-R22.nwc</t>
    </r>
  </si>
  <si>
    <t>V12</t>
  </si>
  <si>
    <t>3.6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</si>
  <si>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</si>
  <si>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CPQ11-ARCH-PART-SITE-R22.nwc</t>
    </r>
  </si>
  <si>
    <t>666.8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</si>
  <si>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</si>
  <si>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CPQ11-ARCH-ROOF-DATA-R22.nwc</t>
    </r>
  </si>
  <si>
    <t>13.1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</si>
  <si>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</si>
  <si>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CPQ11-ARCH-SHLV-DATA-R22.nwc</t>
    </r>
  </si>
  <si>
    <t>47.4 MB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</si>
  <si>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</si>
  <si>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CPQ11-ARCH-STON-SITE-R22.nwc</t>
    </r>
  </si>
  <si>
    <t>390.9 KB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</si>
  <si>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</si>
  <si>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CPQ11-ARCH-STON-SITE-R23.nwc</t>
    </r>
  </si>
  <si>
    <t>5.1 KB</t>
  </si>
  <si>
    <t>May 11, 2026 12:36 PM</t>
  </si>
  <si>
    <r>
      <rPr>
        <rFont val="Calibri"/>
        <b/>
        <color rgb="FF1155CC"/>
        <sz val="11.0"/>
        <u/>
      </rPr>
      <t>01-WORK IN PROGRESS/BIM/MODELS/DELEGATED DESIGN R22/ARCH/NWC</t>
    </r>
  </si>
  <si>
    <r>
      <rPr>
        <rFont val="Calibri"/>
        <b/>
        <color rgb="FF1155CC"/>
        <sz val="11.0"/>
        <u/>
      </rPr>
      <t>CPQ11-ARCH-WMES-DATA-R22.nwc</t>
    </r>
  </si>
  <si>
    <t>113.4 KB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</si>
  <si>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</si>
  <si>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CPQ11-ARCH-ARCH-DATA-R22.nwd</t>
    </r>
  </si>
  <si>
    <t>Feb 4, 2025 2:38 PM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</si>
  <si>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</si>
  <si>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CPQ11-ARCH-ARCH-SITE-R22.nwd</t>
    </r>
  </si>
  <si>
    <t>142.2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</si>
  <si>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</si>
  <si>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CPQ11-ARCH-PART-CL030405-R22.rvt</t>
    </r>
  </si>
  <si>
    <t>Revit 2022</t>
  </si>
  <si>
    <t>88.3 MB</t>
  </si>
  <si>
    <t>Feb 4, 2025 10:40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</si>
  <si>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</si>
  <si>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CPQ11-ARCH-PART-CORE-R22.rvt</t>
    </r>
  </si>
  <si>
    <t>267.6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</si>
  <si>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</si>
  <si>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CPQ11-ARCH-R23.rvt</t>
    </r>
  </si>
  <si>
    <t>253.6 MB</t>
  </si>
  <si>
    <t>Feb 4, 2025 10:41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</si>
  <si>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</si>
  <si>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CPQ11-ARCH-ROOF-CORE-R22.nwc</t>
    </r>
  </si>
  <si>
    <t>13 MB</t>
  </si>
  <si>
    <t>Feb 4, 2025 10:39 AM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</si>
  <si>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</si>
  <si>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CPQ11-ARCH-ROOF-CORE-R22.rvt</t>
    </r>
  </si>
  <si>
    <t>19.3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</si>
  <si>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</si>
  <si>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CPQ11-ARCH-SITE-R23.rvt</t>
    </r>
  </si>
  <si>
    <t>247 MB</t>
  </si>
  <si>
    <r>
      <rPr>
        <rFont val="Calibri"/>
        <b/>
        <color rgb="FF1155CC"/>
        <sz val="11.0"/>
        <u/>
      </rPr>
      <t>01-WORK IN PROGRESS/BIM/MODELS/DELEGATED DESIGN R22/ARCH/OBSOLET</t>
    </r>
  </si>
  <si>
    <r>
      <rPr>
        <rFont val="Calibri"/>
        <b/>
        <color rgb="FF1155CC"/>
        <sz val="11.0"/>
        <u/>
      </rPr>
      <t>CPQ11-RAC-ARCH-FACD-OMTR-R22.rvt</t>
    </r>
  </si>
  <si>
    <t>102.9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</si>
  <si>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</si>
  <si>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CPQ11-ARCH-ARCH-DATA-R22.rvt</t>
    </r>
  </si>
  <si>
    <t>226.6 MB</t>
  </si>
  <si>
    <t>Apr 13, 2026 6:05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</si>
  <si>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</si>
  <si>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CPQ11-ARCH-ARCH-SITE-R22.rvt</t>
    </r>
  </si>
  <si>
    <t>74.1 MB</t>
  </si>
  <si>
    <t>Apr 17, 2026 4:46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</si>
  <si>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</si>
  <si>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CPQ11-ARCH-BLPR-GUAR-R22.rvt</t>
    </r>
  </si>
  <si>
    <t>38.2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</si>
  <si>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</si>
  <si>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CPQ11-ARCH-CEIL-DATA-R22.rvt</t>
    </r>
  </si>
  <si>
    <t>168.5 MB</t>
  </si>
  <si>
    <t>Apr 29, 2026 7:10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</si>
  <si>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</si>
  <si>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CPQ11-ARCH-CEIL-SITE-R22.rvt</t>
    </r>
  </si>
  <si>
    <t>Apr 29, 2026 6:54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</si>
  <si>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</si>
  <si>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CPQ11-ARCH-CHAI-SITE-R22.rvt</t>
    </r>
  </si>
  <si>
    <t>9.9 MB</t>
  </si>
  <si>
    <t>Apr 6, 2026 10:44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</si>
  <si>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</si>
  <si>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CPQ11-ARCH-FACD-DATA-R22.rvt</t>
    </r>
  </si>
  <si>
    <t>128.4 MB</t>
  </si>
  <si>
    <t>May 6, 2026 5:41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</si>
  <si>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</si>
  <si>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CPQ11-ARCH-HM90-DATA-R22.rvt</t>
    </r>
  </si>
  <si>
    <t>25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</si>
  <si>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</si>
  <si>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CPQ11-ARCH-HMET-DATA-R22.rvt</t>
    </r>
  </si>
  <si>
    <t>3 unresolved issues</t>
  </si>
  <si>
    <t>72.6 MB</t>
  </si>
  <si>
    <t>Apr 8, 2026 8:06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</si>
  <si>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</si>
  <si>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CPQ11-ARCH-HMET-SITE-R22.rvt</t>
    </r>
  </si>
  <si>
    <t>25.2 MB</t>
  </si>
  <si>
    <t>Apr 10, 2026 8:28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</si>
  <si>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</si>
  <si>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CPQ11-ARCH-METL-SITE-R22.rvt</t>
    </r>
  </si>
  <si>
    <t>35.6 MB</t>
  </si>
  <si>
    <t>May 5, 2026 11:11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</si>
  <si>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</si>
  <si>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CPQ11-ARCH-OHCD-DATA-R22.rvt</t>
    </r>
  </si>
  <si>
    <t>11 MB</t>
  </si>
  <si>
    <t>Apr 10, 2026 8:59 AM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</si>
  <si>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</si>
  <si>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CPQ11-ARCH-PART-C12A-R22.rvt</t>
    </r>
  </si>
  <si>
    <t>V24</t>
  </si>
  <si>
    <t>112.4 MB</t>
  </si>
  <si>
    <t>Apr 7, 2026 10:17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</si>
  <si>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</si>
  <si>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CPQ11-ARCH-PART-C345-R22.rvt</t>
    </r>
  </si>
  <si>
    <t>105.8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</si>
  <si>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</si>
  <si>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CPQ11-ARCH-PART-SITE-R22.rvt</t>
    </r>
  </si>
  <si>
    <t>24.9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</si>
  <si>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</si>
  <si>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CPQ11-ARCH-ROOF-DATA-R22.rvt</t>
    </r>
  </si>
  <si>
    <t>20.9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</si>
  <si>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</si>
  <si>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CPQ11-ARCH-SHLV-DATA-R22.rvt</t>
    </r>
  </si>
  <si>
    <t>Feb 28, 2026 8:25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</si>
  <si>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</si>
  <si>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CPQ11-ARCH-STON-SITE-R23.ifc</t>
    </r>
  </si>
  <si>
    <t>3.3 MB</t>
  </si>
  <si>
    <t>May 11, 2026 12:33 PM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</si>
  <si>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</si>
  <si>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CPQ11-ARCH-STON-SITE-R23.rvt</t>
    </r>
  </si>
  <si>
    <t>Revit 2023</t>
  </si>
  <si>
    <t>9.7 MB</t>
  </si>
  <si>
    <r>
      <rPr>
        <rFont val="Calibri"/>
        <b/>
        <color rgb="FF1155CC"/>
        <sz val="11.0"/>
        <u/>
      </rPr>
      <t>01-WORK IN PROGRESS/BIM/MODELS/DELEGATED DESIGN R22/ARCH</t>
    </r>
  </si>
  <si>
    <r>
      <rPr>
        <rFont val="Calibri"/>
        <b/>
        <color rgb="FF1155CC"/>
        <sz val="11.0"/>
        <u/>
      </rPr>
      <t>CPQ11-ARCH-WMES-DATA-R22.rvt</t>
    </r>
  </si>
  <si>
    <t>V13</t>
  </si>
  <si>
    <t>14.9 MB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</si>
  <si>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</si>
  <si>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CPQ11-CIVL-DRNG-SITE-R22.nwc</t>
    </r>
  </si>
  <si>
    <t>V16</t>
  </si>
  <si>
    <t>12 MB</t>
  </si>
  <si>
    <t>May 6, 2026 8:32 AM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</si>
  <si>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</si>
  <si>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CPQ11-CIVL-ERTH-SITE-R22.nwc</t>
    </r>
  </si>
  <si>
    <t>1.4 MB</t>
  </si>
  <si>
    <t>Apr 8, 2026 1:22 PM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</si>
  <si>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</si>
  <si>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CPQ11-CIVL-LOCK-SITE-R22.nwc</t>
    </r>
  </si>
  <si>
    <t>188.4 MB</t>
  </si>
  <si>
    <r>
      <rPr>
        <rFont val="Calibri"/>
        <b/>
        <color rgb="FF1155CC"/>
        <sz val="11.0"/>
        <u/>
      </rPr>
      <t>01-WORK IN PROGRESS/BIM/MODELS/DELEGATED DESIGN R22/CIVIL/NWC</t>
    </r>
  </si>
  <si>
    <r>
      <rPr>
        <rFont val="Calibri"/>
        <b/>
        <color rgb="FF1155CC"/>
        <sz val="11.0"/>
        <u/>
      </rPr>
      <t>CPQ11-CIVL-PAVM-SITE-R22.nwc</t>
    </r>
  </si>
  <si>
    <t>V15</t>
  </si>
  <si>
    <t>14.4 MB</t>
  </si>
  <si>
    <t>Apr 30, 2026 9:16 AM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</si>
  <si>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</si>
  <si>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CPQ11-CIVL-DRNG-SITE-R22.rvt</t>
    </r>
  </si>
  <si>
    <t>82.7 MB</t>
  </si>
  <si>
    <t>May 6, 2026 8:34 AM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</si>
  <si>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</si>
  <si>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CPQ11-CIVL-ERTH-SITE-R22.rvt</t>
    </r>
  </si>
  <si>
    <t>17.4 MB</t>
  </si>
  <si>
    <t>Apr 8, 2026 1:25 PM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</si>
  <si>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</si>
  <si>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CPQ11-CIVL-LOCK-SITE-R22.rvt</t>
    </r>
  </si>
  <si>
    <t>327.2 MB</t>
  </si>
  <si>
    <r>
      <rPr>
        <rFont val="Calibri"/>
        <b/>
        <color rgb="FF1155CC"/>
        <sz val="11.0"/>
        <u/>
      </rPr>
      <t>01-WORK IN PROGRESS/BIM/MODELS/DELEGATED DESIGN R22/CIVIL</t>
    </r>
  </si>
  <si>
    <r>
      <rPr>
        <rFont val="Calibri"/>
        <b/>
        <color rgb="FF1155CC"/>
        <sz val="11.0"/>
        <u/>
      </rPr>
      <t>CPQ11-CIVL-PAVM-SITE-R22.rvt</t>
    </r>
  </si>
  <si>
    <t>49.5 MB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</si>
  <si>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</si>
  <si>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CPQ11-MECH-MECH-DATA-R22.nwc</t>
    </r>
  </si>
  <si>
    <t>V50</t>
  </si>
  <si>
    <t>28.5 MB</t>
  </si>
  <si>
    <t>Apr 17, 2026 3:28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</si>
  <si>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</si>
  <si>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CPQ11-MECH-MECH-GUAR-R22.nwc</t>
    </r>
  </si>
  <si>
    <t>1.2 MB</t>
  </si>
  <si>
    <t>Apr 16, 2026 9:16 AM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</si>
  <si>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</si>
  <si>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CPQ11-PLMB-METK-UTLS-R22.nwc</t>
    </r>
  </si>
  <si>
    <t>Feb 26, 2026 5:40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</si>
  <si>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</si>
  <si>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CPQ11-PLMB-NPWT-DATA-R22.nwc</t>
    </r>
  </si>
  <si>
    <t>V35</t>
  </si>
  <si>
    <t>12.9 MB</t>
  </si>
  <si>
    <t>Apr 30, 2026 5:21 PM</t>
  </si>
  <si>
    <r>
      <rPr>
        <rFont val="Calibri"/>
        <b/>
        <color rgb="FF1155CC"/>
        <sz val="11.0"/>
        <u/>
      </rPr>
      <t>01-WORK IN PROGRESS/BIM/MODELS/DELEGATED DESIGN R22/MECH/NWC</t>
    </r>
  </si>
  <si>
    <r>
      <rPr>
        <rFont val="Calibri"/>
        <b/>
        <color rgb="FF1155CC"/>
        <sz val="11.0"/>
        <u/>
      </rPr>
      <t>CPQ11-PLMB-NPWT-SITE-R22.nwc</t>
    </r>
  </si>
  <si>
    <t>V41</t>
  </si>
  <si>
    <t>Apr 24, 2026 2:44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</si>
  <si>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</si>
  <si>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CPQ11-MECH-GENL-R22.nwc</t>
    </r>
  </si>
  <si>
    <t>Dec 17, 2024 6:31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</si>
  <si>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</si>
  <si>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CPQ11-MECH-GENL-R22.rvt</t>
    </r>
  </si>
  <si>
    <t>135.5 MB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</si>
  <si>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</si>
  <si>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CPQ11-MECH-MECH-DATA-R22.nwc</t>
    </r>
  </si>
  <si>
    <t>30.5 MB</t>
  </si>
  <si>
    <t>Apr 16, 2025 6:20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</si>
  <si>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</si>
  <si>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CPQ11-MECH-MECH-GUAR-R22.nwc</t>
    </r>
  </si>
  <si>
    <t>Apr 16, 2025 6:17 PM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</si>
  <si>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</si>
  <si>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CPQ11-PLMB-GENL-R22.nwc</t>
    </r>
  </si>
  <si>
    <t>6.1 MB</t>
  </si>
  <si>
    <t>Dec 19, 2024 10:08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</si>
  <si>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</si>
  <si>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CPQ11-PLMB-GENL-R22.rvt</t>
    </r>
  </si>
  <si>
    <t>105.6 MB</t>
  </si>
  <si>
    <t>Dec 19, 2024 10:07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</si>
  <si>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</si>
  <si>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CPQ11-PLMB-METK-UTLS-R22.nwc</t>
    </r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</si>
  <si>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</si>
  <si>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CPQ11-PLMB-NPWT-DATA-R22.nwc</t>
    </r>
  </si>
  <si>
    <t>10.8 MB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</si>
  <si>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</si>
  <si>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CPQ11-PLMB-NPWT-SITE-R22.nwc</t>
    </r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</si>
  <si>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</si>
  <si>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CPQ11-PLMB-SITE-R22.nwc</t>
    </r>
  </si>
  <si>
    <t>Dec 18, 2024 10:34 AM</t>
  </si>
  <si>
    <r>
      <rPr>
        <rFont val="Calibri"/>
        <b/>
        <color rgb="FF1155CC"/>
        <sz val="11.0"/>
        <u/>
      </rPr>
      <t>01-WORK IN PROGRESS/BIM/MODELS/DELEGATED DESIGN R22/MECH/OBSOLET</t>
    </r>
  </si>
  <si>
    <r>
      <rPr>
        <rFont val="Calibri"/>
        <b/>
        <color rgb="FF1155CC"/>
        <sz val="11.0"/>
        <u/>
      </rPr>
      <t>CPQ11-PLMB-SITE-R22.rvt</t>
    </r>
  </si>
  <si>
    <t>100.7 MB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</si>
  <si>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</si>
  <si>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CPQ11-MECH-MECH-DATA-R22.rvt</t>
    </r>
  </si>
  <si>
    <t>V59</t>
  </si>
  <si>
    <t>168.9 MB</t>
  </si>
  <si>
    <t>Apr 17, 2026 3:44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</si>
  <si>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</si>
  <si>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CPQ11-MECH-MECH-GUAR-R22.rvt</t>
    </r>
  </si>
  <si>
    <t>118.5 MB</t>
  </si>
  <si>
    <t>Apr 16, 2026 9:15 AM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</si>
  <si>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</si>
  <si>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CPQ11-PLMB-METK-UTLS-R22.rvt</t>
    </r>
  </si>
  <si>
    <t>60.5 MB</t>
  </si>
  <si>
    <t>Feb 26, 2026 5:41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</si>
  <si>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</si>
  <si>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CPQ11-PLMB-NPWT-DATA-R22.rvt</t>
    </r>
  </si>
  <si>
    <t>V39</t>
  </si>
  <si>
    <t>157.3 MB</t>
  </si>
  <si>
    <t>Apr 30, 2026 5:57 PM</t>
  </si>
  <si>
    <r>
      <rPr>
        <rFont val="Calibri"/>
        <b/>
        <color rgb="FF1155CC"/>
        <sz val="11.0"/>
        <u/>
      </rPr>
      <t>01-WORK IN PROGRESS/BIM/MODELS/DELEGATED DESIGN R22/MECH</t>
    </r>
  </si>
  <si>
    <r>
      <rPr>
        <rFont val="Calibri"/>
        <b/>
        <color rgb="FF1155CC"/>
        <sz val="11.0"/>
        <u/>
      </rPr>
      <t>CPQ11-PLMB-NPWT-SITE-R22.rvt</t>
    </r>
  </si>
  <si>
    <t>V46</t>
  </si>
  <si>
    <t>123 MB</t>
  </si>
  <si>
    <t>Apr 24, 2026 2:45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</si>
  <si>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</si>
  <si>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CPQ11-BASM-DEVS-DATA-R22.nwc</t>
    </r>
  </si>
  <si>
    <t>May 5, 2026 4:01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</si>
  <si>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</si>
  <si>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CPQ11-BASM-DEVS-PUMP-R22.nwc</t>
    </r>
  </si>
  <si>
    <t>827.9 KB</t>
  </si>
  <si>
    <t>Feb 3, 2026 4:35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</si>
  <si>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</si>
  <si>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CPQ11-BASM-INFR-DATA-R22.nwc</t>
    </r>
  </si>
  <si>
    <t>41.6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</si>
  <si>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</si>
  <si>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CPQ11-BASM-INFR-PUMP-R22.nwc</t>
    </r>
  </si>
  <si>
    <t>Apr 24, 2026 11:18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</si>
  <si>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</si>
  <si>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CPQ11-DALI-DEVS-DATA-R22.nwc</t>
    </r>
  </si>
  <si>
    <t>Apr 15, 2026 5:53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</si>
  <si>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</si>
  <si>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CPQ11-DASM-DEVS-DATA-R22.nwc</t>
    </r>
  </si>
  <si>
    <t>Apr 27, 2026 6:14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</si>
  <si>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</si>
  <si>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CPQ11-ELEC-ELEC-DATA-R22.nwc</t>
    </r>
  </si>
  <si>
    <t>194.9 MB</t>
  </si>
  <si>
    <t>Apr 13, 2026 4:58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</si>
  <si>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</si>
  <si>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CPQ11-ELEC-ELEC-SITE-R22.nwc</t>
    </r>
  </si>
  <si>
    <t>168.4 MB</t>
  </si>
  <si>
    <t>Dec 23, 2025 12:43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</si>
  <si>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</si>
  <si>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CPQ11-ELEC-SPDA-DATA-R22.nwc</t>
    </r>
  </si>
  <si>
    <t>May 12, 2026 9:35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</si>
  <si>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</si>
  <si>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CPQ11-ELEC-SPDA-SITE-R22.nwc</t>
    </r>
  </si>
  <si>
    <t>Dec 8, 2025 12:09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</si>
  <si>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</si>
  <si>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CPQ11-EPMS-DEVS-DATA-R22.nwc</t>
    </r>
  </si>
  <si>
    <t>84.4 KB</t>
  </si>
  <si>
    <t>Apr 27, 2026 10:44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</si>
  <si>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</si>
  <si>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CPQ11-EPMS-DEVS-SITE-R22.nwc</t>
    </r>
  </si>
  <si>
    <t>84.2 KB</t>
  </si>
  <si>
    <t>Feb 3, 2026 4:34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</si>
  <si>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</si>
  <si>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CPQ11-FALM-FALM-DATA-R22.nwc</t>
    </r>
  </si>
  <si>
    <t>45.6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</si>
  <si>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</si>
  <si>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CPQ11-FALM-FALM-SITE-R22.nwc</t>
    </r>
  </si>
  <si>
    <t>7.2 MB</t>
  </si>
  <si>
    <t>May 8, 2026 8:49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</si>
  <si>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</si>
  <si>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CPQ11-FPRT-FPRT-DATA-R22.nwc</t>
    </r>
  </si>
  <si>
    <t>119 MB</t>
  </si>
  <si>
    <t>May 14, 2026 10:42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</si>
  <si>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</si>
  <si>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CPQ11-FPRT-FPRT-SITE-R22.nwc</t>
    </r>
  </si>
  <si>
    <t>19.7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</si>
  <si>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</si>
  <si>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CPQ11-FPRT-METK-UTLS-R22.nwc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</si>
  <si>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</si>
  <si>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CPQ11-PLMB-DIES-SITE-R22.nwc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</si>
  <si>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</si>
  <si>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CPQ11-PLMB-PLMB-DATA-R22.nwc</t>
    </r>
  </si>
  <si>
    <t>31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</si>
  <si>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</si>
  <si>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CPQ11-PLMB-PLMB-SITE-R22.nwc</t>
    </r>
  </si>
  <si>
    <t>34.2 MB</t>
  </si>
  <si>
    <t>Apr 8, 2026 10:56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</si>
  <si>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</si>
  <si>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CPQ11-ROIP-DEVS-DATA-R22.nwc</t>
    </r>
  </si>
  <si>
    <t>May 8, 2026 3:07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</si>
  <si>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</si>
  <si>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CPQ11-ROIP-DEVS-GUAR-R22.nwc</t>
    </r>
  </si>
  <si>
    <t>May 13, 2026 3:04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</si>
  <si>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</si>
  <si>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CPQ11-SCTY-DEVS-DATA-R22.nwc</t>
    </r>
  </si>
  <si>
    <t>4.8 MB</t>
  </si>
  <si>
    <t>May 6, 2026 9:07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</si>
  <si>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</si>
  <si>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CPQ11-SCTY-DEVS-SITE-R22.nwc</t>
    </r>
  </si>
  <si>
    <t>V38</t>
  </si>
  <si>
    <t>4.1 MB</t>
  </si>
  <si>
    <t>Apr 10, 2026 4:37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</si>
  <si>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</si>
  <si>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CPQ11-SCTY-GATE-SITE-R24.nwc</t>
    </r>
  </si>
  <si>
    <t>May 7, 2026 5:21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</si>
  <si>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</si>
  <si>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CPQ11-SCTY-INFR-DATA-R22.nwc</t>
    </r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</si>
  <si>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</si>
  <si>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CPQ11-SCTY-INFR-SITE-R22.nwc</t>
    </r>
  </si>
  <si>
    <t>883.5 KB</t>
  </si>
  <si>
    <t>May 5, 2026 10:22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</si>
  <si>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</si>
  <si>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CPQ11-SYST-INFR-DATA-R22.nwc</t>
    </r>
  </si>
  <si>
    <t>63.5 MB</t>
  </si>
  <si>
    <t>Apr 10, 2026 4:17 PM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</si>
  <si>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</si>
  <si>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CPQ11-SYST-INFR-SITE-R22.nwc</t>
    </r>
  </si>
  <si>
    <t>166.6 MB</t>
  </si>
  <si>
    <t>May 12, 2026 9:50 AM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</si>
  <si>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</si>
  <si>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CPQ11-TCOM-DEVS-DATA-R22.nwc</t>
    </r>
  </si>
  <si>
    <t>6.5 MB</t>
  </si>
  <si>
    <r>
      <rPr>
        <rFont val="Calibri"/>
        <b/>
        <color rgb="FF1155CC"/>
        <sz val="11.0"/>
        <u/>
      </rPr>
      <t>01-WORK IN PROGRESS/BIM/MODELS/DELEGATED DESIGN R22/MEP/NWC</t>
    </r>
  </si>
  <si>
    <r>
      <rPr>
        <rFont val="Calibri"/>
        <b/>
        <color rgb="FF1155CC"/>
        <sz val="11.0"/>
        <u/>
      </rPr>
      <t>CPQ11-TCOM-DEVS-SITE-R22.nwc</t>
    </r>
  </si>
  <si>
    <t>221.9 KB</t>
  </si>
  <si>
    <t>Apr 29, 2026 4:50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</si>
  <si>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</si>
  <si>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CPQ11-BAS-R22.rvt</t>
    </r>
  </si>
  <si>
    <t>119.8 MB</t>
  </si>
  <si>
    <t>Dec 13, 2024 2:45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</si>
  <si>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</si>
  <si>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CPQ11-ELEC-R22.nwc</t>
    </r>
  </si>
  <si>
    <t>125.5 MB</t>
  </si>
  <si>
    <t>Dec 18, 2024 10:36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</si>
  <si>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</si>
  <si>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CPQ11-ELEC-R22.rvt</t>
    </r>
  </si>
  <si>
    <t>360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</si>
  <si>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</si>
  <si>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CPQ11-ELEC-SITE-R22.nwc</t>
    </r>
  </si>
  <si>
    <t>155.7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</si>
  <si>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</si>
  <si>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CPQ11-ELEC-SITE-R22.rvt</t>
    </r>
  </si>
  <si>
    <t>52.1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</si>
  <si>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</si>
  <si>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CPQ11-FALM-R22.rvt</t>
    </r>
  </si>
  <si>
    <t>32.6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</si>
  <si>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</si>
  <si>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CPQ11-FPRT-R22.rvt</t>
    </r>
  </si>
  <si>
    <t>197.6 MB</t>
  </si>
  <si>
    <t>Dec 19, 2024 11:31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</si>
  <si>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</si>
  <si>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CPQ11-FPRT-SITE-R22.rvt</t>
    </r>
  </si>
  <si>
    <t>68.3 MB</t>
  </si>
  <si>
    <t>Dec 19, 2024 11:32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</si>
  <si>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</si>
  <si>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CPQ11-FRPT-METK-UTLS-R22.nwc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</si>
  <si>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</si>
  <si>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CPQ11-FRPT-METK-UTLS-R22.rvt</t>
    </r>
  </si>
  <si>
    <t>8.4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</si>
  <si>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</si>
  <si>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CPQ11-FRPT-METK-UTLS_-R22.rvt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</si>
  <si>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</si>
  <si>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CPQ11-PLMB-R22.rvt</t>
    </r>
  </si>
  <si>
    <t>148.6 MB</t>
  </si>
  <si>
    <t>Dec 19, 2024 10:09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</si>
  <si>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</si>
  <si>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CPQ11-PLMB-SITE-R22.nwc</t>
    </r>
  </si>
  <si>
    <t>37.7 MB</t>
  </si>
  <si>
    <t>Dec 19, 2024 10:10 AM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</si>
  <si>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</si>
  <si>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CPQ11-PLMB-SITE-R22.rvt</t>
    </r>
  </si>
  <si>
    <t>105.4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</si>
  <si>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</si>
  <si>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CPQ11-SCTY-R22.nwc</t>
    </r>
  </si>
  <si>
    <t>29.6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</si>
  <si>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</si>
  <si>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CPQ11-SCTY-R22.rvt</t>
    </r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</si>
  <si>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</si>
  <si>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CPQ11-SECURITY-SITE-R22.ifc</t>
    </r>
  </si>
  <si>
    <t>66.7 MB</t>
  </si>
  <si>
    <t>May 13, 2026 3:35 PM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</si>
  <si>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</si>
  <si>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CPQ11-SECURITY-SITE-R22.rvt</t>
    </r>
  </si>
  <si>
    <t>48.3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</si>
  <si>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</si>
  <si>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CPQ11-TCOM-INFR-DATA-R22.nwc</t>
    </r>
  </si>
  <si>
    <t>88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</si>
  <si>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</si>
  <si>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CPQ11-TCOM-INFR-DATA-R22.rvt</t>
    </r>
  </si>
  <si>
    <t>303.2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</si>
  <si>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</si>
  <si>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CPQ11-TCOM-INFR-SITE-R22.nwc</t>
    </r>
  </si>
  <si>
    <t>162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</si>
  <si>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</si>
  <si>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CPQ11-TCOM-INFR-SITE-R22.rvt</t>
    </r>
  </si>
  <si>
    <t>295.1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</si>
  <si>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</si>
  <si>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CPQ11-TCOM-R22.nwc</t>
    </r>
  </si>
  <si>
    <t>249.3 MB</t>
  </si>
  <si>
    <r>
      <rPr>
        <rFont val="Calibri"/>
        <b/>
        <color rgb="FF1155CC"/>
        <sz val="11.0"/>
        <u/>
      </rPr>
      <t>01-WORK IN PROGRESS/BIM/MODELS/DELEGATED DESIGN R22/MEP/OBSOLET</t>
    </r>
  </si>
  <si>
    <r>
      <rPr>
        <rFont val="Calibri"/>
        <b/>
        <color rgb="FF1155CC"/>
        <sz val="11.0"/>
        <u/>
      </rPr>
      <t>CPQ11-TCOM-R22.rvt</t>
    </r>
  </si>
  <si>
    <t>309.4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</si>
  <si>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</si>
  <si>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CPQ11-BASM-DEVS-DATA-R22.rvt</t>
    </r>
  </si>
  <si>
    <t>51.5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</si>
  <si>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</si>
  <si>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CPQ11-BASM-DEVS-PUMP-R22.rvt</t>
    </r>
  </si>
  <si>
    <t>37.9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</si>
  <si>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</si>
  <si>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CPQ11-BASM-INFR-DATA-R22.rvt</t>
    </r>
  </si>
  <si>
    <t>52.4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</si>
  <si>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</si>
  <si>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CPQ11-BASM-INFR-PUMP-R22.rvt</t>
    </r>
  </si>
  <si>
    <t>32.4 MB</t>
  </si>
  <si>
    <t>Apr 24, 2026 11:20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</si>
  <si>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</si>
  <si>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CPQ11-DALI-DEVS-DATA-R22.rvt</t>
    </r>
  </si>
  <si>
    <t>206.5 MB</t>
  </si>
  <si>
    <t>Apr 15, 2026 6:03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</si>
  <si>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</si>
  <si>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CPQ11-DASM-DEVS-DATA-R22.rvt</t>
    </r>
  </si>
  <si>
    <t>328.1 MB</t>
  </si>
  <si>
    <t>Apr 16, 2026 10:45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</si>
  <si>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</si>
  <si>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CPQ11-ELEC-ELEC-DATA-R22.rvt</t>
    </r>
  </si>
  <si>
    <t>V52</t>
  </si>
  <si>
    <t>282.7 MB</t>
  </si>
  <si>
    <t>Apr 30, 2026 11:36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</si>
  <si>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</si>
  <si>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CPQ11-ELEC-ELEC-SITE-R22.rvt</t>
    </r>
  </si>
  <si>
    <t>1 unresolved issue</t>
  </si>
  <si>
    <t>46.7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</si>
  <si>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</si>
  <si>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CPQ11-ELEC-SPDA-DATA-R22.rvt</t>
    </r>
  </si>
  <si>
    <t>98.2 MB</t>
  </si>
  <si>
    <t>May 12, 2026 9:41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</si>
  <si>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</si>
  <si>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CPQ11-ELEC-SPDA-SITE-R22.rvt</t>
    </r>
  </si>
  <si>
    <t>69.3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</si>
  <si>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</si>
  <si>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CPQ11-EPMS-DEVS-DATA-R22.rvt</t>
    </r>
  </si>
  <si>
    <t>23.2 MB</t>
  </si>
  <si>
    <t>Apr 27, 2026 10:43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</si>
  <si>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</si>
  <si>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CPQ11-EPMS-DEVS-SITE-R22.rvt</t>
    </r>
  </si>
  <si>
    <t>14.8 MB</t>
  </si>
  <si>
    <t>Feb 3, 2026 4:36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</si>
  <si>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</si>
  <si>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CPQ11-FALM-FALM-DATA-R22.rvt</t>
    </r>
  </si>
  <si>
    <t>52.3 MB</t>
  </si>
  <si>
    <t>May 15, 2026 5:02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</si>
  <si>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</si>
  <si>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CPQ11-FALM-FALM-SITE-R22.rvt</t>
    </r>
  </si>
  <si>
    <t>May 8, 2026 8:46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</si>
  <si>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</si>
  <si>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CPQ11-FPRT-FPRT-DATA-R22.rvt</t>
    </r>
  </si>
  <si>
    <t>136.1 MB</t>
  </si>
  <si>
    <t>May 14, 2026 11:16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</si>
  <si>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</si>
  <si>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CPQ11-FPRT-FPRT-SITE-R22.rvt</t>
    </r>
  </si>
  <si>
    <t>106.9 MB</t>
  </si>
  <si>
    <t>May 14, 2026 10:48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</si>
  <si>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</si>
  <si>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CPQ11-FPRT-METK-UTLS-R22.rvt</t>
    </r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</si>
  <si>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</si>
  <si>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CPQ11-PLMB-DIES-SITE-R22.rvt</t>
    </r>
  </si>
  <si>
    <t>13.2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</si>
  <si>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</si>
  <si>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CPQ11-PLMB-PLMB-DATA-R22.rvt</t>
    </r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</si>
  <si>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</si>
  <si>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CPQ11-PLMB-PLMB-SITE-R22.rvt</t>
    </r>
  </si>
  <si>
    <t>61.4 MB</t>
  </si>
  <si>
    <t>Apr 8, 2026 11:01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</si>
  <si>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</si>
  <si>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CPQ11-ROIP-DEVS-DATA-R22.rvt</t>
    </r>
  </si>
  <si>
    <t>692.6 MB</t>
  </si>
  <si>
    <t>May 8, 2026 3:16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</si>
  <si>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</si>
  <si>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CPQ11-ROIP-DEVS-GUAR-R22.rvt</t>
    </r>
  </si>
  <si>
    <t>38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</si>
  <si>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</si>
  <si>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CPQ11-SCTY-DEVS-DATA-R22.rvt</t>
    </r>
  </si>
  <si>
    <t>V40</t>
  </si>
  <si>
    <t>208.4 MB</t>
  </si>
  <si>
    <t>May 6, 2026 9:11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</si>
  <si>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</si>
  <si>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CPQ11-SCTY-DEVS-SITE-R22.rvt</t>
    </r>
  </si>
  <si>
    <t>V37</t>
  </si>
  <si>
    <t>222.7 MB</t>
  </si>
  <si>
    <t>Apr 10, 2026 4:38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</si>
  <si>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</si>
  <si>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CPQ11-SCTY-GATE-SITE-R24.ifc</t>
    </r>
  </si>
  <si>
    <t>May 7, 2026 5:22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</si>
  <si>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</si>
  <si>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CPQ11-SCTY-GATE-SITE-R24.rvt</t>
    </r>
  </si>
  <si>
    <t>37.3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</si>
  <si>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</si>
  <si>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CPQ11-SCTY-INFR-DATA-R22.rvt</t>
    </r>
  </si>
  <si>
    <t>43.3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</si>
  <si>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</si>
  <si>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CPQ11-SCTY-INFR-SITE-R22.rvt</t>
    </r>
  </si>
  <si>
    <t>V34</t>
  </si>
  <si>
    <t>25.4 MB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</si>
  <si>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</si>
  <si>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CPQ11-SYST-INFR-DATA-R22.rvt</t>
    </r>
  </si>
  <si>
    <t>Apr 10, 2026 4:26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</si>
  <si>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</si>
  <si>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CPQ11-SYST-INFR-SITE-R22.rvt</t>
    </r>
  </si>
  <si>
    <t>42.9 MB</t>
  </si>
  <si>
    <t>May 12, 2026 9:54 AM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</si>
  <si>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</si>
  <si>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CPQ11-TCOM-DEVS-DATA-R22.rvt</t>
    </r>
  </si>
  <si>
    <t>98.9 MB</t>
  </si>
  <si>
    <t>Apr 30, 2026 3:43 PM</t>
  </si>
  <si>
    <r>
      <rPr>
        <rFont val="Calibri"/>
        <b/>
        <color rgb="FF1155CC"/>
        <sz val="11.0"/>
        <u/>
      </rPr>
      <t>01-WORK IN PROGRESS/BIM/MODELS/DELEGATED DESIGN R22/MEP</t>
    </r>
  </si>
  <si>
    <r>
      <rPr>
        <rFont val="Calibri"/>
        <b/>
        <color rgb="FF1155CC"/>
        <sz val="11.0"/>
        <u/>
      </rPr>
      <t>CPQ11-TCOM-DEVS-SITE-R22.rvt</t>
    </r>
  </si>
  <si>
    <t>38.5 MB</t>
  </si>
  <si>
    <t>Apr 29, 2026 4:52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</si>
  <si>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</si>
  <si>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837-RACIONAL-PROJETO_GALILEU.zip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</si>
  <si>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</si>
  <si>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CPQ11-STRC-STEE-ADMN-2X3.ifc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</si>
  <si>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</si>
  <si>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CPQ11-STRC-STEE-COL1-2X3.ifc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</si>
  <si>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</si>
  <si>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CPQ11-STRC-STEE-COL2-2X3.ifc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</si>
  <si>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</si>
  <si>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CPQ11-STRC-STEE-COL3-2X3.ifc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</si>
  <si>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</si>
  <si>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CPQ11-STRC-STEE-COL4-2X3.ifc</t>
    </r>
  </si>
  <si>
    <t>Dec 5, 2025 5:25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</si>
  <si>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</si>
  <si>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CPQ11-STRC-STEE-COL5-2X3.ifc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</si>
  <si>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</si>
  <si>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CPQ11-STRC-STEE-GUAR-2X3.ifc</t>
    </r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</si>
  <si>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</si>
  <si>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CPQ11-STRC-STEE-STIR-2X3.ifc</t>
    </r>
  </si>
  <si>
    <t>Oct 31, 2025 2:29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</si>
  <si>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</si>
  <si>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</t>
    </r>
  </si>
  <si>
    <t>Feb 11, 2026 11:20 AM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</si>
  <si>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</si>
  <si>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CPQ11-STRC-STEE-UTLS-2X3.ifc.log</t>
    </r>
  </si>
  <si>
    <t>1.3 KB</t>
  </si>
  <si>
    <t>Feb 12, 2026 2:44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</si>
  <si>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</si>
  <si>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CPQ11-STRC-STEE-UTLS-2X3.ifc.RVT</t>
    </r>
  </si>
  <si>
    <t>98.5 MB</t>
  </si>
  <si>
    <t>Feb 12, 2026 2:52 PM</t>
  </si>
  <si>
    <r>
      <rPr>
        <rFont val="Calibri"/>
        <b/>
        <color rgb="FF1155CC"/>
        <sz val="11.0"/>
        <u/>
      </rPr>
      <t>01-WORK IN PROGRESS/BIM/MODELS/DELEGATED DESIGN R22/STEEL STRUCTURE/IFC</t>
    </r>
  </si>
  <si>
    <r>
      <rPr>
        <rFont val="Calibri"/>
        <b/>
        <color rgb="FF1155CC"/>
        <sz val="11.0"/>
        <u/>
      </rPr>
      <t>CPQ11-STRC-STEE-UTLS-2X3.ifc.sharedparameters.txt</t>
    </r>
  </si>
  <si>
    <t>10.4 KB</t>
  </si>
  <si>
    <t>Feb 12, 2026 2:46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</si>
  <si>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</si>
  <si>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CPQ11-STRC-STEE-ADMN-2X3.ifc</t>
    </r>
  </si>
  <si>
    <t>33.2 MB</t>
  </si>
  <si>
    <t>Feb 19, 2025 2:46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</si>
  <si>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</si>
  <si>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CPQ11-STRC-STEE-COL1-2X3.ifc</t>
    </r>
  </si>
  <si>
    <t>64.7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</si>
  <si>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</si>
  <si>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CPQ11-STRC-STEE-COL2-2X3.ifc</t>
    </r>
  </si>
  <si>
    <t>76.7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</si>
  <si>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</si>
  <si>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CPQ11-STRC-STEE-COL3-2X3.ifc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</si>
  <si>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</si>
  <si>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CPQ11-STRC-STEE-COL4-2X3.ifc</t>
    </r>
  </si>
  <si>
    <t>66.6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</si>
  <si>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</si>
  <si>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CPQ11-STRC-STEE-COL5-2X3.ifc</t>
    </r>
  </si>
  <si>
    <t>80.3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</si>
  <si>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</si>
  <si>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CPQ11-STRC-STEE-ESCA-2X3.ifc</t>
    </r>
  </si>
  <si>
    <t>11.4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</si>
  <si>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</si>
  <si>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CPQ11-STRC-STEE-GUAR-2X3.00.ifc</t>
    </r>
  </si>
  <si>
    <t>3.4 MB</t>
  </si>
  <si>
    <t>May 8, 2025 12:11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</si>
  <si>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</si>
  <si>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CPQ11-STRC-STEE-GUAR-2X3.ifc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</si>
  <si>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</si>
  <si>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CPQ11-STRC-STEE-UTIL-2X3.ifc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</si>
  <si>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</si>
  <si>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CPQ11-STRC-STEE-UTLS-2X3.ifc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</si>
  <si>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</si>
  <si>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CPQ11-STRC-STEEL-ADMN-IFC.ifc</t>
    </r>
  </si>
  <si>
    <t>46.1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</si>
  <si>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</si>
  <si>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CPQ11-STRC-STEEL-ANEX-IFC.ifc</t>
    </r>
  </si>
  <si>
    <t>Dec 18, 2024 2:18 PM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</si>
  <si>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</si>
  <si>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CPQ11-STRC-STEEL-ANEXO-03-12-2024.ifc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</si>
  <si>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</si>
  <si>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CPQ11-STRC-STEEL-COL1.ifc</t>
    </r>
  </si>
  <si>
    <t>48.9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</si>
  <si>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</si>
  <si>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CPQ11-STRC-STEEL-COL2-IFC.ifc</t>
    </r>
  </si>
  <si>
    <t>40.2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</si>
  <si>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</si>
  <si>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CPQ11-STRC-STEEL-COL3-IFC.ifc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</si>
  <si>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</si>
  <si>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CPQ11-STRC-STEEL-COL4-IFC.ifc</t>
    </r>
  </si>
  <si>
    <t>32.8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</si>
  <si>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</si>
  <si>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CPQ11-STRC-STEEL-COL5-IFC.ifc</t>
    </r>
  </si>
  <si>
    <t>41.4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</si>
  <si>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</si>
  <si>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CPQ11-STRC-STEEL-GNRL-IFC.ifc</t>
    </r>
  </si>
  <si>
    <t>170.7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</si>
  <si>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</si>
  <si>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CPQ11-STRC-STEEL-PROJETO-GALILEU-COMPLETO-14-11-2024.ifc</t>
    </r>
  </si>
  <si>
    <t>270.5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</si>
  <si>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</si>
  <si>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CPQ11-STRC-STEEL-PROJETO-GALILEU-COMPLETO.ifc</t>
    </r>
  </si>
  <si>
    <t>271.2 MB</t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</si>
  <si>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</si>
  <si>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PLAT.GERADORES.ifc</t>
    </r>
  </si>
  <si>
    <r>
      <rPr>
        <rFont val="Calibri"/>
        <b/>
        <color rgb="FF1155CC"/>
        <sz val="11.0"/>
        <u/>
      </rPr>
      <t>01-WORK IN PROGRESS/BIM/MODELS/DELEGATED DESIGN R22/STEEL STRUCTURE/OBSOLET</t>
    </r>
  </si>
  <si>
    <r>
      <rPr>
        <rFont val="Calibri"/>
        <b/>
        <color rgb="FF1155CC"/>
        <sz val="11.0"/>
        <u/>
      </rPr>
      <t>TORRE DE ESCADA 29-07-2024.ifc</t>
    </r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</si>
  <si>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</si>
  <si>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CPQ11-STRC-STEE-ADMN-R22.RVT</t>
    </r>
  </si>
  <si>
    <t>211.8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</si>
  <si>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</si>
  <si>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CPQ11-STRC-STEE-COL1-R22.RVT</t>
    </r>
  </si>
  <si>
    <t>642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</si>
  <si>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</si>
  <si>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CPQ11-STRC-STEE-COL2-R22.RVT</t>
    </r>
  </si>
  <si>
    <t>717.7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</si>
  <si>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</si>
  <si>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CPQ11-STRC-STEE-COL3-R22.RVT</t>
    </r>
  </si>
  <si>
    <t>719.2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</si>
  <si>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</si>
  <si>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CPQ11-STRC-STEE-COL4-R22.RVT</t>
    </r>
  </si>
  <si>
    <t>656.1 MB</t>
  </si>
  <si>
    <t>Dec 17, 2025 5:21 PM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</si>
  <si>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</si>
  <si>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CPQ11-STRC-STEE-COL5-R22.RVT</t>
    </r>
  </si>
  <si>
    <t>734.7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</si>
  <si>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</si>
  <si>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CPQ11-STRC-STEE-GUAR-R22.RVT</t>
    </r>
  </si>
  <si>
    <t>24.3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</si>
  <si>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</si>
  <si>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CPQ11-STRC-STEE-STIR-R22.RVT</t>
    </r>
  </si>
  <si>
    <t>102.2 MB</t>
  </si>
  <si>
    <r>
      <rPr>
        <rFont val="Calibri"/>
        <b/>
        <color rgb="FF1155CC"/>
        <sz val="11.0"/>
        <u/>
      </rPr>
      <t>01-WORK IN PROGRESS/BIM/MODELS/DELEGATED DESIGN R22/STEEL STRUCTURE</t>
    </r>
  </si>
  <si>
    <r>
      <rPr>
        <rFont val="Calibri"/>
        <b/>
        <color rgb="FF1155CC"/>
        <sz val="11.0"/>
        <u/>
      </rPr>
      <t>CPQ11-STRC-STEE-UTLS-R22.RVT</t>
    </r>
  </si>
  <si>
    <t>99.9 MB</t>
  </si>
  <si>
    <t>Feb 13, 2026 10:27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</si>
  <si>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</si>
  <si>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CPQ11-STRC-CONC-DATA-R22.nwc</t>
    </r>
  </si>
  <si>
    <t>472.5 KB</t>
  </si>
  <si>
    <t>Apr 22, 2026 11:13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</si>
  <si>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</si>
  <si>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CPQ11-STRC-CONC-SITE-R22.nwc</t>
    </r>
  </si>
  <si>
    <t>586.2 KB</t>
  </si>
  <si>
    <t>May 12, 2026 10:53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</si>
  <si>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</si>
  <si>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CPQ11-STRC-DPFN-DATA-R22.nwc</t>
    </r>
  </si>
  <si>
    <t>265.4 KB</t>
  </si>
  <si>
    <t>Apr 28, 2026 11:32 AM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</si>
  <si>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</si>
  <si>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CPQ11-STRC-DPFN-SITE-R22.nwc</t>
    </r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</si>
  <si>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</si>
  <si>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CPQ11-STRC-FLOO-DATA-R22.nwc</t>
    </r>
  </si>
  <si>
    <t>2.8 GB</t>
  </si>
  <si>
    <t>May 5, 2026 5:24 PM</t>
  </si>
  <si>
    <r>
      <rPr>
        <rFont val="Calibri"/>
        <b/>
        <color rgb="FF1155CC"/>
        <sz val="11.0"/>
        <u/>
      </rPr>
      <t>01-WORK IN PROGRESS/BIM/MODELS/DELEGATED DESIGN R22/STRC/NWC</t>
    </r>
  </si>
  <si>
    <r>
      <rPr>
        <rFont val="Calibri"/>
        <b/>
        <color rgb="FF1155CC"/>
        <sz val="11.0"/>
        <u/>
      </rPr>
      <t>CPQ11-STRC-FLOO-SITE-R22.nwc</t>
    </r>
  </si>
  <si>
    <t>53.7 MB</t>
  </si>
  <si>
    <t>May 5, 2026 2:44 PM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</si>
  <si>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</si>
  <si>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CPQ11-STRC-CONC-DATA-R22.rvt</t>
    </r>
  </si>
  <si>
    <t>16.6 MB</t>
  </si>
  <si>
    <t>Apr 22, 2026 11:16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</si>
  <si>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</si>
  <si>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CPQ11-STRC-CONC-SITE-R22.rvt</t>
    </r>
  </si>
  <si>
    <t>May 12, 2026 10:55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</si>
  <si>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</si>
  <si>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CPQ11-STRC-DPFN-DATA-R22.rvt</t>
    </r>
  </si>
  <si>
    <t>Apr 28, 2026 11:33 AM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</si>
  <si>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</si>
  <si>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CPQ11-STRC-DPFN-SITE-R22.rvt</t>
    </r>
  </si>
  <si>
    <t>13.7 MB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</si>
  <si>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</si>
  <si>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CPQ11-STRC-FLOO-DATA-R22.rvt</t>
    </r>
  </si>
  <si>
    <t>130.4 MB</t>
  </si>
  <si>
    <t>May 5, 2026 5:51 PM</t>
  </si>
  <si>
    <r>
      <rPr>
        <rFont val="Calibri"/>
        <b/>
        <color rgb="FF1155CC"/>
        <sz val="11.0"/>
        <u/>
      </rPr>
      <t>01-WORK IN PROGRESS/BIM/MODELS/DELEGATED DESIGN R22/STRC</t>
    </r>
  </si>
  <si>
    <r>
      <rPr>
        <rFont val="Calibri"/>
        <b/>
        <color rgb="FF1155CC"/>
        <sz val="11.0"/>
        <u/>
      </rPr>
      <t>CPQ11-STRC-FLOO-SITE-R22.rvt</t>
    </r>
  </si>
  <si>
    <t>16.8 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</si>
</sst>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d/mm/yyyy"/>
    <numFmt numFmtId="167" formatCode="mmm d, yyyy hh:mm"/>
  </numFmts>
  <fonts count="35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b/>
      <sz val="20.0"/>
      <color rgb="FF000000"/>
      <name val="Arial"/>
      <scheme val="minor"/>
    </font>
    <font/>
    <font>
      <sz val="12.0"/>
      <color rgb="FF000000"/>
      <name val="Arial"/>
    </font>
    <font>
      <b/>
      <sz val="14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theme="1"/>
      <name val="Arial"/>
      <scheme val="minor"/>
    </font>
    <font>
      <sz val="14.0"/>
      <color rgb="FF000000"/>
      <name val="Arial"/>
    </font>
    <font>
      <sz val="14.0"/>
      <color theme="1"/>
      <name val="Arial"/>
    </font>
    <font>
      <u/>
      <sz val="14.0"/>
      <color rgb="FF000000"/>
      <name val="Arial"/>
    </font>
    <font>
      <sz val="14.0"/>
      <color rgb="FF000000"/>
      <name val="Google Sans"/>
    </font>
    <font>
      <sz val="13.0"/>
      <color rgb="FF000000"/>
      <name val="Arial"/>
    </font>
    <font>
      <color theme="1"/>
      <name val="Arial"/>
    </font>
    <font>
      <sz val="11.0"/>
      <color theme="1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color theme="1"/>
      <name val="Arial"/>
      <scheme val="minor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sz val="14.0"/>
      <color rgb="FF000000"/>
      <name val="Arial"/>
    </font>
    <font>
      <u/>
      <color rgb="FF0000FF"/>
    </font>
    <font>
      <u/>
      <color rgb="FF1155CC"/>
    </font>
    <font>
      <b/>
      <sz val="12.0"/>
      <color theme="1"/>
      <name val="Arial"/>
    </font>
    <font>
      <b/>
      <u/>
      <sz val="11.0"/>
      <color rgb="FF0000FF"/>
      <name val="Calibri"/>
    </font>
    <font>
      <sz val="12.0"/>
      <color theme="1"/>
      <name val="Arial"/>
    </font>
    <font>
      <b/>
      <sz val="11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BDAD7"/>
        <bgColor rgb="FFFBDAD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BFE1F6"/>
        <bgColor rgb="FFBFE1F6"/>
      </patternFill>
    </fill>
    <fill>
      <patternFill patternType="solid">
        <fgColor rgb="FF11734B"/>
        <bgColor rgb="FF11734B"/>
      </patternFill>
    </fill>
    <fill>
      <patternFill patternType="solid">
        <fgColor rgb="FF5A3286"/>
        <bgColor rgb="FF5A3286"/>
      </patternFill>
    </fill>
    <fill>
      <patternFill patternType="solid">
        <fgColor rgb="FF4285F4"/>
        <bgColor rgb="FF4285F4"/>
      </patternFill>
    </fill>
    <fill>
      <patternFill patternType="solid">
        <fgColor rgb="FFD4EDBC"/>
        <bgColor rgb="FFD4EDBC"/>
      </patternFill>
    </fill>
    <fill>
      <patternFill patternType="solid">
        <fgColor rgb="FFE6CFF2"/>
        <bgColor rgb="FFE6CFF2"/>
      </patternFill>
    </fill>
    <fill>
      <patternFill patternType="solid">
        <fgColor theme="4"/>
        <bgColor theme="4"/>
      </patternFill>
    </fill>
    <fill>
      <patternFill patternType="solid">
        <fgColor rgb="FFFBC2BD"/>
        <bgColor rgb="FFFBC2BD"/>
      </patternFill>
    </fill>
    <fill>
      <patternFill patternType="solid">
        <fgColor rgb="FFFFC8AA"/>
        <bgColor rgb="FFFFC8AA"/>
      </patternFill>
    </fill>
    <fill>
      <patternFill patternType="solid">
        <fgColor rgb="FFFFE5A0"/>
        <bgColor rgb="FFFFE5A0"/>
      </patternFill>
    </fill>
    <fill>
      <patternFill patternType="solid">
        <fgColor rgb="FFBE88FA"/>
        <bgColor rgb="FFBE88FA"/>
      </patternFill>
    </fill>
    <fill>
      <patternFill patternType="solid">
        <fgColor rgb="FF3C81F3"/>
        <bgColor rgb="FF3C81F3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68181"/>
        <bgColor rgb="FFE68181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</fills>
  <borders count="40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666666"/>
      </top>
      <bottom style="thin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top style="thin">
        <color rgb="FF434343"/>
      </top>
      <bottom style="thin">
        <color rgb="FF434343"/>
      </bottom>
    </border>
    <border>
      <left style="thick">
        <color rgb="FF000000"/>
      </left>
      <right style="thin">
        <color rgb="FF434343"/>
      </right>
      <bottom style="thin">
        <color rgb="FF434343"/>
      </bottom>
    </border>
    <border>
      <left style="thick">
        <color rgb="FF000000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434343"/>
      </left>
      <right style="thin">
        <color rgb="FF434343"/>
      </right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1" numFmtId="0" xfId="0" applyAlignment="1" applyBorder="1" applyFont="1">
      <alignment horizontal="right"/>
    </xf>
    <xf borderId="0" fillId="0" fontId="1" numFmtId="0" xfId="0" applyFont="1"/>
    <xf borderId="0" fillId="2" fontId="4" numFmtId="0" xfId="0" applyAlignment="1" applyFill="1" applyFont="1">
      <alignment horizontal="center" vertical="center"/>
    </xf>
    <xf borderId="6" fillId="3" fontId="5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ill="1" applyFont="1">
      <alignment horizontal="center" readingOrder="0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borderId="8" fillId="5" fontId="6" numFmtId="164" xfId="0" applyAlignment="1" applyBorder="1" applyFont="1" applyNumberFormat="1">
      <alignment horizontal="center" readingOrder="0" shrinkToFit="0" vertical="center" wrapText="1"/>
    </xf>
    <xf borderId="8" fillId="3" fontId="6" numFmtId="164" xfId="0" applyAlignment="1" applyBorder="1" applyFont="1" applyNumberFormat="1">
      <alignment horizontal="center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/>
    </xf>
    <xf borderId="11" fillId="0" fontId="10" numFmtId="0" xfId="0" applyAlignment="1" applyBorder="1" applyFont="1">
      <alignment horizontal="center" vertical="bottom"/>
    </xf>
    <xf borderId="12" fillId="4" fontId="10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vertical="bottom"/>
    </xf>
    <xf borderId="13" fillId="4" fontId="10" numFmtId="0" xfId="0" applyAlignment="1" applyBorder="1" applyFont="1">
      <alignment horizontal="center" vertical="bottom"/>
    </xf>
    <xf borderId="7" fillId="0" fontId="11" numFmtId="165" xfId="0" applyAlignment="1" applyBorder="1" applyFont="1" applyNumberFormat="1">
      <alignment horizontal="center" readingOrder="0" shrinkToFit="0" wrapText="1"/>
    </xf>
    <xf borderId="8" fillId="0" fontId="11" numFmtId="165" xfId="0" applyAlignment="1" applyBorder="1" applyFont="1" applyNumberFormat="1">
      <alignment horizontal="center" readingOrder="0" shrinkToFit="0" wrapText="1"/>
    </xf>
    <xf borderId="14" fillId="0" fontId="11" numFmtId="165" xfId="0" applyAlignment="1" applyBorder="1" applyFont="1" applyNumberFormat="1">
      <alignment horizontal="center" readingOrder="0" shrinkToFit="0" wrapText="1"/>
    </xf>
    <xf borderId="12" fillId="0" fontId="11" numFmtId="165" xfId="0" applyAlignment="1" applyBorder="1" applyFont="1" applyNumberFormat="1">
      <alignment horizontal="center" readingOrder="0" shrinkToFit="0" wrapText="1"/>
    </xf>
    <xf borderId="12" fillId="0" fontId="12" numFmtId="0" xfId="0" applyAlignment="1" applyBorder="1" applyFont="1">
      <alignment horizontal="center" readingOrder="0" vertical="center"/>
    </xf>
    <xf borderId="13" fillId="7" fontId="13" numFmtId="0" xfId="0" applyAlignment="1" applyBorder="1" applyFill="1" applyFont="1">
      <alignment readingOrder="0" vertical="center"/>
    </xf>
    <xf borderId="12" fillId="7" fontId="13" numFmtId="0" xfId="0" applyAlignment="1" applyBorder="1" applyFont="1">
      <alignment readingOrder="0" vertical="center"/>
    </xf>
    <xf borderId="15" fillId="8" fontId="10" numFmtId="0" xfId="0" applyAlignment="1" applyBorder="1" applyFill="1" applyFont="1">
      <alignment horizontal="center" readingOrder="0" vertical="center"/>
    </xf>
    <xf borderId="12" fillId="9" fontId="10" numFmtId="0" xfId="0" applyAlignment="1" applyBorder="1" applyFill="1" applyFon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2" fillId="10" fontId="14" numFmtId="0" xfId="0" applyAlignment="1" applyBorder="1" applyFill="1" applyFont="1">
      <alignment horizontal="center" readingOrder="0" shrinkToFit="0" vertical="center" wrapText="1"/>
    </xf>
    <xf borderId="7" fillId="10" fontId="10" numFmtId="0" xfId="0" applyAlignment="1" applyBorder="1" applyFont="1">
      <alignment horizontal="center" readingOrder="0" shrinkToFit="0" vertical="center" wrapText="1"/>
    </xf>
    <xf borderId="12" fillId="11" fontId="10" numFmtId="0" xfId="0" applyAlignment="1" applyBorder="1" applyFill="1" applyFont="1">
      <alignment horizontal="center" readingOrder="0" vertical="center"/>
    </xf>
    <xf borderId="13" fillId="10" fontId="10" numFmtId="0" xfId="0" applyAlignment="1" applyBorder="1" applyFont="1">
      <alignment horizontal="center" readingOrder="0" shrinkToFit="0" vertical="center" wrapText="1"/>
    </xf>
    <xf borderId="16" fillId="10" fontId="10" numFmtId="0" xfId="0" applyAlignment="1" applyBorder="1" applyFont="1">
      <alignment horizontal="center" readingOrder="0" shrinkToFit="0" vertical="center" wrapText="1"/>
    </xf>
    <xf borderId="14" fillId="10" fontId="10" numFmtId="0" xfId="0" applyAlignment="1" applyBorder="1" applyFont="1">
      <alignment horizontal="center" readingOrder="0" shrinkToFit="0" vertical="center" wrapText="1"/>
    </xf>
    <xf borderId="0" fillId="10" fontId="10" numFmtId="0" xfId="0" applyAlignment="1" applyFont="1">
      <alignment horizontal="center" readingOrder="0" shrinkToFit="0" vertical="center" wrapText="1"/>
    </xf>
    <xf borderId="0" fillId="11" fontId="10" numFmtId="0" xfId="0" applyAlignment="1" applyFont="1">
      <alignment horizontal="center" readingOrder="0" vertical="center"/>
    </xf>
    <xf borderId="13" fillId="11" fontId="10" numFmtId="0" xfId="0" applyAlignment="1" applyBorder="1" applyFont="1">
      <alignment horizontal="center" readingOrder="0" vertical="center"/>
    </xf>
    <xf borderId="12" fillId="10" fontId="10" numFmtId="0" xfId="0" applyAlignment="1" applyBorder="1" applyFont="1">
      <alignment horizontal="center" readingOrder="0" shrinkToFit="0" vertical="center" wrapText="1"/>
    </xf>
    <xf borderId="12" fillId="2" fontId="10" numFmtId="0" xfId="0" applyAlignment="1" applyBorder="1" applyFont="1">
      <alignment horizontal="center" readingOrder="0" vertical="center"/>
    </xf>
    <xf borderId="13" fillId="7" fontId="10" numFmtId="0" xfId="0" applyAlignment="1" applyBorder="1" applyFont="1">
      <alignment horizontal="center" readingOrder="0" shrinkToFit="0" vertical="center" wrapText="1"/>
    </xf>
    <xf borderId="13" fillId="12" fontId="10" numFmtId="0" xfId="0" applyAlignment="1" applyBorder="1" applyFill="1" applyFont="1">
      <alignment horizontal="center" readingOrder="0" vertical="center"/>
    </xf>
    <xf borderId="16" fillId="12" fontId="10" numFmtId="0" xfId="0" applyAlignment="1" applyBorder="1" applyFont="1">
      <alignment horizontal="center" readingOrder="0" vertical="center"/>
    </xf>
    <xf borderId="12" fillId="13" fontId="10" numFmtId="0" xfId="0" applyAlignment="1" applyBorder="1" applyFill="1" applyFont="1">
      <alignment horizontal="center" readingOrder="0" vertical="center"/>
    </xf>
    <xf borderId="13" fillId="13" fontId="10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12" fontId="10" numFmtId="0" xfId="0" applyAlignment="1" applyFont="1">
      <alignment horizontal="center" readingOrder="0" vertical="center"/>
    </xf>
    <xf borderId="13" fillId="2" fontId="10" numFmtId="0" xfId="0" applyAlignment="1" applyBorder="1" applyFont="1">
      <alignment horizontal="center" readingOrder="0" vertical="center"/>
    </xf>
    <xf borderId="13" fillId="14" fontId="10" numFmtId="0" xfId="0" applyAlignment="1" applyBorder="1" applyFill="1" applyFont="1">
      <alignment horizontal="center" readingOrder="0" shrinkToFit="0" vertical="center" wrapText="1"/>
    </xf>
    <xf borderId="12" fillId="12" fontId="10" numFmtId="0" xfId="0" applyAlignment="1" applyBorder="1" applyFon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18" fillId="4" fontId="4" numFmtId="0" xfId="0" applyAlignment="1" applyBorder="1" applyFont="1">
      <alignment horizontal="center" readingOrder="0" vertical="center"/>
    </xf>
    <xf borderId="7" fillId="0" fontId="15" numFmtId="0" xfId="0" applyBorder="1" applyFont="1"/>
    <xf borderId="7" fillId="0" fontId="16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vertical="bottom"/>
    </xf>
    <xf borderId="20" fillId="0" fontId="10" numFmtId="0" xfId="0" applyAlignment="1" applyBorder="1" applyFont="1">
      <alignment horizontal="center" vertical="bottom"/>
    </xf>
    <xf borderId="21" fillId="4" fontId="10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16" fillId="4" fontId="10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readingOrder="0" shrinkToFit="0" wrapText="1"/>
    </xf>
    <xf borderId="14" fillId="0" fontId="17" numFmtId="0" xfId="0" applyAlignment="1" applyBorder="1" applyFont="1">
      <alignment horizontal="center" readingOrder="0" vertical="center"/>
    </xf>
    <xf borderId="14" fillId="7" fontId="13" numFmtId="0" xfId="0" applyAlignment="1" applyBorder="1" applyFont="1">
      <alignment readingOrder="0" vertical="center"/>
    </xf>
    <xf borderId="14" fillId="8" fontId="10" numFmtId="0" xfId="0" applyAlignment="1" applyBorder="1" applyFont="1">
      <alignment horizontal="center" readingOrder="0" vertical="center"/>
    </xf>
    <xf borderId="14" fillId="2" fontId="10" numFmtId="0" xfId="0" applyAlignment="1" applyBorder="1" applyFont="1">
      <alignment horizontal="center" readingOrder="0" vertical="center"/>
    </xf>
    <xf borderId="14" fillId="15" fontId="10" numFmtId="0" xfId="0" applyAlignment="1" applyBorder="1" applyFill="1" applyFont="1">
      <alignment horizontal="center" readingOrder="0" shrinkToFit="0" vertical="center" wrapText="1"/>
    </xf>
    <xf borderId="7" fillId="12" fontId="10" numFmtId="0" xfId="0" applyAlignment="1" applyBorder="1" applyFont="1">
      <alignment horizontal="center" readingOrder="0" vertical="center"/>
    </xf>
    <xf borderId="14" fillId="12" fontId="10" numFmtId="0" xfId="0" applyAlignment="1" applyBorder="1" applyFont="1">
      <alignment horizontal="center" readingOrder="0" vertical="center"/>
    </xf>
    <xf borderId="7" fillId="7" fontId="10" numFmtId="0" xfId="0" applyAlignment="1" applyBorder="1" applyFont="1">
      <alignment horizontal="center" readingOrder="0" shrinkToFit="0" vertical="center" wrapText="1"/>
    </xf>
    <xf borderId="16" fillId="14" fontId="10" numFmtId="0" xfId="0" applyAlignment="1" applyBorder="1" applyFont="1">
      <alignment horizontal="center" readingOrder="0" shrinkToFit="0" vertical="center" wrapText="1"/>
    </xf>
    <xf borderId="13" fillId="16" fontId="10" numFmtId="0" xfId="0" applyAlignment="1" applyBorder="1" applyFill="1" applyFont="1">
      <alignment horizontal="center" readingOrder="0" vertical="center"/>
    </xf>
    <xf borderId="16" fillId="16" fontId="10" numFmtId="0" xfId="0" applyAlignment="1" applyBorder="1" applyFont="1">
      <alignment horizontal="center" readingOrder="0" vertical="center"/>
    </xf>
    <xf borderId="13" fillId="17" fontId="10" numFmtId="0" xfId="0" applyAlignment="1" applyBorder="1" applyFill="1" applyFont="1">
      <alignment horizontal="center" readingOrder="0" vertical="center"/>
    </xf>
    <xf borderId="12" fillId="7" fontId="10" numFmtId="0" xfId="0" applyAlignment="1" applyBorder="1" applyFont="1">
      <alignment horizontal="center" readingOrder="0" shrinkToFit="0" vertical="center" wrapText="1"/>
    </xf>
    <xf borderId="13" fillId="18" fontId="10" numFmtId="0" xfId="0" applyAlignment="1" applyBorder="1" applyFill="1" applyFont="1">
      <alignment horizontal="center" readingOrder="0" vertical="center"/>
    </xf>
    <xf borderId="0" fillId="13" fontId="10" numFmtId="0" xfId="0" applyAlignment="1" applyFont="1">
      <alignment horizontal="center" readingOrder="0" vertical="center"/>
    </xf>
    <xf borderId="0" fillId="7" fontId="10" numFmtId="0" xfId="0" applyAlignment="1" applyFont="1">
      <alignment horizontal="center" readingOrder="0" shrinkToFit="0" vertical="center" wrapText="1"/>
    </xf>
    <xf borderId="12" fillId="14" fontId="10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 shrinkToFit="0" vertical="bottom" wrapText="1"/>
    </xf>
    <xf borderId="22" fillId="0" fontId="10" numFmtId="0" xfId="0" applyAlignment="1" applyBorder="1" applyFont="1">
      <alignment horizontal="center" vertical="bottom"/>
    </xf>
    <xf borderId="12" fillId="19" fontId="10" numFmtId="0" xfId="0" applyAlignment="1" applyBorder="1" applyFill="1" applyFont="1">
      <alignment horizontal="center" readingOrder="0" vertical="center"/>
    </xf>
    <xf borderId="14" fillId="20" fontId="10" numFmtId="0" xfId="0" applyAlignment="1" applyBorder="1" applyFill="1" applyFont="1">
      <alignment horizontal="center" readingOrder="0" shrinkToFit="0" vertical="center" wrapText="1"/>
    </xf>
    <xf borderId="14" fillId="7" fontId="10" numFmtId="0" xfId="0" applyAlignment="1" applyBorder="1" applyFont="1">
      <alignment horizontal="center" readingOrder="0" shrinkToFit="0" vertical="center" wrapText="1"/>
    </xf>
    <xf borderId="13" fillId="21" fontId="10" numFmtId="0" xfId="0" applyAlignment="1" applyBorder="1" applyFill="1" applyFont="1">
      <alignment horizontal="center" readingOrder="0" vertical="center"/>
    </xf>
    <xf borderId="20" fillId="0" fontId="11" numFmtId="0" xfId="0" applyAlignment="1" applyBorder="1" applyFont="1">
      <alignment horizontal="center" vertical="bottom"/>
    </xf>
    <xf borderId="23" fillId="0" fontId="10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horizontal="center" vertical="bottom"/>
    </xf>
    <xf borderId="23" fillId="4" fontId="10" numFmtId="0" xfId="0" applyAlignment="1" applyBorder="1" applyFont="1">
      <alignment horizontal="center" vertical="bottom"/>
    </xf>
    <xf borderId="14" fillId="0" fontId="10" numFmtId="165" xfId="0" applyAlignment="1" applyBorder="1" applyFont="1" applyNumberFormat="1">
      <alignment horizontal="center" readingOrder="0" shrinkToFit="0" vertical="center" wrapText="1"/>
    </xf>
    <xf borderId="14" fillId="19" fontId="10" numFmtId="0" xfId="0" applyAlignment="1" applyBorder="1" applyFont="1">
      <alignment horizontal="center" readingOrder="0" vertical="center"/>
    </xf>
    <xf borderId="7" fillId="15" fontId="10" numFmtId="0" xfId="0" applyAlignment="1" applyBorder="1" applyFont="1">
      <alignment horizontal="center" readingOrder="0" shrinkToFit="0" vertical="center" wrapText="1"/>
    </xf>
    <xf borderId="14" fillId="22" fontId="10" numFmtId="0" xfId="0" applyAlignment="1" applyBorder="1" applyFill="1" applyFont="1">
      <alignment horizontal="center" readingOrder="0" shrinkToFit="0" vertical="center" wrapText="1"/>
    </xf>
    <xf borderId="7" fillId="22" fontId="10" numFmtId="0" xfId="0" applyAlignment="1" applyBorder="1" applyFont="1">
      <alignment horizontal="center" readingOrder="0" shrinkToFit="0" vertical="center" wrapText="1"/>
    </xf>
    <xf borderId="14" fillId="23" fontId="18" numFmtId="0" xfId="0" applyAlignment="1" applyBorder="1" applyFill="1" applyFont="1">
      <alignment horizontal="center" readingOrder="0" vertical="center"/>
    </xf>
    <xf borderId="16" fillId="22" fontId="10" numFmtId="0" xfId="0" applyAlignment="1" applyBorder="1" applyFont="1">
      <alignment horizontal="center" readingOrder="0" shrinkToFit="0" vertical="center" wrapText="1"/>
    </xf>
    <xf borderId="7" fillId="2" fontId="10" numFmtId="0" xfId="0" applyAlignment="1" applyBorder="1" applyFont="1">
      <alignment horizontal="center" readingOrder="0" vertical="center"/>
    </xf>
    <xf borderId="7" fillId="14" fontId="10" numFmtId="0" xfId="0" applyAlignment="1" applyBorder="1" applyFont="1">
      <alignment horizontal="center" readingOrder="0" shrinkToFit="0" vertical="center" wrapText="1"/>
    </xf>
    <xf borderId="0" fillId="14" fontId="10" numFmtId="0" xfId="0" applyAlignment="1" applyFont="1">
      <alignment horizontal="center" readingOrder="0" shrinkToFit="0" vertical="center" wrapText="1"/>
    </xf>
    <xf borderId="12" fillId="18" fontId="10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vertical="bottom"/>
    </xf>
    <xf borderId="14" fillId="4" fontId="10" numFmtId="0" xfId="0" applyAlignment="1" applyBorder="1" applyFont="1">
      <alignment horizontal="center" vertical="bottom"/>
    </xf>
    <xf borderId="14" fillId="0" fontId="19" numFmtId="0" xfId="0" applyAlignment="1" applyBorder="1" applyFont="1">
      <alignment horizontal="center" readingOrder="0" shrinkToFit="0" vertical="center" wrapText="0"/>
    </xf>
    <xf borderId="12" fillId="8" fontId="10" numFmtId="0" xfId="0" applyAlignment="1" applyBorder="1" applyFont="1">
      <alignment horizontal="center" readingOrder="0" vertical="center"/>
    </xf>
    <xf borderId="12" fillId="17" fontId="10" numFmtId="0" xfId="0" applyAlignment="1" applyBorder="1" applyFont="1">
      <alignment horizontal="center" readingOrder="0" vertical="center"/>
    </xf>
    <xf borderId="13" fillId="24" fontId="10" numFmtId="0" xfId="0" applyAlignment="1" applyBorder="1" applyFill="1" applyFont="1">
      <alignment horizontal="center" readingOrder="0" vertical="center"/>
    </xf>
    <xf borderId="7" fillId="0" fontId="16" numFmtId="0" xfId="0" applyAlignment="1" applyBorder="1" applyFont="1">
      <alignment horizontal="center" readingOrder="0" shrinkToFit="0" vertical="bottom" wrapText="1"/>
    </xf>
    <xf borderId="25" fillId="0" fontId="11" numFmtId="0" xfId="0" applyAlignment="1" applyBorder="1" applyFont="1">
      <alignment horizontal="center" readingOrder="0" vertical="bottom"/>
    </xf>
    <xf borderId="14" fillId="0" fontId="11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readingOrder="0" vertical="bottom"/>
    </xf>
    <xf borderId="14" fillId="22" fontId="10" numFmtId="0" xfId="0" applyAlignment="1" applyBorder="1" applyFont="1">
      <alignment horizontal="center" readingOrder="0" vertical="center"/>
    </xf>
    <xf borderId="14" fillId="11" fontId="10" numFmtId="0" xfId="0" applyAlignment="1" applyBorder="1" applyFont="1">
      <alignment horizontal="center" readingOrder="0" vertical="center"/>
    </xf>
    <xf borderId="7" fillId="11" fontId="10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vertical="bottom"/>
    </xf>
    <xf borderId="0" fillId="18" fontId="10" numFmtId="0" xfId="0" applyAlignment="1" applyFont="1">
      <alignment horizontal="center" readingOrder="0" vertical="center"/>
    </xf>
    <xf borderId="7" fillId="0" fontId="15" numFmtId="0" xfId="0" applyAlignment="1" applyBorder="1" applyFont="1">
      <alignment horizontal="center" readingOrder="0" vertical="bottom"/>
    </xf>
    <xf borderId="7" fillId="0" fontId="15" numFmtId="0" xfId="0" applyAlignment="1" applyBorder="1" applyFont="1">
      <alignment horizontal="center" readingOrder="0" shrinkToFit="0" vertical="bottom" wrapText="1"/>
    </xf>
    <xf borderId="25" fillId="0" fontId="11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readingOrder="0" vertical="bottom"/>
    </xf>
    <xf borderId="16" fillId="8" fontId="10" numFmtId="0" xfId="0" applyAlignment="1" applyBorder="1" applyFont="1">
      <alignment horizontal="center" readingOrder="0" vertical="center"/>
    </xf>
    <xf borderId="7" fillId="8" fontId="10" numFmtId="0" xfId="0" applyAlignment="1" applyBorder="1" applyFont="1">
      <alignment horizontal="center" readingOrder="0" vertical="center"/>
    </xf>
    <xf borderId="16" fillId="7" fontId="10" numFmtId="0" xfId="0" applyAlignment="1" applyBorder="1" applyFont="1">
      <alignment horizontal="center" readingOrder="0" shrinkToFit="0" vertical="center" wrapText="1"/>
    </xf>
    <xf borderId="16" fillId="0" fontId="20" numFmtId="0" xfId="0" applyBorder="1" applyFont="1"/>
    <xf borderId="0" fillId="8" fontId="10" numFmtId="0" xfId="0" applyAlignment="1" applyFont="1">
      <alignment horizontal="center" readingOrder="0" vertical="center"/>
    </xf>
    <xf borderId="0" fillId="17" fontId="10" numFmtId="0" xfId="0" applyAlignment="1" applyFont="1">
      <alignment horizontal="center" readingOrder="0" vertical="center"/>
    </xf>
    <xf borderId="14" fillId="0" fontId="11" numFmtId="166" xfId="0" applyAlignment="1" applyBorder="1" applyFont="1" applyNumberFormat="1">
      <alignment horizontal="center" readingOrder="0" shrinkToFit="0" wrapText="1"/>
    </xf>
    <xf borderId="25" fillId="0" fontId="10" numFmtId="0" xfId="0" applyAlignment="1" applyBorder="1" applyFont="1">
      <alignment horizontal="center" readingOrder="0" vertical="bottom"/>
    </xf>
    <xf borderId="14" fillId="0" fontId="10" numFmtId="0" xfId="0" applyAlignment="1" applyBorder="1" applyFont="1">
      <alignment horizontal="center" readingOrder="0" vertical="center"/>
    </xf>
    <xf borderId="16" fillId="11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shrinkToFit="0" vertical="center" wrapText="1"/>
    </xf>
    <xf borderId="25" fillId="0" fontId="11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horizontal="center" readingOrder="0" vertical="center"/>
    </xf>
    <xf borderId="16" fillId="4" fontId="11" numFmtId="0" xfId="0" applyAlignment="1" applyBorder="1" applyFont="1">
      <alignment horizontal="center" vertical="center"/>
    </xf>
    <xf borderId="14" fillId="0" fontId="10" numFmtId="166" xfId="0" applyAlignment="1" applyBorder="1" applyFont="1" applyNumberFormat="1">
      <alignment horizontal="center" readingOrder="0" shrinkToFit="0" vertical="center" wrapText="1"/>
    </xf>
    <xf borderId="14" fillId="4" fontId="11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vertical="bottom"/>
    </xf>
    <xf borderId="16" fillId="4" fontId="11" numFmtId="0" xfId="0" applyAlignment="1" applyBorder="1" applyFont="1">
      <alignment horizontal="center" vertical="bottom"/>
    </xf>
    <xf borderId="14" fillId="10" fontId="14" numFmtId="0" xfId="0" applyAlignment="1" applyBorder="1" applyFont="1">
      <alignment horizontal="center" readingOrder="0" shrinkToFit="0" vertical="center" wrapText="1"/>
    </xf>
    <xf borderId="7" fillId="0" fontId="15" numFmtId="0" xfId="0" applyAlignment="1" applyBorder="1" applyFont="1">
      <alignment readingOrder="0"/>
    </xf>
    <xf borderId="14" fillId="0" fontId="21" numFmtId="0" xfId="0" applyAlignment="1" applyBorder="1" applyFont="1">
      <alignment horizontal="center" readingOrder="0" shrinkToFit="0" vertical="center" wrapText="1"/>
    </xf>
    <xf borderId="14" fillId="25" fontId="10" numFmtId="0" xfId="0" applyAlignment="1" applyBorder="1" applyFill="1" applyFont="1">
      <alignment horizontal="center" readingOrder="0" vertical="center"/>
    </xf>
    <xf borderId="25" fillId="0" fontId="11" numFmtId="0" xfId="0" applyAlignment="1" applyBorder="1" applyFont="1">
      <alignment horizontal="center" vertical="bottom"/>
    </xf>
    <xf borderId="12" fillId="7" fontId="10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vertical="bottom"/>
    </xf>
    <xf borderId="12" fillId="10" fontId="10" numFmtId="0" xfId="0" applyAlignment="1" applyBorder="1" applyFont="1">
      <alignment horizontal="center" readingOrder="0" vertical="center"/>
    </xf>
    <xf borderId="14" fillId="10" fontId="10" numFmtId="0" xfId="0" applyAlignment="1" applyBorder="1" applyFont="1">
      <alignment horizontal="center" readingOrder="0" vertical="center"/>
    </xf>
    <xf borderId="14" fillId="4" fontId="10" numFmtId="0" xfId="0" applyAlignment="1" applyBorder="1" applyFont="1">
      <alignment horizontal="center" vertical="bottom"/>
    </xf>
    <xf borderId="14" fillId="0" fontId="10" numFmtId="0" xfId="0" applyAlignment="1" applyBorder="1" applyFont="1">
      <alignment horizontal="center" vertical="bottom"/>
    </xf>
    <xf borderId="16" fillId="4" fontId="10" numFmtId="0" xfId="0" applyAlignment="1" applyBorder="1" applyFont="1">
      <alignment horizontal="center" vertical="bottom"/>
    </xf>
    <xf borderId="14" fillId="9" fontId="10" numFmtId="0" xfId="0" applyAlignment="1" applyBorder="1" applyFont="1">
      <alignment horizontal="center" readingOrder="0" vertical="center"/>
    </xf>
    <xf borderId="14" fillId="7" fontId="10" numFmtId="0" xfId="0" applyAlignment="1" applyBorder="1" applyFont="1">
      <alignment horizontal="center" readingOrder="0" vertical="center"/>
    </xf>
    <xf borderId="14" fillId="0" fontId="22" numFmtId="0" xfId="0" applyAlignment="1" applyBorder="1" applyFont="1">
      <alignment horizontal="center" readingOrder="0"/>
    </xf>
    <xf borderId="14" fillId="4" fontId="11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vertical="bottom"/>
    </xf>
    <xf borderId="16" fillId="0" fontId="11" numFmtId="0" xfId="0" applyAlignment="1" applyBorder="1" applyFont="1">
      <alignment horizontal="center" vertical="bottom"/>
    </xf>
    <xf borderId="14" fillId="0" fontId="11" numFmtId="0" xfId="0" applyAlignment="1" applyBorder="1" applyFont="1">
      <alignment horizontal="center" readingOrder="0" shrinkToFit="0" vertical="bottom" wrapText="1"/>
    </xf>
    <xf borderId="14" fillId="0" fontId="11" numFmtId="165" xfId="0" applyAlignment="1" applyBorder="1" applyFont="1" applyNumberFormat="1">
      <alignment horizontal="center" readingOrder="0" shrinkToFit="0" vertical="bottom" wrapText="1"/>
    </xf>
    <xf borderId="14" fillId="14" fontId="10" numFmtId="0" xfId="0" applyAlignment="1" applyBorder="1" applyFont="1">
      <alignment horizontal="center" readingOrder="0" shrinkToFit="0" vertical="center" wrapText="1"/>
    </xf>
    <xf borderId="12" fillId="16" fontId="10" numFmtId="0" xfId="0" applyAlignment="1" applyBorder="1" applyFont="1">
      <alignment horizontal="center" readingOrder="0" vertical="center"/>
    </xf>
    <xf borderId="26" fillId="4" fontId="4" numFmtId="0" xfId="0" applyAlignment="1" applyBorder="1" applyFont="1">
      <alignment horizontal="center" readingOrder="0" vertical="center"/>
    </xf>
    <xf borderId="27" fillId="4" fontId="4" numFmtId="0" xfId="0" applyAlignment="1" applyBorder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28" fillId="0" fontId="16" numFmtId="0" xfId="0" applyAlignment="1" applyBorder="1" applyFont="1">
      <alignment horizontal="center" readingOrder="0" vertical="bottom"/>
    </xf>
    <xf borderId="22" fillId="11" fontId="10" numFmtId="0" xfId="0" applyAlignment="1" applyBorder="1" applyFont="1">
      <alignment horizontal="center" readingOrder="0" vertical="center"/>
    </xf>
    <xf borderId="22" fillId="10" fontId="10" numFmtId="0" xfId="0" applyAlignment="1" applyBorder="1" applyFont="1">
      <alignment horizontal="center" readingOrder="0" shrinkToFit="0" vertical="center" wrapText="1"/>
    </xf>
    <xf borderId="28" fillId="0" fontId="15" numFmtId="0" xfId="0" applyAlignment="1" applyBorder="1" applyFont="1">
      <alignment horizontal="center" vertical="bottom"/>
    </xf>
    <xf borderId="28" fillId="0" fontId="15" numFmtId="0" xfId="0" applyAlignment="1" applyBorder="1" applyFont="1">
      <alignment horizontal="center" shrinkToFit="0" vertical="bottom" wrapText="1"/>
    </xf>
    <xf borderId="28" fillId="0" fontId="16" numFmtId="0" xfId="0" applyAlignment="1" applyBorder="1" applyFont="1">
      <alignment horizontal="center" readingOrder="0" shrinkToFit="0" vertical="bottom" wrapText="1"/>
    </xf>
    <xf borderId="25" fillId="0" fontId="10" numFmtId="0" xfId="0" applyAlignment="1" applyBorder="1" applyFont="1">
      <alignment horizontal="center" vertical="center"/>
    </xf>
    <xf borderId="14" fillId="4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readingOrder="0" shrinkToFit="0" vertical="center" wrapText="1"/>
    </xf>
    <xf borderId="14" fillId="0" fontId="11" numFmtId="165" xfId="0" applyAlignment="1" applyBorder="1" applyFont="1" applyNumberFormat="1">
      <alignment horizontal="center" readingOrder="0" shrinkToFit="0" vertical="center" wrapText="1"/>
    </xf>
    <xf borderId="22" fillId="2" fontId="10" numFmtId="0" xfId="0" applyAlignment="1" applyBorder="1" applyFont="1">
      <alignment horizontal="center" readingOrder="0" vertical="center"/>
    </xf>
    <xf borderId="22" fillId="7" fontId="10" numFmtId="0" xfId="0" applyAlignment="1" applyBorder="1" applyFont="1">
      <alignment horizontal="center" readingOrder="0" shrinkToFit="0" vertical="center" wrapText="1"/>
    </xf>
    <xf borderId="22" fillId="12" fontId="10" numFmtId="0" xfId="0" applyAlignment="1" applyBorder="1" applyFont="1">
      <alignment horizontal="center" readingOrder="0" vertical="center"/>
    </xf>
    <xf borderId="28" fillId="0" fontId="15" numFmtId="0" xfId="0" applyAlignment="1" applyBorder="1" applyFont="1">
      <alignment horizontal="center" readingOrder="0" shrinkToFit="0" vertical="bottom" wrapText="1"/>
    </xf>
    <xf borderId="29" fillId="0" fontId="10" numFmtId="0" xfId="0" applyAlignment="1" applyBorder="1" applyFont="1">
      <alignment horizontal="center" vertical="bottom"/>
    </xf>
    <xf borderId="22" fillId="4" fontId="10" numFmtId="0" xfId="0" applyAlignment="1" applyBorder="1" applyFont="1">
      <alignment horizontal="center" vertical="bottom"/>
    </xf>
    <xf borderId="30" fillId="4" fontId="10" numFmtId="0" xfId="0" applyAlignment="1" applyBorder="1" applyFont="1">
      <alignment horizontal="center" vertical="bottom"/>
    </xf>
    <xf borderId="22" fillId="0" fontId="23" numFmtId="0" xfId="0" applyAlignment="1" applyBorder="1" applyFont="1">
      <alignment horizontal="center" readingOrder="0" shrinkToFit="0" vertical="center" wrapText="0"/>
    </xf>
    <xf borderId="22" fillId="7" fontId="13" numFmtId="0" xfId="0" applyAlignment="1" applyBorder="1" applyFont="1">
      <alignment readingOrder="0" vertical="center"/>
    </xf>
    <xf borderId="22" fillId="8" fontId="10" numFmtId="0" xfId="0" applyAlignment="1" applyBorder="1" applyFont="1">
      <alignment horizontal="center" readingOrder="0" vertical="center"/>
    </xf>
    <xf borderId="29" fillId="0" fontId="11" numFmtId="0" xfId="0" applyAlignment="1" applyBorder="1" applyFont="1">
      <alignment horizontal="center" readingOrder="0" vertical="bottom"/>
    </xf>
    <xf borderId="22" fillId="0" fontId="10" numFmtId="0" xfId="0" applyAlignment="1" applyBorder="1" applyFont="1">
      <alignment horizontal="center" readingOrder="0" vertical="bottom"/>
    </xf>
    <xf borderId="30" fillId="0" fontId="20" numFmtId="0" xfId="0" applyBorder="1" applyFont="1"/>
    <xf borderId="22" fillId="0" fontId="11" numFmtId="165" xfId="0" applyAlignment="1" applyBorder="1" applyFont="1" applyNumberFormat="1">
      <alignment horizontal="center" readingOrder="0" shrinkToFit="0" wrapText="1"/>
    </xf>
    <xf borderId="29" fillId="0" fontId="11" numFmtId="0" xfId="0" applyAlignment="1" applyBorder="1" applyFont="1">
      <alignment horizontal="center" vertical="bottom"/>
    </xf>
    <xf borderId="22" fillId="0" fontId="11" numFmtId="0" xfId="0" applyAlignment="1" applyBorder="1" applyFont="1">
      <alignment horizontal="center" vertical="bottom"/>
    </xf>
    <xf borderId="22" fillId="0" fontId="11" numFmtId="0" xfId="0" applyAlignment="1" applyBorder="1" applyFont="1">
      <alignment horizontal="center" readingOrder="0" shrinkToFit="0" wrapText="1"/>
    </xf>
    <xf borderId="22" fillId="0" fontId="10" numFmtId="165" xfId="0" applyAlignment="1" applyBorder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center"/>
    </xf>
    <xf borderId="22" fillId="19" fontId="10" numFmtId="0" xfId="0" applyAlignment="1" applyBorder="1" applyFont="1">
      <alignment horizontal="center" readingOrder="0" vertical="center"/>
    </xf>
    <xf borderId="22" fillId="15" fontId="10" numFmtId="0" xfId="0" applyAlignment="1" applyBorder="1" applyFont="1">
      <alignment horizontal="center" readingOrder="0" shrinkToFit="0" vertical="center" wrapText="1"/>
    </xf>
    <xf borderId="30" fillId="12" fontId="10" numFmtId="0" xfId="0" applyAlignment="1" applyBorder="1" applyFont="1">
      <alignment horizontal="center" readingOrder="0" vertical="center"/>
    </xf>
    <xf borderId="22" fillId="22" fontId="10" numFmtId="0" xfId="0" applyAlignment="1" applyBorder="1" applyFont="1">
      <alignment horizontal="center" readingOrder="0" shrinkToFit="0" vertical="center" wrapText="1"/>
    </xf>
    <xf borderId="22" fillId="14" fontId="10" numFmtId="0" xfId="0" applyAlignment="1" applyBorder="1" applyFont="1">
      <alignment horizontal="center" readingOrder="0" shrinkToFit="0" vertical="center" wrapText="1"/>
    </xf>
    <xf borderId="31" fillId="0" fontId="25" numFmtId="0" xfId="0" applyAlignment="1" applyBorder="1" applyFont="1">
      <alignment horizontal="center" readingOrder="0" vertical="center"/>
    </xf>
    <xf borderId="32" fillId="0" fontId="26" numFmtId="0" xfId="0" applyAlignment="1" applyBorder="1" applyFont="1">
      <alignment horizontal="center" readingOrder="0" shrinkToFit="0" vertical="center" wrapText="1"/>
    </xf>
    <xf borderId="22" fillId="20" fontId="10" numFmtId="0" xfId="0" applyAlignment="1" applyBorder="1" applyFont="1">
      <alignment horizontal="center" readingOrder="0" shrinkToFit="0" vertical="center" wrapText="1"/>
    </xf>
    <xf borderId="22" fillId="7" fontId="10" numFmtId="0" xfId="0" applyAlignment="1" applyBorder="1" applyFont="1">
      <alignment horizontal="center" readingOrder="0" vertical="center"/>
    </xf>
    <xf borderId="33" fillId="11" fontId="10" numFmtId="0" xfId="0" applyAlignment="1" applyBorder="1" applyFont="1">
      <alignment horizontal="center" readingOrder="0" vertical="center"/>
    </xf>
    <xf borderId="30" fillId="10" fontId="10" numFmtId="0" xfId="0" applyAlignment="1" applyBorder="1" applyFont="1">
      <alignment horizontal="center" readingOrder="0" shrinkToFit="0" vertical="center" wrapText="1"/>
    </xf>
    <xf borderId="34" fillId="4" fontId="4" numFmtId="0" xfId="0" applyAlignment="1" applyBorder="1" applyFont="1">
      <alignment horizontal="center" readingOrder="0" vertical="center"/>
    </xf>
    <xf borderId="7" fillId="4" fontId="10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readingOrder="0" shrinkToFit="0" wrapText="1"/>
    </xf>
    <xf borderId="7" fillId="0" fontId="27" numFmtId="0" xfId="0" applyAlignment="1" applyBorder="1" applyFont="1">
      <alignment horizontal="center" readingOrder="0" shrinkToFit="0" vertical="center" wrapText="1"/>
    </xf>
    <xf borderId="27" fillId="7" fontId="13" numFmtId="0" xfId="0" applyAlignment="1" applyBorder="1" applyFont="1">
      <alignment readingOrder="0" vertical="center"/>
    </xf>
    <xf borderId="7" fillId="7" fontId="13" numFmtId="0" xfId="0" applyAlignment="1" applyBorder="1" applyFont="1">
      <alignment readingOrder="0" vertical="center"/>
    </xf>
    <xf borderId="7" fillId="7" fontId="10" numFmtId="0" xfId="0" applyAlignment="1" applyBorder="1" applyFont="1">
      <alignment horizontal="center" readingOrder="0" vertical="center"/>
    </xf>
    <xf borderId="33" fillId="10" fontId="10" numFmtId="0" xfId="0" applyAlignment="1" applyBorder="1" applyFont="1">
      <alignment horizontal="center" readingOrder="0" shrinkToFit="0" vertical="center" wrapText="1"/>
    </xf>
    <xf borderId="30" fillId="11" fontId="10" numFmtId="0" xfId="0" applyAlignment="1" applyBorder="1" applyFont="1">
      <alignment horizontal="center" readingOrder="0" vertical="center"/>
    </xf>
    <xf borderId="35" fillId="0" fontId="10" numFmtId="0" xfId="0" applyAlignment="1" applyBorder="1" applyFont="1">
      <alignment horizontal="center" readingOrder="0" vertical="center"/>
    </xf>
    <xf borderId="7" fillId="9" fontId="10" numFmtId="0" xfId="0" applyAlignment="1" applyBorder="1" applyFont="1">
      <alignment horizontal="center" readingOrder="0" vertical="center"/>
    </xf>
    <xf borderId="36" fillId="0" fontId="16" numFmtId="0" xfId="0" applyAlignment="1" applyBorder="1" applyFont="1">
      <alignment horizontal="center" readingOrder="0" vertical="bottom"/>
    </xf>
    <xf borderId="36" fillId="0" fontId="15" numFmtId="0" xfId="0" applyAlignment="1" applyBorder="1" applyFont="1">
      <alignment horizontal="center" readingOrder="0" shrinkToFit="0" vertical="bottom" wrapText="1"/>
    </xf>
    <xf borderId="0" fillId="0" fontId="15" numFmtId="0" xfId="0" applyFont="1"/>
    <xf borderId="0" fillId="0" fontId="16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shrinkToFit="0" vertical="bottom" wrapText="1"/>
    </xf>
    <xf borderId="37" fillId="0" fontId="10" numFmtId="0" xfId="0" applyAlignment="1" applyBorder="1" applyFont="1">
      <alignment horizontal="center" vertical="bottom"/>
    </xf>
    <xf borderId="36" fillId="4" fontId="10" numFmtId="0" xfId="0" applyAlignment="1" applyBorder="1" applyFont="1">
      <alignment horizontal="center" vertical="bottom"/>
    </xf>
    <xf borderId="36" fillId="0" fontId="10" numFmtId="0" xfId="0" applyAlignment="1" applyBorder="1" applyFont="1">
      <alignment horizontal="center" vertical="bottom"/>
    </xf>
    <xf borderId="36" fillId="0" fontId="11" numFmtId="165" xfId="0" applyAlignment="1" applyBorder="1" applyFont="1" applyNumberFormat="1">
      <alignment horizontal="center" readingOrder="0" shrinkToFit="0" wrapText="1"/>
    </xf>
    <xf borderId="38" fillId="0" fontId="11" numFmtId="165" xfId="0" applyAlignment="1" applyBorder="1" applyFont="1" applyNumberFormat="1">
      <alignment horizontal="center" readingOrder="0" shrinkToFit="0" wrapText="1"/>
    </xf>
    <xf borderId="36" fillId="0" fontId="11" numFmtId="0" xfId="0" applyAlignment="1" applyBorder="1" applyFont="1">
      <alignment horizontal="center" readingOrder="0" shrinkToFit="0" wrapText="1"/>
    </xf>
    <xf borderId="36" fillId="0" fontId="28" numFmtId="0" xfId="0" applyAlignment="1" applyBorder="1" applyFont="1">
      <alignment horizontal="center" readingOrder="0" shrinkToFit="0" vertical="center" wrapText="1"/>
    </xf>
    <xf borderId="36" fillId="7" fontId="13" numFmtId="0" xfId="0" applyAlignment="1" applyBorder="1" applyFont="1">
      <alignment readingOrder="0" vertical="center"/>
    </xf>
    <xf borderId="36" fillId="8" fontId="10" numFmtId="0" xfId="0" applyAlignment="1" applyBorder="1" applyFont="1">
      <alignment horizontal="center" readingOrder="0" vertical="center"/>
    </xf>
    <xf borderId="36" fillId="2" fontId="10" numFmtId="0" xfId="0" applyAlignment="1" applyBorder="1" applyFont="1">
      <alignment horizontal="center" readingOrder="0" vertical="center"/>
    </xf>
    <xf borderId="36" fillId="15" fontId="10" numFmtId="0" xfId="0" applyAlignment="1" applyBorder="1" applyFont="1">
      <alignment horizontal="center" readingOrder="0" shrinkToFit="0" vertical="center" wrapText="1"/>
    </xf>
    <xf borderId="36" fillId="12" fontId="10" numFmtId="0" xfId="0" applyAlignment="1" applyBorder="1" applyFont="1">
      <alignment horizontal="center" readingOrder="0" vertical="center"/>
    </xf>
    <xf borderId="36" fillId="7" fontId="10" numFmtId="0" xfId="0" applyAlignment="1" applyBorder="1" applyFont="1">
      <alignment horizontal="center" readingOrder="0" vertical="center"/>
    </xf>
    <xf borderId="36" fillId="10" fontId="10" numFmtId="0" xfId="0" applyAlignment="1" applyBorder="1" applyFont="1">
      <alignment horizontal="center" readingOrder="0" shrinkToFit="0" vertical="center" wrapText="1"/>
    </xf>
    <xf borderId="36" fillId="11" fontId="10" numFmtId="0" xfId="0" applyAlignment="1" applyBorder="1" applyFont="1">
      <alignment horizontal="center" readingOrder="0" vertical="center"/>
    </xf>
    <xf borderId="39" fillId="0" fontId="10" numFmtId="0" xfId="0" applyAlignment="1" applyBorder="1" applyFont="1">
      <alignment horizontal="center" readingOrder="0" vertical="center"/>
    </xf>
    <xf borderId="0" fillId="26" fontId="20" numFmtId="0" xfId="0" applyAlignment="1" applyFill="1" applyFont="1">
      <alignment horizontal="center" readingOrder="0"/>
    </xf>
    <xf borderId="0" fillId="0" fontId="29" numFmtId="0" xfId="0" applyFont="1"/>
    <xf borderId="0" fillId="0" fontId="20" numFmtId="165" xfId="0" applyAlignment="1" applyFont="1" applyNumberFormat="1">
      <alignment horizontal="center"/>
    </xf>
    <xf borderId="0" fillId="0" fontId="20" numFmtId="0" xfId="0" applyFont="1"/>
    <xf borderId="0" fillId="0" fontId="20" numFmtId="0" xfId="0" applyAlignment="1" applyFont="1">
      <alignment horizontal="center"/>
    </xf>
    <xf borderId="0" fillId="0" fontId="30" numFmtId="0" xfId="0" applyFont="1"/>
    <xf borderId="31" fillId="22" fontId="31" numFmtId="0" xfId="0" applyAlignment="1" applyBorder="1" applyFont="1">
      <alignment horizontal="left" readingOrder="0" shrinkToFit="0" wrapText="0"/>
    </xf>
    <xf borderId="31" fillId="27" fontId="8" numFmtId="0" xfId="0" applyAlignment="1" applyBorder="1" applyFill="1" applyFont="1">
      <alignment horizontal="left" readingOrder="0" shrinkToFit="0" wrapText="0"/>
    </xf>
    <xf borderId="31" fillId="0" fontId="32" numFmtId="0" xfId="0" applyAlignment="1" applyBorder="1" applyFont="1">
      <alignment horizontal="left" readingOrder="0" shrinkToFit="0" vertical="top" wrapText="0"/>
    </xf>
    <xf borderId="31" fillId="0" fontId="33" numFmtId="0" xfId="0" applyAlignment="1" applyBorder="1" applyFont="1">
      <alignment horizontal="left" readingOrder="0" shrinkToFit="0" vertical="top" wrapText="0"/>
    </xf>
    <xf borderId="31" fillId="0" fontId="33" numFmtId="0" xfId="0" applyAlignment="1" applyBorder="1" applyFont="1">
      <alignment horizontal="left" shrinkToFit="0" vertical="top" wrapText="0"/>
    </xf>
    <xf borderId="31" fillId="0" fontId="33" numFmtId="167" xfId="0" applyAlignment="1" applyBorder="1" applyFont="1" applyNumberFormat="1">
      <alignment horizontal="left" readingOrder="0" shrinkToFit="0" vertical="top" wrapText="0"/>
    </xf>
    <xf borderId="31" fillId="0" fontId="33" numFmtId="0" xfId="0" applyAlignment="1" applyBorder="1" applyFont="1">
      <alignment horizontal="left" shrinkToFit="0" vertical="top" wrapText="0"/>
    </xf>
    <xf borderId="31" fillId="0" fontId="34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8EA1BF"/>
          <bgColor rgb="FF8EA1B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  <dxf>
      <font/>
      <fill>
        <patternFill patternType="solid">
          <fgColor rgb="FFFFD28E"/>
          <bgColor rgb="FFFFD28E"/>
        </patternFill>
      </fill>
      <border/>
    </dxf>
    <dxf>
      <font/>
      <fill>
        <patternFill patternType="solid">
          <fgColor rgb="FFFBC2BD"/>
          <bgColor rgb="FFFBC2BD"/>
        </patternFill>
      </fill>
      <border/>
    </dxf>
    <dxf>
      <font/>
      <fill>
        <patternFill patternType="solid">
          <fgColor rgb="FFE6CFF2"/>
          <bgColor rgb="FFE6CFF2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8EA1BF"/>
          <bgColor rgb="FF8EA1BF"/>
        </patternFill>
      </fill>
      <border/>
    </dxf>
    <dxf>
      <font/>
      <fill>
        <patternFill patternType="solid">
          <fgColor rgb="FFBFE1F6"/>
          <bgColor rgb="FFBFE1F6"/>
        </patternFill>
      </fill>
      <border/>
    </dxf>
    <dxf>
      <font/>
      <fill>
        <patternFill patternType="solid">
          <fgColor rgb="FFBAE9CC"/>
          <bgColor rgb="FFBAE9CC"/>
        </patternFill>
      </fill>
      <border/>
    </dxf>
    <dxf>
      <font/>
      <fill>
        <patternFill patternType="solid">
          <fgColor rgb="FFE68181"/>
          <bgColor rgb="FFE68181"/>
        </patternFill>
      </fill>
      <border/>
    </dxf>
    <dxf>
      <font/>
      <fill>
        <patternFill patternType="solid">
          <fgColor rgb="FFD4EDBC"/>
          <bgColor rgb="FFD4EDBC"/>
        </patternFill>
      </fill>
      <border/>
    </dxf>
    <dxf>
      <font/>
      <fill>
        <patternFill patternType="solid">
          <fgColor rgb="FFBE88FA"/>
          <bgColor rgb="FFBE88FA"/>
        </patternFill>
      </fill>
      <border/>
    </dxf>
    <dxf>
      <font/>
      <fill>
        <patternFill patternType="solid">
          <fgColor rgb="FFEABDBD"/>
          <bgColor rgb="FFEABDB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0225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0</xdr:colOff>
      <xdr:row>0</xdr:row>
      <xdr:rowOff>0</xdr:rowOff>
    </xdr:from>
    <xdr:ext cx="847725" cy="838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Jq-PQ5TRXOL6cDaHVyf9g&amp;viewModel=detail&amp;moduleId=folders&amp;viewableGuid=0fa64b36-48f0-6c0e-2e31-d3e3e755ad50" TargetMode="External"/><Relationship Id="rId42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WanSXtdCQlaI8g-UzVJcTg&amp;viewModel=detail&amp;moduleId=folders" TargetMode="External"/><Relationship Id="rId41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WanSXtdCQlaI8g-UzVJcTg&amp;viewModel=detail&amp;moduleId=folders" TargetMode="External"/><Relationship Id="rId44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qVZX_VWRNScfvGG1u2bhw&amp;viewModel=detail&amp;moduleId=folders&amp;viewableGuid=aa07e712-96fd-1068-6d70-739c8b1ee16a" TargetMode="External"/><Relationship Id="rId43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qVZX_VWRNScfvGG1u2bhw&amp;viewModel=detail&amp;moduleId=folders&amp;viewableGuid=aa07e712-96fd-1068-6d70-739c8b1ee16a" TargetMode="External"/><Relationship Id="rId46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F9nqGxToR9GE6_M2ieDrYw&amp;viewModel=detail&amp;moduleId=folders" TargetMode="External"/><Relationship Id="rId45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F9nqGxToR9GE6_M2ieDrYw&amp;viewModel=detail&amp;moduleId=folders" TargetMode="External"/><Relationship Id="rId107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vnUbmdpUQHKHrgaqHqwUxA&amp;viewModel=detail&amp;moduleId=folders" TargetMode="External"/><Relationship Id="rId106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vujasY1fQDyCtj9k5sTTXA&amp;viewModel=detail&amp;moduleId=folders&amp;viewableGuid=e2b82ec4-a866-eb5d-0dfd-9c7e9d17f91e" TargetMode="External"/><Relationship Id="rId105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vujasY1fQDyCtj9k5sTTXA&amp;viewModel=detail&amp;moduleId=folders&amp;viewableGuid=e2b82ec4-a866-eb5d-0dfd-9c7e9d17f91e" TargetMode="External"/><Relationship Id="rId104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lAPKa1pDQaaiT1WLLQjp6A&amp;viewModel=detail&amp;moduleId=folders&amp;viewableGuid=10ad4a84-7f1d-e686-457c-e5f2cac2c0d2" TargetMode="External"/><Relationship Id="rId109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UWstoNgdRrme2VBgnfGLtA&amp;viewModel=detail&amp;moduleId=folders" TargetMode="External"/><Relationship Id="rId108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vnUbmdpUQHKHrgaqHqwUxA&amp;viewModel=detail&amp;moduleId=folders" TargetMode="External"/><Relationship Id="rId4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bUWaUEK7R6q6G2RcIJI1GQ&amp;viewModel=detail&amp;moduleId=folders" TargetMode="External"/><Relationship Id="rId4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bUWaUEK7R6q6G2RcIJI1GQ&amp;viewModel=detail&amp;moduleId=folders" TargetMode="External"/><Relationship Id="rId4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uE6CejTKTQGqPHWhhLgSgg&amp;viewModel=detail&amp;moduleId=folders" TargetMode="External"/><Relationship Id="rId103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dm.lineage%3AlAPKa1pDQaaiT1WLLQjp6A&amp;viewModel=detail&amp;moduleId=folders&amp;viewableGuid=10ad4a84-7f1d-e686-457c-e5f2cac2c0d2" TargetMode="External"/><Relationship Id="rId102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fs.file%3Avf.yyZaUWS3Q6CyMNjaaulFKQ%3Fversion%3D1&amp;viewModel=detail&amp;moduleId=folders" TargetMode="External"/><Relationship Id="rId101" Type="http://schemas.openxmlformats.org/officeDocument/2006/relationships/hyperlink" Target="https://acc.autodesk.com/docs/files/projects/1e597176-a716-43f8-be36-fdbb47ecdee5?folderUrn=urn%3Aadsk.wipprod%3Afs.folder%3Aco._e4NGP3nTAqnnsE7qGOKUQ&amp;entityId=urn%3Aadsk.wipprod%3Afs.file%3Avf.yyZaUWS3Q6CyMNjaaulFKQ%3Fversion%3D1&amp;viewModel=detail&amp;moduleId=folders" TargetMode="External"/><Relationship Id="rId10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ozVaFPd6R3a_eO3u_1_5kw&amp;viewModel=detail&amp;moduleId=folders" TargetMode="External"/><Relationship Id="rId31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KslZNVZHSEWpQ5NYj-BHzw&amp;viewModel=detail&amp;moduleId=folders&amp;viewableGuid=aa07e712-96fd-1068-6d70-739c8b1ee16a" TargetMode="External"/><Relationship Id="rId30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03_PmTnoTCuM0YYCZgDCmA&amp;viewModel=detail&amp;moduleId=folders&amp;viewableGuid=859a13d2-a8dc-46b0-08f6-4947e3393daa" TargetMode="External"/><Relationship Id="rId33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Grj_jt6QTOGqDQ-pyKt2g&amp;viewModel=detail&amp;moduleId=folders" TargetMode="External"/><Relationship Id="rId32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KslZNVZHSEWpQ5NYj-BHzw&amp;viewModel=detail&amp;moduleId=folders&amp;viewableGuid=aa07e712-96fd-1068-6d70-739c8b1ee16a" TargetMode="External"/><Relationship Id="rId35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hU7xGnddQvWNMK0VXSwiPQ&amp;viewModel=detail&amp;moduleId=folders" TargetMode="External"/><Relationship Id="rId34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Grj_jt6QTOGqDQ-pyKt2g&amp;viewModel=detail&amp;moduleId=folders" TargetMode="External"/><Relationship Id="rId3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BR0EksulRDm-J9CZGQRsRg&amp;viewModel=detail&amp;moduleId=folders&amp;viewableGuid=aa07e712-96fd-1068-6d70-739c8b1ee16a" TargetMode="External"/><Relationship Id="rId36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hU7xGnddQvWNMK0VXSwiPQ&amp;viewModel=detail&amp;moduleId=folders" TargetMode="External"/><Relationship Id="rId39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Jq-PQ5TRXOL6cDaHVyf9g&amp;viewModel=detail&amp;moduleId=folders&amp;viewableGuid=0fa64b36-48f0-6c0e-2e31-d3e3e755ad50" TargetMode="External"/><Relationship Id="rId3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BR0EksulRDm-J9CZGQRsRg&amp;viewModel=detail&amp;moduleId=folders&amp;viewableGuid=aa07e712-96fd-1068-6d70-739c8b1ee16a" TargetMode="External"/><Relationship Id="rId20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5QWAfd5ETpKc-YrSDiqbsA&amp;viewModel=detail&amp;moduleId=folders" TargetMode="External"/><Relationship Id="rId22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21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24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23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129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ZEpgXAOkTAuUcXt4fFai_w&amp;viewModel=detail&amp;moduleId=folders&amp;viewableGuid=aa07e712-96fd-1068-6d70-739c8b1ee16a" TargetMode="External"/><Relationship Id="rId12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12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126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YyDWoBHvQd2WN-cekF-aZw&amp;viewModel=detail&amp;moduleId=folders" TargetMode="External"/><Relationship Id="rId26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12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m1HYjkfETfSrYMF90HR5sQ&amp;viewModel=detail&amp;moduleId=folders" TargetMode="External"/><Relationship Id="rId25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_K4INpQuQjSEm8WO2_r6CA&amp;viewModel=detail&amp;moduleId=folders" TargetMode="External"/><Relationship Id="rId12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LwzcFHQnSTWa4hLDItv9Lg&amp;viewModel=detail&amp;moduleId=folders" TargetMode="External"/><Relationship Id="rId2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wKvIUVprTv2Rg1fTsTajxw&amp;viewModel=detail&amp;moduleId=folders&amp;viewableGuid=5c815c3c-3fde-74cb-621a-9ea7db87d4e4" TargetMode="External"/><Relationship Id="rId2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wKvIUVprTv2Rg1fTsTajxw&amp;viewModel=detail&amp;moduleId=folders&amp;viewableGuid=5c815c3c-3fde-74cb-621a-9ea7db87d4e4" TargetMode="External"/><Relationship Id="rId125" Type="http://schemas.openxmlformats.org/officeDocument/2006/relationships/hyperlink" Target="https://acc.autodesk.com/build/files/projects/1e597176-a716-43f8-be36-fdbb47ecdee5?folderUrn=urn:adsk.wipprod:fs.folder:co.Itzia5npTcCaCtKM9vy6zg&amp;entityId=urn:adsk.wipprod:dm.lineage:YyDWoBHvQd2WN-cekF-aZw&amp;viewModel=detail&amp;moduleId=folders" TargetMode="External"/><Relationship Id="rId29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03_PmTnoTCuM0YYCZgDCmA&amp;viewModel=detail&amp;moduleId=folders&amp;viewableGuid=859a13d2-a8dc-46b0-08f6-4947e3393daa" TargetMode="External"/><Relationship Id="rId124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74gD6nSkRaSj3HjIFRuotw&amp;viewModel=detail&amp;moduleId=folders" TargetMode="External"/><Relationship Id="rId123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74gD6nSkRaSj3HjIFRuotw&amp;viewModel=detail&amp;moduleId=folders" TargetMode="External"/><Relationship Id="rId12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m1HYjkfETfSrYMF90HR5sQ&amp;viewModel=detail&amp;moduleId=folders" TargetMode="External"/><Relationship Id="rId9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ZTKgopOmTFOEjJoU_rfoiw&amp;viewModel=detail&amp;moduleId=folders" TargetMode="External"/><Relationship Id="rId94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4l9t_DQQRZ6z6hxYsg0IGg&amp;viewModel=detail&amp;moduleId=folders" TargetMode="External"/><Relationship Id="rId97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MV5cfC1rS4ilX1d7M4cB0w&amp;viewModel=detail&amp;moduleId=folders&amp;viewableGuid=a0c6b2f6-c793-ecfb-41ba-682e04d67ac3" TargetMode="External"/><Relationship Id="rId9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ZTKgopOmTFOEjJoU_rfoiw&amp;viewModel=detail&amp;moduleId=folders" TargetMode="External"/><Relationship Id="rId11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e7m6tP3SSySkToLL1Fl41w&amp;viewModel=detail&amp;moduleId=folders" TargetMode="External"/><Relationship Id="rId9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ozVaFPd6R3a_eO3u_1_5kw&amp;viewModel=detail&amp;moduleId=folders" TargetMode="External"/><Relationship Id="rId1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S0DJKeRJRtSIFJTlQ9vnog&amp;viewModel=detail&amp;moduleId=folders&amp;viewableGuid=41d94e5b-7241-48da-8a20-2a2926a3e9b8" TargetMode="External"/><Relationship Id="rId98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MV5cfC1rS4ilX1d7M4cB0w&amp;viewModel=detail&amp;moduleId=folders&amp;viewableGuid=a0c6b2f6-c793-ecfb-41ba-682e04d67ac3" TargetMode="External"/><Relationship Id="rId13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9weVgxQaQHmMCCfIaPJe7w&amp;viewModel=detail&amp;moduleId=folders" TargetMode="External"/><Relationship Id="rId12" Type="http://schemas.openxmlformats.org/officeDocument/2006/relationships/hyperlink" Target="https://acc.autodesk.com/build/files/projects/1e597176-a716-43f8-be36-fdbb47ecdee5?folderUrn=urn:adsk.wipprod:fs.folder:co.FxNM7TmRQoCV0Idg7eQ7qQ&amp;entityId=urn:adsk.wipprod:dm.lineage:e7m6tP3SSySkToLL1Fl41w&amp;viewModel=detail&amp;moduleId=folders" TargetMode="External"/><Relationship Id="rId9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T5pYvFjGRaedXb1Vw6JoTg&amp;viewModel=detail&amp;moduleId=folders" TargetMode="External"/><Relationship Id="rId9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EcLp_VKzQou1x97toKnLnw&amp;viewModel=detail&amp;moduleId=folders" TargetMode="External"/><Relationship Id="rId93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4l9t_DQQRZ6z6hxYsg0IGg&amp;viewModel=detail&amp;moduleId=folders" TargetMode="External"/><Relationship Id="rId9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T5pYvFjGRaedXb1Vw6JoTg&amp;viewModel=detail&amp;moduleId=folders" TargetMode="External"/><Relationship Id="rId118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FtRmeWF7T_yjEuCmisFTSg&amp;viewModel=detail&amp;moduleId=folders" TargetMode="External"/><Relationship Id="rId117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FtRmeWF7T_yjEuCmisFTSg&amp;viewModel=detail&amp;moduleId=folders" TargetMode="External"/><Relationship Id="rId11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p-T00LySf6w0tL-QYGj6A&amp;viewModel=detail&amp;moduleId=folders" TargetMode="External"/><Relationship Id="rId11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p-T00LySf6w0tL-QYGj6A&amp;viewModel=detail&amp;moduleId=folders" TargetMode="External"/><Relationship Id="rId11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LwzcFHQnSTWa4hLDItv9Lg&amp;viewModel=detail&amp;moduleId=folders" TargetMode="External"/><Relationship Id="rId1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b8_VsSNPQeu6nsvaNKKLHg&amp;viewModel=detail&amp;moduleId=folders" TargetMode="External"/><Relationship Id="rId110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UWstoNgdRrme2VBgnfGLtA&amp;viewModel=detail&amp;moduleId=folders" TargetMode="External"/><Relationship Id="rId14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9weVgxQaQHmMCCfIaPJe7w&amp;viewModel=detail&amp;moduleId=folders" TargetMode="External"/><Relationship Id="rId1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iqn7pFHTcGF5xD0WMCbEA&amp;viewModel=detail&amp;moduleId=folders" TargetMode="External"/><Relationship Id="rId1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b8_VsSNPQeu6nsvaNKKLHg&amp;viewModel=detail&amp;moduleId=folders" TargetMode="External"/><Relationship Id="rId19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5QWAfd5ETpKc-YrSDiqbsA&amp;viewModel=detail&amp;moduleId=folders" TargetMode="External"/><Relationship Id="rId114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aEupkExLTim4BpeWtPmWYg&amp;viewModel=detail&amp;moduleId=folders" TargetMode="External"/><Relationship Id="rId1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Riqn7pFHTcGF5xD0WMCbEA&amp;viewModel=detail&amp;moduleId=folders" TargetMode="External"/><Relationship Id="rId113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aEupkExLTim4BpeWtPmWYg&amp;viewModel=detail&amp;moduleId=folders" TargetMode="External"/><Relationship Id="rId112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ZRWBwPZjR_WwUP8fZGOFbQ&amp;viewModel=detail&amp;moduleId=folders" TargetMode="External"/><Relationship Id="rId111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ZRWBwPZjR_WwUP8fZGOFbQ&amp;viewModel=detail&amp;moduleId=folders" TargetMode="External"/><Relationship Id="rId84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3Nx_UoVfR9SapbNMF7e6Cg&amp;viewModel=detail&amp;moduleId=folders" TargetMode="External"/><Relationship Id="rId83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3Nx_UoVfR9SapbNMF7e6Cg&amp;viewModel=detail&amp;moduleId=folders" TargetMode="External"/><Relationship Id="rId86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hf4VdC6KQnOok0vAF7unlQ&amp;viewModel=detail&amp;moduleId=folders" TargetMode="External"/><Relationship Id="rId85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hf4VdC6KQnOok0vAF7unlQ&amp;viewModel=detail&amp;moduleId=folders" TargetMode="External"/><Relationship Id="rId88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R7AU8hcsSfKp1anG8lhHrg&amp;viewModel=detail&amp;moduleId=folders&amp;viewableGuid=5798c334-27c1-fda9-676b-f47a3d4a9abc" TargetMode="External"/><Relationship Id="rId87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R7AU8hcsSfKp1anG8lhHrg&amp;viewModel=detail&amp;moduleId=folders&amp;viewableGuid=5798c334-27c1-fda9-676b-f47a3d4a9abc" TargetMode="External"/><Relationship Id="rId8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EcLp_VKzQou1x97toKnLnw&amp;viewModel=detail&amp;moduleId=folders" TargetMode="External"/><Relationship Id="rId8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cR17Y7COT2GVseB1mFPvrw&amp;viewModel=detail&amp;moduleId=folders" TargetMode="External"/><Relationship Id="rId82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Pq6sqIKXRhON0PxREvhadw&amp;viewModel=detail&amp;moduleId=folders" TargetMode="External"/><Relationship Id="rId81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Pq6sqIKXRhON0PxREvhadw&amp;viewModel=detail&amp;moduleId=folders" TargetMode="External"/><Relationship Id="rId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69pDim4aRvWD9dBFRJkp3w&amp;viewModel=detail&amp;moduleId=folders" TargetMode="External"/><Relationship Id="rId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69pDim4aRvWD9dBFRJkp3w&amp;viewModel=detail&amp;moduleId=folders" TargetMode="External"/><Relationship Id="rId3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1yEbPAER66MtyUOIJ__XA&amp;viewModel=detail&amp;moduleId=folders" TargetMode="External"/><Relationship Id="rId4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1yEbPAER66MtyUOIJ__XA&amp;viewModel=detail&amp;moduleId=folders" TargetMode="External"/><Relationship Id="rId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S0DJKeRJRtSIFJTlQ9vnog&amp;viewModel=detail&amp;moduleId=folders&amp;viewableGuid=41d94e5b-7241-48da-8a20-2a2926a3e9b8" TargetMode="External"/><Relationship Id="rId143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icjlg6rhSyCXPJyVDgVnmg&amp;viewModel=detail&amp;moduleId=folders" TargetMode="External"/><Relationship Id="rId142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V_nHphx9R96D0gxHQWFTug&amp;viewModel=detail&amp;moduleId=folders" TargetMode="External"/><Relationship Id="rId141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V_nHphx9R96D0gxHQWFTug&amp;viewModel=detail&amp;moduleId=folders" TargetMode="External"/><Relationship Id="rId140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_cuxCbxrRc2XNejz_tV1wg&amp;viewModel=detail&amp;moduleId=folders" TargetMode="External"/><Relationship Id="rId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2RU-d2ofSbSsYOVeMPYgog&amp;viewModel=detail&amp;moduleId=folders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2RU-d2ofSbSsYOVeMPYgog&amp;viewModel=detail&amp;moduleId=folders" TargetMode="External"/><Relationship Id="rId146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Byjj3RpeRuOdpGmTxIZ2yw&amp;viewModel=detail&amp;moduleId=folders" TargetMode="External"/><Relationship Id="rId7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fs.file%3Avf.cxEh2Vy3TNOMoRo47B8NFw%3Fversion%3D7&amp;viewModel=detail&amp;moduleId=folders&amp;viewableGuid=aa07e712-96fd-1068-6d70-739c8b1ee16a" TargetMode="External"/><Relationship Id="rId145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Byjj3RpeRuOdpGmTxIZ2yw&amp;viewModel=detail&amp;moduleId=folders" TargetMode="External"/><Relationship Id="rId8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fs.file%3Avf.cxEh2Vy3TNOMoRo47B8NFw%3Fversion%3D7&amp;viewModel=detail&amp;moduleId=folders&amp;viewableGuid=aa07e712-96fd-1068-6d70-739c8b1ee16a" TargetMode="External"/><Relationship Id="rId144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icjlg6rhSyCXPJyVDgVnmg&amp;viewModel=detail&amp;moduleId=folders" TargetMode="External"/><Relationship Id="rId73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qgcs4WYZRw6R2ha2YSOBWw&amp;viewModel=detail&amp;moduleId=folders&amp;viewableGuid=aa07e712-96fd-1068-6d70-739c8b1ee16a" TargetMode="External"/><Relationship Id="rId7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QONEU33US3mnbQsRUakqRA&amp;viewModel=detail&amp;moduleId=folders" TargetMode="External"/><Relationship Id="rId75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fCq5eSWWQf2OqaZsXLrWIw&amp;viewModel=detail&amp;moduleId=folders" TargetMode="External"/><Relationship Id="rId74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qgcs4WYZRw6R2ha2YSOBWw&amp;viewModel=detail&amp;moduleId=folders&amp;viewableGuid=aa07e712-96fd-1068-6d70-739c8b1ee16a" TargetMode="External"/><Relationship Id="rId77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-dnvR1-0R9OeB48kOyCUxA&amp;viewModel=detail&amp;moduleId=folders" TargetMode="External"/><Relationship Id="rId76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fCq5eSWWQf2OqaZsXLrWIw&amp;viewModel=detail&amp;moduleId=folders" TargetMode="External"/><Relationship Id="rId7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cR17Y7COT2GVseB1mFPvrw&amp;viewModel=detail&amp;moduleId=folders" TargetMode="External"/><Relationship Id="rId78" Type="http://schemas.openxmlformats.org/officeDocument/2006/relationships/hyperlink" Target="https://acc.autodesk.com/docs/files/projects/1e597176-a716-43f8-be36-fdbb47ecdee5?folderUrn=urn%3Aadsk.wipprod%3Afs.folder%3Aco.7NiVimFoQNGaJytOMwaTgQ&amp;entityId=urn%3Aadsk.wipprod%3Adm.lineage%3A-dnvR1-0R9OeB48kOyCUxA&amp;viewModel=detail&amp;moduleId=folders" TargetMode="External"/><Relationship Id="rId7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QONEU33US3mnbQsRUakqRA&amp;viewModel=detail&amp;moduleId=folders" TargetMode="External"/><Relationship Id="rId7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83pZOulhQVG-NDRlTJIkdw&amp;viewModel=detail&amp;moduleId=folders" TargetMode="External"/><Relationship Id="rId139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_cuxCbxrRc2XNejz_tV1wg&amp;viewModel=detail&amp;moduleId=folders" TargetMode="External"/><Relationship Id="rId138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ZyBaJ8tXQl-2rR-B30Qghw&amp;viewModel=detail&amp;moduleId=folders" TargetMode="External"/><Relationship Id="rId137" Type="http://schemas.openxmlformats.org/officeDocument/2006/relationships/hyperlink" Target="https://acc.autodesk.com/docs/files/projects/1e597176-a716-43f8-be36-fdbb47ecdee5?folderUrn=urn%3Aadsk.wipprod%3Afs.folder%3Aco.3hoTHM-8TmiCBb87zdnAhg&amp;entityId=urn%3Aadsk.wipprod%3Adm.lineage%3AZyBaJ8tXQl-2rR-B30Qghw&amp;viewModel=detail&amp;moduleId=folders" TargetMode="External"/><Relationship Id="rId13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gMZANgCnQPOwhcvtMPi6Kg&amp;viewModel=detail&amp;moduleId=folders" TargetMode="External"/><Relationship Id="rId13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gMZANgCnQPOwhcvtMPi6Kg&amp;viewModel=detail&amp;moduleId=folders" TargetMode="External"/><Relationship Id="rId130" Type="http://schemas.openxmlformats.org/officeDocument/2006/relationships/hyperlink" Target="https://acc.autodesk.com/docs/files/projects/1e597176-a716-43f8-be36-fdbb47ecdee5?folderUrn=urn%3Aadsk.wipprod%3Afs.folder%3Aco.Itzia5npTcCaCtKM9vy6zg&amp;entityId=urn%3Aadsk.wipprod%3Adm.lineage%3AZEpgXAOkTAuUcXt4fFai_w&amp;viewModel=detail&amp;moduleId=folders&amp;viewableGuid=aa07e712-96fd-1068-6d70-739c8b1ee16a" TargetMode="External"/><Relationship Id="rId136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CT41qfpMQj-ciasMs6u-rQ&amp;viewModel=detail&amp;moduleId=folders" TargetMode="External"/><Relationship Id="rId135" Type="http://schemas.openxmlformats.org/officeDocument/2006/relationships/hyperlink" Target="https://acc.autodesk.com/docs/files/projects/1e597176-a716-43f8-be36-fdbb47ecdee5?folderUrn=urn%3Aadsk.wipprod%3Afs.folder%3Aco.bz21ao8BRRyrw6m_EIgMPw&amp;entityId=urn%3Aadsk.wipprod%3Adm.lineage%3ACT41qfpMQj-ciasMs6u-rQ&amp;viewModel=detail&amp;moduleId=folders" TargetMode="External"/><Relationship Id="rId134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jwjmY-i1RBCC5RiIJ1qNDA&amp;viewModel=detail&amp;moduleId=folders" TargetMode="External"/><Relationship Id="rId133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jwjmY-i1RBCC5RiIJ1qNDA&amp;viewModel=detail&amp;moduleId=folders" TargetMode="External"/><Relationship Id="rId62" Type="http://schemas.openxmlformats.org/officeDocument/2006/relationships/hyperlink" Target="https://acc.autodesk.com/docs/files/projects/1e597176-a716-43f8-be36-fdbb47ecdee5?folderUrn=urn%3Aadsk.wipprod%3Afs.folder%3Aco.M8BwkpPFTwm0h2gRoHD-sQ&amp;viewModel=detail&amp;moduleId=folders" TargetMode="External"/><Relationship Id="rId61" Type="http://schemas.openxmlformats.org/officeDocument/2006/relationships/hyperlink" Target="https://acc.autodesk.com/docs/files/projects/1e597176-a716-43f8-be36-fdbb47ecdee5?folderUrn=urn%3Aadsk.wipprod%3Afs.folder%3Aco.M8BwkpPFTwm0h2gRoHD-sQ&amp;viewModel=detail&amp;moduleId=folders" TargetMode="External"/><Relationship Id="rId64" Type="http://schemas.openxmlformats.org/officeDocument/2006/relationships/hyperlink" Target="https://acc.autodesk.com/docs/files/projects/1e597176-a716-43f8-be36-fdbb47ecdee5?folderUrn=urn%3Aadsk.wipprod%3Afs.folder%3Aco.M8BwkpPFTwm0h2gRoHD-sQ&amp;entityId=urn%3Aadsk.wipprod%3Adm.lineage%3AamLhyfY0SjuQXlfOt_eryg&amp;viewModel=detail&amp;moduleId=folders&amp;viewableGuid=aa07e712-96fd-1068-6d70-739c8b1ee16a" TargetMode="External"/><Relationship Id="rId63" Type="http://schemas.openxmlformats.org/officeDocument/2006/relationships/hyperlink" Target="https://acc.autodesk.com/docs/files/projects/1e597176-a716-43f8-be36-fdbb47ecdee5?folderUrn=urn%3Aadsk.wipprod%3Afs.folder%3Aco.M8BwkpPFTwm0h2gRoHD-sQ&amp;entityId=urn%3Aadsk.wipprod%3Adm.lineage%3AamLhyfY0SjuQXlfOt_eryg&amp;viewModel=detail&amp;moduleId=folders&amp;viewableGuid=aa07e712-96fd-1068-6d70-739c8b1ee16a" TargetMode="External"/><Relationship Id="rId6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IN_ms85uSG6qJ5kCNUXMdA&amp;viewModel=detail&amp;moduleId=folders&amp;viewableGuid=41d94e5b-7241-48da-8a20-2a2926a3e9b8" TargetMode="External"/><Relationship Id="rId6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IN_ms85uSG6qJ5kCNUXMdA&amp;viewModel=detail&amp;moduleId=folders&amp;viewableGuid=41d94e5b-7241-48da-8a20-2a2926a3e9b8" TargetMode="External"/><Relationship Id="rId68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Wdp5BUrxTM2QOm1nWv8tYA&amp;viewModel=detail&amp;moduleId=folders&amp;viewableGuid=dc906adf-a1fc-a142-9adb-264777a51896" TargetMode="External"/><Relationship Id="rId67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Wdp5BUrxTM2QOm1nWv8tYA&amp;viewModel=detail&amp;moduleId=folders&amp;viewableGuid=dc906adf-a1fc-a142-9adb-264777a51896" TargetMode="External"/><Relationship Id="rId60" Type="http://schemas.openxmlformats.org/officeDocument/2006/relationships/hyperlink" Target="https://acc.autodesk.com/docs/files/projects/1e597176-a716-43f8-be36-fdbb47ecdee5?folderUrn=urn%3Aadsk.wipprod%3Afs.folder%3Aco.M8BwkpPFTwm0h2gRoHD-sQ&amp;viewModel=detail&amp;moduleId=folders" TargetMode="External"/><Relationship Id="rId69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83pZOulhQVG-NDRlTJIkdw&amp;viewModel=detail&amp;moduleId=folders" TargetMode="External"/><Relationship Id="rId51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EmJEWLPTkaQeQeEql0N8A&amp;viewModel=detail&amp;moduleId=folders" TargetMode="External"/><Relationship Id="rId50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uE6CejTKTQGqPHWhhLgSgg&amp;viewModel=detail&amp;moduleId=folders" TargetMode="External"/><Relationship Id="rId53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5ZPXg947TZSo71_SblyOAA&amp;viewModel=detail&amp;moduleId=folders" TargetMode="External"/><Relationship Id="rId52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NEmJEWLPTkaQeQeEql0N8A&amp;viewModel=detail&amp;moduleId=folders" TargetMode="External"/><Relationship Id="rId55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fs.file%3Avf.SfCujn22TduduntALZyfLg%3Fversion%3D17&amp;viewModel=detail&amp;moduleId=folders" TargetMode="External"/><Relationship Id="rId54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dm.lineage%3A5ZPXg947TZSo71_SblyOAA&amp;viewModel=detail&amp;moduleId=folders" TargetMode="External"/><Relationship Id="rId57" Type="http://schemas.openxmlformats.org/officeDocument/2006/relationships/hyperlink" Target="https://acc.autodesk.com/docs/files/projects/1e597176-a716-43f8-be36-fdbb47ecdee5?folderUrn=urn%3Aadsk.wipprod%3Afs.folder%3Aco.M8BwkpPFTwm0h2gRoHD-sQ&amp;entityId=urn%3Aadsk.wipprod%3Adm.lineage%3AQxSznMmGRniPM-6boQRqag&amp;viewModel=detail&amp;moduleId=folders&amp;viewableGuid=a8edef81-a01e-9fdc-2a55-bf6407a013b9" TargetMode="External"/><Relationship Id="rId56" Type="http://schemas.openxmlformats.org/officeDocument/2006/relationships/hyperlink" Target="https://acc.autodesk.com/docs/files/projects/1e597176-a716-43f8-be36-fdbb47ecdee5?folderUrn=urn%3Aadsk.wipprod%3Afs.folder%3Aco.FxNM7TmRQoCV0Idg7eQ7qQ&amp;entityId=urn%3Aadsk.wipprod%3Afs.file%3Avf.SfCujn22TduduntALZyfLg%3Fversion%3D17&amp;viewModel=detail&amp;moduleId=folders" TargetMode="External"/><Relationship Id="rId59" Type="http://schemas.openxmlformats.org/officeDocument/2006/relationships/hyperlink" Target="https://acc.autodesk.com/docs/files/projects/1e597176-a716-43f8-be36-fdbb47ecdee5?folderUrn=urn%3Aadsk.wipprod%3Afs.folder%3Aco.M8BwkpPFTwm0h2gRoHD-sQ&amp;viewModel=detail&amp;moduleId=folders" TargetMode="External"/><Relationship Id="rId58" Type="http://schemas.openxmlformats.org/officeDocument/2006/relationships/hyperlink" Target="https://acc.autodesk.com/docs/files/projects/1e597176-a716-43f8-be36-fdbb47ecdee5?folderUrn=urn%3Aadsk.wipprod%3Afs.folder%3Aco.M8BwkpPFTwm0h2gRoHD-sQ&amp;entityId=urn%3Aadsk.wipprod%3Adm.lineage%3AQxSznMmGRniPM-6boQRqag&amp;viewModel=detail&amp;moduleId=folders&amp;viewableGuid=a8edef81-a01e-9fdc-2a55-bf6407a013b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XtpfYcfvQ2q9pUwtdubPMg&amp;viewModel=detail&amp;moduleId=folders" TargetMode="External"/><Relationship Id="rId19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O63UVX4eT3ycozNTanYLWQ&amp;viewModel=detail&amp;moduleId=folders" TargetMode="External"/><Relationship Id="rId4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tAylGYeMT7aosaM4Jxza6g&amp;viewModel=detail&amp;moduleId=folders" TargetMode="External"/><Relationship Id="rId4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4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0t1L6b_yRpS-t4r6kKq4pg&amp;viewModel=detail&amp;moduleId=folders" TargetMode="External"/><Relationship Id="rId19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dPnKI-J2Q5CFmk0xz8n62A&amp;viewModel=detail&amp;moduleId=folders" TargetMode="External"/><Relationship Id="rId4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9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RFNNWWtSQ1-5mtLSpSjjdQ&amp;viewModel=detail&amp;moduleId=folders" TargetMode="External"/><Relationship Id="rId19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PpImKsL1SIK5Gj3SLgXgiQ&amp;viewModel=detail&amp;moduleId=folders" TargetMode="External"/><Relationship Id="rId4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9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opkC-KuuSFyCL7D_TZN7WQ&amp;viewModel=detail&amp;moduleId=folders" TargetMode="External"/><Relationship Id="rId18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8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VzsaoQGNTq6LW-cmAm6jnw&amp;viewModel=detail&amp;moduleId=folders" TargetMode="External"/><Relationship Id="rId18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4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8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MRCETzIqRE-Ybl-PN8xhjA&amp;viewModel=detail&amp;moduleId=folders" TargetMode="External"/><Relationship Id="rId18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8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5FQbudrNRnqb6ANt1bGhFA&amp;viewModel=detail&amp;moduleId=folders" TargetMode="External"/><Relationship Id="rId3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3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jUnRq2qhTWqCnvjq9JdVHQ&amp;viewModel=detail&amp;moduleId=folders" TargetMode="External"/><Relationship Id="rId3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VmLJUMXaTjuczONKZomNpA&amp;viewModel=detail&amp;moduleId=folders" TargetMode="External"/><Relationship Id="rId18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JBG-_sc0SEq0MOblCCvhdA&amp;viewModel=detail&amp;moduleId=folders" TargetMode="External"/><Relationship Id="rId3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LahxRejeQPGGFU96FPO9FQ&amp;viewModel=detail&amp;moduleId=folders" TargetMode="External"/><Relationship Id="rId18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vxkPhCUNRsGlNsAsKQs0JA&amp;viewModel=detail&amp;moduleId=folders" TargetMode="External"/><Relationship Id="rId3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7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ThTmsyS-Q-yM5OONxA-LLg&amp;viewModel=detail&amp;moduleId=folders" TargetMode="External"/><Relationship Id="rId3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w80VieTjS7WsPbcPH8Riqw&amp;viewModel=detail&amp;moduleId=folders" TargetMode="External"/><Relationship Id="rId17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3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7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Gj9Twt3ORp2vP7LSO3iqCw&amp;viewModel=detail&amp;moduleId=folders" TargetMode="External"/><Relationship Id="rId3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VglsQj7rTNKYvkvvXPeiIg&amp;viewModel=detail&amp;moduleId=folders" TargetMode="External"/><Relationship Id="rId17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NYQ2g8ETf270SZucrdOwQ&amp;viewModel=detail&amp;moduleId=folders" TargetMode="External"/><Relationship Id="rId17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H-slY2BjQJu3XQM2QOyh2w&amp;viewModel=detail&amp;moduleId=folders" TargetMode="External"/><Relationship Id="rId2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a5OopMI2RiCMbQc4KHjWvw&amp;viewModel=detail&amp;moduleId=folders" TargetMode="External"/><Relationship Id="rId2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W13X_Q7hT0KZX9KEoK-XuA&amp;viewModel=detail&amp;moduleId=folders" TargetMode="External"/><Relationship Id="rId2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7HtFpoLUSka7iY0KCStDEA&amp;viewModel=detail&amp;moduleId=folders" TargetMode="External"/><Relationship Id="rId2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HSPnZkDsRDeDpQP83r1-gA&amp;viewModel=detail&amp;moduleId=folders" TargetMode="External"/><Relationship Id="rId2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0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Mz8ZtHQNQKuvfz3Nztr6Iw&amp;viewModel=detail&amp;moduleId=folders" TargetMode="External"/><Relationship Id="rId1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oFTjdiAqT16XhSU0YRjgUA&amp;viewModel=detail&amp;moduleId=folders" TargetMode="External"/><Relationship Id="rId1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9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RTpKFtCKS_S1HCO3aUz7zw&amp;viewModel=detail&amp;moduleId=folders" TargetMode="External"/><Relationship Id="rId1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3GP61XhUS4as-WZixBoOhw&amp;viewModel=detail&amp;moduleId=folders" TargetMode="External"/><Relationship Id="rId19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9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nZ6wz4CgQnSygRo-pebi_Q&amp;viewModel=detail&amp;moduleId=folders" TargetMode="External"/><Relationship Id="rId1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bTTdRgv4T4OHoOutEMXsxw&amp;viewModel=detail&amp;moduleId=folders" TargetMode="External"/><Relationship Id="rId19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pf8sz-vcRMmI8MBRqPajzg&amp;viewModel=detail&amp;moduleId=folders" TargetMode="External"/><Relationship Id="rId19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84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UMK5wVIlQHGKfwUmZ5PXwQ&amp;viewModel=detail&amp;moduleId=folders" TargetMode="External"/><Relationship Id="rId83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86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iaNqHzakTPm7D-4sRqBqyg&amp;viewModel=detail&amp;moduleId=folders" TargetMode="External"/><Relationship Id="rId85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88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nT2sd-T3S2-fLUypI6FCSQ&amp;viewModel=detail&amp;moduleId=folders" TargetMode="External"/><Relationship Id="rId15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qAynN9NkQ5i4q9rD2AeJRw&amp;viewModel=detail&amp;moduleId=folders" TargetMode="External"/><Relationship Id="rId271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87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270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X8yZMRYQqSCSxu2IkvFDA&amp;viewModel=detail&amp;moduleId=folders" TargetMode="External"/><Relationship Id="rId89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80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bzLd2_x-QlKAkTU33Wcd8Q&amp;viewModel=detail&amp;moduleId=folders" TargetMode="External"/><Relationship Id="rId82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9z8Gs1k3S0incbnGJh1ccw&amp;viewModel=detail&amp;moduleId=folders" TargetMode="External"/><Relationship Id="rId81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1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2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dEKrkxYgQtKLK51l7JV6Vw&amp;viewModel=detail&amp;moduleId=folders" TargetMode="External"/><Relationship Id="rId3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4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U89GSpqlTi2oObYYmVnJgA&amp;viewModel=detail&amp;moduleId=folders" TargetMode="External"/><Relationship Id="rId14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SpyrSBWgSgi5eDnYCnbouQ&amp;viewModel=detail&amp;moduleId=folders" TargetMode="External"/><Relationship Id="rId269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9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4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XIwyGTShTzSCcKEuWaOVyw&amp;viewModel=detail&amp;moduleId=folders" TargetMode="External"/><Relationship Id="rId14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6hMvYcHBSfeDtPlwG7VJJQ&amp;viewModel=detail&amp;moduleId=folders" TargetMode="External"/><Relationship Id="rId263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4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2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KrIxkdQcS4mm2SlQPCRVcw&amp;viewModel=detail&amp;moduleId=folders" TargetMode="External"/><Relationship Id="rId14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r6l5NOfBTtiaZMhRQQ2Jdg&amp;viewModel=detail&amp;moduleId=folders" TargetMode="External"/><Relationship Id="rId261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5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8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xIT6sVbQku57Di0y1vj6w&amp;viewModel=detail&amp;moduleId=folders" TargetMode="External"/><Relationship Id="rId6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D19iU1rySQ-8My6g0r4GUQ&amp;viewModel=detail&amp;moduleId=folders" TargetMode="External"/><Relationship Id="rId14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JkeZ29PKRoaQyFJ_y2tcyQ&amp;viewModel=detail&amp;moduleId=folders" TargetMode="External"/><Relationship Id="rId267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7" Type="http://schemas.openxmlformats.org/officeDocument/2006/relationships/hyperlink" Target="https://acc.autodesk.com/docs/files/projects/1e597176-a716-43f8-be36-fdbb47ecdee5?folderUrn=urn:adsk.wipprod:fs.folder:co.x-LIQUseT7GKIeVcLN2hJw" TargetMode="External"/><Relationship Id="rId14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66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CugNBAlHQXG50sdeqQXBcQ&amp;viewModel=detail&amp;moduleId=folders" TargetMode="External"/><Relationship Id="rId8" Type="http://schemas.openxmlformats.org/officeDocument/2006/relationships/hyperlink" Target="https://acc.autodesk.com/docs/files/projects/1e597176-a716-43f8-be36-fdbb47ecdee5?folderUrn=urn:adsk.wipprod:fs.folder:co.x-LIQUseT7GKIeVcLN2hJw&amp;entityId=urn:adsk.wipprod:dm.lineage:6MHn-qyLQbOCP9j1vAvLAg&amp;viewModel=detail&amp;moduleId=folders" TargetMode="External"/><Relationship Id="rId14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QoWUzB7DTLSWW9KOtwHRKA&amp;viewModel=detail&amp;moduleId=folders" TargetMode="External"/><Relationship Id="rId265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73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2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7_LoN08YSGenp6huLt-p6Q&amp;viewModel=detail&amp;moduleId=folders" TargetMode="External"/><Relationship Id="rId75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4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z8RNRZlLQl2cV0vYhIlUUg&amp;viewModel=detail&amp;moduleId=folders" TargetMode="External"/><Relationship Id="rId77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260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vuSMdqxBQOS7zDSDZXfnmA&amp;viewModel=detail&amp;moduleId=folders" TargetMode="External"/><Relationship Id="rId76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J94wfGeFSjiggVdlBi1AtQ&amp;viewModel=detail&amp;moduleId=folders" TargetMode="External"/><Relationship Id="rId79" Type="http://schemas.openxmlformats.org/officeDocument/2006/relationships/hyperlink" Target="https://acc.autodesk.com/docs/files/projects/1e597176-a716-43f8-be36-fdbb47ecdee5?folderUrn=urn:adsk.wipprod:fs.folder:co.oWsagAilStq0wo4hThaDsw" TargetMode="External"/><Relationship Id="rId78" Type="http://schemas.openxmlformats.org/officeDocument/2006/relationships/hyperlink" Target="https://acc.autodesk.com/docs/files/projects/1e597176-a716-43f8-be36-fdbb47ecdee5?folderUrn=urn:adsk.wipprod:fs.folder:co.oWsagAilStq0wo4hThaDsw&amp;entityId=urn:adsk.wipprod:dm.lineage:U66oo3fhQBeaH-q0oazuww&amp;viewModel=detail&amp;moduleId=folders" TargetMode="External"/><Relationship Id="rId71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70" Type="http://schemas.openxmlformats.org/officeDocument/2006/relationships/hyperlink" Target="https://acc.autodesk.com/docs/files/projects/1e597176-a716-43f8-be36-fdbb47ecdee5?folderUrn=urn:adsk.wipprod:fs.folder:co.mbcFb3jpSt2paO6NfxsIwg&amp;entityId=urn:adsk.wipprod:dm.lineage:5_Ls1sLNT5u9wFO6ImhGIg&amp;viewModel=detail&amp;moduleId=folders" TargetMode="External"/><Relationship Id="rId13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3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9afx8OW4SRKpeKhAiICnqQ&amp;viewModel=detail&amp;moduleId=folders" TargetMode="External"/><Relationship Id="rId259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8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gf-goe6vRvyjgcg6jv5FOw&amp;viewModel=detail&amp;moduleId=folders" TargetMode="External"/><Relationship Id="rId13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KPytN09T8OQyGQQFz-UvA&amp;viewModel=detail&amp;moduleId=folders" TargetMode="External"/><Relationship Id="rId253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2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BwmEKuVDSjquD4-Dg7kRvA&amp;viewModel=detail&amp;moduleId=folders" TargetMode="External"/><Relationship Id="rId13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XIwpKLWSNOUyq-jjldNkQ&amp;viewModel=detail&amp;moduleId=folders" TargetMode="External"/><Relationship Id="rId251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250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0YjuJhinRBme3c77uKsGQg&amp;viewModel=detail&amp;moduleId=folders" TargetMode="External"/><Relationship Id="rId13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U8cBJ2O-T42xywq17eou2Q&amp;viewModel=detail&amp;moduleId=folders" TargetMode="External"/><Relationship Id="rId257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6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UqvpoGjITnKnSa-oNO8-JQ&amp;viewModel=detail&amp;moduleId=folders" TargetMode="External"/><Relationship Id="rId13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KLGRnD8UTZ2kWT73b7Rw5w&amp;viewModel=detail&amp;moduleId=folders" TargetMode="External"/><Relationship Id="rId255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3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54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ZZMC0ItXQmGutBjMhMrjuQ&amp;viewModel=detail&amp;moduleId=folders" TargetMode="External"/><Relationship Id="rId6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991UlEFKQgqsVhQ6RoNbkQ&amp;viewModel=detail&amp;moduleId=folders" TargetMode="External"/><Relationship Id="rId6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6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CZSqILePREmAOxS89x6AYw&amp;viewModel=detail&amp;moduleId=folders" TargetMode="External"/><Relationship Id="rId6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6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q_A7T2_ESXmn4fV2MINq9w&amp;viewModel=detail&amp;moduleId=folders" TargetMode="External"/><Relationship Id="rId17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6PEi1SYyRpablm-1xVVHZQ&amp;viewModel=detail&amp;moduleId=folders" TargetMode="External"/><Relationship Id="rId6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7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6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TGIKKK-5Sr6Ub8J9bsvMEw&amp;viewModel=detail&amp;moduleId=folders" TargetMode="External"/><Relationship Id="rId17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Rj8k2qCDTyeygXs1wEEJig&amp;viewModel=detail&amp;moduleId=folders" TargetMode="External"/><Relationship Id="rId291" Type="http://schemas.openxmlformats.org/officeDocument/2006/relationships/drawing" Target="../drawings/drawing3.xml"/><Relationship Id="rId6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290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sPNkeeUgR-2oZK3VfZAyVg&amp;viewModel=detail&amp;moduleId=folders" TargetMode="External"/><Relationship Id="rId6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UspG8TLXQVyImfIAnMrJtQ&amp;viewModel=detail&amp;moduleId=folders" TargetMode="External"/><Relationship Id="rId16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6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sWHtp09gQSOX7YEB6SDTow&amp;viewModel=detail&amp;moduleId=folders" TargetMode="External"/><Relationship Id="rId69" Type="http://schemas.openxmlformats.org/officeDocument/2006/relationships/hyperlink" Target="https://acc.autodesk.com/docs/files/projects/1e597176-a716-43f8-be36-fdbb47ecdee5?folderUrn=urn:adsk.wipprod:fs.folder:co.mbcFb3jpSt2paO6NfxsIwg" TargetMode="External"/><Relationship Id="rId16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exI8Ud6S7i3TFEEhxYVTw&amp;viewModel=detail&amp;moduleId=folders" TargetMode="External"/><Relationship Id="rId285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4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cXryBjXFRHK2WTPRzQRe_Q&amp;viewModel=detail&amp;moduleId=folders" TargetMode="External"/><Relationship Id="rId16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_QGNC3vHT6yGKge_2tvKVA&amp;viewModel=detail&amp;moduleId=folders" TargetMode="External"/><Relationship Id="rId283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6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TQOj4SmeRuu26j5-IknJTw&amp;viewModel=detail&amp;moduleId=folders" TargetMode="External"/><Relationship Id="rId289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6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8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hLhp9avAQ4mdlS3ZKY2a9w&amp;viewModel=detail&amp;moduleId=folders" TargetMode="External"/><Relationship Id="rId16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YwKTj3ZtRnmh89c3O8kzLw&amp;viewModel=detail&amp;moduleId=folders" TargetMode="External"/><Relationship Id="rId287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51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50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rzS9WeBDSdaDZAA-sNi6lg&amp;viewModel=detail&amp;moduleId=folders" TargetMode="External"/><Relationship Id="rId53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52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sPQpEwVRRbS4OZ2PcOiO1g&amp;viewModel=detail&amp;moduleId=folders" TargetMode="External"/><Relationship Id="rId55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6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82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hU7tttJjSxOgyWFiBLw3aA&amp;viewModel=detail&amp;moduleId=folders" TargetMode="External"/><Relationship Id="rId54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b_a70xNcShK7XbvABTJSiQ&amp;viewModel=detail&amp;moduleId=folders" TargetMode="External"/><Relationship Id="rId16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xtWy0cgaT6ydXqrspBPRLQ&amp;viewModel=detail&amp;moduleId=folders" TargetMode="External"/><Relationship Id="rId281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57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280" Type="http://schemas.openxmlformats.org/officeDocument/2006/relationships/hyperlink" Target="https://acc.autodesk.com/docs/files/projects/1e597176-a716-43f8-be36-fdbb47ecdee5?folderUrn=urn:adsk.wipprod:fs.folder:co.SJ1pF7iTTXCszwGtIaqqzA&amp;entityId=urn:adsk.wipprod:dm.lineage:ZmEj3_HvSYWEGNwPB7s_rw&amp;viewModel=detail&amp;moduleId=folders" TargetMode="External"/><Relationship Id="rId56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l7cQd4QoQg-HHzGJGV3tLw&amp;viewModel=detail&amp;moduleId=folders" TargetMode="External"/><Relationship Id="rId15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59" Type="http://schemas.openxmlformats.org/officeDocument/2006/relationships/hyperlink" Target="https://acc.autodesk.com/docs/files/projects/1e597176-a716-43f8-be36-fdbb47ecdee5?folderUrn=urn:adsk.wipprod:fs.folder:co.wiFGaDltR6KuAtlKIhTMqw" TargetMode="External"/><Relationship Id="rId15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2hsM-SkSQhCdCNrS_8vGwA&amp;viewModel=detail&amp;moduleId=folders" TargetMode="External"/><Relationship Id="rId275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58" Type="http://schemas.openxmlformats.org/officeDocument/2006/relationships/hyperlink" Target="https://acc.autodesk.com/docs/files/projects/1e597176-a716-43f8-be36-fdbb47ecdee5?folderUrn=urn:adsk.wipprod:fs.folder:co.wiFGaDltR6KuAtlKIhTMqw&amp;entityId=urn:adsk.wipprod:dm.lineage:J48SvwMsSjS9MRHv8s4WDw&amp;viewModel=detail&amp;moduleId=folders" TargetMode="External"/><Relationship Id="rId15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4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y0thA9DOTH-iJrJN3RAczw&amp;viewModel=detail&amp;moduleId=folders" TargetMode="External"/><Relationship Id="rId15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a2enjRYWRPmfFSSt4qDuwQ&amp;viewModel=detail&amp;moduleId=folders" TargetMode="External"/><Relationship Id="rId273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15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2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O9EwDomXSpGci7iq8A-xmQ&amp;viewModel=detail&amp;moduleId=folders" TargetMode="External"/><Relationship Id="rId15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SVQT3-wR8e-tS0OfVrXNQ&amp;viewModel=detail&amp;moduleId=folders" TargetMode="External"/><Relationship Id="rId279" Type="http://schemas.openxmlformats.org/officeDocument/2006/relationships/hyperlink" Target="https://acc.autodesk.com/docs/files/projects/1e597176-a716-43f8-be36-fdbb47ecdee5?folderUrn=urn:adsk.wipprod:fs.folder:co.SJ1pF7iTTXCszwGtIaqqzA" TargetMode="External"/><Relationship Id="rId15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8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m7x4IrtcSqGwf2uhji1fYA&amp;viewModel=detail&amp;moduleId=folders" TargetMode="External"/><Relationship Id="rId15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9cdazHpeRlWU75qcAh8E1Q&amp;viewModel=detail&amp;moduleId=folders" TargetMode="External"/><Relationship Id="rId277" Type="http://schemas.openxmlformats.org/officeDocument/2006/relationships/hyperlink" Target="https://acc.autodesk.com/docs/files/projects/1e597176-a716-43f8-be36-fdbb47ecdee5?folderUrn=urn:adsk.wipprod:fs.folder:co.QLkOGekBQd-Z3DKL7vJ7rA" TargetMode="External"/><Relationship Id="rId15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76" Type="http://schemas.openxmlformats.org/officeDocument/2006/relationships/hyperlink" Target="https://acc.autodesk.com/docs/files/projects/1e597176-a716-43f8-be36-fdbb47ecdee5?folderUrn=urn:adsk.wipprod:fs.folder:co.QLkOGekBQd-Z3DKL7vJ7rA&amp;entityId=urn:adsk.wipprod:dm.lineage:0laE8UlET8CRb7HZyS2wfA&amp;viewModel=detail&amp;moduleId=folders" TargetMode="External"/><Relationship Id="rId10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2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SnLWHplR5eH2EBv74xBBw&amp;viewModel=detail&amp;moduleId=folders" TargetMode="External"/><Relationship Id="rId10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ilDDsRKIRuScYSLudPi9og&amp;viewModel=detail&amp;moduleId=folders" TargetMode="External"/><Relationship Id="rId22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2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dDhtCyjRS76iTatQ2jFVgA&amp;viewModel=detail&amp;moduleId=folders" TargetMode="External"/><Relationship Id="rId104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ip7zsrf1T6ycXXXQ3rExbg&amp;viewModel=detail&amp;moduleId=folders" TargetMode="External"/><Relationship Id="rId22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0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xPzTfonQR0-E8bY6mXdqwQ&amp;viewModel=detail&amp;moduleId=folders" TargetMode="External"/><Relationship Id="rId229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2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nWoDi4D0RmeE967MXTo9BQ&amp;viewModel=detail&amp;moduleId=folders" TargetMode="External"/><Relationship Id="rId103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22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Lrf0uq_HRiWOZmgBTxafVg&amp;viewModel=detail&amp;moduleId=folders" TargetMode="External"/><Relationship Id="rId102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aqu1NnxQTEiZxg74feqGHw&amp;viewModel=detail&amp;moduleId=folders" TargetMode="External"/><Relationship Id="rId22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101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22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bg1G7x4cQr2I7Hum7kat7w&amp;viewModel=detail&amp;moduleId=folders" TargetMode="External"/><Relationship Id="rId100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-c6kV_AMQGWR5Z9ouFKWBQ&amp;viewModel=detail&amp;moduleId=folders" TargetMode="External"/><Relationship Id="rId22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UgD9bH_YRous9mf5REm8Fg&amp;viewModel=detail&amp;moduleId=folders" TargetMode="External"/><Relationship Id="rId21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QIqydjF7RYSpxJllpjtytg&amp;viewModel=detail&amp;moduleId=folders" TargetMode="External"/><Relationship Id="rId21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JVgAKMo0Q3C73fgg6AGOgA&amp;viewModel=detail&amp;moduleId=folders" TargetMode="External"/><Relationship Id="rId21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Y9OubMOfQKKXFEKFcxPhMg&amp;viewModel=detail&amp;moduleId=folders" TargetMode="External"/><Relationship Id="rId21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1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ybeAaNxdQe2cccy1zIbitQ&amp;viewModel=detail&amp;moduleId=folders" TargetMode="External"/><Relationship Id="rId12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2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N1pswpvRTS-miKa-tnYXRg&amp;viewModel=detail&amp;moduleId=folders" TargetMode="External"/><Relationship Id="rId249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2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8" Type="http://schemas.openxmlformats.org/officeDocument/2006/relationships/hyperlink" Target="https://acc.autodesk.com/docs/files/projects/1e597176-a716-43f8-be36-fdbb47ecdee5?folderUrn=urn:adsk.wipprod:fs.folder:co.buNCOFH5SiOErzY0MBySjg&amp;entityId=urn:adsk.wipprod:dm.lineage:OajqPvbdTwCqmxN3qEkddg&amp;viewModel=detail&amp;moduleId=folders" TargetMode="External"/><Relationship Id="rId12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KvnfvEiRQWq9pHbpl7Q3w&amp;viewModel=detail&amp;moduleId=folders" TargetMode="External"/><Relationship Id="rId247" Type="http://schemas.openxmlformats.org/officeDocument/2006/relationships/hyperlink" Target="https://acc.autodesk.com/docs/files/projects/1e597176-a716-43f8-be36-fdbb47ecdee5?folderUrn=urn:adsk.wipprod:fs.folder:co.buNCOFH5SiOErzY0MBySjg" TargetMode="External"/><Relationship Id="rId12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2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0wVpfjH1SwKNb2vglmtkPw&amp;viewModel=detail&amp;moduleId=folders" TargetMode="External"/><Relationship Id="rId12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VhzLWU6NS0WxGAGc-Wpk3w&amp;viewModel=detail&amp;moduleId=folders" TargetMode="External"/><Relationship Id="rId241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40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MsiyB199Ts-Yy2NlSHvqSg&amp;viewModel=detail&amp;moduleId=folders" TargetMode="External"/><Relationship Id="rId12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6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f-bjrTydQDCVeX9rMSvtnQ&amp;viewModel=detail&amp;moduleId=folders" TargetMode="External"/><Relationship Id="rId12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0rv_qFXrQtqjdqBX-cqQ4w&amp;viewModel=detail&amp;moduleId=folders" TargetMode="External"/><Relationship Id="rId245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2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44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2DsJCP0AQlqt9Ckb2N9PDw&amp;viewModel=detail&amp;moduleId=folders" TargetMode="External"/><Relationship Id="rId12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Vg2THPGSQWSGkm20JLMI5Q&amp;viewModel=detail&amp;moduleId=folders" TargetMode="External"/><Relationship Id="rId243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95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4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JDn9PP2-S36CG2uTveY9qQ&amp;viewModel=detail&amp;moduleId=folders" TargetMode="External"/><Relationship Id="rId97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6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N0RwPUT1Q_mldnujcmL9gw&amp;viewModel=detail&amp;moduleId=folders" TargetMode="External"/><Relationship Id="rId99" Type="http://schemas.openxmlformats.org/officeDocument/2006/relationships/hyperlink" Target="https://acc.autodesk.com/docs/files/projects/1e597176-a716-43f8-be36-fdbb47ecdee5?folderUrn=urn:adsk.wipprod:fs.folder:co.-UKdTAW-SqygJE_069OSDA" TargetMode="External"/><Relationship Id="rId98" Type="http://schemas.openxmlformats.org/officeDocument/2006/relationships/hyperlink" Target="https://acc.autodesk.com/docs/files/projects/1e597176-a716-43f8-be36-fdbb47ecdee5?folderUrn=urn:adsk.wipprod:fs.folder:co.-UKdTAW-SqygJE_069OSDA&amp;entityId=urn:adsk.wipprod:dm.lineage:xmAutLzRTUio8ag3_wabYA&amp;viewModel=detail&amp;moduleId=folders" TargetMode="External"/><Relationship Id="rId91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90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PkhoiFCxTF2_QXfJKly1yQ&amp;viewModel=detail&amp;moduleId=folders" TargetMode="External"/><Relationship Id="rId93" Type="http://schemas.openxmlformats.org/officeDocument/2006/relationships/hyperlink" Target="https://acc.autodesk.com/docs/files/projects/1e597176-a716-43f8-be36-fdbb47ecdee5?folderUrn=urn:adsk.wipprod:fs.folder:co.0X3VkD07TZKRc7zUk_8boQ" TargetMode="External"/><Relationship Id="rId92" Type="http://schemas.openxmlformats.org/officeDocument/2006/relationships/hyperlink" Target="https://acc.autodesk.com/docs/files/projects/1e597176-a716-43f8-be36-fdbb47ecdee5?folderUrn=urn:adsk.wipprod:fs.folder:co.0X3VkD07TZKRc7zUk_8boQ&amp;entityId=urn:adsk.wipprod:dm.lineage:V5fqzWfaSS6pZBRSGXoU6Q&amp;viewModel=detail&amp;moduleId=folders" TargetMode="External"/><Relationship Id="rId118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WvUDFVEQSLWk3hVlFEnBvw&amp;viewModel=detail&amp;moduleId=folders" TargetMode="External"/><Relationship Id="rId239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7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8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b38mbl2eQtiXUqNCYKarIg&amp;viewModel=detail&amp;moduleId=folders" TargetMode="External"/><Relationship Id="rId116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lFul9RGMRz2TcseRlcp5Nw&amp;viewModel=detail&amp;moduleId=folders" TargetMode="External"/><Relationship Id="rId237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5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6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OGHJ1fYoSKah79CYMcUgfA&amp;viewModel=detail&amp;moduleId=folders" TargetMode="External"/><Relationship Id="rId119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110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-h9jbMDwTjaMlVrYqYpc-Q&amp;viewModel=detail&amp;moduleId=folders" TargetMode="External"/><Relationship Id="rId231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230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47Kqg80dToqg5WlV5XSgMw&amp;viewModel=detail&amp;moduleId=folders" TargetMode="External"/><Relationship Id="rId114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rmG_Gt8nSh67R1-9VvCysw&amp;viewModel=detail&amp;moduleId=folders" TargetMode="External"/><Relationship Id="rId235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3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4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BDBSfvVzSEatQ1mUxvv30Q&amp;viewModel=detail&amp;moduleId=folders" TargetMode="External"/><Relationship Id="rId112" Type="http://schemas.openxmlformats.org/officeDocument/2006/relationships/hyperlink" Target="https://acc.autodesk.com/docs/files/projects/1e597176-a716-43f8-be36-fdbb47ecdee5?folderUrn=urn:adsk.wipprod:fs.folder:co.LtnBId7JTK-uXdmmDlFFgA&amp;entityId=urn:adsk.wipprod:dm.lineage:AEZDUcP2Q4qwAJYGW5hECg&amp;viewModel=detail&amp;moduleId=folders" TargetMode="External"/><Relationship Id="rId233" Type="http://schemas.openxmlformats.org/officeDocument/2006/relationships/hyperlink" Target="https://acc.autodesk.com/docs/files/projects/1e597176-a716-43f8-be36-fdbb47ecdee5?folderUrn=urn:adsk.wipprod:fs.folder:co.AJlWibkVQ-q2t3pEX67Fow" TargetMode="External"/><Relationship Id="rId111" Type="http://schemas.openxmlformats.org/officeDocument/2006/relationships/hyperlink" Target="https://acc.autodesk.com/docs/files/projects/1e597176-a716-43f8-be36-fdbb47ecdee5?folderUrn=urn:adsk.wipprod:fs.folder:co.LtnBId7JTK-uXdmmDlFFgA" TargetMode="External"/><Relationship Id="rId232" Type="http://schemas.openxmlformats.org/officeDocument/2006/relationships/hyperlink" Target="https://acc.autodesk.com/docs/files/projects/1e597176-a716-43f8-be36-fdbb47ecdee5?folderUrn=urn:adsk.wipprod:fs.folder:co.AJlWibkVQ-q2t3pEX67Fow&amp;entityId=urn:adsk.wipprod:dm.lineage:eQM4tTMWSZiHY7DHhjGYCQ&amp;viewModel=detail&amp;moduleId=folders" TargetMode="External"/><Relationship Id="rId206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G2JiuBzLQrKfYa4jjesgNw&amp;viewModel=detail&amp;moduleId=folders" TargetMode="External"/><Relationship Id="rId205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4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awRCLfUcQnmVdIoS-ubrDA&amp;viewModel=detail&amp;moduleId=folders" TargetMode="External"/><Relationship Id="rId203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9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8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cJHtoae8RCu7tm0QYlRmYA&amp;viewModel=detail&amp;moduleId=folders" TargetMode="External"/><Relationship Id="rId207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2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PvIdnEl8RHml0ihKkIHCPA&amp;viewModel=detail&amp;moduleId=folders" TargetMode="External"/><Relationship Id="rId201" Type="http://schemas.openxmlformats.org/officeDocument/2006/relationships/hyperlink" Target="https://acc.autodesk.com/docs/files/projects/1e597176-a716-43f8-be36-fdbb47ecdee5?folderUrn=urn:adsk.wipprod:fs.folder:co.UqJ5SedOSpaQm3mvbRIw_Q" TargetMode="External"/><Relationship Id="rId200" Type="http://schemas.openxmlformats.org/officeDocument/2006/relationships/hyperlink" Target="https://acc.autodesk.com/docs/files/projects/1e597176-a716-43f8-be36-fdbb47ecdee5?folderUrn=urn:adsk.wipprod:fs.folder:co.UqJ5SedOSpaQm3mvbRIw_Q&amp;entityId=urn:adsk.wipprod:dm.lineage:-TRv-skTRHCtao2b8_C-WA&amp;viewModel=detail&amp;moduleId=folders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2cxHUmInTLW9PXGuAAG5-g&amp;viewModel=detail&amp;moduleId=folders" TargetMode="External"/><Relationship Id="rId19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rPYrxNa4SAiGd4mvi5xfvw&amp;viewModel=detail&amp;moduleId=folders" TargetMode="External"/><Relationship Id="rId19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9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mpdTZhuTTbOPYMnoTZRVpw&amp;viewModel=detail&amp;moduleId=folders" TargetMode="External"/><Relationship Id="rId19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7vlIwFunRj21g6myrKE1Vw&amp;viewModel=detail&amp;moduleId=folders" TargetMode="External"/><Relationship Id="rId18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_VT_byTgRJeJ4OhG2jYODw&amp;viewModel=detail&amp;moduleId=folders" TargetMode="External"/><Relationship Id="rId18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C2jt9gl1SyONNjPnjr337Q&amp;viewModel=detail&amp;moduleId=folders" TargetMode="External"/><Relationship Id="rId18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mggmpN5iQBKZH570tUmfjQ&amp;viewModel=detail&amp;moduleId=folders" TargetMode="External"/><Relationship Id="rId18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8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eEx8-ufQRAqrSNWn8Yyt3A&amp;viewModel=detail&amp;moduleId=folders" TargetMode="External"/><Relationship Id="rId17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ViX9c0i5QWGOF7UypgYLNg&amp;viewModel=detail&amp;moduleId=folders" TargetMode="External"/><Relationship Id="rId29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7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9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b8_VsSNPQeu6nsvaNKKLHg&amp;viewModel=detail&amp;moduleId=folders" TargetMode="External"/><Relationship Id="rId17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95gzS8_oTa2hOtvqgqzUgA&amp;viewModel=detail&amp;moduleId=folders" TargetMode="External"/><Relationship Id="rId29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7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9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N1yEbPAER66MtyUOIJ__XA&amp;viewModel=detail&amp;moduleId=folders" TargetMode="External"/><Relationship Id="rId17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7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DfctWK9BT467E8Re23_JHw&amp;viewModel=detail&amp;moduleId=folders" TargetMode="External"/><Relationship Id="rId29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7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9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QONEU33US3mnbQsRUakqRA&amp;viewModel=detail&amp;moduleId=folders" TargetMode="External"/><Relationship Id="rId19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PWEummsDQ6yjvm1MtLnqLw&amp;viewModel=detail&amp;moduleId=folders" TargetMode="External"/><Relationship Id="rId19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9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2GDClDTdQLOL9lj41Kq3ag&amp;viewModel=detail&amp;moduleId=folders" TargetMode="External"/><Relationship Id="rId19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9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50" Type="http://schemas.openxmlformats.org/officeDocument/2006/relationships/hyperlink" Target="https://acc.autodesk.com/docs/files/projects/1e597176-a716-43f8-be36-fdbb47ecdee5?folderUrn=urn:adsk.wipprod:fs.folder:co.7NiVimFoQNGaJytOMwaTgQ&amp;entityId=urn:adsk.wipprod:dm.lineage:-dnvR1-0R9OeB48kOyCUxA&amp;viewModel=detail&amp;moduleId=folders" TargetMode="External"/><Relationship Id="rId27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92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p8S4iBOBQNyyKoUTn3XYzQ&amp;viewModel=detail&amp;moduleId=folders" TargetMode="External"/><Relationship Id="rId27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NEmJEWLPTkaQeQeEql0N8A&amp;viewModel=detail&amp;moduleId=folders" TargetMode="External"/><Relationship Id="rId391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390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V0PTdbbrTaics-U47tkjSg&amp;viewModel=detail&amp;moduleId=folders" TargetMode="External"/><Relationship Id="rId1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2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oEvuU9FUSeiPoWHQ2hYAvQ&amp;viewModel=detail&amp;moduleId=folders" TargetMode="External"/><Relationship Id="rId3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49" Type="http://schemas.openxmlformats.org/officeDocument/2006/relationships/hyperlink" Target="https://acc.autodesk.com/docs/files/projects/1e597176-a716-43f8-be36-fdbb47ecdee5?folderUrn=urn:adsk.wipprod:fs.folder:co.7NiVimFoQNGaJytOMwaTgQ" TargetMode="External"/><Relationship Id="rId4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zWX24uusSemo4Ph2Wwf4mQ&amp;viewModel=detail&amp;moduleId=folders" TargetMode="External"/><Relationship Id="rId148" Type="http://schemas.openxmlformats.org/officeDocument/2006/relationships/hyperlink" Target="https://acc.autodesk.com/docs/files/projects/1e597176-a716-43f8-be36-fdbb47ecdee5?folderUrn=urn:adsk.wipprod:fs.folder:co.7NiVimFoQNGaJytOMwaTgQ&amp;entityId=urn:adsk.wipprod:dm.lineage:fCq5eSWWQf2OqaZsXLrWIw&amp;viewModel=detail&amp;moduleId=folders" TargetMode="External"/><Relationship Id="rId26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9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43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64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uOgXBoe5TvGbh-22zEnypQ&amp;viewModel=detail&amp;moduleId=folders" TargetMode="External"/><Relationship Id="rId385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42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O6wqcZczQTKFWMlQ3DqwWQ&amp;viewModel=detail&amp;moduleId=folders" TargetMode="External"/><Relationship Id="rId263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84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KVGithKSTwOgSYAgnbTyeQ&amp;viewModel=detail&amp;moduleId=folders" TargetMode="External"/><Relationship Id="rId141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62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JgS6lPPvQ8Cv3Lvw7_x7eA&amp;viewModel=detail&amp;moduleId=folders" TargetMode="External"/><Relationship Id="rId383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40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6PAByJp9QRivhubyTH8z3g&amp;viewModel=detail&amp;moduleId=folders" TargetMode="External"/><Relationship Id="rId261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82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-UIX7spZQ5G7EACyoTPdTA&amp;viewModel=detail&amp;moduleId=folders" TargetMode="External"/><Relationship Id="rId5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47" Type="http://schemas.openxmlformats.org/officeDocument/2006/relationships/hyperlink" Target="https://acc.autodesk.com/docs/files/projects/1e597176-a716-43f8-be36-fdbb47ecdee5?folderUrn=urn:adsk.wipprod:fs.folder:co.7NiVimFoQNGaJytOMwaTgQ" TargetMode="External"/><Relationship Id="rId26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uE6CejTKTQGqPHWhhLgSgg&amp;viewModel=detail&amp;moduleId=folders" TargetMode="External"/><Relationship Id="rId389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6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cNn3njrJSHiDhNp5wrayPw&amp;viewModel=detail&amp;moduleId=folders" TargetMode="External"/><Relationship Id="rId146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4k6zm8xlTtSRH5nTxq1YlQ&amp;viewModel=detail&amp;moduleId=folders" TargetMode="External"/><Relationship Id="rId26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88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yzpkuKe8TQ6yxUts6TPCFQ&amp;viewModel=detail&amp;moduleId=folders" TargetMode="External"/><Relationship Id="rId7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45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66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95u00VkWQ7yNpRxzLdR9Mw&amp;viewModel=detail&amp;moduleId=folders" TargetMode="External"/><Relationship Id="rId387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8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GZ9mvFPKTgmDZNZffxo7PQ&amp;viewModel=detail&amp;moduleId=folders" TargetMode="External"/><Relationship Id="rId144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yRFQeVhARFWC-weg0VqD-w&amp;viewModel=detail&amp;moduleId=folders" TargetMode="External"/><Relationship Id="rId265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86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5OIe3gUdSNykgWnB0D0-Fw&amp;viewModel=detail&amp;moduleId=folders" TargetMode="External"/><Relationship Id="rId260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dcczKl1hQGOV_b8vb8-Tmw&amp;viewModel=detail&amp;moduleId=folders" TargetMode="External"/><Relationship Id="rId381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380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ZM7w2uGpRAqcvFi9ySKKGQ&amp;viewModel=detail&amp;moduleId=folders" TargetMode="External"/><Relationship Id="rId139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138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VzG2eerWSdShdaBZSx0hbw&amp;viewModel=detail&amp;moduleId=folders" TargetMode="External"/><Relationship Id="rId259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137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58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eAymed0tQfWASsKMGXKxLw&amp;viewModel=detail&amp;moduleId=folders" TargetMode="External"/><Relationship Id="rId379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32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R4VF9GwxSnyi1UDgiqourQ&amp;viewModel=detail&amp;moduleId=folders" TargetMode="External"/><Relationship Id="rId253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74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ay-jjBgOS0KJ5pMaGRv-eQ&amp;viewModel=detail&amp;moduleId=folders" TargetMode="External"/><Relationship Id="rId131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52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XaCbWEgAT5q6ZJ0kdappFw&amp;viewModel=detail&amp;moduleId=folders" TargetMode="External"/><Relationship Id="rId373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30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CV6GEsRrQf-4u4TLFQD0Ag&amp;viewModel=detail&amp;moduleId=folders" TargetMode="External"/><Relationship Id="rId251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72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t5ler3dLS-iqUvtw-cuHvg&amp;viewModel=detail&amp;moduleId=folders" TargetMode="External"/><Relationship Id="rId250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CxrrIKXIT-KrqcDNkQ46Dg&amp;viewModel=detail&amp;moduleId=folders" TargetMode="External"/><Relationship Id="rId371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36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KHHHqXblQ6mODCela4Ke4g&amp;viewModel=detail&amp;moduleId=folders" TargetMode="External"/><Relationship Id="rId257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78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2wG8QHiJSpy2eX6Kt61LZw&amp;viewModel=detail&amp;moduleId=folders" TargetMode="External"/><Relationship Id="rId135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56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POcrEgTgT06ZxRpfRtXECA&amp;viewModel=detail&amp;moduleId=folders" TargetMode="External"/><Relationship Id="rId377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34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0oIML3-vTN2RbO9g3rVtzQ&amp;viewModel=detail&amp;moduleId=folders" TargetMode="External"/><Relationship Id="rId255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76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DfTrENUXT62Mc-Nz-Quuqg&amp;viewModel=detail&amp;moduleId=folders" TargetMode="External"/><Relationship Id="rId133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54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M1EXhnvjTgSW_wk0hFWvSg&amp;viewModel=detail&amp;moduleId=folders" TargetMode="External"/><Relationship Id="rId375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7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QbBiL8qcQvmErAM42bxXPg&amp;viewModel=detail&amp;moduleId=folders" TargetMode="External"/><Relationship Id="rId29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7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9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2RU-d2ofSbSsYOVeMPYgog&amp;viewModel=detail&amp;moduleId=folders" TargetMode="External"/><Relationship Id="rId17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w6c2_4SIRSq_M5Vrstc20g&amp;viewModel=detail&amp;moduleId=folders" TargetMode="External"/><Relationship Id="rId29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29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83pZOulhQVG-NDRlTJIkdw&amp;viewModel=detail&amp;moduleId=folders" TargetMode="External"/><Relationship Id="rId16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8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74gD6nSkRaSj3HjIFRuotw&amp;viewModel=detail&amp;moduleId=folders" TargetMode="External"/><Relationship Id="rId16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Y3G1NVauTLuFl2a85Z9cXQ&amp;viewModel=detail&amp;moduleId=folders" TargetMode="External"/><Relationship Id="rId28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6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8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e7m6tP3SSySkToLL1Fl41w&amp;viewModel=detail&amp;moduleId=folders" TargetMode="External"/><Relationship Id="rId16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sDpF5Y90ROKZhI8R7fVb4g&amp;viewModel=detail&amp;moduleId=folders" TargetMode="External"/><Relationship Id="rId28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6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6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MTWI2DqgR7OjetkiAHV4gQ&amp;viewModel=detail&amp;moduleId=folders" TargetMode="External"/><Relationship Id="rId28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6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8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69pDim4aRvWD9dBFRJkp3w&amp;viewModel=detail&amp;moduleId=folders" TargetMode="External"/><Relationship Id="rId16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pPQB1oJbRWKMN92jiNjOLw&amp;viewModel=detail&amp;moduleId=folders" TargetMode="External"/><Relationship Id="rId28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6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8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gMZANgCnQPOwhcvtMPi6Kg&amp;viewModel=detail&amp;moduleId=folders" TargetMode="External"/><Relationship Id="rId16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cBnipkdbQ-SPBGCsEGUkig&amp;viewModel=detail&amp;moduleId=folders" TargetMode="External"/><Relationship Id="rId28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28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S0DJKeRJRtSIFJTlQ9vnog&amp;viewModel=detail&amp;moduleId=folders" TargetMode="External"/><Relationship Id="rId15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154" Type="http://schemas.openxmlformats.org/officeDocument/2006/relationships/hyperlink" Target="https://acc.autodesk.com/docs/files/projects/1e597176-a716-43f8-be36-fdbb47ecdee5?folderUrn=urn:adsk.wipprod:fs.folder:co.7NiVimFoQNGaJytOMwaTgQ&amp;entityId=urn:adsk.wipprod:dm.lineage:3Nx_UoVfR9SapbNMF7e6Cg&amp;viewModel=detail&amp;moduleId=folders" TargetMode="External"/><Relationship Id="rId27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96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0AyB66q4SDWGrECE63Ne3Q&amp;viewModel=detail&amp;moduleId=folders" TargetMode="External"/><Relationship Id="rId153" Type="http://schemas.openxmlformats.org/officeDocument/2006/relationships/hyperlink" Target="https://acc.autodesk.com/docs/files/projects/1e597176-a716-43f8-be36-fdbb47ecdee5?folderUrn=urn:adsk.wipprod:fs.folder:co.7NiVimFoQNGaJytOMwaTgQ" TargetMode="External"/><Relationship Id="rId27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SfCujn22TduduntALZyfLg&amp;viewModel=detail&amp;moduleId=folders" TargetMode="External"/><Relationship Id="rId395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52" Type="http://schemas.openxmlformats.org/officeDocument/2006/relationships/hyperlink" Target="https://acc.autodesk.com/docs/files/projects/1e597176-a716-43f8-be36-fdbb47ecdee5?folderUrn=urn:adsk.wipprod:fs.folder:co.7NiVimFoQNGaJytOMwaTgQ&amp;entityId=urn:adsk.wipprod:dm.lineage:Pq6sqIKXRhON0PxREvhadw&amp;viewModel=detail&amp;moduleId=folders" TargetMode="External"/><Relationship Id="rId27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94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RDbtiHQ5QZag0YYZ3LZwUA&amp;viewModel=detail&amp;moduleId=folders" TargetMode="External"/><Relationship Id="rId151" Type="http://schemas.openxmlformats.org/officeDocument/2006/relationships/hyperlink" Target="https://acc.autodesk.com/docs/files/projects/1e597176-a716-43f8-be36-fdbb47ecdee5?folderUrn=urn:adsk.wipprod:fs.folder:co.7NiVimFoQNGaJytOMwaTgQ" TargetMode="External"/><Relationship Id="rId27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5ZPXg947TZSo71_SblyOAA&amp;viewModel=detail&amp;moduleId=folders" TargetMode="External"/><Relationship Id="rId393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5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HNB5bqrdRYSuwKqy9aIA1w&amp;viewModel=detail&amp;moduleId=folders" TargetMode="External"/><Relationship Id="rId27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15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7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Wdp5BUrxTM2QOm1nWv8tYA&amp;viewModel=detail&amp;moduleId=folders" TargetMode="External"/><Relationship Id="rId399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56" Type="http://schemas.openxmlformats.org/officeDocument/2006/relationships/hyperlink" Target="https://acc.autodesk.com/docs/files/projects/1e597176-a716-43f8-be36-fdbb47ecdee5?folderUrn=urn:adsk.wipprod:fs.folder:co.7NiVimFoQNGaJytOMwaTgQ&amp;entityId=urn:adsk.wipprod:dm.lineage:hf4VdC6KQnOok0vAF7unlQ&amp;viewModel=detail&amp;moduleId=folders" TargetMode="External"/><Relationship Id="rId27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98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nhPH0XoaQYuIb1rGrQpcDQ&amp;viewModel=detail&amp;moduleId=folders" TargetMode="External"/><Relationship Id="rId155" Type="http://schemas.openxmlformats.org/officeDocument/2006/relationships/hyperlink" Target="https://acc.autodesk.com/docs/files/projects/1e597176-a716-43f8-be36-fdbb47ecdee5?folderUrn=urn:adsk.wipprod:fs.folder:co.7NiVimFoQNGaJytOMwaTgQ" TargetMode="External"/><Relationship Id="rId27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IN_ms85uSG6qJ5kCNUXMdA&amp;viewModel=detail&amp;moduleId=folders" TargetMode="External"/><Relationship Id="rId397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40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LLWH9J1uTWeJzOnD8BP3SA&amp;viewModel=detail&amp;moduleId=folders" TargetMode="External"/><Relationship Id="rId42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gfqiG4PERj6ge9S6qgMqQQ&amp;viewModel=detail&amp;moduleId=folders" TargetMode="External"/><Relationship Id="rId41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44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6Vl20pFRQLuU5ZqdzCzCEA&amp;viewModel=detail&amp;moduleId=folders" TargetMode="External"/><Relationship Id="rId43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46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KxHBFUekQNWqp_zlBWSyAw&amp;viewModel=detail&amp;moduleId=folders" TargetMode="External"/><Relationship Id="rId45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48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vApp2jyITsy0l7l0wqngXA&amp;viewModel=detail&amp;moduleId=folders" TargetMode="External"/><Relationship Id="rId47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49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31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30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e4zSKvv8RtKKKBefGXQkZw&amp;viewModel=detail&amp;moduleId=folders" TargetMode="External"/><Relationship Id="rId33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32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KGEmJdPbRDKtVgqiCxUI1A&amp;viewModel=detail&amp;moduleId=folders" TargetMode="External"/><Relationship Id="rId35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34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zXg0d-ATTfaQ-QtvuBQACw&amp;viewModel=detail&amp;moduleId=folders" TargetMode="External"/><Relationship Id="rId37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36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ZDY7G0Z3SGaVgeOdyWOiLw&amp;viewModel=detail&amp;moduleId=folders" TargetMode="External"/><Relationship Id="rId39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38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h1hHrO5pQ-i2qXd8FIEMlw&amp;viewModel=detail&amp;moduleId=folders" TargetMode="External"/><Relationship Id="rId20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4W8Cf3JrRwqHUazhIlTTAg&amp;viewModel=detail&amp;moduleId=folders" TargetMode="External"/><Relationship Id="rId22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7mKVI18ERaGW_4kHprFDlw&amp;viewModel=detail&amp;moduleId=folders" TargetMode="External"/><Relationship Id="rId21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24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cQS_xft6TIiy7qhkJ36zuw&amp;viewModel=detail&amp;moduleId=folders" TargetMode="External"/><Relationship Id="rId23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409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04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76-92tORTVybOn2Sua3BqQ&amp;viewModel=detail&amp;moduleId=folders" TargetMode="External"/><Relationship Id="rId403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402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pH5u8lOmQtGzRH4EuzUzTw&amp;viewModel=detail&amp;moduleId=folders" TargetMode="External"/><Relationship Id="rId401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408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8xcq0-OxToSvmjLUqDWm9w&amp;viewModel=detail&amp;moduleId=folders" TargetMode="External"/><Relationship Id="rId407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06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UWstoNgdRrme2VBgnfGLtA&amp;viewModel=detail&amp;moduleId=folders" TargetMode="External"/><Relationship Id="rId405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26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2XLeVGSsTuSwGfAXs56How&amp;viewModel=detail&amp;moduleId=folders" TargetMode="External"/><Relationship Id="rId25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28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uFczsVAySCGnFh2zF-bipw&amp;viewModel=detail&amp;moduleId=folders" TargetMode="External"/><Relationship Id="rId27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400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a0V6Y0e3TkSoGHRLKa6Iww&amp;viewModel=detail&amp;moduleId=folders" TargetMode="External"/><Relationship Id="rId29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1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0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qxjfV1fnT7K3UP-EyMdt3A&amp;viewModel=detail&amp;moduleId=folders" TargetMode="External"/><Relationship Id="rId13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2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99ZNe-xtTfKX5MnUO9Kbnw&amp;viewModel=detail&amp;moduleId=folders" TargetMode="External"/><Relationship Id="rId15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4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A60j88ZmRLOnsrVJuAvUzw&amp;viewModel=detail&amp;moduleId=folders" TargetMode="External"/><Relationship Id="rId17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6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GjubL2bNRGuIYf0RZSQcHw&amp;viewModel=detail&amp;moduleId=folders" TargetMode="External"/><Relationship Id="rId19" Type="http://schemas.openxmlformats.org/officeDocument/2006/relationships/hyperlink" Target="https://acc.autodesk.com/docs/files/projects/1e597176-a716-43f8-be36-fdbb47ecdee5?folderUrn=urn:adsk.wipprod:fs.folder:co.Qy7tJjVUQXqthtbCwFzLqw" TargetMode="External"/><Relationship Id="rId18" Type="http://schemas.openxmlformats.org/officeDocument/2006/relationships/hyperlink" Target="https://acc.autodesk.com/docs/files/projects/1e597176-a716-43f8-be36-fdbb47ecdee5?folderUrn=urn:adsk.wipprod:fs.folder:co.Qy7tJjVUQXqthtbCwFzLqw&amp;entityId=urn:adsk.wipprod:dm.lineage:-o0Itu5rSFGCeBsXAcACPw&amp;viewModel=detail&amp;moduleId=folders" TargetMode="External"/><Relationship Id="rId84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cxEh2Vy3TNOMoRo47B8NFw&amp;viewModel=detail&amp;moduleId=folders" TargetMode="External"/><Relationship Id="rId83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86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ZEpgXAOkTAuUcXt4fFai_w&amp;viewModel=detail&amp;moduleId=folders" TargetMode="External"/><Relationship Id="rId85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88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_qVZX_VWRNScfvGG1u2bhw&amp;viewModel=detail&amp;moduleId=folders" TargetMode="External"/><Relationship Id="rId87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89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80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9weVgxQaQHmMCCfIaPJe7w&amp;viewModel=detail&amp;moduleId=folders" TargetMode="External"/><Relationship Id="rId82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_K4INpQuQjSEm8WO2_r6CA&amp;viewModel=detail&amp;moduleId=folders" TargetMode="External"/><Relationship Id="rId81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3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2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hU7xGnddQvWNMK0VXSwiPQ&amp;viewModel=detail&amp;moduleId=folders" TargetMode="External"/><Relationship Id="rId75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4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BR0EksulRDm-J9CZGQRsRg&amp;viewModel=detail&amp;moduleId=folders" TargetMode="External"/><Relationship Id="rId77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6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rJq-PQ5TRXOL6cDaHVyf9g&amp;viewModel=detail&amp;moduleId=folders" TargetMode="External"/><Relationship Id="rId79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8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WanSXtdCQlaI8g-UzVJcTg&amp;viewModel=detail&amp;moduleId=folders" TargetMode="External"/><Relationship Id="rId71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70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RGrj_jt6QTOGqDQ-pyKt2g&amp;viewModel=detail&amp;moduleId=folders" TargetMode="External"/><Relationship Id="rId62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03_PmTnoTCuM0YYCZgDCmA&amp;viewModel=detail&amp;moduleId=folders" TargetMode="External"/><Relationship Id="rId61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64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KslZNVZHSEWpQ5NYj-BHzw&amp;viewModel=detail&amp;moduleId=folders" TargetMode="External"/><Relationship Id="rId63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66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Riqn7pFHTcGF5xD0WMCbEA&amp;viewModel=detail&amp;moduleId=folders" TargetMode="External"/><Relationship Id="rId65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68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5QWAfd5ETpKc-YrSDiqbsA&amp;viewModel=detail&amp;moduleId=folders" TargetMode="External"/><Relationship Id="rId67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60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wKvIUVprTv2Rg1fTsTajxw&amp;viewModel=detail&amp;moduleId=folders" TargetMode="External"/><Relationship Id="rId69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51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50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clVkLtSqQGSo-5LvEzqZaA&amp;viewModel=detail&amp;moduleId=folders" TargetMode="External"/><Relationship Id="rId53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52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59TyTcuiTNO_khn0aiWbMw&amp;viewModel=detail&amp;moduleId=folders" TargetMode="External"/><Relationship Id="rId55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54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GJoCKGiJRDObkSpQVIv48A&amp;viewModel=detail&amp;moduleId=folders" TargetMode="External"/><Relationship Id="rId57" Type="http://schemas.openxmlformats.org/officeDocument/2006/relationships/hyperlink" Target="https://acc.autodesk.com/docs/files/projects/1e597176-a716-43f8-be36-fdbb47ecdee5?folderUrn=urn:adsk.wipprod:fs.folder:co.wJHjelD6T-iDsdI_TUgOIw" TargetMode="External"/><Relationship Id="rId56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vQRM5_43S9iNYF9U3nUgZQ&amp;viewModel=detail&amp;moduleId=folders" TargetMode="External"/><Relationship Id="rId59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58" Type="http://schemas.openxmlformats.org/officeDocument/2006/relationships/hyperlink" Target="https://acc.autodesk.com/docs/files/projects/1e597176-a716-43f8-be36-fdbb47ecdee5?folderUrn=urn:adsk.wipprod:fs.folder:co.wJHjelD6T-iDsdI_TUgOIw&amp;entityId=urn:adsk.wipprod:dm.lineage:_9GyfK2oQaCB9yu_ITzxxA&amp;viewModel=detail&amp;moduleId=folders" TargetMode="External"/><Relationship Id="rId107" Type="http://schemas.openxmlformats.org/officeDocument/2006/relationships/hyperlink" Target="https://acc.autodesk.com/docs/files/projects/1e597176-a716-43f8-be36-fdbb47ecdee5?folderUrn=urn:adsk.wipprod:fs.folder:co.M8BwkpPFTwm0h2gRoHD-sQ" TargetMode="External"/><Relationship Id="rId228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RFQ6CwuGSGW7jgyAV5zLeA&amp;viewModel=detail&amp;moduleId=folders" TargetMode="External"/><Relationship Id="rId349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106" Type="http://schemas.openxmlformats.org/officeDocument/2006/relationships/hyperlink" Target="https://acc.autodesk.com/docs/files/projects/1e597176-a716-43f8-be36-fdbb47ecdee5?folderUrn=urn:adsk.wipprod:fs.folder:co.QsHNp-BFTfm5i1BggS3Kgw&amp;entityId=urn:adsk.wipprod:dm.lineage:FkrO_dJwSiWVC8ZN5YUS1A&amp;viewModel=detail&amp;moduleId=folders" TargetMode="External"/><Relationship Id="rId227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48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jFYwGpaKTHyD8F_rE56EYg&amp;viewModel=detail&amp;moduleId=folders" TargetMode="External"/><Relationship Id="rId105" Type="http://schemas.openxmlformats.org/officeDocument/2006/relationships/hyperlink" Target="https://acc.autodesk.com/docs/files/projects/1e597176-a716-43f8-be36-fdbb47ecdee5?folderUrn=urn:adsk.wipprod:fs.folder:co.QsHNp-BFTfm5i1BggS3Kgw" TargetMode="External"/><Relationship Id="rId226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8WbC_kKZSImTHAmJYsuKdQ&amp;viewModel=detail&amp;moduleId=folders" TargetMode="External"/><Relationship Id="rId347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104" Type="http://schemas.openxmlformats.org/officeDocument/2006/relationships/hyperlink" Target="https://acc.autodesk.com/docs/files/projects/1e597176-a716-43f8-be36-fdbb47ecdee5?folderUrn=urn:adsk.wipprod:fs.folder:co.QsHNp-BFTfm5i1BggS3Kgw&amp;entityId=urn:adsk.wipprod:dm.lineage:wEBWQlO8Q0KKklbV9V0uGg&amp;viewModel=detail&amp;moduleId=folders" TargetMode="External"/><Relationship Id="rId225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46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CGF7kt-kS6yaQWm8vSnOwg&amp;viewModel=detail&amp;moduleId=folders" TargetMode="External"/><Relationship Id="rId109" Type="http://schemas.openxmlformats.org/officeDocument/2006/relationships/hyperlink" Target="https://acc.autodesk.com/docs/files/projects/1e597176-a716-43f8-be36-fdbb47ecdee5?folderUrn=urn:adsk.wipprod:fs.folder:co.M8BwkpPFTwm0h2gRoHD-sQ" TargetMode="External"/><Relationship Id="rId108" Type="http://schemas.openxmlformats.org/officeDocument/2006/relationships/hyperlink" Target="https://acc.autodesk.com/docs/files/projects/1e597176-a716-43f8-be36-fdbb47ecdee5?folderUrn=urn:adsk.wipprod:fs.folder:co.M8BwkpPFTwm0h2gRoHD-sQ&amp;entityId=urn:adsk.wipprod:dm.lineage:gq4Ukki5SHKzwklsna6NXA&amp;viewModel=detail&amp;moduleId=folders" TargetMode="External"/><Relationship Id="rId229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220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UkgaDgJDRA2ROu-cPwyXuA&amp;viewModel=detail&amp;moduleId=folders" TargetMode="External"/><Relationship Id="rId341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340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gNLQbgUpRIGMTIkVRYPdbw&amp;viewModel=detail&amp;moduleId=folders" TargetMode="External"/><Relationship Id="rId103" Type="http://schemas.openxmlformats.org/officeDocument/2006/relationships/hyperlink" Target="https://acc.autodesk.com/docs/files/projects/1e597176-a716-43f8-be36-fdbb47ecdee5?folderUrn=urn:adsk.wipprod:fs.folder:co.QsHNp-BFTfm5i1BggS3Kgw" TargetMode="External"/><Relationship Id="rId224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V-CY0Qv9Sv6z7x3zxwdFjw&amp;viewModel=detail&amp;moduleId=folders" TargetMode="External"/><Relationship Id="rId345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102" Type="http://schemas.openxmlformats.org/officeDocument/2006/relationships/hyperlink" Target="https://acc.autodesk.com/docs/files/projects/1e597176-a716-43f8-be36-fdbb47ecdee5?folderUrn=urn:adsk.wipprod:fs.folder:co.QsHNp-BFTfm5i1BggS3Kgw&amp;entityId=urn:adsk.wipprod:dm.lineage:bOlRFScMRwC_Pp_XhYkdRQ&amp;viewModel=detail&amp;moduleId=folders" TargetMode="External"/><Relationship Id="rId223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44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ZpDEQeHiTlW3YBZhAnti7A&amp;viewModel=detail&amp;moduleId=folders" TargetMode="External"/><Relationship Id="rId101" Type="http://schemas.openxmlformats.org/officeDocument/2006/relationships/hyperlink" Target="https://acc.autodesk.com/docs/files/projects/1e597176-a716-43f8-be36-fdbb47ecdee5?folderUrn=urn:adsk.wipprod:fs.folder:co.QsHNp-BFTfm5i1BggS3Kgw" TargetMode="External"/><Relationship Id="rId222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xNpREAEBQPOi6omBOMubew&amp;viewModel=detail&amp;moduleId=folders" TargetMode="External"/><Relationship Id="rId343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100" Type="http://schemas.openxmlformats.org/officeDocument/2006/relationships/hyperlink" Target="https://acc.autodesk.com/docs/files/projects/1e597176-a716-43f8-be36-fdbb47ecdee5?folderUrn=urn:adsk.wipprod:fs.folder:co.QsHNp-BFTfm5i1BggS3Kgw&amp;entityId=urn:adsk.wipprod:dm.lineage:vpo0rGV7TwqHoDbrMGQdew&amp;viewModel=detail&amp;moduleId=folders" TargetMode="External"/><Relationship Id="rId221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42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pOdaaGY_RfWRX0i39ramsw&amp;viewModel=detail&amp;moduleId=folders" TargetMode="External"/><Relationship Id="rId21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38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v9ohU20WRt-2UZwXWJEyuQ&amp;viewModel=detail&amp;moduleId=folders" TargetMode="External"/><Relationship Id="rId21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Yw5J0or-TquM1WuKxHD4Ug&amp;viewModel=detail&amp;moduleId=folders" TargetMode="External"/><Relationship Id="rId337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21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36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Xw2ob5fnRMOaePbZmLDKMg&amp;viewModel=detail&amp;moduleId=folders" TargetMode="External"/><Relationship Id="rId21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B-53FD36Rf6VIBdeVUL-xw&amp;viewModel=detail&amp;moduleId=folders" TargetMode="External"/><Relationship Id="rId335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219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21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qPtzX1BpROyBwZy59HI7vQ&amp;viewModel=detail&amp;moduleId=folders" TargetMode="External"/><Relationship Id="rId339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33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m1HYjkfETfSrYMF90HR5sQ&amp;viewModel=detail&amp;moduleId=folders" TargetMode="External"/><Relationship Id="rId21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34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sHQyG4fDTZu13Pv21V-C_g&amp;viewModel=detail&amp;moduleId=folders" TargetMode="External"/><Relationship Id="rId21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hwlMc86vS6WT6pSUDpmKHg&amp;viewModel=detail&amp;moduleId=folders" TargetMode="External"/><Relationship Id="rId333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21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32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XaGsXTFcRwCim6rASUy8Dw&amp;viewModel=detail&amp;moduleId=folders" TargetMode="External"/><Relationship Id="rId21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X4K88Uq9THmxHV__oyWbUw&amp;viewModel=detail&amp;moduleId=folders" TargetMode="External"/><Relationship Id="rId331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370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lmfeflz9TyaSc0asKsvJbQ&amp;viewModel=detail&amp;moduleId=folders" TargetMode="External"/><Relationship Id="rId129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128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1YD9NM1aT4C_HatW7rD20Q&amp;viewModel=detail&amp;moduleId=folders" TargetMode="External"/><Relationship Id="rId249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127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48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p1L2QcnqRgGTgMkh2RO4Cw&amp;viewModel=detail&amp;moduleId=folders" TargetMode="External"/><Relationship Id="rId369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26" Type="http://schemas.openxmlformats.org/officeDocument/2006/relationships/hyperlink" Target="https://acc.autodesk.com/docs/files/projects/1e597176-a716-43f8-be36-fdbb47ecdee5?folderUrn=urn:adsk.wipprod:fs.folder:co.ZUedFvpiSlenX0IHVAo8cA&amp;entityId=urn:adsk.wipprod:dm.lineage:h6FWJdF0RLWRk4jfM8G2IQ&amp;viewModel=detail&amp;moduleId=folders" TargetMode="External"/><Relationship Id="rId247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68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4OSe8S5YTOeFKzzOBYKRzg&amp;viewModel=detail&amp;moduleId=folders" TargetMode="External"/><Relationship Id="rId121" Type="http://schemas.openxmlformats.org/officeDocument/2006/relationships/hyperlink" Target="https://acc.autodesk.com/docs/files/projects/1e597176-a716-43f8-be36-fdbb47ecdee5?folderUrn=urn:adsk.wipprod:fs.folder:co.P6KU4gmUR526k4wTa-dzMQ" TargetMode="External"/><Relationship Id="rId242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J3s39Eb2S8KUV2C50i6Ktg&amp;viewModel=detail&amp;moduleId=folders" TargetMode="External"/><Relationship Id="rId363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20" Type="http://schemas.openxmlformats.org/officeDocument/2006/relationships/hyperlink" Target="https://acc.autodesk.com/docs/files/projects/1e597176-a716-43f8-be36-fdbb47ecdee5?folderUrn=urn:adsk.wipprod:fs.folder:co.P6KU4gmUR526k4wTa-dzMQ&amp;entityId=urn:adsk.wipprod:dm.lineage:BXjY90CLQe2-247m9-9LwA&amp;viewModel=detail&amp;moduleId=folders" TargetMode="External"/><Relationship Id="rId241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62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ROw1dUdUSb6CDhTB3IWUbg&amp;viewModel=detail&amp;moduleId=folders" TargetMode="External"/><Relationship Id="rId240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mpMBjFEzQKWaUhATHl4IPQ&amp;viewModel=detail&amp;moduleId=folders" TargetMode="External"/><Relationship Id="rId361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360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YfjfC5sHRY6xLjBEtfTEnQ&amp;viewModel=detail&amp;moduleId=folders" TargetMode="External"/><Relationship Id="rId125" Type="http://schemas.openxmlformats.org/officeDocument/2006/relationships/hyperlink" Target="https://acc.autodesk.com/docs/files/projects/1e597176-a716-43f8-be36-fdbb47ecdee5?folderUrn=urn:adsk.wipprod:fs.folder:co.ZUedFvpiSlenX0IHVAo8cA" TargetMode="External"/><Relationship Id="rId246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DOGxse0pQYm0ztr8IANLog&amp;viewModel=detail&amp;moduleId=folders" TargetMode="External"/><Relationship Id="rId367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24" Type="http://schemas.openxmlformats.org/officeDocument/2006/relationships/hyperlink" Target="https://acc.autodesk.com/docs/files/projects/1e597176-a716-43f8-be36-fdbb47ecdee5?folderUrn=urn:adsk.wipprod:fs.folder:co.P6KU4gmUR526k4wTa-dzMQ&amp;entityId=urn:adsk.wipprod:dm.lineage:Vx0uQ0CITJuVLsgqVdGAPA&amp;viewModel=detail&amp;moduleId=folders" TargetMode="External"/><Relationship Id="rId245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66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Tz9dctAmSWSQjmDRDR3fzA&amp;viewModel=detail&amp;moduleId=folders" TargetMode="External"/><Relationship Id="rId123" Type="http://schemas.openxmlformats.org/officeDocument/2006/relationships/hyperlink" Target="https://acc.autodesk.com/docs/files/projects/1e597176-a716-43f8-be36-fdbb47ecdee5?folderUrn=urn:adsk.wipprod:fs.folder:co.P6KU4gmUR526k4wTa-dzMQ" TargetMode="External"/><Relationship Id="rId244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hOi-9RscRWiDu5YvBT823Q&amp;viewModel=detail&amp;moduleId=folders" TargetMode="External"/><Relationship Id="rId365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22" Type="http://schemas.openxmlformats.org/officeDocument/2006/relationships/hyperlink" Target="https://acc.autodesk.com/docs/files/projects/1e597176-a716-43f8-be36-fdbb47ecdee5?folderUrn=urn:adsk.wipprod:fs.folder:co.P6KU4gmUR526k4wTa-dzMQ&amp;entityId=urn:adsk.wipprod:dm.lineage:VpucPsUIQAS83fr-tU9BBA&amp;viewModel=detail&amp;moduleId=folders" TargetMode="External"/><Relationship Id="rId243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64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YMlbHfAQSxy07T8UsQTL9A&amp;viewModel=detail&amp;moduleId=folders" TargetMode="External"/><Relationship Id="rId95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94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vk393uX7RAqoDuqLm9-e3w&amp;viewModel=detail&amp;moduleId=folders" TargetMode="External"/><Relationship Id="rId97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96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e0ojgxQES7-wkPCd6qc1Mg&amp;viewModel=detail&amp;moduleId=folders" TargetMode="External"/><Relationship Id="rId99" Type="http://schemas.openxmlformats.org/officeDocument/2006/relationships/hyperlink" Target="https://acc.autodesk.com/docs/files/projects/1e597176-a716-43f8-be36-fdbb47ecdee5?folderUrn=urn:adsk.wipprod:fs.folder:co.QsHNp-BFTfm5i1BggS3Kgw" TargetMode="External"/><Relationship Id="rId98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bUWaUEK7R6q6G2RcIJI1GQ&amp;viewModel=detail&amp;moduleId=folders" TargetMode="External"/><Relationship Id="rId91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90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F9nqGxToR9GE6_M2ieDrYw&amp;viewModel=detail&amp;moduleId=folders" TargetMode="External"/><Relationship Id="rId93" Type="http://schemas.openxmlformats.org/officeDocument/2006/relationships/hyperlink" Target="https://acc.autodesk.com/docs/files/projects/1e597176-a716-43f8-be36-fdbb47ecdee5?folderUrn=urn:adsk.wipprod:fs.folder:co.Itzia5npTcCaCtKM9vy6zg" TargetMode="External"/><Relationship Id="rId92" Type="http://schemas.openxmlformats.org/officeDocument/2006/relationships/hyperlink" Target="https://acc.autodesk.com/docs/files/projects/1e597176-a716-43f8-be36-fdbb47ecdee5?folderUrn=urn:adsk.wipprod:fs.folder:co.Itzia5npTcCaCtKM9vy6zg&amp;entityId=urn:adsk.wipprod:dm.lineage:dk1ZfQ5TSwC-8_NtKmxKqQ&amp;viewModel=detail&amp;moduleId=folders" TargetMode="External"/><Relationship Id="rId118" Type="http://schemas.openxmlformats.org/officeDocument/2006/relationships/hyperlink" Target="https://acc.autodesk.com/docs/files/projects/1e597176-a716-43f8-be36-fdbb47ecdee5?folderUrn=urn:adsk.wipprod:fs.folder:co.P6KU4gmUR526k4wTa-dzMQ&amp;entityId=urn:adsk.wipprod:dm.lineage:VAd67o_WQLqlAMS4UCumHQ&amp;viewModel=detail&amp;moduleId=folders" TargetMode="External"/><Relationship Id="rId239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117" Type="http://schemas.openxmlformats.org/officeDocument/2006/relationships/hyperlink" Target="https://acc.autodesk.com/docs/files/projects/1e597176-a716-43f8-be36-fdbb47ecdee5?folderUrn=urn:adsk.wipprod:fs.folder:co.P6KU4gmUR526k4wTa-dzMQ" TargetMode="External"/><Relationship Id="rId238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3F-NPRwOQ3-t_-d9TWfrFQ&amp;viewModel=detail&amp;moduleId=folders" TargetMode="External"/><Relationship Id="rId359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16" Type="http://schemas.openxmlformats.org/officeDocument/2006/relationships/hyperlink" Target="https://acc.autodesk.com/docs/files/projects/1e597176-a716-43f8-be36-fdbb47ecdee5?folderUrn=urn:adsk.wipprod:fs.folder:co.P6KU4gmUR526k4wTa-dzMQ&amp;entityId=urn:adsk.wipprod:dm.lineage:EzRughBuRLyVlyfGYsN2RA&amp;viewModel=detail&amp;moduleId=folders" TargetMode="External"/><Relationship Id="rId237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58" Type="http://schemas.openxmlformats.org/officeDocument/2006/relationships/hyperlink" Target="https://acc.autodesk.com/docs/files/projects/1e597176-a716-43f8-be36-fdbb47ecdee5?folderUrn=urn:adsk.wipprod:fs.folder:co.412vmwRUS5WvAkIPx4HNUw&amp;entityId=urn:adsk.wipprod:dm.lineage:-L851NZ7QQK1Len5enymtg&amp;viewModel=detail&amp;moduleId=folders" TargetMode="External"/><Relationship Id="rId115" Type="http://schemas.openxmlformats.org/officeDocument/2006/relationships/hyperlink" Target="https://acc.autodesk.com/docs/files/projects/1e597176-a716-43f8-be36-fdbb47ecdee5?folderUrn=urn:adsk.wipprod:fs.folder:co.P6KU4gmUR526k4wTa-dzMQ" TargetMode="External"/><Relationship Id="rId236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tddyO0YVTje8U3ZF0yUdGw&amp;viewModel=detail&amp;moduleId=folders" TargetMode="External"/><Relationship Id="rId357" Type="http://schemas.openxmlformats.org/officeDocument/2006/relationships/hyperlink" Target="https://acc.autodesk.com/docs/files/projects/1e597176-a716-43f8-be36-fdbb47ecdee5?folderUrn=urn:adsk.wipprod:fs.folder:co.412vmwRUS5WvAkIPx4HNUw" TargetMode="External"/><Relationship Id="rId119" Type="http://schemas.openxmlformats.org/officeDocument/2006/relationships/hyperlink" Target="https://acc.autodesk.com/docs/files/projects/1e597176-a716-43f8-be36-fdbb47ecdee5?folderUrn=urn:adsk.wipprod:fs.folder:co.P6KU4gmUR526k4wTa-dzMQ" TargetMode="External"/><Relationship Id="rId110" Type="http://schemas.openxmlformats.org/officeDocument/2006/relationships/hyperlink" Target="https://acc.autodesk.com/docs/files/projects/1e597176-a716-43f8-be36-fdbb47ecdee5?folderUrn=urn:adsk.wipprod:fs.folder:co.M8BwkpPFTwm0h2gRoHD-sQ&amp;entityId=urn:adsk.wipprod:dm.lineage:QxSznMmGRniPM-6boQRqag&amp;viewModel=detail&amp;moduleId=folders" TargetMode="External"/><Relationship Id="rId231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52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yfuRfzH7RiGxq3dSiEvUpg&amp;viewModel=detail&amp;moduleId=folders" TargetMode="External"/><Relationship Id="rId230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hazvYksCRxSWQVAIwoMjyg&amp;viewModel=detail&amp;moduleId=folders" TargetMode="External"/><Relationship Id="rId351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350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ji7u3d3BRja0VcrX_JeMqA&amp;viewModel=detail&amp;moduleId=folders" TargetMode="External"/><Relationship Id="rId114" Type="http://schemas.openxmlformats.org/officeDocument/2006/relationships/hyperlink" Target="https://acc.autodesk.com/docs/files/projects/1e597176-a716-43f8-be36-fdbb47ecdee5?folderUrn=urn:adsk.wipprod:fs.folder:co.M8BwkpPFTwm0h2gRoHD-sQ&amp;entityId=urn:adsk.wipprod:dm.lineage:ahG9QMT7Ts-DHBHhfGX_hQ&amp;viewModel=detail&amp;moduleId=folders" TargetMode="External"/><Relationship Id="rId235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56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dl0bSi3ORjK97yho4q0cvg&amp;viewModel=detail&amp;moduleId=folders" TargetMode="External"/><Relationship Id="rId113" Type="http://schemas.openxmlformats.org/officeDocument/2006/relationships/hyperlink" Target="https://acc.autodesk.com/docs/files/projects/1e597176-a716-43f8-be36-fdbb47ecdee5?folderUrn=urn:adsk.wipprod:fs.folder:co.M8BwkpPFTwm0h2gRoHD-sQ" TargetMode="External"/><Relationship Id="rId234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oyzj_WN6QgC69Tpef8ZJ_g&amp;viewModel=detail&amp;moduleId=folders" TargetMode="External"/><Relationship Id="rId355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112" Type="http://schemas.openxmlformats.org/officeDocument/2006/relationships/hyperlink" Target="https://acc.autodesk.com/docs/files/projects/1e597176-a716-43f8-be36-fdbb47ecdee5?folderUrn=urn:adsk.wipprod:fs.folder:co.M8BwkpPFTwm0h2gRoHD-sQ&amp;entityId=urn:adsk.wipprod:dm.lineage:amLhyfY0SjuQXlfOt_eryg&amp;viewModel=detail&amp;moduleId=folders" TargetMode="External"/><Relationship Id="rId233" Type="http://schemas.openxmlformats.org/officeDocument/2006/relationships/hyperlink" Target="https://acc.autodesk.com/docs/files/projects/1e597176-a716-43f8-be36-fdbb47ecdee5?folderUrn=urn:adsk.wipprod:fs.folder:co.gneW-1t2SpuUo6Nf7Rj1vQ" TargetMode="External"/><Relationship Id="rId354" Type="http://schemas.openxmlformats.org/officeDocument/2006/relationships/hyperlink" Target="https://acc.autodesk.com/docs/files/projects/1e597176-a716-43f8-be36-fdbb47ecdee5?folderUrn=urn:adsk.wipprod:fs.folder:co.bz21ao8BRRyrw6m_EIgMPw&amp;entityId=urn:adsk.wipprod:dm.lineage:yueTjGQnT9mrr5aW-8hwJA&amp;viewModel=detail&amp;moduleId=folders" TargetMode="External"/><Relationship Id="rId111" Type="http://schemas.openxmlformats.org/officeDocument/2006/relationships/hyperlink" Target="https://acc.autodesk.com/docs/files/projects/1e597176-a716-43f8-be36-fdbb47ecdee5?folderUrn=urn:adsk.wipprod:fs.folder:co.M8BwkpPFTwm0h2gRoHD-sQ" TargetMode="External"/><Relationship Id="rId232" Type="http://schemas.openxmlformats.org/officeDocument/2006/relationships/hyperlink" Target="https://acc.autodesk.com/docs/files/projects/1e597176-a716-43f8-be36-fdbb47ecdee5?folderUrn=urn:adsk.wipprod:fs.folder:co.gneW-1t2SpuUo6Nf7Rj1vQ&amp;entityId=urn:adsk.wipprod:dm.lineage:lFeq4-trQmuB5DP1GimbCQ&amp;viewModel=detail&amp;moduleId=folders" TargetMode="External"/><Relationship Id="rId353" Type="http://schemas.openxmlformats.org/officeDocument/2006/relationships/hyperlink" Target="https://acc.autodesk.com/docs/files/projects/1e597176-a716-43f8-be36-fdbb47ecdee5?folderUrn=urn:adsk.wipprod:fs.folder:co.bz21ao8BRRyrw6m_EIgMPw" TargetMode="External"/><Relationship Id="rId30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26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62ES28VNRm2fBDVMyW7ztw&amp;viewModel=detail&amp;moduleId=folders" TargetMode="External"/><Relationship Id="rId30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jwjmY-i1RBCC5RiIJ1qNDA&amp;viewModel=detail&amp;moduleId=folders" TargetMode="External"/><Relationship Id="rId425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30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24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y5N5UplJStCxdM4Nq7WLzg&amp;viewModel=detail&amp;moduleId=folders" TargetMode="External"/><Relationship Id="rId30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cR17Y7COT2GVseB1mFPvrw&amp;viewModel=detail&amp;moduleId=folders" TargetMode="External"/><Relationship Id="rId423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30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0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EcLp_VKzQou1x97toKnLnw&amp;viewModel=detail&amp;moduleId=folders" TargetMode="External"/><Relationship Id="rId429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30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28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JZsxrLdMQHq7fhaPEXTkuA&amp;viewModel=detail&amp;moduleId=folders" TargetMode="External"/><Relationship Id="rId30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R7AU8hcsSfKp1anG8lhHrg&amp;viewModel=detail&amp;moduleId=folders" TargetMode="External"/><Relationship Id="rId427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30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22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aEupkExLTim4BpeWtPmWYg&amp;viewModel=detail&amp;moduleId=folders" TargetMode="External"/><Relationship Id="rId30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qgcs4WYZRw6R2ha2YSOBWw&amp;viewModel=detail&amp;moduleId=folders" TargetMode="External"/><Relationship Id="rId421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20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ZRWBwPZjR_WwUP8fZGOFbQ&amp;viewModel=detail&amp;moduleId=folders" TargetMode="External"/><Relationship Id="rId415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14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dA4uOpxKRCKNIgyfYS2_lw&amp;viewModel=detail&amp;moduleId=folders" TargetMode="External"/><Relationship Id="rId413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12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GfZb0xX4RleY8ZW-gekDwg&amp;viewModel=detail&amp;moduleId=folders" TargetMode="External"/><Relationship Id="rId419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18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Byjj3RpeRuOdpGmTxIZ2yw&amp;viewModel=detail&amp;moduleId=folders" TargetMode="External"/><Relationship Id="rId417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16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eiaoQCiKTBKHiqeb5QAUvA&amp;viewModel=detail&amp;moduleId=folders" TargetMode="External"/><Relationship Id="rId411" Type="http://schemas.openxmlformats.org/officeDocument/2006/relationships/hyperlink" Target="https://acc.autodesk.com/docs/files/projects/1e597176-a716-43f8-be36-fdbb47ecdee5?folderUrn=urn:adsk.wipprod:fs.folder:co.3hoTHM-8TmiCBb87zdnAhg" TargetMode="External"/><Relationship Id="rId410" Type="http://schemas.openxmlformats.org/officeDocument/2006/relationships/hyperlink" Target="https://acc.autodesk.com/docs/files/projects/1e597176-a716-43f8-be36-fdbb47ecdee5?folderUrn=urn:adsk.wipprod:fs.folder:co.3hoTHM-8TmiCBb87zdnAhg&amp;entityId=urn:adsk.wipprod:dm.lineage:ZyBaJ8tXQl-2rR-B30Qghw&amp;viewModel=detail&amp;moduleId=folders" TargetMode="External"/><Relationship Id="rId206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OZlzLFNOR6ye_3MjSGCOsg&amp;viewModel=detail&amp;moduleId=folders" TargetMode="External"/><Relationship Id="rId32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205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2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FtRmeWF7T_yjEuCmisFTSg&amp;viewModel=detail&amp;moduleId=folders" TargetMode="External"/><Relationship Id="rId447" Type="http://schemas.openxmlformats.org/officeDocument/2006/relationships/drawing" Target="../drawings/drawing4.xml"/><Relationship Id="rId204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Xe0ge1RZQvKnaT0990RiVQ&amp;viewModel=detail&amp;moduleId=folders" TargetMode="External"/><Relationship Id="rId32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46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PK0Ew6xdSkqHsSGyjHhM3w&amp;viewModel=detail&amp;moduleId=folders" TargetMode="External"/><Relationship Id="rId203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2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np-T00LySf6w0tL-QYGj6A&amp;viewModel=detail&amp;moduleId=folders" TargetMode="External"/><Relationship Id="rId445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209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208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pnP-GTOnS0y6lIdr6Hm1ug&amp;viewModel=detail&amp;moduleId=folders" TargetMode="External"/><Relationship Id="rId32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207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2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LwzcFHQnSTWa4hLDItv9Lg&amp;viewModel=detail&amp;moduleId=folders" TargetMode="External"/><Relationship Id="rId440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vujasY1fQDyCtj9k5sTTXA&amp;viewModel=detail&amp;moduleId=folders" TargetMode="External"/><Relationship Id="rId202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a29XPfgtTUOc0-Ter74jZw&amp;viewModel=detail&amp;moduleId=folders" TargetMode="External"/><Relationship Id="rId32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44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cY4U20RdTUySvbg2DO46Sg&amp;viewModel=detail&amp;moduleId=folders" TargetMode="External"/><Relationship Id="rId201" Type="http://schemas.openxmlformats.org/officeDocument/2006/relationships/hyperlink" Target="https://acc.autodesk.com/docs/files/projects/1e597176-a716-43f8-be36-fdbb47ecdee5?folderUrn=urn:adsk.wipprod:fs.folder:co.BtADxt2wTy-hdvOnJPUroQ" TargetMode="External"/><Relationship Id="rId32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ozVaFPd6R3a_eO3u_1_5kw&amp;viewModel=detail&amp;moduleId=folders" TargetMode="External"/><Relationship Id="rId443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200" Type="http://schemas.openxmlformats.org/officeDocument/2006/relationships/hyperlink" Target="https://acc.autodesk.com/docs/files/projects/1e597176-a716-43f8-be36-fdbb47ecdee5?folderUrn=urn:adsk.wipprod:fs.folder:co.BtADxt2wTy-hdvOnJPUroQ&amp;entityId=urn:adsk.wipprod:dm.lineage:-bWe5omaTsGBXy0h2a2LlA&amp;viewModel=detail&amp;moduleId=folders" TargetMode="External"/><Relationship Id="rId32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42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vnUbmdpUQHKHrgaqHqwUxA&amp;viewModel=detail&amp;moduleId=folders" TargetMode="External"/><Relationship Id="rId32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MV5cfC1rS4ilX1d7M4cB0w&amp;viewModel=detail&amp;moduleId=folders" TargetMode="External"/><Relationship Id="rId441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316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egSR_lstROWZ-Z0iWMO0_g&amp;viewModel=detail&amp;moduleId=folders" TargetMode="External"/><Relationship Id="rId437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315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36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yyZaUWS3Q6CyMNjaaulFKQ&amp;viewModel=detail&amp;moduleId=folders" TargetMode="External"/><Relationship Id="rId314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ZTKgopOmTFOEjJoU_rfoiw&amp;viewModel=detail&amp;moduleId=folders" TargetMode="External"/><Relationship Id="rId435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313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34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T95pgcedT7-lNBmv6h7ZDw&amp;viewModel=detail&amp;moduleId=folders" TargetMode="External"/><Relationship Id="rId319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318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ZOAjE6gLRJmbUfw6WhzXTw&amp;viewModel=detail&amp;moduleId=folders" TargetMode="External"/><Relationship Id="rId439" Type="http://schemas.openxmlformats.org/officeDocument/2006/relationships/hyperlink" Target="https://acc.autodesk.com/docs/files/projects/1e597176-a716-43f8-be36-fdbb47ecdee5?folderUrn=urn:adsk.wipprod:fs.folder:co._e4NGP3nTAqnnsE7qGOKUQ" TargetMode="External"/><Relationship Id="rId317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38" Type="http://schemas.openxmlformats.org/officeDocument/2006/relationships/hyperlink" Target="https://acc.autodesk.com/docs/files/projects/1e597176-a716-43f8-be36-fdbb47ecdee5?folderUrn=urn:adsk.wipprod:fs.folder:co._e4NGP3nTAqnnsE7qGOKUQ&amp;entityId=urn:adsk.wipprod:dm.lineage:lAPKa1pDQaaiT1WLLQjp6A&amp;viewModel=detail&amp;moduleId=folders" TargetMode="External"/><Relationship Id="rId312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4l9t_DQQRZ6z6hxYsg0IGg&amp;viewModel=detail&amp;moduleId=folders" TargetMode="External"/><Relationship Id="rId433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311" Type="http://schemas.openxmlformats.org/officeDocument/2006/relationships/hyperlink" Target="https://acc.autodesk.com/docs/files/projects/1e597176-a716-43f8-be36-fdbb47ecdee5?folderUrn=urn:adsk.wipprod:fs.folder:co.FxNM7TmRQoCV0Idg7eQ7qQ" TargetMode="External"/><Relationship Id="rId432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Mq4gZGxBQrqABpmz9PLyig&amp;viewModel=detail&amp;moduleId=folders" TargetMode="External"/><Relationship Id="rId310" Type="http://schemas.openxmlformats.org/officeDocument/2006/relationships/hyperlink" Target="https://acc.autodesk.com/docs/files/projects/1e597176-a716-43f8-be36-fdbb47ecdee5?folderUrn=urn:adsk.wipprod:fs.folder:co.FxNM7TmRQoCV0Idg7eQ7qQ&amp;entityId=urn:adsk.wipprod:dm.lineage:T5pYvFjGRaedXb1Vw6JoTg&amp;viewModel=detail&amp;moduleId=folders" TargetMode="External"/><Relationship Id="rId431" Type="http://schemas.openxmlformats.org/officeDocument/2006/relationships/hyperlink" Target="https://acc.autodesk.com/docs/files/projects/1e597176-a716-43f8-be36-fdbb47ecdee5?folderUrn=urn:adsk.wipprod:fs.folder:co.n7NyBqMQSDeL5nGLUmdk7A" TargetMode="External"/><Relationship Id="rId430" Type="http://schemas.openxmlformats.org/officeDocument/2006/relationships/hyperlink" Target="https://acc.autodesk.com/docs/files/projects/1e597176-a716-43f8-be36-fdbb47ecdee5?folderUrn=urn:adsk.wipprod:fs.folder:co.n7NyBqMQSDeL5nGLUmdk7A&amp;entityId=urn:adsk.wipprod:dm.lineage:66E-mhkFR4av2u8SnsJCZg&amp;viewModel=detail&amp;moduleId=fol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8.88"/>
    <col customWidth="1" min="2" max="2" width="34.63"/>
    <col customWidth="1" hidden="1" min="3" max="3" width="14.63"/>
    <col customWidth="1" min="4" max="4" width="28.63"/>
    <col customWidth="1" hidden="1" min="5" max="5" width="15.13"/>
    <col customWidth="1" min="6" max="8" width="21.88"/>
    <col customWidth="1" min="9" max="9" width="25.5"/>
    <col customWidth="1" min="10" max="10" width="16.13"/>
    <col customWidth="1" min="11" max="11" width="17.38"/>
    <col customWidth="1" min="12" max="13" width="40.88"/>
    <col customWidth="1" hidden="1" min="14" max="14" width="15.88"/>
    <col customWidth="1" hidden="1" min="15" max="15" width="32.38"/>
    <col customWidth="1" min="16" max="30" width="34.25"/>
    <col customWidth="1" min="31" max="91" width="29.13"/>
    <col customWidth="1" hidden="1" min="92" max="92" width="40.13"/>
    <col customWidth="1" hidden="1" min="93" max="93" width="20.63"/>
    <col customWidth="1" hidden="1" min="94" max="94" width="24.88"/>
    <col customWidth="1" hidden="1" min="95" max="95" width="22.88"/>
  </cols>
  <sheetData>
    <row r="1" ht="66.0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6"/>
      <c r="CN1" s="7"/>
      <c r="CO1" s="7"/>
      <c r="CP1" s="7"/>
      <c r="CQ1" s="7"/>
    </row>
    <row r="2">
      <c r="A2" s="8"/>
      <c r="B2" s="9" t="s">
        <v>1</v>
      </c>
      <c r="C2" s="10" t="s">
        <v>2</v>
      </c>
      <c r="D2" s="11" t="s">
        <v>3</v>
      </c>
      <c r="E2" s="12" t="s">
        <v>2</v>
      </c>
      <c r="F2" s="13" t="s">
        <v>4</v>
      </c>
      <c r="G2" s="13" t="s">
        <v>5</v>
      </c>
      <c r="H2" s="11" t="s">
        <v>6</v>
      </c>
      <c r="I2" s="11" t="s">
        <v>7</v>
      </c>
      <c r="J2" s="14" t="s">
        <v>8</v>
      </c>
      <c r="K2" s="11" t="s">
        <v>9</v>
      </c>
      <c r="L2" s="15" t="s">
        <v>10</v>
      </c>
      <c r="M2" s="16" t="s">
        <v>11</v>
      </c>
      <c r="N2" s="17" t="s">
        <v>12</v>
      </c>
      <c r="O2" s="18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20</v>
      </c>
      <c r="W2" s="19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1" t="s">
        <v>49</v>
      </c>
      <c r="AZ2" s="11" t="s">
        <v>50</v>
      </c>
      <c r="BA2" s="11" t="s">
        <v>51</v>
      </c>
      <c r="BB2" s="11" t="s">
        <v>52</v>
      </c>
      <c r="BC2" s="11" t="s">
        <v>53</v>
      </c>
      <c r="BD2" s="11" t="s">
        <v>54</v>
      </c>
      <c r="BE2" s="11" t="s">
        <v>55</v>
      </c>
      <c r="BF2" s="11" t="s">
        <v>56</v>
      </c>
      <c r="BG2" s="11" t="s">
        <v>57</v>
      </c>
      <c r="BH2" s="11" t="s">
        <v>58</v>
      </c>
      <c r="BI2" s="11" t="s">
        <v>59</v>
      </c>
      <c r="BJ2" s="11" t="s">
        <v>60</v>
      </c>
      <c r="BK2" s="11" t="s">
        <v>61</v>
      </c>
      <c r="BL2" s="11" t="s">
        <v>62</v>
      </c>
      <c r="BM2" s="11" t="s">
        <v>63</v>
      </c>
      <c r="BN2" s="11" t="s">
        <v>64</v>
      </c>
      <c r="BO2" s="11" t="s">
        <v>65</v>
      </c>
      <c r="BP2" s="11" t="s">
        <v>66</v>
      </c>
      <c r="BQ2" s="11" t="s">
        <v>67</v>
      </c>
      <c r="BR2" s="11" t="s">
        <v>68</v>
      </c>
      <c r="BS2" s="11" t="s">
        <v>69</v>
      </c>
      <c r="BT2" s="11" t="s">
        <v>70</v>
      </c>
      <c r="BU2" s="11" t="s">
        <v>71</v>
      </c>
      <c r="BV2" s="11" t="s">
        <v>72</v>
      </c>
      <c r="BW2" s="11" t="s">
        <v>73</v>
      </c>
      <c r="BX2" s="11" t="s">
        <v>74</v>
      </c>
      <c r="BY2" s="11" t="s">
        <v>75</v>
      </c>
      <c r="BZ2" s="11" t="s">
        <v>76</v>
      </c>
      <c r="CA2" s="11" t="s">
        <v>77</v>
      </c>
      <c r="CB2" s="11" t="s">
        <v>78</v>
      </c>
      <c r="CC2" s="11" t="s">
        <v>79</v>
      </c>
      <c r="CD2" s="11" t="s">
        <v>80</v>
      </c>
      <c r="CE2" s="11" t="s">
        <v>81</v>
      </c>
      <c r="CF2" s="11" t="s">
        <v>82</v>
      </c>
      <c r="CG2" s="11" t="s">
        <v>83</v>
      </c>
      <c r="CH2" s="11" t="s">
        <v>84</v>
      </c>
      <c r="CI2" s="11" t="s">
        <v>85</v>
      </c>
      <c r="CJ2" s="11" t="s">
        <v>86</v>
      </c>
      <c r="CK2" s="11" t="s">
        <v>87</v>
      </c>
      <c r="CL2" s="11" t="s">
        <v>88</v>
      </c>
      <c r="CM2" s="20" t="s">
        <v>89</v>
      </c>
      <c r="CN2" s="21" t="s">
        <v>90</v>
      </c>
      <c r="CO2" s="22" t="s">
        <v>91</v>
      </c>
      <c r="CP2" s="22" t="s">
        <v>92</v>
      </c>
      <c r="CQ2" s="22" t="s">
        <v>93</v>
      </c>
    </row>
    <row r="3" ht="18.0" customHeight="1">
      <c r="A3" s="23">
        <v>28.0</v>
      </c>
      <c r="B3" s="24" t="s">
        <v>94</v>
      </c>
      <c r="C3" s="25">
        <v>1114.0</v>
      </c>
      <c r="D3" s="26" t="s">
        <v>94</v>
      </c>
      <c r="E3" s="27">
        <v>1114.0</v>
      </c>
      <c r="F3" s="28" t="str">
        <f>IFERROR(VLOOKUP(L3:L64,'R22 RELATÓRIO ACC'!B:F,5,FALSE),"NOT PUBLISHED")</f>
        <v>V15</v>
      </c>
      <c r="G3" s="28" t="str">
        <f>IFERROR(VLOOKUP(L3:L64,'R22 RELATÓRIO ACC'!B:P,15,FALSE),"NOT PUBLISHED")</f>
        <v>27/04/2026</v>
      </c>
      <c r="H3" s="29" t="str">
        <f>IFERROR(VLOOKUP(M3:M64,'RELATÓRIO ACC'!B:F,5,FALSE),"NOT PUBLISHED")</f>
        <v>V3</v>
      </c>
      <c r="I3" s="29" t="str">
        <f>IFERROR(VLOOKUP(M3:M64,'RELATÓRIO ACC'!B:P,15,FALSE),"NOT PUBLISHED")</f>
        <v>12/07/2026</v>
      </c>
      <c r="J3" s="30" t="s">
        <v>95</v>
      </c>
      <c r="K3" s="31" t="s">
        <v>96</v>
      </c>
      <c r="L3" s="32" t="s">
        <v>97</v>
      </c>
      <c r="M3" s="32" t="s">
        <v>98</v>
      </c>
      <c r="N3" s="33" t="b">
        <v>1</v>
      </c>
      <c r="O3" s="34" t="b">
        <v>1</v>
      </c>
      <c r="P3" s="35" t="s">
        <v>99</v>
      </c>
      <c r="Q3" s="36" t="s">
        <v>100</v>
      </c>
      <c r="R3" s="37" t="s">
        <v>100</v>
      </c>
      <c r="S3" s="38" t="s">
        <v>101</v>
      </c>
      <c r="T3" s="37" t="s">
        <v>100</v>
      </c>
      <c r="U3" s="39" t="s">
        <v>101</v>
      </c>
      <c r="V3" s="40" t="s">
        <v>102</v>
      </c>
      <c r="W3" s="41" t="s">
        <v>101</v>
      </c>
      <c r="X3" s="40" t="s">
        <v>102</v>
      </c>
      <c r="Y3" s="42" t="s">
        <v>101</v>
      </c>
      <c r="Z3" s="40" t="s">
        <v>102</v>
      </c>
      <c r="AA3" s="43" t="s">
        <v>101</v>
      </c>
      <c r="AB3" s="40" t="s">
        <v>102</v>
      </c>
      <c r="AC3" s="43" t="s">
        <v>101</v>
      </c>
      <c r="AD3" s="40" t="s">
        <v>102</v>
      </c>
      <c r="AE3" s="42" t="s">
        <v>101</v>
      </c>
      <c r="AF3" s="40" t="s">
        <v>102</v>
      </c>
      <c r="AG3" s="39" t="s">
        <v>101</v>
      </c>
      <c r="AH3" s="40" t="s">
        <v>102</v>
      </c>
      <c r="AI3" s="43" t="s">
        <v>101</v>
      </c>
      <c r="AJ3" s="40" t="s">
        <v>102</v>
      </c>
      <c r="AK3" s="39" t="s">
        <v>101</v>
      </c>
      <c r="AL3" s="40" t="s">
        <v>102</v>
      </c>
      <c r="AM3" s="39" t="s">
        <v>101</v>
      </c>
      <c r="AN3" s="40" t="s">
        <v>102</v>
      </c>
      <c r="AO3" s="39" t="s">
        <v>101</v>
      </c>
      <c r="AP3" s="40" t="s">
        <v>102</v>
      </c>
      <c r="AQ3" s="39" t="s">
        <v>101</v>
      </c>
      <c r="AR3" s="40" t="s">
        <v>102</v>
      </c>
      <c r="AS3" s="39" t="s">
        <v>101</v>
      </c>
      <c r="AT3" s="40" t="s">
        <v>102</v>
      </c>
      <c r="AU3" s="39" t="s">
        <v>101</v>
      </c>
      <c r="AV3" s="40" t="s">
        <v>102</v>
      </c>
      <c r="AW3" s="44" t="s">
        <v>101</v>
      </c>
      <c r="AX3" s="45" t="s">
        <v>102</v>
      </c>
      <c r="AY3" s="42" t="s">
        <v>101</v>
      </c>
      <c r="AZ3" s="40" t="s">
        <v>102</v>
      </c>
      <c r="BA3" s="42" t="s">
        <v>101</v>
      </c>
      <c r="BB3" s="46" t="s">
        <v>102</v>
      </c>
      <c r="BC3" s="41" t="s">
        <v>101</v>
      </c>
      <c r="BD3" s="46" t="s">
        <v>102</v>
      </c>
      <c r="BE3" s="41" t="s">
        <v>101</v>
      </c>
      <c r="BF3" s="46" t="s">
        <v>102</v>
      </c>
      <c r="BG3" s="41" t="s">
        <v>101</v>
      </c>
      <c r="BH3" s="46" t="s">
        <v>102</v>
      </c>
      <c r="BI3" s="41" t="s">
        <v>101</v>
      </c>
      <c r="BJ3" s="46" t="s">
        <v>102</v>
      </c>
      <c r="BK3" s="41" t="s">
        <v>101</v>
      </c>
      <c r="BL3" s="46" t="s">
        <v>102</v>
      </c>
      <c r="BM3" s="41" t="s">
        <v>101</v>
      </c>
      <c r="BN3" s="46" t="s">
        <v>102</v>
      </c>
      <c r="BO3" s="41" t="s">
        <v>101</v>
      </c>
      <c r="BP3" s="40" t="s">
        <v>102</v>
      </c>
      <c r="BQ3" s="47" t="s">
        <v>101</v>
      </c>
      <c r="BR3" s="48" t="s">
        <v>103</v>
      </c>
      <c r="BS3" s="49" t="s">
        <v>104</v>
      </c>
      <c r="BT3" s="50" t="s">
        <v>105</v>
      </c>
      <c r="BU3" s="51" t="s">
        <v>105</v>
      </c>
      <c r="BV3" s="52" t="s">
        <v>106</v>
      </c>
      <c r="BW3" s="52" t="s">
        <v>106</v>
      </c>
      <c r="BX3" s="53" t="s">
        <v>106</v>
      </c>
      <c r="BY3" s="53" t="s">
        <v>106</v>
      </c>
      <c r="BZ3" s="54" t="s">
        <v>103</v>
      </c>
      <c r="CA3" s="49" t="s">
        <v>104</v>
      </c>
      <c r="CB3" s="55" t="s">
        <v>105</v>
      </c>
      <c r="CC3" s="55" t="s">
        <v>105</v>
      </c>
      <c r="CD3" s="55" t="s">
        <v>105</v>
      </c>
      <c r="CE3" s="55" t="s">
        <v>105</v>
      </c>
      <c r="CF3" s="53" t="s">
        <v>106</v>
      </c>
      <c r="CG3" s="53" t="s">
        <v>106</v>
      </c>
      <c r="CH3" s="56" t="s">
        <v>103</v>
      </c>
      <c r="CI3" s="57" t="s">
        <v>104</v>
      </c>
      <c r="CJ3" s="50" t="s">
        <v>107</v>
      </c>
      <c r="CK3" s="58" t="s">
        <v>107</v>
      </c>
      <c r="CL3" s="58" t="s">
        <v>107</v>
      </c>
      <c r="CM3" s="59" t="str">
        <f t="shared" ref="CM3:CM69" si="1">IF(
  OR(CL3="APPROVED", CL3="PREVIOUSLY APPROVED"),
  "APPROVED",
  "REPROVED"
)</f>
        <v>REPROVED</v>
      </c>
      <c r="CN3" s="60"/>
      <c r="CO3" s="61"/>
      <c r="CP3" s="62" t="s">
        <v>108</v>
      </c>
      <c r="CQ3" s="63" t="s">
        <v>109</v>
      </c>
    </row>
    <row r="4">
      <c r="A4" s="23">
        <v>31.0</v>
      </c>
      <c r="B4" s="64" t="s">
        <v>110</v>
      </c>
      <c r="C4" s="65">
        <v>1112.0</v>
      </c>
      <c r="D4" s="66" t="s">
        <v>110</v>
      </c>
      <c r="E4" s="67"/>
      <c r="F4" s="28" t="str">
        <f>IFERROR(VLOOKUP(L4:L65,'R22 RELATÓRIO ACC'!B:F,5,FALSE),"NOT PUBLISHED")</f>
        <v>V11</v>
      </c>
      <c r="G4" s="28" t="str">
        <f>IFERROR(VLOOKUP(L4:L65,'R22 RELATÓRIO ACC'!B:P,15,FALSE),"NOT PUBLISHED")</f>
        <v>08/05/2026</v>
      </c>
      <c r="H4" s="29" t="str">
        <f>IFERROR(VLOOKUP(M4:M65,'RELATÓRIO ACC'!B:F,5,FALSE),"NOT PUBLISHED")</f>
        <v>V3</v>
      </c>
      <c r="I4" s="29" t="str">
        <f>IFERROR(VLOOKUP(M4:M65,'RELATÓRIO ACC'!B:P,15,FALSE),"NOT PUBLISHED")</f>
        <v>10/07/2026</v>
      </c>
      <c r="J4" s="68" t="s">
        <v>111</v>
      </c>
      <c r="K4" s="31" t="s">
        <v>112</v>
      </c>
      <c r="L4" s="69" t="s">
        <v>113</v>
      </c>
      <c r="M4" s="69" t="s">
        <v>114</v>
      </c>
      <c r="N4" s="70" t="b">
        <v>1</v>
      </c>
      <c r="O4" s="34" t="b">
        <v>0</v>
      </c>
      <c r="P4" s="71" t="s">
        <v>99</v>
      </c>
      <c r="Q4" s="71" t="s">
        <v>99</v>
      </c>
      <c r="R4" s="72" t="s">
        <v>103</v>
      </c>
      <c r="S4" s="73" t="s">
        <v>115</v>
      </c>
      <c r="T4" s="58" t="s">
        <v>105</v>
      </c>
      <c r="U4" s="74" t="s">
        <v>105</v>
      </c>
      <c r="V4" s="58" t="s">
        <v>105</v>
      </c>
      <c r="W4" s="75" t="s">
        <v>105</v>
      </c>
      <c r="X4" s="75" t="s">
        <v>105</v>
      </c>
      <c r="Y4" s="51" t="s">
        <v>105</v>
      </c>
      <c r="Z4" s="58" t="s">
        <v>105</v>
      </c>
      <c r="AA4" s="75" t="s">
        <v>105</v>
      </c>
      <c r="AB4" s="58" t="s">
        <v>105</v>
      </c>
      <c r="AC4" s="75" t="s">
        <v>105</v>
      </c>
      <c r="AD4" s="58" t="s">
        <v>105</v>
      </c>
      <c r="AE4" s="51" t="s">
        <v>105</v>
      </c>
      <c r="AF4" s="58" t="s">
        <v>105</v>
      </c>
      <c r="AG4" s="74" t="s">
        <v>105</v>
      </c>
      <c r="AH4" s="58" t="s">
        <v>105</v>
      </c>
      <c r="AI4" s="75" t="s">
        <v>105</v>
      </c>
      <c r="AJ4" s="58" t="s">
        <v>105</v>
      </c>
      <c r="AK4" s="74" t="s">
        <v>105</v>
      </c>
      <c r="AL4" s="48" t="s">
        <v>103</v>
      </c>
      <c r="AM4" s="76" t="s">
        <v>104</v>
      </c>
      <c r="AN4" s="48" t="s">
        <v>103</v>
      </c>
      <c r="AO4" s="76" t="s">
        <v>104</v>
      </c>
      <c r="AP4" s="58" t="s">
        <v>105</v>
      </c>
      <c r="AQ4" s="74" t="s">
        <v>105</v>
      </c>
      <c r="AR4" s="48" t="s">
        <v>103</v>
      </c>
      <c r="AS4" s="76" t="s">
        <v>104</v>
      </c>
      <c r="AT4" s="48" t="s">
        <v>103</v>
      </c>
      <c r="AU4" s="76" t="s">
        <v>104</v>
      </c>
      <c r="AV4" s="58" t="s">
        <v>105</v>
      </c>
      <c r="AW4" s="55" t="s">
        <v>105</v>
      </c>
      <c r="AX4" s="55" t="s">
        <v>105</v>
      </c>
      <c r="AY4" s="51" t="s">
        <v>105</v>
      </c>
      <c r="AZ4" s="48" t="s">
        <v>103</v>
      </c>
      <c r="BA4" s="77" t="s">
        <v>104</v>
      </c>
      <c r="BB4" s="50" t="s">
        <v>105</v>
      </c>
      <c r="BC4" s="50" t="s">
        <v>105</v>
      </c>
      <c r="BD4" s="78" t="s">
        <v>106</v>
      </c>
      <c r="BE4" s="78" t="s">
        <v>106</v>
      </c>
      <c r="BF4" s="78" t="s">
        <v>106</v>
      </c>
      <c r="BG4" s="79" t="s">
        <v>106</v>
      </c>
      <c r="BH4" s="56" t="s">
        <v>103</v>
      </c>
      <c r="BI4" s="49" t="s">
        <v>104</v>
      </c>
      <c r="BJ4" s="80" t="s">
        <v>103</v>
      </c>
      <c r="BK4" s="49" t="s">
        <v>104</v>
      </c>
      <c r="BL4" s="50" t="s">
        <v>105</v>
      </c>
      <c r="BM4" s="50" t="s">
        <v>105</v>
      </c>
      <c r="BN4" s="50" t="s">
        <v>105</v>
      </c>
      <c r="BO4" s="50" t="s">
        <v>105</v>
      </c>
      <c r="BP4" s="58" t="s">
        <v>105</v>
      </c>
      <c r="BQ4" s="58" t="s">
        <v>105</v>
      </c>
      <c r="BR4" s="52" t="s">
        <v>106</v>
      </c>
      <c r="BS4" s="53" t="s">
        <v>106</v>
      </c>
      <c r="BT4" s="56" t="s">
        <v>103</v>
      </c>
      <c r="BU4" s="81" t="s">
        <v>104</v>
      </c>
      <c r="BV4" s="52" t="s">
        <v>106</v>
      </c>
      <c r="BW4" s="52" t="s">
        <v>106</v>
      </c>
      <c r="BX4" s="82" t="s">
        <v>116</v>
      </c>
      <c r="BY4" s="82" t="s">
        <v>116</v>
      </c>
      <c r="BZ4" s="50" t="s">
        <v>105</v>
      </c>
      <c r="CA4" s="50" t="s">
        <v>105</v>
      </c>
      <c r="CB4" s="55" t="s">
        <v>105</v>
      </c>
      <c r="CC4" s="55" t="s">
        <v>105</v>
      </c>
      <c r="CD4" s="53" t="s">
        <v>106</v>
      </c>
      <c r="CE4" s="83" t="s">
        <v>106</v>
      </c>
      <c r="CF4" s="54" t="s">
        <v>103</v>
      </c>
      <c r="CG4" s="84" t="s">
        <v>104</v>
      </c>
      <c r="CH4" s="50" t="s">
        <v>105</v>
      </c>
      <c r="CI4" s="50" t="s">
        <v>105</v>
      </c>
      <c r="CJ4" s="48" t="s">
        <v>103</v>
      </c>
      <c r="CK4" s="85" t="s">
        <v>104</v>
      </c>
      <c r="CL4" s="48" t="s">
        <v>103</v>
      </c>
      <c r="CM4" s="59" t="str">
        <f t="shared" si="1"/>
        <v>REPROVED</v>
      </c>
      <c r="CN4" s="60"/>
      <c r="CO4" s="61"/>
      <c r="CP4" s="86" t="s">
        <v>108</v>
      </c>
      <c r="CQ4" s="87" t="s">
        <v>117</v>
      </c>
    </row>
    <row r="5">
      <c r="A5" s="23">
        <v>30.0</v>
      </c>
      <c r="B5" s="64" t="s">
        <v>110</v>
      </c>
      <c r="C5" s="65">
        <v>1112.0</v>
      </c>
      <c r="D5" s="88" t="s">
        <v>110</v>
      </c>
      <c r="E5" s="67">
        <v>1112.0</v>
      </c>
      <c r="F5" s="28" t="str">
        <f>IFERROR(VLOOKUP(L5:L66,'R22 RELATÓRIO ACC'!B:F,5,FALSE),"NOT PUBLISHED")</f>
        <v>V24</v>
      </c>
      <c r="G5" s="28" t="str">
        <f>IFERROR(VLOOKUP(L5:L66,'R22 RELATÓRIO ACC'!B:P,15,FALSE),"NOT PUBLISHED")</f>
        <v>15/05/2026</v>
      </c>
      <c r="H5" s="29" t="str">
        <f>IFERROR(VLOOKUP(M5:M66,'RELATÓRIO ACC'!B:F,5,FALSE),"NOT PUBLISHED")</f>
        <v>V2</v>
      </c>
      <c r="I5" s="29" t="str">
        <f>IFERROR(VLOOKUP(M5:M66,'RELATÓRIO ACC'!B:P,15,FALSE),"NOT PUBLISHED")</f>
        <v>06/07/2026</v>
      </c>
      <c r="J5" s="68" t="s">
        <v>118</v>
      </c>
      <c r="K5" s="30">
        <v>46161.0</v>
      </c>
      <c r="L5" s="69" t="s">
        <v>119</v>
      </c>
      <c r="M5" s="69" t="s">
        <v>120</v>
      </c>
      <c r="N5" s="70" t="b">
        <v>1</v>
      </c>
      <c r="O5" s="89" t="s">
        <v>121</v>
      </c>
      <c r="P5" s="71" t="s">
        <v>99</v>
      </c>
      <c r="Q5" s="48" t="s">
        <v>103</v>
      </c>
      <c r="R5" s="48" t="s">
        <v>103</v>
      </c>
      <c r="S5" s="90" t="s">
        <v>115</v>
      </c>
      <c r="T5" s="48" t="s">
        <v>103</v>
      </c>
      <c r="U5" s="73" t="s">
        <v>115</v>
      </c>
      <c r="V5" s="58" t="s">
        <v>105</v>
      </c>
      <c r="W5" s="75" t="s">
        <v>105</v>
      </c>
      <c r="X5" s="75" t="s">
        <v>105</v>
      </c>
      <c r="Y5" s="51" t="s">
        <v>105</v>
      </c>
      <c r="Z5" s="58" t="s">
        <v>105</v>
      </c>
      <c r="AA5" s="75" t="s">
        <v>105</v>
      </c>
      <c r="AB5" s="58" t="s">
        <v>105</v>
      </c>
      <c r="AC5" s="75" t="s">
        <v>105</v>
      </c>
      <c r="AD5" s="58" t="s">
        <v>105</v>
      </c>
      <c r="AE5" s="51" t="s">
        <v>105</v>
      </c>
      <c r="AF5" s="58" t="s">
        <v>105</v>
      </c>
      <c r="AG5" s="74" t="s">
        <v>105</v>
      </c>
      <c r="AH5" s="48" t="s">
        <v>103</v>
      </c>
      <c r="AI5" s="91" t="s">
        <v>104</v>
      </c>
      <c r="AJ5" s="58" t="s">
        <v>105</v>
      </c>
      <c r="AK5" s="74" t="s">
        <v>105</v>
      </c>
      <c r="AL5" s="48" t="s">
        <v>103</v>
      </c>
      <c r="AM5" s="76" t="s">
        <v>104</v>
      </c>
      <c r="AN5" s="48" t="s">
        <v>103</v>
      </c>
      <c r="AO5" s="76" t="s">
        <v>104</v>
      </c>
      <c r="AP5" s="58" t="s">
        <v>105</v>
      </c>
      <c r="AQ5" s="74" t="s">
        <v>105</v>
      </c>
      <c r="AR5" s="58" t="s">
        <v>105</v>
      </c>
      <c r="AS5" s="76" t="s">
        <v>101</v>
      </c>
      <c r="AT5" s="48" t="s">
        <v>103</v>
      </c>
      <c r="AU5" s="76" t="s">
        <v>104</v>
      </c>
      <c r="AV5" s="58" t="s">
        <v>105</v>
      </c>
      <c r="AW5" s="55" t="s">
        <v>105</v>
      </c>
      <c r="AX5" s="55" t="s">
        <v>105</v>
      </c>
      <c r="AY5" s="55" t="s">
        <v>105</v>
      </c>
      <c r="AZ5" s="48" t="s">
        <v>103</v>
      </c>
      <c r="BA5" s="77" t="s">
        <v>104</v>
      </c>
      <c r="BB5" s="50" t="s">
        <v>105</v>
      </c>
      <c r="BC5" s="50" t="s">
        <v>105</v>
      </c>
      <c r="BD5" s="78" t="s">
        <v>106</v>
      </c>
      <c r="BE5" s="78" t="s">
        <v>106</v>
      </c>
      <c r="BF5" s="56" t="s">
        <v>103</v>
      </c>
      <c r="BG5" s="57" t="s">
        <v>104</v>
      </c>
      <c r="BH5" s="50" t="s">
        <v>105</v>
      </c>
      <c r="BI5" s="50" t="s">
        <v>105</v>
      </c>
      <c r="BJ5" s="80" t="s">
        <v>103</v>
      </c>
      <c r="BK5" s="49" t="s">
        <v>104</v>
      </c>
      <c r="BL5" s="92" t="s">
        <v>106</v>
      </c>
      <c r="BM5" s="92" t="s">
        <v>106</v>
      </c>
      <c r="BN5" s="80" t="s">
        <v>103</v>
      </c>
      <c r="BO5" s="49" t="s">
        <v>104</v>
      </c>
      <c r="BP5" s="92" t="s">
        <v>106</v>
      </c>
      <c r="BQ5" s="92" t="s">
        <v>106</v>
      </c>
      <c r="BR5" s="56" t="s">
        <v>103</v>
      </c>
      <c r="BS5" s="49" t="s">
        <v>104</v>
      </c>
      <c r="BT5" s="56" t="s">
        <v>103</v>
      </c>
      <c r="BU5" s="49" t="s">
        <v>104</v>
      </c>
      <c r="BV5" s="58" t="s">
        <v>105</v>
      </c>
      <c r="BW5" s="58" t="s">
        <v>105</v>
      </c>
      <c r="BX5" s="50" t="s">
        <v>105</v>
      </c>
      <c r="BY5" s="58" t="s">
        <v>105</v>
      </c>
      <c r="BZ5" s="50" t="s">
        <v>105</v>
      </c>
      <c r="CA5" s="50" t="s">
        <v>105</v>
      </c>
      <c r="CB5" s="50" t="s">
        <v>105</v>
      </c>
      <c r="CC5" s="50" t="s">
        <v>105</v>
      </c>
      <c r="CD5" s="50" t="s">
        <v>105</v>
      </c>
      <c r="CE5" s="50" t="s">
        <v>105</v>
      </c>
      <c r="CF5" s="55" t="s">
        <v>105</v>
      </c>
      <c r="CG5" s="58" t="s">
        <v>105</v>
      </c>
      <c r="CH5" s="50" t="s">
        <v>105</v>
      </c>
      <c r="CI5" s="50" t="s">
        <v>105</v>
      </c>
      <c r="CJ5" s="50" t="s">
        <v>107</v>
      </c>
      <c r="CK5" s="58" t="s">
        <v>107</v>
      </c>
      <c r="CL5" s="58" t="s">
        <v>107</v>
      </c>
      <c r="CM5" s="59" t="str">
        <f t="shared" si="1"/>
        <v>REPROVED</v>
      </c>
      <c r="CN5" s="60"/>
      <c r="CO5" s="61"/>
      <c r="CP5" s="62" t="s">
        <v>108</v>
      </c>
      <c r="CQ5" s="62" t="s">
        <v>122</v>
      </c>
    </row>
    <row r="6">
      <c r="A6" s="23">
        <v>10.0</v>
      </c>
      <c r="B6" s="93" t="s">
        <v>123</v>
      </c>
      <c r="C6" s="94"/>
      <c r="D6" s="95" t="s">
        <v>124</v>
      </c>
      <c r="E6" s="96">
        <v>1126.0</v>
      </c>
      <c r="F6" s="28" t="str">
        <f>IFERROR(VLOOKUP(L6:L67,'R22 RELATÓRIO ACC'!B:F,5,FALSE),"NOT PUBLISHED")</f>
        <v>V24</v>
      </c>
      <c r="G6" s="28" t="str">
        <f>IFERROR(VLOOKUP(L6:L67,'R22 RELATÓRIO ACC'!B:P,15,FALSE),"NOT PUBLISHED")</f>
        <v>07/04/2026</v>
      </c>
      <c r="H6" s="29" t="str">
        <f>IFERROR(VLOOKUP(M6:M67,'RELATÓRIO ACC'!B:F,5,FALSE),"NOT PUBLISHED")</f>
        <v>V2</v>
      </c>
      <c r="I6" s="29" t="str">
        <f>IFERROR(VLOOKUP(M6:M67,'RELATÓRIO ACC'!B:P,15,FALSE),"NOT PUBLISHED")</f>
        <v>27/05/2026</v>
      </c>
      <c r="J6" s="68" t="s">
        <v>125</v>
      </c>
      <c r="K6" s="97">
        <v>46086.0</v>
      </c>
      <c r="L6" s="69" t="s">
        <v>126</v>
      </c>
      <c r="M6" s="69" t="s">
        <v>127</v>
      </c>
      <c r="N6" s="70" t="b">
        <v>1</v>
      </c>
      <c r="O6" s="98" t="s">
        <v>121</v>
      </c>
      <c r="P6" s="71" t="s">
        <v>99</v>
      </c>
      <c r="Q6" s="72" t="s">
        <v>103</v>
      </c>
      <c r="R6" s="48" t="s">
        <v>103</v>
      </c>
      <c r="S6" s="73" t="s">
        <v>115</v>
      </c>
      <c r="T6" s="48" t="s">
        <v>103</v>
      </c>
      <c r="U6" s="99" t="s">
        <v>115</v>
      </c>
      <c r="V6" s="58" t="s">
        <v>105</v>
      </c>
      <c r="W6" s="75" t="s">
        <v>105</v>
      </c>
      <c r="X6" s="72" t="s">
        <v>103</v>
      </c>
      <c r="Y6" s="100" t="s">
        <v>115</v>
      </c>
      <c r="Z6" s="58" t="s">
        <v>105</v>
      </c>
      <c r="AA6" s="75" t="s">
        <v>105</v>
      </c>
      <c r="AB6" s="48" t="s">
        <v>103</v>
      </c>
      <c r="AC6" s="100" t="s">
        <v>115</v>
      </c>
      <c r="AD6" s="58" t="s">
        <v>105</v>
      </c>
      <c r="AE6" s="51" t="s">
        <v>105</v>
      </c>
      <c r="AF6" s="48" t="s">
        <v>103</v>
      </c>
      <c r="AG6" s="101" t="s">
        <v>115</v>
      </c>
      <c r="AH6" s="48" t="s">
        <v>103</v>
      </c>
      <c r="AI6" s="76" t="s">
        <v>104</v>
      </c>
      <c r="AJ6" s="74" t="s">
        <v>105</v>
      </c>
      <c r="AK6" s="74" t="s">
        <v>105</v>
      </c>
      <c r="AL6" s="48" t="s">
        <v>103</v>
      </c>
      <c r="AM6" s="76" t="s">
        <v>104</v>
      </c>
      <c r="AN6" s="48" t="s">
        <v>103</v>
      </c>
      <c r="AO6" s="76" t="s">
        <v>104</v>
      </c>
      <c r="AP6" s="48" t="s">
        <v>103</v>
      </c>
      <c r="AQ6" s="76" t="s">
        <v>104</v>
      </c>
      <c r="AR6" s="48" t="s">
        <v>103</v>
      </c>
      <c r="AS6" s="76" t="s">
        <v>104</v>
      </c>
      <c r="AT6" s="48" t="s">
        <v>103</v>
      </c>
      <c r="AU6" s="76" t="s">
        <v>104</v>
      </c>
      <c r="AV6" s="48" t="s">
        <v>103</v>
      </c>
      <c r="AW6" s="84" t="s">
        <v>104</v>
      </c>
      <c r="AX6" s="55" t="s">
        <v>100</v>
      </c>
      <c r="AY6" s="44" t="s">
        <v>101</v>
      </c>
      <c r="AZ6" s="40" t="s">
        <v>102</v>
      </c>
      <c r="BA6" s="44" t="s">
        <v>101</v>
      </c>
      <c r="BB6" s="46" t="s">
        <v>102</v>
      </c>
      <c r="BC6" s="41" t="s">
        <v>101</v>
      </c>
      <c r="BD6" s="46" t="s">
        <v>102</v>
      </c>
      <c r="BE6" s="41" t="s">
        <v>101</v>
      </c>
      <c r="BF6" s="46" t="s">
        <v>102</v>
      </c>
      <c r="BG6" s="41" t="s">
        <v>101</v>
      </c>
      <c r="BH6" s="46" t="s">
        <v>102</v>
      </c>
      <c r="BI6" s="41" t="s">
        <v>101</v>
      </c>
      <c r="BJ6" s="46" t="s">
        <v>102</v>
      </c>
      <c r="BK6" s="41" t="s">
        <v>101</v>
      </c>
      <c r="BL6" s="46" t="s">
        <v>102</v>
      </c>
      <c r="BM6" s="41" t="s">
        <v>101</v>
      </c>
      <c r="BN6" s="46" t="s">
        <v>102</v>
      </c>
      <c r="BO6" s="41" t="s">
        <v>101</v>
      </c>
      <c r="BP6" s="46" t="s">
        <v>102</v>
      </c>
      <c r="BQ6" s="41" t="s">
        <v>101</v>
      </c>
      <c r="BR6" s="46" t="s">
        <v>102</v>
      </c>
      <c r="BS6" s="41" t="s">
        <v>101</v>
      </c>
      <c r="BT6" s="46" t="s">
        <v>102</v>
      </c>
      <c r="BU6" s="41" t="s">
        <v>101</v>
      </c>
      <c r="BV6" s="40" t="s">
        <v>102</v>
      </c>
      <c r="BW6" s="47" t="s">
        <v>101</v>
      </c>
      <c r="BX6" s="46" t="s">
        <v>102</v>
      </c>
      <c r="BY6" s="41" t="s">
        <v>101</v>
      </c>
      <c r="BZ6" s="45" t="s">
        <v>102</v>
      </c>
      <c r="CA6" s="44" t="s">
        <v>101</v>
      </c>
      <c r="CB6" s="45" t="s">
        <v>102</v>
      </c>
      <c r="CC6" s="44" t="s">
        <v>101</v>
      </c>
      <c r="CD6" s="45" t="s">
        <v>102</v>
      </c>
      <c r="CE6" s="44" t="s">
        <v>101</v>
      </c>
      <c r="CF6" s="45" t="s">
        <v>102</v>
      </c>
      <c r="CG6" s="44" t="s">
        <v>101</v>
      </c>
      <c r="CH6" s="45" t="s">
        <v>102</v>
      </c>
      <c r="CI6" s="44" t="s">
        <v>101</v>
      </c>
      <c r="CJ6" s="48" t="s">
        <v>103</v>
      </c>
      <c r="CK6" s="85" t="s">
        <v>104</v>
      </c>
      <c r="CL6" s="48" t="s">
        <v>103</v>
      </c>
      <c r="CM6" s="59" t="str">
        <f t="shared" si="1"/>
        <v>REPROVED</v>
      </c>
      <c r="CN6" s="60"/>
      <c r="CO6" s="61"/>
      <c r="CP6" s="62" t="s">
        <v>128</v>
      </c>
      <c r="CQ6" s="62" t="s">
        <v>122</v>
      </c>
    </row>
    <row r="7">
      <c r="A7" s="23">
        <v>26.0</v>
      </c>
      <c r="B7" s="64" t="s">
        <v>110</v>
      </c>
      <c r="C7" s="65"/>
      <c r="D7" s="26" t="s">
        <v>129</v>
      </c>
      <c r="E7" s="67">
        <v>1129.0</v>
      </c>
      <c r="F7" s="28" t="str">
        <f>IFERROR(VLOOKUP(L7:L68,'R22 RELATÓRIO ACC'!B:F,5,FALSE),"NOT PUBLISHED")</f>
        <v>V52</v>
      </c>
      <c r="G7" s="28" t="str">
        <f>IFERROR(VLOOKUP(L7:L68,'R22 RELATÓRIO ACC'!B:P,15,FALSE),"NOT PUBLISHED")</f>
        <v>30/04/2026</v>
      </c>
      <c r="H7" s="29" t="str">
        <f>IFERROR(VLOOKUP(M7:M68,'RELATÓRIO ACC'!B:F,5,FALSE),"NOT PUBLISHED")</f>
        <v>V4</v>
      </c>
      <c r="I7" s="29" t="str">
        <f>IFERROR(VLOOKUP(M7:M68,'RELATÓRIO ACC'!B:P,15,FALSE),"NOT PUBLISHED")</f>
        <v>06/07/2026</v>
      </c>
      <c r="J7" s="30" t="s">
        <v>130</v>
      </c>
      <c r="K7" s="30" t="s">
        <v>131</v>
      </c>
      <c r="L7" s="69" t="s">
        <v>132</v>
      </c>
      <c r="M7" s="102" t="s">
        <v>133</v>
      </c>
      <c r="N7" s="70" t="b">
        <v>1</v>
      </c>
      <c r="O7" s="70" t="b">
        <v>1</v>
      </c>
      <c r="P7" s="71" t="s">
        <v>99</v>
      </c>
      <c r="Q7" s="48" t="s">
        <v>103</v>
      </c>
      <c r="R7" s="48" t="s">
        <v>103</v>
      </c>
      <c r="S7" s="73" t="s">
        <v>115</v>
      </c>
      <c r="T7" s="48" t="s">
        <v>103</v>
      </c>
      <c r="U7" s="73" t="s">
        <v>115</v>
      </c>
      <c r="V7" s="72" t="s">
        <v>103</v>
      </c>
      <c r="W7" s="100" t="s">
        <v>115</v>
      </c>
      <c r="X7" s="75" t="s">
        <v>105</v>
      </c>
      <c r="Y7" s="75" t="s">
        <v>105</v>
      </c>
      <c r="Z7" s="48" t="s">
        <v>103</v>
      </c>
      <c r="AA7" s="100" t="s">
        <v>115</v>
      </c>
      <c r="AB7" s="58" t="s">
        <v>105</v>
      </c>
      <c r="AC7" s="75" t="s">
        <v>105</v>
      </c>
      <c r="AD7" s="48" t="s">
        <v>103</v>
      </c>
      <c r="AE7" s="103" t="s">
        <v>115</v>
      </c>
      <c r="AF7" s="48" t="s">
        <v>103</v>
      </c>
      <c r="AG7" s="101" t="s">
        <v>115</v>
      </c>
      <c r="AH7" s="58" t="s">
        <v>106</v>
      </c>
      <c r="AI7" s="74" t="s">
        <v>106</v>
      </c>
      <c r="AJ7" s="104" t="s">
        <v>103</v>
      </c>
      <c r="AK7" s="105" t="s">
        <v>104</v>
      </c>
      <c r="AL7" s="48" t="s">
        <v>103</v>
      </c>
      <c r="AM7" s="76" t="s">
        <v>104</v>
      </c>
      <c r="AN7" s="48" t="s">
        <v>103</v>
      </c>
      <c r="AO7" s="84" t="s">
        <v>104</v>
      </c>
      <c r="AP7" s="58" t="s">
        <v>105</v>
      </c>
      <c r="AQ7" s="55" t="s">
        <v>105</v>
      </c>
      <c r="AR7" s="58" t="s">
        <v>105</v>
      </c>
      <c r="AS7" s="74" t="s">
        <v>105</v>
      </c>
      <c r="AT7" s="48" t="s">
        <v>103</v>
      </c>
      <c r="AU7" s="84" t="s">
        <v>104</v>
      </c>
      <c r="AV7" s="48" t="s">
        <v>103</v>
      </c>
      <c r="AW7" s="84" t="s">
        <v>104</v>
      </c>
      <c r="AX7" s="55" t="s">
        <v>105</v>
      </c>
      <c r="AY7" s="55" t="s">
        <v>105</v>
      </c>
      <c r="AZ7" s="48" t="s">
        <v>103</v>
      </c>
      <c r="BA7" s="106" t="s">
        <v>104</v>
      </c>
      <c r="BB7" s="50" t="s">
        <v>105</v>
      </c>
      <c r="BC7" s="50" t="s">
        <v>105</v>
      </c>
      <c r="BD7" s="50" t="s">
        <v>105</v>
      </c>
      <c r="BE7" s="50" t="s">
        <v>105</v>
      </c>
      <c r="BF7" s="78" t="s">
        <v>106</v>
      </c>
      <c r="BG7" s="78" t="s">
        <v>106</v>
      </c>
      <c r="BH7" s="56" t="s">
        <v>103</v>
      </c>
      <c r="BI7" s="49" t="s">
        <v>104</v>
      </c>
      <c r="BJ7" s="80" t="s">
        <v>103</v>
      </c>
      <c r="BK7" s="49" t="s">
        <v>104</v>
      </c>
      <c r="BL7" s="50" t="s">
        <v>105</v>
      </c>
      <c r="BM7" s="50" t="s">
        <v>105</v>
      </c>
      <c r="BN7" s="50" t="s">
        <v>105</v>
      </c>
      <c r="BO7" s="50" t="s">
        <v>105</v>
      </c>
      <c r="BP7" s="92" t="s">
        <v>106</v>
      </c>
      <c r="BQ7" s="92" t="s">
        <v>106</v>
      </c>
      <c r="BR7" s="56" t="s">
        <v>103</v>
      </c>
      <c r="BS7" s="49" t="s">
        <v>104</v>
      </c>
      <c r="BT7" s="58" t="s">
        <v>105</v>
      </c>
      <c r="BU7" s="58" t="s">
        <v>105</v>
      </c>
      <c r="BV7" s="52" t="s">
        <v>106</v>
      </c>
      <c r="BW7" s="52" t="s">
        <v>106</v>
      </c>
      <c r="BX7" s="82" t="s">
        <v>116</v>
      </c>
      <c r="BY7" s="107" t="s">
        <v>116</v>
      </c>
      <c r="BZ7" s="55" t="s">
        <v>105</v>
      </c>
      <c r="CA7" s="55" t="s">
        <v>105</v>
      </c>
      <c r="CB7" s="54" t="s">
        <v>103</v>
      </c>
      <c r="CC7" s="84" t="s">
        <v>104</v>
      </c>
      <c r="CD7" s="55" t="s">
        <v>105</v>
      </c>
      <c r="CE7" s="55" t="s">
        <v>105</v>
      </c>
      <c r="CF7" s="55" t="s">
        <v>105</v>
      </c>
      <c r="CG7" s="55" t="s">
        <v>105</v>
      </c>
      <c r="CH7" s="83" t="s">
        <v>106</v>
      </c>
      <c r="CI7" s="83" t="s">
        <v>106</v>
      </c>
      <c r="CJ7" s="48" t="s">
        <v>103</v>
      </c>
      <c r="CK7" s="85" t="s">
        <v>104</v>
      </c>
      <c r="CL7" s="48" t="s">
        <v>103</v>
      </c>
      <c r="CM7" s="59" t="str">
        <f t="shared" si="1"/>
        <v>REPROVED</v>
      </c>
      <c r="CN7" s="60"/>
      <c r="CO7" s="61" t="b">
        <v>0</v>
      </c>
      <c r="CP7" s="62" t="s">
        <v>108</v>
      </c>
      <c r="CQ7" s="62" t="s">
        <v>109</v>
      </c>
    </row>
    <row r="8" ht="21.75" customHeight="1">
      <c r="A8" s="23">
        <v>66.0</v>
      </c>
      <c r="B8" s="108" t="s">
        <v>110</v>
      </c>
      <c r="C8" s="109">
        <v>1112.0</v>
      </c>
      <c r="D8" s="66" t="s">
        <v>110</v>
      </c>
      <c r="E8" s="67"/>
      <c r="F8" s="28" t="str">
        <f>IFERROR(VLOOKUP(L8:L69,'R22 RELATÓRIO ACC'!B:F,5,FALSE),"NOT PUBLISHED")</f>
        <v>V13</v>
      </c>
      <c r="G8" s="28" t="str">
        <f>IFERROR(VLOOKUP(L8:L69,'R22 RELATÓRIO ACC'!B:P,15,FALSE),"NOT PUBLISHED")</f>
        <v>12/05/2026</v>
      </c>
      <c r="H8" s="29" t="str">
        <f>IFERROR(VLOOKUP(M8:M69,'RELATÓRIO ACC'!B:F,5,FALSE),"NOT PUBLISHED")</f>
        <v>V5</v>
      </c>
      <c r="I8" s="29" t="str">
        <f>IFERROR(VLOOKUP(M8:M69,'RELATÓRIO ACC'!B:P,15,FALSE),"NOT PUBLISHED")</f>
        <v>13/07/2026</v>
      </c>
      <c r="J8" s="68" t="s">
        <v>134</v>
      </c>
      <c r="K8" s="30">
        <v>46216.0</v>
      </c>
      <c r="L8" s="110" t="s">
        <v>135</v>
      </c>
      <c r="M8" s="110" t="s">
        <v>136</v>
      </c>
      <c r="N8" s="70" t="b">
        <v>1</v>
      </c>
      <c r="O8" s="70" t="b">
        <v>0</v>
      </c>
      <c r="P8" s="71" t="s">
        <v>99</v>
      </c>
      <c r="Q8" s="71" t="s">
        <v>99</v>
      </c>
      <c r="R8" s="111" t="s">
        <v>99</v>
      </c>
      <c r="S8" s="71" t="s">
        <v>99</v>
      </c>
      <c r="T8" s="111" t="s">
        <v>99</v>
      </c>
      <c r="U8" s="71" t="s">
        <v>99</v>
      </c>
      <c r="V8" s="71" t="s">
        <v>99</v>
      </c>
      <c r="W8" s="71" t="s">
        <v>99</v>
      </c>
      <c r="X8" s="111" t="s">
        <v>99</v>
      </c>
      <c r="Y8" s="71" t="s">
        <v>99</v>
      </c>
      <c r="Z8" s="111" t="s">
        <v>99</v>
      </c>
      <c r="AA8" s="71" t="s">
        <v>99</v>
      </c>
      <c r="AB8" s="48" t="s">
        <v>103</v>
      </c>
      <c r="AC8" s="100" t="s">
        <v>115</v>
      </c>
      <c r="AD8" s="48" t="s">
        <v>103</v>
      </c>
      <c r="AE8" s="103" t="s">
        <v>115</v>
      </c>
      <c r="AF8" s="104" t="s">
        <v>103</v>
      </c>
      <c r="AG8" s="101" t="s">
        <v>115</v>
      </c>
      <c r="AH8" s="58" t="s">
        <v>105</v>
      </c>
      <c r="AI8" s="74" t="s">
        <v>105</v>
      </c>
      <c r="AJ8" s="74" t="s">
        <v>105</v>
      </c>
      <c r="AK8" s="74" t="s">
        <v>105</v>
      </c>
      <c r="AL8" s="48" t="s">
        <v>103</v>
      </c>
      <c r="AM8" s="76" t="s">
        <v>104</v>
      </c>
      <c r="AN8" s="48" t="s">
        <v>103</v>
      </c>
      <c r="AO8" s="76" t="s">
        <v>104</v>
      </c>
      <c r="AP8" s="55" t="s">
        <v>105</v>
      </c>
      <c r="AQ8" s="74" t="s">
        <v>105</v>
      </c>
      <c r="AR8" s="112" t="s">
        <v>103</v>
      </c>
      <c r="AS8" s="81" t="s">
        <v>104</v>
      </c>
      <c r="AT8" s="58" t="s">
        <v>105</v>
      </c>
      <c r="AU8" s="74" t="s">
        <v>105</v>
      </c>
      <c r="AV8" s="54" t="s">
        <v>103</v>
      </c>
      <c r="AW8" s="84" t="s">
        <v>104</v>
      </c>
      <c r="AX8" s="58" t="s">
        <v>105</v>
      </c>
      <c r="AY8" s="55" t="s">
        <v>105</v>
      </c>
      <c r="AZ8" s="54" t="s">
        <v>103</v>
      </c>
      <c r="BA8" s="106" t="s">
        <v>104</v>
      </c>
      <c r="BB8" s="50" t="s">
        <v>105</v>
      </c>
      <c r="BC8" s="50" t="s">
        <v>105</v>
      </c>
      <c r="BD8" s="50" t="s">
        <v>105</v>
      </c>
      <c r="BE8" s="50" t="s">
        <v>105</v>
      </c>
      <c r="BF8" s="78" t="s">
        <v>106</v>
      </c>
      <c r="BG8" s="78" t="s">
        <v>106</v>
      </c>
      <c r="BH8" s="113" t="s">
        <v>116</v>
      </c>
      <c r="BI8" s="49" t="s">
        <v>104</v>
      </c>
      <c r="BJ8" s="50" t="s">
        <v>105</v>
      </c>
      <c r="BK8" s="50" t="s">
        <v>105</v>
      </c>
      <c r="BL8" s="80" t="s">
        <v>103</v>
      </c>
      <c r="BM8" s="49" t="s">
        <v>104</v>
      </c>
      <c r="BN8" s="50" t="s">
        <v>105</v>
      </c>
      <c r="BO8" s="50" t="s">
        <v>105</v>
      </c>
      <c r="BP8" s="92" t="s">
        <v>106</v>
      </c>
      <c r="BQ8" s="92" t="s">
        <v>106</v>
      </c>
      <c r="BR8" s="48" t="s">
        <v>103</v>
      </c>
      <c r="BS8" s="81" t="s">
        <v>104</v>
      </c>
      <c r="BT8" s="58" t="s">
        <v>105</v>
      </c>
      <c r="BU8" s="58" t="s">
        <v>105</v>
      </c>
      <c r="BV8" s="52" t="s">
        <v>106</v>
      </c>
      <c r="BW8" s="52" t="s">
        <v>106</v>
      </c>
      <c r="BX8" s="56" t="s">
        <v>103</v>
      </c>
      <c r="BY8" s="81" t="s">
        <v>104</v>
      </c>
      <c r="BZ8" s="55" t="s">
        <v>105</v>
      </c>
      <c r="CA8" s="55" t="s">
        <v>105</v>
      </c>
      <c r="CB8" s="54" t="s">
        <v>103</v>
      </c>
      <c r="CC8" s="84" t="s">
        <v>104</v>
      </c>
      <c r="CD8" s="55" t="s">
        <v>105</v>
      </c>
      <c r="CE8" s="55" t="s">
        <v>105</v>
      </c>
      <c r="CF8" s="54" t="s">
        <v>103</v>
      </c>
      <c r="CG8" s="106" t="s">
        <v>104</v>
      </c>
      <c r="CH8" s="83" t="s">
        <v>106</v>
      </c>
      <c r="CI8" s="83" t="s">
        <v>106</v>
      </c>
      <c r="CJ8" s="54" t="s">
        <v>103</v>
      </c>
      <c r="CK8" s="85" t="s">
        <v>104</v>
      </c>
      <c r="CL8" s="48" t="s">
        <v>103</v>
      </c>
      <c r="CM8" s="59" t="str">
        <f t="shared" si="1"/>
        <v>REPROVED</v>
      </c>
      <c r="CN8" s="60"/>
      <c r="CO8" s="61"/>
      <c r="CP8" s="62" t="s">
        <v>108</v>
      </c>
      <c r="CQ8" s="114" t="s">
        <v>109</v>
      </c>
    </row>
    <row r="9">
      <c r="A9" s="23">
        <v>3.0</v>
      </c>
      <c r="B9" s="115" t="s">
        <v>137</v>
      </c>
      <c r="C9" s="116"/>
      <c r="D9" s="117" t="s">
        <v>138</v>
      </c>
      <c r="E9" s="67"/>
      <c r="F9" s="28" t="str">
        <f>IFERROR(VLOOKUP(L9:L70,'R22 RELATÓRIO ACC'!B:F,5,FALSE),"NOT PUBLISHED")</f>
        <v>V12</v>
      </c>
      <c r="G9" s="28" t="str">
        <f>IFERROR(VLOOKUP(L9:L70,'R22 RELATÓRIO ACC'!B:P,15,FALSE),"NOT PUBLISHED")</f>
        <v>05/05/2026</v>
      </c>
      <c r="H9" s="29" t="str">
        <f>IFERROR(VLOOKUP(M9:M70,'RELATÓRIO ACC'!B:F,5,FALSE),"NOT PUBLISHED")</f>
        <v>V5</v>
      </c>
      <c r="I9" s="29" t="str">
        <f>IFERROR(VLOOKUP(M9:M70,'RELATÓRIO ACC'!B:P,15,FALSE),"NOT PUBLISHED")</f>
        <v>22/06/2026</v>
      </c>
      <c r="J9" s="30" t="s">
        <v>134</v>
      </c>
      <c r="K9" s="97" t="s">
        <v>139</v>
      </c>
      <c r="L9" s="69" t="s">
        <v>140</v>
      </c>
      <c r="M9" s="69" t="s">
        <v>141</v>
      </c>
      <c r="N9" s="70" t="b">
        <v>1</v>
      </c>
      <c r="O9" s="70" t="b">
        <v>0</v>
      </c>
      <c r="P9" s="71" t="s">
        <v>99</v>
      </c>
      <c r="Q9" s="111" t="s">
        <v>99</v>
      </c>
      <c r="R9" s="111" t="s">
        <v>99</v>
      </c>
      <c r="S9" s="71" t="s">
        <v>99</v>
      </c>
      <c r="T9" s="111" t="s">
        <v>99</v>
      </c>
      <c r="U9" s="71" t="s">
        <v>99</v>
      </c>
      <c r="V9" s="71" t="s">
        <v>99</v>
      </c>
      <c r="W9" s="71" t="s">
        <v>99</v>
      </c>
      <c r="X9" s="118" t="s">
        <v>100</v>
      </c>
      <c r="Y9" s="43" t="s">
        <v>101</v>
      </c>
      <c r="Z9" s="119" t="s">
        <v>102</v>
      </c>
      <c r="AA9" s="43" t="s">
        <v>101</v>
      </c>
      <c r="AB9" s="119" t="s">
        <v>102</v>
      </c>
      <c r="AC9" s="43" t="s">
        <v>101</v>
      </c>
      <c r="AD9" s="119" t="s">
        <v>102</v>
      </c>
      <c r="AE9" s="42" t="s">
        <v>101</v>
      </c>
      <c r="AF9" s="120" t="s">
        <v>102</v>
      </c>
      <c r="AG9" s="39" t="s">
        <v>101</v>
      </c>
      <c r="AH9" s="119" t="s">
        <v>102</v>
      </c>
      <c r="AI9" s="39" t="s">
        <v>101</v>
      </c>
      <c r="AJ9" s="120" t="s">
        <v>102</v>
      </c>
      <c r="AK9" s="39" t="s">
        <v>101</v>
      </c>
      <c r="AL9" s="40" t="s">
        <v>102</v>
      </c>
      <c r="AM9" s="39" t="s">
        <v>101</v>
      </c>
      <c r="AN9" s="40" t="s">
        <v>102</v>
      </c>
      <c r="AO9" s="39" t="s">
        <v>101</v>
      </c>
      <c r="AP9" s="45" t="s">
        <v>102</v>
      </c>
      <c r="AQ9" s="39" t="s">
        <v>101</v>
      </c>
      <c r="AR9" s="40" t="s">
        <v>102</v>
      </c>
      <c r="AS9" s="47" t="s">
        <v>101</v>
      </c>
      <c r="AT9" s="40" t="s">
        <v>102</v>
      </c>
      <c r="AU9" s="39" t="s">
        <v>101</v>
      </c>
      <c r="AV9" s="45" t="s">
        <v>102</v>
      </c>
      <c r="AW9" s="44" t="s">
        <v>101</v>
      </c>
      <c r="AX9" s="40" t="s">
        <v>102</v>
      </c>
      <c r="AY9" s="44" t="s">
        <v>101</v>
      </c>
      <c r="AZ9" s="40" t="s">
        <v>102</v>
      </c>
      <c r="BA9" s="44" t="s">
        <v>101</v>
      </c>
      <c r="BB9" s="46" t="s">
        <v>102</v>
      </c>
      <c r="BC9" s="41" t="s">
        <v>101</v>
      </c>
      <c r="BD9" s="46" t="s">
        <v>102</v>
      </c>
      <c r="BE9" s="41" t="s">
        <v>101</v>
      </c>
      <c r="BF9" s="46" t="s">
        <v>102</v>
      </c>
      <c r="BG9" s="42" t="s">
        <v>101</v>
      </c>
      <c r="BH9" s="46" t="s">
        <v>102</v>
      </c>
      <c r="BI9" s="41" t="s">
        <v>101</v>
      </c>
      <c r="BJ9" s="46" t="s">
        <v>102</v>
      </c>
      <c r="BK9" s="41" t="s">
        <v>101</v>
      </c>
      <c r="BL9" s="46" t="s">
        <v>102</v>
      </c>
      <c r="BM9" s="41" t="s">
        <v>101</v>
      </c>
      <c r="BN9" s="46" t="s">
        <v>102</v>
      </c>
      <c r="BO9" s="41" t="s">
        <v>101</v>
      </c>
      <c r="BP9" s="46" t="s">
        <v>102</v>
      </c>
      <c r="BQ9" s="41" t="s">
        <v>101</v>
      </c>
      <c r="BR9" s="46" t="s">
        <v>102</v>
      </c>
      <c r="BS9" s="41" t="s">
        <v>101</v>
      </c>
      <c r="BT9" s="46" t="s">
        <v>102</v>
      </c>
      <c r="BU9" s="47" t="s">
        <v>101</v>
      </c>
      <c r="BV9" s="40" t="s">
        <v>102</v>
      </c>
      <c r="BW9" s="47" t="s">
        <v>101</v>
      </c>
      <c r="BX9" s="46" t="s">
        <v>102</v>
      </c>
      <c r="BY9" s="47" t="s">
        <v>101</v>
      </c>
      <c r="BZ9" s="45" t="s">
        <v>102</v>
      </c>
      <c r="CA9" s="44" t="s">
        <v>101</v>
      </c>
      <c r="CB9" s="46" t="s">
        <v>102</v>
      </c>
      <c r="CC9" s="41" t="s">
        <v>101</v>
      </c>
      <c r="CD9" s="45" t="s">
        <v>102</v>
      </c>
      <c r="CE9" s="44" t="s">
        <v>101</v>
      </c>
      <c r="CF9" s="45" t="s">
        <v>102</v>
      </c>
      <c r="CG9" s="44" t="s">
        <v>101</v>
      </c>
      <c r="CH9" s="45" t="s">
        <v>102</v>
      </c>
      <c r="CI9" s="44" t="s">
        <v>101</v>
      </c>
      <c r="CJ9" s="54" t="s">
        <v>103</v>
      </c>
      <c r="CK9" s="106" t="s">
        <v>104</v>
      </c>
      <c r="CL9" s="54" t="s">
        <v>103</v>
      </c>
      <c r="CM9" s="59" t="str">
        <f t="shared" si="1"/>
        <v>REPROVED</v>
      </c>
      <c r="CN9" s="60"/>
      <c r="CO9" s="61"/>
      <c r="CP9" s="62" t="s">
        <v>108</v>
      </c>
      <c r="CQ9" s="114" t="s">
        <v>142</v>
      </c>
    </row>
    <row r="10" ht="24.0" customHeight="1">
      <c r="A10" s="23">
        <v>32.0</v>
      </c>
      <c r="B10" s="121" t="s">
        <v>110</v>
      </c>
      <c r="C10" s="109">
        <v>1112.0</v>
      </c>
      <c r="D10" s="66" t="s">
        <v>110</v>
      </c>
      <c r="E10" s="67">
        <v>1112.0</v>
      </c>
      <c r="F10" s="28" t="str">
        <f>IFERROR(VLOOKUP(L10:L71,'R22 RELATÓRIO ACC'!B:F,5,FALSE),"NOT PUBLISHED")</f>
        <v>V17</v>
      </c>
      <c r="G10" s="28" t="str">
        <f>IFERROR(VLOOKUP(L10:L71,'R22 RELATÓRIO ACC'!B:P,15,FALSE),"NOT PUBLISHED")</f>
        <v>14/05/2026</v>
      </c>
      <c r="H10" s="29" t="str">
        <f>IFERROR(VLOOKUP(M10:M71,'RELATÓRIO ACC'!B:F,5,FALSE),"NOT PUBLISHED")</f>
        <v>V4</v>
      </c>
      <c r="I10" s="29" t="str">
        <f>IFERROR(VLOOKUP(M10:M71,'RELATÓRIO ACC'!B:P,15,FALSE),"NOT PUBLISHED")</f>
        <v>25/06/2026</v>
      </c>
      <c r="J10" s="30" t="s">
        <v>130</v>
      </c>
      <c r="K10" s="30" t="s">
        <v>143</v>
      </c>
      <c r="L10" s="69" t="s">
        <v>144</v>
      </c>
      <c r="M10" s="69" t="s">
        <v>145</v>
      </c>
      <c r="N10" s="70" t="b">
        <v>1</v>
      </c>
      <c r="O10" s="70" t="b">
        <v>1</v>
      </c>
      <c r="P10" s="71" t="s">
        <v>99</v>
      </c>
      <c r="Q10" s="48" t="s">
        <v>103</v>
      </c>
      <c r="R10" s="48" t="s">
        <v>103</v>
      </c>
      <c r="S10" s="90" t="s">
        <v>115</v>
      </c>
      <c r="T10" s="48" t="s">
        <v>103</v>
      </c>
      <c r="U10" s="73" t="s">
        <v>115</v>
      </c>
      <c r="V10" s="75" t="s">
        <v>105</v>
      </c>
      <c r="W10" s="75" t="s">
        <v>105</v>
      </c>
      <c r="X10" s="75" t="s">
        <v>105</v>
      </c>
      <c r="Y10" s="75" t="s">
        <v>105</v>
      </c>
      <c r="Z10" s="75" t="s">
        <v>105</v>
      </c>
      <c r="AA10" s="75" t="s">
        <v>105</v>
      </c>
      <c r="AB10" s="75" t="s">
        <v>105</v>
      </c>
      <c r="AC10" s="75" t="s">
        <v>105</v>
      </c>
      <c r="AD10" s="75" t="s">
        <v>105</v>
      </c>
      <c r="AE10" s="51" t="s">
        <v>105</v>
      </c>
      <c r="AF10" s="74" t="s">
        <v>105</v>
      </c>
      <c r="AG10" s="74" t="s">
        <v>105</v>
      </c>
      <c r="AH10" s="104" t="s">
        <v>103</v>
      </c>
      <c r="AI10" s="76" t="s">
        <v>104</v>
      </c>
      <c r="AJ10" s="74" t="s">
        <v>105</v>
      </c>
      <c r="AK10" s="74" t="s">
        <v>105</v>
      </c>
      <c r="AL10" s="48" t="s">
        <v>103</v>
      </c>
      <c r="AM10" s="76" t="s">
        <v>104</v>
      </c>
      <c r="AN10" s="48" t="s">
        <v>103</v>
      </c>
      <c r="AO10" s="76" t="s">
        <v>104</v>
      </c>
      <c r="AP10" s="58" t="s">
        <v>105</v>
      </c>
      <c r="AQ10" s="74" t="s">
        <v>105</v>
      </c>
      <c r="AR10" s="58" t="s">
        <v>105</v>
      </c>
      <c r="AS10" s="76" t="s">
        <v>101</v>
      </c>
      <c r="AT10" s="48" t="s">
        <v>103</v>
      </c>
      <c r="AU10" s="76" t="s">
        <v>104</v>
      </c>
      <c r="AV10" s="55" t="s">
        <v>105</v>
      </c>
      <c r="AW10" s="55" t="s">
        <v>105</v>
      </c>
      <c r="AX10" s="54" t="s">
        <v>103</v>
      </c>
      <c r="AY10" s="84" t="s">
        <v>104</v>
      </c>
      <c r="AZ10" s="58" t="s">
        <v>105</v>
      </c>
      <c r="BA10" s="55" t="s">
        <v>105</v>
      </c>
      <c r="BB10" s="50" t="s">
        <v>105</v>
      </c>
      <c r="BC10" s="50" t="s">
        <v>105</v>
      </c>
      <c r="BD10" s="50" t="s">
        <v>105</v>
      </c>
      <c r="BE10" s="50" t="s">
        <v>105</v>
      </c>
      <c r="BF10" s="78" t="s">
        <v>106</v>
      </c>
      <c r="BG10" s="78" t="s">
        <v>106</v>
      </c>
      <c r="BH10" s="56" t="s">
        <v>103</v>
      </c>
      <c r="BI10" s="49" t="s">
        <v>104</v>
      </c>
      <c r="BJ10" s="50" t="s">
        <v>105</v>
      </c>
      <c r="BK10" s="50" t="s">
        <v>105</v>
      </c>
      <c r="BL10" s="92" t="s">
        <v>106</v>
      </c>
      <c r="BM10" s="92" t="s">
        <v>106</v>
      </c>
      <c r="BN10" s="80" t="s">
        <v>103</v>
      </c>
      <c r="BO10" s="49" t="s">
        <v>104</v>
      </c>
      <c r="BP10" s="113" t="s">
        <v>116</v>
      </c>
      <c r="BQ10" s="113" t="s">
        <v>116</v>
      </c>
      <c r="BR10" s="50" t="s">
        <v>105</v>
      </c>
      <c r="BS10" s="50" t="s">
        <v>105</v>
      </c>
      <c r="BT10" s="56" t="s">
        <v>103</v>
      </c>
      <c r="BU10" s="49" t="s">
        <v>104</v>
      </c>
      <c r="BV10" s="52" t="s">
        <v>106</v>
      </c>
      <c r="BW10" s="52" t="s">
        <v>106</v>
      </c>
      <c r="BX10" s="107" t="s">
        <v>116</v>
      </c>
      <c r="BY10" s="107" t="s">
        <v>116</v>
      </c>
      <c r="BZ10" s="58" t="s">
        <v>105</v>
      </c>
      <c r="CA10" s="58" t="s">
        <v>105</v>
      </c>
      <c r="CB10" s="55" t="s">
        <v>105</v>
      </c>
      <c r="CC10" s="55" t="s">
        <v>105</v>
      </c>
      <c r="CD10" s="54" t="s">
        <v>103</v>
      </c>
      <c r="CE10" s="84" t="s">
        <v>104</v>
      </c>
      <c r="CF10" s="122" t="s">
        <v>116</v>
      </c>
      <c r="CG10" s="122" t="s">
        <v>116</v>
      </c>
      <c r="CH10" s="55" t="s">
        <v>105</v>
      </c>
      <c r="CI10" s="55" t="s">
        <v>105</v>
      </c>
      <c r="CJ10" s="55" t="s">
        <v>105</v>
      </c>
      <c r="CK10" s="55" t="s">
        <v>105</v>
      </c>
      <c r="CL10" s="58" t="s">
        <v>105</v>
      </c>
      <c r="CM10" s="59" t="str">
        <f t="shared" si="1"/>
        <v>REPROVED</v>
      </c>
      <c r="CN10" s="60"/>
      <c r="CO10" s="61" t="b">
        <v>0</v>
      </c>
      <c r="CP10" s="123" t="s">
        <v>108</v>
      </c>
      <c r="CQ10" s="124" t="s">
        <v>109</v>
      </c>
    </row>
    <row r="11">
      <c r="A11" s="23">
        <v>68.0</v>
      </c>
      <c r="B11" s="125" t="s">
        <v>123</v>
      </c>
      <c r="C11" s="109"/>
      <c r="D11" s="126" t="s">
        <v>146</v>
      </c>
      <c r="E11" s="67"/>
      <c r="F11" s="28" t="str">
        <f>IFERROR(VLOOKUP(L11:L72,'R22 RELATÓRIO ACC'!B:F,5,FALSE),"NOT PUBLISHED")</f>
        <v>V4</v>
      </c>
      <c r="G11" s="28" t="str">
        <f>IFERROR(VLOOKUP(L11:L72,'R22 RELATÓRIO ACC'!B:P,15,FALSE),"NOT PUBLISHED")</f>
        <v>29/04/2026</v>
      </c>
      <c r="H11" s="29" t="str">
        <f>IFERROR(VLOOKUP(M11:M72,'RELATÓRIO ACC'!B:F,5,FALSE),"NOT PUBLISHED")</f>
        <v>V1</v>
      </c>
      <c r="I11" s="29" t="str">
        <f>IFERROR(VLOOKUP(M11:M72,'RELATÓRIO ACC'!B:P,15,FALSE),"NOT PUBLISHED")</f>
        <v>04/06/2026</v>
      </c>
      <c r="J11" s="30" t="s">
        <v>118</v>
      </c>
      <c r="K11" s="30" t="s">
        <v>147</v>
      </c>
      <c r="L11" s="110" t="s">
        <v>148</v>
      </c>
      <c r="M11" s="110" t="s">
        <v>149</v>
      </c>
      <c r="N11" s="70" t="b">
        <v>1</v>
      </c>
      <c r="O11" s="70" t="b">
        <v>1</v>
      </c>
      <c r="P11" s="71" t="s">
        <v>99</v>
      </c>
      <c r="Q11" s="111" t="s">
        <v>99</v>
      </c>
      <c r="R11" s="111" t="s">
        <v>99</v>
      </c>
      <c r="S11" s="71" t="s">
        <v>99</v>
      </c>
      <c r="T11" s="111" t="s">
        <v>99</v>
      </c>
      <c r="U11" s="71" t="s">
        <v>99</v>
      </c>
      <c r="V11" s="71" t="s">
        <v>99</v>
      </c>
      <c r="W11" s="127" t="s">
        <v>99</v>
      </c>
      <c r="X11" s="71" t="s">
        <v>99</v>
      </c>
      <c r="Y11" s="71" t="s">
        <v>99</v>
      </c>
      <c r="Z11" s="71" t="s">
        <v>99</v>
      </c>
      <c r="AA11" s="71" t="s">
        <v>99</v>
      </c>
      <c r="AB11" s="71" t="s">
        <v>99</v>
      </c>
      <c r="AC11" s="71" t="s">
        <v>99</v>
      </c>
      <c r="AD11" s="71" t="s">
        <v>99</v>
      </c>
      <c r="AE11" s="127" t="s">
        <v>99</v>
      </c>
      <c r="AF11" s="128" t="s">
        <v>99</v>
      </c>
      <c r="AG11" s="128" t="s">
        <v>99</v>
      </c>
      <c r="AH11" s="104" t="s">
        <v>103</v>
      </c>
      <c r="AI11" s="76" t="s">
        <v>104</v>
      </c>
      <c r="AJ11" s="74" t="s">
        <v>105</v>
      </c>
      <c r="AK11" s="74" t="s">
        <v>105</v>
      </c>
      <c r="AL11" s="58" t="s">
        <v>105</v>
      </c>
      <c r="AM11" s="74" t="s">
        <v>105</v>
      </c>
      <c r="AN11" s="58" t="s">
        <v>105</v>
      </c>
      <c r="AO11" s="74" t="s">
        <v>105</v>
      </c>
      <c r="AP11" s="58" t="s">
        <v>105</v>
      </c>
      <c r="AQ11" s="74" t="s">
        <v>105</v>
      </c>
      <c r="AR11" s="58" t="s">
        <v>105</v>
      </c>
      <c r="AS11" s="74" t="s">
        <v>105</v>
      </c>
      <c r="AT11" s="55" t="s">
        <v>105</v>
      </c>
      <c r="AU11" s="55" t="s">
        <v>105</v>
      </c>
      <c r="AV11" s="58" t="s">
        <v>105</v>
      </c>
      <c r="AW11" s="58" t="s">
        <v>105</v>
      </c>
      <c r="AX11" s="54" t="s">
        <v>103</v>
      </c>
      <c r="AY11" s="84" t="s">
        <v>104</v>
      </c>
      <c r="AZ11" s="55" t="s">
        <v>105</v>
      </c>
      <c r="BA11" s="55" t="s">
        <v>105</v>
      </c>
      <c r="BB11" s="55" t="s">
        <v>105</v>
      </c>
      <c r="BC11" s="55" t="s">
        <v>105</v>
      </c>
      <c r="BD11" s="50" t="s">
        <v>105</v>
      </c>
      <c r="BE11" s="50" t="s">
        <v>105</v>
      </c>
      <c r="BF11" s="78" t="s">
        <v>106</v>
      </c>
      <c r="BG11" s="78" t="s">
        <v>106</v>
      </c>
      <c r="BH11" s="113" t="s">
        <v>116</v>
      </c>
      <c r="BI11" s="49" t="s">
        <v>104</v>
      </c>
      <c r="BJ11" s="50" t="s">
        <v>105</v>
      </c>
      <c r="BK11" s="50" t="s">
        <v>105</v>
      </c>
      <c r="BL11" s="50" t="s">
        <v>105</v>
      </c>
      <c r="BM11" s="50" t="s">
        <v>105</v>
      </c>
      <c r="BN11" s="50" t="s">
        <v>105</v>
      </c>
      <c r="BO11" s="50" t="s">
        <v>105</v>
      </c>
      <c r="BP11" s="56" t="s">
        <v>103</v>
      </c>
      <c r="BQ11" s="49" t="s">
        <v>104</v>
      </c>
      <c r="BR11" s="50" t="s">
        <v>105</v>
      </c>
      <c r="BS11" s="50" t="s">
        <v>105</v>
      </c>
      <c r="BT11" s="50" t="s">
        <v>105</v>
      </c>
      <c r="BU11" s="50" t="s">
        <v>105</v>
      </c>
      <c r="BV11" s="58" t="s">
        <v>105</v>
      </c>
      <c r="BW11" s="58" t="s">
        <v>105</v>
      </c>
      <c r="BX11" s="58" t="s">
        <v>105</v>
      </c>
      <c r="BY11" s="58" t="s">
        <v>105</v>
      </c>
      <c r="BZ11" s="82" t="s">
        <v>116</v>
      </c>
      <c r="CA11" s="82" t="s">
        <v>116</v>
      </c>
      <c r="CB11" s="55" t="s">
        <v>105</v>
      </c>
      <c r="CC11" s="55" t="s">
        <v>105</v>
      </c>
      <c r="CD11" s="55" t="s">
        <v>105</v>
      </c>
      <c r="CE11" s="55" t="s">
        <v>105</v>
      </c>
      <c r="CF11" s="55" t="s">
        <v>105</v>
      </c>
      <c r="CG11" s="55" t="s">
        <v>105</v>
      </c>
      <c r="CH11" s="55" t="s">
        <v>105</v>
      </c>
      <c r="CI11" s="55" t="s">
        <v>105</v>
      </c>
      <c r="CJ11" s="55" t="s">
        <v>105</v>
      </c>
      <c r="CK11" s="55" t="s">
        <v>105</v>
      </c>
      <c r="CL11" s="58" t="s">
        <v>105</v>
      </c>
      <c r="CM11" s="59" t="str">
        <f t="shared" si="1"/>
        <v>REPROVED</v>
      </c>
      <c r="CN11" s="60"/>
      <c r="CO11" s="61"/>
      <c r="CP11" s="62" t="s">
        <v>108</v>
      </c>
      <c r="CQ11" s="62" t="s">
        <v>109</v>
      </c>
    </row>
    <row r="12">
      <c r="A12" s="23">
        <v>70.0</v>
      </c>
      <c r="B12" s="125" t="s">
        <v>123</v>
      </c>
      <c r="C12" s="109"/>
      <c r="D12" s="126" t="s">
        <v>146</v>
      </c>
      <c r="E12" s="67"/>
      <c r="F12" s="28" t="str">
        <f>IFERROR(VLOOKUP(L12:L73,'R22 RELATÓRIO ACC'!B:F,5,FALSE),"NOT PUBLISHED")</f>
        <v>V2</v>
      </c>
      <c r="G12" s="28" t="str">
        <f>IFERROR(VLOOKUP(L12:L73,'R22 RELATÓRIO ACC'!B:P,15,FALSE),"NOT PUBLISHED")</f>
        <v>29/04/2026</v>
      </c>
      <c r="H12" s="29" t="str">
        <f>IFERROR(VLOOKUP(M12:M73,'RELATÓRIO ACC'!B:F,5,FALSE),"NOT PUBLISHED")</f>
        <v>V1</v>
      </c>
      <c r="I12" s="29" t="str">
        <f>IFERROR(VLOOKUP(M12:M73,'RELATÓRIO ACC'!B:P,15,FALSE),"NOT PUBLISHED")</f>
        <v>12/06/2026</v>
      </c>
      <c r="J12" s="68" t="s">
        <v>118</v>
      </c>
      <c r="K12" s="30">
        <v>46185.0</v>
      </c>
      <c r="L12" s="110" t="s">
        <v>150</v>
      </c>
      <c r="M12" s="110" t="s">
        <v>151</v>
      </c>
      <c r="N12" s="70" t="b">
        <v>1</v>
      </c>
      <c r="O12" s="70" t="b">
        <v>1</v>
      </c>
      <c r="P12" s="71" t="s">
        <v>99</v>
      </c>
      <c r="Q12" s="111" t="s">
        <v>99</v>
      </c>
      <c r="R12" s="111" t="s">
        <v>99</v>
      </c>
      <c r="S12" s="71" t="s">
        <v>99</v>
      </c>
      <c r="T12" s="111" t="s">
        <v>99</v>
      </c>
      <c r="U12" s="71" t="s">
        <v>99</v>
      </c>
      <c r="V12" s="71" t="s">
        <v>99</v>
      </c>
      <c r="W12" s="127" t="s">
        <v>99</v>
      </c>
      <c r="X12" s="71" t="s">
        <v>99</v>
      </c>
      <c r="Y12" s="71" t="s">
        <v>99</v>
      </c>
      <c r="Z12" s="71" t="s">
        <v>99</v>
      </c>
      <c r="AA12" s="71" t="s">
        <v>99</v>
      </c>
      <c r="AB12" s="71" t="s">
        <v>99</v>
      </c>
      <c r="AC12" s="71" t="s">
        <v>99</v>
      </c>
      <c r="AD12" s="71" t="s">
        <v>99</v>
      </c>
      <c r="AE12" s="127" t="s">
        <v>99</v>
      </c>
      <c r="AF12" s="128" t="s">
        <v>99</v>
      </c>
      <c r="AG12" s="128" t="s">
        <v>99</v>
      </c>
      <c r="AH12" s="74" t="s">
        <v>100</v>
      </c>
      <c r="AI12" s="74" t="s">
        <v>100</v>
      </c>
      <c r="AJ12" s="120" t="s">
        <v>102</v>
      </c>
      <c r="AK12" s="120" t="s">
        <v>102</v>
      </c>
      <c r="AL12" s="40" t="s">
        <v>102</v>
      </c>
      <c r="AM12" s="120" t="s">
        <v>102</v>
      </c>
      <c r="AN12" s="40" t="s">
        <v>102</v>
      </c>
      <c r="AO12" s="39" t="s">
        <v>101</v>
      </c>
      <c r="AP12" s="40" t="s">
        <v>102</v>
      </c>
      <c r="AQ12" s="39" t="s">
        <v>101</v>
      </c>
      <c r="AR12" s="40" t="s">
        <v>102</v>
      </c>
      <c r="AS12" s="39" t="s">
        <v>101</v>
      </c>
      <c r="AT12" s="45" t="s">
        <v>102</v>
      </c>
      <c r="AU12" s="44" t="s">
        <v>101</v>
      </c>
      <c r="AV12" s="40" t="s">
        <v>102</v>
      </c>
      <c r="AW12" s="44" t="s">
        <v>101</v>
      </c>
      <c r="AX12" s="45" t="s">
        <v>102</v>
      </c>
      <c r="AY12" s="44" t="s">
        <v>101</v>
      </c>
      <c r="AZ12" s="45" t="s">
        <v>102</v>
      </c>
      <c r="BA12" s="42" t="s">
        <v>101</v>
      </c>
      <c r="BB12" s="45" t="s">
        <v>102</v>
      </c>
      <c r="BC12" s="42" t="s">
        <v>101</v>
      </c>
      <c r="BD12" s="45" t="s">
        <v>102</v>
      </c>
      <c r="BE12" s="42" t="s">
        <v>101</v>
      </c>
      <c r="BF12" s="45" t="s">
        <v>102</v>
      </c>
      <c r="BG12" s="42" t="s">
        <v>101</v>
      </c>
      <c r="BH12" s="45" t="s">
        <v>102</v>
      </c>
      <c r="BI12" s="42" t="s">
        <v>101</v>
      </c>
      <c r="BJ12" s="45" t="s">
        <v>102</v>
      </c>
      <c r="BK12" s="42" t="s">
        <v>101</v>
      </c>
      <c r="BL12" s="45" t="s">
        <v>102</v>
      </c>
      <c r="BM12" s="42" t="s">
        <v>101</v>
      </c>
      <c r="BN12" s="45" t="s">
        <v>102</v>
      </c>
      <c r="BO12" s="42" t="s">
        <v>101</v>
      </c>
      <c r="BP12" s="54" t="s">
        <v>103</v>
      </c>
      <c r="BQ12" s="129" t="s">
        <v>104</v>
      </c>
      <c r="BR12" s="55" t="s">
        <v>105</v>
      </c>
      <c r="BS12" s="51" t="s">
        <v>105</v>
      </c>
      <c r="BT12" s="55" t="s">
        <v>105</v>
      </c>
      <c r="BU12" s="51" t="s">
        <v>105</v>
      </c>
      <c r="BV12" s="51" t="s">
        <v>105</v>
      </c>
      <c r="BW12" s="51" t="s">
        <v>105</v>
      </c>
      <c r="BX12" s="58" t="s">
        <v>105</v>
      </c>
      <c r="BY12" s="58" t="s">
        <v>105</v>
      </c>
      <c r="BZ12" s="107" t="s">
        <v>116</v>
      </c>
      <c r="CA12" s="107" t="s">
        <v>116</v>
      </c>
      <c r="CB12" s="58" t="s">
        <v>105</v>
      </c>
      <c r="CC12" s="58" t="s">
        <v>105</v>
      </c>
      <c r="CD12" s="58" t="s">
        <v>105</v>
      </c>
      <c r="CE12" s="58" t="s">
        <v>105</v>
      </c>
      <c r="CF12" s="58" t="s">
        <v>105</v>
      </c>
      <c r="CG12" s="58" t="s">
        <v>105</v>
      </c>
      <c r="CH12" s="58" t="s">
        <v>105</v>
      </c>
      <c r="CI12" s="58" t="s">
        <v>105</v>
      </c>
      <c r="CJ12" s="58" t="s">
        <v>105</v>
      </c>
      <c r="CK12" s="58" t="s">
        <v>105</v>
      </c>
      <c r="CL12" s="58" t="s">
        <v>105</v>
      </c>
      <c r="CM12" s="59" t="str">
        <f t="shared" si="1"/>
        <v>REPROVED</v>
      </c>
      <c r="CN12" s="60"/>
      <c r="CO12" s="61"/>
      <c r="CP12" s="62" t="s">
        <v>152</v>
      </c>
      <c r="CQ12" s="62" t="s">
        <v>122</v>
      </c>
    </row>
    <row r="13" ht="24.0" customHeight="1">
      <c r="A13" s="23">
        <v>72.0</v>
      </c>
      <c r="B13" s="115" t="s">
        <v>153</v>
      </c>
      <c r="C13" s="109"/>
      <c r="D13" s="126" t="s">
        <v>153</v>
      </c>
      <c r="E13" s="130"/>
      <c r="F13" s="28" t="str">
        <f>IFERROR(VLOOKUP(L13:L74,'R22 RELATÓRIO ACC'!B:F,5,FALSE),"NOT PUBLISHED")</f>
        <v>V2</v>
      </c>
      <c r="G13" s="28" t="str">
        <f>IFERROR(VLOOKUP(L13:L74,'R22 RELATÓRIO ACC'!B:P,15,FALSE),"NOT PUBLISHED")</f>
        <v>07/05/2026</v>
      </c>
      <c r="H13" s="29" t="str">
        <f>IFERROR(VLOOKUP(M13:M74,'RELATÓRIO ACC'!B:F,5,FALSE),"NOT PUBLISHED")</f>
        <v>V5</v>
      </c>
      <c r="I13" s="29" t="str">
        <f>IFERROR(VLOOKUP(M13:M74,'RELATÓRIO ACC'!B:P,15,FALSE),"NOT PUBLISHED")</f>
        <v>08/07/2026</v>
      </c>
      <c r="J13" s="30" t="s">
        <v>130</v>
      </c>
      <c r="K13" s="30" t="s">
        <v>154</v>
      </c>
      <c r="L13" s="110" t="s">
        <v>155</v>
      </c>
      <c r="M13" s="110" t="s">
        <v>155</v>
      </c>
      <c r="N13" s="70" t="b">
        <v>1</v>
      </c>
      <c r="O13" s="70" t="b">
        <v>1</v>
      </c>
      <c r="P13" s="71" t="s">
        <v>99</v>
      </c>
      <c r="Q13" s="111" t="s">
        <v>99</v>
      </c>
      <c r="R13" s="111" t="s">
        <v>99</v>
      </c>
      <c r="S13" s="71" t="s">
        <v>99</v>
      </c>
      <c r="T13" s="111" t="s">
        <v>99</v>
      </c>
      <c r="U13" s="71" t="s">
        <v>99</v>
      </c>
      <c r="V13" s="71" t="s">
        <v>99</v>
      </c>
      <c r="W13" s="71" t="s">
        <v>99</v>
      </c>
      <c r="X13" s="71" t="s">
        <v>99</v>
      </c>
      <c r="Y13" s="71" t="s">
        <v>99</v>
      </c>
      <c r="Z13" s="71" t="s">
        <v>99</v>
      </c>
      <c r="AA13" s="71" t="s">
        <v>99</v>
      </c>
      <c r="AB13" s="71" t="s">
        <v>99</v>
      </c>
      <c r="AC13" s="71" t="s">
        <v>99</v>
      </c>
      <c r="AD13" s="71" t="s">
        <v>99</v>
      </c>
      <c r="AE13" s="127" t="s">
        <v>99</v>
      </c>
      <c r="AF13" s="128" t="s">
        <v>99</v>
      </c>
      <c r="AG13" s="128" t="s">
        <v>99</v>
      </c>
      <c r="AH13" s="128" t="s">
        <v>99</v>
      </c>
      <c r="AI13" s="128" t="s">
        <v>99</v>
      </c>
      <c r="AJ13" s="128" t="s">
        <v>99</v>
      </c>
      <c r="AK13" s="128" t="s">
        <v>99</v>
      </c>
      <c r="AL13" s="131" t="s">
        <v>99</v>
      </c>
      <c r="AM13" s="128" t="s">
        <v>99</v>
      </c>
      <c r="AN13" s="111" t="s">
        <v>99</v>
      </c>
      <c r="AO13" s="128" t="s">
        <v>99</v>
      </c>
      <c r="AP13" s="111" t="s">
        <v>99</v>
      </c>
      <c r="AQ13" s="128" t="s">
        <v>99</v>
      </c>
      <c r="AR13" s="111" t="s">
        <v>99</v>
      </c>
      <c r="AS13" s="128" t="s">
        <v>99</v>
      </c>
      <c r="AT13" s="111" t="s">
        <v>99</v>
      </c>
      <c r="AU13" s="131" t="s">
        <v>99</v>
      </c>
      <c r="AV13" s="131" t="s">
        <v>99</v>
      </c>
      <c r="AW13" s="131" t="s">
        <v>99</v>
      </c>
      <c r="AX13" s="131" t="s">
        <v>99</v>
      </c>
      <c r="AY13" s="131" t="s">
        <v>99</v>
      </c>
      <c r="AZ13" s="131" t="s">
        <v>99</v>
      </c>
      <c r="BA13" s="131" t="s">
        <v>99</v>
      </c>
      <c r="BB13" s="131" t="s">
        <v>99</v>
      </c>
      <c r="BC13" s="131" t="s">
        <v>99</v>
      </c>
      <c r="BD13" s="131" t="s">
        <v>99</v>
      </c>
      <c r="BE13" s="131" t="s">
        <v>99</v>
      </c>
      <c r="BF13" s="131" t="s">
        <v>99</v>
      </c>
      <c r="BG13" s="131" t="s">
        <v>99</v>
      </c>
      <c r="BH13" s="131" t="s">
        <v>99</v>
      </c>
      <c r="BI13" s="131" t="s">
        <v>99</v>
      </c>
      <c r="BJ13" s="131" t="s">
        <v>99</v>
      </c>
      <c r="BK13" s="131" t="s">
        <v>99</v>
      </c>
      <c r="BL13" s="132" t="s">
        <v>103</v>
      </c>
      <c r="BM13" s="84" t="s">
        <v>104</v>
      </c>
      <c r="BN13" s="55" t="s">
        <v>105</v>
      </c>
      <c r="BO13" s="55" t="s">
        <v>105</v>
      </c>
      <c r="BP13" s="55" t="s">
        <v>105</v>
      </c>
      <c r="BQ13" s="55" t="s">
        <v>105</v>
      </c>
      <c r="BR13" s="83" t="s">
        <v>106</v>
      </c>
      <c r="BS13" s="83" t="s">
        <v>106</v>
      </c>
      <c r="BT13" s="122" t="s">
        <v>116</v>
      </c>
      <c r="BU13" s="122" t="s">
        <v>116</v>
      </c>
      <c r="BV13" s="83" t="s">
        <v>106</v>
      </c>
      <c r="BW13" s="83" t="s">
        <v>106</v>
      </c>
      <c r="BX13" s="83" t="s">
        <v>106</v>
      </c>
      <c r="BY13" s="83" t="s">
        <v>106</v>
      </c>
      <c r="BZ13" s="83" t="s">
        <v>106</v>
      </c>
      <c r="CA13" s="83" t="s">
        <v>106</v>
      </c>
      <c r="CB13" s="54" t="s">
        <v>103</v>
      </c>
      <c r="CC13" s="84" t="s">
        <v>104</v>
      </c>
      <c r="CD13" s="54" t="s">
        <v>103</v>
      </c>
      <c r="CE13" s="84" t="s">
        <v>104</v>
      </c>
      <c r="CF13" s="83" t="s">
        <v>106</v>
      </c>
      <c r="CG13" s="83" t="s">
        <v>106</v>
      </c>
      <c r="CH13" s="55" t="s">
        <v>100</v>
      </c>
      <c r="CI13" s="44" t="s">
        <v>101</v>
      </c>
      <c r="CJ13" s="45" t="s">
        <v>102</v>
      </c>
      <c r="CK13" s="44" t="s">
        <v>101</v>
      </c>
      <c r="CL13" s="40" t="s">
        <v>102</v>
      </c>
      <c r="CM13" s="59" t="str">
        <f t="shared" si="1"/>
        <v>APPROVED</v>
      </c>
      <c r="CN13" s="60"/>
      <c r="CO13" s="61" t="b">
        <v>0</v>
      </c>
      <c r="CP13" s="62"/>
      <c r="CQ13" s="62"/>
    </row>
    <row r="14" ht="24.0" customHeight="1">
      <c r="A14" s="23">
        <v>74.0</v>
      </c>
      <c r="B14" s="115" t="s">
        <v>156</v>
      </c>
      <c r="C14" s="109"/>
      <c r="D14" s="126" t="s">
        <v>156</v>
      </c>
      <c r="E14" s="130"/>
      <c r="F14" s="28" t="str">
        <f>IFERROR(VLOOKUP(L14:L75,'R22 RELATÓRIO ACC'!B:F,5,FALSE),"NOT PUBLISHED")</f>
        <v>V1</v>
      </c>
      <c r="G14" s="28" t="str">
        <f>IFERROR(VLOOKUP(L14:L75,'R22 RELATÓRIO ACC'!B:P,15,FALSE),"NOT PUBLISHED")</f>
        <v>05/05/2026</v>
      </c>
      <c r="H14" s="29" t="str">
        <f>IFERROR(VLOOKUP(M14:M75,'RELATÓRIO ACC'!B:F,5,FALSE),"NOT PUBLISHED")</f>
        <v>V3</v>
      </c>
      <c r="I14" s="29" t="str">
        <f>IFERROR(VLOOKUP(M14:M75,'RELATÓRIO ACC'!B:P,15,FALSE),"NOT PUBLISHED")</f>
        <v>20/06/2026</v>
      </c>
      <c r="J14" s="30" t="s">
        <v>95</v>
      </c>
      <c r="K14" s="30" t="s">
        <v>157</v>
      </c>
      <c r="L14" s="110" t="s">
        <v>158</v>
      </c>
      <c r="M14" s="110" t="s">
        <v>159</v>
      </c>
      <c r="N14" s="70" t="b">
        <v>1</v>
      </c>
      <c r="O14" s="70" t="b">
        <v>0</v>
      </c>
      <c r="P14" s="71" t="s">
        <v>99</v>
      </c>
      <c r="Q14" s="111" t="s">
        <v>99</v>
      </c>
      <c r="R14" s="111" t="s">
        <v>99</v>
      </c>
      <c r="S14" s="71" t="s">
        <v>99</v>
      </c>
      <c r="T14" s="111" t="s">
        <v>99</v>
      </c>
      <c r="U14" s="71" t="s">
        <v>99</v>
      </c>
      <c r="V14" s="71" t="s">
        <v>99</v>
      </c>
      <c r="W14" s="71" t="s">
        <v>99</v>
      </c>
      <c r="X14" s="71" t="s">
        <v>99</v>
      </c>
      <c r="Y14" s="71" t="s">
        <v>99</v>
      </c>
      <c r="Z14" s="71" t="s">
        <v>99</v>
      </c>
      <c r="AA14" s="71" t="s">
        <v>99</v>
      </c>
      <c r="AB14" s="71" t="s">
        <v>99</v>
      </c>
      <c r="AC14" s="71" t="s">
        <v>99</v>
      </c>
      <c r="AD14" s="71" t="s">
        <v>99</v>
      </c>
      <c r="AE14" s="127" t="s">
        <v>99</v>
      </c>
      <c r="AF14" s="128" t="s">
        <v>99</v>
      </c>
      <c r="AG14" s="128" t="s">
        <v>99</v>
      </c>
      <c r="AH14" s="128" t="s">
        <v>99</v>
      </c>
      <c r="AI14" s="128" t="s">
        <v>99</v>
      </c>
      <c r="AJ14" s="128" t="s">
        <v>99</v>
      </c>
      <c r="AK14" s="128" t="s">
        <v>99</v>
      </c>
      <c r="AL14" s="131" t="s">
        <v>99</v>
      </c>
      <c r="AM14" s="128" t="s">
        <v>99</v>
      </c>
      <c r="AN14" s="111" t="s">
        <v>99</v>
      </c>
      <c r="AO14" s="128" t="s">
        <v>99</v>
      </c>
      <c r="AP14" s="111" t="s">
        <v>99</v>
      </c>
      <c r="AQ14" s="128" t="s">
        <v>99</v>
      </c>
      <c r="AR14" s="111" t="s">
        <v>99</v>
      </c>
      <c r="AS14" s="128" t="s">
        <v>99</v>
      </c>
      <c r="AT14" s="111" t="s">
        <v>99</v>
      </c>
      <c r="AU14" s="127" t="s">
        <v>99</v>
      </c>
      <c r="AV14" s="111" t="s">
        <v>99</v>
      </c>
      <c r="AW14" s="127" t="s">
        <v>99</v>
      </c>
      <c r="AX14" s="111" t="s">
        <v>99</v>
      </c>
      <c r="AY14" s="127" t="s">
        <v>99</v>
      </c>
      <c r="AZ14" s="111" t="s">
        <v>99</v>
      </c>
      <c r="BA14" s="127" t="s">
        <v>99</v>
      </c>
      <c r="BB14" s="111" t="s">
        <v>99</v>
      </c>
      <c r="BC14" s="127" t="s">
        <v>99</v>
      </c>
      <c r="BD14" s="111" t="s">
        <v>99</v>
      </c>
      <c r="BE14" s="127" t="s">
        <v>99</v>
      </c>
      <c r="BF14" s="111" t="s">
        <v>99</v>
      </c>
      <c r="BG14" s="127" t="s">
        <v>99</v>
      </c>
      <c r="BH14" s="111" t="s">
        <v>99</v>
      </c>
      <c r="BI14" s="127" t="s">
        <v>99</v>
      </c>
      <c r="BJ14" s="111" t="s">
        <v>99</v>
      </c>
      <c r="BK14" s="127" t="s">
        <v>99</v>
      </c>
      <c r="BL14" s="111" t="s">
        <v>99</v>
      </c>
      <c r="BM14" s="127" t="s">
        <v>99</v>
      </c>
      <c r="BN14" s="111" t="s">
        <v>99</v>
      </c>
      <c r="BO14" s="127" t="s">
        <v>99</v>
      </c>
      <c r="BP14" s="111" t="s">
        <v>99</v>
      </c>
      <c r="BQ14" s="127" t="s">
        <v>99</v>
      </c>
      <c r="BR14" s="111" t="s">
        <v>99</v>
      </c>
      <c r="BS14" s="127" t="s">
        <v>99</v>
      </c>
      <c r="BT14" s="48" t="s">
        <v>103</v>
      </c>
      <c r="BU14" s="129" t="s">
        <v>104</v>
      </c>
      <c r="BV14" s="58" t="s">
        <v>105</v>
      </c>
      <c r="BW14" s="51" t="s">
        <v>105</v>
      </c>
      <c r="BX14" s="58" t="s">
        <v>100</v>
      </c>
      <c r="BY14" s="42" t="s">
        <v>101</v>
      </c>
      <c r="BZ14" s="40" t="s">
        <v>102</v>
      </c>
      <c r="CA14" s="42" t="s">
        <v>101</v>
      </c>
      <c r="CB14" s="40" t="s">
        <v>102</v>
      </c>
      <c r="CC14" s="42" t="s">
        <v>101</v>
      </c>
      <c r="CD14" s="40" t="s">
        <v>102</v>
      </c>
      <c r="CE14" s="42" t="s">
        <v>101</v>
      </c>
      <c r="CF14" s="40" t="s">
        <v>102</v>
      </c>
      <c r="CG14" s="42" t="s">
        <v>101</v>
      </c>
      <c r="CH14" s="40" t="s">
        <v>102</v>
      </c>
      <c r="CI14" s="42" t="s">
        <v>101</v>
      </c>
      <c r="CJ14" s="40" t="s">
        <v>102</v>
      </c>
      <c r="CK14" s="42" t="s">
        <v>101</v>
      </c>
      <c r="CL14" s="40" t="s">
        <v>102</v>
      </c>
      <c r="CM14" s="59" t="str">
        <f t="shared" si="1"/>
        <v>APPROVED</v>
      </c>
      <c r="CN14" s="60"/>
      <c r="CO14" s="61"/>
      <c r="CP14" s="62" t="s">
        <v>152</v>
      </c>
      <c r="CQ14" s="62" t="s">
        <v>122</v>
      </c>
    </row>
    <row r="15" ht="24.0" customHeight="1">
      <c r="A15" s="23">
        <v>73.0</v>
      </c>
      <c r="B15" s="115" t="s">
        <v>156</v>
      </c>
      <c r="C15" s="109"/>
      <c r="D15" s="126" t="s">
        <v>156</v>
      </c>
      <c r="E15" s="130"/>
      <c r="F15" s="28" t="str">
        <f>IFERROR(VLOOKUP(L15:L76,'R22 RELATÓRIO ACC'!B:F,5,FALSE),"NOT PUBLISHED")</f>
        <v>V1</v>
      </c>
      <c r="G15" s="28" t="str">
        <f>IFERROR(VLOOKUP(L15:L76,'R22 RELATÓRIO ACC'!B:P,15,FALSE),"NOT PUBLISHED")</f>
        <v>05/05/2026</v>
      </c>
      <c r="H15" s="29" t="str">
        <f>IFERROR(VLOOKUP(M15:M76,'RELATÓRIO ACC'!B:F,5,FALSE),"NOT PUBLISHED")</f>
        <v>V2</v>
      </c>
      <c r="I15" s="29" t="str">
        <f>IFERROR(VLOOKUP(M15:M76,'RELATÓRIO ACC'!B:P,15,FALSE),"NOT PUBLISHED")</f>
        <v>26/05/2026</v>
      </c>
      <c r="J15" s="68" t="s">
        <v>118</v>
      </c>
      <c r="K15" s="133">
        <v>46160.0</v>
      </c>
      <c r="L15" s="110" t="s">
        <v>160</v>
      </c>
      <c r="M15" s="110" t="s">
        <v>161</v>
      </c>
      <c r="N15" s="70" t="b">
        <v>0</v>
      </c>
      <c r="O15" s="70" t="b">
        <v>0</v>
      </c>
      <c r="P15" s="71" t="s">
        <v>99</v>
      </c>
      <c r="Q15" s="71" t="s">
        <v>99</v>
      </c>
      <c r="R15" s="71" t="s">
        <v>99</v>
      </c>
      <c r="S15" s="71" t="s">
        <v>99</v>
      </c>
      <c r="T15" s="111" t="s">
        <v>99</v>
      </c>
      <c r="U15" s="71" t="s">
        <v>99</v>
      </c>
      <c r="V15" s="71" t="s">
        <v>99</v>
      </c>
      <c r="W15" s="71" t="s">
        <v>99</v>
      </c>
      <c r="X15" s="71" t="s">
        <v>99</v>
      </c>
      <c r="Y15" s="71" t="s">
        <v>99</v>
      </c>
      <c r="Z15" s="71" t="s">
        <v>99</v>
      </c>
      <c r="AA15" s="71" t="s">
        <v>99</v>
      </c>
      <c r="AB15" s="71" t="s">
        <v>99</v>
      </c>
      <c r="AC15" s="71" t="s">
        <v>99</v>
      </c>
      <c r="AD15" s="71" t="s">
        <v>99</v>
      </c>
      <c r="AE15" s="127" t="s">
        <v>99</v>
      </c>
      <c r="AF15" s="128" t="s">
        <v>99</v>
      </c>
      <c r="AG15" s="128" t="s">
        <v>99</v>
      </c>
      <c r="AH15" s="128" t="s">
        <v>99</v>
      </c>
      <c r="AI15" s="128" t="s">
        <v>99</v>
      </c>
      <c r="AJ15" s="128" t="s">
        <v>99</v>
      </c>
      <c r="AK15" s="128" t="s">
        <v>99</v>
      </c>
      <c r="AL15" s="131" t="s">
        <v>99</v>
      </c>
      <c r="AM15" s="131" t="s">
        <v>99</v>
      </c>
      <c r="AN15" s="131" t="s">
        <v>99</v>
      </c>
      <c r="AO15" s="131" t="s">
        <v>99</v>
      </c>
      <c r="AP15" s="131" t="s">
        <v>99</v>
      </c>
      <c r="AQ15" s="131" t="s">
        <v>99</v>
      </c>
      <c r="AR15" s="111" t="s">
        <v>99</v>
      </c>
      <c r="AS15" s="128" t="s">
        <v>99</v>
      </c>
      <c r="AT15" s="111" t="s">
        <v>99</v>
      </c>
      <c r="AU15" s="127" t="s">
        <v>99</v>
      </c>
      <c r="AV15" s="111" t="s">
        <v>99</v>
      </c>
      <c r="AW15" s="127" t="s">
        <v>99</v>
      </c>
      <c r="AX15" s="111" t="s">
        <v>99</v>
      </c>
      <c r="AY15" s="127" t="s">
        <v>99</v>
      </c>
      <c r="AZ15" s="111" t="s">
        <v>99</v>
      </c>
      <c r="BA15" s="127" t="s">
        <v>99</v>
      </c>
      <c r="BB15" s="111" t="s">
        <v>99</v>
      </c>
      <c r="BC15" s="127" t="s">
        <v>99</v>
      </c>
      <c r="BD15" s="111" t="s">
        <v>99</v>
      </c>
      <c r="BE15" s="127" t="s">
        <v>99</v>
      </c>
      <c r="BF15" s="111" t="s">
        <v>99</v>
      </c>
      <c r="BG15" s="127" t="s">
        <v>99</v>
      </c>
      <c r="BH15" s="111" t="s">
        <v>99</v>
      </c>
      <c r="BI15" s="127" t="s">
        <v>99</v>
      </c>
      <c r="BJ15" s="111" t="s">
        <v>99</v>
      </c>
      <c r="BK15" s="127" t="s">
        <v>99</v>
      </c>
      <c r="BL15" s="111" t="s">
        <v>99</v>
      </c>
      <c r="BM15" s="127" t="s">
        <v>99</v>
      </c>
      <c r="BN15" s="111" t="s">
        <v>99</v>
      </c>
      <c r="BO15" s="127" t="s">
        <v>99</v>
      </c>
      <c r="BP15" s="111" t="s">
        <v>99</v>
      </c>
      <c r="BQ15" s="127" t="s">
        <v>99</v>
      </c>
      <c r="BR15" s="111" t="s">
        <v>99</v>
      </c>
      <c r="BS15" s="127" t="s">
        <v>99</v>
      </c>
      <c r="BT15" s="48" t="s">
        <v>100</v>
      </c>
      <c r="BU15" s="42" t="s">
        <v>101</v>
      </c>
      <c r="BV15" s="40" t="s">
        <v>102</v>
      </c>
      <c r="BW15" s="42" t="s">
        <v>101</v>
      </c>
      <c r="BX15" s="40" t="s">
        <v>102</v>
      </c>
      <c r="BY15" s="42" t="s">
        <v>101</v>
      </c>
      <c r="BZ15" s="40" t="s">
        <v>102</v>
      </c>
      <c r="CA15" s="42" t="s">
        <v>101</v>
      </c>
      <c r="CB15" s="40" t="s">
        <v>102</v>
      </c>
      <c r="CC15" s="42" t="s">
        <v>101</v>
      </c>
      <c r="CD15" s="40" t="s">
        <v>102</v>
      </c>
      <c r="CE15" s="42" t="s">
        <v>101</v>
      </c>
      <c r="CF15" s="40" t="s">
        <v>102</v>
      </c>
      <c r="CG15" s="42" t="s">
        <v>101</v>
      </c>
      <c r="CH15" s="40" t="s">
        <v>102</v>
      </c>
      <c r="CI15" s="42" t="s">
        <v>101</v>
      </c>
      <c r="CJ15" s="40" t="s">
        <v>102</v>
      </c>
      <c r="CK15" s="42" t="s">
        <v>101</v>
      </c>
      <c r="CL15" s="40" t="s">
        <v>102</v>
      </c>
      <c r="CM15" s="59" t="str">
        <f t="shared" si="1"/>
        <v>APPROVED</v>
      </c>
      <c r="CN15" s="60"/>
      <c r="CO15" s="61"/>
      <c r="CP15" s="62" t="s">
        <v>162</v>
      </c>
      <c r="CQ15" s="62" t="s">
        <v>109</v>
      </c>
    </row>
    <row r="16">
      <c r="A16" s="23">
        <v>1.0</v>
      </c>
      <c r="B16" s="134" t="s">
        <v>138</v>
      </c>
      <c r="C16" s="126" t="s">
        <v>138</v>
      </c>
      <c r="D16" s="126" t="s">
        <v>138</v>
      </c>
      <c r="E16" s="67">
        <v>1130.0</v>
      </c>
      <c r="F16" s="28" t="str">
        <f>IFERROR(VLOOKUP(L16:L77,'R22 RELATÓRIO ACC'!B:F,5,FALSE),"NOT PUBLISHED")</f>
        <v>V29</v>
      </c>
      <c r="G16" s="28" t="str">
        <f>IFERROR(VLOOKUP(L16:L77,'R22 RELATÓRIO ACC'!B:P,15,FALSE),"NOT PUBLISHED")</f>
        <v>13/04/2026</v>
      </c>
      <c r="H16" s="29" t="str">
        <f>IFERROR(VLOOKUP(M16:M77,'RELATÓRIO ACC'!B:F,5,FALSE),"NOT PUBLISHED")</f>
        <v>V3</v>
      </c>
      <c r="I16" s="29" t="str">
        <f>IFERROR(VLOOKUP(M16:M77,'RELATÓRIO ACC'!B:P,15,FALSE),"NOT PUBLISHED")</f>
        <v>03/06/2026</v>
      </c>
      <c r="J16" s="68" t="s">
        <v>163</v>
      </c>
      <c r="K16" s="97">
        <v>45904.0</v>
      </c>
      <c r="L16" s="69" t="s">
        <v>164</v>
      </c>
      <c r="M16" s="69" t="s">
        <v>165</v>
      </c>
      <c r="N16" s="70" t="b">
        <v>1</v>
      </c>
      <c r="O16" s="70" t="b">
        <v>1</v>
      </c>
      <c r="P16" s="71" t="s">
        <v>99</v>
      </c>
      <c r="Q16" s="48" t="s">
        <v>103</v>
      </c>
      <c r="R16" s="48" t="s">
        <v>103</v>
      </c>
      <c r="S16" s="73" t="s">
        <v>115</v>
      </c>
      <c r="T16" s="37" t="s">
        <v>100</v>
      </c>
      <c r="U16" s="43" t="s">
        <v>101</v>
      </c>
      <c r="V16" s="119" t="s">
        <v>102</v>
      </c>
      <c r="W16" s="43" t="s">
        <v>101</v>
      </c>
      <c r="X16" s="119" t="s">
        <v>102</v>
      </c>
      <c r="Y16" s="43" t="s">
        <v>101</v>
      </c>
      <c r="Z16" s="119" t="s">
        <v>102</v>
      </c>
      <c r="AA16" s="43" t="s">
        <v>101</v>
      </c>
      <c r="AB16" s="119" t="s">
        <v>102</v>
      </c>
      <c r="AC16" s="43" t="s">
        <v>101</v>
      </c>
      <c r="AD16" s="119" t="s">
        <v>102</v>
      </c>
      <c r="AE16" s="42" t="s">
        <v>101</v>
      </c>
      <c r="AF16" s="120" t="s">
        <v>102</v>
      </c>
      <c r="AG16" s="39" t="s">
        <v>101</v>
      </c>
      <c r="AH16" s="120" t="s">
        <v>102</v>
      </c>
      <c r="AI16" s="39" t="s">
        <v>101</v>
      </c>
      <c r="AJ16" s="120" t="s">
        <v>102</v>
      </c>
      <c r="AK16" s="39" t="s">
        <v>101</v>
      </c>
      <c r="AL16" s="45" t="s">
        <v>102</v>
      </c>
      <c r="AM16" s="44" t="s">
        <v>101</v>
      </c>
      <c r="AN16" s="45" t="s">
        <v>102</v>
      </c>
      <c r="AO16" s="44" t="s">
        <v>101</v>
      </c>
      <c r="AP16" s="45" t="s">
        <v>102</v>
      </c>
      <c r="AQ16" s="44" t="s">
        <v>101</v>
      </c>
      <c r="AR16" s="45" t="s">
        <v>102</v>
      </c>
      <c r="AS16" s="44" t="s">
        <v>101</v>
      </c>
      <c r="AT16" s="45" t="s">
        <v>102</v>
      </c>
      <c r="AU16" s="44" t="s">
        <v>101</v>
      </c>
      <c r="AV16" s="40" t="s">
        <v>102</v>
      </c>
      <c r="AW16" s="42" t="s">
        <v>101</v>
      </c>
      <c r="AX16" s="40" t="s">
        <v>102</v>
      </c>
      <c r="AY16" s="42" t="s">
        <v>101</v>
      </c>
      <c r="AZ16" s="40" t="s">
        <v>102</v>
      </c>
      <c r="BA16" s="42" t="s">
        <v>101</v>
      </c>
      <c r="BB16" s="40" t="s">
        <v>102</v>
      </c>
      <c r="BC16" s="42" t="s">
        <v>101</v>
      </c>
      <c r="BD16" s="40" t="s">
        <v>102</v>
      </c>
      <c r="BE16" s="42" t="s">
        <v>101</v>
      </c>
      <c r="BF16" s="40" t="s">
        <v>102</v>
      </c>
      <c r="BG16" s="42" t="s">
        <v>101</v>
      </c>
      <c r="BH16" s="40" t="s">
        <v>102</v>
      </c>
      <c r="BI16" s="42" t="s">
        <v>101</v>
      </c>
      <c r="BJ16" s="40" t="s">
        <v>102</v>
      </c>
      <c r="BK16" s="42" t="s">
        <v>101</v>
      </c>
      <c r="BL16" s="40" t="s">
        <v>102</v>
      </c>
      <c r="BM16" s="42" t="s">
        <v>101</v>
      </c>
      <c r="BN16" s="40" t="s">
        <v>102</v>
      </c>
      <c r="BO16" s="42" t="s">
        <v>101</v>
      </c>
      <c r="BP16" s="40" t="s">
        <v>102</v>
      </c>
      <c r="BQ16" s="42" t="s">
        <v>101</v>
      </c>
      <c r="BR16" s="40" t="s">
        <v>102</v>
      </c>
      <c r="BS16" s="42" t="s">
        <v>101</v>
      </c>
      <c r="BT16" s="40" t="s">
        <v>102</v>
      </c>
      <c r="BU16" s="42" t="s">
        <v>101</v>
      </c>
      <c r="BV16" s="40" t="s">
        <v>102</v>
      </c>
      <c r="BW16" s="42" t="s">
        <v>101</v>
      </c>
      <c r="BX16" s="40" t="s">
        <v>102</v>
      </c>
      <c r="BY16" s="42" t="s">
        <v>101</v>
      </c>
      <c r="BZ16" s="40" t="s">
        <v>102</v>
      </c>
      <c r="CA16" s="42" t="s">
        <v>101</v>
      </c>
      <c r="CB16" s="40" t="s">
        <v>102</v>
      </c>
      <c r="CC16" s="42" t="s">
        <v>101</v>
      </c>
      <c r="CD16" s="40" t="s">
        <v>102</v>
      </c>
      <c r="CE16" s="42" t="s">
        <v>101</v>
      </c>
      <c r="CF16" s="40" t="s">
        <v>102</v>
      </c>
      <c r="CG16" s="42" t="s">
        <v>101</v>
      </c>
      <c r="CH16" s="40" t="s">
        <v>102</v>
      </c>
      <c r="CI16" s="42" t="s">
        <v>101</v>
      </c>
      <c r="CJ16" s="46" t="s">
        <v>102</v>
      </c>
      <c r="CK16" s="41" t="s">
        <v>101</v>
      </c>
      <c r="CL16" s="46" t="s">
        <v>102</v>
      </c>
      <c r="CM16" s="59" t="str">
        <f t="shared" si="1"/>
        <v>APPROVED</v>
      </c>
      <c r="CN16" s="60"/>
      <c r="CO16" s="61"/>
      <c r="CP16" s="62" t="s">
        <v>152</v>
      </c>
      <c r="CQ16" s="62" t="s">
        <v>122</v>
      </c>
    </row>
    <row r="17" ht="24.0" customHeight="1">
      <c r="A17" s="23">
        <v>2.0</v>
      </c>
      <c r="B17" s="134" t="s">
        <v>138</v>
      </c>
      <c r="C17" s="126"/>
      <c r="D17" s="126" t="s">
        <v>138</v>
      </c>
      <c r="E17" s="67">
        <v>1130.0</v>
      </c>
      <c r="F17" s="28" t="str">
        <f>IFERROR(VLOOKUP(L17:L78,'R22 RELATÓRIO ACC'!B:F,5,FALSE),"NOT PUBLISHED")</f>
        <v>V28</v>
      </c>
      <c r="G17" s="28" t="str">
        <f>IFERROR(VLOOKUP(L17:L78,'R22 RELATÓRIO ACC'!B:P,15,FALSE),"NOT PUBLISHED")</f>
        <v>17/04/2026</v>
      </c>
      <c r="H17" s="29" t="str">
        <f>IFERROR(VLOOKUP(M17:M78,'RELATÓRIO ACC'!B:F,5,FALSE),"NOT PUBLISHED")</f>
        <v>V4</v>
      </c>
      <c r="I17" s="29" t="str">
        <f>IFERROR(VLOOKUP(M17:M78,'RELATÓRIO ACC'!B:P,15,FALSE),"NOT PUBLISHED")</f>
        <v>15/07/2026</v>
      </c>
      <c r="J17" s="68" t="s">
        <v>166</v>
      </c>
      <c r="K17" s="97">
        <v>45947.0</v>
      </c>
      <c r="L17" s="69" t="s">
        <v>167</v>
      </c>
      <c r="M17" s="69" t="s">
        <v>168</v>
      </c>
      <c r="N17" s="70" t="b">
        <v>1</v>
      </c>
      <c r="O17" s="70" t="b">
        <v>1</v>
      </c>
      <c r="P17" s="71" t="s">
        <v>99</v>
      </c>
      <c r="Q17" s="48" t="s">
        <v>103</v>
      </c>
      <c r="R17" s="48" t="s">
        <v>103</v>
      </c>
      <c r="S17" s="73" t="s">
        <v>115</v>
      </c>
      <c r="T17" s="48" t="s">
        <v>103</v>
      </c>
      <c r="U17" s="73" t="s">
        <v>115</v>
      </c>
      <c r="V17" s="75" t="s">
        <v>105</v>
      </c>
      <c r="W17" s="75" t="s">
        <v>105</v>
      </c>
      <c r="X17" s="75" t="s">
        <v>105</v>
      </c>
      <c r="Y17" s="75" t="s">
        <v>105</v>
      </c>
      <c r="Z17" s="72" t="s">
        <v>103</v>
      </c>
      <c r="AA17" s="100" t="s">
        <v>115</v>
      </c>
      <c r="AB17" s="135" t="s">
        <v>100</v>
      </c>
      <c r="AC17" s="43" t="s">
        <v>101</v>
      </c>
      <c r="AD17" s="119" t="s">
        <v>102</v>
      </c>
      <c r="AE17" s="42" t="s">
        <v>101</v>
      </c>
      <c r="AF17" s="120" t="s">
        <v>102</v>
      </c>
      <c r="AG17" s="39" t="s">
        <v>101</v>
      </c>
      <c r="AH17" s="120" t="s">
        <v>102</v>
      </c>
      <c r="AI17" s="39" t="s">
        <v>101</v>
      </c>
      <c r="AJ17" s="120" t="s">
        <v>102</v>
      </c>
      <c r="AK17" s="39" t="s">
        <v>101</v>
      </c>
      <c r="AL17" s="120" t="s">
        <v>102</v>
      </c>
      <c r="AM17" s="39" t="s">
        <v>101</v>
      </c>
      <c r="AN17" s="120" t="s">
        <v>102</v>
      </c>
      <c r="AO17" s="39" t="s">
        <v>101</v>
      </c>
      <c r="AP17" s="120" t="s">
        <v>102</v>
      </c>
      <c r="AQ17" s="39" t="s">
        <v>101</v>
      </c>
      <c r="AR17" s="120" t="s">
        <v>102</v>
      </c>
      <c r="AS17" s="39" t="s">
        <v>101</v>
      </c>
      <c r="AT17" s="120" t="s">
        <v>102</v>
      </c>
      <c r="AU17" s="39" t="s">
        <v>101</v>
      </c>
      <c r="AV17" s="40" t="s">
        <v>102</v>
      </c>
      <c r="AW17" s="42" t="s">
        <v>101</v>
      </c>
      <c r="AX17" s="40" t="s">
        <v>102</v>
      </c>
      <c r="AY17" s="42" t="s">
        <v>101</v>
      </c>
      <c r="AZ17" s="40" t="s">
        <v>102</v>
      </c>
      <c r="BA17" s="42" t="s">
        <v>101</v>
      </c>
      <c r="BB17" s="40" t="s">
        <v>102</v>
      </c>
      <c r="BC17" s="42" t="s">
        <v>101</v>
      </c>
      <c r="BD17" s="40" t="s">
        <v>102</v>
      </c>
      <c r="BE17" s="42" t="s">
        <v>101</v>
      </c>
      <c r="BF17" s="40" t="s">
        <v>102</v>
      </c>
      <c r="BG17" s="42" t="s">
        <v>101</v>
      </c>
      <c r="BH17" s="40" t="s">
        <v>102</v>
      </c>
      <c r="BI17" s="42" t="s">
        <v>101</v>
      </c>
      <c r="BJ17" s="40" t="s">
        <v>102</v>
      </c>
      <c r="BK17" s="42" t="s">
        <v>101</v>
      </c>
      <c r="BL17" s="40" t="s">
        <v>102</v>
      </c>
      <c r="BM17" s="42" t="s">
        <v>101</v>
      </c>
      <c r="BN17" s="40" t="s">
        <v>102</v>
      </c>
      <c r="BO17" s="42" t="s">
        <v>101</v>
      </c>
      <c r="BP17" s="40" t="s">
        <v>102</v>
      </c>
      <c r="BQ17" s="42" t="s">
        <v>101</v>
      </c>
      <c r="BR17" s="40" t="s">
        <v>102</v>
      </c>
      <c r="BS17" s="42" t="s">
        <v>101</v>
      </c>
      <c r="BT17" s="40" t="s">
        <v>102</v>
      </c>
      <c r="BU17" s="42" t="s">
        <v>101</v>
      </c>
      <c r="BV17" s="40" t="s">
        <v>102</v>
      </c>
      <c r="BW17" s="42" t="s">
        <v>101</v>
      </c>
      <c r="BX17" s="40" t="s">
        <v>102</v>
      </c>
      <c r="BY17" s="42" t="s">
        <v>101</v>
      </c>
      <c r="BZ17" s="40" t="s">
        <v>102</v>
      </c>
      <c r="CA17" s="42" t="s">
        <v>101</v>
      </c>
      <c r="CB17" s="40" t="s">
        <v>102</v>
      </c>
      <c r="CC17" s="42" t="s">
        <v>101</v>
      </c>
      <c r="CD17" s="40" t="s">
        <v>102</v>
      </c>
      <c r="CE17" s="42" t="s">
        <v>101</v>
      </c>
      <c r="CF17" s="40" t="s">
        <v>102</v>
      </c>
      <c r="CG17" s="42" t="s">
        <v>101</v>
      </c>
      <c r="CH17" s="40" t="s">
        <v>102</v>
      </c>
      <c r="CI17" s="42" t="s">
        <v>101</v>
      </c>
      <c r="CJ17" s="40" t="s">
        <v>102</v>
      </c>
      <c r="CK17" s="42" t="s">
        <v>101</v>
      </c>
      <c r="CL17" s="120" t="s">
        <v>102</v>
      </c>
      <c r="CM17" s="59" t="str">
        <f t="shared" si="1"/>
        <v>APPROVED</v>
      </c>
      <c r="CN17" s="60"/>
      <c r="CO17" s="61"/>
      <c r="CP17" s="62" t="s">
        <v>152</v>
      </c>
      <c r="CQ17" s="62" t="s">
        <v>122</v>
      </c>
    </row>
    <row r="18" ht="24.0" customHeight="1">
      <c r="A18" s="23">
        <v>4.0</v>
      </c>
      <c r="B18" s="125" t="s">
        <v>169</v>
      </c>
      <c r="C18" s="116" t="s">
        <v>169</v>
      </c>
      <c r="D18" s="116" t="s">
        <v>169</v>
      </c>
      <c r="E18" s="67">
        <v>1109.0</v>
      </c>
      <c r="F18" s="28" t="str">
        <f>IFERROR(VLOOKUP(L18:L79,'R22 RELATÓRIO ACC'!B:F,5,FALSE),"NOT PUBLISHED")</f>
        <v>V9</v>
      </c>
      <c r="G18" s="28" t="str">
        <f>IFERROR(VLOOKUP(L18:L79,'R22 RELATÓRIO ACC'!B:P,15,FALSE),"NOT PUBLISHED")</f>
        <v>04/12/2025</v>
      </c>
      <c r="H18" s="29" t="str">
        <f>IFERROR(VLOOKUP(M18:M79,'RELATÓRIO ACC'!B:F,5,FALSE),"NOT PUBLISHED")</f>
        <v>V1</v>
      </c>
      <c r="I18" s="29" t="str">
        <f>IFERROR(VLOOKUP(M18:M79,'RELATÓRIO ACC'!B:P,15,FALSE),"NOT PUBLISHED")</f>
        <v>20/05/2026</v>
      </c>
      <c r="J18" s="68" t="s">
        <v>170</v>
      </c>
      <c r="K18" s="97">
        <v>45849.0</v>
      </c>
      <c r="L18" s="69" t="s">
        <v>171</v>
      </c>
      <c r="M18" s="69" t="s">
        <v>172</v>
      </c>
      <c r="N18" s="70" t="b">
        <v>1</v>
      </c>
      <c r="O18" s="70" t="b">
        <v>1</v>
      </c>
      <c r="P18" s="71" t="s">
        <v>99</v>
      </c>
      <c r="Q18" s="72" t="s">
        <v>103</v>
      </c>
      <c r="R18" s="37" t="s">
        <v>100</v>
      </c>
      <c r="S18" s="43" t="s">
        <v>101</v>
      </c>
      <c r="T18" s="37" t="s">
        <v>100</v>
      </c>
      <c r="U18" s="43" t="s">
        <v>101</v>
      </c>
      <c r="V18" s="136" t="s">
        <v>102</v>
      </c>
      <c r="W18" s="43" t="s">
        <v>101</v>
      </c>
      <c r="X18" s="136" t="s">
        <v>102</v>
      </c>
      <c r="Y18" s="43" t="s">
        <v>101</v>
      </c>
      <c r="Z18" s="136" t="s">
        <v>102</v>
      </c>
      <c r="AA18" s="43" t="s">
        <v>101</v>
      </c>
      <c r="AB18" s="136" t="s">
        <v>102</v>
      </c>
      <c r="AC18" s="43" t="s">
        <v>101</v>
      </c>
      <c r="AD18" s="136" t="s">
        <v>102</v>
      </c>
      <c r="AE18" s="42" t="s">
        <v>101</v>
      </c>
      <c r="AF18" s="120" t="s">
        <v>102</v>
      </c>
      <c r="AG18" s="39" t="s">
        <v>101</v>
      </c>
      <c r="AH18" s="120" t="s">
        <v>102</v>
      </c>
      <c r="AI18" s="39" t="s">
        <v>101</v>
      </c>
      <c r="AJ18" s="120" t="s">
        <v>102</v>
      </c>
      <c r="AK18" s="39" t="s">
        <v>101</v>
      </c>
      <c r="AL18" s="120" t="s">
        <v>102</v>
      </c>
      <c r="AM18" s="39" t="s">
        <v>101</v>
      </c>
      <c r="AN18" s="120" t="s">
        <v>102</v>
      </c>
      <c r="AO18" s="39" t="s">
        <v>101</v>
      </c>
      <c r="AP18" s="120" t="s">
        <v>102</v>
      </c>
      <c r="AQ18" s="39" t="s">
        <v>101</v>
      </c>
      <c r="AR18" s="120" t="s">
        <v>102</v>
      </c>
      <c r="AS18" s="39" t="s">
        <v>101</v>
      </c>
      <c r="AT18" s="120" t="s">
        <v>102</v>
      </c>
      <c r="AU18" s="39" t="s">
        <v>101</v>
      </c>
      <c r="AV18" s="40" t="s">
        <v>102</v>
      </c>
      <c r="AW18" s="42" t="s">
        <v>101</v>
      </c>
      <c r="AX18" s="40" t="s">
        <v>102</v>
      </c>
      <c r="AY18" s="42" t="s">
        <v>101</v>
      </c>
      <c r="AZ18" s="40" t="s">
        <v>102</v>
      </c>
      <c r="BA18" s="42" t="s">
        <v>101</v>
      </c>
      <c r="BB18" s="40" t="s">
        <v>102</v>
      </c>
      <c r="BC18" s="42" t="s">
        <v>101</v>
      </c>
      <c r="BD18" s="40" t="s">
        <v>102</v>
      </c>
      <c r="BE18" s="42" t="s">
        <v>101</v>
      </c>
      <c r="BF18" s="40" t="s">
        <v>102</v>
      </c>
      <c r="BG18" s="42" t="s">
        <v>101</v>
      </c>
      <c r="BH18" s="40" t="s">
        <v>102</v>
      </c>
      <c r="BI18" s="42" t="s">
        <v>101</v>
      </c>
      <c r="BJ18" s="40" t="s">
        <v>102</v>
      </c>
      <c r="BK18" s="42" t="s">
        <v>101</v>
      </c>
      <c r="BL18" s="40" t="s">
        <v>102</v>
      </c>
      <c r="BM18" s="42" t="s">
        <v>101</v>
      </c>
      <c r="BN18" s="40" t="s">
        <v>102</v>
      </c>
      <c r="BO18" s="42" t="s">
        <v>101</v>
      </c>
      <c r="BP18" s="40" t="s">
        <v>102</v>
      </c>
      <c r="BQ18" s="42" t="s">
        <v>101</v>
      </c>
      <c r="BR18" s="40" t="s">
        <v>102</v>
      </c>
      <c r="BS18" s="42" t="s">
        <v>101</v>
      </c>
      <c r="BT18" s="40" t="s">
        <v>102</v>
      </c>
      <c r="BU18" s="42" t="s">
        <v>101</v>
      </c>
      <c r="BV18" s="40" t="s">
        <v>102</v>
      </c>
      <c r="BW18" s="42" t="s">
        <v>101</v>
      </c>
      <c r="BX18" s="40" t="s">
        <v>102</v>
      </c>
      <c r="BY18" s="42" t="s">
        <v>101</v>
      </c>
      <c r="BZ18" s="40" t="s">
        <v>102</v>
      </c>
      <c r="CA18" s="42" t="s">
        <v>101</v>
      </c>
      <c r="CB18" s="40" t="s">
        <v>102</v>
      </c>
      <c r="CC18" s="42" t="s">
        <v>101</v>
      </c>
      <c r="CD18" s="40" t="s">
        <v>102</v>
      </c>
      <c r="CE18" s="42" t="s">
        <v>101</v>
      </c>
      <c r="CF18" s="40" t="s">
        <v>102</v>
      </c>
      <c r="CG18" s="42" t="s">
        <v>101</v>
      </c>
      <c r="CH18" s="40" t="s">
        <v>102</v>
      </c>
      <c r="CI18" s="42" t="s">
        <v>101</v>
      </c>
      <c r="CJ18" s="40" t="s">
        <v>102</v>
      </c>
      <c r="CK18" s="42" t="s">
        <v>101</v>
      </c>
      <c r="CL18" s="120" t="s">
        <v>102</v>
      </c>
      <c r="CM18" s="59" t="str">
        <f t="shared" si="1"/>
        <v>APPROVED</v>
      </c>
      <c r="CN18" s="60"/>
      <c r="CO18" s="61"/>
      <c r="CP18" s="62" t="s">
        <v>162</v>
      </c>
      <c r="CQ18" s="62" t="s">
        <v>117</v>
      </c>
    </row>
    <row r="19" ht="24.0" customHeight="1">
      <c r="A19" s="23">
        <v>5.0</v>
      </c>
      <c r="B19" s="115" t="s">
        <v>173</v>
      </c>
      <c r="C19" s="126"/>
      <c r="D19" s="126" t="s">
        <v>174</v>
      </c>
      <c r="E19" s="67"/>
      <c r="F19" s="28" t="str">
        <f>IFERROR(VLOOKUP(L19:L80,'R22 RELATÓRIO ACC'!B:F,5,FALSE),"NOT PUBLISHED")</f>
        <v>V12</v>
      </c>
      <c r="G19" s="28" t="str">
        <f>IFERROR(VLOOKUP(L19:L80,'R22 RELATÓRIO ACC'!B:P,15,FALSE),"NOT PUBLISHED")</f>
        <v>06/04/2026</v>
      </c>
      <c r="H19" s="29" t="str">
        <f>IFERROR(VLOOKUP(M19:M80,'RELATÓRIO ACC'!B:F,5,FALSE),"NOT PUBLISHED")</f>
        <v>V1</v>
      </c>
      <c r="I19" s="29" t="str">
        <f>IFERROR(VLOOKUP(M19:M80,'RELATÓRIO ACC'!B:P,15,FALSE),"NOT PUBLISHED")</f>
        <v>15/05/2026</v>
      </c>
      <c r="J19" s="68" t="s">
        <v>130</v>
      </c>
      <c r="K19" s="133">
        <v>45876.0</v>
      </c>
      <c r="L19" s="69" t="s">
        <v>175</v>
      </c>
      <c r="M19" s="69" t="s">
        <v>176</v>
      </c>
      <c r="N19" s="70" t="b">
        <v>1</v>
      </c>
      <c r="O19" s="70" t="b">
        <v>0</v>
      </c>
      <c r="P19" s="71" t="s">
        <v>99</v>
      </c>
      <c r="Q19" s="111" t="s">
        <v>99</v>
      </c>
      <c r="R19" s="37" t="s">
        <v>100</v>
      </c>
      <c r="S19" s="43" t="s">
        <v>101</v>
      </c>
      <c r="T19" s="37" t="s">
        <v>100</v>
      </c>
      <c r="U19" s="43" t="s">
        <v>101</v>
      </c>
      <c r="V19" s="119" t="s">
        <v>102</v>
      </c>
      <c r="W19" s="43" t="s">
        <v>101</v>
      </c>
      <c r="X19" s="119" t="s">
        <v>102</v>
      </c>
      <c r="Y19" s="43" t="s">
        <v>101</v>
      </c>
      <c r="Z19" s="119" t="s">
        <v>102</v>
      </c>
      <c r="AA19" s="43" t="s">
        <v>101</v>
      </c>
      <c r="AB19" s="119" t="s">
        <v>102</v>
      </c>
      <c r="AC19" s="43" t="s">
        <v>101</v>
      </c>
      <c r="AD19" s="119" t="s">
        <v>102</v>
      </c>
      <c r="AE19" s="42" t="s">
        <v>101</v>
      </c>
      <c r="AF19" s="120" t="s">
        <v>102</v>
      </c>
      <c r="AG19" s="39" t="s">
        <v>101</v>
      </c>
      <c r="AH19" s="120" t="s">
        <v>102</v>
      </c>
      <c r="AI19" s="39" t="s">
        <v>101</v>
      </c>
      <c r="AJ19" s="120" t="s">
        <v>102</v>
      </c>
      <c r="AK19" s="39" t="s">
        <v>101</v>
      </c>
      <c r="AL19" s="120" t="s">
        <v>102</v>
      </c>
      <c r="AM19" s="39" t="s">
        <v>101</v>
      </c>
      <c r="AN19" s="120" t="s">
        <v>102</v>
      </c>
      <c r="AO19" s="39" t="s">
        <v>101</v>
      </c>
      <c r="AP19" s="120" t="s">
        <v>102</v>
      </c>
      <c r="AQ19" s="39" t="s">
        <v>101</v>
      </c>
      <c r="AR19" s="120" t="s">
        <v>102</v>
      </c>
      <c r="AS19" s="39" t="s">
        <v>101</v>
      </c>
      <c r="AT19" s="120" t="s">
        <v>102</v>
      </c>
      <c r="AU19" s="39" t="s">
        <v>101</v>
      </c>
      <c r="AV19" s="40" t="s">
        <v>102</v>
      </c>
      <c r="AW19" s="42" t="s">
        <v>101</v>
      </c>
      <c r="AX19" s="40" t="s">
        <v>102</v>
      </c>
      <c r="AY19" s="42" t="s">
        <v>101</v>
      </c>
      <c r="AZ19" s="40" t="s">
        <v>102</v>
      </c>
      <c r="BA19" s="42" t="s">
        <v>101</v>
      </c>
      <c r="BB19" s="40" t="s">
        <v>102</v>
      </c>
      <c r="BC19" s="42" t="s">
        <v>101</v>
      </c>
      <c r="BD19" s="40" t="s">
        <v>102</v>
      </c>
      <c r="BE19" s="42" t="s">
        <v>101</v>
      </c>
      <c r="BF19" s="40" t="s">
        <v>102</v>
      </c>
      <c r="BG19" s="42" t="s">
        <v>101</v>
      </c>
      <c r="BH19" s="40" t="s">
        <v>102</v>
      </c>
      <c r="BI19" s="42" t="s">
        <v>101</v>
      </c>
      <c r="BJ19" s="40" t="s">
        <v>102</v>
      </c>
      <c r="BK19" s="42" t="s">
        <v>101</v>
      </c>
      <c r="BL19" s="40" t="s">
        <v>102</v>
      </c>
      <c r="BM19" s="42" t="s">
        <v>101</v>
      </c>
      <c r="BN19" s="40" t="s">
        <v>102</v>
      </c>
      <c r="BO19" s="42" t="s">
        <v>101</v>
      </c>
      <c r="BP19" s="40" t="s">
        <v>102</v>
      </c>
      <c r="BQ19" s="42" t="s">
        <v>101</v>
      </c>
      <c r="BR19" s="40" t="s">
        <v>102</v>
      </c>
      <c r="BS19" s="42" t="s">
        <v>101</v>
      </c>
      <c r="BT19" s="40" t="s">
        <v>102</v>
      </c>
      <c r="BU19" s="42" t="s">
        <v>101</v>
      </c>
      <c r="BV19" s="40" t="s">
        <v>102</v>
      </c>
      <c r="BW19" s="42" t="s">
        <v>101</v>
      </c>
      <c r="BX19" s="40" t="s">
        <v>102</v>
      </c>
      <c r="BY19" s="42" t="s">
        <v>101</v>
      </c>
      <c r="BZ19" s="40" t="s">
        <v>102</v>
      </c>
      <c r="CA19" s="42" t="s">
        <v>101</v>
      </c>
      <c r="CB19" s="40" t="s">
        <v>102</v>
      </c>
      <c r="CC19" s="42" t="s">
        <v>101</v>
      </c>
      <c r="CD19" s="40" t="s">
        <v>102</v>
      </c>
      <c r="CE19" s="42" t="s">
        <v>101</v>
      </c>
      <c r="CF19" s="40" t="s">
        <v>102</v>
      </c>
      <c r="CG19" s="42" t="s">
        <v>101</v>
      </c>
      <c r="CH19" s="40" t="s">
        <v>102</v>
      </c>
      <c r="CI19" s="42" t="s">
        <v>101</v>
      </c>
      <c r="CJ19" s="40" t="s">
        <v>102</v>
      </c>
      <c r="CK19" s="42" t="s">
        <v>101</v>
      </c>
      <c r="CL19" s="120" t="s">
        <v>102</v>
      </c>
      <c r="CM19" s="59" t="str">
        <f t="shared" si="1"/>
        <v>APPROVED</v>
      </c>
      <c r="CN19" s="60"/>
      <c r="CO19" s="61" t="b">
        <v>0</v>
      </c>
      <c r="CP19" s="123" t="s">
        <v>108</v>
      </c>
      <c r="CQ19" s="124" t="s">
        <v>109</v>
      </c>
    </row>
    <row r="20" ht="24.0" customHeight="1">
      <c r="A20" s="23">
        <v>6.0</v>
      </c>
      <c r="B20" s="121" t="s">
        <v>177</v>
      </c>
      <c r="C20" s="109">
        <v>1110.0</v>
      </c>
      <c r="D20" s="66" t="s">
        <v>178</v>
      </c>
      <c r="E20" s="67">
        <v>1128.0</v>
      </c>
      <c r="F20" s="28" t="str">
        <f>IFERROR(VLOOKUP(L20:L81,'R22 RELATÓRIO ACC'!B:F,5,FALSE),"NOT PUBLISHED")</f>
        <v>V25</v>
      </c>
      <c r="G20" s="28" t="str">
        <f>IFERROR(VLOOKUP(L20:L81,'R22 RELATÓRIO ACC'!B:P,15,FALSE),"NOT PUBLISHED")</f>
        <v>06/05/2026</v>
      </c>
      <c r="H20" s="29" t="str">
        <f>IFERROR(VLOOKUP(M20:M81,'RELATÓRIO ACC'!B:F,5,FALSE),"NOT PUBLISHED")</f>
        <v>V3</v>
      </c>
      <c r="I20" s="29" t="str">
        <f>IFERROR(VLOOKUP(M20:M81,'RELATÓRIO ACC'!B:P,15,FALSE),"NOT PUBLISHED")</f>
        <v>07/07/2026</v>
      </c>
      <c r="J20" s="137" t="s">
        <v>179</v>
      </c>
      <c r="K20" s="97">
        <v>45854.0</v>
      </c>
      <c r="L20" s="69" t="s">
        <v>180</v>
      </c>
      <c r="M20" s="69" t="s">
        <v>181</v>
      </c>
      <c r="N20" s="70" t="b">
        <v>1</v>
      </c>
      <c r="O20" s="70" t="b">
        <v>1</v>
      </c>
      <c r="P20" s="71" t="s">
        <v>99</v>
      </c>
      <c r="Q20" s="48" t="s">
        <v>103</v>
      </c>
      <c r="R20" s="48" t="s">
        <v>103</v>
      </c>
      <c r="S20" s="73" t="s">
        <v>115</v>
      </c>
      <c r="T20" s="37" t="s">
        <v>100</v>
      </c>
      <c r="U20" s="43" t="s">
        <v>101</v>
      </c>
      <c r="V20" s="119" t="s">
        <v>102</v>
      </c>
      <c r="W20" s="43" t="s">
        <v>101</v>
      </c>
      <c r="X20" s="119" t="s">
        <v>102</v>
      </c>
      <c r="Y20" s="43" t="s">
        <v>101</v>
      </c>
      <c r="Z20" s="119" t="s">
        <v>102</v>
      </c>
      <c r="AA20" s="43" t="s">
        <v>101</v>
      </c>
      <c r="AB20" s="119" t="s">
        <v>102</v>
      </c>
      <c r="AC20" s="43" t="s">
        <v>101</v>
      </c>
      <c r="AD20" s="119" t="s">
        <v>102</v>
      </c>
      <c r="AE20" s="42" t="s">
        <v>101</v>
      </c>
      <c r="AF20" s="120" t="s">
        <v>102</v>
      </c>
      <c r="AG20" s="39" t="s">
        <v>101</v>
      </c>
      <c r="AH20" s="120" t="s">
        <v>102</v>
      </c>
      <c r="AI20" s="39" t="s">
        <v>101</v>
      </c>
      <c r="AJ20" s="120" t="s">
        <v>102</v>
      </c>
      <c r="AK20" s="39" t="s">
        <v>101</v>
      </c>
      <c r="AL20" s="120" t="s">
        <v>102</v>
      </c>
      <c r="AM20" s="39" t="s">
        <v>101</v>
      </c>
      <c r="AN20" s="120" t="s">
        <v>102</v>
      </c>
      <c r="AO20" s="39" t="s">
        <v>101</v>
      </c>
      <c r="AP20" s="120" t="s">
        <v>102</v>
      </c>
      <c r="AQ20" s="39" t="s">
        <v>101</v>
      </c>
      <c r="AR20" s="120" t="s">
        <v>102</v>
      </c>
      <c r="AS20" s="39" t="s">
        <v>101</v>
      </c>
      <c r="AT20" s="120" t="s">
        <v>102</v>
      </c>
      <c r="AU20" s="39" t="s">
        <v>101</v>
      </c>
      <c r="AV20" s="40" t="s">
        <v>102</v>
      </c>
      <c r="AW20" s="42" t="s">
        <v>101</v>
      </c>
      <c r="AX20" s="40" t="s">
        <v>102</v>
      </c>
      <c r="AY20" s="42" t="s">
        <v>101</v>
      </c>
      <c r="AZ20" s="40" t="s">
        <v>102</v>
      </c>
      <c r="BA20" s="42" t="s">
        <v>101</v>
      </c>
      <c r="BB20" s="40" t="s">
        <v>102</v>
      </c>
      <c r="BC20" s="42" t="s">
        <v>101</v>
      </c>
      <c r="BD20" s="40" t="s">
        <v>102</v>
      </c>
      <c r="BE20" s="42" t="s">
        <v>101</v>
      </c>
      <c r="BF20" s="40" t="s">
        <v>102</v>
      </c>
      <c r="BG20" s="42" t="s">
        <v>101</v>
      </c>
      <c r="BH20" s="40" t="s">
        <v>102</v>
      </c>
      <c r="BI20" s="42" t="s">
        <v>101</v>
      </c>
      <c r="BJ20" s="40" t="s">
        <v>102</v>
      </c>
      <c r="BK20" s="42" t="s">
        <v>101</v>
      </c>
      <c r="BL20" s="40" t="s">
        <v>102</v>
      </c>
      <c r="BM20" s="42" t="s">
        <v>101</v>
      </c>
      <c r="BN20" s="40" t="s">
        <v>102</v>
      </c>
      <c r="BO20" s="42" t="s">
        <v>101</v>
      </c>
      <c r="BP20" s="40" t="s">
        <v>102</v>
      </c>
      <c r="BQ20" s="42" t="s">
        <v>101</v>
      </c>
      <c r="BR20" s="40" t="s">
        <v>102</v>
      </c>
      <c r="BS20" s="42" t="s">
        <v>101</v>
      </c>
      <c r="BT20" s="40" t="s">
        <v>102</v>
      </c>
      <c r="BU20" s="42" t="s">
        <v>101</v>
      </c>
      <c r="BV20" s="40" t="s">
        <v>102</v>
      </c>
      <c r="BW20" s="42" t="s">
        <v>101</v>
      </c>
      <c r="BX20" s="40" t="s">
        <v>102</v>
      </c>
      <c r="BY20" s="42" t="s">
        <v>101</v>
      </c>
      <c r="BZ20" s="40" t="s">
        <v>102</v>
      </c>
      <c r="CA20" s="42" t="s">
        <v>101</v>
      </c>
      <c r="CB20" s="40" t="s">
        <v>102</v>
      </c>
      <c r="CC20" s="42" t="s">
        <v>101</v>
      </c>
      <c r="CD20" s="40" t="s">
        <v>102</v>
      </c>
      <c r="CE20" s="42" t="s">
        <v>101</v>
      </c>
      <c r="CF20" s="40" t="s">
        <v>102</v>
      </c>
      <c r="CG20" s="42" t="s">
        <v>101</v>
      </c>
      <c r="CH20" s="40" t="s">
        <v>102</v>
      </c>
      <c r="CI20" s="42" t="s">
        <v>101</v>
      </c>
      <c r="CJ20" s="40" t="s">
        <v>102</v>
      </c>
      <c r="CK20" s="42" t="s">
        <v>101</v>
      </c>
      <c r="CL20" s="120" t="s">
        <v>102</v>
      </c>
      <c r="CM20" s="59" t="str">
        <f t="shared" si="1"/>
        <v>APPROVED</v>
      </c>
      <c r="CN20" s="60"/>
      <c r="CO20" s="61"/>
      <c r="CP20" s="62" t="s">
        <v>152</v>
      </c>
      <c r="CQ20" s="62" t="s">
        <v>122</v>
      </c>
    </row>
    <row r="21">
      <c r="A21" s="23">
        <v>7.0</v>
      </c>
      <c r="B21" s="138" t="s">
        <v>182</v>
      </c>
      <c r="C21" s="139" t="s">
        <v>183</v>
      </c>
      <c r="D21" s="139" t="s">
        <v>174</v>
      </c>
      <c r="E21" s="140"/>
      <c r="F21" s="28" t="str">
        <f>IFERROR(VLOOKUP(L21:L82,'R22 RELATÓRIO ACC'!B:F,5,FALSE),"NOT PUBLISHED")</f>
        <v>V9</v>
      </c>
      <c r="G21" s="28" t="str">
        <f>IFERROR(VLOOKUP(L21:L82,'R22 RELATÓRIO ACC'!B:P,15,FALSE),"NOT PUBLISHED")</f>
        <v>27/03/2026</v>
      </c>
      <c r="H21" s="29" t="str">
        <f>IFERROR(VLOOKUP(M21:M82,'RELATÓRIO ACC'!B:F,5,FALSE),"NOT PUBLISHED")</f>
        <v>V2</v>
      </c>
      <c r="I21" s="29" t="str">
        <f>IFERROR(VLOOKUP(M21:M82,'RELATÓRIO ACC'!B:P,15,FALSE),"NOT PUBLISHED")</f>
        <v>26/06/2026</v>
      </c>
      <c r="J21" s="137" t="s">
        <v>111</v>
      </c>
      <c r="K21" s="141">
        <v>45840.0</v>
      </c>
      <c r="L21" s="69" t="s">
        <v>184</v>
      </c>
      <c r="M21" s="69" t="s">
        <v>185</v>
      </c>
      <c r="N21" s="70" t="b">
        <v>1</v>
      </c>
      <c r="O21" s="70" t="b">
        <v>1</v>
      </c>
      <c r="P21" s="71" t="s">
        <v>99</v>
      </c>
      <c r="Q21" s="111" t="s">
        <v>99</v>
      </c>
      <c r="R21" s="37" t="s">
        <v>100</v>
      </c>
      <c r="S21" s="43" t="s">
        <v>101</v>
      </c>
      <c r="T21" s="37" t="s">
        <v>100</v>
      </c>
      <c r="U21" s="43" t="s">
        <v>101</v>
      </c>
      <c r="V21" s="119" t="s">
        <v>102</v>
      </c>
      <c r="W21" s="43" t="s">
        <v>101</v>
      </c>
      <c r="X21" s="119" t="s">
        <v>102</v>
      </c>
      <c r="Y21" s="43" t="s">
        <v>101</v>
      </c>
      <c r="Z21" s="119" t="s">
        <v>102</v>
      </c>
      <c r="AA21" s="43" t="s">
        <v>101</v>
      </c>
      <c r="AB21" s="119" t="s">
        <v>102</v>
      </c>
      <c r="AC21" s="43" t="s">
        <v>101</v>
      </c>
      <c r="AD21" s="119" t="s">
        <v>102</v>
      </c>
      <c r="AE21" s="43" t="s">
        <v>101</v>
      </c>
      <c r="AF21" s="40" t="s">
        <v>102</v>
      </c>
      <c r="AG21" s="47" t="s">
        <v>101</v>
      </c>
      <c r="AH21" s="40" t="s">
        <v>102</v>
      </c>
      <c r="AI21" s="47" t="s">
        <v>101</v>
      </c>
      <c r="AJ21" s="40" t="s">
        <v>102</v>
      </c>
      <c r="AK21" s="47" t="s">
        <v>101</v>
      </c>
      <c r="AL21" s="40" t="s">
        <v>102</v>
      </c>
      <c r="AM21" s="47" t="s">
        <v>101</v>
      </c>
      <c r="AN21" s="40" t="s">
        <v>102</v>
      </c>
      <c r="AO21" s="47" t="s">
        <v>101</v>
      </c>
      <c r="AP21" s="40" t="s">
        <v>102</v>
      </c>
      <c r="AQ21" s="47" t="s">
        <v>101</v>
      </c>
      <c r="AR21" s="40" t="s">
        <v>102</v>
      </c>
      <c r="AS21" s="47" t="s">
        <v>101</v>
      </c>
      <c r="AT21" s="40" t="s">
        <v>102</v>
      </c>
      <c r="AU21" s="47" t="s">
        <v>101</v>
      </c>
      <c r="AV21" s="40" t="s">
        <v>102</v>
      </c>
      <c r="AW21" s="42" t="s">
        <v>101</v>
      </c>
      <c r="AX21" s="40" t="s">
        <v>102</v>
      </c>
      <c r="AY21" s="42" t="s">
        <v>101</v>
      </c>
      <c r="AZ21" s="40" t="s">
        <v>102</v>
      </c>
      <c r="BA21" s="42" t="s">
        <v>101</v>
      </c>
      <c r="BB21" s="40" t="s">
        <v>102</v>
      </c>
      <c r="BC21" s="42" t="s">
        <v>101</v>
      </c>
      <c r="BD21" s="40" t="s">
        <v>102</v>
      </c>
      <c r="BE21" s="42" t="s">
        <v>101</v>
      </c>
      <c r="BF21" s="40" t="s">
        <v>102</v>
      </c>
      <c r="BG21" s="42" t="s">
        <v>101</v>
      </c>
      <c r="BH21" s="40" t="s">
        <v>102</v>
      </c>
      <c r="BI21" s="42" t="s">
        <v>101</v>
      </c>
      <c r="BJ21" s="40" t="s">
        <v>102</v>
      </c>
      <c r="BK21" s="42" t="s">
        <v>101</v>
      </c>
      <c r="BL21" s="40" t="s">
        <v>102</v>
      </c>
      <c r="BM21" s="42" t="s">
        <v>101</v>
      </c>
      <c r="BN21" s="40" t="s">
        <v>102</v>
      </c>
      <c r="BO21" s="42" t="s">
        <v>101</v>
      </c>
      <c r="BP21" s="40" t="s">
        <v>102</v>
      </c>
      <c r="BQ21" s="42" t="s">
        <v>101</v>
      </c>
      <c r="BR21" s="40" t="s">
        <v>102</v>
      </c>
      <c r="BS21" s="42" t="s">
        <v>101</v>
      </c>
      <c r="BT21" s="40" t="s">
        <v>102</v>
      </c>
      <c r="BU21" s="42" t="s">
        <v>101</v>
      </c>
      <c r="BV21" s="40" t="s">
        <v>102</v>
      </c>
      <c r="BW21" s="42" t="s">
        <v>101</v>
      </c>
      <c r="BX21" s="40" t="s">
        <v>102</v>
      </c>
      <c r="BY21" s="42" t="s">
        <v>101</v>
      </c>
      <c r="BZ21" s="40" t="s">
        <v>102</v>
      </c>
      <c r="CA21" s="42" t="s">
        <v>101</v>
      </c>
      <c r="CB21" s="40" t="s">
        <v>102</v>
      </c>
      <c r="CC21" s="42" t="s">
        <v>101</v>
      </c>
      <c r="CD21" s="40" t="s">
        <v>102</v>
      </c>
      <c r="CE21" s="42" t="s">
        <v>101</v>
      </c>
      <c r="CF21" s="40" t="s">
        <v>102</v>
      </c>
      <c r="CG21" s="42" t="s">
        <v>101</v>
      </c>
      <c r="CH21" s="40" t="s">
        <v>102</v>
      </c>
      <c r="CI21" s="42" t="s">
        <v>101</v>
      </c>
      <c r="CJ21" s="40" t="s">
        <v>102</v>
      </c>
      <c r="CK21" s="42" t="s">
        <v>101</v>
      </c>
      <c r="CL21" s="46" t="s">
        <v>102</v>
      </c>
      <c r="CM21" s="59" t="str">
        <f t="shared" si="1"/>
        <v>APPROVED</v>
      </c>
      <c r="CN21" s="60"/>
      <c r="CO21" s="61" t="b">
        <v>0</v>
      </c>
      <c r="CP21" s="86"/>
      <c r="CQ21" s="87"/>
    </row>
    <row r="22">
      <c r="A22" s="23">
        <v>8.0</v>
      </c>
      <c r="B22" s="115" t="s">
        <v>186</v>
      </c>
      <c r="C22" s="142">
        <v>1104.0</v>
      </c>
      <c r="D22" s="143" t="s">
        <v>174</v>
      </c>
      <c r="E22" s="144"/>
      <c r="F22" s="28" t="str">
        <f>IFERROR(VLOOKUP(L22:L83,'R22 RELATÓRIO ACC'!B:F,5,FALSE),"NOT PUBLISHED")</f>
        <v>V12</v>
      </c>
      <c r="G22" s="28" t="str">
        <f>IFERROR(VLOOKUP(L22:L83,'R22 RELATÓRIO ACC'!B:P,15,FALSE),"NOT PUBLISHED")</f>
        <v>08/04/2026</v>
      </c>
      <c r="H22" s="29" t="str">
        <f>IFERROR(VLOOKUP(M22:M83,'RELATÓRIO ACC'!B:F,5,FALSE),"NOT PUBLISHED")</f>
        <v>V1</v>
      </c>
      <c r="I22" s="29" t="str">
        <f>IFERROR(VLOOKUP(M22:M83,'RELATÓRIO ACC'!B:P,15,FALSE),"NOT PUBLISHED")</f>
        <v>15/05/2026</v>
      </c>
      <c r="J22" s="137" t="s">
        <v>134</v>
      </c>
      <c r="K22" s="141">
        <v>45838.0</v>
      </c>
      <c r="L22" s="69" t="s">
        <v>187</v>
      </c>
      <c r="M22" s="69" t="s">
        <v>188</v>
      </c>
      <c r="N22" s="70" t="b">
        <v>1</v>
      </c>
      <c r="O22" s="98" t="s">
        <v>121</v>
      </c>
      <c r="P22" s="71" t="s">
        <v>99</v>
      </c>
      <c r="Q22" s="71" t="s">
        <v>99</v>
      </c>
      <c r="R22" s="37" t="s">
        <v>100</v>
      </c>
      <c r="S22" s="145" t="s">
        <v>101</v>
      </c>
      <c r="T22" s="37" t="s">
        <v>100</v>
      </c>
      <c r="U22" s="43" t="s">
        <v>101</v>
      </c>
      <c r="V22" s="119" t="s">
        <v>102</v>
      </c>
      <c r="W22" s="43" t="s">
        <v>101</v>
      </c>
      <c r="X22" s="119" t="s">
        <v>102</v>
      </c>
      <c r="Y22" s="43" t="s">
        <v>101</v>
      </c>
      <c r="Z22" s="119" t="s">
        <v>102</v>
      </c>
      <c r="AA22" s="43" t="s">
        <v>101</v>
      </c>
      <c r="AB22" s="119" t="s">
        <v>102</v>
      </c>
      <c r="AC22" s="43" t="s">
        <v>101</v>
      </c>
      <c r="AD22" s="119" t="s">
        <v>102</v>
      </c>
      <c r="AE22" s="43" t="s">
        <v>101</v>
      </c>
      <c r="AF22" s="119" t="s">
        <v>102</v>
      </c>
      <c r="AG22" s="43" t="s">
        <v>101</v>
      </c>
      <c r="AH22" s="119" t="s">
        <v>102</v>
      </c>
      <c r="AI22" s="43" t="s">
        <v>101</v>
      </c>
      <c r="AJ22" s="119" t="s">
        <v>102</v>
      </c>
      <c r="AK22" s="43" t="s">
        <v>101</v>
      </c>
      <c r="AL22" s="119" t="s">
        <v>102</v>
      </c>
      <c r="AM22" s="43" t="s">
        <v>101</v>
      </c>
      <c r="AN22" s="119" t="s">
        <v>102</v>
      </c>
      <c r="AO22" s="43" t="s">
        <v>101</v>
      </c>
      <c r="AP22" s="119" t="s">
        <v>102</v>
      </c>
      <c r="AQ22" s="43" t="s">
        <v>101</v>
      </c>
      <c r="AR22" s="119" t="s">
        <v>102</v>
      </c>
      <c r="AS22" s="43" t="s">
        <v>101</v>
      </c>
      <c r="AT22" s="119" t="s">
        <v>102</v>
      </c>
      <c r="AU22" s="43" t="s">
        <v>101</v>
      </c>
      <c r="AV22" s="40" t="s">
        <v>102</v>
      </c>
      <c r="AW22" s="42" t="s">
        <v>101</v>
      </c>
      <c r="AX22" s="40" t="s">
        <v>102</v>
      </c>
      <c r="AY22" s="42" t="s">
        <v>101</v>
      </c>
      <c r="AZ22" s="40" t="s">
        <v>102</v>
      </c>
      <c r="BA22" s="42" t="s">
        <v>101</v>
      </c>
      <c r="BB22" s="40" t="s">
        <v>102</v>
      </c>
      <c r="BC22" s="42" t="s">
        <v>101</v>
      </c>
      <c r="BD22" s="40" t="s">
        <v>102</v>
      </c>
      <c r="BE22" s="42" t="s">
        <v>101</v>
      </c>
      <c r="BF22" s="40" t="s">
        <v>102</v>
      </c>
      <c r="BG22" s="42" t="s">
        <v>101</v>
      </c>
      <c r="BH22" s="40" t="s">
        <v>102</v>
      </c>
      <c r="BI22" s="42" t="s">
        <v>101</v>
      </c>
      <c r="BJ22" s="40" t="s">
        <v>102</v>
      </c>
      <c r="BK22" s="42" t="s">
        <v>101</v>
      </c>
      <c r="BL22" s="40" t="s">
        <v>102</v>
      </c>
      <c r="BM22" s="42" t="s">
        <v>101</v>
      </c>
      <c r="BN22" s="40" t="s">
        <v>102</v>
      </c>
      <c r="BO22" s="42" t="s">
        <v>101</v>
      </c>
      <c r="BP22" s="40" t="s">
        <v>102</v>
      </c>
      <c r="BQ22" s="42" t="s">
        <v>101</v>
      </c>
      <c r="BR22" s="40" t="s">
        <v>102</v>
      </c>
      <c r="BS22" s="42" t="s">
        <v>101</v>
      </c>
      <c r="BT22" s="40" t="s">
        <v>102</v>
      </c>
      <c r="BU22" s="42" t="s">
        <v>101</v>
      </c>
      <c r="BV22" s="40" t="s">
        <v>102</v>
      </c>
      <c r="BW22" s="42" t="s">
        <v>101</v>
      </c>
      <c r="BX22" s="40" t="s">
        <v>102</v>
      </c>
      <c r="BY22" s="42" t="s">
        <v>101</v>
      </c>
      <c r="BZ22" s="40" t="s">
        <v>102</v>
      </c>
      <c r="CA22" s="42" t="s">
        <v>101</v>
      </c>
      <c r="CB22" s="40" t="s">
        <v>102</v>
      </c>
      <c r="CC22" s="42" t="s">
        <v>101</v>
      </c>
      <c r="CD22" s="40" t="s">
        <v>102</v>
      </c>
      <c r="CE22" s="42" t="s">
        <v>101</v>
      </c>
      <c r="CF22" s="40" t="s">
        <v>102</v>
      </c>
      <c r="CG22" s="42" t="s">
        <v>101</v>
      </c>
      <c r="CH22" s="40" t="s">
        <v>102</v>
      </c>
      <c r="CI22" s="42" t="s">
        <v>101</v>
      </c>
      <c r="CJ22" s="40" t="s">
        <v>102</v>
      </c>
      <c r="CK22" s="42" t="s">
        <v>101</v>
      </c>
      <c r="CL22" s="136" t="s">
        <v>102</v>
      </c>
      <c r="CM22" s="59" t="str">
        <f t="shared" si="1"/>
        <v>APPROVED</v>
      </c>
      <c r="CN22" s="60"/>
      <c r="CO22" s="146" t="b">
        <v>0</v>
      </c>
      <c r="CP22" s="62" t="s">
        <v>108</v>
      </c>
      <c r="CQ22" s="62" t="s">
        <v>109</v>
      </c>
    </row>
    <row r="23">
      <c r="A23" s="23">
        <v>9.0</v>
      </c>
      <c r="B23" s="115" t="s">
        <v>173</v>
      </c>
      <c r="C23" s="126"/>
      <c r="D23" s="126" t="s">
        <v>174</v>
      </c>
      <c r="E23" s="67"/>
      <c r="F23" s="28" t="str">
        <f>IFERROR(VLOOKUP(L23:L84,'R22 RELATÓRIO ACC'!B:F,5,FALSE),"NOT PUBLISHED")</f>
        <v>V9</v>
      </c>
      <c r="G23" s="28" t="str">
        <f>IFERROR(VLOOKUP(L23:L84,'R22 RELATÓRIO ACC'!B:P,15,FALSE),"NOT PUBLISHED")</f>
        <v>10/04/2026</v>
      </c>
      <c r="H23" s="29" t="str">
        <f>IFERROR(VLOOKUP(M23:M84,'RELATÓRIO ACC'!B:F,5,FALSE),"NOT PUBLISHED")</f>
        <v>V1</v>
      </c>
      <c r="I23" s="29" t="str">
        <f>IFERROR(VLOOKUP(M23:M84,'RELATÓRIO ACC'!B:P,15,FALSE),"NOT PUBLISHED")</f>
        <v>15/05/2026</v>
      </c>
      <c r="J23" s="68" t="s">
        <v>111</v>
      </c>
      <c r="K23" s="133">
        <v>45898.0</v>
      </c>
      <c r="L23" s="147" t="s">
        <v>189</v>
      </c>
      <c r="M23" s="147" t="s">
        <v>190</v>
      </c>
      <c r="N23" s="70" t="b">
        <v>1</v>
      </c>
      <c r="O23" s="98" t="s">
        <v>191</v>
      </c>
      <c r="P23" s="71" t="s">
        <v>99</v>
      </c>
      <c r="Q23" s="111" t="s">
        <v>99</v>
      </c>
      <c r="R23" s="111" t="s">
        <v>99</v>
      </c>
      <c r="S23" s="71" t="s">
        <v>99</v>
      </c>
      <c r="T23" s="37" t="s">
        <v>100</v>
      </c>
      <c r="U23" s="43" t="s">
        <v>101</v>
      </c>
      <c r="V23" s="119" t="s">
        <v>102</v>
      </c>
      <c r="W23" s="43" t="s">
        <v>101</v>
      </c>
      <c r="X23" s="119" t="s">
        <v>102</v>
      </c>
      <c r="Y23" s="43" t="s">
        <v>101</v>
      </c>
      <c r="Z23" s="119" t="s">
        <v>102</v>
      </c>
      <c r="AA23" s="43" t="s">
        <v>101</v>
      </c>
      <c r="AB23" s="119" t="s">
        <v>102</v>
      </c>
      <c r="AC23" s="43" t="s">
        <v>101</v>
      </c>
      <c r="AD23" s="119" t="s">
        <v>102</v>
      </c>
      <c r="AE23" s="43" t="s">
        <v>101</v>
      </c>
      <c r="AF23" s="119" t="s">
        <v>102</v>
      </c>
      <c r="AG23" s="43" t="s">
        <v>101</v>
      </c>
      <c r="AH23" s="119" t="s">
        <v>102</v>
      </c>
      <c r="AI23" s="43" t="s">
        <v>101</v>
      </c>
      <c r="AJ23" s="119" t="s">
        <v>102</v>
      </c>
      <c r="AK23" s="43" t="s">
        <v>101</v>
      </c>
      <c r="AL23" s="119" t="s">
        <v>102</v>
      </c>
      <c r="AM23" s="43" t="s">
        <v>101</v>
      </c>
      <c r="AN23" s="119" t="s">
        <v>102</v>
      </c>
      <c r="AO23" s="43" t="s">
        <v>101</v>
      </c>
      <c r="AP23" s="119" t="s">
        <v>102</v>
      </c>
      <c r="AQ23" s="43" t="s">
        <v>101</v>
      </c>
      <c r="AR23" s="119" t="s">
        <v>102</v>
      </c>
      <c r="AS23" s="43" t="s">
        <v>101</v>
      </c>
      <c r="AT23" s="119" t="s">
        <v>102</v>
      </c>
      <c r="AU23" s="43" t="s">
        <v>101</v>
      </c>
      <c r="AV23" s="40" t="s">
        <v>102</v>
      </c>
      <c r="AW23" s="42" t="s">
        <v>101</v>
      </c>
      <c r="AX23" s="40" t="s">
        <v>102</v>
      </c>
      <c r="AY23" s="42" t="s">
        <v>101</v>
      </c>
      <c r="AZ23" s="40" t="s">
        <v>102</v>
      </c>
      <c r="BA23" s="42" t="s">
        <v>101</v>
      </c>
      <c r="BB23" s="40" t="s">
        <v>102</v>
      </c>
      <c r="BC23" s="42" t="s">
        <v>101</v>
      </c>
      <c r="BD23" s="40" t="s">
        <v>102</v>
      </c>
      <c r="BE23" s="42" t="s">
        <v>101</v>
      </c>
      <c r="BF23" s="40" t="s">
        <v>102</v>
      </c>
      <c r="BG23" s="42" t="s">
        <v>101</v>
      </c>
      <c r="BH23" s="40" t="s">
        <v>102</v>
      </c>
      <c r="BI23" s="42" t="s">
        <v>101</v>
      </c>
      <c r="BJ23" s="40" t="s">
        <v>102</v>
      </c>
      <c r="BK23" s="42" t="s">
        <v>101</v>
      </c>
      <c r="BL23" s="40" t="s">
        <v>102</v>
      </c>
      <c r="BM23" s="42" t="s">
        <v>101</v>
      </c>
      <c r="BN23" s="40" t="s">
        <v>102</v>
      </c>
      <c r="BO23" s="42" t="s">
        <v>101</v>
      </c>
      <c r="BP23" s="40" t="s">
        <v>102</v>
      </c>
      <c r="BQ23" s="42" t="s">
        <v>101</v>
      </c>
      <c r="BR23" s="40" t="s">
        <v>102</v>
      </c>
      <c r="BS23" s="42" t="s">
        <v>101</v>
      </c>
      <c r="BT23" s="40" t="s">
        <v>102</v>
      </c>
      <c r="BU23" s="42" t="s">
        <v>101</v>
      </c>
      <c r="BV23" s="40" t="s">
        <v>102</v>
      </c>
      <c r="BW23" s="42" t="s">
        <v>101</v>
      </c>
      <c r="BX23" s="40" t="s">
        <v>102</v>
      </c>
      <c r="BY23" s="42" t="s">
        <v>101</v>
      </c>
      <c r="BZ23" s="40" t="s">
        <v>102</v>
      </c>
      <c r="CA23" s="42" t="s">
        <v>101</v>
      </c>
      <c r="CB23" s="40" t="s">
        <v>102</v>
      </c>
      <c r="CC23" s="42" t="s">
        <v>101</v>
      </c>
      <c r="CD23" s="40" t="s">
        <v>102</v>
      </c>
      <c r="CE23" s="42" t="s">
        <v>101</v>
      </c>
      <c r="CF23" s="40" t="s">
        <v>102</v>
      </c>
      <c r="CG23" s="42" t="s">
        <v>101</v>
      </c>
      <c r="CH23" s="40" t="s">
        <v>102</v>
      </c>
      <c r="CI23" s="42" t="s">
        <v>101</v>
      </c>
      <c r="CJ23" s="40" t="s">
        <v>102</v>
      </c>
      <c r="CK23" s="47" t="s">
        <v>101</v>
      </c>
      <c r="CL23" s="40" t="s">
        <v>102</v>
      </c>
      <c r="CM23" s="59" t="str">
        <f t="shared" si="1"/>
        <v>APPROVED</v>
      </c>
      <c r="CN23" s="60"/>
      <c r="CO23" s="61"/>
      <c r="CP23" s="62" t="s">
        <v>108</v>
      </c>
      <c r="CQ23" s="62" t="s">
        <v>117</v>
      </c>
    </row>
    <row r="24">
      <c r="A24" s="23">
        <v>12.0</v>
      </c>
      <c r="B24" s="125" t="s">
        <v>123</v>
      </c>
      <c r="C24" s="126"/>
      <c r="D24" s="116" t="s">
        <v>124</v>
      </c>
      <c r="E24" s="67">
        <v>1126.0</v>
      </c>
      <c r="F24" s="28" t="str">
        <f>IFERROR(VLOOKUP(L24:L85,'R22 RELATÓRIO ACC'!B:F,5,FALSE),"NOT PUBLISHED")</f>
        <v>V14</v>
      </c>
      <c r="G24" s="28" t="str">
        <f>IFERROR(VLOOKUP(L24:L85,'R22 RELATÓRIO ACC'!B:P,15,FALSE),"NOT PUBLISHED")</f>
        <v>18/03/2026</v>
      </c>
      <c r="H24" s="29" t="str">
        <f>IFERROR(VLOOKUP(M24:M85,'RELATÓRIO ACC'!B:F,5,FALSE),"NOT PUBLISHED")</f>
        <v>V2</v>
      </c>
      <c r="I24" s="29" t="str">
        <f>IFERROR(VLOOKUP(M24:M85,'RELATÓRIO ACC'!B:P,15,FALSE),"NOT PUBLISHED")</f>
        <v>17/06/2026</v>
      </c>
      <c r="J24" s="68" t="s">
        <v>192</v>
      </c>
      <c r="K24" s="97">
        <v>45889.0</v>
      </c>
      <c r="L24" s="69" t="s">
        <v>193</v>
      </c>
      <c r="M24" s="69" t="s">
        <v>194</v>
      </c>
      <c r="N24" s="70" t="b">
        <v>1</v>
      </c>
      <c r="O24" s="148" t="s">
        <v>195</v>
      </c>
      <c r="P24" s="71" t="s">
        <v>99</v>
      </c>
      <c r="Q24" s="48" t="s">
        <v>103</v>
      </c>
      <c r="R24" s="48" t="s">
        <v>103</v>
      </c>
      <c r="S24" s="73" t="s">
        <v>115</v>
      </c>
      <c r="T24" s="37" t="s">
        <v>100</v>
      </c>
      <c r="U24" s="43" t="s">
        <v>101</v>
      </c>
      <c r="V24" s="119" t="s">
        <v>102</v>
      </c>
      <c r="W24" s="43" t="s">
        <v>101</v>
      </c>
      <c r="X24" s="119" t="s">
        <v>102</v>
      </c>
      <c r="Y24" s="43" t="s">
        <v>101</v>
      </c>
      <c r="Z24" s="119" t="s">
        <v>102</v>
      </c>
      <c r="AA24" s="43" t="s">
        <v>101</v>
      </c>
      <c r="AB24" s="119" t="s">
        <v>102</v>
      </c>
      <c r="AC24" s="43" t="s">
        <v>101</v>
      </c>
      <c r="AD24" s="119" t="s">
        <v>102</v>
      </c>
      <c r="AE24" s="43" t="s">
        <v>101</v>
      </c>
      <c r="AF24" s="119" t="s">
        <v>102</v>
      </c>
      <c r="AG24" s="43" t="s">
        <v>101</v>
      </c>
      <c r="AH24" s="119" t="s">
        <v>102</v>
      </c>
      <c r="AI24" s="43" t="s">
        <v>101</v>
      </c>
      <c r="AJ24" s="119" t="s">
        <v>102</v>
      </c>
      <c r="AK24" s="43" t="s">
        <v>101</v>
      </c>
      <c r="AL24" s="119" t="s">
        <v>102</v>
      </c>
      <c r="AM24" s="43" t="s">
        <v>101</v>
      </c>
      <c r="AN24" s="119" t="s">
        <v>102</v>
      </c>
      <c r="AO24" s="43" t="s">
        <v>101</v>
      </c>
      <c r="AP24" s="119" t="s">
        <v>102</v>
      </c>
      <c r="AQ24" s="43" t="s">
        <v>101</v>
      </c>
      <c r="AR24" s="119" t="s">
        <v>102</v>
      </c>
      <c r="AS24" s="43" t="s">
        <v>101</v>
      </c>
      <c r="AT24" s="119" t="s">
        <v>102</v>
      </c>
      <c r="AU24" s="43" t="s">
        <v>101</v>
      </c>
      <c r="AV24" s="40" t="s">
        <v>102</v>
      </c>
      <c r="AW24" s="42" t="s">
        <v>101</v>
      </c>
      <c r="AX24" s="40" t="s">
        <v>102</v>
      </c>
      <c r="AY24" s="42" t="s">
        <v>101</v>
      </c>
      <c r="AZ24" s="40" t="s">
        <v>102</v>
      </c>
      <c r="BA24" s="42" t="s">
        <v>101</v>
      </c>
      <c r="BB24" s="40" t="s">
        <v>102</v>
      </c>
      <c r="BC24" s="42" t="s">
        <v>101</v>
      </c>
      <c r="BD24" s="40" t="s">
        <v>102</v>
      </c>
      <c r="BE24" s="42" t="s">
        <v>101</v>
      </c>
      <c r="BF24" s="40" t="s">
        <v>102</v>
      </c>
      <c r="BG24" s="42" t="s">
        <v>101</v>
      </c>
      <c r="BH24" s="40" t="s">
        <v>102</v>
      </c>
      <c r="BI24" s="42" t="s">
        <v>101</v>
      </c>
      <c r="BJ24" s="40" t="s">
        <v>102</v>
      </c>
      <c r="BK24" s="42" t="s">
        <v>101</v>
      </c>
      <c r="BL24" s="40" t="s">
        <v>102</v>
      </c>
      <c r="BM24" s="42" t="s">
        <v>101</v>
      </c>
      <c r="BN24" s="40" t="s">
        <v>102</v>
      </c>
      <c r="BO24" s="42" t="s">
        <v>101</v>
      </c>
      <c r="BP24" s="40" t="s">
        <v>102</v>
      </c>
      <c r="BQ24" s="42" t="s">
        <v>101</v>
      </c>
      <c r="BR24" s="40" t="s">
        <v>102</v>
      </c>
      <c r="BS24" s="42" t="s">
        <v>101</v>
      </c>
      <c r="BT24" s="40" t="s">
        <v>102</v>
      </c>
      <c r="BU24" s="42" t="s">
        <v>101</v>
      </c>
      <c r="BV24" s="40" t="s">
        <v>102</v>
      </c>
      <c r="BW24" s="42" t="s">
        <v>101</v>
      </c>
      <c r="BX24" s="40" t="s">
        <v>102</v>
      </c>
      <c r="BY24" s="42" t="s">
        <v>101</v>
      </c>
      <c r="BZ24" s="40" t="s">
        <v>102</v>
      </c>
      <c r="CA24" s="42" t="s">
        <v>101</v>
      </c>
      <c r="CB24" s="40" t="s">
        <v>102</v>
      </c>
      <c r="CC24" s="42" t="s">
        <v>101</v>
      </c>
      <c r="CD24" s="40" t="s">
        <v>102</v>
      </c>
      <c r="CE24" s="42" t="s">
        <v>101</v>
      </c>
      <c r="CF24" s="40" t="s">
        <v>102</v>
      </c>
      <c r="CG24" s="42" t="s">
        <v>101</v>
      </c>
      <c r="CH24" s="40" t="s">
        <v>102</v>
      </c>
      <c r="CI24" s="42" t="s">
        <v>101</v>
      </c>
      <c r="CJ24" s="40" t="s">
        <v>102</v>
      </c>
      <c r="CK24" s="42" t="s">
        <v>101</v>
      </c>
      <c r="CL24" s="136" t="s">
        <v>102</v>
      </c>
      <c r="CM24" s="59" t="str">
        <f t="shared" si="1"/>
        <v>APPROVED</v>
      </c>
      <c r="CN24" s="60"/>
      <c r="CO24" s="61"/>
      <c r="CP24" s="62" t="s">
        <v>108</v>
      </c>
      <c r="CQ24" s="87" t="s">
        <v>109</v>
      </c>
    </row>
    <row r="25">
      <c r="A25" s="23">
        <v>13.0</v>
      </c>
      <c r="B25" s="149" t="s">
        <v>177</v>
      </c>
      <c r="C25" s="142">
        <v>1110.0</v>
      </c>
      <c r="D25" s="143" t="s">
        <v>178</v>
      </c>
      <c r="E25" s="144">
        <v>1128.0</v>
      </c>
      <c r="F25" s="28" t="str">
        <f>IFERROR(VLOOKUP(L25:L86,'R22 RELATÓRIO ACC'!B:F,5,FALSE),"NOT PUBLISHED")</f>
        <v>V30</v>
      </c>
      <c r="G25" s="28" t="str">
        <f>IFERROR(VLOOKUP(L25:L86,'R22 RELATÓRIO ACC'!B:P,15,FALSE),"NOT PUBLISHED")</f>
        <v>26/03/2026</v>
      </c>
      <c r="H25" s="29" t="str">
        <f>IFERROR(VLOOKUP(M25:M86,'RELATÓRIO ACC'!B:F,5,FALSE),"NOT PUBLISHED")</f>
        <v>V2</v>
      </c>
      <c r="I25" s="29" t="str">
        <f>IFERROR(VLOOKUP(M25:M86,'RELATÓRIO ACC'!B:P,15,FALSE),"NOT PUBLISHED")</f>
        <v>20/05/2026</v>
      </c>
      <c r="J25" s="137" t="s">
        <v>196</v>
      </c>
      <c r="K25" s="97">
        <v>45867.0</v>
      </c>
      <c r="L25" s="69" t="s">
        <v>197</v>
      </c>
      <c r="M25" s="69" t="s">
        <v>198</v>
      </c>
      <c r="N25" s="70" t="b">
        <v>1</v>
      </c>
      <c r="O25" s="70" t="b">
        <v>1</v>
      </c>
      <c r="P25" s="71" t="s">
        <v>99</v>
      </c>
      <c r="Q25" s="48" t="s">
        <v>103</v>
      </c>
      <c r="R25" s="48" t="s">
        <v>103</v>
      </c>
      <c r="S25" s="73" t="s">
        <v>115</v>
      </c>
      <c r="T25" s="135" t="s">
        <v>100</v>
      </c>
      <c r="U25" s="43" t="s">
        <v>101</v>
      </c>
      <c r="V25" s="119" t="s">
        <v>102</v>
      </c>
      <c r="W25" s="43" t="s">
        <v>101</v>
      </c>
      <c r="X25" s="119" t="s">
        <v>102</v>
      </c>
      <c r="Y25" s="43" t="s">
        <v>101</v>
      </c>
      <c r="Z25" s="119" t="s">
        <v>102</v>
      </c>
      <c r="AA25" s="43" t="s">
        <v>101</v>
      </c>
      <c r="AB25" s="119" t="s">
        <v>102</v>
      </c>
      <c r="AC25" s="43" t="s">
        <v>101</v>
      </c>
      <c r="AD25" s="119" t="s">
        <v>102</v>
      </c>
      <c r="AE25" s="43" t="s">
        <v>101</v>
      </c>
      <c r="AF25" s="119" t="s">
        <v>102</v>
      </c>
      <c r="AG25" s="43" t="s">
        <v>101</v>
      </c>
      <c r="AH25" s="119" t="s">
        <v>102</v>
      </c>
      <c r="AI25" s="43" t="s">
        <v>101</v>
      </c>
      <c r="AJ25" s="119" t="s">
        <v>102</v>
      </c>
      <c r="AK25" s="43" t="s">
        <v>101</v>
      </c>
      <c r="AL25" s="119" t="s">
        <v>102</v>
      </c>
      <c r="AM25" s="43" t="s">
        <v>101</v>
      </c>
      <c r="AN25" s="119" t="s">
        <v>102</v>
      </c>
      <c r="AO25" s="43" t="s">
        <v>101</v>
      </c>
      <c r="AP25" s="119" t="s">
        <v>102</v>
      </c>
      <c r="AQ25" s="43" t="s">
        <v>101</v>
      </c>
      <c r="AR25" s="119" t="s">
        <v>102</v>
      </c>
      <c r="AS25" s="43" t="s">
        <v>101</v>
      </c>
      <c r="AT25" s="119" t="s">
        <v>102</v>
      </c>
      <c r="AU25" s="43" t="s">
        <v>101</v>
      </c>
      <c r="AV25" s="40" t="s">
        <v>102</v>
      </c>
      <c r="AW25" s="42" t="s">
        <v>101</v>
      </c>
      <c r="AX25" s="40" t="s">
        <v>102</v>
      </c>
      <c r="AY25" s="42" t="s">
        <v>101</v>
      </c>
      <c r="AZ25" s="40" t="s">
        <v>102</v>
      </c>
      <c r="BA25" s="42" t="s">
        <v>101</v>
      </c>
      <c r="BB25" s="40" t="s">
        <v>102</v>
      </c>
      <c r="BC25" s="42" t="s">
        <v>101</v>
      </c>
      <c r="BD25" s="40" t="s">
        <v>102</v>
      </c>
      <c r="BE25" s="42" t="s">
        <v>101</v>
      </c>
      <c r="BF25" s="40" t="s">
        <v>102</v>
      </c>
      <c r="BG25" s="42" t="s">
        <v>101</v>
      </c>
      <c r="BH25" s="40" t="s">
        <v>102</v>
      </c>
      <c r="BI25" s="42" t="s">
        <v>101</v>
      </c>
      <c r="BJ25" s="40" t="s">
        <v>102</v>
      </c>
      <c r="BK25" s="42" t="s">
        <v>101</v>
      </c>
      <c r="BL25" s="40" t="s">
        <v>102</v>
      </c>
      <c r="BM25" s="42" t="s">
        <v>101</v>
      </c>
      <c r="BN25" s="40" t="s">
        <v>102</v>
      </c>
      <c r="BO25" s="42" t="s">
        <v>101</v>
      </c>
      <c r="BP25" s="40" t="s">
        <v>102</v>
      </c>
      <c r="BQ25" s="42" t="s">
        <v>101</v>
      </c>
      <c r="BR25" s="40" t="s">
        <v>102</v>
      </c>
      <c r="BS25" s="42" t="s">
        <v>101</v>
      </c>
      <c r="BT25" s="40" t="s">
        <v>102</v>
      </c>
      <c r="BU25" s="42" t="s">
        <v>101</v>
      </c>
      <c r="BV25" s="40" t="s">
        <v>102</v>
      </c>
      <c r="BW25" s="42" t="s">
        <v>101</v>
      </c>
      <c r="BX25" s="40" t="s">
        <v>102</v>
      </c>
      <c r="BY25" s="42" t="s">
        <v>101</v>
      </c>
      <c r="BZ25" s="40" t="s">
        <v>102</v>
      </c>
      <c r="CA25" s="42" t="s">
        <v>101</v>
      </c>
      <c r="CB25" s="40" t="s">
        <v>102</v>
      </c>
      <c r="CC25" s="42" t="s">
        <v>101</v>
      </c>
      <c r="CD25" s="40" t="s">
        <v>102</v>
      </c>
      <c r="CE25" s="42" t="s">
        <v>101</v>
      </c>
      <c r="CF25" s="40" t="s">
        <v>102</v>
      </c>
      <c r="CG25" s="42" t="s">
        <v>101</v>
      </c>
      <c r="CH25" s="40" t="s">
        <v>102</v>
      </c>
      <c r="CI25" s="42" t="s">
        <v>101</v>
      </c>
      <c r="CJ25" s="40" t="s">
        <v>102</v>
      </c>
      <c r="CK25" s="42" t="s">
        <v>101</v>
      </c>
      <c r="CL25" s="136" t="s">
        <v>102</v>
      </c>
      <c r="CM25" s="59" t="str">
        <f t="shared" si="1"/>
        <v>APPROVED</v>
      </c>
      <c r="CN25" s="60"/>
      <c r="CO25" s="61"/>
      <c r="CP25" s="62" t="s">
        <v>152</v>
      </c>
      <c r="CQ25" s="62" t="s">
        <v>122</v>
      </c>
    </row>
    <row r="26">
      <c r="A26" s="23">
        <v>14.0</v>
      </c>
      <c r="B26" s="134" t="s">
        <v>199</v>
      </c>
      <c r="C26" s="126" t="s">
        <v>199</v>
      </c>
      <c r="D26" s="126" t="s">
        <v>199</v>
      </c>
      <c r="E26" s="67"/>
      <c r="F26" s="28" t="str">
        <f>IFERROR(VLOOKUP(L26:L87,'R22 RELATÓRIO ACC'!B:F,5,FALSE),"NOT PUBLISHED")</f>
        <v>V9</v>
      </c>
      <c r="G26" s="28" t="str">
        <f>IFERROR(VLOOKUP(L26:L87,'R22 RELATÓRIO ACC'!B:P,15,FALSE),"NOT PUBLISHED")</f>
        <v>28/02/2026</v>
      </c>
      <c r="H26" s="29" t="str">
        <f>IFERROR(VLOOKUP(M26:M87,'RELATÓRIO ACC'!B:F,5,FALSE),"NOT PUBLISHED")</f>
        <v>V1</v>
      </c>
      <c r="I26" s="29" t="str">
        <f>IFERROR(VLOOKUP(M26:M87,'RELATÓRIO ACC'!B:P,15,FALSE),"NOT PUBLISHED")</f>
        <v>20/05/2026</v>
      </c>
      <c r="J26" s="68" t="s">
        <v>118</v>
      </c>
      <c r="K26" s="133">
        <v>45874.0</v>
      </c>
      <c r="L26" s="69" t="s">
        <v>200</v>
      </c>
      <c r="M26" s="69" t="s">
        <v>201</v>
      </c>
      <c r="N26" s="70" t="b">
        <v>1</v>
      </c>
      <c r="O26" s="70" t="b">
        <v>1</v>
      </c>
      <c r="P26" s="71" t="s">
        <v>99</v>
      </c>
      <c r="Q26" s="111" t="s">
        <v>99</v>
      </c>
      <c r="R26" s="111" t="s">
        <v>99</v>
      </c>
      <c r="S26" s="71" t="s">
        <v>99</v>
      </c>
      <c r="T26" s="135" t="s">
        <v>100</v>
      </c>
      <c r="U26" s="43" t="s">
        <v>101</v>
      </c>
      <c r="V26" s="119" t="s">
        <v>102</v>
      </c>
      <c r="W26" s="43" t="s">
        <v>101</v>
      </c>
      <c r="X26" s="119" t="s">
        <v>102</v>
      </c>
      <c r="Y26" s="42" t="s">
        <v>101</v>
      </c>
      <c r="Z26" s="119" t="s">
        <v>102</v>
      </c>
      <c r="AA26" s="42" t="s">
        <v>101</v>
      </c>
      <c r="AB26" s="119" t="s">
        <v>102</v>
      </c>
      <c r="AC26" s="42" t="s">
        <v>101</v>
      </c>
      <c r="AD26" s="119" t="s">
        <v>102</v>
      </c>
      <c r="AE26" s="42" t="s">
        <v>101</v>
      </c>
      <c r="AF26" s="119" t="s">
        <v>102</v>
      </c>
      <c r="AG26" s="43" t="s">
        <v>101</v>
      </c>
      <c r="AH26" s="119" t="s">
        <v>102</v>
      </c>
      <c r="AI26" s="42" t="s">
        <v>101</v>
      </c>
      <c r="AJ26" s="119" t="s">
        <v>102</v>
      </c>
      <c r="AK26" s="42" t="s">
        <v>101</v>
      </c>
      <c r="AL26" s="119" t="s">
        <v>102</v>
      </c>
      <c r="AM26" s="42" t="s">
        <v>101</v>
      </c>
      <c r="AN26" s="119" t="s">
        <v>102</v>
      </c>
      <c r="AO26" s="42" t="s">
        <v>101</v>
      </c>
      <c r="AP26" s="119" t="s">
        <v>102</v>
      </c>
      <c r="AQ26" s="42" t="s">
        <v>101</v>
      </c>
      <c r="AR26" s="119" t="s">
        <v>102</v>
      </c>
      <c r="AS26" s="42" t="s">
        <v>101</v>
      </c>
      <c r="AT26" s="119" t="s">
        <v>102</v>
      </c>
      <c r="AU26" s="42" t="s">
        <v>101</v>
      </c>
      <c r="AV26" s="40" t="s">
        <v>102</v>
      </c>
      <c r="AW26" s="42" t="s">
        <v>101</v>
      </c>
      <c r="AX26" s="40" t="s">
        <v>102</v>
      </c>
      <c r="AY26" s="42" t="s">
        <v>101</v>
      </c>
      <c r="AZ26" s="40" t="s">
        <v>102</v>
      </c>
      <c r="BA26" s="42" t="s">
        <v>101</v>
      </c>
      <c r="BB26" s="40" t="s">
        <v>102</v>
      </c>
      <c r="BC26" s="42" t="s">
        <v>101</v>
      </c>
      <c r="BD26" s="40" t="s">
        <v>102</v>
      </c>
      <c r="BE26" s="42" t="s">
        <v>101</v>
      </c>
      <c r="BF26" s="40" t="s">
        <v>102</v>
      </c>
      <c r="BG26" s="42" t="s">
        <v>101</v>
      </c>
      <c r="BH26" s="40" t="s">
        <v>102</v>
      </c>
      <c r="BI26" s="42" t="s">
        <v>101</v>
      </c>
      <c r="BJ26" s="40" t="s">
        <v>102</v>
      </c>
      <c r="BK26" s="42" t="s">
        <v>101</v>
      </c>
      <c r="BL26" s="40" t="s">
        <v>102</v>
      </c>
      <c r="BM26" s="42" t="s">
        <v>101</v>
      </c>
      <c r="BN26" s="40" t="s">
        <v>102</v>
      </c>
      <c r="BO26" s="42" t="s">
        <v>101</v>
      </c>
      <c r="BP26" s="40" t="s">
        <v>102</v>
      </c>
      <c r="BQ26" s="42" t="s">
        <v>101</v>
      </c>
      <c r="BR26" s="40" t="s">
        <v>102</v>
      </c>
      <c r="BS26" s="42" t="s">
        <v>101</v>
      </c>
      <c r="BT26" s="40" t="s">
        <v>102</v>
      </c>
      <c r="BU26" s="42" t="s">
        <v>101</v>
      </c>
      <c r="BV26" s="40" t="s">
        <v>102</v>
      </c>
      <c r="BW26" s="42" t="s">
        <v>101</v>
      </c>
      <c r="BX26" s="40" t="s">
        <v>102</v>
      </c>
      <c r="BY26" s="42" t="s">
        <v>101</v>
      </c>
      <c r="BZ26" s="40" t="s">
        <v>102</v>
      </c>
      <c r="CA26" s="42" t="s">
        <v>101</v>
      </c>
      <c r="CB26" s="40" t="s">
        <v>102</v>
      </c>
      <c r="CC26" s="42" t="s">
        <v>101</v>
      </c>
      <c r="CD26" s="40" t="s">
        <v>102</v>
      </c>
      <c r="CE26" s="42" t="s">
        <v>101</v>
      </c>
      <c r="CF26" s="40" t="s">
        <v>102</v>
      </c>
      <c r="CG26" s="42" t="s">
        <v>101</v>
      </c>
      <c r="CH26" s="40" t="s">
        <v>102</v>
      </c>
      <c r="CI26" s="42" t="s">
        <v>101</v>
      </c>
      <c r="CJ26" s="40" t="s">
        <v>102</v>
      </c>
      <c r="CK26" s="42" t="s">
        <v>101</v>
      </c>
      <c r="CL26" s="136" t="s">
        <v>102</v>
      </c>
      <c r="CM26" s="59" t="str">
        <f t="shared" si="1"/>
        <v>APPROVED</v>
      </c>
      <c r="CN26" s="60"/>
      <c r="CO26" s="61"/>
      <c r="CP26" s="86" t="s">
        <v>108</v>
      </c>
      <c r="CQ26" s="87" t="s">
        <v>117</v>
      </c>
    </row>
    <row r="27">
      <c r="A27" s="23">
        <v>15.0</v>
      </c>
      <c r="B27" s="115" t="s">
        <v>186</v>
      </c>
      <c r="C27" s="142">
        <v>1104.0</v>
      </c>
      <c r="D27" s="143" t="s">
        <v>174</v>
      </c>
      <c r="E27" s="144">
        <v>1127.0</v>
      </c>
      <c r="F27" s="28" t="str">
        <f>IFERROR(VLOOKUP(L27:L88,'R22 RELATÓRIO ACC'!B:F,5,FALSE),"NOT PUBLISHED")</f>
        <v>V13</v>
      </c>
      <c r="G27" s="28" t="str">
        <f>IFERROR(VLOOKUP(L27:L88,'R22 RELATÓRIO ACC'!B:P,15,FALSE),"NOT PUBLISHED")</f>
        <v>02/03/2026</v>
      </c>
      <c r="H27" s="29" t="str">
        <f>IFERROR(VLOOKUP(M27:M88,'RELATÓRIO ACC'!B:F,5,FALSE),"NOT PUBLISHED")</f>
        <v>V3</v>
      </c>
      <c r="I27" s="29" t="str">
        <f>IFERROR(VLOOKUP(M27:M88,'RELATÓRIO ACC'!B:P,15,FALSE),"NOT PUBLISHED")</f>
        <v>24/06/2026</v>
      </c>
      <c r="J27" s="68" t="s">
        <v>179</v>
      </c>
      <c r="K27" s="133">
        <v>45833.0</v>
      </c>
      <c r="L27" s="69" t="s">
        <v>202</v>
      </c>
      <c r="M27" s="69" t="s">
        <v>203</v>
      </c>
      <c r="N27" s="70" t="b">
        <v>1</v>
      </c>
      <c r="O27" s="70" t="b">
        <v>1</v>
      </c>
      <c r="P27" s="71" t="s">
        <v>99</v>
      </c>
      <c r="Q27" s="150" t="s">
        <v>100</v>
      </c>
      <c r="R27" s="37" t="s">
        <v>100</v>
      </c>
      <c r="S27" s="145" t="s">
        <v>101</v>
      </c>
      <c r="T27" s="135" t="s">
        <v>100</v>
      </c>
      <c r="U27" s="145" t="s">
        <v>101</v>
      </c>
      <c r="V27" s="119" t="s">
        <v>102</v>
      </c>
      <c r="W27" s="43" t="s">
        <v>101</v>
      </c>
      <c r="X27" s="119" t="s">
        <v>102</v>
      </c>
      <c r="Y27" s="42" t="s">
        <v>101</v>
      </c>
      <c r="Z27" s="119" t="s">
        <v>102</v>
      </c>
      <c r="AA27" s="42" t="s">
        <v>101</v>
      </c>
      <c r="AB27" s="119" t="s">
        <v>102</v>
      </c>
      <c r="AC27" s="42" t="s">
        <v>101</v>
      </c>
      <c r="AD27" s="119" t="s">
        <v>102</v>
      </c>
      <c r="AE27" s="42" t="s">
        <v>101</v>
      </c>
      <c r="AF27" s="119" t="s">
        <v>102</v>
      </c>
      <c r="AG27" s="43" t="s">
        <v>101</v>
      </c>
      <c r="AH27" s="119" t="s">
        <v>102</v>
      </c>
      <c r="AI27" s="42" t="s">
        <v>101</v>
      </c>
      <c r="AJ27" s="119" t="s">
        <v>102</v>
      </c>
      <c r="AK27" s="42" t="s">
        <v>101</v>
      </c>
      <c r="AL27" s="119" t="s">
        <v>102</v>
      </c>
      <c r="AM27" s="42" t="s">
        <v>101</v>
      </c>
      <c r="AN27" s="119" t="s">
        <v>102</v>
      </c>
      <c r="AO27" s="42" t="s">
        <v>101</v>
      </c>
      <c r="AP27" s="119" t="s">
        <v>102</v>
      </c>
      <c r="AQ27" s="42" t="s">
        <v>101</v>
      </c>
      <c r="AR27" s="119" t="s">
        <v>102</v>
      </c>
      <c r="AS27" s="42" t="s">
        <v>101</v>
      </c>
      <c r="AT27" s="119" t="s">
        <v>102</v>
      </c>
      <c r="AU27" s="42" t="s">
        <v>101</v>
      </c>
      <c r="AV27" s="40" t="s">
        <v>102</v>
      </c>
      <c r="AW27" s="42" t="s">
        <v>101</v>
      </c>
      <c r="AX27" s="40" t="s">
        <v>102</v>
      </c>
      <c r="AY27" s="42" t="s">
        <v>101</v>
      </c>
      <c r="AZ27" s="40" t="s">
        <v>102</v>
      </c>
      <c r="BA27" s="42" t="s">
        <v>101</v>
      </c>
      <c r="BB27" s="40" t="s">
        <v>102</v>
      </c>
      <c r="BC27" s="42" t="s">
        <v>101</v>
      </c>
      <c r="BD27" s="40" t="s">
        <v>102</v>
      </c>
      <c r="BE27" s="42" t="s">
        <v>101</v>
      </c>
      <c r="BF27" s="40" t="s">
        <v>102</v>
      </c>
      <c r="BG27" s="42" t="s">
        <v>101</v>
      </c>
      <c r="BH27" s="40" t="s">
        <v>102</v>
      </c>
      <c r="BI27" s="42" t="s">
        <v>101</v>
      </c>
      <c r="BJ27" s="40" t="s">
        <v>102</v>
      </c>
      <c r="BK27" s="42" t="s">
        <v>101</v>
      </c>
      <c r="BL27" s="40" t="s">
        <v>102</v>
      </c>
      <c r="BM27" s="42" t="s">
        <v>101</v>
      </c>
      <c r="BN27" s="40" t="s">
        <v>102</v>
      </c>
      <c r="BO27" s="42" t="s">
        <v>101</v>
      </c>
      <c r="BP27" s="40" t="s">
        <v>102</v>
      </c>
      <c r="BQ27" s="42" t="s">
        <v>101</v>
      </c>
      <c r="BR27" s="40" t="s">
        <v>102</v>
      </c>
      <c r="BS27" s="42" t="s">
        <v>101</v>
      </c>
      <c r="BT27" s="40" t="s">
        <v>102</v>
      </c>
      <c r="BU27" s="42" t="s">
        <v>101</v>
      </c>
      <c r="BV27" s="40" t="s">
        <v>102</v>
      </c>
      <c r="BW27" s="42" t="s">
        <v>101</v>
      </c>
      <c r="BX27" s="40" t="s">
        <v>102</v>
      </c>
      <c r="BY27" s="42" t="s">
        <v>101</v>
      </c>
      <c r="BZ27" s="40" t="s">
        <v>102</v>
      </c>
      <c r="CA27" s="42" t="s">
        <v>101</v>
      </c>
      <c r="CB27" s="40" t="s">
        <v>102</v>
      </c>
      <c r="CC27" s="42" t="s">
        <v>101</v>
      </c>
      <c r="CD27" s="40" t="s">
        <v>102</v>
      </c>
      <c r="CE27" s="42" t="s">
        <v>101</v>
      </c>
      <c r="CF27" s="40" t="s">
        <v>102</v>
      </c>
      <c r="CG27" s="42" t="s">
        <v>101</v>
      </c>
      <c r="CH27" s="40" t="s">
        <v>102</v>
      </c>
      <c r="CI27" s="42" t="s">
        <v>101</v>
      </c>
      <c r="CJ27" s="40" t="s">
        <v>102</v>
      </c>
      <c r="CK27" s="42" t="s">
        <v>101</v>
      </c>
      <c r="CL27" s="136" t="s">
        <v>102</v>
      </c>
      <c r="CM27" s="59" t="str">
        <f t="shared" si="1"/>
        <v>APPROVED</v>
      </c>
      <c r="CN27" s="60"/>
      <c r="CO27" s="61"/>
      <c r="CP27" s="62" t="s">
        <v>152</v>
      </c>
      <c r="CQ27" s="62" t="s">
        <v>117</v>
      </c>
    </row>
    <row r="28">
      <c r="A28" s="23">
        <v>16.0</v>
      </c>
      <c r="B28" s="121" t="s">
        <v>94</v>
      </c>
      <c r="C28" s="109">
        <v>1114.0</v>
      </c>
      <c r="D28" s="66" t="s">
        <v>94</v>
      </c>
      <c r="E28" s="67">
        <v>1114.0</v>
      </c>
      <c r="F28" s="28" t="str">
        <f>IFERROR(VLOOKUP(L28:L89,'R22 RELATÓRIO ACC'!B:F,5,FALSE),"NOT PUBLISHED")</f>
        <v>V20</v>
      </c>
      <c r="G28" s="28" t="str">
        <f>IFERROR(VLOOKUP(L28:L89,'R22 RELATÓRIO ACC'!B:P,15,FALSE),"NOT PUBLISHED")</f>
        <v>05/05/2026</v>
      </c>
      <c r="H28" s="29" t="str">
        <f>IFERROR(VLOOKUP(M28:M89,'RELATÓRIO ACC'!B:F,5,FALSE),"NOT PUBLISHED")</f>
        <v>V2</v>
      </c>
      <c r="I28" s="29" t="str">
        <f>IFERROR(VLOOKUP(M28:M89,'RELATÓRIO ACC'!B:P,15,FALSE),"NOT PUBLISHED")</f>
        <v>12/07/2026</v>
      </c>
      <c r="J28" s="68" t="s">
        <v>204</v>
      </c>
      <c r="K28" s="30">
        <v>45901.0</v>
      </c>
      <c r="L28" s="69" t="s">
        <v>205</v>
      </c>
      <c r="M28" s="69" t="s">
        <v>206</v>
      </c>
      <c r="N28" s="70" t="b">
        <v>1</v>
      </c>
      <c r="O28" s="70" t="b">
        <v>1</v>
      </c>
      <c r="P28" s="71" t="s">
        <v>99</v>
      </c>
      <c r="Q28" s="48" t="s">
        <v>103</v>
      </c>
      <c r="R28" s="48" t="s">
        <v>103</v>
      </c>
      <c r="S28" s="73" t="s">
        <v>115</v>
      </c>
      <c r="T28" s="135" t="s">
        <v>100</v>
      </c>
      <c r="U28" s="43" t="s">
        <v>101</v>
      </c>
      <c r="V28" s="119" t="s">
        <v>102</v>
      </c>
      <c r="W28" s="43" t="s">
        <v>101</v>
      </c>
      <c r="X28" s="119" t="s">
        <v>102</v>
      </c>
      <c r="Y28" s="43" t="s">
        <v>101</v>
      </c>
      <c r="Z28" s="119" t="s">
        <v>102</v>
      </c>
      <c r="AA28" s="43" t="s">
        <v>101</v>
      </c>
      <c r="AB28" s="119" t="s">
        <v>102</v>
      </c>
      <c r="AC28" s="43" t="s">
        <v>101</v>
      </c>
      <c r="AD28" s="119" t="s">
        <v>102</v>
      </c>
      <c r="AE28" s="43" t="s">
        <v>101</v>
      </c>
      <c r="AF28" s="119" t="s">
        <v>102</v>
      </c>
      <c r="AG28" s="43" t="s">
        <v>101</v>
      </c>
      <c r="AH28" s="119" t="s">
        <v>102</v>
      </c>
      <c r="AI28" s="43" t="s">
        <v>101</v>
      </c>
      <c r="AJ28" s="119" t="s">
        <v>102</v>
      </c>
      <c r="AK28" s="43" t="s">
        <v>101</v>
      </c>
      <c r="AL28" s="119" t="s">
        <v>102</v>
      </c>
      <c r="AM28" s="43" t="s">
        <v>101</v>
      </c>
      <c r="AN28" s="119" t="s">
        <v>102</v>
      </c>
      <c r="AO28" s="43" t="s">
        <v>101</v>
      </c>
      <c r="AP28" s="119" t="s">
        <v>102</v>
      </c>
      <c r="AQ28" s="43" t="s">
        <v>101</v>
      </c>
      <c r="AR28" s="119" t="s">
        <v>102</v>
      </c>
      <c r="AS28" s="43" t="s">
        <v>101</v>
      </c>
      <c r="AT28" s="119" t="s">
        <v>102</v>
      </c>
      <c r="AU28" s="43" t="s">
        <v>101</v>
      </c>
      <c r="AV28" s="40" t="s">
        <v>102</v>
      </c>
      <c r="AW28" s="42" t="s">
        <v>101</v>
      </c>
      <c r="AX28" s="40" t="s">
        <v>102</v>
      </c>
      <c r="AY28" s="42" t="s">
        <v>101</v>
      </c>
      <c r="AZ28" s="40" t="s">
        <v>102</v>
      </c>
      <c r="BA28" s="42" t="s">
        <v>101</v>
      </c>
      <c r="BB28" s="40" t="s">
        <v>102</v>
      </c>
      <c r="BC28" s="42" t="s">
        <v>101</v>
      </c>
      <c r="BD28" s="40" t="s">
        <v>102</v>
      </c>
      <c r="BE28" s="42" t="s">
        <v>101</v>
      </c>
      <c r="BF28" s="40" t="s">
        <v>102</v>
      </c>
      <c r="BG28" s="42" t="s">
        <v>101</v>
      </c>
      <c r="BH28" s="40" t="s">
        <v>102</v>
      </c>
      <c r="BI28" s="42" t="s">
        <v>101</v>
      </c>
      <c r="BJ28" s="40" t="s">
        <v>102</v>
      </c>
      <c r="BK28" s="42" t="s">
        <v>101</v>
      </c>
      <c r="BL28" s="40" t="s">
        <v>102</v>
      </c>
      <c r="BM28" s="42" t="s">
        <v>101</v>
      </c>
      <c r="BN28" s="40" t="s">
        <v>102</v>
      </c>
      <c r="BO28" s="42" t="s">
        <v>101</v>
      </c>
      <c r="BP28" s="40" t="s">
        <v>102</v>
      </c>
      <c r="BQ28" s="42" t="s">
        <v>101</v>
      </c>
      <c r="BR28" s="40" t="s">
        <v>102</v>
      </c>
      <c r="BS28" s="42" t="s">
        <v>101</v>
      </c>
      <c r="BT28" s="40" t="s">
        <v>102</v>
      </c>
      <c r="BU28" s="42" t="s">
        <v>101</v>
      </c>
      <c r="BV28" s="40" t="s">
        <v>102</v>
      </c>
      <c r="BW28" s="42" t="s">
        <v>101</v>
      </c>
      <c r="BX28" s="40" t="s">
        <v>102</v>
      </c>
      <c r="BY28" s="42" t="s">
        <v>101</v>
      </c>
      <c r="BZ28" s="40" t="s">
        <v>102</v>
      </c>
      <c r="CA28" s="42" t="s">
        <v>101</v>
      </c>
      <c r="CB28" s="40" t="s">
        <v>102</v>
      </c>
      <c r="CC28" s="42" t="s">
        <v>101</v>
      </c>
      <c r="CD28" s="40" t="s">
        <v>102</v>
      </c>
      <c r="CE28" s="42" t="s">
        <v>101</v>
      </c>
      <c r="CF28" s="40" t="s">
        <v>102</v>
      </c>
      <c r="CG28" s="42" t="s">
        <v>101</v>
      </c>
      <c r="CH28" s="40" t="s">
        <v>102</v>
      </c>
      <c r="CI28" s="42" t="s">
        <v>101</v>
      </c>
      <c r="CJ28" s="40" t="s">
        <v>102</v>
      </c>
      <c r="CK28" s="42" t="s">
        <v>101</v>
      </c>
      <c r="CL28" s="136" t="s">
        <v>102</v>
      </c>
      <c r="CM28" s="59" t="str">
        <f t="shared" si="1"/>
        <v>APPROVED</v>
      </c>
      <c r="CN28" s="60"/>
      <c r="CO28" s="61"/>
      <c r="CP28" s="62" t="s">
        <v>162</v>
      </c>
      <c r="CQ28" s="62" t="s">
        <v>109</v>
      </c>
    </row>
    <row r="29">
      <c r="A29" s="23">
        <v>17.0</v>
      </c>
      <c r="B29" s="121" t="s">
        <v>94</v>
      </c>
      <c r="C29" s="109">
        <v>1114.0</v>
      </c>
      <c r="D29" s="66" t="s">
        <v>94</v>
      </c>
      <c r="E29" s="67">
        <v>1114.0</v>
      </c>
      <c r="F29" s="28" t="str">
        <f>IFERROR(VLOOKUP(L29:L90,'R22 RELATÓRIO ACC'!B:F,5,FALSE),"NOT PUBLISHED")</f>
        <v>V14</v>
      </c>
      <c r="G29" s="28" t="str">
        <f>IFERROR(VLOOKUP(L29:L90,'R22 RELATÓRIO ACC'!B:P,15,FALSE),"NOT PUBLISHED")</f>
        <v>03/02/2026</v>
      </c>
      <c r="H29" s="29" t="str">
        <f>IFERROR(VLOOKUP(M29:M90,'RELATÓRIO ACC'!B:F,5,FALSE),"NOT PUBLISHED")</f>
        <v>V1</v>
      </c>
      <c r="I29" s="29" t="str">
        <f>IFERROR(VLOOKUP(M29:M90,'RELATÓRIO ACC'!B:P,15,FALSE),"NOT PUBLISHED")</f>
        <v>15/05/2026</v>
      </c>
      <c r="J29" s="68" t="s">
        <v>192</v>
      </c>
      <c r="K29" s="30">
        <v>45870.0</v>
      </c>
      <c r="L29" s="69" t="s">
        <v>207</v>
      </c>
      <c r="M29" s="69" t="s">
        <v>208</v>
      </c>
      <c r="N29" s="70" t="b">
        <v>1</v>
      </c>
      <c r="O29" s="70" t="b">
        <v>1</v>
      </c>
      <c r="P29" s="71" t="s">
        <v>99</v>
      </c>
      <c r="Q29" s="48" t="s">
        <v>100</v>
      </c>
      <c r="R29" s="48" t="s">
        <v>103</v>
      </c>
      <c r="S29" s="73" t="s">
        <v>115</v>
      </c>
      <c r="T29" s="135" t="s">
        <v>100</v>
      </c>
      <c r="U29" s="43" t="s">
        <v>101</v>
      </c>
      <c r="V29" s="119" t="s">
        <v>102</v>
      </c>
      <c r="W29" s="43" t="s">
        <v>101</v>
      </c>
      <c r="X29" s="119" t="s">
        <v>102</v>
      </c>
      <c r="Y29" s="43" t="s">
        <v>101</v>
      </c>
      <c r="Z29" s="119" t="s">
        <v>102</v>
      </c>
      <c r="AA29" s="43" t="s">
        <v>101</v>
      </c>
      <c r="AB29" s="119" t="s">
        <v>102</v>
      </c>
      <c r="AC29" s="43" t="s">
        <v>101</v>
      </c>
      <c r="AD29" s="119" t="s">
        <v>102</v>
      </c>
      <c r="AE29" s="43" t="s">
        <v>101</v>
      </c>
      <c r="AF29" s="119" t="s">
        <v>102</v>
      </c>
      <c r="AG29" s="43" t="s">
        <v>101</v>
      </c>
      <c r="AH29" s="119" t="s">
        <v>102</v>
      </c>
      <c r="AI29" s="43" t="s">
        <v>101</v>
      </c>
      <c r="AJ29" s="119" t="s">
        <v>102</v>
      </c>
      <c r="AK29" s="43" t="s">
        <v>101</v>
      </c>
      <c r="AL29" s="119" t="s">
        <v>102</v>
      </c>
      <c r="AM29" s="43" t="s">
        <v>101</v>
      </c>
      <c r="AN29" s="119" t="s">
        <v>102</v>
      </c>
      <c r="AO29" s="43" t="s">
        <v>101</v>
      </c>
      <c r="AP29" s="119" t="s">
        <v>102</v>
      </c>
      <c r="AQ29" s="43" t="s">
        <v>101</v>
      </c>
      <c r="AR29" s="119" t="s">
        <v>102</v>
      </c>
      <c r="AS29" s="43" t="s">
        <v>101</v>
      </c>
      <c r="AT29" s="119" t="s">
        <v>102</v>
      </c>
      <c r="AU29" s="43" t="s">
        <v>101</v>
      </c>
      <c r="AV29" s="40" t="s">
        <v>102</v>
      </c>
      <c r="AW29" s="42" t="s">
        <v>101</v>
      </c>
      <c r="AX29" s="40" t="s">
        <v>102</v>
      </c>
      <c r="AY29" s="42" t="s">
        <v>101</v>
      </c>
      <c r="AZ29" s="40" t="s">
        <v>102</v>
      </c>
      <c r="BA29" s="42" t="s">
        <v>101</v>
      </c>
      <c r="BB29" s="40" t="s">
        <v>102</v>
      </c>
      <c r="BC29" s="42" t="s">
        <v>101</v>
      </c>
      <c r="BD29" s="40" t="s">
        <v>102</v>
      </c>
      <c r="BE29" s="42" t="s">
        <v>101</v>
      </c>
      <c r="BF29" s="40" t="s">
        <v>102</v>
      </c>
      <c r="BG29" s="42" t="s">
        <v>101</v>
      </c>
      <c r="BH29" s="40" t="s">
        <v>102</v>
      </c>
      <c r="BI29" s="42" t="s">
        <v>101</v>
      </c>
      <c r="BJ29" s="40" t="s">
        <v>102</v>
      </c>
      <c r="BK29" s="42" t="s">
        <v>101</v>
      </c>
      <c r="BL29" s="40" t="s">
        <v>102</v>
      </c>
      <c r="BM29" s="42" t="s">
        <v>101</v>
      </c>
      <c r="BN29" s="40" t="s">
        <v>102</v>
      </c>
      <c r="BO29" s="42" t="s">
        <v>101</v>
      </c>
      <c r="BP29" s="40" t="s">
        <v>102</v>
      </c>
      <c r="BQ29" s="42" t="s">
        <v>101</v>
      </c>
      <c r="BR29" s="40" t="s">
        <v>102</v>
      </c>
      <c r="BS29" s="42" t="s">
        <v>101</v>
      </c>
      <c r="BT29" s="40" t="s">
        <v>102</v>
      </c>
      <c r="BU29" s="42" t="s">
        <v>101</v>
      </c>
      <c r="BV29" s="40" t="s">
        <v>102</v>
      </c>
      <c r="BW29" s="42" t="s">
        <v>101</v>
      </c>
      <c r="BX29" s="40" t="s">
        <v>102</v>
      </c>
      <c r="BY29" s="42" t="s">
        <v>101</v>
      </c>
      <c r="BZ29" s="40" t="s">
        <v>102</v>
      </c>
      <c r="CA29" s="42" t="s">
        <v>101</v>
      </c>
      <c r="CB29" s="40" t="s">
        <v>102</v>
      </c>
      <c r="CC29" s="42" t="s">
        <v>101</v>
      </c>
      <c r="CD29" s="40" t="s">
        <v>102</v>
      </c>
      <c r="CE29" s="42" t="s">
        <v>101</v>
      </c>
      <c r="CF29" s="40" t="s">
        <v>102</v>
      </c>
      <c r="CG29" s="42" t="s">
        <v>101</v>
      </c>
      <c r="CH29" s="40" t="s">
        <v>102</v>
      </c>
      <c r="CI29" s="42" t="s">
        <v>101</v>
      </c>
      <c r="CJ29" s="40" t="s">
        <v>102</v>
      </c>
      <c r="CK29" s="42" t="s">
        <v>101</v>
      </c>
      <c r="CL29" s="40" t="s">
        <v>102</v>
      </c>
      <c r="CM29" s="59" t="str">
        <f t="shared" si="1"/>
        <v>APPROVED</v>
      </c>
      <c r="CN29" s="60"/>
      <c r="CO29" s="61" t="b">
        <v>0</v>
      </c>
      <c r="CP29" s="123" t="s">
        <v>152</v>
      </c>
      <c r="CQ29" s="124" t="s">
        <v>122</v>
      </c>
    </row>
    <row r="30">
      <c r="A30" s="23">
        <v>18.0</v>
      </c>
      <c r="B30" s="151" t="s">
        <v>110</v>
      </c>
      <c r="C30" s="109">
        <v>1112.0</v>
      </c>
      <c r="D30" s="66" t="s">
        <v>129</v>
      </c>
      <c r="E30" s="67">
        <v>1129.0</v>
      </c>
      <c r="F30" s="28" t="str">
        <f>IFERROR(VLOOKUP(L30:L91,'R22 RELATÓRIO ACC'!B:F,5,FALSE),"NOT PUBLISHED")</f>
        <v>V33</v>
      </c>
      <c r="G30" s="28" t="str">
        <f>IFERROR(VLOOKUP(L30:L91,'R22 RELATÓRIO ACC'!B:P,15,FALSE),"NOT PUBLISHED")</f>
        <v>04/03/2026</v>
      </c>
      <c r="H30" s="29" t="str">
        <f>IFERROR(VLOOKUP(M30:M91,'RELATÓRIO ACC'!B:F,5,FALSE),"NOT PUBLISHED")</f>
        <v>V2</v>
      </c>
      <c r="I30" s="29" t="str">
        <f>IFERROR(VLOOKUP(M30:M91,'RELATÓRIO ACC'!B:P,15,FALSE),"NOT PUBLISHED")</f>
        <v>13/07/2026</v>
      </c>
      <c r="J30" s="137" t="s">
        <v>209</v>
      </c>
      <c r="K30" s="97">
        <v>45868.0</v>
      </c>
      <c r="L30" s="69" t="s">
        <v>210</v>
      </c>
      <c r="M30" s="69" t="s">
        <v>211</v>
      </c>
      <c r="N30" s="70" t="b">
        <v>1</v>
      </c>
      <c r="O30" s="70" t="b">
        <v>1</v>
      </c>
      <c r="P30" s="71" t="s">
        <v>99</v>
      </c>
      <c r="Q30" s="48" t="s">
        <v>103</v>
      </c>
      <c r="R30" s="48" t="s">
        <v>103</v>
      </c>
      <c r="S30" s="73" t="s">
        <v>115</v>
      </c>
      <c r="T30" s="135" t="s">
        <v>100</v>
      </c>
      <c r="U30" s="43" t="s">
        <v>101</v>
      </c>
      <c r="V30" s="119" t="s">
        <v>102</v>
      </c>
      <c r="W30" s="43" t="s">
        <v>101</v>
      </c>
      <c r="X30" s="119" t="s">
        <v>102</v>
      </c>
      <c r="Y30" s="43" t="s">
        <v>101</v>
      </c>
      <c r="Z30" s="119" t="s">
        <v>102</v>
      </c>
      <c r="AA30" s="43" t="s">
        <v>101</v>
      </c>
      <c r="AB30" s="119" t="s">
        <v>102</v>
      </c>
      <c r="AC30" s="43" t="s">
        <v>101</v>
      </c>
      <c r="AD30" s="119" t="s">
        <v>102</v>
      </c>
      <c r="AE30" s="43" t="s">
        <v>101</v>
      </c>
      <c r="AF30" s="119" t="s">
        <v>102</v>
      </c>
      <c r="AG30" s="43" t="s">
        <v>101</v>
      </c>
      <c r="AH30" s="119" t="s">
        <v>102</v>
      </c>
      <c r="AI30" s="43" t="s">
        <v>101</v>
      </c>
      <c r="AJ30" s="119" t="s">
        <v>102</v>
      </c>
      <c r="AK30" s="43" t="s">
        <v>101</v>
      </c>
      <c r="AL30" s="119" t="s">
        <v>102</v>
      </c>
      <c r="AM30" s="43" t="s">
        <v>101</v>
      </c>
      <c r="AN30" s="119" t="s">
        <v>102</v>
      </c>
      <c r="AO30" s="43" t="s">
        <v>101</v>
      </c>
      <c r="AP30" s="119" t="s">
        <v>102</v>
      </c>
      <c r="AQ30" s="43" t="s">
        <v>101</v>
      </c>
      <c r="AR30" s="119" t="s">
        <v>102</v>
      </c>
      <c r="AS30" s="43" t="s">
        <v>101</v>
      </c>
      <c r="AT30" s="119" t="s">
        <v>102</v>
      </c>
      <c r="AU30" s="43" t="s">
        <v>101</v>
      </c>
      <c r="AV30" s="40" t="s">
        <v>102</v>
      </c>
      <c r="AW30" s="42" t="s">
        <v>101</v>
      </c>
      <c r="AX30" s="40" t="s">
        <v>102</v>
      </c>
      <c r="AY30" s="42" t="s">
        <v>101</v>
      </c>
      <c r="AZ30" s="40" t="s">
        <v>102</v>
      </c>
      <c r="BA30" s="42" t="s">
        <v>101</v>
      </c>
      <c r="BB30" s="40" t="s">
        <v>102</v>
      </c>
      <c r="BC30" s="42" t="s">
        <v>101</v>
      </c>
      <c r="BD30" s="40" t="s">
        <v>102</v>
      </c>
      <c r="BE30" s="42" t="s">
        <v>101</v>
      </c>
      <c r="BF30" s="40" t="s">
        <v>102</v>
      </c>
      <c r="BG30" s="42" t="s">
        <v>101</v>
      </c>
      <c r="BH30" s="40" t="s">
        <v>102</v>
      </c>
      <c r="BI30" s="42" t="s">
        <v>101</v>
      </c>
      <c r="BJ30" s="40" t="s">
        <v>102</v>
      </c>
      <c r="BK30" s="42" t="s">
        <v>101</v>
      </c>
      <c r="BL30" s="40" t="s">
        <v>102</v>
      </c>
      <c r="BM30" s="42" t="s">
        <v>101</v>
      </c>
      <c r="BN30" s="40" t="s">
        <v>102</v>
      </c>
      <c r="BO30" s="42" t="s">
        <v>101</v>
      </c>
      <c r="BP30" s="40" t="s">
        <v>102</v>
      </c>
      <c r="BQ30" s="42" t="s">
        <v>101</v>
      </c>
      <c r="BR30" s="40" t="s">
        <v>102</v>
      </c>
      <c r="BS30" s="42" t="s">
        <v>101</v>
      </c>
      <c r="BT30" s="40" t="s">
        <v>102</v>
      </c>
      <c r="BU30" s="42" t="s">
        <v>101</v>
      </c>
      <c r="BV30" s="40" t="s">
        <v>102</v>
      </c>
      <c r="BW30" s="42" t="s">
        <v>101</v>
      </c>
      <c r="BX30" s="40" t="s">
        <v>102</v>
      </c>
      <c r="BY30" s="42" t="s">
        <v>101</v>
      </c>
      <c r="BZ30" s="40" t="s">
        <v>102</v>
      </c>
      <c r="CA30" s="42" t="s">
        <v>101</v>
      </c>
      <c r="CB30" s="40" t="s">
        <v>102</v>
      </c>
      <c r="CC30" s="42" t="s">
        <v>101</v>
      </c>
      <c r="CD30" s="40" t="s">
        <v>102</v>
      </c>
      <c r="CE30" s="42" t="s">
        <v>101</v>
      </c>
      <c r="CF30" s="40" t="s">
        <v>102</v>
      </c>
      <c r="CG30" s="42" t="s">
        <v>101</v>
      </c>
      <c r="CH30" s="40" t="s">
        <v>102</v>
      </c>
      <c r="CI30" s="42" t="s">
        <v>101</v>
      </c>
      <c r="CJ30" s="40" t="s">
        <v>102</v>
      </c>
      <c r="CK30" s="42" t="s">
        <v>101</v>
      </c>
      <c r="CL30" s="40" t="s">
        <v>102</v>
      </c>
      <c r="CM30" s="59" t="str">
        <f t="shared" si="1"/>
        <v>APPROVED</v>
      </c>
      <c r="CN30" s="60"/>
      <c r="CO30" s="146" t="b">
        <v>0</v>
      </c>
      <c r="CP30" s="62" t="s">
        <v>152</v>
      </c>
      <c r="CQ30" s="62" t="s">
        <v>109</v>
      </c>
    </row>
    <row r="31">
      <c r="A31" s="23">
        <v>19.0</v>
      </c>
      <c r="B31" s="121" t="s">
        <v>110</v>
      </c>
      <c r="C31" s="109">
        <v>1112.0</v>
      </c>
      <c r="D31" s="66" t="s">
        <v>129</v>
      </c>
      <c r="E31" s="67">
        <v>1129.0</v>
      </c>
      <c r="F31" s="28" t="str">
        <f>IFERROR(VLOOKUP(L31:L92,'R22 RELATÓRIO ACC'!B:F,5,FALSE),"NOT PUBLISHED")</f>
        <v>V32</v>
      </c>
      <c r="G31" s="28" t="str">
        <f>IFERROR(VLOOKUP(L31:L92,'R22 RELATÓRIO ACC'!B:P,15,FALSE),"NOT PUBLISHED")</f>
        <v>24/04/2026</v>
      </c>
      <c r="H31" s="29" t="str">
        <f>IFERROR(VLOOKUP(M31:M92,'RELATÓRIO ACC'!B:F,5,FALSE),"NOT PUBLISHED")</f>
        <v>V3</v>
      </c>
      <c r="I31" s="29" t="str">
        <f>IFERROR(VLOOKUP(M31:M92,'RELATÓRIO ACC'!B:P,15,FALSE),"NOT PUBLISHED")</f>
        <v>03/07/2026</v>
      </c>
      <c r="J31" s="68" t="s">
        <v>166</v>
      </c>
      <c r="K31" s="30">
        <v>45846.0</v>
      </c>
      <c r="L31" s="69" t="s">
        <v>212</v>
      </c>
      <c r="M31" s="69" t="s">
        <v>213</v>
      </c>
      <c r="N31" s="70" t="b">
        <v>1</v>
      </c>
      <c r="O31" s="70" t="b">
        <v>1</v>
      </c>
      <c r="P31" s="71" t="s">
        <v>99</v>
      </c>
      <c r="Q31" s="72" t="s">
        <v>103</v>
      </c>
      <c r="R31" s="135" t="s">
        <v>100</v>
      </c>
      <c r="S31" s="43" t="s">
        <v>101</v>
      </c>
      <c r="T31" s="135" t="s">
        <v>100</v>
      </c>
      <c r="U31" s="43" t="s">
        <v>101</v>
      </c>
      <c r="V31" s="119" t="s">
        <v>102</v>
      </c>
      <c r="W31" s="43" t="s">
        <v>101</v>
      </c>
      <c r="X31" s="119" t="s">
        <v>102</v>
      </c>
      <c r="Y31" s="43" t="s">
        <v>101</v>
      </c>
      <c r="Z31" s="119" t="s">
        <v>102</v>
      </c>
      <c r="AA31" s="43" t="s">
        <v>101</v>
      </c>
      <c r="AB31" s="119" t="s">
        <v>102</v>
      </c>
      <c r="AC31" s="43" t="s">
        <v>101</v>
      </c>
      <c r="AD31" s="119" t="s">
        <v>102</v>
      </c>
      <c r="AE31" s="43" t="s">
        <v>101</v>
      </c>
      <c r="AF31" s="119" t="s">
        <v>102</v>
      </c>
      <c r="AG31" s="43" t="s">
        <v>101</v>
      </c>
      <c r="AH31" s="119" t="s">
        <v>102</v>
      </c>
      <c r="AI31" s="43" t="s">
        <v>101</v>
      </c>
      <c r="AJ31" s="119" t="s">
        <v>102</v>
      </c>
      <c r="AK31" s="43" t="s">
        <v>101</v>
      </c>
      <c r="AL31" s="119" t="s">
        <v>102</v>
      </c>
      <c r="AM31" s="43" t="s">
        <v>101</v>
      </c>
      <c r="AN31" s="119" t="s">
        <v>102</v>
      </c>
      <c r="AO31" s="43" t="s">
        <v>101</v>
      </c>
      <c r="AP31" s="119" t="s">
        <v>102</v>
      </c>
      <c r="AQ31" s="43" t="s">
        <v>101</v>
      </c>
      <c r="AR31" s="119" t="s">
        <v>102</v>
      </c>
      <c r="AS31" s="43" t="s">
        <v>101</v>
      </c>
      <c r="AT31" s="119" t="s">
        <v>102</v>
      </c>
      <c r="AU31" s="43" t="s">
        <v>101</v>
      </c>
      <c r="AV31" s="40" t="s">
        <v>102</v>
      </c>
      <c r="AW31" s="42" t="s">
        <v>101</v>
      </c>
      <c r="AX31" s="40" t="s">
        <v>102</v>
      </c>
      <c r="AY31" s="42" t="s">
        <v>101</v>
      </c>
      <c r="AZ31" s="40" t="s">
        <v>102</v>
      </c>
      <c r="BA31" s="42" t="s">
        <v>101</v>
      </c>
      <c r="BB31" s="40" t="s">
        <v>102</v>
      </c>
      <c r="BC31" s="42" t="s">
        <v>101</v>
      </c>
      <c r="BD31" s="40" t="s">
        <v>102</v>
      </c>
      <c r="BE31" s="42" t="s">
        <v>101</v>
      </c>
      <c r="BF31" s="40" t="s">
        <v>102</v>
      </c>
      <c r="BG31" s="42" t="s">
        <v>101</v>
      </c>
      <c r="BH31" s="40" t="s">
        <v>102</v>
      </c>
      <c r="BI31" s="42" t="s">
        <v>101</v>
      </c>
      <c r="BJ31" s="40" t="s">
        <v>102</v>
      </c>
      <c r="BK31" s="42" t="s">
        <v>101</v>
      </c>
      <c r="BL31" s="40" t="s">
        <v>102</v>
      </c>
      <c r="BM31" s="42" t="s">
        <v>101</v>
      </c>
      <c r="BN31" s="40" t="s">
        <v>102</v>
      </c>
      <c r="BO31" s="42" t="s">
        <v>101</v>
      </c>
      <c r="BP31" s="40" t="s">
        <v>102</v>
      </c>
      <c r="BQ31" s="42" t="s">
        <v>101</v>
      </c>
      <c r="BR31" s="40" t="s">
        <v>102</v>
      </c>
      <c r="BS31" s="42" t="s">
        <v>101</v>
      </c>
      <c r="BT31" s="40" t="s">
        <v>102</v>
      </c>
      <c r="BU31" s="42" t="s">
        <v>101</v>
      </c>
      <c r="BV31" s="40" t="s">
        <v>102</v>
      </c>
      <c r="BW31" s="42" t="s">
        <v>101</v>
      </c>
      <c r="BX31" s="40" t="s">
        <v>102</v>
      </c>
      <c r="BY31" s="42" t="s">
        <v>101</v>
      </c>
      <c r="BZ31" s="40" t="s">
        <v>102</v>
      </c>
      <c r="CA31" s="42" t="s">
        <v>101</v>
      </c>
      <c r="CB31" s="40" t="s">
        <v>102</v>
      </c>
      <c r="CC31" s="42" t="s">
        <v>101</v>
      </c>
      <c r="CD31" s="40" t="s">
        <v>102</v>
      </c>
      <c r="CE31" s="42" t="s">
        <v>101</v>
      </c>
      <c r="CF31" s="40" t="s">
        <v>102</v>
      </c>
      <c r="CG31" s="42" t="s">
        <v>101</v>
      </c>
      <c r="CH31" s="40" t="s">
        <v>102</v>
      </c>
      <c r="CI31" s="42" t="s">
        <v>101</v>
      </c>
      <c r="CJ31" s="40" t="s">
        <v>102</v>
      </c>
      <c r="CK31" s="42" t="s">
        <v>101</v>
      </c>
      <c r="CL31" s="136" t="s">
        <v>102</v>
      </c>
      <c r="CM31" s="59" t="str">
        <f t="shared" si="1"/>
        <v>APPROVED</v>
      </c>
      <c r="CN31" s="60"/>
      <c r="CO31" s="61"/>
      <c r="CP31" s="62" t="s">
        <v>152</v>
      </c>
      <c r="CQ31" s="62" t="s">
        <v>122</v>
      </c>
    </row>
    <row r="32">
      <c r="A32" s="23">
        <v>20.0</v>
      </c>
      <c r="B32" s="115" t="s">
        <v>214</v>
      </c>
      <c r="C32" s="126"/>
      <c r="D32" s="126" t="s">
        <v>178</v>
      </c>
      <c r="E32" s="67"/>
      <c r="F32" s="28" t="str">
        <f>IFERROR(VLOOKUP(L32:L93,'R22 RELATÓRIO ACC'!B:F,5,FALSE),"NOT PUBLISHED")</f>
        <v>V18</v>
      </c>
      <c r="G32" s="28" t="str">
        <f>IFERROR(VLOOKUP(L32:L93,'R22 RELATÓRIO ACC'!B:P,15,FALSE),"NOT PUBLISHED")</f>
        <v>08/04/2026</v>
      </c>
      <c r="H32" s="29" t="str">
        <f>IFERROR(VLOOKUP(M32:M93,'RELATÓRIO ACC'!B:F,5,FALSE),"NOT PUBLISHED")</f>
        <v>V6</v>
      </c>
      <c r="I32" s="29" t="str">
        <f>IFERROR(VLOOKUP(M32:M93,'RELATÓRIO ACC'!B:P,15,FALSE),"NOT PUBLISHED")</f>
        <v>24/06/2026</v>
      </c>
      <c r="J32" s="68" t="s">
        <v>95</v>
      </c>
      <c r="K32" s="30">
        <v>45895.0</v>
      </c>
      <c r="L32" s="69" t="s">
        <v>215</v>
      </c>
      <c r="M32" s="69" t="s">
        <v>216</v>
      </c>
      <c r="N32" s="70" t="b">
        <v>1</v>
      </c>
      <c r="O32" s="70" t="b">
        <v>0</v>
      </c>
      <c r="P32" s="71" t="s">
        <v>99</v>
      </c>
      <c r="Q32" s="71" t="s">
        <v>99</v>
      </c>
      <c r="R32" s="48" t="s">
        <v>103</v>
      </c>
      <c r="S32" s="73" t="s">
        <v>115</v>
      </c>
      <c r="T32" s="135" t="s">
        <v>100</v>
      </c>
      <c r="U32" s="43" t="s">
        <v>101</v>
      </c>
      <c r="V32" s="119" t="s">
        <v>102</v>
      </c>
      <c r="W32" s="43" t="s">
        <v>101</v>
      </c>
      <c r="X32" s="119" t="s">
        <v>102</v>
      </c>
      <c r="Y32" s="43" t="s">
        <v>101</v>
      </c>
      <c r="Z32" s="119" t="s">
        <v>102</v>
      </c>
      <c r="AA32" s="43" t="s">
        <v>101</v>
      </c>
      <c r="AB32" s="136" t="s">
        <v>102</v>
      </c>
      <c r="AC32" s="42" t="s">
        <v>101</v>
      </c>
      <c r="AD32" s="136" t="s">
        <v>102</v>
      </c>
      <c r="AE32" s="42" t="s">
        <v>101</v>
      </c>
      <c r="AF32" s="136" t="s">
        <v>102</v>
      </c>
      <c r="AG32" s="42" t="s">
        <v>101</v>
      </c>
      <c r="AH32" s="136" t="s">
        <v>102</v>
      </c>
      <c r="AI32" s="42" t="s">
        <v>101</v>
      </c>
      <c r="AJ32" s="136" t="s">
        <v>102</v>
      </c>
      <c r="AK32" s="42" t="s">
        <v>101</v>
      </c>
      <c r="AL32" s="136" t="s">
        <v>102</v>
      </c>
      <c r="AM32" s="42" t="s">
        <v>101</v>
      </c>
      <c r="AN32" s="136" t="s">
        <v>102</v>
      </c>
      <c r="AO32" s="42" t="s">
        <v>101</v>
      </c>
      <c r="AP32" s="136" t="s">
        <v>102</v>
      </c>
      <c r="AQ32" s="42" t="s">
        <v>101</v>
      </c>
      <c r="AR32" s="136" t="s">
        <v>102</v>
      </c>
      <c r="AS32" s="42" t="s">
        <v>101</v>
      </c>
      <c r="AT32" s="136" t="s">
        <v>102</v>
      </c>
      <c r="AU32" s="42" t="s">
        <v>101</v>
      </c>
      <c r="AV32" s="40" t="s">
        <v>102</v>
      </c>
      <c r="AW32" s="42" t="s">
        <v>101</v>
      </c>
      <c r="AX32" s="40" t="s">
        <v>102</v>
      </c>
      <c r="AY32" s="42" t="s">
        <v>101</v>
      </c>
      <c r="AZ32" s="40" t="s">
        <v>102</v>
      </c>
      <c r="BA32" s="42" t="s">
        <v>101</v>
      </c>
      <c r="BB32" s="40" t="s">
        <v>102</v>
      </c>
      <c r="BC32" s="42" t="s">
        <v>101</v>
      </c>
      <c r="BD32" s="40" t="s">
        <v>102</v>
      </c>
      <c r="BE32" s="42" t="s">
        <v>101</v>
      </c>
      <c r="BF32" s="40" t="s">
        <v>102</v>
      </c>
      <c r="BG32" s="42" t="s">
        <v>101</v>
      </c>
      <c r="BH32" s="40" t="s">
        <v>102</v>
      </c>
      <c r="BI32" s="42" t="s">
        <v>101</v>
      </c>
      <c r="BJ32" s="40" t="s">
        <v>102</v>
      </c>
      <c r="BK32" s="42" t="s">
        <v>101</v>
      </c>
      <c r="BL32" s="40" t="s">
        <v>102</v>
      </c>
      <c r="BM32" s="42" t="s">
        <v>101</v>
      </c>
      <c r="BN32" s="40" t="s">
        <v>102</v>
      </c>
      <c r="BO32" s="42" t="s">
        <v>101</v>
      </c>
      <c r="BP32" s="40" t="s">
        <v>102</v>
      </c>
      <c r="BQ32" s="42" t="s">
        <v>101</v>
      </c>
      <c r="BR32" s="40" t="s">
        <v>102</v>
      </c>
      <c r="BS32" s="42" t="s">
        <v>101</v>
      </c>
      <c r="BT32" s="40" t="s">
        <v>102</v>
      </c>
      <c r="BU32" s="42" t="s">
        <v>101</v>
      </c>
      <c r="BV32" s="40" t="s">
        <v>102</v>
      </c>
      <c r="BW32" s="42" t="s">
        <v>101</v>
      </c>
      <c r="BX32" s="40" t="s">
        <v>102</v>
      </c>
      <c r="BY32" s="42" t="s">
        <v>101</v>
      </c>
      <c r="BZ32" s="40" t="s">
        <v>102</v>
      </c>
      <c r="CA32" s="42" t="s">
        <v>101</v>
      </c>
      <c r="CB32" s="40" t="s">
        <v>102</v>
      </c>
      <c r="CC32" s="42" t="s">
        <v>101</v>
      </c>
      <c r="CD32" s="40" t="s">
        <v>102</v>
      </c>
      <c r="CE32" s="42" t="s">
        <v>101</v>
      </c>
      <c r="CF32" s="40" t="s">
        <v>102</v>
      </c>
      <c r="CG32" s="42" t="s">
        <v>101</v>
      </c>
      <c r="CH32" s="40" t="s">
        <v>102</v>
      </c>
      <c r="CI32" s="42" t="s">
        <v>101</v>
      </c>
      <c r="CJ32" s="40" t="s">
        <v>102</v>
      </c>
      <c r="CK32" s="42" t="s">
        <v>101</v>
      </c>
      <c r="CL32" s="136" t="s">
        <v>102</v>
      </c>
      <c r="CM32" s="59" t="str">
        <f t="shared" si="1"/>
        <v>APPROVED</v>
      </c>
      <c r="CN32" s="60"/>
      <c r="CO32" s="61"/>
      <c r="CP32" s="62" t="s">
        <v>152</v>
      </c>
      <c r="CQ32" s="62" t="s">
        <v>122</v>
      </c>
    </row>
    <row r="33">
      <c r="A33" s="23">
        <v>21.0</v>
      </c>
      <c r="B33" s="115" t="s">
        <v>214</v>
      </c>
      <c r="C33" s="109"/>
      <c r="D33" s="126" t="s">
        <v>178</v>
      </c>
      <c r="E33" s="67"/>
      <c r="F33" s="28" t="str">
        <f>IFERROR(VLOOKUP(L33:L94,'R22 RELATÓRIO ACC'!B:F,5,FALSE),"NOT PUBLISHED")</f>
        <v>V20</v>
      </c>
      <c r="G33" s="28" t="str">
        <f>IFERROR(VLOOKUP(L33:L94,'R22 RELATÓRIO ACC'!B:P,15,FALSE),"NOT PUBLISHED")</f>
        <v>06/05/2026</v>
      </c>
      <c r="H33" s="29" t="str">
        <f>IFERROR(VLOOKUP(M33:M94,'RELATÓRIO ACC'!B:F,5,FALSE),"NOT PUBLISHED")</f>
        <v>V4</v>
      </c>
      <c r="I33" s="29" t="str">
        <f>IFERROR(VLOOKUP(M33:M94,'RELATÓRIO ACC'!B:P,15,FALSE),"NOT PUBLISHED")</f>
        <v>11/06/2026</v>
      </c>
      <c r="J33" s="68" t="s">
        <v>111</v>
      </c>
      <c r="K33" s="133">
        <v>45935.0</v>
      </c>
      <c r="L33" s="69" t="s">
        <v>217</v>
      </c>
      <c r="M33" s="69" t="s">
        <v>218</v>
      </c>
      <c r="N33" s="70" t="b">
        <v>1</v>
      </c>
      <c r="O33" s="98" t="s">
        <v>191</v>
      </c>
      <c r="P33" s="71" t="s">
        <v>99</v>
      </c>
      <c r="Q33" s="111" t="s">
        <v>99</v>
      </c>
      <c r="R33" s="152" t="s">
        <v>99</v>
      </c>
      <c r="S33" s="145" t="s">
        <v>101</v>
      </c>
      <c r="T33" s="153" t="s">
        <v>99</v>
      </c>
      <c r="U33" s="43" t="s">
        <v>101</v>
      </c>
      <c r="V33" s="72" t="s">
        <v>103</v>
      </c>
      <c r="W33" s="100" t="s">
        <v>115</v>
      </c>
      <c r="X33" s="75" t="s">
        <v>105</v>
      </c>
      <c r="Y33" s="75" t="s">
        <v>105</v>
      </c>
      <c r="Z33" s="135" t="s">
        <v>100</v>
      </c>
      <c r="AA33" s="43" t="s">
        <v>101</v>
      </c>
      <c r="AB33" s="119" t="s">
        <v>102</v>
      </c>
      <c r="AC33" s="43" t="s">
        <v>101</v>
      </c>
      <c r="AD33" s="119" t="s">
        <v>102</v>
      </c>
      <c r="AE33" s="43" t="s">
        <v>101</v>
      </c>
      <c r="AF33" s="119" t="s">
        <v>102</v>
      </c>
      <c r="AG33" s="43" t="s">
        <v>101</v>
      </c>
      <c r="AH33" s="119" t="s">
        <v>102</v>
      </c>
      <c r="AI33" s="43" t="s">
        <v>101</v>
      </c>
      <c r="AJ33" s="119" t="s">
        <v>102</v>
      </c>
      <c r="AK33" s="43" t="s">
        <v>101</v>
      </c>
      <c r="AL33" s="119" t="s">
        <v>102</v>
      </c>
      <c r="AM33" s="43" t="s">
        <v>101</v>
      </c>
      <c r="AN33" s="119" t="s">
        <v>102</v>
      </c>
      <c r="AO33" s="43" t="s">
        <v>101</v>
      </c>
      <c r="AP33" s="119" t="s">
        <v>102</v>
      </c>
      <c r="AQ33" s="43" t="s">
        <v>101</v>
      </c>
      <c r="AR33" s="119" t="s">
        <v>102</v>
      </c>
      <c r="AS33" s="43" t="s">
        <v>101</v>
      </c>
      <c r="AT33" s="119" t="s">
        <v>102</v>
      </c>
      <c r="AU33" s="43" t="s">
        <v>101</v>
      </c>
      <c r="AV33" s="40" t="s">
        <v>102</v>
      </c>
      <c r="AW33" s="42" t="s">
        <v>101</v>
      </c>
      <c r="AX33" s="40" t="s">
        <v>102</v>
      </c>
      <c r="AY33" s="42" t="s">
        <v>101</v>
      </c>
      <c r="AZ33" s="40" t="s">
        <v>102</v>
      </c>
      <c r="BA33" s="42" t="s">
        <v>101</v>
      </c>
      <c r="BB33" s="40" t="s">
        <v>102</v>
      </c>
      <c r="BC33" s="42" t="s">
        <v>101</v>
      </c>
      <c r="BD33" s="40" t="s">
        <v>102</v>
      </c>
      <c r="BE33" s="42" t="s">
        <v>101</v>
      </c>
      <c r="BF33" s="40" t="s">
        <v>102</v>
      </c>
      <c r="BG33" s="42" t="s">
        <v>101</v>
      </c>
      <c r="BH33" s="40" t="s">
        <v>102</v>
      </c>
      <c r="BI33" s="42" t="s">
        <v>101</v>
      </c>
      <c r="BJ33" s="40" t="s">
        <v>102</v>
      </c>
      <c r="BK33" s="42" t="s">
        <v>101</v>
      </c>
      <c r="BL33" s="40" t="s">
        <v>102</v>
      </c>
      <c r="BM33" s="42" t="s">
        <v>101</v>
      </c>
      <c r="BN33" s="40" t="s">
        <v>102</v>
      </c>
      <c r="BO33" s="42" t="s">
        <v>101</v>
      </c>
      <c r="BP33" s="40" t="s">
        <v>102</v>
      </c>
      <c r="BQ33" s="42" t="s">
        <v>101</v>
      </c>
      <c r="BR33" s="40" t="s">
        <v>102</v>
      </c>
      <c r="BS33" s="42" t="s">
        <v>101</v>
      </c>
      <c r="BT33" s="40" t="s">
        <v>102</v>
      </c>
      <c r="BU33" s="42" t="s">
        <v>101</v>
      </c>
      <c r="BV33" s="40" t="s">
        <v>102</v>
      </c>
      <c r="BW33" s="42" t="s">
        <v>101</v>
      </c>
      <c r="BX33" s="40" t="s">
        <v>102</v>
      </c>
      <c r="BY33" s="42" t="s">
        <v>101</v>
      </c>
      <c r="BZ33" s="40" t="s">
        <v>102</v>
      </c>
      <c r="CA33" s="42" t="s">
        <v>101</v>
      </c>
      <c r="CB33" s="40" t="s">
        <v>102</v>
      </c>
      <c r="CC33" s="42" t="s">
        <v>101</v>
      </c>
      <c r="CD33" s="40" t="s">
        <v>102</v>
      </c>
      <c r="CE33" s="42" t="s">
        <v>101</v>
      </c>
      <c r="CF33" s="40" t="s">
        <v>102</v>
      </c>
      <c r="CG33" s="42" t="s">
        <v>101</v>
      </c>
      <c r="CH33" s="40" t="s">
        <v>102</v>
      </c>
      <c r="CI33" s="42" t="s">
        <v>101</v>
      </c>
      <c r="CJ33" s="40" t="s">
        <v>102</v>
      </c>
      <c r="CK33" s="42" t="s">
        <v>101</v>
      </c>
      <c r="CL33" s="136" t="s">
        <v>102</v>
      </c>
      <c r="CM33" s="59" t="str">
        <f t="shared" si="1"/>
        <v>APPROVED</v>
      </c>
      <c r="CN33" s="60"/>
      <c r="CO33" s="61"/>
      <c r="CP33" s="62" t="s">
        <v>152</v>
      </c>
      <c r="CQ33" s="62" t="s">
        <v>117</v>
      </c>
    </row>
    <row r="34">
      <c r="A34" s="23">
        <v>22.0</v>
      </c>
      <c r="B34" s="115" t="s">
        <v>214</v>
      </c>
      <c r="C34" s="109"/>
      <c r="D34" s="126" t="s">
        <v>178</v>
      </c>
      <c r="E34" s="67"/>
      <c r="F34" s="28" t="str">
        <f>IFERROR(VLOOKUP(L34:L95,'R22 RELATÓRIO ACC'!B:F,5,FALSE),"NOT PUBLISHED")</f>
        <v>V18</v>
      </c>
      <c r="G34" s="28" t="str">
        <f>IFERROR(VLOOKUP(L34:L95,'R22 RELATÓRIO ACC'!B:P,15,FALSE),"NOT PUBLISHED")</f>
        <v>30/04/2026</v>
      </c>
      <c r="H34" s="29" t="str">
        <f>IFERROR(VLOOKUP(M34:M95,'RELATÓRIO ACC'!B:F,5,FALSE),"NOT PUBLISHED")</f>
        <v>V2</v>
      </c>
      <c r="I34" s="29" t="str">
        <f>IFERROR(VLOOKUP(M34:M95,'RELATÓRIO ACC'!B:P,15,FALSE),"NOT PUBLISHED")</f>
        <v>20/05/2026</v>
      </c>
      <c r="J34" s="68" t="s">
        <v>118</v>
      </c>
      <c r="K34" s="133">
        <v>45914.0</v>
      </c>
      <c r="L34" s="69" t="s">
        <v>219</v>
      </c>
      <c r="M34" s="69" t="s">
        <v>220</v>
      </c>
      <c r="N34" s="70" t="b">
        <v>1</v>
      </c>
      <c r="O34" s="98" t="s">
        <v>191</v>
      </c>
      <c r="P34" s="71" t="s">
        <v>99</v>
      </c>
      <c r="Q34" s="71" t="s">
        <v>99</v>
      </c>
      <c r="R34" s="153" t="s">
        <v>99</v>
      </c>
      <c r="S34" s="145" t="s">
        <v>101</v>
      </c>
      <c r="T34" s="153" t="s">
        <v>99</v>
      </c>
      <c r="U34" s="43" t="s">
        <v>101</v>
      </c>
      <c r="V34" s="118" t="s">
        <v>100</v>
      </c>
      <c r="W34" s="100" t="s">
        <v>221</v>
      </c>
      <c r="X34" s="119" t="s">
        <v>102</v>
      </c>
      <c r="Y34" s="43" t="s">
        <v>101</v>
      </c>
      <c r="Z34" s="119" t="s">
        <v>102</v>
      </c>
      <c r="AA34" s="43" t="s">
        <v>101</v>
      </c>
      <c r="AB34" s="119" t="s">
        <v>102</v>
      </c>
      <c r="AC34" s="43" t="s">
        <v>101</v>
      </c>
      <c r="AD34" s="119" t="s">
        <v>102</v>
      </c>
      <c r="AE34" s="43" t="s">
        <v>101</v>
      </c>
      <c r="AF34" s="119" t="s">
        <v>102</v>
      </c>
      <c r="AG34" s="43" t="s">
        <v>101</v>
      </c>
      <c r="AH34" s="119" t="s">
        <v>102</v>
      </c>
      <c r="AI34" s="43" t="s">
        <v>101</v>
      </c>
      <c r="AJ34" s="119" t="s">
        <v>102</v>
      </c>
      <c r="AK34" s="43" t="s">
        <v>101</v>
      </c>
      <c r="AL34" s="119" t="s">
        <v>102</v>
      </c>
      <c r="AM34" s="43" t="s">
        <v>101</v>
      </c>
      <c r="AN34" s="119" t="s">
        <v>102</v>
      </c>
      <c r="AO34" s="43" t="s">
        <v>101</v>
      </c>
      <c r="AP34" s="119" t="s">
        <v>102</v>
      </c>
      <c r="AQ34" s="43" t="s">
        <v>101</v>
      </c>
      <c r="AR34" s="119" t="s">
        <v>102</v>
      </c>
      <c r="AS34" s="43" t="s">
        <v>101</v>
      </c>
      <c r="AT34" s="119" t="s">
        <v>102</v>
      </c>
      <c r="AU34" s="43" t="s">
        <v>101</v>
      </c>
      <c r="AV34" s="40" t="s">
        <v>102</v>
      </c>
      <c r="AW34" s="42" t="s">
        <v>101</v>
      </c>
      <c r="AX34" s="40" t="s">
        <v>102</v>
      </c>
      <c r="AY34" s="42" t="s">
        <v>101</v>
      </c>
      <c r="AZ34" s="40" t="s">
        <v>102</v>
      </c>
      <c r="BA34" s="42" t="s">
        <v>101</v>
      </c>
      <c r="BB34" s="40" t="s">
        <v>102</v>
      </c>
      <c r="BC34" s="42" t="s">
        <v>101</v>
      </c>
      <c r="BD34" s="40" t="s">
        <v>102</v>
      </c>
      <c r="BE34" s="42" t="s">
        <v>101</v>
      </c>
      <c r="BF34" s="40" t="s">
        <v>102</v>
      </c>
      <c r="BG34" s="42" t="s">
        <v>101</v>
      </c>
      <c r="BH34" s="40" t="s">
        <v>102</v>
      </c>
      <c r="BI34" s="42" t="s">
        <v>101</v>
      </c>
      <c r="BJ34" s="40" t="s">
        <v>102</v>
      </c>
      <c r="BK34" s="42" t="s">
        <v>101</v>
      </c>
      <c r="BL34" s="40" t="s">
        <v>102</v>
      </c>
      <c r="BM34" s="42" t="s">
        <v>101</v>
      </c>
      <c r="BN34" s="40" t="s">
        <v>102</v>
      </c>
      <c r="BO34" s="42" t="s">
        <v>101</v>
      </c>
      <c r="BP34" s="40" t="s">
        <v>102</v>
      </c>
      <c r="BQ34" s="42" t="s">
        <v>101</v>
      </c>
      <c r="BR34" s="40" t="s">
        <v>102</v>
      </c>
      <c r="BS34" s="42" t="s">
        <v>101</v>
      </c>
      <c r="BT34" s="40" t="s">
        <v>102</v>
      </c>
      <c r="BU34" s="42" t="s">
        <v>101</v>
      </c>
      <c r="BV34" s="40" t="s">
        <v>102</v>
      </c>
      <c r="BW34" s="42" t="s">
        <v>101</v>
      </c>
      <c r="BX34" s="40" t="s">
        <v>102</v>
      </c>
      <c r="BY34" s="42" t="s">
        <v>101</v>
      </c>
      <c r="BZ34" s="40" t="s">
        <v>102</v>
      </c>
      <c r="CA34" s="42" t="s">
        <v>101</v>
      </c>
      <c r="CB34" s="40" t="s">
        <v>102</v>
      </c>
      <c r="CC34" s="42" t="s">
        <v>101</v>
      </c>
      <c r="CD34" s="40" t="s">
        <v>102</v>
      </c>
      <c r="CE34" s="42" t="s">
        <v>101</v>
      </c>
      <c r="CF34" s="40" t="s">
        <v>102</v>
      </c>
      <c r="CG34" s="42" t="s">
        <v>101</v>
      </c>
      <c r="CH34" s="40" t="s">
        <v>102</v>
      </c>
      <c r="CI34" s="42" t="s">
        <v>101</v>
      </c>
      <c r="CJ34" s="40" t="s">
        <v>102</v>
      </c>
      <c r="CK34" s="42" t="s">
        <v>101</v>
      </c>
      <c r="CL34" s="136" t="s">
        <v>102</v>
      </c>
      <c r="CM34" s="59" t="str">
        <f t="shared" si="1"/>
        <v>APPROVED</v>
      </c>
      <c r="CN34" s="60"/>
      <c r="CO34" s="61" t="b">
        <v>0</v>
      </c>
      <c r="CP34" s="62"/>
      <c r="CQ34" s="62"/>
    </row>
    <row r="35">
      <c r="A35" s="23">
        <v>23.0</v>
      </c>
      <c r="B35" s="134" t="s">
        <v>222</v>
      </c>
      <c r="C35" s="109"/>
      <c r="D35" s="126" t="s">
        <v>223</v>
      </c>
      <c r="E35" s="67"/>
      <c r="F35" s="28" t="str">
        <f>IFERROR(VLOOKUP(L35:L96,'R22 RELATÓRIO ACC'!B:F,5,FALSE),"NOT PUBLISHED")</f>
        <v>V11</v>
      </c>
      <c r="G35" s="28" t="str">
        <f>IFERROR(VLOOKUP(L35:L96,'R22 RELATÓRIO ACC'!B:P,15,FALSE),"NOT PUBLISHED")</f>
        <v>21/03/2026</v>
      </c>
      <c r="H35" s="29" t="str">
        <f>IFERROR(VLOOKUP(M35:M96,'RELATÓRIO ACC'!B:F,5,FALSE),"NOT PUBLISHED")</f>
        <v>V1</v>
      </c>
      <c r="I35" s="29" t="str">
        <f>IFERROR(VLOOKUP(M35:M96,'RELATÓRIO ACC'!B:P,15,FALSE),"NOT PUBLISHED")</f>
        <v>18/05/2026</v>
      </c>
      <c r="J35" s="68" t="s">
        <v>224</v>
      </c>
      <c r="K35" s="133">
        <v>45882.0</v>
      </c>
      <c r="L35" s="69" t="s">
        <v>225</v>
      </c>
      <c r="M35" s="69" t="s">
        <v>226</v>
      </c>
      <c r="N35" s="70" t="b">
        <v>1</v>
      </c>
      <c r="O35" s="98" t="s">
        <v>121</v>
      </c>
      <c r="P35" s="71" t="s">
        <v>99</v>
      </c>
      <c r="Q35" s="111" t="s">
        <v>99</v>
      </c>
      <c r="R35" s="48" t="s">
        <v>103</v>
      </c>
      <c r="S35" s="90" t="s">
        <v>115</v>
      </c>
      <c r="T35" s="135" t="s">
        <v>100</v>
      </c>
      <c r="U35" s="43" t="s">
        <v>101</v>
      </c>
      <c r="V35" s="119" t="s">
        <v>102</v>
      </c>
      <c r="W35" s="43" t="s">
        <v>101</v>
      </c>
      <c r="X35" s="119" t="s">
        <v>102</v>
      </c>
      <c r="Y35" s="43" t="s">
        <v>101</v>
      </c>
      <c r="Z35" s="119" t="s">
        <v>102</v>
      </c>
      <c r="AA35" s="43" t="s">
        <v>101</v>
      </c>
      <c r="AB35" s="119" t="s">
        <v>102</v>
      </c>
      <c r="AC35" s="43" t="s">
        <v>101</v>
      </c>
      <c r="AD35" s="119" t="s">
        <v>102</v>
      </c>
      <c r="AE35" s="43" t="s">
        <v>101</v>
      </c>
      <c r="AF35" s="119" t="s">
        <v>102</v>
      </c>
      <c r="AG35" s="43" t="s">
        <v>101</v>
      </c>
      <c r="AH35" s="119" t="s">
        <v>102</v>
      </c>
      <c r="AI35" s="43" t="s">
        <v>101</v>
      </c>
      <c r="AJ35" s="119" t="s">
        <v>102</v>
      </c>
      <c r="AK35" s="43" t="s">
        <v>101</v>
      </c>
      <c r="AL35" s="119" t="s">
        <v>102</v>
      </c>
      <c r="AM35" s="43" t="s">
        <v>101</v>
      </c>
      <c r="AN35" s="119" t="s">
        <v>102</v>
      </c>
      <c r="AO35" s="43" t="s">
        <v>101</v>
      </c>
      <c r="AP35" s="119" t="s">
        <v>102</v>
      </c>
      <c r="AQ35" s="43" t="s">
        <v>101</v>
      </c>
      <c r="AR35" s="119" t="s">
        <v>102</v>
      </c>
      <c r="AS35" s="43" t="s">
        <v>101</v>
      </c>
      <c r="AT35" s="119" t="s">
        <v>102</v>
      </c>
      <c r="AU35" s="43" t="s">
        <v>101</v>
      </c>
      <c r="AV35" s="40" t="s">
        <v>102</v>
      </c>
      <c r="AW35" s="42" t="s">
        <v>101</v>
      </c>
      <c r="AX35" s="40" t="s">
        <v>102</v>
      </c>
      <c r="AY35" s="42" t="s">
        <v>101</v>
      </c>
      <c r="AZ35" s="40" t="s">
        <v>102</v>
      </c>
      <c r="BA35" s="42" t="s">
        <v>101</v>
      </c>
      <c r="BB35" s="40" t="s">
        <v>102</v>
      </c>
      <c r="BC35" s="42" t="s">
        <v>101</v>
      </c>
      <c r="BD35" s="40" t="s">
        <v>102</v>
      </c>
      <c r="BE35" s="42" t="s">
        <v>101</v>
      </c>
      <c r="BF35" s="40" t="s">
        <v>102</v>
      </c>
      <c r="BG35" s="42" t="s">
        <v>101</v>
      </c>
      <c r="BH35" s="40" t="s">
        <v>102</v>
      </c>
      <c r="BI35" s="42" t="s">
        <v>101</v>
      </c>
      <c r="BJ35" s="40" t="s">
        <v>102</v>
      </c>
      <c r="BK35" s="42" t="s">
        <v>101</v>
      </c>
      <c r="BL35" s="40" t="s">
        <v>102</v>
      </c>
      <c r="BM35" s="42" t="s">
        <v>101</v>
      </c>
      <c r="BN35" s="40" t="s">
        <v>102</v>
      </c>
      <c r="BO35" s="42" t="s">
        <v>101</v>
      </c>
      <c r="BP35" s="40" t="s">
        <v>102</v>
      </c>
      <c r="BQ35" s="42" t="s">
        <v>101</v>
      </c>
      <c r="BR35" s="40" t="s">
        <v>102</v>
      </c>
      <c r="BS35" s="42" t="s">
        <v>101</v>
      </c>
      <c r="BT35" s="40" t="s">
        <v>102</v>
      </c>
      <c r="BU35" s="42" t="s">
        <v>101</v>
      </c>
      <c r="BV35" s="40" t="s">
        <v>102</v>
      </c>
      <c r="BW35" s="42" t="s">
        <v>101</v>
      </c>
      <c r="BX35" s="40" t="s">
        <v>102</v>
      </c>
      <c r="BY35" s="42" t="s">
        <v>101</v>
      </c>
      <c r="BZ35" s="40" t="s">
        <v>102</v>
      </c>
      <c r="CA35" s="42" t="s">
        <v>101</v>
      </c>
      <c r="CB35" s="40" t="s">
        <v>102</v>
      </c>
      <c r="CC35" s="42" t="s">
        <v>101</v>
      </c>
      <c r="CD35" s="40" t="s">
        <v>102</v>
      </c>
      <c r="CE35" s="42" t="s">
        <v>101</v>
      </c>
      <c r="CF35" s="40" t="s">
        <v>102</v>
      </c>
      <c r="CG35" s="42" t="s">
        <v>101</v>
      </c>
      <c r="CH35" s="40" t="s">
        <v>102</v>
      </c>
      <c r="CI35" s="42" t="s">
        <v>101</v>
      </c>
      <c r="CJ35" s="40" t="s">
        <v>102</v>
      </c>
      <c r="CK35" s="42" t="s">
        <v>101</v>
      </c>
      <c r="CL35" s="136" t="s">
        <v>102</v>
      </c>
      <c r="CM35" s="59" t="str">
        <f t="shared" si="1"/>
        <v>APPROVED</v>
      </c>
      <c r="CN35" s="60"/>
      <c r="CO35" s="61" t="b">
        <v>0</v>
      </c>
      <c r="CP35" s="62" t="s">
        <v>152</v>
      </c>
      <c r="CQ35" s="62" t="s">
        <v>117</v>
      </c>
    </row>
    <row r="36">
      <c r="A36" s="23">
        <v>24.0</v>
      </c>
      <c r="B36" s="134" t="s">
        <v>227</v>
      </c>
      <c r="C36" s="126" t="s">
        <v>227</v>
      </c>
      <c r="D36" s="126" t="s">
        <v>227</v>
      </c>
      <c r="E36" s="67"/>
      <c r="F36" s="28" t="str">
        <f>IFERROR(VLOOKUP(L36:L97,'R22 RELATÓRIO ACC'!B:F,5,FALSE),"NOT PUBLISHED")</f>
        <v>V15</v>
      </c>
      <c r="G36" s="28" t="str">
        <f>IFERROR(VLOOKUP(L36:L97,'R22 RELATÓRIO ACC'!B:P,15,FALSE),"NOT PUBLISHED")</f>
        <v>15/04/2026</v>
      </c>
      <c r="H36" s="29" t="str">
        <f>IFERROR(VLOOKUP(M36:M97,'RELATÓRIO ACC'!B:F,5,FALSE),"NOT PUBLISHED")</f>
        <v>V2</v>
      </c>
      <c r="I36" s="29" t="str">
        <f>IFERROR(VLOOKUP(M36:M97,'RELATÓRIO ACC'!B:P,15,FALSE),"NOT PUBLISHED")</f>
        <v>02/06/2026</v>
      </c>
      <c r="J36" s="68" t="s">
        <v>179</v>
      </c>
      <c r="K36" s="133">
        <v>45915.0</v>
      </c>
      <c r="L36" s="147" t="s">
        <v>228</v>
      </c>
      <c r="M36" s="147" t="s">
        <v>229</v>
      </c>
      <c r="N36" s="70" t="b">
        <v>1</v>
      </c>
      <c r="O36" s="70" t="b">
        <v>0</v>
      </c>
      <c r="P36" s="71" t="s">
        <v>99</v>
      </c>
      <c r="Q36" s="71" t="s">
        <v>99</v>
      </c>
      <c r="R36" s="72" t="s">
        <v>103</v>
      </c>
      <c r="S36" s="73" t="s">
        <v>115</v>
      </c>
      <c r="T36" s="72" t="s">
        <v>103</v>
      </c>
      <c r="U36" s="73" t="s">
        <v>115</v>
      </c>
      <c r="V36" s="118" t="s">
        <v>100</v>
      </c>
      <c r="W36" s="100" t="s">
        <v>115</v>
      </c>
      <c r="X36" s="119" t="s">
        <v>102</v>
      </c>
      <c r="Y36" s="43" t="s">
        <v>101</v>
      </c>
      <c r="Z36" s="119" t="s">
        <v>102</v>
      </c>
      <c r="AA36" s="43" t="s">
        <v>101</v>
      </c>
      <c r="AB36" s="119" t="s">
        <v>102</v>
      </c>
      <c r="AC36" s="43" t="s">
        <v>101</v>
      </c>
      <c r="AD36" s="119" t="s">
        <v>102</v>
      </c>
      <c r="AE36" s="43" t="s">
        <v>101</v>
      </c>
      <c r="AF36" s="119" t="s">
        <v>102</v>
      </c>
      <c r="AG36" s="43" t="s">
        <v>101</v>
      </c>
      <c r="AH36" s="119" t="s">
        <v>102</v>
      </c>
      <c r="AI36" s="43" t="s">
        <v>101</v>
      </c>
      <c r="AJ36" s="119" t="s">
        <v>102</v>
      </c>
      <c r="AK36" s="43" t="s">
        <v>101</v>
      </c>
      <c r="AL36" s="119" t="s">
        <v>102</v>
      </c>
      <c r="AM36" s="43" t="s">
        <v>101</v>
      </c>
      <c r="AN36" s="119" t="s">
        <v>102</v>
      </c>
      <c r="AO36" s="43" t="s">
        <v>101</v>
      </c>
      <c r="AP36" s="119" t="s">
        <v>102</v>
      </c>
      <c r="AQ36" s="43" t="s">
        <v>101</v>
      </c>
      <c r="AR36" s="119" t="s">
        <v>102</v>
      </c>
      <c r="AS36" s="43" t="s">
        <v>101</v>
      </c>
      <c r="AT36" s="119" t="s">
        <v>102</v>
      </c>
      <c r="AU36" s="43" t="s">
        <v>101</v>
      </c>
      <c r="AV36" s="40" t="s">
        <v>102</v>
      </c>
      <c r="AW36" s="42" t="s">
        <v>101</v>
      </c>
      <c r="AX36" s="40" t="s">
        <v>102</v>
      </c>
      <c r="AY36" s="42" t="s">
        <v>101</v>
      </c>
      <c r="AZ36" s="40" t="s">
        <v>102</v>
      </c>
      <c r="BA36" s="42" t="s">
        <v>101</v>
      </c>
      <c r="BB36" s="40" t="s">
        <v>102</v>
      </c>
      <c r="BC36" s="42" t="s">
        <v>101</v>
      </c>
      <c r="BD36" s="40" t="s">
        <v>102</v>
      </c>
      <c r="BE36" s="42" t="s">
        <v>101</v>
      </c>
      <c r="BF36" s="40" t="s">
        <v>102</v>
      </c>
      <c r="BG36" s="42" t="s">
        <v>101</v>
      </c>
      <c r="BH36" s="40" t="s">
        <v>102</v>
      </c>
      <c r="BI36" s="42" t="s">
        <v>101</v>
      </c>
      <c r="BJ36" s="40" t="s">
        <v>102</v>
      </c>
      <c r="BK36" s="42" t="s">
        <v>101</v>
      </c>
      <c r="BL36" s="40" t="s">
        <v>102</v>
      </c>
      <c r="BM36" s="42" t="s">
        <v>101</v>
      </c>
      <c r="BN36" s="40" t="s">
        <v>102</v>
      </c>
      <c r="BO36" s="42" t="s">
        <v>101</v>
      </c>
      <c r="BP36" s="40" t="s">
        <v>102</v>
      </c>
      <c r="BQ36" s="42" t="s">
        <v>101</v>
      </c>
      <c r="BR36" s="40" t="s">
        <v>102</v>
      </c>
      <c r="BS36" s="42" t="s">
        <v>101</v>
      </c>
      <c r="BT36" s="40" t="s">
        <v>102</v>
      </c>
      <c r="BU36" s="42" t="s">
        <v>101</v>
      </c>
      <c r="BV36" s="40" t="s">
        <v>102</v>
      </c>
      <c r="BW36" s="42" t="s">
        <v>101</v>
      </c>
      <c r="BX36" s="40" t="s">
        <v>102</v>
      </c>
      <c r="BY36" s="42" t="s">
        <v>101</v>
      </c>
      <c r="BZ36" s="40" t="s">
        <v>102</v>
      </c>
      <c r="CA36" s="42" t="s">
        <v>101</v>
      </c>
      <c r="CB36" s="40" t="s">
        <v>102</v>
      </c>
      <c r="CC36" s="42" t="s">
        <v>101</v>
      </c>
      <c r="CD36" s="40" t="s">
        <v>102</v>
      </c>
      <c r="CE36" s="42" t="s">
        <v>101</v>
      </c>
      <c r="CF36" s="40" t="s">
        <v>102</v>
      </c>
      <c r="CG36" s="42" t="s">
        <v>101</v>
      </c>
      <c r="CH36" s="40" t="s">
        <v>102</v>
      </c>
      <c r="CI36" s="42" t="s">
        <v>101</v>
      </c>
      <c r="CJ36" s="40" t="s">
        <v>102</v>
      </c>
      <c r="CK36" s="42" t="s">
        <v>101</v>
      </c>
      <c r="CL36" s="136" t="s">
        <v>102</v>
      </c>
      <c r="CM36" s="59" t="str">
        <f t="shared" si="1"/>
        <v>APPROVED</v>
      </c>
      <c r="CN36" s="60"/>
      <c r="CO36" s="61"/>
      <c r="CP36" s="62" t="s">
        <v>108</v>
      </c>
      <c r="CQ36" s="124" t="s">
        <v>117</v>
      </c>
    </row>
    <row r="37">
      <c r="A37" s="23">
        <v>25.0</v>
      </c>
      <c r="B37" s="151" t="s">
        <v>230</v>
      </c>
      <c r="C37" s="154">
        <v>1113.0</v>
      </c>
      <c r="D37" s="155" t="s">
        <v>230</v>
      </c>
      <c r="E37" s="156">
        <v>1113.0</v>
      </c>
      <c r="F37" s="28" t="str">
        <f>IFERROR(VLOOKUP(L37:L98,'R22 RELATÓRIO ACC'!B:F,5,FALSE),"NOT PUBLISHED")</f>
        <v>V28</v>
      </c>
      <c r="G37" s="28" t="str">
        <f>IFERROR(VLOOKUP(L37:L98,'R22 RELATÓRIO ACC'!B:P,15,FALSE),"NOT PUBLISHED")</f>
        <v>16/04/2026</v>
      </c>
      <c r="H37" s="29" t="str">
        <f>IFERROR(VLOOKUP(M37:M98,'RELATÓRIO ACC'!B:F,5,FALSE),"NOT PUBLISHED")</f>
        <v>V4</v>
      </c>
      <c r="I37" s="29" t="str">
        <f>IFERROR(VLOOKUP(M37:M98,'RELATÓRIO ACC'!B:P,15,FALSE),"NOT PUBLISHED")</f>
        <v>26/06/2026</v>
      </c>
      <c r="J37" s="68" t="s">
        <v>163</v>
      </c>
      <c r="K37" s="30">
        <v>45916.0</v>
      </c>
      <c r="L37" s="69" t="s">
        <v>231</v>
      </c>
      <c r="M37" s="69" t="s">
        <v>232</v>
      </c>
      <c r="N37" s="70" t="b">
        <v>1</v>
      </c>
      <c r="O37" s="98" t="s">
        <v>121</v>
      </c>
      <c r="P37" s="71" t="s">
        <v>99</v>
      </c>
      <c r="Q37" s="48" t="s">
        <v>103</v>
      </c>
      <c r="R37" s="48" t="s">
        <v>103</v>
      </c>
      <c r="S37" s="73" t="s">
        <v>115</v>
      </c>
      <c r="T37" s="72" t="s">
        <v>103</v>
      </c>
      <c r="U37" s="73" t="s">
        <v>115</v>
      </c>
      <c r="V37" s="118" t="s">
        <v>100</v>
      </c>
      <c r="W37" s="100" t="s">
        <v>115</v>
      </c>
      <c r="X37" s="119" t="s">
        <v>102</v>
      </c>
      <c r="Y37" s="43" t="s">
        <v>101</v>
      </c>
      <c r="Z37" s="119" t="s">
        <v>102</v>
      </c>
      <c r="AA37" s="43" t="s">
        <v>101</v>
      </c>
      <c r="AB37" s="119" t="s">
        <v>102</v>
      </c>
      <c r="AC37" s="43" t="s">
        <v>101</v>
      </c>
      <c r="AD37" s="119" t="s">
        <v>102</v>
      </c>
      <c r="AE37" s="43" t="s">
        <v>101</v>
      </c>
      <c r="AF37" s="119" t="s">
        <v>102</v>
      </c>
      <c r="AG37" s="43" t="s">
        <v>101</v>
      </c>
      <c r="AH37" s="119" t="s">
        <v>102</v>
      </c>
      <c r="AI37" s="43" t="s">
        <v>101</v>
      </c>
      <c r="AJ37" s="119" t="s">
        <v>102</v>
      </c>
      <c r="AK37" s="43" t="s">
        <v>101</v>
      </c>
      <c r="AL37" s="119" t="s">
        <v>102</v>
      </c>
      <c r="AM37" s="43" t="s">
        <v>101</v>
      </c>
      <c r="AN37" s="119" t="s">
        <v>102</v>
      </c>
      <c r="AO37" s="43" t="s">
        <v>101</v>
      </c>
      <c r="AP37" s="119" t="s">
        <v>102</v>
      </c>
      <c r="AQ37" s="43" t="s">
        <v>101</v>
      </c>
      <c r="AR37" s="119" t="s">
        <v>102</v>
      </c>
      <c r="AS37" s="43" t="s">
        <v>101</v>
      </c>
      <c r="AT37" s="119" t="s">
        <v>102</v>
      </c>
      <c r="AU37" s="43" t="s">
        <v>101</v>
      </c>
      <c r="AV37" s="40" t="s">
        <v>102</v>
      </c>
      <c r="AW37" s="42" t="s">
        <v>101</v>
      </c>
      <c r="AX37" s="40" t="s">
        <v>102</v>
      </c>
      <c r="AY37" s="42" t="s">
        <v>101</v>
      </c>
      <c r="AZ37" s="40" t="s">
        <v>102</v>
      </c>
      <c r="BA37" s="42" t="s">
        <v>101</v>
      </c>
      <c r="BB37" s="40" t="s">
        <v>102</v>
      </c>
      <c r="BC37" s="42" t="s">
        <v>101</v>
      </c>
      <c r="BD37" s="40" t="s">
        <v>102</v>
      </c>
      <c r="BE37" s="42" t="s">
        <v>101</v>
      </c>
      <c r="BF37" s="40" t="s">
        <v>102</v>
      </c>
      <c r="BG37" s="42" t="s">
        <v>101</v>
      </c>
      <c r="BH37" s="40" t="s">
        <v>102</v>
      </c>
      <c r="BI37" s="42" t="s">
        <v>101</v>
      </c>
      <c r="BJ37" s="40" t="s">
        <v>102</v>
      </c>
      <c r="BK37" s="42" t="s">
        <v>101</v>
      </c>
      <c r="BL37" s="40" t="s">
        <v>102</v>
      </c>
      <c r="BM37" s="42" t="s">
        <v>101</v>
      </c>
      <c r="BN37" s="40" t="s">
        <v>102</v>
      </c>
      <c r="BO37" s="42" t="s">
        <v>101</v>
      </c>
      <c r="BP37" s="40" t="s">
        <v>102</v>
      </c>
      <c r="BQ37" s="42" t="s">
        <v>101</v>
      </c>
      <c r="BR37" s="46" t="s">
        <v>102</v>
      </c>
      <c r="BS37" s="41" t="s">
        <v>101</v>
      </c>
      <c r="BT37" s="46" t="s">
        <v>102</v>
      </c>
      <c r="BU37" s="41" t="s">
        <v>101</v>
      </c>
      <c r="BV37" s="46" t="s">
        <v>102</v>
      </c>
      <c r="BW37" s="41" t="s">
        <v>101</v>
      </c>
      <c r="BX37" s="46" t="s">
        <v>102</v>
      </c>
      <c r="BY37" s="41" t="s">
        <v>101</v>
      </c>
      <c r="BZ37" s="46" t="s">
        <v>102</v>
      </c>
      <c r="CA37" s="41" t="s">
        <v>101</v>
      </c>
      <c r="CB37" s="46" t="s">
        <v>102</v>
      </c>
      <c r="CC37" s="41" t="s">
        <v>101</v>
      </c>
      <c r="CD37" s="46" t="s">
        <v>102</v>
      </c>
      <c r="CE37" s="41" t="s">
        <v>101</v>
      </c>
      <c r="CF37" s="46" t="s">
        <v>102</v>
      </c>
      <c r="CG37" s="41" t="s">
        <v>101</v>
      </c>
      <c r="CH37" s="46" t="s">
        <v>102</v>
      </c>
      <c r="CI37" s="41" t="s">
        <v>101</v>
      </c>
      <c r="CJ37" s="46" t="s">
        <v>102</v>
      </c>
      <c r="CK37" s="41" t="s">
        <v>101</v>
      </c>
      <c r="CL37" s="46" t="s">
        <v>102</v>
      </c>
      <c r="CM37" s="59" t="str">
        <f t="shared" si="1"/>
        <v>APPROVED</v>
      </c>
      <c r="CN37" s="60"/>
      <c r="CO37" s="61" t="b">
        <v>0</v>
      </c>
      <c r="CP37" s="123" t="s">
        <v>152</v>
      </c>
      <c r="CQ37" s="124" t="s">
        <v>117</v>
      </c>
    </row>
    <row r="38">
      <c r="A38" s="23">
        <v>29.0</v>
      </c>
      <c r="B38" s="121" t="s">
        <v>94</v>
      </c>
      <c r="C38" s="109">
        <v>1114.0</v>
      </c>
      <c r="D38" s="66" t="s">
        <v>94</v>
      </c>
      <c r="E38" s="67">
        <v>1114.0</v>
      </c>
      <c r="F38" s="28" t="str">
        <f>IFERROR(VLOOKUP(L38:L99,'R22 RELATÓRIO ACC'!B:F,5,FALSE),"NOT PUBLISHED")</f>
        <v>V11</v>
      </c>
      <c r="G38" s="28" t="str">
        <f>IFERROR(VLOOKUP(L38:L99,'R22 RELATÓRIO ACC'!B:P,15,FALSE),"NOT PUBLISHED")</f>
        <v>03/02/2026</v>
      </c>
      <c r="H38" s="29" t="str">
        <f>IFERROR(VLOOKUP(M38:M99,'RELATÓRIO ACC'!B:F,5,FALSE),"NOT PUBLISHED")</f>
        <v>V1</v>
      </c>
      <c r="I38" s="29" t="str">
        <f>IFERROR(VLOOKUP(M38:M99,'RELATÓRIO ACC'!B:P,15,FALSE),"NOT PUBLISHED")</f>
        <v>15/05/2026</v>
      </c>
      <c r="J38" s="68" t="s">
        <v>224</v>
      </c>
      <c r="K38" s="30">
        <v>45850.0</v>
      </c>
      <c r="L38" s="69" t="s">
        <v>233</v>
      </c>
      <c r="M38" s="69" t="s">
        <v>234</v>
      </c>
      <c r="N38" s="70" t="b">
        <v>1</v>
      </c>
      <c r="O38" s="70" t="b">
        <v>1</v>
      </c>
      <c r="P38" s="71" t="s">
        <v>99</v>
      </c>
      <c r="Q38" s="157" t="s">
        <v>100</v>
      </c>
      <c r="R38" s="37" t="s">
        <v>100</v>
      </c>
      <c r="S38" s="43" t="s">
        <v>101</v>
      </c>
      <c r="T38" s="135" t="s">
        <v>100</v>
      </c>
      <c r="U38" s="43" t="s">
        <v>101</v>
      </c>
      <c r="V38" s="119" t="s">
        <v>102</v>
      </c>
      <c r="W38" s="43" t="s">
        <v>101</v>
      </c>
      <c r="X38" s="119" t="s">
        <v>102</v>
      </c>
      <c r="Y38" s="43" t="s">
        <v>101</v>
      </c>
      <c r="Z38" s="119" t="s">
        <v>102</v>
      </c>
      <c r="AA38" s="43" t="s">
        <v>101</v>
      </c>
      <c r="AB38" s="119" t="s">
        <v>102</v>
      </c>
      <c r="AC38" s="43" t="s">
        <v>101</v>
      </c>
      <c r="AD38" s="119" t="s">
        <v>102</v>
      </c>
      <c r="AE38" s="43" t="s">
        <v>101</v>
      </c>
      <c r="AF38" s="119" t="s">
        <v>102</v>
      </c>
      <c r="AG38" s="43" t="s">
        <v>101</v>
      </c>
      <c r="AH38" s="119" t="s">
        <v>102</v>
      </c>
      <c r="AI38" s="43" t="s">
        <v>101</v>
      </c>
      <c r="AJ38" s="119" t="s">
        <v>102</v>
      </c>
      <c r="AK38" s="43" t="s">
        <v>101</v>
      </c>
      <c r="AL38" s="119" t="s">
        <v>102</v>
      </c>
      <c r="AM38" s="43" t="s">
        <v>101</v>
      </c>
      <c r="AN38" s="119" t="s">
        <v>102</v>
      </c>
      <c r="AO38" s="43" t="s">
        <v>101</v>
      </c>
      <c r="AP38" s="119" t="s">
        <v>102</v>
      </c>
      <c r="AQ38" s="43" t="s">
        <v>101</v>
      </c>
      <c r="AR38" s="119" t="s">
        <v>102</v>
      </c>
      <c r="AS38" s="43" t="s">
        <v>101</v>
      </c>
      <c r="AT38" s="119" t="s">
        <v>102</v>
      </c>
      <c r="AU38" s="43" t="s">
        <v>101</v>
      </c>
      <c r="AV38" s="40" t="s">
        <v>102</v>
      </c>
      <c r="AW38" s="42" t="s">
        <v>101</v>
      </c>
      <c r="AX38" s="40" t="s">
        <v>102</v>
      </c>
      <c r="AY38" s="42" t="s">
        <v>101</v>
      </c>
      <c r="AZ38" s="40" t="s">
        <v>102</v>
      </c>
      <c r="BA38" s="42" t="s">
        <v>101</v>
      </c>
      <c r="BB38" s="40" t="s">
        <v>102</v>
      </c>
      <c r="BC38" s="42" t="s">
        <v>101</v>
      </c>
      <c r="BD38" s="40" t="s">
        <v>102</v>
      </c>
      <c r="BE38" s="42" t="s">
        <v>101</v>
      </c>
      <c r="BF38" s="40" t="s">
        <v>102</v>
      </c>
      <c r="BG38" s="42" t="s">
        <v>101</v>
      </c>
      <c r="BH38" s="40" t="s">
        <v>102</v>
      </c>
      <c r="BI38" s="42" t="s">
        <v>101</v>
      </c>
      <c r="BJ38" s="40" t="s">
        <v>102</v>
      </c>
      <c r="BK38" s="42" t="s">
        <v>101</v>
      </c>
      <c r="BL38" s="40" t="s">
        <v>102</v>
      </c>
      <c r="BM38" s="42" t="s">
        <v>101</v>
      </c>
      <c r="BN38" s="40" t="s">
        <v>102</v>
      </c>
      <c r="BO38" s="42" t="s">
        <v>101</v>
      </c>
      <c r="BP38" s="40" t="s">
        <v>102</v>
      </c>
      <c r="BQ38" s="42" t="s">
        <v>101</v>
      </c>
      <c r="BR38" s="40" t="s">
        <v>102</v>
      </c>
      <c r="BS38" s="42" t="s">
        <v>101</v>
      </c>
      <c r="BT38" s="40" t="s">
        <v>102</v>
      </c>
      <c r="BU38" s="42" t="s">
        <v>101</v>
      </c>
      <c r="BV38" s="40" t="s">
        <v>102</v>
      </c>
      <c r="BW38" s="42" t="s">
        <v>101</v>
      </c>
      <c r="BX38" s="40" t="s">
        <v>102</v>
      </c>
      <c r="BY38" s="42" t="s">
        <v>101</v>
      </c>
      <c r="BZ38" s="40" t="s">
        <v>102</v>
      </c>
      <c r="CA38" s="42" t="s">
        <v>101</v>
      </c>
      <c r="CB38" s="40" t="s">
        <v>102</v>
      </c>
      <c r="CC38" s="42" t="s">
        <v>101</v>
      </c>
      <c r="CD38" s="40" t="s">
        <v>102</v>
      </c>
      <c r="CE38" s="42" t="s">
        <v>101</v>
      </c>
      <c r="CF38" s="40" t="s">
        <v>102</v>
      </c>
      <c r="CG38" s="42" t="s">
        <v>101</v>
      </c>
      <c r="CH38" s="40" t="s">
        <v>102</v>
      </c>
      <c r="CI38" s="42" t="s">
        <v>101</v>
      </c>
      <c r="CJ38" s="40" t="s">
        <v>102</v>
      </c>
      <c r="CK38" s="42" t="s">
        <v>101</v>
      </c>
      <c r="CL38" s="136" t="s">
        <v>102</v>
      </c>
      <c r="CM38" s="59" t="str">
        <f t="shared" si="1"/>
        <v>APPROVED</v>
      </c>
      <c r="CN38" s="60"/>
      <c r="CO38" s="61"/>
      <c r="CP38" s="62" t="s">
        <v>108</v>
      </c>
      <c r="CQ38" s="62" t="s">
        <v>122</v>
      </c>
    </row>
    <row r="39">
      <c r="A39" s="23">
        <v>33.0</v>
      </c>
      <c r="B39" s="121" t="s">
        <v>110</v>
      </c>
      <c r="C39" s="109">
        <v>1112.0</v>
      </c>
      <c r="D39" s="66" t="s">
        <v>110</v>
      </c>
      <c r="E39" s="67">
        <v>1112.0</v>
      </c>
      <c r="F39" s="28" t="str">
        <f>IFERROR(VLOOKUP(L39:L100,'R22 RELATÓRIO ACC'!B:F,5,FALSE),"NOT PUBLISHED")</f>
        <v>V16</v>
      </c>
      <c r="G39" s="28" t="str">
        <f>IFERROR(VLOOKUP(L39:L100,'R22 RELATÓRIO ACC'!B:P,15,FALSE),"NOT PUBLISHED")</f>
        <v>14/05/2026</v>
      </c>
      <c r="H39" s="29" t="str">
        <f>IFERROR(VLOOKUP(M39:M100,'RELATÓRIO ACC'!B:F,5,FALSE),"NOT PUBLISHED")</f>
        <v>V4</v>
      </c>
      <c r="I39" s="29" t="str">
        <f>IFERROR(VLOOKUP(M39:M100,'RELATÓRIO ACC'!B:P,15,FALSE),"NOT PUBLISHED")</f>
        <v>13/07/2026</v>
      </c>
      <c r="J39" s="68" t="s">
        <v>224</v>
      </c>
      <c r="K39" s="30">
        <v>45918.0</v>
      </c>
      <c r="L39" s="69" t="s">
        <v>235</v>
      </c>
      <c r="M39" s="69" t="s">
        <v>236</v>
      </c>
      <c r="N39" s="70" t="b">
        <v>1</v>
      </c>
      <c r="O39" s="98" t="s">
        <v>121</v>
      </c>
      <c r="P39" s="71" t="s">
        <v>99</v>
      </c>
      <c r="Q39" s="48" t="s">
        <v>103</v>
      </c>
      <c r="R39" s="48" t="s">
        <v>103</v>
      </c>
      <c r="S39" s="90" t="s">
        <v>115</v>
      </c>
      <c r="T39" s="72" t="s">
        <v>103</v>
      </c>
      <c r="U39" s="73" t="s">
        <v>115</v>
      </c>
      <c r="V39" s="118" t="s">
        <v>100</v>
      </c>
      <c r="W39" s="100" t="s">
        <v>101</v>
      </c>
      <c r="X39" s="119" t="s">
        <v>102</v>
      </c>
      <c r="Y39" s="43" t="s">
        <v>101</v>
      </c>
      <c r="Z39" s="119" t="s">
        <v>102</v>
      </c>
      <c r="AA39" s="43" t="s">
        <v>101</v>
      </c>
      <c r="AB39" s="119" t="s">
        <v>102</v>
      </c>
      <c r="AC39" s="43" t="s">
        <v>101</v>
      </c>
      <c r="AD39" s="119" t="s">
        <v>102</v>
      </c>
      <c r="AE39" s="43" t="s">
        <v>101</v>
      </c>
      <c r="AF39" s="119" t="s">
        <v>102</v>
      </c>
      <c r="AG39" s="43" t="s">
        <v>101</v>
      </c>
      <c r="AH39" s="119" t="s">
        <v>102</v>
      </c>
      <c r="AI39" s="43" t="s">
        <v>101</v>
      </c>
      <c r="AJ39" s="119" t="s">
        <v>102</v>
      </c>
      <c r="AK39" s="43" t="s">
        <v>101</v>
      </c>
      <c r="AL39" s="119" t="s">
        <v>102</v>
      </c>
      <c r="AM39" s="43" t="s">
        <v>101</v>
      </c>
      <c r="AN39" s="119" t="s">
        <v>102</v>
      </c>
      <c r="AO39" s="43" t="s">
        <v>101</v>
      </c>
      <c r="AP39" s="119" t="s">
        <v>102</v>
      </c>
      <c r="AQ39" s="43" t="s">
        <v>101</v>
      </c>
      <c r="AR39" s="119" t="s">
        <v>102</v>
      </c>
      <c r="AS39" s="43" t="s">
        <v>101</v>
      </c>
      <c r="AT39" s="119" t="s">
        <v>102</v>
      </c>
      <c r="AU39" s="43" t="s">
        <v>101</v>
      </c>
      <c r="AV39" s="40" t="s">
        <v>102</v>
      </c>
      <c r="AW39" s="42" t="s">
        <v>101</v>
      </c>
      <c r="AX39" s="40" t="s">
        <v>102</v>
      </c>
      <c r="AY39" s="42" t="s">
        <v>101</v>
      </c>
      <c r="AZ39" s="40" t="s">
        <v>102</v>
      </c>
      <c r="BA39" s="42" t="s">
        <v>101</v>
      </c>
      <c r="BB39" s="40" t="s">
        <v>102</v>
      </c>
      <c r="BC39" s="42" t="s">
        <v>101</v>
      </c>
      <c r="BD39" s="40" t="s">
        <v>102</v>
      </c>
      <c r="BE39" s="42" t="s">
        <v>101</v>
      </c>
      <c r="BF39" s="40" t="s">
        <v>102</v>
      </c>
      <c r="BG39" s="42" t="s">
        <v>101</v>
      </c>
      <c r="BH39" s="40" t="s">
        <v>102</v>
      </c>
      <c r="BI39" s="42" t="s">
        <v>101</v>
      </c>
      <c r="BJ39" s="40" t="s">
        <v>102</v>
      </c>
      <c r="BK39" s="42" t="s">
        <v>101</v>
      </c>
      <c r="BL39" s="40" t="s">
        <v>102</v>
      </c>
      <c r="BM39" s="42" t="s">
        <v>101</v>
      </c>
      <c r="BN39" s="40" t="s">
        <v>102</v>
      </c>
      <c r="BO39" s="42" t="s">
        <v>101</v>
      </c>
      <c r="BP39" s="40" t="s">
        <v>102</v>
      </c>
      <c r="BQ39" s="42" t="s">
        <v>101</v>
      </c>
      <c r="BR39" s="40" t="s">
        <v>102</v>
      </c>
      <c r="BS39" s="42" t="s">
        <v>101</v>
      </c>
      <c r="BT39" s="40" t="s">
        <v>102</v>
      </c>
      <c r="BU39" s="42" t="s">
        <v>101</v>
      </c>
      <c r="BV39" s="40" t="s">
        <v>102</v>
      </c>
      <c r="BW39" s="42" t="s">
        <v>101</v>
      </c>
      <c r="BX39" s="40" t="s">
        <v>102</v>
      </c>
      <c r="BY39" s="42" t="s">
        <v>101</v>
      </c>
      <c r="BZ39" s="40" t="s">
        <v>102</v>
      </c>
      <c r="CA39" s="42" t="s">
        <v>101</v>
      </c>
      <c r="CB39" s="40" t="s">
        <v>102</v>
      </c>
      <c r="CC39" s="42" t="s">
        <v>101</v>
      </c>
      <c r="CD39" s="40" t="s">
        <v>102</v>
      </c>
      <c r="CE39" s="42" t="s">
        <v>101</v>
      </c>
      <c r="CF39" s="40" t="s">
        <v>102</v>
      </c>
      <c r="CG39" s="42" t="s">
        <v>101</v>
      </c>
      <c r="CH39" s="40" t="s">
        <v>102</v>
      </c>
      <c r="CI39" s="42" t="s">
        <v>101</v>
      </c>
      <c r="CJ39" s="40" t="s">
        <v>102</v>
      </c>
      <c r="CK39" s="42" t="s">
        <v>101</v>
      </c>
      <c r="CL39" s="136" t="s">
        <v>102</v>
      </c>
      <c r="CM39" s="59" t="str">
        <f t="shared" si="1"/>
        <v>APPROVED</v>
      </c>
      <c r="CN39" s="60"/>
      <c r="CO39" s="61"/>
      <c r="CP39" s="62" t="s">
        <v>128</v>
      </c>
      <c r="CQ39" s="62" t="s">
        <v>122</v>
      </c>
    </row>
    <row r="40">
      <c r="A40" s="23">
        <v>34.0</v>
      </c>
      <c r="B40" s="149" t="s">
        <v>237</v>
      </c>
      <c r="C40" s="142">
        <v>1117.0</v>
      </c>
      <c r="D40" s="143" t="s">
        <v>178</v>
      </c>
      <c r="E40" s="144">
        <v>1128.0</v>
      </c>
      <c r="F40" s="28" t="str">
        <f>IFERROR(VLOOKUP(L40:L101,'R22 RELATÓRIO ACC'!B:F,5,FALSE),"NOT PUBLISHED")</f>
        <v>V16</v>
      </c>
      <c r="G40" s="28" t="str">
        <f>IFERROR(VLOOKUP(L40:L101,'R22 RELATÓRIO ACC'!B:P,15,FALSE),"NOT PUBLISHED")</f>
        <v>06/03/2026</v>
      </c>
      <c r="H40" s="29" t="str">
        <f>IFERROR(VLOOKUP(M40:M101,'RELATÓRIO ACC'!B:F,5,FALSE),"NOT PUBLISHED")</f>
        <v>V5</v>
      </c>
      <c r="I40" s="29" t="str">
        <f>IFERROR(VLOOKUP(M40:M101,'RELATÓRIO ACC'!B:P,15,FALSE),"NOT PUBLISHED")</f>
        <v>08/07/2026</v>
      </c>
      <c r="J40" s="68" t="s">
        <v>238</v>
      </c>
      <c r="K40" s="30">
        <v>45854.0</v>
      </c>
      <c r="L40" s="69" t="s">
        <v>239</v>
      </c>
      <c r="M40" s="69" t="s">
        <v>240</v>
      </c>
      <c r="N40" s="70" t="b">
        <v>1</v>
      </c>
      <c r="O40" s="70" t="b">
        <v>1</v>
      </c>
      <c r="P40" s="71" t="s">
        <v>99</v>
      </c>
      <c r="Q40" s="158" t="s">
        <v>100</v>
      </c>
      <c r="R40" s="37" t="s">
        <v>100</v>
      </c>
      <c r="S40" s="73" t="s">
        <v>115</v>
      </c>
      <c r="T40" s="135" t="s">
        <v>100</v>
      </c>
      <c r="U40" s="43" t="s">
        <v>101</v>
      </c>
      <c r="V40" s="119" t="s">
        <v>102</v>
      </c>
      <c r="W40" s="43" t="s">
        <v>101</v>
      </c>
      <c r="X40" s="119" t="s">
        <v>102</v>
      </c>
      <c r="Y40" s="43" t="s">
        <v>101</v>
      </c>
      <c r="Z40" s="119" t="s">
        <v>102</v>
      </c>
      <c r="AA40" s="43" t="s">
        <v>101</v>
      </c>
      <c r="AB40" s="119" t="s">
        <v>102</v>
      </c>
      <c r="AC40" s="43" t="s">
        <v>101</v>
      </c>
      <c r="AD40" s="119" t="s">
        <v>102</v>
      </c>
      <c r="AE40" s="43" t="s">
        <v>101</v>
      </c>
      <c r="AF40" s="119" t="s">
        <v>102</v>
      </c>
      <c r="AG40" s="43" t="s">
        <v>101</v>
      </c>
      <c r="AH40" s="119" t="s">
        <v>102</v>
      </c>
      <c r="AI40" s="43" t="s">
        <v>101</v>
      </c>
      <c r="AJ40" s="119" t="s">
        <v>102</v>
      </c>
      <c r="AK40" s="43" t="s">
        <v>101</v>
      </c>
      <c r="AL40" s="119" t="s">
        <v>102</v>
      </c>
      <c r="AM40" s="43" t="s">
        <v>101</v>
      </c>
      <c r="AN40" s="119" t="s">
        <v>102</v>
      </c>
      <c r="AO40" s="43" t="s">
        <v>101</v>
      </c>
      <c r="AP40" s="119" t="s">
        <v>102</v>
      </c>
      <c r="AQ40" s="43" t="s">
        <v>101</v>
      </c>
      <c r="AR40" s="119" t="s">
        <v>102</v>
      </c>
      <c r="AS40" s="43" t="s">
        <v>101</v>
      </c>
      <c r="AT40" s="119" t="s">
        <v>102</v>
      </c>
      <c r="AU40" s="43" t="s">
        <v>101</v>
      </c>
      <c r="AV40" s="40" t="s">
        <v>102</v>
      </c>
      <c r="AW40" s="42" t="s">
        <v>101</v>
      </c>
      <c r="AX40" s="40" t="s">
        <v>102</v>
      </c>
      <c r="AY40" s="42" t="s">
        <v>101</v>
      </c>
      <c r="AZ40" s="40" t="s">
        <v>102</v>
      </c>
      <c r="BA40" s="42" t="s">
        <v>101</v>
      </c>
      <c r="BB40" s="40" t="s">
        <v>102</v>
      </c>
      <c r="BC40" s="42" t="s">
        <v>101</v>
      </c>
      <c r="BD40" s="40" t="s">
        <v>102</v>
      </c>
      <c r="BE40" s="42" t="s">
        <v>101</v>
      </c>
      <c r="BF40" s="40" t="s">
        <v>102</v>
      </c>
      <c r="BG40" s="42" t="s">
        <v>101</v>
      </c>
      <c r="BH40" s="40" t="s">
        <v>102</v>
      </c>
      <c r="BI40" s="41" t="s">
        <v>101</v>
      </c>
      <c r="BJ40" s="40" t="s">
        <v>102</v>
      </c>
      <c r="BK40" s="41" t="s">
        <v>101</v>
      </c>
      <c r="BL40" s="40" t="s">
        <v>102</v>
      </c>
      <c r="BM40" s="41" t="s">
        <v>101</v>
      </c>
      <c r="BN40" s="40" t="s">
        <v>102</v>
      </c>
      <c r="BO40" s="41" t="s">
        <v>101</v>
      </c>
      <c r="BP40" s="40" t="s">
        <v>102</v>
      </c>
      <c r="BQ40" s="41" t="s">
        <v>101</v>
      </c>
      <c r="BR40" s="40" t="s">
        <v>102</v>
      </c>
      <c r="BS40" s="41" t="s">
        <v>101</v>
      </c>
      <c r="BT40" s="40" t="s">
        <v>102</v>
      </c>
      <c r="BU40" s="41" t="s">
        <v>101</v>
      </c>
      <c r="BV40" s="40" t="s">
        <v>102</v>
      </c>
      <c r="BW40" s="41" t="s">
        <v>101</v>
      </c>
      <c r="BX40" s="40" t="s">
        <v>102</v>
      </c>
      <c r="BY40" s="41" t="s">
        <v>101</v>
      </c>
      <c r="BZ40" s="40" t="s">
        <v>102</v>
      </c>
      <c r="CA40" s="41" t="s">
        <v>101</v>
      </c>
      <c r="CB40" s="40" t="s">
        <v>102</v>
      </c>
      <c r="CC40" s="41" t="s">
        <v>101</v>
      </c>
      <c r="CD40" s="40" t="s">
        <v>102</v>
      </c>
      <c r="CE40" s="41" t="s">
        <v>101</v>
      </c>
      <c r="CF40" s="40" t="s">
        <v>102</v>
      </c>
      <c r="CG40" s="41" t="s">
        <v>101</v>
      </c>
      <c r="CH40" s="40" t="s">
        <v>102</v>
      </c>
      <c r="CI40" s="41" t="s">
        <v>101</v>
      </c>
      <c r="CJ40" s="40" t="s">
        <v>102</v>
      </c>
      <c r="CK40" s="41" t="s">
        <v>101</v>
      </c>
      <c r="CL40" s="136" t="s">
        <v>102</v>
      </c>
      <c r="CM40" s="59" t="str">
        <f t="shared" si="1"/>
        <v>APPROVED</v>
      </c>
      <c r="CN40" s="60"/>
      <c r="CO40" s="61"/>
      <c r="CP40" s="62" t="s">
        <v>108</v>
      </c>
      <c r="CQ40" s="114" t="s">
        <v>117</v>
      </c>
    </row>
    <row r="41" ht="24.0" customHeight="1">
      <c r="A41" s="23">
        <v>35.0</v>
      </c>
      <c r="B41" s="149" t="s">
        <v>241</v>
      </c>
      <c r="C41" s="142">
        <v>1118.0</v>
      </c>
      <c r="D41" s="143" t="s">
        <v>241</v>
      </c>
      <c r="E41" s="144">
        <v>1118.0</v>
      </c>
      <c r="F41" s="28" t="str">
        <f>IFERROR(VLOOKUP(L41:L102,'R22 RELATÓRIO ACC'!B:F,5,FALSE),"NOT PUBLISHED")</f>
        <v>V59</v>
      </c>
      <c r="G41" s="28" t="str">
        <f>IFERROR(VLOOKUP(L41:L102,'R22 RELATÓRIO ACC'!B:P,15,FALSE),"NOT PUBLISHED")</f>
        <v>17/04/2026</v>
      </c>
      <c r="H41" s="29" t="str">
        <f>IFERROR(VLOOKUP(M41:M102,'RELATÓRIO ACC'!B:F,5,FALSE),"NOT PUBLISHED")</f>
        <v>V5</v>
      </c>
      <c r="I41" s="29" t="str">
        <f>IFERROR(VLOOKUP(M41:M102,'RELATÓRIO ACC'!B:P,15,FALSE),"NOT PUBLISHED")</f>
        <v>06/07/2026</v>
      </c>
      <c r="J41" s="68" t="s">
        <v>242</v>
      </c>
      <c r="K41" s="30">
        <v>45931.0</v>
      </c>
      <c r="L41" s="69" t="s">
        <v>243</v>
      </c>
      <c r="M41" s="69" t="s">
        <v>244</v>
      </c>
      <c r="N41" s="70" t="b">
        <v>1</v>
      </c>
      <c r="O41" s="70" t="b">
        <v>1</v>
      </c>
      <c r="P41" s="71" t="s">
        <v>99</v>
      </c>
      <c r="Q41" s="48" t="s">
        <v>103</v>
      </c>
      <c r="R41" s="48" t="s">
        <v>103</v>
      </c>
      <c r="S41" s="73" t="s">
        <v>115</v>
      </c>
      <c r="T41" s="72" t="s">
        <v>103</v>
      </c>
      <c r="U41" s="73" t="s">
        <v>115</v>
      </c>
      <c r="V41" s="72" t="s">
        <v>103</v>
      </c>
      <c r="W41" s="100" t="s">
        <v>115</v>
      </c>
      <c r="X41" s="118" t="s">
        <v>100</v>
      </c>
      <c r="Y41" s="43" t="s">
        <v>101</v>
      </c>
      <c r="Z41" s="119" t="s">
        <v>102</v>
      </c>
      <c r="AA41" s="43" t="s">
        <v>101</v>
      </c>
      <c r="AB41" s="119" t="s">
        <v>102</v>
      </c>
      <c r="AC41" s="43" t="s">
        <v>101</v>
      </c>
      <c r="AD41" s="119" t="s">
        <v>102</v>
      </c>
      <c r="AE41" s="43" t="s">
        <v>101</v>
      </c>
      <c r="AF41" s="119" t="s">
        <v>102</v>
      </c>
      <c r="AG41" s="43" t="s">
        <v>101</v>
      </c>
      <c r="AH41" s="119" t="s">
        <v>102</v>
      </c>
      <c r="AI41" s="43" t="s">
        <v>101</v>
      </c>
      <c r="AJ41" s="119" t="s">
        <v>102</v>
      </c>
      <c r="AK41" s="43" t="s">
        <v>101</v>
      </c>
      <c r="AL41" s="119" t="s">
        <v>102</v>
      </c>
      <c r="AM41" s="43" t="s">
        <v>101</v>
      </c>
      <c r="AN41" s="119" t="s">
        <v>102</v>
      </c>
      <c r="AO41" s="43" t="s">
        <v>101</v>
      </c>
      <c r="AP41" s="119" t="s">
        <v>102</v>
      </c>
      <c r="AQ41" s="43" t="s">
        <v>101</v>
      </c>
      <c r="AR41" s="119" t="s">
        <v>102</v>
      </c>
      <c r="AS41" s="43" t="s">
        <v>101</v>
      </c>
      <c r="AT41" s="119" t="s">
        <v>102</v>
      </c>
      <c r="AU41" s="43" t="s">
        <v>101</v>
      </c>
      <c r="AV41" s="40" t="s">
        <v>102</v>
      </c>
      <c r="AW41" s="42" t="s">
        <v>101</v>
      </c>
      <c r="AX41" s="40" t="s">
        <v>102</v>
      </c>
      <c r="AY41" s="42" t="s">
        <v>101</v>
      </c>
      <c r="AZ41" s="40" t="s">
        <v>102</v>
      </c>
      <c r="BA41" s="42" t="s">
        <v>101</v>
      </c>
      <c r="BB41" s="40" t="s">
        <v>102</v>
      </c>
      <c r="BC41" s="42" t="s">
        <v>101</v>
      </c>
      <c r="BD41" s="40" t="s">
        <v>102</v>
      </c>
      <c r="BE41" s="42" t="s">
        <v>101</v>
      </c>
      <c r="BF41" s="40" t="s">
        <v>102</v>
      </c>
      <c r="BG41" s="42" t="s">
        <v>101</v>
      </c>
      <c r="BH41" s="40" t="s">
        <v>102</v>
      </c>
      <c r="BI41" s="42" t="s">
        <v>101</v>
      </c>
      <c r="BJ41" s="40" t="s">
        <v>102</v>
      </c>
      <c r="BK41" s="42" t="s">
        <v>101</v>
      </c>
      <c r="BL41" s="40" t="s">
        <v>102</v>
      </c>
      <c r="BM41" s="42" t="s">
        <v>101</v>
      </c>
      <c r="BN41" s="40" t="s">
        <v>102</v>
      </c>
      <c r="BO41" s="42" t="s">
        <v>101</v>
      </c>
      <c r="BP41" s="40" t="s">
        <v>102</v>
      </c>
      <c r="BQ41" s="42" t="s">
        <v>101</v>
      </c>
      <c r="BR41" s="40" t="s">
        <v>102</v>
      </c>
      <c r="BS41" s="42" t="s">
        <v>101</v>
      </c>
      <c r="BT41" s="40" t="s">
        <v>102</v>
      </c>
      <c r="BU41" s="42" t="s">
        <v>101</v>
      </c>
      <c r="BV41" s="40" t="s">
        <v>102</v>
      </c>
      <c r="BW41" s="42" t="s">
        <v>101</v>
      </c>
      <c r="BX41" s="40" t="s">
        <v>102</v>
      </c>
      <c r="BY41" s="42" t="s">
        <v>101</v>
      </c>
      <c r="BZ41" s="40" t="s">
        <v>102</v>
      </c>
      <c r="CA41" s="42" t="s">
        <v>101</v>
      </c>
      <c r="CB41" s="40" t="s">
        <v>102</v>
      </c>
      <c r="CC41" s="42" t="s">
        <v>101</v>
      </c>
      <c r="CD41" s="40" t="s">
        <v>102</v>
      </c>
      <c r="CE41" s="42" t="s">
        <v>101</v>
      </c>
      <c r="CF41" s="40" t="s">
        <v>102</v>
      </c>
      <c r="CG41" s="42" t="s">
        <v>101</v>
      </c>
      <c r="CH41" s="40" t="s">
        <v>102</v>
      </c>
      <c r="CI41" s="42" t="s">
        <v>101</v>
      </c>
      <c r="CJ41" s="40" t="s">
        <v>102</v>
      </c>
      <c r="CK41" s="42" t="s">
        <v>101</v>
      </c>
      <c r="CL41" s="136" t="s">
        <v>102</v>
      </c>
      <c r="CM41" s="59" t="str">
        <f t="shared" si="1"/>
        <v>APPROVED</v>
      </c>
      <c r="CN41" s="60"/>
      <c r="CO41" s="61"/>
      <c r="CP41" s="62" t="s">
        <v>108</v>
      </c>
      <c r="CQ41" s="62" t="s">
        <v>122</v>
      </c>
    </row>
    <row r="42" ht="24.0" customHeight="1">
      <c r="A42" s="23">
        <v>36.0</v>
      </c>
      <c r="B42" s="149" t="s">
        <v>241</v>
      </c>
      <c r="C42" s="142">
        <v>1118.0</v>
      </c>
      <c r="D42" s="143" t="s">
        <v>241</v>
      </c>
      <c r="E42" s="144">
        <v>1118.0</v>
      </c>
      <c r="F42" s="28" t="str">
        <f>IFERROR(VLOOKUP(L42:L103,'R22 RELATÓRIO ACC'!B:F,5,FALSE),"NOT PUBLISHED")</f>
        <v>V23</v>
      </c>
      <c r="G42" s="28" t="str">
        <f>IFERROR(VLOOKUP(L42:L103,'R22 RELATÓRIO ACC'!B:P,15,FALSE),"NOT PUBLISHED")</f>
        <v>16/04/2026</v>
      </c>
      <c r="H42" s="29" t="str">
        <f>IFERROR(VLOOKUP(M42:M103,'RELATÓRIO ACC'!B:F,5,FALSE),"NOT PUBLISHED")</f>
        <v>V1</v>
      </c>
      <c r="I42" s="29" t="str">
        <f>IFERROR(VLOOKUP(M42:M103,'RELATÓRIO ACC'!B:P,15,FALSE),"NOT PUBLISHED")</f>
        <v>19/05/2026</v>
      </c>
      <c r="J42" s="68" t="s">
        <v>245</v>
      </c>
      <c r="K42" s="30">
        <v>45862.0</v>
      </c>
      <c r="L42" s="159" t="s">
        <v>246</v>
      </c>
      <c r="M42" s="159" t="s">
        <v>247</v>
      </c>
      <c r="N42" s="70" t="b">
        <v>1</v>
      </c>
      <c r="O42" s="98" t="s">
        <v>121</v>
      </c>
      <c r="P42" s="71" t="s">
        <v>99</v>
      </c>
      <c r="Q42" s="72" t="s">
        <v>103</v>
      </c>
      <c r="R42" s="72" t="s">
        <v>103</v>
      </c>
      <c r="S42" s="160" t="s">
        <v>115</v>
      </c>
      <c r="T42" s="135" t="s">
        <v>100</v>
      </c>
      <c r="U42" s="43" t="s">
        <v>101</v>
      </c>
      <c r="V42" s="119" t="s">
        <v>102</v>
      </c>
      <c r="W42" s="43" t="s">
        <v>101</v>
      </c>
      <c r="X42" s="119" t="s">
        <v>102</v>
      </c>
      <c r="Y42" s="43" t="s">
        <v>101</v>
      </c>
      <c r="Z42" s="119" t="s">
        <v>102</v>
      </c>
      <c r="AA42" s="43" t="s">
        <v>101</v>
      </c>
      <c r="AB42" s="119" t="s">
        <v>102</v>
      </c>
      <c r="AC42" s="43" t="s">
        <v>101</v>
      </c>
      <c r="AD42" s="119" t="s">
        <v>102</v>
      </c>
      <c r="AE42" s="43" t="s">
        <v>101</v>
      </c>
      <c r="AF42" s="119" t="s">
        <v>102</v>
      </c>
      <c r="AG42" s="43" t="s">
        <v>101</v>
      </c>
      <c r="AH42" s="119" t="s">
        <v>102</v>
      </c>
      <c r="AI42" s="43" t="s">
        <v>101</v>
      </c>
      <c r="AJ42" s="119" t="s">
        <v>102</v>
      </c>
      <c r="AK42" s="43" t="s">
        <v>101</v>
      </c>
      <c r="AL42" s="119" t="s">
        <v>102</v>
      </c>
      <c r="AM42" s="43" t="s">
        <v>101</v>
      </c>
      <c r="AN42" s="119" t="s">
        <v>102</v>
      </c>
      <c r="AO42" s="43" t="s">
        <v>101</v>
      </c>
      <c r="AP42" s="119" t="s">
        <v>102</v>
      </c>
      <c r="AQ42" s="43" t="s">
        <v>101</v>
      </c>
      <c r="AR42" s="119" t="s">
        <v>102</v>
      </c>
      <c r="AS42" s="43" t="s">
        <v>101</v>
      </c>
      <c r="AT42" s="119" t="s">
        <v>102</v>
      </c>
      <c r="AU42" s="43" t="s">
        <v>101</v>
      </c>
      <c r="AV42" s="40" t="s">
        <v>102</v>
      </c>
      <c r="AW42" s="42" t="s">
        <v>101</v>
      </c>
      <c r="AX42" s="40" t="s">
        <v>102</v>
      </c>
      <c r="AY42" s="42" t="s">
        <v>101</v>
      </c>
      <c r="AZ42" s="40" t="s">
        <v>102</v>
      </c>
      <c r="BA42" s="42" t="s">
        <v>101</v>
      </c>
      <c r="BB42" s="40" t="s">
        <v>102</v>
      </c>
      <c r="BC42" s="42" t="s">
        <v>101</v>
      </c>
      <c r="BD42" s="40" t="s">
        <v>102</v>
      </c>
      <c r="BE42" s="42" t="s">
        <v>101</v>
      </c>
      <c r="BF42" s="40" t="s">
        <v>102</v>
      </c>
      <c r="BG42" s="42" t="s">
        <v>101</v>
      </c>
      <c r="BH42" s="40" t="s">
        <v>102</v>
      </c>
      <c r="BI42" s="42" t="s">
        <v>101</v>
      </c>
      <c r="BJ42" s="40" t="s">
        <v>102</v>
      </c>
      <c r="BK42" s="42" t="s">
        <v>101</v>
      </c>
      <c r="BL42" s="40" t="s">
        <v>102</v>
      </c>
      <c r="BM42" s="42" t="s">
        <v>101</v>
      </c>
      <c r="BN42" s="40" t="s">
        <v>102</v>
      </c>
      <c r="BO42" s="42" t="s">
        <v>101</v>
      </c>
      <c r="BP42" s="40" t="s">
        <v>102</v>
      </c>
      <c r="BQ42" s="42" t="s">
        <v>101</v>
      </c>
      <c r="BR42" s="40" t="s">
        <v>102</v>
      </c>
      <c r="BS42" s="42" t="s">
        <v>101</v>
      </c>
      <c r="BT42" s="40" t="s">
        <v>102</v>
      </c>
      <c r="BU42" s="42" t="s">
        <v>101</v>
      </c>
      <c r="BV42" s="40" t="s">
        <v>102</v>
      </c>
      <c r="BW42" s="42" t="s">
        <v>101</v>
      </c>
      <c r="BX42" s="40" t="s">
        <v>102</v>
      </c>
      <c r="BY42" s="42" t="s">
        <v>101</v>
      </c>
      <c r="BZ42" s="40" t="s">
        <v>102</v>
      </c>
      <c r="CA42" s="42" t="s">
        <v>101</v>
      </c>
      <c r="CB42" s="40" t="s">
        <v>102</v>
      </c>
      <c r="CC42" s="42" t="s">
        <v>101</v>
      </c>
      <c r="CD42" s="40" t="s">
        <v>102</v>
      </c>
      <c r="CE42" s="42" t="s">
        <v>101</v>
      </c>
      <c r="CF42" s="40" t="s">
        <v>102</v>
      </c>
      <c r="CG42" s="42" t="s">
        <v>101</v>
      </c>
      <c r="CH42" s="40" t="s">
        <v>102</v>
      </c>
      <c r="CI42" s="42" t="s">
        <v>101</v>
      </c>
      <c r="CJ42" s="40" t="s">
        <v>102</v>
      </c>
      <c r="CK42" s="42" t="s">
        <v>101</v>
      </c>
      <c r="CL42" s="136" t="s">
        <v>102</v>
      </c>
      <c r="CM42" s="59" t="str">
        <f t="shared" si="1"/>
        <v>APPROVED</v>
      </c>
      <c r="CN42" s="60"/>
      <c r="CO42" s="61"/>
      <c r="CP42" s="62" t="s">
        <v>162</v>
      </c>
      <c r="CQ42" s="62" t="s">
        <v>109</v>
      </c>
    </row>
    <row r="43" ht="24.0" customHeight="1">
      <c r="A43" s="23">
        <v>37.0</v>
      </c>
      <c r="B43" s="121" t="s">
        <v>110</v>
      </c>
      <c r="C43" s="109">
        <v>1112.0</v>
      </c>
      <c r="D43" s="66" t="s">
        <v>110</v>
      </c>
      <c r="E43" s="67">
        <v>1112.0</v>
      </c>
      <c r="F43" s="28" t="str">
        <f>IFERROR(VLOOKUP(L43:L104,'R22 RELATÓRIO ACC'!B:F,5,FALSE),"NOT PUBLISHED")</f>
        <v>V14</v>
      </c>
      <c r="G43" s="28" t="str">
        <f>IFERROR(VLOOKUP(L43:L104,'R22 RELATÓRIO ACC'!B:P,15,FALSE),"NOT PUBLISHED")</f>
        <v>03/03/2026</v>
      </c>
      <c r="H43" s="29" t="str">
        <f>IFERROR(VLOOKUP(M43:M104,'RELATÓRIO ACC'!B:F,5,FALSE),"NOT PUBLISHED")</f>
        <v>V4</v>
      </c>
      <c r="I43" s="29" t="str">
        <f>IFERROR(VLOOKUP(M43:M104,'RELATÓRIO ACC'!B:P,15,FALSE),"NOT PUBLISHED")</f>
        <v>13/07/2026</v>
      </c>
      <c r="J43" s="68" t="s">
        <v>170</v>
      </c>
      <c r="K43" s="30">
        <v>45911.0</v>
      </c>
      <c r="L43" s="69" t="s">
        <v>248</v>
      </c>
      <c r="M43" s="69" t="s">
        <v>249</v>
      </c>
      <c r="N43" s="70" t="b">
        <v>1</v>
      </c>
      <c r="O43" s="98" t="s">
        <v>121</v>
      </c>
      <c r="P43" s="71" t="s">
        <v>99</v>
      </c>
      <c r="Q43" s="48" t="s">
        <v>103</v>
      </c>
      <c r="R43" s="48" t="s">
        <v>103</v>
      </c>
      <c r="S43" s="90" t="s">
        <v>115</v>
      </c>
      <c r="T43" s="135" t="s">
        <v>100</v>
      </c>
      <c r="U43" s="43" t="s">
        <v>101</v>
      </c>
      <c r="V43" s="119" t="s">
        <v>102</v>
      </c>
      <c r="W43" s="43" t="s">
        <v>101</v>
      </c>
      <c r="X43" s="40" t="s">
        <v>102</v>
      </c>
      <c r="Y43" s="43" t="s">
        <v>101</v>
      </c>
      <c r="Z43" s="40" t="s">
        <v>102</v>
      </c>
      <c r="AA43" s="43" t="s">
        <v>101</v>
      </c>
      <c r="AB43" s="136" t="s">
        <v>102</v>
      </c>
      <c r="AC43" s="42" t="s">
        <v>101</v>
      </c>
      <c r="AD43" s="136" t="s">
        <v>102</v>
      </c>
      <c r="AE43" s="42" t="s">
        <v>101</v>
      </c>
      <c r="AF43" s="136" t="s">
        <v>102</v>
      </c>
      <c r="AG43" s="42" t="s">
        <v>101</v>
      </c>
      <c r="AH43" s="136" t="s">
        <v>102</v>
      </c>
      <c r="AI43" s="42" t="s">
        <v>101</v>
      </c>
      <c r="AJ43" s="136" t="s">
        <v>102</v>
      </c>
      <c r="AK43" s="42" t="s">
        <v>101</v>
      </c>
      <c r="AL43" s="136" t="s">
        <v>102</v>
      </c>
      <c r="AM43" s="42" t="s">
        <v>101</v>
      </c>
      <c r="AN43" s="136" t="s">
        <v>102</v>
      </c>
      <c r="AO43" s="42" t="s">
        <v>101</v>
      </c>
      <c r="AP43" s="136" t="s">
        <v>102</v>
      </c>
      <c r="AQ43" s="42" t="s">
        <v>101</v>
      </c>
      <c r="AR43" s="136" t="s">
        <v>102</v>
      </c>
      <c r="AS43" s="42" t="s">
        <v>101</v>
      </c>
      <c r="AT43" s="136" t="s">
        <v>102</v>
      </c>
      <c r="AU43" s="42" t="s">
        <v>101</v>
      </c>
      <c r="AV43" s="40" t="s">
        <v>102</v>
      </c>
      <c r="AW43" s="42" t="s">
        <v>101</v>
      </c>
      <c r="AX43" s="40" t="s">
        <v>102</v>
      </c>
      <c r="AY43" s="42" t="s">
        <v>101</v>
      </c>
      <c r="AZ43" s="40" t="s">
        <v>102</v>
      </c>
      <c r="BA43" s="42" t="s">
        <v>101</v>
      </c>
      <c r="BB43" s="40" t="s">
        <v>102</v>
      </c>
      <c r="BC43" s="42" t="s">
        <v>101</v>
      </c>
      <c r="BD43" s="40" t="s">
        <v>102</v>
      </c>
      <c r="BE43" s="42" t="s">
        <v>101</v>
      </c>
      <c r="BF43" s="40" t="s">
        <v>102</v>
      </c>
      <c r="BG43" s="42" t="s">
        <v>101</v>
      </c>
      <c r="BH43" s="40" t="s">
        <v>102</v>
      </c>
      <c r="BI43" s="42" t="s">
        <v>101</v>
      </c>
      <c r="BJ43" s="40" t="s">
        <v>102</v>
      </c>
      <c r="BK43" s="42" t="s">
        <v>101</v>
      </c>
      <c r="BL43" s="40" t="s">
        <v>102</v>
      </c>
      <c r="BM43" s="42" t="s">
        <v>101</v>
      </c>
      <c r="BN43" s="40" t="s">
        <v>102</v>
      </c>
      <c r="BO43" s="42" t="s">
        <v>101</v>
      </c>
      <c r="BP43" s="40" t="s">
        <v>102</v>
      </c>
      <c r="BQ43" s="42" t="s">
        <v>101</v>
      </c>
      <c r="BR43" s="40" t="s">
        <v>102</v>
      </c>
      <c r="BS43" s="42" t="s">
        <v>101</v>
      </c>
      <c r="BT43" s="40" t="s">
        <v>102</v>
      </c>
      <c r="BU43" s="42" t="s">
        <v>101</v>
      </c>
      <c r="BV43" s="40" t="s">
        <v>102</v>
      </c>
      <c r="BW43" s="42" t="s">
        <v>101</v>
      </c>
      <c r="BX43" s="40" t="s">
        <v>102</v>
      </c>
      <c r="BY43" s="42" t="s">
        <v>101</v>
      </c>
      <c r="BZ43" s="40" t="s">
        <v>102</v>
      </c>
      <c r="CA43" s="42" t="s">
        <v>101</v>
      </c>
      <c r="CB43" s="40" t="s">
        <v>102</v>
      </c>
      <c r="CC43" s="42" t="s">
        <v>101</v>
      </c>
      <c r="CD43" s="40" t="s">
        <v>102</v>
      </c>
      <c r="CE43" s="42" t="s">
        <v>101</v>
      </c>
      <c r="CF43" s="40" t="s">
        <v>102</v>
      </c>
      <c r="CG43" s="42" t="s">
        <v>101</v>
      </c>
      <c r="CH43" s="40" t="s">
        <v>102</v>
      </c>
      <c r="CI43" s="42" t="s">
        <v>101</v>
      </c>
      <c r="CJ43" s="40" t="s">
        <v>102</v>
      </c>
      <c r="CK43" s="42" t="s">
        <v>101</v>
      </c>
      <c r="CL43" s="136" t="s">
        <v>102</v>
      </c>
      <c r="CM43" s="59" t="str">
        <f t="shared" si="1"/>
        <v>APPROVED</v>
      </c>
      <c r="CN43" s="60"/>
      <c r="CO43" s="61"/>
      <c r="CP43" s="62" t="s">
        <v>152</v>
      </c>
      <c r="CQ43" s="114" t="s">
        <v>122</v>
      </c>
    </row>
    <row r="44" ht="24.0" customHeight="1">
      <c r="A44" s="23">
        <v>38.0</v>
      </c>
      <c r="B44" s="149" t="s">
        <v>241</v>
      </c>
      <c r="C44" s="142">
        <v>1118.0</v>
      </c>
      <c r="D44" s="143" t="s">
        <v>241</v>
      </c>
      <c r="E44" s="144">
        <v>1118.0</v>
      </c>
      <c r="F44" s="28" t="str">
        <f>IFERROR(VLOOKUP(L44:L105,'R22 RELATÓRIO ACC'!B:F,5,FALSE),"NOT PUBLISHED")</f>
        <v>V28</v>
      </c>
      <c r="G44" s="28" t="str">
        <f>IFERROR(VLOOKUP(L44:L105,'R22 RELATÓRIO ACC'!B:P,15,FALSE),"NOT PUBLISHED")</f>
        <v>26/02/2026</v>
      </c>
      <c r="H44" s="29" t="str">
        <f>IFERROR(VLOOKUP(M44:M105,'RELATÓRIO ACC'!B:F,5,FALSE),"NOT PUBLISHED")</f>
        <v>V1</v>
      </c>
      <c r="I44" s="29" t="str">
        <f>IFERROR(VLOOKUP(M44:M105,'RELATÓRIO ACC'!B:P,15,FALSE),"NOT PUBLISHED")</f>
        <v>19/05/2026</v>
      </c>
      <c r="J44" s="68" t="s">
        <v>250</v>
      </c>
      <c r="K44" s="30">
        <v>45860.0</v>
      </c>
      <c r="L44" s="69" t="s">
        <v>251</v>
      </c>
      <c r="M44" s="69" t="s">
        <v>252</v>
      </c>
      <c r="N44" s="70" t="b">
        <v>1</v>
      </c>
      <c r="O44" s="70" t="b">
        <v>1</v>
      </c>
      <c r="P44" s="71" t="s">
        <v>99</v>
      </c>
      <c r="Q44" s="158" t="s">
        <v>100</v>
      </c>
      <c r="R44" s="37" t="s">
        <v>100</v>
      </c>
      <c r="S44" s="145" t="s">
        <v>101</v>
      </c>
      <c r="T44" s="135" t="s">
        <v>100</v>
      </c>
      <c r="U44" s="43" t="s">
        <v>101</v>
      </c>
      <c r="V44" s="119" t="s">
        <v>102</v>
      </c>
      <c r="W44" s="43" t="s">
        <v>101</v>
      </c>
      <c r="X44" s="119" t="s">
        <v>102</v>
      </c>
      <c r="Y44" s="42" t="s">
        <v>101</v>
      </c>
      <c r="Z44" s="119" t="s">
        <v>102</v>
      </c>
      <c r="AA44" s="42" t="s">
        <v>101</v>
      </c>
      <c r="AB44" s="119" t="s">
        <v>102</v>
      </c>
      <c r="AC44" s="42" t="s">
        <v>101</v>
      </c>
      <c r="AD44" s="119" t="s">
        <v>102</v>
      </c>
      <c r="AE44" s="42" t="s">
        <v>101</v>
      </c>
      <c r="AF44" s="119" t="s">
        <v>102</v>
      </c>
      <c r="AG44" s="42" t="s">
        <v>101</v>
      </c>
      <c r="AH44" s="119" t="s">
        <v>102</v>
      </c>
      <c r="AI44" s="42" t="s">
        <v>101</v>
      </c>
      <c r="AJ44" s="119" t="s">
        <v>102</v>
      </c>
      <c r="AK44" s="42" t="s">
        <v>101</v>
      </c>
      <c r="AL44" s="119" t="s">
        <v>102</v>
      </c>
      <c r="AM44" s="42" t="s">
        <v>101</v>
      </c>
      <c r="AN44" s="119" t="s">
        <v>102</v>
      </c>
      <c r="AO44" s="42" t="s">
        <v>101</v>
      </c>
      <c r="AP44" s="119" t="s">
        <v>102</v>
      </c>
      <c r="AQ44" s="42" t="s">
        <v>101</v>
      </c>
      <c r="AR44" s="119" t="s">
        <v>102</v>
      </c>
      <c r="AS44" s="42" t="s">
        <v>101</v>
      </c>
      <c r="AT44" s="119" t="s">
        <v>102</v>
      </c>
      <c r="AU44" s="42" t="s">
        <v>101</v>
      </c>
      <c r="AV44" s="40" t="s">
        <v>102</v>
      </c>
      <c r="AW44" s="42" t="s">
        <v>101</v>
      </c>
      <c r="AX44" s="40" t="s">
        <v>102</v>
      </c>
      <c r="AY44" s="42" t="s">
        <v>101</v>
      </c>
      <c r="AZ44" s="40" t="s">
        <v>102</v>
      </c>
      <c r="BA44" s="42" t="s">
        <v>101</v>
      </c>
      <c r="BB44" s="40" t="s">
        <v>102</v>
      </c>
      <c r="BC44" s="42" t="s">
        <v>101</v>
      </c>
      <c r="BD44" s="40" t="s">
        <v>102</v>
      </c>
      <c r="BE44" s="42" t="s">
        <v>101</v>
      </c>
      <c r="BF44" s="40" t="s">
        <v>102</v>
      </c>
      <c r="BG44" s="42" t="s">
        <v>101</v>
      </c>
      <c r="BH44" s="40" t="s">
        <v>102</v>
      </c>
      <c r="BI44" s="42" t="s">
        <v>101</v>
      </c>
      <c r="BJ44" s="40" t="s">
        <v>102</v>
      </c>
      <c r="BK44" s="42" t="s">
        <v>101</v>
      </c>
      <c r="BL44" s="40" t="s">
        <v>102</v>
      </c>
      <c r="BM44" s="42" t="s">
        <v>101</v>
      </c>
      <c r="BN44" s="40" t="s">
        <v>102</v>
      </c>
      <c r="BO44" s="42" t="s">
        <v>101</v>
      </c>
      <c r="BP44" s="40" t="s">
        <v>102</v>
      </c>
      <c r="BQ44" s="42" t="s">
        <v>101</v>
      </c>
      <c r="BR44" s="40" t="s">
        <v>102</v>
      </c>
      <c r="BS44" s="42" t="s">
        <v>101</v>
      </c>
      <c r="BT44" s="40" t="s">
        <v>102</v>
      </c>
      <c r="BU44" s="42" t="s">
        <v>101</v>
      </c>
      <c r="BV44" s="40" t="s">
        <v>102</v>
      </c>
      <c r="BW44" s="42" t="s">
        <v>101</v>
      </c>
      <c r="BX44" s="40" t="s">
        <v>102</v>
      </c>
      <c r="BY44" s="42" t="s">
        <v>101</v>
      </c>
      <c r="BZ44" s="40" t="s">
        <v>102</v>
      </c>
      <c r="CA44" s="42" t="s">
        <v>101</v>
      </c>
      <c r="CB44" s="40" t="s">
        <v>102</v>
      </c>
      <c r="CC44" s="42" t="s">
        <v>101</v>
      </c>
      <c r="CD44" s="40" t="s">
        <v>102</v>
      </c>
      <c r="CE44" s="42" t="s">
        <v>101</v>
      </c>
      <c r="CF44" s="40" t="s">
        <v>102</v>
      </c>
      <c r="CG44" s="42" t="s">
        <v>101</v>
      </c>
      <c r="CH44" s="40" t="s">
        <v>102</v>
      </c>
      <c r="CI44" s="42" t="s">
        <v>101</v>
      </c>
      <c r="CJ44" s="40" t="s">
        <v>102</v>
      </c>
      <c r="CK44" s="42" t="s">
        <v>101</v>
      </c>
      <c r="CL44" s="136" t="s">
        <v>102</v>
      </c>
      <c r="CM44" s="59" t="str">
        <f t="shared" si="1"/>
        <v>APPROVED</v>
      </c>
      <c r="CN44" s="60"/>
      <c r="CO44" s="61"/>
      <c r="CP44" s="62" t="s">
        <v>108</v>
      </c>
      <c r="CQ44" s="62" t="s">
        <v>117</v>
      </c>
    </row>
    <row r="45" ht="24.0" customHeight="1">
      <c r="A45" s="23">
        <v>39.0</v>
      </c>
      <c r="B45" s="149" t="s">
        <v>241</v>
      </c>
      <c r="C45" s="142">
        <v>1118.0</v>
      </c>
      <c r="D45" s="143" t="s">
        <v>241</v>
      </c>
      <c r="E45" s="144">
        <v>1118.0</v>
      </c>
      <c r="F45" s="28" t="str">
        <f>IFERROR(VLOOKUP(L45:L106,'R22 RELATÓRIO ACC'!B:F,5,FALSE),"NOT PUBLISHED")</f>
        <v>V39</v>
      </c>
      <c r="G45" s="28" t="str">
        <f>IFERROR(VLOOKUP(L45:L106,'R22 RELATÓRIO ACC'!B:P,15,FALSE),"NOT PUBLISHED")</f>
        <v>30/04/2026</v>
      </c>
      <c r="H45" s="29" t="str">
        <f>IFERROR(VLOOKUP(M45:M106,'RELATÓRIO ACC'!B:F,5,FALSE),"NOT PUBLISHED")</f>
        <v>V3</v>
      </c>
      <c r="I45" s="29" t="str">
        <f>IFERROR(VLOOKUP(M45:M106,'RELATÓRIO ACC'!B:P,15,FALSE),"NOT PUBLISHED")</f>
        <v>01/07/2026</v>
      </c>
      <c r="J45" s="68" t="s">
        <v>253</v>
      </c>
      <c r="K45" s="30">
        <v>45898.0</v>
      </c>
      <c r="L45" s="69" t="s">
        <v>254</v>
      </c>
      <c r="M45" s="69" t="s">
        <v>255</v>
      </c>
      <c r="N45" s="70" t="b">
        <v>1</v>
      </c>
      <c r="O45" s="70" t="b">
        <v>1</v>
      </c>
      <c r="P45" s="71" t="s">
        <v>99</v>
      </c>
      <c r="Q45" s="72" t="s">
        <v>103</v>
      </c>
      <c r="R45" s="48" t="s">
        <v>103</v>
      </c>
      <c r="S45" s="73" t="s">
        <v>115</v>
      </c>
      <c r="T45" s="135" t="s">
        <v>100</v>
      </c>
      <c r="U45" s="43" t="s">
        <v>101</v>
      </c>
      <c r="V45" s="119" t="s">
        <v>102</v>
      </c>
      <c r="W45" s="43" t="s">
        <v>101</v>
      </c>
      <c r="X45" s="119" t="s">
        <v>102</v>
      </c>
      <c r="Y45" s="42" t="s">
        <v>101</v>
      </c>
      <c r="Z45" s="119" t="s">
        <v>102</v>
      </c>
      <c r="AA45" s="42" t="s">
        <v>101</v>
      </c>
      <c r="AB45" s="119" t="s">
        <v>102</v>
      </c>
      <c r="AC45" s="42" t="s">
        <v>101</v>
      </c>
      <c r="AD45" s="119" t="s">
        <v>102</v>
      </c>
      <c r="AE45" s="42" t="s">
        <v>101</v>
      </c>
      <c r="AF45" s="119" t="s">
        <v>102</v>
      </c>
      <c r="AG45" s="42" t="s">
        <v>101</v>
      </c>
      <c r="AH45" s="119" t="s">
        <v>102</v>
      </c>
      <c r="AI45" s="42" t="s">
        <v>101</v>
      </c>
      <c r="AJ45" s="119" t="s">
        <v>102</v>
      </c>
      <c r="AK45" s="42" t="s">
        <v>101</v>
      </c>
      <c r="AL45" s="119" t="s">
        <v>102</v>
      </c>
      <c r="AM45" s="42" t="s">
        <v>101</v>
      </c>
      <c r="AN45" s="119" t="s">
        <v>102</v>
      </c>
      <c r="AO45" s="42" t="s">
        <v>101</v>
      </c>
      <c r="AP45" s="119" t="s">
        <v>102</v>
      </c>
      <c r="AQ45" s="42" t="s">
        <v>101</v>
      </c>
      <c r="AR45" s="119" t="s">
        <v>102</v>
      </c>
      <c r="AS45" s="42" t="s">
        <v>101</v>
      </c>
      <c r="AT45" s="119" t="s">
        <v>102</v>
      </c>
      <c r="AU45" s="42" t="s">
        <v>101</v>
      </c>
      <c r="AV45" s="40" t="s">
        <v>102</v>
      </c>
      <c r="AW45" s="42" t="s">
        <v>101</v>
      </c>
      <c r="AX45" s="40" t="s">
        <v>102</v>
      </c>
      <c r="AY45" s="42" t="s">
        <v>101</v>
      </c>
      <c r="AZ45" s="40" t="s">
        <v>102</v>
      </c>
      <c r="BA45" s="42" t="s">
        <v>101</v>
      </c>
      <c r="BB45" s="40" t="s">
        <v>102</v>
      </c>
      <c r="BC45" s="42" t="s">
        <v>101</v>
      </c>
      <c r="BD45" s="40" t="s">
        <v>102</v>
      </c>
      <c r="BE45" s="42" t="s">
        <v>101</v>
      </c>
      <c r="BF45" s="40" t="s">
        <v>102</v>
      </c>
      <c r="BG45" s="42" t="s">
        <v>101</v>
      </c>
      <c r="BH45" s="40" t="s">
        <v>102</v>
      </c>
      <c r="BI45" s="42" t="s">
        <v>101</v>
      </c>
      <c r="BJ45" s="40" t="s">
        <v>102</v>
      </c>
      <c r="BK45" s="42" t="s">
        <v>101</v>
      </c>
      <c r="BL45" s="40" t="s">
        <v>102</v>
      </c>
      <c r="BM45" s="42" t="s">
        <v>101</v>
      </c>
      <c r="BN45" s="40" t="s">
        <v>102</v>
      </c>
      <c r="BO45" s="42" t="s">
        <v>101</v>
      </c>
      <c r="BP45" s="40" t="s">
        <v>102</v>
      </c>
      <c r="BQ45" s="42" t="s">
        <v>101</v>
      </c>
      <c r="BR45" s="40" t="s">
        <v>102</v>
      </c>
      <c r="BS45" s="42" t="s">
        <v>101</v>
      </c>
      <c r="BT45" s="40" t="s">
        <v>102</v>
      </c>
      <c r="BU45" s="42" t="s">
        <v>101</v>
      </c>
      <c r="BV45" s="40" t="s">
        <v>102</v>
      </c>
      <c r="BW45" s="42" t="s">
        <v>101</v>
      </c>
      <c r="BX45" s="40" t="s">
        <v>102</v>
      </c>
      <c r="BY45" s="42" t="s">
        <v>101</v>
      </c>
      <c r="BZ45" s="40" t="s">
        <v>102</v>
      </c>
      <c r="CA45" s="42" t="s">
        <v>101</v>
      </c>
      <c r="CB45" s="40" t="s">
        <v>102</v>
      </c>
      <c r="CC45" s="42" t="s">
        <v>101</v>
      </c>
      <c r="CD45" s="40" t="s">
        <v>102</v>
      </c>
      <c r="CE45" s="42" t="s">
        <v>101</v>
      </c>
      <c r="CF45" s="40" t="s">
        <v>102</v>
      </c>
      <c r="CG45" s="42" t="s">
        <v>101</v>
      </c>
      <c r="CH45" s="40" t="s">
        <v>102</v>
      </c>
      <c r="CI45" s="42" t="s">
        <v>101</v>
      </c>
      <c r="CJ45" s="40" t="s">
        <v>102</v>
      </c>
      <c r="CK45" s="42" t="s">
        <v>101</v>
      </c>
      <c r="CL45" s="136" t="s">
        <v>102</v>
      </c>
      <c r="CM45" s="59" t="str">
        <f t="shared" si="1"/>
        <v>APPROVED</v>
      </c>
      <c r="CN45" s="60"/>
      <c r="CO45" s="61"/>
      <c r="CP45" s="62" t="s">
        <v>108</v>
      </c>
      <c r="CQ45" s="87" t="s">
        <v>109</v>
      </c>
    </row>
    <row r="46" ht="24.0" customHeight="1">
      <c r="A46" s="23">
        <v>40.0</v>
      </c>
      <c r="B46" s="149" t="s">
        <v>241</v>
      </c>
      <c r="C46" s="142">
        <v>1118.0</v>
      </c>
      <c r="D46" s="143" t="s">
        <v>241</v>
      </c>
      <c r="E46" s="144">
        <v>1118.0</v>
      </c>
      <c r="F46" s="28" t="str">
        <f>IFERROR(VLOOKUP(L46:L107,'R22 RELATÓRIO ACC'!B:F,5,FALSE),"NOT PUBLISHED")</f>
        <v>V46</v>
      </c>
      <c r="G46" s="28" t="str">
        <f>IFERROR(VLOOKUP(L46:L107,'R22 RELATÓRIO ACC'!B:P,15,FALSE),"NOT PUBLISHED")</f>
        <v>24/04/2026</v>
      </c>
      <c r="H46" s="29" t="str">
        <f>IFERROR(VLOOKUP(M46:M107,'RELATÓRIO ACC'!B:F,5,FALSE),"NOT PUBLISHED")</f>
        <v>V2</v>
      </c>
      <c r="I46" s="29" t="str">
        <f>IFERROR(VLOOKUP(M46:M107,'RELATÓRIO ACC'!B:P,15,FALSE),"NOT PUBLISHED")</f>
        <v>15/06/2026</v>
      </c>
      <c r="J46" s="137" t="s">
        <v>256</v>
      </c>
      <c r="K46" s="133">
        <v>45916.0</v>
      </c>
      <c r="L46" s="69" t="s">
        <v>257</v>
      </c>
      <c r="M46" s="69" t="s">
        <v>258</v>
      </c>
      <c r="N46" s="70" t="b">
        <v>1</v>
      </c>
      <c r="O46" s="70" t="b">
        <v>1</v>
      </c>
      <c r="P46" s="71" t="s">
        <v>99</v>
      </c>
      <c r="Q46" s="72" t="s">
        <v>103</v>
      </c>
      <c r="R46" s="48" t="s">
        <v>103</v>
      </c>
      <c r="S46" s="160" t="s">
        <v>115</v>
      </c>
      <c r="T46" s="72" t="s">
        <v>103</v>
      </c>
      <c r="U46" s="73" t="s">
        <v>115</v>
      </c>
      <c r="V46" s="118" t="s">
        <v>100</v>
      </c>
      <c r="W46" s="100" t="s">
        <v>115</v>
      </c>
      <c r="X46" s="119" t="s">
        <v>102</v>
      </c>
      <c r="Y46" s="42" t="s">
        <v>101</v>
      </c>
      <c r="Z46" s="119" t="s">
        <v>102</v>
      </c>
      <c r="AA46" s="42" t="s">
        <v>101</v>
      </c>
      <c r="AB46" s="119" t="s">
        <v>102</v>
      </c>
      <c r="AC46" s="43" t="s">
        <v>101</v>
      </c>
      <c r="AD46" s="119" t="s">
        <v>102</v>
      </c>
      <c r="AE46" s="43" t="s">
        <v>101</v>
      </c>
      <c r="AF46" s="119" t="s">
        <v>102</v>
      </c>
      <c r="AG46" s="43" t="s">
        <v>101</v>
      </c>
      <c r="AH46" s="119" t="s">
        <v>102</v>
      </c>
      <c r="AI46" s="43" t="s">
        <v>101</v>
      </c>
      <c r="AJ46" s="119" t="s">
        <v>102</v>
      </c>
      <c r="AK46" s="43" t="s">
        <v>101</v>
      </c>
      <c r="AL46" s="119" t="s">
        <v>102</v>
      </c>
      <c r="AM46" s="43" t="s">
        <v>101</v>
      </c>
      <c r="AN46" s="119" t="s">
        <v>102</v>
      </c>
      <c r="AO46" s="43" t="s">
        <v>101</v>
      </c>
      <c r="AP46" s="119" t="s">
        <v>102</v>
      </c>
      <c r="AQ46" s="43" t="s">
        <v>101</v>
      </c>
      <c r="AR46" s="119" t="s">
        <v>102</v>
      </c>
      <c r="AS46" s="43" t="s">
        <v>101</v>
      </c>
      <c r="AT46" s="119" t="s">
        <v>102</v>
      </c>
      <c r="AU46" s="43" t="s">
        <v>101</v>
      </c>
      <c r="AV46" s="40" t="s">
        <v>102</v>
      </c>
      <c r="AW46" s="42" t="s">
        <v>101</v>
      </c>
      <c r="AX46" s="40" t="s">
        <v>102</v>
      </c>
      <c r="AY46" s="42" t="s">
        <v>101</v>
      </c>
      <c r="AZ46" s="40" t="s">
        <v>102</v>
      </c>
      <c r="BA46" s="42" t="s">
        <v>101</v>
      </c>
      <c r="BB46" s="40" t="s">
        <v>102</v>
      </c>
      <c r="BC46" s="42" t="s">
        <v>101</v>
      </c>
      <c r="BD46" s="40" t="s">
        <v>102</v>
      </c>
      <c r="BE46" s="42" t="s">
        <v>101</v>
      </c>
      <c r="BF46" s="40" t="s">
        <v>102</v>
      </c>
      <c r="BG46" s="42" t="s">
        <v>101</v>
      </c>
      <c r="BH46" s="40" t="s">
        <v>102</v>
      </c>
      <c r="BI46" s="42" t="s">
        <v>101</v>
      </c>
      <c r="BJ46" s="40" t="s">
        <v>102</v>
      </c>
      <c r="BK46" s="42" t="s">
        <v>101</v>
      </c>
      <c r="BL46" s="40" t="s">
        <v>102</v>
      </c>
      <c r="BM46" s="42" t="s">
        <v>101</v>
      </c>
      <c r="BN46" s="40" t="s">
        <v>102</v>
      </c>
      <c r="BO46" s="42" t="s">
        <v>101</v>
      </c>
      <c r="BP46" s="40" t="s">
        <v>102</v>
      </c>
      <c r="BQ46" s="42" t="s">
        <v>101</v>
      </c>
      <c r="BR46" s="40" t="s">
        <v>102</v>
      </c>
      <c r="BS46" s="42" t="s">
        <v>101</v>
      </c>
      <c r="BT46" s="40" t="s">
        <v>102</v>
      </c>
      <c r="BU46" s="42" t="s">
        <v>101</v>
      </c>
      <c r="BV46" s="40" t="s">
        <v>102</v>
      </c>
      <c r="BW46" s="42" t="s">
        <v>101</v>
      </c>
      <c r="BX46" s="40" t="s">
        <v>102</v>
      </c>
      <c r="BY46" s="42" t="s">
        <v>101</v>
      </c>
      <c r="BZ46" s="40" t="s">
        <v>102</v>
      </c>
      <c r="CA46" s="42" t="s">
        <v>101</v>
      </c>
      <c r="CB46" s="40" t="s">
        <v>102</v>
      </c>
      <c r="CC46" s="42" t="s">
        <v>101</v>
      </c>
      <c r="CD46" s="40" t="s">
        <v>102</v>
      </c>
      <c r="CE46" s="42" t="s">
        <v>101</v>
      </c>
      <c r="CF46" s="40" t="s">
        <v>102</v>
      </c>
      <c r="CG46" s="42" t="s">
        <v>101</v>
      </c>
      <c r="CH46" s="40" t="s">
        <v>102</v>
      </c>
      <c r="CI46" s="42" t="s">
        <v>101</v>
      </c>
      <c r="CJ46" s="40" t="s">
        <v>102</v>
      </c>
      <c r="CK46" s="42" t="s">
        <v>101</v>
      </c>
      <c r="CL46" s="136" t="s">
        <v>102</v>
      </c>
      <c r="CM46" s="59" t="str">
        <f t="shared" si="1"/>
        <v>APPROVED</v>
      </c>
      <c r="CN46" s="60"/>
      <c r="CO46" s="61"/>
      <c r="CP46" s="62" t="s">
        <v>152</v>
      </c>
      <c r="CQ46" s="62" t="s">
        <v>122</v>
      </c>
    </row>
    <row r="47" ht="24.0" customHeight="1">
      <c r="A47" s="23">
        <v>42.0</v>
      </c>
      <c r="B47" s="149" t="s">
        <v>110</v>
      </c>
      <c r="C47" s="161"/>
      <c r="D47" s="143" t="s">
        <v>129</v>
      </c>
      <c r="E47" s="162">
        <v>1129.0</v>
      </c>
      <c r="F47" s="28" t="str">
        <f>IFERROR(VLOOKUP(L47:L108,'R22 RELATÓRIO ACC'!B:F,5,FALSE),"NOT PUBLISHED")</f>
        <v>V27</v>
      </c>
      <c r="G47" s="28" t="str">
        <f>IFERROR(VLOOKUP(L47:L108,'R22 RELATÓRIO ACC'!B:P,15,FALSE),"NOT PUBLISHED")</f>
        <v>08/04/2026</v>
      </c>
      <c r="H47" s="29" t="str">
        <f>IFERROR(VLOOKUP(M47:M108,'RELATÓRIO ACC'!B:F,5,FALSE),"NOT PUBLISHED")</f>
        <v>V2</v>
      </c>
      <c r="I47" s="29" t="str">
        <f>IFERROR(VLOOKUP(M47:M108,'RELATÓRIO ACC'!B:P,15,FALSE),"NOT PUBLISHED")</f>
        <v>23/06/2026</v>
      </c>
      <c r="J47" s="163" t="s">
        <v>259</v>
      </c>
      <c r="K47" s="164">
        <v>46105.0</v>
      </c>
      <c r="L47" s="159" t="s">
        <v>260</v>
      </c>
      <c r="M47" s="159" t="s">
        <v>261</v>
      </c>
      <c r="N47" s="70" t="b">
        <v>1</v>
      </c>
      <c r="O47" s="70" t="b">
        <v>1</v>
      </c>
      <c r="P47" s="71" t="s">
        <v>99</v>
      </c>
      <c r="Q47" s="72" t="s">
        <v>103</v>
      </c>
      <c r="R47" s="72" t="s">
        <v>103</v>
      </c>
      <c r="S47" s="68" t="s">
        <v>115</v>
      </c>
      <c r="T47" s="72" t="s">
        <v>103</v>
      </c>
      <c r="U47" s="73" t="s">
        <v>115</v>
      </c>
      <c r="V47" s="75" t="s">
        <v>105</v>
      </c>
      <c r="W47" s="75" t="s">
        <v>105</v>
      </c>
      <c r="X47" s="75" t="s">
        <v>105</v>
      </c>
      <c r="Y47" s="51" t="s">
        <v>105</v>
      </c>
      <c r="Z47" s="72" t="s">
        <v>103</v>
      </c>
      <c r="AA47" s="103" t="s">
        <v>115</v>
      </c>
      <c r="AB47" s="72" t="s">
        <v>103</v>
      </c>
      <c r="AC47" s="100" t="s">
        <v>115</v>
      </c>
      <c r="AD47" s="72" t="s">
        <v>103</v>
      </c>
      <c r="AE47" s="100" t="s">
        <v>115</v>
      </c>
      <c r="AF47" s="75" t="s">
        <v>105</v>
      </c>
      <c r="AG47" s="75" t="s">
        <v>105</v>
      </c>
      <c r="AH47" s="75" t="s">
        <v>106</v>
      </c>
      <c r="AI47" s="75" t="s">
        <v>106</v>
      </c>
      <c r="AJ47" s="72" t="s">
        <v>103</v>
      </c>
      <c r="AK47" s="165" t="s">
        <v>104</v>
      </c>
      <c r="AL47" s="72" t="s">
        <v>103</v>
      </c>
      <c r="AM47" s="91" t="s">
        <v>104</v>
      </c>
      <c r="AN47" s="72" t="s">
        <v>103</v>
      </c>
      <c r="AO47" s="91" t="s">
        <v>104</v>
      </c>
      <c r="AP47" s="72" t="s">
        <v>103</v>
      </c>
      <c r="AQ47" s="91" t="s">
        <v>104</v>
      </c>
      <c r="AR47" s="75" t="s">
        <v>105</v>
      </c>
      <c r="AS47" s="75" t="s">
        <v>105</v>
      </c>
      <c r="AT47" s="72" t="s">
        <v>103</v>
      </c>
      <c r="AU47" s="91" t="s">
        <v>104</v>
      </c>
      <c r="AV47" s="48" t="s">
        <v>103</v>
      </c>
      <c r="AW47" s="129" t="s">
        <v>104</v>
      </c>
      <c r="AX47" s="58" t="s">
        <v>105</v>
      </c>
      <c r="AY47" s="51" t="s">
        <v>105</v>
      </c>
      <c r="AZ47" s="48" t="s">
        <v>103</v>
      </c>
      <c r="BA47" s="77" t="s">
        <v>104</v>
      </c>
      <c r="BB47" s="58" t="s">
        <v>105</v>
      </c>
      <c r="BC47" s="51" t="s">
        <v>105</v>
      </c>
      <c r="BD47" s="58" t="s">
        <v>105</v>
      </c>
      <c r="BE47" s="51" t="s">
        <v>105</v>
      </c>
      <c r="BF47" s="166" t="s">
        <v>106</v>
      </c>
      <c r="BG47" s="79" t="s">
        <v>106</v>
      </c>
      <c r="BH47" s="166" t="s">
        <v>100</v>
      </c>
      <c r="BI47" s="42" t="s">
        <v>101</v>
      </c>
      <c r="BJ47" s="40" t="s">
        <v>102</v>
      </c>
      <c r="BK47" s="42" t="s">
        <v>101</v>
      </c>
      <c r="BL47" s="40" t="s">
        <v>102</v>
      </c>
      <c r="BM47" s="42" t="s">
        <v>101</v>
      </c>
      <c r="BN47" s="40" t="s">
        <v>102</v>
      </c>
      <c r="BO47" s="42" t="s">
        <v>101</v>
      </c>
      <c r="BP47" s="40" t="s">
        <v>102</v>
      </c>
      <c r="BQ47" s="42" t="s">
        <v>101</v>
      </c>
      <c r="BR47" s="40" t="s">
        <v>102</v>
      </c>
      <c r="BS47" s="42" t="s">
        <v>101</v>
      </c>
      <c r="BT47" s="40" t="s">
        <v>102</v>
      </c>
      <c r="BU47" s="42" t="s">
        <v>101</v>
      </c>
      <c r="BV47" s="40" t="s">
        <v>102</v>
      </c>
      <c r="BW47" s="42" t="s">
        <v>101</v>
      </c>
      <c r="BX47" s="40" t="s">
        <v>102</v>
      </c>
      <c r="BY47" s="42" t="s">
        <v>101</v>
      </c>
      <c r="BZ47" s="40" t="s">
        <v>102</v>
      </c>
      <c r="CA47" s="42" t="s">
        <v>101</v>
      </c>
      <c r="CB47" s="40" t="s">
        <v>102</v>
      </c>
      <c r="CC47" s="42" t="s">
        <v>101</v>
      </c>
      <c r="CD47" s="40" t="s">
        <v>102</v>
      </c>
      <c r="CE47" s="42" t="s">
        <v>101</v>
      </c>
      <c r="CF47" s="40" t="s">
        <v>102</v>
      </c>
      <c r="CG47" s="42" t="s">
        <v>101</v>
      </c>
      <c r="CH47" s="40" t="s">
        <v>102</v>
      </c>
      <c r="CI47" s="42" t="s">
        <v>101</v>
      </c>
      <c r="CJ47" s="40" t="s">
        <v>102</v>
      </c>
      <c r="CK47" s="42" t="s">
        <v>101</v>
      </c>
      <c r="CL47" s="136" t="s">
        <v>102</v>
      </c>
      <c r="CM47" s="59" t="str">
        <f t="shared" si="1"/>
        <v>APPROVED</v>
      </c>
      <c r="CN47" s="60"/>
      <c r="CO47" s="61"/>
      <c r="CP47" s="62" t="s">
        <v>162</v>
      </c>
      <c r="CQ47" s="62" t="s">
        <v>109</v>
      </c>
    </row>
    <row r="48" ht="24.0" customHeight="1">
      <c r="A48" s="23">
        <v>43.0</v>
      </c>
      <c r="B48" s="151" t="s">
        <v>230</v>
      </c>
      <c r="C48" s="154">
        <v>1113.0</v>
      </c>
      <c r="D48" s="155" t="s">
        <v>230</v>
      </c>
      <c r="E48" s="156">
        <v>1113.0</v>
      </c>
      <c r="F48" s="28" t="str">
        <f>IFERROR(VLOOKUP(L48:L109,'R22 RELATÓRIO ACC'!B:F,5,FALSE),"NOT PUBLISHED")</f>
        <v>V36</v>
      </c>
      <c r="G48" s="28" t="str">
        <f>IFERROR(VLOOKUP(L48:L109,'R22 RELATÓRIO ACC'!B:P,15,FALSE),"NOT PUBLISHED")</f>
        <v>08/05/2026</v>
      </c>
      <c r="H48" s="29" t="str">
        <f>IFERROR(VLOOKUP(M48:M109,'RELATÓRIO ACC'!B:F,5,FALSE),"NOT PUBLISHED")</f>
        <v>V2</v>
      </c>
      <c r="I48" s="29" t="str">
        <f>IFERROR(VLOOKUP(M48:M109,'RELATÓRIO ACC'!B:P,15,FALSE),"NOT PUBLISHED")</f>
        <v>03/06/2026</v>
      </c>
      <c r="J48" s="68" t="s">
        <v>250</v>
      </c>
      <c r="K48" s="30">
        <v>45916.0</v>
      </c>
      <c r="L48" s="69" t="s">
        <v>262</v>
      </c>
      <c r="M48" s="69" t="s">
        <v>263</v>
      </c>
      <c r="N48" s="70" t="b">
        <v>1</v>
      </c>
      <c r="O48" s="98" t="s">
        <v>191</v>
      </c>
      <c r="P48" s="71" t="s">
        <v>99</v>
      </c>
      <c r="Q48" s="72" t="s">
        <v>103</v>
      </c>
      <c r="R48" s="72" t="s">
        <v>103</v>
      </c>
      <c r="S48" s="73" t="s">
        <v>115</v>
      </c>
      <c r="T48" s="72" t="s">
        <v>103</v>
      </c>
      <c r="U48" s="73" t="s">
        <v>115</v>
      </c>
      <c r="V48" s="118" t="s">
        <v>100</v>
      </c>
      <c r="W48" s="100" t="s">
        <v>101</v>
      </c>
      <c r="X48" s="119" t="s">
        <v>102</v>
      </c>
      <c r="Y48" s="42" t="s">
        <v>101</v>
      </c>
      <c r="Z48" s="119" t="s">
        <v>102</v>
      </c>
      <c r="AA48" s="42" t="s">
        <v>101</v>
      </c>
      <c r="AB48" s="119" t="s">
        <v>102</v>
      </c>
      <c r="AC48" s="42" t="s">
        <v>101</v>
      </c>
      <c r="AD48" s="119" t="s">
        <v>102</v>
      </c>
      <c r="AE48" s="42" t="s">
        <v>101</v>
      </c>
      <c r="AF48" s="119" t="s">
        <v>102</v>
      </c>
      <c r="AG48" s="42" t="s">
        <v>101</v>
      </c>
      <c r="AH48" s="119" t="s">
        <v>102</v>
      </c>
      <c r="AI48" s="42" t="s">
        <v>101</v>
      </c>
      <c r="AJ48" s="119" t="s">
        <v>102</v>
      </c>
      <c r="AK48" s="42" t="s">
        <v>101</v>
      </c>
      <c r="AL48" s="119" t="s">
        <v>102</v>
      </c>
      <c r="AM48" s="42" t="s">
        <v>101</v>
      </c>
      <c r="AN48" s="119" t="s">
        <v>102</v>
      </c>
      <c r="AO48" s="42" t="s">
        <v>101</v>
      </c>
      <c r="AP48" s="119" t="s">
        <v>102</v>
      </c>
      <c r="AQ48" s="42" t="s">
        <v>101</v>
      </c>
      <c r="AR48" s="119" t="s">
        <v>102</v>
      </c>
      <c r="AS48" s="42" t="s">
        <v>101</v>
      </c>
      <c r="AT48" s="119" t="s">
        <v>102</v>
      </c>
      <c r="AU48" s="42" t="s">
        <v>101</v>
      </c>
      <c r="AV48" s="40" t="s">
        <v>102</v>
      </c>
      <c r="AW48" s="42" t="s">
        <v>101</v>
      </c>
      <c r="AX48" s="40" t="s">
        <v>102</v>
      </c>
      <c r="AY48" s="42" t="s">
        <v>101</v>
      </c>
      <c r="AZ48" s="40" t="s">
        <v>102</v>
      </c>
      <c r="BA48" s="42" t="s">
        <v>101</v>
      </c>
      <c r="BB48" s="40" t="s">
        <v>102</v>
      </c>
      <c r="BC48" s="42" t="s">
        <v>101</v>
      </c>
      <c r="BD48" s="40" t="s">
        <v>102</v>
      </c>
      <c r="BE48" s="42" t="s">
        <v>101</v>
      </c>
      <c r="BF48" s="40" t="s">
        <v>102</v>
      </c>
      <c r="BG48" s="42" t="s">
        <v>101</v>
      </c>
      <c r="BH48" s="40" t="s">
        <v>102</v>
      </c>
      <c r="BI48" s="42" t="s">
        <v>101</v>
      </c>
      <c r="BJ48" s="40" t="s">
        <v>102</v>
      </c>
      <c r="BK48" s="42" t="s">
        <v>101</v>
      </c>
      <c r="BL48" s="40" t="s">
        <v>102</v>
      </c>
      <c r="BM48" s="42" t="s">
        <v>101</v>
      </c>
      <c r="BN48" s="40" t="s">
        <v>102</v>
      </c>
      <c r="BO48" s="42" t="s">
        <v>101</v>
      </c>
      <c r="BP48" s="40" t="s">
        <v>102</v>
      </c>
      <c r="BQ48" s="42" t="s">
        <v>101</v>
      </c>
      <c r="BR48" s="40" t="s">
        <v>102</v>
      </c>
      <c r="BS48" s="42" t="s">
        <v>101</v>
      </c>
      <c r="BT48" s="40" t="s">
        <v>102</v>
      </c>
      <c r="BU48" s="42" t="s">
        <v>101</v>
      </c>
      <c r="BV48" s="40" t="s">
        <v>102</v>
      </c>
      <c r="BW48" s="42" t="s">
        <v>101</v>
      </c>
      <c r="BX48" s="40" t="s">
        <v>102</v>
      </c>
      <c r="BY48" s="42" t="s">
        <v>101</v>
      </c>
      <c r="BZ48" s="40" t="s">
        <v>102</v>
      </c>
      <c r="CA48" s="42" t="s">
        <v>101</v>
      </c>
      <c r="CB48" s="40" t="s">
        <v>102</v>
      </c>
      <c r="CC48" s="42" t="s">
        <v>101</v>
      </c>
      <c r="CD48" s="40" t="s">
        <v>102</v>
      </c>
      <c r="CE48" s="42" t="s">
        <v>101</v>
      </c>
      <c r="CF48" s="40" t="s">
        <v>102</v>
      </c>
      <c r="CG48" s="42" t="s">
        <v>101</v>
      </c>
      <c r="CH48" s="40" t="s">
        <v>102</v>
      </c>
      <c r="CI48" s="42" t="s">
        <v>101</v>
      </c>
      <c r="CJ48" s="40" t="s">
        <v>102</v>
      </c>
      <c r="CK48" s="42" t="s">
        <v>101</v>
      </c>
      <c r="CL48" s="136" t="s">
        <v>102</v>
      </c>
      <c r="CM48" s="59" t="str">
        <f t="shared" si="1"/>
        <v>APPROVED</v>
      </c>
      <c r="CN48" s="60"/>
      <c r="CO48" s="61"/>
      <c r="CP48" s="62" t="s">
        <v>152</v>
      </c>
      <c r="CQ48" s="62" t="s">
        <v>122</v>
      </c>
    </row>
    <row r="49" ht="24.0" customHeight="1">
      <c r="A49" s="23">
        <v>44.0</v>
      </c>
      <c r="B49" s="151" t="s">
        <v>230</v>
      </c>
      <c r="C49" s="154">
        <v>1113.0</v>
      </c>
      <c r="D49" s="155" t="s">
        <v>230</v>
      </c>
      <c r="E49" s="67"/>
      <c r="F49" s="28" t="str">
        <f>IFERROR(VLOOKUP(L49:L110,'R22 RELATÓRIO ACC'!B:F,5,FALSE),"NOT PUBLISHED")</f>
        <v>V12</v>
      </c>
      <c r="G49" s="28" t="str">
        <f>IFERROR(VLOOKUP(L49:L110,'R22 RELATÓRIO ACC'!B:P,15,FALSE),"NOT PUBLISHED")</f>
        <v>13/05/2026</v>
      </c>
      <c r="H49" s="29" t="str">
        <f>IFERROR(VLOOKUP(M49:M110,'RELATÓRIO ACC'!B:F,5,FALSE),"NOT PUBLISHED")</f>
        <v>V2</v>
      </c>
      <c r="I49" s="29" t="str">
        <f>IFERROR(VLOOKUP(M49:M110,'RELATÓRIO ACC'!B:P,15,FALSE),"NOT PUBLISHED")</f>
        <v>01/06/2026</v>
      </c>
      <c r="J49" s="68" t="s">
        <v>224</v>
      </c>
      <c r="K49" s="133">
        <v>45876.0</v>
      </c>
      <c r="L49" s="147" t="s">
        <v>264</v>
      </c>
      <c r="M49" s="147" t="s">
        <v>265</v>
      </c>
      <c r="N49" s="70" t="b">
        <v>1</v>
      </c>
      <c r="O49" s="70" t="b">
        <v>1</v>
      </c>
      <c r="P49" s="71" t="s">
        <v>99</v>
      </c>
      <c r="Q49" s="71" t="s">
        <v>99</v>
      </c>
      <c r="R49" s="135" t="s">
        <v>100</v>
      </c>
      <c r="S49" s="43" t="s">
        <v>101</v>
      </c>
      <c r="T49" s="135" t="s">
        <v>100</v>
      </c>
      <c r="U49" s="43" t="s">
        <v>101</v>
      </c>
      <c r="V49" s="119" t="s">
        <v>102</v>
      </c>
      <c r="W49" s="43" t="s">
        <v>101</v>
      </c>
      <c r="X49" s="119" t="s">
        <v>102</v>
      </c>
      <c r="Y49" s="42" t="s">
        <v>101</v>
      </c>
      <c r="Z49" s="119" t="s">
        <v>102</v>
      </c>
      <c r="AA49" s="42" t="s">
        <v>101</v>
      </c>
      <c r="AB49" s="119" t="s">
        <v>102</v>
      </c>
      <c r="AC49" s="42" t="s">
        <v>101</v>
      </c>
      <c r="AD49" s="119" t="s">
        <v>102</v>
      </c>
      <c r="AE49" s="42" t="s">
        <v>101</v>
      </c>
      <c r="AF49" s="119" t="s">
        <v>102</v>
      </c>
      <c r="AG49" s="42" t="s">
        <v>101</v>
      </c>
      <c r="AH49" s="119" t="s">
        <v>102</v>
      </c>
      <c r="AI49" s="42" t="s">
        <v>101</v>
      </c>
      <c r="AJ49" s="119" t="s">
        <v>102</v>
      </c>
      <c r="AK49" s="42" t="s">
        <v>101</v>
      </c>
      <c r="AL49" s="119" t="s">
        <v>102</v>
      </c>
      <c r="AM49" s="42" t="s">
        <v>101</v>
      </c>
      <c r="AN49" s="119" t="s">
        <v>102</v>
      </c>
      <c r="AO49" s="42" t="s">
        <v>101</v>
      </c>
      <c r="AP49" s="119" t="s">
        <v>102</v>
      </c>
      <c r="AQ49" s="42" t="s">
        <v>101</v>
      </c>
      <c r="AR49" s="119" t="s">
        <v>102</v>
      </c>
      <c r="AS49" s="42" t="s">
        <v>101</v>
      </c>
      <c r="AT49" s="119" t="s">
        <v>102</v>
      </c>
      <c r="AU49" s="42" t="s">
        <v>101</v>
      </c>
      <c r="AV49" s="40" t="s">
        <v>102</v>
      </c>
      <c r="AW49" s="42" t="s">
        <v>101</v>
      </c>
      <c r="AX49" s="40" t="s">
        <v>102</v>
      </c>
      <c r="AY49" s="42" t="s">
        <v>101</v>
      </c>
      <c r="AZ49" s="40" t="s">
        <v>102</v>
      </c>
      <c r="BA49" s="42" t="s">
        <v>101</v>
      </c>
      <c r="BB49" s="40" t="s">
        <v>102</v>
      </c>
      <c r="BC49" s="42" t="s">
        <v>101</v>
      </c>
      <c r="BD49" s="40" t="s">
        <v>102</v>
      </c>
      <c r="BE49" s="42" t="s">
        <v>101</v>
      </c>
      <c r="BF49" s="40" t="s">
        <v>102</v>
      </c>
      <c r="BG49" s="42" t="s">
        <v>101</v>
      </c>
      <c r="BH49" s="40" t="s">
        <v>102</v>
      </c>
      <c r="BI49" s="42" t="s">
        <v>101</v>
      </c>
      <c r="BJ49" s="40" t="s">
        <v>102</v>
      </c>
      <c r="BK49" s="42" t="s">
        <v>101</v>
      </c>
      <c r="BL49" s="40" t="s">
        <v>102</v>
      </c>
      <c r="BM49" s="42" t="s">
        <v>101</v>
      </c>
      <c r="BN49" s="40" t="s">
        <v>102</v>
      </c>
      <c r="BO49" s="42" t="s">
        <v>101</v>
      </c>
      <c r="BP49" s="40" t="s">
        <v>102</v>
      </c>
      <c r="BQ49" s="42" t="s">
        <v>101</v>
      </c>
      <c r="BR49" s="40" t="s">
        <v>102</v>
      </c>
      <c r="BS49" s="42" t="s">
        <v>101</v>
      </c>
      <c r="BT49" s="40" t="s">
        <v>102</v>
      </c>
      <c r="BU49" s="42" t="s">
        <v>101</v>
      </c>
      <c r="BV49" s="40" t="s">
        <v>102</v>
      </c>
      <c r="BW49" s="42" t="s">
        <v>101</v>
      </c>
      <c r="BX49" s="40" t="s">
        <v>102</v>
      </c>
      <c r="BY49" s="42" t="s">
        <v>101</v>
      </c>
      <c r="BZ49" s="40" t="s">
        <v>102</v>
      </c>
      <c r="CA49" s="42" t="s">
        <v>101</v>
      </c>
      <c r="CB49" s="40" t="s">
        <v>102</v>
      </c>
      <c r="CC49" s="42" t="s">
        <v>101</v>
      </c>
      <c r="CD49" s="40" t="s">
        <v>102</v>
      </c>
      <c r="CE49" s="42" t="s">
        <v>101</v>
      </c>
      <c r="CF49" s="40" t="s">
        <v>102</v>
      </c>
      <c r="CG49" s="42" t="s">
        <v>101</v>
      </c>
      <c r="CH49" s="40" t="s">
        <v>102</v>
      </c>
      <c r="CI49" s="42" t="s">
        <v>101</v>
      </c>
      <c r="CJ49" s="40" t="s">
        <v>102</v>
      </c>
      <c r="CK49" s="42" t="s">
        <v>101</v>
      </c>
      <c r="CL49" s="136" t="s">
        <v>102</v>
      </c>
      <c r="CM49" s="59" t="str">
        <f t="shared" si="1"/>
        <v>APPROVED</v>
      </c>
      <c r="CN49" s="60"/>
      <c r="CO49" s="61"/>
      <c r="CP49" s="62" t="s">
        <v>152</v>
      </c>
      <c r="CQ49" s="62" t="s">
        <v>122</v>
      </c>
    </row>
    <row r="50" ht="24.0" customHeight="1">
      <c r="A50" s="23">
        <v>45.0</v>
      </c>
      <c r="B50" s="149" t="s">
        <v>266</v>
      </c>
      <c r="C50" s="142">
        <v>1115.0</v>
      </c>
      <c r="D50" s="143" t="s">
        <v>266</v>
      </c>
      <c r="E50" s="144">
        <v>1115.0</v>
      </c>
      <c r="F50" s="28" t="str">
        <f>IFERROR(VLOOKUP(L50:L111,'R22 RELATÓRIO ACC'!B:F,5,FALSE),"NOT PUBLISHED")</f>
        <v>V40</v>
      </c>
      <c r="G50" s="28" t="str">
        <f>IFERROR(VLOOKUP(L50:L111,'R22 RELATÓRIO ACC'!B:P,15,FALSE),"NOT PUBLISHED")</f>
        <v>06/05/2026</v>
      </c>
      <c r="H50" s="29" t="str">
        <f>IFERROR(VLOOKUP(M50:M111,'RELATÓRIO ACC'!B:F,5,FALSE),"NOT PUBLISHED")</f>
        <v>V3</v>
      </c>
      <c r="I50" s="29" t="str">
        <f>IFERROR(VLOOKUP(M50:M111,'RELATÓRIO ACC'!B:P,15,FALSE),"NOT PUBLISHED")</f>
        <v>13/07/2026</v>
      </c>
      <c r="J50" s="68" t="s">
        <v>125</v>
      </c>
      <c r="K50" s="30">
        <v>45888.0</v>
      </c>
      <c r="L50" s="69" t="s">
        <v>267</v>
      </c>
      <c r="M50" s="69" t="s">
        <v>268</v>
      </c>
      <c r="N50" s="70" t="b">
        <v>1</v>
      </c>
      <c r="O50" s="70" t="b">
        <v>1</v>
      </c>
      <c r="P50" s="71" t="s">
        <v>99</v>
      </c>
      <c r="Q50" s="72" t="s">
        <v>103</v>
      </c>
      <c r="R50" s="72" t="s">
        <v>103</v>
      </c>
      <c r="S50" s="73" t="s">
        <v>115</v>
      </c>
      <c r="T50" s="135" t="s">
        <v>100</v>
      </c>
      <c r="U50" s="43" t="s">
        <v>101</v>
      </c>
      <c r="V50" s="119" t="s">
        <v>102</v>
      </c>
      <c r="W50" s="43" t="s">
        <v>101</v>
      </c>
      <c r="X50" s="119" t="s">
        <v>102</v>
      </c>
      <c r="Y50" s="42" t="s">
        <v>101</v>
      </c>
      <c r="Z50" s="119" t="s">
        <v>102</v>
      </c>
      <c r="AA50" s="42" t="s">
        <v>101</v>
      </c>
      <c r="AB50" s="119" t="s">
        <v>102</v>
      </c>
      <c r="AC50" s="42" t="s">
        <v>101</v>
      </c>
      <c r="AD50" s="119" t="s">
        <v>102</v>
      </c>
      <c r="AE50" s="42" t="s">
        <v>101</v>
      </c>
      <c r="AF50" s="119" t="s">
        <v>102</v>
      </c>
      <c r="AG50" s="42" t="s">
        <v>101</v>
      </c>
      <c r="AH50" s="119" t="s">
        <v>102</v>
      </c>
      <c r="AI50" s="42" t="s">
        <v>101</v>
      </c>
      <c r="AJ50" s="119" t="s">
        <v>102</v>
      </c>
      <c r="AK50" s="42" t="s">
        <v>101</v>
      </c>
      <c r="AL50" s="119" t="s">
        <v>102</v>
      </c>
      <c r="AM50" s="42" t="s">
        <v>101</v>
      </c>
      <c r="AN50" s="119" t="s">
        <v>102</v>
      </c>
      <c r="AO50" s="42" t="s">
        <v>101</v>
      </c>
      <c r="AP50" s="119" t="s">
        <v>102</v>
      </c>
      <c r="AQ50" s="42" t="s">
        <v>101</v>
      </c>
      <c r="AR50" s="119" t="s">
        <v>102</v>
      </c>
      <c r="AS50" s="42" t="s">
        <v>101</v>
      </c>
      <c r="AT50" s="119" t="s">
        <v>102</v>
      </c>
      <c r="AU50" s="42" t="s">
        <v>101</v>
      </c>
      <c r="AV50" s="40" t="s">
        <v>102</v>
      </c>
      <c r="AW50" s="42" t="s">
        <v>101</v>
      </c>
      <c r="AX50" s="40" t="s">
        <v>102</v>
      </c>
      <c r="AY50" s="42" t="s">
        <v>101</v>
      </c>
      <c r="AZ50" s="40" t="s">
        <v>102</v>
      </c>
      <c r="BA50" s="42" t="s">
        <v>101</v>
      </c>
      <c r="BB50" s="40" t="s">
        <v>102</v>
      </c>
      <c r="BC50" s="42" t="s">
        <v>101</v>
      </c>
      <c r="BD50" s="40" t="s">
        <v>102</v>
      </c>
      <c r="BE50" s="42" t="s">
        <v>101</v>
      </c>
      <c r="BF50" s="40" t="s">
        <v>102</v>
      </c>
      <c r="BG50" s="42" t="s">
        <v>101</v>
      </c>
      <c r="BH50" s="40" t="s">
        <v>102</v>
      </c>
      <c r="BI50" s="42" t="s">
        <v>101</v>
      </c>
      <c r="BJ50" s="40" t="s">
        <v>102</v>
      </c>
      <c r="BK50" s="42" t="s">
        <v>101</v>
      </c>
      <c r="BL50" s="40" t="s">
        <v>102</v>
      </c>
      <c r="BM50" s="42" t="s">
        <v>101</v>
      </c>
      <c r="BN50" s="40" t="s">
        <v>102</v>
      </c>
      <c r="BO50" s="42" t="s">
        <v>101</v>
      </c>
      <c r="BP50" s="40" t="s">
        <v>102</v>
      </c>
      <c r="BQ50" s="42" t="s">
        <v>101</v>
      </c>
      <c r="BR50" s="40" t="s">
        <v>102</v>
      </c>
      <c r="BS50" s="42" t="s">
        <v>101</v>
      </c>
      <c r="BT50" s="40" t="s">
        <v>102</v>
      </c>
      <c r="BU50" s="42" t="s">
        <v>101</v>
      </c>
      <c r="BV50" s="40" t="s">
        <v>102</v>
      </c>
      <c r="BW50" s="42" t="s">
        <v>101</v>
      </c>
      <c r="BX50" s="40" t="s">
        <v>102</v>
      </c>
      <c r="BY50" s="42" t="s">
        <v>101</v>
      </c>
      <c r="BZ50" s="40" t="s">
        <v>102</v>
      </c>
      <c r="CA50" s="42" t="s">
        <v>101</v>
      </c>
      <c r="CB50" s="40" t="s">
        <v>102</v>
      </c>
      <c r="CC50" s="42" t="s">
        <v>101</v>
      </c>
      <c r="CD50" s="40" t="s">
        <v>102</v>
      </c>
      <c r="CE50" s="42" t="s">
        <v>101</v>
      </c>
      <c r="CF50" s="40" t="s">
        <v>102</v>
      </c>
      <c r="CG50" s="42" t="s">
        <v>101</v>
      </c>
      <c r="CH50" s="40" t="s">
        <v>102</v>
      </c>
      <c r="CI50" s="42" t="s">
        <v>101</v>
      </c>
      <c r="CJ50" s="40" t="s">
        <v>102</v>
      </c>
      <c r="CK50" s="42" t="s">
        <v>101</v>
      </c>
      <c r="CL50" s="136" t="s">
        <v>102</v>
      </c>
      <c r="CM50" s="59" t="str">
        <f t="shared" si="1"/>
        <v>APPROVED</v>
      </c>
      <c r="CN50" s="60"/>
      <c r="CO50" s="61"/>
      <c r="CP50" s="62" t="s">
        <v>152</v>
      </c>
      <c r="CQ50" s="62" t="s">
        <v>122</v>
      </c>
    </row>
    <row r="51" ht="24.0" customHeight="1">
      <c r="A51" s="23">
        <v>46.0</v>
      </c>
      <c r="B51" s="149" t="s">
        <v>266</v>
      </c>
      <c r="C51" s="142">
        <v>1115.0</v>
      </c>
      <c r="D51" s="143" t="s">
        <v>266</v>
      </c>
      <c r="E51" s="144">
        <v>1115.0</v>
      </c>
      <c r="F51" s="28" t="str">
        <f>IFERROR(VLOOKUP(L51:L112,'R22 RELATÓRIO ACC'!B:F,5,FALSE),"NOT PUBLISHED")</f>
        <v>V37</v>
      </c>
      <c r="G51" s="28" t="str">
        <f>IFERROR(VLOOKUP(L51:L112,'R22 RELATÓRIO ACC'!B:P,15,FALSE),"NOT PUBLISHED")</f>
        <v>10/04/2026</v>
      </c>
      <c r="H51" s="29" t="str">
        <f>IFERROR(VLOOKUP(M51:M112,'RELATÓRIO ACC'!B:F,5,FALSE),"NOT PUBLISHED")</f>
        <v>V1</v>
      </c>
      <c r="I51" s="29" t="str">
        <f>IFERROR(VLOOKUP(M51:M112,'RELATÓRIO ACC'!B:P,15,FALSE),"NOT PUBLISHED")</f>
        <v>20/05/2026</v>
      </c>
      <c r="J51" s="68" t="s">
        <v>269</v>
      </c>
      <c r="K51" s="30">
        <v>45860.0</v>
      </c>
      <c r="L51" s="69" t="s">
        <v>270</v>
      </c>
      <c r="M51" s="69" t="s">
        <v>271</v>
      </c>
      <c r="N51" s="70" t="b">
        <v>1</v>
      </c>
      <c r="O51" s="98" t="s">
        <v>191</v>
      </c>
      <c r="P51" s="71" t="s">
        <v>99</v>
      </c>
      <c r="Q51" s="48" t="s">
        <v>103</v>
      </c>
      <c r="R51" s="72" t="s">
        <v>103</v>
      </c>
      <c r="S51" s="73" t="s">
        <v>115</v>
      </c>
      <c r="T51" s="135" t="s">
        <v>100</v>
      </c>
      <c r="U51" s="43" t="s">
        <v>101</v>
      </c>
      <c r="V51" s="119" t="s">
        <v>102</v>
      </c>
      <c r="W51" s="43" t="s">
        <v>101</v>
      </c>
      <c r="X51" s="119" t="s">
        <v>102</v>
      </c>
      <c r="Y51" s="42" t="s">
        <v>101</v>
      </c>
      <c r="Z51" s="119" t="s">
        <v>102</v>
      </c>
      <c r="AA51" s="42" t="s">
        <v>101</v>
      </c>
      <c r="AB51" s="119" t="s">
        <v>102</v>
      </c>
      <c r="AC51" s="42" t="s">
        <v>101</v>
      </c>
      <c r="AD51" s="119" t="s">
        <v>102</v>
      </c>
      <c r="AE51" s="42" t="s">
        <v>101</v>
      </c>
      <c r="AF51" s="119" t="s">
        <v>102</v>
      </c>
      <c r="AG51" s="42" t="s">
        <v>101</v>
      </c>
      <c r="AH51" s="119" t="s">
        <v>102</v>
      </c>
      <c r="AI51" s="42" t="s">
        <v>101</v>
      </c>
      <c r="AJ51" s="119" t="s">
        <v>102</v>
      </c>
      <c r="AK51" s="42" t="s">
        <v>101</v>
      </c>
      <c r="AL51" s="119" t="s">
        <v>102</v>
      </c>
      <c r="AM51" s="42" t="s">
        <v>101</v>
      </c>
      <c r="AN51" s="119" t="s">
        <v>102</v>
      </c>
      <c r="AO51" s="42" t="s">
        <v>101</v>
      </c>
      <c r="AP51" s="119" t="s">
        <v>102</v>
      </c>
      <c r="AQ51" s="42" t="s">
        <v>101</v>
      </c>
      <c r="AR51" s="119" t="s">
        <v>102</v>
      </c>
      <c r="AS51" s="42" t="s">
        <v>101</v>
      </c>
      <c r="AT51" s="119" t="s">
        <v>102</v>
      </c>
      <c r="AU51" s="42" t="s">
        <v>101</v>
      </c>
      <c r="AV51" s="40" t="s">
        <v>102</v>
      </c>
      <c r="AW51" s="42" t="s">
        <v>101</v>
      </c>
      <c r="AX51" s="40" t="s">
        <v>102</v>
      </c>
      <c r="AY51" s="42" t="s">
        <v>101</v>
      </c>
      <c r="AZ51" s="40" t="s">
        <v>102</v>
      </c>
      <c r="BA51" s="42" t="s">
        <v>101</v>
      </c>
      <c r="BB51" s="40" t="s">
        <v>102</v>
      </c>
      <c r="BC51" s="42" t="s">
        <v>101</v>
      </c>
      <c r="BD51" s="40" t="s">
        <v>102</v>
      </c>
      <c r="BE51" s="42" t="s">
        <v>101</v>
      </c>
      <c r="BF51" s="40" t="s">
        <v>102</v>
      </c>
      <c r="BG51" s="42" t="s">
        <v>101</v>
      </c>
      <c r="BH51" s="40" t="s">
        <v>102</v>
      </c>
      <c r="BI51" s="42" t="s">
        <v>101</v>
      </c>
      <c r="BJ51" s="40" t="s">
        <v>102</v>
      </c>
      <c r="BK51" s="42" t="s">
        <v>101</v>
      </c>
      <c r="BL51" s="40" t="s">
        <v>102</v>
      </c>
      <c r="BM51" s="42" t="s">
        <v>101</v>
      </c>
      <c r="BN51" s="40" t="s">
        <v>102</v>
      </c>
      <c r="BO51" s="42" t="s">
        <v>101</v>
      </c>
      <c r="BP51" s="40" t="s">
        <v>102</v>
      </c>
      <c r="BQ51" s="42" t="s">
        <v>101</v>
      </c>
      <c r="BR51" s="40" t="s">
        <v>102</v>
      </c>
      <c r="BS51" s="42" t="s">
        <v>101</v>
      </c>
      <c r="BT51" s="40" t="s">
        <v>102</v>
      </c>
      <c r="BU51" s="42" t="s">
        <v>101</v>
      </c>
      <c r="BV51" s="40" t="s">
        <v>102</v>
      </c>
      <c r="BW51" s="42" t="s">
        <v>101</v>
      </c>
      <c r="BX51" s="40" t="s">
        <v>102</v>
      </c>
      <c r="BY51" s="42" t="s">
        <v>101</v>
      </c>
      <c r="BZ51" s="40" t="s">
        <v>102</v>
      </c>
      <c r="CA51" s="42" t="s">
        <v>101</v>
      </c>
      <c r="CB51" s="40" t="s">
        <v>102</v>
      </c>
      <c r="CC51" s="42" t="s">
        <v>101</v>
      </c>
      <c r="CD51" s="40" t="s">
        <v>102</v>
      </c>
      <c r="CE51" s="42" t="s">
        <v>101</v>
      </c>
      <c r="CF51" s="40" t="s">
        <v>102</v>
      </c>
      <c r="CG51" s="42" t="s">
        <v>101</v>
      </c>
      <c r="CH51" s="40" t="s">
        <v>102</v>
      </c>
      <c r="CI51" s="42" t="s">
        <v>101</v>
      </c>
      <c r="CJ51" s="40" t="s">
        <v>102</v>
      </c>
      <c r="CK51" s="42" t="s">
        <v>101</v>
      </c>
      <c r="CL51" s="136" t="s">
        <v>102</v>
      </c>
      <c r="CM51" s="59" t="str">
        <f t="shared" si="1"/>
        <v>APPROVED</v>
      </c>
      <c r="CN51" s="60"/>
      <c r="CO51" s="61" t="b">
        <v>0</v>
      </c>
      <c r="CP51" s="86"/>
      <c r="CQ51" s="87"/>
    </row>
    <row r="52" ht="24.0" customHeight="1">
      <c r="A52" s="23">
        <v>47.0</v>
      </c>
      <c r="B52" s="121" t="s">
        <v>110</v>
      </c>
      <c r="C52" s="109"/>
      <c r="D52" s="66" t="s">
        <v>129</v>
      </c>
      <c r="E52" s="67">
        <v>1129.0</v>
      </c>
      <c r="F52" s="28" t="str">
        <f>IFERROR(VLOOKUP(L52:L113,'R22 RELATÓRIO ACC'!B:F,5,FALSE),"NOT PUBLISHED")</f>
        <v>V39</v>
      </c>
      <c r="G52" s="28" t="str">
        <f>IFERROR(VLOOKUP(L52:L113,'R22 RELATÓRIO ACC'!B:P,15,FALSE),"NOT PUBLISHED")</f>
        <v>19/03/2026</v>
      </c>
      <c r="H52" s="29" t="str">
        <f>IFERROR(VLOOKUP(M52:M113,'RELATÓRIO ACC'!B:F,5,FALSE),"NOT PUBLISHED")</f>
        <v>V5</v>
      </c>
      <c r="I52" s="29" t="str">
        <f>IFERROR(VLOOKUP(M52:M113,'RELATÓRIO ACC'!B:P,15,FALSE),"NOT PUBLISHED")</f>
        <v>10/07/2026</v>
      </c>
      <c r="J52" s="68" t="s">
        <v>272</v>
      </c>
      <c r="K52" s="30">
        <v>45911.0</v>
      </c>
      <c r="L52" s="69" t="s">
        <v>273</v>
      </c>
      <c r="M52" s="69" t="s">
        <v>274</v>
      </c>
      <c r="N52" s="70" t="b">
        <v>1</v>
      </c>
      <c r="O52" s="70" t="b">
        <v>1</v>
      </c>
      <c r="P52" s="71" t="s">
        <v>99</v>
      </c>
      <c r="Q52" s="48" t="s">
        <v>103</v>
      </c>
      <c r="R52" s="72" t="s">
        <v>103</v>
      </c>
      <c r="S52" s="73" t="s">
        <v>115</v>
      </c>
      <c r="T52" s="135" t="s">
        <v>100</v>
      </c>
      <c r="U52" s="43" t="s">
        <v>101</v>
      </c>
      <c r="V52" s="119" t="s">
        <v>102</v>
      </c>
      <c r="W52" s="43" t="s">
        <v>101</v>
      </c>
      <c r="X52" s="119" t="s">
        <v>102</v>
      </c>
      <c r="Y52" s="42" t="s">
        <v>101</v>
      </c>
      <c r="Z52" s="119" t="s">
        <v>102</v>
      </c>
      <c r="AA52" s="42" t="s">
        <v>101</v>
      </c>
      <c r="AB52" s="119" t="s">
        <v>102</v>
      </c>
      <c r="AC52" s="42" t="s">
        <v>101</v>
      </c>
      <c r="AD52" s="119" t="s">
        <v>102</v>
      </c>
      <c r="AE52" s="42" t="s">
        <v>101</v>
      </c>
      <c r="AF52" s="119" t="s">
        <v>102</v>
      </c>
      <c r="AG52" s="42" t="s">
        <v>101</v>
      </c>
      <c r="AH52" s="119" t="s">
        <v>102</v>
      </c>
      <c r="AI52" s="42" t="s">
        <v>101</v>
      </c>
      <c r="AJ52" s="119" t="s">
        <v>102</v>
      </c>
      <c r="AK52" s="42" t="s">
        <v>101</v>
      </c>
      <c r="AL52" s="119" t="s">
        <v>102</v>
      </c>
      <c r="AM52" s="42" t="s">
        <v>101</v>
      </c>
      <c r="AN52" s="119" t="s">
        <v>102</v>
      </c>
      <c r="AO52" s="42" t="s">
        <v>101</v>
      </c>
      <c r="AP52" s="119" t="s">
        <v>102</v>
      </c>
      <c r="AQ52" s="42" t="s">
        <v>101</v>
      </c>
      <c r="AR52" s="119" t="s">
        <v>102</v>
      </c>
      <c r="AS52" s="42" t="s">
        <v>101</v>
      </c>
      <c r="AT52" s="119" t="s">
        <v>102</v>
      </c>
      <c r="AU52" s="42" t="s">
        <v>101</v>
      </c>
      <c r="AV52" s="40" t="s">
        <v>102</v>
      </c>
      <c r="AW52" s="42" t="s">
        <v>101</v>
      </c>
      <c r="AX52" s="40" t="s">
        <v>102</v>
      </c>
      <c r="AY52" s="42" t="s">
        <v>101</v>
      </c>
      <c r="AZ52" s="40" t="s">
        <v>102</v>
      </c>
      <c r="BA52" s="42" t="s">
        <v>101</v>
      </c>
      <c r="BB52" s="40" t="s">
        <v>102</v>
      </c>
      <c r="BC52" s="42" t="s">
        <v>101</v>
      </c>
      <c r="BD52" s="40" t="s">
        <v>102</v>
      </c>
      <c r="BE52" s="42" t="s">
        <v>101</v>
      </c>
      <c r="BF52" s="40" t="s">
        <v>102</v>
      </c>
      <c r="BG52" s="42" t="s">
        <v>101</v>
      </c>
      <c r="BH52" s="40" t="s">
        <v>102</v>
      </c>
      <c r="BI52" s="42" t="s">
        <v>101</v>
      </c>
      <c r="BJ52" s="40" t="s">
        <v>102</v>
      </c>
      <c r="BK52" s="42" t="s">
        <v>101</v>
      </c>
      <c r="BL52" s="40" t="s">
        <v>102</v>
      </c>
      <c r="BM52" s="42" t="s">
        <v>101</v>
      </c>
      <c r="BN52" s="40" t="s">
        <v>102</v>
      </c>
      <c r="BO52" s="42" t="s">
        <v>101</v>
      </c>
      <c r="BP52" s="40" t="s">
        <v>102</v>
      </c>
      <c r="BQ52" s="42" t="s">
        <v>101</v>
      </c>
      <c r="BR52" s="40" t="s">
        <v>102</v>
      </c>
      <c r="BS52" s="42" t="s">
        <v>101</v>
      </c>
      <c r="BT52" s="40" t="s">
        <v>102</v>
      </c>
      <c r="BU52" s="42" t="s">
        <v>101</v>
      </c>
      <c r="BV52" s="40" t="s">
        <v>102</v>
      </c>
      <c r="BW52" s="42" t="s">
        <v>101</v>
      </c>
      <c r="BX52" s="40" t="s">
        <v>102</v>
      </c>
      <c r="BY52" s="42" t="s">
        <v>101</v>
      </c>
      <c r="BZ52" s="40" t="s">
        <v>102</v>
      </c>
      <c r="CA52" s="42" t="s">
        <v>101</v>
      </c>
      <c r="CB52" s="40" t="s">
        <v>102</v>
      </c>
      <c r="CC52" s="42" t="s">
        <v>101</v>
      </c>
      <c r="CD52" s="40" t="s">
        <v>102</v>
      </c>
      <c r="CE52" s="42" t="s">
        <v>101</v>
      </c>
      <c r="CF52" s="40" t="s">
        <v>102</v>
      </c>
      <c r="CG52" s="42" t="s">
        <v>101</v>
      </c>
      <c r="CH52" s="40" t="s">
        <v>102</v>
      </c>
      <c r="CI52" s="42" t="s">
        <v>101</v>
      </c>
      <c r="CJ52" s="40" t="s">
        <v>102</v>
      </c>
      <c r="CK52" s="42" t="s">
        <v>101</v>
      </c>
      <c r="CL52" s="136" t="s">
        <v>102</v>
      </c>
      <c r="CM52" s="59" t="str">
        <f t="shared" si="1"/>
        <v>APPROVED</v>
      </c>
      <c r="CN52" s="60"/>
      <c r="CO52" s="61"/>
      <c r="CP52" s="62" t="s">
        <v>152</v>
      </c>
      <c r="CQ52" s="62" t="s">
        <v>117</v>
      </c>
    </row>
    <row r="53" ht="24.0" customHeight="1">
      <c r="A53" s="23">
        <v>48.0</v>
      </c>
      <c r="B53" s="121" t="s">
        <v>110</v>
      </c>
      <c r="C53" s="109">
        <v>1112.0</v>
      </c>
      <c r="D53" s="66" t="s">
        <v>129</v>
      </c>
      <c r="E53" s="67">
        <v>1129.0</v>
      </c>
      <c r="F53" s="28" t="str">
        <f>IFERROR(VLOOKUP(L53:L114,'R22 RELATÓRIO ACC'!B:F,5,FALSE),"NOT PUBLISHED")</f>
        <v>V34</v>
      </c>
      <c r="G53" s="28" t="str">
        <f>IFERROR(VLOOKUP(L53:L114,'R22 RELATÓRIO ACC'!B:P,15,FALSE),"NOT PUBLISHED")</f>
        <v>05/05/2026</v>
      </c>
      <c r="H53" s="29" t="str">
        <f>IFERROR(VLOOKUP(M53:M114,'RELATÓRIO ACC'!B:F,5,FALSE),"NOT PUBLISHED")</f>
        <v>V3</v>
      </c>
      <c r="I53" s="29" t="str">
        <f>IFERROR(VLOOKUP(M53:M114,'RELATÓRIO ACC'!B:P,15,FALSE),"NOT PUBLISHED")</f>
        <v>03/07/2026</v>
      </c>
      <c r="J53" s="68" t="s">
        <v>163</v>
      </c>
      <c r="K53" s="30">
        <v>45849.0</v>
      </c>
      <c r="L53" s="69" t="s">
        <v>275</v>
      </c>
      <c r="M53" s="69" t="s">
        <v>276</v>
      </c>
      <c r="N53" s="70" t="b">
        <v>1</v>
      </c>
      <c r="O53" s="70" t="b">
        <v>1</v>
      </c>
      <c r="P53" s="71" t="s">
        <v>99</v>
      </c>
      <c r="Q53" s="36" t="s">
        <v>100</v>
      </c>
      <c r="R53" s="135" t="s">
        <v>100</v>
      </c>
      <c r="S53" s="145" t="s">
        <v>101</v>
      </c>
      <c r="T53" s="135" t="s">
        <v>100</v>
      </c>
      <c r="U53" s="43" t="s">
        <v>101</v>
      </c>
      <c r="V53" s="119" t="s">
        <v>102</v>
      </c>
      <c r="W53" s="43" t="s">
        <v>101</v>
      </c>
      <c r="X53" s="119" t="s">
        <v>102</v>
      </c>
      <c r="Y53" s="42" t="s">
        <v>101</v>
      </c>
      <c r="Z53" s="119" t="s">
        <v>102</v>
      </c>
      <c r="AA53" s="42" t="s">
        <v>101</v>
      </c>
      <c r="AB53" s="119" t="s">
        <v>102</v>
      </c>
      <c r="AC53" s="42" t="s">
        <v>101</v>
      </c>
      <c r="AD53" s="119" t="s">
        <v>102</v>
      </c>
      <c r="AE53" s="42" t="s">
        <v>101</v>
      </c>
      <c r="AF53" s="119" t="s">
        <v>102</v>
      </c>
      <c r="AG53" s="42" t="s">
        <v>101</v>
      </c>
      <c r="AH53" s="119" t="s">
        <v>102</v>
      </c>
      <c r="AI53" s="42" t="s">
        <v>101</v>
      </c>
      <c r="AJ53" s="119" t="s">
        <v>102</v>
      </c>
      <c r="AK53" s="42" t="s">
        <v>101</v>
      </c>
      <c r="AL53" s="119" t="s">
        <v>102</v>
      </c>
      <c r="AM53" s="42" t="s">
        <v>101</v>
      </c>
      <c r="AN53" s="119" t="s">
        <v>102</v>
      </c>
      <c r="AO53" s="42" t="s">
        <v>101</v>
      </c>
      <c r="AP53" s="119" t="s">
        <v>102</v>
      </c>
      <c r="AQ53" s="42" t="s">
        <v>101</v>
      </c>
      <c r="AR53" s="119" t="s">
        <v>102</v>
      </c>
      <c r="AS53" s="42" t="s">
        <v>101</v>
      </c>
      <c r="AT53" s="119" t="s">
        <v>102</v>
      </c>
      <c r="AU53" s="42" t="s">
        <v>101</v>
      </c>
      <c r="AV53" s="40" t="s">
        <v>102</v>
      </c>
      <c r="AW53" s="42" t="s">
        <v>101</v>
      </c>
      <c r="AX53" s="40" t="s">
        <v>102</v>
      </c>
      <c r="AY53" s="42" t="s">
        <v>101</v>
      </c>
      <c r="AZ53" s="40" t="s">
        <v>102</v>
      </c>
      <c r="BA53" s="42" t="s">
        <v>101</v>
      </c>
      <c r="BB53" s="40" t="s">
        <v>102</v>
      </c>
      <c r="BC53" s="42" t="s">
        <v>101</v>
      </c>
      <c r="BD53" s="40" t="s">
        <v>102</v>
      </c>
      <c r="BE53" s="42" t="s">
        <v>101</v>
      </c>
      <c r="BF53" s="40" t="s">
        <v>102</v>
      </c>
      <c r="BG53" s="42" t="s">
        <v>101</v>
      </c>
      <c r="BH53" s="40" t="s">
        <v>102</v>
      </c>
      <c r="BI53" s="42" t="s">
        <v>101</v>
      </c>
      <c r="BJ53" s="40" t="s">
        <v>102</v>
      </c>
      <c r="BK53" s="42" t="s">
        <v>101</v>
      </c>
      <c r="BL53" s="40" t="s">
        <v>102</v>
      </c>
      <c r="BM53" s="42" t="s">
        <v>101</v>
      </c>
      <c r="BN53" s="40" t="s">
        <v>102</v>
      </c>
      <c r="BO53" s="42" t="s">
        <v>101</v>
      </c>
      <c r="BP53" s="40" t="s">
        <v>102</v>
      </c>
      <c r="BQ53" s="42" t="s">
        <v>101</v>
      </c>
      <c r="BR53" s="40" t="s">
        <v>102</v>
      </c>
      <c r="BS53" s="42" t="s">
        <v>101</v>
      </c>
      <c r="BT53" s="40" t="s">
        <v>102</v>
      </c>
      <c r="BU53" s="42" t="s">
        <v>101</v>
      </c>
      <c r="BV53" s="40" t="s">
        <v>102</v>
      </c>
      <c r="BW53" s="42" t="s">
        <v>101</v>
      </c>
      <c r="BX53" s="40" t="s">
        <v>102</v>
      </c>
      <c r="BY53" s="42" t="s">
        <v>101</v>
      </c>
      <c r="BZ53" s="40" t="s">
        <v>102</v>
      </c>
      <c r="CA53" s="42" t="s">
        <v>101</v>
      </c>
      <c r="CB53" s="40" t="s">
        <v>102</v>
      </c>
      <c r="CC53" s="42" t="s">
        <v>101</v>
      </c>
      <c r="CD53" s="40" t="s">
        <v>102</v>
      </c>
      <c r="CE53" s="42" t="s">
        <v>101</v>
      </c>
      <c r="CF53" s="40" t="s">
        <v>102</v>
      </c>
      <c r="CG53" s="42" t="s">
        <v>101</v>
      </c>
      <c r="CH53" s="40" t="s">
        <v>102</v>
      </c>
      <c r="CI53" s="42" t="s">
        <v>101</v>
      </c>
      <c r="CJ53" s="40" t="s">
        <v>102</v>
      </c>
      <c r="CK53" s="42" t="s">
        <v>101</v>
      </c>
      <c r="CL53" s="136" t="s">
        <v>102</v>
      </c>
      <c r="CM53" s="59" t="str">
        <f t="shared" si="1"/>
        <v>APPROVED</v>
      </c>
      <c r="CN53" s="167"/>
      <c r="CO53" s="61" t="b">
        <v>0</v>
      </c>
      <c r="CP53" s="86"/>
      <c r="CQ53" s="87"/>
    </row>
    <row r="54" ht="24.0" customHeight="1">
      <c r="A54" s="23">
        <v>49.0</v>
      </c>
      <c r="B54" s="134" t="s">
        <v>277</v>
      </c>
      <c r="C54" s="126"/>
      <c r="D54" s="126" t="s">
        <v>278</v>
      </c>
      <c r="E54" s="67"/>
      <c r="F54" s="28" t="str">
        <f>IFERROR(VLOOKUP(L54:L115,'R22 RELATÓRIO ACC'!B:F,5,FALSE),"NOT PUBLISHED")</f>
        <v>V10</v>
      </c>
      <c r="G54" s="28" t="str">
        <f>IFERROR(VLOOKUP(L54:L115,'R22 RELATÓRIO ACC'!B:P,15,FALSE),"NOT PUBLISHED")</f>
        <v>22/04/2026</v>
      </c>
      <c r="H54" s="29" t="str">
        <f>IFERROR(VLOOKUP(M54:M115,'RELATÓRIO ACC'!B:F,5,FALSE),"NOT PUBLISHED")</f>
        <v>V1</v>
      </c>
      <c r="I54" s="29" t="str">
        <f>IFERROR(VLOOKUP(M54:M115,'RELATÓRIO ACC'!B:P,15,FALSE),"NOT PUBLISHED")</f>
        <v>15/05/2026</v>
      </c>
      <c r="J54" s="68" t="s">
        <v>95</v>
      </c>
      <c r="K54" s="133">
        <v>45898.0</v>
      </c>
      <c r="L54" s="147" t="s">
        <v>279</v>
      </c>
      <c r="M54" s="147" t="s">
        <v>280</v>
      </c>
      <c r="N54" s="70" t="b">
        <v>1</v>
      </c>
      <c r="O54" s="70" t="b">
        <v>0</v>
      </c>
      <c r="P54" s="71" t="s">
        <v>99</v>
      </c>
      <c r="Q54" s="111" t="s">
        <v>99</v>
      </c>
      <c r="R54" s="72" t="s">
        <v>103</v>
      </c>
      <c r="S54" s="145" t="s">
        <v>101</v>
      </c>
      <c r="T54" s="135" t="s">
        <v>100</v>
      </c>
      <c r="U54" s="43" t="s">
        <v>101</v>
      </c>
      <c r="V54" s="119" t="s">
        <v>102</v>
      </c>
      <c r="W54" s="43" t="s">
        <v>101</v>
      </c>
      <c r="X54" s="119" t="s">
        <v>102</v>
      </c>
      <c r="Y54" s="42" t="s">
        <v>101</v>
      </c>
      <c r="Z54" s="119" t="s">
        <v>102</v>
      </c>
      <c r="AA54" s="42" t="s">
        <v>101</v>
      </c>
      <c r="AB54" s="119" t="s">
        <v>102</v>
      </c>
      <c r="AC54" s="42" t="s">
        <v>101</v>
      </c>
      <c r="AD54" s="119" t="s">
        <v>102</v>
      </c>
      <c r="AE54" s="42" t="s">
        <v>101</v>
      </c>
      <c r="AF54" s="119" t="s">
        <v>102</v>
      </c>
      <c r="AG54" s="42" t="s">
        <v>101</v>
      </c>
      <c r="AH54" s="119" t="s">
        <v>102</v>
      </c>
      <c r="AI54" s="42" t="s">
        <v>101</v>
      </c>
      <c r="AJ54" s="119" t="s">
        <v>102</v>
      </c>
      <c r="AK54" s="42" t="s">
        <v>101</v>
      </c>
      <c r="AL54" s="119" t="s">
        <v>102</v>
      </c>
      <c r="AM54" s="42" t="s">
        <v>101</v>
      </c>
      <c r="AN54" s="119" t="s">
        <v>102</v>
      </c>
      <c r="AO54" s="42" t="s">
        <v>101</v>
      </c>
      <c r="AP54" s="119" t="s">
        <v>102</v>
      </c>
      <c r="AQ54" s="42" t="s">
        <v>101</v>
      </c>
      <c r="AR54" s="119" t="s">
        <v>102</v>
      </c>
      <c r="AS54" s="42" t="s">
        <v>101</v>
      </c>
      <c r="AT54" s="119" t="s">
        <v>102</v>
      </c>
      <c r="AU54" s="42" t="s">
        <v>101</v>
      </c>
      <c r="AV54" s="40" t="s">
        <v>102</v>
      </c>
      <c r="AW54" s="42" t="s">
        <v>101</v>
      </c>
      <c r="AX54" s="40" t="s">
        <v>102</v>
      </c>
      <c r="AY54" s="42" t="s">
        <v>101</v>
      </c>
      <c r="AZ54" s="40" t="s">
        <v>102</v>
      </c>
      <c r="BA54" s="42" t="s">
        <v>101</v>
      </c>
      <c r="BB54" s="40" t="s">
        <v>102</v>
      </c>
      <c r="BC54" s="42" t="s">
        <v>101</v>
      </c>
      <c r="BD54" s="40" t="s">
        <v>102</v>
      </c>
      <c r="BE54" s="42" t="s">
        <v>101</v>
      </c>
      <c r="BF54" s="40" t="s">
        <v>102</v>
      </c>
      <c r="BG54" s="42" t="s">
        <v>101</v>
      </c>
      <c r="BH54" s="40" t="s">
        <v>102</v>
      </c>
      <c r="BI54" s="42" t="s">
        <v>101</v>
      </c>
      <c r="BJ54" s="40" t="s">
        <v>102</v>
      </c>
      <c r="BK54" s="42" t="s">
        <v>101</v>
      </c>
      <c r="BL54" s="40" t="s">
        <v>102</v>
      </c>
      <c r="BM54" s="42" t="s">
        <v>101</v>
      </c>
      <c r="BN54" s="40" t="s">
        <v>102</v>
      </c>
      <c r="BO54" s="42" t="s">
        <v>101</v>
      </c>
      <c r="BP54" s="40" t="s">
        <v>102</v>
      </c>
      <c r="BQ54" s="42" t="s">
        <v>101</v>
      </c>
      <c r="BR54" s="40" t="s">
        <v>102</v>
      </c>
      <c r="BS54" s="42" t="s">
        <v>101</v>
      </c>
      <c r="BT54" s="40" t="s">
        <v>102</v>
      </c>
      <c r="BU54" s="42" t="s">
        <v>101</v>
      </c>
      <c r="BV54" s="40" t="s">
        <v>102</v>
      </c>
      <c r="BW54" s="42" t="s">
        <v>101</v>
      </c>
      <c r="BX54" s="40" t="s">
        <v>102</v>
      </c>
      <c r="BY54" s="42" t="s">
        <v>101</v>
      </c>
      <c r="BZ54" s="40" t="s">
        <v>102</v>
      </c>
      <c r="CA54" s="42" t="s">
        <v>101</v>
      </c>
      <c r="CB54" s="40" t="s">
        <v>102</v>
      </c>
      <c r="CC54" s="42" t="s">
        <v>101</v>
      </c>
      <c r="CD54" s="40" t="s">
        <v>102</v>
      </c>
      <c r="CE54" s="42" t="s">
        <v>101</v>
      </c>
      <c r="CF54" s="40" t="s">
        <v>102</v>
      </c>
      <c r="CG54" s="42" t="s">
        <v>101</v>
      </c>
      <c r="CH54" s="40" t="s">
        <v>102</v>
      </c>
      <c r="CI54" s="42" t="s">
        <v>101</v>
      </c>
      <c r="CJ54" s="40" t="s">
        <v>102</v>
      </c>
      <c r="CK54" s="42" t="s">
        <v>101</v>
      </c>
      <c r="CL54" s="136" t="s">
        <v>102</v>
      </c>
      <c r="CM54" s="59" t="str">
        <f t="shared" si="1"/>
        <v>APPROVED</v>
      </c>
      <c r="CN54" s="168"/>
      <c r="CO54" s="61" t="b">
        <v>0</v>
      </c>
      <c r="CP54" s="86"/>
      <c r="CQ54" s="87"/>
    </row>
    <row r="55" ht="24.0" customHeight="1">
      <c r="A55" s="23">
        <v>50.0</v>
      </c>
      <c r="B55" s="134" t="s">
        <v>277</v>
      </c>
      <c r="C55" s="109"/>
      <c r="D55" s="126" t="s">
        <v>278</v>
      </c>
      <c r="E55" s="67"/>
      <c r="F55" s="28" t="str">
        <f>IFERROR(VLOOKUP(L55:L116,'R22 RELATÓRIO ACC'!B:F,5,FALSE),"NOT PUBLISHED")</f>
        <v>V17</v>
      </c>
      <c r="G55" s="28" t="str">
        <f>IFERROR(VLOOKUP(L55:L116,'R22 RELATÓRIO ACC'!B:P,15,FALSE),"NOT PUBLISHED")</f>
        <v>12/05/2026</v>
      </c>
      <c r="H55" s="29" t="str">
        <f>IFERROR(VLOOKUP(M55:M116,'RELATÓRIO ACC'!B:F,5,FALSE),"NOT PUBLISHED")</f>
        <v>V1</v>
      </c>
      <c r="I55" s="29" t="str">
        <f>IFERROR(VLOOKUP(M55:M116,'RELATÓRIO ACC'!B:P,15,FALSE),"NOT PUBLISHED")</f>
        <v>15/05/2026</v>
      </c>
      <c r="J55" s="68" t="s">
        <v>192</v>
      </c>
      <c r="K55" s="30">
        <v>46001.0</v>
      </c>
      <c r="L55" s="147" t="s">
        <v>281</v>
      </c>
      <c r="M55" s="147" t="s">
        <v>282</v>
      </c>
      <c r="N55" s="70" t="b">
        <v>1</v>
      </c>
      <c r="O55" s="70" t="b">
        <v>0</v>
      </c>
      <c r="P55" s="71" t="s">
        <v>99</v>
      </c>
      <c r="Q55" s="71" t="s">
        <v>99</v>
      </c>
      <c r="R55" s="72" t="s">
        <v>103</v>
      </c>
      <c r="S55" s="73" t="s">
        <v>115</v>
      </c>
      <c r="T55" s="72" t="s">
        <v>103</v>
      </c>
      <c r="U55" s="73" t="s">
        <v>115</v>
      </c>
      <c r="V55" s="72" t="s">
        <v>103</v>
      </c>
      <c r="W55" s="100" t="s">
        <v>115</v>
      </c>
      <c r="X55" s="75" t="s">
        <v>105</v>
      </c>
      <c r="Y55" s="51" t="s">
        <v>105</v>
      </c>
      <c r="Z55" s="135" t="s">
        <v>100</v>
      </c>
      <c r="AA55" s="42" t="s">
        <v>101</v>
      </c>
      <c r="AB55" s="119" t="s">
        <v>102</v>
      </c>
      <c r="AC55" s="42" t="s">
        <v>101</v>
      </c>
      <c r="AD55" s="119" t="s">
        <v>102</v>
      </c>
      <c r="AE55" s="42" t="s">
        <v>101</v>
      </c>
      <c r="AF55" s="72" t="s">
        <v>103</v>
      </c>
      <c r="AG55" s="42" t="s">
        <v>101</v>
      </c>
      <c r="AH55" s="75" t="s">
        <v>105</v>
      </c>
      <c r="AI55" s="51" t="s">
        <v>105</v>
      </c>
      <c r="AJ55" s="75" t="s">
        <v>105</v>
      </c>
      <c r="AK55" s="51" t="s">
        <v>105</v>
      </c>
      <c r="AL55" s="119" t="s">
        <v>100</v>
      </c>
      <c r="AM55" s="42" t="s">
        <v>101</v>
      </c>
      <c r="AN55" s="119" t="s">
        <v>102</v>
      </c>
      <c r="AO55" s="42" t="s">
        <v>101</v>
      </c>
      <c r="AP55" s="119" t="s">
        <v>102</v>
      </c>
      <c r="AQ55" s="42" t="s">
        <v>101</v>
      </c>
      <c r="AR55" s="119" t="s">
        <v>102</v>
      </c>
      <c r="AS55" s="42" t="s">
        <v>101</v>
      </c>
      <c r="AT55" s="119" t="s">
        <v>102</v>
      </c>
      <c r="AU55" s="42" t="s">
        <v>101</v>
      </c>
      <c r="AV55" s="40" t="s">
        <v>102</v>
      </c>
      <c r="AW55" s="42" t="s">
        <v>101</v>
      </c>
      <c r="AX55" s="40" t="s">
        <v>102</v>
      </c>
      <c r="AY55" s="42" t="s">
        <v>101</v>
      </c>
      <c r="AZ55" s="40" t="s">
        <v>102</v>
      </c>
      <c r="BA55" s="42" t="s">
        <v>101</v>
      </c>
      <c r="BB55" s="40" t="s">
        <v>102</v>
      </c>
      <c r="BC55" s="42" t="s">
        <v>101</v>
      </c>
      <c r="BD55" s="40" t="s">
        <v>102</v>
      </c>
      <c r="BE55" s="42" t="s">
        <v>101</v>
      </c>
      <c r="BF55" s="40" t="s">
        <v>102</v>
      </c>
      <c r="BG55" s="42" t="s">
        <v>101</v>
      </c>
      <c r="BH55" s="40" t="s">
        <v>102</v>
      </c>
      <c r="BI55" s="42" t="s">
        <v>101</v>
      </c>
      <c r="BJ55" s="40" t="s">
        <v>102</v>
      </c>
      <c r="BK55" s="42" t="s">
        <v>101</v>
      </c>
      <c r="BL55" s="40" t="s">
        <v>102</v>
      </c>
      <c r="BM55" s="42" t="s">
        <v>101</v>
      </c>
      <c r="BN55" s="40" t="s">
        <v>102</v>
      </c>
      <c r="BO55" s="42" t="s">
        <v>101</v>
      </c>
      <c r="BP55" s="40" t="s">
        <v>102</v>
      </c>
      <c r="BQ55" s="42" t="s">
        <v>101</v>
      </c>
      <c r="BR55" s="40" t="s">
        <v>102</v>
      </c>
      <c r="BS55" s="42" t="s">
        <v>101</v>
      </c>
      <c r="BT55" s="40" t="s">
        <v>102</v>
      </c>
      <c r="BU55" s="42" t="s">
        <v>101</v>
      </c>
      <c r="BV55" s="40" t="s">
        <v>102</v>
      </c>
      <c r="BW55" s="42" t="s">
        <v>101</v>
      </c>
      <c r="BX55" s="40" t="s">
        <v>102</v>
      </c>
      <c r="BY55" s="42" t="s">
        <v>101</v>
      </c>
      <c r="BZ55" s="40" t="s">
        <v>102</v>
      </c>
      <c r="CA55" s="42" t="s">
        <v>101</v>
      </c>
      <c r="CB55" s="40" t="s">
        <v>102</v>
      </c>
      <c r="CC55" s="42" t="s">
        <v>101</v>
      </c>
      <c r="CD55" s="40" t="s">
        <v>102</v>
      </c>
      <c r="CE55" s="42" t="s">
        <v>101</v>
      </c>
      <c r="CF55" s="40" t="s">
        <v>102</v>
      </c>
      <c r="CG55" s="42" t="s">
        <v>101</v>
      </c>
      <c r="CH55" s="40" t="s">
        <v>102</v>
      </c>
      <c r="CI55" s="42" t="s">
        <v>101</v>
      </c>
      <c r="CJ55" s="40" t="s">
        <v>102</v>
      </c>
      <c r="CK55" s="42" t="s">
        <v>101</v>
      </c>
      <c r="CL55" s="136" t="s">
        <v>102</v>
      </c>
      <c r="CM55" s="59" t="str">
        <f t="shared" si="1"/>
        <v>APPROVED</v>
      </c>
      <c r="CN55" s="169"/>
      <c r="CO55" s="61"/>
      <c r="CP55" s="170" t="s">
        <v>152</v>
      </c>
      <c r="CQ55" s="170" t="s">
        <v>117</v>
      </c>
    </row>
    <row r="56" ht="24.0" customHeight="1">
      <c r="A56" s="23">
        <v>51.0</v>
      </c>
      <c r="B56" s="115" t="s">
        <v>283</v>
      </c>
      <c r="C56" s="126"/>
      <c r="D56" s="126" t="s">
        <v>278</v>
      </c>
      <c r="E56" s="67"/>
      <c r="F56" s="28" t="str">
        <f>IFERROR(VLOOKUP(L56:L117,'R22 RELATÓRIO ACC'!B:F,5,FALSE),"NOT PUBLISHED")</f>
        <v>V11</v>
      </c>
      <c r="G56" s="28" t="str">
        <f>IFERROR(VLOOKUP(L56:L117,'R22 RELATÓRIO ACC'!B:P,15,FALSE),"NOT PUBLISHED")</f>
        <v>28/04/2026</v>
      </c>
      <c r="H56" s="29" t="str">
        <f>IFERROR(VLOOKUP(M56:M117,'RELATÓRIO ACC'!B:F,5,FALSE),"NOT PUBLISHED")</f>
        <v>V1</v>
      </c>
      <c r="I56" s="29" t="str">
        <f>IFERROR(VLOOKUP(M56:M117,'RELATÓRIO ACC'!B:P,15,FALSE),"NOT PUBLISHED")</f>
        <v>15/05/2026</v>
      </c>
      <c r="J56" s="68" t="s">
        <v>130</v>
      </c>
      <c r="K56" s="133">
        <v>45938.0</v>
      </c>
      <c r="L56" s="69" t="s">
        <v>284</v>
      </c>
      <c r="M56" s="69" t="s">
        <v>285</v>
      </c>
      <c r="N56" s="70" t="b">
        <v>1</v>
      </c>
      <c r="O56" s="70" t="b">
        <v>0</v>
      </c>
      <c r="P56" s="71" t="s">
        <v>99</v>
      </c>
      <c r="Q56" s="71" t="s">
        <v>99</v>
      </c>
      <c r="R56" s="72" t="s">
        <v>103</v>
      </c>
      <c r="S56" s="145" t="s">
        <v>101</v>
      </c>
      <c r="T56" s="72" t="s">
        <v>103</v>
      </c>
      <c r="U56" s="73" t="s">
        <v>115</v>
      </c>
      <c r="V56" s="75" t="s">
        <v>105</v>
      </c>
      <c r="W56" s="51" t="s">
        <v>105</v>
      </c>
      <c r="X56" s="75" t="s">
        <v>105</v>
      </c>
      <c r="Y56" s="51" t="s">
        <v>105</v>
      </c>
      <c r="Z56" s="135" t="s">
        <v>100</v>
      </c>
      <c r="AA56" s="42" t="s">
        <v>101</v>
      </c>
      <c r="AB56" s="119" t="s">
        <v>102</v>
      </c>
      <c r="AC56" s="42" t="s">
        <v>101</v>
      </c>
      <c r="AD56" s="119" t="s">
        <v>102</v>
      </c>
      <c r="AE56" s="42" t="s">
        <v>101</v>
      </c>
      <c r="AF56" s="119" t="s">
        <v>102</v>
      </c>
      <c r="AG56" s="42" t="s">
        <v>101</v>
      </c>
      <c r="AH56" s="119" t="s">
        <v>102</v>
      </c>
      <c r="AI56" s="42" t="s">
        <v>101</v>
      </c>
      <c r="AJ56" s="119" t="s">
        <v>102</v>
      </c>
      <c r="AK56" s="42" t="s">
        <v>101</v>
      </c>
      <c r="AL56" s="119" t="s">
        <v>102</v>
      </c>
      <c r="AM56" s="42" t="s">
        <v>101</v>
      </c>
      <c r="AN56" s="119" t="s">
        <v>102</v>
      </c>
      <c r="AO56" s="42" t="s">
        <v>101</v>
      </c>
      <c r="AP56" s="171" t="s">
        <v>102</v>
      </c>
      <c r="AQ56" s="172" t="s">
        <v>101</v>
      </c>
      <c r="AR56" s="171" t="s">
        <v>102</v>
      </c>
      <c r="AS56" s="172" t="s">
        <v>101</v>
      </c>
      <c r="AT56" s="171" t="s">
        <v>102</v>
      </c>
      <c r="AU56" s="172" t="s">
        <v>101</v>
      </c>
      <c r="AV56" s="40" t="s">
        <v>102</v>
      </c>
      <c r="AW56" s="42" t="s">
        <v>101</v>
      </c>
      <c r="AX56" s="40" t="s">
        <v>102</v>
      </c>
      <c r="AY56" s="42" t="s">
        <v>101</v>
      </c>
      <c r="AZ56" s="40" t="s">
        <v>102</v>
      </c>
      <c r="BA56" s="42" t="s">
        <v>101</v>
      </c>
      <c r="BB56" s="40" t="s">
        <v>102</v>
      </c>
      <c r="BC56" s="42" t="s">
        <v>101</v>
      </c>
      <c r="BD56" s="40" t="s">
        <v>102</v>
      </c>
      <c r="BE56" s="42" t="s">
        <v>101</v>
      </c>
      <c r="BF56" s="40" t="s">
        <v>102</v>
      </c>
      <c r="BG56" s="42" t="s">
        <v>101</v>
      </c>
      <c r="BH56" s="40" t="s">
        <v>102</v>
      </c>
      <c r="BI56" s="42" t="s">
        <v>101</v>
      </c>
      <c r="BJ56" s="40" t="s">
        <v>102</v>
      </c>
      <c r="BK56" s="42" t="s">
        <v>101</v>
      </c>
      <c r="BL56" s="40" t="s">
        <v>102</v>
      </c>
      <c r="BM56" s="42" t="s">
        <v>101</v>
      </c>
      <c r="BN56" s="40" t="s">
        <v>102</v>
      </c>
      <c r="BO56" s="42" t="s">
        <v>101</v>
      </c>
      <c r="BP56" s="40" t="s">
        <v>102</v>
      </c>
      <c r="BQ56" s="42" t="s">
        <v>101</v>
      </c>
      <c r="BR56" s="40" t="s">
        <v>102</v>
      </c>
      <c r="BS56" s="42" t="s">
        <v>101</v>
      </c>
      <c r="BT56" s="40" t="s">
        <v>102</v>
      </c>
      <c r="BU56" s="42" t="s">
        <v>101</v>
      </c>
      <c r="BV56" s="40" t="s">
        <v>102</v>
      </c>
      <c r="BW56" s="42" t="s">
        <v>101</v>
      </c>
      <c r="BX56" s="40" t="s">
        <v>102</v>
      </c>
      <c r="BY56" s="42" t="s">
        <v>101</v>
      </c>
      <c r="BZ56" s="40" t="s">
        <v>102</v>
      </c>
      <c r="CA56" s="42" t="s">
        <v>101</v>
      </c>
      <c r="CB56" s="40" t="s">
        <v>102</v>
      </c>
      <c r="CC56" s="42" t="s">
        <v>101</v>
      </c>
      <c r="CD56" s="40" t="s">
        <v>102</v>
      </c>
      <c r="CE56" s="42" t="s">
        <v>101</v>
      </c>
      <c r="CF56" s="40" t="s">
        <v>102</v>
      </c>
      <c r="CG56" s="42" t="s">
        <v>101</v>
      </c>
      <c r="CH56" s="40" t="s">
        <v>102</v>
      </c>
      <c r="CI56" s="42" t="s">
        <v>101</v>
      </c>
      <c r="CJ56" s="40" t="s">
        <v>102</v>
      </c>
      <c r="CK56" s="42" t="s">
        <v>101</v>
      </c>
      <c r="CL56" s="136" t="s">
        <v>102</v>
      </c>
      <c r="CM56" s="59" t="str">
        <f t="shared" si="1"/>
        <v>APPROVED</v>
      </c>
      <c r="CN56" s="169"/>
      <c r="CO56" s="61"/>
      <c r="CP56" s="173" t="s">
        <v>108</v>
      </c>
      <c r="CQ56" s="174" t="s">
        <v>117</v>
      </c>
    </row>
    <row r="57" ht="24.0" customHeight="1">
      <c r="A57" s="23">
        <v>52.0</v>
      </c>
      <c r="B57" s="134" t="s">
        <v>283</v>
      </c>
      <c r="C57" s="109"/>
      <c r="D57" s="126" t="s">
        <v>278</v>
      </c>
      <c r="E57" s="67"/>
      <c r="F57" s="28" t="str">
        <f>IFERROR(VLOOKUP(L57:L118,'R22 RELATÓRIO ACC'!B:F,5,FALSE),"NOT PUBLISHED")</f>
        <v>V13</v>
      </c>
      <c r="G57" s="28" t="str">
        <f>IFERROR(VLOOKUP(L57:L118,'R22 RELATÓRIO ACC'!B:P,15,FALSE),"NOT PUBLISHED")</f>
        <v>12/05/2026</v>
      </c>
      <c r="H57" s="29" t="str">
        <f>IFERROR(VLOOKUP(M57:M118,'RELATÓRIO ACC'!B:F,5,FALSE),"NOT PUBLISHED")</f>
        <v>V1</v>
      </c>
      <c r="I57" s="29" t="str">
        <f>IFERROR(VLOOKUP(M57:M118,'RELATÓRIO ACC'!B:P,15,FALSE),"NOT PUBLISHED")</f>
        <v>15/05/2026</v>
      </c>
      <c r="J57" s="68" t="s">
        <v>111</v>
      </c>
      <c r="K57" s="133">
        <v>45905.0</v>
      </c>
      <c r="L57" s="69" t="s">
        <v>286</v>
      </c>
      <c r="M57" s="69" t="s">
        <v>287</v>
      </c>
      <c r="N57" s="70" t="b">
        <v>1</v>
      </c>
      <c r="O57" s="70" t="b">
        <v>0</v>
      </c>
      <c r="P57" s="71" t="s">
        <v>99</v>
      </c>
      <c r="Q57" s="71" t="s">
        <v>99</v>
      </c>
      <c r="R57" s="72" t="s">
        <v>103</v>
      </c>
      <c r="S57" s="73" t="s">
        <v>115</v>
      </c>
      <c r="T57" s="135" t="s">
        <v>100</v>
      </c>
      <c r="U57" s="43" t="s">
        <v>101</v>
      </c>
      <c r="V57" s="119" t="s">
        <v>102</v>
      </c>
      <c r="W57" s="42" t="s">
        <v>101</v>
      </c>
      <c r="X57" s="119" t="s">
        <v>102</v>
      </c>
      <c r="Y57" s="42" t="s">
        <v>101</v>
      </c>
      <c r="Z57" s="119" t="s">
        <v>102</v>
      </c>
      <c r="AA57" s="42" t="s">
        <v>101</v>
      </c>
      <c r="AB57" s="119" t="s">
        <v>102</v>
      </c>
      <c r="AC57" s="42" t="s">
        <v>101</v>
      </c>
      <c r="AD57" s="119" t="s">
        <v>102</v>
      </c>
      <c r="AE57" s="42" t="s">
        <v>101</v>
      </c>
      <c r="AF57" s="119" t="s">
        <v>102</v>
      </c>
      <c r="AG57" s="42" t="s">
        <v>101</v>
      </c>
      <c r="AH57" s="119" t="s">
        <v>102</v>
      </c>
      <c r="AI57" s="42" t="s">
        <v>101</v>
      </c>
      <c r="AJ57" s="119" t="s">
        <v>102</v>
      </c>
      <c r="AK57" s="42" t="s">
        <v>101</v>
      </c>
      <c r="AL57" s="119" t="s">
        <v>102</v>
      </c>
      <c r="AM57" s="42" t="s">
        <v>101</v>
      </c>
      <c r="AN57" s="119" t="s">
        <v>102</v>
      </c>
      <c r="AO57" s="42" t="s">
        <v>101</v>
      </c>
      <c r="AP57" s="119" t="s">
        <v>102</v>
      </c>
      <c r="AQ57" s="42" t="s">
        <v>101</v>
      </c>
      <c r="AR57" s="119" t="s">
        <v>102</v>
      </c>
      <c r="AS57" s="42" t="s">
        <v>101</v>
      </c>
      <c r="AT57" s="119" t="s">
        <v>102</v>
      </c>
      <c r="AU57" s="42" t="s">
        <v>101</v>
      </c>
      <c r="AV57" s="40" t="s">
        <v>102</v>
      </c>
      <c r="AW57" s="42" t="s">
        <v>101</v>
      </c>
      <c r="AX57" s="40" t="s">
        <v>102</v>
      </c>
      <c r="AY57" s="42" t="s">
        <v>101</v>
      </c>
      <c r="AZ57" s="40" t="s">
        <v>102</v>
      </c>
      <c r="BA57" s="42" t="s">
        <v>101</v>
      </c>
      <c r="BB57" s="40" t="s">
        <v>102</v>
      </c>
      <c r="BC57" s="42" t="s">
        <v>101</v>
      </c>
      <c r="BD57" s="40" t="s">
        <v>102</v>
      </c>
      <c r="BE57" s="42" t="s">
        <v>101</v>
      </c>
      <c r="BF57" s="40" t="s">
        <v>102</v>
      </c>
      <c r="BG57" s="42" t="s">
        <v>101</v>
      </c>
      <c r="BH57" s="40" t="s">
        <v>102</v>
      </c>
      <c r="BI57" s="42" t="s">
        <v>101</v>
      </c>
      <c r="BJ57" s="40" t="s">
        <v>102</v>
      </c>
      <c r="BK57" s="42" t="s">
        <v>101</v>
      </c>
      <c r="BL57" s="40" t="s">
        <v>102</v>
      </c>
      <c r="BM57" s="42" t="s">
        <v>101</v>
      </c>
      <c r="BN57" s="40" t="s">
        <v>102</v>
      </c>
      <c r="BO57" s="42" t="s">
        <v>101</v>
      </c>
      <c r="BP57" s="40" t="s">
        <v>102</v>
      </c>
      <c r="BQ57" s="42" t="s">
        <v>101</v>
      </c>
      <c r="BR57" s="40" t="s">
        <v>102</v>
      </c>
      <c r="BS57" s="42" t="s">
        <v>101</v>
      </c>
      <c r="BT57" s="40" t="s">
        <v>102</v>
      </c>
      <c r="BU57" s="42" t="s">
        <v>101</v>
      </c>
      <c r="BV57" s="40" t="s">
        <v>102</v>
      </c>
      <c r="BW57" s="42" t="s">
        <v>101</v>
      </c>
      <c r="BX57" s="40" t="s">
        <v>102</v>
      </c>
      <c r="BY57" s="42" t="s">
        <v>101</v>
      </c>
      <c r="BZ57" s="40" t="s">
        <v>102</v>
      </c>
      <c r="CA57" s="42" t="s">
        <v>101</v>
      </c>
      <c r="CB57" s="40" t="s">
        <v>102</v>
      </c>
      <c r="CC57" s="42" t="s">
        <v>101</v>
      </c>
      <c r="CD57" s="40" t="s">
        <v>102</v>
      </c>
      <c r="CE57" s="42" t="s">
        <v>101</v>
      </c>
      <c r="CF57" s="40" t="s">
        <v>102</v>
      </c>
      <c r="CG57" s="42" t="s">
        <v>101</v>
      </c>
      <c r="CH57" s="40" t="s">
        <v>102</v>
      </c>
      <c r="CI57" s="42" t="s">
        <v>101</v>
      </c>
      <c r="CJ57" s="40" t="s">
        <v>102</v>
      </c>
      <c r="CK57" s="42" t="s">
        <v>101</v>
      </c>
      <c r="CL57" s="136" t="s">
        <v>102</v>
      </c>
      <c r="CM57" s="59" t="str">
        <f t="shared" si="1"/>
        <v>APPROVED</v>
      </c>
      <c r="CN57" s="169"/>
      <c r="CO57" s="61"/>
      <c r="CP57" s="173" t="s">
        <v>108</v>
      </c>
      <c r="CQ57" s="174" t="s">
        <v>117</v>
      </c>
    </row>
    <row r="58" ht="24.0" customHeight="1">
      <c r="A58" s="23">
        <v>53.0</v>
      </c>
      <c r="B58" s="121" t="s">
        <v>288</v>
      </c>
      <c r="C58" s="109">
        <v>1125.0</v>
      </c>
      <c r="D58" s="66" t="s">
        <v>288</v>
      </c>
      <c r="E58" s="67">
        <v>1125.0</v>
      </c>
      <c r="F58" s="28" t="str">
        <f>IFERROR(VLOOKUP(L58:L119,'R22 RELATÓRIO ACC'!B:F,5,FALSE),"NOT PUBLISHED")</f>
        <v>V8</v>
      </c>
      <c r="G58" s="28" t="str">
        <f>IFERROR(VLOOKUP(L58:L119,'R22 RELATÓRIO ACC'!B:P,15,FALSE),"NOT PUBLISHED")</f>
        <v>07/11/2025</v>
      </c>
      <c r="H58" s="29" t="str">
        <f>IFERROR(VLOOKUP(M58:M119,'RELATÓRIO ACC'!B:F,5,FALSE),"NOT PUBLISHED")</f>
        <v>V1</v>
      </c>
      <c r="I58" s="29" t="str">
        <f>IFERROR(VLOOKUP(M58:M119,'RELATÓRIO ACC'!B:P,15,FALSE),"NOT PUBLISHED")</f>
        <v>21/05/2026</v>
      </c>
      <c r="J58" s="68" t="s">
        <v>130</v>
      </c>
      <c r="K58" s="30">
        <v>45841.0</v>
      </c>
      <c r="L58" s="147" t="s">
        <v>289</v>
      </c>
      <c r="M58" s="147" t="s">
        <v>289</v>
      </c>
      <c r="N58" s="70" t="b">
        <v>1</v>
      </c>
      <c r="O58" s="70" t="b">
        <v>1</v>
      </c>
      <c r="P58" s="71" t="s">
        <v>99</v>
      </c>
      <c r="Q58" s="72" t="s">
        <v>103</v>
      </c>
      <c r="R58" s="135" t="s">
        <v>100</v>
      </c>
      <c r="S58" s="73" t="s">
        <v>115</v>
      </c>
      <c r="T58" s="135" t="s">
        <v>100</v>
      </c>
      <c r="U58" s="42" t="s">
        <v>101</v>
      </c>
      <c r="V58" s="119" t="s">
        <v>102</v>
      </c>
      <c r="W58" s="42" t="s">
        <v>101</v>
      </c>
      <c r="X58" s="119" t="s">
        <v>102</v>
      </c>
      <c r="Y58" s="42" t="s">
        <v>101</v>
      </c>
      <c r="Z58" s="119" t="s">
        <v>102</v>
      </c>
      <c r="AA58" s="42" t="s">
        <v>101</v>
      </c>
      <c r="AB58" s="136" t="s">
        <v>102</v>
      </c>
      <c r="AC58" s="42" t="s">
        <v>101</v>
      </c>
      <c r="AD58" s="136" t="s">
        <v>102</v>
      </c>
      <c r="AE58" s="42" t="s">
        <v>101</v>
      </c>
      <c r="AF58" s="136" t="s">
        <v>102</v>
      </c>
      <c r="AG58" s="42" t="s">
        <v>101</v>
      </c>
      <c r="AH58" s="136" t="s">
        <v>102</v>
      </c>
      <c r="AI58" s="42" t="s">
        <v>101</v>
      </c>
      <c r="AJ58" s="119" t="s">
        <v>102</v>
      </c>
      <c r="AK58" s="42" t="s">
        <v>101</v>
      </c>
      <c r="AL58" s="119" t="s">
        <v>102</v>
      </c>
      <c r="AM58" s="42" t="s">
        <v>101</v>
      </c>
      <c r="AN58" s="119" t="s">
        <v>102</v>
      </c>
      <c r="AO58" s="42" t="s">
        <v>101</v>
      </c>
      <c r="AP58" s="171" t="s">
        <v>102</v>
      </c>
      <c r="AQ58" s="172" t="s">
        <v>101</v>
      </c>
      <c r="AR58" s="171" t="s">
        <v>102</v>
      </c>
      <c r="AS58" s="172" t="s">
        <v>101</v>
      </c>
      <c r="AT58" s="171" t="s">
        <v>102</v>
      </c>
      <c r="AU58" s="172" t="s">
        <v>101</v>
      </c>
      <c r="AV58" s="40" t="s">
        <v>102</v>
      </c>
      <c r="AW58" s="42" t="s">
        <v>101</v>
      </c>
      <c r="AX58" s="40" t="s">
        <v>102</v>
      </c>
      <c r="AY58" s="42" t="s">
        <v>101</v>
      </c>
      <c r="AZ58" s="40" t="s">
        <v>102</v>
      </c>
      <c r="BA58" s="42" t="s">
        <v>101</v>
      </c>
      <c r="BB58" s="40" t="s">
        <v>102</v>
      </c>
      <c r="BC58" s="42" t="s">
        <v>101</v>
      </c>
      <c r="BD58" s="40" t="s">
        <v>102</v>
      </c>
      <c r="BE58" s="42" t="s">
        <v>101</v>
      </c>
      <c r="BF58" s="40" t="s">
        <v>102</v>
      </c>
      <c r="BG58" s="42" t="s">
        <v>101</v>
      </c>
      <c r="BH58" s="40" t="s">
        <v>102</v>
      </c>
      <c r="BI58" s="42" t="s">
        <v>101</v>
      </c>
      <c r="BJ58" s="40" t="s">
        <v>102</v>
      </c>
      <c r="BK58" s="42" t="s">
        <v>101</v>
      </c>
      <c r="BL58" s="40" t="s">
        <v>102</v>
      </c>
      <c r="BM58" s="42" t="s">
        <v>101</v>
      </c>
      <c r="BN58" s="40" t="s">
        <v>102</v>
      </c>
      <c r="BO58" s="42" t="s">
        <v>101</v>
      </c>
      <c r="BP58" s="40" t="s">
        <v>102</v>
      </c>
      <c r="BQ58" s="42" t="s">
        <v>101</v>
      </c>
      <c r="BR58" s="40" t="s">
        <v>102</v>
      </c>
      <c r="BS58" s="42" t="s">
        <v>101</v>
      </c>
      <c r="BT58" s="40" t="s">
        <v>102</v>
      </c>
      <c r="BU58" s="42" t="s">
        <v>101</v>
      </c>
      <c r="BV58" s="40" t="s">
        <v>102</v>
      </c>
      <c r="BW58" s="42" t="s">
        <v>101</v>
      </c>
      <c r="BX58" s="40" t="s">
        <v>102</v>
      </c>
      <c r="BY58" s="42" t="s">
        <v>101</v>
      </c>
      <c r="BZ58" s="40" t="s">
        <v>102</v>
      </c>
      <c r="CA58" s="42" t="s">
        <v>101</v>
      </c>
      <c r="CB58" s="40" t="s">
        <v>102</v>
      </c>
      <c r="CC58" s="42" t="s">
        <v>101</v>
      </c>
      <c r="CD58" s="40" t="s">
        <v>102</v>
      </c>
      <c r="CE58" s="42" t="s">
        <v>101</v>
      </c>
      <c r="CF58" s="40" t="s">
        <v>102</v>
      </c>
      <c r="CG58" s="42" t="s">
        <v>101</v>
      </c>
      <c r="CH58" s="40" t="s">
        <v>102</v>
      </c>
      <c r="CI58" s="42" t="s">
        <v>101</v>
      </c>
      <c r="CJ58" s="40" t="s">
        <v>102</v>
      </c>
      <c r="CK58" s="42" t="s">
        <v>101</v>
      </c>
      <c r="CL58" s="136" t="s">
        <v>102</v>
      </c>
      <c r="CM58" s="59" t="str">
        <f t="shared" si="1"/>
        <v>APPROVED</v>
      </c>
      <c r="CN58" s="169"/>
      <c r="CO58" s="61"/>
      <c r="CP58" s="170" t="s">
        <v>152</v>
      </c>
      <c r="CQ58" s="175" t="s">
        <v>117</v>
      </c>
    </row>
    <row r="59" ht="24.0" customHeight="1">
      <c r="A59" s="23">
        <v>60.0</v>
      </c>
      <c r="B59" s="121" t="s">
        <v>288</v>
      </c>
      <c r="C59" s="109">
        <v>1125.0</v>
      </c>
      <c r="D59" s="66" t="s">
        <v>288</v>
      </c>
      <c r="E59" s="67">
        <v>1125.0</v>
      </c>
      <c r="F59" s="28" t="str">
        <f>IFERROR(VLOOKUP(L59:L120,'R22 RELATÓRIO ACC'!B:F,5,FALSE),"NOT PUBLISHED")</f>
        <v>V3</v>
      </c>
      <c r="G59" s="28" t="str">
        <f>IFERROR(VLOOKUP(L59:L120,'R22 RELATÓRIO ACC'!B:P,15,FALSE),"NOT PUBLISHED")</f>
        <v>31/10/2025</v>
      </c>
      <c r="H59" s="29" t="str">
        <f>IFERROR(VLOOKUP(M59:M120,'RELATÓRIO ACC'!B:F,5,FALSE),"NOT PUBLISHED")</f>
        <v>V1</v>
      </c>
      <c r="I59" s="29" t="str">
        <f>IFERROR(VLOOKUP(M59:M120,'RELATÓRIO ACC'!B:P,15,FALSE),"NOT PUBLISHED")</f>
        <v>21/05/2026</v>
      </c>
      <c r="J59" s="68" t="s">
        <v>95</v>
      </c>
      <c r="K59" s="30">
        <v>45856.0</v>
      </c>
      <c r="L59" s="147" t="s">
        <v>290</v>
      </c>
      <c r="M59" s="147" t="s">
        <v>290</v>
      </c>
      <c r="N59" s="70" t="b">
        <v>1</v>
      </c>
      <c r="O59" s="70" t="b">
        <v>1</v>
      </c>
      <c r="P59" s="71" t="s">
        <v>99</v>
      </c>
      <c r="Q59" s="48" t="s">
        <v>103</v>
      </c>
      <c r="R59" s="72" t="s">
        <v>103</v>
      </c>
      <c r="S59" s="73" t="s">
        <v>115</v>
      </c>
      <c r="T59" s="72" t="s">
        <v>103</v>
      </c>
      <c r="U59" s="73" t="s">
        <v>115</v>
      </c>
      <c r="V59" s="75" t="s">
        <v>105</v>
      </c>
      <c r="W59" s="51" t="s">
        <v>105</v>
      </c>
      <c r="X59" s="75" t="s">
        <v>105</v>
      </c>
      <c r="Y59" s="51" t="s">
        <v>105</v>
      </c>
      <c r="Z59" s="75" t="s">
        <v>100</v>
      </c>
      <c r="AA59" s="42" t="s">
        <v>101</v>
      </c>
      <c r="AB59" s="119" t="s">
        <v>102</v>
      </c>
      <c r="AC59" s="42" t="s">
        <v>101</v>
      </c>
      <c r="AD59" s="119" t="s">
        <v>102</v>
      </c>
      <c r="AE59" s="42" t="s">
        <v>101</v>
      </c>
      <c r="AF59" s="119" t="s">
        <v>102</v>
      </c>
      <c r="AG59" s="42" t="s">
        <v>101</v>
      </c>
      <c r="AH59" s="120" t="s">
        <v>102</v>
      </c>
      <c r="AI59" s="42" t="s">
        <v>101</v>
      </c>
      <c r="AJ59" s="119" t="s">
        <v>102</v>
      </c>
      <c r="AK59" s="42" t="s">
        <v>101</v>
      </c>
      <c r="AL59" s="119" t="s">
        <v>102</v>
      </c>
      <c r="AM59" s="42" t="s">
        <v>101</v>
      </c>
      <c r="AN59" s="119" t="s">
        <v>102</v>
      </c>
      <c r="AO59" s="42" t="s">
        <v>101</v>
      </c>
      <c r="AP59" s="171" t="s">
        <v>102</v>
      </c>
      <c r="AQ59" s="172" t="s">
        <v>101</v>
      </c>
      <c r="AR59" s="171" t="s">
        <v>102</v>
      </c>
      <c r="AS59" s="172" t="s">
        <v>101</v>
      </c>
      <c r="AT59" s="171" t="s">
        <v>102</v>
      </c>
      <c r="AU59" s="172" t="s">
        <v>101</v>
      </c>
      <c r="AV59" s="40" t="s">
        <v>102</v>
      </c>
      <c r="AW59" s="42" t="s">
        <v>101</v>
      </c>
      <c r="AX59" s="40" t="s">
        <v>102</v>
      </c>
      <c r="AY59" s="42" t="s">
        <v>101</v>
      </c>
      <c r="AZ59" s="40" t="s">
        <v>102</v>
      </c>
      <c r="BA59" s="42" t="s">
        <v>101</v>
      </c>
      <c r="BB59" s="40" t="s">
        <v>102</v>
      </c>
      <c r="BC59" s="42" t="s">
        <v>101</v>
      </c>
      <c r="BD59" s="40" t="s">
        <v>102</v>
      </c>
      <c r="BE59" s="42" t="s">
        <v>101</v>
      </c>
      <c r="BF59" s="40" t="s">
        <v>102</v>
      </c>
      <c r="BG59" s="42" t="s">
        <v>101</v>
      </c>
      <c r="BH59" s="40" t="s">
        <v>102</v>
      </c>
      <c r="BI59" s="42" t="s">
        <v>101</v>
      </c>
      <c r="BJ59" s="40" t="s">
        <v>102</v>
      </c>
      <c r="BK59" s="42" t="s">
        <v>101</v>
      </c>
      <c r="BL59" s="40" t="s">
        <v>102</v>
      </c>
      <c r="BM59" s="42" t="s">
        <v>101</v>
      </c>
      <c r="BN59" s="40" t="s">
        <v>102</v>
      </c>
      <c r="BO59" s="42" t="s">
        <v>101</v>
      </c>
      <c r="BP59" s="40" t="s">
        <v>102</v>
      </c>
      <c r="BQ59" s="42" t="s">
        <v>101</v>
      </c>
      <c r="BR59" s="40" t="s">
        <v>102</v>
      </c>
      <c r="BS59" s="42" t="s">
        <v>101</v>
      </c>
      <c r="BT59" s="40" t="s">
        <v>102</v>
      </c>
      <c r="BU59" s="42" t="s">
        <v>101</v>
      </c>
      <c r="BV59" s="40" t="s">
        <v>102</v>
      </c>
      <c r="BW59" s="42" t="s">
        <v>101</v>
      </c>
      <c r="BX59" s="40" t="s">
        <v>102</v>
      </c>
      <c r="BY59" s="42" t="s">
        <v>101</v>
      </c>
      <c r="BZ59" s="40" t="s">
        <v>102</v>
      </c>
      <c r="CA59" s="42" t="s">
        <v>101</v>
      </c>
      <c r="CB59" s="40" t="s">
        <v>102</v>
      </c>
      <c r="CC59" s="42" t="s">
        <v>101</v>
      </c>
      <c r="CD59" s="40" t="s">
        <v>102</v>
      </c>
      <c r="CE59" s="42" t="s">
        <v>101</v>
      </c>
      <c r="CF59" s="40" t="s">
        <v>102</v>
      </c>
      <c r="CG59" s="42" t="s">
        <v>101</v>
      </c>
      <c r="CH59" s="40" t="s">
        <v>102</v>
      </c>
      <c r="CI59" s="42" t="s">
        <v>101</v>
      </c>
      <c r="CJ59" s="40" t="s">
        <v>102</v>
      </c>
      <c r="CK59" s="42" t="s">
        <v>101</v>
      </c>
      <c r="CL59" s="136" t="s">
        <v>102</v>
      </c>
      <c r="CM59" s="59" t="str">
        <f t="shared" si="1"/>
        <v>APPROVED</v>
      </c>
      <c r="CN59" s="169"/>
      <c r="CO59" s="61"/>
      <c r="CP59" s="170" t="s">
        <v>152</v>
      </c>
      <c r="CQ59" s="175" t="s">
        <v>122</v>
      </c>
    </row>
    <row r="60" ht="24.0" customHeight="1">
      <c r="A60" s="23">
        <v>61.0</v>
      </c>
      <c r="B60" s="121" t="s">
        <v>288</v>
      </c>
      <c r="C60" s="109">
        <v>1125.0</v>
      </c>
      <c r="D60" s="66" t="s">
        <v>288</v>
      </c>
      <c r="E60" s="67">
        <v>1125.0</v>
      </c>
      <c r="F60" s="28" t="str">
        <f>IFERROR(VLOOKUP(L60:L121,'R22 RELATÓRIO ACC'!B:F,5,FALSE),"NOT PUBLISHED")</f>
        <v>V6</v>
      </c>
      <c r="G60" s="28" t="str">
        <f>IFERROR(VLOOKUP(L60:L121,'R22 RELATÓRIO ACC'!B:P,15,FALSE),"NOT PUBLISHED")</f>
        <v>11/02/2026</v>
      </c>
      <c r="H60" s="29" t="str">
        <f>IFERROR(VLOOKUP(M60:M121,'RELATÓRIO ACC'!B:F,5,FALSE),"NOT PUBLISHED")</f>
        <v>V1</v>
      </c>
      <c r="I60" s="29" t="str">
        <f>IFERROR(VLOOKUP(M60:M121,'RELATÓRIO ACC'!B:P,15,FALSE),"NOT PUBLISHED")</f>
        <v>21/05/2026</v>
      </c>
      <c r="J60" s="68" t="s">
        <v>130</v>
      </c>
      <c r="K60" s="30">
        <v>45856.0</v>
      </c>
      <c r="L60" s="147" t="s">
        <v>291</v>
      </c>
      <c r="M60" s="147" t="s">
        <v>291</v>
      </c>
      <c r="N60" s="70" t="b">
        <v>1</v>
      </c>
      <c r="O60" s="70" t="b">
        <v>1</v>
      </c>
      <c r="P60" s="71" t="s">
        <v>99</v>
      </c>
      <c r="Q60" s="48" t="s">
        <v>103</v>
      </c>
      <c r="R60" s="135" t="s">
        <v>100</v>
      </c>
      <c r="S60" s="73" t="s">
        <v>115</v>
      </c>
      <c r="T60" s="135" t="s">
        <v>100</v>
      </c>
      <c r="U60" s="43" t="s">
        <v>101</v>
      </c>
      <c r="V60" s="119" t="s">
        <v>102</v>
      </c>
      <c r="W60" s="42" t="s">
        <v>101</v>
      </c>
      <c r="X60" s="119" t="s">
        <v>102</v>
      </c>
      <c r="Y60" s="42" t="s">
        <v>101</v>
      </c>
      <c r="Z60" s="119" t="s">
        <v>102</v>
      </c>
      <c r="AA60" s="42" t="s">
        <v>101</v>
      </c>
      <c r="AB60" s="119" t="s">
        <v>102</v>
      </c>
      <c r="AC60" s="42" t="s">
        <v>101</v>
      </c>
      <c r="AD60" s="119" t="s">
        <v>102</v>
      </c>
      <c r="AE60" s="42" t="s">
        <v>101</v>
      </c>
      <c r="AF60" s="119" t="s">
        <v>102</v>
      </c>
      <c r="AG60" s="42" t="s">
        <v>101</v>
      </c>
      <c r="AH60" s="120" t="s">
        <v>102</v>
      </c>
      <c r="AI60" s="42" t="s">
        <v>101</v>
      </c>
      <c r="AJ60" s="119" t="s">
        <v>102</v>
      </c>
      <c r="AK60" s="42" t="s">
        <v>101</v>
      </c>
      <c r="AL60" s="119" t="s">
        <v>102</v>
      </c>
      <c r="AM60" s="42" t="s">
        <v>101</v>
      </c>
      <c r="AN60" s="119" t="s">
        <v>102</v>
      </c>
      <c r="AO60" s="42" t="s">
        <v>101</v>
      </c>
      <c r="AP60" s="171" t="s">
        <v>102</v>
      </c>
      <c r="AQ60" s="172" t="s">
        <v>101</v>
      </c>
      <c r="AR60" s="171" t="s">
        <v>102</v>
      </c>
      <c r="AS60" s="172" t="s">
        <v>101</v>
      </c>
      <c r="AT60" s="171" t="s">
        <v>102</v>
      </c>
      <c r="AU60" s="172" t="s">
        <v>101</v>
      </c>
      <c r="AV60" s="40" t="s">
        <v>102</v>
      </c>
      <c r="AW60" s="42" t="s">
        <v>101</v>
      </c>
      <c r="AX60" s="40" t="s">
        <v>102</v>
      </c>
      <c r="AY60" s="42" t="s">
        <v>101</v>
      </c>
      <c r="AZ60" s="40" t="s">
        <v>102</v>
      </c>
      <c r="BA60" s="42" t="s">
        <v>101</v>
      </c>
      <c r="BB60" s="40" t="s">
        <v>102</v>
      </c>
      <c r="BC60" s="42" t="s">
        <v>101</v>
      </c>
      <c r="BD60" s="40" t="s">
        <v>102</v>
      </c>
      <c r="BE60" s="42" t="s">
        <v>101</v>
      </c>
      <c r="BF60" s="40" t="s">
        <v>102</v>
      </c>
      <c r="BG60" s="42" t="s">
        <v>101</v>
      </c>
      <c r="BH60" s="40" t="s">
        <v>102</v>
      </c>
      <c r="BI60" s="42" t="s">
        <v>101</v>
      </c>
      <c r="BJ60" s="40" t="s">
        <v>102</v>
      </c>
      <c r="BK60" s="42" t="s">
        <v>101</v>
      </c>
      <c r="BL60" s="40" t="s">
        <v>102</v>
      </c>
      <c r="BM60" s="42" t="s">
        <v>101</v>
      </c>
      <c r="BN60" s="40" t="s">
        <v>102</v>
      </c>
      <c r="BO60" s="42" t="s">
        <v>101</v>
      </c>
      <c r="BP60" s="40" t="s">
        <v>102</v>
      </c>
      <c r="BQ60" s="42" t="s">
        <v>101</v>
      </c>
      <c r="BR60" s="40" t="s">
        <v>102</v>
      </c>
      <c r="BS60" s="42" t="s">
        <v>101</v>
      </c>
      <c r="BT60" s="40" t="s">
        <v>102</v>
      </c>
      <c r="BU60" s="42" t="s">
        <v>101</v>
      </c>
      <c r="BV60" s="40" t="s">
        <v>102</v>
      </c>
      <c r="BW60" s="42" t="s">
        <v>101</v>
      </c>
      <c r="BX60" s="40" t="s">
        <v>102</v>
      </c>
      <c r="BY60" s="42" t="s">
        <v>101</v>
      </c>
      <c r="BZ60" s="40" t="s">
        <v>102</v>
      </c>
      <c r="CA60" s="42" t="s">
        <v>101</v>
      </c>
      <c r="CB60" s="40" t="s">
        <v>102</v>
      </c>
      <c r="CC60" s="42" t="s">
        <v>101</v>
      </c>
      <c r="CD60" s="40" t="s">
        <v>102</v>
      </c>
      <c r="CE60" s="42" t="s">
        <v>101</v>
      </c>
      <c r="CF60" s="40" t="s">
        <v>102</v>
      </c>
      <c r="CG60" s="42" t="s">
        <v>101</v>
      </c>
      <c r="CH60" s="40" t="s">
        <v>102</v>
      </c>
      <c r="CI60" s="42" t="s">
        <v>101</v>
      </c>
      <c r="CJ60" s="40" t="s">
        <v>102</v>
      </c>
      <c r="CK60" s="42" t="s">
        <v>101</v>
      </c>
      <c r="CL60" s="136" t="s">
        <v>102</v>
      </c>
      <c r="CM60" s="59" t="str">
        <f t="shared" si="1"/>
        <v>APPROVED</v>
      </c>
      <c r="CN60" s="169"/>
      <c r="CO60" s="61" t="b">
        <v>0</v>
      </c>
      <c r="CP60" s="170" t="s">
        <v>152</v>
      </c>
      <c r="CQ60" s="170" t="s">
        <v>117</v>
      </c>
    </row>
    <row r="61" ht="24.0" customHeight="1">
      <c r="A61" s="23">
        <v>62.0</v>
      </c>
      <c r="B61" s="176" t="s">
        <v>110</v>
      </c>
      <c r="C61" s="177">
        <v>1112.0</v>
      </c>
      <c r="D61" s="178" t="s">
        <v>129</v>
      </c>
      <c r="E61" s="179">
        <v>1129.0</v>
      </c>
      <c r="F61" s="28" t="str">
        <f>IFERROR(VLOOKUP(L61:L122,'R22 RELATÓRIO ACC'!B:F,5,FALSE),"NOT PUBLISHED")</f>
        <v>V40</v>
      </c>
      <c r="G61" s="28" t="str">
        <f>IFERROR(VLOOKUP(L61:L122,'R22 RELATÓRIO ACC'!B:P,15,FALSE),"NOT PUBLISHED")</f>
        <v>10/04/2026</v>
      </c>
      <c r="H61" s="29" t="str">
        <f>IFERROR(VLOOKUP(M61:M122,'RELATÓRIO ACC'!B:F,5,FALSE),"NOT PUBLISHED")</f>
        <v>V3</v>
      </c>
      <c r="I61" s="29" t="str">
        <f>IFERROR(VLOOKUP(M61:M122,'RELATÓRIO ACC'!B:P,15,FALSE),"NOT PUBLISHED")</f>
        <v>13/07/2026</v>
      </c>
      <c r="J61" s="180" t="s">
        <v>209</v>
      </c>
      <c r="K61" s="181">
        <v>45911.0</v>
      </c>
      <c r="L61" s="69" t="s">
        <v>292</v>
      </c>
      <c r="M61" s="69" t="s">
        <v>293</v>
      </c>
      <c r="N61" s="70" t="b">
        <v>1</v>
      </c>
      <c r="O61" s="70" t="b">
        <v>1</v>
      </c>
      <c r="P61" s="71" t="s">
        <v>99</v>
      </c>
      <c r="Q61" s="72" t="s">
        <v>103</v>
      </c>
      <c r="R61" s="72" t="s">
        <v>103</v>
      </c>
      <c r="S61" s="73" t="s">
        <v>115</v>
      </c>
      <c r="T61" s="135" t="s">
        <v>100</v>
      </c>
      <c r="U61" s="43" t="s">
        <v>101</v>
      </c>
      <c r="V61" s="119" t="s">
        <v>102</v>
      </c>
      <c r="W61" s="42" t="s">
        <v>101</v>
      </c>
      <c r="X61" s="119" t="s">
        <v>102</v>
      </c>
      <c r="Y61" s="42" t="s">
        <v>101</v>
      </c>
      <c r="Z61" s="119" t="s">
        <v>102</v>
      </c>
      <c r="AA61" s="42" t="s">
        <v>101</v>
      </c>
      <c r="AB61" s="119" t="s">
        <v>102</v>
      </c>
      <c r="AC61" s="42" t="s">
        <v>101</v>
      </c>
      <c r="AD61" s="119" t="s">
        <v>102</v>
      </c>
      <c r="AE61" s="42" t="s">
        <v>101</v>
      </c>
      <c r="AF61" s="119" t="s">
        <v>102</v>
      </c>
      <c r="AG61" s="42" t="s">
        <v>101</v>
      </c>
      <c r="AH61" s="119" t="s">
        <v>102</v>
      </c>
      <c r="AI61" s="42" t="s">
        <v>101</v>
      </c>
      <c r="AJ61" s="119" t="s">
        <v>102</v>
      </c>
      <c r="AK61" s="42" t="s">
        <v>101</v>
      </c>
      <c r="AL61" s="119" t="s">
        <v>102</v>
      </c>
      <c r="AM61" s="42" t="s">
        <v>101</v>
      </c>
      <c r="AN61" s="119" t="s">
        <v>102</v>
      </c>
      <c r="AO61" s="42" t="s">
        <v>101</v>
      </c>
      <c r="AP61" s="171" t="s">
        <v>102</v>
      </c>
      <c r="AQ61" s="172" t="s">
        <v>101</v>
      </c>
      <c r="AR61" s="171" t="s">
        <v>102</v>
      </c>
      <c r="AS61" s="172" t="s">
        <v>101</v>
      </c>
      <c r="AT61" s="171" t="s">
        <v>102</v>
      </c>
      <c r="AU61" s="172" t="s">
        <v>101</v>
      </c>
      <c r="AV61" s="40" t="s">
        <v>102</v>
      </c>
      <c r="AW61" s="42" t="s">
        <v>101</v>
      </c>
      <c r="AX61" s="40" t="s">
        <v>102</v>
      </c>
      <c r="AY61" s="42" t="s">
        <v>101</v>
      </c>
      <c r="AZ61" s="40" t="s">
        <v>102</v>
      </c>
      <c r="BA61" s="42" t="s">
        <v>101</v>
      </c>
      <c r="BB61" s="40" t="s">
        <v>102</v>
      </c>
      <c r="BC61" s="42" t="s">
        <v>101</v>
      </c>
      <c r="BD61" s="40" t="s">
        <v>102</v>
      </c>
      <c r="BE61" s="42" t="s">
        <v>101</v>
      </c>
      <c r="BF61" s="40" t="s">
        <v>102</v>
      </c>
      <c r="BG61" s="42" t="s">
        <v>101</v>
      </c>
      <c r="BH61" s="40" t="s">
        <v>102</v>
      </c>
      <c r="BI61" s="42" t="s">
        <v>101</v>
      </c>
      <c r="BJ61" s="40" t="s">
        <v>102</v>
      </c>
      <c r="BK61" s="42" t="s">
        <v>101</v>
      </c>
      <c r="BL61" s="40" t="s">
        <v>102</v>
      </c>
      <c r="BM61" s="42" t="s">
        <v>101</v>
      </c>
      <c r="BN61" s="40" t="s">
        <v>102</v>
      </c>
      <c r="BO61" s="42" t="s">
        <v>101</v>
      </c>
      <c r="BP61" s="40" t="s">
        <v>102</v>
      </c>
      <c r="BQ61" s="42" t="s">
        <v>101</v>
      </c>
      <c r="BR61" s="40" t="s">
        <v>102</v>
      </c>
      <c r="BS61" s="42" t="s">
        <v>101</v>
      </c>
      <c r="BT61" s="40" t="s">
        <v>102</v>
      </c>
      <c r="BU61" s="42" t="s">
        <v>101</v>
      </c>
      <c r="BV61" s="40" t="s">
        <v>102</v>
      </c>
      <c r="BW61" s="42" t="s">
        <v>101</v>
      </c>
      <c r="BX61" s="40" t="s">
        <v>102</v>
      </c>
      <c r="BY61" s="42" t="s">
        <v>101</v>
      </c>
      <c r="BZ61" s="40" t="s">
        <v>102</v>
      </c>
      <c r="CA61" s="42" t="s">
        <v>101</v>
      </c>
      <c r="CB61" s="40" t="s">
        <v>102</v>
      </c>
      <c r="CC61" s="42" t="s">
        <v>101</v>
      </c>
      <c r="CD61" s="40" t="s">
        <v>102</v>
      </c>
      <c r="CE61" s="42" t="s">
        <v>101</v>
      </c>
      <c r="CF61" s="40" t="s">
        <v>102</v>
      </c>
      <c r="CG61" s="42" t="s">
        <v>101</v>
      </c>
      <c r="CH61" s="40" t="s">
        <v>102</v>
      </c>
      <c r="CI61" s="42" t="s">
        <v>101</v>
      </c>
      <c r="CJ61" s="40" t="s">
        <v>102</v>
      </c>
      <c r="CK61" s="42" t="s">
        <v>101</v>
      </c>
      <c r="CL61" s="136" t="s">
        <v>102</v>
      </c>
      <c r="CM61" s="59" t="str">
        <f t="shared" si="1"/>
        <v>APPROVED</v>
      </c>
      <c r="CN61" s="169"/>
      <c r="CO61" s="61" t="b">
        <v>0</v>
      </c>
      <c r="CP61" s="170"/>
      <c r="CQ61" s="170"/>
    </row>
    <row r="62" ht="24.0" customHeight="1">
      <c r="A62" s="23">
        <v>63.0</v>
      </c>
      <c r="B62" s="121" t="s">
        <v>110</v>
      </c>
      <c r="C62" s="109">
        <v>1112.0</v>
      </c>
      <c r="D62" s="66" t="s">
        <v>129</v>
      </c>
      <c r="E62" s="67">
        <v>1129.0</v>
      </c>
      <c r="F62" s="28" t="str">
        <f>IFERROR(VLOOKUP(L62:L123,'R22 RELATÓRIO ACC'!B:F,5,FALSE),"NOT PUBLISHED")</f>
        <v>V39</v>
      </c>
      <c r="G62" s="28" t="str">
        <f>IFERROR(VLOOKUP(L62:L123,'R22 RELATÓRIO ACC'!B:P,15,FALSE),"NOT PUBLISHED")</f>
        <v>12/05/2026</v>
      </c>
      <c r="H62" s="29" t="str">
        <f>IFERROR(VLOOKUP(M62:M123,'RELATÓRIO ACC'!B:F,5,FALSE),"NOT PUBLISHED")</f>
        <v>V4</v>
      </c>
      <c r="I62" s="29" t="str">
        <f>IFERROR(VLOOKUP(M62:M123,'RELATÓRIO ACC'!B:P,15,FALSE),"NOT PUBLISHED")</f>
        <v>14/07/2026</v>
      </c>
      <c r="J62" s="68" t="s">
        <v>294</v>
      </c>
      <c r="K62" s="30">
        <v>46059.0</v>
      </c>
      <c r="L62" s="69" t="s">
        <v>295</v>
      </c>
      <c r="M62" s="69" t="s">
        <v>296</v>
      </c>
      <c r="N62" s="70" t="b">
        <v>1</v>
      </c>
      <c r="O62" s="70" t="b">
        <v>1</v>
      </c>
      <c r="P62" s="71" t="s">
        <v>99</v>
      </c>
      <c r="Q62" s="48" t="s">
        <v>103</v>
      </c>
      <c r="R62" s="72" t="s">
        <v>103</v>
      </c>
      <c r="S62" s="73" t="s">
        <v>115</v>
      </c>
      <c r="T62" s="72" t="s">
        <v>103</v>
      </c>
      <c r="U62" s="73" t="s">
        <v>115</v>
      </c>
      <c r="V62" s="75" t="s">
        <v>105</v>
      </c>
      <c r="W62" s="51" t="s">
        <v>105</v>
      </c>
      <c r="X62" s="75" t="s">
        <v>105</v>
      </c>
      <c r="Y62" s="75" t="s">
        <v>105</v>
      </c>
      <c r="Z62" s="72" t="s">
        <v>103</v>
      </c>
      <c r="AA62" s="100" t="s">
        <v>115</v>
      </c>
      <c r="AB62" s="75" t="s">
        <v>105</v>
      </c>
      <c r="AC62" s="75" t="s">
        <v>105</v>
      </c>
      <c r="AD62" s="75" t="s">
        <v>105</v>
      </c>
      <c r="AE62" s="75" t="s">
        <v>105</v>
      </c>
      <c r="AF62" s="75" t="s">
        <v>105</v>
      </c>
      <c r="AG62" s="75" t="s">
        <v>105</v>
      </c>
      <c r="AH62" s="72" t="s">
        <v>103</v>
      </c>
      <c r="AI62" s="91" t="s">
        <v>104</v>
      </c>
      <c r="AJ62" s="75" t="s">
        <v>105</v>
      </c>
      <c r="AK62" s="75" t="s">
        <v>105</v>
      </c>
      <c r="AL62" s="72" t="s">
        <v>103</v>
      </c>
      <c r="AM62" s="91" t="s">
        <v>104</v>
      </c>
      <c r="AN62" s="72" t="s">
        <v>103</v>
      </c>
      <c r="AO62" s="91" t="s">
        <v>104</v>
      </c>
      <c r="AP62" s="182" t="s">
        <v>103</v>
      </c>
      <c r="AQ62" s="183" t="s">
        <v>104</v>
      </c>
      <c r="AR62" s="184" t="s">
        <v>100</v>
      </c>
      <c r="AS62" s="183" t="s">
        <v>104</v>
      </c>
      <c r="AT62" s="171" t="s">
        <v>102</v>
      </c>
      <c r="AU62" s="172" t="s">
        <v>101</v>
      </c>
      <c r="AV62" s="40" t="s">
        <v>102</v>
      </c>
      <c r="AW62" s="42" t="s">
        <v>101</v>
      </c>
      <c r="AX62" s="40" t="s">
        <v>102</v>
      </c>
      <c r="AY62" s="42" t="s">
        <v>101</v>
      </c>
      <c r="AZ62" s="40" t="s">
        <v>102</v>
      </c>
      <c r="BA62" s="42" t="s">
        <v>101</v>
      </c>
      <c r="BB62" s="40" t="s">
        <v>102</v>
      </c>
      <c r="BC62" s="42" t="s">
        <v>101</v>
      </c>
      <c r="BD62" s="40" t="s">
        <v>102</v>
      </c>
      <c r="BE62" s="42" t="s">
        <v>101</v>
      </c>
      <c r="BF62" s="40" t="s">
        <v>102</v>
      </c>
      <c r="BG62" s="42" t="s">
        <v>101</v>
      </c>
      <c r="BH62" s="40" t="s">
        <v>102</v>
      </c>
      <c r="BI62" s="42" t="s">
        <v>101</v>
      </c>
      <c r="BJ62" s="40" t="s">
        <v>102</v>
      </c>
      <c r="BK62" s="42" t="s">
        <v>101</v>
      </c>
      <c r="BL62" s="40" t="s">
        <v>102</v>
      </c>
      <c r="BM62" s="42" t="s">
        <v>101</v>
      </c>
      <c r="BN62" s="40" t="s">
        <v>102</v>
      </c>
      <c r="BO62" s="42" t="s">
        <v>101</v>
      </c>
      <c r="BP62" s="40" t="s">
        <v>102</v>
      </c>
      <c r="BQ62" s="42" t="s">
        <v>101</v>
      </c>
      <c r="BR62" s="40" t="s">
        <v>102</v>
      </c>
      <c r="BS62" s="42" t="s">
        <v>101</v>
      </c>
      <c r="BT62" s="40" t="s">
        <v>102</v>
      </c>
      <c r="BU62" s="42" t="s">
        <v>101</v>
      </c>
      <c r="BV62" s="40" t="s">
        <v>102</v>
      </c>
      <c r="BW62" s="42" t="s">
        <v>101</v>
      </c>
      <c r="BX62" s="40" t="s">
        <v>102</v>
      </c>
      <c r="BY62" s="42" t="s">
        <v>101</v>
      </c>
      <c r="BZ62" s="40" t="s">
        <v>102</v>
      </c>
      <c r="CA62" s="42" t="s">
        <v>101</v>
      </c>
      <c r="CB62" s="40" t="s">
        <v>102</v>
      </c>
      <c r="CC62" s="42" t="s">
        <v>101</v>
      </c>
      <c r="CD62" s="40" t="s">
        <v>102</v>
      </c>
      <c r="CE62" s="42" t="s">
        <v>101</v>
      </c>
      <c r="CF62" s="40" t="s">
        <v>102</v>
      </c>
      <c r="CG62" s="42" t="s">
        <v>101</v>
      </c>
      <c r="CH62" s="40" t="s">
        <v>102</v>
      </c>
      <c r="CI62" s="42" t="s">
        <v>101</v>
      </c>
      <c r="CJ62" s="40" t="s">
        <v>102</v>
      </c>
      <c r="CK62" s="42" t="s">
        <v>101</v>
      </c>
      <c r="CL62" s="119" t="s">
        <v>102</v>
      </c>
      <c r="CM62" s="59" t="str">
        <f t="shared" si="1"/>
        <v>APPROVED</v>
      </c>
      <c r="CN62" s="169"/>
      <c r="CO62" s="61"/>
      <c r="CP62" s="170" t="s">
        <v>297</v>
      </c>
      <c r="CQ62" s="185" t="s">
        <v>117</v>
      </c>
    </row>
    <row r="63" ht="24.0" customHeight="1">
      <c r="A63" s="23">
        <v>64.0</v>
      </c>
      <c r="B63" s="121" t="s">
        <v>94</v>
      </c>
      <c r="C63" s="109">
        <v>1114.0</v>
      </c>
      <c r="D63" s="66" t="s">
        <v>94</v>
      </c>
      <c r="E63" s="67">
        <v>1114.0</v>
      </c>
      <c r="F63" s="28" t="str">
        <f>IFERROR(VLOOKUP(L63:L124,'R22 RELATÓRIO ACC'!B:F,5,FALSE),"NOT PUBLISHED")</f>
        <v>V18</v>
      </c>
      <c r="G63" s="28" t="str">
        <f>IFERROR(VLOOKUP(L63:L124,'R22 RELATÓRIO ACC'!B:P,15,FALSE),"NOT PUBLISHED")</f>
        <v>30/04/2026</v>
      </c>
      <c r="H63" s="29" t="str">
        <f>IFERROR(VLOOKUP(M63:M124,'RELATÓRIO ACC'!B:F,5,FALSE),"NOT PUBLISHED")</f>
        <v>V3</v>
      </c>
      <c r="I63" s="29" t="str">
        <f>IFERROR(VLOOKUP(M63:M124,'RELATÓRIO ACC'!B:P,15,FALSE),"NOT PUBLISHED")</f>
        <v>29/06/2026</v>
      </c>
      <c r="J63" s="137" t="s">
        <v>204</v>
      </c>
      <c r="K63" s="97">
        <v>45870.0</v>
      </c>
      <c r="L63" s="147" t="s">
        <v>298</v>
      </c>
      <c r="M63" s="147" t="s">
        <v>299</v>
      </c>
      <c r="N63" s="70" t="b">
        <v>1</v>
      </c>
      <c r="O63" s="70" t="b">
        <v>1</v>
      </c>
      <c r="P63" s="71" t="s">
        <v>99</v>
      </c>
      <c r="Q63" s="72" t="s">
        <v>103</v>
      </c>
      <c r="R63" s="72" t="s">
        <v>103</v>
      </c>
      <c r="S63" s="73" t="s">
        <v>115</v>
      </c>
      <c r="T63" s="135" t="s">
        <v>100</v>
      </c>
      <c r="U63" s="43" t="s">
        <v>101</v>
      </c>
      <c r="V63" s="119" t="s">
        <v>102</v>
      </c>
      <c r="W63" s="42" t="s">
        <v>101</v>
      </c>
      <c r="X63" s="119" t="s">
        <v>102</v>
      </c>
      <c r="Y63" s="43" t="s">
        <v>101</v>
      </c>
      <c r="Z63" s="119" t="s">
        <v>102</v>
      </c>
      <c r="AA63" s="43" t="s">
        <v>101</v>
      </c>
      <c r="AB63" s="119" t="s">
        <v>102</v>
      </c>
      <c r="AC63" s="43" t="s">
        <v>101</v>
      </c>
      <c r="AD63" s="119" t="s">
        <v>102</v>
      </c>
      <c r="AE63" s="43" t="s">
        <v>101</v>
      </c>
      <c r="AF63" s="119" t="s">
        <v>102</v>
      </c>
      <c r="AG63" s="43" t="s">
        <v>101</v>
      </c>
      <c r="AH63" s="119" t="s">
        <v>102</v>
      </c>
      <c r="AI63" s="42" t="s">
        <v>101</v>
      </c>
      <c r="AJ63" s="119" t="s">
        <v>102</v>
      </c>
      <c r="AK63" s="42" t="s">
        <v>101</v>
      </c>
      <c r="AL63" s="119" t="s">
        <v>102</v>
      </c>
      <c r="AM63" s="42" t="s">
        <v>101</v>
      </c>
      <c r="AN63" s="119" t="s">
        <v>102</v>
      </c>
      <c r="AO63" s="42" t="s">
        <v>101</v>
      </c>
      <c r="AP63" s="119" t="s">
        <v>102</v>
      </c>
      <c r="AQ63" s="42" t="s">
        <v>101</v>
      </c>
      <c r="AR63" s="119" t="s">
        <v>102</v>
      </c>
      <c r="AS63" s="42" t="s">
        <v>101</v>
      </c>
      <c r="AT63" s="119" t="s">
        <v>102</v>
      </c>
      <c r="AU63" s="42" t="s">
        <v>101</v>
      </c>
      <c r="AV63" s="40" t="s">
        <v>102</v>
      </c>
      <c r="AW63" s="42" t="s">
        <v>101</v>
      </c>
      <c r="AX63" s="40" t="s">
        <v>102</v>
      </c>
      <c r="AY63" s="42" t="s">
        <v>101</v>
      </c>
      <c r="AZ63" s="40" t="s">
        <v>102</v>
      </c>
      <c r="BA63" s="42" t="s">
        <v>101</v>
      </c>
      <c r="BB63" s="40" t="s">
        <v>102</v>
      </c>
      <c r="BC63" s="42" t="s">
        <v>101</v>
      </c>
      <c r="BD63" s="40" t="s">
        <v>102</v>
      </c>
      <c r="BE63" s="42" t="s">
        <v>101</v>
      </c>
      <c r="BF63" s="40" t="s">
        <v>102</v>
      </c>
      <c r="BG63" s="42" t="s">
        <v>101</v>
      </c>
      <c r="BH63" s="40" t="s">
        <v>102</v>
      </c>
      <c r="BI63" s="42" t="s">
        <v>101</v>
      </c>
      <c r="BJ63" s="40" t="s">
        <v>102</v>
      </c>
      <c r="BK63" s="42" t="s">
        <v>101</v>
      </c>
      <c r="BL63" s="40" t="s">
        <v>102</v>
      </c>
      <c r="BM63" s="42" t="s">
        <v>101</v>
      </c>
      <c r="BN63" s="40" t="s">
        <v>102</v>
      </c>
      <c r="BO63" s="42" t="s">
        <v>101</v>
      </c>
      <c r="BP63" s="40" t="s">
        <v>102</v>
      </c>
      <c r="BQ63" s="42" t="s">
        <v>101</v>
      </c>
      <c r="BR63" s="40" t="s">
        <v>102</v>
      </c>
      <c r="BS63" s="42" t="s">
        <v>101</v>
      </c>
      <c r="BT63" s="40" t="s">
        <v>102</v>
      </c>
      <c r="BU63" s="42" t="s">
        <v>101</v>
      </c>
      <c r="BV63" s="40" t="s">
        <v>102</v>
      </c>
      <c r="BW63" s="42" t="s">
        <v>101</v>
      </c>
      <c r="BX63" s="40" t="s">
        <v>102</v>
      </c>
      <c r="BY63" s="42" t="s">
        <v>101</v>
      </c>
      <c r="BZ63" s="40" t="s">
        <v>102</v>
      </c>
      <c r="CA63" s="42" t="s">
        <v>101</v>
      </c>
      <c r="CB63" s="40" t="s">
        <v>102</v>
      </c>
      <c r="CC63" s="42" t="s">
        <v>101</v>
      </c>
      <c r="CD63" s="40" t="s">
        <v>102</v>
      </c>
      <c r="CE63" s="42" t="s">
        <v>101</v>
      </c>
      <c r="CF63" s="40" t="s">
        <v>102</v>
      </c>
      <c r="CG63" s="42" t="s">
        <v>101</v>
      </c>
      <c r="CH63" s="40" t="s">
        <v>102</v>
      </c>
      <c r="CI63" s="42" t="s">
        <v>101</v>
      </c>
      <c r="CJ63" s="40" t="s">
        <v>102</v>
      </c>
      <c r="CK63" s="42" t="s">
        <v>101</v>
      </c>
      <c r="CL63" s="136" t="s">
        <v>102</v>
      </c>
      <c r="CM63" s="59" t="str">
        <f t="shared" si="1"/>
        <v>APPROVED</v>
      </c>
      <c r="CN63" s="169"/>
      <c r="CO63" s="61"/>
      <c r="CP63" s="170" t="s">
        <v>152</v>
      </c>
      <c r="CQ63" s="175" t="s">
        <v>122</v>
      </c>
    </row>
    <row r="64" ht="24.0" customHeight="1">
      <c r="A64" s="23">
        <v>65.0</v>
      </c>
      <c r="B64" s="121" t="s">
        <v>94</v>
      </c>
      <c r="C64" s="109">
        <v>1114.0</v>
      </c>
      <c r="D64" s="66" t="s">
        <v>94</v>
      </c>
      <c r="E64" s="67">
        <v>1114.0</v>
      </c>
      <c r="F64" s="28" t="str">
        <f>IFERROR(VLOOKUP(L64:L125,'R22 RELATÓRIO ACC'!B:F,5,FALSE),"NOT PUBLISHED")</f>
        <v>V14</v>
      </c>
      <c r="G64" s="28" t="str">
        <f>IFERROR(VLOOKUP(L64:L125,'R22 RELATÓRIO ACC'!B:P,15,FALSE),"NOT PUBLISHED")</f>
        <v>29/04/2026</v>
      </c>
      <c r="H64" s="29" t="str">
        <f>IFERROR(VLOOKUP(M64:M125,'RELATÓRIO ACC'!B:F,5,FALSE),"NOT PUBLISHED")</f>
        <v>V2</v>
      </c>
      <c r="I64" s="29" t="str">
        <f>IFERROR(VLOOKUP(M64:M125,'RELATÓRIO ACC'!B:P,15,FALSE),"NOT PUBLISHED")</f>
        <v>07/07/2026</v>
      </c>
      <c r="J64" s="68" t="s">
        <v>224</v>
      </c>
      <c r="K64" s="30">
        <v>45854.0</v>
      </c>
      <c r="L64" s="147" t="s">
        <v>300</v>
      </c>
      <c r="M64" s="147" t="s">
        <v>301</v>
      </c>
      <c r="N64" s="70" t="b">
        <v>1</v>
      </c>
      <c r="O64" s="70" t="b">
        <v>1</v>
      </c>
      <c r="P64" s="71" t="s">
        <v>99</v>
      </c>
      <c r="Q64" s="36" t="s">
        <v>100</v>
      </c>
      <c r="R64" s="135" t="s">
        <v>100</v>
      </c>
      <c r="S64" s="43" t="s">
        <v>101</v>
      </c>
      <c r="T64" s="135" t="s">
        <v>100</v>
      </c>
      <c r="U64" s="43" t="s">
        <v>101</v>
      </c>
      <c r="V64" s="119" t="s">
        <v>102</v>
      </c>
      <c r="W64" s="42" t="s">
        <v>101</v>
      </c>
      <c r="X64" s="119" t="s">
        <v>102</v>
      </c>
      <c r="Y64" s="43" t="s">
        <v>101</v>
      </c>
      <c r="Z64" s="119" t="s">
        <v>102</v>
      </c>
      <c r="AA64" s="43" t="s">
        <v>101</v>
      </c>
      <c r="AB64" s="119" t="s">
        <v>102</v>
      </c>
      <c r="AC64" s="43" t="s">
        <v>101</v>
      </c>
      <c r="AD64" s="119" t="s">
        <v>102</v>
      </c>
      <c r="AE64" s="43" t="s">
        <v>101</v>
      </c>
      <c r="AF64" s="119" t="s">
        <v>102</v>
      </c>
      <c r="AG64" s="43" t="s">
        <v>101</v>
      </c>
      <c r="AH64" s="119" t="s">
        <v>102</v>
      </c>
      <c r="AI64" s="42" t="s">
        <v>101</v>
      </c>
      <c r="AJ64" s="119" t="s">
        <v>102</v>
      </c>
      <c r="AK64" s="42" t="s">
        <v>101</v>
      </c>
      <c r="AL64" s="119" t="s">
        <v>102</v>
      </c>
      <c r="AM64" s="42" t="s">
        <v>101</v>
      </c>
      <c r="AN64" s="119" t="s">
        <v>102</v>
      </c>
      <c r="AO64" s="42" t="s">
        <v>101</v>
      </c>
      <c r="AP64" s="119" t="s">
        <v>102</v>
      </c>
      <c r="AQ64" s="42" t="s">
        <v>101</v>
      </c>
      <c r="AR64" s="119" t="s">
        <v>102</v>
      </c>
      <c r="AS64" s="42" t="s">
        <v>101</v>
      </c>
      <c r="AT64" s="119" t="s">
        <v>102</v>
      </c>
      <c r="AU64" s="42" t="s">
        <v>101</v>
      </c>
      <c r="AV64" s="40" t="s">
        <v>102</v>
      </c>
      <c r="AW64" s="42" t="s">
        <v>101</v>
      </c>
      <c r="AX64" s="40" t="s">
        <v>102</v>
      </c>
      <c r="AY64" s="42" t="s">
        <v>101</v>
      </c>
      <c r="AZ64" s="40" t="s">
        <v>102</v>
      </c>
      <c r="BA64" s="42" t="s">
        <v>101</v>
      </c>
      <c r="BB64" s="40" t="s">
        <v>102</v>
      </c>
      <c r="BC64" s="42" t="s">
        <v>101</v>
      </c>
      <c r="BD64" s="40" t="s">
        <v>102</v>
      </c>
      <c r="BE64" s="42" t="s">
        <v>101</v>
      </c>
      <c r="BF64" s="40" t="s">
        <v>102</v>
      </c>
      <c r="BG64" s="42" t="s">
        <v>101</v>
      </c>
      <c r="BH64" s="40" t="s">
        <v>102</v>
      </c>
      <c r="BI64" s="42" t="s">
        <v>101</v>
      </c>
      <c r="BJ64" s="40" t="s">
        <v>102</v>
      </c>
      <c r="BK64" s="42" t="s">
        <v>101</v>
      </c>
      <c r="BL64" s="40" t="s">
        <v>102</v>
      </c>
      <c r="BM64" s="42" t="s">
        <v>101</v>
      </c>
      <c r="BN64" s="40" t="s">
        <v>102</v>
      </c>
      <c r="BO64" s="42" t="s">
        <v>101</v>
      </c>
      <c r="BP64" s="40" t="s">
        <v>102</v>
      </c>
      <c r="BQ64" s="42" t="s">
        <v>101</v>
      </c>
      <c r="BR64" s="40" t="s">
        <v>102</v>
      </c>
      <c r="BS64" s="42" t="s">
        <v>101</v>
      </c>
      <c r="BT64" s="40" t="s">
        <v>102</v>
      </c>
      <c r="BU64" s="42" t="s">
        <v>101</v>
      </c>
      <c r="BV64" s="40" t="s">
        <v>102</v>
      </c>
      <c r="BW64" s="42" t="s">
        <v>101</v>
      </c>
      <c r="BX64" s="40" t="s">
        <v>102</v>
      </c>
      <c r="BY64" s="42" t="s">
        <v>101</v>
      </c>
      <c r="BZ64" s="40" t="s">
        <v>102</v>
      </c>
      <c r="CA64" s="42" t="s">
        <v>101</v>
      </c>
      <c r="CB64" s="40" t="s">
        <v>102</v>
      </c>
      <c r="CC64" s="42" t="s">
        <v>101</v>
      </c>
      <c r="CD64" s="40" t="s">
        <v>102</v>
      </c>
      <c r="CE64" s="42" t="s">
        <v>101</v>
      </c>
      <c r="CF64" s="40" t="s">
        <v>102</v>
      </c>
      <c r="CG64" s="42" t="s">
        <v>101</v>
      </c>
      <c r="CH64" s="40" t="s">
        <v>102</v>
      </c>
      <c r="CI64" s="42" t="s">
        <v>101</v>
      </c>
      <c r="CJ64" s="40" t="s">
        <v>102</v>
      </c>
      <c r="CK64" s="42" t="s">
        <v>101</v>
      </c>
      <c r="CL64" s="136" t="s">
        <v>102</v>
      </c>
      <c r="CM64" s="59" t="str">
        <f t="shared" si="1"/>
        <v>APPROVED</v>
      </c>
      <c r="CN64" s="169"/>
      <c r="CO64" s="61"/>
      <c r="CP64" s="170" t="s">
        <v>128</v>
      </c>
      <c r="CQ64" s="170" t="s">
        <v>109</v>
      </c>
    </row>
    <row r="65" ht="24.0" customHeight="1">
      <c r="A65" s="23">
        <v>67.0</v>
      </c>
      <c r="B65" s="186" t="s">
        <v>110</v>
      </c>
      <c r="C65" s="187">
        <v>1112.0</v>
      </c>
      <c r="D65" s="88" t="s">
        <v>110</v>
      </c>
      <c r="E65" s="188"/>
      <c r="F65" s="28" t="str">
        <f>IFERROR(VLOOKUP(L65:L126,'R22 RELATÓRIO ACC'!B:F,5,FALSE),"NOT PUBLISHED")</f>
        <v>V7</v>
      </c>
      <c r="G65" s="28" t="str">
        <f>IFERROR(VLOOKUP(L65:L126,'R22 RELATÓRIO ACC'!B:P,15,FALSE),"NOT PUBLISHED")</f>
        <v>08/12/2025</v>
      </c>
      <c r="H65" s="29" t="str">
        <f>IFERROR(VLOOKUP(M65:M126,'RELATÓRIO ACC'!B:F,5,FALSE),"NOT PUBLISHED")</f>
        <v>V2</v>
      </c>
      <c r="I65" s="29" t="str">
        <f>IFERROR(VLOOKUP(M65:M126,'RELATÓRIO ACC'!B:P,15,FALSE),"NOT PUBLISHED")</f>
        <v>03/07/2026</v>
      </c>
      <c r="J65" s="68" t="s">
        <v>111</v>
      </c>
      <c r="K65" s="30">
        <v>45966.0</v>
      </c>
      <c r="L65" s="189" t="s">
        <v>302</v>
      </c>
      <c r="M65" s="189" t="s">
        <v>303</v>
      </c>
      <c r="N65" s="190" t="b">
        <v>1</v>
      </c>
      <c r="O65" s="190" t="b">
        <v>0</v>
      </c>
      <c r="P65" s="71" t="s">
        <v>99</v>
      </c>
      <c r="Q65" s="111" t="s">
        <v>99</v>
      </c>
      <c r="R65" s="71" t="s">
        <v>99</v>
      </c>
      <c r="S65" s="191" t="s">
        <v>99</v>
      </c>
      <c r="T65" s="71" t="s">
        <v>99</v>
      </c>
      <c r="U65" s="71" t="s">
        <v>99</v>
      </c>
      <c r="V65" s="71" t="s">
        <v>99</v>
      </c>
      <c r="W65" s="127" t="s">
        <v>99</v>
      </c>
      <c r="X65" s="71" t="s">
        <v>99</v>
      </c>
      <c r="Y65" s="71" t="s">
        <v>99</v>
      </c>
      <c r="Z65" s="71" t="s">
        <v>99</v>
      </c>
      <c r="AA65" s="71" t="s">
        <v>99</v>
      </c>
      <c r="AB65" s="72" t="s">
        <v>103</v>
      </c>
      <c r="AC65" s="100" t="s">
        <v>115</v>
      </c>
      <c r="AD65" s="72" t="s">
        <v>103</v>
      </c>
      <c r="AE65" s="100" t="s">
        <v>115</v>
      </c>
      <c r="AF65" s="158" t="s">
        <v>100</v>
      </c>
      <c r="AG65" s="43" t="s">
        <v>101</v>
      </c>
      <c r="AH65" s="171" t="s">
        <v>102</v>
      </c>
      <c r="AI65" s="172" t="s">
        <v>101</v>
      </c>
      <c r="AJ65" s="171" t="s">
        <v>102</v>
      </c>
      <c r="AK65" s="172" t="s">
        <v>101</v>
      </c>
      <c r="AL65" s="171" t="s">
        <v>102</v>
      </c>
      <c r="AM65" s="172" t="s">
        <v>101</v>
      </c>
      <c r="AN65" s="171" t="s">
        <v>102</v>
      </c>
      <c r="AO65" s="172" t="s">
        <v>101</v>
      </c>
      <c r="AP65" s="171" t="s">
        <v>102</v>
      </c>
      <c r="AQ65" s="172" t="s">
        <v>101</v>
      </c>
      <c r="AR65" s="171" t="s">
        <v>102</v>
      </c>
      <c r="AS65" s="172" t="s">
        <v>101</v>
      </c>
      <c r="AT65" s="171" t="s">
        <v>102</v>
      </c>
      <c r="AU65" s="172" t="s">
        <v>101</v>
      </c>
      <c r="AV65" s="40" t="s">
        <v>102</v>
      </c>
      <c r="AW65" s="42" t="s">
        <v>101</v>
      </c>
      <c r="AX65" s="40" t="s">
        <v>102</v>
      </c>
      <c r="AY65" s="42" t="s">
        <v>101</v>
      </c>
      <c r="AZ65" s="40" t="s">
        <v>102</v>
      </c>
      <c r="BA65" s="42" t="s">
        <v>101</v>
      </c>
      <c r="BB65" s="40" t="s">
        <v>102</v>
      </c>
      <c r="BC65" s="42" t="s">
        <v>101</v>
      </c>
      <c r="BD65" s="40" t="s">
        <v>102</v>
      </c>
      <c r="BE65" s="42" t="s">
        <v>101</v>
      </c>
      <c r="BF65" s="40" t="s">
        <v>102</v>
      </c>
      <c r="BG65" s="42" t="s">
        <v>101</v>
      </c>
      <c r="BH65" s="40" t="s">
        <v>102</v>
      </c>
      <c r="BI65" s="42" t="s">
        <v>101</v>
      </c>
      <c r="BJ65" s="40" t="s">
        <v>102</v>
      </c>
      <c r="BK65" s="42" t="s">
        <v>101</v>
      </c>
      <c r="BL65" s="40" t="s">
        <v>102</v>
      </c>
      <c r="BM65" s="42" t="s">
        <v>101</v>
      </c>
      <c r="BN65" s="40" t="s">
        <v>102</v>
      </c>
      <c r="BO65" s="42" t="s">
        <v>101</v>
      </c>
      <c r="BP65" s="40" t="s">
        <v>102</v>
      </c>
      <c r="BQ65" s="42" t="s">
        <v>101</v>
      </c>
      <c r="BR65" s="40" t="s">
        <v>102</v>
      </c>
      <c r="BS65" s="42" t="s">
        <v>101</v>
      </c>
      <c r="BT65" s="40" t="s">
        <v>102</v>
      </c>
      <c r="BU65" s="42" t="s">
        <v>101</v>
      </c>
      <c r="BV65" s="40" t="s">
        <v>102</v>
      </c>
      <c r="BW65" s="42" t="s">
        <v>101</v>
      </c>
      <c r="BX65" s="40" t="s">
        <v>102</v>
      </c>
      <c r="BY65" s="42" t="s">
        <v>101</v>
      </c>
      <c r="BZ65" s="40" t="s">
        <v>102</v>
      </c>
      <c r="CA65" s="42" t="s">
        <v>101</v>
      </c>
      <c r="CB65" s="40" t="s">
        <v>102</v>
      </c>
      <c r="CC65" s="42" t="s">
        <v>101</v>
      </c>
      <c r="CD65" s="40" t="s">
        <v>102</v>
      </c>
      <c r="CE65" s="42" t="s">
        <v>101</v>
      </c>
      <c r="CF65" s="40" t="s">
        <v>102</v>
      </c>
      <c r="CG65" s="42" t="s">
        <v>101</v>
      </c>
      <c r="CH65" s="40" t="s">
        <v>102</v>
      </c>
      <c r="CI65" s="42" t="s">
        <v>101</v>
      </c>
      <c r="CJ65" s="40" t="s">
        <v>102</v>
      </c>
      <c r="CK65" s="42" t="s">
        <v>101</v>
      </c>
      <c r="CL65" s="171" t="s">
        <v>102</v>
      </c>
      <c r="CM65" s="59" t="str">
        <f t="shared" si="1"/>
        <v>APPROVED</v>
      </c>
      <c r="CN65" s="169" t="s">
        <v>304</v>
      </c>
      <c r="CO65" s="61" t="b">
        <v>0</v>
      </c>
      <c r="CP65" s="173"/>
      <c r="CQ65" s="174"/>
    </row>
    <row r="66" ht="24.0" customHeight="1">
      <c r="A66" s="23">
        <v>69.0</v>
      </c>
      <c r="B66" s="115" t="s">
        <v>305</v>
      </c>
      <c r="C66" s="117" t="s">
        <v>305</v>
      </c>
      <c r="D66" s="117" t="s">
        <v>305</v>
      </c>
      <c r="E66" s="188"/>
      <c r="F66" s="28" t="str">
        <f>IFERROR(VLOOKUP(L66:L127,'R22 RELATÓRIO ACC'!B:F,5,FALSE),"NOT PUBLISHED")</f>
        <v>V10</v>
      </c>
      <c r="G66" s="28" t="str">
        <f>IFERROR(VLOOKUP(L66:L127,'R22 RELATÓRIO ACC'!B:P,15,FALSE),"NOT PUBLISHED")</f>
        <v>11/05/2026</v>
      </c>
      <c r="H66" s="29" t="str">
        <f>IFERROR(VLOOKUP(M66:M127,'RELATÓRIO ACC'!B:F,5,FALSE),"NOT PUBLISHED")</f>
        <v>V3</v>
      </c>
      <c r="I66" s="29" t="str">
        <f>IFERROR(VLOOKUP(M66:M127,'RELATÓRIO ACC'!B:P,15,FALSE),"NOT PUBLISHED")</f>
        <v>09/06/2026</v>
      </c>
      <c r="J66" s="68" t="s">
        <v>130</v>
      </c>
      <c r="K66" s="30">
        <v>46083.0</v>
      </c>
      <c r="L66" s="189" t="s">
        <v>306</v>
      </c>
      <c r="M66" s="189" t="s">
        <v>307</v>
      </c>
      <c r="N66" s="190" t="b">
        <v>1</v>
      </c>
      <c r="O66" s="190" t="b">
        <v>0</v>
      </c>
      <c r="P66" s="71" t="s">
        <v>99</v>
      </c>
      <c r="Q66" s="71" t="s">
        <v>99</v>
      </c>
      <c r="R66" s="71" t="s">
        <v>99</v>
      </c>
      <c r="S66" s="71" t="s">
        <v>99</v>
      </c>
      <c r="T66" s="71" t="s">
        <v>99</v>
      </c>
      <c r="U66" s="71" t="s">
        <v>99</v>
      </c>
      <c r="V66" s="71" t="s">
        <v>99</v>
      </c>
      <c r="W66" s="127" t="s">
        <v>99</v>
      </c>
      <c r="X66" s="71" t="s">
        <v>99</v>
      </c>
      <c r="Y66" s="71" t="s">
        <v>99</v>
      </c>
      <c r="Z66" s="71" t="s">
        <v>99</v>
      </c>
      <c r="AA66" s="71" t="s">
        <v>99</v>
      </c>
      <c r="AB66" s="71" t="s">
        <v>99</v>
      </c>
      <c r="AC66" s="71" t="s">
        <v>99</v>
      </c>
      <c r="AD66" s="71" t="s">
        <v>99</v>
      </c>
      <c r="AE66" s="71" t="s">
        <v>99</v>
      </c>
      <c r="AF66" s="71" t="s">
        <v>99</v>
      </c>
      <c r="AG66" s="71" t="s">
        <v>99</v>
      </c>
      <c r="AH66" s="71" t="s">
        <v>99</v>
      </c>
      <c r="AI66" s="127" t="s">
        <v>99</v>
      </c>
      <c r="AJ66" s="71" t="s">
        <v>99</v>
      </c>
      <c r="AK66" s="127" t="s">
        <v>99</v>
      </c>
      <c r="AL66" s="71" t="s">
        <v>99</v>
      </c>
      <c r="AM66" s="127" t="s">
        <v>99</v>
      </c>
      <c r="AN66" s="71" t="s">
        <v>99</v>
      </c>
      <c r="AO66" s="127" t="s">
        <v>99</v>
      </c>
      <c r="AP66" s="72" t="s">
        <v>103</v>
      </c>
      <c r="AQ66" s="129" t="s">
        <v>104</v>
      </c>
      <c r="AR66" s="72" t="s">
        <v>103</v>
      </c>
      <c r="AS66" s="129" t="s">
        <v>104</v>
      </c>
      <c r="AT66" s="75" t="s">
        <v>105</v>
      </c>
      <c r="AU66" s="51" t="s">
        <v>105</v>
      </c>
      <c r="AV66" s="48" t="s">
        <v>103</v>
      </c>
      <c r="AW66" s="129" t="s">
        <v>104</v>
      </c>
      <c r="AX66" s="58" t="s">
        <v>100</v>
      </c>
      <c r="AY66" s="42" t="s">
        <v>101</v>
      </c>
      <c r="AZ66" s="40" t="s">
        <v>102</v>
      </c>
      <c r="BA66" s="42" t="s">
        <v>101</v>
      </c>
      <c r="BB66" s="40" t="s">
        <v>102</v>
      </c>
      <c r="BC66" s="42" t="s">
        <v>101</v>
      </c>
      <c r="BD66" s="40" t="s">
        <v>102</v>
      </c>
      <c r="BE66" s="42" t="s">
        <v>101</v>
      </c>
      <c r="BF66" s="40" t="s">
        <v>102</v>
      </c>
      <c r="BG66" s="42" t="s">
        <v>101</v>
      </c>
      <c r="BH66" s="40" t="s">
        <v>102</v>
      </c>
      <c r="BI66" s="42" t="s">
        <v>101</v>
      </c>
      <c r="BJ66" s="40" t="s">
        <v>102</v>
      </c>
      <c r="BK66" s="42" t="s">
        <v>101</v>
      </c>
      <c r="BL66" s="40" t="s">
        <v>102</v>
      </c>
      <c r="BM66" s="42" t="s">
        <v>101</v>
      </c>
      <c r="BN66" s="40" t="s">
        <v>102</v>
      </c>
      <c r="BO66" s="42" t="s">
        <v>101</v>
      </c>
      <c r="BP66" s="40" t="s">
        <v>102</v>
      </c>
      <c r="BQ66" s="42" t="s">
        <v>101</v>
      </c>
      <c r="BR66" s="40" t="s">
        <v>102</v>
      </c>
      <c r="BS66" s="42" t="s">
        <v>101</v>
      </c>
      <c r="BT66" s="40" t="s">
        <v>102</v>
      </c>
      <c r="BU66" s="42" t="s">
        <v>101</v>
      </c>
      <c r="BV66" s="40" t="s">
        <v>102</v>
      </c>
      <c r="BW66" s="42" t="s">
        <v>101</v>
      </c>
      <c r="BX66" s="40" t="s">
        <v>102</v>
      </c>
      <c r="BY66" s="42" t="s">
        <v>101</v>
      </c>
      <c r="BZ66" s="40" t="s">
        <v>102</v>
      </c>
      <c r="CA66" s="42" t="s">
        <v>101</v>
      </c>
      <c r="CB66" s="40" t="s">
        <v>102</v>
      </c>
      <c r="CC66" s="42" t="s">
        <v>101</v>
      </c>
      <c r="CD66" s="40" t="s">
        <v>102</v>
      </c>
      <c r="CE66" s="42" t="s">
        <v>101</v>
      </c>
      <c r="CF66" s="40" t="s">
        <v>102</v>
      </c>
      <c r="CG66" s="42" t="s">
        <v>101</v>
      </c>
      <c r="CH66" s="40" t="s">
        <v>102</v>
      </c>
      <c r="CI66" s="42" t="s">
        <v>101</v>
      </c>
      <c r="CJ66" s="40" t="s">
        <v>102</v>
      </c>
      <c r="CK66" s="42" t="s">
        <v>101</v>
      </c>
      <c r="CL66" s="136" t="s">
        <v>102</v>
      </c>
      <c r="CM66" s="59" t="str">
        <f t="shared" si="1"/>
        <v>APPROVED</v>
      </c>
      <c r="CN66" s="169"/>
      <c r="CO66" s="61" t="b">
        <v>0</v>
      </c>
      <c r="CP66" s="173"/>
      <c r="CQ66" s="174"/>
    </row>
    <row r="67" ht="24.0" customHeight="1">
      <c r="A67" s="23">
        <v>71.0</v>
      </c>
      <c r="B67" s="192" t="s">
        <v>308</v>
      </c>
      <c r="C67" s="187"/>
      <c r="D67" s="193" t="s">
        <v>174</v>
      </c>
      <c r="E67" s="194"/>
      <c r="F67" s="28" t="str">
        <f>IFERROR(VLOOKUP(L67:L128,'R22 RELATÓRIO ACC'!B:F,5,FALSE),"NOT PUBLISHED")</f>
        <v>V4</v>
      </c>
      <c r="G67" s="28" t="str">
        <f>IFERROR(VLOOKUP(L67:L128,'R22 RELATÓRIO ACC'!B:P,15,FALSE),"NOT PUBLISHED")</f>
        <v>10/04/2026</v>
      </c>
      <c r="H67" s="29" t="str">
        <f>IFERROR(VLOOKUP(M67:M128,'RELATÓRIO ACC'!B:F,5,FALSE),"NOT PUBLISHED")</f>
        <v>V2</v>
      </c>
      <c r="I67" s="29" t="str">
        <f>IFERROR(VLOOKUP(M67:M128,'RELATÓRIO ACC'!B:P,15,FALSE),"NOT PUBLISHED")</f>
        <v>04/06/2026</v>
      </c>
      <c r="J67" s="195" t="s">
        <v>118</v>
      </c>
      <c r="K67" s="195">
        <v>46092.0</v>
      </c>
      <c r="L67" s="189" t="s">
        <v>309</v>
      </c>
      <c r="M67" s="189" t="s">
        <v>310</v>
      </c>
      <c r="N67" s="190" t="b">
        <v>1</v>
      </c>
      <c r="O67" s="190" t="b">
        <v>1</v>
      </c>
      <c r="P67" s="191" t="s">
        <v>99</v>
      </c>
      <c r="Q67" s="111" t="s">
        <v>99</v>
      </c>
      <c r="R67" s="191" t="s">
        <v>99</v>
      </c>
      <c r="S67" s="191" t="s">
        <v>99</v>
      </c>
      <c r="T67" s="191" t="s">
        <v>99</v>
      </c>
      <c r="U67" s="191" t="s">
        <v>99</v>
      </c>
      <c r="V67" s="191" t="s">
        <v>99</v>
      </c>
      <c r="W67" s="127" t="s">
        <v>99</v>
      </c>
      <c r="X67" s="71" t="s">
        <v>99</v>
      </c>
      <c r="Y67" s="71" t="s">
        <v>99</v>
      </c>
      <c r="Z67" s="71" t="s">
        <v>99</v>
      </c>
      <c r="AA67" s="71" t="s">
        <v>99</v>
      </c>
      <c r="AB67" s="71" t="s">
        <v>99</v>
      </c>
      <c r="AC67" s="71" t="s">
        <v>99</v>
      </c>
      <c r="AD67" s="71" t="s">
        <v>99</v>
      </c>
      <c r="AE67" s="71" t="s">
        <v>99</v>
      </c>
      <c r="AF67" s="71" t="s">
        <v>99</v>
      </c>
      <c r="AG67" s="71" t="s">
        <v>99</v>
      </c>
      <c r="AH67" s="71" t="s">
        <v>99</v>
      </c>
      <c r="AI67" s="127" t="s">
        <v>99</v>
      </c>
      <c r="AJ67" s="71" t="s">
        <v>99</v>
      </c>
      <c r="AK67" s="127" t="s">
        <v>99</v>
      </c>
      <c r="AL67" s="71" t="s">
        <v>99</v>
      </c>
      <c r="AM67" s="127" t="s">
        <v>99</v>
      </c>
      <c r="AN67" s="71" t="s">
        <v>99</v>
      </c>
      <c r="AO67" s="127" t="s">
        <v>99</v>
      </c>
      <c r="AP67" s="71" t="s">
        <v>99</v>
      </c>
      <c r="AQ67" s="127" t="s">
        <v>99</v>
      </c>
      <c r="AR67" s="71" t="s">
        <v>99</v>
      </c>
      <c r="AS67" s="127" t="s">
        <v>99</v>
      </c>
      <c r="AT67" s="71" t="s">
        <v>99</v>
      </c>
      <c r="AU67" s="127" t="s">
        <v>99</v>
      </c>
      <c r="AV67" s="111" t="s">
        <v>99</v>
      </c>
      <c r="AW67" s="127" t="s">
        <v>99</v>
      </c>
      <c r="AX67" s="111" t="s">
        <v>99</v>
      </c>
      <c r="AY67" s="127" t="s">
        <v>99</v>
      </c>
      <c r="AZ67" s="111" t="s">
        <v>99</v>
      </c>
      <c r="BA67" s="127" t="s">
        <v>99</v>
      </c>
      <c r="BB67" s="111" t="s">
        <v>106</v>
      </c>
      <c r="BC67" s="127" t="s">
        <v>106</v>
      </c>
      <c r="BD67" s="166" t="s">
        <v>106</v>
      </c>
      <c r="BE67" s="79" t="s">
        <v>106</v>
      </c>
      <c r="BF67" s="166" t="s">
        <v>106</v>
      </c>
      <c r="BG67" s="79" t="s">
        <v>106</v>
      </c>
      <c r="BH67" s="166" t="s">
        <v>100</v>
      </c>
      <c r="BI67" s="42" t="s">
        <v>101</v>
      </c>
      <c r="BJ67" s="40" t="s">
        <v>102</v>
      </c>
      <c r="BK67" s="42" t="s">
        <v>101</v>
      </c>
      <c r="BL67" s="40" t="s">
        <v>102</v>
      </c>
      <c r="BM67" s="42" t="s">
        <v>101</v>
      </c>
      <c r="BN67" s="40" t="s">
        <v>102</v>
      </c>
      <c r="BO67" s="42" t="s">
        <v>101</v>
      </c>
      <c r="BP67" s="40" t="s">
        <v>102</v>
      </c>
      <c r="BQ67" s="42" t="s">
        <v>101</v>
      </c>
      <c r="BR67" s="40" t="s">
        <v>102</v>
      </c>
      <c r="BS67" s="42" t="s">
        <v>101</v>
      </c>
      <c r="BT67" s="40" t="s">
        <v>102</v>
      </c>
      <c r="BU67" s="42" t="s">
        <v>101</v>
      </c>
      <c r="BV67" s="40" t="s">
        <v>102</v>
      </c>
      <c r="BW67" s="42" t="s">
        <v>101</v>
      </c>
      <c r="BX67" s="40" t="s">
        <v>102</v>
      </c>
      <c r="BY67" s="42" t="s">
        <v>101</v>
      </c>
      <c r="BZ67" s="40" t="s">
        <v>102</v>
      </c>
      <c r="CA67" s="42" t="s">
        <v>101</v>
      </c>
      <c r="CB67" s="40" t="s">
        <v>102</v>
      </c>
      <c r="CC67" s="42" t="s">
        <v>101</v>
      </c>
      <c r="CD67" s="40" t="s">
        <v>102</v>
      </c>
      <c r="CE67" s="42" t="s">
        <v>101</v>
      </c>
      <c r="CF67" s="40" t="s">
        <v>102</v>
      </c>
      <c r="CG67" s="42" t="s">
        <v>101</v>
      </c>
      <c r="CH67" s="40" t="s">
        <v>102</v>
      </c>
      <c r="CI67" s="42" t="s">
        <v>101</v>
      </c>
      <c r="CJ67" s="40" t="s">
        <v>102</v>
      </c>
      <c r="CK67" s="42" t="s">
        <v>101</v>
      </c>
      <c r="CL67" s="136" t="s">
        <v>102</v>
      </c>
      <c r="CM67" s="59" t="str">
        <f t="shared" si="1"/>
        <v>APPROVED</v>
      </c>
      <c r="CN67" s="169"/>
      <c r="CO67" s="61" t="b">
        <v>0</v>
      </c>
      <c r="CP67" s="173"/>
      <c r="CQ67" s="174"/>
    </row>
    <row r="68" ht="24.0" customHeight="1">
      <c r="A68" s="23">
        <v>11.0</v>
      </c>
      <c r="B68" s="196" t="s">
        <v>123</v>
      </c>
      <c r="C68" s="193"/>
      <c r="D68" s="197" t="s">
        <v>124</v>
      </c>
      <c r="E68" s="188">
        <v>1126.0</v>
      </c>
      <c r="F68" s="28" t="str">
        <f>IFERROR(VLOOKUP(L68:L129,'R22 RELATÓRIO ACC'!B:F,5,FALSE),"NOT PUBLISHED")</f>
        <v>V14</v>
      </c>
      <c r="G68" s="28" t="str">
        <f>IFERROR(VLOOKUP(L68:L129,'R22 RELATÓRIO ACC'!B:P,15,FALSE),"NOT PUBLISHED")</f>
        <v>30/01/2026</v>
      </c>
      <c r="H68" s="29" t="str">
        <f>IFERROR(VLOOKUP(M68:M129,'RELATÓRIO ACC'!B:F,5,FALSE),"NOT PUBLISHED")</f>
        <v>V1</v>
      </c>
      <c r="I68" s="29" t="str">
        <f>IFERROR(VLOOKUP(M68:M129,'RELATÓRIO ACC'!B:P,15,FALSE),"NOT PUBLISHED")</f>
        <v>19/05/2026</v>
      </c>
      <c r="J68" s="198" t="s">
        <v>245</v>
      </c>
      <c r="K68" s="199">
        <v>46052.0</v>
      </c>
      <c r="L68" s="200" t="s">
        <v>311</v>
      </c>
      <c r="M68" s="200" t="s">
        <v>312</v>
      </c>
      <c r="N68" s="190" t="b">
        <v>1</v>
      </c>
      <c r="O68" s="201" t="s">
        <v>121</v>
      </c>
      <c r="P68" s="191" t="s">
        <v>99</v>
      </c>
      <c r="Q68" s="182" t="s">
        <v>103</v>
      </c>
      <c r="R68" s="182" t="s">
        <v>103</v>
      </c>
      <c r="S68" s="202" t="s">
        <v>115</v>
      </c>
      <c r="T68" s="182" t="s">
        <v>103</v>
      </c>
      <c r="U68" s="202" t="s">
        <v>115</v>
      </c>
      <c r="V68" s="184" t="s">
        <v>105</v>
      </c>
      <c r="W68" s="203" t="s">
        <v>105</v>
      </c>
      <c r="X68" s="184" t="s">
        <v>105</v>
      </c>
      <c r="Y68" s="184" t="s">
        <v>105</v>
      </c>
      <c r="Z68" s="184" t="s">
        <v>105</v>
      </c>
      <c r="AA68" s="184" t="s">
        <v>105</v>
      </c>
      <c r="AB68" s="182" t="s">
        <v>103</v>
      </c>
      <c r="AC68" s="204" t="s">
        <v>115</v>
      </c>
      <c r="AD68" s="184" t="s">
        <v>105</v>
      </c>
      <c r="AE68" s="184" t="s">
        <v>105</v>
      </c>
      <c r="AF68" s="184" t="s">
        <v>105</v>
      </c>
      <c r="AG68" s="184" t="s">
        <v>105</v>
      </c>
      <c r="AH68" s="184" t="s">
        <v>105</v>
      </c>
      <c r="AI68" s="184" t="s">
        <v>105</v>
      </c>
      <c r="AJ68" s="184" t="s">
        <v>105</v>
      </c>
      <c r="AK68" s="184" t="s">
        <v>105</v>
      </c>
      <c r="AL68" s="184" t="s">
        <v>105</v>
      </c>
      <c r="AM68" s="184" t="s">
        <v>105</v>
      </c>
      <c r="AN68" s="182" t="s">
        <v>103</v>
      </c>
      <c r="AO68" s="183" t="s">
        <v>104</v>
      </c>
      <c r="AP68" s="182" t="s">
        <v>103</v>
      </c>
      <c r="AQ68" s="183" t="s">
        <v>104</v>
      </c>
      <c r="AR68" s="182" t="s">
        <v>100</v>
      </c>
      <c r="AS68" s="183" t="s">
        <v>104</v>
      </c>
      <c r="AT68" s="171" t="s">
        <v>102</v>
      </c>
      <c r="AU68" s="172" t="s">
        <v>101</v>
      </c>
      <c r="AV68" s="40" t="s">
        <v>102</v>
      </c>
      <c r="AW68" s="42" t="s">
        <v>101</v>
      </c>
      <c r="AX68" s="40" t="s">
        <v>102</v>
      </c>
      <c r="AY68" s="42" t="s">
        <v>101</v>
      </c>
      <c r="AZ68" s="40" t="s">
        <v>102</v>
      </c>
      <c r="BA68" s="42" t="s">
        <v>101</v>
      </c>
      <c r="BB68" s="40" t="s">
        <v>102</v>
      </c>
      <c r="BC68" s="42" t="s">
        <v>101</v>
      </c>
      <c r="BD68" s="40" t="s">
        <v>102</v>
      </c>
      <c r="BE68" s="42" t="s">
        <v>101</v>
      </c>
      <c r="BF68" s="40" t="s">
        <v>102</v>
      </c>
      <c r="BG68" s="42" t="s">
        <v>101</v>
      </c>
      <c r="BH68" s="40" t="s">
        <v>102</v>
      </c>
      <c r="BI68" s="47" t="s">
        <v>101</v>
      </c>
      <c r="BJ68" s="40" t="s">
        <v>102</v>
      </c>
      <c r="BK68" s="47" t="s">
        <v>101</v>
      </c>
      <c r="BL68" s="40" t="s">
        <v>102</v>
      </c>
      <c r="BM68" s="47" t="s">
        <v>101</v>
      </c>
      <c r="BN68" s="40" t="s">
        <v>102</v>
      </c>
      <c r="BO68" s="47" t="s">
        <v>101</v>
      </c>
      <c r="BP68" s="40" t="s">
        <v>102</v>
      </c>
      <c r="BQ68" s="47" t="s">
        <v>101</v>
      </c>
      <c r="BR68" s="40" t="s">
        <v>102</v>
      </c>
      <c r="BS68" s="47" t="s">
        <v>101</v>
      </c>
      <c r="BT68" s="40" t="s">
        <v>102</v>
      </c>
      <c r="BU68" s="47" t="s">
        <v>101</v>
      </c>
      <c r="BV68" s="40" t="s">
        <v>102</v>
      </c>
      <c r="BW68" s="47" t="s">
        <v>101</v>
      </c>
      <c r="BX68" s="40" t="s">
        <v>102</v>
      </c>
      <c r="BY68" s="47" t="s">
        <v>101</v>
      </c>
      <c r="BZ68" s="40" t="s">
        <v>102</v>
      </c>
      <c r="CA68" s="47" t="s">
        <v>101</v>
      </c>
      <c r="CB68" s="40" t="s">
        <v>102</v>
      </c>
      <c r="CC68" s="47" t="s">
        <v>101</v>
      </c>
      <c r="CD68" s="40" t="s">
        <v>102</v>
      </c>
      <c r="CE68" s="47" t="s">
        <v>101</v>
      </c>
      <c r="CF68" s="40" t="s">
        <v>102</v>
      </c>
      <c r="CG68" s="47" t="s">
        <v>101</v>
      </c>
      <c r="CH68" s="40" t="s">
        <v>102</v>
      </c>
      <c r="CI68" s="47" t="s">
        <v>101</v>
      </c>
      <c r="CJ68" s="40" t="s">
        <v>102</v>
      </c>
      <c r="CK68" s="47" t="s">
        <v>101</v>
      </c>
      <c r="CL68" s="136" t="s">
        <v>102</v>
      </c>
      <c r="CM68" s="59" t="str">
        <f t="shared" si="1"/>
        <v>APPROVED</v>
      </c>
      <c r="CN68" s="169"/>
      <c r="CO68" s="61"/>
      <c r="CP68" s="170" t="s">
        <v>108</v>
      </c>
      <c r="CQ68" s="185" t="s">
        <v>117</v>
      </c>
    </row>
    <row r="69" ht="24.0" customHeight="1">
      <c r="A69" s="23">
        <v>27.0</v>
      </c>
      <c r="B69" s="186" t="s">
        <v>110</v>
      </c>
      <c r="C69" s="187">
        <v>1112.0</v>
      </c>
      <c r="D69" s="88" t="s">
        <v>129</v>
      </c>
      <c r="E69" s="188">
        <v>1129.0</v>
      </c>
      <c r="F69" s="28" t="str">
        <f>IFERROR(VLOOKUP(L69:L130,'R22 RELATÓRIO ACC'!B:F,5,FALSE),"NOT PUBLISHED")</f>
        <v>V33</v>
      </c>
      <c r="G69" s="28" t="str">
        <f>IFERROR(VLOOKUP(L69:L130,'R22 RELATÓRIO ACC'!B:P,15,FALSE),"NOT PUBLISHED")</f>
        <v>05/03/2026</v>
      </c>
      <c r="H69" s="29" t="str">
        <f>IFERROR(VLOOKUP(M69:M130,'RELATÓRIO ACC'!B:F,5,FALSE),"NOT PUBLISHED")</f>
        <v>V1</v>
      </c>
      <c r="I69" s="29" t="str">
        <f>IFERROR(VLOOKUP(M69:M130,'RELATÓRIO ACC'!B:P,15,FALSE),"NOT PUBLISHED")</f>
        <v>19/05/2026</v>
      </c>
      <c r="J69" s="198" t="s">
        <v>313</v>
      </c>
      <c r="K69" s="195">
        <v>46086.0</v>
      </c>
      <c r="L69" s="200" t="s">
        <v>314</v>
      </c>
      <c r="M69" s="200" t="s">
        <v>315</v>
      </c>
      <c r="N69" s="190" t="b">
        <v>1</v>
      </c>
      <c r="O69" s="190" t="b">
        <v>1</v>
      </c>
      <c r="P69" s="191" t="s">
        <v>99</v>
      </c>
      <c r="Q69" s="48" t="s">
        <v>103</v>
      </c>
      <c r="R69" s="182" t="s">
        <v>103</v>
      </c>
      <c r="S69" s="202" t="s">
        <v>115</v>
      </c>
      <c r="T69" s="182" t="s">
        <v>103</v>
      </c>
      <c r="U69" s="202" t="s">
        <v>115</v>
      </c>
      <c r="V69" s="184" t="s">
        <v>105</v>
      </c>
      <c r="W69" s="203" t="s">
        <v>105</v>
      </c>
      <c r="X69" s="184" t="s">
        <v>105</v>
      </c>
      <c r="Y69" s="184" t="s">
        <v>105</v>
      </c>
      <c r="Z69" s="182" t="s">
        <v>103</v>
      </c>
      <c r="AA69" s="204" t="s">
        <v>115</v>
      </c>
      <c r="AB69" s="182" t="s">
        <v>103</v>
      </c>
      <c r="AC69" s="204" t="s">
        <v>115</v>
      </c>
      <c r="AD69" s="182" t="s">
        <v>103</v>
      </c>
      <c r="AE69" s="204" t="s">
        <v>115</v>
      </c>
      <c r="AF69" s="184" t="s">
        <v>105</v>
      </c>
      <c r="AG69" s="184" t="s">
        <v>105</v>
      </c>
      <c r="AH69" s="184" t="s">
        <v>106</v>
      </c>
      <c r="AI69" s="184" t="s">
        <v>106</v>
      </c>
      <c r="AJ69" s="182" t="s">
        <v>103</v>
      </c>
      <c r="AK69" s="205" t="s">
        <v>104</v>
      </c>
      <c r="AL69" s="182" t="s">
        <v>103</v>
      </c>
      <c r="AM69" s="183" t="s">
        <v>104</v>
      </c>
      <c r="AN69" s="182" t="s">
        <v>103</v>
      </c>
      <c r="AO69" s="183" t="s">
        <v>104</v>
      </c>
      <c r="AP69" s="184" t="s">
        <v>105</v>
      </c>
      <c r="AQ69" s="184" t="s">
        <v>105</v>
      </c>
      <c r="AR69" s="184" t="s">
        <v>105</v>
      </c>
      <c r="AS69" s="184" t="s">
        <v>105</v>
      </c>
      <c r="AT69" s="182" t="s">
        <v>103</v>
      </c>
      <c r="AU69" s="183" t="s">
        <v>104</v>
      </c>
      <c r="AV69" s="48" t="s">
        <v>103</v>
      </c>
      <c r="AW69" s="129" t="s">
        <v>104</v>
      </c>
      <c r="AX69" s="58" t="s">
        <v>105</v>
      </c>
      <c r="AY69" s="51" t="s">
        <v>105</v>
      </c>
      <c r="AZ69" s="48" t="s">
        <v>100</v>
      </c>
      <c r="BA69" s="42" t="s">
        <v>101</v>
      </c>
      <c r="BB69" s="40" t="s">
        <v>102</v>
      </c>
      <c r="BC69" s="42" t="s">
        <v>101</v>
      </c>
      <c r="BD69" s="40" t="s">
        <v>102</v>
      </c>
      <c r="BE69" s="42" t="s">
        <v>101</v>
      </c>
      <c r="BF69" s="40" t="s">
        <v>102</v>
      </c>
      <c r="BG69" s="42" t="s">
        <v>101</v>
      </c>
      <c r="BH69" s="40" t="s">
        <v>102</v>
      </c>
      <c r="BI69" s="42" t="s">
        <v>101</v>
      </c>
      <c r="BJ69" s="40" t="s">
        <v>102</v>
      </c>
      <c r="BK69" s="42" t="s">
        <v>101</v>
      </c>
      <c r="BL69" s="120" t="s">
        <v>102</v>
      </c>
      <c r="BM69" s="39" t="s">
        <v>101</v>
      </c>
      <c r="BN69" s="120" t="s">
        <v>102</v>
      </c>
      <c r="BO69" s="39" t="s">
        <v>101</v>
      </c>
      <c r="BP69" s="120" t="s">
        <v>102</v>
      </c>
      <c r="BQ69" s="39" t="s">
        <v>101</v>
      </c>
      <c r="BR69" s="120" t="s">
        <v>102</v>
      </c>
      <c r="BS69" s="39" t="s">
        <v>101</v>
      </c>
      <c r="BT69" s="120" t="s">
        <v>102</v>
      </c>
      <c r="BU69" s="39" t="s">
        <v>101</v>
      </c>
      <c r="BV69" s="120" t="s">
        <v>102</v>
      </c>
      <c r="BW69" s="39" t="s">
        <v>101</v>
      </c>
      <c r="BX69" s="120" t="s">
        <v>102</v>
      </c>
      <c r="BY69" s="39" t="s">
        <v>101</v>
      </c>
      <c r="BZ69" s="120" t="s">
        <v>102</v>
      </c>
      <c r="CA69" s="39" t="s">
        <v>101</v>
      </c>
      <c r="CB69" s="120" t="s">
        <v>102</v>
      </c>
      <c r="CC69" s="39" t="s">
        <v>101</v>
      </c>
      <c r="CD69" s="120" t="s">
        <v>102</v>
      </c>
      <c r="CE69" s="39" t="s">
        <v>101</v>
      </c>
      <c r="CF69" s="120" t="s">
        <v>102</v>
      </c>
      <c r="CG69" s="39" t="s">
        <v>101</v>
      </c>
      <c r="CH69" s="120" t="s">
        <v>102</v>
      </c>
      <c r="CI69" s="39" t="s">
        <v>101</v>
      </c>
      <c r="CJ69" s="120" t="s">
        <v>102</v>
      </c>
      <c r="CK69" s="39" t="s">
        <v>101</v>
      </c>
      <c r="CL69" s="120" t="s">
        <v>102</v>
      </c>
      <c r="CM69" s="59" t="str">
        <f t="shared" si="1"/>
        <v>APPROVED</v>
      </c>
      <c r="CN69" s="169"/>
      <c r="CO69" s="61"/>
      <c r="CP69" s="170" t="s">
        <v>108</v>
      </c>
      <c r="CQ69" s="170" t="s">
        <v>117</v>
      </c>
    </row>
    <row r="70" ht="24.0" customHeight="1">
      <c r="A70" s="23">
        <v>41.0</v>
      </c>
      <c r="B70" s="121" t="s">
        <v>110</v>
      </c>
      <c r="C70" s="109">
        <v>1112.0</v>
      </c>
      <c r="D70" s="66" t="s">
        <v>129</v>
      </c>
      <c r="E70" s="188">
        <v>1129.0</v>
      </c>
      <c r="F70" s="28" t="str">
        <f>IFERROR(VLOOKUP(L70:L131,'R22 RELATÓRIO ACC'!B:F,5,FALSE),"NOT PUBLISHED")</f>
        <v>V30</v>
      </c>
      <c r="G70" s="28" t="str">
        <f>IFERROR(VLOOKUP(L70:L131,'R22 RELATÓRIO ACC'!B:P,15,FALSE),"NOT PUBLISHED")</f>
        <v>24/03/2026</v>
      </c>
      <c r="H70" s="29" t="str">
        <f>IFERROR(VLOOKUP(M70:M131,'RELATÓRIO ACC'!B:F,5,FALSE),"NOT PUBLISHED")</f>
        <v>V2</v>
      </c>
      <c r="I70" s="29" t="str">
        <f>IFERROR(VLOOKUP(M70:M131,'RELATÓRIO ACC'!B:P,15,FALSE),"NOT PUBLISHED")</f>
        <v>13/07/2026</v>
      </c>
      <c r="J70" s="195" t="s">
        <v>316</v>
      </c>
      <c r="K70" s="195" t="s">
        <v>317</v>
      </c>
      <c r="L70" s="206" t="s">
        <v>318</v>
      </c>
      <c r="M70" s="206" t="s">
        <v>319</v>
      </c>
      <c r="N70" s="190" t="b">
        <v>1</v>
      </c>
      <c r="O70" s="190" t="b">
        <v>1</v>
      </c>
      <c r="P70" s="191" t="s">
        <v>99</v>
      </c>
      <c r="Q70" s="48" t="s">
        <v>103</v>
      </c>
      <c r="R70" s="182" t="s">
        <v>103</v>
      </c>
      <c r="S70" s="202" t="s">
        <v>115</v>
      </c>
      <c r="T70" s="182" t="s">
        <v>103</v>
      </c>
      <c r="U70" s="202" t="s">
        <v>115</v>
      </c>
      <c r="V70" s="184" t="s">
        <v>105</v>
      </c>
      <c r="W70" s="184" t="s">
        <v>105</v>
      </c>
      <c r="X70" s="184" t="s">
        <v>105</v>
      </c>
      <c r="Y70" s="184" t="s">
        <v>105</v>
      </c>
      <c r="Z70" s="182" t="s">
        <v>103</v>
      </c>
      <c r="AA70" s="204" t="s">
        <v>115</v>
      </c>
      <c r="AB70" s="184" t="s">
        <v>105</v>
      </c>
      <c r="AC70" s="184" t="s">
        <v>105</v>
      </c>
      <c r="AD70" s="182" t="s">
        <v>103</v>
      </c>
      <c r="AE70" s="204" t="s">
        <v>115</v>
      </c>
      <c r="AF70" s="184" t="s">
        <v>105</v>
      </c>
      <c r="AG70" s="184" t="s">
        <v>105</v>
      </c>
      <c r="AH70" s="182" t="s">
        <v>103</v>
      </c>
      <c r="AI70" s="183" t="s">
        <v>104</v>
      </c>
      <c r="AJ70" s="184" t="s">
        <v>105</v>
      </c>
      <c r="AK70" s="184" t="s">
        <v>105</v>
      </c>
      <c r="AL70" s="182" t="s">
        <v>103</v>
      </c>
      <c r="AM70" s="183" t="s">
        <v>104</v>
      </c>
      <c r="AN70" s="182" t="s">
        <v>103</v>
      </c>
      <c r="AO70" s="183" t="s">
        <v>104</v>
      </c>
      <c r="AP70" s="182" t="s">
        <v>103</v>
      </c>
      <c r="AQ70" s="183" t="s">
        <v>104</v>
      </c>
      <c r="AR70" s="184" t="s">
        <v>105</v>
      </c>
      <c r="AS70" s="184" t="s">
        <v>105</v>
      </c>
      <c r="AT70" s="182" t="s">
        <v>103</v>
      </c>
      <c r="AU70" s="183" t="s">
        <v>104</v>
      </c>
      <c r="AV70" s="48" t="s">
        <v>103</v>
      </c>
      <c r="AW70" s="129" t="s">
        <v>104</v>
      </c>
      <c r="AX70" s="58" t="s">
        <v>105</v>
      </c>
      <c r="AY70" s="51" t="s">
        <v>105</v>
      </c>
      <c r="AZ70" s="48" t="s">
        <v>103</v>
      </c>
      <c r="BA70" s="77" t="s">
        <v>104</v>
      </c>
      <c r="BB70" s="58" t="s">
        <v>105</v>
      </c>
      <c r="BC70" s="51" t="s">
        <v>105</v>
      </c>
      <c r="BD70" s="58" t="s">
        <v>105</v>
      </c>
      <c r="BE70" s="51" t="s">
        <v>105</v>
      </c>
      <c r="BF70" s="166" t="s">
        <v>100</v>
      </c>
      <c r="BG70" s="77" t="s">
        <v>104</v>
      </c>
      <c r="BH70" s="40" t="s">
        <v>102</v>
      </c>
      <c r="BI70" s="42" t="s">
        <v>101</v>
      </c>
      <c r="BJ70" s="40" t="s">
        <v>102</v>
      </c>
      <c r="BK70" s="42" t="s">
        <v>101</v>
      </c>
      <c r="BL70" s="40" t="s">
        <v>102</v>
      </c>
      <c r="BM70" s="47" t="s">
        <v>101</v>
      </c>
      <c r="BN70" s="40" t="s">
        <v>102</v>
      </c>
      <c r="BO70" s="47" t="s">
        <v>101</v>
      </c>
      <c r="BP70" s="40" t="s">
        <v>102</v>
      </c>
      <c r="BQ70" s="47" t="s">
        <v>101</v>
      </c>
      <c r="BR70" s="40" t="s">
        <v>102</v>
      </c>
      <c r="BS70" s="47" t="s">
        <v>101</v>
      </c>
      <c r="BT70" s="40" t="s">
        <v>102</v>
      </c>
      <c r="BU70" s="47" t="s">
        <v>101</v>
      </c>
      <c r="BV70" s="40" t="s">
        <v>102</v>
      </c>
      <c r="BW70" s="47" t="s">
        <v>101</v>
      </c>
      <c r="BX70" s="40" t="s">
        <v>102</v>
      </c>
      <c r="BY70" s="47" t="s">
        <v>101</v>
      </c>
      <c r="BZ70" s="40" t="s">
        <v>102</v>
      </c>
      <c r="CA70" s="47" t="s">
        <v>101</v>
      </c>
      <c r="CB70" s="40" t="s">
        <v>102</v>
      </c>
      <c r="CC70" s="47" t="s">
        <v>101</v>
      </c>
      <c r="CD70" s="40" t="s">
        <v>102</v>
      </c>
      <c r="CE70" s="47" t="s">
        <v>101</v>
      </c>
      <c r="CF70" s="40" t="s">
        <v>102</v>
      </c>
      <c r="CG70" s="47" t="s">
        <v>101</v>
      </c>
      <c r="CH70" s="40" t="s">
        <v>102</v>
      </c>
      <c r="CI70" s="47" t="s">
        <v>101</v>
      </c>
      <c r="CJ70" s="40" t="s">
        <v>102</v>
      </c>
      <c r="CK70" s="47" t="s">
        <v>101</v>
      </c>
      <c r="CL70" s="136" t="s">
        <v>102</v>
      </c>
      <c r="CM70" s="59" t="str">
        <f>IF(
  OR(BF70="APPROVED", BF70="PREVIOUSLY APPROVED"),
  "APPROVED",
  "REPROVED"
)</f>
        <v>APPROVED</v>
      </c>
      <c r="CN70" s="169" t="s">
        <v>304</v>
      </c>
      <c r="CO70" s="61" t="b">
        <v>0</v>
      </c>
      <c r="CP70" s="170"/>
      <c r="CQ70" s="185"/>
    </row>
    <row r="71" ht="24.0" customHeight="1">
      <c r="A71" s="23">
        <v>54.0</v>
      </c>
      <c r="B71" s="186" t="s">
        <v>288</v>
      </c>
      <c r="C71" s="187">
        <v>1125.0</v>
      </c>
      <c r="D71" s="88" t="s">
        <v>288</v>
      </c>
      <c r="E71" s="188">
        <v>1125.0</v>
      </c>
      <c r="F71" s="28" t="str">
        <f>IFERROR(VLOOKUP(L71:L132,'R22 RELATÓRIO ACC'!B:F,5,FALSE),"NOT PUBLISHED")</f>
        <v>V7</v>
      </c>
      <c r="G71" s="28" t="str">
        <f>IFERROR(VLOOKUP(L71:L132,'R22 RELATÓRIO ACC'!B:P,15,FALSE),"NOT PUBLISHED")</f>
        <v>07/11/2025</v>
      </c>
      <c r="H71" s="29" t="str">
        <f>IFERROR(VLOOKUP(M71:M132,'RELATÓRIO ACC'!B:F,5,FALSE),"NOT PUBLISHED")</f>
        <v>V1</v>
      </c>
      <c r="I71" s="29" t="str">
        <f>IFERROR(VLOOKUP(M71:M132,'RELATÓRIO ACC'!B:P,15,FALSE),"NOT PUBLISHED")</f>
        <v>21/05/2026</v>
      </c>
      <c r="J71" s="198" t="s">
        <v>170</v>
      </c>
      <c r="K71" s="195">
        <v>45854.0</v>
      </c>
      <c r="L71" s="207" t="s">
        <v>320</v>
      </c>
      <c r="M71" s="207" t="s">
        <v>320</v>
      </c>
      <c r="N71" s="190" t="b">
        <v>1</v>
      </c>
      <c r="O71" s="190" t="b">
        <v>1</v>
      </c>
      <c r="P71" s="191" t="s">
        <v>99</v>
      </c>
      <c r="Q71" s="182" t="s">
        <v>103</v>
      </c>
      <c r="R71" s="182" t="s">
        <v>103</v>
      </c>
      <c r="S71" s="208" t="s">
        <v>115</v>
      </c>
      <c r="T71" s="182" t="s">
        <v>103</v>
      </c>
      <c r="U71" s="202" t="s">
        <v>115</v>
      </c>
      <c r="V71" s="184" t="s">
        <v>105</v>
      </c>
      <c r="W71" s="184" t="s">
        <v>105</v>
      </c>
      <c r="X71" s="184" t="s">
        <v>105</v>
      </c>
      <c r="Y71" s="184" t="s">
        <v>105</v>
      </c>
      <c r="Z71" s="184" t="s">
        <v>105</v>
      </c>
      <c r="AA71" s="184" t="s">
        <v>105</v>
      </c>
      <c r="AB71" s="184" t="s">
        <v>105</v>
      </c>
      <c r="AC71" s="184" t="s">
        <v>105</v>
      </c>
      <c r="AD71" s="184" t="s">
        <v>105</v>
      </c>
      <c r="AE71" s="184" t="s">
        <v>105</v>
      </c>
      <c r="AF71" s="209" t="s">
        <v>100</v>
      </c>
      <c r="AG71" s="172" t="s">
        <v>101</v>
      </c>
      <c r="AH71" s="171" t="s">
        <v>102</v>
      </c>
      <c r="AI71" s="172" t="s">
        <v>101</v>
      </c>
      <c r="AJ71" s="171" t="s">
        <v>102</v>
      </c>
      <c r="AK71" s="172" t="s">
        <v>101</v>
      </c>
      <c r="AL71" s="171" t="s">
        <v>102</v>
      </c>
      <c r="AM71" s="172" t="s">
        <v>101</v>
      </c>
      <c r="AN71" s="171" t="s">
        <v>102</v>
      </c>
      <c r="AO71" s="172" t="s">
        <v>101</v>
      </c>
      <c r="AP71" s="171" t="s">
        <v>102</v>
      </c>
      <c r="AQ71" s="172" t="s">
        <v>101</v>
      </c>
      <c r="AR71" s="171" t="s">
        <v>102</v>
      </c>
      <c r="AS71" s="172" t="s">
        <v>101</v>
      </c>
      <c r="AT71" s="171" t="s">
        <v>102</v>
      </c>
      <c r="AU71" s="172" t="s">
        <v>101</v>
      </c>
      <c r="AV71" s="210" t="s">
        <v>102</v>
      </c>
      <c r="AW71" s="211" t="s">
        <v>101</v>
      </c>
      <c r="AX71" s="210" t="s">
        <v>102</v>
      </c>
      <c r="AY71" s="211" t="s">
        <v>101</v>
      </c>
      <c r="AZ71" s="210" t="s">
        <v>102</v>
      </c>
      <c r="BA71" s="211" t="s">
        <v>101</v>
      </c>
      <c r="BB71" s="210" t="s">
        <v>102</v>
      </c>
      <c r="BC71" s="211" t="s">
        <v>101</v>
      </c>
      <c r="BD71" s="210" t="s">
        <v>102</v>
      </c>
      <c r="BE71" s="211" t="s">
        <v>101</v>
      </c>
      <c r="BF71" s="210" t="s">
        <v>102</v>
      </c>
      <c r="BG71" s="211" t="s">
        <v>101</v>
      </c>
      <c r="BH71" s="210" t="s">
        <v>102</v>
      </c>
      <c r="BI71" s="211" t="s">
        <v>101</v>
      </c>
      <c r="BJ71" s="210" t="s">
        <v>102</v>
      </c>
      <c r="BK71" s="211" t="s">
        <v>101</v>
      </c>
      <c r="BL71" s="120" t="s">
        <v>102</v>
      </c>
      <c r="BM71" s="39" t="s">
        <v>101</v>
      </c>
      <c r="BN71" s="120" t="s">
        <v>102</v>
      </c>
      <c r="BO71" s="39" t="s">
        <v>101</v>
      </c>
      <c r="BP71" s="120" t="s">
        <v>102</v>
      </c>
      <c r="BQ71" s="39" t="s">
        <v>101</v>
      </c>
      <c r="BR71" s="120" t="s">
        <v>102</v>
      </c>
      <c r="BS71" s="39" t="s">
        <v>101</v>
      </c>
      <c r="BT71" s="120" t="s">
        <v>102</v>
      </c>
      <c r="BU71" s="39" t="s">
        <v>101</v>
      </c>
      <c r="BV71" s="120" t="s">
        <v>102</v>
      </c>
      <c r="BW71" s="39" t="s">
        <v>101</v>
      </c>
      <c r="BX71" s="120" t="s">
        <v>102</v>
      </c>
      <c r="BY71" s="39" t="s">
        <v>101</v>
      </c>
      <c r="BZ71" s="120" t="s">
        <v>102</v>
      </c>
      <c r="CA71" s="39" t="s">
        <v>101</v>
      </c>
      <c r="CB71" s="120" t="s">
        <v>102</v>
      </c>
      <c r="CC71" s="39" t="s">
        <v>101</v>
      </c>
      <c r="CD71" s="120" t="s">
        <v>102</v>
      </c>
      <c r="CE71" s="39" t="s">
        <v>101</v>
      </c>
      <c r="CF71" s="120" t="s">
        <v>102</v>
      </c>
      <c r="CG71" s="39" t="s">
        <v>101</v>
      </c>
      <c r="CH71" s="120" t="s">
        <v>102</v>
      </c>
      <c r="CI71" s="39" t="s">
        <v>101</v>
      </c>
      <c r="CJ71" s="120" t="s">
        <v>102</v>
      </c>
      <c r="CK71" s="39" t="s">
        <v>101</v>
      </c>
      <c r="CL71" s="120" t="s">
        <v>102</v>
      </c>
      <c r="CM71" s="59" t="str">
        <f t="shared" ref="CM71:CM76" si="2">IF(
  OR(CL71="APPROVED", CL71="PREVIOUSLY APPROVED"),
  "APPROVED",
  "REPROVED"
)</f>
        <v>APPROVED</v>
      </c>
      <c r="CN71" s="212" t="s">
        <v>304</v>
      </c>
      <c r="CO71" s="61" t="b">
        <v>0</v>
      </c>
      <c r="CP71" s="170"/>
      <c r="CQ71" s="185"/>
    </row>
    <row r="72" ht="24.0" customHeight="1">
      <c r="A72" s="23">
        <v>55.0</v>
      </c>
      <c r="B72" s="64" t="s">
        <v>288</v>
      </c>
      <c r="C72" s="213">
        <v>1125.0</v>
      </c>
      <c r="D72" s="214" t="s">
        <v>288</v>
      </c>
      <c r="E72" s="213">
        <v>1125.0</v>
      </c>
      <c r="F72" s="28" t="str">
        <f>IFERROR(VLOOKUP(L72:L133,'R22 RELATÓRIO ACC'!B:F,5,FALSE),"NOT PUBLISHED")</f>
        <v>V6</v>
      </c>
      <c r="G72" s="28" t="str">
        <f>IFERROR(VLOOKUP(L72:L133,'R22 RELATÓRIO ACC'!B:P,15,FALSE),"NOT PUBLISHED")</f>
        <v>07/11/2025</v>
      </c>
      <c r="H72" s="29" t="str">
        <f>IFERROR(VLOOKUP(M72:M133,'RELATÓRIO ACC'!B:F,5,FALSE),"NOT PUBLISHED")</f>
        <v>V1</v>
      </c>
      <c r="I72" s="29" t="str">
        <f>IFERROR(VLOOKUP(M72:M133,'RELATÓRIO ACC'!B:P,15,FALSE),"NOT PUBLISHED")</f>
        <v>21/05/2026</v>
      </c>
      <c r="J72" s="215" t="s">
        <v>224</v>
      </c>
      <c r="K72" s="28">
        <v>45968.0</v>
      </c>
      <c r="L72" s="216" t="s">
        <v>321</v>
      </c>
      <c r="M72" s="216" t="s">
        <v>321</v>
      </c>
      <c r="N72" s="217" t="b">
        <v>1</v>
      </c>
      <c r="O72" s="218" t="b">
        <v>1</v>
      </c>
      <c r="P72" s="128" t="s">
        <v>99</v>
      </c>
      <c r="Q72" s="104" t="s">
        <v>103</v>
      </c>
      <c r="R72" s="104" t="s">
        <v>103</v>
      </c>
      <c r="S72" s="99" t="s">
        <v>115</v>
      </c>
      <c r="T72" s="104" t="s">
        <v>103</v>
      </c>
      <c r="U72" s="99" t="s">
        <v>115</v>
      </c>
      <c r="V72" s="74" t="s">
        <v>105</v>
      </c>
      <c r="W72" s="74" t="s">
        <v>105</v>
      </c>
      <c r="X72" s="74" t="s">
        <v>105</v>
      </c>
      <c r="Y72" s="74" t="s">
        <v>105</v>
      </c>
      <c r="Z72" s="74" t="s">
        <v>105</v>
      </c>
      <c r="AA72" s="74" t="s">
        <v>105</v>
      </c>
      <c r="AB72" s="74" t="s">
        <v>105</v>
      </c>
      <c r="AC72" s="74" t="s">
        <v>105</v>
      </c>
      <c r="AD72" s="74" t="s">
        <v>105</v>
      </c>
      <c r="AE72" s="74" t="s">
        <v>105</v>
      </c>
      <c r="AF72" s="219" t="s">
        <v>100</v>
      </c>
      <c r="AG72" s="39" t="s">
        <v>101</v>
      </c>
      <c r="AH72" s="120" t="s">
        <v>102</v>
      </c>
      <c r="AI72" s="39" t="s">
        <v>101</v>
      </c>
      <c r="AJ72" s="120" t="s">
        <v>102</v>
      </c>
      <c r="AK72" s="39" t="s">
        <v>101</v>
      </c>
      <c r="AL72" s="120" t="s">
        <v>102</v>
      </c>
      <c r="AM72" s="39" t="s">
        <v>101</v>
      </c>
      <c r="AN72" s="120" t="s">
        <v>102</v>
      </c>
      <c r="AO72" s="39" t="s">
        <v>101</v>
      </c>
      <c r="AP72" s="120" t="s">
        <v>102</v>
      </c>
      <c r="AQ72" s="39" t="s">
        <v>101</v>
      </c>
      <c r="AR72" s="120" t="s">
        <v>102</v>
      </c>
      <c r="AS72" s="39" t="s">
        <v>101</v>
      </c>
      <c r="AT72" s="120" t="s">
        <v>102</v>
      </c>
      <c r="AU72" s="39" t="s">
        <v>101</v>
      </c>
      <c r="AV72" s="120" t="s">
        <v>102</v>
      </c>
      <c r="AW72" s="39" t="s">
        <v>101</v>
      </c>
      <c r="AX72" s="120" t="s">
        <v>102</v>
      </c>
      <c r="AY72" s="39" t="s">
        <v>101</v>
      </c>
      <c r="AZ72" s="120" t="s">
        <v>102</v>
      </c>
      <c r="BA72" s="39" t="s">
        <v>101</v>
      </c>
      <c r="BB72" s="120" t="s">
        <v>102</v>
      </c>
      <c r="BC72" s="39" t="s">
        <v>101</v>
      </c>
      <c r="BD72" s="120" t="s">
        <v>102</v>
      </c>
      <c r="BE72" s="39" t="s">
        <v>101</v>
      </c>
      <c r="BF72" s="120" t="s">
        <v>102</v>
      </c>
      <c r="BG72" s="39" t="s">
        <v>101</v>
      </c>
      <c r="BH72" s="120" t="s">
        <v>102</v>
      </c>
      <c r="BI72" s="39" t="s">
        <v>101</v>
      </c>
      <c r="BJ72" s="120" t="s">
        <v>102</v>
      </c>
      <c r="BK72" s="39" t="s">
        <v>101</v>
      </c>
      <c r="BL72" s="40" t="s">
        <v>102</v>
      </c>
      <c r="BM72" s="47" t="s">
        <v>101</v>
      </c>
      <c r="BN72" s="40" t="s">
        <v>102</v>
      </c>
      <c r="BO72" s="47" t="s">
        <v>101</v>
      </c>
      <c r="BP72" s="40" t="s">
        <v>102</v>
      </c>
      <c r="BQ72" s="47" t="s">
        <v>101</v>
      </c>
      <c r="BR72" s="40" t="s">
        <v>102</v>
      </c>
      <c r="BS72" s="47" t="s">
        <v>101</v>
      </c>
      <c r="BT72" s="40" t="s">
        <v>102</v>
      </c>
      <c r="BU72" s="47" t="s">
        <v>101</v>
      </c>
      <c r="BV72" s="40" t="s">
        <v>102</v>
      </c>
      <c r="BW72" s="47" t="s">
        <v>101</v>
      </c>
      <c r="BX72" s="40" t="s">
        <v>102</v>
      </c>
      <c r="BY72" s="47" t="s">
        <v>101</v>
      </c>
      <c r="BZ72" s="40" t="s">
        <v>102</v>
      </c>
      <c r="CA72" s="47" t="s">
        <v>101</v>
      </c>
      <c r="CB72" s="40" t="s">
        <v>102</v>
      </c>
      <c r="CC72" s="47" t="s">
        <v>101</v>
      </c>
      <c r="CD72" s="40" t="s">
        <v>102</v>
      </c>
      <c r="CE72" s="47" t="s">
        <v>101</v>
      </c>
      <c r="CF72" s="40" t="s">
        <v>102</v>
      </c>
      <c r="CG72" s="47" t="s">
        <v>101</v>
      </c>
      <c r="CH72" s="40" t="s">
        <v>102</v>
      </c>
      <c r="CI72" s="47" t="s">
        <v>101</v>
      </c>
      <c r="CJ72" s="40" t="s">
        <v>102</v>
      </c>
      <c r="CK72" s="47" t="s">
        <v>101</v>
      </c>
      <c r="CL72" s="136" t="s">
        <v>102</v>
      </c>
      <c r="CM72" s="59" t="str">
        <f t="shared" si="2"/>
        <v>APPROVED</v>
      </c>
      <c r="CN72" s="212"/>
      <c r="CO72" s="61" t="b">
        <v>0</v>
      </c>
      <c r="CP72" s="170"/>
      <c r="CQ72" s="185"/>
    </row>
    <row r="73" ht="24.0" customHeight="1">
      <c r="A73" s="23">
        <v>56.0</v>
      </c>
      <c r="B73" s="64" t="s">
        <v>288</v>
      </c>
      <c r="C73" s="213">
        <v>1125.0</v>
      </c>
      <c r="D73" s="214" t="s">
        <v>288</v>
      </c>
      <c r="E73" s="213">
        <v>1125.0</v>
      </c>
      <c r="F73" s="28" t="str">
        <f>IFERROR(VLOOKUP(L73:L134,'R22 RELATÓRIO ACC'!B:F,5,FALSE),"NOT PUBLISHED")</f>
        <v>V6</v>
      </c>
      <c r="G73" s="28" t="str">
        <f>IFERROR(VLOOKUP(L73:L134,'R22 RELATÓRIO ACC'!B:P,15,FALSE),"NOT PUBLISHED")</f>
        <v>07/11/2025</v>
      </c>
      <c r="H73" s="29" t="str">
        <f>IFERROR(VLOOKUP(M73:M134,'RELATÓRIO ACC'!B:F,5,FALSE),"NOT PUBLISHED")</f>
        <v>V1</v>
      </c>
      <c r="I73" s="29" t="str">
        <f>IFERROR(VLOOKUP(M73:M134,'RELATÓRIO ACC'!B:P,15,FALSE),"NOT PUBLISHED")</f>
        <v>21/05/2026</v>
      </c>
      <c r="J73" s="215" t="s">
        <v>224</v>
      </c>
      <c r="K73" s="28">
        <v>45968.0</v>
      </c>
      <c r="L73" s="216" t="s">
        <v>322</v>
      </c>
      <c r="M73" s="216" t="s">
        <v>322</v>
      </c>
      <c r="N73" s="217" t="b">
        <v>1</v>
      </c>
      <c r="O73" s="218" t="b">
        <v>1</v>
      </c>
      <c r="P73" s="128" t="s">
        <v>99</v>
      </c>
      <c r="Q73" s="104" t="s">
        <v>103</v>
      </c>
      <c r="R73" s="104" t="s">
        <v>103</v>
      </c>
      <c r="S73" s="99" t="s">
        <v>115</v>
      </c>
      <c r="T73" s="74" t="s">
        <v>105</v>
      </c>
      <c r="U73" s="74" t="s">
        <v>105</v>
      </c>
      <c r="V73" s="74" t="s">
        <v>105</v>
      </c>
      <c r="W73" s="74" t="s">
        <v>105</v>
      </c>
      <c r="X73" s="74" t="s">
        <v>105</v>
      </c>
      <c r="Y73" s="74" t="s">
        <v>105</v>
      </c>
      <c r="Z73" s="74" t="s">
        <v>105</v>
      </c>
      <c r="AA73" s="74" t="s">
        <v>105</v>
      </c>
      <c r="AB73" s="74" t="s">
        <v>105</v>
      </c>
      <c r="AC73" s="74" t="s">
        <v>105</v>
      </c>
      <c r="AD73" s="74" t="s">
        <v>105</v>
      </c>
      <c r="AE73" s="74" t="s">
        <v>105</v>
      </c>
      <c r="AF73" s="219" t="s">
        <v>100</v>
      </c>
      <c r="AG73" s="39" t="s">
        <v>101</v>
      </c>
      <c r="AH73" s="120" t="s">
        <v>102</v>
      </c>
      <c r="AI73" s="39" t="s">
        <v>101</v>
      </c>
      <c r="AJ73" s="120" t="s">
        <v>102</v>
      </c>
      <c r="AK73" s="39" t="s">
        <v>101</v>
      </c>
      <c r="AL73" s="120" t="s">
        <v>102</v>
      </c>
      <c r="AM73" s="39" t="s">
        <v>101</v>
      </c>
      <c r="AN73" s="120" t="s">
        <v>102</v>
      </c>
      <c r="AO73" s="39" t="s">
        <v>101</v>
      </c>
      <c r="AP73" s="120" t="s">
        <v>102</v>
      </c>
      <c r="AQ73" s="39" t="s">
        <v>101</v>
      </c>
      <c r="AR73" s="120" t="s">
        <v>102</v>
      </c>
      <c r="AS73" s="39" t="s">
        <v>101</v>
      </c>
      <c r="AT73" s="120" t="s">
        <v>102</v>
      </c>
      <c r="AU73" s="39" t="s">
        <v>101</v>
      </c>
      <c r="AV73" s="120" t="s">
        <v>102</v>
      </c>
      <c r="AW73" s="39" t="s">
        <v>101</v>
      </c>
      <c r="AX73" s="120" t="s">
        <v>102</v>
      </c>
      <c r="AY73" s="39" t="s">
        <v>101</v>
      </c>
      <c r="AZ73" s="120" t="s">
        <v>102</v>
      </c>
      <c r="BA73" s="39" t="s">
        <v>101</v>
      </c>
      <c r="BB73" s="120" t="s">
        <v>102</v>
      </c>
      <c r="BC73" s="39" t="s">
        <v>101</v>
      </c>
      <c r="BD73" s="120" t="s">
        <v>102</v>
      </c>
      <c r="BE73" s="39" t="s">
        <v>101</v>
      </c>
      <c r="BF73" s="120" t="s">
        <v>102</v>
      </c>
      <c r="BG73" s="39" t="s">
        <v>101</v>
      </c>
      <c r="BH73" s="120" t="s">
        <v>102</v>
      </c>
      <c r="BI73" s="39" t="s">
        <v>101</v>
      </c>
      <c r="BJ73" s="120" t="s">
        <v>102</v>
      </c>
      <c r="BK73" s="39" t="s">
        <v>101</v>
      </c>
      <c r="BL73" s="210" t="s">
        <v>102</v>
      </c>
      <c r="BM73" s="220" t="s">
        <v>101</v>
      </c>
      <c r="BN73" s="210" t="s">
        <v>102</v>
      </c>
      <c r="BO73" s="220" t="s">
        <v>101</v>
      </c>
      <c r="BP73" s="210" t="s">
        <v>102</v>
      </c>
      <c r="BQ73" s="220" t="s">
        <v>101</v>
      </c>
      <c r="BR73" s="210" t="s">
        <v>102</v>
      </c>
      <c r="BS73" s="220" t="s">
        <v>101</v>
      </c>
      <c r="BT73" s="210" t="s">
        <v>102</v>
      </c>
      <c r="BU73" s="220" t="s">
        <v>101</v>
      </c>
      <c r="BV73" s="210" t="s">
        <v>102</v>
      </c>
      <c r="BW73" s="220" t="s">
        <v>101</v>
      </c>
      <c r="BX73" s="210" t="s">
        <v>102</v>
      </c>
      <c r="BY73" s="220" t="s">
        <v>101</v>
      </c>
      <c r="BZ73" s="210" t="s">
        <v>102</v>
      </c>
      <c r="CA73" s="220" t="s">
        <v>101</v>
      </c>
      <c r="CB73" s="210" t="s">
        <v>102</v>
      </c>
      <c r="CC73" s="220" t="s">
        <v>101</v>
      </c>
      <c r="CD73" s="210" t="s">
        <v>102</v>
      </c>
      <c r="CE73" s="220" t="s">
        <v>101</v>
      </c>
      <c r="CF73" s="210" t="s">
        <v>102</v>
      </c>
      <c r="CG73" s="220" t="s">
        <v>101</v>
      </c>
      <c r="CH73" s="210" t="s">
        <v>102</v>
      </c>
      <c r="CI73" s="220" t="s">
        <v>101</v>
      </c>
      <c r="CJ73" s="210" t="s">
        <v>102</v>
      </c>
      <c r="CK73" s="220" t="s">
        <v>101</v>
      </c>
      <c r="CL73" s="221" t="s">
        <v>102</v>
      </c>
      <c r="CM73" s="222" t="str">
        <f t="shared" si="2"/>
        <v>APPROVED</v>
      </c>
      <c r="CN73" s="212"/>
      <c r="CO73" s="61" t="b">
        <v>0</v>
      </c>
      <c r="CP73" s="170"/>
      <c r="CQ73" s="185"/>
    </row>
    <row r="74" ht="24.0" customHeight="1">
      <c r="A74" s="23">
        <v>57.0</v>
      </c>
      <c r="B74" s="64" t="s">
        <v>288</v>
      </c>
      <c r="C74" s="213">
        <v>1125.0</v>
      </c>
      <c r="D74" s="214" t="s">
        <v>288</v>
      </c>
      <c r="E74" s="213">
        <v>1125.0</v>
      </c>
      <c r="F74" s="28" t="str">
        <f>IFERROR(VLOOKUP(L74:L135,'R22 RELATÓRIO ACC'!B:F,5,FALSE),"NOT PUBLISHED")</f>
        <v>V7</v>
      </c>
      <c r="G74" s="28" t="str">
        <f>IFERROR(VLOOKUP(L74:L135,'R22 RELATÓRIO ACC'!B:P,15,FALSE),"NOT PUBLISHED")</f>
        <v>05/12/2025</v>
      </c>
      <c r="H74" s="29" t="str">
        <f>IFERROR(VLOOKUP(M74:M135,'RELATÓRIO ACC'!B:F,5,FALSE),"NOT PUBLISHED")</f>
        <v>V1</v>
      </c>
      <c r="I74" s="29" t="str">
        <f>IFERROR(VLOOKUP(M74:M135,'RELATÓRIO ACC'!B:P,15,FALSE),"NOT PUBLISHED")</f>
        <v>21/05/2026</v>
      </c>
      <c r="J74" s="215" t="s">
        <v>170</v>
      </c>
      <c r="K74" s="28">
        <v>45996.0</v>
      </c>
      <c r="L74" s="216" t="s">
        <v>323</v>
      </c>
      <c r="M74" s="216" t="s">
        <v>323</v>
      </c>
      <c r="N74" s="218" t="b">
        <v>1</v>
      </c>
      <c r="O74" s="218" t="b">
        <v>1</v>
      </c>
      <c r="P74" s="128" t="s">
        <v>99</v>
      </c>
      <c r="Q74" s="223" t="s">
        <v>100</v>
      </c>
      <c r="R74" s="104" t="s">
        <v>103</v>
      </c>
      <c r="S74" s="99" t="s">
        <v>115</v>
      </c>
      <c r="T74" s="74" t="s">
        <v>105</v>
      </c>
      <c r="U74" s="74" t="s">
        <v>105</v>
      </c>
      <c r="V74" s="74" t="s">
        <v>105</v>
      </c>
      <c r="W74" s="74" t="s">
        <v>105</v>
      </c>
      <c r="X74" s="74" t="s">
        <v>105</v>
      </c>
      <c r="Y74" s="74" t="s">
        <v>105</v>
      </c>
      <c r="Z74" s="74" t="s">
        <v>105</v>
      </c>
      <c r="AA74" s="74" t="s">
        <v>105</v>
      </c>
      <c r="AB74" s="74" t="s">
        <v>105</v>
      </c>
      <c r="AC74" s="74" t="s">
        <v>105</v>
      </c>
      <c r="AD74" s="74" t="s">
        <v>105</v>
      </c>
      <c r="AE74" s="74" t="s">
        <v>105</v>
      </c>
      <c r="AF74" s="104" t="s">
        <v>103</v>
      </c>
      <c r="AG74" s="101" t="s">
        <v>115</v>
      </c>
      <c r="AH74" s="74" t="s">
        <v>105</v>
      </c>
      <c r="AI74" s="74" t="s">
        <v>105</v>
      </c>
      <c r="AJ74" s="74" t="s">
        <v>105</v>
      </c>
      <c r="AK74" s="74" t="s">
        <v>105</v>
      </c>
      <c r="AL74" s="120" t="s">
        <v>100</v>
      </c>
      <c r="AM74" s="39" t="s">
        <v>101</v>
      </c>
      <c r="AN74" s="120" t="s">
        <v>102</v>
      </c>
      <c r="AO74" s="39" t="s">
        <v>101</v>
      </c>
      <c r="AP74" s="120" t="s">
        <v>102</v>
      </c>
      <c r="AQ74" s="39" t="s">
        <v>101</v>
      </c>
      <c r="AR74" s="120" t="s">
        <v>102</v>
      </c>
      <c r="AS74" s="39" t="s">
        <v>101</v>
      </c>
      <c r="AT74" s="120" t="s">
        <v>102</v>
      </c>
      <c r="AU74" s="39" t="s">
        <v>101</v>
      </c>
      <c r="AV74" s="120" t="s">
        <v>102</v>
      </c>
      <c r="AW74" s="39" t="s">
        <v>101</v>
      </c>
      <c r="AX74" s="120" t="s">
        <v>102</v>
      </c>
      <c r="AY74" s="39" t="s">
        <v>101</v>
      </c>
      <c r="AZ74" s="120" t="s">
        <v>102</v>
      </c>
      <c r="BA74" s="39" t="s">
        <v>101</v>
      </c>
      <c r="BB74" s="120" t="s">
        <v>102</v>
      </c>
      <c r="BC74" s="39" t="s">
        <v>101</v>
      </c>
      <c r="BD74" s="120" t="s">
        <v>102</v>
      </c>
      <c r="BE74" s="39" t="s">
        <v>101</v>
      </c>
      <c r="BF74" s="120" t="s">
        <v>102</v>
      </c>
      <c r="BG74" s="39" t="s">
        <v>101</v>
      </c>
      <c r="BH74" s="120" t="s">
        <v>102</v>
      </c>
      <c r="BI74" s="39" t="s">
        <v>101</v>
      </c>
      <c r="BJ74" s="120" t="s">
        <v>102</v>
      </c>
      <c r="BK74" s="39" t="s">
        <v>101</v>
      </c>
      <c r="BL74" s="120" t="s">
        <v>102</v>
      </c>
      <c r="BM74" s="39" t="s">
        <v>101</v>
      </c>
      <c r="BN74" s="120" t="s">
        <v>102</v>
      </c>
      <c r="BO74" s="39" t="s">
        <v>101</v>
      </c>
      <c r="BP74" s="120" t="s">
        <v>102</v>
      </c>
      <c r="BQ74" s="39" t="s">
        <v>101</v>
      </c>
      <c r="BR74" s="120" t="s">
        <v>102</v>
      </c>
      <c r="BS74" s="39" t="s">
        <v>101</v>
      </c>
      <c r="BT74" s="120" t="s">
        <v>102</v>
      </c>
      <c r="BU74" s="47" t="s">
        <v>101</v>
      </c>
      <c r="BV74" s="120" t="s">
        <v>102</v>
      </c>
      <c r="BW74" s="47" t="s">
        <v>101</v>
      </c>
      <c r="BX74" s="120" t="s">
        <v>102</v>
      </c>
      <c r="BY74" s="47" t="s">
        <v>101</v>
      </c>
      <c r="BZ74" s="120" t="s">
        <v>102</v>
      </c>
      <c r="CA74" s="47" t="s">
        <v>101</v>
      </c>
      <c r="CB74" s="120" t="s">
        <v>102</v>
      </c>
      <c r="CC74" s="47" t="s">
        <v>101</v>
      </c>
      <c r="CD74" s="120" t="s">
        <v>102</v>
      </c>
      <c r="CE74" s="47" t="s">
        <v>101</v>
      </c>
      <c r="CF74" s="120" t="s">
        <v>102</v>
      </c>
      <c r="CG74" s="47" t="s">
        <v>101</v>
      </c>
      <c r="CH74" s="120" t="s">
        <v>102</v>
      </c>
      <c r="CI74" s="47" t="s">
        <v>101</v>
      </c>
      <c r="CJ74" s="120" t="s">
        <v>102</v>
      </c>
      <c r="CK74" s="47" t="s">
        <v>101</v>
      </c>
      <c r="CL74" s="120" t="s">
        <v>102</v>
      </c>
      <c r="CM74" s="59" t="str">
        <f t="shared" si="2"/>
        <v>APPROVED</v>
      </c>
      <c r="CN74" s="212" t="s">
        <v>304</v>
      </c>
      <c r="CO74" s="61" t="b">
        <v>0</v>
      </c>
      <c r="CP74" s="224"/>
      <c r="CQ74" s="225"/>
    </row>
    <row r="75" ht="24.0" customHeight="1">
      <c r="A75" s="23">
        <v>58.0</v>
      </c>
      <c r="B75" s="64" t="s">
        <v>288</v>
      </c>
      <c r="C75" s="213">
        <v>1125.0</v>
      </c>
      <c r="D75" s="214" t="s">
        <v>288</v>
      </c>
      <c r="E75" s="213">
        <v>1125.0</v>
      </c>
      <c r="F75" s="28" t="str">
        <f>IFERROR(VLOOKUP(L75:L136,'R22 RELATÓRIO ACC'!B:F,5,FALSE),"NOT PUBLISHED")</f>
        <v>V6</v>
      </c>
      <c r="G75" s="28" t="str">
        <f>IFERROR(VLOOKUP(L75:L136,'R22 RELATÓRIO ACC'!B:P,15,FALSE),"NOT PUBLISHED")</f>
        <v>07/11/2025</v>
      </c>
      <c r="H75" s="29" t="str">
        <f>IFERROR(VLOOKUP(M75:M136,'RELATÓRIO ACC'!B:F,5,FALSE),"NOT PUBLISHED")</f>
        <v>V1</v>
      </c>
      <c r="I75" s="29" t="str">
        <f>IFERROR(VLOOKUP(M75:M136,'RELATÓRIO ACC'!B:P,15,FALSE),"NOT PUBLISHED")</f>
        <v>21/05/2026</v>
      </c>
      <c r="J75" s="215" t="s">
        <v>224</v>
      </c>
      <c r="K75" s="28">
        <v>45968.0</v>
      </c>
      <c r="L75" s="216" t="s">
        <v>324</v>
      </c>
      <c r="M75" s="216" t="s">
        <v>324</v>
      </c>
      <c r="N75" s="218" t="b">
        <v>1</v>
      </c>
      <c r="O75" s="218" t="b">
        <v>1</v>
      </c>
      <c r="P75" s="128" t="s">
        <v>99</v>
      </c>
      <c r="Q75" s="104" t="s">
        <v>103</v>
      </c>
      <c r="R75" s="104" t="s">
        <v>103</v>
      </c>
      <c r="S75" s="99" t="s">
        <v>115</v>
      </c>
      <c r="T75" s="74" t="s">
        <v>105</v>
      </c>
      <c r="U75" s="74" t="s">
        <v>105</v>
      </c>
      <c r="V75" s="74" t="s">
        <v>105</v>
      </c>
      <c r="W75" s="74" t="s">
        <v>105</v>
      </c>
      <c r="X75" s="74" t="s">
        <v>105</v>
      </c>
      <c r="Y75" s="74" t="s">
        <v>105</v>
      </c>
      <c r="Z75" s="74" t="s">
        <v>105</v>
      </c>
      <c r="AA75" s="74" t="s">
        <v>105</v>
      </c>
      <c r="AB75" s="74" t="s">
        <v>105</v>
      </c>
      <c r="AC75" s="74" t="s">
        <v>105</v>
      </c>
      <c r="AD75" s="74" t="s">
        <v>105</v>
      </c>
      <c r="AE75" s="74" t="s">
        <v>105</v>
      </c>
      <c r="AF75" s="219" t="s">
        <v>100</v>
      </c>
      <c r="AG75" s="39" t="s">
        <v>101</v>
      </c>
      <c r="AH75" s="120" t="s">
        <v>102</v>
      </c>
      <c r="AI75" s="39" t="s">
        <v>101</v>
      </c>
      <c r="AJ75" s="120" t="s">
        <v>102</v>
      </c>
      <c r="AK75" s="39" t="s">
        <v>101</v>
      </c>
      <c r="AL75" s="120" t="s">
        <v>102</v>
      </c>
      <c r="AM75" s="39" t="s">
        <v>101</v>
      </c>
      <c r="AN75" s="120" t="s">
        <v>102</v>
      </c>
      <c r="AO75" s="39" t="s">
        <v>101</v>
      </c>
      <c r="AP75" s="120" t="s">
        <v>102</v>
      </c>
      <c r="AQ75" s="39" t="s">
        <v>101</v>
      </c>
      <c r="AR75" s="120" t="s">
        <v>102</v>
      </c>
      <c r="AS75" s="39" t="s">
        <v>101</v>
      </c>
      <c r="AT75" s="120" t="s">
        <v>102</v>
      </c>
      <c r="AU75" s="39" t="s">
        <v>101</v>
      </c>
      <c r="AV75" s="120" t="s">
        <v>102</v>
      </c>
      <c r="AW75" s="39" t="s">
        <v>101</v>
      </c>
      <c r="AX75" s="120" t="s">
        <v>102</v>
      </c>
      <c r="AY75" s="39" t="s">
        <v>101</v>
      </c>
      <c r="AZ75" s="120" t="s">
        <v>102</v>
      </c>
      <c r="BA75" s="39" t="s">
        <v>101</v>
      </c>
      <c r="BB75" s="120" t="s">
        <v>102</v>
      </c>
      <c r="BC75" s="39" t="s">
        <v>101</v>
      </c>
      <c r="BD75" s="120" t="s">
        <v>102</v>
      </c>
      <c r="BE75" s="39" t="s">
        <v>101</v>
      </c>
      <c r="BF75" s="120" t="s">
        <v>102</v>
      </c>
      <c r="BG75" s="39" t="s">
        <v>101</v>
      </c>
      <c r="BH75" s="120" t="s">
        <v>102</v>
      </c>
      <c r="BI75" s="39" t="s">
        <v>101</v>
      </c>
      <c r="BJ75" s="120" t="s">
        <v>102</v>
      </c>
      <c r="BK75" s="39" t="s">
        <v>101</v>
      </c>
      <c r="BL75" s="120" t="s">
        <v>102</v>
      </c>
      <c r="BM75" s="39" t="s">
        <v>101</v>
      </c>
      <c r="BN75" s="120" t="s">
        <v>102</v>
      </c>
      <c r="BO75" s="39" t="s">
        <v>101</v>
      </c>
      <c r="BP75" s="120" t="s">
        <v>102</v>
      </c>
      <c r="BQ75" s="39" t="s">
        <v>101</v>
      </c>
      <c r="BR75" s="120" t="s">
        <v>102</v>
      </c>
      <c r="BS75" s="39" t="s">
        <v>101</v>
      </c>
      <c r="BT75" s="120" t="s">
        <v>102</v>
      </c>
      <c r="BU75" s="39" t="s">
        <v>101</v>
      </c>
      <c r="BV75" s="120" t="s">
        <v>102</v>
      </c>
      <c r="BW75" s="39" t="s">
        <v>101</v>
      </c>
      <c r="BX75" s="120" t="s">
        <v>102</v>
      </c>
      <c r="BY75" s="39" t="s">
        <v>101</v>
      </c>
      <c r="BZ75" s="120" t="s">
        <v>102</v>
      </c>
      <c r="CA75" s="39" t="s">
        <v>101</v>
      </c>
      <c r="CB75" s="120" t="s">
        <v>102</v>
      </c>
      <c r="CC75" s="39" t="s">
        <v>101</v>
      </c>
      <c r="CD75" s="120" t="s">
        <v>102</v>
      </c>
      <c r="CE75" s="39" t="s">
        <v>101</v>
      </c>
      <c r="CF75" s="120" t="s">
        <v>102</v>
      </c>
      <c r="CG75" s="39" t="s">
        <v>101</v>
      </c>
      <c r="CH75" s="120" t="s">
        <v>102</v>
      </c>
      <c r="CI75" s="39" t="s">
        <v>101</v>
      </c>
      <c r="CJ75" s="120" t="s">
        <v>102</v>
      </c>
      <c r="CK75" s="39" t="s">
        <v>101</v>
      </c>
      <c r="CL75" s="120" t="s">
        <v>102</v>
      </c>
      <c r="CM75" s="59" t="str">
        <f t="shared" si="2"/>
        <v>APPROVED</v>
      </c>
      <c r="CN75" s="169"/>
      <c r="CO75" s="226" t="b">
        <v>0</v>
      </c>
      <c r="CP75" s="227"/>
      <c r="CQ75" s="228"/>
    </row>
    <row r="76" ht="24.0" customHeight="1">
      <c r="A76" s="23">
        <v>59.0</v>
      </c>
      <c r="B76" s="229" t="s">
        <v>288</v>
      </c>
      <c r="C76" s="230">
        <v>1125.0</v>
      </c>
      <c r="D76" s="231" t="s">
        <v>288</v>
      </c>
      <c r="E76" s="230">
        <v>1125.0</v>
      </c>
      <c r="F76" s="232" t="str">
        <f>IFERROR(VLOOKUP(L76:L137,'R22 RELATÓRIO ACC'!B:F,5,FALSE),"NOT PUBLISHED")</f>
        <v>V6</v>
      </c>
      <c r="G76" s="232" t="str">
        <f>IFERROR(VLOOKUP(L76:L137,'R22 RELATÓRIO ACC'!B:P,15,FALSE),"NOT PUBLISHED")</f>
        <v>01/11/2025</v>
      </c>
      <c r="H76" s="233" t="str">
        <f>IFERROR(VLOOKUP(M76:M137,'RELATÓRIO ACC'!B:F,5,FALSE),"NOT PUBLISHED")</f>
        <v>V1</v>
      </c>
      <c r="I76" s="233" t="str">
        <f>IFERROR(VLOOKUP(M76:M137,'RELATÓRIO ACC'!B:P,15,FALSE),"NOT PUBLISHED")</f>
        <v>21/05/2026</v>
      </c>
      <c r="J76" s="234" t="s">
        <v>224</v>
      </c>
      <c r="K76" s="232">
        <v>45962.0</v>
      </c>
      <c r="L76" s="235" t="s">
        <v>325</v>
      </c>
      <c r="M76" s="235" t="s">
        <v>325</v>
      </c>
      <c r="N76" s="236" t="b">
        <v>1</v>
      </c>
      <c r="O76" s="236" t="b">
        <v>1</v>
      </c>
      <c r="P76" s="237" t="s">
        <v>99</v>
      </c>
      <c r="Q76" s="238" t="s">
        <v>103</v>
      </c>
      <c r="R76" s="238" t="s">
        <v>103</v>
      </c>
      <c r="S76" s="239" t="s">
        <v>115</v>
      </c>
      <c r="T76" s="238" t="s">
        <v>103</v>
      </c>
      <c r="U76" s="239" t="s">
        <v>115</v>
      </c>
      <c r="V76" s="240" t="s">
        <v>105</v>
      </c>
      <c r="W76" s="240" t="s">
        <v>105</v>
      </c>
      <c r="X76" s="240" t="s">
        <v>105</v>
      </c>
      <c r="Y76" s="240" t="s">
        <v>105</v>
      </c>
      <c r="Z76" s="240" t="s">
        <v>105</v>
      </c>
      <c r="AA76" s="240" t="s">
        <v>105</v>
      </c>
      <c r="AB76" s="240" t="s">
        <v>105</v>
      </c>
      <c r="AC76" s="240" t="s">
        <v>105</v>
      </c>
      <c r="AD76" s="240" t="s">
        <v>105</v>
      </c>
      <c r="AE76" s="240" t="s">
        <v>105</v>
      </c>
      <c r="AF76" s="241" t="s">
        <v>100</v>
      </c>
      <c r="AG76" s="242" t="s">
        <v>101</v>
      </c>
      <c r="AH76" s="243" t="s">
        <v>102</v>
      </c>
      <c r="AI76" s="242" t="s">
        <v>101</v>
      </c>
      <c r="AJ76" s="243" t="s">
        <v>102</v>
      </c>
      <c r="AK76" s="242" t="s">
        <v>101</v>
      </c>
      <c r="AL76" s="243" t="s">
        <v>102</v>
      </c>
      <c r="AM76" s="242" t="s">
        <v>101</v>
      </c>
      <c r="AN76" s="243" t="s">
        <v>102</v>
      </c>
      <c r="AO76" s="242" t="s">
        <v>101</v>
      </c>
      <c r="AP76" s="243" t="s">
        <v>102</v>
      </c>
      <c r="AQ76" s="242" t="s">
        <v>101</v>
      </c>
      <c r="AR76" s="243" t="s">
        <v>102</v>
      </c>
      <c r="AS76" s="242" t="s">
        <v>101</v>
      </c>
      <c r="AT76" s="243" t="s">
        <v>102</v>
      </c>
      <c r="AU76" s="242" t="s">
        <v>101</v>
      </c>
      <c r="AV76" s="243" t="s">
        <v>102</v>
      </c>
      <c r="AW76" s="242" t="s">
        <v>101</v>
      </c>
      <c r="AX76" s="243" t="s">
        <v>102</v>
      </c>
      <c r="AY76" s="242" t="s">
        <v>101</v>
      </c>
      <c r="AZ76" s="243" t="s">
        <v>102</v>
      </c>
      <c r="BA76" s="242" t="s">
        <v>101</v>
      </c>
      <c r="BB76" s="243" t="s">
        <v>102</v>
      </c>
      <c r="BC76" s="242" t="s">
        <v>101</v>
      </c>
      <c r="BD76" s="243" t="s">
        <v>102</v>
      </c>
      <c r="BE76" s="242" t="s">
        <v>101</v>
      </c>
      <c r="BF76" s="243" t="s">
        <v>102</v>
      </c>
      <c r="BG76" s="242" t="s">
        <v>101</v>
      </c>
      <c r="BH76" s="243" t="s">
        <v>102</v>
      </c>
      <c r="BI76" s="242" t="s">
        <v>101</v>
      </c>
      <c r="BJ76" s="243" t="s">
        <v>102</v>
      </c>
      <c r="BK76" s="242" t="s">
        <v>101</v>
      </c>
      <c r="BL76" s="243" t="s">
        <v>102</v>
      </c>
      <c r="BM76" s="242" t="s">
        <v>101</v>
      </c>
      <c r="BN76" s="243" t="s">
        <v>102</v>
      </c>
      <c r="BO76" s="242" t="s">
        <v>101</v>
      </c>
      <c r="BP76" s="243" t="s">
        <v>102</v>
      </c>
      <c r="BQ76" s="242" t="s">
        <v>101</v>
      </c>
      <c r="BR76" s="243" t="s">
        <v>102</v>
      </c>
      <c r="BS76" s="242" t="s">
        <v>101</v>
      </c>
      <c r="BT76" s="243" t="s">
        <v>102</v>
      </c>
      <c r="BU76" s="242" t="s">
        <v>101</v>
      </c>
      <c r="BV76" s="243" t="s">
        <v>102</v>
      </c>
      <c r="BW76" s="242" t="s">
        <v>101</v>
      </c>
      <c r="BX76" s="243" t="s">
        <v>102</v>
      </c>
      <c r="BY76" s="242" t="s">
        <v>101</v>
      </c>
      <c r="BZ76" s="243" t="s">
        <v>102</v>
      </c>
      <c r="CA76" s="242" t="s">
        <v>101</v>
      </c>
      <c r="CB76" s="243" t="s">
        <v>102</v>
      </c>
      <c r="CC76" s="242" t="s">
        <v>101</v>
      </c>
      <c r="CD76" s="243" t="s">
        <v>102</v>
      </c>
      <c r="CE76" s="242" t="s">
        <v>101</v>
      </c>
      <c r="CF76" s="243" t="s">
        <v>102</v>
      </c>
      <c r="CG76" s="242" t="s">
        <v>101</v>
      </c>
      <c r="CH76" s="243" t="s">
        <v>102</v>
      </c>
      <c r="CI76" s="242" t="s">
        <v>101</v>
      </c>
      <c r="CJ76" s="243" t="s">
        <v>102</v>
      </c>
      <c r="CK76" s="242" t="s">
        <v>101</v>
      </c>
      <c r="CL76" s="243" t="s">
        <v>102</v>
      </c>
      <c r="CM76" s="244" t="str">
        <f t="shared" si="2"/>
        <v>APPROVED</v>
      </c>
      <c r="CN76" s="169"/>
      <c r="CO76" s="226" t="b">
        <v>0</v>
      </c>
      <c r="CP76" s="227"/>
      <c r="CQ76" s="228"/>
    </row>
  </sheetData>
  <autoFilter ref="$A$2:$CM$76">
    <sortState ref="A2:CM76">
      <sortCondition descending="1" sortBy="cellColor" ref="CJ2:CJ76" dxfId="1"/>
      <sortCondition descending="1" sortBy="cellColor" ref="CK2:CK76" dxfId="1"/>
      <sortCondition descending="1" sortBy="cellColor" ref="CH2:CH76" dxfId="1"/>
      <sortCondition descending="1" sortBy="cellColor" ref="CF2:CF76" dxfId="1"/>
      <sortCondition descending="1" sortBy="cellColor" ref="CD2:CD76" dxfId="2"/>
      <sortCondition descending="1" sortBy="cellColor" ref="CB2:CB76" dxfId="1"/>
      <sortCondition descending="1" sortBy="cellColor" ref="BZ2:BZ76" dxfId="2"/>
      <sortCondition descending="1" sortBy="cellColor" ref="BX2:BX76" dxfId="1"/>
      <sortCondition descending="1" sortBy="cellColor" ref="BV2:BV76" dxfId="1"/>
      <sortCondition descending="1" sortBy="cellColor" ref="BT2:BT76" dxfId="1"/>
      <sortCondition descending="1" sortBy="cellColor" ref="BU2:BU76" dxfId="1"/>
      <sortCondition descending="1" ref="J2:J76"/>
    </sortState>
  </autoFilter>
  <mergeCells count="1">
    <mergeCell ref="D1:CL1"/>
  </mergeCells>
  <conditionalFormatting sqref="O3:O6 CO3:CO76 CP3:CQ10 N7 O9:O30 CP12:CQ13 CP16:CP76 CQ17:CQ76 O33:O36 O38:O40 O45:O76">
    <cfRule type="cellIs" dxfId="3" priority="1" operator="equal">
      <formula>"VERDADEIRO "</formula>
    </cfRule>
  </conditionalFormatting>
  <conditionalFormatting sqref="O3:O6 CO3:CO76 CP3:CQ10 N7 O9:O30 CP12:CQ13 CP16:CP76 CQ17:CQ76 O33:O36 O38:O40 O45:O76">
    <cfRule type="cellIs" dxfId="4" priority="2" operator="equal">
      <formula>"PEDING INFORMATION "</formula>
    </cfRule>
  </conditionalFormatting>
  <conditionalFormatting sqref="O3:O6 CO3:CO76 CP3:CQ10 N7 O9:O30 CP12:CQ13 CP16:CP76 CQ17:CQ76 O33:O36 O38:O40 O45:O76">
    <cfRule type="cellIs" dxfId="5" priority="3" operator="equal">
      <formula>"NON-RECIVED TABLE"</formula>
    </cfRule>
  </conditionalFormatting>
  <conditionalFormatting sqref="O3:O6 CO3:CO76 CP3:CQ10 N7 O9:O30 CP12:CQ13 CP16:CP76 CQ17:CQ76 O33:O36 O38:O40 O45:O76">
    <cfRule type="cellIs" dxfId="6" priority="4" operator="equal">
      <formula>"INCONSISTENCY MODEL"</formula>
    </cfRule>
  </conditionalFormatting>
  <conditionalFormatting sqref="U3:V8 W3:W76 X3:X27 Y3:CK76 CL3:CL16 CM3:CM76 T7 V10:V11 V13:V14 V16 U18:U19 V18:V20 CL18:CL76 V26:V27 V29 X29 V34 X34 U35 V37 X37 V40 X40 X43 V45 X45 V48 X48 V51 X51 V54 X54 V57:V59 X57:X59 U61 V62 X62:X76 V66:V76">
    <cfRule type="cellIs" dxfId="7" priority="5" operator="equal">
      <formula>"NON-ANALYSED"</formula>
    </cfRule>
  </conditionalFormatting>
  <conditionalFormatting sqref="U3:V8 W3:W76 X3:X27 Y3:CK76 CL3:CL16 CM3:CM76 T7 V10:V11 V13:V14 V16 U18:U19 V18:V20 CL18:CL76 V26:V27 V29 X29 V34 X34 U35 V37 X37 V40 X40 X43 V45 X45 V48 X48 V51 X51 V54 X54 V57:V59 X57:X59 U61 V62 X62:X76 V66:V76">
    <cfRule type="cellIs" dxfId="8" priority="6" operator="equal">
      <formula>"OBSOLET"</formula>
    </cfRule>
  </conditionalFormatting>
  <conditionalFormatting sqref="U3:V8 W3:W76 X3:X27 Y3:CK76 CL3:CL16 CM3:CM76 T7 V10:V11 V13:V14 V16 U18:U19 V18:V20 CL18:CL76 V26:V27 V29 X29 V34 X34 U35 V37 X37 V40 X40 X43 V45 X45 V48 X48 V51 X51 V54 X54 V57:V59 X57:X59 U61 V62 X62:X76 V66:V76">
    <cfRule type="cellIs" dxfId="6" priority="7" operator="equal">
      <formula>"NEED TO CORRECT"</formula>
    </cfRule>
  </conditionalFormatting>
  <conditionalFormatting sqref="U3:V8 W3:W76 X3:X27 Y3:CK76 CL3:CL16 CM3:CM76 T7 V10:V11 V13:V14 V16 U18:U19 V18:V20 CL18:CL76 V26:V27 V29 X29 V34 X34 U35 V37 X37 V40 X40 X43 V45 X45 V48 X48 V51 X51 V54 X54 V57:V59 X57:X59 U61 V62 X62:X76 V66:V76">
    <cfRule type="cellIs" dxfId="9" priority="8" operator="equal">
      <formula>"ANALYSING"</formula>
    </cfRule>
  </conditionalFormatting>
  <conditionalFormatting sqref="P3:R76 T3:CK76 CL3:CL16 CM3:CM76 S5 CL18:CL76 S28 S36 S56:S57 S66 S68:S76">
    <cfRule type="cellIs" dxfId="3" priority="9" operator="equal">
      <formula>"APPROVED"</formula>
    </cfRule>
  </conditionalFormatting>
  <conditionalFormatting sqref="P3:R76 T3:CK76 CL3:CL16 CM3:CM76 S5 CL18:CL76 S28 S36 S56:S57 S66 S68:S76">
    <cfRule type="cellIs" dxfId="6" priority="10" operator="equal">
      <formula>"NOT APPROVED"</formula>
    </cfRule>
  </conditionalFormatting>
  <conditionalFormatting sqref="P3:R76 T3:CK76 CL3:CL16 CM3:CM76 S5 CL18:CL76 S28 S36 S56:S57 S66 S68:S76">
    <cfRule type="cellIs" dxfId="7" priority="11" operator="equal">
      <formula>"NON-ANALYSED"</formula>
    </cfRule>
  </conditionalFormatting>
  <conditionalFormatting sqref="P3:R76 T3:CK76 CL3:CL16 CM3:CM76 S5 CL18:CL76 S28 S36 S56:S57 S66 S68:S76">
    <cfRule type="cellIs" dxfId="9" priority="12" operator="equal">
      <formula>"ANALYSING"</formula>
    </cfRule>
  </conditionalFormatting>
  <conditionalFormatting sqref="S3:CK76 CL3:CL16 CM3:CM76 CL18:CL76 CO30:CQ30">
    <cfRule type="cellIs" dxfId="7" priority="13" operator="equal">
      <formula>"NON-ANALYSED"</formula>
    </cfRule>
  </conditionalFormatting>
  <conditionalFormatting sqref="AN3:AU16 AV3:CK76 CL3:CL16 CL23 CL29:CL30 CL37 CL69:CL71 CL74">
    <cfRule type="cellIs" dxfId="4" priority="14" operator="equal">
      <formula>"IN PROGRESS"</formula>
    </cfRule>
  </conditionalFormatting>
  <conditionalFormatting sqref="S3:CK76 CL3:CL16 CM3:CM76 CL18:CL76 CO30:CQ30">
    <cfRule type="cellIs" dxfId="3" priority="15" operator="equal">
      <formula>"POSTED ISSUES"</formula>
    </cfRule>
  </conditionalFormatting>
  <conditionalFormatting sqref="S3:CK76 CL3:CL16 CM3:CM76 CL18:CL76 CO30:CQ30">
    <cfRule type="cellIs" dxfId="10" priority="16" operator="equal">
      <formula>"NO ISSUES"</formula>
    </cfRule>
  </conditionalFormatting>
  <conditionalFormatting sqref="S3:CK76 CL3:CL16 CM3:CM76 CL18:CL76 CO30:CQ30">
    <cfRule type="cellIs" dxfId="11" priority="17" operator="equal">
      <formula>"SUPPLIER NOTIFIED"</formula>
    </cfRule>
  </conditionalFormatting>
  <conditionalFormatting sqref="O2:O6 CO3:CO76 CP3:CQ10 N7 O9:O30 CP12:CQ13 CP16:CP76 CQ17:CQ76 O33:O36 O38:O40 O45:O76">
    <cfRule type="cellIs" dxfId="12" priority="18" operator="equal">
      <formula>"NON-FILLED"</formula>
    </cfRule>
  </conditionalFormatting>
  <conditionalFormatting sqref="S3 T3:CK76 CL3:CL16 CM3:CM76 CL18:CL76 CO30:CQ30">
    <cfRule type="cellIs" dxfId="13" priority="19" operator="equal">
      <formula>"FINALIZED"</formula>
    </cfRule>
  </conditionalFormatting>
  <conditionalFormatting sqref="S3 T3:CK76 CL3:CL16 CM3:CM76 CL18:CL76">
    <cfRule type="cellIs" dxfId="14" priority="20" operator="equal">
      <formula>"AWAITING ADJUSTMENT"</formula>
    </cfRule>
  </conditionalFormatting>
  <conditionalFormatting sqref="S3 T3:CK76 CL3:CL16 CM3:CM76 CL18:CL76 CO30:CQ30">
    <cfRule type="cellIs" dxfId="14" priority="21" operator="equal">
      <formula>"AWAITING ADJUSTMENT"</formula>
    </cfRule>
  </conditionalFormatting>
  <conditionalFormatting sqref="CP5:CQ6 CO9:CQ9">
    <cfRule type="cellIs" dxfId="15" priority="22" operator="equal">
      <formula>"FALSE"</formula>
    </cfRule>
  </conditionalFormatting>
  <conditionalFormatting sqref="J3:J76 K60:K61">
    <cfRule type="expression" dxfId="16" priority="23">
      <formula>IFERROR(ARRAYFORMULA(VALUE(MID(H3,2,10))) &gt; VALUE(MID(J3,2,10)), FALSE)</formula>
    </cfRule>
  </conditionalFormatting>
  <conditionalFormatting sqref="J3:J76 K60:K61">
    <cfRule type="beginsWith" dxfId="17" priority="24" operator="beginsWith" text="V">
      <formula>LEFT((J3),LEN("V"))=("V")</formula>
    </cfRule>
  </conditionalFormatting>
  <conditionalFormatting sqref="CO3:CO76">
    <cfRule type="expression" dxfId="18" priority="25">
      <formula>IFERROR(ARRAYFORMULA(VALUE(MID(#REF!,2,10))) &gt; VALUE(MID(#REF!,2,10)), FALSE)</formula>
    </cfRule>
  </conditionalFormatting>
  <conditionalFormatting sqref="AN3:AU16 AV3:CK76 CL3:CL16 CL23 CL29:CL30 CL37 CL69:CL71 CL74">
    <cfRule type="containsText" dxfId="19" priority="26" operator="containsText" text="2025">
      <formula>NOT(ISERROR(SEARCH(("2025"),(AN3))))</formula>
    </cfRule>
  </conditionalFormatting>
  <conditionalFormatting sqref="CM3:CM76">
    <cfRule type="cellIs" dxfId="20" priority="27" operator="equal">
      <formula>"REPROVED"</formula>
    </cfRule>
  </conditionalFormatting>
  <dataValidations>
    <dataValidation type="list" allowBlank="1" showErrorMessage="1" sqref="S3 U3 W3 Y3 AA3 AC3 AE3 AG3 AI3 AK3 AQ3 AW3 AY3 BC3 BE3 BG3 BM3 BO3 BQ3 BS3 CA3 CI3 BI3:BI4 CG4 CK4 AI5:AI6 AQ6 AS3:AS6 AY6 BC6 BE6 BG5:BG6 BM6 BO5:BO6 BQ6 BU4:BU6 BW6 BY6 CA6 CE6 CG6 CI6 AK7 AU3:AU7 BK3:BK7 Y9 AA9 AC9 AE9 AG9 AK9 AQ9 AW6:AW9 BA3:BA9 BC9 BE9 BG9 BK9 BM8:BM9 BQ9 BS5:BS9 BW9 BY8:BY9 CA9 CC6:CC9 CG8:CG9 CI9 CK6:CK9 AM3:AM10 AO3:AO10 AS8:AS10 AU9:AU10 BO9:BO10 BU9:BU10 CE9:CE10 AI9:AI11 AO12 AQ12 AS12 AU12 AW12 AY9:AY12 BA12 BC12 BE12 BG12 BI6:BI12 BK12 BO12 BQ11:BQ12 BM12:BM13 U16 W16 Y16 AA16 S18:S19 S21:S22 S27 S31 W18:W32 Y18:Y32 S33:S34 U18:U35 W35 S38 U38 W38 U40 W40 S44 U42:U45 W42:W45 Y34:Y46 AA18:AA46 AC16:AC46 AE16:AE46 AG16:AG46 AI16:AI46 AS16:AS46 AY16:AY46 BC16:BC46 BE16:BE46 BG16:BG46 S49 S53:S54 U49:U54 W49:W54 Y48:Y54 AI48:AI54 AK16:AK54 S56 U57:U58 W57:W58 Y57:Y58 U60:U61 W60:W61 Y60:Y61 AA48:AA61 AC48:AC61 AE48:AE61 AG48:AG61 AK56:AK61 S64 U63:U64 W63:W64 Y63:Y64 AA63:AA64 AC63:AC64 AE63:AE64 AG63:AG65 AI56:AI65 AK63:AK65 AM16:AM65 AO16:AO65 AU16:AU65 AQ16:AQ66 AS48:AS66 AW16:AW66 AY48:AY66 BA16:BA66 BC48:BC66 BE48:BE66 BG48:BG66 AQ68 AS68 AY68 AK69 BC68:BC69 BE68:BE69 AG71:AG73 AI70:AI73 AK71:AK73 AG75:AG76 AI75:AI76 AK75:AK76 AM69:AM76 AO68:AO76 AQ70:AQ76 AS71:AS76 AU68:AU76 AW68:AW76 AY71:AY76 BA68:BA76 BC71:BC76 BE71:BE76 BG68:BG76 BI16:BI76 BK16:BK76 BM16:BM76 BO16:BO76 BQ16:BQ76 BS16:BS76 BU14:BU76 BW15:BW76 BY14:BY76 CA14:CA76 CC13:CC76 CE13:CE76 CG14:CG76 CI13:CI76 CK13:CK76">
      <formula1>"IN PROGRESS,POSTED ISSUE,OBSOLET,NON-ANALYSED,NO ISSUE,FINALIZED"</formula1>
    </dataValidation>
    <dataValidation type="list" allowBlank="1" showErrorMessage="1" sqref="CP3:CP76">
      <formula1>"ABERTO,EM REVISÃO,PENDENTE,FECHADO,SEM ISSUE"</formula1>
    </dataValidation>
    <dataValidation type="list" allowBlank="1" showErrorMessage="1" sqref="BR3 BT3:BZ3 CB3:CH3 CJ3:CL3 BD4:BH4 BJ4 BL4:BT4 BV4:BY4 CD4:CF4 CH4:CJ4 CL4 BD5:BF5 BH5:BJ5 BL5:BN5 BP5:BR5 BT5 BV5:CA5 CF5:CL5 CJ6 BJ7 BL7:BR7 BT7:BY7 CD7:CJ7 BF7:BH8 BJ8:BL8 BN8:BR8 BT8:BX8 CB7:CB8 CD8:CF8 CH8:CJ8 CJ9 CL6:CL9 BJ10:BN10 BR10:BT10 BV10:BY10 CB10:CD10 CF10:CL10 BF10:BH11 BJ11:BP11 BR11:CL11 BR12:CA12 CF12:CL12 BL13 BN13:CB13 CD13 CF13:CH13 BV14:BX14 BT14:BT15 CL13:CL15 BF47:BH47 BD67:BH67 BF70">
      <formula1>"REPROVED,APPROVED,NON-ANALYSED,OBSOLET,ANALYSING,NOT PUBLISHED,NOT FOUND,OUTDATED,PREVIOUSLY APPROVED,NEXT ROUND,IMPROPER"</formula1>
    </dataValidation>
    <dataValidation type="list" allowBlank="1" showErrorMessage="1" sqref="O5:O6 O22:O24 O33:O35 O37 O39 O42:O43 O48 O51 O68">
      <formula1>"PEDING INFORMATION,NON-RECIVED TABLE,INCONSISTENCY MODEL,NON-FILLED,AWAITING ADJUSTMENT"</formula1>
    </dataValidation>
    <dataValidation type="list" allowBlank="1" showErrorMessage="1" sqref="S42 S46">
      <formula1>"IN PROGRESS,POSTED ISSUES,OBSOLET,NON-ANALYSED,SUPPLIER NOTIFIED,AWAINTING ADJUSTMENT,NO ISSUE"</formula1>
    </dataValidation>
    <dataValidation type="list" allowBlank="1" showErrorMessage="1" sqref="Y6 AC6 S4:S7 U5:U7 W7 AA7 AC8 AE7:AE8 AG6:AG8 S10 U10 S16:S17 U17 AA17 S20 S24:S25 S28:S30 S32 W33:W34 S35:S37 U36:U37 W36:W37 U39 W39 S39:S41 U41 W41 S43 S45 W46 AA47 AC47 AE47 S47:S48 U46:U48 W48 S50:S52 S55 W55 U55:U56 U59 U62 AA62 S57:S63 AC65 AE65 AC68:AC69 AA69:AA70 AE69:AE70 U68:U72 AG74 S68:S76 U76">
      <formula1>"IN PROGRESS,POSTED ISSUES,OBSOLET,NON-ANALYSED,SUPPLIER NOTIFIED,AWAINTING ADJUSTMENT,NO ISSUE"</formula1>
    </dataValidation>
    <dataValidation type="list" allowBlank="1" showErrorMessage="1" sqref="CN3:CN76">
      <formula1>"ANDERSON,LETICIA,YASMIN,GUI,CICI,FRANCIS,ALINNE,JAKELYNE,IURY"</formula1>
    </dataValidation>
    <dataValidation type="list" allowBlank="1" showErrorMessage="1" sqref="AR8">
      <formula1>"REPROVED,NOT APPROVED,APPROVED,NON-ANALYSED,OBSOLET,ANALYSING,NOT PUBLISHED,NOT FOUND,OUTDATED,PREVIOUSLY APPROVED"</formula1>
    </dataValidation>
    <dataValidation type="list" allowBlank="1" showErrorMessage="1" sqref="T3 V3 X3 Z3 AB3 AD3 AF3 AH3 AJ3 AL3 AP3 AR3 AV3 AX3 AZ3 BB3 BD3 BF3 BH3 BJ3 BL3 BN3 BP3 T4:AL4 BZ4:CC4 V5:AH5 AP4:AR5 AV4:AZ5 BB4:BC5 CB5:CE5 V6:X6 Z6:AB6 AD6:AF6 AH6 AJ5:AL6 AP6 AR6 AT3:AT6 AX6 AZ6 BB6 BD6 BF6 BH6 BJ6 BL6 BN6 BP6 BR6 BT6 BV6 BX6 BZ6 CB6 CD6 CF6 CH6 P3:R7 T5:T7 V7 X7:Z7 AB7:AD7 AJ7 AL7 AP7:AT7 AV6:AV7 P8:AB8 AH8:AL8 AP8:AQ8 AT8:AV8 AX7:AZ8 BB7:BE8 BZ7:CA8 P9:X9 Z9 AB9 AD8:AD9 AF7:AF9 AH9 AJ9 AL9 AP9 AR9 AV9 AX9 AZ9 BB9 BD9 BF9 BH9 BJ9 BL9 BN9 BP9 BR9 BT9 BV9 BX9 BZ9 CB9 CD9 CF9 CH9 P10:R10 T10 V10:AH10 AJ10:AL10 AN3:AN10 AP10:AR10 AT9:AT10 AV10:AX10 BP10:BQ10 BZ10:CA10 P11:AH11 AJ11:AX11 AZ10:BE11 P12:AN12 AP12 AR12 AT12 AV12 AX12 AZ12 BB12 BD12 BF12 BH12 BJ12 BL12 BN12 BP12 CB12:CE12 P13:BK13 P14:BS15 V16 X16 Z16 V17:Z17 P16:R22 T16:T22 P23:T23 P24:R25 T24:T25 P26:T26 X18:X32 Z18:Z32 X33:Z33 V18:V46 X34:X46 Z34:Z46 AF16:AF46 AH16:AH46 AR16:AR46 AT16:AT46 AX16:AX46 AZ16:AZ46 BB16:BB46 BD16:BD46 BF16:BF46 BH16:BH46 V47:Z47 AF47:AG47 AR47:AT47 AX47:AZ47 BB47:BE47 X48:X54 Z48:Z54 AH48:AH54 AJ16:AJ54 AL16:AL54 V48:V55 X55:Z55 AH55:AL55 V56:Z56 V57:V58 X57:X58 Z57:Z58 V59:Z59 V60:V61 X60:X61 Z60:Z61 AB16:AB61 AD16:AD61 AF48:AF61 AH56:AH61 AJ56:AJ61 AL56:AL61 V62:Z62 AB62:AH62 AJ62:AL62 P27:R64 T27:T64 V63:V64 X63:X64 Z63:Z64 AB63:AB64 AF63:AF64 P65:AB65 AD63:AD65 AH63:AH65 AJ63:AJ65 AL63:AL65 AN16:AN65 AP16:AP65 AT48:AT65 AV16:AV65 P66:AP66 AR48:AR66 AT66:AV66 AX48:AX66 AZ48:AZ66 BB48:BB66 BD48:BD66 BF48:BF66 BH48:BH66 P67:BA67 V68:AB68 AD68:AN68 AP68 AR68 AT68 AX68 AZ68 AB69 AD69 AF69:AG69 AJ69 AL69 AP69:AT69 BB68:BB69 BD68:BD69 BF68:BF69 V69:Z70 AB70:AD70 AF70:AH70 AJ70:AL70 AR70:AT70 AX69:AZ70 BB70:BE70 T68:T72 V71:AE72 T73:AE73 AH71:AH73 AJ71:AJ73 AL71:AL73 T74:AF74 AH74:AL74 T75:AE75 P68:R76 T76 V76:AE76 AH75:AH76 AJ75:AJ76 AL75:AL76 AN69:AN76 AP70:AP76 AR71:AR76 AT71:AT76 AV68:AV76 AX71:AX76 AZ71:AZ76 BB71:BB76 BD71:BD76 BF71:BF76 BH68:BH76 BJ16:BJ76 BL16:BL76 BN16:BN76 BP16:BP76 BR16:BR76 BT16:BT76 BV15:BV76 BX15:BX76 BZ14:BZ76 CB14:CB76 CD14:CD76 CF14:CF76 CH14:CH76 CJ13:CJ76 CL16:CL76">
      <formula1>"REPROVED,APPROVED,NON-ANALYSED,OBSOLET,ANALYSING,NOT PUBLISHED,NOT FOUND,OUTDATED,PREVIOUSLY APPROVED,IMPROPER"</formula1>
    </dataValidation>
    <dataValidation type="list" allowBlank="1" showErrorMessage="1" sqref="CQ3:CQ76">
      <formula1>"NA,COMENTÁRIO,SEM INTERAÇÃO"</formula1>
    </dataValidation>
  </dataValidations>
  <hyperlinks>
    <hyperlink r:id="rId1" ref="L3"/>
    <hyperlink r:id="rId2" ref="M3"/>
    <hyperlink r:id="rId3" ref="L4"/>
    <hyperlink r:id="rId4" ref="M4"/>
    <hyperlink r:id="rId5" ref="L5"/>
    <hyperlink r:id="rId6" ref="M5"/>
    <hyperlink r:id="rId7" ref="L6"/>
    <hyperlink r:id="rId8" ref="M6"/>
    <hyperlink r:id="rId9" ref="L7"/>
    <hyperlink r:id="rId10" ref="M7"/>
    <hyperlink r:id="rId11" ref="L8"/>
    <hyperlink r:id="rId12" ref="M8"/>
    <hyperlink r:id="rId13" ref="L9"/>
    <hyperlink r:id="rId14" ref="M9"/>
    <hyperlink r:id="rId15" ref="L10"/>
    <hyperlink r:id="rId16" ref="M10"/>
    <hyperlink r:id="rId17" ref="L11"/>
    <hyperlink r:id="rId18" ref="M11"/>
    <hyperlink r:id="rId19" ref="L12"/>
    <hyperlink r:id="rId20" ref="M12"/>
    <hyperlink r:id="rId21" ref="L13"/>
    <hyperlink r:id="rId22" ref="M13"/>
    <hyperlink r:id="rId23" ref="L14"/>
    <hyperlink r:id="rId24" ref="M14"/>
    <hyperlink r:id="rId25" ref="L15"/>
    <hyperlink r:id="rId26" ref="M15"/>
    <hyperlink r:id="rId27" ref="L16"/>
    <hyperlink r:id="rId28" ref="M16"/>
    <hyperlink r:id="rId29" ref="L17"/>
    <hyperlink r:id="rId30" ref="M17"/>
    <hyperlink r:id="rId31" ref="L18"/>
    <hyperlink r:id="rId32" ref="M18"/>
    <hyperlink r:id="rId33" ref="L19"/>
    <hyperlink r:id="rId34" ref="M19"/>
    <hyperlink r:id="rId35" ref="L20"/>
    <hyperlink r:id="rId36" ref="M20"/>
    <hyperlink r:id="rId37" ref="L21"/>
    <hyperlink r:id="rId38" ref="M21"/>
    <hyperlink r:id="rId39" ref="L22"/>
    <hyperlink r:id="rId40" ref="M22"/>
    <hyperlink r:id="rId41" ref="L23"/>
    <hyperlink r:id="rId42" ref="M23"/>
    <hyperlink r:id="rId43" ref="L24"/>
    <hyperlink r:id="rId44" ref="M24"/>
    <hyperlink r:id="rId45" ref="L25"/>
    <hyperlink r:id="rId46" ref="M25"/>
    <hyperlink r:id="rId47" ref="L27"/>
    <hyperlink r:id="rId48" ref="M27"/>
    <hyperlink r:id="rId49" ref="L28"/>
    <hyperlink r:id="rId50" ref="M28"/>
    <hyperlink r:id="rId51" ref="L29"/>
    <hyperlink r:id="rId52" ref="M29"/>
    <hyperlink r:id="rId53" ref="L30"/>
    <hyperlink r:id="rId54" ref="M30"/>
    <hyperlink r:id="rId55" ref="L31"/>
    <hyperlink r:id="rId56" ref="M31"/>
    <hyperlink r:id="rId57" ref="L32"/>
    <hyperlink r:id="rId58" ref="M32"/>
    <hyperlink r:id="rId59" ref="L33"/>
    <hyperlink r:id="rId60" ref="M33"/>
    <hyperlink r:id="rId61" ref="L34"/>
    <hyperlink r:id="rId62" ref="M34"/>
    <hyperlink r:id="rId63" ref="L35"/>
    <hyperlink r:id="rId64" ref="M35"/>
    <hyperlink r:id="rId65" ref="L36"/>
    <hyperlink r:id="rId66" ref="M36"/>
    <hyperlink r:id="rId67" ref="L37"/>
    <hyperlink r:id="rId68" ref="M37"/>
    <hyperlink r:id="rId69" ref="L38"/>
    <hyperlink r:id="rId70" ref="M38"/>
    <hyperlink r:id="rId71" ref="L39"/>
    <hyperlink r:id="rId72" ref="M39"/>
    <hyperlink r:id="rId73" ref="L40"/>
    <hyperlink r:id="rId74" ref="M40"/>
    <hyperlink r:id="rId75" ref="L41"/>
    <hyperlink r:id="rId76" ref="M41"/>
    <hyperlink r:id="rId77" ref="L42"/>
    <hyperlink r:id="rId78" ref="M42"/>
    <hyperlink r:id="rId79" ref="L43"/>
    <hyperlink r:id="rId80" ref="M43"/>
    <hyperlink r:id="rId81" ref="L44"/>
    <hyperlink r:id="rId82" ref="M44"/>
    <hyperlink r:id="rId83" ref="L45"/>
    <hyperlink r:id="rId84" ref="M45"/>
    <hyperlink r:id="rId85" ref="L46"/>
    <hyperlink r:id="rId86" ref="M46"/>
    <hyperlink r:id="rId87" ref="L47"/>
    <hyperlink r:id="rId88" ref="M47"/>
    <hyperlink r:id="rId89" ref="L48"/>
    <hyperlink r:id="rId90" ref="M48"/>
    <hyperlink r:id="rId91" ref="L49"/>
    <hyperlink r:id="rId92" ref="M49"/>
    <hyperlink r:id="rId93" ref="L50"/>
    <hyperlink r:id="rId94" ref="M50"/>
    <hyperlink r:id="rId95" ref="L51"/>
    <hyperlink r:id="rId96" ref="M51"/>
    <hyperlink r:id="rId97" ref="L52"/>
    <hyperlink r:id="rId98" ref="M52"/>
    <hyperlink r:id="rId99" ref="L53"/>
    <hyperlink r:id="rId100" ref="M53"/>
    <hyperlink r:id="rId101" ref="L54"/>
    <hyperlink r:id="rId102" ref="M54"/>
    <hyperlink r:id="rId103" ref="L55"/>
    <hyperlink r:id="rId104" ref="M55"/>
    <hyperlink r:id="rId105" ref="L56"/>
    <hyperlink r:id="rId106" ref="M56"/>
    <hyperlink r:id="rId107" ref="L57"/>
    <hyperlink r:id="rId108" ref="M57"/>
    <hyperlink r:id="rId109" ref="L58"/>
    <hyperlink r:id="rId110" ref="M58"/>
    <hyperlink r:id="rId111" ref="L59"/>
    <hyperlink r:id="rId112" ref="M59"/>
    <hyperlink r:id="rId113" ref="L60"/>
    <hyperlink r:id="rId114" ref="M60"/>
    <hyperlink r:id="rId115" ref="L61"/>
    <hyperlink r:id="rId116" ref="M61"/>
    <hyperlink r:id="rId117" ref="L62"/>
    <hyperlink r:id="rId118" ref="M62"/>
    <hyperlink r:id="rId119" ref="L63"/>
    <hyperlink r:id="rId120" ref="M63"/>
    <hyperlink r:id="rId121" ref="L64"/>
    <hyperlink r:id="rId122" ref="M64"/>
    <hyperlink r:id="rId123" ref="L65"/>
    <hyperlink r:id="rId124" ref="M65"/>
    <hyperlink r:id="rId125" ref="L66"/>
    <hyperlink r:id="rId126" ref="M66"/>
    <hyperlink r:id="rId127" ref="L67"/>
    <hyperlink r:id="rId128" ref="M67"/>
    <hyperlink r:id="rId129" ref="L68"/>
    <hyperlink r:id="rId130" ref="M68"/>
    <hyperlink r:id="rId131" ref="L69"/>
    <hyperlink r:id="rId132" ref="M69"/>
    <hyperlink r:id="rId133" ref="L70"/>
    <hyperlink r:id="rId134" ref="M70"/>
    <hyperlink r:id="rId135" ref="L71"/>
    <hyperlink r:id="rId136" ref="M71"/>
    <hyperlink r:id="rId137" ref="L72"/>
    <hyperlink r:id="rId138" ref="M72"/>
    <hyperlink r:id="rId139" ref="L73"/>
    <hyperlink r:id="rId140" ref="M73"/>
    <hyperlink r:id="rId141" ref="L74"/>
    <hyperlink r:id="rId142" ref="M74"/>
    <hyperlink r:id="rId143" ref="L75"/>
    <hyperlink r:id="rId144" ref="M75"/>
    <hyperlink r:id="rId145" ref="L76"/>
    <hyperlink r:id="rId146" ref="M76"/>
  </hyperlinks>
  <printOptions gridLines="1" horizontalCentered="1"/>
  <pageMargins bottom="0.75" footer="0.0" header="0.0" left="0.25" right="0.25" top="0.75"/>
  <pageSetup paperSize="9" orientation="landscape" pageOrder="overThenDown"/>
  <drawing r:id="rId1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6.75"/>
    <col customWidth="1" min="3" max="3" width="22.25"/>
  </cols>
  <sheetData>
    <row r="1">
      <c r="A1" s="245" t="s">
        <v>326</v>
      </c>
      <c r="B1" s="245" t="s">
        <v>327</v>
      </c>
      <c r="C1" s="245" t="s">
        <v>89</v>
      </c>
    </row>
    <row r="2">
      <c r="A2" s="246" t="str">
        <f>'4D CONTROL'!M3</f>
        <v>CPQ11-EPMS-DEVS-DATA-R24.rvt</v>
      </c>
      <c r="B2" s="247" t="str">
        <f>'4D CONTROL'!J3</f>
        <v>V2</v>
      </c>
      <c r="C2" s="248" t="str">
        <f>'4D CONTROL'!CM3</f>
        <v>REPROVED</v>
      </c>
    </row>
    <row r="3">
      <c r="A3" s="246" t="str">
        <f>'4D CONTROL'!M4</f>
        <v>CPQ11-FALM-FALM-SITE-R24.rvt</v>
      </c>
      <c r="B3" s="249" t="str">
        <f>'4D CONTROL'!J4</f>
        <v>V3</v>
      </c>
      <c r="C3" s="248" t="str">
        <f>'4D CONTROL'!CM4</f>
        <v>REPROVED</v>
      </c>
    </row>
    <row r="4">
      <c r="A4" s="246" t="str">
        <f>'4D CONTROL'!M5</f>
        <v>CPQ11-FALM-FALM-DATA-R24.rvt</v>
      </c>
      <c r="B4" s="249" t="str">
        <f>'4D CONTROL'!J5</f>
        <v>V1</v>
      </c>
      <c r="C4" s="248" t="str">
        <f>'4D CONTROL'!CM5</f>
        <v>REPROVED</v>
      </c>
    </row>
    <row r="5">
      <c r="A5" s="246" t="str">
        <f>'4D CONTROL'!M6</f>
        <v>CPQ11-ARCH-PART-C12A-R24.rvt</v>
      </c>
      <c r="B5" s="249" t="str">
        <f>'4D CONTROL'!J6</f>
        <v>V23</v>
      </c>
      <c r="C5" s="248" t="str">
        <f>'4D CONTROL'!CM6</f>
        <v>REPROVED</v>
      </c>
    </row>
    <row r="6">
      <c r="A6" s="246" t="str">
        <f>'4D CONTROL'!M7</f>
        <v>CPQ11-ELEC-ELEC-DATA-R24.rvt</v>
      </c>
      <c r="B6" s="247" t="str">
        <f>'4D CONTROL'!J7</f>
        <v>V4</v>
      </c>
      <c r="C6" s="248" t="str">
        <f>'4D CONTROL'!CM7</f>
        <v>REPROVED</v>
      </c>
    </row>
    <row r="7">
      <c r="A7" s="246" t="str">
        <f>'4D CONTROL'!M8</f>
        <v>CPQ11-ELEC-SPDA-DATA-R24.rvt</v>
      </c>
      <c r="B7" s="249" t="str">
        <f>'4D CONTROL'!J8</f>
        <v>V5</v>
      </c>
      <c r="C7" s="248" t="str">
        <f>'4D CONTROL'!CM8</f>
        <v>REPROVED</v>
      </c>
    </row>
    <row r="8">
      <c r="A8" s="246" t="str">
        <f>'4D CONTROL'!M9</f>
        <v>CPQ11-ARCH-METL-SITE-R24.rvt</v>
      </c>
      <c r="B8" s="247" t="str">
        <f>'4D CONTROL'!J9</f>
        <v>V5</v>
      </c>
      <c r="C8" s="248" t="str">
        <f>'4D CONTROL'!CM9</f>
        <v>REPROVED</v>
      </c>
    </row>
    <row r="9">
      <c r="A9" s="246" t="str">
        <f>'4D CONTROL'!M10</f>
        <v>CPQ11-FPRT-FPRT-DATA-R24.rvt</v>
      </c>
      <c r="B9" s="247" t="str">
        <f>'4D CONTROL'!J10</f>
        <v>V4</v>
      </c>
      <c r="C9" s="248" t="str">
        <f>'4D CONTROL'!CM10</f>
        <v>REPROVED</v>
      </c>
    </row>
    <row r="10">
      <c r="A10" s="246" t="str">
        <f>'4D CONTROL'!M11</f>
        <v>CPQ11-ARCH-CEIL-DATA-R24.rvt</v>
      </c>
      <c r="B10" s="247" t="str">
        <f>'4D CONTROL'!J11</f>
        <v>V1</v>
      </c>
      <c r="C10" s="248" t="str">
        <f>'4D CONTROL'!CM11</f>
        <v>REPROVED</v>
      </c>
    </row>
    <row r="11">
      <c r="A11" s="246" t="str">
        <f>'4D CONTROL'!M12</f>
        <v>CPQ11-ARCH-CEIL-SITE-R24.rvt</v>
      </c>
      <c r="B11" s="249" t="str">
        <f>'4D CONTROL'!J12</f>
        <v>V1</v>
      </c>
      <c r="C11" s="248" t="str">
        <f>'4D CONTROL'!CM12</f>
        <v>REPROVED</v>
      </c>
    </row>
    <row r="12">
      <c r="A12" s="246" t="str">
        <f>'4D CONTROL'!M13</f>
        <v>CPQ11-SCTY-GATE-SITE-R24.rvt</v>
      </c>
      <c r="B12" s="247" t="str">
        <f>'4D CONTROL'!J13</f>
        <v>V4</v>
      </c>
      <c r="C12" s="248" t="str">
        <f>'4D CONTROL'!CM13</f>
        <v>APPROVED</v>
      </c>
    </row>
    <row r="13">
      <c r="A13" s="246" t="str">
        <f>'4D CONTROL'!M14</f>
        <v>CPQ11-STRC-FLOO-DATA-R24.rvt</v>
      </c>
      <c r="B13" s="247" t="str">
        <f>'4D CONTROL'!J14</f>
        <v>V2</v>
      </c>
      <c r="C13" s="248" t="str">
        <f>'4D CONTROL'!CM14</f>
        <v>APPROVED</v>
      </c>
    </row>
    <row r="14">
      <c r="A14" s="250" t="str">
        <f>'4D CONTROL'!M15</f>
        <v>CPQ11-STRC-FLOO-SITE-R24.rvt</v>
      </c>
      <c r="B14" s="249" t="str">
        <f>'4D CONTROL'!J15</f>
        <v>V1</v>
      </c>
      <c r="C14" s="248" t="str">
        <f>'4D CONTROL'!CM15</f>
        <v>APPROVED</v>
      </c>
    </row>
    <row r="15">
      <c r="A15" s="246" t="str">
        <f>'4D CONTROL'!M16</f>
        <v>CPQ11-ARCH-ARCH-DATA-R24.rvt</v>
      </c>
      <c r="B15" s="249" t="str">
        <f>'4D CONTROL'!J16</f>
        <v>V18</v>
      </c>
      <c r="C15" s="248" t="str">
        <f>'4D CONTROL'!CM16</f>
        <v>APPROVED</v>
      </c>
    </row>
    <row r="16">
      <c r="A16" s="246" t="str">
        <f>'4D CONTROL'!M17</f>
        <v>CPQ11-ARCH-ARCH-SITE-R24.rvt</v>
      </c>
      <c r="B16" s="249" t="str">
        <f>'4D CONTROL'!J17</f>
        <v>V19</v>
      </c>
      <c r="C16" s="248" t="str">
        <f>'4D CONTROL'!CM17</f>
        <v>APPROVED</v>
      </c>
    </row>
    <row r="17">
      <c r="A17" s="246" t="str">
        <f>'4D CONTROL'!M18</f>
        <v>CPQ11-ARCH-BLPR-GUAR-R24.rvt</v>
      </c>
      <c r="B17" s="249" t="str">
        <f>'4D CONTROL'!J18</f>
        <v>V7</v>
      </c>
      <c r="C17" s="248" t="str">
        <f>'4D CONTROL'!CM18</f>
        <v>APPROVED</v>
      </c>
    </row>
    <row r="18">
      <c r="A18" s="246" t="str">
        <f>'4D CONTROL'!M19</f>
        <v>CPQ11-ARCH-CHAI-SITE-R24.rvt</v>
      </c>
      <c r="B18" s="249" t="str">
        <f>'4D CONTROL'!J19</f>
        <v>V4</v>
      </c>
      <c r="C18" s="248" t="str">
        <f>'4D CONTROL'!CM19</f>
        <v>APPROVED</v>
      </c>
    </row>
    <row r="19">
      <c r="A19" s="246" t="str">
        <f>'4D CONTROL'!M20</f>
        <v>CPQ11-ARCH-FACD-DATA-R24.rvt</v>
      </c>
      <c r="B19" s="249" t="str">
        <f>'4D CONTROL'!J20</f>
        <v>V8</v>
      </c>
      <c r="C19" s="248" t="str">
        <f>'4D CONTROL'!CM20</f>
        <v>APPROVED</v>
      </c>
    </row>
    <row r="20">
      <c r="A20" s="246" t="str">
        <f>'4D CONTROL'!M21</f>
        <v>CPQ11-ARCH-HM90-DATA-R24.rvt</v>
      </c>
      <c r="B20" s="249" t="str">
        <f>'4D CONTROL'!J21</f>
        <v>V3</v>
      </c>
      <c r="C20" s="248" t="str">
        <f>'4D CONTROL'!CM21</f>
        <v>APPROVED</v>
      </c>
    </row>
    <row r="21">
      <c r="A21" s="246" t="str">
        <f>'4D CONTROL'!M22</f>
        <v>CPQ11-ARCH-HMET-DATA-R24.rvt</v>
      </c>
      <c r="B21" s="249" t="str">
        <f>'4D CONTROL'!J22</f>
        <v>V5</v>
      </c>
      <c r="C21" s="248" t="str">
        <f>'4D CONTROL'!CM22</f>
        <v>APPROVED</v>
      </c>
    </row>
    <row r="22">
      <c r="A22" s="246" t="str">
        <f>'4D CONTROL'!M23</f>
        <v>CPQ11-ARCH-HMET-SITE-R24.rvt</v>
      </c>
      <c r="B22" s="249" t="str">
        <f>'4D CONTROL'!J23</f>
        <v>V3</v>
      </c>
      <c r="C22" s="248" t="str">
        <f>'4D CONTROL'!CM23</f>
        <v>APPROVED</v>
      </c>
    </row>
    <row r="23">
      <c r="A23" s="246" t="str">
        <f>'4D CONTROL'!M24</f>
        <v>CPQ11-ARCH-PART-SITE-R24.rvt</v>
      </c>
      <c r="B23" s="249" t="str">
        <f>'4D CONTROL'!J24</f>
        <v>V9</v>
      </c>
      <c r="C23" s="248" t="str">
        <f>'4D CONTROL'!CM24</f>
        <v>APPROVED</v>
      </c>
    </row>
    <row r="24">
      <c r="A24" s="246" t="str">
        <f>'4D CONTROL'!M25</f>
        <v>CPQ11-ARCH-ROOF-DATA-R24.rvt</v>
      </c>
      <c r="B24" s="249" t="str">
        <f>'4D CONTROL'!J25</f>
        <v>V17</v>
      </c>
      <c r="C24" s="248" t="str">
        <f>'4D CONTROL'!CM25</f>
        <v>APPROVED</v>
      </c>
    </row>
    <row r="25">
      <c r="A25" s="248" t="str">
        <f>'4D CONTROL'!M26</f>
        <v>CPQ11-ARCH-SHLV-DATA-R24.rvt</v>
      </c>
      <c r="B25" s="249" t="str">
        <f>'4D CONTROL'!J26</f>
        <v>V1</v>
      </c>
      <c r="C25" s="248" t="str">
        <f>'4D CONTROL'!CM26</f>
        <v>APPROVED</v>
      </c>
    </row>
    <row r="26">
      <c r="A26" s="246" t="str">
        <f>'4D CONTROL'!M27</f>
        <v>CPQ11-ARCH-WMES-DATA-R24.rvt</v>
      </c>
      <c r="B26" s="249" t="str">
        <f>'4D CONTROL'!J27</f>
        <v>V8</v>
      </c>
      <c r="C26" s="248" t="str">
        <f>'4D CONTROL'!CM27</f>
        <v>APPROVED</v>
      </c>
    </row>
    <row r="27">
      <c r="A27" s="246" t="str">
        <f>'4D CONTROL'!M28</f>
        <v>CPQ11-BASM-DEVS-DATA-R24.rvt</v>
      </c>
      <c r="B27" s="249" t="str">
        <f>'4D CONTROL'!J28</f>
        <v>V11</v>
      </c>
      <c r="C27" s="248" t="str">
        <f>'4D CONTROL'!CM28</f>
        <v>APPROVED</v>
      </c>
    </row>
    <row r="28">
      <c r="A28" s="246" t="str">
        <f>'4D CONTROL'!M29</f>
        <v>CPQ11-BASM-DEVS-PUMP-R24.rvt</v>
      </c>
      <c r="B28" s="249" t="str">
        <f>'4D CONTROL'!J29</f>
        <v>V9</v>
      </c>
      <c r="C28" s="248" t="str">
        <f>'4D CONTROL'!CM29</f>
        <v>APPROVED</v>
      </c>
    </row>
    <row r="29">
      <c r="A29" s="246" t="str">
        <f>'4D CONTROL'!M30</f>
        <v>CPQ11-BASM-INFR-DATA-R24.rvt</v>
      </c>
      <c r="B29" s="249" t="str">
        <f>'4D CONTROL'!J30</f>
        <v>V25</v>
      </c>
      <c r="C29" s="248" t="str">
        <f>'4D CONTROL'!CM30</f>
        <v>APPROVED</v>
      </c>
    </row>
    <row r="30">
      <c r="A30" s="246" t="str">
        <f>'4D CONTROL'!M31</f>
        <v>CPQ11-BASM-INFR-PUMP-R24.rvt</v>
      </c>
      <c r="B30" s="249" t="str">
        <f>'4D CONTROL'!J31</f>
        <v>V19</v>
      </c>
      <c r="C30" s="248" t="str">
        <f>'4D CONTROL'!CM31</f>
        <v>APPROVED</v>
      </c>
    </row>
    <row r="31">
      <c r="A31" s="246" t="str">
        <f>'4D CONTROL'!M32</f>
        <v>CPQ11-CIVL-ERTH-SITE-R24.rvt</v>
      </c>
      <c r="B31" s="249" t="str">
        <f>'4D CONTROL'!J32</f>
        <v>V2</v>
      </c>
      <c r="C31" s="248" t="str">
        <f>'4D CONTROL'!CM32</f>
        <v>APPROVED</v>
      </c>
    </row>
    <row r="32">
      <c r="A32" s="246" t="str">
        <f>'4D CONTROL'!M33</f>
        <v>CPQ11-CIVL-DRNG-SITE-R24.rvt</v>
      </c>
      <c r="B32" s="249" t="str">
        <f>'4D CONTROL'!J33</f>
        <v>V3</v>
      </c>
      <c r="C32" s="248" t="str">
        <f>'4D CONTROL'!CM33</f>
        <v>APPROVED</v>
      </c>
    </row>
    <row r="33">
      <c r="A33" s="246" t="str">
        <f>'4D CONTROL'!M34</f>
        <v>CPQ11-CIVL-PAVM-SITE-R24.rvt</v>
      </c>
      <c r="B33" s="249" t="str">
        <f>'4D CONTROL'!J34</f>
        <v>V1</v>
      </c>
      <c r="C33" s="248" t="str">
        <f>'4D CONTROL'!CM34</f>
        <v>APPROVED</v>
      </c>
    </row>
    <row r="34">
      <c r="A34" s="246" t="str">
        <f>'4D CONTROL'!M35</f>
        <v>CPQ11-CIVL-LOCK-SITE-R24.rvt</v>
      </c>
      <c r="B34" s="249" t="str">
        <f>'4D CONTROL'!J35</f>
        <v>V6</v>
      </c>
      <c r="C34" s="248" t="str">
        <f>'4D CONTROL'!CM35</f>
        <v>APPROVED</v>
      </c>
    </row>
    <row r="35">
      <c r="A35" s="246" t="str">
        <f>'4D CONTROL'!M36</f>
        <v>CPQ11-DALI-DEVS-DATA-R24.rvt</v>
      </c>
      <c r="B35" s="249" t="str">
        <f>'4D CONTROL'!J36</f>
        <v>V8</v>
      </c>
      <c r="C35" s="248" t="str">
        <f>'4D CONTROL'!CM36</f>
        <v>APPROVED</v>
      </c>
    </row>
    <row r="36">
      <c r="A36" s="246" t="str">
        <f>'4D CONTROL'!M37</f>
        <v>CPQ11-DASM-DEVS-DATA-R24.rvt</v>
      </c>
      <c r="B36" s="249" t="str">
        <f>'4D CONTROL'!J37</f>
        <v>V18</v>
      </c>
      <c r="C36" s="248" t="str">
        <f>'4D CONTROL'!CM37</f>
        <v>APPROVED</v>
      </c>
    </row>
    <row r="37">
      <c r="A37" s="246" t="str">
        <f>'4D CONTROL'!M38</f>
        <v>CPQ11-EPMS-DEVS-SITE-R24.rvt</v>
      </c>
      <c r="B37" s="249" t="str">
        <f>'4D CONTROL'!J38</f>
        <v>V6</v>
      </c>
      <c r="C37" s="248" t="str">
        <f>'4D CONTROL'!CM38</f>
        <v>APPROVED</v>
      </c>
    </row>
    <row r="38">
      <c r="A38" s="246" t="str">
        <f>'4D CONTROL'!M39</f>
        <v>CPQ11-FPRT-FPRT-SITE-R24.rvt</v>
      </c>
      <c r="B38" s="249" t="str">
        <f>'4D CONTROL'!J39</f>
        <v>V6</v>
      </c>
      <c r="C38" s="248" t="str">
        <f>'4D CONTROL'!CM39</f>
        <v>APPROVED</v>
      </c>
    </row>
    <row r="39">
      <c r="A39" s="246" t="str">
        <f>'4D CONTROL'!M40</f>
        <v>CPQ11-FPRT-METK-UTLS-R24.rvt</v>
      </c>
      <c r="B39" s="249" t="str">
        <f>'4D CONTROL'!J40</f>
        <v>V10</v>
      </c>
      <c r="C39" s="248" t="str">
        <f>'4D CONTROL'!CM40</f>
        <v>APPROVED</v>
      </c>
    </row>
    <row r="40">
      <c r="A40" s="246" t="str">
        <f>'4D CONTROL'!M41</f>
        <v>CPQ11-MECH-MECH-DATA-R24.rvt</v>
      </c>
      <c r="B40" s="249" t="str">
        <f>'4D CONTROL'!J41</f>
        <v>V45</v>
      </c>
      <c r="C40" s="248" t="str">
        <f>'4D CONTROL'!CM41</f>
        <v>APPROVED</v>
      </c>
    </row>
    <row r="41">
      <c r="A41" s="246" t="str">
        <f>'4D CONTROL'!M42</f>
        <v>CPQ11-MECH-MECH-GUAR-R24.rvt</v>
      </c>
      <c r="B41" s="249" t="str">
        <f>'4D CONTROL'!J42</f>
        <v>V14</v>
      </c>
      <c r="C41" s="248" t="str">
        <f>'4D CONTROL'!CM42</f>
        <v>APPROVED</v>
      </c>
    </row>
    <row r="42">
      <c r="A42" s="246" t="str">
        <f>'4D CONTROL'!M43</f>
        <v>CPQ11-PLMB-DIES-SITE-R24.rvt</v>
      </c>
      <c r="B42" s="249" t="str">
        <f>'4D CONTROL'!J43</f>
        <v>V7</v>
      </c>
      <c r="C42" s="248" t="str">
        <f>'4D CONTROL'!CM43</f>
        <v>APPROVED</v>
      </c>
    </row>
    <row r="43">
      <c r="A43" s="246" t="str">
        <f>'4D CONTROL'!M44</f>
        <v>CPQ11-PLMB-METK-UTLS-R24.rvt</v>
      </c>
      <c r="B43" s="249" t="str">
        <f>'4D CONTROL'!J44</f>
        <v>V21</v>
      </c>
      <c r="C43" s="248" t="str">
        <f>'4D CONTROL'!CM44</f>
        <v>APPROVED</v>
      </c>
    </row>
    <row r="44">
      <c r="A44" s="246" t="str">
        <f>'4D CONTROL'!M45</f>
        <v>CPQ11-PLMB-NPWT-DATA-R24.rvt</v>
      </c>
      <c r="B44" s="249" t="str">
        <f>'4D CONTROL'!J45</f>
        <v>V29</v>
      </c>
      <c r="C44" s="248" t="str">
        <f>'4D CONTROL'!CM45</f>
        <v>APPROVED</v>
      </c>
    </row>
    <row r="45">
      <c r="A45" s="246" t="str">
        <f>'4D CONTROL'!M46</f>
        <v>CPQ11-PLMB-NPWT-SITE-R24.rvt</v>
      </c>
      <c r="B45" s="249" t="str">
        <f>'4D CONTROL'!J46</f>
        <v>V32</v>
      </c>
      <c r="C45" s="248" t="str">
        <f>'4D CONTROL'!CM46</f>
        <v>APPROVED</v>
      </c>
    </row>
    <row r="46">
      <c r="A46" s="246" t="str">
        <f>'4D CONTROL'!M47</f>
        <v>CPQ11-PLMB-PLMB-SITE-R24.rvt</v>
      </c>
      <c r="B46" s="249" t="str">
        <f>'4D CONTROL'!J47</f>
        <v>V26</v>
      </c>
      <c r="C46" s="248" t="str">
        <f>'4D CONTROL'!CM47</f>
        <v>APPROVED</v>
      </c>
    </row>
    <row r="47">
      <c r="A47" s="246" t="str">
        <f>'4D CONTROL'!M48</f>
        <v>CPQ11-ROIP-DEVS-DATA-R24.rvt</v>
      </c>
      <c r="B47" s="249" t="str">
        <f>'4D CONTROL'!J48</f>
        <v>V21</v>
      </c>
      <c r="C47" s="248" t="str">
        <f>'4D CONTROL'!CM48</f>
        <v>APPROVED</v>
      </c>
    </row>
    <row r="48">
      <c r="A48" s="246" t="str">
        <f>'4D CONTROL'!M49</f>
        <v>CPQ11-ROIP-DEVS-GUAR-R24.rvt</v>
      </c>
      <c r="B48" s="249" t="str">
        <f>'4D CONTROL'!J49</f>
        <v>V6</v>
      </c>
      <c r="C48" s="248" t="str">
        <f>'4D CONTROL'!CM49</f>
        <v>APPROVED</v>
      </c>
    </row>
    <row r="49">
      <c r="A49" s="246" t="str">
        <f>'4D CONTROL'!M50</f>
        <v>CPQ11-SCTY-DEVS-DATA-R24.rvt</v>
      </c>
      <c r="B49" s="249" t="str">
        <f>'4D CONTROL'!J50</f>
        <v>V23</v>
      </c>
      <c r="C49" s="248" t="str">
        <f>'4D CONTROL'!CM50</f>
        <v>APPROVED</v>
      </c>
    </row>
    <row r="50">
      <c r="A50" s="246" t="str">
        <f>'4D CONTROL'!M51</f>
        <v>CPQ11-SCTY-DEVS-SITE-R24.rvt</v>
      </c>
      <c r="B50" s="249" t="str">
        <f>'4D CONTROL'!J51</f>
        <v>V20</v>
      </c>
      <c r="C50" s="248" t="str">
        <f>'4D CONTROL'!CM51</f>
        <v>APPROVED</v>
      </c>
    </row>
    <row r="51">
      <c r="A51" s="246" t="str">
        <f>'4D CONTROL'!M52</f>
        <v>CPQ11-SCTY-INFR-DATA-R24.rvt</v>
      </c>
      <c r="B51" s="249" t="str">
        <f>'4D CONTROL'!J52</f>
        <v>V28</v>
      </c>
      <c r="C51" s="248" t="str">
        <f>'4D CONTROL'!CM52</f>
        <v>APPROVED</v>
      </c>
    </row>
    <row r="52">
      <c r="A52" s="246" t="str">
        <f>'4D CONTROL'!M53</f>
        <v>CPQ11-SCTY-INFR-SITE-R24.rvt</v>
      </c>
      <c r="B52" s="249" t="str">
        <f>'4D CONTROL'!J53</f>
        <v>V18</v>
      </c>
      <c r="C52" s="248" t="str">
        <f>'4D CONTROL'!CM53</f>
        <v>APPROVED</v>
      </c>
    </row>
    <row r="53">
      <c r="A53" s="246" t="str">
        <f>'4D CONTROL'!M54</f>
        <v>CPQ11-STRC-CONC-DATA-R24.rvt</v>
      </c>
      <c r="B53" s="249" t="str">
        <f>'4D CONTROL'!J54</f>
        <v>V2</v>
      </c>
      <c r="C53" s="248" t="str">
        <f>'4D CONTROL'!CM54</f>
        <v>APPROVED</v>
      </c>
    </row>
    <row r="54">
      <c r="A54" s="246" t="str">
        <f>'4D CONTROL'!M55</f>
        <v>CPQ11-STRC-CONC-SITE-R24.rvt</v>
      </c>
      <c r="B54" s="249" t="str">
        <f>'4D CONTROL'!J55</f>
        <v>V9</v>
      </c>
      <c r="C54" s="248" t="str">
        <f>'4D CONTROL'!CM55</f>
        <v>APPROVED</v>
      </c>
    </row>
    <row r="55">
      <c r="A55" s="246" t="str">
        <f>'4D CONTROL'!M56</f>
        <v>CPQ11-STRC-DPFN-DATA-R24.rvt</v>
      </c>
      <c r="B55" s="249" t="str">
        <f>'4D CONTROL'!J56</f>
        <v>V4</v>
      </c>
      <c r="C55" s="248" t="str">
        <f>'4D CONTROL'!CM56</f>
        <v>APPROVED</v>
      </c>
    </row>
    <row r="56">
      <c r="A56" s="246" t="str">
        <f>'4D CONTROL'!M57</f>
        <v>CPQ11-STRC-DPFN-SITE-R24.rvt</v>
      </c>
      <c r="B56" s="249" t="str">
        <f>'4D CONTROL'!J57</f>
        <v>V3</v>
      </c>
      <c r="C56" s="248" t="str">
        <f>'4D CONTROL'!CM57</f>
        <v>APPROVED</v>
      </c>
    </row>
    <row r="57">
      <c r="A57" s="246" t="str">
        <f>'4D CONTROL'!M58</f>
        <v>CPQ11-STRC-STEE-ADMN-2X3.ifc</v>
      </c>
      <c r="B57" s="249" t="str">
        <f>'4D CONTROL'!J58</f>
        <v>V4</v>
      </c>
      <c r="C57" s="248" t="str">
        <f>'4D CONTROL'!CM58</f>
        <v>APPROVED</v>
      </c>
    </row>
    <row r="58">
      <c r="A58" s="246" t="str">
        <f>'4D CONTROL'!M59</f>
        <v>CPQ11-STRC-STEE-STIR-2X3.ifc</v>
      </c>
      <c r="B58" s="249" t="str">
        <f>'4D CONTROL'!J59</f>
        <v>V2</v>
      </c>
      <c r="C58" s="248" t="str">
        <f>'4D CONTROL'!CM59</f>
        <v>APPROVED</v>
      </c>
    </row>
    <row r="59">
      <c r="A59" s="246" t="str">
        <f>'4D CONTROL'!M60</f>
        <v>CPQ11-STRC-STEE-UTLS-2X3.ifc</v>
      </c>
      <c r="B59" s="249" t="str">
        <f>'4D CONTROL'!J60</f>
        <v>V4</v>
      </c>
      <c r="C59" s="248" t="str">
        <f>'4D CONTROL'!CM60</f>
        <v>APPROVED</v>
      </c>
    </row>
    <row r="60">
      <c r="A60" s="246" t="str">
        <f>'4D CONTROL'!M61</f>
        <v>CPQ11-SYST-INFR-DATA-R24.rvt</v>
      </c>
      <c r="B60" s="249" t="str">
        <f>'4D CONTROL'!J61</f>
        <v>V25</v>
      </c>
      <c r="C60" s="248" t="str">
        <f>'4D CONTROL'!CM61</f>
        <v>APPROVED</v>
      </c>
    </row>
    <row r="61">
      <c r="A61" s="246" t="str">
        <f>'4D CONTROL'!M62</f>
        <v>CPQ11-SYST-INFR-SITE-R24.rvt</v>
      </c>
      <c r="B61" s="249" t="str">
        <f>'4D CONTROL'!J62</f>
        <v>V36</v>
      </c>
      <c r="C61" s="248" t="str">
        <f>'4D CONTROL'!CM62</f>
        <v>APPROVED</v>
      </c>
    </row>
    <row r="62">
      <c r="A62" s="246" t="str">
        <f>'4D CONTROL'!M63</f>
        <v>CPQ11-TCOM-DEVS-DATA-R24.rvt</v>
      </c>
      <c r="B62" s="249" t="str">
        <f>'4D CONTROL'!J63</f>
        <v>V11</v>
      </c>
      <c r="C62" s="248" t="str">
        <f>'4D CONTROL'!CM63</f>
        <v>APPROVED</v>
      </c>
    </row>
    <row r="63">
      <c r="A63" s="246" t="str">
        <f>'4D CONTROL'!M64</f>
        <v>CPQ11-TCOM-DEVS-SITE-R24.rvt</v>
      </c>
      <c r="B63" s="249" t="str">
        <f>'4D CONTROL'!J64</f>
        <v>V6</v>
      </c>
      <c r="C63" s="248" t="str">
        <f>'4D CONTROL'!CM64</f>
        <v>APPROVED</v>
      </c>
    </row>
    <row r="64">
      <c r="A64" s="246" t="str">
        <f>'4D CONTROL'!M65</f>
        <v>CPQ11-ELEC-SPDA-SITE-R24.rvt</v>
      </c>
      <c r="B64" s="249" t="str">
        <f>'4D CONTROL'!J65</f>
        <v>V3</v>
      </c>
      <c r="C64" s="248" t="str">
        <f>'4D CONTROL'!CM65</f>
        <v>APPROVED</v>
      </c>
    </row>
    <row r="65">
      <c r="A65" s="246" t="str">
        <f>'4D CONTROL'!M66</f>
        <v>CPQ11-ARCH-STON-SITE-R24.rvt</v>
      </c>
      <c r="B65" s="249" t="str">
        <f>'4D CONTROL'!J66</f>
        <v>V4</v>
      </c>
      <c r="C65" s="248" t="str">
        <f>'4D CONTROL'!CM66</f>
        <v>APPROVED</v>
      </c>
    </row>
    <row r="66">
      <c r="A66" s="246" t="str">
        <f>'4D CONTROL'!M67</f>
        <v>CPQ11-ARCH-OHCD-DATA-R24.rvt</v>
      </c>
      <c r="B66" s="247" t="str">
        <f>'4D CONTROL'!J67</f>
        <v>V1</v>
      </c>
      <c r="C66" s="248" t="str">
        <f>'4D CONTROL'!CM67</f>
        <v>APPROVED</v>
      </c>
    </row>
    <row r="67">
      <c r="A67" s="246" t="str">
        <f>'4D CONTROL'!M68</f>
        <v>CPQ11-ARCH-PART-C345-R24.rvt</v>
      </c>
      <c r="B67" s="249" t="str">
        <f>'4D CONTROL'!J68</f>
        <v>V14</v>
      </c>
      <c r="C67" s="248" t="str">
        <f>'4D CONTROL'!CM68</f>
        <v>APPROVED</v>
      </c>
    </row>
    <row r="68">
      <c r="A68" s="246" t="str">
        <f>'4D CONTROL'!M69</f>
        <v>CPQ11-ELEC-ELEC-SITE-R24.rvt</v>
      </c>
      <c r="B68" s="249" t="str">
        <f>'4D CONTROL'!J69</f>
        <v>V33</v>
      </c>
      <c r="C68" s="248" t="str">
        <f>'4D CONTROL'!CM69</f>
        <v>APPROVED</v>
      </c>
    </row>
    <row r="69">
      <c r="A69" s="246" t="str">
        <f>'4D CONTROL'!M70</f>
        <v>CPQ11-PLMB-PLMB-DATA-R24.rvt</v>
      </c>
      <c r="B69" s="247" t="str">
        <f>'4D CONTROL'!J70</f>
        <v>V30</v>
      </c>
      <c r="C69" s="248" t="str">
        <f>'4D CONTROL'!CM70</f>
        <v>APPROVED</v>
      </c>
    </row>
    <row r="70">
      <c r="A70" s="246" t="str">
        <f>'4D CONTROL'!M71</f>
        <v>CPQ11-STRC-STEE-COL1-2X3.ifc</v>
      </c>
      <c r="B70" s="249" t="str">
        <f>'4D CONTROL'!J71</f>
        <v>V7</v>
      </c>
      <c r="C70" s="248" t="str">
        <f>'4D CONTROL'!CM71</f>
        <v>APPROVED</v>
      </c>
    </row>
    <row r="71">
      <c r="A71" s="246" t="str">
        <f>'4D CONTROL'!M72</f>
        <v>CPQ11-STRC-STEE-COL2-2X3.ifc</v>
      </c>
      <c r="B71" s="249" t="str">
        <f>'4D CONTROL'!J72</f>
        <v>V6</v>
      </c>
      <c r="C71" s="248" t="str">
        <f>'4D CONTROL'!CM72</f>
        <v>APPROVED</v>
      </c>
    </row>
    <row r="72">
      <c r="A72" s="246" t="str">
        <f>'4D CONTROL'!M73</f>
        <v>CPQ11-STRC-STEE-COL3-2X3.ifc</v>
      </c>
      <c r="B72" s="249" t="str">
        <f>'4D CONTROL'!J73</f>
        <v>V6</v>
      </c>
      <c r="C72" s="248" t="str">
        <f>'4D CONTROL'!CM73</f>
        <v>APPROVED</v>
      </c>
    </row>
    <row r="73">
      <c r="A73" s="246" t="str">
        <f>'4D CONTROL'!M74</f>
        <v>CPQ11-STRC-STEE-COL4-2X3.ifc</v>
      </c>
      <c r="B73" s="249" t="str">
        <f>'4D CONTROL'!J74</f>
        <v>V7</v>
      </c>
      <c r="C73" s="248" t="str">
        <f>'4D CONTROL'!CM74</f>
        <v>APPROVED</v>
      </c>
    </row>
    <row r="74">
      <c r="A74" s="246" t="str">
        <f>'4D CONTROL'!M75</f>
        <v>CPQ11-STRC-STEE-COL5-2X3.ifc</v>
      </c>
      <c r="B74" s="249" t="str">
        <f>'4D CONTROL'!J75</f>
        <v>V6</v>
      </c>
      <c r="C74" s="248" t="str">
        <f>'4D CONTROL'!CM75</f>
        <v>APPROVED</v>
      </c>
    </row>
    <row r="75">
      <c r="A75" s="246" t="str">
        <f>'4D CONTROL'!M76</f>
        <v>CPQ11-STRC-STEE-GUAR-2X3.ifc</v>
      </c>
      <c r="B75" s="249" t="str">
        <f>'4D CONTROL'!J76</f>
        <v>V6</v>
      </c>
      <c r="C75" s="248" t="str">
        <f>'4D CONTROL'!CM76</f>
        <v>APPROVED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13"/>
    <col customWidth="1" min="2" max="2" width="34.25"/>
    <col customWidth="1" min="4" max="4" width="15.38"/>
    <col customWidth="1" min="5" max="5" width="11.5"/>
    <col customWidth="1" min="6" max="6" width="22.38"/>
    <col customWidth="1" min="15" max="15" width="22.0"/>
    <col customWidth="1" min="16" max="16" width="31.75"/>
    <col customWidth="1" min="17" max="17" width="21.0"/>
    <col customWidth="1" min="18" max="18" width="22.0"/>
    <col customWidth="1" min="19" max="19" width="20.38"/>
  </cols>
  <sheetData>
    <row r="1">
      <c r="A1" s="251" t="s">
        <v>328</v>
      </c>
      <c r="B1" s="251" t="s">
        <v>329</v>
      </c>
      <c r="C1" s="251" t="s">
        <v>330</v>
      </c>
      <c r="D1" s="251" t="s">
        <v>331</v>
      </c>
      <c r="E1" s="251" t="s">
        <v>332</v>
      </c>
      <c r="F1" s="251" t="s">
        <v>333</v>
      </c>
      <c r="G1" s="251" t="s">
        <v>334</v>
      </c>
      <c r="H1" s="251" t="s">
        <v>335</v>
      </c>
      <c r="I1" s="251" t="s">
        <v>336</v>
      </c>
      <c r="J1" s="251" t="s">
        <v>337</v>
      </c>
      <c r="K1" s="251" t="s">
        <v>338</v>
      </c>
      <c r="L1" s="251" t="s">
        <v>339</v>
      </c>
      <c r="M1" s="251" t="s">
        <v>340</v>
      </c>
      <c r="N1" s="251" t="s">
        <v>341</v>
      </c>
      <c r="O1" s="251" t="s">
        <v>342</v>
      </c>
      <c r="P1" s="252" t="s">
        <v>343</v>
      </c>
      <c r="Q1" s="251" t="s">
        <v>344</v>
      </c>
      <c r="R1" s="251" t="s">
        <v>345</v>
      </c>
      <c r="S1" s="251" t="s">
        <v>346</v>
      </c>
      <c r="T1" s="251" t="s">
        <v>347</v>
      </c>
    </row>
    <row r="2">
      <c r="A2" s="253" t="s">
        <v>348</v>
      </c>
      <c r="B2" s="253" t="s">
        <v>349</v>
      </c>
      <c r="C2" s="254" t="s">
        <v>350</v>
      </c>
      <c r="D2" s="254" t="s">
        <v>351</v>
      </c>
      <c r="E2" s="255"/>
      <c r="F2" s="254" t="s">
        <v>111</v>
      </c>
      <c r="G2" s="254" t="s">
        <v>352</v>
      </c>
      <c r="H2" s="255"/>
      <c r="I2" s="255"/>
      <c r="J2" s="254" t="s">
        <v>352</v>
      </c>
      <c r="K2" s="254" t="s">
        <v>353</v>
      </c>
      <c r="L2" s="254" t="s">
        <v>354</v>
      </c>
      <c r="M2" s="254" t="s">
        <v>355</v>
      </c>
      <c r="N2" s="254" t="s">
        <v>356</v>
      </c>
      <c r="O2" s="256">
        <v>46176.51111111111</v>
      </c>
      <c r="P2" s="256" t="str">
        <f>IFERROR(__xludf.DUMMYFUNCTION("IFERROR(
  TEXT(
    DATE(
      INDEX(SPLIT(O2,"" ""),3),
      VLOOKUP(INDEX(SPLIT(O2,"" ""),1),{""jan."",1;""Feb"",2;""mar."",3;""Apr"",4;""May"",5;""jun."",6;""jul."",7;""Aug"",8;""sep"",9;""Oct"",10;""nov."",11;""Dec"",12},2,FALSE),
      INDEX(SPLIT"&amp;"(O2,"" ""),2)
    ),
    ""dd/mm/yyyy""
  ),
"""")"),"03/06/2026")</f>
        <v>03/06/2026</v>
      </c>
      <c r="Q2" s="254"/>
      <c r="R2" s="254"/>
      <c r="S2" s="254"/>
      <c r="T2" s="255"/>
    </row>
    <row r="3">
      <c r="A3" s="253" t="s">
        <v>357</v>
      </c>
      <c r="B3" s="253" t="s">
        <v>358</v>
      </c>
      <c r="C3" s="254" t="s">
        <v>350</v>
      </c>
      <c r="D3" s="254" t="s">
        <v>351</v>
      </c>
      <c r="E3" s="255"/>
      <c r="F3" s="254" t="s">
        <v>130</v>
      </c>
      <c r="G3" s="254" t="s">
        <v>352</v>
      </c>
      <c r="H3" s="255"/>
      <c r="I3" s="255"/>
      <c r="J3" s="254" t="s">
        <v>352</v>
      </c>
      <c r="K3" s="254" t="s">
        <v>353</v>
      </c>
      <c r="L3" s="254" t="s">
        <v>354</v>
      </c>
      <c r="M3" s="254" t="s">
        <v>355</v>
      </c>
      <c r="N3" s="254" t="s">
        <v>359</v>
      </c>
      <c r="O3" s="256">
        <v>46218.54861111111</v>
      </c>
      <c r="P3" s="256" t="str">
        <f>IFERROR(__xludf.DUMMYFUNCTION("IFERROR(
  TEXT(
    DATE(
      INDEX(SPLIT(O3,"" ""),3),
      VLOOKUP(INDEX(SPLIT(O3,"" ""),1),{""jan."",1;""Feb"",2;""mar."",3;""Apr"",4;""May"",5;""jun."",6;""jul."",7;""Aug"",8;""sep"",9;""Oct"",10;""nov."",11;""Dec"",12},2,FALSE),
      INDEX(SPLIT"&amp;"(O3,"" ""),2)
    ),
    ""dd/mm/yyyy""
  ),
"""")"),"15/07/2026")</f>
        <v>15/07/2026</v>
      </c>
      <c r="Q3" s="254"/>
      <c r="R3" s="254"/>
      <c r="S3" s="254"/>
      <c r="T3" s="255"/>
    </row>
    <row r="4">
      <c r="A4" s="253" t="s">
        <v>360</v>
      </c>
      <c r="B4" s="253" t="s">
        <v>361</v>
      </c>
      <c r="C4" s="254" t="s">
        <v>350</v>
      </c>
      <c r="D4" s="254" t="s">
        <v>351</v>
      </c>
      <c r="E4" s="255"/>
      <c r="F4" s="254" t="s">
        <v>118</v>
      </c>
      <c r="G4" s="254" t="s">
        <v>352</v>
      </c>
      <c r="H4" s="255"/>
      <c r="I4" s="255"/>
      <c r="J4" s="254" t="s">
        <v>352</v>
      </c>
      <c r="K4" s="254" t="s">
        <v>353</v>
      </c>
      <c r="L4" s="254" t="s">
        <v>354</v>
      </c>
      <c r="M4" s="254" t="s">
        <v>355</v>
      </c>
      <c r="N4" s="254" t="s">
        <v>362</v>
      </c>
      <c r="O4" s="254" t="s">
        <v>363</v>
      </c>
      <c r="P4" s="256" t="str">
        <f>IFERROR(__xludf.DUMMYFUNCTION("IFERROR(
  TEXT(
    DATE(
      INDEX(SPLIT(O4,"" ""),3),
      VLOOKUP(INDEX(SPLIT(O4,"" ""),1),{""jan."",1;""Feb"",2;""mar."",3;""Apr"",4;""May"",5;""jun."",6;""jul."",7;""Aug"",8;""sep"",9;""Oct"",10;""nov."",11;""Dec"",12},2,FALSE),
      INDEX(SPLIT"&amp;"(O4,"" ""),2)
    ),
    ""dd/mm/yyyy""
  ),
"""")"),"20/05/2026")</f>
        <v>20/05/2026</v>
      </c>
      <c r="Q4" s="254"/>
      <c r="R4" s="256"/>
      <c r="S4" s="254"/>
      <c r="T4" s="255"/>
    </row>
    <row r="5">
      <c r="A5" s="253" t="s">
        <v>364</v>
      </c>
      <c r="B5" s="253" t="s">
        <v>365</v>
      </c>
      <c r="C5" s="254" t="s">
        <v>350</v>
      </c>
      <c r="D5" s="254" t="s">
        <v>351</v>
      </c>
      <c r="E5" s="255"/>
      <c r="F5" s="254" t="s">
        <v>118</v>
      </c>
      <c r="G5" s="254" t="s">
        <v>352</v>
      </c>
      <c r="H5" s="255"/>
      <c r="I5" s="255"/>
      <c r="J5" s="254" t="s">
        <v>352</v>
      </c>
      <c r="K5" s="254" t="s">
        <v>353</v>
      </c>
      <c r="L5" s="254" t="s">
        <v>354</v>
      </c>
      <c r="M5" s="254" t="s">
        <v>355</v>
      </c>
      <c r="N5" s="254" t="s">
        <v>366</v>
      </c>
      <c r="O5" s="256">
        <v>46177.799305555556</v>
      </c>
      <c r="P5" s="256" t="str">
        <f>IFERROR(__xludf.DUMMYFUNCTION("IFERROR(
  TEXT(
    DATE(
      INDEX(SPLIT(O5,"" ""),3),
      VLOOKUP(INDEX(SPLIT(O5,"" ""),1),{""jan."",1;""Feb"",2;""mar."",3;""Apr"",4;""May"",5;""jun."",6;""jul."",7;""Aug"",8;""sep"",9;""Oct"",10;""nov."",11;""Dec"",12},2,FALSE),
      INDEX(SPLIT"&amp;"(O5,"" ""),2)
    ),
    ""dd/mm/yyyy""
  ),
"""")"),"04/06/2026")</f>
        <v>04/06/2026</v>
      </c>
      <c r="Q5" s="254"/>
      <c r="R5" s="254"/>
      <c r="S5" s="254"/>
      <c r="T5" s="255"/>
    </row>
    <row r="6">
      <c r="A6" s="253" t="s">
        <v>367</v>
      </c>
      <c r="B6" s="253" t="s">
        <v>368</v>
      </c>
      <c r="C6" s="254" t="s">
        <v>350</v>
      </c>
      <c r="D6" s="254" t="s">
        <v>351</v>
      </c>
      <c r="E6" s="255"/>
      <c r="F6" s="254" t="s">
        <v>118</v>
      </c>
      <c r="G6" s="254" t="s">
        <v>352</v>
      </c>
      <c r="H6" s="255"/>
      <c r="I6" s="255"/>
      <c r="J6" s="254" t="s">
        <v>352</v>
      </c>
      <c r="K6" s="254" t="s">
        <v>353</v>
      </c>
      <c r="L6" s="254" t="s">
        <v>354</v>
      </c>
      <c r="M6" s="254" t="s">
        <v>355</v>
      </c>
      <c r="N6" s="254" t="s">
        <v>369</v>
      </c>
      <c r="O6" s="256">
        <v>46185.70486111111</v>
      </c>
      <c r="P6" s="256" t="str">
        <f>IFERROR(__xludf.DUMMYFUNCTION("IFERROR(
  TEXT(
    DATE(
      INDEX(SPLIT(O6,"" ""),3),
      VLOOKUP(INDEX(SPLIT(O6,"" ""),1),{""jan."",1;""Feb"",2;""mar."",3;""Apr"",4;""May"",5;""jun."",6;""jul."",7;""Aug"",8;""sep"",9;""Oct"",10;""nov."",11;""Dec"",12},2,FALSE),
      INDEX(SPLIT"&amp;"(O6,"" ""),2)
    ),
    ""dd/mm/yyyy""
  ),
"""")"),"12/06/2026")</f>
        <v>12/06/2026</v>
      </c>
      <c r="Q6" s="254"/>
      <c r="R6" s="256"/>
      <c r="S6" s="254"/>
      <c r="T6" s="255"/>
    </row>
    <row r="7">
      <c r="A7" s="253" t="s">
        <v>370</v>
      </c>
      <c r="B7" s="253" t="s">
        <v>371</v>
      </c>
      <c r="C7" s="254" t="s">
        <v>350</v>
      </c>
      <c r="D7" s="254" t="s">
        <v>351</v>
      </c>
      <c r="E7" s="255"/>
      <c r="F7" s="254" t="s">
        <v>118</v>
      </c>
      <c r="G7" s="254" t="s">
        <v>352</v>
      </c>
      <c r="H7" s="255"/>
      <c r="I7" s="255"/>
      <c r="J7" s="254" t="s">
        <v>352</v>
      </c>
      <c r="K7" s="254" t="s">
        <v>353</v>
      </c>
      <c r="L7" s="254" t="s">
        <v>354</v>
      </c>
      <c r="M7" s="254" t="s">
        <v>355</v>
      </c>
      <c r="N7" s="254" t="s">
        <v>372</v>
      </c>
      <c r="O7" s="254" t="s">
        <v>373</v>
      </c>
      <c r="P7" s="256" t="str">
        <f>IFERROR(__xludf.DUMMYFUNCTION("IFERROR(
  TEXT(
    DATE(
      INDEX(SPLIT(O7,"" ""),3),
      VLOOKUP(INDEX(SPLIT(O7,"" ""),1),{""jan."",1;""Feb"",2;""mar."",3;""Apr"",4;""May"",5;""jun."",6;""jul."",7;""Aug"",8;""sep"",9;""Oct"",10;""nov."",11;""Dec"",12},2,FALSE),
      INDEX(SPLIT"&amp;"(O7,"" ""),2)
    ),
    ""dd/mm/yyyy""
  ),
"""")"),"15/05/2026")</f>
        <v>15/05/2026</v>
      </c>
      <c r="Q7" s="254"/>
      <c r="R7" s="256"/>
      <c r="S7" s="254"/>
      <c r="T7" s="255"/>
    </row>
    <row r="8">
      <c r="A8" s="253" t="s">
        <v>374</v>
      </c>
      <c r="B8" s="253" t="s">
        <v>375</v>
      </c>
      <c r="C8" s="254" t="s">
        <v>350</v>
      </c>
      <c r="D8" s="254" t="s">
        <v>351</v>
      </c>
      <c r="E8" s="255"/>
      <c r="F8" s="254" t="s">
        <v>111</v>
      </c>
      <c r="G8" s="254" t="s">
        <v>352</v>
      </c>
      <c r="H8" s="255"/>
      <c r="I8" s="255"/>
      <c r="J8" s="254" t="s">
        <v>352</v>
      </c>
      <c r="K8" s="254" t="s">
        <v>353</v>
      </c>
      <c r="L8" s="254" t="s">
        <v>354</v>
      </c>
      <c r="M8" s="254" t="s">
        <v>355</v>
      </c>
      <c r="N8" s="254" t="s">
        <v>376</v>
      </c>
      <c r="O8" s="256">
        <v>46210.75069444445</v>
      </c>
      <c r="P8" s="256" t="str">
        <f>IFERROR(__xludf.DUMMYFUNCTION("IFERROR(
  TEXT(
    DATE(
      INDEX(SPLIT(O8,"" ""),3),
      VLOOKUP(INDEX(SPLIT(O8,"" ""),1),{""jan."",1;""Feb"",2;""mar."",3;""Apr"",4;""May"",5;""jun."",6;""jul."",7;""Aug"",8;""sep"",9;""Oct"",10;""nov."",11;""Dec"",12},2,FALSE),
      INDEX(SPLIT"&amp;"(O8,"" ""),2)
    ),
    ""dd/mm/yyyy""
  ),
"""")"),"07/07/2026")</f>
        <v>07/07/2026</v>
      </c>
      <c r="Q8" s="254"/>
      <c r="R8" s="254"/>
      <c r="S8" s="254"/>
      <c r="T8" s="255"/>
    </row>
    <row r="9">
      <c r="A9" s="253" t="s">
        <v>377</v>
      </c>
      <c r="B9" s="253" t="s">
        <v>378</v>
      </c>
      <c r="C9" s="254" t="s">
        <v>350</v>
      </c>
      <c r="D9" s="254" t="s">
        <v>351</v>
      </c>
      <c r="E9" s="255"/>
      <c r="F9" s="254" t="s">
        <v>95</v>
      </c>
      <c r="G9" s="254" t="s">
        <v>352</v>
      </c>
      <c r="H9" s="255"/>
      <c r="I9" s="255"/>
      <c r="J9" s="254" t="s">
        <v>352</v>
      </c>
      <c r="K9" s="254" t="s">
        <v>353</v>
      </c>
      <c r="L9" s="254" t="s">
        <v>354</v>
      </c>
      <c r="M9" s="254" t="s">
        <v>355</v>
      </c>
      <c r="N9" s="254" t="s">
        <v>379</v>
      </c>
      <c r="O9" s="256">
        <v>46199.59444444445</v>
      </c>
      <c r="P9" s="256" t="str">
        <f>IFERROR(__xludf.DUMMYFUNCTION("IFERROR(
  TEXT(
    DATE(
      INDEX(SPLIT(O9,"" ""),3),
      VLOOKUP(INDEX(SPLIT(O9,"" ""),1),{""jan."",1;""Feb"",2;""mar."",3;""Apr"",4;""May"",5;""jun."",6;""jul."",7;""Aug"",8;""sep"",9;""Oct"",10;""nov."",11;""Dec"",12},2,FALSE),
      INDEX(SPLIT"&amp;"(O9,"" ""),2)
    ),
    ""dd/mm/yyyy""
  ),
"""")"),"26/06/2026")</f>
        <v>26/06/2026</v>
      </c>
      <c r="Q9" s="254"/>
      <c r="R9" s="254"/>
      <c r="S9" s="254"/>
      <c r="T9" s="255"/>
    </row>
    <row r="10">
      <c r="A10" s="253" t="s">
        <v>380</v>
      </c>
      <c r="B10" s="253" t="s">
        <v>381</v>
      </c>
      <c r="C10" s="254" t="s">
        <v>350</v>
      </c>
      <c r="D10" s="254" t="s">
        <v>351</v>
      </c>
      <c r="E10" s="255"/>
      <c r="F10" s="254" t="s">
        <v>118</v>
      </c>
      <c r="G10" s="254" t="s">
        <v>352</v>
      </c>
      <c r="H10" s="255"/>
      <c r="I10" s="255"/>
      <c r="J10" s="254" t="s">
        <v>352</v>
      </c>
      <c r="K10" s="254" t="s">
        <v>353</v>
      </c>
      <c r="L10" s="254" t="s">
        <v>354</v>
      </c>
      <c r="M10" s="254" t="s">
        <v>355</v>
      </c>
      <c r="N10" s="254" t="s">
        <v>382</v>
      </c>
      <c r="O10" s="254" t="s">
        <v>383</v>
      </c>
      <c r="P10" s="256" t="str">
        <f>IFERROR(__xludf.DUMMYFUNCTION("IFERROR(
  TEXT(
    DATE(
      INDEX(SPLIT(O10,"" ""),3),
      VLOOKUP(INDEX(SPLIT(O10,"" ""),1),{""jan."",1;""Feb"",2;""mar."",3;""Apr"",4;""May"",5;""jun."",6;""jul."",7;""Aug"",8;""sep"",9;""Oct"",10;""nov."",11;""Dec"",12},2,FALSE),
      INDEX(SPL"&amp;"IT(O10,"" ""),2)
    ),
    ""dd/mm/yyyy""
  ),
"""")"),"15/05/2026")</f>
        <v>15/05/2026</v>
      </c>
      <c r="Q10" s="254"/>
      <c r="R10" s="254"/>
      <c r="S10" s="254"/>
      <c r="T10" s="255"/>
    </row>
    <row r="11">
      <c r="A11" s="253" t="s">
        <v>384</v>
      </c>
      <c r="B11" s="253" t="s">
        <v>385</v>
      </c>
      <c r="C11" s="254" t="s">
        <v>350</v>
      </c>
      <c r="D11" s="254" t="s">
        <v>351</v>
      </c>
      <c r="E11" s="255"/>
      <c r="F11" s="254" t="s">
        <v>118</v>
      </c>
      <c r="G11" s="254" t="s">
        <v>352</v>
      </c>
      <c r="H11" s="255"/>
      <c r="I11" s="255"/>
      <c r="J11" s="254" t="s">
        <v>352</v>
      </c>
      <c r="K11" s="254" t="s">
        <v>353</v>
      </c>
      <c r="L11" s="254" t="s">
        <v>354</v>
      </c>
      <c r="M11" s="254" t="s">
        <v>355</v>
      </c>
      <c r="N11" s="254" t="s">
        <v>386</v>
      </c>
      <c r="O11" s="254" t="s">
        <v>387</v>
      </c>
      <c r="P11" s="256" t="str">
        <f>IFERROR(__xludf.DUMMYFUNCTION("IFERROR(
  TEXT(
    DATE(
      INDEX(SPLIT(O11,"" ""),3),
      VLOOKUP(INDEX(SPLIT(O11,"" ""),1),{""jan."",1;""Feb"",2;""mar."",3;""Apr"",4;""May"",5;""jun."",6;""jul."",7;""Aug"",8;""sep"",9;""Oct"",10;""nov."",11;""Dec"",12},2,FALSE),
      INDEX(SPL"&amp;"IT(O11,"" ""),2)
    ),
    ""dd/mm/yyyy""
  ),
"""")"),"15/05/2026")</f>
        <v>15/05/2026</v>
      </c>
      <c r="Q11" s="254"/>
      <c r="R11" s="254"/>
      <c r="S11" s="254"/>
      <c r="T11" s="255"/>
    </row>
    <row r="12">
      <c r="A12" s="253" t="s">
        <v>388</v>
      </c>
      <c r="B12" s="253" t="s">
        <v>389</v>
      </c>
      <c r="C12" s="254" t="s">
        <v>350</v>
      </c>
      <c r="D12" s="254" t="s">
        <v>351</v>
      </c>
      <c r="E12" s="255"/>
      <c r="F12" s="254" t="s">
        <v>134</v>
      </c>
      <c r="G12" s="254" t="s">
        <v>352</v>
      </c>
      <c r="H12" s="255"/>
      <c r="I12" s="255"/>
      <c r="J12" s="254" t="s">
        <v>352</v>
      </c>
      <c r="K12" s="254" t="s">
        <v>353</v>
      </c>
      <c r="L12" s="254" t="s">
        <v>354</v>
      </c>
      <c r="M12" s="254" t="s">
        <v>355</v>
      </c>
      <c r="N12" s="254" t="s">
        <v>390</v>
      </c>
      <c r="O12" s="256">
        <v>46195.67222222222</v>
      </c>
      <c r="P12" s="256" t="str">
        <f>IFERROR(__xludf.DUMMYFUNCTION("IFERROR(
  TEXT(
    DATE(
      INDEX(SPLIT(O12,"" ""),3),
      VLOOKUP(INDEX(SPLIT(O12,"" ""),1),{""jan."",1;""Feb"",2;""mar."",3;""Apr"",4;""May"",5;""jun."",6;""jul."",7;""Aug"",8;""sep"",9;""Oct"",10;""nov."",11;""Dec"",12},2,FALSE),
      INDEX(SPL"&amp;"IT(O12,"" ""),2)
    ),
    ""dd/mm/yyyy""
  ),
"""")"),"22/06/2026")</f>
        <v>22/06/2026</v>
      </c>
      <c r="Q12" s="254"/>
      <c r="R12" s="254"/>
      <c r="S12" s="254"/>
      <c r="T12" s="255"/>
    </row>
    <row r="13">
      <c r="A13" s="253" t="s">
        <v>391</v>
      </c>
      <c r="B13" s="253" t="s">
        <v>392</v>
      </c>
      <c r="C13" s="254" t="s">
        <v>350</v>
      </c>
      <c r="D13" s="254" t="s">
        <v>351</v>
      </c>
      <c r="E13" s="255"/>
      <c r="F13" s="254" t="s">
        <v>95</v>
      </c>
      <c r="G13" s="254" t="s">
        <v>352</v>
      </c>
      <c r="H13" s="255"/>
      <c r="I13" s="255"/>
      <c r="J13" s="254" t="s">
        <v>352</v>
      </c>
      <c r="K13" s="254" t="s">
        <v>353</v>
      </c>
      <c r="L13" s="254" t="s">
        <v>354</v>
      </c>
      <c r="M13" s="254" t="s">
        <v>355</v>
      </c>
      <c r="N13" s="254" t="s">
        <v>393</v>
      </c>
      <c r="O13" s="256">
        <v>46177.45972222222</v>
      </c>
      <c r="P13" s="256" t="str">
        <f>IFERROR(__xludf.DUMMYFUNCTION("IFERROR(
  TEXT(
    DATE(
      INDEX(SPLIT(O13,"" ""),3),
      VLOOKUP(INDEX(SPLIT(O13,"" ""),1),{""jan."",1;""Feb"",2;""mar."",3;""Apr"",4;""May"",5;""jun."",6;""jul."",7;""Aug"",8;""sep"",9;""Oct"",10;""nov."",11;""Dec"",12},2,FALSE),
      INDEX(SPL"&amp;"IT(O13,"" ""),2)
    ),
    ""dd/mm/yyyy""
  ),
"""")"),"04/06/2026")</f>
        <v>04/06/2026</v>
      </c>
      <c r="Q13" s="254"/>
      <c r="R13" s="254"/>
      <c r="S13" s="254"/>
      <c r="T13" s="255"/>
    </row>
    <row r="14">
      <c r="A14" s="253" t="s">
        <v>394</v>
      </c>
      <c r="B14" s="253" t="s">
        <v>395</v>
      </c>
      <c r="C14" s="254" t="s">
        <v>350</v>
      </c>
      <c r="D14" s="254" t="s">
        <v>351</v>
      </c>
      <c r="E14" s="255"/>
      <c r="F14" s="254" t="s">
        <v>95</v>
      </c>
      <c r="G14" s="254" t="s">
        <v>352</v>
      </c>
      <c r="H14" s="255"/>
      <c r="I14" s="255"/>
      <c r="J14" s="254" t="s">
        <v>352</v>
      </c>
      <c r="K14" s="254" t="s">
        <v>353</v>
      </c>
      <c r="L14" s="254" t="s">
        <v>354</v>
      </c>
      <c r="M14" s="254" t="s">
        <v>355</v>
      </c>
      <c r="N14" s="254" t="s">
        <v>396</v>
      </c>
      <c r="O14" s="254" t="s">
        <v>397</v>
      </c>
      <c r="P14" s="256" t="str">
        <f>IFERROR(__xludf.DUMMYFUNCTION("IFERROR(
  TEXT(
    DATE(
      INDEX(SPLIT(O14,"" ""),3),
      VLOOKUP(INDEX(SPLIT(O14,"" ""),1),{""jan."",1;""Feb"",2;""mar."",3;""Apr"",4;""May"",5;""jun."",6;""jul."",7;""Aug"",8;""sep"",9;""Oct"",10;""nov."",11;""Dec"",12},2,FALSE),
      INDEX(SPL"&amp;"IT(O14,"" ""),2)
    ),
    ""dd/mm/yyyy""
  ),
"""")"),"27/05/2026")</f>
        <v>27/05/2026</v>
      </c>
      <c r="Q14" s="254"/>
      <c r="R14" s="254"/>
      <c r="S14" s="254"/>
      <c r="T14" s="255"/>
    </row>
    <row r="15">
      <c r="A15" s="253" t="s">
        <v>398</v>
      </c>
      <c r="B15" s="253" t="s">
        <v>399</v>
      </c>
      <c r="C15" s="254" t="s">
        <v>350</v>
      </c>
      <c r="D15" s="254" t="s">
        <v>351</v>
      </c>
      <c r="E15" s="255"/>
      <c r="F15" s="254" t="s">
        <v>118</v>
      </c>
      <c r="G15" s="254" t="s">
        <v>352</v>
      </c>
      <c r="H15" s="255"/>
      <c r="I15" s="255"/>
      <c r="J15" s="254" t="s">
        <v>352</v>
      </c>
      <c r="K15" s="254" t="s">
        <v>353</v>
      </c>
      <c r="L15" s="254" t="s">
        <v>354</v>
      </c>
      <c r="M15" s="254" t="s">
        <v>355</v>
      </c>
      <c r="N15" s="254" t="s">
        <v>400</v>
      </c>
      <c r="O15" s="254" t="s">
        <v>401</v>
      </c>
      <c r="P15" s="256" t="str">
        <f>IFERROR(__xludf.DUMMYFUNCTION("IFERROR(
  TEXT(
    DATE(
      INDEX(SPLIT(O15,"" ""),3),
      VLOOKUP(INDEX(SPLIT(O15,"" ""),1),{""jan."",1;""Feb"",2;""mar."",3;""Apr"",4;""May"",5;""jun."",6;""jul."",7;""Aug"",8;""sep"",9;""Oct"",10;""nov."",11;""Dec"",12},2,FALSE),
      INDEX(SPL"&amp;"IT(O15,"" ""),2)
    ),
    ""dd/mm/yyyy""
  ),
"""")"),"19/05/2026")</f>
        <v>19/05/2026</v>
      </c>
      <c r="Q15" s="254"/>
      <c r="R15" s="256"/>
      <c r="S15" s="254"/>
      <c r="T15" s="255"/>
    </row>
    <row r="16">
      <c r="A16" s="253" t="s">
        <v>402</v>
      </c>
      <c r="B16" s="253" t="s">
        <v>403</v>
      </c>
      <c r="C16" s="254" t="s">
        <v>350</v>
      </c>
      <c r="D16" s="254" t="s">
        <v>351</v>
      </c>
      <c r="E16" s="255"/>
      <c r="F16" s="254" t="s">
        <v>95</v>
      </c>
      <c r="G16" s="254" t="s">
        <v>352</v>
      </c>
      <c r="H16" s="255"/>
      <c r="I16" s="255"/>
      <c r="J16" s="254" t="s">
        <v>352</v>
      </c>
      <c r="K16" s="254" t="s">
        <v>353</v>
      </c>
      <c r="L16" s="254" t="s">
        <v>354</v>
      </c>
      <c r="M16" s="254" t="s">
        <v>355</v>
      </c>
      <c r="N16" s="254" t="s">
        <v>404</v>
      </c>
      <c r="O16" s="256">
        <v>46190.81805555556</v>
      </c>
      <c r="P16" s="256" t="str">
        <f>IFERROR(__xludf.DUMMYFUNCTION("IFERROR(
  TEXT(
    DATE(
      INDEX(SPLIT(O16,"" ""),3),
      VLOOKUP(INDEX(SPLIT(O16,"" ""),1),{""jan."",1;""Feb"",2;""mar."",3;""Apr"",4;""May"",5;""jun."",6;""jul."",7;""Aug"",8;""sep"",9;""Oct"",10;""nov."",11;""Dec"",12},2,FALSE),
      INDEX(SPL"&amp;"IT(O16,"" ""),2)
    ),
    ""dd/mm/yyyy""
  ),
"""")"),"17/06/2026")</f>
        <v>17/06/2026</v>
      </c>
      <c r="Q16" s="254"/>
      <c r="R16" s="254"/>
      <c r="S16" s="254"/>
      <c r="T16" s="255"/>
    </row>
    <row r="17">
      <c r="A17" s="253" t="s">
        <v>405</v>
      </c>
      <c r="B17" s="253" t="s">
        <v>406</v>
      </c>
      <c r="C17" s="254" t="s">
        <v>350</v>
      </c>
      <c r="D17" s="254" t="s">
        <v>351</v>
      </c>
      <c r="E17" s="255"/>
      <c r="F17" s="254" t="s">
        <v>95</v>
      </c>
      <c r="G17" s="254" t="s">
        <v>352</v>
      </c>
      <c r="H17" s="255"/>
      <c r="I17" s="255"/>
      <c r="J17" s="254" t="s">
        <v>352</v>
      </c>
      <c r="K17" s="254" t="s">
        <v>353</v>
      </c>
      <c r="L17" s="254" t="s">
        <v>354</v>
      </c>
      <c r="M17" s="254" t="s">
        <v>355</v>
      </c>
      <c r="N17" s="254" t="s">
        <v>407</v>
      </c>
      <c r="O17" s="254" t="s">
        <v>408</v>
      </c>
      <c r="P17" s="256" t="str">
        <f>IFERROR(__xludf.DUMMYFUNCTION("IFERROR(
  TEXT(
    DATE(
      INDEX(SPLIT(O17,"" ""),3),
      VLOOKUP(INDEX(SPLIT(O17,"" ""),1),{""jan."",1;""Feb"",2;""mar."",3;""Apr"",4;""May"",5;""jun."",6;""jul."",7;""Aug"",8;""sep"",9;""Oct"",10;""nov."",11;""Dec"",12},2,FALSE),
      INDEX(SPL"&amp;"IT(O17,"" ""),2)
    ),
    ""dd/mm/yyyy""
  ),
"""")"),"20/05/2026")</f>
        <v>20/05/2026</v>
      </c>
      <c r="Q17" s="254"/>
      <c r="R17" s="254"/>
      <c r="S17" s="254"/>
      <c r="T17" s="255"/>
    </row>
    <row r="18">
      <c r="A18" s="253" t="s">
        <v>409</v>
      </c>
      <c r="B18" s="253" t="s">
        <v>410</v>
      </c>
      <c r="C18" s="254" t="s">
        <v>350</v>
      </c>
      <c r="D18" s="254" t="s">
        <v>351</v>
      </c>
      <c r="E18" s="255"/>
      <c r="F18" s="254" t="s">
        <v>118</v>
      </c>
      <c r="G18" s="254" t="s">
        <v>352</v>
      </c>
      <c r="H18" s="255"/>
      <c r="I18" s="255"/>
      <c r="J18" s="254" t="s">
        <v>352</v>
      </c>
      <c r="K18" s="254" t="s">
        <v>353</v>
      </c>
      <c r="L18" s="254" t="s">
        <v>354</v>
      </c>
      <c r="M18" s="254" t="s">
        <v>355</v>
      </c>
      <c r="N18" s="254" t="s">
        <v>411</v>
      </c>
      <c r="O18" s="254" t="s">
        <v>412</v>
      </c>
      <c r="P18" s="256" t="str">
        <f>IFERROR(__xludf.DUMMYFUNCTION("IFERROR(
  TEXT(
    DATE(
      INDEX(SPLIT(O18,"" ""),3),
      VLOOKUP(INDEX(SPLIT(O18,"" ""),1),{""jan."",1;""Feb"",2;""mar."",3;""Apr"",4;""May"",5;""jun."",6;""jul."",7;""Aug"",8;""sep"",9;""Oct"",10;""nov."",11;""Dec"",12},2,FALSE),
      INDEX(SPL"&amp;"IT(O18,"" ""),2)
    ),
    ""dd/mm/yyyy""
  ),
"""")"),"20/05/2026")</f>
        <v>20/05/2026</v>
      </c>
      <c r="Q18" s="254"/>
      <c r="R18" s="254"/>
      <c r="S18" s="254"/>
      <c r="T18" s="255"/>
    </row>
    <row r="19">
      <c r="A19" s="253" t="s">
        <v>413</v>
      </c>
      <c r="B19" s="253" t="s">
        <v>414</v>
      </c>
      <c r="C19" s="254" t="s">
        <v>350</v>
      </c>
      <c r="D19" s="254" t="s">
        <v>351</v>
      </c>
      <c r="E19" s="255"/>
      <c r="F19" s="254" t="s">
        <v>111</v>
      </c>
      <c r="G19" s="254" t="s">
        <v>352</v>
      </c>
      <c r="H19" s="255"/>
      <c r="I19" s="255"/>
      <c r="J19" s="254" t="s">
        <v>352</v>
      </c>
      <c r="K19" s="254" t="s">
        <v>353</v>
      </c>
      <c r="L19" s="254" t="s">
        <v>354</v>
      </c>
      <c r="M19" s="254" t="s">
        <v>355</v>
      </c>
      <c r="N19" s="254" t="s">
        <v>415</v>
      </c>
      <c r="O19" s="256">
        <v>46182.60138888889</v>
      </c>
      <c r="P19" s="256" t="str">
        <f>IFERROR(__xludf.DUMMYFUNCTION("IFERROR(
  TEXT(
    DATE(
      INDEX(SPLIT(O19,"" ""),3),
      VLOOKUP(INDEX(SPLIT(O19,"" ""),1),{""jan."",1;""Feb"",2;""mar."",3;""Apr"",4;""May"",5;""jun."",6;""jul."",7;""Aug"",8;""sep"",9;""Oct"",10;""nov."",11;""Dec"",12},2,FALSE),
      INDEX(SPL"&amp;"IT(O19,"" ""),2)
    ),
    ""dd/mm/yyyy""
  ),
"""")"),"09/06/2026")</f>
        <v>09/06/2026</v>
      </c>
      <c r="Q19" s="254"/>
      <c r="R19" s="254"/>
      <c r="S19" s="254"/>
      <c r="T19" s="255"/>
    </row>
    <row r="20">
      <c r="A20" s="253" t="s">
        <v>416</v>
      </c>
      <c r="B20" s="253" t="s">
        <v>417</v>
      </c>
      <c r="C20" s="254" t="s">
        <v>350</v>
      </c>
      <c r="D20" s="254" t="s">
        <v>351</v>
      </c>
      <c r="E20" s="255"/>
      <c r="F20" s="254" t="s">
        <v>111</v>
      </c>
      <c r="G20" s="254" t="s">
        <v>352</v>
      </c>
      <c r="H20" s="255"/>
      <c r="I20" s="255"/>
      <c r="J20" s="254" t="s">
        <v>352</v>
      </c>
      <c r="K20" s="254" t="s">
        <v>353</v>
      </c>
      <c r="L20" s="254" t="s">
        <v>354</v>
      </c>
      <c r="M20" s="254" t="s">
        <v>355</v>
      </c>
      <c r="N20" s="254" t="s">
        <v>418</v>
      </c>
      <c r="O20" s="256">
        <v>46197.677083333336</v>
      </c>
      <c r="P20" s="256" t="str">
        <f>IFERROR(__xludf.DUMMYFUNCTION("IFERROR(
  TEXT(
    DATE(
      INDEX(SPLIT(O20,"" ""),3),
      VLOOKUP(INDEX(SPLIT(O20,"" ""),1),{""jan."",1;""Feb"",2;""mar."",3;""Apr"",4;""May"",5;""jun."",6;""jul."",7;""Aug"",8;""sep"",9;""Oct"",10;""nov."",11;""Dec"",12},2,FALSE),
      INDEX(SPL"&amp;"IT(O20,"" ""),2)
    ),
    ""dd/mm/yyyy""
  ),
"""")"),"24/06/2026")</f>
        <v>24/06/2026</v>
      </c>
      <c r="Q20" s="254"/>
      <c r="R20" s="254"/>
      <c r="S20" s="254"/>
      <c r="T20" s="255"/>
    </row>
    <row r="21">
      <c r="A21" s="253" t="s">
        <v>419</v>
      </c>
      <c r="B21" s="253" t="s">
        <v>420</v>
      </c>
      <c r="C21" s="257"/>
      <c r="D21" s="257"/>
      <c r="E21" s="255"/>
      <c r="F21" s="254" t="s">
        <v>111</v>
      </c>
      <c r="G21" s="254" t="s">
        <v>352</v>
      </c>
      <c r="H21" s="255"/>
      <c r="I21" s="255"/>
      <c r="J21" s="254" t="s">
        <v>352</v>
      </c>
      <c r="K21" s="254" t="s">
        <v>353</v>
      </c>
      <c r="L21" s="254" t="s">
        <v>354</v>
      </c>
      <c r="M21" s="254" t="s">
        <v>355</v>
      </c>
      <c r="N21" s="254" t="s">
        <v>421</v>
      </c>
      <c r="O21" s="256">
        <v>46176.50347222222</v>
      </c>
      <c r="P21" s="256" t="str">
        <f>IFERROR(__xludf.DUMMYFUNCTION("IFERROR(
  TEXT(
    DATE(
      INDEX(SPLIT(O21,"" ""),3),
      VLOOKUP(INDEX(SPLIT(O21,"" ""),1),{""jan."",1;""Feb"",2;""mar."",3;""Apr"",4;""May"",5;""jun."",6;""jul."",7;""Aug"",8;""sep"",9;""Oct"",10;""nov."",11;""Dec"",12},2,FALSE),
      INDEX(SPL"&amp;"IT(O21,"" ""),2)
    ),
    ""dd/mm/yyyy""
  ),
"""")"),"03/06/2026")</f>
        <v>03/06/2026</v>
      </c>
      <c r="Q21" s="254"/>
      <c r="R21" s="254"/>
      <c r="S21" s="254"/>
      <c r="T21" s="255"/>
    </row>
    <row r="22">
      <c r="A22" s="253" t="s">
        <v>422</v>
      </c>
      <c r="B22" s="253" t="s">
        <v>423</v>
      </c>
      <c r="C22" s="257"/>
      <c r="D22" s="257"/>
      <c r="E22" s="255"/>
      <c r="F22" s="254" t="s">
        <v>111</v>
      </c>
      <c r="G22" s="254" t="s">
        <v>352</v>
      </c>
      <c r="H22" s="255"/>
      <c r="I22" s="255"/>
      <c r="J22" s="254" t="s">
        <v>352</v>
      </c>
      <c r="K22" s="254" t="s">
        <v>353</v>
      </c>
      <c r="L22" s="254" t="s">
        <v>354</v>
      </c>
      <c r="M22" s="254" t="s">
        <v>355</v>
      </c>
      <c r="N22" s="254" t="s">
        <v>424</v>
      </c>
      <c r="O22" s="256">
        <v>46218.54722222222</v>
      </c>
      <c r="P22" s="256" t="str">
        <f>IFERROR(__xludf.DUMMYFUNCTION("IFERROR(
  TEXT(
    DATE(
      INDEX(SPLIT(O22,"" ""),3),
      VLOOKUP(INDEX(SPLIT(O22,"" ""),1),{""jan."",1;""Feb"",2;""mar."",3;""Apr"",4;""May"",5;""jun."",6;""jul."",7;""Aug"",8;""sep"",9;""Oct"",10;""nov."",11;""Dec"",12},2,FALSE),
      INDEX(SPL"&amp;"IT(O22,"" ""),2)
    ),
    ""dd/mm/yyyy""
  ),
"""")"),"15/07/2026")</f>
        <v>15/07/2026</v>
      </c>
      <c r="Q22" s="254"/>
      <c r="R22" s="254"/>
      <c r="S22" s="254"/>
      <c r="T22" s="255"/>
    </row>
    <row r="23">
      <c r="A23" s="253" t="s">
        <v>425</v>
      </c>
      <c r="B23" s="253" t="s">
        <v>426</v>
      </c>
      <c r="C23" s="257"/>
      <c r="D23" s="257"/>
      <c r="E23" s="255"/>
      <c r="F23" s="254" t="s">
        <v>118</v>
      </c>
      <c r="G23" s="254" t="s">
        <v>352</v>
      </c>
      <c r="H23" s="255"/>
      <c r="I23" s="255"/>
      <c r="J23" s="254" t="s">
        <v>352</v>
      </c>
      <c r="K23" s="254" t="s">
        <v>353</v>
      </c>
      <c r="L23" s="254" t="s">
        <v>354</v>
      </c>
      <c r="M23" s="254" t="s">
        <v>355</v>
      </c>
      <c r="N23" s="254" t="s">
        <v>427</v>
      </c>
      <c r="O23" s="254" t="s">
        <v>428</v>
      </c>
      <c r="P23" s="256" t="str">
        <f>IFERROR(__xludf.DUMMYFUNCTION("IFERROR(
  TEXT(
    DATE(
      INDEX(SPLIT(O23,"" ""),3),
      VLOOKUP(INDEX(SPLIT(O23,"" ""),1),{""jan."",1;""Feb"",2;""mar."",3;""Apr"",4;""May"",5;""jun."",6;""jul."",7;""Aug"",8;""sep"",9;""Oct"",10;""nov."",11;""Dec"",12},2,FALSE),
      INDEX(SPL"&amp;"IT(O23,"" ""),2)
    ),
    ""dd/mm/yyyy""
  ),
"""")"),"15/05/2026")</f>
        <v>15/05/2026</v>
      </c>
      <c r="Q23" s="254"/>
      <c r="R23" s="254"/>
      <c r="S23" s="254"/>
      <c r="T23" s="255"/>
    </row>
    <row r="24">
      <c r="A24" s="253" t="s">
        <v>429</v>
      </c>
      <c r="B24" s="253" t="s">
        <v>430</v>
      </c>
      <c r="C24" s="257"/>
      <c r="D24" s="257"/>
      <c r="E24" s="255"/>
      <c r="F24" s="254" t="s">
        <v>95</v>
      </c>
      <c r="G24" s="254" t="s">
        <v>352</v>
      </c>
      <c r="H24" s="255"/>
      <c r="I24" s="255"/>
      <c r="J24" s="254" t="s">
        <v>352</v>
      </c>
      <c r="K24" s="254" t="s">
        <v>353</v>
      </c>
      <c r="L24" s="254" t="s">
        <v>354</v>
      </c>
      <c r="M24" s="254" t="s">
        <v>355</v>
      </c>
      <c r="N24" s="254" t="s">
        <v>431</v>
      </c>
      <c r="O24" s="256">
        <v>46210.74097222222</v>
      </c>
      <c r="P24" s="256" t="str">
        <f>IFERROR(__xludf.DUMMYFUNCTION("IFERROR(
  TEXT(
    DATE(
      INDEX(SPLIT(O24,"" ""),3),
      VLOOKUP(INDEX(SPLIT(O24,"" ""),1),{""jan."",1;""Feb"",2;""mar."",3;""Apr"",4;""May"",5;""jun."",6;""jul."",7;""Aug"",8;""sep"",9;""Oct"",10;""nov."",11;""Dec"",12},2,FALSE),
      INDEX(SPL"&amp;"IT(O24,"" ""),2)
    ),
    ""dd/mm/yyyy""
  ),
"""")"),"07/07/2026")</f>
        <v>07/07/2026</v>
      </c>
      <c r="Q24" s="254"/>
      <c r="R24" s="254"/>
      <c r="S24" s="254"/>
      <c r="T24" s="255"/>
    </row>
    <row r="25">
      <c r="A25" s="253" t="s">
        <v>432</v>
      </c>
      <c r="B25" s="253" t="s">
        <v>433</v>
      </c>
      <c r="C25" s="257"/>
      <c r="D25" s="257"/>
      <c r="E25" s="255"/>
      <c r="F25" s="254" t="s">
        <v>95</v>
      </c>
      <c r="G25" s="254" t="s">
        <v>352</v>
      </c>
      <c r="H25" s="255"/>
      <c r="I25" s="255"/>
      <c r="J25" s="254" t="s">
        <v>352</v>
      </c>
      <c r="K25" s="254" t="s">
        <v>353</v>
      </c>
      <c r="L25" s="254" t="s">
        <v>354</v>
      </c>
      <c r="M25" s="254" t="s">
        <v>355</v>
      </c>
      <c r="N25" s="254" t="s">
        <v>434</v>
      </c>
      <c r="O25" s="256">
        <v>46199.592361111114</v>
      </c>
      <c r="P25" s="256" t="str">
        <f>IFERROR(__xludf.DUMMYFUNCTION("IFERROR(
  TEXT(
    DATE(
      INDEX(SPLIT(O25,"" ""),3),
      VLOOKUP(INDEX(SPLIT(O25,"" ""),1),{""jan."",1;""Feb"",2;""mar."",3;""Apr"",4;""May"",5;""jun."",6;""jul."",7;""Aug"",8;""sep"",9;""Oct"",10;""nov."",11;""Dec"",12},2,FALSE),
      INDEX(SPL"&amp;"IT(O25,"" ""),2)
    ),
    ""dd/mm/yyyy""
  ),
"""")"),"26/06/2026")</f>
        <v>26/06/2026</v>
      </c>
      <c r="Q25" s="254"/>
      <c r="R25" s="254"/>
      <c r="S25" s="254"/>
      <c r="T25" s="255"/>
    </row>
    <row r="26">
      <c r="A26" s="253" t="s">
        <v>435</v>
      </c>
      <c r="B26" s="253" t="s">
        <v>436</v>
      </c>
      <c r="C26" s="257"/>
      <c r="D26" s="257"/>
      <c r="E26" s="255"/>
      <c r="F26" s="254" t="s">
        <v>118</v>
      </c>
      <c r="G26" s="254" t="s">
        <v>352</v>
      </c>
      <c r="H26" s="255"/>
      <c r="I26" s="255"/>
      <c r="J26" s="254" t="s">
        <v>352</v>
      </c>
      <c r="K26" s="254" t="s">
        <v>353</v>
      </c>
      <c r="L26" s="254" t="s">
        <v>354</v>
      </c>
      <c r="M26" s="254" t="s">
        <v>355</v>
      </c>
      <c r="N26" s="254" t="s">
        <v>437</v>
      </c>
      <c r="O26" s="254" t="s">
        <v>383</v>
      </c>
      <c r="P26" s="256" t="str">
        <f>IFERROR(__xludf.DUMMYFUNCTION("IFERROR(
  TEXT(
    DATE(
      INDEX(SPLIT(O26,"" ""),3),
      VLOOKUP(INDEX(SPLIT(O26,"" ""),1),{""jan."",1;""Feb"",2;""mar."",3;""Apr"",4;""May"",5;""jun."",6;""jul."",7;""Aug"",8;""sep"",9;""Oct"",10;""nov."",11;""Dec"",12},2,FALSE),
      INDEX(SPL"&amp;"IT(O26,"" ""),2)
    ),
    ""dd/mm/yyyy""
  ),
"""")"),"15/05/2026")</f>
        <v>15/05/2026</v>
      </c>
      <c r="Q26" s="254"/>
      <c r="R26" s="256"/>
      <c r="S26" s="254"/>
      <c r="T26" s="255"/>
    </row>
    <row r="27">
      <c r="A27" s="253" t="s">
        <v>438</v>
      </c>
      <c r="B27" s="253" t="s">
        <v>439</v>
      </c>
      <c r="C27" s="257"/>
      <c r="D27" s="257"/>
      <c r="E27" s="255"/>
      <c r="F27" s="254" t="s">
        <v>118</v>
      </c>
      <c r="G27" s="254" t="s">
        <v>352</v>
      </c>
      <c r="H27" s="255"/>
      <c r="I27" s="255"/>
      <c r="J27" s="254" t="s">
        <v>352</v>
      </c>
      <c r="K27" s="254" t="s">
        <v>353</v>
      </c>
      <c r="L27" s="254" t="s">
        <v>354</v>
      </c>
      <c r="M27" s="254" t="s">
        <v>355</v>
      </c>
      <c r="N27" s="254" t="s">
        <v>440</v>
      </c>
      <c r="O27" s="254" t="s">
        <v>383</v>
      </c>
      <c r="P27" s="256" t="str">
        <f>IFERROR(__xludf.DUMMYFUNCTION("IFERROR(
  TEXT(
    DATE(
      INDEX(SPLIT(O27,"" ""),3),
      VLOOKUP(INDEX(SPLIT(O27,"" ""),1),{""jan."",1;""Feb"",2;""mar."",3;""Apr"",4;""May"",5;""jun."",6;""jul."",7;""Aug"",8;""sep"",9;""Oct"",10;""nov."",11;""Dec"",12},2,FALSE),
      INDEX(SPL"&amp;"IT(O27,"" ""),2)
    ),
    ""dd/mm/yyyy""
  ),
"""")"),"15/05/2026")</f>
        <v>15/05/2026</v>
      </c>
      <c r="Q27" s="254"/>
      <c r="R27" s="254"/>
      <c r="S27" s="254"/>
      <c r="T27" s="255"/>
    </row>
    <row r="28">
      <c r="A28" s="253" t="s">
        <v>441</v>
      </c>
      <c r="B28" s="253" t="s">
        <v>442</v>
      </c>
      <c r="C28" s="257"/>
      <c r="D28" s="257"/>
      <c r="E28" s="255"/>
      <c r="F28" s="254" t="s">
        <v>134</v>
      </c>
      <c r="G28" s="254" t="s">
        <v>352</v>
      </c>
      <c r="H28" s="255"/>
      <c r="I28" s="255"/>
      <c r="J28" s="254" t="s">
        <v>352</v>
      </c>
      <c r="K28" s="254" t="s">
        <v>353</v>
      </c>
      <c r="L28" s="254" t="s">
        <v>354</v>
      </c>
      <c r="M28" s="254" t="s">
        <v>355</v>
      </c>
      <c r="N28" s="254" t="s">
        <v>443</v>
      </c>
      <c r="O28" s="256">
        <v>46195.669444444444</v>
      </c>
      <c r="P28" s="256" t="str">
        <f>IFERROR(__xludf.DUMMYFUNCTION("IFERROR(
  TEXT(
    DATE(
      INDEX(SPLIT(O28,"" ""),3),
      VLOOKUP(INDEX(SPLIT(O28,"" ""),1),{""jan."",1;""Feb"",2;""mar."",3;""Apr"",4;""May"",5;""jun."",6;""jul."",7;""Aug"",8;""sep"",9;""Oct"",10;""nov."",11;""Dec"",12},2,FALSE),
      INDEX(SPL"&amp;"IT(O28,"" ""),2)
    ),
    ""dd/mm/yyyy""
  ),
"""")"),"22/06/2026")</f>
        <v>22/06/2026</v>
      </c>
      <c r="Q28" s="254"/>
      <c r="R28" s="256"/>
      <c r="S28" s="254"/>
      <c r="T28" s="255"/>
    </row>
    <row r="29">
      <c r="A29" s="253" t="s">
        <v>444</v>
      </c>
      <c r="B29" s="253" t="s">
        <v>445</v>
      </c>
      <c r="C29" s="257"/>
      <c r="D29" s="257"/>
      <c r="E29" s="255"/>
      <c r="F29" s="254" t="s">
        <v>95</v>
      </c>
      <c r="G29" s="254" t="s">
        <v>352</v>
      </c>
      <c r="H29" s="255"/>
      <c r="I29" s="255"/>
      <c r="J29" s="254" t="s">
        <v>352</v>
      </c>
      <c r="K29" s="254" t="s">
        <v>353</v>
      </c>
      <c r="L29" s="254" t="s">
        <v>354</v>
      </c>
      <c r="M29" s="254" t="s">
        <v>355</v>
      </c>
      <c r="N29" s="254" t="s">
        <v>446</v>
      </c>
      <c r="O29" s="256">
        <v>46177.46041666667</v>
      </c>
      <c r="P29" s="256" t="str">
        <f>IFERROR(__xludf.DUMMYFUNCTION("IFERROR(
  TEXT(
    DATE(
      INDEX(SPLIT(O29,"" ""),3),
      VLOOKUP(INDEX(SPLIT(O29,"" ""),1),{""jan."",1;""Feb"",2;""mar."",3;""Apr"",4;""May"",5;""jun."",6;""jul."",7;""Aug"",8;""sep"",9;""Oct"",10;""nov."",11;""Dec"",12},2,FALSE),
      INDEX(SPL"&amp;"IT(O29,"" ""),2)
    ),
    ""dd/mm/yyyy""
  ),
"""")"),"04/06/2026")</f>
        <v>04/06/2026</v>
      </c>
      <c r="Q29" s="254"/>
      <c r="R29" s="256"/>
      <c r="S29" s="254"/>
      <c r="T29" s="255"/>
    </row>
    <row r="30">
      <c r="A30" s="253" t="s">
        <v>447</v>
      </c>
      <c r="B30" s="253" t="s">
        <v>448</v>
      </c>
      <c r="C30" s="257"/>
      <c r="D30" s="257"/>
      <c r="E30" s="255"/>
      <c r="F30" s="254" t="s">
        <v>95</v>
      </c>
      <c r="G30" s="254" t="s">
        <v>352</v>
      </c>
      <c r="H30" s="255"/>
      <c r="I30" s="255"/>
      <c r="J30" s="254" t="s">
        <v>352</v>
      </c>
      <c r="K30" s="254" t="s">
        <v>353</v>
      </c>
      <c r="L30" s="254" t="s">
        <v>354</v>
      </c>
      <c r="M30" s="254" t="s">
        <v>355</v>
      </c>
      <c r="N30" s="254" t="s">
        <v>449</v>
      </c>
      <c r="O30" s="254" t="s">
        <v>450</v>
      </c>
      <c r="P30" s="256" t="str">
        <f>IFERROR(__xludf.DUMMYFUNCTION("IFERROR(
  TEXT(
    DATE(
      INDEX(SPLIT(O30,"" ""),3),
      VLOOKUP(INDEX(SPLIT(O30,"" ""),1),{""jan."",1;""Feb"",2;""mar."",3;""Apr"",4;""May"",5;""jun."",6;""jul."",7;""Aug"",8;""sep"",9;""Oct"",10;""nov."",11;""Dec"",12},2,FALSE),
      INDEX(SPL"&amp;"IT(O30,"" ""),2)
    ),
    ""dd/mm/yyyy""
  ),
"""")"),"27/05/2026")</f>
        <v>27/05/2026</v>
      </c>
      <c r="Q30" s="254"/>
      <c r="R30" s="254"/>
      <c r="S30" s="254"/>
      <c r="T30" s="255"/>
    </row>
    <row r="31">
      <c r="A31" s="253" t="s">
        <v>451</v>
      </c>
      <c r="B31" s="253" t="s">
        <v>452</v>
      </c>
      <c r="C31" s="257"/>
      <c r="D31" s="257"/>
      <c r="E31" s="255"/>
      <c r="F31" s="254" t="s">
        <v>118</v>
      </c>
      <c r="G31" s="254" t="s">
        <v>352</v>
      </c>
      <c r="H31" s="255"/>
      <c r="I31" s="255"/>
      <c r="J31" s="254" t="s">
        <v>352</v>
      </c>
      <c r="K31" s="254" t="s">
        <v>353</v>
      </c>
      <c r="L31" s="254" t="s">
        <v>354</v>
      </c>
      <c r="M31" s="254" t="s">
        <v>355</v>
      </c>
      <c r="N31" s="254" t="s">
        <v>453</v>
      </c>
      <c r="O31" s="254" t="s">
        <v>454</v>
      </c>
      <c r="P31" s="256" t="str">
        <f>IFERROR(__xludf.DUMMYFUNCTION("IFERROR(
  TEXT(
    DATE(
      INDEX(SPLIT(O31,"" ""),3),
      VLOOKUP(INDEX(SPLIT(O31,"" ""),1),{""jan."",1;""Feb"",2;""mar."",3;""Apr"",4;""May"",5;""jun."",6;""jul."",7;""Aug"",8;""sep"",9;""Oct"",10;""nov."",11;""Dec"",12},2,FALSE),
      INDEX(SPL"&amp;"IT(O31,"" ""),2)
    ),
    ""dd/mm/yyyy""
  ),
"""")"),"19/05/2026")</f>
        <v>19/05/2026</v>
      </c>
      <c r="Q31" s="254"/>
      <c r="R31" s="254"/>
      <c r="S31" s="254"/>
      <c r="T31" s="255"/>
    </row>
    <row r="32">
      <c r="A32" s="253" t="s">
        <v>455</v>
      </c>
      <c r="B32" s="253" t="s">
        <v>456</v>
      </c>
      <c r="C32" s="257"/>
      <c r="D32" s="257"/>
      <c r="E32" s="255"/>
      <c r="F32" s="254" t="s">
        <v>95</v>
      </c>
      <c r="G32" s="254" t="s">
        <v>352</v>
      </c>
      <c r="H32" s="255"/>
      <c r="I32" s="255"/>
      <c r="J32" s="254" t="s">
        <v>352</v>
      </c>
      <c r="K32" s="254" t="s">
        <v>353</v>
      </c>
      <c r="L32" s="254" t="s">
        <v>354</v>
      </c>
      <c r="M32" s="254" t="s">
        <v>355</v>
      </c>
      <c r="N32" s="254" t="s">
        <v>457</v>
      </c>
      <c r="O32" s="256">
        <v>46190.816666666666</v>
      </c>
      <c r="P32" s="256" t="str">
        <f>IFERROR(__xludf.DUMMYFUNCTION("IFERROR(
  TEXT(
    DATE(
      INDEX(SPLIT(O32,"" ""),3),
      VLOOKUP(INDEX(SPLIT(O32,"" ""),1),{""jan."",1;""Feb"",2;""mar."",3;""Apr"",4;""May"",5;""jun."",6;""jul."",7;""Aug"",8;""sep"",9;""Oct"",10;""nov."",11;""Dec"",12},2,FALSE),
      INDEX(SPL"&amp;"IT(O32,"" ""),2)
    ),
    ""dd/mm/yyyy""
  ),
"""")"),"17/06/2026")</f>
        <v>17/06/2026</v>
      </c>
      <c r="Q32" s="254"/>
      <c r="R32" s="254"/>
      <c r="S32" s="254"/>
      <c r="T32" s="255"/>
    </row>
    <row r="33">
      <c r="A33" s="253" t="s">
        <v>458</v>
      </c>
      <c r="B33" s="253" t="s">
        <v>459</v>
      </c>
      <c r="C33" s="257"/>
      <c r="D33" s="257"/>
      <c r="E33" s="255"/>
      <c r="F33" s="254" t="s">
        <v>118</v>
      </c>
      <c r="G33" s="254" t="s">
        <v>352</v>
      </c>
      <c r="H33" s="255"/>
      <c r="I33" s="255"/>
      <c r="J33" s="254" t="s">
        <v>352</v>
      </c>
      <c r="K33" s="254" t="s">
        <v>353</v>
      </c>
      <c r="L33" s="254" t="s">
        <v>354</v>
      </c>
      <c r="M33" s="254" t="s">
        <v>355</v>
      </c>
      <c r="N33" s="254" t="s">
        <v>460</v>
      </c>
      <c r="O33" s="254" t="s">
        <v>461</v>
      </c>
      <c r="P33" s="256" t="str">
        <f>IFERROR(__xludf.DUMMYFUNCTION("IFERROR(
  TEXT(
    DATE(
      INDEX(SPLIT(O33,"" ""),3),
      VLOOKUP(INDEX(SPLIT(O33,"" ""),1),{""jan."",1;""Feb"",2;""mar."",3;""Apr"",4;""May"",5;""jun."",6;""jul."",7;""Aug"",8;""sep"",9;""Oct"",10;""nov."",11;""Dec"",12},2,FALSE),
      INDEX(SPL"&amp;"IT(O33,"" ""),2)
    ),
    ""dd/mm/yyyy""
  ),
"""")"),"20/05/2026")</f>
        <v>20/05/2026</v>
      </c>
      <c r="Q33" s="254"/>
      <c r="R33" s="254"/>
      <c r="S33" s="254"/>
      <c r="T33" s="255"/>
    </row>
    <row r="34">
      <c r="A34" s="253" t="s">
        <v>462</v>
      </c>
      <c r="B34" s="253" t="s">
        <v>463</v>
      </c>
      <c r="C34" s="257"/>
      <c r="D34" s="257"/>
      <c r="E34" s="255"/>
      <c r="F34" s="254" t="s">
        <v>111</v>
      </c>
      <c r="G34" s="254" t="s">
        <v>352</v>
      </c>
      <c r="H34" s="255"/>
      <c r="I34" s="255"/>
      <c r="J34" s="254" t="s">
        <v>352</v>
      </c>
      <c r="K34" s="254" t="s">
        <v>353</v>
      </c>
      <c r="L34" s="254" t="s">
        <v>354</v>
      </c>
      <c r="M34" s="254" t="s">
        <v>355</v>
      </c>
      <c r="N34" s="254" t="s">
        <v>464</v>
      </c>
      <c r="O34" s="256">
        <v>46182.60208333333</v>
      </c>
      <c r="P34" s="256" t="str">
        <f>IFERROR(__xludf.DUMMYFUNCTION("IFERROR(
  TEXT(
    DATE(
      INDEX(SPLIT(O34,"" ""),3),
      VLOOKUP(INDEX(SPLIT(O34,"" ""),1),{""jan."",1;""Feb"",2;""mar."",3;""Apr"",4;""May"",5;""jun."",6;""jul."",7;""Aug"",8;""sep"",9;""Oct"",10;""nov."",11;""Dec"",12},2,FALSE),
      INDEX(SPL"&amp;"IT(O34,"" ""),2)
    ),
    ""dd/mm/yyyy""
  ),
"""")"),"09/06/2026")</f>
        <v>09/06/2026</v>
      </c>
      <c r="Q34" s="254"/>
      <c r="R34" s="254"/>
      <c r="S34" s="254"/>
      <c r="T34" s="255"/>
    </row>
    <row r="35">
      <c r="A35" s="253" t="s">
        <v>465</v>
      </c>
      <c r="B35" s="253" t="s">
        <v>466</v>
      </c>
      <c r="C35" s="257"/>
      <c r="D35" s="257"/>
      <c r="E35" s="255"/>
      <c r="F35" s="254" t="s">
        <v>111</v>
      </c>
      <c r="G35" s="254" t="s">
        <v>352</v>
      </c>
      <c r="H35" s="255"/>
      <c r="I35" s="255"/>
      <c r="J35" s="254" t="s">
        <v>352</v>
      </c>
      <c r="K35" s="254" t="s">
        <v>353</v>
      </c>
      <c r="L35" s="254" t="s">
        <v>354</v>
      </c>
      <c r="M35" s="254" t="s">
        <v>355</v>
      </c>
      <c r="N35" s="254" t="s">
        <v>467</v>
      </c>
      <c r="O35" s="256">
        <v>46197.63888888889</v>
      </c>
      <c r="P35" s="256" t="str">
        <f>IFERROR(__xludf.DUMMYFUNCTION("IFERROR(
  TEXT(
    DATE(
      INDEX(SPLIT(O35,"" ""),3),
      VLOOKUP(INDEX(SPLIT(O35,"" ""),1),{""jan."",1;""Feb"",2;""mar."",3;""Apr"",4;""May"",5;""jun."",6;""jul."",7;""Aug"",8;""sep"",9;""Oct"",10;""nov."",11;""Dec"",12},2,FALSE),
      INDEX(SPL"&amp;"IT(O35,"" ""),2)
    ),
    ""dd/mm/yyyy""
  ),
"""")"),"24/06/2026")</f>
        <v>24/06/2026</v>
      </c>
      <c r="Q35" s="254"/>
      <c r="R35" s="254"/>
      <c r="S35" s="254"/>
      <c r="T35" s="255"/>
    </row>
    <row r="36">
      <c r="A36" s="253" t="s">
        <v>468</v>
      </c>
      <c r="B36" s="253" t="s">
        <v>469</v>
      </c>
      <c r="C36" s="254" t="s">
        <v>350</v>
      </c>
      <c r="D36" s="254" t="s">
        <v>351</v>
      </c>
      <c r="E36" s="255"/>
      <c r="F36" s="254" t="s">
        <v>130</v>
      </c>
      <c r="G36" s="254" t="s">
        <v>352</v>
      </c>
      <c r="H36" s="255"/>
      <c r="I36" s="255"/>
      <c r="J36" s="254" t="s">
        <v>352</v>
      </c>
      <c r="K36" s="254" t="s">
        <v>353</v>
      </c>
      <c r="L36" s="254" t="s">
        <v>354</v>
      </c>
      <c r="M36" s="254" t="s">
        <v>355</v>
      </c>
      <c r="N36" s="254" t="s">
        <v>470</v>
      </c>
      <c r="O36" s="256">
        <v>46184.444444444445</v>
      </c>
      <c r="P36" s="256" t="str">
        <f>IFERROR(__xludf.DUMMYFUNCTION("IFERROR(
  TEXT(
    DATE(
      INDEX(SPLIT(O36,"" ""),3),
      VLOOKUP(INDEX(SPLIT(O36,"" ""),1),{""jan."",1;""Feb"",2;""mar."",3;""Apr"",4;""May"",5;""jun."",6;""jul."",7;""Aug"",8;""sep"",9;""Oct"",10;""nov."",11;""Dec"",12},2,FALSE),
      INDEX(SPL"&amp;"IT(O36,"" ""),2)
    ),
    ""dd/mm/yyyy""
  ),
"""")"),"11/06/2026")</f>
        <v>11/06/2026</v>
      </c>
      <c r="Q36" s="254"/>
      <c r="R36" s="254"/>
      <c r="S36" s="254"/>
      <c r="T36" s="255"/>
    </row>
    <row r="37">
      <c r="A37" s="253" t="s">
        <v>471</v>
      </c>
      <c r="B37" s="253" t="s">
        <v>472</v>
      </c>
      <c r="C37" s="254" t="s">
        <v>350</v>
      </c>
      <c r="D37" s="254" t="s">
        <v>351</v>
      </c>
      <c r="E37" s="255"/>
      <c r="F37" s="254" t="s">
        <v>224</v>
      </c>
      <c r="G37" s="254" t="s">
        <v>352</v>
      </c>
      <c r="H37" s="255"/>
      <c r="I37" s="255"/>
      <c r="J37" s="254" t="s">
        <v>352</v>
      </c>
      <c r="K37" s="254" t="s">
        <v>353</v>
      </c>
      <c r="L37" s="254" t="s">
        <v>354</v>
      </c>
      <c r="M37" s="254" t="s">
        <v>355</v>
      </c>
      <c r="N37" s="254" t="s">
        <v>473</v>
      </c>
      <c r="O37" s="256">
        <v>46197.407638888886</v>
      </c>
      <c r="P37" s="256" t="str">
        <f>IFERROR(__xludf.DUMMYFUNCTION("IFERROR(
  TEXT(
    DATE(
      INDEX(SPLIT(O37,"" ""),3),
      VLOOKUP(INDEX(SPLIT(O37,"" ""),1),{""jan."",1;""Feb"",2;""mar."",3;""Apr"",4;""May"",5;""jun."",6;""jul."",7;""Aug"",8;""sep"",9;""Oct"",10;""nov."",11;""Dec"",12},2,FALSE),
      INDEX(SPL"&amp;"IT(O37,"" ""),2)
    ),
    ""dd/mm/yyyy""
  ),
"""")"),"24/06/2026")</f>
        <v>24/06/2026</v>
      </c>
      <c r="Q37" s="254"/>
      <c r="R37" s="256"/>
      <c r="S37" s="254"/>
      <c r="T37" s="255"/>
    </row>
    <row r="38">
      <c r="A38" s="253" t="s">
        <v>474</v>
      </c>
      <c r="B38" s="253" t="s">
        <v>475</v>
      </c>
      <c r="C38" s="254" t="s">
        <v>350</v>
      </c>
      <c r="D38" s="254" t="s">
        <v>351</v>
      </c>
      <c r="E38" s="255"/>
      <c r="F38" s="254" t="s">
        <v>118</v>
      </c>
      <c r="G38" s="254" t="s">
        <v>352</v>
      </c>
      <c r="H38" s="255"/>
      <c r="I38" s="255"/>
      <c r="J38" s="254" t="s">
        <v>352</v>
      </c>
      <c r="K38" s="254" t="s">
        <v>353</v>
      </c>
      <c r="L38" s="254" t="s">
        <v>354</v>
      </c>
      <c r="M38" s="254" t="s">
        <v>355</v>
      </c>
      <c r="N38" s="254" t="s">
        <v>476</v>
      </c>
      <c r="O38" s="254" t="s">
        <v>477</v>
      </c>
      <c r="P38" s="256" t="str">
        <f>IFERROR(__xludf.DUMMYFUNCTION("IFERROR(
  TEXT(
    DATE(
      INDEX(SPLIT(O38,"" ""),3),
      VLOOKUP(INDEX(SPLIT(O38,"" ""),1),{""jan."",1;""Feb"",2;""mar."",3;""Apr"",4;""May"",5;""jun."",6;""jul."",7;""Aug"",8;""sep"",9;""Oct"",10;""nov."",11;""Dec"",12},2,FALSE),
      INDEX(SPL"&amp;"IT(O38,"" ""),2)
    ),
    ""dd/mm/yyyy""
  ),
"""")"),"18/05/2026")</f>
        <v>18/05/2026</v>
      </c>
      <c r="Q38" s="254"/>
      <c r="R38" s="254"/>
      <c r="S38" s="254"/>
      <c r="T38" s="255"/>
    </row>
    <row r="39">
      <c r="A39" s="253" t="s">
        <v>478</v>
      </c>
      <c r="B39" s="253" t="s">
        <v>479</v>
      </c>
      <c r="C39" s="254" t="s">
        <v>350</v>
      </c>
      <c r="D39" s="254" t="s">
        <v>351</v>
      </c>
      <c r="E39" s="255"/>
      <c r="F39" s="254" t="s">
        <v>95</v>
      </c>
      <c r="G39" s="254" t="s">
        <v>352</v>
      </c>
      <c r="H39" s="255"/>
      <c r="I39" s="255"/>
      <c r="J39" s="254" t="s">
        <v>352</v>
      </c>
      <c r="K39" s="254" t="s">
        <v>353</v>
      </c>
      <c r="L39" s="254" t="s">
        <v>354</v>
      </c>
      <c r="M39" s="254" t="s">
        <v>355</v>
      </c>
      <c r="N39" s="254" t="s">
        <v>480</v>
      </c>
      <c r="O39" s="254" t="s">
        <v>481</v>
      </c>
      <c r="P39" s="256" t="str">
        <f>IFERROR(__xludf.DUMMYFUNCTION("IFERROR(
  TEXT(
    DATE(
      INDEX(SPLIT(O39,"" ""),3),
      VLOOKUP(INDEX(SPLIT(O39,"" ""),1),{""jan."",1;""Feb"",2;""mar."",3;""Apr"",4;""May"",5;""jun."",6;""jul."",7;""Aug"",8;""sep"",9;""Oct"",10;""nov."",11;""Dec"",12},2,FALSE),
      INDEX(SPL"&amp;"IT(O39,"" ""),2)
    ),
    ""dd/mm/yyyy""
  ),
"""")"),"20/05/2026")</f>
        <v>20/05/2026</v>
      </c>
      <c r="Q39" s="254"/>
      <c r="R39" s="254"/>
      <c r="S39" s="254"/>
      <c r="T39" s="255"/>
    </row>
    <row r="40">
      <c r="A40" s="253" t="s">
        <v>482</v>
      </c>
      <c r="B40" s="253" t="s">
        <v>483</v>
      </c>
      <c r="C40" s="257"/>
      <c r="D40" s="257"/>
      <c r="E40" s="255"/>
      <c r="F40" s="254" t="s">
        <v>130</v>
      </c>
      <c r="G40" s="254" t="s">
        <v>352</v>
      </c>
      <c r="H40" s="255"/>
      <c r="I40" s="255"/>
      <c r="J40" s="254" t="s">
        <v>352</v>
      </c>
      <c r="K40" s="254" t="s">
        <v>353</v>
      </c>
      <c r="L40" s="254" t="s">
        <v>354</v>
      </c>
      <c r="M40" s="254" t="s">
        <v>355</v>
      </c>
      <c r="N40" s="254" t="s">
        <v>484</v>
      </c>
      <c r="O40" s="256">
        <v>46195.705555555556</v>
      </c>
      <c r="P40" s="256" t="str">
        <f>IFERROR(__xludf.DUMMYFUNCTION("IFERROR(
  TEXT(
    DATE(
      INDEX(SPLIT(O40,"" ""),3),
      VLOOKUP(INDEX(SPLIT(O40,"" ""),1),{""jan."",1;""Feb"",2;""mar."",3;""Apr"",4;""May"",5;""jun."",6;""jul."",7;""Aug"",8;""sep"",9;""Oct"",10;""nov."",11;""Dec"",12},2,FALSE),
      INDEX(SPL"&amp;"IT(O40,"" ""),2)
    ),
    ""dd/mm/yyyy""
  ),
"""")"),"22/06/2026")</f>
        <v>22/06/2026</v>
      </c>
      <c r="Q40" s="254"/>
      <c r="R40" s="254"/>
      <c r="S40" s="254"/>
      <c r="T40" s="255"/>
    </row>
    <row r="41">
      <c r="A41" s="253" t="s">
        <v>485</v>
      </c>
      <c r="B41" s="253" t="s">
        <v>486</v>
      </c>
      <c r="C41" s="257"/>
      <c r="D41" s="257"/>
      <c r="E41" s="255"/>
      <c r="F41" s="254" t="s">
        <v>130</v>
      </c>
      <c r="G41" s="254" t="s">
        <v>352</v>
      </c>
      <c r="H41" s="255"/>
      <c r="I41" s="255"/>
      <c r="J41" s="254" t="s">
        <v>352</v>
      </c>
      <c r="K41" s="254" t="s">
        <v>353</v>
      </c>
      <c r="L41" s="254" t="s">
        <v>354</v>
      </c>
      <c r="M41" s="254" t="s">
        <v>355</v>
      </c>
      <c r="N41" s="254" t="s">
        <v>487</v>
      </c>
      <c r="O41" s="256">
        <v>46197.40694444445</v>
      </c>
      <c r="P41" s="256" t="str">
        <f>IFERROR(__xludf.DUMMYFUNCTION("IFERROR(
  TEXT(
    DATE(
      INDEX(SPLIT(O41,"" ""),3),
      VLOOKUP(INDEX(SPLIT(O41,"" ""),1),{""jan."",1;""Feb"",2;""mar."",3;""Apr"",4;""May"",5;""jun."",6;""jul."",7;""Aug"",8;""sep"",9;""Oct"",10;""nov."",11;""Dec"",12},2,FALSE),
      INDEX(SPL"&amp;"IT(O41,"" ""),2)
    ),
    ""dd/mm/yyyy""
  ),
"""")"),"24/06/2026")</f>
        <v>24/06/2026</v>
      </c>
      <c r="Q41" s="254"/>
      <c r="R41" s="254"/>
      <c r="S41" s="254"/>
      <c r="T41" s="255"/>
    </row>
    <row r="42">
      <c r="A42" s="253" t="s">
        <v>488</v>
      </c>
      <c r="B42" s="253" t="s">
        <v>489</v>
      </c>
      <c r="C42" s="257"/>
      <c r="D42" s="257"/>
      <c r="E42" s="255"/>
      <c r="F42" s="254" t="s">
        <v>118</v>
      </c>
      <c r="G42" s="254" t="s">
        <v>352</v>
      </c>
      <c r="H42" s="255"/>
      <c r="I42" s="255"/>
      <c r="J42" s="254" t="s">
        <v>352</v>
      </c>
      <c r="K42" s="254" t="s">
        <v>353</v>
      </c>
      <c r="L42" s="254" t="s">
        <v>354</v>
      </c>
      <c r="M42" s="254" t="s">
        <v>355</v>
      </c>
      <c r="N42" s="254" t="s">
        <v>490</v>
      </c>
      <c r="O42" s="254" t="s">
        <v>491</v>
      </c>
      <c r="P42" s="256" t="str">
        <f>IFERROR(__xludf.DUMMYFUNCTION("IFERROR(
  TEXT(
    DATE(
      INDEX(SPLIT(O42,"" ""),3),
      VLOOKUP(INDEX(SPLIT(O42,"" ""),1),{""jan."",1;""Feb"",2;""mar."",3;""Apr"",4;""May"",5;""jun."",6;""jul."",7;""Aug"",8;""sep"",9;""Oct"",10;""nov."",11;""Dec"",12},2,FALSE),
      INDEX(SPL"&amp;"IT(O42,"" ""),2)
    ),
    ""dd/mm/yyyy""
  ),
"""")"),"18/05/2026")</f>
        <v>18/05/2026</v>
      </c>
      <c r="Q42" s="254"/>
      <c r="R42" s="254"/>
      <c r="S42" s="254"/>
      <c r="T42" s="255"/>
    </row>
    <row r="43">
      <c r="A43" s="253" t="s">
        <v>492</v>
      </c>
      <c r="B43" s="253" t="s">
        <v>493</v>
      </c>
      <c r="C43" s="257"/>
      <c r="D43" s="257"/>
      <c r="E43" s="255"/>
      <c r="F43" s="254" t="s">
        <v>111</v>
      </c>
      <c r="G43" s="254" t="s">
        <v>352</v>
      </c>
      <c r="H43" s="255"/>
      <c r="I43" s="255"/>
      <c r="J43" s="254" t="s">
        <v>352</v>
      </c>
      <c r="K43" s="254" t="s">
        <v>353</v>
      </c>
      <c r="L43" s="254" t="s">
        <v>354</v>
      </c>
      <c r="M43" s="254" t="s">
        <v>355</v>
      </c>
      <c r="N43" s="254" t="s">
        <v>494</v>
      </c>
      <c r="O43" s="256">
        <v>46195.705555555556</v>
      </c>
      <c r="P43" s="256" t="str">
        <f>IFERROR(__xludf.DUMMYFUNCTION("IFERROR(
  TEXT(
    DATE(
      INDEX(SPLIT(O43,"" ""),3),
      VLOOKUP(INDEX(SPLIT(O43,"" ""),1),{""jan."",1;""Feb"",2;""mar."",3;""Apr"",4;""May"",5;""jun."",6;""jul."",7;""Aug"",8;""sep"",9;""Oct"",10;""nov."",11;""Dec"",12},2,FALSE),
      INDEX(SPL"&amp;"IT(O43,"" ""),2)
    ),
    ""dd/mm/yyyy""
  ),
"""")"),"22/06/2026")</f>
        <v>22/06/2026</v>
      </c>
      <c r="Q43" s="254"/>
      <c r="R43" s="254"/>
      <c r="S43" s="254"/>
      <c r="T43" s="255"/>
    </row>
    <row r="44">
      <c r="A44" s="253" t="s">
        <v>495</v>
      </c>
      <c r="B44" s="253" t="s">
        <v>496</v>
      </c>
      <c r="C44" s="254" t="s">
        <v>350</v>
      </c>
      <c r="D44" s="254" t="s">
        <v>351</v>
      </c>
      <c r="E44" s="255"/>
      <c r="F44" s="254" t="s">
        <v>134</v>
      </c>
      <c r="G44" s="254" t="s">
        <v>352</v>
      </c>
      <c r="H44" s="255"/>
      <c r="I44" s="255"/>
      <c r="J44" s="254" t="s">
        <v>352</v>
      </c>
      <c r="K44" s="254" t="s">
        <v>353</v>
      </c>
      <c r="L44" s="254" t="s">
        <v>354</v>
      </c>
      <c r="M44" s="254" t="s">
        <v>355</v>
      </c>
      <c r="N44" s="254" t="s">
        <v>497</v>
      </c>
      <c r="O44" s="256">
        <v>46209.69236111111</v>
      </c>
      <c r="P44" s="256" t="str">
        <f>IFERROR(__xludf.DUMMYFUNCTION("IFERROR(
  TEXT(
    DATE(
      INDEX(SPLIT(O44,"" ""),3),
      VLOOKUP(INDEX(SPLIT(O44,"" ""),1),{""jan."",1;""Feb"",2;""mar."",3;""Apr"",4;""May"",5;""jun."",6;""jul."",7;""Aug"",8;""sep"",9;""Oct"",10;""nov."",11;""Dec"",12},2,FALSE),
      INDEX(SPL"&amp;"IT(O44,"" ""),2)
    ),
    ""dd/mm/yyyy""
  ),
"""")"),"06/07/2026")</f>
        <v>06/07/2026</v>
      </c>
      <c r="Q44" s="254"/>
      <c r="R44" s="254"/>
      <c r="S44" s="254"/>
      <c r="T44" s="255"/>
    </row>
    <row r="45">
      <c r="A45" s="253" t="s">
        <v>498</v>
      </c>
      <c r="B45" s="253" t="s">
        <v>499</v>
      </c>
      <c r="C45" s="254" t="s">
        <v>350</v>
      </c>
      <c r="D45" s="254" t="s">
        <v>351</v>
      </c>
      <c r="E45" s="255"/>
      <c r="F45" s="254" t="s">
        <v>118</v>
      </c>
      <c r="G45" s="254" t="s">
        <v>352</v>
      </c>
      <c r="H45" s="255"/>
      <c r="I45" s="255"/>
      <c r="J45" s="254" t="s">
        <v>352</v>
      </c>
      <c r="K45" s="254" t="s">
        <v>353</v>
      </c>
      <c r="L45" s="254" t="s">
        <v>354</v>
      </c>
      <c r="M45" s="254" t="s">
        <v>355</v>
      </c>
      <c r="N45" s="254" t="s">
        <v>500</v>
      </c>
      <c r="O45" s="254" t="s">
        <v>501</v>
      </c>
      <c r="P45" s="256" t="str">
        <f>IFERROR(__xludf.DUMMYFUNCTION("IFERROR(
  TEXT(
    DATE(
      INDEX(SPLIT(O45,"" ""),3),
      VLOOKUP(INDEX(SPLIT(O45,"" ""),1),{""jan."",1;""Feb"",2;""mar."",3;""Apr"",4;""May"",5;""jun."",6;""jul."",7;""Aug"",8;""sep"",9;""Oct"",10;""nov."",11;""Dec"",12},2,FALSE),
      INDEX(SPL"&amp;"IT(O45,"" ""),2)
    ),
    ""dd/mm/yyyy""
  ),
"""")"),"19/05/2026")</f>
        <v>19/05/2026</v>
      </c>
      <c r="Q45" s="254"/>
      <c r="R45" s="254"/>
      <c r="S45" s="254"/>
      <c r="T45" s="255"/>
    </row>
    <row r="46">
      <c r="A46" s="253" t="s">
        <v>502</v>
      </c>
      <c r="B46" s="253" t="s">
        <v>503</v>
      </c>
      <c r="C46" s="254" t="s">
        <v>350</v>
      </c>
      <c r="D46" s="254" t="s">
        <v>351</v>
      </c>
      <c r="E46" s="255"/>
      <c r="F46" s="254" t="s">
        <v>118</v>
      </c>
      <c r="G46" s="254" t="s">
        <v>352</v>
      </c>
      <c r="H46" s="255"/>
      <c r="I46" s="255"/>
      <c r="J46" s="254" t="s">
        <v>352</v>
      </c>
      <c r="K46" s="254" t="s">
        <v>353</v>
      </c>
      <c r="L46" s="254" t="s">
        <v>354</v>
      </c>
      <c r="M46" s="254" t="s">
        <v>355</v>
      </c>
      <c r="N46" s="254" t="s">
        <v>504</v>
      </c>
      <c r="O46" s="254" t="s">
        <v>501</v>
      </c>
      <c r="P46" s="256" t="str">
        <f>IFERROR(__xludf.DUMMYFUNCTION("IFERROR(
  TEXT(
    DATE(
      INDEX(SPLIT(O46,"" ""),3),
      VLOOKUP(INDEX(SPLIT(O46,"" ""),1),{""jan."",1;""Feb"",2;""mar."",3;""Apr"",4;""May"",5;""jun."",6;""jul."",7;""Aug"",8;""sep"",9;""Oct"",10;""nov."",11;""Dec"",12},2,FALSE),
      INDEX(SPL"&amp;"IT(O46,"" ""),2)
    ),
    ""dd/mm/yyyy""
  ),
"""")"),"19/05/2026")</f>
        <v>19/05/2026</v>
      </c>
      <c r="Q46" s="254"/>
      <c r="R46" s="254"/>
      <c r="S46" s="254"/>
      <c r="T46" s="255"/>
    </row>
    <row r="47">
      <c r="A47" s="253" t="s">
        <v>505</v>
      </c>
      <c r="B47" s="253" t="s">
        <v>506</v>
      </c>
      <c r="C47" s="254" t="s">
        <v>350</v>
      </c>
      <c r="D47" s="254" t="s">
        <v>351</v>
      </c>
      <c r="E47" s="255"/>
      <c r="F47" s="254" t="s">
        <v>111</v>
      </c>
      <c r="G47" s="254" t="s">
        <v>352</v>
      </c>
      <c r="H47" s="255"/>
      <c r="I47" s="255"/>
      <c r="J47" s="254" t="s">
        <v>352</v>
      </c>
      <c r="K47" s="254" t="s">
        <v>353</v>
      </c>
      <c r="L47" s="254" t="s">
        <v>354</v>
      </c>
      <c r="M47" s="254" t="s">
        <v>355</v>
      </c>
      <c r="N47" s="254" t="s">
        <v>507</v>
      </c>
      <c r="O47" s="256">
        <v>46204.697916666664</v>
      </c>
      <c r="P47" s="256" t="str">
        <f>IFERROR(__xludf.DUMMYFUNCTION("IFERROR(
  TEXT(
    DATE(
      INDEX(SPLIT(O47,"" ""),3),
      VLOOKUP(INDEX(SPLIT(O47,"" ""),1),{""jan."",1;""Feb"",2;""mar."",3;""Apr"",4;""May"",5;""jun."",6;""jul."",7;""Aug"",8;""sep"",9;""Oct"",10;""nov."",11;""Dec"",12},2,FALSE),
      INDEX(SPL"&amp;"IT(O47,"" ""),2)
    ),
    ""dd/mm/yyyy""
  ),
"""")"),"01/07/2026")</f>
        <v>01/07/2026</v>
      </c>
      <c r="Q47" s="254"/>
      <c r="R47" s="256"/>
      <c r="S47" s="254"/>
      <c r="T47" s="255"/>
    </row>
    <row r="48">
      <c r="A48" s="253" t="s">
        <v>508</v>
      </c>
      <c r="B48" s="253" t="s">
        <v>509</v>
      </c>
      <c r="C48" s="254" t="s">
        <v>350</v>
      </c>
      <c r="D48" s="254" t="s">
        <v>351</v>
      </c>
      <c r="E48" s="255"/>
      <c r="F48" s="254" t="s">
        <v>95</v>
      </c>
      <c r="G48" s="254" t="s">
        <v>352</v>
      </c>
      <c r="H48" s="255"/>
      <c r="I48" s="255"/>
      <c r="J48" s="254" t="s">
        <v>352</v>
      </c>
      <c r="K48" s="254" t="s">
        <v>353</v>
      </c>
      <c r="L48" s="254" t="s">
        <v>354</v>
      </c>
      <c r="M48" s="254" t="s">
        <v>355</v>
      </c>
      <c r="N48" s="254" t="s">
        <v>510</v>
      </c>
      <c r="O48" s="256">
        <v>46188.39375</v>
      </c>
      <c r="P48" s="256" t="str">
        <f>IFERROR(__xludf.DUMMYFUNCTION("IFERROR(
  TEXT(
    DATE(
      INDEX(SPLIT(O48,"" ""),3),
      VLOOKUP(INDEX(SPLIT(O48,"" ""),1),{""jan."",1;""Feb"",2;""mar."",3;""Apr"",4;""May"",5;""jun."",6;""jul."",7;""Aug"",8;""sep"",9;""Oct"",10;""nov."",11;""Dec"",12},2,FALSE),
      INDEX(SPL"&amp;"IT(O48,"" ""),2)
    ),
    ""dd/mm/yyyy""
  ),
"""")"),"15/06/2026")</f>
        <v>15/06/2026</v>
      </c>
      <c r="Q48" s="254"/>
      <c r="R48" s="256"/>
      <c r="S48" s="254"/>
      <c r="T48" s="255"/>
    </row>
    <row r="49">
      <c r="A49" s="253" t="s">
        <v>511</v>
      </c>
      <c r="B49" s="253" t="s">
        <v>512</v>
      </c>
      <c r="C49" s="257"/>
      <c r="D49" s="257"/>
      <c r="E49" s="255"/>
      <c r="F49" s="254" t="s">
        <v>134</v>
      </c>
      <c r="G49" s="254" t="s">
        <v>352</v>
      </c>
      <c r="H49" s="255"/>
      <c r="I49" s="255"/>
      <c r="J49" s="254" t="s">
        <v>352</v>
      </c>
      <c r="K49" s="254" t="s">
        <v>353</v>
      </c>
      <c r="L49" s="254" t="s">
        <v>354</v>
      </c>
      <c r="M49" s="254" t="s">
        <v>355</v>
      </c>
      <c r="N49" s="254" t="s">
        <v>513</v>
      </c>
      <c r="O49" s="256">
        <v>46209.67222222222</v>
      </c>
      <c r="P49" s="256" t="str">
        <f>IFERROR(__xludf.DUMMYFUNCTION("IFERROR(
  TEXT(
    DATE(
      INDEX(SPLIT(O49,"" ""),3),
      VLOOKUP(INDEX(SPLIT(O49,"" ""),1),{""jan."",1;""Feb"",2;""mar."",3;""Apr"",4;""May"",5;""jun."",6;""jul."",7;""Aug"",8;""sep"",9;""Oct"",10;""nov."",11;""Dec"",12},2,FALSE),
      INDEX(SPL"&amp;"IT(O49,"" ""),2)
    ),
    ""dd/mm/yyyy""
  ),
"""")"),"06/07/2026")</f>
        <v>06/07/2026</v>
      </c>
      <c r="Q49" s="254"/>
      <c r="R49" s="254"/>
      <c r="S49" s="254"/>
      <c r="T49" s="255"/>
    </row>
    <row r="50">
      <c r="A50" s="253" t="s">
        <v>514</v>
      </c>
      <c r="B50" s="253" t="s">
        <v>515</v>
      </c>
      <c r="C50" s="257"/>
      <c r="D50" s="257"/>
      <c r="E50" s="255"/>
      <c r="F50" s="254" t="s">
        <v>118</v>
      </c>
      <c r="G50" s="254" t="s">
        <v>352</v>
      </c>
      <c r="H50" s="255"/>
      <c r="I50" s="255"/>
      <c r="J50" s="254" t="s">
        <v>352</v>
      </c>
      <c r="K50" s="254" t="s">
        <v>353</v>
      </c>
      <c r="L50" s="254" t="s">
        <v>354</v>
      </c>
      <c r="M50" s="254" t="s">
        <v>355</v>
      </c>
      <c r="N50" s="254" t="s">
        <v>516</v>
      </c>
      <c r="O50" s="254" t="s">
        <v>517</v>
      </c>
      <c r="P50" s="256" t="str">
        <f>IFERROR(__xludf.DUMMYFUNCTION("IFERROR(
  TEXT(
    DATE(
      INDEX(SPLIT(O50,"" ""),3),
      VLOOKUP(INDEX(SPLIT(O50,"" ""),1),{""jan."",1;""Feb"",2;""mar."",3;""Apr"",4;""May"",5;""jun."",6;""jul."",7;""Aug"",8;""sep"",9;""Oct"",10;""nov."",11;""Dec"",12},2,FALSE),
      INDEX(SPL"&amp;"IT(O50,"" ""),2)
    ),
    ""dd/mm/yyyy""
  ),
"""")"),"15/05/2026")</f>
        <v>15/05/2026</v>
      </c>
      <c r="Q50" s="254"/>
      <c r="R50" s="254"/>
      <c r="S50" s="254"/>
      <c r="T50" s="255"/>
    </row>
    <row r="51">
      <c r="A51" s="253" t="s">
        <v>518</v>
      </c>
      <c r="B51" s="253" t="s">
        <v>519</v>
      </c>
      <c r="C51" s="257"/>
      <c r="D51" s="257"/>
      <c r="E51" s="255"/>
      <c r="F51" s="254" t="s">
        <v>118</v>
      </c>
      <c r="G51" s="254" t="s">
        <v>352</v>
      </c>
      <c r="H51" s="255"/>
      <c r="I51" s="255"/>
      <c r="J51" s="254" t="s">
        <v>352</v>
      </c>
      <c r="K51" s="254" t="s">
        <v>353</v>
      </c>
      <c r="L51" s="254" t="s">
        <v>354</v>
      </c>
      <c r="M51" s="254" t="s">
        <v>355</v>
      </c>
      <c r="N51" s="254" t="s">
        <v>520</v>
      </c>
      <c r="O51" s="254" t="s">
        <v>517</v>
      </c>
      <c r="P51" s="256" t="str">
        <f>IFERROR(__xludf.DUMMYFUNCTION("IFERROR(
  TEXT(
    DATE(
      INDEX(SPLIT(O51,"" ""),3),
      VLOOKUP(INDEX(SPLIT(O51,"" ""),1),{""jan."",1;""Feb"",2;""mar."",3;""Apr"",4;""May"",5;""jun."",6;""jul."",7;""Aug"",8;""sep"",9;""Oct"",10;""nov."",11;""Dec"",12},2,FALSE),
      INDEX(SPL"&amp;"IT(O51,"" ""),2)
    ),
    ""dd/mm/yyyy""
  ),
"""")"),"15/05/2026")</f>
        <v>15/05/2026</v>
      </c>
      <c r="Q51" s="254"/>
      <c r="R51" s="256"/>
      <c r="S51" s="254"/>
      <c r="T51" s="255"/>
    </row>
    <row r="52">
      <c r="A52" s="253" t="s">
        <v>521</v>
      </c>
      <c r="B52" s="253" t="s">
        <v>522</v>
      </c>
      <c r="C52" s="257"/>
      <c r="D52" s="257"/>
      <c r="E52" s="255"/>
      <c r="F52" s="254" t="s">
        <v>111</v>
      </c>
      <c r="G52" s="254" t="s">
        <v>352</v>
      </c>
      <c r="H52" s="255"/>
      <c r="I52" s="255"/>
      <c r="J52" s="254" t="s">
        <v>352</v>
      </c>
      <c r="K52" s="254" t="s">
        <v>353</v>
      </c>
      <c r="L52" s="254" t="s">
        <v>354</v>
      </c>
      <c r="M52" s="254" t="s">
        <v>355</v>
      </c>
      <c r="N52" s="254" t="s">
        <v>523</v>
      </c>
      <c r="O52" s="256">
        <v>46204.69097222222</v>
      </c>
      <c r="P52" s="256" t="str">
        <f>IFERROR(__xludf.DUMMYFUNCTION("IFERROR(
  TEXT(
    DATE(
      INDEX(SPLIT(O52,"" ""),3),
      VLOOKUP(INDEX(SPLIT(O52,"" ""),1),{""jan."",1;""Feb"",2;""mar."",3;""Apr"",4;""May"",5;""jun."",6;""jul."",7;""Aug"",8;""sep"",9;""Oct"",10;""nov."",11;""Dec"",12},2,FALSE),
      INDEX(SPL"&amp;"IT(O52,"" ""),2)
    ),
    ""dd/mm/yyyy""
  ),
"""")"),"01/07/2026")</f>
        <v>01/07/2026</v>
      </c>
      <c r="Q52" s="254"/>
      <c r="R52" s="256"/>
      <c r="S52" s="254"/>
      <c r="T52" s="255"/>
    </row>
    <row r="53">
      <c r="A53" s="253" t="s">
        <v>524</v>
      </c>
      <c r="B53" s="253" t="s">
        <v>525</v>
      </c>
      <c r="C53" s="257"/>
      <c r="D53" s="257"/>
      <c r="E53" s="255"/>
      <c r="F53" s="254" t="s">
        <v>118</v>
      </c>
      <c r="G53" s="254" t="s">
        <v>352</v>
      </c>
      <c r="H53" s="255"/>
      <c r="I53" s="255"/>
      <c r="J53" s="254" t="s">
        <v>352</v>
      </c>
      <c r="K53" s="254" t="s">
        <v>353</v>
      </c>
      <c r="L53" s="254" t="s">
        <v>354</v>
      </c>
      <c r="M53" s="254" t="s">
        <v>355</v>
      </c>
      <c r="N53" s="254" t="s">
        <v>526</v>
      </c>
      <c r="O53" s="254" t="s">
        <v>517</v>
      </c>
      <c r="P53" s="256" t="str">
        <f>IFERROR(__xludf.DUMMYFUNCTION("IFERROR(
  TEXT(
    DATE(
      INDEX(SPLIT(O53,"" ""),3),
      VLOOKUP(INDEX(SPLIT(O53,"" ""),1),{""jan."",1;""Feb"",2;""mar."",3;""Apr"",4;""May"",5;""jun."",6;""jul."",7;""Aug"",8;""sep"",9;""Oct"",10;""nov."",11;""Dec"",12},2,FALSE),
      INDEX(SPL"&amp;"IT(O53,"" ""),2)
    ),
    ""dd/mm/yyyy""
  ),
"""")"),"15/05/2026")</f>
        <v>15/05/2026</v>
      </c>
      <c r="Q53" s="254"/>
      <c r="R53" s="254"/>
      <c r="S53" s="254"/>
      <c r="T53" s="255"/>
    </row>
    <row r="54">
      <c r="A54" s="253" t="s">
        <v>527</v>
      </c>
      <c r="B54" s="253" t="s">
        <v>528</v>
      </c>
      <c r="C54" s="254" t="s">
        <v>350</v>
      </c>
      <c r="D54" s="254" t="s">
        <v>351</v>
      </c>
      <c r="E54" s="255"/>
      <c r="F54" s="254" t="s">
        <v>95</v>
      </c>
      <c r="G54" s="254" t="s">
        <v>352</v>
      </c>
      <c r="H54" s="255"/>
      <c r="I54" s="255"/>
      <c r="J54" s="254" t="s">
        <v>352</v>
      </c>
      <c r="K54" s="254" t="s">
        <v>353</v>
      </c>
      <c r="L54" s="254" t="s">
        <v>354</v>
      </c>
      <c r="M54" s="254" t="s">
        <v>355</v>
      </c>
      <c r="N54" s="254" t="s">
        <v>529</v>
      </c>
      <c r="O54" s="256">
        <v>46215.961805555555</v>
      </c>
      <c r="P54" s="256" t="str">
        <f>IFERROR(__xludf.DUMMYFUNCTION("IFERROR(
  TEXT(
    DATE(
      INDEX(SPLIT(O54,"" ""),3),
      VLOOKUP(INDEX(SPLIT(O54,"" ""),1),{""jan."",1;""Feb"",2;""mar."",3;""Apr"",4;""May"",5;""jun."",6;""jul."",7;""Aug"",8;""sep"",9;""Oct"",10;""nov."",11;""Dec"",12},2,FALSE),
      INDEX(SPL"&amp;"IT(O54,"" ""),2)
    ),
    ""dd/mm/yyyy""
  ),
"""")"),"12/07/2026")</f>
        <v>12/07/2026</v>
      </c>
      <c r="Q54" s="254"/>
      <c r="R54" s="256"/>
      <c r="S54" s="254"/>
      <c r="T54" s="255"/>
    </row>
    <row r="55">
      <c r="A55" s="253" t="s">
        <v>530</v>
      </c>
      <c r="B55" s="253" t="s">
        <v>531</v>
      </c>
      <c r="C55" s="254" t="s">
        <v>350</v>
      </c>
      <c r="D55" s="254" t="s">
        <v>351</v>
      </c>
      <c r="E55" s="255"/>
      <c r="F55" s="254" t="s">
        <v>118</v>
      </c>
      <c r="G55" s="254" t="s">
        <v>352</v>
      </c>
      <c r="H55" s="255"/>
      <c r="I55" s="255"/>
      <c r="J55" s="254" t="s">
        <v>352</v>
      </c>
      <c r="K55" s="254" t="s">
        <v>353</v>
      </c>
      <c r="L55" s="254" t="s">
        <v>354</v>
      </c>
      <c r="M55" s="254" t="s">
        <v>355</v>
      </c>
      <c r="N55" s="254" t="s">
        <v>532</v>
      </c>
      <c r="O55" s="254" t="s">
        <v>533</v>
      </c>
      <c r="P55" s="256" t="str">
        <f>IFERROR(__xludf.DUMMYFUNCTION("IFERROR(
  TEXT(
    DATE(
      INDEX(SPLIT(O55,"" ""),3),
      VLOOKUP(INDEX(SPLIT(O55,"" ""),1),{""jan."",1;""Feb"",2;""mar."",3;""Apr"",4;""May"",5;""jun."",6;""jul."",7;""Aug"",8;""sep"",9;""Oct"",10;""nov."",11;""Dec"",12},2,FALSE),
      INDEX(SPL"&amp;"IT(O55,"" ""),2)
    ),
    ""dd/mm/yyyy""
  ),
"""")"),"15/05/2026")</f>
        <v>15/05/2026</v>
      </c>
      <c r="Q55" s="254"/>
      <c r="R55" s="256"/>
      <c r="S55" s="254"/>
      <c r="T55" s="255"/>
    </row>
    <row r="56">
      <c r="A56" s="253" t="s">
        <v>534</v>
      </c>
      <c r="B56" s="253" t="s">
        <v>535</v>
      </c>
      <c r="C56" s="254" t="s">
        <v>350</v>
      </c>
      <c r="D56" s="254" t="s">
        <v>351</v>
      </c>
      <c r="E56" s="255"/>
      <c r="F56" s="254" t="s">
        <v>95</v>
      </c>
      <c r="G56" s="254" t="s">
        <v>352</v>
      </c>
      <c r="H56" s="255"/>
      <c r="I56" s="255"/>
      <c r="J56" s="254" t="s">
        <v>352</v>
      </c>
      <c r="K56" s="254" t="s">
        <v>353</v>
      </c>
      <c r="L56" s="254" t="s">
        <v>354</v>
      </c>
      <c r="M56" s="254" t="s">
        <v>355</v>
      </c>
      <c r="N56" s="254" t="s">
        <v>536</v>
      </c>
      <c r="O56" s="256">
        <v>46216.53055555555</v>
      </c>
      <c r="P56" s="256" t="str">
        <f>IFERROR(__xludf.DUMMYFUNCTION("IFERROR(
  TEXT(
    DATE(
      INDEX(SPLIT(O56,"" ""),3),
      VLOOKUP(INDEX(SPLIT(O56,"" ""),1),{""jan."",1;""Feb"",2;""mar."",3;""Apr"",4;""May"",5;""jun."",6;""jul."",7;""Aug"",8;""sep"",9;""Oct"",10;""nov."",11;""Dec"",12},2,FALSE),
      INDEX(SPL"&amp;"IT(O56,"" ""),2)
    ),
    ""dd/mm/yyyy""
  ),
"""")"),"13/07/2026")</f>
        <v>13/07/2026</v>
      </c>
      <c r="Q56" s="254"/>
      <c r="R56" s="256"/>
      <c r="S56" s="254"/>
      <c r="T56" s="255"/>
    </row>
    <row r="57">
      <c r="A57" s="253" t="s">
        <v>537</v>
      </c>
      <c r="B57" s="253" t="s">
        <v>538</v>
      </c>
      <c r="C57" s="254" t="s">
        <v>350</v>
      </c>
      <c r="D57" s="254" t="s">
        <v>351</v>
      </c>
      <c r="E57" s="255"/>
      <c r="F57" s="254" t="s">
        <v>111</v>
      </c>
      <c r="G57" s="254" t="s">
        <v>352</v>
      </c>
      <c r="H57" s="255"/>
      <c r="I57" s="255"/>
      <c r="J57" s="254" t="s">
        <v>352</v>
      </c>
      <c r="K57" s="254" t="s">
        <v>353</v>
      </c>
      <c r="L57" s="254" t="s">
        <v>354</v>
      </c>
      <c r="M57" s="254" t="s">
        <v>355</v>
      </c>
      <c r="N57" s="254" t="s">
        <v>539</v>
      </c>
      <c r="O57" s="256">
        <v>46206.70277777778</v>
      </c>
      <c r="P57" s="256" t="str">
        <f>IFERROR(__xludf.DUMMYFUNCTION("IFERROR(
  TEXT(
    DATE(
      INDEX(SPLIT(O57,"" ""),3),
      VLOOKUP(INDEX(SPLIT(O57,"" ""),1),{""jan."",1;""Feb"",2;""mar."",3;""Apr"",4;""May"",5;""jun."",6;""jul."",7;""Aug"",8;""sep"",9;""Oct"",10;""nov."",11;""Dec"",12},2,FALSE),
      INDEX(SPL"&amp;"IT(O57,"" ""),2)
    ),
    ""dd/mm/yyyy""
  ),
"""")"),"03/07/2026")</f>
        <v>03/07/2026</v>
      </c>
      <c r="Q57" s="254"/>
      <c r="R57" s="254"/>
      <c r="S57" s="254"/>
      <c r="T57" s="255"/>
    </row>
    <row r="58">
      <c r="A58" s="253" t="s">
        <v>540</v>
      </c>
      <c r="B58" s="253" t="s">
        <v>541</v>
      </c>
      <c r="C58" s="254" t="s">
        <v>350</v>
      </c>
      <c r="D58" s="254" t="s">
        <v>351</v>
      </c>
      <c r="E58" s="255"/>
      <c r="F58" s="254" t="s">
        <v>95</v>
      </c>
      <c r="G58" s="254" t="s">
        <v>352</v>
      </c>
      <c r="H58" s="255"/>
      <c r="I58" s="255"/>
      <c r="J58" s="254" t="s">
        <v>352</v>
      </c>
      <c r="K58" s="254" t="s">
        <v>353</v>
      </c>
      <c r="L58" s="254" t="s">
        <v>354</v>
      </c>
      <c r="M58" s="254" t="s">
        <v>355</v>
      </c>
      <c r="N58" s="254" t="s">
        <v>542</v>
      </c>
      <c r="O58" s="256">
        <v>46175.62569444445</v>
      </c>
      <c r="P58" s="256" t="str">
        <f>IFERROR(__xludf.DUMMYFUNCTION("IFERROR(
  TEXT(
    DATE(
      INDEX(SPLIT(O58,"" ""),3),
      VLOOKUP(INDEX(SPLIT(O58,"" ""),1),{""jan."",1;""Feb"",2;""mar."",3;""Apr"",4;""May"",5;""jun."",6;""jul."",7;""Aug"",8;""sep"",9;""Oct"",10;""nov."",11;""Dec"",12},2,FALSE),
      INDEX(SPL"&amp;"IT(O58,"" ""),2)
    ),
    ""dd/mm/yyyy""
  ),
"""")"),"02/06/2026")</f>
        <v>02/06/2026</v>
      </c>
      <c r="Q58" s="254"/>
      <c r="R58" s="254"/>
      <c r="S58" s="254"/>
      <c r="T58" s="255"/>
    </row>
    <row r="59">
      <c r="A59" s="253" t="s">
        <v>543</v>
      </c>
      <c r="B59" s="253" t="s">
        <v>544</v>
      </c>
      <c r="C59" s="254" t="s">
        <v>350</v>
      </c>
      <c r="D59" s="254" t="s">
        <v>351</v>
      </c>
      <c r="E59" s="255"/>
      <c r="F59" s="254" t="s">
        <v>130</v>
      </c>
      <c r="G59" s="254" t="s">
        <v>352</v>
      </c>
      <c r="H59" s="255"/>
      <c r="I59" s="255"/>
      <c r="J59" s="254" t="s">
        <v>352</v>
      </c>
      <c r="K59" s="254" t="s">
        <v>353</v>
      </c>
      <c r="L59" s="254" t="s">
        <v>354</v>
      </c>
      <c r="M59" s="254" t="s">
        <v>355</v>
      </c>
      <c r="N59" s="254" t="s">
        <v>545</v>
      </c>
      <c r="O59" s="256">
        <v>46199.73402777778</v>
      </c>
      <c r="P59" s="256" t="str">
        <f>IFERROR(__xludf.DUMMYFUNCTION("IFERROR(
  TEXT(
    DATE(
      INDEX(SPLIT(O59,"" ""),3),
      VLOOKUP(INDEX(SPLIT(O59,"" ""),1),{""jan."",1;""Feb"",2;""mar."",3;""Apr"",4;""May"",5;""jun."",6;""jul."",7;""Aug"",8;""sep"",9;""Oct"",10;""nov."",11;""Dec"",12},2,FALSE),
      INDEX(SPL"&amp;"IT(O59,"" ""),2)
    ),
    ""dd/mm/yyyy""
  ),
"""")"),"26/06/2026")</f>
        <v>26/06/2026</v>
      </c>
      <c r="Q59" s="254"/>
      <c r="R59" s="254"/>
      <c r="S59" s="254"/>
      <c r="T59" s="255"/>
    </row>
    <row r="60">
      <c r="A60" s="253" t="s">
        <v>546</v>
      </c>
      <c r="B60" s="253" t="s">
        <v>547</v>
      </c>
      <c r="C60" s="254" t="s">
        <v>350</v>
      </c>
      <c r="D60" s="254" t="s">
        <v>351</v>
      </c>
      <c r="E60" s="255"/>
      <c r="F60" s="254" t="s">
        <v>130</v>
      </c>
      <c r="G60" s="254" t="s">
        <v>352</v>
      </c>
      <c r="H60" s="255"/>
      <c r="I60" s="255"/>
      <c r="J60" s="254" t="s">
        <v>352</v>
      </c>
      <c r="K60" s="254" t="s">
        <v>353</v>
      </c>
      <c r="L60" s="254" t="s">
        <v>354</v>
      </c>
      <c r="M60" s="254" t="s">
        <v>355</v>
      </c>
      <c r="N60" s="254" t="s">
        <v>548</v>
      </c>
      <c r="O60" s="256">
        <v>46209.87013888889</v>
      </c>
      <c r="P60" s="256" t="str">
        <f>IFERROR(__xludf.DUMMYFUNCTION("IFERROR(
  TEXT(
    DATE(
      INDEX(SPLIT(O60,"" ""),3),
      VLOOKUP(INDEX(SPLIT(O60,"" ""),1),{""jan."",1;""Feb"",2;""mar."",3;""Apr"",4;""May"",5;""jun."",6;""jul."",7;""Aug"",8;""sep"",9;""Oct"",10;""nov."",11;""Dec"",12},2,FALSE),
      INDEX(SPL"&amp;"IT(O60,"" ""),2)
    ),
    ""dd/mm/yyyy""
  ),
"""")"),"06/07/2026")</f>
        <v>06/07/2026</v>
      </c>
      <c r="Q60" s="254"/>
      <c r="R60" s="256"/>
      <c r="S60" s="254"/>
      <c r="T60" s="255"/>
    </row>
    <row r="61">
      <c r="A61" s="253" t="s">
        <v>549</v>
      </c>
      <c r="B61" s="253" t="s">
        <v>550</v>
      </c>
      <c r="C61" s="254" t="s">
        <v>350</v>
      </c>
      <c r="D61" s="254" t="s">
        <v>351</v>
      </c>
      <c r="E61" s="255"/>
      <c r="F61" s="254" t="s">
        <v>118</v>
      </c>
      <c r="G61" s="254" t="s">
        <v>352</v>
      </c>
      <c r="H61" s="255"/>
      <c r="I61" s="255"/>
      <c r="J61" s="254" t="s">
        <v>352</v>
      </c>
      <c r="K61" s="254" t="s">
        <v>353</v>
      </c>
      <c r="L61" s="254" t="s">
        <v>354</v>
      </c>
      <c r="M61" s="254" t="s">
        <v>355</v>
      </c>
      <c r="N61" s="254" t="s">
        <v>551</v>
      </c>
      <c r="O61" s="254" t="s">
        <v>552</v>
      </c>
      <c r="P61" s="256" t="str">
        <f>IFERROR(__xludf.DUMMYFUNCTION("IFERROR(
  TEXT(
    DATE(
      INDEX(SPLIT(O61,"" ""),3),
      VLOOKUP(INDEX(SPLIT(O61,"" ""),1),{""jan."",1;""Feb"",2;""mar."",3;""Apr"",4;""May"",5;""jun."",6;""jul."",7;""Aug"",8;""sep"",9;""Oct"",10;""nov."",11;""Dec"",12},2,FALSE),
      INDEX(SPL"&amp;"IT(O61,"" ""),2)
    ),
    ""dd/mm/yyyy""
  ),
"""")"),"19/05/2026")</f>
        <v>19/05/2026</v>
      </c>
      <c r="Q61" s="254"/>
      <c r="R61" s="256"/>
      <c r="S61" s="254"/>
      <c r="T61" s="255"/>
    </row>
    <row r="62">
      <c r="A62" s="253" t="s">
        <v>553</v>
      </c>
      <c r="B62" s="253" t="s">
        <v>554</v>
      </c>
      <c r="C62" s="254" t="s">
        <v>350</v>
      </c>
      <c r="D62" s="254" t="s">
        <v>351</v>
      </c>
      <c r="E62" s="255"/>
      <c r="F62" s="254" t="s">
        <v>134</v>
      </c>
      <c r="G62" s="254" t="s">
        <v>352</v>
      </c>
      <c r="H62" s="255"/>
      <c r="I62" s="255"/>
      <c r="J62" s="254" t="s">
        <v>352</v>
      </c>
      <c r="K62" s="254" t="s">
        <v>353</v>
      </c>
      <c r="L62" s="254" t="s">
        <v>354</v>
      </c>
      <c r="M62" s="254" t="s">
        <v>355</v>
      </c>
      <c r="N62" s="254" t="s">
        <v>555</v>
      </c>
      <c r="O62" s="256">
        <v>46216.70416666667</v>
      </c>
      <c r="P62" s="256" t="str">
        <f>IFERROR(__xludf.DUMMYFUNCTION("IFERROR(
  TEXT(
    DATE(
      INDEX(SPLIT(O62,"" ""),3),
      VLOOKUP(INDEX(SPLIT(O62,"" ""),1),{""jan."",1;""Feb"",2;""mar."",3;""Apr"",4;""May"",5;""jun."",6;""jul."",7;""Aug"",8;""sep"",9;""Oct"",10;""nov."",11;""Dec"",12},2,FALSE),
      INDEX(SPL"&amp;"IT(O62,"" ""),2)
    ),
    ""dd/mm/yyyy""
  ),
"""")"),"13/07/2026")</f>
        <v>13/07/2026</v>
      </c>
      <c r="Q62" s="254"/>
      <c r="R62" s="254"/>
      <c r="S62" s="254"/>
      <c r="T62" s="255"/>
    </row>
    <row r="63">
      <c r="A63" s="253" t="s">
        <v>556</v>
      </c>
      <c r="B63" s="253" t="s">
        <v>557</v>
      </c>
      <c r="C63" s="254" t="s">
        <v>350</v>
      </c>
      <c r="D63" s="254" t="s">
        <v>351</v>
      </c>
      <c r="E63" s="255"/>
      <c r="F63" s="254" t="s">
        <v>95</v>
      </c>
      <c r="G63" s="254" t="s">
        <v>352</v>
      </c>
      <c r="H63" s="255"/>
      <c r="I63" s="255"/>
      <c r="J63" s="254" t="s">
        <v>352</v>
      </c>
      <c r="K63" s="254" t="s">
        <v>353</v>
      </c>
      <c r="L63" s="254" t="s">
        <v>354</v>
      </c>
      <c r="M63" s="254" t="s">
        <v>355</v>
      </c>
      <c r="N63" s="254" t="s">
        <v>558</v>
      </c>
      <c r="O63" s="256">
        <v>46206.58472222222</v>
      </c>
      <c r="P63" s="256" t="str">
        <f>IFERROR(__xludf.DUMMYFUNCTION("IFERROR(
  TEXT(
    DATE(
      INDEX(SPLIT(O63,"" ""),3),
      VLOOKUP(INDEX(SPLIT(O63,"" ""),1),{""jan."",1;""Feb"",2;""mar."",3;""Apr"",4;""May"",5;""jun."",6;""jul."",7;""Aug"",8;""sep"",9;""Oct"",10;""nov."",11;""Dec"",12},2,FALSE),
      INDEX(SPL"&amp;"IT(O63,"" ""),2)
    ),
    ""dd/mm/yyyy""
  ),
"""")"),"03/07/2026")</f>
        <v>03/07/2026</v>
      </c>
      <c r="Q63" s="254"/>
      <c r="R63" s="256"/>
      <c r="S63" s="254"/>
      <c r="T63" s="255"/>
    </row>
    <row r="64">
      <c r="A64" s="253" t="s">
        <v>559</v>
      </c>
      <c r="B64" s="253" t="s">
        <v>560</v>
      </c>
      <c r="C64" s="254" t="s">
        <v>350</v>
      </c>
      <c r="D64" s="254" t="s">
        <v>351</v>
      </c>
      <c r="E64" s="255"/>
      <c r="F64" s="254" t="s">
        <v>111</v>
      </c>
      <c r="G64" s="254" t="s">
        <v>352</v>
      </c>
      <c r="H64" s="255"/>
      <c r="I64" s="255"/>
      <c r="J64" s="254" t="s">
        <v>352</v>
      </c>
      <c r="K64" s="254" t="s">
        <v>353</v>
      </c>
      <c r="L64" s="254" t="s">
        <v>354</v>
      </c>
      <c r="M64" s="254" t="s">
        <v>355</v>
      </c>
      <c r="N64" s="254" t="s">
        <v>561</v>
      </c>
      <c r="O64" s="256">
        <v>46215.61944444444</v>
      </c>
      <c r="P64" s="256" t="str">
        <f>IFERROR(__xludf.DUMMYFUNCTION("IFERROR(
  TEXT(
    DATE(
      INDEX(SPLIT(O64,"" ""),3),
      VLOOKUP(INDEX(SPLIT(O64,"" ""),1),{""jan."",1;""Feb"",2;""mar."",3;""Apr"",4;""May"",5;""jun."",6;""jul."",7;""Aug"",8;""sep"",9;""Oct"",10;""nov."",11;""Dec"",12},2,FALSE),
      INDEX(SPL"&amp;"IT(O64,"" ""),2)
    ),
    ""dd/mm/yyyy""
  ),
"""")"),"12/07/2026")</f>
        <v>12/07/2026</v>
      </c>
      <c r="Q64" s="254"/>
      <c r="R64" s="256"/>
      <c r="S64" s="254"/>
      <c r="T64" s="255"/>
    </row>
    <row r="65">
      <c r="A65" s="253" t="s">
        <v>562</v>
      </c>
      <c r="B65" s="253" t="s">
        <v>563</v>
      </c>
      <c r="C65" s="254" t="s">
        <v>350</v>
      </c>
      <c r="D65" s="254" t="s">
        <v>351</v>
      </c>
      <c r="E65" s="255"/>
      <c r="F65" s="254" t="s">
        <v>118</v>
      </c>
      <c r="G65" s="254" t="s">
        <v>352</v>
      </c>
      <c r="H65" s="255"/>
      <c r="I65" s="255"/>
      <c r="J65" s="254" t="s">
        <v>352</v>
      </c>
      <c r="K65" s="254" t="s">
        <v>353</v>
      </c>
      <c r="L65" s="254" t="s">
        <v>354</v>
      </c>
      <c r="M65" s="254" t="s">
        <v>355</v>
      </c>
      <c r="N65" s="254" t="s">
        <v>564</v>
      </c>
      <c r="O65" s="254" t="s">
        <v>565</v>
      </c>
      <c r="P65" s="256" t="str">
        <f>IFERROR(__xludf.DUMMYFUNCTION("IFERROR(
  TEXT(
    DATE(
      INDEX(SPLIT(O65,"" ""),3),
      VLOOKUP(INDEX(SPLIT(O65,"" ""),1),{""jan."",1;""Feb"",2;""mar."",3;""Apr"",4;""May"",5;""jun."",6;""jul."",7;""Aug"",8;""sep"",9;""Oct"",10;""nov."",11;""Dec"",12},2,FALSE),
      INDEX(SPL"&amp;"IT(O65,"" ""),2)
    ),
    ""dd/mm/yyyy""
  ),
"""")"),"15/05/2026")</f>
        <v>15/05/2026</v>
      </c>
      <c r="Q65" s="254"/>
      <c r="R65" s="254"/>
      <c r="S65" s="254"/>
      <c r="T65" s="255"/>
    </row>
    <row r="66">
      <c r="A66" s="253" t="s">
        <v>566</v>
      </c>
      <c r="B66" s="253" t="s">
        <v>567</v>
      </c>
      <c r="C66" s="254" t="s">
        <v>350</v>
      </c>
      <c r="D66" s="254" t="s">
        <v>351</v>
      </c>
      <c r="E66" s="255"/>
      <c r="F66" s="254" t="s">
        <v>95</v>
      </c>
      <c r="G66" s="254" t="s">
        <v>352</v>
      </c>
      <c r="H66" s="255"/>
      <c r="I66" s="255"/>
      <c r="J66" s="254" t="s">
        <v>352</v>
      </c>
      <c r="K66" s="254" t="s">
        <v>353</v>
      </c>
      <c r="L66" s="254" t="s">
        <v>354</v>
      </c>
      <c r="M66" s="254" t="s">
        <v>355</v>
      </c>
      <c r="N66" s="254" t="s">
        <v>568</v>
      </c>
      <c r="O66" s="256">
        <v>46209.572916666664</v>
      </c>
      <c r="P66" s="256" t="str">
        <f>IFERROR(__xludf.DUMMYFUNCTION("IFERROR(
  TEXT(
    DATE(
      INDEX(SPLIT(O66,"" ""),3),
      VLOOKUP(INDEX(SPLIT(O66,"" ""),1),{""jan."",1;""Feb"",2;""mar."",3;""Apr"",4;""May"",5;""jun."",6;""jul."",7;""Aug"",8;""sep"",9;""Oct"",10;""nov."",11;""Dec"",12},2,FALSE),
      INDEX(SPL"&amp;"IT(O66,"" ""),2)
    ),
    ""dd/mm/yyyy""
  ),
"""")"),"06/07/2026")</f>
        <v>06/07/2026</v>
      </c>
      <c r="Q66" s="254"/>
      <c r="R66" s="254"/>
      <c r="S66" s="254"/>
      <c r="T66" s="255"/>
    </row>
    <row r="67">
      <c r="A67" s="253" t="s">
        <v>569</v>
      </c>
      <c r="B67" s="253" t="s">
        <v>570</v>
      </c>
      <c r="C67" s="254" t="s">
        <v>350</v>
      </c>
      <c r="D67" s="254" t="s">
        <v>351</v>
      </c>
      <c r="E67" s="255"/>
      <c r="F67" s="254" t="s">
        <v>111</v>
      </c>
      <c r="G67" s="254" t="s">
        <v>352</v>
      </c>
      <c r="H67" s="255"/>
      <c r="I67" s="255"/>
      <c r="J67" s="254" t="s">
        <v>352</v>
      </c>
      <c r="K67" s="254" t="s">
        <v>353</v>
      </c>
      <c r="L67" s="254" t="s">
        <v>354</v>
      </c>
      <c r="M67" s="254" t="s">
        <v>355</v>
      </c>
      <c r="N67" s="254" t="s">
        <v>571</v>
      </c>
      <c r="O67" s="256">
        <v>46213.47430555556</v>
      </c>
      <c r="P67" s="256" t="str">
        <f>IFERROR(__xludf.DUMMYFUNCTION("IFERROR(
  TEXT(
    DATE(
      INDEX(SPLIT(O67,"" ""),3),
      VLOOKUP(INDEX(SPLIT(O67,"" ""),1),{""jan."",1;""Feb"",2;""mar."",3;""Apr"",4;""May"",5;""jun."",6;""jul."",7;""Aug"",8;""sep"",9;""Oct"",10;""nov."",11;""Dec"",12},2,FALSE),
      INDEX(SPL"&amp;"IT(O67,"" ""),2)
    ),
    ""dd/mm/yyyy""
  ),
"""")"),"10/07/2026")</f>
        <v>10/07/2026</v>
      </c>
      <c r="Q67" s="254"/>
      <c r="R67" s="254"/>
      <c r="S67" s="254"/>
      <c r="T67" s="255"/>
    </row>
    <row r="68">
      <c r="A68" s="253" t="s">
        <v>572</v>
      </c>
      <c r="B68" s="253" t="s">
        <v>573</v>
      </c>
      <c r="C68" s="254" t="s">
        <v>350</v>
      </c>
      <c r="D68" s="254" t="s">
        <v>351</v>
      </c>
      <c r="E68" s="255"/>
      <c r="F68" s="254" t="s">
        <v>130</v>
      </c>
      <c r="G68" s="254" t="s">
        <v>352</v>
      </c>
      <c r="H68" s="255"/>
      <c r="I68" s="255"/>
      <c r="J68" s="254" t="s">
        <v>352</v>
      </c>
      <c r="K68" s="254" t="s">
        <v>353</v>
      </c>
      <c r="L68" s="254" t="s">
        <v>354</v>
      </c>
      <c r="M68" s="254" t="s">
        <v>355</v>
      </c>
      <c r="N68" s="254" t="s">
        <v>574</v>
      </c>
      <c r="O68" s="256">
        <v>46198.836805555555</v>
      </c>
      <c r="P68" s="256" t="str">
        <f>IFERROR(__xludf.DUMMYFUNCTION("IFERROR(
  TEXT(
    DATE(
      INDEX(SPLIT(O68,"" ""),3),
      VLOOKUP(INDEX(SPLIT(O68,"" ""),1),{""jan."",1;""Feb"",2;""mar."",3;""Apr"",4;""May"",5;""jun."",6;""jul."",7;""Aug"",8;""sep"",9;""Oct"",10;""nov."",11;""Dec"",12},2,FALSE),
      INDEX(SPL"&amp;"IT(O68,"" ""),2)
    ),
    ""dd/mm/yyyy""
  ),
"""")"),"25/06/2026")</f>
        <v>25/06/2026</v>
      </c>
      <c r="Q68" s="254"/>
      <c r="R68" s="254"/>
      <c r="S68" s="254"/>
      <c r="T68" s="255"/>
    </row>
    <row r="69">
      <c r="A69" s="253" t="s">
        <v>575</v>
      </c>
      <c r="B69" s="253" t="s">
        <v>576</v>
      </c>
      <c r="C69" s="254" t="s">
        <v>350</v>
      </c>
      <c r="D69" s="254" t="s">
        <v>351</v>
      </c>
      <c r="E69" s="255"/>
      <c r="F69" s="254" t="s">
        <v>130</v>
      </c>
      <c r="G69" s="254" t="s">
        <v>352</v>
      </c>
      <c r="H69" s="255"/>
      <c r="I69" s="255"/>
      <c r="J69" s="254" t="s">
        <v>352</v>
      </c>
      <c r="K69" s="254" t="s">
        <v>353</v>
      </c>
      <c r="L69" s="254" t="s">
        <v>354</v>
      </c>
      <c r="M69" s="254" t="s">
        <v>355</v>
      </c>
      <c r="N69" s="254" t="s">
        <v>577</v>
      </c>
      <c r="O69" s="256">
        <v>46216.66875</v>
      </c>
      <c r="P69" s="256" t="str">
        <f>IFERROR(__xludf.DUMMYFUNCTION("IFERROR(
  TEXT(
    DATE(
      INDEX(SPLIT(O69,"" ""),3),
      VLOOKUP(INDEX(SPLIT(O69,"" ""),1),{""jan."",1;""Feb"",2;""mar."",3;""Apr"",4;""May"",5;""jun."",6;""jul."",7;""Aug"",8;""sep"",9;""Oct"",10;""nov."",11;""Dec"",12},2,FALSE),
      INDEX(SPL"&amp;"IT(O69,"" ""),2)
    ),
    ""dd/mm/yyyy""
  ),
"""")"),"13/07/2026")</f>
        <v>13/07/2026</v>
      </c>
      <c r="Q69" s="254"/>
      <c r="R69" s="256"/>
      <c r="S69" s="254"/>
      <c r="T69" s="255"/>
    </row>
    <row r="70">
      <c r="A70" s="253" t="s">
        <v>578</v>
      </c>
      <c r="B70" s="253" t="s">
        <v>579</v>
      </c>
      <c r="C70" s="254" t="s">
        <v>350</v>
      </c>
      <c r="D70" s="254" t="s">
        <v>351</v>
      </c>
      <c r="E70" s="255"/>
      <c r="F70" s="254" t="s">
        <v>134</v>
      </c>
      <c r="G70" s="254" t="s">
        <v>352</v>
      </c>
      <c r="H70" s="255"/>
      <c r="I70" s="255"/>
      <c r="J70" s="254" t="s">
        <v>352</v>
      </c>
      <c r="K70" s="254" t="s">
        <v>353</v>
      </c>
      <c r="L70" s="254" t="s">
        <v>354</v>
      </c>
      <c r="M70" s="254" t="s">
        <v>355</v>
      </c>
      <c r="N70" s="254" t="s">
        <v>415</v>
      </c>
      <c r="O70" s="256">
        <v>46211.57638888889</v>
      </c>
      <c r="P70" s="256" t="str">
        <f>IFERROR(__xludf.DUMMYFUNCTION("IFERROR(
  TEXT(
    DATE(
      INDEX(SPLIT(O70,"" ""),3),
      VLOOKUP(INDEX(SPLIT(O70,"" ""),1),{""jan."",1;""Feb"",2;""mar."",3;""Apr"",4;""May"",5;""jun."",6;""jul."",7;""Aug"",8;""sep"",9;""Oct"",10;""nov."",11;""Dec"",12},2,FALSE),
      INDEX(SPL"&amp;"IT(O70,"" ""),2)
    ),
    ""dd/mm/yyyy""
  ),
"""")"),"08/07/2026")</f>
        <v>08/07/2026</v>
      </c>
      <c r="Q70" s="254"/>
      <c r="R70" s="254"/>
      <c r="S70" s="254"/>
      <c r="T70" s="255"/>
    </row>
    <row r="71">
      <c r="A71" s="253" t="s">
        <v>580</v>
      </c>
      <c r="B71" s="253" t="s">
        <v>581</v>
      </c>
      <c r="C71" s="254" t="s">
        <v>350</v>
      </c>
      <c r="D71" s="254" t="s">
        <v>351</v>
      </c>
      <c r="E71" s="255"/>
      <c r="F71" s="254" t="s">
        <v>130</v>
      </c>
      <c r="G71" s="254" t="s">
        <v>352</v>
      </c>
      <c r="H71" s="255"/>
      <c r="I71" s="255"/>
      <c r="J71" s="254" t="s">
        <v>352</v>
      </c>
      <c r="K71" s="254" t="s">
        <v>353</v>
      </c>
      <c r="L71" s="254" t="s">
        <v>354</v>
      </c>
      <c r="M71" s="254" t="s">
        <v>355</v>
      </c>
      <c r="N71" s="254" t="s">
        <v>582</v>
      </c>
      <c r="O71" s="256">
        <v>46216.92569444444</v>
      </c>
      <c r="P71" s="256" t="str">
        <f>IFERROR(__xludf.DUMMYFUNCTION("IFERROR(
  TEXT(
    DATE(
      INDEX(SPLIT(O71,"" ""),3),
      VLOOKUP(INDEX(SPLIT(O71,"" ""),1),{""jan."",1;""Feb"",2;""mar."",3;""Apr"",4;""May"",5;""jun."",6;""jul."",7;""Aug"",8;""sep"",9;""Oct"",10;""nov."",11;""Dec"",12},2,FALSE),
      INDEX(SPL"&amp;"IT(O71,"" ""),2)
    ),
    ""dd/mm/yyyy""
  ),
"""")"),"13/07/2026")</f>
        <v>13/07/2026</v>
      </c>
      <c r="Q71" s="254"/>
      <c r="R71" s="254"/>
      <c r="S71" s="254"/>
      <c r="T71" s="255"/>
    </row>
    <row r="72">
      <c r="A72" s="253" t="s">
        <v>583</v>
      </c>
      <c r="B72" s="253" t="s">
        <v>584</v>
      </c>
      <c r="C72" s="254" t="s">
        <v>350</v>
      </c>
      <c r="D72" s="254" t="s">
        <v>351</v>
      </c>
      <c r="E72" s="255"/>
      <c r="F72" s="254" t="s">
        <v>95</v>
      </c>
      <c r="G72" s="254" t="s">
        <v>352</v>
      </c>
      <c r="H72" s="255"/>
      <c r="I72" s="255"/>
      <c r="J72" s="254" t="s">
        <v>352</v>
      </c>
      <c r="K72" s="254" t="s">
        <v>353</v>
      </c>
      <c r="L72" s="254" t="s">
        <v>354</v>
      </c>
      <c r="M72" s="254" t="s">
        <v>355</v>
      </c>
      <c r="N72" s="254" t="s">
        <v>585</v>
      </c>
      <c r="O72" s="256">
        <v>46216.53333333333</v>
      </c>
      <c r="P72" s="256" t="str">
        <f>IFERROR(__xludf.DUMMYFUNCTION("IFERROR(
  TEXT(
    DATE(
      INDEX(SPLIT(O72,"" ""),3),
      VLOOKUP(INDEX(SPLIT(O72,"" ""),1),{""jan."",1;""Feb"",2;""mar."",3;""Apr"",4;""May"",5;""jun."",6;""jul."",7;""Aug"",8;""sep"",9;""Oct"",10;""nov."",11;""Dec"",12},2,FALSE),
      INDEX(SPL"&amp;"IT(O72,"" ""),2)
    ),
    ""dd/mm/yyyy""
  ),
"""")"),"13/07/2026")</f>
        <v>13/07/2026</v>
      </c>
      <c r="Q72" s="254"/>
      <c r="R72" s="254"/>
      <c r="S72" s="254"/>
      <c r="T72" s="255"/>
    </row>
    <row r="73">
      <c r="A73" s="253" t="s">
        <v>586</v>
      </c>
      <c r="B73" s="253" t="s">
        <v>587</v>
      </c>
      <c r="C73" s="254" t="s">
        <v>350</v>
      </c>
      <c r="D73" s="254" t="s">
        <v>351</v>
      </c>
      <c r="E73" s="255"/>
      <c r="F73" s="254" t="s">
        <v>95</v>
      </c>
      <c r="G73" s="254" t="s">
        <v>352</v>
      </c>
      <c r="H73" s="255"/>
      <c r="I73" s="255"/>
      <c r="J73" s="254" t="s">
        <v>352</v>
      </c>
      <c r="K73" s="254" t="s">
        <v>353</v>
      </c>
      <c r="L73" s="254" t="s">
        <v>354</v>
      </c>
      <c r="M73" s="254" t="s">
        <v>355</v>
      </c>
      <c r="N73" s="254" t="s">
        <v>588</v>
      </c>
      <c r="O73" s="256">
        <v>46196.48263888889</v>
      </c>
      <c r="P73" s="256" t="str">
        <f>IFERROR(__xludf.DUMMYFUNCTION("IFERROR(
  TEXT(
    DATE(
      INDEX(SPLIT(O73,"" ""),3),
      VLOOKUP(INDEX(SPLIT(O73,"" ""),1),{""jan."",1;""Feb"",2;""mar."",3;""Apr"",4;""May"",5;""jun."",6;""jul."",7;""Aug"",8;""sep"",9;""Oct"",10;""nov."",11;""Dec"",12},2,FALSE),
      INDEX(SPL"&amp;"IT(O73,"" ""),2)
    ),
    ""dd/mm/yyyy""
  ),
"""")"),"23/06/2026")</f>
        <v>23/06/2026</v>
      </c>
      <c r="Q73" s="254"/>
      <c r="R73" s="254"/>
      <c r="S73" s="254"/>
      <c r="T73" s="255"/>
    </row>
    <row r="74">
      <c r="A74" s="253" t="s">
        <v>589</v>
      </c>
      <c r="B74" s="253" t="s">
        <v>590</v>
      </c>
      <c r="C74" s="254" t="s">
        <v>350</v>
      </c>
      <c r="D74" s="254" t="s">
        <v>351</v>
      </c>
      <c r="E74" s="255"/>
      <c r="F74" s="254" t="s">
        <v>95</v>
      </c>
      <c r="G74" s="254" t="s">
        <v>352</v>
      </c>
      <c r="H74" s="255"/>
      <c r="I74" s="255"/>
      <c r="J74" s="254" t="s">
        <v>352</v>
      </c>
      <c r="K74" s="254" t="s">
        <v>353</v>
      </c>
      <c r="L74" s="254" t="s">
        <v>354</v>
      </c>
      <c r="M74" s="254" t="s">
        <v>355</v>
      </c>
      <c r="N74" s="254" t="s">
        <v>591</v>
      </c>
      <c r="O74" s="256">
        <v>46176.78680555556</v>
      </c>
      <c r="P74" s="256" t="str">
        <f>IFERROR(__xludf.DUMMYFUNCTION("IFERROR(
  TEXT(
    DATE(
      INDEX(SPLIT(O74,"" ""),3),
      VLOOKUP(INDEX(SPLIT(O74,"" ""),1),{""jan."",1;""Feb"",2;""mar."",3;""Apr"",4;""May"",5;""jun."",6;""jul."",7;""Aug"",8;""sep"",9;""Oct"",10;""nov."",11;""Dec"",12},2,FALSE),
      INDEX(SPL"&amp;"IT(O74,"" ""),2)
    ),
    ""dd/mm/yyyy""
  ),
"""")"),"03/06/2026")</f>
        <v>03/06/2026</v>
      </c>
      <c r="Q74" s="254"/>
      <c r="R74" s="254"/>
      <c r="S74" s="254"/>
      <c r="T74" s="255"/>
    </row>
    <row r="75">
      <c r="A75" s="253" t="s">
        <v>592</v>
      </c>
      <c r="B75" s="253" t="s">
        <v>593</v>
      </c>
      <c r="C75" s="254" t="s">
        <v>350</v>
      </c>
      <c r="D75" s="254" t="s">
        <v>351</v>
      </c>
      <c r="E75" s="255"/>
      <c r="F75" s="254" t="s">
        <v>95</v>
      </c>
      <c r="G75" s="254" t="s">
        <v>352</v>
      </c>
      <c r="H75" s="255"/>
      <c r="I75" s="255"/>
      <c r="J75" s="254" t="s">
        <v>352</v>
      </c>
      <c r="K75" s="254" t="s">
        <v>353</v>
      </c>
      <c r="L75" s="254" t="s">
        <v>354</v>
      </c>
      <c r="M75" s="254" t="s">
        <v>355</v>
      </c>
      <c r="N75" s="254" t="s">
        <v>594</v>
      </c>
      <c r="O75" s="256">
        <v>46174.66805555556</v>
      </c>
      <c r="P75" s="256" t="str">
        <f>IFERROR(__xludf.DUMMYFUNCTION("IFERROR(
  TEXT(
    DATE(
      INDEX(SPLIT(O75,"" ""),3),
      VLOOKUP(INDEX(SPLIT(O75,"" ""),1),{""jan."",1;""Feb"",2;""mar."",3;""Apr"",4;""May"",5;""jun."",6;""jul."",7;""Aug"",8;""sep"",9;""Oct"",10;""nov."",11;""Dec"",12},2,FALSE),
      INDEX(SPL"&amp;"IT(O75,"" ""),2)
    ),
    ""dd/mm/yyyy""
  ),
"""")"),"01/06/2026")</f>
        <v>01/06/2026</v>
      </c>
      <c r="Q75" s="254"/>
      <c r="R75" s="254"/>
      <c r="S75" s="254"/>
      <c r="T75" s="255"/>
    </row>
    <row r="76">
      <c r="A76" s="253" t="s">
        <v>595</v>
      </c>
      <c r="B76" s="253" t="s">
        <v>596</v>
      </c>
      <c r="C76" s="254" t="s">
        <v>350</v>
      </c>
      <c r="D76" s="254" t="s">
        <v>351</v>
      </c>
      <c r="E76" s="255"/>
      <c r="F76" s="254" t="s">
        <v>111</v>
      </c>
      <c r="G76" s="254" t="s">
        <v>352</v>
      </c>
      <c r="H76" s="255"/>
      <c r="I76" s="255"/>
      <c r="J76" s="254" t="s">
        <v>352</v>
      </c>
      <c r="K76" s="254" t="s">
        <v>353</v>
      </c>
      <c r="L76" s="254" t="s">
        <v>354</v>
      </c>
      <c r="M76" s="254" t="s">
        <v>355</v>
      </c>
      <c r="N76" s="254" t="s">
        <v>597</v>
      </c>
      <c r="O76" s="256">
        <v>46216.65555555555</v>
      </c>
      <c r="P76" s="256" t="str">
        <f>IFERROR(__xludf.DUMMYFUNCTION("IFERROR(
  TEXT(
    DATE(
      INDEX(SPLIT(O76,"" ""),3),
      VLOOKUP(INDEX(SPLIT(O76,"" ""),1),{""jan."",1;""Feb"",2;""mar."",3;""Apr"",4;""May"",5;""jun."",6;""jul."",7;""Aug"",8;""sep"",9;""Oct"",10;""nov."",11;""Dec"",12},2,FALSE),
      INDEX(SPL"&amp;"IT(O76,"" ""),2)
    ),
    ""dd/mm/yyyy""
  ),
"""")"),"13/07/2026")</f>
        <v>13/07/2026</v>
      </c>
      <c r="Q76" s="254"/>
      <c r="R76" s="256"/>
      <c r="S76" s="254"/>
      <c r="T76" s="255"/>
    </row>
    <row r="77">
      <c r="A77" s="253" t="s">
        <v>598</v>
      </c>
      <c r="B77" s="253" t="s">
        <v>599</v>
      </c>
      <c r="C77" s="254" t="s">
        <v>350</v>
      </c>
      <c r="D77" s="254" t="s">
        <v>351</v>
      </c>
      <c r="E77" s="255"/>
      <c r="F77" s="254" t="s">
        <v>118</v>
      </c>
      <c r="G77" s="254" t="s">
        <v>352</v>
      </c>
      <c r="H77" s="255"/>
      <c r="I77" s="255"/>
      <c r="J77" s="254" t="s">
        <v>352</v>
      </c>
      <c r="K77" s="254" t="s">
        <v>353</v>
      </c>
      <c r="L77" s="254" t="s">
        <v>354</v>
      </c>
      <c r="M77" s="254" t="s">
        <v>355</v>
      </c>
      <c r="N77" s="254" t="s">
        <v>600</v>
      </c>
      <c r="O77" s="254" t="s">
        <v>601</v>
      </c>
      <c r="P77" s="256" t="str">
        <f>IFERROR(__xludf.DUMMYFUNCTION("IFERROR(
  TEXT(
    DATE(
      INDEX(SPLIT(O77,"" ""),3),
      VLOOKUP(INDEX(SPLIT(O77,"" ""),1),{""jan."",1;""Feb"",2;""mar."",3;""Apr"",4;""May"",5;""jun."",6;""jul."",7;""Aug"",8;""sep"",9;""Oct"",10;""nov."",11;""Dec"",12},2,FALSE),
      INDEX(SPL"&amp;"IT(O77,"" ""),2)
    ),
    ""dd/mm/yyyy""
  ),
"""")"),"20/05/2026")</f>
        <v>20/05/2026</v>
      </c>
      <c r="Q77" s="254"/>
      <c r="R77" s="254"/>
      <c r="S77" s="254"/>
      <c r="T77" s="255"/>
    </row>
    <row r="78">
      <c r="A78" s="253" t="s">
        <v>602</v>
      </c>
      <c r="B78" s="253" t="s">
        <v>603</v>
      </c>
      <c r="C78" s="257"/>
      <c r="D78" s="257"/>
      <c r="E78" s="255"/>
      <c r="F78" s="254" t="s">
        <v>118</v>
      </c>
      <c r="G78" s="254" t="s">
        <v>352</v>
      </c>
      <c r="H78" s="255"/>
      <c r="I78" s="255"/>
      <c r="J78" s="254" t="s">
        <v>352</v>
      </c>
      <c r="K78" s="254" t="s">
        <v>353</v>
      </c>
      <c r="L78" s="254" t="s">
        <v>354</v>
      </c>
      <c r="M78" s="254" t="s">
        <v>355</v>
      </c>
      <c r="N78" s="254" t="s">
        <v>604</v>
      </c>
      <c r="O78" s="254" t="s">
        <v>605</v>
      </c>
      <c r="P78" s="256" t="str">
        <f>IFERROR(__xludf.DUMMYFUNCTION("IFERROR(
  TEXT(
    DATE(
      INDEX(SPLIT(O78,"" ""),3),
      VLOOKUP(INDEX(SPLIT(O78,"" ""),1),{""jan."",1;""Feb"",2;""mar."",3;""Apr"",4;""May"",5;""jun."",6;""jul."",7;""Aug"",8;""sep"",9;""Oct"",10;""nov."",11;""Dec"",12},2,FALSE),
      INDEX(SPL"&amp;"IT(O78,"" ""),2)
    ),
    ""dd/mm/yyyy""
  ),
"""")"),"19/05/2026")</f>
        <v>19/05/2026</v>
      </c>
      <c r="Q78" s="254"/>
      <c r="R78" s="256"/>
      <c r="S78" s="254"/>
      <c r="T78" s="255"/>
    </row>
    <row r="79">
      <c r="A79" s="253" t="s">
        <v>606</v>
      </c>
      <c r="B79" s="253" t="s">
        <v>607</v>
      </c>
      <c r="C79" s="254" t="s">
        <v>350</v>
      </c>
      <c r="D79" s="254" t="s">
        <v>351</v>
      </c>
      <c r="E79" s="255"/>
      <c r="F79" s="254" t="s">
        <v>134</v>
      </c>
      <c r="G79" s="254" t="s">
        <v>352</v>
      </c>
      <c r="H79" s="255"/>
      <c r="I79" s="255"/>
      <c r="J79" s="254" t="s">
        <v>352</v>
      </c>
      <c r="K79" s="254" t="s">
        <v>353</v>
      </c>
      <c r="L79" s="254" t="s">
        <v>354</v>
      </c>
      <c r="M79" s="254" t="s">
        <v>355</v>
      </c>
      <c r="N79" s="254" t="s">
        <v>608</v>
      </c>
      <c r="O79" s="256">
        <v>46211.7</v>
      </c>
      <c r="P79" s="256" t="str">
        <f>IFERROR(__xludf.DUMMYFUNCTION("IFERROR(
  TEXT(
    DATE(
      INDEX(SPLIT(O79,"" ""),3),
      VLOOKUP(INDEX(SPLIT(O79,"" ""),1),{""jan."",1;""Feb"",2;""mar."",3;""Apr"",4;""May"",5;""jun."",6;""jul."",7;""Aug"",8;""sep"",9;""Oct"",10;""nov."",11;""Dec"",12},2,FALSE),
      INDEX(SPL"&amp;"IT(O79,"" ""),2)
    ),
    ""dd/mm/yyyy""
  ),
"""")"),"08/07/2026")</f>
        <v>08/07/2026</v>
      </c>
      <c r="Q79" s="254"/>
      <c r="R79" s="254"/>
      <c r="S79" s="254"/>
      <c r="T79" s="255"/>
    </row>
    <row r="80">
      <c r="A80" s="253" t="s">
        <v>609</v>
      </c>
      <c r="B80" s="253" t="s">
        <v>610</v>
      </c>
      <c r="C80" s="254" t="s">
        <v>350</v>
      </c>
      <c r="D80" s="254" t="s">
        <v>351</v>
      </c>
      <c r="E80" s="255"/>
      <c r="F80" s="254" t="s">
        <v>134</v>
      </c>
      <c r="G80" s="254" t="s">
        <v>352</v>
      </c>
      <c r="H80" s="255"/>
      <c r="I80" s="255"/>
      <c r="J80" s="254" t="s">
        <v>352</v>
      </c>
      <c r="K80" s="254" t="s">
        <v>353</v>
      </c>
      <c r="L80" s="254" t="s">
        <v>354</v>
      </c>
      <c r="M80" s="254" t="s">
        <v>355</v>
      </c>
      <c r="N80" s="254" t="s">
        <v>611</v>
      </c>
      <c r="O80" s="256">
        <v>46213.66527777778</v>
      </c>
      <c r="P80" s="256" t="str">
        <f>IFERROR(__xludf.DUMMYFUNCTION("IFERROR(
  TEXT(
    DATE(
      INDEX(SPLIT(O80,"" ""),3),
      VLOOKUP(INDEX(SPLIT(O80,"" ""),1),{""jan."",1;""Feb"",2;""mar."",3;""Apr"",4;""May"",5;""jun."",6;""jul."",7;""Aug"",8;""sep"",9;""Oct"",10;""nov."",11;""Dec"",12},2,FALSE),
      INDEX(SPL"&amp;"IT(O80,"" ""),2)
    ),
    ""dd/mm/yyyy""
  ),
"""")"),"10/07/2026")</f>
        <v>10/07/2026</v>
      </c>
      <c r="Q80" s="254"/>
      <c r="R80" s="254"/>
      <c r="S80" s="254"/>
      <c r="T80" s="255"/>
    </row>
    <row r="81">
      <c r="A81" s="253" t="s">
        <v>612</v>
      </c>
      <c r="B81" s="253" t="s">
        <v>613</v>
      </c>
      <c r="C81" s="254" t="s">
        <v>350</v>
      </c>
      <c r="D81" s="254" t="s">
        <v>351</v>
      </c>
      <c r="E81" s="255"/>
      <c r="F81" s="254" t="s">
        <v>111</v>
      </c>
      <c r="G81" s="254" t="s">
        <v>352</v>
      </c>
      <c r="H81" s="255"/>
      <c r="I81" s="255"/>
      <c r="J81" s="254" t="s">
        <v>352</v>
      </c>
      <c r="K81" s="254" t="s">
        <v>353</v>
      </c>
      <c r="L81" s="254" t="s">
        <v>354</v>
      </c>
      <c r="M81" s="254" t="s">
        <v>355</v>
      </c>
      <c r="N81" s="254" t="s">
        <v>614</v>
      </c>
      <c r="O81" s="256">
        <v>46206.67013888889</v>
      </c>
      <c r="P81" s="256" t="str">
        <f>IFERROR(__xludf.DUMMYFUNCTION("IFERROR(
  TEXT(
    DATE(
      INDEX(SPLIT(O81,"" ""),3),
      VLOOKUP(INDEX(SPLIT(O81,"" ""),1),{""jan."",1;""Feb"",2;""mar."",3;""Apr"",4;""May"",5;""jun."",6;""jul."",7;""Aug"",8;""sep"",9;""Oct"",10;""nov."",11;""Dec"",12},2,FALSE),
      INDEX(SPL"&amp;"IT(O81,"" ""),2)
    ),
    ""dd/mm/yyyy""
  ),
"""")"),"03/07/2026")</f>
        <v>03/07/2026</v>
      </c>
      <c r="Q81" s="254"/>
      <c r="R81" s="254"/>
      <c r="S81" s="254"/>
      <c r="T81" s="255"/>
    </row>
    <row r="82">
      <c r="A82" s="253" t="s">
        <v>615</v>
      </c>
      <c r="B82" s="253" t="s">
        <v>616</v>
      </c>
      <c r="C82" s="254" t="s">
        <v>350</v>
      </c>
      <c r="D82" s="254" t="s">
        <v>351</v>
      </c>
      <c r="E82" s="255"/>
      <c r="F82" s="254" t="s">
        <v>111</v>
      </c>
      <c r="G82" s="254" t="s">
        <v>352</v>
      </c>
      <c r="H82" s="255"/>
      <c r="I82" s="255"/>
      <c r="J82" s="254" t="s">
        <v>352</v>
      </c>
      <c r="K82" s="254" t="s">
        <v>353</v>
      </c>
      <c r="L82" s="254" t="s">
        <v>354</v>
      </c>
      <c r="M82" s="254" t="s">
        <v>355</v>
      </c>
      <c r="N82" s="254" t="s">
        <v>617</v>
      </c>
      <c r="O82" s="256">
        <v>46216.532638888886</v>
      </c>
      <c r="P82" s="256" t="str">
        <f>IFERROR(__xludf.DUMMYFUNCTION("IFERROR(
  TEXT(
    DATE(
      INDEX(SPLIT(O82,"" ""),3),
      VLOOKUP(INDEX(SPLIT(O82,"" ""),1),{""jan."",1;""Feb"",2;""mar."",3;""Apr"",4;""May"",5;""jun."",6;""jul."",7;""Aug"",8;""sep"",9;""Oct"",10;""nov."",11;""Dec"",12},2,FALSE),
      INDEX(SPL"&amp;"IT(O82,"" ""),2)
    ),
    ""dd/mm/yyyy""
  ),
"""")"),"13/07/2026")</f>
        <v>13/07/2026</v>
      </c>
      <c r="Q82" s="254"/>
      <c r="R82" s="254"/>
      <c r="S82" s="254"/>
      <c r="T82" s="255"/>
    </row>
    <row r="83">
      <c r="A83" s="253" t="s">
        <v>618</v>
      </c>
      <c r="B83" s="253" t="s">
        <v>619</v>
      </c>
      <c r="C83" s="254" t="s">
        <v>350</v>
      </c>
      <c r="D83" s="254" t="s">
        <v>351</v>
      </c>
      <c r="E83" s="255"/>
      <c r="F83" s="254" t="s">
        <v>130</v>
      </c>
      <c r="G83" s="254" t="s">
        <v>352</v>
      </c>
      <c r="H83" s="255"/>
      <c r="I83" s="255"/>
      <c r="J83" s="254" t="s">
        <v>352</v>
      </c>
      <c r="K83" s="254" t="s">
        <v>353</v>
      </c>
      <c r="L83" s="254" t="s">
        <v>354</v>
      </c>
      <c r="M83" s="254" t="s">
        <v>355</v>
      </c>
      <c r="N83" s="254" t="s">
        <v>620</v>
      </c>
      <c r="O83" s="256">
        <v>46217.35833333333</v>
      </c>
      <c r="P83" s="256" t="str">
        <f>IFERROR(__xludf.DUMMYFUNCTION("IFERROR(
  TEXT(
    DATE(
      INDEX(SPLIT(O83,"" ""),3),
      VLOOKUP(INDEX(SPLIT(O83,"" ""),1),{""jan."",1;""Feb"",2;""mar."",3;""Apr"",4;""May"",5;""jun."",6;""jul."",7;""Aug"",8;""sep"",9;""Oct"",10;""nov."",11;""Dec"",12},2,FALSE),
      INDEX(SPL"&amp;"IT(O83,"" ""),2)
    ),
    ""dd/mm/yyyy""
  ),
"""")"),"14/07/2026")</f>
        <v>14/07/2026</v>
      </c>
      <c r="Q83" s="254"/>
      <c r="R83" s="254"/>
      <c r="S83" s="254"/>
      <c r="T83" s="255"/>
    </row>
    <row r="84">
      <c r="A84" s="253" t="s">
        <v>621</v>
      </c>
      <c r="B84" s="253" t="s">
        <v>622</v>
      </c>
      <c r="C84" s="254" t="s">
        <v>350</v>
      </c>
      <c r="D84" s="254" t="s">
        <v>351</v>
      </c>
      <c r="E84" s="255"/>
      <c r="F84" s="254" t="s">
        <v>111</v>
      </c>
      <c r="G84" s="254" t="s">
        <v>352</v>
      </c>
      <c r="H84" s="255"/>
      <c r="I84" s="255"/>
      <c r="J84" s="254" t="s">
        <v>352</v>
      </c>
      <c r="K84" s="254" t="s">
        <v>353</v>
      </c>
      <c r="L84" s="254" t="s">
        <v>354</v>
      </c>
      <c r="M84" s="254" t="s">
        <v>355</v>
      </c>
      <c r="N84" s="254" t="s">
        <v>623</v>
      </c>
      <c r="O84" s="256">
        <v>46202.90069444444</v>
      </c>
      <c r="P84" s="256" t="str">
        <f>IFERROR(__xludf.DUMMYFUNCTION("IFERROR(
  TEXT(
    DATE(
      INDEX(SPLIT(O84,"" ""),3),
      VLOOKUP(INDEX(SPLIT(O84,"" ""),1),{""jan."",1;""Feb"",2;""mar."",3;""Apr"",4;""May"",5;""jun."",6;""jul."",7;""Aug"",8;""sep"",9;""Oct"",10;""nov."",11;""Dec"",12},2,FALSE),
      INDEX(SPL"&amp;"IT(O84,"" ""),2)
    ),
    ""dd/mm/yyyy""
  ),
"""")"),"29/06/2026")</f>
        <v>29/06/2026</v>
      </c>
      <c r="Q84" s="254"/>
      <c r="R84" s="254"/>
      <c r="S84" s="254"/>
      <c r="T84" s="255"/>
    </row>
    <row r="85">
      <c r="A85" s="253" t="s">
        <v>624</v>
      </c>
      <c r="B85" s="253" t="s">
        <v>625</v>
      </c>
      <c r="C85" s="254" t="s">
        <v>350</v>
      </c>
      <c r="D85" s="254" t="s">
        <v>351</v>
      </c>
      <c r="E85" s="255"/>
      <c r="F85" s="254" t="s">
        <v>95</v>
      </c>
      <c r="G85" s="254" t="s">
        <v>352</v>
      </c>
      <c r="H85" s="255"/>
      <c r="I85" s="255"/>
      <c r="J85" s="254" t="s">
        <v>352</v>
      </c>
      <c r="K85" s="254" t="s">
        <v>353</v>
      </c>
      <c r="L85" s="254" t="s">
        <v>354</v>
      </c>
      <c r="M85" s="254" t="s">
        <v>355</v>
      </c>
      <c r="N85" s="254" t="s">
        <v>626</v>
      </c>
      <c r="O85" s="256">
        <v>46210.71319444444</v>
      </c>
      <c r="P85" s="256" t="str">
        <f>IFERROR(__xludf.DUMMYFUNCTION("IFERROR(
  TEXT(
    DATE(
      INDEX(SPLIT(O85,"" ""),3),
      VLOOKUP(INDEX(SPLIT(O85,"" ""),1),{""jan."",1;""Feb"",2;""mar."",3;""Apr"",4;""May"",5;""jun."",6;""jul."",7;""Aug"",8;""sep"",9;""Oct"",10;""nov."",11;""Dec"",12},2,FALSE),
      INDEX(SPL"&amp;"IT(O85,"" ""),2)
    ),
    ""dd/mm/yyyy""
  ),
"""")"),"07/07/2026")</f>
        <v>07/07/2026</v>
      </c>
      <c r="Q85" s="254"/>
      <c r="R85" s="254"/>
      <c r="S85" s="254"/>
      <c r="T85" s="255"/>
    </row>
    <row r="86">
      <c r="A86" s="253" t="s">
        <v>627</v>
      </c>
      <c r="B86" s="253" t="s">
        <v>628</v>
      </c>
      <c r="C86" s="257"/>
      <c r="D86" s="257"/>
      <c r="E86" s="255"/>
      <c r="F86" s="254" t="s">
        <v>95</v>
      </c>
      <c r="G86" s="254" t="s">
        <v>352</v>
      </c>
      <c r="H86" s="255"/>
      <c r="I86" s="255"/>
      <c r="J86" s="254" t="s">
        <v>352</v>
      </c>
      <c r="K86" s="254" t="s">
        <v>353</v>
      </c>
      <c r="L86" s="254" t="s">
        <v>354</v>
      </c>
      <c r="M86" s="254" t="s">
        <v>355</v>
      </c>
      <c r="N86" s="254" t="s">
        <v>629</v>
      </c>
      <c r="O86" s="256">
        <v>46215.96111111111</v>
      </c>
      <c r="P86" s="256" t="str">
        <f>IFERROR(__xludf.DUMMYFUNCTION("IFERROR(
  TEXT(
    DATE(
      INDEX(SPLIT(O86,"" ""),3),
      VLOOKUP(INDEX(SPLIT(O86,"" ""),1),{""jan."",1;""Feb"",2;""mar."",3;""Apr"",4;""May"",5;""jun."",6;""jul."",7;""Aug"",8;""sep"",9;""Oct"",10;""nov."",11;""Dec"",12},2,FALSE),
      INDEX(SPL"&amp;"IT(O86,"" ""),2)
    ),
    ""dd/mm/yyyy""
  ),
"""")"),"12/07/2026")</f>
        <v>12/07/2026</v>
      </c>
      <c r="Q86" s="254"/>
      <c r="R86" s="254"/>
      <c r="S86" s="254"/>
      <c r="T86" s="255"/>
    </row>
    <row r="87">
      <c r="A87" s="253" t="s">
        <v>630</v>
      </c>
      <c r="B87" s="253" t="s">
        <v>631</v>
      </c>
      <c r="C87" s="257"/>
      <c r="D87" s="257"/>
      <c r="E87" s="255"/>
      <c r="F87" s="254" t="s">
        <v>118</v>
      </c>
      <c r="G87" s="254" t="s">
        <v>352</v>
      </c>
      <c r="H87" s="255"/>
      <c r="I87" s="255"/>
      <c r="J87" s="254" t="s">
        <v>352</v>
      </c>
      <c r="K87" s="254" t="s">
        <v>353</v>
      </c>
      <c r="L87" s="254" t="s">
        <v>354</v>
      </c>
      <c r="M87" s="254" t="s">
        <v>355</v>
      </c>
      <c r="N87" s="254" t="s">
        <v>632</v>
      </c>
      <c r="O87" s="254" t="s">
        <v>533</v>
      </c>
      <c r="P87" s="256" t="str">
        <f>IFERROR(__xludf.DUMMYFUNCTION("IFERROR(
  TEXT(
    DATE(
      INDEX(SPLIT(O87,"" ""),3),
      VLOOKUP(INDEX(SPLIT(O87,"" ""),1),{""jan."",1;""Feb"",2;""mar."",3;""Apr"",4;""May"",5;""jun."",6;""jul."",7;""Aug"",8;""sep"",9;""Oct"",10;""nov."",11;""Dec"",12},2,FALSE),
      INDEX(SPL"&amp;"IT(O87,"" ""),2)
    ),
    ""dd/mm/yyyy""
  ),
"""")"),"15/05/2026")</f>
        <v>15/05/2026</v>
      </c>
    </row>
    <row r="88">
      <c r="A88" s="253" t="s">
        <v>633</v>
      </c>
      <c r="B88" s="253" t="s">
        <v>634</v>
      </c>
      <c r="C88" s="257"/>
      <c r="D88" s="257"/>
      <c r="E88" s="255"/>
      <c r="F88" s="254" t="s">
        <v>95</v>
      </c>
      <c r="G88" s="254" t="s">
        <v>352</v>
      </c>
      <c r="H88" s="255"/>
      <c r="I88" s="255"/>
      <c r="J88" s="254" t="s">
        <v>352</v>
      </c>
      <c r="K88" s="254" t="s">
        <v>353</v>
      </c>
      <c r="L88" s="254" t="s">
        <v>354</v>
      </c>
      <c r="M88" s="254" t="s">
        <v>355</v>
      </c>
      <c r="N88" s="254" t="s">
        <v>635</v>
      </c>
      <c r="O88" s="256">
        <v>46216.52916666667</v>
      </c>
      <c r="P88" s="256" t="str">
        <f>IFERROR(__xludf.DUMMYFUNCTION("IFERROR(
  TEXT(
    DATE(
      INDEX(SPLIT(O88,"" ""),3),
      VLOOKUP(INDEX(SPLIT(O88,"" ""),1),{""jan."",1;""Feb"",2;""mar."",3;""Apr"",4;""May"",5;""jun."",6;""jul."",7;""Aug"",8;""sep"",9;""Oct"",10;""nov."",11;""Dec"",12},2,FALSE),
      INDEX(SPL"&amp;"IT(O88,"" ""),2)
    ),
    ""dd/mm/yyyy""
  ),
"""")"),"13/07/2026")</f>
        <v>13/07/2026</v>
      </c>
    </row>
    <row r="89">
      <c r="A89" s="253" t="s">
        <v>636</v>
      </c>
      <c r="B89" s="253" t="s">
        <v>637</v>
      </c>
      <c r="C89" s="257"/>
      <c r="D89" s="257"/>
      <c r="E89" s="255"/>
      <c r="F89" s="254" t="s">
        <v>111</v>
      </c>
      <c r="G89" s="254" t="s">
        <v>352</v>
      </c>
      <c r="H89" s="255"/>
      <c r="I89" s="255"/>
      <c r="J89" s="254" t="s">
        <v>352</v>
      </c>
      <c r="K89" s="254" t="s">
        <v>353</v>
      </c>
      <c r="L89" s="254" t="s">
        <v>354</v>
      </c>
      <c r="M89" s="254" t="s">
        <v>355</v>
      </c>
      <c r="N89" s="254" t="s">
        <v>638</v>
      </c>
      <c r="O89" s="256">
        <v>46206.70138888889</v>
      </c>
      <c r="P89" s="256" t="str">
        <f>IFERROR(__xludf.DUMMYFUNCTION("IFERROR(
  TEXT(
    DATE(
      INDEX(SPLIT(O89,"" ""),3),
      VLOOKUP(INDEX(SPLIT(O89,"" ""),1),{""jan."",1;""Feb"",2;""mar."",3;""Apr"",4;""May"",5;""jun."",6;""jul."",7;""Aug"",8;""sep"",9;""Oct"",10;""nov."",11;""Dec"",12},2,FALSE),
      INDEX(SPL"&amp;"IT(O89,"" ""),2)
    ),
    ""dd/mm/yyyy""
  ),
"""")"),"03/07/2026")</f>
        <v>03/07/2026</v>
      </c>
    </row>
    <row r="90">
      <c r="A90" s="253" t="s">
        <v>639</v>
      </c>
      <c r="B90" s="253" t="s">
        <v>640</v>
      </c>
      <c r="C90" s="257"/>
      <c r="D90" s="257"/>
      <c r="E90" s="255"/>
      <c r="F90" s="254" t="s">
        <v>95</v>
      </c>
      <c r="G90" s="254" t="s">
        <v>352</v>
      </c>
      <c r="H90" s="255"/>
      <c r="I90" s="255"/>
      <c r="J90" s="254" t="s">
        <v>352</v>
      </c>
      <c r="K90" s="254" t="s">
        <v>353</v>
      </c>
      <c r="L90" s="254" t="s">
        <v>354</v>
      </c>
      <c r="M90" s="254" t="s">
        <v>355</v>
      </c>
      <c r="N90" s="254" t="s">
        <v>641</v>
      </c>
      <c r="O90" s="256">
        <v>46175.61944444444</v>
      </c>
      <c r="P90" s="256" t="str">
        <f>IFERROR(__xludf.DUMMYFUNCTION("IFERROR(
  TEXT(
    DATE(
      INDEX(SPLIT(O90,"" ""),3),
      VLOOKUP(INDEX(SPLIT(O90,"" ""),1),{""jan."",1;""Feb"",2;""mar."",3;""Apr"",4;""May"",5;""jun."",6;""jul."",7;""Aug"",8;""sep"",9;""Oct"",10;""nov."",11;""Dec"",12},2,FALSE),
      INDEX(SPL"&amp;"IT(O90,"" ""),2)
    ),
    ""dd/mm/yyyy""
  ),
"""")"),"02/06/2026")</f>
        <v>02/06/2026</v>
      </c>
    </row>
    <row r="91">
      <c r="A91" s="253" t="s">
        <v>642</v>
      </c>
      <c r="B91" s="253" t="s">
        <v>643</v>
      </c>
      <c r="C91" s="257"/>
      <c r="D91" s="257"/>
      <c r="E91" s="255"/>
      <c r="F91" s="254" t="s">
        <v>130</v>
      </c>
      <c r="G91" s="254" t="s">
        <v>352</v>
      </c>
      <c r="H91" s="255"/>
      <c r="I91" s="255"/>
      <c r="J91" s="254" t="s">
        <v>352</v>
      </c>
      <c r="K91" s="254" t="s">
        <v>353</v>
      </c>
      <c r="L91" s="254" t="s">
        <v>354</v>
      </c>
      <c r="M91" s="254" t="s">
        <v>355</v>
      </c>
      <c r="N91" s="254" t="s">
        <v>644</v>
      </c>
      <c r="O91" s="256">
        <v>46199.731944444444</v>
      </c>
      <c r="P91" s="256" t="str">
        <f>IFERROR(__xludf.DUMMYFUNCTION("IFERROR(
  TEXT(
    DATE(
      INDEX(SPLIT(O91,"" ""),3),
      VLOOKUP(INDEX(SPLIT(O91,"" ""),1),{""jan."",1;""Feb"",2;""mar."",3;""Apr"",4;""May"",5;""jun."",6;""jul."",7;""Aug"",8;""sep"",9;""Oct"",10;""nov."",11;""Dec"",12},2,FALSE),
      INDEX(SPL"&amp;"IT(O91,"" ""),2)
    ),
    ""dd/mm/yyyy""
  ),
"""")"),"26/06/2026")</f>
        <v>26/06/2026</v>
      </c>
    </row>
    <row r="92">
      <c r="A92" s="253" t="s">
        <v>645</v>
      </c>
      <c r="B92" s="253" t="s">
        <v>646</v>
      </c>
      <c r="C92" s="257"/>
      <c r="D92" s="257"/>
      <c r="E92" s="255"/>
      <c r="F92" s="254" t="s">
        <v>134</v>
      </c>
      <c r="G92" s="254" t="s">
        <v>352</v>
      </c>
      <c r="H92" s="255"/>
      <c r="I92" s="255"/>
      <c r="J92" s="254" t="s">
        <v>352</v>
      </c>
      <c r="K92" s="254" t="s">
        <v>353</v>
      </c>
      <c r="L92" s="254" t="s">
        <v>354</v>
      </c>
      <c r="M92" s="254" t="s">
        <v>355</v>
      </c>
      <c r="N92" s="254" t="s">
        <v>647</v>
      </c>
      <c r="O92" s="256">
        <v>46209.825</v>
      </c>
      <c r="P92" s="256" t="str">
        <f>IFERROR(__xludf.DUMMYFUNCTION("IFERROR(
  TEXT(
    DATE(
      INDEX(SPLIT(O92,"" ""),3),
      VLOOKUP(INDEX(SPLIT(O92,"" ""),1),{""jan."",1;""Feb"",2;""mar."",3;""Apr"",4;""May"",5;""jun."",6;""jul."",7;""Aug"",8;""sep"",9;""Oct"",10;""nov."",11;""Dec"",12},2,FALSE),
      INDEX(SPL"&amp;"IT(O92,"" ""),2)
    ),
    ""dd/mm/yyyy""
  ),
"""")"),"06/07/2026")</f>
        <v>06/07/2026</v>
      </c>
    </row>
    <row r="93">
      <c r="A93" s="253" t="s">
        <v>648</v>
      </c>
      <c r="B93" s="253" t="s">
        <v>649</v>
      </c>
      <c r="C93" s="257"/>
      <c r="D93" s="257"/>
      <c r="E93" s="255"/>
      <c r="F93" s="254" t="s">
        <v>118</v>
      </c>
      <c r="G93" s="254" t="s">
        <v>352</v>
      </c>
      <c r="H93" s="255"/>
      <c r="I93" s="255"/>
      <c r="J93" s="254" t="s">
        <v>352</v>
      </c>
      <c r="K93" s="254" t="s">
        <v>353</v>
      </c>
      <c r="L93" s="254" t="s">
        <v>354</v>
      </c>
      <c r="M93" s="254" t="s">
        <v>355</v>
      </c>
      <c r="N93" s="254" t="s">
        <v>650</v>
      </c>
      <c r="O93" s="254" t="s">
        <v>651</v>
      </c>
      <c r="P93" s="256" t="str">
        <f>IFERROR(__xludf.DUMMYFUNCTION("IFERROR(
  TEXT(
    DATE(
      INDEX(SPLIT(O93,"" ""),3),
      VLOOKUP(INDEX(SPLIT(O93,"" ""),1),{""jan."",1;""Feb"",2;""mar."",3;""Apr"",4;""May"",5;""jun."",6;""jul."",7;""Aug"",8;""sep"",9;""Oct"",10;""nov."",11;""Dec"",12},2,FALSE),
      INDEX(SPL"&amp;"IT(O93,"" ""),2)
    ),
    ""dd/mm/yyyy""
  ),
"""")"),"18/05/2026")</f>
        <v>18/05/2026</v>
      </c>
    </row>
    <row r="94">
      <c r="A94" s="253" t="s">
        <v>652</v>
      </c>
      <c r="B94" s="253" t="s">
        <v>653</v>
      </c>
      <c r="C94" s="257"/>
      <c r="D94" s="257"/>
      <c r="E94" s="255"/>
      <c r="F94" s="254" t="s">
        <v>134</v>
      </c>
      <c r="G94" s="254" t="s">
        <v>352</v>
      </c>
      <c r="H94" s="255"/>
      <c r="I94" s="255"/>
      <c r="J94" s="254" t="s">
        <v>352</v>
      </c>
      <c r="K94" s="254" t="s">
        <v>353</v>
      </c>
      <c r="L94" s="254" t="s">
        <v>354</v>
      </c>
      <c r="M94" s="254" t="s">
        <v>355</v>
      </c>
      <c r="N94" s="254" t="s">
        <v>654</v>
      </c>
      <c r="O94" s="256">
        <v>46216.69930555556</v>
      </c>
      <c r="P94" s="256" t="str">
        <f>IFERROR(__xludf.DUMMYFUNCTION("IFERROR(
  TEXT(
    DATE(
      INDEX(SPLIT(O94,"" ""),3),
      VLOOKUP(INDEX(SPLIT(O94,"" ""),1),{""jan."",1;""Feb"",2;""mar."",3;""Apr"",4;""May"",5;""jun."",6;""jul."",7;""Aug"",8;""sep"",9;""Oct"",10;""nov."",11;""Dec"",12},2,FALSE),
      INDEX(SPL"&amp;"IT(O94,"" ""),2)
    ),
    ""dd/mm/yyyy""
  ),
"""")"),"13/07/2026")</f>
        <v>13/07/2026</v>
      </c>
    </row>
    <row r="95">
      <c r="A95" s="253" t="s">
        <v>655</v>
      </c>
      <c r="B95" s="253" t="s">
        <v>656</v>
      </c>
      <c r="C95" s="257"/>
      <c r="D95" s="257"/>
      <c r="E95" s="255"/>
      <c r="F95" s="254" t="s">
        <v>95</v>
      </c>
      <c r="G95" s="254" t="s">
        <v>352</v>
      </c>
      <c r="H95" s="255"/>
      <c r="I95" s="255"/>
      <c r="J95" s="254" t="s">
        <v>352</v>
      </c>
      <c r="K95" s="254" t="s">
        <v>353</v>
      </c>
      <c r="L95" s="254" t="s">
        <v>354</v>
      </c>
      <c r="M95" s="254" t="s">
        <v>355</v>
      </c>
      <c r="N95" s="254" t="s">
        <v>629</v>
      </c>
      <c r="O95" s="256">
        <v>46206.584027777775</v>
      </c>
      <c r="P95" s="256" t="str">
        <f>IFERROR(__xludf.DUMMYFUNCTION("IFERROR(
  TEXT(
    DATE(
      INDEX(SPLIT(O95,"" ""),3),
      VLOOKUP(INDEX(SPLIT(O95,"" ""),1),{""jan."",1;""Feb"",2;""mar."",3;""Apr"",4;""May"",5;""jun."",6;""jul."",7;""Aug"",8;""sep"",9;""Oct"",10;""nov."",11;""Dec"",12},2,FALSE),
      INDEX(SPL"&amp;"IT(O95,"" ""),2)
    ),
    ""dd/mm/yyyy""
  ),
"""")"),"03/07/2026")</f>
        <v>03/07/2026</v>
      </c>
    </row>
    <row r="96">
      <c r="A96" s="253" t="s">
        <v>657</v>
      </c>
      <c r="B96" s="253" t="s">
        <v>658</v>
      </c>
      <c r="C96" s="257"/>
      <c r="D96" s="257"/>
      <c r="E96" s="255"/>
      <c r="F96" s="254" t="s">
        <v>111</v>
      </c>
      <c r="G96" s="254" t="s">
        <v>352</v>
      </c>
      <c r="H96" s="255"/>
      <c r="I96" s="255"/>
      <c r="J96" s="254" t="s">
        <v>352</v>
      </c>
      <c r="K96" s="254" t="s">
        <v>353</v>
      </c>
      <c r="L96" s="254" t="s">
        <v>354</v>
      </c>
      <c r="M96" s="254" t="s">
        <v>355</v>
      </c>
      <c r="N96" s="254" t="s">
        <v>659</v>
      </c>
      <c r="O96" s="256">
        <v>46215.61944444444</v>
      </c>
      <c r="P96" s="256" t="str">
        <f>IFERROR(__xludf.DUMMYFUNCTION("IFERROR(
  TEXT(
    DATE(
      INDEX(SPLIT(O96,"" ""),3),
      VLOOKUP(INDEX(SPLIT(O96,"" ""),1),{""jan."",1;""Feb"",2;""mar."",3;""Apr"",4;""May"",5;""jun."",6;""jul."",7;""Aug"",8;""sep"",9;""Oct"",10;""nov."",11;""Dec"",12},2,FALSE),
      INDEX(SPL"&amp;"IT(O96,"" ""),2)
    ),
    ""dd/mm/yyyy""
  ),
"""")"),"12/07/2026")</f>
        <v>12/07/2026</v>
      </c>
    </row>
    <row r="97">
      <c r="A97" s="253" t="s">
        <v>660</v>
      </c>
      <c r="B97" s="253" t="s">
        <v>661</v>
      </c>
      <c r="C97" s="257"/>
      <c r="D97" s="257"/>
      <c r="E97" s="255"/>
      <c r="F97" s="254" t="s">
        <v>118</v>
      </c>
      <c r="G97" s="254" t="s">
        <v>352</v>
      </c>
      <c r="H97" s="255"/>
      <c r="I97" s="255"/>
      <c r="J97" s="254" t="s">
        <v>352</v>
      </c>
      <c r="K97" s="254" t="s">
        <v>353</v>
      </c>
      <c r="L97" s="254" t="s">
        <v>354</v>
      </c>
      <c r="M97" s="254" t="s">
        <v>355</v>
      </c>
      <c r="N97" s="254" t="s">
        <v>662</v>
      </c>
      <c r="O97" s="254" t="s">
        <v>533</v>
      </c>
      <c r="P97" s="256" t="str">
        <f>IFERROR(__xludf.DUMMYFUNCTION("IFERROR(
  TEXT(
    DATE(
      INDEX(SPLIT(O97,"" ""),3),
      VLOOKUP(INDEX(SPLIT(O97,"" ""),1),{""jan."",1;""Feb"",2;""mar."",3;""Apr"",4;""May"",5;""jun."",6;""jul."",7;""Aug"",8;""sep"",9;""Oct"",10;""nov."",11;""Dec"",12},2,FALSE),
      INDEX(SPL"&amp;"IT(O97,"" ""),2)
    ),
    ""dd/mm/yyyy""
  ),
"""")"),"15/05/2026")</f>
        <v>15/05/2026</v>
      </c>
    </row>
    <row r="98">
      <c r="A98" s="253" t="s">
        <v>663</v>
      </c>
      <c r="B98" s="253" t="s">
        <v>664</v>
      </c>
      <c r="C98" s="257"/>
      <c r="D98" s="257"/>
      <c r="E98" s="255"/>
      <c r="F98" s="254" t="s">
        <v>95</v>
      </c>
      <c r="G98" s="254" t="s">
        <v>352</v>
      </c>
      <c r="H98" s="255"/>
      <c r="I98" s="255"/>
      <c r="J98" s="254" t="s">
        <v>352</v>
      </c>
      <c r="K98" s="254" t="s">
        <v>353</v>
      </c>
      <c r="L98" s="254" t="s">
        <v>354</v>
      </c>
      <c r="M98" s="254" t="s">
        <v>355</v>
      </c>
      <c r="N98" s="254" t="s">
        <v>665</v>
      </c>
      <c r="O98" s="256">
        <v>46209.561111111114</v>
      </c>
      <c r="P98" s="256" t="str">
        <f>IFERROR(__xludf.DUMMYFUNCTION("IFERROR(
  TEXT(
    DATE(
      INDEX(SPLIT(O98,"" ""),3),
      VLOOKUP(INDEX(SPLIT(O98,"" ""),1),{""jan."",1;""Feb"",2;""mar."",3;""Apr"",4;""May"",5;""jun."",6;""jul."",7;""Aug"",8;""sep"",9;""Oct"",10;""nov."",11;""Dec"",12},2,FALSE),
      INDEX(SPL"&amp;"IT(O98,"" ""),2)
    ),
    ""dd/mm/yyyy""
  ),
"""")"),"06/07/2026")</f>
        <v>06/07/2026</v>
      </c>
    </row>
    <row r="99">
      <c r="A99" s="253" t="s">
        <v>666</v>
      </c>
      <c r="B99" s="253" t="s">
        <v>667</v>
      </c>
      <c r="C99" s="257"/>
      <c r="D99" s="257"/>
      <c r="E99" s="255"/>
      <c r="F99" s="254" t="s">
        <v>130</v>
      </c>
      <c r="G99" s="254" t="s">
        <v>352</v>
      </c>
      <c r="H99" s="255"/>
      <c r="I99" s="255"/>
      <c r="J99" s="254" t="s">
        <v>352</v>
      </c>
      <c r="K99" s="254" t="s">
        <v>353</v>
      </c>
      <c r="L99" s="254" t="s">
        <v>354</v>
      </c>
      <c r="M99" s="254" t="s">
        <v>355</v>
      </c>
      <c r="N99" s="254" t="s">
        <v>421</v>
      </c>
      <c r="O99" s="256">
        <v>46213.478472222225</v>
      </c>
      <c r="P99" s="256" t="str">
        <f>IFERROR(__xludf.DUMMYFUNCTION("IFERROR(
  TEXT(
    DATE(
      INDEX(SPLIT(O99,"" ""),3),
      VLOOKUP(INDEX(SPLIT(O99,"" ""),1),{""jan."",1;""Feb"",2;""mar."",3;""Apr"",4;""May"",5;""jun."",6;""jul."",7;""Aug"",8;""sep"",9;""Oct"",10;""nov."",11;""Dec"",12},2,FALSE),
      INDEX(SPL"&amp;"IT(O99,"" ""),2)
    ),
    ""dd/mm/yyyy""
  ),
"""")"),"10/07/2026")</f>
        <v>10/07/2026</v>
      </c>
    </row>
    <row r="100">
      <c r="A100" s="253" t="s">
        <v>668</v>
      </c>
      <c r="B100" s="253" t="s">
        <v>669</v>
      </c>
      <c r="C100" s="257"/>
      <c r="D100" s="257"/>
      <c r="E100" s="255"/>
      <c r="F100" s="254" t="s">
        <v>130</v>
      </c>
      <c r="G100" s="254" t="s">
        <v>352</v>
      </c>
      <c r="H100" s="255"/>
      <c r="I100" s="255"/>
      <c r="J100" s="254" t="s">
        <v>352</v>
      </c>
      <c r="K100" s="254" t="s">
        <v>353</v>
      </c>
      <c r="L100" s="254" t="s">
        <v>354</v>
      </c>
      <c r="M100" s="254" t="s">
        <v>355</v>
      </c>
      <c r="N100" s="254" t="s">
        <v>670</v>
      </c>
      <c r="O100" s="256">
        <v>46198.81597222222</v>
      </c>
      <c r="P100" s="256" t="str">
        <f>IFERROR(__xludf.DUMMYFUNCTION("IFERROR(
  TEXT(
    DATE(
      INDEX(SPLIT(O100,"" ""),3),
      VLOOKUP(INDEX(SPLIT(O100,"" ""),1),{""jan."",1;""Feb"",2;""mar."",3;""Apr"",4;""May"",5;""jun."",6;""jul."",7;""Aug"",8;""sep"",9;""Oct"",10;""nov."",11;""Dec"",12},2,FALSE),
      INDEX(S"&amp;"PLIT(O100,"" ""),2)
    ),
    ""dd/mm/yyyy""
  ),
"""")"),"25/06/2026")</f>
        <v>25/06/2026</v>
      </c>
    </row>
    <row r="101">
      <c r="A101" s="253" t="s">
        <v>671</v>
      </c>
      <c r="B101" s="253" t="s">
        <v>672</v>
      </c>
      <c r="C101" s="257"/>
      <c r="D101" s="257"/>
      <c r="E101" s="255"/>
      <c r="F101" s="254" t="s">
        <v>130</v>
      </c>
      <c r="G101" s="254" t="s">
        <v>352</v>
      </c>
      <c r="H101" s="255"/>
      <c r="I101" s="255"/>
      <c r="J101" s="254" t="s">
        <v>352</v>
      </c>
      <c r="K101" s="254" t="s">
        <v>353</v>
      </c>
      <c r="L101" s="254" t="s">
        <v>354</v>
      </c>
      <c r="M101" s="254" t="s">
        <v>355</v>
      </c>
      <c r="N101" s="254" t="s">
        <v>673</v>
      </c>
      <c r="O101" s="256">
        <v>46216.666666666664</v>
      </c>
      <c r="P101" s="256" t="str">
        <f>IFERROR(__xludf.DUMMYFUNCTION("IFERROR(
  TEXT(
    DATE(
      INDEX(SPLIT(O101,"" ""),3),
      VLOOKUP(INDEX(SPLIT(O101,"" ""),1),{""jan."",1;""Feb"",2;""mar."",3;""Apr"",4;""May"",5;""jun."",6;""jul."",7;""Aug"",8;""sep"",9;""Oct"",10;""nov."",11;""Dec"",12},2,FALSE),
      INDEX(S"&amp;"PLIT(O101,"" ""),2)
    ),
    ""dd/mm/yyyy""
  ),
"""")"),"13/07/2026")</f>
        <v>13/07/2026</v>
      </c>
    </row>
    <row r="102">
      <c r="A102" s="253" t="s">
        <v>674</v>
      </c>
      <c r="B102" s="253" t="s">
        <v>675</v>
      </c>
      <c r="C102" s="257"/>
      <c r="D102" s="257"/>
      <c r="E102" s="255"/>
      <c r="F102" s="254" t="s">
        <v>111</v>
      </c>
      <c r="G102" s="254" t="s">
        <v>352</v>
      </c>
      <c r="H102" s="255"/>
      <c r="I102" s="255"/>
      <c r="J102" s="254" t="s">
        <v>352</v>
      </c>
      <c r="K102" s="254" t="s">
        <v>353</v>
      </c>
      <c r="L102" s="254" t="s">
        <v>354</v>
      </c>
      <c r="M102" s="254" t="s">
        <v>355</v>
      </c>
      <c r="N102" s="254" t="s">
        <v>629</v>
      </c>
      <c r="O102" s="256">
        <v>46211.575694444444</v>
      </c>
      <c r="P102" s="256" t="str">
        <f>IFERROR(__xludf.DUMMYFUNCTION("IFERROR(
  TEXT(
    DATE(
      INDEX(SPLIT(O102,"" ""),3),
      VLOOKUP(INDEX(SPLIT(O102,"" ""),1),{""jan."",1;""Feb"",2;""mar."",3;""Apr"",4;""May"",5;""jun."",6;""jul."",7;""Aug"",8;""sep"",9;""Oct"",10;""nov."",11;""Dec"",12},2,FALSE),
      INDEX(S"&amp;"PLIT(O102,"" ""),2)
    ),
    ""dd/mm/yyyy""
  ),
"""")"),"08/07/2026")</f>
        <v>08/07/2026</v>
      </c>
    </row>
    <row r="103">
      <c r="A103" s="253" t="s">
        <v>676</v>
      </c>
      <c r="B103" s="253" t="s">
        <v>677</v>
      </c>
      <c r="C103" s="257"/>
      <c r="D103" s="257"/>
      <c r="E103" s="255"/>
      <c r="F103" s="254" t="s">
        <v>130</v>
      </c>
      <c r="G103" s="254" t="s">
        <v>352</v>
      </c>
      <c r="H103" s="255"/>
      <c r="I103" s="255"/>
      <c r="J103" s="254" t="s">
        <v>352</v>
      </c>
      <c r="K103" s="254" t="s">
        <v>353</v>
      </c>
      <c r="L103" s="254" t="s">
        <v>354</v>
      </c>
      <c r="M103" s="254" t="s">
        <v>355</v>
      </c>
      <c r="N103" s="254" t="s">
        <v>678</v>
      </c>
      <c r="O103" s="256">
        <v>46216.924305555556</v>
      </c>
      <c r="P103" s="256" t="str">
        <f>IFERROR(__xludf.DUMMYFUNCTION("IFERROR(
  TEXT(
    DATE(
      INDEX(SPLIT(O103,"" ""),3),
      VLOOKUP(INDEX(SPLIT(O103,"" ""),1),{""jan."",1;""Feb"",2;""mar."",3;""Apr"",4;""May"",5;""jun."",6;""jul."",7;""Aug"",8;""sep"",9;""Oct"",10;""nov."",11;""Dec"",12},2,FALSE),
      INDEX(S"&amp;"PLIT(O103,"" ""),2)
    ),
    ""dd/mm/yyyy""
  ),
"""")"),"13/07/2026")</f>
        <v>13/07/2026</v>
      </c>
    </row>
    <row r="104">
      <c r="A104" s="253" t="s">
        <v>679</v>
      </c>
      <c r="B104" s="253" t="s">
        <v>680</v>
      </c>
      <c r="C104" s="257"/>
      <c r="D104" s="257"/>
      <c r="E104" s="255"/>
      <c r="F104" s="254" t="s">
        <v>95</v>
      </c>
      <c r="G104" s="254" t="s">
        <v>352</v>
      </c>
      <c r="H104" s="255"/>
      <c r="I104" s="255"/>
      <c r="J104" s="254" t="s">
        <v>352</v>
      </c>
      <c r="K104" s="254" t="s">
        <v>353</v>
      </c>
      <c r="L104" s="254" t="s">
        <v>354</v>
      </c>
      <c r="M104" s="254" t="s">
        <v>355</v>
      </c>
      <c r="N104" s="254" t="s">
        <v>681</v>
      </c>
      <c r="O104" s="256">
        <v>46216.52916666667</v>
      </c>
      <c r="P104" s="256" t="str">
        <f>IFERROR(__xludf.DUMMYFUNCTION("IFERROR(
  TEXT(
    DATE(
      INDEX(SPLIT(O104,"" ""),3),
      VLOOKUP(INDEX(SPLIT(O104,"" ""),1),{""jan."",1;""Feb"",2;""mar."",3;""Apr"",4;""May"",5;""jun."",6;""jul."",7;""Aug"",8;""sep"",9;""Oct"",10;""nov."",11;""Dec"",12},2,FALSE),
      INDEX(S"&amp;"PLIT(O104,"" ""),2)
    ),
    ""dd/mm/yyyy""
  ),
"""")"),"13/07/2026")</f>
        <v>13/07/2026</v>
      </c>
    </row>
    <row r="105">
      <c r="A105" s="253" t="s">
        <v>682</v>
      </c>
      <c r="B105" s="253" t="s">
        <v>683</v>
      </c>
      <c r="C105" s="257"/>
      <c r="D105" s="257"/>
      <c r="E105" s="255"/>
      <c r="F105" s="254" t="s">
        <v>95</v>
      </c>
      <c r="G105" s="254" t="s">
        <v>352</v>
      </c>
      <c r="H105" s="255"/>
      <c r="I105" s="255"/>
      <c r="J105" s="254" t="s">
        <v>352</v>
      </c>
      <c r="K105" s="254" t="s">
        <v>353</v>
      </c>
      <c r="L105" s="254" t="s">
        <v>354</v>
      </c>
      <c r="M105" s="254" t="s">
        <v>355</v>
      </c>
      <c r="N105" s="254" t="s">
        <v>684</v>
      </c>
      <c r="O105" s="256">
        <v>46196.481944444444</v>
      </c>
      <c r="P105" s="256" t="str">
        <f>IFERROR(__xludf.DUMMYFUNCTION("IFERROR(
  TEXT(
    DATE(
      INDEX(SPLIT(O105,"" ""),3),
      VLOOKUP(INDEX(SPLIT(O105,"" ""),1),{""jan."",1;""Feb"",2;""mar."",3;""Apr"",4;""May"",5;""jun."",6;""jul."",7;""Aug"",8;""sep"",9;""Oct"",10;""nov."",11;""Dec"",12},2,FALSE),
      INDEX(S"&amp;"PLIT(O105,"" ""),2)
    ),
    ""dd/mm/yyyy""
  ),
"""")"),"23/06/2026")</f>
        <v>23/06/2026</v>
      </c>
    </row>
    <row r="106">
      <c r="A106" s="253" t="s">
        <v>685</v>
      </c>
      <c r="B106" s="253" t="s">
        <v>686</v>
      </c>
      <c r="C106" s="257"/>
      <c r="D106" s="257"/>
      <c r="E106" s="255"/>
      <c r="F106" s="254" t="s">
        <v>95</v>
      </c>
      <c r="G106" s="254" t="s">
        <v>352</v>
      </c>
      <c r="H106" s="255"/>
      <c r="I106" s="255"/>
      <c r="J106" s="254" t="s">
        <v>352</v>
      </c>
      <c r="K106" s="254" t="s">
        <v>353</v>
      </c>
      <c r="L106" s="254" t="s">
        <v>354</v>
      </c>
      <c r="M106" s="254" t="s">
        <v>355</v>
      </c>
      <c r="N106" s="254" t="s">
        <v>654</v>
      </c>
      <c r="O106" s="256">
        <v>46176.774305555555</v>
      </c>
      <c r="P106" s="256" t="str">
        <f>IFERROR(__xludf.DUMMYFUNCTION("IFERROR(
  TEXT(
    DATE(
      INDEX(SPLIT(O106,"" ""),3),
      VLOOKUP(INDEX(SPLIT(O106,"" ""),1),{""jan."",1;""Feb"",2;""mar."",3;""Apr"",4;""May"",5;""jun."",6;""jul."",7;""Aug"",8;""sep"",9;""Oct"",10;""nov."",11;""Dec"",12},2,FALSE),
      INDEX(S"&amp;"PLIT(O106,"" ""),2)
    ),
    ""dd/mm/yyyy""
  ),
"""")"),"03/06/2026")</f>
        <v>03/06/2026</v>
      </c>
    </row>
    <row r="107">
      <c r="A107" s="253" t="s">
        <v>687</v>
      </c>
      <c r="B107" s="253" t="s">
        <v>688</v>
      </c>
      <c r="C107" s="257"/>
      <c r="D107" s="257"/>
      <c r="E107" s="255"/>
      <c r="F107" s="254" t="s">
        <v>95</v>
      </c>
      <c r="G107" s="254" t="s">
        <v>352</v>
      </c>
      <c r="H107" s="255"/>
      <c r="I107" s="255"/>
      <c r="J107" s="254" t="s">
        <v>352</v>
      </c>
      <c r="K107" s="254" t="s">
        <v>353</v>
      </c>
      <c r="L107" s="254" t="s">
        <v>354</v>
      </c>
      <c r="M107" s="254" t="s">
        <v>355</v>
      </c>
      <c r="N107" s="254" t="s">
        <v>689</v>
      </c>
      <c r="O107" s="256">
        <v>46174.67013888889</v>
      </c>
      <c r="P107" s="256" t="str">
        <f>IFERROR(__xludf.DUMMYFUNCTION("IFERROR(
  TEXT(
    DATE(
      INDEX(SPLIT(O107,"" ""),3),
      VLOOKUP(INDEX(SPLIT(O107,"" ""),1),{""jan."",1;""Feb"",2;""mar."",3;""Apr"",4;""May"",5;""jun."",6;""jul."",7;""Aug"",8;""sep"",9;""Oct"",10;""nov."",11;""Dec"",12},2,FALSE),
      INDEX(S"&amp;"PLIT(O107,"" ""),2)
    ),
    ""dd/mm/yyyy""
  ),
"""")"),"01/06/2026")</f>
        <v>01/06/2026</v>
      </c>
    </row>
    <row r="108">
      <c r="A108" s="253" t="s">
        <v>690</v>
      </c>
      <c r="B108" s="253" t="s">
        <v>691</v>
      </c>
      <c r="C108" s="257"/>
      <c r="D108" s="257"/>
      <c r="E108" s="255"/>
      <c r="F108" s="254" t="s">
        <v>95</v>
      </c>
      <c r="G108" s="254" t="s">
        <v>352</v>
      </c>
      <c r="H108" s="255"/>
      <c r="I108" s="255"/>
      <c r="J108" s="254" t="s">
        <v>352</v>
      </c>
      <c r="K108" s="254" t="s">
        <v>353</v>
      </c>
      <c r="L108" s="254" t="s">
        <v>354</v>
      </c>
      <c r="M108" s="254" t="s">
        <v>355</v>
      </c>
      <c r="N108" s="254" t="s">
        <v>692</v>
      </c>
      <c r="O108" s="256">
        <v>46216.64861111111</v>
      </c>
      <c r="P108" s="256" t="str">
        <f>IFERROR(__xludf.DUMMYFUNCTION("IFERROR(
  TEXT(
    DATE(
      INDEX(SPLIT(O108,"" ""),3),
      VLOOKUP(INDEX(SPLIT(O108,"" ""),1),{""jan."",1;""Feb"",2;""mar."",3;""Apr"",4;""May"",5;""jun."",6;""jul."",7;""Aug"",8;""sep"",9;""Oct"",10;""nov."",11;""Dec"",12},2,FALSE),
      INDEX(S"&amp;"PLIT(O108,"" ""),2)
    ),
    ""dd/mm/yyyy""
  ),
"""")"),"13/07/2026")</f>
        <v>13/07/2026</v>
      </c>
    </row>
    <row r="109">
      <c r="A109" s="253" t="s">
        <v>693</v>
      </c>
      <c r="B109" s="253" t="s">
        <v>694</v>
      </c>
      <c r="C109" s="257"/>
      <c r="D109" s="257"/>
      <c r="E109" s="255"/>
      <c r="F109" s="254" t="s">
        <v>130</v>
      </c>
      <c r="G109" s="254" t="s">
        <v>352</v>
      </c>
      <c r="H109" s="255"/>
      <c r="I109" s="255"/>
      <c r="J109" s="254" t="s">
        <v>352</v>
      </c>
      <c r="K109" s="254" t="s">
        <v>353</v>
      </c>
      <c r="L109" s="254" t="s">
        <v>354</v>
      </c>
      <c r="M109" s="254" t="s">
        <v>355</v>
      </c>
      <c r="N109" s="254" t="s">
        <v>695</v>
      </c>
      <c r="O109" s="256">
        <v>46211.70138888889</v>
      </c>
      <c r="P109" s="256" t="str">
        <f>IFERROR(__xludf.DUMMYFUNCTION("IFERROR(
  TEXT(
    DATE(
      INDEX(SPLIT(O109,"" ""),3),
      VLOOKUP(INDEX(SPLIT(O109,"" ""),1),{""jan."",1;""Feb"",2;""mar."",3;""Apr"",4;""May"",5;""jun."",6;""jul."",7;""Aug"",8;""sep"",9;""Oct"",10;""nov."",11;""Dec"",12},2,FALSE),
      INDEX(S"&amp;"PLIT(O109,"" ""),2)
    ),
    ""dd/mm/yyyy""
  ),
"""")"),"08/07/2026")</f>
        <v>08/07/2026</v>
      </c>
    </row>
    <row r="110">
      <c r="A110" s="253" t="s">
        <v>696</v>
      </c>
      <c r="B110" s="253" t="s">
        <v>697</v>
      </c>
      <c r="C110" s="257"/>
      <c r="D110" s="257"/>
      <c r="E110" s="255"/>
      <c r="F110" s="254" t="s">
        <v>130</v>
      </c>
      <c r="G110" s="254" t="s">
        <v>352</v>
      </c>
      <c r="H110" s="255"/>
      <c r="I110" s="255"/>
      <c r="J110" s="254" t="s">
        <v>352</v>
      </c>
      <c r="K110" s="254" t="s">
        <v>353</v>
      </c>
      <c r="L110" s="254" t="s">
        <v>354</v>
      </c>
      <c r="M110" s="254" t="s">
        <v>355</v>
      </c>
      <c r="N110" s="254" t="s">
        <v>698</v>
      </c>
      <c r="O110" s="256">
        <v>46213.66388888889</v>
      </c>
      <c r="P110" s="256" t="str">
        <f>IFERROR(__xludf.DUMMYFUNCTION("IFERROR(
  TEXT(
    DATE(
      INDEX(SPLIT(O110,"" ""),3),
      VLOOKUP(INDEX(SPLIT(O110,"" ""),1),{""jan."",1;""Feb"",2;""mar."",3;""Apr"",4;""May"",5;""jun."",6;""jul."",7;""Aug"",8;""sep"",9;""Oct"",10;""nov."",11;""Dec"",12},2,FALSE),
      INDEX(S"&amp;"PLIT(O110,"" ""),2)
    ),
    ""dd/mm/yyyy""
  ),
"""")"),"10/07/2026")</f>
        <v>10/07/2026</v>
      </c>
    </row>
    <row r="111">
      <c r="A111" s="253" t="s">
        <v>699</v>
      </c>
      <c r="B111" s="253" t="s">
        <v>700</v>
      </c>
      <c r="C111" s="257"/>
      <c r="D111" s="257"/>
      <c r="E111" s="255"/>
      <c r="F111" s="254" t="s">
        <v>111</v>
      </c>
      <c r="G111" s="254" t="s">
        <v>352</v>
      </c>
      <c r="H111" s="255"/>
      <c r="I111" s="255"/>
      <c r="J111" s="254" t="s">
        <v>352</v>
      </c>
      <c r="K111" s="254" t="s">
        <v>353</v>
      </c>
      <c r="L111" s="254" t="s">
        <v>354</v>
      </c>
      <c r="M111" s="254" t="s">
        <v>355</v>
      </c>
      <c r="N111" s="254" t="s">
        <v>701</v>
      </c>
      <c r="O111" s="256">
        <v>46206.67013888889</v>
      </c>
      <c r="P111" s="256" t="str">
        <f>IFERROR(__xludf.DUMMYFUNCTION("IFERROR(
  TEXT(
    DATE(
      INDEX(SPLIT(O111,"" ""),3),
      VLOOKUP(INDEX(SPLIT(O111,"" ""),1),{""jan."",1;""Feb"",2;""mar."",3;""Apr"",4;""May"",5;""jun."",6;""jul."",7;""Aug"",8;""sep"",9;""Oct"",10;""nov."",11;""Dec"",12},2,FALSE),
      INDEX(S"&amp;"PLIT(O111,"" ""),2)
    ),
    ""dd/mm/yyyy""
  ),
"""")"),"03/07/2026")</f>
        <v>03/07/2026</v>
      </c>
    </row>
    <row r="112">
      <c r="A112" s="253" t="s">
        <v>702</v>
      </c>
      <c r="B112" s="253" t="s">
        <v>703</v>
      </c>
      <c r="C112" s="257"/>
      <c r="D112" s="257"/>
      <c r="E112" s="255"/>
      <c r="F112" s="254" t="s">
        <v>111</v>
      </c>
      <c r="G112" s="254" t="s">
        <v>352</v>
      </c>
      <c r="H112" s="255"/>
      <c r="I112" s="255"/>
      <c r="J112" s="254" t="s">
        <v>352</v>
      </c>
      <c r="K112" s="254" t="s">
        <v>353</v>
      </c>
      <c r="L112" s="254" t="s">
        <v>354</v>
      </c>
      <c r="M112" s="254" t="s">
        <v>355</v>
      </c>
      <c r="N112" s="254" t="s">
        <v>704</v>
      </c>
      <c r="O112" s="256">
        <v>46216.52916666667</v>
      </c>
      <c r="P112" s="256" t="str">
        <f>IFERROR(__xludf.DUMMYFUNCTION("IFERROR(
  TEXT(
    DATE(
      INDEX(SPLIT(O112,"" ""),3),
      VLOOKUP(INDEX(SPLIT(O112,"" ""),1),{""jan."",1;""Feb"",2;""mar."",3;""Apr"",4;""May"",5;""jun."",6;""jul."",7;""Aug"",8;""sep"",9;""Oct"",10;""nov."",11;""Dec"",12},2,FALSE),
      INDEX(S"&amp;"PLIT(O112,"" ""),2)
    ),
    ""dd/mm/yyyy""
  ),
"""")"),"13/07/2026")</f>
        <v>13/07/2026</v>
      </c>
    </row>
    <row r="113">
      <c r="A113" s="253" t="s">
        <v>705</v>
      </c>
      <c r="B113" s="253" t="s">
        <v>706</v>
      </c>
      <c r="C113" s="257"/>
      <c r="D113" s="257"/>
      <c r="E113" s="255"/>
      <c r="F113" s="254" t="s">
        <v>111</v>
      </c>
      <c r="G113" s="254" t="s">
        <v>352</v>
      </c>
      <c r="H113" s="255"/>
      <c r="I113" s="255"/>
      <c r="J113" s="254" t="s">
        <v>352</v>
      </c>
      <c r="K113" s="254" t="s">
        <v>353</v>
      </c>
      <c r="L113" s="254" t="s">
        <v>354</v>
      </c>
      <c r="M113" s="254" t="s">
        <v>355</v>
      </c>
      <c r="N113" s="254" t="s">
        <v>707</v>
      </c>
      <c r="O113" s="256">
        <v>46210.396527777775</v>
      </c>
      <c r="P113" s="256" t="str">
        <f>IFERROR(__xludf.DUMMYFUNCTION("IFERROR(
  TEXT(
    DATE(
      INDEX(SPLIT(O113,"" ""),3),
      VLOOKUP(INDEX(SPLIT(O113,"" ""),1),{""jan."",1;""Feb"",2;""mar."",3;""Apr"",4;""May"",5;""jun."",6;""jul."",7;""Aug"",8;""sep"",9;""Oct"",10;""nov."",11;""Dec"",12},2,FALSE),
      INDEX(S"&amp;"PLIT(O113,"" ""),2)
    ),
    ""dd/mm/yyyy""
  ),
"""")"),"07/07/2026")</f>
        <v>07/07/2026</v>
      </c>
    </row>
    <row r="114">
      <c r="A114" s="253" t="s">
        <v>708</v>
      </c>
      <c r="B114" s="253" t="s">
        <v>709</v>
      </c>
      <c r="C114" s="257"/>
      <c r="D114" s="257"/>
      <c r="E114" s="255"/>
      <c r="F114" s="254" t="s">
        <v>111</v>
      </c>
      <c r="G114" s="254" t="s">
        <v>352</v>
      </c>
      <c r="H114" s="255"/>
      <c r="I114" s="255"/>
      <c r="J114" s="254" t="s">
        <v>352</v>
      </c>
      <c r="K114" s="254" t="s">
        <v>353</v>
      </c>
      <c r="L114" s="254" t="s">
        <v>354</v>
      </c>
      <c r="M114" s="254" t="s">
        <v>355</v>
      </c>
      <c r="N114" s="254" t="s">
        <v>710</v>
      </c>
      <c r="O114" s="256">
        <v>46202.89375</v>
      </c>
      <c r="P114" s="256" t="str">
        <f>IFERROR(__xludf.DUMMYFUNCTION("IFERROR(
  TEXT(
    DATE(
      INDEX(SPLIT(O114,"" ""),3),
      VLOOKUP(INDEX(SPLIT(O114,"" ""),1),{""jan."",1;""Feb"",2;""mar."",3;""Apr"",4;""May"",5;""jun."",6;""jul."",7;""Aug"",8;""sep"",9;""Oct"",10;""nov."",11;""Dec"",12},2,FALSE),
      INDEX(S"&amp;"PLIT(O114,"" ""),2)
    ),
    ""dd/mm/yyyy""
  ),
"""")"),"29/06/2026")</f>
        <v>29/06/2026</v>
      </c>
    </row>
    <row r="115">
      <c r="A115" s="253" t="s">
        <v>711</v>
      </c>
      <c r="B115" s="253" t="s">
        <v>712</v>
      </c>
      <c r="C115" s="257"/>
      <c r="D115" s="257"/>
      <c r="E115" s="255"/>
      <c r="F115" s="254" t="s">
        <v>95</v>
      </c>
      <c r="G115" s="254" t="s">
        <v>352</v>
      </c>
      <c r="H115" s="255"/>
      <c r="I115" s="255"/>
      <c r="J115" s="254" t="s">
        <v>352</v>
      </c>
      <c r="K115" s="254" t="s">
        <v>353</v>
      </c>
      <c r="L115" s="254" t="s">
        <v>354</v>
      </c>
      <c r="M115" s="254" t="s">
        <v>355</v>
      </c>
      <c r="N115" s="254" t="s">
        <v>713</v>
      </c>
      <c r="O115" s="256">
        <v>46210.7125</v>
      </c>
      <c r="P115" s="256" t="str">
        <f>IFERROR(__xludf.DUMMYFUNCTION("IFERROR(
  TEXT(
    DATE(
      INDEX(SPLIT(O115,"" ""),3),
      VLOOKUP(INDEX(SPLIT(O115,"" ""),1),{""jan."",1;""Feb"",2;""mar."",3;""Apr"",4;""May"",5;""jun."",6;""jul."",7;""Aug"",8;""sep"",9;""Oct"",10;""nov."",11;""Dec"",12},2,FALSE),
      INDEX(S"&amp;"PLIT(O115,"" ""),2)
    ),
    ""dd/mm/yyyy""
  ),
"""")"),"07/07/2026")</f>
        <v>07/07/2026</v>
      </c>
    </row>
    <row r="116">
      <c r="A116" s="253" t="s">
        <v>714</v>
      </c>
      <c r="B116" s="253" t="s">
        <v>715</v>
      </c>
      <c r="C116" s="254" t="s">
        <v>350</v>
      </c>
      <c r="D116" s="254" t="s">
        <v>351</v>
      </c>
      <c r="E116" s="255"/>
      <c r="F116" s="254" t="s">
        <v>118</v>
      </c>
      <c r="G116" s="254" t="s">
        <v>352</v>
      </c>
      <c r="H116" s="255"/>
      <c r="I116" s="255"/>
      <c r="J116" s="254" t="s">
        <v>352</v>
      </c>
      <c r="K116" s="254" t="s">
        <v>353</v>
      </c>
      <c r="L116" s="254" t="s">
        <v>354</v>
      </c>
      <c r="M116" s="254" t="s">
        <v>355</v>
      </c>
      <c r="N116" s="254" t="s">
        <v>716</v>
      </c>
      <c r="O116" s="254" t="s">
        <v>717</v>
      </c>
      <c r="P116" s="256" t="str">
        <f>IFERROR(__xludf.DUMMYFUNCTION("IFERROR(
  TEXT(
    DATE(
      INDEX(SPLIT(O116,"" ""),3),
      VLOOKUP(INDEX(SPLIT(O116,"" ""),1),{""jan."",1;""Feb"",2;""mar."",3;""Apr"",4;""May"",5;""jun."",6;""jul."",7;""Aug"",8;""sep"",9;""Oct"",10;""nov."",11;""Dec"",12},2,FALSE),
      INDEX(S"&amp;"PLIT(O116,"" ""),2)
    ),
    ""dd/mm/yyyy""
  ),
"""")"),"20/05/2026")</f>
        <v>20/05/2026</v>
      </c>
    </row>
    <row r="117">
      <c r="A117" s="253" t="s">
        <v>718</v>
      </c>
      <c r="B117" s="253" t="s">
        <v>719</v>
      </c>
      <c r="C117" s="254" t="s">
        <v>350</v>
      </c>
      <c r="D117" s="254" t="s">
        <v>351</v>
      </c>
      <c r="E117" s="255"/>
      <c r="F117" s="254" t="s">
        <v>118</v>
      </c>
      <c r="G117" s="254" t="s">
        <v>352</v>
      </c>
      <c r="H117" s="255"/>
      <c r="I117" s="255"/>
      <c r="J117" s="254" t="s">
        <v>352</v>
      </c>
      <c r="K117" s="254" t="s">
        <v>353</v>
      </c>
      <c r="L117" s="254" t="s">
        <v>354</v>
      </c>
      <c r="M117" s="254" t="s">
        <v>355</v>
      </c>
      <c r="N117" s="254" t="s">
        <v>720</v>
      </c>
      <c r="O117" s="254" t="s">
        <v>721</v>
      </c>
      <c r="P117" s="256" t="str">
        <f>IFERROR(__xludf.DUMMYFUNCTION("IFERROR(
  TEXT(
    DATE(
      INDEX(SPLIT(O117,"" ""),3),
      VLOOKUP(INDEX(SPLIT(O117,"" ""),1),{""jan."",1;""Feb"",2;""mar."",3;""Apr"",4;""May"",5;""jun."",6;""jul."",7;""Aug"",8;""sep"",9;""Oct"",10;""nov."",11;""Dec"",12},2,FALSE),
      INDEX(S"&amp;"PLIT(O117,"" ""),2)
    ),
    ""dd/mm/yyyy""
  ),
"""")"),"20/05/2026")</f>
        <v>20/05/2026</v>
      </c>
    </row>
    <row r="118">
      <c r="A118" s="253" t="s">
        <v>722</v>
      </c>
      <c r="B118" s="253" t="s">
        <v>723</v>
      </c>
      <c r="C118" s="254" t="s">
        <v>350</v>
      </c>
      <c r="D118" s="254" t="s">
        <v>351</v>
      </c>
      <c r="E118" s="255"/>
      <c r="F118" s="254" t="s">
        <v>118</v>
      </c>
      <c r="G118" s="254" t="s">
        <v>352</v>
      </c>
      <c r="H118" s="255"/>
      <c r="I118" s="255"/>
      <c r="J118" s="254" t="s">
        <v>352</v>
      </c>
      <c r="K118" s="254" t="s">
        <v>353</v>
      </c>
      <c r="L118" s="254" t="s">
        <v>354</v>
      </c>
      <c r="M118" s="254" t="s">
        <v>355</v>
      </c>
      <c r="N118" s="254" t="s">
        <v>724</v>
      </c>
      <c r="O118" s="254" t="s">
        <v>725</v>
      </c>
      <c r="P118" s="256" t="str">
        <f>IFERROR(__xludf.DUMMYFUNCTION("IFERROR(
  TEXT(
    DATE(
      INDEX(SPLIT(O118,"" ""),3),
      VLOOKUP(INDEX(SPLIT(O118,"" ""),1),{""jan."",1;""Feb"",2;""mar."",3;""Apr"",4;""May"",5;""jun."",6;""jul."",7;""Aug"",8;""sep"",9;""Oct"",10;""nov."",11;""Dec"",12},2,FALSE),
      INDEX(S"&amp;"PLIT(O118,"" ""),2)
    ),
    ""dd/mm/yyyy""
  ),
"""")"),"20/05/2026")</f>
        <v>20/05/2026</v>
      </c>
    </row>
    <row r="119">
      <c r="A119" s="253" t="s">
        <v>726</v>
      </c>
      <c r="B119" s="253" t="s">
        <v>727</v>
      </c>
      <c r="C119" s="254" t="s">
        <v>350</v>
      </c>
      <c r="D119" s="254" t="s">
        <v>351</v>
      </c>
      <c r="E119" s="255"/>
      <c r="F119" s="254" t="s">
        <v>118</v>
      </c>
      <c r="G119" s="254" t="s">
        <v>352</v>
      </c>
      <c r="H119" s="255"/>
      <c r="I119" s="255"/>
      <c r="J119" s="254" t="s">
        <v>352</v>
      </c>
      <c r="K119" s="254" t="s">
        <v>353</v>
      </c>
      <c r="L119" s="254" t="s">
        <v>354</v>
      </c>
      <c r="M119" s="254" t="s">
        <v>355</v>
      </c>
      <c r="N119" s="254" t="s">
        <v>728</v>
      </c>
      <c r="O119" s="254" t="s">
        <v>729</v>
      </c>
      <c r="P119" s="256" t="str">
        <f>IFERROR(__xludf.DUMMYFUNCTION("IFERROR(
  TEXT(
    DATE(
      INDEX(SPLIT(O119,"" ""),3),
      VLOOKUP(INDEX(SPLIT(O119,"" ""),1),{""jan."",1;""Feb"",2;""mar."",3;""Apr"",4;""May"",5;""jun."",6;""jul."",7;""Aug"",8;""sep"",9;""Oct"",10;""nov."",11;""Dec"",12},2,FALSE),
      INDEX(S"&amp;"PLIT(O119,"" ""),2)
    ),
    ""dd/mm/yyyy""
  ),
"""")"),"20/05/2026")</f>
        <v>20/05/2026</v>
      </c>
    </row>
    <row r="120">
      <c r="A120" s="253" t="s">
        <v>730</v>
      </c>
      <c r="B120" s="253" t="s">
        <v>731</v>
      </c>
      <c r="C120" s="254" t="s">
        <v>350</v>
      </c>
      <c r="D120" s="254" t="s">
        <v>351</v>
      </c>
      <c r="E120" s="255"/>
      <c r="F120" s="254" t="s">
        <v>118</v>
      </c>
      <c r="G120" s="254" t="s">
        <v>352</v>
      </c>
      <c r="H120" s="255"/>
      <c r="I120" s="255"/>
      <c r="J120" s="254" t="s">
        <v>352</v>
      </c>
      <c r="K120" s="254" t="s">
        <v>353</v>
      </c>
      <c r="L120" s="254" t="s">
        <v>354</v>
      </c>
      <c r="M120" s="254" t="s">
        <v>355</v>
      </c>
      <c r="N120" s="254" t="s">
        <v>732</v>
      </c>
      <c r="O120" s="254" t="s">
        <v>733</v>
      </c>
      <c r="P120" s="256" t="str">
        <f>IFERROR(__xludf.DUMMYFUNCTION("IFERROR(
  TEXT(
    DATE(
      INDEX(SPLIT(O120,"" ""),3),
      VLOOKUP(INDEX(SPLIT(O120,"" ""),1),{""jan."",1;""Feb"",2;""mar."",3;""Apr"",4;""May"",5;""jun."",6;""jul."",7;""Aug"",8;""sep"",9;""Oct"",10;""nov."",11;""Dec"",12},2,FALSE),
      INDEX(S"&amp;"PLIT(O120,"" ""),2)
    ),
    ""dd/mm/yyyy""
  ),
"""")"),"20/05/2026")</f>
        <v>20/05/2026</v>
      </c>
    </row>
    <row r="121">
      <c r="A121" s="253" t="s">
        <v>734</v>
      </c>
      <c r="B121" s="253" t="s">
        <v>735</v>
      </c>
      <c r="C121" s="254" t="s">
        <v>350</v>
      </c>
      <c r="D121" s="254" t="s">
        <v>351</v>
      </c>
      <c r="E121" s="255"/>
      <c r="F121" s="254" t="s">
        <v>118</v>
      </c>
      <c r="G121" s="254" t="s">
        <v>352</v>
      </c>
      <c r="H121" s="255"/>
      <c r="I121" s="255"/>
      <c r="J121" s="254" t="s">
        <v>352</v>
      </c>
      <c r="K121" s="254" t="s">
        <v>353</v>
      </c>
      <c r="L121" s="254" t="s">
        <v>354</v>
      </c>
      <c r="M121" s="254" t="s">
        <v>355</v>
      </c>
      <c r="N121" s="254" t="s">
        <v>736</v>
      </c>
      <c r="O121" s="254" t="s">
        <v>737</v>
      </c>
      <c r="P121" s="256" t="str">
        <f>IFERROR(__xludf.DUMMYFUNCTION("IFERROR(
  TEXT(
    DATE(
      INDEX(SPLIT(O121,"" ""),3),
      VLOOKUP(INDEX(SPLIT(O121,"" ""),1),{""jan."",1;""Feb"",2;""mar."",3;""Apr"",4;""May"",5;""jun."",6;""jul."",7;""Aug"",8;""sep"",9;""Oct"",10;""nov."",11;""Dec"",12},2,FALSE),
      INDEX(S"&amp;"PLIT(O121,"" ""),2)
    ),
    ""dd/mm/yyyy""
  ),
"""")"),"20/05/2026")</f>
        <v>20/05/2026</v>
      </c>
    </row>
    <row r="122">
      <c r="A122" s="253" t="s">
        <v>738</v>
      </c>
      <c r="B122" s="253" t="s">
        <v>739</v>
      </c>
      <c r="C122" s="254" t="s">
        <v>350</v>
      </c>
      <c r="D122" s="254" t="s">
        <v>351</v>
      </c>
      <c r="E122" s="255"/>
      <c r="F122" s="254" t="s">
        <v>118</v>
      </c>
      <c r="G122" s="254" t="s">
        <v>352</v>
      </c>
      <c r="H122" s="255"/>
      <c r="I122" s="255"/>
      <c r="J122" s="254" t="s">
        <v>352</v>
      </c>
      <c r="K122" s="254" t="s">
        <v>353</v>
      </c>
      <c r="L122" s="254" t="s">
        <v>354</v>
      </c>
      <c r="M122" s="254" t="s">
        <v>355</v>
      </c>
      <c r="N122" s="254" t="s">
        <v>740</v>
      </c>
      <c r="O122" s="254" t="s">
        <v>741</v>
      </c>
      <c r="P122" s="256" t="str">
        <f>IFERROR(__xludf.DUMMYFUNCTION("IFERROR(
  TEXT(
    DATE(
      INDEX(SPLIT(O122,"" ""),3),
      VLOOKUP(INDEX(SPLIT(O122,"" ""),1),{""jan."",1;""Feb"",2;""mar."",3;""Apr"",4;""May"",5;""jun."",6;""jul."",7;""Aug"",8;""sep"",9;""Oct"",10;""nov."",11;""Dec"",12},2,FALSE),
      INDEX(S"&amp;"PLIT(O122,"" ""),2)
    ),
    ""dd/mm/yyyy""
  ),
"""")"),"20/05/2026")</f>
        <v>20/05/2026</v>
      </c>
    </row>
    <row r="123">
      <c r="A123" s="253" t="s">
        <v>742</v>
      </c>
      <c r="B123" s="253" t="s">
        <v>743</v>
      </c>
      <c r="C123" s="254" t="s">
        <v>350</v>
      </c>
      <c r="D123" s="254" t="s">
        <v>351</v>
      </c>
      <c r="E123" s="255"/>
      <c r="F123" s="254" t="s">
        <v>118</v>
      </c>
      <c r="G123" s="254" t="s">
        <v>352</v>
      </c>
      <c r="H123" s="255"/>
      <c r="I123" s="255"/>
      <c r="J123" s="254" t="s">
        <v>352</v>
      </c>
      <c r="K123" s="254" t="s">
        <v>353</v>
      </c>
      <c r="L123" s="254" t="s">
        <v>354</v>
      </c>
      <c r="M123" s="254" t="s">
        <v>355</v>
      </c>
      <c r="N123" s="254" t="s">
        <v>744</v>
      </c>
      <c r="O123" s="254" t="s">
        <v>745</v>
      </c>
      <c r="P123" s="256" t="str">
        <f>IFERROR(__xludf.DUMMYFUNCTION("IFERROR(
  TEXT(
    DATE(
      INDEX(SPLIT(O123,"" ""),3),
      VLOOKUP(INDEX(SPLIT(O123,"" ""),1),{""jan."",1;""Feb"",2;""mar."",3;""Apr"",4;""May"",5;""jun."",6;""jul."",7;""Aug"",8;""sep"",9;""Oct"",10;""nov."",11;""Dec"",12},2,FALSE),
      INDEX(S"&amp;"PLIT(O123,"" ""),2)
    ),
    ""dd/mm/yyyy""
  ),
"""")"),"20/05/2026")</f>
        <v>20/05/2026</v>
      </c>
    </row>
    <row r="124">
      <c r="A124" s="253" t="s">
        <v>746</v>
      </c>
      <c r="B124" s="253" t="s">
        <v>747</v>
      </c>
      <c r="C124" s="254" t="s">
        <v>350</v>
      </c>
      <c r="D124" s="254" t="s">
        <v>351</v>
      </c>
      <c r="E124" s="255"/>
      <c r="F124" s="254" t="s">
        <v>118</v>
      </c>
      <c r="G124" s="254" t="s">
        <v>352</v>
      </c>
      <c r="H124" s="255"/>
      <c r="I124" s="255"/>
      <c r="J124" s="254" t="s">
        <v>352</v>
      </c>
      <c r="K124" s="254" t="s">
        <v>353</v>
      </c>
      <c r="L124" s="254" t="s">
        <v>354</v>
      </c>
      <c r="M124" s="254" t="s">
        <v>355</v>
      </c>
      <c r="N124" s="254" t="s">
        <v>748</v>
      </c>
      <c r="O124" s="254" t="s">
        <v>749</v>
      </c>
      <c r="P124" s="256" t="str">
        <f>IFERROR(__xludf.DUMMYFUNCTION("IFERROR(
  TEXT(
    DATE(
      INDEX(SPLIT(O124,"" ""),3),
      VLOOKUP(INDEX(SPLIT(O124,"" ""),1),{""jan."",1;""Feb"",2;""mar."",3;""Apr"",4;""May"",5;""jun."",6;""jul."",7;""Aug"",8;""sep"",9;""Oct"",10;""nov."",11;""Dec"",12},2,FALSE),
      INDEX(S"&amp;"PLIT(O124,"" ""),2)
    ),
    ""dd/mm/yyyy""
  ),
"""")"),"20/05/2026")</f>
        <v>20/05/2026</v>
      </c>
    </row>
    <row r="125">
      <c r="A125" s="253" t="s">
        <v>750</v>
      </c>
      <c r="B125" s="253" t="s">
        <v>751</v>
      </c>
      <c r="C125" s="257"/>
      <c r="D125" s="257"/>
      <c r="E125" s="255"/>
      <c r="F125" s="254" t="s">
        <v>118</v>
      </c>
      <c r="G125" s="254" t="s">
        <v>352</v>
      </c>
      <c r="H125" s="255"/>
      <c r="I125" s="255"/>
      <c r="J125" s="254" t="s">
        <v>352</v>
      </c>
      <c r="K125" s="254" t="s">
        <v>752</v>
      </c>
      <c r="L125" s="254" t="s">
        <v>352</v>
      </c>
      <c r="M125" s="254" t="s">
        <v>352</v>
      </c>
      <c r="N125" s="254" t="s">
        <v>753</v>
      </c>
      <c r="O125" s="254" t="s">
        <v>754</v>
      </c>
      <c r="P125" s="256" t="str">
        <f>IFERROR(__xludf.DUMMYFUNCTION("IFERROR(
  TEXT(
    DATE(
      INDEX(SPLIT(O125,"" ""),3),
      VLOOKUP(INDEX(SPLIT(O125,"" ""),1),{""jan."",1;""Feb"",2;""mar."",3;""Apr"",4;""May"",5;""jun."",6;""jul."",7;""Aug"",8;""sep"",9;""Oct"",10;""nov."",11;""Dec"",12},2,FALSE),
      INDEX(S"&amp;"PLIT(O125,"" ""),2)
    ),
    ""dd/mm/yyyy""
  ),
"""")"),"21/05/2026")</f>
        <v>21/05/2026</v>
      </c>
    </row>
    <row r="126">
      <c r="A126" s="253" t="s">
        <v>755</v>
      </c>
      <c r="B126" s="253" t="s">
        <v>756</v>
      </c>
      <c r="C126" s="257"/>
      <c r="D126" s="257"/>
      <c r="E126" s="255"/>
      <c r="F126" s="254" t="s">
        <v>118</v>
      </c>
      <c r="G126" s="254" t="s">
        <v>352</v>
      </c>
      <c r="H126" s="255"/>
      <c r="I126" s="255"/>
      <c r="J126" s="254" t="s">
        <v>352</v>
      </c>
      <c r="K126" s="254" t="s">
        <v>752</v>
      </c>
      <c r="L126" s="254" t="s">
        <v>354</v>
      </c>
      <c r="M126" s="254" t="s">
        <v>355</v>
      </c>
      <c r="N126" s="254" t="s">
        <v>757</v>
      </c>
      <c r="O126" s="254" t="s">
        <v>754</v>
      </c>
      <c r="P126" s="256" t="str">
        <f>IFERROR(__xludf.DUMMYFUNCTION("IFERROR(
  TEXT(
    DATE(
      INDEX(SPLIT(O126,"" ""),3),
      VLOOKUP(INDEX(SPLIT(O126,"" ""),1),{""jan."",1;""Feb"",2;""mar."",3;""Apr"",4;""May"",5;""jun."",6;""jul."",7;""Aug"",8;""sep"",9;""Oct"",10;""nov."",11;""Dec"",12},2,FALSE),
      INDEX(S"&amp;"PLIT(O126,"" ""),2)
    ),
    ""dd/mm/yyyy""
  ),
"""")"),"21/05/2026")</f>
        <v>21/05/2026</v>
      </c>
    </row>
    <row r="127">
      <c r="A127" s="253" t="s">
        <v>758</v>
      </c>
      <c r="B127" s="253" t="s">
        <v>759</v>
      </c>
      <c r="C127" s="257"/>
      <c r="D127" s="257"/>
      <c r="E127" s="255"/>
      <c r="F127" s="254" t="s">
        <v>118</v>
      </c>
      <c r="G127" s="254" t="s">
        <v>352</v>
      </c>
      <c r="H127" s="255"/>
      <c r="I127" s="255"/>
      <c r="J127" s="254" t="s">
        <v>352</v>
      </c>
      <c r="K127" s="254" t="s">
        <v>752</v>
      </c>
      <c r="L127" s="254" t="s">
        <v>354</v>
      </c>
      <c r="M127" s="254" t="s">
        <v>355</v>
      </c>
      <c r="N127" s="254" t="s">
        <v>760</v>
      </c>
      <c r="O127" s="254" t="s">
        <v>754</v>
      </c>
      <c r="P127" s="256" t="str">
        <f>IFERROR(__xludf.DUMMYFUNCTION("IFERROR(
  TEXT(
    DATE(
      INDEX(SPLIT(O127,"" ""),3),
      VLOOKUP(INDEX(SPLIT(O127,"" ""),1),{""jan."",1;""Feb"",2;""mar."",3;""Apr"",4;""May"",5;""jun."",6;""jul."",7;""Aug"",8;""sep"",9;""Oct"",10;""nov."",11;""Dec"",12},2,FALSE),
      INDEX(S"&amp;"PLIT(O127,"" ""),2)
    ),
    ""dd/mm/yyyy""
  ),
"""")"),"21/05/2026")</f>
        <v>21/05/2026</v>
      </c>
    </row>
    <row r="128">
      <c r="A128" s="253" t="s">
        <v>761</v>
      </c>
      <c r="B128" s="253" t="s">
        <v>762</v>
      </c>
      <c r="C128" s="257"/>
      <c r="D128" s="257"/>
      <c r="E128" s="255"/>
      <c r="F128" s="254" t="s">
        <v>118</v>
      </c>
      <c r="G128" s="254" t="s">
        <v>352</v>
      </c>
      <c r="H128" s="255"/>
      <c r="I128" s="255"/>
      <c r="J128" s="254" t="s">
        <v>352</v>
      </c>
      <c r="K128" s="254" t="s">
        <v>752</v>
      </c>
      <c r="L128" s="254" t="s">
        <v>354</v>
      </c>
      <c r="M128" s="254" t="s">
        <v>355</v>
      </c>
      <c r="N128" s="254" t="s">
        <v>763</v>
      </c>
      <c r="O128" s="254" t="s">
        <v>754</v>
      </c>
      <c r="P128" s="256" t="str">
        <f>IFERROR(__xludf.DUMMYFUNCTION("IFERROR(
  TEXT(
    DATE(
      INDEX(SPLIT(O128,"" ""),3),
      VLOOKUP(INDEX(SPLIT(O128,"" ""),1),{""jan."",1;""Feb"",2;""mar."",3;""Apr"",4;""May"",5;""jun."",6;""jul."",7;""Aug"",8;""sep"",9;""Oct"",10;""nov."",11;""Dec"",12},2,FALSE),
      INDEX(S"&amp;"PLIT(O128,"" ""),2)
    ),
    ""dd/mm/yyyy""
  ),
"""")"),"21/05/2026")</f>
        <v>21/05/2026</v>
      </c>
    </row>
    <row r="129">
      <c r="A129" s="253" t="s">
        <v>764</v>
      </c>
      <c r="B129" s="253" t="s">
        <v>765</v>
      </c>
      <c r="C129" s="257"/>
      <c r="D129" s="257"/>
      <c r="E129" s="255"/>
      <c r="F129" s="254" t="s">
        <v>118</v>
      </c>
      <c r="G129" s="254" t="s">
        <v>352</v>
      </c>
      <c r="H129" s="255"/>
      <c r="I129" s="255"/>
      <c r="J129" s="254" t="s">
        <v>352</v>
      </c>
      <c r="K129" s="254" t="s">
        <v>752</v>
      </c>
      <c r="L129" s="254" t="s">
        <v>354</v>
      </c>
      <c r="M129" s="254" t="s">
        <v>355</v>
      </c>
      <c r="N129" s="254" t="s">
        <v>766</v>
      </c>
      <c r="O129" s="254" t="s">
        <v>754</v>
      </c>
      <c r="P129" s="256" t="str">
        <f>IFERROR(__xludf.DUMMYFUNCTION("IFERROR(
  TEXT(
    DATE(
      INDEX(SPLIT(O129,"" ""),3),
      VLOOKUP(INDEX(SPLIT(O129,"" ""),1),{""jan."",1;""Feb"",2;""mar."",3;""Apr"",4;""May"",5;""jun."",6;""jul."",7;""Aug"",8;""sep"",9;""Oct"",10;""nov."",11;""Dec"",12},2,FALSE),
      INDEX(S"&amp;"PLIT(O129,"" ""),2)
    ),
    ""dd/mm/yyyy""
  ),
"""")"),"21/05/2026")</f>
        <v>21/05/2026</v>
      </c>
    </row>
    <row r="130">
      <c r="A130" s="253" t="s">
        <v>767</v>
      </c>
      <c r="B130" s="253" t="s">
        <v>768</v>
      </c>
      <c r="C130" s="257"/>
      <c r="D130" s="257"/>
      <c r="E130" s="255"/>
      <c r="F130" s="254" t="s">
        <v>118</v>
      </c>
      <c r="G130" s="254" t="s">
        <v>352</v>
      </c>
      <c r="H130" s="255"/>
      <c r="I130" s="255"/>
      <c r="J130" s="254" t="s">
        <v>352</v>
      </c>
      <c r="K130" s="254" t="s">
        <v>752</v>
      </c>
      <c r="L130" s="254" t="s">
        <v>354</v>
      </c>
      <c r="M130" s="254" t="s">
        <v>355</v>
      </c>
      <c r="N130" s="254" t="s">
        <v>769</v>
      </c>
      <c r="O130" s="254" t="s">
        <v>754</v>
      </c>
      <c r="P130" s="256" t="str">
        <f>IFERROR(__xludf.DUMMYFUNCTION("IFERROR(
  TEXT(
    DATE(
      INDEX(SPLIT(O130,"" ""),3),
      VLOOKUP(INDEX(SPLIT(O130,"" ""),1),{""jan."",1;""Feb"",2;""mar."",3;""Apr"",4;""May"",5;""jun."",6;""jul."",7;""Aug"",8;""sep"",9;""Oct"",10;""nov."",11;""Dec"",12},2,FALSE),
      INDEX(S"&amp;"PLIT(O130,"" ""),2)
    ),
    ""dd/mm/yyyy""
  ),
"""")"),"21/05/2026")</f>
        <v>21/05/2026</v>
      </c>
    </row>
    <row r="131">
      <c r="A131" s="253" t="s">
        <v>770</v>
      </c>
      <c r="B131" s="253" t="s">
        <v>771</v>
      </c>
      <c r="C131" s="257"/>
      <c r="D131" s="257"/>
      <c r="E131" s="255"/>
      <c r="F131" s="254" t="s">
        <v>118</v>
      </c>
      <c r="G131" s="254" t="s">
        <v>352</v>
      </c>
      <c r="H131" s="255"/>
      <c r="I131" s="255"/>
      <c r="J131" s="254" t="s">
        <v>352</v>
      </c>
      <c r="K131" s="254" t="s">
        <v>752</v>
      </c>
      <c r="L131" s="254" t="s">
        <v>354</v>
      </c>
      <c r="M131" s="254" t="s">
        <v>355</v>
      </c>
      <c r="N131" s="254" t="s">
        <v>577</v>
      </c>
      <c r="O131" s="254" t="s">
        <v>754</v>
      </c>
      <c r="P131" s="256" t="str">
        <f>IFERROR(__xludf.DUMMYFUNCTION("IFERROR(
  TEXT(
    DATE(
      INDEX(SPLIT(O131,"" ""),3),
      VLOOKUP(INDEX(SPLIT(O131,"" ""),1),{""jan."",1;""Feb"",2;""mar."",3;""Apr"",4;""May"",5;""jun."",6;""jul."",7;""Aug"",8;""sep"",9;""Oct"",10;""nov."",11;""Dec"",12},2,FALSE),
      INDEX(S"&amp;"PLIT(O131,"" ""),2)
    ),
    ""dd/mm/yyyy""
  ),
"""")"),"21/05/2026")</f>
        <v>21/05/2026</v>
      </c>
    </row>
    <row r="132">
      <c r="A132" s="253" t="s">
        <v>772</v>
      </c>
      <c r="B132" s="253" t="s">
        <v>773</v>
      </c>
      <c r="C132" s="257"/>
      <c r="D132" s="257"/>
      <c r="E132" s="255"/>
      <c r="F132" s="254" t="s">
        <v>118</v>
      </c>
      <c r="G132" s="254" t="s">
        <v>352</v>
      </c>
      <c r="H132" s="255"/>
      <c r="I132" s="255"/>
      <c r="J132" s="254" t="s">
        <v>352</v>
      </c>
      <c r="K132" s="254" t="s">
        <v>752</v>
      </c>
      <c r="L132" s="254" t="s">
        <v>354</v>
      </c>
      <c r="M132" s="254" t="s">
        <v>355</v>
      </c>
      <c r="N132" s="254" t="s">
        <v>774</v>
      </c>
      <c r="O132" s="254" t="s">
        <v>754</v>
      </c>
      <c r="P132" s="256" t="str">
        <f>IFERROR(__xludf.DUMMYFUNCTION("IFERROR(
  TEXT(
    DATE(
      INDEX(SPLIT(O132,"" ""),3),
      VLOOKUP(INDEX(SPLIT(O132,"" ""),1),{""jan."",1;""Feb"",2;""mar."",3;""Apr"",4;""May"",5;""jun."",6;""jul."",7;""Aug"",8;""sep"",9;""Oct"",10;""nov."",11;""Dec"",12},2,FALSE),
      INDEX(S"&amp;"PLIT(O132,"" ""),2)
    ),
    ""dd/mm/yyyy""
  ),
"""")"),"21/05/2026")</f>
        <v>21/05/2026</v>
      </c>
    </row>
    <row r="133">
      <c r="A133" s="253" t="s">
        <v>775</v>
      </c>
      <c r="B133" s="253" t="s">
        <v>776</v>
      </c>
      <c r="C133" s="257"/>
      <c r="D133" s="257"/>
      <c r="E133" s="255"/>
      <c r="F133" s="254" t="s">
        <v>118</v>
      </c>
      <c r="G133" s="254" t="s">
        <v>352</v>
      </c>
      <c r="H133" s="255"/>
      <c r="I133" s="255"/>
      <c r="J133" s="254" t="s">
        <v>352</v>
      </c>
      <c r="K133" s="254" t="s">
        <v>752</v>
      </c>
      <c r="L133" s="254" t="s">
        <v>354</v>
      </c>
      <c r="M133" s="254" t="s">
        <v>355</v>
      </c>
      <c r="N133" s="254" t="s">
        <v>777</v>
      </c>
      <c r="O133" s="254" t="s">
        <v>754</v>
      </c>
      <c r="P133" s="256" t="str">
        <f>IFERROR(__xludf.DUMMYFUNCTION("IFERROR(
  TEXT(
    DATE(
      INDEX(SPLIT(O133,"" ""),3),
      VLOOKUP(INDEX(SPLIT(O133,"" ""),1),{""jan."",1;""Feb"",2;""mar."",3;""Apr"",4;""May"",5;""jun."",6;""jul."",7;""Aug"",8;""sep"",9;""Oct"",10;""nov."",11;""Dec"",12},2,FALSE),
      INDEX(S"&amp;"PLIT(O133,"" ""),2)
    ),
    ""dd/mm/yyyy""
  ),
"""")"),"21/05/2026")</f>
        <v>21/05/2026</v>
      </c>
    </row>
    <row r="134">
      <c r="A134" s="253" t="s">
        <v>778</v>
      </c>
      <c r="B134" s="253" t="s">
        <v>779</v>
      </c>
      <c r="C134" s="257"/>
      <c r="D134" s="257"/>
      <c r="E134" s="255"/>
      <c r="F134" s="254" t="s">
        <v>118</v>
      </c>
      <c r="G134" s="254" t="s">
        <v>352</v>
      </c>
      <c r="H134" s="255"/>
      <c r="I134" s="255"/>
      <c r="J134" s="254" t="s">
        <v>352</v>
      </c>
      <c r="K134" s="254" t="s">
        <v>752</v>
      </c>
      <c r="L134" s="254" t="s">
        <v>354</v>
      </c>
      <c r="M134" s="254" t="s">
        <v>355</v>
      </c>
      <c r="N134" s="254" t="s">
        <v>780</v>
      </c>
      <c r="O134" s="254" t="s">
        <v>754</v>
      </c>
      <c r="P134" s="256" t="str">
        <f>IFERROR(__xludf.DUMMYFUNCTION("IFERROR(
  TEXT(
    DATE(
      INDEX(SPLIT(O134,"" ""),3),
      VLOOKUP(INDEX(SPLIT(O134,"" ""),1),{""jan."",1;""Feb"",2;""mar."",3;""Apr"",4;""May"",5;""jun."",6;""jul."",7;""Aug"",8;""sep"",9;""Oct"",10;""nov."",11;""Dec"",12},2,FALSE),
      INDEX(S"&amp;"PLIT(O134,"" ""),2)
    ),
    ""dd/mm/yyyy""
  ),
"""")"),"21/05/2026")</f>
        <v>21/05/2026</v>
      </c>
    </row>
    <row r="135">
      <c r="A135" s="253" t="s">
        <v>781</v>
      </c>
      <c r="B135" s="253" t="s">
        <v>782</v>
      </c>
      <c r="C135" s="254" t="s">
        <v>350</v>
      </c>
      <c r="D135" s="254" t="s">
        <v>351</v>
      </c>
      <c r="E135" s="255"/>
      <c r="F135" s="254" t="s">
        <v>118</v>
      </c>
      <c r="G135" s="254" t="s">
        <v>352</v>
      </c>
      <c r="H135" s="255"/>
      <c r="I135" s="255"/>
      <c r="J135" s="254" t="s">
        <v>352</v>
      </c>
      <c r="K135" s="254" t="s">
        <v>353</v>
      </c>
      <c r="L135" s="254" t="s">
        <v>354</v>
      </c>
      <c r="M135" s="254" t="s">
        <v>355</v>
      </c>
      <c r="N135" s="254" t="s">
        <v>783</v>
      </c>
      <c r="O135" s="254" t="s">
        <v>784</v>
      </c>
      <c r="P135" s="256" t="str">
        <f>IFERROR(__xludf.DUMMYFUNCTION("IFERROR(
  TEXT(
    DATE(
      INDEX(SPLIT(O135,"" ""),3),
      VLOOKUP(INDEX(SPLIT(O135,"" ""),1),{""jan."",1;""Feb"",2;""mar."",3;""Apr"",4;""May"",5;""jun."",6;""jul."",7;""Aug"",8;""sep"",9;""Oct"",10;""nov."",11;""Dec"",12},2,FALSE),
      INDEX(S"&amp;"PLIT(O135,"" ""),2)
    ),
    ""dd/mm/yyyy""
  ),
"""")"),"15/05/2026")</f>
        <v>15/05/2026</v>
      </c>
    </row>
    <row r="136">
      <c r="A136" s="253" t="s">
        <v>785</v>
      </c>
      <c r="B136" s="253" t="s">
        <v>786</v>
      </c>
      <c r="C136" s="254" t="s">
        <v>350</v>
      </c>
      <c r="D136" s="254" t="s">
        <v>351</v>
      </c>
      <c r="E136" s="255"/>
      <c r="F136" s="254" t="s">
        <v>118</v>
      </c>
      <c r="G136" s="254" t="s">
        <v>352</v>
      </c>
      <c r="H136" s="255"/>
      <c r="I136" s="255"/>
      <c r="J136" s="254" t="s">
        <v>352</v>
      </c>
      <c r="K136" s="254" t="s">
        <v>353</v>
      </c>
      <c r="L136" s="254" t="s">
        <v>354</v>
      </c>
      <c r="M136" s="254" t="s">
        <v>355</v>
      </c>
      <c r="N136" s="254" t="s">
        <v>787</v>
      </c>
      <c r="O136" s="254" t="s">
        <v>788</v>
      </c>
      <c r="P136" s="256" t="str">
        <f>IFERROR(__xludf.DUMMYFUNCTION("IFERROR(
  TEXT(
    DATE(
      INDEX(SPLIT(O136,"" ""),3),
      VLOOKUP(INDEX(SPLIT(O136,"" ""),1),{""jan."",1;""Feb"",2;""mar."",3;""Apr"",4;""May"",5;""jun."",6;""jul."",7;""Aug"",8;""sep"",9;""Oct"",10;""nov."",11;""Dec"",12},2,FALSE),
      INDEX(S"&amp;"PLIT(O136,"" ""),2)
    ),
    ""dd/mm/yyyy""
  ),
"""")"),"15/05/2026")</f>
        <v>15/05/2026</v>
      </c>
    </row>
    <row r="137">
      <c r="A137" s="253" t="s">
        <v>789</v>
      </c>
      <c r="B137" s="253" t="s">
        <v>790</v>
      </c>
      <c r="C137" s="254" t="s">
        <v>350</v>
      </c>
      <c r="D137" s="254" t="s">
        <v>351</v>
      </c>
      <c r="E137" s="255"/>
      <c r="F137" s="254" t="s">
        <v>118</v>
      </c>
      <c r="G137" s="254" t="s">
        <v>352</v>
      </c>
      <c r="H137" s="255"/>
      <c r="I137" s="255"/>
      <c r="J137" s="254" t="s">
        <v>352</v>
      </c>
      <c r="K137" s="254" t="s">
        <v>353</v>
      </c>
      <c r="L137" s="254" t="s">
        <v>354</v>
      </c>
      <c r="M137" s="254" t="s">
        <v>355</v>
      </c>
      <c r="N137" s="254" t="s">
        <v>582</v>
      </c>
      <c r="O137" s="254" t="s">
        <v>784</v>
      </c>
      <c r="P137" s="256" t="str">
        <f>IFERROR(__xludf.DUMMYFUNCTION("IFERROR(
  TEXT(
    DATE(
      INDEX(SPLIT(O137,"" ""),3),
      VLOOKUP(INDEX(SPLIT(O137,"" ""),1),{""jan."",1;""Feb"",2;""mar."",3;""Apr"",4;""May"",5;""jun."",6;""jul."",7;""Aug"",8;""sep"",9;""Oct"",10;""nov."",11;""Dec"",12},2,FALSE),
      INDEX(S"&amp;"PLIT(O137,"" ""),2)
    ),
    ""dd/mm/yyyy""
  ),
"""")"),"15/05/2026")</f>
        <v>15/05/2026</v>
      </c>
    </row>
    <row r="138">
      <c r="A138" s="253" t="s">
        <v>791</v>
      </c>
      <c r="B138" s="253" t="s">
        <v>792</v>
      </c>
      <c r="C138" s="254" t="s">
        <v>350</v>
      </c>
      <c r="D138" s="254" t="s">
        <v>351</v>
      </c>
      <c r="E138" s="255"/>
      <c r="F138" s="254" t="s">
        <v>118</v>
      </c>
      <c r="G138" s="254" t="s">
        <v>352</v>
      </c>
      <c r="H138" s="255"/>
      <c r="I138" s="255"/>
      <c r="J138" s="254" t="s">
        <v>352</v>
      </c>
      <c r="K138" s="254" t="s">
        <v>353</v>
      </c>
      <c r="L138" s="254" t="s">
        <v>354</v>
      </c>
      <c r="M138" s="254" t="s">
        <v>355</v>
      </c>
      <c r="N138" s="254" t="s">
        <v>793</v>
      </c>
      <c r="O138" s="254" t="s">
        <v>784</v>
      </c>
      <c r="P138" s="256" t="str">
        <f>IFERROR(__xludf.DUMMYFUNCTION("IFERROR(
  TEXT(
    DATE(
      INDEX(SPLIT(O138,"" ""),3),
      VLOOKUP(INDEX(SPLIT(O138,"" ""),1),{""jan."",1;""Feb"",2;""mar."",3;""Apr"",4;""May"",5;""jun."",6;""jul."",7;""Aug"",8;""sep"",9;""Oct"",10;""nov."",11;""Dec"",12},2,FALSE),
      INDEX(S"&amp;"PLIT(O138,"" ""),2)
    ),
    ""dd/mm/yyyy""
  ),
"""")"),"15/05/2026")</f>
        <v>15/05/2026</v>
      </c>
    </row>
    <row r="139">
      <c r="A139" s="253" t="s">
        <v>794</v>
      </c>
      <c r="B139" s="253" t="s">
        <v>795</v>
      </c>
      <c r="C139" s="254" t="s">
        <v>350</v>
      </c>
      <c r="D139" s="254" t="s">
        <v>351</v>
      </c>
      <c r="E139" s="255"/>
      <c r="F139" s="254" t="s">
        <v>111</v>
      </c>
      <c r="G139" s="254" t="s">
        <v>352</v>
      </c>
      <c r="H139" s="255"/>
      <c r="I139" s="255"/>
      <c r="J139" s="254" t="s">
        <v>352</v>
      </c>
      <c r="K139" s="254" t="s">
        <v>353</v>
      </c>
      <c r="L139" s="254" t="s">
        <v>352</v>
      </c>
      <c r="M139" s="254" t="s">
        <v>352</v>
      </c>
      <c r="N139" s="254" t="s">
        <v>796</v>
      </c>
      <c r="O139" s="256">
        <v>46193.89166666667</v>
      </c>
      <c r="P139" s="256" t="str">
        <f>IFERROR(__xludf.DUMMYFUNCTION("IFERROR(
  TEXT(
    DATE(
      INDEX(SPLIT(O139,"" ""),3),
      VLOOKUP(INDEX(SPLIT(O139,"" ""),1),{""jan."",1;""Feb"",2;""mar."",3;""Apr"",4;""May"",5;""jun."",6;""jul."",7;""Aug"",8;""sep"",9;""Oct"",10;""nov."",11;""Dec"",12},2,FALSE),
      INDEX(S"&amp;"PLIT(O139,"" ""),2)
    ),
    ""dd/mm/yyyy""
  ),
"""")"),"20/06/2026")</f>
        <v>20/06/2026</v>
      </c>
    </row>
    <row r="140">
      <c r="A140" s="253" t="s">
        <v>797</v>
      </c>
      <c r="B140" s="253" t="s">
        <v>798</v>
      </c>
      <c r="C140" s="254" t="s">
        <v>350</v>
      </c>
      <c r="D140" s="254" t="s">
        <v>351</v>
      </c>
      <c r="E140" s="255"/>
      <c r="F140" s="254" t="s">
        <v>95</v>
      </c>
      <c r="G140" s="254" t="s">
        <v>352</v>
      </c>
      <c r="H140" s="255"/>
      <c r="I140" s="255"/>
      <c r="J140" s="254" t="s">
        <v>352</v>
      </c>
      <c r="K140" s="254" t="s">
        <v>353</v>
      </c>
      <c r="L140" s="254" t="s">
        <v>354</v>
      </c>
      <c r="M140" s="254" t="s">
        <v>355</v>
      </c>
      <c r="N140" s="254" t="s">
        <v>799</v>
      </c>
      <c r="O140" s="254" t="s">
        <v>800</v>
      </c>
      <c r="P140" s="256" t="str">
        <f>IFERROR(__xludf.DUMMYFUNCTION("IFERROR(
  TEXT(
    DATE(
      INDEX(SPLIT(O140,"" ""),3),
      VLOOKUP(INDEX(SPLIT(O140,"" ""),1),{""jan."",1;""Feb"",2;""mar."",3;""Apr"",4;""May"",5;""jun."",6;""jul."",7;""Aug"",8;""sep"",9;""Oct"",10;""nov."",11;""Dec"",12},2,FALSE),
      INDEX(S"&amp;"PLIT(O140,"" ""),2)
    ),
    ""dd/mm/yyyy""
  ),
"""")"),"26/05/2026")</f>
        <v>26/05/2026</v>
      </c>
    </row>
    <row r="141">
      <c r="A141" s="253" t="s">
        <v>801</v>
      </c>
      <c r="B141" s="253" t="s">
        <v>802</v>
      </c>
      <c r="C141" s="257"/>
      <c r="D141" s="257"/>
      <c r="E141" s="255"/>
      <c r="F141" s="254" t="s">
        <v>118</v>
      </c>
      <c r="G141" s="254" t="s">
        <v>352</v>
      </c>
      <c r="H141" s="255"/>
      <c r="I141" s="255"/>
      <c r="J141" s="254" t="s">
        <v>352</v>
      </c>
      <c r="K141" s="254" t="s">
        <v>353</v>
      </c>
      <c r="L141" s="254" t="s">
        <v>354</v>
      </c>
      <c r="M141" s="254" t="s">
        <v>355</v>
      </c>
      <c r="N141" s="254" t="s">
        <v>803</v>
      </c>
      <c r="O141" s="254" t="s">
        <v>804</v>
      </c>
      <c r="P141" s="256" t="str">
        <f>IFERROR(__xludf.DUMMYFUNCTION("IFERROR(
  TEXT(
    DATE(
      INDEX(SPLIT(O141,"" ""),3),
      VLOOKUP(INDEX(SPLIT(O141,"" ""),1),{""jan."",1;""Feb"",2;""mar."",3;""Apr"",4;""May"",5;""jun."",6;""jul."",7;""Aug"",8;""sep"",9;""Oct"",10;""nov."",11;""Dec"",12},2,FALSE),
      INDEX(S"&amp;"PLIT(O141,"" ""),2)
    ),
    ""dd/mm/yyyy""
  ),
"""")"),"15/05/2026")</f>
        <v>15/05/2026</v>
      </c>
    </row>
    <row r="142">
      <c r="A142" s="253" t="s">
        <v>805</v>
      </c>
      <c r="B142" s="253" t="s">
        <v>806</v>
      </c>
      <c r="C142" s="257"/>
      <c r="D142" s="257"/>
      <c r="E142" s="255"/>
      <c r="F142" s="254" t="s">
        <v>118</v>
      </c>
      <c r="G142" s="254" t="s">
        <v>352</v>
      </c>
      <c r="H142" s="255"/>
      <c r="I142" s="255"/>
      <c r="J142" s="254" t="s">
        <v>352</v>
      </c>
      <c r="K142" s="254" t="s">
        <v>353</v>
      </c>
      <c r="L142" s="254" t="s">
        <v>354</v>
      </c>
      <c r="M142" s="254" t="s">
        <v>355</v>
      </c>
      <c r="N142" s="254" t="s">
        <v>807</v>
      </c>
      <c r="O142" s="254" t="s">
        <v>804</v>
      </c>
      <c r="P142" s="256" t="str">
        <f>IFERROR(__xludf.DUMMYFUNCTION("IFERROR(
  TEXT(
    DATE(
      INDEX(SPLIT(O142,"" ""),3),
      VLOOKUP(INDEX(SPLIT(O142,"" ""),1),{""jan."",1;""Feb"",2;""mar."",3;""Apr"",4;""May"",5;""jun."",6;""jul."",7;""Aug"",8;""sep"",9;""Oct"",10;""nov."",11;""Dec"",12},2,FALSE),
      INDEX(S"&amp;"PLIT(O142,"" ""),2)
    ),
    ""dd/mm/yyyy""
  ),
"""")"),"15/05/2026")</f>
        <v>15/05/2026</v>
      </c>
    </row>
    <row r="143">
      <c r="A143" s="253" t="s">
        <v>808</v>
      </c>
      <c r="B143" s="253" t="s">
        <v>809</v>
      </c>
      <c r="C143" s="257"/>
      <c r="D143" s="257"/>
      <c r="E143" s="255"/>
      <c r="F143" s="254" t="s">
        <v>118</v>
      </c>
      <c r="G143" s="254" t="s">
        <v>352</v>
      </c>
      <c r="H143" s="255"/>
      <c r="I143" s="255"/>
      <c r="J143" s="254" t="s">
        <v>352</v>
      </c>
      <c r="K143" s="254" t="s">
        <v>353</v>
      </c>
      <c r="L143" s="254" t="s">
        <v>354</v>
      </c>
      <c r="M143" s="254" t="s">
        <v>355</v>
      </c>
      <c r="N143" s="254" t="s">
        <v>810</v>
      </c>
      <c r="O143" s="254" t="s">
        <v>804</v>
      </c>
      <c r="P143" s="256" t="str">
        <f>IFERROR(__xludf.DUMMYFUNCTION("IFERROR(
  TEXT(
    DATE(
      INDEX(SPLIT(O143,"" ""),3),
      VLOOKUP(INDEX(SPLIT(O143,"" ""),1),{""jan."",1;""Feb"",2;""mar."",3;""Apr"",4;""May"",5;""jun."",6;""jul."",7;""Aug"",8;""sep"",9;""Oct"",10;""nov."",11;""Dec"",12},2,FALSE),
      INDEX(S"&amp;"PLIT(O143,"" ""),2)
    ),
    ""dd/mm/yyyy""
  ),
"""")"),"15/05/2026")</f>
        <v>15/05/2026</v>
      </c>
    </row>
    <row r="144">
      <c r="A144" s="253" t="s">
        <v>811</v>
      </c>
      <c r="B144" s="253" t="s">
        <v>812</v>
      </c>
      <c r="C144" s="257"/>
      <c r="D144" s="257"/>
      <c r="E144" s="255"/>
      <c r="F144" s="254" t="s">
        <v>118</v>
      </c>
      <c r="G144" s="254" t="s">
        <v>352</v>
      </c>
      <c r="H144" s="255"/>
      <c r="I144" s="255"/>
      <c r="J144" s="254" t="s">
        <v>352</v>
      </c>
      <c r="K144" s="254" t="s">
        <v>353</v>
      </c>
      <c r="L144" s="254" t="s">
        <v>354</v>
      </c>
      <c r="M144" s="254" t="s">
        <v>355</v>
      </c>
      <c r="N144" s="254" t="s">
        <v>629</v>
      </c>
      <c r="O144" s="254" t="s">
        <v>804</v>
      </c>
      <c r="P144" s="256" t="str">
        <f>IFERROR(__xludf.DUMMYFUNCTION("IFERROR(
  TEXT(
    DATE(
      INDEX(SPLIT(O144,"" ""),3),
      VLOOKUP(INDEX(SPLIT(O144,"" ""),1),{""jan."",1;""Feb"",2;""mar."",3;""Apr"",4;""May"",5;""jun."",6;""jul."",7;""Aug"",8;""sep"",9;""Oct"",10;""nov."",11;""Dec"",12},2,FALSE),
      INDEX(S"&amp;"PLIT(O144,"" ""),2)
    ),
    ""dd/mm/yyyy""
  ),
"""")"),"15/05/2026")</f>
        <v>15/05/2026</v>
      </c>
    </row>
    <row r="145">
      <c r="A145" s="253" t="s">
        <v>813</v>
      </c>
      <c r="B145" s="253" t="s">
        <v>814</v>
      </c>
      <c r="C145" s="257"/>
      <c r="D145" s="257"/>
      <c r="E145" s="255"/>
      <c r="F145" s="254" t="s">
        <v>111</v>
      </c>
      <c r="G145" s="254" t="s">
        <v>352</v>
      </c>
      <c r="H145" s="255"/>
      <c r="I145" s="255"/>
      <c r="J145" s="254" t="s">
        <v>352</v>
      </c>
      <c r="K145" s="254" t="s">
        <v>353</v>
      </c>
      <c r="L145" s="254" t="s">
        <v>354</v>
      </c>
      <c r="M145" s="254" t="s">
        <v>355</v>
      </c>
      <c r="N145" s="254" t="s">
        <v>815</v>
      </c>
      <c r="O145" s="256">
        <v>46193.822916666664</v>
      </c>
      <c r="P145" s="256" t="str">
        <f>IFERROR(__xludf.DUMMYFUNCTION("IFERROR(
  TEXT(
    DATE(
      INDEX(SPLIT(O145,"" ""),3),
      VLOOKUP(INDEX(SPLIT(O145,"" ""),1),{""jan."",1;""Feb"",2;""mar."",3;""Apr"",4;""May"",5;""jun."",6;""jul."",7;""Aug"",8;""sep"",9;""Oct"",10;""nov."",11;""Dec"",12},2,FALSE),
      INDEX(S"&amp;"PLIT(O145,"" ""),2)
    ),
    ""dd/mm/yyyy""
  ),
"""")"),"20/06/2026")</f>
        <v>20/06/2026</v>
      </c>
    </row>
    <row r="146">
      <c r="A146" s="253" t="s">
        <v>816</v>
      </c>
      <c r="B146" s="253" t="s">
        <v>817</v>
      </c>
      <c r="C146" s="257"/>
      <c r="D146" s="257"/>
      <c r="E146" s="255"/>
      <c r="F146" s="254" t="s">
        <v>95</v>
      </c>
      <c r="G146" s="254" t="s">
        <v>352</v>
      </c>
      <c r="H146" s="255"/>
      <c r="I146" s="255"/>
      <c r="J146" s="254" t="s">
        <v>352</v>
      </c>
      <c r="K146" s="254" t="s">
        <v>353</v>
      </c>
      <c r="L146" s="254" t="s">
        <v>354</v>
      </c>
      <c r="M146" s="254" t="s">
        <v>355</v>
      </c>
      <c r="N146" s="254" t="s">
        <v>818</v>
      </c>
      <c r="O146" s="254" t="s">
        <v>819</v>
      </c>
      <c r="P146" s="256" t="str">
        <f>IFERROR(__xludf.DUMMYFUNCTION("IFERROR(
  TEXT(
    DATE(
      INDEX(SPLIT(O146,"" ""),3),
      VLOOKUP(INDEX(SPLIT(O146,"" ""),1),{""jan."",1;""Feb"",2;""mar."",3;""Apr"",4;""May"",5;""jun."",6;""jul."",7;""Aug"",8;""sep"",9;""Oct"",10;""nov."",11;""Dec"",12},2,FALSE),
      INDEX(S"&amp;"PLIT(O146,"" ""),2)
    ),
    ""dd/mm/yyyy""
  ),
"""")"),"26/05/2026")</f>
        <v>26/05/2026</v>
      </c>
    </row>
  </sheetData>
  <autoFilter ref="$A$1:$T$146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</hyperlinks>
  <drawing r:id="rId29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8.13"/>
    <col customWidth="1" min="2" max="2" width="34.25"/>
    <col customWidth="1" min="4" max="4" width="15.38"/>
    <col customWidth="1" min="5" max="5" width="11.5"/>
    <col customWidth="1" min="6" max="6" width="22.38"/>
    <col customWidth="1" min="15" max="15" width="22.0"/>
    <col customWidth="1" min="16" max="16" width="31.75"/>
    <col customWidth="1" min="17" max="17" width="21.0"/>
    <col customWidth="1" min="18" max="18" width="22.0"/>
    <col customWidth="1" min="19" max="19" width="20.38"/>
  </cols>
  <sheetData>
    <row r="1">
      <c r="A1" s="251" t="s">
        <v>328</v>
      </c>
      <c r="B1" s="251" t="s">
        <v>329</v>
      </c>
      <c r="C1" s="251" t="s">
        <v>330</v>
      </c>
      <c r="D1" s="251" t="s">
        <v>331</v>
      </c>
      <c r="E1" s="251" t="s">
        <v>332</v>
      </c>
      <c r="F1" s="251" t="s">
        <v>333</v>
      </c>
      <c r="G1" s="251" t="s">
        <v>334</v>
      </c>
      <c r="H1" s="251" t="s">
        <v>335</v>
      </c>
      <c r="I1" s="251" t="s">
        <v>336</v>
      </c>
      <c r="J1" s="251" t="s">
        <v>337</v>
      </c>
      <c r="K1" s="251" t="s">
        <v>338</v>
      </c>
      <c r="L1" s="251" t="s">
        <v>339</v>
      </c>
      <c r="M1" s="251" t="s">
        <v>340</v>
      </c>
      <c r="N1" s="251" t="s">
        <v>341</v>
      </c>
      <c r="O1" s="251" t="s">
        <v>342</v>
      </c>
      <c r="P1" s="252" t="s">
        <v>343</v>
      </c>
      <c r="Q1" s="251" t="s">
        <v>344</v>
      </c>
      <c r="R1" s="251" t="s">
        <v>345</v>
      </c>
      <c r="S1" s="251" t="s">
        <v>346</v>
      </c>
      <c r="T1" s="251" t="s">
        <v>347</v>
      </c>
    </row>
    <row r="2">
      <c r="A2" s="253" t="s">
        <v>820</v>
      </c>
      <c r="B2" s="253" t="s">
        <v>821</v>
      </c>
      <c r="C2" s="257"/>
      <c r="D2" s="257"/>
      <c r="E2" s="255"/>
      <c r="F2" s="254" t="s">
        <v>822</v>
      </c>
      <c r="G2" s="254" t="s">
        <v>352</v>
      </c>
      <c r="H2" s="255"/>
      <c r="I2" s="255"/>
      <c r="J2" s="254" t="s">
        <v>352</v>
      </c>
      <c r="K2" s="254" t="s">
        <v>353</v>
      </c>
      <c r="L2" s="254" t="s">
        <v>354</v>
      </c>
      <c r="M2" s="254" t="s">
        <v>355</v>
      </c>
      <c r="N2" s="254" t="s">
        <v>823</v>
      </c>
      <c r="O2" s="254" t="s">
        <v>824</v>
      </c>
      <c r="P2" s="256" t="str">
        <f>IFERROR(__xludf.DUMMYFUNCTION("IFERROR(
  TEXT(
    DATE(
      INDEX(SPLIT(O2,"" ""),3),
      VLOOKUP(INDEX(SPLIT(O2,"" ""),1),{""jan."",1;""Feb"",2;""mar."",3;""Apr"",4;""May"",5;""jun."",6;""jul."",7;""Aug"",8;""sep"",9;""Oct"",10;""nov."",11;""Dec"",12},2,FALSE),
      INDEX(SPLIT"&amp;"(O2,"" ""),2)
    ),
    ""dd/mm/yyyy""
  ),
"""")"),"10/04/2026")</f>
        <v>10/04/2026</v>
      </c>
      <c r="Q2" s="254"/>
      <c r="R2" s="254"/>
      <c r="S2" s="254"/>
      <c r="T2" s="255"/>
    </row>
    <row r="3">
      <c r="A3" s="253" t="s">
        <v>825</v>
      </c>
      <c r="B3" s="253" t="s">
        <v>826</v>
      </c>
      <c r="C3" s="257"/>
      <c r="D3" s="257"/>
      <c r="E3" s="255"/>
      <c r="F3" s="254" t="s">
        <v>272</v>
      </c>
      <c r="G3" s="254" t="s">
        <v>352</v>
      </c>
      <c r="H3" s="255"/>
      <c r="I3" s="255"/>
      <c r="J3" s="254" t="s">
        <v>352</v>
      </c>
      <c r="K3" s="254" t="s">
        <v>353</v>
      </c>
      <c r="L3" s="254" t="s">
        <v>354</v>
      </c>
      <c r="M3" s="254" t="s">
        <v>355</v>
      </c>
      <c r="N3" s="254" t="s">
        <v>827</v>
      </c>
      <c r="O3" s="254" t="s">
        <v>828</v>
      </c>
      <c r="P3" s="256" t="str">
        <f>IFERROR(__xludf.DUMMYFUNCTION("IFERROR(
  TEXT(
    DATE(
      INDEX(SPLIT(O3,"" ""),3),
      VLOOKUP(INDEX(SPLIT(O3,"" ""),1),{""jan."",1;""Feb"",2;""mar."",3;""Apr"",4;""May"",5;""jun."",6;""jul."",7;""Aug"",8;""sep"",9;""Oct"",10;""nov."",11;""Dec"",12},2,FALSE),
      INDEX(SPLIT"&amp;"(O3,"" ""),2)
    ),
    ""dd/mm/yyyy""
  ),
"""")"),"17/04/2026")</f>
        <v>17/04/2026</v>
      </c>
      <c r="Q3" s="254"/>
      <c r="R3" s="254"/>
      <c r="S3" s="254"/>
      <c r="T3" s="255"/>
    </row>
    <row r="4">
      <c r="A4" s="253" t="s">
        <v>829</v>
      </c>
      <c r="B4" s="253" t="s">
        <v>830</v>
      </c>
      <c r="C4" s="257"/>
      <c r="D4" s="257"/>
      <c r="E4" s="255"/>
      <c r="F4" s="254" t="s">
        <v>192</v>
      </c>
      <c r="G4" s="254" t="s">
        <v>352</v>
      </c>
      <c r="H4" s="255"/>
      <c r="I4" s="255"/>
      <c r="J4" s="254" t="s">
        <v>352</v>
      </c>
      <c r="K4" s="254" t="s">
        <v>353</v>
      </c>
      <c r="L4" s="254" t="s">
        <v>354</v>
      </c>
      <c r="M4" s="254" t="s">
        <v>355</v>
      </c>
      <c r="N4" s="254" t="s">
        <v>678</v>
      </c>
      <c r="O4" s="254" t="s">
        <v>831</v>
      </c>
      <c r="P4" s="256" t="str">
        <f>IFERROR(__xludf.DUMMYFUNCTION("IFERROR(
  TEXT(
    DATE(
      INDEX(SPLIT(O4,"" ""),3),
      VLOOKUP(INDEX(SPLIT(O4,"" ""),1),{""jan."",1;""Feb"",2;""mar."",3;""Apr"",4;""May"",5;""jun."",6;""jul."",7;""Aug"",8;""sep"",9;""Oct"",10;""nov."",11;""Dec"",12},2,FALSE),
      INDEX(SPLIT"&amp;"(O4,"" ""),2)
    ),
    ""dd/mm/yyyy""
  ),
"""")"),"04/12/2025")</f>
        <v>04/12/2025</v>
      </c>
      <c r="Q4" s="254"/>
      <c r="R4" s="256"/>
      <c r="S4" s="254"/>
      <c r="T4" s="255"/>
    </row>
    <row r="5">
      <c r="A5" s="253" t="s">
        <v>832</v>
      </c>
      <c r="B5" s="253" t="s">
        <v>833</v>
      </c>
      <c r="C5" s="257"/>
      <c r="D5" s="257"/>
      <c r="E5" s="255"/>
      <c r="F5" s="254" t="s">
        <v>130</v>
      </c>
      <c r="G5" s="254" t="s">
        <v>352</v>
      </c>
      <c r="H5" s="255"/>
      <c r="I5" s="255"/>
      <c r="J5" s="254" t="s">
        <v>352</v>
      </c>
      <c r="K5" s="254" t="s">
        <v>353</v>
      </c>
      <c r="L5" s="254" t="s">
        <v>354</v>
      </c>
      <c r="M5" s="254" t="s">
        <v>355</v>
      </c>
      <c r="N5" s="254" t="s">
        <v>834</v>
      </c>
      <c r="O5" s="254" t="s">
        <v>835</v>
      </c>
      <c r="P5" s="256" t="str">
        <f>IFERROR(__xludf.DUMMYFUNCTION("IFERROR(
  TEXT(
    DATE(
      INDEX(SPLIT(O5,"" ""),3),
      VLOOKUP(INDEX(SPLIT(O5,"" ""),1),{""jan."",1;""Feb"",2;""mar."",3;""Apr"",4;""May"",5;""jun."",6;""jul."",7;""Aug"",8;""sep"",9;""Oct"",10;""nov."",11;""Dec"",12},2,FALSE),
      INDEX(SPLIT"&amp;"(O5,"" ""),2)
    ),
    ""dd/mm/yyyy""
  ),
"""")"),"29/04/2026")</f>
        <v>29/04/2026</v>
      </c>
      <c r="Q5" s="254"/>
      <c r="R5" s="254"/>
      <c r="S5" s="254"/>
      <c r="T5" s="255"/>
    </row>
    <row r="6">
      <c r="A6" s="253" t="s">
        <v>836</v>
      </c>
      <c r="B6" s="253" t="s">
        <v>837</v>
      </c>
      <c r="C6" s="257"/>
      <c r="D6" s="257"/>
      <c r="E6" s="255"/>
      <c r="F6" s="254" t="s">
        <v>111</v>
      </c>
      <c r="G6" s="254" t="s">
        <v>352</v>
      </c>
      <c r="H6" s="255"/>
      <c r="I6" s="255"/>
      <c r="J6" s="254" t="s">
        <v>352</v>
      </c>
      <c r="K6" s="254" t="s">
        <v>353</v>
      </c>
      <c r="L6" s="254" t="s">
        <v>354</v>
      </c>
      <c r="M6" s="254" t="s">
        <v>355</v>
      </c>
      <c r="N6" s="254" t="s">
        <v>838</v>
      </c>
      <c r="O6" s="254" t="s">
        <v>839</v>
      </c>
      <c r="P6" s="256" t="str">
        <f>IFERROR(__xludf.DUMMYFUNCTION("IFERROR(
  TEXT(
    DATE(
      INDEX(SPLIT(O6,"" ""),3),
      VLOOKUP(INDEX(SPLIT(O6,"" ""),1),{""jan."",1;""Feb"",2;""mar."",3;""Apr"",4;""May"",5;""jun."",6;""jul."",7;""Aug"",8;""sep"",9;""Oct"",10;""nov."",11;""Dec"",12},2,FALSE),
      INDEX(SPLIT"&amp;"(O6,"" ""),2)
    ),
    ""dd/mm/yyyy""
  ),
"""")"),"29/04/2026")</f>
        <v>29/04/2026</v>
      </c>
      <c r="Q6" s="254"/>
      <c r="R6" s="256"/>
      <c r="S6" s="254"/>
      <c r="T6" s="255"/>
    </row>
    <row r="7">
      <c r="A7" s="253" t="s">
        <v>840</v>
      </c>
      <c r="B7" s="253" t="s">
        <v>841</v>
      </c>
      <c r="C7" s="257"/>
      <c r="D7" s="257"/>
      <c r="E7" s="255"/>
      <c r="F7" s="254" t="s">
        <v>204</v>
      </c>
      <c r="G7" s="254" t="s">
        <v>352</v>
      </c>
      <c r="H7" s="255"/>
      <c r="I7" s="255"/>
      <c r="J7" s="254" t="s">
        <v>352</v>
      </c>
      <c r="K7" s="254" t="s">
        <v>353</v>
      </c>
      <c r="L7" s="254" t="s">
        <v>354</v>
      </c>
      <c r="M7" s="254" t="s">
        <v>355</v>
      </c>
      <c r="N7" s="254" t="s">
        <v>427</v>
      </c>
      <c r="O7" s="254" t="s">
        <v>842</v>
      </c>
      <c r="P7" s="256" t="str">
        <f>IFERROR(__xludf.DUMMYFUNCTION("IFERROR(
  TEXT(
    DATE(
      INDEX(SPLIT(O7,"" ""),3),
      VLOOKUP(INDEX(SPLIT(O7,"" ""),1),{""jan."",1;""Feb"",2;""mar."",3;""Apr"",4;""May"",5;""jun."",6;""jul."",7;""Aug"",8;""sep"",9;""Oct"",10;""nov."",11;""Dec"",12},2,FALSE),
      INDEX(SPLIT"&amp;"(O7,"" ""),2)
    ),
    ""dd/mm/yyyy""
  ),
"""")"),"06/04/2026")</f>
        <v>06/04/2026</v>
      </c>
      <c r="Q7" s="254"/>
      <c r="R7" s="256"/>
      <c r="S7" s="254"/>
      <c r="T7" s="255"/>
    </row>
    <row r="8">
      <c r="A8" s="253" t="s">
        <v>843</v>
      </c>
      <c r="B8" s="253" t="s">
        <v>844</v>
      </c>
      <c r="C8" s="257"/>
      <c r="D8" s="257"/>
      <c r="E8" s="255"/>
      <c r="F8" s="254" t="s">
        <v>845</v>
      </c>
      <c r="G8" s="254" t="s">
        <v>352</v>
      </c>
      <c r="H8" s="255"/>
      <c r="I8" s="255"/>
      <c r="J8" s="254" t="s">
        <v>352</v>
      </c>
      <c r="K8" s="254" t="s">
        <v>353</v>
      </c>
      <c r="L8" s="254" t="s">
        <v>354</v>
      </c>
      <c r="M8" s="254" t="s">
        <v>355</v>
      </c>
      <c r="N8" s="254" t="s">
        <v>846</v>
      </c>
      <c r="O8" s="254" t="s">
        <v>847</v>
      </c>
      <c r="P8" s="256" t="str">
        <f>IFERROR(__xludf.DUMMYFUNCTION("IFERROR(
  TEXT(
    DATE(
      INDEX(SPLIT(O8,"" ""),3),
      VLOOKUP(INDEX(SPLIT(O8,"" ""),1),{""jan."",1;""Feb"",2;""mar."",3;""Apr"",4;""May"",5;""jun."",6;""jul."",7;""Aug"",8;""sep"",9;""Oct"",10;""nov."",11;""Dec"",12},2,FALSE),
      INDEX(SPLIT"&amp;"(O8,"" ""),2)
    ),
    ""dd/mm/yyyy""
  ),
"""")"),"10/04/2026")</f>
        <v>10/04/2026</v>
      </c>
      <c r="Q8" s="254"/>
      <c r="R8" s="254"/>
      <c r="S8" s="254"/>
      <c r="T8" s="255"/>
    </row>
    <row r="9">
      <c r="A9" s="253" t="s">
        <v>848</v>
      </c>
      <c r="B9" s="253" t="s">
        <v>849</v>
      </c>
      <c r="C9" s="257"/>
      <c r="D9" s="257"/>
      <c r="E9" s="255"/>
      <c r="F9" s="254" t="s">
        <v>179</v>
      </c>
      <c r="G9" s="254" t="s">
        <v>352</v>
      </c>
      <c r="H9" s="255"/>
      <c r="I9" s="255"/>
      <c r="J9" s="254" t="s">
        <v>352</v>
      </c>
      <c r="K9" s="254" t="s">
        <v>353</v>
      </c>
      <c r="L9" s="254" t="s">
        <v>354</v>
      </c>
      <c r="M9" s="254" t="s">
        <v>355</v>
      </c>
      <c r="N9" s="254" t="s">
        <v>850</v>
      </c>
      <c r="O9" s="256">
        <v>46108.48819444444</v>
      </c>
      <c r="P9" s="256" t="str">
        <f>IFERROR(__xludf.DUMMYFUNCTION("IFERROR(
  TEXT(
    DATE(
      INDEX(SPLIT(O9,"" ""),3),
      VLOOKUP(INDEX(SPLIT(O9,"" ""),1),{""jan."",1;""Feb"",2;""mar."",3;""Apr"",4;""May"",5;""jun."",6;""jul."",7;""Aug"",8;""sep"",9;""Oct"",10;""nov."",11;""Dec"",12},2,FALSE),
      INDEX(SPLIT"&amp;"(O9,"" ""),2)
    ),
    ""dd/mm/yyyy""
  ),
"""")"),"27/03/2026")</f>
        <v>27/03/2026</v>
      </c>
      <c r="Q9" s="254"/>
      <c r="R9" s="254"/>
      <c r="S9" s="254"/>
      <c r="T9" s="255"/>
    </row>
    <row r="10">
      <c r="A10" s="253" t="s">
        <v>851</v>
      </c>
      <c r="B10" s="253" t="s">
        <v>852</v>
      </c>
      <c r="C10" s="257"/>
      <c r="D10" s="257"/>
      <c r="E10" s="255"/>
      <c r="F10" s="254" t="s">
        <v>204</v>
      </c>
      <c r="G10" s="254" t="s">
        <v>352</v>
      </c>
      <c r="H10" s="255"/>
      <c r="I10" s="255"/>
      <c r="J10" s="254" t="s">
        <v>352</v>
      </c>
      <c r="K10" s="254" t="s">
        <v>353</v>
      </c>
      <c r="L10" s="254" t="s">
        <v>354</v>
      </c>
      <c r="M10" s="254" t="s">
        <v>355</v>
      </c>
      <c r="N10" s="254" t="s">
        <v>437</v>
      </c>
      <c r="O10" s="254" t="s">
        <v>853</v>
      </c>
      <c r="P10" s="256" t="str">
        <f>IFERROR(__xludf.DUMMYFUNCTION("IFERROR(
  TEXT(
    DATE(
      INDEX(SPLIT(O10,"" ""),3),
      VLOOKUP(INDEX(SPLIT(O10,"" ""),1),{""jan."",1;""Feb"",2;""mar."",3;""Apr"",4;""May"",5;""jun."",6;""jul."",7;""Aug"",8;""sep"",9;""Oct"",10;""nov."",11;""Dec"",12},2,FALSE),
      INDEX(SPL"&amp;"IT(O10,"" ""),2)
    ),
    ""dd/mm/yyyy""
  ),
"""")"),"08/04/2026")</f>
        <v>08/04/2026</v>
      </c>
      <c r="Q10" s="254"/>
      <c r="R10" s="254"/>
      <c r="S10" s="254"/>
      <c r="T10" s="255"/>
    </row>
    <row r="11">
      <c r="A11" s="253" t="s">
        <v>854</v>
      </c>
      <c r="B11" s="253" t="s">
        <v>855</v>
      </c>
      <c r="C11" s="257"/>
      <c r="D11" s="257"/>
      <c r="E11" s="255"/>
      <c r="F11" s="254" t="s">
        <v>192</v>
      </c>
      <c r="G11" s="254" t="s">
        <v>352</v>
      </c>
      <c r="H11" s="255"/>
      <c r="I11" s="255"/>
      <c r="J11" s="254" t="s">
        <v>352</v>
      </c>
      <c r="K11" s="254" t="s">
        <v>353</v>
      </c>
      <c r="L11" s="254" t="s">
        <v>354</v>
      </c>
      <c r="M11" s="254" t="s">
        <v>355</v>
      </c>
      <c r="N11" s="254" t="s">
        <v>440</v>
      </c>
      <c r="O11" s="254" t="s">
        <v>856</v>
      </c>
      <c r="P11" s="256" t="str">
        <f>IFERROR(__xludf.DUMMYFUNCTION("IFERROR(
  TEXT(
    DATE(
      INDEX(SPLIT(O11,"" ""),3),
      VLOOKUP(INDEX(SPLIT(O11,"" ""),1),{""jan."",1;""Feb"",2;""mar."",3;""Apr"",4;""May"",5;""jun."",6;""jul."",7;""Aug"",8;""sep"",9;""Oct"",10;""nov."",11;""Dec"",12},2,FALSE),
      INDEX(SPL"&amp;"IT(O11,"" ""),2)
    ),
    ""dd/mm/yyyy""
  ),
"""")"),"10/04/2026")</f>
        <v>10/04/2026</v>
      </c>
      <c r="Q11" s="254"/>
      <c r="R11" s="254"/>
      <c r="S11" s="254"/>
      <c r="T11" s="255"/>
    </row>
    <row r="12">
      <c r="A12" s="253" t="s">
        <v>857</v>
      </c>
      <c r="B12" s="253" t="s">
        <v>858</v>
      </c>
      <c r="C12" s="257"/>
      <c r="D12" s="257"/>
      <c r="E12" s="255"/>
      <c r="F12" s="254" t="s">
        <v>204</v>
      </c>
      <c r="G12" s="254" t="s">
        <v>352</v>
      </c>
      <c r="H12" s="255"/>
      <c r="I12" s="255"/>
      <c r="J12" s="254" t="s">
        <v>352</v>
      </c>
      <c r="K12" s="254" t="s">
        <v>353</v>
      </c>
      <c r="L12" s="254" t="s">
        <v>354</v>
      </c>
      <c r="M12" s="254" t="s">
        <v>355</v>
      </c>
      <c r="N12" s="254" t="s">
        <v>859</v>
      </c>
      <c r="O12" s="254" t="s">
        <v>860</v>
      </c>
      <c r="P12" s="256" t="str">
        <f>IFERROR(__xludf.DUMMYFUNCTION("IFERROR(
  TEXT(
    DATE(
      INDEX(SPLIT(O12,"" ""),3),
      VLOOKUP(INDEX(SPLIT(O12,"" ""),1),{""jan."",1;""Feb"",2;""mar."",3;""Apr"",4;""May"",5;""jun."",6;""jul."",7;""Aug"",8;""sep"",9;""Oct"",10;""nov."",11;""Dec"",12},2,FALSE),
      INDEX(SPL"&amp;"IT(O12,"" ""),2)
    ),
    ""dd/mm/yyyy""
  ),
"""")"),"05/05/2026")</f>
        <v>05/05/2026</v>
      </c>
      <c r="Q12" s="254"/>
      <c r="R12" s="254"/>
      <c r="S12" s="254"/>
      <c r="T12" s="255"/>
    </row>
    <row r="13">
      <c r="A13" s="253" t="s">
        <v>861</v>
      </c>
      <c r="B13" s="253" t="s">
        <v>862</v>
      </c>
      <c r="C13" s="257"/>
      <c r="D13" s="257"/>
      <c r="E13" s="255"/>
      <c r="F13" s="254" t="s">
        <v>130</v>
      </c>
      <c r="G13" s="254" t="s">
        <v>352</v>
      </c>
      <c r="H13" s="255"/>
      <c r="I13" s="255"/>
      <c r="J13" s="254" t="s">
        <v>352</v>
      </c>
      <c r="K13" s="254" t="s">
        <v>353</v>
      </c>
      <c r="L13" s="254" t="s">
        <v>354</v>
      </c>
      <c r="M13" s="254" t="s">
        <v>355</v>
      </c>
      <c r="N13" s="254" t="s">
        <v>863</v>
      </c>
      <c r="O13" s="254" t="s">
        <v>864</v>
      </c>
      <c r="P13" s="256" t="str">
        <f>IFERROR(__xludf.DUMMYFUNCTION("IFERROR(
  TEXT(
    DATE(
      INDEX(SPLIT(O13,"" ""),3),
      VLOOKUP(INDEX(SPLIT(O13,"" ""),1),{""jan."",1;""Feb"",2;""mar."",3;""Apr"",4;""May"",5;""jun."",6;""jul."",7;""Aug"",8;""sep"",9;""Oct"",10;""nov."",11;""Dec"",12},2,FALSE),
      INDEX(SPL"&amp;"IT(O13,"" ""),2)
    ),
    ""dd/mm/yyyy""
  ),
"""")"),"10/04/2026")</f>
        <v>10/04/2026</v>
      </c>
      <c r="Q13" s="254"/>
      <c r="R13" s="254"/>
      <c r="S13" s="254"/>
      <c r="T13" s="255"/>
    </row>
    <row r="14">
      <c r="A14" s="253" t="s">
        <v>865</v>
      </c>
      <c r="B14" s="253" t="s">
        <v>866</v>
      </c>
      <c r="C14" s="257"/>
      <c r="D14" s="257"/>
      <c r="E14" s="255"/>
      <c r="F14" s="254" t="s">
        <v>269</v>
      </c>
      <c r="G14" s="254" t="s">
        <v>352</v>
      </c>
      <c r="H14" s="255"/>
      <c r="I14" s="255"/>
      <c r="J14" s="254" t="s">
        <v>352</v>
      </c>
      <c r="K14" s="254" t="s">
        <v>353</v>
      </c>
      <c r="L14" s="254" t="s">
        <v>354</v>
      </c>
      <c r="M14" s="254" t="s">
        <v>355</v>
      </c>
      <c r="N14" s="254" t="s">
        <v>867</v>
      </c>
      <c r="O14" s="254" t="s">
        <v>868</v>
      </c>
      <c r="P14" s="256" t="str">
        <f>IFERROR(__xludf.DUMMYFUNCTION("IFERROR(
  TEXT(
    DATE(
      INDEX(SPLIT(O14,"" ""),3),
      VLOOKUP(INDEX(SPLIT(O14,"" ""),1),{""jan."",1;""Feb"",2;""mar."",3;""Apr"",4;""May"",5;""jun."",6;""jul."",7;""Aug"",8;""sep"",9;""Oct"",10;""nov."",11;""Dec"",12},2,FALSE),
      INDEX(SPL"&amp;"IT(O14,"" ""),2)
    ),
    ""dd/mm/yyyy""
  ),
"""")"),"07/04/2026")</f>
        <v>07/04/2026</v>
      </c>
      <c r="Q14" s="254"/>
      <c r="R14" s="254"/>
      <c r="S14" s="254"/>
      <c r="T14" s="255"/>
    </row>
    <row r="15">
      <c r="A15" s="253" t="s">
        <v>869</v>
      </c>
      <c r="B15" s="253" t="s">
        <v>870</v>
      </c>
      <c r="C15" s="257"/>
      <c r="D15" s="257"/>
      <c r="E15" s="255"/>
      <c r="F15" s="254" t="s">
        <v>871</v>
      </c>
      <c r="G15" s="254" t="s">
        <v>352</v>
      </c>
      <c r="H15" s="255"/>
      <c r="I15" s="255"/>
      <c r="J15" s="254" t="s">
        <v>352</v>
      </c>
      <c r="K15" s="254" t="s">
        <v>353</v>
      </c>
      <c r="L15" s="254" t="s">
        <v>354</v>
      </c>
      <c r="M15" s="254" t="s">
        <v>355</v>
      </c>
      <c r="N15" s="254" t="s">
        <v>872</v>
      </c>
      <c r="O15" s="256">
        <v>46052.49097222222</v>
      </c>
      <c r="P15" s="256" t="str">
        <f>IFERROR(__xludf.DUMMYFUNCTION("IFERROR(
  TEXT(
    DATE(
      INDEX(SPLIT(O15,"" ""),3),
      VLOOKUP(INDEX(SPLIT(O15,"" ""),1),{""jan."",1;""Feb"",2;""mar."",3;""Apr"",4;""May"",5;""jun."",6;""jul."",7;""Aug"",8;""sep"",9;""Oct"",10;""nov."",11;""Dec"",12},2,FALSE),
      INDEX(SPL"&amp;"IT(O15,"" ""),2)
    ),
    ""dd/mm/yyyy""
  ),
"""")"),"30/01/2026")</f>
        <v>30/01/2026</v>
      </c>
      <c r="Q15" s="254"/>
      <c r="R15" s="256"/>
      <c r="S15" s="254"/>
      <c r="T15" s="255"/>
    </row>
    <row r="16">
      <c r="A16" s="253" t="s">
        <v>873</v>
      </c>
      <c r="B16" s="253" t="s">
        <v>874</v>
      </c>
      <c r="C16" s="257"/>
      <c r="D16" s="257"/>
      <c r="E16" s="255"/>
      <c r="F16" s="254" t="s">
        <v>245</v>
      </c>
      <c r="G16" s="254" t="s">
        <v>352</v>
      </c>
      <c r="H16" s="255"/>
      <c r="I16" s="255"/>
      <c r="J16" s="254" t="s">
        <v>352</v>
      </c>
      <c r="K16" s="254" t="s">
        <v>353</v>
      </c>
      <c r="L16" s="254" t="s">
        <v>354</v>
      </c>
      <c r="M16" s="254" t="s">
        <v>355</v>
      </c>
      <c r="N16" s="254" t="s">
        <v>875</v>
      </c>
      <c r="O16" s="256">
        <v>46099.427777777775</v>
      </c>
      <c r="P16" s="256" t="str">
        <f>IFERROR(__xludf.DUMMYFUNCTION("IFERROR(
  TEXT(
    DATE(
      INDEX(SPLIT(O16,"" ""),3),
      VLOOKUP(INDEX(SPLIT(O16,"" ""),1),{""jan."",1;""Feb"",2;""mar."",3;""Apr"",4;""May"",5;""jun."",6;""jul."",7;""Aug"",8;""sep"",9;""Oct"",10;""nov."",11;""Dec"",12},2,FALSE),
      INDEX(SPL"&amp;"IT(O16,"" ""),2)
    ),
    ""dd/mm/yyyy""
  ),
"""")"),"18/03/2026")</f>
        <v>18/03/2026</v>
      </c>
      <c r="Q16" s="254"/>
      <c r="R16" s="254"/>
      <c r="S16" s="254"/>
      <c r="T16" s="255"/>
    </row>
    <row r="17">
      <c r="A17" s="253" t="s">
        <v>876</v>
      </c>
      <c r="B17" s="253" t="s">
        <v>877</v>
      </c>
      <c r="C17" s="257"/>
      <c r="D17" s="257"/>
      <c r="E17" s="255"/>
      <c r="F17" s="254" t="s">
        <v>259</v>
      </c>
      <c r="G17" s="254" t="s">
        <v>352</v>
      </c>
      <c r="H17" s="255"/>
      <c r="I17" s="255"/>
      <c r="J17" s="254" t="s">
        <v>352</v>
      </c>
      <c r="K17" s="254" t="s">
        <v>353</v>
      </c>
      <c r="L17" s="254" t="s">
        <v>354</v>
      </c>
      <c r="M17" s="254" t="s">
        <v>355</v>
      </c>
      <c r="N17" s="254" t="s">
        <v>878</v>
      </c>
      <c r="O17" s="256">
        <v>46107.736805555556</v>
      </c>
      <c r="P17" s="256" t="str">
        <f>IFERROR(__xludf.DUMMYFUNCTION("IFERROR(
  TEXT(
    DATE(
      INDEX(SPLIT(O17,"" ""),3),
      VLOOKUP(INDEX(SPLIT(O17,"" ""),1),{""jan."",1;""Feb"",2;""mar."",3;""Apr"",4;""May"",5;""jun."",6;""jul."",7;""Aug"",8;""sep"",9;""Oct"",10;""nov."",11;""Dec"",12},2,FALSE),
      INDEX(SPL"&amp;"IT(O17,"" ""),2)
    ),
    ""dd/mm/yyyy""
  ),
"""")"),"26/03/2026")</f>
        <v>26/03/2026</v>
      </c>
      <c r="Q17" s="254"/>
      <c r="R17" s="254"/>
      <c r="S17" s="254"/>
      <c r="T17" s="255"/>
    </row>
    <row r="18">
      <c r="A18" s="253" t="s">
        <v>879</v>
      </c>
      <c r="B18" s="253" t="s">
        <v>880</v>
      </c>
      <c r="C18" s="257"/>
      <c r="D18" s="257"/>
      <c r="E18" s="255"/>
      <c r="F18" s="254" t="s">
        <v>134</v>
      </c>
      <c r="G18" s="254" t="s">
        <v>352</v>
      </c>
      <c r="H18" s="255"/>
      <c r="I18" s="255"/>
      <c r="J18" s="254" t="s">
        <v>352</v>
      </c>
      <c r="K18" s="254" t="s">
        <v>353</v>
      </c>
      <c r="L18" s="254" t="s">
        <v>354</v>
      </c>
      <c r="M18" s="254" t="s">
        <v>355</v>
      </c>
      <c r="N18" s="254" t="s">
        <v>881</v>
      </c>
      <c r="O18" s="256">
        <v>45970.830555555556</v>
      </c>
      <c r="P18" s="256" t="str">
        <f>IFERROR(__xludf.DUMMYFUNCTION("IFERROR(
  TEXT(
    DATE(
      INDEX(SPLIT(O18,"" ""),3),
      VLOOKUP(INDEX(SPLIT(O18,"" ""),1),{""jan."",1;""Feb"",2;""mar."",3;""Apr"",4;""May"",5;""jun."",6;""jul."",7;""Aug"",8;""sep"",9;""Oct"",10;""nov."",11;""Dec"",12},2,FALSE),
      INDEX(SPL"&amp;"IT(O18,"" ""),2)
    ),
    ""dd/mm/yyyy""
  ),
"""")"),"09/11/2025")</f>
        <v>09/11/2025</v>
      </c>
      <c r="Q18" s="254"/>
      <c r="R18" s="254"/>
      <c r="S18" s="254"/>
      <c r="T18" s="255"/>
    </row>
    <row r="19">
      <c r="A19" s="253" t="s">
        <v>882</v>
      </c>
      <c r="B19" s="253" t="s">
        <v>883</v>
      </c>
      <c r="C19" s="257"/>
      <c r="D19" s="257"/>
      <c r="E19" s="255"/>
      <c r="F19" s="254" t="s">
        <v>95</v>
      </c>
      <c r="G19" s="254" t="s">
        <v>352</v>
      </c>
      <c r="H19" s="255"/>
      <c r="I19" s="255"/>
      <c r="J19" s="254" t="s">
        <v>352</v>
      </c>
      <c r="K19" s="254" t="s">
        <v>353</v>
      </c>
      <c r="L19" s="254" t="s">
        <v>354</v>
      </c>
      <c r="M19" s="254" t="s">
        <v>355</v>
      </c>
      <c r="N19" s="254" t="s">
        <v>884</v>
      </c>
      <c r="O19" s="256">
        <v>46052.62222222222</v>
      </c>
      <c r="P19" s="256" t="str">
        <f>IFERROR(__xludf.DUMMYFUNCTION("IFERROR(
  TEXT(
    DATE(
      INDEX(SPLIT(O19,"" ""),3),
      VLOOKUP(INDEX(SPLIT(O19,"" ""),1),{""jan."",1;""Feb"",2;""mar."",3;""Apr"",4;""May"",5;""jun."",6;""jul."",7;""Aug"",8;""sep"",9;""Oct"",10;""nov."",11;""Dec"",12},2,FALSE),
      INDEX(SPL"&amp;"IT(O19,"" ""),2)
    ),
    ""dd/mm/yyyy""
  ),
"""")"),"30/01/2026")</f>
        <v>30/01/2026</v>
      </c>
      <c r="Q19" s="254"/>
      <c r="R19" s="254"/>
      <c r="S19" s="254"/>
      <c r="T19" s="255"/>
    </row>
    <row r="20">
      <c r="A20" s="253" t="s">
        <v>885</v>
      </c>
      <c r="B20" s="253" t="s">
        <v>886</v>
      </c>
      <c r="C20" s="257"/>
      <c r="D20" s="257"/>
      <c r="E20" s="255"/>
      <c r="F20" s="254" t="s">
        <v>170</v>
      </c>
      <c r="G20" s="254" t="s">
        <v>352</v>
      </c>
      <c r="H20" s="255"/>
      <c r="I20" s="255"/>
      <c r="J20" s="254" t="s">
        <v>352</v>
      </c>
      <c r="K20" s="254" t="s">
        <v>353</v>
      </c>
      <c r="L20" s="254" t="s">
        <v>354</v>
      </c>
      <c r="M20" s="254" t="s">
        <v>355</v>
      </c>
      <c r="N20" s="254" t="s">
        <v>887</v>
      </c>
      <c r="O20" s="254" t="s">
        <v>888</v>
      </c>
      <c r="P20" s="256" t="str">
        <f>IFERROR(__xludf.DUMMYFUNCTION("IFERROR(
  TEXT(
    DATE(
      INDEX(SPLIT(O20,"" ""),3),
      VLOOKUP(INDEX(SPLIT(O20,"" ""),1),{""jan."",1;""Feb"",2;""mar."",3;""Apr"",4;""May"",5;""jun."",6;""jul."",7;""Aug"",8;""sep"",9;""Oct"",10;""nov."",11;""Dec"",12},2,FALSE),
      INDEX(SPL"&amp;"IT(O20,"" ""),2)
    ),
    ""dd/mm/yyyy""
  ),
"""")"),"11/05/2026")</f>
        <v>11/05/2026</v>
      </c>
      <c r="Q20" s="254"/>
      <c r="R20" s="254"/>
      <c r="S20" s="254"/>
      <c r="T20" s="255"/>
    </row>
    <row r="21">
      <c r="A21" s="253" t="s">
        <v>889</v>
      </c>
      <c r="B21" s="253" t="s">
        <v>890</v>
      </c>
      <c r="C21" s="257"/>
      <c r="D21" s="257"/>
      <c r="E21" s="255"/>
      <c r="F21" s="254" t="s">
        <v>871</v>
      </c>
      <c r="G21" s="254" t="s">
        <v>352</v>
      </c>
      <c r="H21" s="255"/>
      <c r="I21" s="255"/>
      <c r="J21" s="254" t="s">
        <v>352</v>
      </c>
      <c r="K21" s="254" t="s">
        <v>353</v>
      </c>
      <c r="L21" s="254" t="s">
        <v>354</v>
      </c>
      <c r="M21" s="254" t="s">
        <v>355</v>
      </c>
      <c r="N21" s="254" t="s">
        <v>891</v>
      </c>
      <c r="O21" s="256">
        <v>46045.49513888889</v>
      </c>
      <c r="P21" s="256" t="str">
        <f>IFERROR(__xludf.DUMMYFUNCTION("IFERROR(
  TEXT(
    DATE(
      INDEX(SPLIT(O21,"" ""),3),
      VLOOKUP(INDEX(SPLIT(O21,"" ""),1),{""jan."",1;""Feb"",2;""mar."",3;""Apr"",4;""May"",5;""jun."",6;""jul."",7;""Aug"",8;""sep"",9;""Oct"",10;""nov."",11;""Dec"",12},2,FALSE),
      INDEX(SPL"&amp;"IT(O21,"" ""),2)
    ),
    ""dd/mm/yyyy""
  ),
"""")"),"23/01/2026")</f>
        <v>23/01/2026</v>
      </c>
      <c r="Q21" s="254"/>
      <c r="R21" s="254"/>
      <c r="S21" s="254"/>
      <c r="T21" s="255"/>
    </row>
    <row r="22">
      <c r="A22" s="253" t="s">
        <v>892</v>
      </c>
      <c r="B22" s="253" t="s">
        <v>893</v>
      </c>
      <c r="C22" s="257"/>
      <c r="D22" s="257"/>
      <c r="E22" s="255"/>
      <c r="F22" s="254" t="s">
        <v>118</v>
      </c>
      <c r="G22" s="254" t="s">
        <v>352</v>
      </c>
      <c r="H22" s="255"/>
      <c r="I22" s="255"/>
      <c r="J22" s="254" t="s">
        <v>352</v>
      </c>
      <c r="K22" s="254" t="s">
        <v>353</v>
      </c>
      <c r="L22" s="254" t="s">
        <v>354</v>
      </c>
      <c r="M22" s="254" t="s">
        <v>355</v>
      </c>
      <c r="N22" s="254" t="s">
        <v>415</v>
      </c>
      <c r="O22" s="254" t="s">
        <v>894</v>
      </c>
      <c r="P22" s="256" t="str">
        <f>IFERROR(__xludf.DUMMYFUNCTION("IFERROR(
  TEXT(
    DATE(
      INDEX(SPLIT(O22,"" ""),3),
      VLOOKUP(INDEX(SPLIT(O22,"" ""),1),{""jan."",1;""Feb"",2;""mar."",3;""Apr"",4;""May"",5;""jun."",6;""jul."",7;""Aug"",8;""sep"",9;""Oct"",10;""nov."",11;""Dec"",12},2,FALSE),
      INDEX(SPL"&amp;"IT(O22,"" ""),2)
    ),
    ""dd/mm/yyyy""
  ),
"""")"),"04/02/2025")</f>
        <v>04/02/2025</v>
      </c>
      <c r="Q22" s="254"/>
      <c r="R22" s="254"/>
      <c r="S22" s="254"/>
      <c r="T22" s="255"/>
    </row>
    <row r="23">
      <c r="A23" s="253" t="s">
        <v>895</v>
      </c>
      <c r="B23" s="253" t="s">
        <v>896</v>
      </c>
      <c r="C23" s="257"/>
      <c r="D23" s="257"/>
      <c r="E23" s="255"/>
      <c r="F23" s="254" t="s">
        <v>118</v>
      </c>
      <c r="G23" s="254" t="s">
        <v>352</v>
      </c>
      <c r="H23" s="255"/>
      <c r="I23" s="255"/>
      <c r="J23" s="254" t="s">
        <v>352</v>
      </c>
      <c r="K23" s="254" t="s">
        <v>353</v>
      </c>
      <c r="L23" s="254" t="s">
        <v>354</v>
      </c>
      <c r="M23" s="254" t="s">
        <v>355</v>
      </c>
      <c r="N23" s="254" t="s">
        <v>897</v>
      </c>
      <c r="O23" s="254" t="s">
        <v>894</v>
      </c>
      <c r="P23" s="256" t="str">
        <f>IFERROR(__xludf.DUMMYFUNCTION("IFERROR(
  TEXT(
    DATE(
      INDEX(SPLIT(O23,"" ""),3),
      VLOOKUP(INDEX(SPLIT(O23,"" ""),1),{""jan."",1;""Feb"",2;""mar."",3;""Apr"",4;""May"",5;""jun."",6;""jul."",7;""Aug"",8;""sep"",9;""Oct"",10;""nov."",11;""Dec"",12},2,FALSE),
      INDEX(SPL"&amp;"IT(O23,"" ""),2)
    ),
    ""dd/mm/yyyy""
  ),
"""")"),"04/02/2025")</f>
        <v>04/02/2025</v>
      </c>
      <c r="Q23" s="254"/>
      <c r="R23" s="254"/>
      <c r="S23" s="254"/>
      <c r="T23" s="255"/>
    </row>
    <row r="24">
      <c r="A24" s="253" t="s">
        <v>898</v>
      </c>
      <c r="B24" s="253" t="s">
        <v>899</v>
      </c>
      <c r="C24" s="254" t="s">
        <v>900</v>
      </c>
      <c r="D24" s="254" t="s">
        <v>351</v>
      </c>
      <c r="E24" s="255"/>
      <c r="F24" s="254" t="s">
        <v>192</v>
      </c>
      <c r="G24" s="254" t="s">
        <v>352</v>
      </c>
      <c r="H24" s="255"/>
      <c r="I24" s="255"/>
      <c r="J24" s="254" t="s">
        <v>352</v>
      </c>
      <c r="K24" s="254" t="s">
        <v>353</v>
      </c>
      <c r="L24" s="254" t="s">
        <v>354</v>
      </c>
      <c r="M24" s="254" t="s">
        <v>355</v>
      </c>
      <c r="N24" s="254" t="s">
        <v>901</v>
      </c>
      <c r="O24" s="254" t="s">
        <v>902</v>
      </c>
      <c r="P24" s="256" t="str">
        <f>IFERROR(__xludf.DUMMYFUNCTION("IFERROR(
  TEXT(
    DATE(
      INDEX(SPLIT(O24,"" ""),3),
      VLOOKUP(INDEX(SPLIT(O24,"" ""),1),{""jan."",1;""Feb"",2;""mar."",3;""Apr"",4;""May"",5;""jun."",6;""jul."",7;""Aug"",8;""sep"",9;""Oct"",10;""nov."",11;""Dec"",12},2,FALSE),
      INDEX(SPL"&amp;"IT(O24,"" ""),2)
    ),
    ""dd/mm/yyyy""
  ),
"""")"),"04/02/2025")</f>
        <v>04/02/2025</v>
      </c>
      <c r="Q24" s="254"/>
      <c r="R24" s="254"/>
      <c r="S24" s="254"/>
      <c r="T24" s="255"/>
    </row>
    <row r="25">
      <c r="A25" s="253" t="s">
        <v>903</v>
      </c>
      <c r="B25" s="253" t="s">
        <v>904</v>
      </c>
      <c r="C25" s="254" t="s">
        <v>900</v>
      </c>
      <c r="D25" s="254" t="s">
        <v>351</v>
      </c>
      <c r="E25" s="255"/>
      <c r="F25" s="254" t="s">
        <v>166</v>
      </c>
      <c r="G25" s="254" t="s">
        <v>352</v>
      </c>
      <c r="H25" s="255"/>
      <c r="I25" s="255"/>
      <c r="J25" s="254" t="s">
        <v>352</v>
      </c>
      <c r="K25" s="254" t="s">
        <v>353</v>
      </c>
      <c r="L25" s="254" t="s">
        <v>354</v>
      </c>
      <c r="M25" s="254" t="s">
        <v>355</v>
      </c>
      <c r="N25" s="254" t="s">
        <v>905</v>
      </c>
      <c r="O25" s="254" t="s">
        <v>902</v>
      </c>
      <c r="P25" s="256" t="str">
        <f>IFERROR(__xludf.DUMMYFUNCTION("IFERROR(
  TEXT(
    DATE(
      INDEX(SPLIT(O25,"" ""),3),
      VLOOKUP(INDEX(SPLIT(O25,"" ""),1),{""jan."",1;""Feb"",2;""mar."",3;""Apr"",4;""May"",5;""jun."",6;""jul."",7;""Aug"",8;""sep"",9;""Oct"",10;""nov."",11;""Dec"",12},2,FALSE),
      INDEX(SPL"&amp;"IT(O25,"" ""),2)
    ),
    ""dd/mm/yyyy""
  ),
"""")"),"04/02/2025")</f>
        <v>04/02/2025</v>
      </c>
      <c r="Q25" s="254"/>
      <c r="R25" s="254"/>
      <c r="S25" s="254"/>
      <c r="T25" s="255"/>
    </row>
    <row r="26">
      <c r="A26" s="253" t="s">
        <v>906</v>
      </c>
      <c r="B26" s="253" t="s">
        <v>907</v>
      </c>
      <c r="C26" s="254" t="s">
        <v>900</v>
      </c>
      <c r="D26" s="254" t="s">
        <v>351</v>
      </c>
      <c r="E26" s="255"/>
      <c r="F26" s="254" t="s">
        <v>170</v>
      </c>
      <c r="G26" s="254" t="s">
        <v>352</v>
      </c>
      <c r="H26" s="255"/>
      <c r="I26" s="255"/>
      <c r="J26" s="254" t="s">
        <v>352</v>
      </c>
      <c r="K26" s="254" t="s">
        <v>353</v>
      </c>
      <c r="L26" s="254" t="s">
        <v>354</v>
      </c>
      <c r="M26" s="254" t="s">
        <v>355</v>
      </c>
      <c r="N26" s="254" t="s">
        <v>908</v>
      </c>
      <c r="O26" s="254" t="s">
        <v>909</v>
      </c>
      <c r="P26" s="256" t="str">
        <f>IFERROR(__xludf.DUMMYFUNCTION("IFERROR(
  TEXT(
    DATE(
      INDEX(SPLIT(O26,"" ""),3),
      VLOOKUP(INDEX(SPLIT(O26,"" ""),1),{""jan."",1;""Feb"",2;""mar."",3;""Apr"",4;""May"",5;""jun."",6;""jul."",7;""Aug"",8;""sep"",9;""Oct"",10;""nov."",11;""Dec"",12},2,FALSE),
      INDEX(SPL"&amp;"IT(O26,"" ""),2)
    ),
    ""dd/mm/yyyy""
  ),
"""")"),"04/02/2025")</f>
        <v>04/02/2025</v>
      </c>
      <c r="Q26" s="254"/>
      <c r="R26" s="256"/>
      <c r="S26" s="254"/>
      <c r="T26" s="255"/>
    </row>
    <row r="27">
      <c r="A27" s="253" t="s">
        <v>910</v>
      </c>
      <c r="B27" s="253" t="s">
        <v>911</v>
      </c>
      <c r="C27" s="257"/>
      <c r="D27" s="257"/>
      <c r="E27" s="255"/>
      <c r="F27" s="254" t="s">
        <v>95</v>
      </c>
      <c r="G27" s="254" t="s">
        <v>352</v>
      </c>
      <c r="H27" s="255"/>
      <c r="I27" s="255"/>
      <c r="J27" s="254" t="s">
        <v>352</v>
      </c>
      <c r="K27" s="254" t="s">
        <v>353</v>
      </c>
      <c r="L27" s="254" t="s">
        <v>354</v>
      </c>
      <c r="M27" s="254" t="s">
        <v>355</v>
      </c>
      <c r="N27" s="254" t="s">
        <v>912</v>
      </c>
      <c r="O27" s="254" t="s">
        <v>913</v>
      </c>
      <c r="P27" s="256" t="str">
        <f>IFERROR(__xludf.DUMMYFUNCTION("IFERROR(
  TEXT(
    DATE(
      INDEX(SPLIT(O27,"" ""),3),
      VLOOKUP(INDEX(SPLIT(O27,"" ""),1),{""jan."",1;""Feb"",2;""mar."",3;""Apr"",4;""May"",5;""jun."",6;""jul."",7;""Aug"",8;""sep"",9;""Oct"",10;""nov."",11;""Dec"",12},2,FALSE),
      INDEX(SPL"&amp;"IT(O27,"" ""),2)
    ),
    ""dd/mm/yyyy""
  ),
"""")"),"04/02/2025")</f>
        <v>04/02/2025</v>
      </c>
      <c r="Q27" s="254"/>
      <c r="R27" s="254"/>
      <c r="S27" s="254"/>
      <c r="T27" s="255"/>
    </row>
    <row r="28">
      <c r="A28" s="253" t="s">
        <v>914</v>
      </c>
      <c r="B28" s="253" t="s">
        <v>915</v>
      </c>
      <c r="C28" s="257"/>
      <c r="D28" s="254" t="s">
        <v>351</v>
      </c>
      <c r="E28" s="255"/>
      <c r="F28" s="254" t="s">
        <v>204</v>
      </c>
      <c r="G28" s="254" t="s">
        <v>352</v>
      </c>
      <c r="H28" s="255"/>
      <c r="I28" s="255"/>
      <c r="J28" s="254" t="s">
        <v>352</v>
      </c>
      <c r="K28" s="254" t="s">
        <v>353</v>
      </c>
      <c r="L28" s="254" t="s">
        <v>352</v>
      </c>
      <c r="M28" s="254" t="s">
        <v>352</v>
      </c>
      <c r="N28" s="254" t="s">
        <v>916</v>
      </c>
      <c r="O28" s="254" t="s">
        <v>913</v>
      </c>
      <c r="P28" s="256" t="str">
        <f>IFERROR(__xludf.DUMMYFUNCTION("IFERROR(
  TEXT(
    DATE(
      INDEX(SPLIT(O28,"" ""),3),
      VLOOKUP(INDEX(SPLIT(O28,"" ""),1),{""jan."",1;""Feb"",2;""mar."",3;""Apr"",4;""May"",5;""jun."",6;""jul."",7;""Aug"",8;""sep"",9;""Oct"",10;""nov."",11;""Dec"",12},2,FALSE),
      INDEX(SPL"&amp;"IT(O28,"" ""),2)
    ),
    ""dd/mm/yyyy""
  ),
"""")"),"04/02/2025")</f>
        <v>04/02/2025</v>
      </c>
      <c r="Q28" s="254"/>
      <c r="R28" s="256"/>
      <c r="S28" s="254"/>
      <c r="T28" s="255"/>
    </row>
    <row r="29">
      <c r="A29" s="253" t="s">
        <v>917</v>
      </c>
      <c r="B29" s="253" t="s">
        <v>918</v>
      </c>
      <c r="C29" s="254" t="s">
        <v>900</v>
      </c>
      <c r="D29" s="254" t="s">
        <v>351</v>
      </c>
      <c r="E29" s="255"/>
      <c r="F29" s="254" t="s">
        <v>95</v>
      </c>
      <c r="G29" s="254" t="s">
        <v>352</v>
      </c>
      <c r="H29" s="255"/>
      <c r="I29" s="255"/>
      <c r="J29" s="254" t="s">
        <v>352</v>
      </c>
      <c r="K29" s="254" t="s">
        <v>353</v>
      </c>
      <c r="L29" s="254" t="s">
        <v>354</v>
      </c>
      <c r="M29" s="254" t="s">
        <v>355</v>
      </c>
      <c r="N29" s="254" t="s">
        <v>919</v>
      </c>
      <c r="O29" s="254" t="s">
        <v>909</v>
      </c>
      <c r="P29" s="256" t="str">
        <f>IFERROR(__xludf.DUMMYFUNCTION("IFERROR(
  TEXT(
    DATE(
      INDEX(SPLIT(O29,"" ""),3),
      VLOOKUP(INDEX(SPLIT(O29,"" ""),1),{""jan."",1;""Feb"",2;""mar."",3;""Apr"",4;""May"",5;""jun."",6;""jul."",7;""Aug"",8;""sep"",9;""Oct"",10;""nov."",11;""Dec"",12},2,FALSE),
      INDEX(SPL"&amp;"IT(O29,"" ""),2)
    ),
    ""dd/mm/yyyy""
  ),
"""")"),"04/02/2025")</f>
        <v>04/02/2025</v>
      </c>
      <c r="Q29" s="254"/>
      <c r="R29" s="256"/>
      <c r="S29" s="254"/>
      <c r="T29" s="255"/>
    </row>
    <row r="30">
      <c r="A30" s="253" t="s">
        <v>920</v>
      </c>
      <c r="B30" s="253" t="s">
        <v>921</v>
      </c>
      <c r="C30" s="254" t="s">
        <v>900</v>
      </c>
      <c r="D30" s="254" t="s">
        <v>351</v>
      </c>
      <c r="E30" s="255"/>
      <c r="F30" s="254" t="s">
        <v>130</v>
      </c>
      <c r="G30" s="254" t="s">
        <v>352</v>
      </c>
      <c r="H30" s="255"/>
      <c r="I30" s="255"/>
      <c r="J30" s="254" t="s">
        <v>352</v>
      </c>
      <c r="K30" s="254" t="s">
        <v>353</v>
      </c>
      <c r="L30" s="254" t="s">
        <v>354</v>
      </c>
      <c r="M30" s="254" t="s">
        <v>355</v>
      </c>
      <c r="N30" s="254" t="s">
        <v>922</v>
      </c>
      <c r="O30" s="254" t="s">
        <v>902</v>
      </c>
      <c r="P30" s="256" t="str">
        <f>IFERROR(__xludf.DUMMYFUNCTION("IFERROR(
  TEXT(
    DATE(
      INDEX(SPLIT(O30,"" ""),3),
      VLOOKUP(INDEX(SPLIT(O30,"" ""),1),{""jan."",1;""Feb"",2;""mar."",3;""Apr"",4;""May"",5;""jun."",6;""jul."",7;""Aug"",8;""sep"",9;""Oct"",10;""nov."",11;""Dec"",12},2,FALSE),
      INDEX(SPL"&amp;"IT(O30,"" ""),2)
    ),
    ""dd/mm/yyyy""
  ),
"""")"),"04/02/2025")</f>
        <v>04/02/2025</v>
      </c>
      <c r="Q30" s="254"/>
      <c r="R30" s="254"/>
      <c r="S30" s="254"/>
      <c r="T30" s="255"/>
    </row>
    <row r="31">
      <c r="A31" s="253" t="s">
        <v>923</v>
      </c>
      <c r="B31" s="253" t="s">
        <v>924</v>
      </c>
      <c r="C31" s="254" t="s">
        <v>900</v>
      </c>
      <c r="D31" s="254" t="s">
        <v>351</v>
      </c>
      <c r="E31" s="255"/>
      <c r="F31" s="254" t="s">
        <v>253</v>
      </c>
      <c r="G31" s="254" t="s">
        <v>352</v>
      </c>
      <c r="H31" s="255"/>
      <c r="I31" s="255"/>
      <c r="J31" s="254" t="s">
        <v>352</v>
      </c>
      <c r="K31" s="254" t="s">
        <v>353</v>
      </c>
      <c r="L31" s="254" t="s">
        <v>354</v>
      </c>
      <c r="M31" s="254" t="s">
        <v>355</v>
      </c>
      <c r="N31" s="254" t="s">
        <v>925</v>
      </c>
      <c r="O31" s="254" t="s">
        <v>926</v>
      </c>
      <c r="P31" s="256" t="str">
        <f>IFERROR(__xludf.DUMMYFUNCTION("IFERROR(
  TEXT(
    DATE(
      INDEX(SPLIT(O31,"" ""),3),
      VLOOKUP(INDEX(SPLIT(O31,"" ""),1),{""jan."",1;""Feb"",2;""mar."",3;""Apr"",4;""May"",5;""jun."",6;""jul."",7;""Aug"",8;""sep"",9;""Oct"",10;""nov."",11;""Dec"",12},2,FALSE),
      INDEX(SPL"&amp;"IT(O31,"" ""),2)
    ),
    ""dd/mm/yyyy""
  ),
"""")"),"13/04/2026")</f>
        <v>13/04/2026</v>
      </c>
      <c r="Q31" s="254"/>
      <c r="R31" s="254"/>
      <c r="S31" s="254"/>
      <c r="T31" s="255"/>
    </row>
    <row r="32">
      <c r="A32" s="253" t="s">
        <v>927</v>
      </c>
      <c r="B32" s="253" t="s">
        <v>928</v>
      </c>
      <c r="C32" s="254" t="s">
        <v>900</v>
      </c>
      <c r="D32" s="254" t="s">
        <v>351</v>
      </c>
      <c r="E32" s="255"/>
      <c r="F32" s="254" t="s">
        <v>272</v>
      </c>
      <c r="G32" s="254" t="s">
        <v>352</v>
      </c>
      <c r="H32" s="255"/>
      <c r="I32" s="255"/>
      <c r="J32" s="254" t="s">
        <v>352</v>
      </c>
      <c r="K32" s="254" t="s">
        <v>353</v>
      </c>
      <c r="L32" s="254" t="s">
        <v>354</v>
      </c>
      <c r="M32" s="254" t="s">
        <v>355</v>
      </c>
      <c r="N32" s="254" t="s">
        <v>929</v>
      </c>
      <c r="O32" s="254" t="s">
        <v>930</v>
      </c>
      <c r="P32" s="256" t="str">
        <f>IFERROR(__xludf.DUMMYFUNCTION("IFERROR(
  TEXT(
    DATE(
      INDEX(SPLIT(O32,"" ""),3),
      VLOOKUP(INDEX(SPLIT(O32,"" ""),1),{""jan."",1;""Feb"",2;""mar."",3;""Apr"",4;""May"",5;""jun."",6;""jul."",7;""Aug"",8;""sep"",9;""Oct"",10;""nov."",11;""Dec"",12},2,FALSE),
      INDEX(SPL"&amp;"IT(O32,"" ""),2)
    ),
    ""dd/mm/yyyy""
  ),
"""")"),"17/04/2026")</f>
        <v>17/04/2026</v>
      </c>
      <c r="Q32" s="254"/>
      <c r="R32" s="254"/>
      <c r="S32" s="254"/>
      <c r="T32" s="255"/>
    </row>
    <row r="33">
      <c r="A33" s="253" t="s">
        <v>931</v>
      </c>
      <c r="B33" s="253" t="s">
        <v>932</v>
      </c>
      <c r="C33" s="254" t="s">
        <v>900</v>
      </c>
      <c r="D33" s="254" t="s">
        <v>351</v>
      </c>
      <c r="E33" s="255"/>
      <c r="F33" s="254" t="s">
        <v>192</v>
      </c>
      <c r="G33" s="254" t="s">
        <v>352</v>
      </c>
      <c r="H33" s="255"/>
      <c r="I33" s="255"/>
      <c r="J33" s="254" t="s">
        <v>352</v>
      </c>
      <c r="K33" s="254" t="s">
        <v>353</v>
      </c>
      <c r="L33" s="254" t="s">
        <v>354</v>
      </c>
      <c r="M33" s="254" t="s">
        <v>355</v>
      </c>
      <c r="N33" s="254" t="s">
        <v>933</v>
      </c>
      <c r="O33" s="254" t="s">
        <v>831</v>
      </c>
      <c r="P33" s="256" t="str">
        <f>IFERROR(__xludf.DUMMYFUNCTION("IFERROR(
  TEXT(
    DATE(
      INDEX(SPLIT(O33,"" ""),3),
      VLOOKUP(INDEX(SPLIT(O33,"" ""),1),{""jan."",1;""Feb"",2;""mar."",3;""Apr"",4;""May"",5;""jun."",6;""jul."",7;""Aug"",8;""sep"",9;""Oct"",10;""nov."",11;""Dec"",12},2,FALSE),
      INDEX(SPL"&amp;"IT(O33,"" ""),2)
    ),
    ""dd/mm/yyyy""
  ),
"""")"),"04/12/2025")</f>
        <v>04/12/2025</v>
      </c>
      <c r="Q33" s="254"/>
      <c r="R33" s="254"/>
      <c r="S33" s="254"/>
      <c r="T33" s="255"/>
    </row>
    <row r="34">
      <c r="A34" s="253" t="s">
        <v>934</v>
      </c>
      <c r="B34" s="253" t="s">
        <v>935</v>
      </c>
      <c r="C34" s="254" t="s">
        <v>900</v>
      </c>
      <c r="D34" s="254" t="s">
        <v>351</v>
      </c>
      <c r="E34" s="255"/>
      <c r="F34" s="254" t="s">
        <v>130</v>
      </c>
      <c r="G34" s="254" t="s">
        <v>352</v>
      </c>
      <c r="H34" s="255"/>
      <c r="I34" s="255"/>
      <c r="J34" s="254" t="s">
        <v>352</v>
      </c>
      <c r="K34" s="254" t="s">
        <v>353</v>
      </c>
      <c r="L34" s="254" t="s">
        <v>354</v>
      </c>
      <c r="M34" s="254" t="s">
        <v>355</v>
      </c>
      <c r="N34" s="254" t="s">
        <v>936</v>
      </c>
      <c r="O34" s="254" t="s">
        <v>937</v>
      </c>
      <c r="P34" s="256" t="str">
        <f>IFERROR(__xludf.DUMMYFUNCTION("IFERROR(
  TEXT(
    DATE(
      INDEX(SPLIT(O34,"" ""),3),
      VLOOKUP(INDEX(SPLIT(O34,"" ""),1),{""jan."",1;""Feb"",2;""mar."",3;""Apr"",4;""May"",5;""jun."",6;""jul."",7;""Aug"",8;""sep"",9;""Oct"",10;""nov."",11;""Dec"",12},2,FALSE),
      INDEX(SPL"&amp;"IT(O34,"" ""),2)
    ),
    ""dd/mm/yyyy""
  ),
"""")"),"29/04/2026")</f>
        <v>29/04/2026</v>
      </c>
      <c r="Q34" s="254"/>
      <c r="R34" s="254"/>
      <c r="S34" s="254"/>
      <c r="T34" s="255"/>
    </row>
    <row r="35">
      <c r="A35" s="253" t="s">
        <v>938</v>
      </c>
      <c r="B35" s="253" t="s">
        <v>939</v>
      </c>
      <c r="C35" s="254" t="s">
        <v>900</v>
      </c>
      <c r="D35" s="254" t="s">
        <v>351</v>
      </c>
      <c r="E35" s="255"/>
      <c r="F35" s="254" t="s">
        <v>95</v>
      </c>
      <c r="G35" s="254" t="s">
        <v>352</v>
      </c>
      <c r="H35" s="255"/>
      <c r="I35" s="255"/>
      <c r="J35" s="254" t="s">
        <v>352</v>
      </c>
      <c r="K35" s="254" t="s">
        <v>353</v>
      </c>
      <c r="L35" s="254" t="s">
        <v>354</v>
      </c>
      <c r="M35" s="254" t="s">
        <v>355</v>
      </c>
      <c r="N35" s="254" t="s">
        <v>480</v>
      </c>
      <c r="O35" s="254" t="s">
        <v>940</v>
      </c>
      <c r="P35" s="256" t="str">
        <f>IFERROR(__xludf.DUMMYFUNCTION("IFERROR(
  TEXT(
    DATE(
      INDEX(SPLIT(O35,"" ""),3),
      VLOOKUP(INDEX(SPLIT(O35,"" ""),1),{""jan."",1;""Feb"",2;""mar."",3;""Apr"",4;""May"",5;""jun."",6;""jul."",7;""Aug"",8;""sep"",9;""Oct"",10;""nov."",11;""Dec"",12},2,FALSE),
      INDEX(SPL"&amp;"IT(O35,"" ""),2)
    ),
    ""dd/mm/yyyy""
  ),
"""")"),"29/04/2026")</f>
        <v>29/04/2026</v>
      </c>
      <c r="Q35" s="254"/>
      <c r="R35" s="254"/>
      <c r="S35" s="254"/>
      <c r="T35" s="255"/>
    </row>
    <row r="36">
      <c r="A36" s="253" t="s">
        <v>941</v>
      </c>
      <c r="B36" s="253" t="s">
        <v>942</v>
      </c>
      <c r="C36" s="254" t="s">
        <v>900</v>
      </c>
      <c r="D36" s="254" t="s">
        <v>351</v>
      </c>
      <c r="E36" s="255"/>
      <c r="F36" s="254" t="s">
        <v>871</v>
      </c>
      <c r="G36" s="254" t="s">
        <v>352</v>
      </c>
      <c r="H36" s="255"/>
      <c r="I36" s="255"/>
      <c r="J36" s="254" t="s">
        <v>352</v>
      </c>
      <c r="K36" s="254" t="s">
        <v>353</v>
      </c>
      <c r="L36" s="254" t="s">
        <v>354</v>
      </c>
      <c r="M36" s="254" t="s">
        <v>355</v>
      </c>
      <c r="N36" s="254" t="s">
        <v>943</v>
      </c>
      <c r="O36" s="254" t="s">
        <v>944</v>
      </c>
      <c r="P36" s="256" t="str">
        <f>IFERROR(__xludf.DUMMYFUNCTION("IFERROR(
  TEXT(
    DATE(
      INDEX(SPLIT(O36,"" ""),3),
      VLOOKUP(INDEX(SPLIT(O36,"" ""),1),{""jan."",1;""Feb"",2;""mar."",3;""Apr"",4;""May"",5;""jun."",6;""jul."",7;""Aug"",8;""sep"",9;""Oct"",10;""nov."",11;""Dec"",12},2,FALSE),
      INDEX(SPL"&amp;"IT(O36,"" ""),2)
    ),
    ""dd/mm/yyyy""
  ),
"""")"),"06/04/2026")</f>
        <v>06/04/2026</v>
      </c>
      <c r="Q36" s="254"/>
      <c r="R36" s="254"/>
      <c r="S36" s="254"/>
      <c r="T36" s="255"/>
    </row>
    <row r="37">
      <c r="A37" s="253" t="s">
        <v>945</v>
      </c>
      <c r="B37" s="253" t="s">
        <v>946</v>
      </c>
      <c r="C37" s="254" t="s">
        <v>900</v>
      </c>
      <c r="D37" s="254" t="s">
        <v>351</v>
      </c>
      <c r="E37" s="255"/>
      <c r="F37" s="254" t="s">
        <v>209</v>
      </c>
      <c r="G37" s="254" t="s">
        <v>352</v>
      </c>
      <c r="H37" s="255"/>
      <c r="I37" s="255"/>
      <c r="J37" s="254" t="s">
        <v>352</v>
      </c>
      <c r="K37" s="254" t="s">
        <v>353</v>
      </c>
      <c r="L37" s="254" t="s">
        <v>354</v>
      </c>
      <c r="M37" s="254" t="s">
        <v>355</v>
      </c>
      <c r="N37" s="254" t="s">
        <v>947</v>
      </c>
      <c r="O37" s="254" t="s">
        <v>948</v>
      </c>
      <c r="P37" s="256" t="str">
        <f>IFERROR(__xludf.DUMMYFUNCTION("IFERROR(
  TEXT(
    DATE(
      INDEX(SPLIT(O37,"" ""),3),
      VLOOKUP(INDEX(SPLIT(O37,"" ""),1),{""jan."",1;""Feb"",2;""mar."",3;""Apr"",4;""May"",5;""jun."",6;""jul."",7;""Aug"",8;""sep"",9;""Oct"",10;""nov."",11;""Dec"",12},2,FALSE),
      INDEX(SPL"&amp;"IT(O37,"" ""),2)
    ),
    ""dd/mm/yyyy""
  ),
"""")"),"06/05/2026")</f>
        <v>06/05/2026</v>
      </c>
      <c r="Q37" s="254"/>
      <c r="R37" s="256"/>
      <c r="S37" s="254"/>
      <c r="T37" s="255"/>
    </row>
    <row r="38">
      <c r="A38" s="253" t="s">
        <v>949</v>
      </c>
      <c r="B38" s="253" t="s">
        <v>950</v>
      </c>
      <c r="C38" s="254" t="s">
        <v>900</v>
      </c>
      <c r="D38" s="254" t="s">
        <v>351</v>
      </c>
      <c r="E38" s="255"/>
      <c r="F38" s="254" t="s">
        <v>192</v>
      </c>
      <c r="G38" s="254" t="s">
        <v>352</v>
      </c>
      <c r="H38" s="255"/>
      <c r="I38" s="255"/>
      <c r="J38" s="254" t="s">
        <v>352</v>
      </c>
      <c r="K38" s="254" t="s">
        <v>353</v>
      </c>
      <c r="L38" s="254" t="s">
        <v>354</v>
      </c>
      <c r="M38" s="254" t="s">
        <v>355</v>
      </c>
      <c r="N38" s="254" t="s">
        <v>951</v>
      </c>
      <c r="O38" s="256">
        <v>46108.48402777778</v>
      </c>
      <c r="P38" s="256" t="str">
        <f>IFERROR(__xludf.DUMMYFUNCTION("IFERROR(
  TEXT(
    DATE(
      INDEX(SPLIT(O38,"" ""),3),
      VLOOKUP(INDEX(SPLIT(O38,"" ""),1),{""jan."",1;""Feb"",2;""mar."",3;""Apr"",4;""May"",5;""jun."",6;""jul."",7;""Aug"",8;""sep"",9;""Oct"",10;""nov."",11;""Dec"",12},2,FALSE),
      INDEX(SPL"&amp;"IT(O38,"" ""),2)
    ),
    ""dd/mm/yyyy""
  ),
"""")"),"27/03/2026")</f>
        <v>27/03/2026</v>
      </c>
      <c r="Q38" s="254"/>
      <c r="R38" s="254"/>
      <c r="S38" s="254"/>
      <c r="T38" s="255"/>
    </row>
    <row r="39">
      <c r="A39" s="253" t="s">
        <v>952</v>
      </c>
      <c r="B39" s="253" t="s">
        <v>953</v>
      </c>
      <c r="C39" s="254" t="s">
        <v>900</v>
      </c>
      <c r="D39" s="254" t="s">
        <v>351</v>
      </c>
      <c r="E39" s="255"/>
      <c r="F39" s="254" t="s">
        <v>871</v>
      </c>
      <c r="G39" s="254" t="s">
        <v>352</v>
      </c>
      <c r="H39" s="255"/>
      <c r="I39" s="255"/>
      <c r="J39" s="254" t="s">
        <v>352</v>
      </c>
      <c r="K39" s="254" t="s">
        <v>353</v>
      </c>
      <c r="L39" s="254" t="s">
        <v>354</v>
      </c>
      <c r="M39" s="254" t="s">
        <v>954</v>
      </c>
      <c r="N39" s="254" t="s">
        <v>955</v>
      </c>
      <c r="O39" s="254" t="s">
        <v>956</v>
      </c>
      <c r="P39" s="256" t="str">
        <f>IFERROR(__xludf.DUMMYFUNCTION("IFERROR(
  TEXT(
    DATE(
      INDEX(SPLIT(O39,"" ""),3),
      VLOOKUP(INDEX(SPLIT(O39,"" ""),1),{""jan."",1;""Feb"",2;""mar."",3;""Apr"",4;""May"",5;""jun."",6;""jul."",7;""Aug"",8;""sep"",9;""Oct"",10;""nov."",11;""Dec"",12},2,FALSE),
      INDEX(SPL"&amp;"IT(O39,"" ""),2)
    ),
    ""dd/mm/yyyy""
  ),
"""")"),"08/04/2026")</f>
        <v>08/04/2026</v>
      </c>
      <c r="Q39" s="254"/>
      <c r="R39" s="254"/>
      <c r="S39" s="254"/>
      <c r="T39" s="255"/>
    </row>
    <row r="40">
      <c r="A40" s="253" t="s">
        <v>957</v>
      </c>
      <c r="B40" s="253" t="s">
        <v>958</v>
      </c>
      <c r="C40" s="254" t="s">
        <v>900</v>
      </c>
      <c r="D40" s="254" t="s">
        <v>351</v>
      </c>
      <c r="E40" s="255"/>
      <c r="F40" s="254" t="s">
        <v>192</v>
      </c>
      <c r="G40" s="254" t="s">
        <v>352</v>
      </c>
      <c r="H40" s="255"/>
      <c r="I40" s="255"/>
      <c r="J40" s="254" t="s">
        <v>352</v>
      </c>
      <c r="K40" s="254" t="s">
        <v>353</v>
      </c>
      <c r="L40" s="254" t="s">
        <v>354</v>
      </c>
      <c r="M40" s="254" t="s">
        <v>355</v>
      </c>
      <c r="N40" s="254" t="s">
        <v>959</v>
      </c>
      <c r="O40" s="254" t="s">
        <v>960</v>
      </c>
      <c r="P40" s="256" t="str">
        <f>IFERROR(__xludf.DUMMYFUNCTION("IFERROR(
  TEXT(
    DATE(
      INDEX(SPLIT(O40,"" ""),3),
      VLOOKUP(INDEX(SPLIT(O40,"" ""),1),{""jan."",1;""Feb"",2;""mar."",3;""Apr"",4;""May"",5;""jun."",6;""jul."",7;""Aug"",8;""sep"",9;""Oct"",10;""nov."",11;""Dec"",12},2,FALSE),
      INDEX(SPL"&amp;"IT(O40,"" ""),2)
    ),
    ""dd/mm/yyyy""
  ),
"""")"),"10/04/2026")</f>
        <v>10/04/2026</v>
      </c>
      <c r="Q40" s="254"/>
      <c r="R40" s="254"/>
      <c r="S40" s="254"/>
      <c r="T40" s="255"/>
    </row>
    <row r="41">
      <c r="A41" s="253" t="s">
        <v>961</v>
      </c>
      <c r="B41" s="253" t="s">
        <v>962</v>
      </c>
      <c r="C41" s="254" t="s">
        <v>900</v>
      </c>
      <c r="D41" s="254" t="s">
        <v>351</v>
      </c>
      <c r="E41" s="255"/>
      <c r="F41" s="254" t="s">
        <v>871</v>
      </c>
      <c r="G41" s="254" t="s">
        <v>352</v>
      </c>
      <c r="H41" s="255"/>
      <c r="I41" s="255"/>
      <c r="J41" s="254" t="s">
        <v>352</v>
      </c>
      <c r="K41" s="254" t="s">
        <v>353</v>
      </c>
      <c r="L41" s="254" t="s">
        <v>354</v>
      </c>
      <c r="M41" s="254" t="s">
        <v>355</v>
      </c>
      <c r="N41" s="254" t="s">
        <v>963</v>
      </c>
      <c r="O41" s="254" t="s">
        <v>964</v>
      </c>
      <c r="P41" s="256" t="str">
        <f>IFERROR(__xludf.DUMMYFUNCTION("IFERROR(
  TEXT(
    DATE(
      INDEX(SPLIT(O41,"" ""),3),
      VLOOKUP(INDEX(SPLIT(O41,"" ""),1),{""jan."",1;""Feb"",2;""mar."",3;""Apr"",4;""May"",5;""jun."",6;""jul."",7;""Aug"",8;""sep"",9;""Oct"",10;""nov."",11;""Dec"",12},2,FALSE),
      INDEX(SPL"&amp;"IT(O41,"" ""),2)
    ),
    ""dd/mm/yyyy""
  ),
"""")"),"05/05/2026")</f>
        <v>05/05/2026</v>
      </c>
      <c r="Q41" s="254"/>
      <c r="R41" s="254"/>
      <c r="S41" s="254"/>
      <c r="T41" s="255"/>
    </row>
    <row r="42">
      <c r="A42" s="253" t="s">
        <v>965</v>
      </c>
      <c r="B42" s="253" t="s">
        <v>966</v>
      </c>
      <c r="C42" s="254" t="s">
        <v>900</v>
      </c>
      <c r="D42" s="254" t="s">
        <v>351</v>
      </c>
      <c r="E42" s="255"/>
      <c r="F42" s="254" t="s">
        <v>130</v>
      </c>
      <c r="G42" s="254" t="s">
        <v>352</v>
      </c>
      <c r="H42" s="255"/>
      <c r="I42" s="255"/>
      <c r="J42" s="254" t="s">
        <v>352</v>
      </c>
      <c r="K42" s="254" t="s">
        <v>353</v>
      </c>
      <c r="L42" s="254" t="s">
        <v>354</v>
      </c>
      <c r="M42" s="254" t="s">
        <v>355</v>
      </c>
      <c r="N42" s="254" t="s">
        <v>967</v>
      </c>
      <c r="O42" s="254" t="s">
        <v>968</v>
      </c>
      <c r="P42" s="256" t="str">
        <f>IFERROR(__xludf.DUMMYFUNCTION("IFERROR(
  TEXT(
    DATE(
      INDEX(SPLIT(O42,"" ""),3),
      VLOOKUP(INDEX(SPLIT(O42,"" ""),1),{""jan."",1;""Feb"",2;""mar."",3;""Apr"",4;""May"",5;""jun."",6;""jul."",7;""Aug"",8;""sep"",9;""Oct"",10;""nov."",11;""Dec"",12},2,FALSE),
      INDEX(SPL"&amp;"IT(O42,"" ""),2)
    ),
    ""dd/mm/yyyy""
  ),
"""")"),"10/04/2026")</f>
        <v>10/04/2026</v>
      </c>
      <c r="Q42" s="254"/>
      <c r="R42" s="254"/>
      <c r="S42" s="254"/>
      <c r="T42" s="255"/>
    </row>
    <row r="43">
      <c r="A43" s="253" t="s">
        <v>969</v>
      </c>
      <c r="B43" s="253" t="s">
        <v>970</v>
      </c>
      <c r="C43" s="254" t="s">
        <v>900</v>
      </c>
      <c r="D43" s="254" t="s">
        <v>351</v>
      </c>
      <c r="E43" s="255"/>
      <c r="F43" s="254" t="s">
        <v>971</v>
      </c>
      <c r="G43" s="254" t="s">
        <v>352</v>
      </c>
      <c r="H43" s="255"/>
      <c r="I43" s="255"/>
      <c r="J43" s="254" t="s">
        <v>352</v>
      </c>
      <c r="K43" s="254" t="s">
        <v>353</v>
      </c>
      <c r="L43" s="254" t="s">
        <v>354</v>
      </c>
      <c r="M43" s="254" t="s">
        <v>355</v>
      </c>
      <c r="N43" s="254" t="s">
        <v>972</v>
      </c>
      <c r="O43" s="254" t="s">
        <v>973</v>
      </c>
      <c r="P43" s="256" t="str">
        <f>IFERROR(__xludf.DUMMYFUNCTION("IFERROR(
  TEXT(
    DATE(
      INDEX(SPLIT(O43,"" ""),3),
      VLOOKUP(INDEX(SPLIT(O43,"" ""),1),{""jan."",1;""Feb"",2;""mar."",3;""Apr"",4;""May"",5;""jun."",6;""jul."",7;""Aug"",8;""sep"",9;""Oct"",10;""nov."",11;""Dec"",12},2,FALSE),
      INDEX(SPL"&amp;"IT(O43,"" ""),2)
    ),
    ""dd/mm/yyyy""
  ),
"""")"),"07/04/2026")</f>
        <v>07/04/2026</v>
      </c>
      <c r="Q43" s="254"/>
      <c r="R43" s="254"/>
      <c r="S43" s="254"/>
      <c r="T43" s="255"/>
    </row>
    <row r="44">
      <c r="A44" s="253" t="s">
        <v>974</v>
      </c>
      <c r="B44" s="253" t="s">
        <v>975</v>
      </c>
      <c r="C44" s="254" t="s">
        <v>900</v>
      </c>
      <c r="D44" s="254" t="s">
        <v>351</v>
      </c>
      <c r="E44" s="255"/>
      <c r="F44" s="254" t="s">
        <v>245</v>
      </c>
      <c r="G44" s="254" t="s">
        <v>352</v>
      </c>
      <c r="H44" s="255"/>
      <c r="I44" s="255"/>
      <c r="J44" s="254" t="s">
        <v>352</v>
      </c>
      <c r="K44" s="254" t="s">
        <v>353</v>
      </c>
      <c r="L44" s="254" t="s">
        <v>354</v>
      </c>
      <c r="M44" s="254" t="s">
        <v>355</v>
      </c>
      <c r="N44" s="254" t="s">
        <v>976</v>
      </c>
      <c r="O44" s="256">
        <v>46052.49375</v>
      </c>
      <c r="P44" s="256" t="str">
        <f>IFERROR(__xludf.DUMMYFUNCTION("IFERROR(
  TEXT(
    DATE(
      INDEX(SPLIT(O44,"" ""),3),
      VLOOKUP(INDEX(SPLIT(O44,"" ""),1),{""jan."",1;""Feb"",2;""mar."",3;""Apr"",4;""May"",5;""jun."",6;""jul."",7;""Aug"",8;""sep"",9;""Oct"",10;""nov."",11;""Dec"",12},2,FALSE),
      INDEX(SPL"&amp;"IT(O44,"" ""),2)
    ),
    ""dd/mm/yyyy""
  ),
"""")"),"30/01/2026")</f>
        <v>30/01/2026</v>
      </c>
      <c r="Q44" s="254"/>
      <c r="R44" s="254"/>
      <c r="S44" s="254"/>
      <c r="T44" s="255"/>
    </row>
    <row r="45">
      <c r="A45" s="253" t="s">
        <v>977</v>
      </c>
      <c r="B45" s="253" t="s">
        <v>978</v>
      </c>
      <c r="C45" s="254" t="s">
        <v>900</v>
      </c>
      <c r="D45" s="254" t="s">
        <v>351</v>
      </c>
      <c r="E45" s="255"/>
      <c r="F45" s="254" t="s">
        <v>245</v>
      </c>
      <c r="G45" s="254" t="s">
        <v>352</v>
      </c>
      <c r="H45" s="255"/>
      <c r="I45" s="255"/>
      <c r="J45" s="254" t="s">
        <v>352</v>
      </c>
      <c r="K45" s="254" t="s">
        <v>353</v>
      </c>
      <c r="L45" s="254" t="s">
        <v>354</v>
      </c>
      <c r="M45" s="254" t="s">
        <v>355</v>
      </c>
      <c r="N45" s="254" t="s">
        <v>979</v>
      </c>
      <c r="O45" s="256">
        <v>46099.42847222222</v>
      </c>
      <c r="P45" s="256" t="str">
        <f>IFERROR(__xludf.DUMMYFUNCTION("IFERROR(
  TEXT(
    DATE(
      INDEX(SPLIT(O45,"" ""),3),
      VLOOKUP(INDEX(SPLIT(O45,"" ""),1),{""jan."",1;""Feb"",2;""mar."",3;""Apr"",4;""May"",5;""jun."",6;""jul."",7;""Aug"",8;""sep"",9;""Oct"",10;""nov."",11;""Dec"",12},2,FALSE),
      INDEX(SPL"&amp;"IT(O45,"" ""),2)
    ),
    ""dd/mm/yyyy""
  ),
"""")"),"18/03/2026")</f>
        <v>18/03/2026</v>
      </c>
      <c r="Q45" s="254"/>
      <c r="R45" s="254"/>
      <c r="S45" s="254"/>
      <c r="T45" s="255"/>
    </row>
    <row r="46">
      <c r="A46" s="253" t="s">
        <v>980</v>
      </c>
      <c r="B46" s="253" t="s">
        <v>981</v>
      </c>
      <c r="C46" s="254" t="s">
        <v>900</v>
      </c>
      <c r="D46" s="254" t="s">
        <v>351</v>
      </c>
      <c r="E46" s="255"/>
      <c r="F46" s="254" t="s">
        <v>316</v>
      </c>
      <c r="G46" s="254" t="s">
        <v>352</v>
      </c>
      <c r="H46" s="255"/>
      <c r="I46" s="255"/>
      <c r="J46" s="254" t="s">
        <v>352</v>
      </c>
      <c r="K46" s="254" t="s">
        <v>353</v>
      </c>
      <c r="L46" s="254" t="s">
        <v>354</v>
      </c>
      <c r="M46" s="254" t="s">
        <v>355</v>
      </c>
      <c r="N46" s="254" t="s">
        <v>982</v>
      </c>
      <c r="O46" s="256">
        <v>46107.748611111114</v>
      </c>
      <c r="P46" s="256" t="str">
        <f>IFERROR(__xludf.DUMMYFUNCTION("IFERROR(
  TEXT(
    DATE(
      INDEX(SPLIT(O46,"" ""),3),
      VLOOKUP(INDEX(SPLIT(O46,"" ""),1),{""jan."",1;""Feb"",2;""mar."",3;""Apr"",4;""May"",5;""jun."",6;""jul."",7;""Aug"",8;""sep"",9;""Oct"",10;""nov."",11;""Dec"",12},2,FALSE),
      INDEX(SPL"&amp;"IT(O46,"" ""),2)
    ),
    ""dd/mm/yyyy""
  ),
"""")"),"26/03/2026")</f>
        <v>26/03/2026</v>
      </c>
      <c r="Q46" s="254"/>
      <c r="R46" s="254"/>
      <c r="S46" s="254"/>
      <c r="T46" s="255"/>
    </row>
    <row r="47">
      <c r="A47" s="253" t="s">
        <v>983</v>
      </c>
      <c r="B47" s="253" t="s">
        <v>984</v>
      </c>
      <c r="C47" s="254" t="s">
        <v>900</v>
      </c>
      <c r="D47" s="254" t="s">
        <v>351</v>
      </c>
      <c r="E47" s="255"/>
      <c r="F47" s="254" t="s">
        <v>192</v>
      </c>
      <c r="G47" s="254" t="s">
        <v>352</v>
      </c>
      <c r="H47" s="255"/>
      <c r="I47" s="255"/>
      <c r="J47" s="254" t="s">
        <v>352</v>
      </c>
      <c r="K47" s="254" t="s">
        <v>353</v>
      </c>
      <c r="L47" s="254" t="s">
        <v>354</v>
      </c>
      <c r="M47" s="254" t="s">
        <v>355</v>
      </c>
      <c r="N47" s="254" t="s">
        <v>407</v>
      </c>
      <c r="O47" s="254" t="s">
        <v>985</v>
      </c>
      <c r="P47" s="256" t="str">
        <f>IFERROR(__xludf.DUMMYFUNCTION("IFERROR(
  TEXT(
    DATE(
      INDEX(SPLIT(O47,"" ""),3),
      VLOOKUP(INDEX(SPLIT(O47,"" ""),1),{""jan."",1;""Feb"",2;""mar."",3;""Apr"",4;""May"",5;""jun."",6;""jul."",7;""Aug"",8;""sep"",9;""Oct"",10;""nov."",11;""Dec"",12},2,FALSE),
      INDEX(SPL"&amp;"IT(O47,"" ""),2)
    ),
    ""dd/mm/yyyy""
  ),
"""")"),"28/02/2026")</f>
        <v>28/02/2026</v>
      </c>
      <c r="Q47" s="254"/>
      <c r="R47" s="256"/>
      <c r="S47" s="254"/>
      <c r="T47" s="255"/>
    </row>
    <row r="48">
      <c r="A48" s="253" t="s">
        <v>986</v>
      </c>
      <c r="B48" s="253" t="s">
        <v>987</v>
      </c>
      <c r="C48" s="257"/>
      <c r="D48" s="257"/>
      <c r="E48" s="255"/>
      <c r="F48" s="254" t="s">
        <v>238</v>
      </c>
      <c r="G48" s="254" t="s">
        <v>352</v>
      </c>
      <c r="H48" s="255"/>
      <c r="I48" s="255"/>
      <c r="J48" s="254" t="s">
        <v>352</v>
      </c>
      <c r="K48" s="254" t="s">
        <v>353</v>
      </c>
      <c r="L48" s="254" t="s">
        <v>354</v>
      </c>
      <c r="M48" s="254" t="s">
        <v>355</v>
      </c>
      <c r="N48" s="254" t="s">
        <v>988</v>
      </c>
      <c r="O48" s="254" t="s">
        <v>989</v>
      </c>
      <c r="P48" s="256" t="str">
        <f>IFERROR(__xludf.DUMMYFUNCTION("IFERROR(
  TEXT(
    DATE(
      INDEX(SPLIT(O48,"" ""),3),
      VLOOKUP(INDEX(SPLIT(O48,"" ""),1),{""jan."",1;""Feb"",2;""mar."",3;""Apr"",4;""May"",5;""jun."",6;""jul."",7;""Aug"",8;""sep"",9;""Oct"",10;""nov."",11;""Dec"",12},2,FALSE),
      INDEX(SPL"&amp;"IT(O48,"" ""),2)
    ),
    ""dd/mm/yyyy""
  ),
"""")"),"11/05/2026")</f>
        <v>11/05/2026</v>
      </c>
      <c r="Q48" s="254"/>
      <c r="R48" s="256"/>
      <c r="S48" s="254"/>
      <c r="T48" s="255"/>
    </row>
    <row r="49">
      <c r="A49" s="253" t="s">
        <v>990</v>
      </c>
      <c r="B49" s="253" t="s">
        <v>991</v>
      </c>
      <c r="C49" s="254" t="s">
        <v>992</v>
      </c>
      <c r="D49" s="254" t="s">
        <v>351</v>
      </c>
      <c r="E49" s="255"/>
      <c r="F49" s="254" t="s">
        <v>238</v>
      </c>
      <c r="G49" s="254" t="s">
        <v>352</v>
      </c>
      <c r="H49" s="255"/>
      <c r="I49" s="255"/>
      <c r="J49" s="254" t="s">
        <v>352</v>
      </c>
      <c r="K49" s="254" t="s">
        <v>353</v>
      </c>
      <c r="L49" s="254" t="s">
        <v>354</v>
      </c>
      <c r="M49" s="254" t="s">
        <v>355</v>
      </c>
      <c r="N49" s="254" t="s">
        <v>993</v>
      </c>
      <c r="O49" s="254" t="s">
        <v>989</v>
      </c>
      <c r="P49" s="256" t="str">
        <f>IFERROR(__xludf.DUMMYFUNCTION("IFERROR(
  TEXT(
    DATE(
      INDEX(SPLIT(O49,"" ""),3),
      VLOOKUP(INDEX(SPLIT(O49,"" ""),1),{""jan."",1;""Feb"",2;""mar."",3;""Apr"",4;""May"",5;""jun."",6;""jul."",7;""Aug"",8;""sep"",9;""Oct"",10;""nov."",11;""Dec"",12},2,FALSE),
      INDEX(SPL"&amp;"IT(O49,"" ""),2)
    ),
    ""dd/mm/yyyy""
  ),
"""")"),"11/05/2026")</f>
        <v>11/05/2026</v>
      </c>
      <c r="Q49" s="254"/>
      <c r="R49" s="254"/>
      <c r="S49" s="254"/>
      <c r="T49" s="255"/>
    </row>
    <row r="50">
      <c r="A50" s="253" t="s">
        <v>994</v>
      </c>
      <c r="B50" s="253" t="s">
        <v>995</v>
      </c>
      <c r="C50" s="254" t="s">
        <v>900</v>
      </c>
      <c r="D50" s="254" t="s">
        <v>351</v>
      </c>
      <c r="E50" s="255"/>
      <c r="F50" s="254" t="s">
        <v>996</v>
      </c>
      <c r="G50" s="254" t="s">
        <v>352</v>
      </c>
      <c r="H50" s="255"/>
      <c r="I50" s="255"/>
      <c r="J50" s="254" t="s">
        <v>352</v>
      </c>
      <c r="K50" s="254" t="s">
        <v>353</v>
      </c>
      <c r="L50" s="254" t="s">
        <v>354</v>
      </c>
      <c r="M50" s="254" t="s">
        <v>355</v>
      </c>
      <c r="N50" s="254" t="s">
        <v>997</v>
      </c>
      <c r="O50" s="256">
        <v>46083.677777777775</v>
      </c>
      <c r="P50" s="256" t="str">
        <f>IFERROR(__xludf.DUMMYFUNCTION("IFERROR(
  TEXT(
    DATE(
      INDEX(SPLIT(O50,"" ""),3),
      VLOOKUP(INDEX(SPLIT(O50,"" ""),1),{""jan."",1;""Feb"",2;""mar."",3;""Apr"",4;""May"",5;""jun."",6;""jul."",7;""Aug"",8;""sep"",9;""Oct"",10;""nov."",11;""Dec"",12},2,FALSE),
      INDEX(SPL"&amp;"IT(O50,"" ""),2)
    ),
    ""dd/mm/yyyy""
  ),
"""")"),"02/03/2026")</f>
        <v>02/03/2026</v>
      </c>
      <c r="Q50" s="254"/>
      <c r="R50" s="254"/>
      <c r="S50" s="254"/>
      <c r="T50" s="255"/>
    </row>
    <row r="51">
      <c r="A51" s="253" t="s">
        <v>998</v>
      </c>
      <c r="B51" s="253" t="s">
        <v>999</v>
      </c>
      <c r="C51" s="257"/>
      <c r="D51" s="257"/>
      <c r="E51" s="255"/>
      <c r="F51" s="254" t="s">
        <v>1000</v>
      </c>
      <c r="G51" s="254" t="s">
        <v>352</v>
      </c>
      <c r="H51" s="255"/>
      <c r="I51" s="255"/>
      <c r="J51" s="254" t="s">
        <v>352</v>
      </c>
      <c r="K51" s="254" t="s">
        <v>353</v>
      </c>
      <c r="L51" s="254" t="s">
        <v>354</v>
      </c>
      <c r="M51" s="254" t="s">
        <v>355</v>
      </c>
      <c r="N51" s="254" t="s">
        <v>1001</v>
      </c>
      <c r="O51" s="254" t="s">
        <v>1002</v>
      </c>
      <c r="P51" s="256" t="str">
        <f>IFERROR(__xludf.DUMMYFUNCTION("IFERROR(
  TEXT(
    DATE(
      INDEX(SPLIT(O51,"" ""),3),
      VLOOKUP(INDEX(SPLIT(O51,"" ""),1),{""jan."",1;""Feb"",2;""mar."",3;""Apr"",4;""May"",5;""jun."",6;""jul."",7;""Aug"",8;""sep"",9;""Oct"",10;""nov."",11;""Dec"",12},2,FALSE),
      INDEX(SPL"&amp;"IT(O51,"" ""),2)
    ),
    ""dd/mm/yyyy""
  ),
"""")"),"06/05/2026")</f>
        <v>06/05/2026</v>
      </c>
      <c r="Q51" s="254"/>
      <c r="R51" s="256"/>
      <c r="S51" s="254"/>
      <c r="T51" s="255"/>
    </row>
    <row r="52">
      <c r="A52" s="253" t="s">
        <v>1003</v>
      </c>
      <c r="B52" s="253" t="s">
        <v>1004</v>
      </c>
      <c r="C52" s="257"/>
      <c r="D52" s="257"/>
      <c r="E52" s="255"/>
      <c r="F52" s="254" t="s">
        <v>1000</v>
      </c>
      <c r="G52" s="254" t="s">
        <v>352</v>
      </c>
      <c r="H52" s="255"/>
      <c r="I52" s="255"/>
      <c r="J52" s="254" t="s">
        <v>352</v>
      </c>
      <c r="K52" s="254" t="s">
        <v>353</v>
      </c>
      <c r="L52" s="254" t="s">
        <v>354</v>
      </c>
      <c r="M52" s="254" t="s">
        <v>355</v>
      </c>
      <c r="N52" s="254" t="s">
        <v>1005</v>
      </c>
      <c r="O52" s="254" t="s">
        <v>1006</v>
      </c>
      <c r="P52" s="256" t="str">
        <f>IFERROR(__xludf.DUMMYFUNCTION("IFERROR(
  TEXT(
    DATE(
      INDEX(SPLIT(O52,"" ""),3),
      VLOOKUP(INDEX(SPLIT(O52,"" ""),1),{""jan."",1;""Feb"",2;""mar."",3;""Apr"",4;""May"",5;""jun."",6;""jul."",7;""Aug"",8;""sep"",9;""Oct"",10;""nov."",11;""Dec"",12},2,FALSE),
      INDEX(SPL"&amp;"IT(O52,"" ""),2)
    ),
    ""dd/mm/yyyy""
  ),
"""")"),"08/04/2026")</f>
        <v>08/04/2026</v>
      </c>
      <c r="Q52" s="254"/>
      <c r="R52" s="256"/>
      <c r="S52" s="254"/>
      <c r="T52" s="255"/>
    </row>
    <row r="53">
      <c r="A53" s="253" t="s">
        <v>1007</v>
      </c>
      <c r="B53" s="253" t="s">
        <v>1008</v>
      </c>
      <c r="C53" s="257"/>
      <c r="D53" s="257"/>
      <c r="E53" s="255"/>
      <c r="F53" s="254" t="s">
        <v>871</v>
      </c>
      <c r="G53" s="254" t="s">
        <v>352</v>
      </c>
      <c r="H53" s="255"/>
      <c r="I53" s="255"/>
      <c r="J53" s="254" t="s">
        <v>352</v>
      </c>
      <c r="K53" s="254" t="s">
        <v>353</v>
      </c>
      <c r="L53" s="254" t="s">
        <v>354</v>
      </c>
      <c r="M53" s="254" t="s">
        <v>355</v>
      </c>
      <c r="N53" s="254" t="s">
        <v>1009</v>
      </c>
      <c r="O53" s="256">
        <v>46102.44583333333</v>
      </c>
      <c r="P53" s="256" t="str">
        <f>IFERROR(__xludf.DUMMYFUNCTION("IFERROR(
  TEXT(
    DATE(
      INDEX(SPLIT(O53,"" ""),3),
      VLOOKUP(INDEX(SPLIT(O53,"" ""),1),{""jan."",1;""Feb"",2;""mar."",3;""Apr"",4;""May"",5;""jun."",6;""jul."",7;""Aug"",8;""sep"",9;""Oct"",10;""nov."",11;""Dec"",12},2,FALSE),
      INDEX(SPL"&amp;"IT(O53,"" ""),2)
    ),
    ""dd/mm/yyyy""
  ),
"""")"),"21/03/2026")</f>
        <v>21/03/2026</v>
      </c>
      <c r="Q53" s="254"/>
      <c r="R53" s="254"/>
      <c r="S53" s="254"/>
      <c r="T53" s="255"/>
    </row>
    <row r="54">
      <c r="A54" s="253" t="s">
        <v>1010</v>
      </c>
      <c r="B54" s="253" t="s">
        <v>1011</v>
      </c>
      <c r="C54" s="257"/>
      <c r="D54" s="257"/>
      <c r="E54" s="255"/>
      <c r="F54" s="254" t="s">
        <v>1012</v>
      </c>
      <c r="G54" s="254" t="s">
        <v>352</v>
      </c>
      <c r="H54" s="255"/>
      <c r="I54" s="255"/>
      <c r="J54" s="254" t="s">
        <v>352</v>
      </c>
      <c r="K54" s="254" t="s">
        <v>353</v>
      </c>
      <c r="L54" s="254" t="s">
        <v>354</v>
      </c>
      <c r="M54" s="254" t="s">
        <v>355</v>
      </c>
      <c r="N54" s="254" t="s">
        <v>1013</v>
      </c>
      <c r="O54" s="254" t="s">
        <v>1014</v>
      </c>
      <c r="P54" s="256" t="str">
        <f>IFERROR(__xludf.DUMMYFUNCTION("IFERROR(
  TEXT(
    DATE(
      INDEX(SPLIT(O54,"" ""),3),
      VLOOKUP(INDEX(SPLIT(O54,"" ""),1),{""jan."",1;""Feb"",2;""mar."",3;""Apr"",4;""May"",5;""jun."",6;""jul."",7;""Aug"",8;""sep"",9;""Oct"",10;""nov."",11;""Dec"",12},2,FALSE),
      INDEX(SPL"&amp;"IT(O54,"" ""),2)
    ),
    ""dd/mm/yyyy""
  ),
"""")"),"30/04/2026")</f>
        <v>30/04/2026</v>
      </c>
      <c r="Q54" s="254"/>
      <c r="R54" s="256"/>
      <c r="S54" s="254"/>
      <c r="T54" s="255"/>
    </row>
    <row r="55">
      <c r="A55" s="253" t="s">
        <v>1015</v>
      </c>
      <c r="B55" s="253" t="s">
        <v>1016</v>
      </c>
      <c r="C55" s="254" t="s">
        <v>900</v>
      </c>
      <c r="D55" s="254" t="s">
        <v>351</v>
      </c>
      <c r="E55" s="255"/>
      <c r="F55" s="254" t="s">
        <v>269</v>
      </c>
      <c r="G55" s="254" t="s">
        <v>352</v>
      </c>
      <c r="H55" s="255"/>
      <c r="I55" s="255"/>
      <c r="J55" s="254" t="s">
        <v>352</v>
      </c>
      <c r="K55" s="254" t="s">
        <v>353</v>
      </c>
      <c r="L55" s="254" t="s">
        <v>354</v>
      </c>
      <c r="M55" s="254" t="s">
        <v>355</v>
      </c>
      <c r="N55" s="254" t="s">
        <v>1017</v>
      </c>
      <c r="O55" s="254" t="s">
        <v>1018</v>
      </c>
      <c r="P55" s="256" t="str">
        <f>IFERROR(__xludf.DUMMYFUNCTION("IFERROR(
  TEXT(
    DATE(
      INDEX(SPLIT(O55,"" ""),3),
      VLOOKUP(INDEX(SPLIT(O55,"" ""),1),{""jan."",1;""Feb"",2;""mar."",3;""Apr"",4;""May"",5;""jun."",6;""jul."",7;""Aug"",8;""sep"",9;""Oct"",10;""nov."",11;""Dec"",12},2,FALSE),
      INDEX(SPL"&amp;"IT(O55,"" ""),2)
    ),
    ""dd/mm/yyyy""
  ),
"""")"),"06/05/2026")</f>
        <v>06/05/2026</v>
      </c>
      <c r="Q55" s="254"/>
      <c r="R55" s="256"/>
      <c r="S55" s="254"/>
      <c r="T55" s="255"/>
    </row>
    <row r="56">
      <c r="A56" s="253" t="s">
        <v>1019</v>
      </c>
      <c r="B56" s="253" t="s">
        <v>1020</v>
      </c>
      <c r="C56" s="254" t="s">
        <v>900</v>
      </c>
      <c r="D56" s="254" t="s">
        <v>351</v>
      </c>
      <c r="E56" s="255"/>
      <c r="F56" s="254" t="s">
        <v>163</v>
      </c>
      <c r="G56" s="254" t="s">
        <v>352</v>
      </c>
      <c r="H56" s="255"/>
      <c r="I56" s="255"/>
      <c r="J56" s="254" t="s">
        <v>352</v>
      </c>
      <c r="K56" s="254" t="s">
        <v>353</v>
      </c>
      <c r="L56" s="254" t="s">
        <v>354</v>
      </c>
      <c r="M56" s="254" t="s">
        <v>355</v>
      </c>
      <c r="N56" s="254" t="s">
        <v>1021</v>
      </c>
      <c r="O56" s="254" t="s">
        <v>1022</v>
      </c>
      <c r="P56" s="256" t="str">
        <f>IFERROR(__xludf.DUMMYFUNCTION("IFERROR(
  TEXT(
    DATE(
      INDEX(SPLIT(O56,"" ""),3),
      VLOOKUP(INDEX(SPLIT(O56,"" ""),1),{""jan."",1;""Feb"",2;""mar."",3;""Apr"",4;""May"",5;""jun."",6;""jul."",7;""Aug"",8;""sep"",9;""Oct"",10;""nov."",11;""Dec"",12},2,FALSE),
      INDEX(SPL"&amp;"IT(O56,"" ""),2)
    ),
    ""dd/mm/yyyy""
  ),
"""")"),"08/04/2026")</f>
        <v>08/04/2026</v>
      </c>
      <c r="Q56" s="254"/>
      <c r="R56" s="256"/>
      <c r="S56" s="254"/>
      <c r="T56" s="255"/>
    </row>
    <row r="57">
      <c r="A57" s="253" t="s">
        <v>1023</v>
      </c>
      <c r="B57" s="253" t="s">
        <v>1024</v>
      </c>
      <c r="C57" s="254" t="s">
        <v>900</v>
      </c>
      <c r="D57" s="254" t="s">
        <v>351</v>
      </c>
      <c r="E57" s="255"/>
      <c r="F57" s="254" t="s">
        <v>204</v>
      </c>
      <c r="G57" s="254" t="s">
        <v>352</v>
      </c>
      <c r="H57" s="255"/>
      <c r="I57" s="255"/>
      <c r="J57" s="254" t="s">
        <v>352</v>
      </c>
      <c r="K57" s="254" t="s">
        <v>353</v>
      </c>
      <c r="L57" s="254" t="s">
        <v>354</v>
      </c>
      <c r="M57" s="254" t="s">
        <v>355</v>
      </c>
      <c r="N57" s="254" t="s">
        <v>1025</v>
      </c>
      <c r="O57" s="256">
        <v>46102.45694444444</v>
      </c>
      <c r="P57" s="256" t="str">
        <f>IFERROR(__xludf.DUMMYFUNCTION("IFERROR(
  TEXT(
    DATE(
      INDEX(SPLIT(O57,"" ""),3),
      VLOOKUP(INDEX(SPLIT(O57,"" ""),1),{""jan."",1;""Feb"",2;""mar."",3;""Apr"",4;""May"",5;""jun."",6;""jul."",7;""Aug"",8;""sep"",9;""Oct"",10;""nov."",11;""Dec"",12},2,FALSE),
      INDEX(SPL"&amp;"IT(O57,"" ""),2)
    ),
    ""dd/mm/yyyy""
  ),
"""")"),"21/03/2026")</f>
        <v>21/03/2026</v>
      </c>
      <c r="Q57" s="254"/>
      <c r="R57" s="254"/>
      <c r="S57" s="254"/>
      <c r="T57" s="255"/>
    </row>
    <row r="58">
      <c r="A58" s="253" t="s">
        <v>1026</v>
      </c>
      <c r="B58" s="253" t="s">
        <v>1027</v>
      </c>
      <c r="C58" s="254" t="s">
        <v>900</v>
      </c>
      <c r="D58" s="254" t="s">
        <v>351</v>
      </c>
      <c r="E58" s="255"/>
      <c r="F58" s="254" t="s">
        <v>163</v>
      </c>
      <c r="G58" s="254" t="s">
        <v>352</v>
      </c>
      <c r="H58" s="255"/>
      <c r="I58" s="255"/>
      <c r="J58" s="254" t="s">
        <v>352</v>
      </c>
      <c r="K58" s="254" t="s">
        <v>353</v>
      </c>
      <c r="L58" s="254" t="s">
        <v>354</v>
      </c>
      <c r="M58" s="254" t="s">
        <v>355</v>
      </c>
      <c r="N58" s="254" t="s">
        <v>1028</v>
      </c>
      <c r="O58" s="254" t="s">
        <v>1014</v>
      </c>
      <c r="P58" s="256" t="str">
        <f>IFERROR(__xludf.DUMMYFUNCTION("IFERROR(
  TEXT(
    DATE(
      INDEX(SPLIT(O58,"" ""),3),
      VLOOKUP(INDEX(SPLIT(O58,"" ""),1),{""jan."",1;""Feb"",2;""mar."",3;""Apr"",4;""May"",5;""jun."",6;""jul."",7;""Aug"",8;""sep"",9;""Oct"",10;""nov."",11;""Dec"",12},2,FALSE),
      INDEX(SPL"&amp;"IT(O58,"" ""),2)
    ),
    ""dd/mm/yyyy""
  ),
"""")"),"30/04/2026")</f>
        <v>30/04/2026</v>
      </c>
      <c r="Q58" s="254"/>
      <c r="R58" s="254"/>
      <c r="S58" s="254"/>
      <c r="T58" s="255"/>
    </row>
    <row r="59">
      <c r="A59" s="253" t="s">
        <v>1029</v>
      </c>
      <c r="B59" s="253" t="s">
        <v>1030</v>
      </c>
      <c r="C59" s="257"/>
      <c r="D59" s="257"/>
      <c r="E59" s="255"/>
      <c r="F59" s="254" t="s">
        <v>1031</v>
      </c>
      <c r="G59" s="254" t="s">
        <v>352</v>
      </c>
      <c r="H59" s="255"/>
      <c r="I59" s="255"/>
      <c r="J59" s="254" t="s">
        <v>352</v>
      </c>
      <c r="K59" s="254" t="s">
        <v>353</v>
      </c>
      <c r="L59" s="254" t="s">
        <v>354</v>
      </c>
      <c r="M59" s="254" t="s">
        <v>355</v>
      </c>
      <c r="N59" s="254" t="s">
        <v>1032</v>
      </c>
      <c r="O59" s="254" t="s">
        <v>1033</v>
      </c>
      <c r="P59" s="256" t="str">
        <f>IFERROR(__xludf.DUMMYFUNCTION("IFERROR(
  TEXT(
    DATE(
      INDEX(SPLIT(O59,"" ""),3),
      VLOOKUP(INDEX(SPLIT(O59,"" ""),1),{""jan."",1;""Feb"",2;""mar."",3;""Apr"",4;""May"",5;""jun."",6;""jul."",7;""Aug"",8;""sep"",9;""Oct"",10;""nov."",11;""Dec"",12},2,FALSE),
      INDEX(SPL"&amp;"IT(O59,"" ""),2)
    ),
    ""dd/mm/yyyy""
  ),
"""")"),"17/04/2026")</f>
        <v>17/04/2026</v>
      </c>
      <c r="Q59" s="254"/>
      <c r="R59" s="254"/>
      <c r="S59" s="254"/>
      <c r="T59" s="255"/>
    </row>
    <row r="60">
      <c r="A60" s="253" t="s">
        <v>1034</v>
      </c>
      <c r="B60" s="253" t="s">
        <v>1035</v>
      </c>
      <c r="C60" s="257"/>
      <c r="D60" s="257"/>
      <c r="E60" s="255"/>
      <c r="F60" s="254" t="s">
        <v>125</v>
      </c>
      <c r="G60" s="254" t="s">
        <v>352</v>
      </c>
      <c r="H60" s="255"/>
      <c r="I60" s="255"/>
      <c r="J60" s="254" t="s">
        <v>352</v>
      </c>
      <c r="K60" s="254" t="s">
        <v>353</v>
      </c>
      <c r="L60" s="254" t="s">
        <v>354</v>
      </c>
      <c r="M60" s="254" t="s">
        <v>355</v>
      </c>
      <c r="N60" s="254" t="s">
        <v>1036</v>
      </c>
      <c r="O60" s="254" t="s">
        <v>1037</v>
      </c>
      <c r="P60" s="256" t="str">
        <f>IFERROR(__xludf.DUMMYFUNCTION("IFERROR(
  TEXT(
    DATE(
      INDEX(SPLIT(O60,"" ""),3),
      VLOOKUP(INDEX(SPLIT(O60,"" ""),1),{""jan."",1;""Feb"",2;""mar."",3;""Apr"",4;""May"",5;""jun."",6;""jul."",7;""Aug"",8;""sep"",9;""Oct"",10;""nov."",11;""Dec"",12},2,FALSE),
      INDEX(SPL"&amp;"IT(O60,"" ""),2)
    ),
    ""dd/mm/yyyy""
  ),
"""")"),"16/04/2026")</f>
        <v>16/04/2026</v>
      </c>
      <c r="Q60" s="254"/>
      <c r="R60" s="256"/>
      <c r="S60" s="254"/>
      <c r="T60" s="255"/>
    </row>
    <row r="61">
      <c r="A61" s="253" t="s">
        <v>1038</v>
      </c>
      <c r="B61" s="253" t="s">
        <v>1039</v>
      </c>
      <c r="C61" s="257"/>
      <c r="D61" s="257"/>
      <c r="E61" s="255"/>
      <c r="F61" s="254" t="s">
        <v>125</v>
      </c>
      <c r="G61" s="254" t="s">
        <v>352</v>
      </c>
      <c r="H61" s="255"/>
      <c r="I61" s="255"/>
      <c r="J61" s="254" t="s">
        <v>352</v>
      </c>
      <c r="K61" s="254" t="s">
        <v>353</v>
      </c>
      <c r="L61" s="254" t="s">
        <v>354</v>
      </c>
      <c r="M61" s="254" t="s">
        <v>355</v>
      </c>
      <c r="N61" s="254" t="s">
        <v>520</v>
      </c>
      <c r="O61" s="254" t="s">
        <v>1040</v>
      </c>
      <c r="P61" s="256" t="str">
        <f>IFERROR(__xludf.DUMMYFUNCTION("IFERROR(
  TEXT(
    DATE(
      INDEX(SPLIT(O61,"" ""),3),
      VLOOKUP(INDEX(SPLIT(O61,"" ""),1),{""jan."",1;""Feb"",2;""mar."",3;""Apr"",4;""May"",5;""jun."",6;""jul."",7;""Aug"",8;""sep"",9;""Oct"",10;""nov."",11;""Dec"",12},2,FALSE),
      INDEX(SPL"&amp;"IT(O61,"" ""),2)
    ),
    ""dd/mm/yyyy""
  ),
"""")"),"26/02/2026")</f>
        <v>26/02/2026</v>
      </c>
      <c r="Q61" s="254"/>
      <c r="R61" s="256"/>
      <c r="S61" s="254"/>
      <c r="T61" s="255"/>
    </row>
    <row r="62">
      <c r="A62" s="253" t="s">
        <v>1041</v>
      </c>
      <c r="B62" s="253" t="s">
        <v>1042</v>
      </c>
      <c r="C62" s="257"/>
      <c r="D62" s="257"/>
      <c r="E62" s="255"/>
      <c r="F62" s="254" t="s">
        <v>1043</v>
      </c>
      <c r="G62" s="254" t="s">
        <v>352</v>
      </c>
      <c r="H62" s="255"/>
      <c r="I62" s="255"/>
      <c r="J62" s="254" t="s">
        <v>352</v>
      </c>
      <c r="K62" s="254" t="s">
        <v>353</v>
      </c>
      <c r="L62" s="254" t="s">
        <v>354</v>
      </c>
      <c r="M62" s="254" t="s">
        <v>355</v>
      </c>
      <c r="N62" s="254" t="s">
        <v>1044</v>
      </c>
      <c r="O62" s="254" t="s">
        <v>1045</v>
      </c>
      <c r="P62" s="256" t="str">
        <f>IFERROR(__xludf.DUMMYFUNCTION("IFERROR(
  TEXT(
    DATE(
      INDEX(SPLIT(O62,"" ""),3),
      VLOOKUP(INDEX(SPLIT(O62,"" ""),1),{""jan."",1;""Feb"",2;""mar."",3;""Apr"",4;""May"",5;""jun."",6;""jul."",7;""Aug"",8;""sep"",9;""Oct"",10;""nov."",11;""Dec"",12},2,FALSE),
      INDEX(SPL"&amp;"IT(O62,"" ""),2)
    ),
    ""dd/mm/yyyy""
  ),
"""")"),"30/04/2026")</f>
        <v>30/04/2026</v>
      </c>
      <c r="Q62" s="254"/>
      <c r="R62" s="254"/>
      <c r="S62" s="254"/>
      <c r="T62" s="255"/>
    </row>
    <row r="63">
      <c r="A63" s="253" t="s">
        <v>1046</v>
      </c>
      <c r="B63" s="253" t="s">
        <v>1047</v>
      </c>
      <c r="C63" s="257"/>
      <c r="D63" s="257"/>
      <c r="E63" s="255"/>
      <c r="F63" s="254" t="s">
        <v>1048</v>
      </c>
      <c r="G63" s="254" t="s">
        <v>352</v>
      </c>
      <c r="H63" s="255"/>
      <c r="I63" s="255"/>
      <c r="J63" s="254" t="s">
        <v>352</v>
      </c>
      <c r="K63" s="254" t="s">
        <v>353</v>
      </c>
      <c r="L63" s="254" t="s">
        <v>354</v>
      </c>
      <c r="M63" s="254" t="s">
        <v>355</v>
      </c>
      <c r="N63" s="254" t="s">
        <v>526</v>
      </c>
      <c r="O63" s="254" t="s">
        <v>1049</v>
      </c>
      <c r="P63" s="256" t="str">
        <f>IFERROR(__xludf.DUMMYFUNCTION("IFERROR(
  TEXT(
    DATE(
      INDEX(SPLIT(O63,"" ""),3),
      VLOOKUP(INDEX(SPLIT(O63,"" ""),1),{""jan."",1;""Feb"",2;""mar."",3;""Apr"",4;""May"",5;""jun."",6;""jul."",7;""Aug"",8;""sep"",9;""Oct"",10;""nov."",11;""Dec"",12},2,FALSE),
      INDEX(SPL"&amp;"IT(O63,"" ""),2)
    ),
    ""dd/mm/yyyy""
  ),
"""")"),"24/04/2026")</f>
        <v>24/04/2026</v>
      </c>
      <c r="Q63" s="254"/>
      <c r="R63" s="256"/>
      <c r="S63" s="254"/>
      <c r="T63" s="255"/>
    </row>
    <row r="64">
      <c r="A64" s="253" t="s">
        <v>1050</v>
      </c>
      <c r="B64" s="253" t="s">
        <v>1051</v>
      </c>
      <c r="C64" s="257"/>
      <c r="D64" s="257"/>
      <c r="E64" s="255"/>
      <c r="F64" s="254" t="s">
        <v>118</v>
      </c>
      <c r="G64" s="254" t="s">
        <v>352</v>
      </c>
      <c r="H64" s="255"/>
      <c r="I64" s="255"/>
      <c r="J64" s="254" t="s">
        <v>352</v>
      </c>
      <c r="K64" s="254" t="s">
        <v>353</v>
      </c>
      <c r="L64" s="254" t="s">
        <v>354</v>
      </c>
      <c r="M64" s="254" t="s">
        <v>355</v>
      </c>
      <c r="N64" s="254" t="s">
        <v>979</v>
      </c>
      <c r="O64" s="254" t="s">
        <v>1052</v>
      </c>
      <c r="P64" s="256" t="str">
        <f>IFERROR(__xludf.DUMMYFUNCTION("IFERROR(
  TEXT(
    DATE(
      INDEX(SPLIT(O64,"" ""),3),
      VLOOKUP(INDEX(SPLIT(O64,"" ""),1),{""jan."",1;""Feb"",2;""mar."",3;""Apr"",4;""May"",5;""jun."",6;""jul."",7;""Aug"",8;""sep"",9;""Oct"",10;""nov."",11;""Dec"",12},2,FALSE),
      INDEX(SPL"&amp;"IT(O64,"" ""),2)
    ),
    ""dd/mm/yyyy""
  ),
"""")"),"17/12/2024")</f>
        <v>17/12/2024</v>
      </c>
      <c r="Q64" s="254"/>
      <c r="R64" s="256"/>
      <c r="S64" s="254"/>
      <c r="T64" s="255"/>
    </row>
    <row r="65">
      <c r="A65" s="253" t="s">
        <v>1053</v>
      </c>
      <c r="B65" s="253" t="s">
        <v>1054</v>
      </c>
      <c r="C65" s="254" t="s">
        <v>900</v>
      </c>
      <c r="D65" s="254" t="s">
        <v>351</v>
      </c>
      <c r="E65" s="255"/>
      <c r="F65" s="254" t="s">
        <v>871</v>
      </c>
      <c r="G65" s="254" t="s">
        <v>352</v>
      </c>
      <c r="H65" s="255"/>
      <c r="I65" s="255"/>
      <c r="J65" s="254" t="s">
        <v>352</v>
      </c>
      <c r="K65" s="254" t="s">
        <v>353</v>
      </c>
      <c r="L65" s="254" t="s">
        <v>354</v>
      </c>
      <c r="M65" s="254" t="s">
        <v>355</v>
      </c>
      <c r="N65" s="254" t="s">
        <v>1055</v>
      </c>
      <c r="O65" s="254" t="s">
        <v>1052</v>
      </c>
      <c r="P65" s="256" t="str">
        <f>IFERROR(__xludf.DUMMYFUNCTION("IFERROR(
  TEXT(
    DATE(
      INDEX(SPLIT(O65,"" ""),3),
      VLOOKUP(INDEX(SPLIT(O65,"" ""),1),{""jan."",1;""Feb"",2;""mar."",3;""Apr"",4;""May"",5;""jun."",6;""jul."",7;""Aug"",8;""sep"",9;""Oct"",10;""nov."",11;""Dec"",12},2,FALSE),
      INDEX(SPL"&amp;"IT(O65,"" ""),2)
    ),
    ""dd/mm/yyyy""
  ),
"""")"),"17/12/2024")</f>
        <v>17/12/2024</v>
      </c>
      <c r="Q65" s="254"/>
      <c r="R65" s="254"/>
      <c r="S65" s="254"/>
      <c r="T65" s="255"/>
    </row>
    <row r="66">
      <c r="A66" s="253" t="s">
        <v>1056</v>
      </c>
      <c r="B66" s="253" t="s">
        <v>1057</v>
      </c>
      <c r="C66" s="257"/>
      <c r="D66" s="257"/>
      <c r="E66" s="255"/>
      <c r="F66" s="254" t="s">
        <v>118</v>
      </c>
      <c r="G66" s="254" t="s">
        <v>352</v>
      </c>
      <c r="H66" s="255"/>
      <c r="I66" s="255"/>
      <c r="J66" s="254" t="s">
        <v>352</v>
      </c>
      <c r="K66" s="254" t="s">
        <v>353</v>
      </c>
      <c r="L66" s="254" t="s">
        <v>354</v>
      </c>
      <c r="M66" s="254" t="s">
        <v>355</v>
      </c>
      <c r="N66" s="254" t="s">
        <v>1058</v>
      </c>
      <c r="O66" s="254" t="s">
        <v>1059</v>
      </c>
      <c r="P66" s="256" t="str">
        <f>IFERROR(__xludf.DUMMYFUNCTION("IFERROR(
  TEXT(
    DATE(
      INDEX(SPLIT(O66,"" ""),3),
      VLOOKUP(INDEX(SPLIT(O66,"" ""),1),{""jan."",1;""Feb"",2;""mar."",3;""Apr"",4;""May"",5;""jun."",6;""jul."",7;""Aug"",8;""sep"",9;""Oct"",10;""nov."",11;""Dec"",12},2,FALSE),
      INDEX(SPL"&amp;"IT(O66,"" ""),2)
    ),
    ""dd/mm/yyyy""
  ),
"""")"),"16/04/2025")</f>
        <v>16/04/2025</v>
      </c>
      <c r="Q66" s="254"/>
      <c r="R66" s="254"/>
      <c r="S66" s="254"/>
      <c r="T66" s="255"/>
    </row>
    <row r="67">
      <c r="A67" s="253" t="s">
        <v>1060</v>
      </c>
      <c r="B67" s="253" t="s">
        <v>1061</v>
      </c>
      <c r="C67" s="257"/>
      <c r="D67" s="257"/>
      <c r="E67" s="255"/>
      <c r="F67" s="254" t="s">
        <v>118</v>
      </c>
      <c r="G67" s="254" t="s">
        <v>352</v>
      </c>
      <c r="H67" s="255"/>
      <c r="I67" s="255"/>
      <c r="J67" s="254" t="s">
        <v>352</v>
      </c>
      <c r="K67" s="254" t="s">
        <v>353</v>
      </c>
      <c r="L67" s="254" t="s">
        <v>354</v>
      </c>
      <c r="M67" s="254" t="s">
        <v>355</v>
      </c>
      <c r="N67" s="254" t="s">
        <v>638</v>
      </c>
      <c r="O67" s="254" t="s">
        <v>1062</v>
      </c>
      <c r="P67" s="256" t="str">
        <f>IFERROR(__xludf.DUMMYFUNCTION("IFERROR(
  TEXT(
    DATE(
      INDEX(SPLIT(O67,"" ""),3),
      VLOOKUP(INDEX(SPLIT(O67,"" ""),1),{""jan."",1;""Feb"",2;""mar."",3;""Apr"",4;""May"",5;""jun."",6;""jul."",7;""Aug"",8;""sep"",9;""Oct"",10;""nov."",11;""Dec"",12},2,FALSE),
      INDEX(SPL"&amp;"IT(O67,"" ""),2)
    ),
    ""dd/mm/yyyy""
  ),
"""")"),"16/04/2025")</f>
        <v>16/04/2025</v>
      </c>
      <c r="Q67" s="254"/>
      <c r="R67" s="254"/>
      <c r="S67" s="254"/>
      <c r="T67" s="255"/>
    </row>
    <row r="68">
      <c r="A68" s="253" t="s">
        <v>1063</v>
      </c>
      <c r="B68" s="253" t="s">
        <v>1064</v>
      </c>
      <c r="C68" s="257"/>
      <c r="D68" s="257"/>
      <c r="E68" s="255"/>
      <c r="F68" s="254" t="s">
        <v>118</v>
      </c>
      <c r="G68" s="254" t="s">
        <v>352</v>
      </c>
      <c r="H68" s="255"/>
      <c r="I68" s="255"/>
      <c r="J68" s="254" t="s">
        <v>352</v>
      </c>
      <c r="K68" s="254" t="s">
        <v>353</v>
      </c>
      <c r="L68" s="254" t="s">
        <v>354</v>
      </c>
      <c r="M68" s="254" t="s">
        <v>355</v>
      </c>
      <c r="N68" s="254" t="s">
        <v>1065</v>
      </c>
      <c r="O68" s="254" t="s">
        <v>1066</v>
      </c>
      <c r="P68" s="256" t="str">
        <f>IFERROR(__xludf.DUMMYFUNCTION("IFERROR(
  TEXT(
    DATE(
      INDEX(SPLIT(O68,"" ""),3),
      VLOOKUP(INDEX(SPLIT(O68,"" ""),1),{""jan."",1;""Feb"",2;""mar."",3;""Apr"",4;""May"",5;""jun."",6;""jul."",7;""Aug"",8;""sep"",9;""Oct"",10;""nov."",11;""Dec"",12},2,FALSE),
      INDEX(SPL"&amp;"IT(O68,"" ""),2)
    ),
    ""dd/mm/yyyy""
  ),
"""")"),"19/12/2024")</f>
        <v>19/12/2024</v>
      </c>
      <c r="Q68" s="254"/>
      <c r="R68" s="254"/>
      <c r="S68" s="254"/>
      <c r="T68" s="255"/>
    </row>
    <row r="69">
      <c r="A69" s="253" t="s">
        <v>1067</v>
      </c>
      <c r="B69" s="253" t="s">
        <v>1068</v>
      </c>
      <c r="C69" s="254" t="s">
        <v>900</v>
      </c>
      <c r="D69" s="254" t="s">
        <v>351</v>
      </c>
      <c r="E69" s="255"/>
      <c r="F69" s="254" t="s">
        <v>170</v>
      </c>
      <c r="G69" s="254" t="s">
        <v>352</v>
      </c>
      <c r="H69" s="255"/>
      <c r="I69" s="255"/>
      <c r="J69" s="254" t="s">
        <v>352</v>
      </c>
      <c r="K69" s="254" t="s">
        <v>353</v>
      </c>
      <c r="L69" s="254" t="s">
        <v>354</v>
      </c>
      <c r="M69" s="254" t="s">
        <v>355</v>
      </c>
      <c r="N69" s="254" t="s">
        <v>1069</v>
      </c>
      <c r="O69" s="254" t="s">
        <v>1070</v>
      </c>
      <c r="P69" s="256" t="str">
        <f>IFERROR(__xludf.DUMMYFUNCTION("IFERROR(
  TEXT(
    DATE(
      INDEX(SPLIT(O69,"" ""),3),
      VLOOKUP(INDEX(SPLIT(O69,"" ""),1),{""jan."",1;""Feb"",2;""mar."",3;""Apr"",4;""May"",5;""jun."",6;""jul."",7;""Aug"",8;""sep"",9;""Oct"",10;""nov."",11;""Dec"",12},2,FALSE),
      INDEX(SPL"&amp;"IT(O69,"" ""),2)
    ),
    ""dd/mm/yyyy""
  ),
"""")"),"19/12/2024")</f>
        <v>19/12/2024</v>
      </c>
      <c r="Q69" s="254"/>
      <c r="R69" s="256"/>
      <c r="S69" s="254"/>
      <c r="T69" s="255"/>
    </row>
    <row r="70">
      <c r="A70" s="253" t="s">
        <v>1071</v>
      </c>
      <c r="B70" s="253" t="s">
        <v>1072</v>
      </c>
      <c r="C70" s="257"/>
      <c r="D70" s="257"/>
      <c r="E70" s="255"/>
      <c r="F70" s="254" t="s">
        <v>118</v>
      </c>
      <c r="G70" s="254" t="s">
        <v>352</v>
      </c>
      <c r="H70" s="255"/>
      <c r="I70" s="255"/>
      <c r="J70" s="254" t="s">
        <v>352</v>
      </c>
      <c r="K70" s="254" t="s">
        <v>353</v>
      </c>
      <c r="L70" s="254" t="s">
        <v>354</v>
      </c>
      <c r="M70" s="254" t="s">
        <v>355</v>
      </c>
      <c r="N70" s="254" t="s">
        <v>520</v>
      </c>
      <c r="O70" s="254" t="s">
        <v>1062</v>
      </c>
      <c r="P70" s="256" t="str">
        <f>IFERROR(__xludf.DUMMYFUNCTION("IFERROR(
  TEXT(
    DATE(
      INDEX(SPLIT(O70,"" ""),3),
      VLOOKUP(INDEX(SPLIT(O70,"" ""),1),{""jan."",1;""Feb"",2;""mar."",3;""Apr"",4;""May"",5;""jun."",6;""jul."",7;""Aug"",8;""sep"",9;""Oct"",10;""nov."",11;""Dec"",12},2,FALSE),
      INDEX(SPL"&amp;"IT(O70,"" ""),2)
    ),
    ""dd/mm/yyyy""
  ),
"""")"),"16/04/2025")</f>
        <v>16/04/2025</v>
      </c>
      <c r="Q70" s="254"/>
      <c r="R70" s="254"/>
      <c r="S70" s="254"/>
      <c r="T70" s="255"/>
    </row>
    <row r="71">
      <c r="A71" s="253" t="s">
        <v>1073</v>
      </c>
      <c r="B71" s="253" t="s">
        <v>1074</v>
      </c>
      <c r="C71" s="257"/>
      <c r="D71" s="257"/>
      <c r="E71" s="255"/>
      <c r="F71" s="254" t="s">
        <v>118</v>
      </c>
      <c r="G71" s="254" t="s">
        <v>352</v>
      </c>
      <c r="H71" s="255"/>
      <c r="I71" s="255"/>
      <c r="J71" s="254" t="s">
        <v>352</v>
      </c>
      <c r="K71" s="254" t="s">
        <v>353</v>
      </c>
      <c r="L71" s="254" t="s">
        <v>354</v>
      </c>
      <c r="M71" s="254" t="s">
        <v>355</v>
      </c>
      <c r="N71" s="254" t="s">
        <v>1075</v>
      </c>
      <c r="O71" s="254" t="s">
        <v>1062</v>
      </c>
      <c r="P71" s="256" t="str">
        <f>IFERROR(__xludf.DUMMYFUNCTION("IFERROR(
  TEXT(
    DATE(
      INDEX(SPLIT(O71,"" ""),3),
      VLOOKUP(INDEX(SPLIT(O71,"" ""),1),{""jan."",1;""Feb"",2;""mar."",3;""Apr"",4;""May"",5;""jun."",6;""jul."",7;""Aug"",8;""sep"",9;""Oct"",10;""nov."",11;""Dec"",12},2,FALSE),
      INDEX(SPL"&amp;"IT(O71,"" ""),2)
    ),
    ""dd/mm/yyyy""
  ),
"""")"),"16/04/2025")</f>
        <v>16/04/2025</v>
      </c>
      <c r="Q71" s="254"/>
      <c r="R71" s="254"/>
      <c r="S71" s="254"/>
      <c r="T71" s="255"/>
    </row>
    <row r="72">
      <c r="A72" s="253" t="s">
        <v>1076</v>
      </c>
      <c r="B72" s="253" t="s">
        <v>1077</v>
      </c>
      <c r="C72" s="257"/>
      <c r="D72" s="257"/>
      <c r="E72" s="255"/>
      <c r="F72" s="254" t="s">
        <v>118</v>
      </c>
      <c r="G72" s="254" t="s">
        <v>352</v>
      </c>
      <c r="H72" s="255"/>
      <c r="I72" s="255"/>
      <c r="J72" s="254" t="s">
        <v>352</v>
      </c>
      <c r="K72" s="254" t="s">
        <v>353</v>
      </c>
      <c r="L72" s="254" t="s">
        <v>354</v>
      </c>
      <c r="M72" s="254" t="s">
        <v>355</v>
      </c>
      <c r="N72" s="254" t="s">
        <v>526</v>
      </c>
      <c r="O72" s="254" t="s">
        <v>1062</v>
      </c>
      <c r="P72" s="256" t="str">
        <f>IFERROR(__xludf.DUMMYFUNCTION("IFERROR(
  TEXT(
    DATE(
      INDEX(SPLIT(O72,"" ""),3),
      VLOOKUP(INDEX(SPLIT(O72,"" ""),1),{""jan."",1;""Feb"",2;""mar."",3;""Apr"",4;""May"",5;""jun."",6;""jul."",7;""Aug"",8;""sep"",9;""Oct"",10;""nov."",11;""Dec"",12},2,FALSE),
      INDEX(SPL"&amp;"IT(O72,"" ""),2)
    ),
    ""dd/mm/yyyy""
  ),
"""")"),"16/04/2025")</f>
        <v>16/04/2025</v>
      </c>
      <c r="Q72" s="254"/>
      <c r="R72" s="254"/>
      <c r="S72" s="254"/>
      <c r="T72" s="255"/>
    </row>
    <row r="73">
      <c r="A73" s="253" t="s">
        <v>1078</v>
      </c>
      <c r="B73" s="253" t="s">
        <v>1079</v>
      </c>
      <c r="C73" s="257"/>
      <c r="D73" s="257"/>
      <c r="E73" s="255"/>
      <c r="F73" s="254" t="s">
        <v>118</v>
      </c>
      <c r="G73" s="254" t="s">
        <v>352</v>
      </c>
      <c r="H73" s="255"/>
      <c r="I73" s="255"/>
      <c r="J73" s="254" t="s">
        <v>352</v>
      </c>
      <c r="K73" s="254" t="s">
        <v>353</v>
      </c>
      <c r="L73" s="254" t="s">
        <v>354</v>
      </c>
      <c r="M73" s="254" t="s">
        <v>355</v>
      </c>
      <c r="N73" s="254" t="s">
        <v>673</v>
      </c>
      <c r="O73" s="254" t="s">
        <v>1080</v>
      </c>
      <c r="P73" s="256" t="str">
        <f>IFERROR(__xludf.DUMMYFUNCTION("IFERROR(
  TEXT(
    DATE(
      INDEX(SPLIT(O73,"" ""),3),
      VLOOKUP(INDEX(SPLIT(O73,"" ""),1),{""jan."",1;""Feb"",2;""mar."",3;""Apr"",4;""May"",5;""jun."",6;""jul."",7;""Aug"",8;""sep"",9;""Oct"",10;""nov."",11;""Dec"",12},2,FALSE),
      INDEX(SPL"&amp;"IT(O73,"" ""),2)
    ),
    ""dd/mm/yyyy""
  ),
"""")"),"18/12/2024")</f>
        <v>18/12/2024</v>
      </c>
      <c r="Q73" s="254"/>
      <c r="R73" s="254"/>
      <c r="S73" s="254"/>
      <c r="T73" s="255"/>
    </row>
    <row r="74">
      <c r="A74" s="253" t="s">
        <v>1081</v>
      </c>
      <c r="B74" s="253" t="s">
        <v>1082</v>
      </c>
      <c r="C74" s="254" t="s">
        <v>900</v>
      </c>
      <c r="D74" s="254" t="s">
        <v>351</v>
      </c>
      <c r="E74" s="255"/>
      <c r="F74" s="254" t="s">
        <v>170</v>
      </c>
      <c r="G74" s="254" t="s">
        <v>352</v>
      </c>
      <c r="H74" s="255"/>
      <c r="I74" s="255"/>
      <c r="J74" s="254" t="s">
        <v>352</v>
      </c>
      <c r="K74" s="254" t="s">
        <v>353</v>
      </c>
      <c r="L74" s="254" t="s">
        <v>354</v>
      </c>
      <c r="M74" s="254" t="s">
        <v>355</v>
      </c>
      <c r="N74" s="254" t="s">
        <v>1083</v>
      </c>
      <c r="O74" s="254" t="s">
        <v>1080</v>
      </c>
      <c r="P74" s="256" t="str">
        <f>IFERROR(__xludf.DUMMYFUNCTION("IFERROR(
  TEXT(
    DATE(
      INDEX(SPLIT(O74,"" ""),3),
      VLOOKUP(INDEX(SPLIT(O74,"" ""),1),{""jan."",1;""Feb"",2;""mar."",3;""Apr"",4;""May"",5;""jun."",6;""jul."",7;""Aug"",8;""sep"",9;""Oct"",10;""nov."",11;""Dec"",12},2,FALSE),
      INDEX(SPL"&amp;"IT(O74,"" ""),2)
    ),
    ""dd/mm/yyyy""
  ),
"""")"),"18/12/2024")</f>
        <v>18/12/2024</v>
      </c>
      <c r="Q74" s="254"/>
      <c r="R74" s="254"/>
      <c r="S74" s="254"/>
      <c r="T74" s="255"/>
    </row>
    <row r="75">
      <c r="A75" s="253" t="s">
        <v>1084</v>
      </c>
      <c r="B75" s="253" t="s">
        <v>1085</v>
      </c>
      <c r="C75" s="254" t="s">
        <v>900</v>
      </c>
      <c r="D75" s="254" t="s">
        <v>351</v>
      </c>
      <c r="E75" s="255"/>
      <c r="F75" s="254" t="s">
        <v>1086</v>
      </c>
      <c r="G75" s="254" t="s">
        <v>352</v>
      </c>
      <c r="H75" s="255"/>
      <c r="I75" s="255"/>
      <c r="J75" s="254" t="s">
        <v>352</v>
      </c>
      <c r="K75" s="254" t="s">
        <v>353</v>
      </c>
      <c r="L75" s="254" t="s">
        <v>354</v>
      </c>
      <c r="M75" s="254" t="s">
        <v>355</v>
      </c>
      <c r="N75" s="254" t="s">
        <v>1087</v>
      </c>
      <c r="O75" s="254" t="s">
        <v>1088</v>
      </c>
      <c r="P75" s="256" t="str">
        <f>IFERROR(__xludf.DUMMYFUNCTION("IFERROR(
  TEXT(
    DATE(
      INDEX(SPLIT(O75,"" ""),3),
      VLOOKUP(INDEX(SPLIT(O75,"" ""),1),{""jan."",1;""Feb"",2;""mar."",3;""Apr"",4;""May"",5;""jun."",6;""jul."",7;""Aug"",8;""sep"",9;""Oct"",10;""nov."",11;""Dec"",12},2,FALSE),
      INDEX(SPL"&amp;"IT(O75,"" ""),2)
    ),
    ""dd/mm/yyyy""
  ),
"""")"),"17/04/2026")</f>
        <v>17/04/2026</v>
      </c>
      <c r="Q75" s="254"/>
      <c r="R75" s="254"/>
      <c r="S75" s="254"/>
      <c r="T75" s="255"/>
    </row>
    <row r="76">
      <c r="A76" s="253" t="s">
        <v>1089</v>
      </c>
      <c r="B76" s="253" t="s">
        <v>1090</v>
      </c>
      <c r="C76" s="254" t="s">
        <v>900</v>
      </c>
      <c r="D76" s="254" t="s">
        <v>351</v>
      </c>
      <c r="E76" s="255"/>
      <c r="F76" s="254" t="s">
        <v>125</v>
      </c>
      <c r="G76" s="254" t="s">
        <v>352</v>
      </c>
      <c r="H76" s="255"/>
      <c r="I76" s="255"/>
      <c r="J76" s="254" t="s">
        <v>352</v>
      </c>
      <c r="K76" s="254" t="s">
        <v>353</v>
      </c>
      <c r="L76" s="254" t="s">
        <v>354</v>
      </c>
      <c r="M76" s="254" t="s">
        <v>355</v>
      </c>
      <c r="N76" s="254" t="s">
        <v>1091</v>
      </c>
      <c r="O76" s="254" t="s">
        <v>1092</v>
      </c>
      <c r="P76" s="256" t="str">
        <f>IFERROR(__xludf.DUMMYFUNCTION("IFERROR(
  TEXT(
    DATE(
      INDEX(SPLIT(O76,"" ""),3),
      VLOOKUP(INDEX(SPLIT(O76,"" ""),1),{""jan."",1;""Feb"",2;""mar."",3;""Apr"",4;""May"",5;""jun."",6;""jul."",7;""Aug"",8;""sep"",9;""Oct"",10;""nov."",11;""Dec"",12},2,FALSE),
      INDEX(SPL"&amp;"IT(O76,"" ""),2)
    ),
    ""dd/mm/yyyy""
  ),
"""")"),"16/04/2026")</f>
        <v>16/04/2026</v>
      </c>
      <c r="Q76" s="254"/>
      <c r="R76" s="256"/>
      <c r="S76" s="254"/>
      <c r="T76" s="255"/>
    </row>
    <row r="77">
      <c r="A77" s="253" t="s">
        <v>1093</v>
      </c>
      <c r="B77" s="253" t="s">
        <v>1094</v>
      </c>
      <c r="C77" s="254" t="s">
        <v>900</v>
      </c>
      <c r="D77" s="254" t="s">
        <v>351</v>
      </c>
      <c r="E77" s="255"/>
      <c r="F77" s="254" t="s">
        <v>272</v>
      </c>
      <c r="G77" s="254" t="s">
        <v>352</v>
      </c>
      <c r="H77" s="255"/>
      <c r="I77" s="255"/>
      <c r="J77" s="254" t="s">
        <v>352</v>
      </c>
      <c r="K77" s="254" t="s">
        <v>353</v>
      </c>
      <c r="L77" s="254" t="s">
        <v>354</v>
      </c>
      <c r="M77" s="254" t="s">
        <v>355</v>
      </c>
      <c r="N77" s="254" t="s">
        <v>1095</v>
      </c>
      <c r="O77" s="254" t="s">
        <v>1096</v>
      </c>
      <c r="P77" s="256" t="str">
        <f>IFERROR(__xludf.DUMMYFUNCTION("IFERROR(
  TEXT(
    DATE(
      INDEX(SPLIT(O77,"" ""),3),
      VLOOKUP(INDEX(SPLIT(O77,"" ""),1),{""jan."",1;""Feb"",2;""mar."",3;""Apr"",4;""May"",5;""jun."",6;""jul."",7;""Aug"",8;""sep"",9;""Oct"",10;""nov."",11;""Dec"",12},2,FALSE),
      INDEX(SPL"&amp;"IT(O77,"" ""),2)
    ),
    ""dd/mm/yyyy""
  ),
"""")"),"26/02/2026")</f>
        <v>26/02/2026</v>
      </c>
      <c r="Q77" s="254"/>
      <c r="R77" s="254"/>
      <c r="S77" s="254"/>
      <c r="T77" s="255"/>
    </row>
    <row r="78">
      <c r="A78" s="253" t="s">
        <v>1097</v>
      </c>
      <c r="B78" s="253" t="s">
        <v>1098</v>
      </c>
      <c r="C78" s="254" t="s">
        <v>900</v>
      </c>
      <c r="D78" s="254" t="s">
        <v>351</v>
      </c>
      <c r="E78" s="255"/>
      <c r="F78" s="254" t="s">
        <v>1099</v>
      </c>
      <c r="G78" s="254" t="s">
        <v>352</v>
      </c>
      <c r="H78" s="255"/>
      <c r="I78" s="255"/>
      <c r="J78" s="254" t="s">
        <v>352</v>
      </c>
      <c r="K78" s="254" t="s">
        <v>353</v>
      </c>
      <c r="L78" s="254" t="s">
        <v>354</v>
      </c>
      <c r="M78" s="254" t="s">
        <v>355</v>
      </c>
      <c r="N78" s="254" t="s">
        <v>1100</v>
      </c>
      <c r="O78" s="254" t="s">
        <v>1101</v>
      </c>
      <c r="P78" s="256" t="str">
        <f>IFERROR(__xludf.DUMMYFUNCTION("IFERROR(
  TEXT(
    DATE(
      INDEX(SPLIT(O78,"" ""),3),
      VLOOKUP(INDEX(SPLIT(O78,"" ""),1),{""jan."",1;""Feb"",2;""mar."",3;""Apr"",4;""May"",5;""jun."",6;""jul."",7;""Aug"",8;""sep"",9;""Oct"",10;""nov."",11;""Dec"",12},2,FALSE),
      INDEX(SPL"&amp;"IT(O78,"" ""),2)
    ),
    ""dd/mm/yyyy""
  ),
"""")"),"30/04/2026")</f>
        <v>30/04/2026</v>
      </c>
      <c r="Q78" s="254"/>
      <c r="R78" s="256"/>
      <c r="S78" s="254"/>
      <c r="T78" s="255"/>
    </row>
    <row r="79">
      <c r="A79" s="253" t="s">
        <v>1102</v>
      </c>
      <c r="B79" s="253" t="s">
        <v>1103</v>
      </c>
      <c r="C79" s="254" t="s">
        <v>900</v>
      </c>
      <c r="D79" s="254" t="s">
        <v>351</v>
      </c>
      <c r="E79" s="255"/>
      <c r="F79" s="254" t="s">
        <v>1104</v>
      </c>
      <c r="G79" s="254" t="s">
        <v>352</v>
      </c>
      <c r="H79" s="255"/>
      <c r="I79" s="255"/>
      <c r="J79" s="254" t="s">
        <v>352</v>
      </c>
      <c r="K79" s="254" t="s">
        <v>353</v>
      </c>
      <c r="L79" s="254" t="s">
        <v>354</v>
      </c>
      <c r="M79" s="254" t="s">
        <v>355</v>
      </c>
      <c r="N79" s="254" t="s">
        <v>1105</v>
      </c>
      <c r="O79" s="254" t="s">
        <v>1106</v>
      </c>
      <c r="P79" s="256" t="str">
        <f>IFERROR(__xludf.DUMMYFUNCTION("IFERROR(
  TEXT(
    DATE(
      INDEX(SPLIT(O79,"" ""),3),
      VLOOKUP(INDEX(SPLIT(O79,"" ""),1),{""jan."",1;""Feb"",2;""mar."",3;""Apr"",4;""May"",5;""jun."",6;""jul."",7;""Aug"",8;""sep"",9;""Oct"",10;""nov."",11;""Dec"",12},2,FALSE),
      INDEX(SPL"&amp;"IT(O79,"" ""),2)
    ),
    ""dd/mm/yyyy""
  ),
"""")"),"24/04/2026")</f>
        <v>24/04/2026</v>
      </c>
      <c r="Q79" s="254"/>
      <c r="R79" s="254"/>
      <c r="S79" s="254"/>
      <c r="T79" s="255"/>
    </row>
    <row r="80">
      <c r="A80" s="253" t="s">
        <v>1107</v>
      </c>
      <c r="B80" s="253" t="s">
        <v>1108</v>
      </c>
      <c r="C80" s="257"/>
      <c r="D80" s="257"/>
      <c r="E80" s="255"/>
      <c r="F80" s="254" t="s">
        <v>163</v>
      </c>
      <c r="G80" s="254" t="s">
        <v>352</v>
      </c>
      <c r="H80" s="255"/>
      <c r="I80" s="255"/>
      <c r="J80" s="254" t="s">
        <v>352</v>
      </c>
      <c r="K80" s="254" t="s">
        <v>353</v>
      </c>
      <c r="L80" s="254" t="s">
        <v>354</v>
      </c>
      <c r="M80" s="254" t="s">
        <v>355</v>
      </c>
      <c r="N80" s="254" t="s">
        <v>629</v>
      </c>
      <c r="O80" s="254" t="s">
        <v>1109</v>
      </c>
      <c r="P80" s="256" t="str">
        <f>IFERROR(__xludf.DUMMYFUNCTION("IFERROR(
  TEXT(
    DATE(
      INDEX(SPLIT(O80,"" ""),3),
      VLOOKUP(INDEX(SPLIT(O80,"" ""),1),{""jan."",1;""Feb"",2;""mar."",3;""Apr"",4;""May"",5;""jun."",6;""jul."",7;""Aug"",8;""sep"",9;""Oct"",10;""nov."",11;""Dec"",12},2,FALSE),
      INDEX(SPL"&amp;"IT(O80,"" ""),2)
    ),
    ""dd/mm/yyyy""
  ),
"""")"),"05/05/2026")</f>
        <v>05/05/2026</v>
      </c>
      <c r="Q80" s="254"/>
      <c r="R80" s="254"/>
      <c r="S80" s="254"/>
      <c r="T80" s="255"/>
    </row>
    <row r="81">
      <c r="A81" s="253" t="s">
        <v>1110</v>
      </c>
      <c r="B81" s="253" t="s">
        <v>1111</v>
      </c>
      <c r="C81" s="257"/>
      <c r="D81" s="257"/>
      <c r="E81" s="255"/>
      <c r="F81" s="254" t="s">
        <v>996</v>
      </c>
      <c r="G81" s="254" t="s">
        <v>352</v>
      </c>
      <c r="H81" s="255"/>
      <c r="I81" s="255"/>
      <c r="J81" s="254" t="s">
        <v>352</v>
      </c>
      <c r="K81" s="254" t="s">
        <v>353</v>
      </c>
      <c r="L81" s="254" t="s">
        <v>354</v>
      </c>
      <c r="M81" s="254" t="s">
        <v>355</v>
      </c>
      <c r="N81" s="254" t="s">
        <v>1112</v>
      </c>
      <c r="O81" s="254" t="s">
        <v>1113</v>
      </c>
      <c r="P81" s="256" t="str">
        <f>IFERROR(__xludf.DUMMYFUNCTION("IFERROR(
  TEXT(
    DATE(
      INDEX(SPLIT(O81,"" ""),3),
      VLOOKUP(INDEX(SPLIT(O81,"" ""),1),{""jan."",1;""Feb"",2;""mar."",3;""Apr"",4;""May"",5;""jun."",6;""jul."",7;""Aug"",8;""sep"",9;""Oct"",10;""nov."",11;""Dec"",12},2,FALSE),
      INDEX(SPL"&amp;"IT(O81,"" ""),2)
    ),
    ""dd/mm/yyyy""
  ),
"""")"),"03/02/2026")</f>
        <v>03/02/2026</v>
      </c>
      <c r="Q81" s="254"/>
      <c r="R81" s="254"/>
      <c r="S81" s="254"/>
      <c r="T81" s="255"/>
    </row>
    <row r="82">
      <c r="A82" s="253" t="s">
        <v>1114</v>
      </c>
      <c r="B82" s="253" t="s">
        <v>1115</v>
      </c>
      <c r="C82" s="257"/>
      <c r="D82" s="257"/>
      <c r="E82" s="255"/>
      <c r="F82" s="254" t="s">
        <v>316</v>
      </c>
      <c r="G82" s="254" t="s">
        <v>352</v>
      </c>
      <c r="H82" s="255"/>
      <c r="I82" s="255"/>
      <c r="J82" s="254" t="s">
        <v>352</v>
      </c>
      <c r="K82" s="254" t="s">
        <v>353</v>
      </c>
      <c r="L82" s="254" t="s">
        <v>354</v>
      </c>
      <c r="M82" s="254" t="s">
        <v>355</v>
      </c>
      <c r="N82" s="254" t="s">
        <v>1116</v>
      </c>
      <c r="O82" s="256">
        <v>46085.61875</v>
      </c>
      <c r="P82" s="256" t="str">
        <f>IFERROR(__xludf.DUMMYFUNCTION("IFERROR(
  TEXT(
    DATE(
      INDEX(SPLIT(O82,"" ""),3),
      VLOOKUP(INDEX(SPLIT(O82,"" ""),1),{""jan."",1;""Feb"",2;""mar."",3;""Apr"",4;""May"",5;""jun."",6;""jul."",7;""Aug"",8;""sep"",9;""Oct"",10;""nov."",11;""Dec"",12},2,FALSE),
      INDEX(SPL"&amp;"IT(O82,"" ""),2)
    ),
    ""dd/mm/yyyy""
  ),
"""")"),"04/03/2026")</f>
        <v>04/03/2026</v>
      </c>
      <c r="Q82" s="254"/>
      <c r="R82" s="254"/>
      <c r="S82" s="254"/>
      <c r="T82" s="255"/>
    </row>
    <row r="83">
      <c r="A83" s="253" t="s">
        <v>1117</v>
      </c>
      <c r="B83" s="253" t="s">
        <v>1118</v>
      </c>
      <c r="C83" s="257"/>
      <c r="D83" s="257"/>
      <c r="E83" s="255"/>
      <c r="F83" s="254" t="s">
        <v>253</v>
      </c>
      <c r="G83" s="254" t="s">
        <v>352</v>
      </c>
      <c r="H83" s="255"/>
      <c r="I83" s="255"/>
      <c r="J83" s="254" t="s">
        <v>352</v>
      </c>
      <c r="K83" s="254" t="s">
        <v>353</v>
      </c>
      <c r="L83" s="254" t="s">
        <v>354</v>
      </c>
      <c r="M83" s="254" t="s">
        <v>355</v>
      </c>
      <c r="N83" s="254" t="s">
        <v>1036</v>
      </c>
      <c r="O83" s="254" t="s">
        <v>1119</v>
      </c>
      <c r="P83" s="256" t="str">
        <f>IFERROR(__xludf.DUMMYFUNCTION("IFERROR(
  TEXT(
    DATE(
      INDEX(SPLIT(O83,"" ""),3),
      VLOOKUP(INDEX(SPLIT(O83,"" ""),1),{""jan."",1;""Feb"",2;""mar."",3;""Apr"",4;""May"",5;""jun."",6;""jul."",7;""Aug"",8;""sep"",9;""Oct"",10;""nov."",11;""Dec"",12},2,FALSE),
      INDEX(SPL"&amp;"IT(O83,"" ""),2)
    ),
    ""dd/mm/yyyy""
  ),
"""")"),"24/04/2026")</f>
        <v>24/04/2026</v>
      </c>
      <c r="Q83" s="254"/>
      <c r="R83" s="254"/>
      <c r="S83" s="254"/>
      <c r="T83" s="255"/>
    </row>
    <row r="84">
      <c r="A84" s="253" t="s">
        <v>1120</v>
      </c>
      <c r="B84" s="253" t="s">
        <v>1121</v>
      </c>
      <c r="C84" s="257"/>
      <c r="D84" s="257"/>
      <c r="E84" s="255"/>
      <c r="F84" s="254" t="s">
        <v>871</v>
      </c>
      <c r="G84" s="254" t="s">
        <v>352</v>
      </c>
      <c r="H84" s="255"/>
      <c r="I84" s="255"/>
      <c r="J84" s="254" t="s">
        <v>352</v>
      </c>
      <c r="K84" s="254" t="s">
        <v>353</v>
      </c>
      <c r="L84" s="254" t="s">
        <v>354</v>
      </c>
      <c r="M84" s="254" t="s">
        <v>355</v>
      </c>
      <c r="N84" s="254" t="s">
        <v>641</v>
      </c>
      <c r="O84" s="254" t="s">
        <v>1122</v>
      </c>
      <c r="P84" s="256" t="str">
        <f>IFERROR(__xludf.DUMMYFUNCTION("IFERROR(
  TEXT(
    DATE(
      INDEX(SPLIT(O84,"" ""),3),
      VLOOKUP(INDEX(SPLIT(O84,"" ""),1),{""jan."",1;""Feb"",2;""mar."",3;""Apr"",4;""May"",5;""jun."",6;""jul."",7;""Aug"",8;""sep"",9;""Oct"",10;""nov."",11;""Dec"",12},2,FALSE),
      INDEX(SPL"&amp;"IT(O84,"" ""),2)
    ),
    ""dd/mm/yyyy""
  ),
"""")"),"15/04/2026")</f>
        <v>15/04/2026</v>
      </c>
      <c r="Q84" s="254"/>
      <c r="R84" s="254"/>
      <c r="S84" s="254"/>
      <c r="T84" s="255"/>
    </row>
    <row r="85">
      <c r="A85" s="253" t="s">
        <v>1123</v>
      </c>
      <c r="B85" s="253" t="s">
        <v>1124</v>
      </c>
      <c r="C85" s="255"/>
      <c r="D85" s="255"/>
      <c r="E85" s="255"/>
      <c r="F85" s="254" t="s">
        <v>1000</v>
      </c>
      <c r="G85" s="254" t="s">
        <v>352</v>
      </c>
      <c r="H85" s="255"/>
      <c r="I85" s="255"/>
      <c r="J85" s="254" t="s">
        <v>352</v>
      </c>
      <c r="K85" s="254" t="s">
        <v>353</v>
      </c>
      <c r="L85" s="254" t="s">
        <v>354</v>
      </c>
      <c r="M85" s="254" t="s">
        <v>355</v>
      </c>
      <c r="N85" s="254" t="s">
        <v>614</v>
      </c>
      <c r="O85" s="254" t="s">
        <v>1125</v>
      </c>
      <c r="P85" s="256" t="str">
        <f>IFERROR(__xludf.DUMMYFUNCTION("IFERROR(
  TEXT(
    DATE(
      INDEX(SPLIT(O85,"" ""),3),
      VLOOKUP(INDEX(SPLIT(O85,"" ""),1),{""jan."",1;""Feb"",2;""mar."",3;""Apr"",4;""May"",5;""jun."",6;""jul."",7;""Aug"",8;""sep"",9;""Oct"",10;""nov."",11;""Dec"",12},2,FALSE),
      INDEX(SPL"&amp;"IT(O85,"" ""),2)
    ),
    ""dd/mm/yyyy""
  ),
"""")"),"27/04/2026")</f>
        <v>27/04/2026</v>
      </c>
      <c r="Q85" s="254"/>
      <c r="R85" s="254"/>
      <c r="S85" s="254"/>
      <c r="T85" s="255"/>
    </row>
    <row r="86">
      <c r="A86" s="253" t="s">
        <v>1126</v>
      </c>
      <c r="B86" s="253" t="s">
        <v>1127</v>
      </c>
      <c r="C86" s="257"/>
      <c r="D86" s="257"/>
      <c r="E86" s="255"/>
      <c r="F86" s="254" t="s">
        <v>1048</v>
      </c>
      <c r="G86" s="254" t="s">
        <v>352</v>
      </c>
      <c r="H86" s="255"/>
      <c r="I86" s="255"/>
      <c r="J86" s="254" t="s">
        <v>352</v>
      </c>
      <c r="K86" s="254" t="s">
        <v>353</v>
      </c>
      <c r="L86" s="254" t="s">
        <v>354</v>
      </c>
      <c r="M86" s="254" t="s">
        <v>355</v>
      </c>
      <c r="N86" s="254" t="s">
        <v>1128</v>
      </c>
      <c r="O86" s="254" t="s">
        <v>1129</v>
      </c>
      <c r="P86" s="256" t="str">
        <f>IFERROR(__xludf.DUMMYFUNCTION("IFERROR(
  TEXT(
    DATE(
      INDEX(SPLIT(O86,"" ""),3),
      VLOOKUP(INDEX(SPLIT(O86,"" ""),1),{""jan."",1;""Feb"",2;""mar."",3;""Apr"",4;""May"",5;""jun."",6;""jul."",7;""Aug"",8;""sep"",9;""Oct"",10;""nov."",11;""Dec"",12},2,FALSE),
      INDEX(SPL"&amp;"IT(O86,"" ""),2)
    ),
    ""dd/mm/yyyy""
  ),
"""")"),"13/04/2026")</f>
        <v>13/04/2026</v>
      </c>
      <c r="Q86" s="254"/>
      <c r="R86" s="254"/>
      <c r="S86" s="254"/>
      <c r="T86" s="255"/>
    </row>
    <row r="87">
      <c r="A87" s="253" t="s">
        <v>1130</v>
      </c>
      <c r="B87" s="253" t="s">
        <v>1131</v>
      </c>
      <c r="C87" s="255"/>
      <c r="D87" s="255"/>
      <c r="E87" s="255"/>
      <c r="F87" s="254" t="s">
        <v>259</v>
      </c>
      <c r="G87" s="254" t="s">
        <v>352</v>
      </c>
      <c r="H87" s="255"/>
      <c r="I87" s="255"/>
      <c r="J87" s="254" t="s">
        <v>352</v>
      </c>
      <c r="K87" s="254" t="s">
        <v>353</v>
      </c>
      <c r="L87" s="254" t="s">
        <v>354</v>
      </c>
      <c r="M87" s="254" t="s">
        <v>355</v>
      </c>
      <c r="N87" s="254" t="s">
        <v>1132</v>
      </c>
      <c r="O87" s="254" t="s">
        <v>1133</v>
      </c>
      <c r="P87" s="256" t="str">
        <f>IFERROR(__xludf.DUMMYFUNCTION("IFERROR(
  TEXT(
    DATE(
      INDEX(SPLIT(O87,"" ""),3),
      VLOOKUP(INDEX(SPLIT(O87,"" ""),1),{""jan."",1;""Feb"",2;""mar."",3;""Apr"",4;""May"",5;""jun."",6;""jul."",7;""Aug"",8;""sep"",9;""Oct"",10;""nov."",11;""Dec"",12},2,FALSE),
      INDEX(SPL"&amp;"IT(O87,"" ""),2)
    ),
    ""dd/mm/yyyy""
  ),
"""")"),"23/12/2025")</f>
        <v>23/12/2025</v>
      </c>
      <c r="Q87" s="254"/>
      <c r="R87" s="254"/>
      <c r="S87" s="254"/>
      <c r="T87" s="255"/>
    </row>
    <row r="88">
      <c r="A88" s="253" t="s">
        <v>1134</v>
      </c>
      <c r="B88" s="253" t="s">
        <v>1135</v>
      </c>
      <c r="C88" s="257"/>
      <c r="D88" s="257"/>
      <c r="E88" s="255"/>
      <c r="F88" s="254" t="s">
        <v>996</v>
      </c>
      <c r="G88" s="254" t="s">
        <v>352</v>
      </c>
      <c r="H88" s="255"/>
      <c r="I88" s="255"/>
      <c r="J88" s="254" t="s">
        <v>352</v>
      </c>
      <c r="K88" s="254" t="s">
        <v>353</v>
      </c>
      <c r="L88" s="254" t="s">
        <v>354</v>
      </c>
      <c r="M88" s="254" t="s">
        <v>355</v>
      </c>
      <c r="N88" s="254" t="s">
        <v>480</v>
      </c>
      <c r="O88" s="254" t="s">
        <v>1136</v>
      </c>
      <c r="P88" s="256" t="str">
        <f>IFERROR(__xludf.DUMMYFUNCTION("IFERROR(
  TEXT(
    DATE(
      INDEX(SPLIT(O88,"" ""),3),
      VLOOKUP(INDEX(SPLIT(O88,"" ""),1),{""jan."",1;""Feb"",2;""mar."",3;""Apr"",4;""May"",5;""jun."",6;""jul."",7;""Aug"",8;""sep"",9;""Oct"",10;""nov."",11;""Dec"",12},2,FALSE),
      INDEX(SPL"&amp;"IT(O88,"" ""),2)
    ),
    ""dd/mm/yyyy""
  ),
"""")"),"12/05/2026")</f>
        <v>12/05/2026</v>
      </c>
      <c r="Q88" s="254"/>
      <c r="R88" s="254"/>
      <c r="S88" s="254"/>
      <c r="T88" s="255"/>
    </row>
    <row r="89">
      <c r="A89" s="253" t="s">
        <v>1137</v>
      </c>
      <c r="B89" s="253" t="s">
        <v>1138</v>
      </c>
      <c r="C89" s="255"/>
      <c r="D89" s="255"/>
      <c r="E89" s="255"/>
      <c r="F89" s="254" t="s">
        <v>170</v>
      </c>
      <c r="G89" s="254" t="s">
        <v>352</v>
      </c>
      <c r="H89" s="255"/>
      <c r="I89" s="255"/>
      <c r="J89" s="254" t="s">
        <v>352</v>
      </c>
      <c r="K89" s="254" t="s">
        <v>353</v>
      </c>
      <c r="L89" s="254" t="s">
        <v>354</v>
      </c>
      <c r="M89" s="254" t="s">
        <v>355</v>
      </c>
      <c r="N89" s="254" t="s">
        <v>1036</v>
      </c>
      <c r="O89" s="254" t="s">
        <v>1139</v>
      </c>
      <c r="P89" s="256" t="str">
        <f>IFERROR(__xludf.DUMMYFUNCTION("IFERROR(
  TEXT(
    DATE(
      INDEX(SPLIT(O89,"" ""),3),
      VLOOKUP(INDEX(SPLIT(O89,"" ""),1),{""jan."",1;""Feb"",2;""mar."",3;""Apr"",4;""May"",5;""jun."",6;""jul."",7;""Aug"",8;""sep"",9;""Oct"",10;""nov."",11;""Dec"",12},2,FALSE),
      INDEX(SPL"&amp;"IT(O89,"" ""),2)
    ),
    ""dd/mm/yyyy""
  ),
"""")"),"08/12/2025")</f>
        <v>08/12/2025</v>
      </c>
      <c r="Q89" s="254"/>
      <c r="R89" s="254"/>
      <c r="S89" s="254"/>
      <c r="T89" s="255"/>
    </row>
    <row r="90">
      <c r="A90" s="253" t="s">
        <v>1140</v>
      </c>
      <c r="B90" s="253" t="s">
        <v>1141</v>
      </c>
      <c r="C90" s="257"/>
      <c r="D90" s="257"/>
      <c r="E90" s="255"/>
      <c r="F90" s="254" t="s">
        <v>245</v>
      </c>
      <c r="G90" s="254" t="s">
        <v>352</v>
      </c>
      <c r="H90" s="255"/>
      <c r="I90" s="255"/>
      <c r="J90" s="254" t="s">
        <v>352</v>
      </c>
      <c r="K90" s="254" t="s">
        <v>353</v>
      </c>
      <c r="L90" s="254" t="s">
        <v>354</v>
      </c>
      <c r="M90" s="254" t="s">
        <v>355</v>
      </c>
      <c r="N90" s="254" t="s">
        <v>1142</v>
      </c>
      <c r="O90" s="254" t="s">
        <v>1143</v>
      </c>
      <c r="P90" s="256" t="str">
        <f>IFERROR(__xludf.DUMMYFUNCTION("IFERROR(
  TEXT(
    DATE(
      INDEX(SPLIT(O90,"" ""),3),
      VLOOKUP(INDEX(SPLIT(O90,"" ""),1),{""jan."",1;""Feb"",2;""mar."",3;""Apr"",4;""May"",5;""jun."",6;""jul."",7;""Aug"",8;""sep"",9;""Oct"",10;""nov."",11;""Dec"",12},2,FALSE),
      INDEX(SPL"&amp;"IT(O90,"" ""),2)
    ),
    ""dd/mm/yyyy""
  ),
"""")"),"27/04/2026")</f>
        <v>27/04/2026</v>
      </c>
      <c r="Q90" s="254"/>
      <c r="R90" s="254"/>
      <c r="S90" s="254"/>
      <c r="T90" s="255"/>
    </row>
    <row r="91">
      <c r="A91" s="253" t="s">
        <v>1144</v>
      </c>
      <c r="B91" s="253" t="s">
        <v>1145</v>
      </c>
      <c r="C91" s="257"/>
      <c r="D91" s="257"/>
      <c r="E91" s="255"/>
      <c r="F91" s="254" t="s">
        <v>238</v>
      </c>
      <c r="G91" s="254" t="s">
        <v>352</v>
      </c>
      <c r="H91" s="255"/>
      <c r="I91" s="255"/>
      <c r="J91" s="254" t="s">
        <v>352</v>
      </c>
      <c r="K91" s="254" t="s">
        <v>353</v>
      </c>
      <c r="L91" s="254" t="s">
        <v>354</v>
      </c>
      <c r="M91" s="254" t="s">
        <v>355</v>
      </c>
      <c r="N91" s="254" t="s">
        <v>1146</v>
      </c>
      <c r="O91" s="254" t="s">
        <v>1147</v>
      </c>
      <c r="P91" s="256" t="str">
        <f>IFERROR(__xludf.DUMMYFUNCTION("IFERROR(
  TEXT(
    DATE(
      INDEX(SPLIT(O91,"" ""),3),
      VLOOKUP(INDEX(SPLIT(O91,"" ""),1),{""jan."",1;""Feb"",2;""mar."",3;""Apr"",4;""May"",5;""jun."",6;""jul."",7;""Aug"",8;""sep"",9;""Oct"",10;""nov."",11;""Dec"",12},2,FALSE),
      INDEX(SPL"&amp;"IT(O91,"" ""),2)
    ),
    ""dd/mm/yyyy""
  ),
"""")"),"03/02/2026")</f>
        <v>03/02/2026</v>
      </c>
      <c r="Q91" s="254"/>
      <c r="R91" s="254"/>
      <c r="S91" s="254"/>
      <c r="T91" s="255"/>
    </row>
    <row r="92">
      <c r="A92" s="253" t="s">
        <v>1148</v>
      </c>
      <c r="B92" s="253" t="s">
        <v>1149</v>
      </c>
      <c r="C92" s="257"/>
      <c r="D92" s="257"/>
      <c r="E92" s="255"/>
      <c r="F92" s="254" t="s">
        <v>163</v>
      </c>
      <c r="G92" s="254" t="s">
        <v>352</v>
      </c>
      <c r="H92" s="255"/>
      <c r="I92" s="255"/>
      <c r="J92" s="254" t="s">
        <v>352</v>
      </c>
      <c r="K92" s="254" t="s">
        <v>353</v>
      </c>
      <c r="L92" s="254" t="s">
        <v>354</v>
      </c>
      <c r="M92" s="254" t="s">
        <v>355</v>
      </c>
      <c r="N92" s="254" t="s">
        <v>1150</v>
      </c>
      <c r="O92" s="254" t="s">
        <v>383</v>
      </c>
      <c r="P92" s="256" t="str">
        <f>IFERROR(__xludf.DUMMYFUNCTION("IFERROR(
  TEXT(
    DATE(
      INDEX(SPLIT(O92,"" ""),3),
      VLOOKUP(INDEX(SPLIT(O92,"" ""),1),{""jan."",1;""Feb"",2;""mar."",3;""Apr"",4;""May"",5;""jun."",6;""jul."",7;""Aug"",8;""sep"",9;""Oct"",10;""nov."",11;""Dec"",12},2,FALSE),
      INDEX(SPL"&amp;"IT(O92,"" ""),2)
    ),
    ""dd/mm/yyyy""
  ),
"""")"),"15/05/2026")</f>
        <v>15/05/2026</v>
      </c>
      <c r="Q92" s="254"/>
      <c r="R92" s="254"/>
      <c r="S92" s="254"/>
      <c r="T92" s="255"/>
    </row>
    <row r="93">
      <c r="A93" s="253" t="s">
        <v>1151</v>
      </c>
      <c r="B93" s="253" t="s">
        <v>1152</v>
      </c>
      <c r="C93" s="257"/>
      <c r="D93" s="257"/>
      <c r="E93" s="255"/>
      <c r="F93" s="254" t="s">
        <v>871</v>
      </c>
      <c r="G93" s="254" t="s">
        <v>352</v>
      </c>
      <c r="H93" s="255"/>
      <c r="I93" s="255"/>
      <c r="J93" s="254" t="s">
        <v>352</v>
      </c>
      <c r="K93" s="254" t="s">
        <v>353</v>
      </c>
      <c r="L93" s="254" t="s">
        <v>354</v>
      </c>
      <c r="M93" s="254" t="s">
        <v>355</v>
      </c>
      <c r="N93" s="254" t="s">
        <v>1153</v>
      </c>
      <c r="O93" s="254" t="s">
        <v>1154</v>
      </c>
      <c r="P93" s="256" t="str">
        <f>IFERROR(__xludf.DUMMYFUNCTION("IFERROR(
  TEXT(
    DATE(
      INDEX(SPLIT(O93,"" ""),3),
      VLOOKUP(INDEX(SPLIT(O93,"" ""),1),{""jan."",1;""Feb"",2;""mar."",3;""Apr"",4;""May"",5;""jun."",6;""jul."",7;""Aug"",8;""sep"",9;""Oct"",10;""nov."",11;""Dec"",12},2,FALSE),
      INDEX(SPL"&amp;"IT(O93,"" ""),2)
    ),
    ""dd/mm/yyyy""
  ),
"""")"),"08/05/2026")</f>
        <v>08/05/2026</v>
      </c>
      <c r="Q93" s="254"/>
      <c r="R93" s="254"/>
      <c r="S93" s="254"/>
      <c r="T93" s="255"/>
    </row>
    <row r="94">
      <c r="A94" s="253" t="s">
        <v>1155</v>
      </c>
      <c r="B94" s="253" t="s">
        <v>1156</v>
      </c>
      <c r="C94" s="257"/>
      <c r="D94" s="257"/>
      <c r="E94" s="255"/>
      <c r="F94" s="254" t="s">
        <v>1012</v>
      </c>
      <c r="G94" s="254" t="s">
        <v>352</v>
      </c>
      <c r="H94" s="255"/>
      <c r="I94" s="255"/>
      <c r="J94" s="254" t="s">
        <v>352</v>
      </c>
      <c r="K94" s="254" t="s">
        <v>353</v>
      </c>
      <c r="L94" s="254" t="s">
        <v>354</v>
      </c>
      <c r="M94" s="254" t="s">
        <v>355</v>
      </c>
      <c r="N94" s="254" t="s">
        <v>1157</v>
      </c>
      <c r="O94" s="254" t="s">
        <v>1158</v>
      </c>
      <c r="P94" s="256" t="str">
        <f>IFERROR(__xludf.DUMMYFUNCTION("IFERROR(
  TEXT(
    DATE(
      INDEX(SPLIT(O94,"" ""),3),
      VLOOKUP(INDEX(SPLIT(O94,"" ""),1),{""jan."",1;""Feb"",2;""mar."",3;""Apr"",4;""May"",5;""jun."",6;""jul."",7;""Aug"",8;""sep"",9;""Oct"",10;""nov."",11;""Dec"",12},2,FALSE),
      INDEX(SPL"&amp;"IT(O94,"" ""),2)
    ),
    ""dd/mm/yyyy""
  ),
"""")"),"14/05/2026")</f>
        <v>14/05/2026</v>
      </c>
      <c r="Q94" s="254"/>
      <c r="R94" s="256"/>
      <c r="S94" s="254"/>
      <c r="T94" s="255"/>
    </row>
    <row r="95">
      <c r="A95" s="253" t="s">
        <v>1159</v>
      </c>
      <c r="B95" s="253" t="s">
        <v>1160</v>
      </c>
      <c r="C95" s="257"/>
      <c r="D95" s="257"/>
      <c r="E95" s="255"/>
      <c r="F95" s="254" t="s">
        <v>245</v>
      </c>
      <c r="G95" s="254" t="s">
        <v>352</v>
      </c>
      <c r="H95" s="255"/>
      <c r="I95" s="255"/>
      <c r="J95" s="254" t="s">
        <v>352</v>
      </c>
      <c r="K95" s="254" t="s">
        <v>353</v>
      </c>
      <c r="L95" s="254" t="s">
        <v>354</v>
      </c>
      <c r="M95" s="254" t="s">
        <v>355</v>
      </c>
      <c r="N95" s="254" t="s">
        <v>1161</v>
      </c>
      <c r="O95" s="254" t="s">
        <v>1158</v>
      </c>
      <c r="P95" s="256" t="str">
        <f>IFERROR(__xludf.DUMMYFUNCTION("IFERROR(
  TEXT(
    DATE(
      INDEX(SPLIT(O95,"" ""),3),
      VLOOKUP(INDEX(SPLIT(O95,"" ""),1),{""jan."",1;""Feb"",2;""mar."",3;""Apr"",4;""May"",5;""jun."",6;""jul."",7;""Aug"",8;""sep"",9;""Oct"",10;""nov."",11;""Dec"",12},2,FALSE),
      INDEX(SPL"&amp;"IT(O95,"" ""),2)
    ),
    ""dd/mm/yyyy""
  ),
"""")"),"14/05/2026")</f>
        <v>14/05/2026</v>
      </c>
      <c r="Q95" s="254"/>
      <c r="R95" s="254"/>
      <c r="S95" s="254"/>
      <c r="T95" s="255"/>
    </row>
    <row r="96">
      <c r="A96" s="253" t="s">
        <v>1162</v>
      </c>
      <c r="B96" s="253" t="s">
        <v>1163</v>
      </c>
      <c r="C96" s="257"/>
      <c r="D96" s="257"/>
      <c r="E96" s="255"/>
      <c r="F96" s="254" t="s">
        <v>245</v>
      </c>
      <c r="G96" s="254" t="s">
        <v>352</v>
      </c>
      <c r="H96" s="255"/>
      <c r="I96" s="255"/>
      <c r="J96" s="254" t="s">
        <v>352</v>
      </c>
      <c r="K96" s="254" t="s">
        <v>353</v>
      </c>
      <c r="L96" s="254" t="s">
        <v>354</v>
      </c>
      <c r="M96" s="254" t="s">
        <v>355</v>
      </c>
      <c r="N96" s="254" t="s">
        <v>629</v>
      </c>
      <c r="O96" s="256">
        <v>46037.63958333333</v>
      </c>
      <c r="P96" s="256" t="str">
        <f>IFERROR(__xludf.DUMMYFUNCTION("IFERROR(
  TEXT(
    DATE(
      INDEX(SPLIT(O96,"" ""),3),
      VLOOKUP(INDEX(SPLIT(O96,"" ""),1),{""jan."",1;""Feb"",2;""mar."",3;""Apr"",4;""May"",5;""jun."",6;""jul."",7;""Aug"",8;""sep"",9;""Oct"",10;""nov."",11;""Dec"",12},2,FALSE),
      INDEX(SPL"&amp;"IT(O96,"" ""),2)
    ),
    ""dd/mm/yyyy""
  ),
"""")"),"15/01/2026")</f>
        <v>15/01/2026</v>
      </c>
      <c r="Q96" s="254"/>
      <c r="R96" s="256"/>
      <c r="S96" s="254"/>
      <c r="T96" s="255"/>
    </row>
    <row r="97">
      <c r="A97" s="253" t="s">
        <v>1164</v>
      </c>
      <c r="B97" s="253" t="s">
        <v>1165</v>
      </c>
      <c r="C97" s="257"/>
      <c r="D97" s="257"/>
      <c r="E97" s="255"/>
      <c r="F97" s="254" t="s">
        <v>996</v>
      </c>
      <c r="G97" s="254" t="s">
        <v>352</v>
      </c>
      <c r="H97" s="255"/>
      <c r="I97" s="255"/>
      <c r="J97" s="254" t="s">
        <v>352</v>
      </c>
      <c r="K97" s="254" t="s">
        <v>353</v>
      </c>
      <c r="L97" s="254" t="s">
        <v>354</v>
      </c>
      <c r="M97" s="254" t="s">
        <v>355</v>
      </c>
      <c r="N97" s="254" t="s">
        <v>695</v>
      </c>
      <c r="O97" s="256">
        <v>46084.36597222222</v>
      </c>
      <c r="P97" s="256" t="str">
        <f>IFERROR(__xludf.DUMMYFUNCTION("IFERROR(
  TEXT(
    DATE(
      INDEX(SPLIT(O97,"" ""),3),
      VLOOKUP(INDEX(SPLIT(O97,"" ""),1),{""jan."",1;""Feb"",2;""mar."",3;""Apr"",4;""May"",5;""jun."",6;""jul."",7;""Aug"",8;""sep"",9;""Oct"",10;""nov."",11;""Dec"",12},2,FALSE),
      INDEX(SPL"&amp;"IT(O97,"" ""),2)
    ),
    ""dd/mm/yyyy""
  ),
"""")"),"03/03/2026")</f>
        <v>03/03/2026</v>
      </c>
      <c r="Q97" s="254"/>
      <c r="R97" s="254"/>
      <c r="S97" s="254"/>
      <c r="T97" s="255"/>
    </row>
    <row r="98">
      <c r="A98" s="253" t="s">
        <v>1166</v>
      </c>
      <c r="B98" s="253" t="s">
        <v>1167</v>
      </c>
      <c r="C98" s="257"/>
      <c r="D98" s="257"/>
      <c r="E98" s="255"/>
      <c r="F98" s="254" t="s">
        <v>253</v>
      </c>
      <c r="G98" s="254" t="s">
        <v>352</v>
      </c>
      <c r="H98" s="255"/>
      <c r="I98" s="255"/>
      <c r="J98" s="254" t="s">
        <v>352</v>
      </c>
      <c r="K98" s="254" t="s">
        <v>353</v>
      </c>
      <c r="L98" s="254" t="s">
        <v>354</v>
      </c>
      <c r="M98" s="254" t="s">
        <v>355</v>
      </c>
      <c r="N98" s="254" t="s">
        <v>1168</v>
      </c>
      <c r="O98" s="256">
        <v>46105.81597222222</v>
      </c>
      <c r="P98" s="256" t="str">
        <f>IFERROR(__xludf.DUMMYFUNCTION("IFERROR(
  TEXT(
    DATE(
      INDEX(SPLIT(O98,"" ""),3),
      VLOOKUP(INDEX(SPLIT(O98,"" ""),1),{""jan."",1;""Feb"",2;""mar."",3;""Apr"",4;""May"",5;""jun."",6;""jul."",7;""Aug"",8;""sep"",9;""Oct"",10;""nov."",11;""Dec"",12},2,FALSE),
      INDEX(SPL"&amp;"IT(O98,"" ""),2)
    ),
    ""dd/mm/yyyy""
  ),
"""")"),"24/03/2026")</f>
        <v>24/03/2026</v>
      </c>
      <c r="Q98" s="254"/>
      <c r="R98" s="254"/>
      <c r="S98" s="254"/>
      <c r="T98" s="255"/>
    </row>
    <row r="99">
      <c r="A99" s="253" t="s">
        <v>1169</v>
      </c>
      <c r="B99" s="253" t="s">
        <v>1170</v>
      </c>
      <c r="C99" s="257"/>
      <c r="D99" s="257"/>
      <c r="E99" s="255"/>
      <c r="F99" s="254" t="s">
        <v>259</v>
      </c>
      <c r="G99" s="254" t="s">
        <v>352</v>
      </c>
      <c r="H99" s="255"/>
      <c r="I99" s="255"/>
      <c r="J99" s="254" t="s">
        <v>352</v>
      </c>
      <c r="K99" s="254" t="s">
        <v>353</v>
      </c>
      <c r="L99" s="254" t="s">
        <v>354</v>
      </c>
      <c r="M99" s="254" t="s">
        <v>355</v>
      </c>
      <c r="N99" s="254" t="s">
        <v>1171</v>
      </c>
      <c r="O99" s="254" t="s">
        <v>1172</v>
      </c>
      <c r="P99" s="256" t="str">
        <f>IFERROR(__xludf.DUMMYFUNCTION("IFERROR(
  TEXT(
    DATE(
      INDEX(SPLIT(O99,"" ""),3),
      VLOOKUP(INDEX(SPLIT(O99,"" ""),1),{""jan."",1;""Feb"",2;""mar."",3;""Apr"",4;""May"",5;""jun."",6;""jul."",7;""Aug"",8;""sep"",9;""Oct"",10;""nov."",11;""Dec"",12},2,FALSE),
      INDEX(SPL"&amp;"IT(O99,"" ""),2)
    ),
    ""dd/mm/yyyy""
  ),
"""")"),"08/04/2026")</f>
        <v>08/04/2026</v>
      </c>
      <c r="Q99" s="254"/>
      <c r="R99" s="256"/>
      <c r="S99" s="254"/>
      <c r="T99" s="255"/>
    </row>
    <row r="100">
      <c r="A100" s="253" t="s">
        <v>1173</v>
      </c>
      <c r="B100" s="253" t="s">
        <v>1174</v>
      </c>
      <c r="C100" s="257"/>
      <c r="D100" s="257"/>
      <c r="E100" s="255"/>
      <c r="F100" s="254" t="s">
        <v>294</v>
      </c>
      <c r="G100" s="254" t="s">
        <v>352</v>
      </c>
      <c r="H100" s="255"/>
      <c r="I100" s="255"/>
      <c r="J100" s="254" t="s">
        <v>352</v>
      </c>
      <c r="K100" s="254" t="s">
        <v>353</v>
      </c>
      <c r="L100" s="254" t="s">
        <v>354</v>
      </c>
      <c r="M100" s="254" t="s">
        <v>355</v>
      </c>
      <c r="N100" s="254" t="s">
        <v>654</v>
      </c>
      <c r="O100" s="254" t="s">
        <v>1175</v>
      </c>
      <c r="P100" s="256" t="str">
        <f>IFERROR(__xludf.DUMMYFUNCTION("IFERROR(
  TEXT(
    DATE(
      INDEX(SPLIT(O100,"" ""),3),
      VLOOKUP(INDEX(SPLIT(O100,"" ""),1),{""jan."",1;""Feb"",2;""mar."",3;""Apr"",4;""May"",5;""jun."",6;""jul."",7;""Aug"",8;""sep"",9;""Oct"",10;""nov."",11;""Dec"",12},2,FALSE),
      INDEX(S"&amp;"PLIT(O100,"" ""),2)
    ),
    ""dd/mm/yyyy""
  ),
"""")"),"08/05/2026")</f>
        <v>08/05/2026</v>
      </c>
      <c r="Q100" s="254"/>
      <c r="R100" s="254"/>
      <c r="S100" s="254"/>
      <c r="T100" s="255"/>
    </row>
    <row r="101">
      <c r="A101" s="253" t="s">
        <v>1176</v>
      </c>
      <c r="B101" s="253" t="s">
        <v>1177</v>
      </c>
      <c r="C101" s="257"/>
      <c r="D101" s="257"/>
      <c r="E101" s="255"/>
      <c r="F101" s="254" t="s">
        <v>238</v>
      </c>
      <c r="G101" s="254" t="s">
        <v>352</v>
      </c>
      <c r="H101" s="255"/>
      <c r="I101" s="255"/>
      <c r="J101" s="254" t="s">
        <v>352</v>
      </c>
      <c r="K101" s="254" t="s">
        <v>353</v>
      </c>
      <c r="L101" s="254" t="s">
        <v>354</v>
      </c>
      <c r="M101" s="254" t="s">
        <v>355</v>
      </c>
      <c r="N101" s="254" t="s">
        <v>689</v>
      </c>
      <c r="O101" s="254" t="s">
        <v>1178</v>
      </c>
      <c r="P101" s="256" t="str">
        <f>IFERROR(__xludf.DUMMYFUNCTION("IFERROR(
  TEXT(
    DATE(
      INDEX(SPLIT(O101,"" ""),3),
      VLOOKUP(INDEX(SPLIT(O101,"" ""),1),{""jan."",1;""Feb"",2;""mar."",3;""Apr"",4;""May"",5;""jun."",6;""jul."",7;""Aug"",8;""sep"",9;""Oct"",10;""nov."",11;""Dec"",12},2,FALSE),
      INDEX(S"&amp;"PLIT(O101,"" ""),2)
    ),
    ""dd/mm/yyyy""
  ),
"""")"),"13/05/2026")</f>
        <v>13/05/2026</v>
      </c>
      <c r="Q101" s="254"/>
      <c r="R101" s="254"/>
      <c r="S101" s="254"/>
      <c r="T101" s="255"/>
    </row>
    <row r="102">
      <c r="A102" s="253" t="s">
        <v>1179</v>
      </c>
      <c r="B102" s="253" t="s">
        <v>1180</v>
      </c>
      <c r="C102" s="257"/>
      <c r="D102" s="257"/>
      <c r="E102" s="255"/>
      <c r="F102" s="254" t="s">
        <v>242</v>
      </c>
      <c r="G102" s="254" t="s">
        <v>352</v>
      </c>
      <c r="H102" s="255"/>
      <c r="I102" s="255"/>
      <c r="J102" s="254" t="s">
        <v>352</v>
      </c>
      <c r="K102" s="254" t="s">
        <v>353</v>
      </c>
      <c r="L102" s="254" t="s">
        <v>354</v>
      </c>
      <c r="M102" s="254" t="s">
        <v>355</v>
      </c>
      <c r="N102" s="254" t="s">
        <v>1181</v>
      </c>
      <c r="O102" s="254" t="s">
        <v>1182</v>
      </c>
      <c r="P102" s="256" t="str">
        <f>IFERROR(__xludf.DUMMYFUNCTION("IFERROR(
  TEXT(
    DATE(
      INDEX(SPLIT(O102,"" ""),3),
      VLOOKUP(INDEX(SPLIT(O102,"" ""),1),{""jan."",1;""Feb"",2;""mar."",3;""Apr"",4;""May"",5;""jun."",6;""jul."",7;""Aug"",8;""sep"",9;""Oct"",10;""nov."",11;""Dec"",12},2,FALSE),
      INDEX(S"&amp;"PLIT(O102,"" ""),2)
    ),
    ""dd/mm/yyyy""
  ),
"""")"),"06/05/2026")</f>
        <v>06/05/2026</v>
      </c>
      <c r="Q102" s="254"/>
      <c r="R102" s="254"/>
      <c r="S102" s="254"/>
      <c r="T102" s="255"/>
    </row>
    <row r="103">
      <c r="A103" s="253" t="s">
        <v>1183</v>
      </c>
      <c r="B103" s="253" t="s">
        <v>1184</v>
      </c>
      <c r="C103" s="257"/>
      <c r="D103" s="257"/>
      <c r="E103" s="255"/>
      <c r="F103" s="254" t="s">
        <v>1185</v>
      </c>
      <c r="G103" s="254" t="s">
        <v>352</v>
      </c>
      <c r="H103" s="255"/>
      <c r="I103" s="255"/>
      <c r="J103" s="254" t="s">
        <v>352</v>
      </c>
      <c r="K103" s="254" t="s">
        <v>353</v>
      </c>
      <c r="L103" s="254" t="s">
        <v>354</v>
      </c>
      <c r="M103" s="254" t="s">
        <v>355</v>
      </c>
      <c r="N103" s="254" t="s">
        <v>1186</v>
      </c>
      <c r="O103" s="254" t="s">
        <v>1187</v>
      </c>
      <c r="P103" s="256" t="str">
        <f>IFERROR(__xludf.DUMMYFUNCTION("IFERROR(
  TEXT(
    DATE(
      INDEX(SPLIT(O103,"" ""),3),
      VLOOKUP(INDEX(SPLIT(O103,"" ""),1),{""jan."",1;""Feb"",2;""mar."",3;""Apr"",4;""May"",5;""jun."",6;""jul."",7;""Aug"",8;""sep"",9;""Oct"",10;""nov."",11;""Dec"",12},2,FALSE),
      INDEX(S"&amp;"PLIT(O103,"" ""),2)
    ),
    ""dd/mm/yyyy""
  ),
"""")"),"10/04/2026")</f>
        <v>10/04/2026</v>
      </c>
      <c r="Q103" s="254"/>
      <c r="R103" s="254"/>
      <c r="S103" s="254"/>
      <c r="T103" s="255"/>
    </row>
    <row r="104">
      <c r="A104" s="253" t="s">
        <v>1188</v>
      </c>
      <c r="B104" s="253" t="s">
        <v>1189</v>
      </c>
      <c r="C104" s="257"/>
      <c r="D104" s="257"/>
      <c r="E104" s="255"/>
      <c r="F104" s="254" t="s">
        <v>95</v>
      </c>
      <c r="G104" s="254" t="s">
        <v>352</v>
      </c>
      <c r="H104" s="255"/>
      <c r="I104" s="255"/>
      <c r="J104" s="254" t="s">
        <v>352</v>
      </c>
      <c r="K104" s="254" t="s">
        <v>353</v>
      </c>
      <c r="L104" s="254" t="s">
        <v>354</v>
      </c>
      <c r="M104" s="254" t="s">
        <v>355</v>
      </c>
      <c r="N104" s="254" t="s">
        <v>695</v>
      </c>
      <c r="O104" s="254" t="s">
        <v>1190</v>
      </c>
      <c r="P104" s="256" t="str">
        <f>IFERROR(__xludf.DUMMYFUNCTION("IFERROR(
  TEXT(
    DATE(
      INDEX(SPLIT(O104,"" ""),3),
      VLOOKUP(INDEX(SPLIT(O104,"" ""),1),{""jan."",1;""Feb"",2;""mar."",3;""Apr"",4;""May"",5;""jun."",6;""jul."",7;""Aug"",8;""sep"",9;""Oct"",10;""nov."",11;""Dec"",12},2,FALSE),
      INDEX(S"&amp;"PLIT(O104,"" ""),2)
    ),
    ""dd/mm/yyyy""
  ),
"""")"),"07/05/2026")</f>
        <v>07/05/2026</v>
      </c>
      <c r="Q104" s="254"/>
      <c r="R104" s="254"/>
      <c r="S104" s="254"/>
      <c r="T104" s="255"/>
    </row>
    <row r="105">
      <c r="A105" s="253" t="s">
        <v>1191</v>
      </c>
      <c r="B105" s="253" t="s">
        <v>1192</v>
      </c>
      <c r="C105" s="257"/>
      <c r="D105" s="257"/>
      <c r="E105" s="255"/>
      <c r="F105" s="254" t="s">
        <v>294</v>
      </c>
      <c r="G105" s="254" t="s">
        <v>352</v>
      </c>
      <c r="H105" s="255"/>
      <c r="I105" s="255"/>
      <c r="J105" s="254" t="s">
        <v>352</v>
      </c>
      <c r="K105" s="254" t="s">
        <v>353</v>
      </c>
      <c r="L105" s="254" t="s">
        <v>354</v>
      </c>
      <c r="M105" s="254" t="s">
        <v>355</v>
      </c>
      <c r="N105" s="254" t="s">
        <v>757</v>
      </c>
      <c r="O105" s="256">
        <v>46100.67013888889</v>
      </c>
      <c r="P105" s="256" t="str">
        <f>IFERROR(__xludf.DUMMYFUNCTION("IFERROR(
  TEXT(
    DATE(
      INDEX(SPLIT(O105,"" ""),3),
      VLOOKUP(INDEX(SPLIT(O105,"" ""),1),{""jan."",1;""Feb"",2;""mar."",3;""Apr"",4;""May"",5;""jun."",6;""jul."",7;""Aug"",8;""sep"",9;""Oct"",10;""nov."",11;""Dec"",12},2,FALSE),
      INDEX(S"&amp;"PLIT(O105,"" ""),2)
    ),
    ""dd/mm/yyyy""
  ),
"""")"),"19/03/2026")</f>
        <v>19/03/2026</v>
      </c>
      <c r="Q105" s="254"/>
      <c r="R105" s="256"/>
      <c r="S105" s="254"/>
      <c r="T105" s="255"/>
    </row>
    <row r="106">
      <c r="A106" s="253" t="s">
        <v>1193</v>
      </c>
      <c r="B106" s="253" t="s">
        <v>1194</v>
      </c>
      <c r="C106" s="257"/>
      <c r="D106" s="257"/>
      <c r="E106" s="255"/>
      <c r="F106" s="254" t="s">
        <v>316</v>
      </c>
      <c r="G106" s="254" t="s">
        <v>352</v>
      </c>
      <c r="H106" s="255"/>
      <c r="I106" s="255"/>
      <c r="J106" s="254" t="s">
        <v>352</v>
      </c>
      <c r="K106" s="254" t="s">
        <v>353</v>
      </c>
      <c r="L106" s="254" t="s">
        <v>354</v>
      </c>
      <c r="M106" s="254" t="s">
        <v>355</v>
      </c>
      <c r="N106" s="254" t="s">
        <v>1195</v>
      </c>
      <c r="O106" s="254" t="s">
        <v>1196</v>
      </c>
      <c r="P106" s="256" t="str">
        <f>IFERROR(__xludf.DUMMYFUNCTION("IFERROR(
  TEXT(
    DATE(
      INDEX(SPLIT(O106,"" ""),3),
      VLOOKUP(INDEX(SPLIT(O106,"" ""),1),{""jan."",1;""Feb"",2;""mar."",3;""Apr"",4;""May"",5;""jun."",6;""jul."",7;""Aug"",8;""sep"",9;""Oct"",10;""nov."",11;""Dec"",12},2,FALSE),
      INDEX(S"&amp;"PLIT(O106,"" ""),2)
    ),
    ""dd/mm/yyyy""
  ),
"""")"),"05/05/2026")</f>
        <v>05/05/2026</v>
      </c>
      <c r="Q106" s="254"/>
      <c r="R106" s="254"/>
      <c r="S106" s="254"/>
      <c r="T106" s="255"/>
    </row>
    <row r="107">
      <c r="A107" s="253" t="s">
        <v>1197</v>
      </c>
      <c r="B107" s="253" t="s">
        <v>1198</v>
      </c>
      <c r="C107" s="257"/>
      <c r="D107" s="257"/>
      <c r="E107" s="255"/>
      <c r="F107" s="254" t="s">
        <v>1043</v>
      </c>
      <c r="G107" s="254" t="s">
        <v>352</v>
      </c>
      <c r="H107" s="255"/>
      <c r="I107" s="255"/>
      <c r="J107" s="254" t="s">
        <v>352</v>
      </c>
      <c r="K107" s="254" t="s">
        <v>353</v>
      </c>
      <c r="L107" s="254" t="s">
        <v>354</v>
      </c>
      <c r="M107" s="254" t="s">
        <v>355</v>
      </c>
      <c r="N107" s="254" t="s">
        <v>1199</v>
      </c>
      <c r="O107" s="254" t="s">
        <v>1200</v>
      </c>
      <c r="P107" s="256" t="str">
        <f>IFERROR(__xludf.DUMMYFUNCTION("IFERROR(
  TEXT(
    DATE(
      INDEX(SPLIT(O107,"" ""),3),
      VLOOKUP(INDEX(SPLIT(O107,"" ""),1),{""jan."",1;""Feb"",2;""mar."",3;""Apr"",4;""May"",5;""jun."",6;""jul."",7;""Aug"",8;""sep"",9;""Oct"",10;""nov."",11;""Dec"",12},2,FALSE),
      INDEX(S"&amp;"PLIT(O107,"" ""),2)
    ),
    ""dd/mm/yyyy""
  ),
"""")"),"10/04/2026")</f>
        <v>10/04/2026</v>
      </c>
      <c r="Q107" s="254"/>
      <c r="R107" s="256"/>
      <c r="S107" s="254"/>
      <c r="T107" s="255"/>
    </row>
    <row r="108">
      <c r="A108" s="253" t="s">
        <v>1201</v>
      </c>
      <c r="B108" s="253" t="s">
        <v>1202</v>
      </c>
      <c r="C108" s="257"/>
      <c r="D108" s="257"/>
      <c r="E108" s="255"/>
      <c r="F108" s="254" t="s">
        <v>1043</v>
      </c>
      <c r="G108" s="254" t="s">
        <v>352</v>
      </c>
      <c r="H108" s="255"/>
      <c r="I108" s="255"/>
      <c r="J108" s="254" t="s">
        <v>352</v>
      </c>
      <c r="K108" s="254" t="s">
        <v>353</v>
      </c>
      <c r="L108" s="254" t="s">
        <v>354</v>
      </c>
      <c r="M108" s="254" t="s">
        <v>355</v>
      </c>
      <c r="N108" s="254" t="s">
        <v>1203</v>
      </c>
      <c r="O108" s="254" t="s">
        <v>1204</v>
      </c>
      <c r="P108" s="256" t="str">
        <f>IFERROR(__xludf.DUMMYFUNCTION("IFERROR(
  TEXT(
    DATE(
      INDEX(SPLIT(O108,"" ""),3),
      VLOOKUP(INDEX(SPLIT(O108,"" ""),1),{""jan."",1;""Feb"",2;""mar."",3;""Apr"",4;""May"",5;""jun."",6;""jul."",7;""Aug"",8;""sep"",9;""Oct"",10;""nov."",11;""Dec"",12},2,FALSE),
      INDEX(S"&amp;"PLIT(O108,"" ""),2)
    ),
    ""dd/mm/yyyy""
  ),
"""")"),"12/05/2026")</f>
        <v>12/05/2026</v>
      </c>
      <c r="Q108" s="254"/>
      <c r="R108" s="254"/>
      <c r="S108" s="254"/>
      <c r="T108" s="255"/>
    </row>
    <row r="109">
      <c r="A109" s="253" t="s">
        <v>1205</v>
      </c>
      <c r="B109" s="253" t="s">
        <v>1206</v>
      </c>
      <c r="C109" s="257"/>
      <c r="D109" s="257"/>
      <c r="E109" s="255"/>
      <c r="F109" s="254" t="s">
        <v>196</v>
      </c>
      <c r="G109" s="254" t="s">
        <v>352</v>
      </c>
      <c r="H109" s="255"/>
      <c r="I109" s="255"/>
      <c r="J109" s="254" t="s">
        <v>352</v>
      </c>
      <c r="K109" s="254" t="s">
        <v>353</v>
      </c>
      <c r="L109" s="254" t="s">
        <v>354</v>
      </c>
      <c r="M109" s="254" t="s">
        <v>355</v>
      </c>
      <c r="N109" s="254" t="s">
        <v>1207</v>
      </c>
      <c r="O109" s="254" t="s">
        <v>1143</v>
      </c>
      <c r="P109" s="256" t="str">
        <f>IFERROR(__xludf.DUMMYFUNCTION("IFERROR(
  TEXT(
    DATE(
      INDEX(SPLIT(O109,"" ""),3),
      VLOOKUP(INDEX(SPLIT(O109,"" ""),1),{""jan."",1;""Feb"",2;""mar."",3;""Apr"",4;""May"",5;""jun."",6;""jul."",7;""Aug"",8;""sep"",9;""Oct"",10;""nov."",11;""Dec"",12},2,FALSE),
      INDEX(S"&amp;"PLIT(O109,"" ""),2)
    ),
    ""dd/mm/yyyy""
  ),
"""")"),"27/04/2026")</f>
        <v>27/04/2026</v>
      </c>
      <c r="Q109" s="254"/>
      <c r="R109" s="256"/>
      <c r="S109" s="254"/>
      <c r="T109" s="255"/>
    </row>
    <row r="110">
      <c r="A110" s="253" t="s">
        <v>1208</v>
      </c>
      <c r="B110" s="253" t="s">
        <v>1209</v>
      </c>
      <c r="C110" s="257"/>
      <c r="D110" s="257"/>
      <c r="E110" s="255"/>
      <c r="F110" s="254" t="s">
        <v>996</v>
      </c>
      <c r="G110" s="254" t="s">
        <v>352</v>
      </c>
      <c r="H110" s="255"/>
      <c r="I110" s="255"/>
      <c r="J110" s="254" t="s">
        <v>352</v>
      </c>
      <c r="K110" s="254" t="s">
        <v>353</v>
      </c>
      <c r="L110" s="254" t="s">
        <v>354</v>
      </c>
      <c r="M110" s="254" t="s">
        <v>355</v>
      </c>
      <c r="N110" s="254" t="s">
        <v>1210</v>
      </c>
      <c r="O110" s="254" t="s">
        <v>1211</v>
      </c>
      <c r="P110" s="256" t="str">
        <f>IFERROR(__xludf.DUMMYFUNCTION("IFERROR(
  TEXT(
    DATE(
      INDEX(SPLIT(O110,"" ""),3),
      VLOOKUP(INDEX(SPLIT(O110,"" ""),1),{""jan."",1;""Feb"",2;""mar."",3;""Apr"",4;""May"",5;""jun."",6;""jul."",7;""Aug"",8;""sep"",9;""Oct"",10;""nov."",11;""Dec"",12},2,FALSE),
      INDEX(S"&amp;"PLIT(O110,"" ""),2)
    ),
    ""dd/mm/yyyy""
  ),
"""")"),"29/04/2026")</f>
        <v>29/04/2026</v>
      </c>
      <c r="Q110" s="254"/>
      <c r="R110" s="254"/>
      <c r="S110" s="254"/>
      <c r="T110" s="255"/>
    </row>
    <row r="111">
      <c r="A111" s="253" t="s">
        <v>1212</v>
      </c>
      <c r="B111" s="253" t="s">
        <v>1213</v>
      </c>
      <c r="C111" s="254" t="s">
        <v>900</v>
      </c>
      <c r="D111" s="254" t="s">
        <v>351</v>
      </c>
      <c r="E111" s="255"/>
      <c r="F111" s="254" t="s">
        <v>179</v>
      </c>
      <c r="G111" s="254" t="s">
        <v>352</v>
      </c>
      <c r="H111" s="255"/>
      <c r="I111" s="255"/>
      <c r="J111" s="254" t="s">
        <v>352</v>
      </c>
      <c r="K111" s="254" t="s">
        <v>353</v>
      </c>
      <c r="L111" s="254" t="s">
        <v>354</v>
      </c>
      <c r="M111" s="254" t="s">
        <v>355</v>
      </c>
      <c r="N111" s="254" t="s">
        <v>1214</v>
      </c>
      <c r="O111" s="254" t="s">
        <v>1215</v>
      </c>
      <c r="P111" s="256" t="str">
        <f>IFERROR(__xludf.DUMMYFUNCTION("IFERROR(
  TEXT(
    DATE(
      INDEX(SPLIT(O111,"" ""),3),
      VLOOKUP(INDEX(SPLIT(O111,"" ""),1),{""jan."",1;""Feb"",2;""mar."",3;""Apr"",4;""May"",5;""jun."",6;""jul."",7;""Aug"",8;""sep"",9;""Oct"",10;""nov."",11;""Dec"",12},2,FALSE),
      INDEX(S"&amp;"PLIT(O111,"" ""),2)
    ),
    ""dd/mm/yyyy""
  ),
"""")"),"13/12/2024")</f>
        <v>13/12/2024</v>
      </c>
      <c r="Q111" s="254"/>
      <c r="R111" s="254"/>
      <c r="S111" s="254"/>
      <c r="T111" s="255"/>
    </row>
    <row r="112">
      <c r="A112" s="253" t="s">
        <v>1216</v>
      </c>
      <c r="B112" s="253" t="s">
        <v>1217</v>
      </c>
      <c r="C112" s="257"/>
      <c r="D112" s="257"/>
      <c r="E112" s="255"/>
      <c r="F112" s="254" t="s">
        <v>118</v>
      </c>
      <c r="G112" s="254" t="s">
        <v>352</v>
      </c>
      <c r="H112" s="255"/>
      <c r="I112" s="255"/>
      <c r="J112" s="254" t="s">
        <v>352</v>
      </c>
      <c r="K112" s="254" t="s">
        <v>353</v>
      </c>
      <c r="L112" s="254" t="s">
        <v>354</v>
      </c>
      <c r="M112" s="254" t="s">
        <v>355</v>
      </c>
      <c r="N112" s="254" t="s">
        <v>1218</v>
      </c>
      <c r="O112" s="254" t="s">
        <v>1219</v>
      </c>
      <c r="P112" s="256" t="str">
        <f>IFERROR(__xludf.DUMMYFUNCTION("IFERROR(
  TEXT(
    DATE(
      INDEX(SPLIT(O112,"" ""),3),
      VLOOKUP(INDEX(SPLIT(O112,"" ""),1),{""jan."",1;""Feb"",2;""mar."",3;""Apr"",4;""May"",5;""jun."",6;""jul."",7;""Aug"",8;""sep"",9;""Oct"",10;""nov."",11;""Dec"",12},2,FALSE),
      INDEX(S"&amp;"PLIT(O112,"" ""),2)
    ),
    ""dd/mm/yyyy""
  ),
"""")"),"18/12/2024")</f>
        <v>18/12/2024</v>
      </c>
      <c r="Q112" s="254"/>
      <c r="R112" s="254"/>
      <c r="S112" s="254"/>
      <c r="T112" s="255"/>
    </row>
    <row r="113">
      <c r="A113" s="253" t="s">
        <v>1220</v>
      </c>
      <c r="B113" s="253" t="s">
        <v>1221</v>
      </c>
      <c r="C113" s="254" t="s">
        <v>900</v>
      </c>
      <c r="D113" s="254" t="s">
        <v>351</v>
      </c>
      <c r="E113" s="255"/>
      <c r="F113" s="254" t="s">
        <v>238</v>
      </c>
      <c r="G113" s="254" t="s">
        <v>352</v>
      </c>
      <c r="H113" s="255"/>
      <c r="I113" s="255"/>
      <c r="J113" s="254" t="s">
        <v>352</v>
      </c>
      <c r="K113" s="254" t="s">
        <v>353</v>
      </c>
      <c r="L113" s="254" t="s">
        <v>354</v>
      </c>
      <c r="M113" s="254" t="s">
        <v>355</v>
      </c>
      <c r="N113" s="254" t="s">
        <v>1222</v>
      </c>
      <c r="O113" s="254" t="s">
        <v>1219</v>
      </c>
      <c r="P113" s="256" t="str">
        <f>IFERROR(__xludf.DUMMYFUNCTION("IFERROR(
  TEXT(
    DATE(
      INDEX(SPLIT(O113,"" ""),3),
      VLOOKUP(INDEX(SPLIT(O113,"" ""),1),{""jan."",1;""Feb"",2;""mar."",3;""Apr"",4;""May"",5;""jun."",6;""jul."",7;""Aug"",8;""sep"",9;""Oct"",10;""nov."",11;""Dec"",12},2,FALSE),
      INDEX(S"&amp;"PLIT(O113,"" ""),2)
    ),
    ""dd/mm/yyyy""
  ),
"""")"),"18/12/2024")</f>
        <v>18/12/2024</v>
      </c>
      <c r="Q113" s="254"/>
      <c r="R113" s="254"/>
      <c r="S113" s="254"/>
      <c r="T113" s="255"/>
    </row>
    <row r="114">
      <c r="A114" s="253" t="s">
        <v>1223</v>
      </c>
      <c r="B114" s="253" t="s">
        <v>1224</v>
      </c>
      <c r="C114" s="257"/>
      <c r="D114" s="257"/>
      <c r="E114" s="255"/>
      <c r="F114" s="254" t="s">
        <v>118</v>
      </c>
      <c r="G114" s="254" t="s">
        <v>352</v>
      </c>
      <c r="H114" s="255"/>
      <c r="I114" s="255"/>
      <c r="J114" s="254" t="s">
        <v>352</v>
      </c>
      <c r="K114" s="254" t="s">
        <v>353</v>
      </c>
      <c r="L114" s="254" t="s">
        <v>354</v>
      </c>
      <c r="M114" s="254" t="s">
        <v>355</v>
      </c>
      <c r="N114" s="254" t="s">
        <v>1225</v>
      </c>
      <c r="O114" s="254" t="s">
        <v>1219</v>
      </c>
      <c r="P114" s="256" t="str">
        <f>IFERROR(__xludf.DUMMYFUNCTION("IFERROR(
  TEXT(
    DATE(
      INDEX(SPLIT(O114,"" ""),3),
      VLOOKUP(INDEX(SPLIT(O114,"" ""),1),{""jan."",1;""Feb"",2;""mar."",3;""Apr"",4;""May"",5;""jun."",6;""jul."",7;""Aug"",8;""sep"",9;""Oct"",10;""nov."",11;""Dec"",12},2,FALSE),
      INDEX(S"&amp;"PLIT(O114,"" ""),2)
    ),
    ""dd/mm/yyyy""
  ),
"""")"),"18/12/2024")</f>
        <v>18/12/2024</v>
      </c>
      <c r="Q114" s="254"/>
      <c r="R114" s="254"/>
      <c r="S114" s="254"/>
      <c r="T114" s="255"/>
    </row>
    <row r="115">
      <c r="A115" s="253" t="s">
        <v>1226</v>
      </c>
      <c r="B115" s="253" t="s">
        <v>1227</v>
      </c>
      <c r="C115" s="254" t="s">
        <v>900</v>
      </c>
      <c r="D115" s="254" t="s">
        <v>351</v>
      </c>
      <c r="E115" s="255"/>
      <c r="F115" s="254" t="s">
        <v>192</v>
      </c>
      <c r="G115" s="254" t="s">
        <v>352</v>
      </c>
      <c r="H115" s="255"/>
      <c r="I115" s="255"/>
      <c r="J115" s="254" t="s">
        <v>352</v>
      </c>
      <c r="K115" s="254" t="s">
        <v>353</v>
      </c>
      <c r="L115" s="254" t="s">
        <v>354</v>
      </c>
      <c r="M115" s="254" t="s">
        <v>355</v>
      </c>
      <c r="N115" s="254" t="s">
        <v>1228</v>
      </c>
      <c r="O115" s="254" t="s">
        <v>1219</v>
      </c>
      <c r="P115" s="256" t="str">
        <f>IFERROR(__xludf.DUMMYFUNCTION("IFERROR(
  TEXT(
    DATE(
      INDEX(SPLIT(O115,"" ""),3),
      VLOOKUP(INDEX(SPLIT(O115,"" ""),1),{""jan."",1;""Feb"",2;""mar."",3;""Apr"",4;""May"",5;""jun."",6;""jul."",7;""Aug"",8;""sep"",9;""Oct"",10;""nov."",11;""Dec"",12},2,FALSE),
      INDEX(S"&amp;"PLIT(O115,"" ""),2)
    ),
    ""dd/mm/yyyy""
  ),
"""")"),"18/12/2024")</f>
        <v>18/12/2024</v>
      </c>
      <c r="Q115" s="254"/>
      <c r="R115" s="256"/>
      <c r="S115" s="254"/>
      <c r="T115" s="255"/>
    </row>
    <row r="116">
      <c r="A116" s="253" t="s">
        <v>1229</v>
      </c>
      <c r="B116" s="253" t="s">
        <v>1230</v>
      </c>
      <c r="C116" s="254" t="s">
        <v>900</v>
      </c>
      <c r="D116" s="254" t="s">
        <v>351</v>
      </c>
      <c r="E116" s="255"/>
      <c r="F116" s="254" t="s">
        <v>130</v>
      </c>
      <c r="G116" s="254" t="s">
        <v>352</v>
      </c>
      <c r="H116" s="255"/>
      <c r="I116" s="255"/>
      <c r="J116" s="254" t="s">
        <v>352</v>
      </c>
      <c r="K116" s="254" t="s">
        <v>353</v>
      </c>
      <c r="L116" s="254" t="s">
        <v>354</v>
      </c>
      <c r="M116" s="254" t="s">
        <v>355</v>
      </c>
      <c r="N116" s="254" t="s">
        <v>1231</v>
      </c>
      <c r="O116" s="256">
        <v>45667.666666666664</v>
      </c>
      <c r="P116" s="256" t="str">
        <f>IFERROR(__xludf.DUMMYFUNCTION("IFERROR(
  TEXT(
    DATE(
      INDEX(SPLIT(O116,"" ""),3),
      VLOOKUP(INDEX(SPLIT(O116,"" ""),1),{""jan."",1;""Feb"",2;""mar."",3;""Apr"",4;""May"",5;""jun."",6;""jul."",7;""Aug"",8;""sep"",9;""Oct"",10;""nov."",11;""Dec"",12},2,FALSE),
      INDEX(S"&amp;"PLIT(O116,"" ""),2)
    ),
    ""dd/mm/yyyy""
  ),
"""")"),"10/01/2025")</f>
        <v>10/01/2025</v>
      </c>
      <c r="Q116" s="254"/>
      <c r="R116" s="254"/>
      <c r="S116" s="254"/>
      <c r="T116" s="255"/>
    </row>
    <row r="117">
      <c r="A117" s="253" t="s">
        <v>1232</v>
      </c>
      <c r="B117" s="253" t="s">
        <v>1233</v>
      </c>
      <c r="C117" s="254" t="s">
        <v>900</v>
      </c>
      <c r="D117" s="254" t="s">
        <v>351</v>
      </c>
      <c r="E117" s="255"/>
      <c r="F117" s="254" t="s">
        <v>111</v>
      </c>
      <c r="G117" s="254" t="s">
        <v>352</v>
      </c>
      <c r="H117" s="255"/>
      <c r="I117" s="255"/>
      <c r="J117" s="254" t="s">
        <v>352</v>
      </c>
      <c r="K117" s="254" t="s">
        <v>353</v>
      </c>
      <c r="L117" s="254" t="s">
        <v>354</v>
      </c>
      <c r="M117" s="254" t="s">
        <v>355</v>
      </c>
      <c r="N117" s="254" t="s">
        <v>1234</v>
      </c>
      <c r="O117" s="254" t="s">
        <v>1235</v>
      </c>
      <c r="P117" s="256" t="str">
        <f>IFERROR(__xludf.DUMMYFUNCTION("IFERROR(
  TEXT(
    DATE(
      INDEX(SPLIT(O117,"" ""),3),
      VLOOKUP(INDEX(SPLIT(O117,"" ""),1),{""jan."",1;""Feb"",2;""mar."",3;""Apr"",4;""May"",5;""jun."",6;""jul."",7;""Aug"",8;""sep"",9;""Oct"",10;""nov."",11;""Dec"",12},2,FALSE),
      INDEX(S"&amp;"PLIT(O117,"" ""),2)
    ),
    ""dd/mm/yyyy""
  ),
"""")"),"19/12/2024")</f>
        <v>19/12/2024</v>
      </c>
      <c r="Q117" s="254"/>
      <c r="R117" s="254"/>
      <c r="S117" s="254"/>
      <c r="T117" s="255"/>
    </row>
    <row r="118">
      <c r="A118" s="253" t="s">
        <v>1236</v>
      </c>
      <c r="B118" s="253" t="s">
        <v>1237</v>
      </c>
      <c r="C118" s="254" t="s">
        <v>900</v>
      </c>
      <c r="D118" s="254" t="s">
        <v>351</v>
      </c>
      <c r="E118" s="255"/>
      <c r="F118" s="254" t="s">
        <v>130</v>
      </c>
      <c r="G118" s="254" t="s">
        <v>352</v>
      </c>
      <c r="H118" s="255"/>
      <c r="I118" s="255"/>
      <c r="J118" s="254" t="s">
        <v>352</v>
      </c>
      <c r="K118" s="254" t="s">
        <v>353</v>
      </c>
      <c r="L118" s="254" t="s">
        <v>354</v>
      </c>
      <c r="M118" s="254" t="s">
        <v>355</v>
      </c>
      <c r="N118" s="254" t="s">
        <v>1238</v>
      </c>
      <c r="O118" s="254" t="s">
        <v>1239</v>
      </c>
      <c r="P118" s="256" t="str">
        <f>IFERROR(__xludf.DUMMYFUNCTION("IFERROR(
  TEXT(
    DATE(
      INDEX(SPLIT(O118,"" ""),3),
      VLOOKUP(INDEX(SPLIT(O118,"" ""),1),{""jan."",1;""Feb"",2;""mar."",3;""Apr"",4;""May"",5;""jun."",6;""jul."",7;""Aug"",8;""sep"",9;""Oct"",10;""nov."",11;""Dec"",12},2,FALSE),
      INDEX(S"&amp;"PLIT(O118,"" ""),2)
    ),
    ""dd/mm/yyyy""
  ),
"""")"),"19/12/2024")</f>
        <v>19/12/2024</v>
      </c>
      <c r="Q118" s="254"/>
      <c r="R118" s="256"/>
      <c r="S118" s="254"/>
      <c r="T118" s="255"/>
    </row>
    <row r="119">
      <c r="A119" s="253" t="s">
        <v>1240</v>
      </c>
      <c r="B119" s="253" t="s">
        <v>1241</v>
      </c>
      <c r="C119" s="257"/>
      <c r="D119" s="257"/>
      <c r="E119" s="255"/>
      <c r="F119" s="254" t="s">
        <v>95</v>
      </c>
      <c r="G119" s="254" t="s">
        <v>352</v>
      </c>
      <c r="H119" s="255"/>
      <c r="I119" s="255"/>
      <c r="J119" s="254" t="s">
        <v>352</v>
      </c>
      <c r="K119" s="254" t="s">
        <v>353</v>
      </c>
      <c r="L119" s="254" t="s">
        <v>354</v>
      </c>
      <c r="M119" s="254" t="s">
        <v>355</v>
      </c>
      <c r="N119" s="254" t="s">
        <v>424</v>
      </c>
      <c r="O119" s="256">
        <v>45733.45625</v>
      </c>
      <c r="P119" s="256" t="str">
        <f>IFERROR(__xludf.DUMMYFUNCTION("IFERROR(
  TEXT(
    DATE(
      INDEX(SPLIT(O119,"" ""),3),
      VLOOKUP(INDEX(SPLIT(O119,"" ""),1),{""jan."",1;""Feb"",2;""mar."",3;""Apr"",4;""May"",5;""jun."",6;""jul."",7;""Aug"",8;""sep"",9;""Oct"",10;""nov."",11;""Dec"",12},2,FALSE),
      INDEX(S"&amp;"PLIT(O119,"" ""),2)
    ),
    ""dd/mm/yyyy""
  ),
"""")"),"17/03/2025")</f>
        <v>17/03/2025</v>
      </c>
      <c r="Q119" s="254"/>
      <c r="R119" s="254"/>
      <c r="S119" s="254"/>
      <c r="T119" s="255"/>
    </row>
    <row r="120">
      <c r="A120" s="253" t="s">
        <v>1242</v>
      </c>
      <c r="B120" s="253" t="s">
        <v>1243</v>
      </c>
      <c r="C120" s="254" t="s">
        <v>900</v>
      </c>
      <c r="D120" s="254" t="s">
        <v>351</v>
      </c>
      <c r="E120" s="255"/>
      <c r="F120" s="254" t="s">
        <v>134</v>
      </c>
      <c r="G120" s="254" t="s">
        <v>352</v>
      </c>
      <c r="H120" s="255"/>
      <c r="I120" s="255"/>
      <c r="J120" s="254" t="s">
        <v>352</v>
      </c>
      <c r="K120" s="254" t="s">
        <v>353</v>
      </c>
      <c r="L120" s="254" t="s">
        <v>354</v>
      </c>
      <c r="M120" s="254" t="s">
        <v>355</v>
      </c>
      <c r="N120" s="254" t="s">
        <v>1244</v>
      </c>
      <c r="O120" s="256">
        <v>45687.50763888889</v>
      </c>
      <c r="P120" s="256" t="str">
        <f>IFERROR(__xludf.DUMMYFUNCTION("IFERROR(
  TEXT(
    DATE(
      INDEX(SPLIT(O120,"" ""),3),
      VLOOKUP(INDEX(SPLIT(O120,"" ""),1),{""jan."",1;""Feb"",2;""mar."",3;""Apr"",4;""May"",5;""jun."",6;""jul."",7;""Aug"",8;""sep"",9;""Oct"",10;""nov."",11;""Dec"",12},2,FALSE),
      INDEX(S"&amp;"PLIT(O120,"" ""),2)
    ),
    ""dd/mm/yyyy""
  ),
"""")"),"30/01/2025")</f>
        <v>30/01/2025</v>
      </c>
      <c r="Q120" s="254"/>
      <c r="R120" s="254"/>
      <c r="S120" s="254"/>
      <c r="T120" s="255"/>
    </row>
    <row r="121">
      <c r="A121" s="253" t="s">
        <v>1245</v>
      </c>
      <c r="B121" s="253" t="s">
        <v>1246</v>
      </c>
      <c r="C121" s="254" t="s">
        <v>900</v>
      </c>
      <c r="D121" s="254" t="s">
        <v>351</v>
      </c>
      <c r="E121" s="255"/>
      <c r="F121" s="254" t="s">
        <v>95</v>
      </c>
      <c r="G121" s="254" t="s">
        <v>352</v>
      </c>
      <c r="H121" s="255"/>
      <c r="I121" s="255"/>
      <c r="J121" s="254" t="s">
        <v>352</v>
      </c>
      <c r="K121" s="254" t="s">
        <v>353</v>
      </c>
      <c r="L121" s="254" t="s">
        <v>354</v>
      </c>
      <c r="M121" s="254" t="s">
        <v>355</v>
      </c>
      <c r="N121" s="254" t="s">
        <v>1244</v>
      </c>
      <c r="O121" s="256">
        <v>45733.458333333336</v>
      </c>
      <c r="P121" s="256" t="str">
        <f>IFERROR(__xludf.DUMMYFUNCTION("IFERROR(
  TEXT(
    DATE(
      INDEX(SPLIT(O121,"" ""),3),
      VLOOKUP(INDEX(SPLIT(O121,"" ""),1),{""jan."",1;""Feb"",2;""mar."",3;""Apr"",4;""May"",5;""jun."",6;""jul."",7;""Aug"",8;""sep"",9;""Oct"",10;""nov."",11;""Dec"",12},2,FALSE),
      INDEX(S"&amp;"PLIT(O121,"" ""),2)
    ),
    ""dd/mm/yyyy""
  ),
"""")"),"17/03/2025")</f>
        <v>17/03/2025</v>
      </c>
      <c r="Q121" s="254"/>
      <c r="R121" s="254"/>
      <c r="S121" s="254"/>
      <c r="T121" s="255"/>
    </row>
    <row r="122">
      <c r="A122" s="253" t="s">
        <v>1247</v>
      </c>
      <c r="B122" s="253" t="s">
        <v>1248</v>
      </c>
      <c r="C122" s="254" t="s">
        <v>900</v>
      </c>
      <c r="D122" s="254" t="s">
        <v>351</v>
      </c>
      <c r="E122" s="255"/>
      <c r="F122" s="254" t="s">
        <v>179</v>
      </c>
      <c r="G122" s="254" t="s">
        <v>352</v>
      </c>
      <c r="H122" s="255"/>
      <c r="I122" s="255"/>
      <c r="J122" s="254" t="s">
        <v>352</v>
      </c>
      <c r="K122" s="254" t="s">
        <v>353</v>
      </c>
      <c r="L122" s="254" t="s">
        <v>354</v>
      </c>
      <c r="M122" s="254" t="s">
        <v>355</v>
      </c>
      <c r="N122" s="254" t="s">
        <v>1249</v>
      </c>
      <c r="O122" s="254" t="s">
        <v>1250</v>
      </c>
      <c r="P122" s="256" t="str">
        <f>IFERROR(__xludf.DUMMYFUNCTION("IFERROR(
  TEXT(
    DATE(
      INDEX(SPLIT(O122,"" ""),3),
      VLOOKUP(INDEX(SPLIT(O122,"" ""),1),{""jan."",1;""Feb"",2;""mar."",3;""Apr"",4;""May"",5;""jun."",6;""jul."",7;""Aug"",8;""sep"",9;""Oct"",10;""nov."",11;""Dec"",12},2,FALSE),
      INDEX(S"&amp;"PLIT(O122,"" ""),2)
    ),
    ""dd/mm/yyyy""
  ),
"""")"),"19/12/2024")</f>
        <v>19/12/2024</v>
      </c>
      <c r="Q122" s="254"/>
      <c r="R122" s="254"/>
      <c r="S122" s="254"/>
      <c r="T122" s="255"/>
    </row>
    <row r="123">
      <c r="A123" s="253" t="s">
        <v>1251</v>
      </c>
      <c r="B123" s="253" t="s">
        <v>1252</v>
      </c>
      <c r="C123" s="257"/>
      <c r="D123" s="257"/>
      <c r="E123" s="255"/>
      <c r="F123" s="254" t="s">
        <v>118</v>
      </c>
      <c r="G123" s="254" t="s">
        <v>352</v>
      </c>
      <c r="H123" s="255"/>
      <c r="I123" s="255"/>
      <c r="J123" s="254" t="s">
        <v>352</v>
      </c>
      <c r="K123" s="254" t="s">
        <v>353</v>
      </c>
      <c r="L123" s="254" t="s">
        <v>354</v>
      </c>
      <c r="M123" s="254" t="s">
        <v>355</v>
      </c>
      <c r="N123" s="254" t="s">
        <v>1253</v>
      </c>
      <c r="O123" s="254" t="s">
        <v>1254</v>
      </c>
      <c r="P123" s="256" t="str">
        <f>IFERROR(__xludf.DUMMYFUNCTION("IFERROR(
  TEXT(
    DATE(
      INDEX(SPLIT(O123,"" ""),3),
      VLOOKUP(INDEX(SPLIT(O123,"" ""),1),{""jan."",1;""Feb"",2;""mar."",3;""Apr"",4;""May"",5;""jun."",6;""jul."",7;""Aug"",8;""sep"",9;""Oct"",10;""nov."",11;""Dec"",12},2,FALSE),
      INDEX(S"&amp;"PLIT(O123,"" ""),2)
    ),
    ""dd/mm/yyyy""
  ),
"""")"),"19/12/2024")</f>
        <v>19/12/2024</v>
      </c>
      <c r="Q123" s="254"/>
      <c r="R123" s="254"/>
      <c r="S123" s="254"/>
      <c r="T123" s="255"/>
    </row>
    <row r="124">
      <c r="A124" s="253" t="s">
        <v>1255</v>
      </c>
      <c r="B124" s="253" t="s">
        <v>1256</v>
      </c>
      <c r="C124" s="254" t="s">
        <v>900</v>
      </c>
      <c r="D124" s="254" t="s">
        <v>351</v>
      </c>
      <c r="E124" s="255"/>
      <c r="F124" s="254" t="s">
        <v>179</v>
      </c>
      <c r="G124" s="254" t="s">
        <v>352</v>
      </c>
      <c r="H124" s="255"/>
      <c r="I124" s="255"/>
      <c r="J124" s="254" t="s">
        <v>352</v>
      </c>
      <c r="K124" s="254" t="s">
        <v>353</v>
      </c>
      <c r="L124" s="254" t="s">
        <v>354</v>
      </c>
      <c r="M124" s="254" t="s">
        <v>355</v>
      </c>
      <c r="N124" s="254" t="s">
        <v>1257</v>
      </c>
      <c r="O124" s="254" t="s">
        <v>1250</v>
      </c>
      <c r="P124" s="256" t="str">
        <f>IFERROR(__xludf.DUMMYFUNCTION("IFERROR(
  TEXT(
    DATE(
      INDEX(SPLIT(O124,"" ""),3),
      VLOOKUP(INDEX(SPLIT(O124,"" ""),1),{""jan."",1;""Feb"",2;""mar."",3;""Apr"",4;""May"",5;""jun."",6;""jul."",7;""Aug"",8;""sep"",9;""Oct"",10;""nov."",11;""Dec"",12},2,FALSE),
      INDEX(S"&amp;"PLIT(O124,"" ""),2)
    ),
    ""dd/mm/yyyy""
  ),
"""")"),"19/12/2024")</f>
        <v>19/12/2024</v>
      </c>
      <c r="Q124" s="254"/>
      <c r="R124" s="254"/>
      <c r="S124" s="254"/>
      <c r="T124" s="255"/>
    </row>
    <row r="125">
      <c r="A125" s="253" t="s">
        <v>1258</v>
      </c>
      <c r="B125" s="253" t="s">
        <v>1259</v>
      </c>
      <c r="C125" s="257"/>
      <c r="D125" s="257"/>
      <c r="E125" s="255"/>
      <c r="F125" s="254" t="s">
        <v>118</v>
      </c>
      <c r="G125" s="254" t="s">
        <v>352</v>
      </c>
      <c r="H125" s="255"/>
      <c r="I125" s="255"/>
      <c r="J125" s="254" t="s">
        <v>352</v>
      </c>
      <c r="K125" s="254" t="s">
        <v>353</v>
      </c>
      <c r="L125" s="254" t="s">
        <v>354</v>
      </c>
      <c r="M125" s="254" t="s">
        <v>355</v>
      </c>
      <c r="N125" s="254" t="s">
        <v>1260</v>
      </c>
      <c r="O125" s="254" t="s">
        <v>1250</v>
      </c>
      <c r="P125" s="256" t="str">
        <f>IFERROR(__xludf.DUMMYFUNCTION("IFERROR(
  TEXT(
    DATE(
      INDEX(SPLIT(O125,"" ""),3),
      VLOOKUP(INDEX(SPLIT(O125,"" ""),1),{""jan."",1;""Feb"",2;""mar."",3;""Apr"",4;""May"",5;""jun."",6;""jul."",7;""Aug"",8;""sep"",9;""Oct"",10;""nov."",11;""Dec"",12},2,FALSE),
      INDEX(S"&amp;"PLIT(O125,"" ""),2)
    ),
    ""dd/mm/yyyy""
  ),
"""")"),"19/12/2024")</f>
        <v>19/12/2024</v>
      </c>
      <c r="Q125" s="254"/>
      <c r="R125" s="254"/>
      <c r="S125" s="254"/>
      <c r="T125" s="255"/>
    </row>
    <row r="126">
      <c r="A126" s="253" t="s">
        <v>1261</v>
      </c>
      <c r="B126" s="253" t="s">
        <v>1262</v>
      </c>
      <c r="C126" s="254" t="s">
        <v>900</v>
      </c>
      <c r="D126" s="254" t="s">
        <v>351</v>
      </c>
      <c r="E126" s="255"/>
      <c r="F126" s="254" t="s">
        <v>179</v>
      </c>
      <c r="G126" s="254" t="s">
        <v>352</v>
      </c>
      <c r="H126" s="255"/>
      <c r="I126" s="255"/>
      <c r="J126" s="254" t="s">
        <v>352</v>
      </c>
      <c r="K126" s="254" t="s">
        <v>353</v>
      </c>
      <c r="L126" s="254" t="s">
        <v>354</v>
      </c>
      <c r="M126" s="254" t="s">
        <v>355</v>
      </c>
      <c r="N126" s="254" t="s">
        <v>620</v>
      </c>
      <c r="O126" s="254" t="s">
        <v>1250</v>
      </c>
      <c r="P126" s="256" t="str">
        <f>IFERROR(__xludf.DUMMYFUNCTION("IFERROR(
  TEXT(
    DATE(
      INDEX(SPLIT(O126,"" ""),3),
      VLOOKUP(INDEX(SPLIT(O126,"" ""),1),{""jan."",1;""Feb"",2;""mar."",3;""Apr"",4;""May"",5;""jun."",6;""jul."",7;""Aug"",8;""sep"",9;""Oct"",10;""nov."",11;""Dec"",12},2,FALSE),
      INDEX(S"&amp;"PLIT(O126,"" ""),2)
    ),
    ""dd/mm/yyyy""
  ),
"""")"),"19/12/2024")</f>
        <v>19/12/2024</v>
      </c>
      <c r="Q126" s="254"/>
      <c r="R126" s="256"/>
      <c r="S126" s="254"/>
      <c r="T126" s="255"/>
    </row>
    <row r="127">
      <c r="A127" s="253" t="s">
        <v>1263</v>
      </c>
      <c r="B127" s="253" t="s">
        <v>1264</v>
      </c>
      <c r="C127" s="257"/>
      <c r="D127" s="257"/>
      <c r="E127" s="255"/>
      <c r="F127" s="254" t="s">
        <v>95</v>
      </c>
      <c r="G127" s="254" t="s">
        <v>352</v>
      </c>
      <c r="H127" s="255"/>
      <c r="I127" s="255"/>
      <c r="J127" s="254" t="s">
        <v>352</v>
      </c>
      <c r="K127" s="254" t="s">
        <v>353</v>
      </c>
      <c r="L127" s="254" t="s">
        <v>354</v>
      </c>
      <c r="M127" s="254" t="s">
        <v>355</v>
      </c>
      <c r="N127" s="254" t="s">
        <v>1265</v>
      </c>
      <c r="O127" s="254" t="s">
        <v>1266</v>
      </c>
      <c r="P127" s="256" t="str">
        <f>IFERROR(__xludf.DUMMYFUNCTION("IFERROR(
  TEXT(
    DATE(
      INDEX(SPLIT(O127,"" ""),3),
      VLOOKUP(INDEX(SPLIT(O127,"" ""),1),{""jan."",1;""Feb"",2;""mar."",3;""Apr"",4;""May"",5;""jun."",6;""jul."",7;""Aug"",8;""sep"",9;""Oct"",10;""nov."",11;""Dec"",12},2,FALSE),
      INDEX(S"&amp;"PLIT(O127,"" ""),2)
    ),
    ""dd/mm/yyyy""
  ),
"""")"),"13/05/2026")</f>
        <v>13/05/2026</v>
      </c>
      <c r="Q127" s="254"/>
      <c r="R127" s="256"/>
      <c r="S127" s="254"/>
      <c r="T127" s="255"/>
    </row>
    <row r="128">
      <c r="A128" s="253" t="s">
        <v>1267</v>
      </c>
      <c r="B128" s="253" t="s">
        <v>1268</v>
      </c>
      <c r="C128" s="254" t="s">
        <v>350</v>
      </c>
      <c r="D128" s="254" t="s">
        <v>351</v>
      </c>
      <c r="E128" s="255"/>
      <c r="F128" s="254" t="s">
        <v>95</v>
      </c>
      <c r="G128" s="254" t="s">
        <v>352</v>
      </c>
      <c r="H128" s="255"/>
      <c r="I128" s="255"/>
      <c r="J128" s="254" t="s">
        <v>352</v>
      </c>
      <c r="K128" s="254" t="s">
        <v>353</v>
      </c>
      <c r="L128" s="254" t="s">
        <v>354</v>
      </c>
      <c r="M128" s="254" t="s">
        <v>355</v>
      </c>
      <c r="N128" s="254" t="s">
        <v>1269</v>
      </c>
      <c r="O128" s="254" t="s">
        <v>1266</v>
      </c>
      <c r="P128" s="256" t="str">
        <f>IFERROR(__xludf.DUMMYFUNCTION("IFERROR(
  TEXT(
    DATE(
      INDEX(SPLIT(O128,"" ""),3),
      VLOOKUP(INDEX(SPLIT(O128,"" ""),1),{""jan."",1;""Feb"",2;""mar."",3;""Apr"",4;""May"",5;""jun."",6;""jul."",7;""Aug"",8;""sep"",9;""Oct"",10;""nov."",11;""Dec"",12},2,FALSE),
      INDEX(S"&amp;"PLIT(O128,"" ""),2)
    ),
    ""dd/mm/yyyy""
  ),
"""")"),"13/05/2026")</f>
        <v>13/05/2026</v>
      </c>
      <c r="Q128" s="254"/>
      <c r="R128" s="254"/>
      <c r="S128" s="254"/>
      <c r="T128" s="255"/>
    </row>
    <row r="129">
      <c r="A129" s="253" t="s">
        <v>1270</v>
      </c>
      <c r="B129" s="253" t="s">
        <v>1271</v>
      </c>
      <c r="C129" s="257"/>
      <c r="D129" s="257"/>
      <c r="E129" s="255"/>
      <c r="F129" s="254" t="s">
        <v>111</v>
      </c>
      <c r="G129" s="254" t="s">
        <v>352</v>
      </c>
      <c r="H129" s="255"/>
      <c r="I129" s="255"/>
      <c r="J129" s="254" t="s">
        <v>352</v>
      </c>
      <c r="K129" s="254" t="s">
        <v>353</v>
      </c>
      <c r="L129" s="254" t="s">
        <v>354</v>
      </c>
      <c r="M129" s="254" t="s">
        <v>355</v>
      </c>
      <c r="N129" s="254" t="s">
        <v>1272</v>
      </c>
      <c r="O129" s="256">
        <v>45667.666666666664</v>
      </c>
      <c r="P129" s="256" t="str">
        <f>IFERROR(__xludf.DUMMYFUNCTION("IFERROR(
  TEXT(
    DATE(
      INDEX(SPLIT(O129,"" ""),3),
      VLOOKUP(INDEX(SPLIT(O129,"" ""),1),{""jan."",1;""Feb"",2;""mar."",3;""Apr"",4;""May"",5;""jun."",6;""jul."",7;""Aug"",8;""sep"",9;""Oct"",10;""nov."",11;""Dec"",12},2,FALSE),
      INDEX(S"&amp;"PLIT(O129,"" ""),2)
    ),
    ""dd/mm/yyyy""
  ),
"""")"),"10/01/2025")</f>
        <v>10/01/2025</v>
      </c>
      <c r="Q129" s="254"/>
      <c r="R129" s="256"/>
      <c r="S129" s="254"/>
      <c r="T129" s="255"/>
    </row>
    <row r="130">
      <c r="A130" s="253" t="s">
        <v>1273</v>
      </c>
      <c r="B130" s="253" t="s">
        <v>1274</v>
      </c>
      <c r="C130" s="254" t="s">
        <v>900</v>
      </c>
      <c r="D130" s="254" t="s">
        <v>351</v>
      </c>
      <c r="E130" s="255"/>
      <c r="F130" s="254" t="s">
        <v>130</v>
      </c>
      <c r="G130" s="254" t="s">
        <v>352</v>
      </c>
      <c r="H130" s="255"/>
      <c r="I130" s="255"/>
      <c r="J130" s="254" t="s">
        <v>352</v>
      </c>
      <c r="K130" s="254" t="s">
        <v>353</v>
      </c>
      <c r="L130" s="254" t="s">
        <v>354</v>
      </c>
      <c r="M130" s="254" t="s">
        <v>355</v>
      </c>
      <c r="N130" s="254" t="s">
        <v>1275</v>
      </c>
      <c r="O130" s="256">
        <v>45667.666666666664</v>
      </c>
      <c r="P130" s="256" t="str">
        <f>IFERROR(__xludf.DUMMYFUNCTION("IFERROR(
  TEXT(
    DATE(
      INDEX(SPLIT(O130,"" ""),3),
      VLOOKUP(INDEX(SPLIT(O130,"" ""),1),{""jan."",1;""Feb"",2;""mar."",3;""Apr"",4;""May"",5;""jun."",6;""jul."",7;""Aug"",8;""sep"",9;""Oct"",10;""nov."",11;""Dec"",12},2,FALSE),
      INDEX(S"&amp;"PLIT(O130,"" ""),2)
    ),
    ""dd/mm/yyyy""
  ),
"""")"),"10/01/2025")</f>
        <v>10/01/2025</v>
      </c>
      <c r="Q130" s="254"/>
      <c r="R130" s="256"/>
      <c r="S130" s="254"/>
      <c r="T130" s="255"/>
    </row>
    <row r="131">
      <c r="A131" s="253" t="s">
        <v>1276</v>
      </c>
      <c r="B131" s="253" t="s">
        <v>1277</v>
      </c>
      <c r="C131" s="257"/>
      <c r="D131" s="257"/>
      <c r="E131" s="255"/>
      <c r="F131" s="254" t="s">
        <v>111</v>
      </c>
      <c r="G131" s="254" t="s">
        <v>352</v>
      </c>
      <c r="H131" s="255"/>
      <c r="I131" s="255"/>
      <c r="J131" s="254" t="s">
        <v>352</v>
      </c>
      <c r="K131" s="254" t="s">
        <v>353</v>
      </c>
      <c r="L131" s="254" t="s">
        <v>354</v>
      </c>
      <c r="M131" s="254" t="s">
        <v>355</v>
      </c>
      <c r="N131" s="254" t="s">
        <v>1278</v>
      </c>
      <c r="O131" s="256">
        <v>45667.666666666664</v>
      </c>
      <c r="P131" s="256" t="str">
        <f>IFERROR(__xludf.DUMMYFUNCTION("IFERROR(
  TEXT(
    DATE(
      INDEX(SPLIT(O131,"" ""),3),
      VLOOKUP(INDEX(SPLIT(O131,"" ""),1),{""jan."",1;""Feb"",2;""mar."",3;""Apr"",4;""May"",5;""jun."",6;""jul."",7;""Aug"",8;""sep"",9;""Oct"",10;""nov."",11;""Dec"",12},2,FALSE),
      INDEX(S"&amp;"PLIT(O131,"" ""),2)
    ),
    ""dd/mm/yyyy""
  ),
"""")"),"10/01/2025")</f>
        <v>10/01/2025</v>
      </c>
      <c r="Q131" s="254"/>
      <c r="R131" s="254"/>
      <c r="S131" s="254"/>
      <c r="T131" s="255"/>
    </row>
    <row r="132">
      <c r="A132" s="253" t="s">
        <v>1279</v>
      </c>
      <c r="B132" s="253" t="s">
        <v>1280</v>
      </c>
      <c r="C132" s="254" t="s">
        <v>900</v>
      </c>
      <c r="D132" s="254" t="s">
        <v>351</v>
      </c>
      <c r="E132" s="255"/>
      <c r="F132" s="254" t="s">
        <v>111</v>
      </c>
      <c r="G132" s="254" t="s">
        <v>352</v>
      </c>
      <c r="H132" s="255"/>
      <c r="I132" s="255"/>
      <c r="J132" s="254" t="s">
        <v>352</v>
      </c>
      <c r="K132" s="254" t="s">
        <v>353</v>
      </c>
      <c r="L132" s="254" t="s">
        <v>354</v>
      </c>
      <c r="M132" s="254" t="s">
        <v>355</v>
      </c>
      <c r="N132" s="254" t="s">
        <v>1281</v>
      </c>
      <c r="O132" s="256">
        <v>45667.666666666664</v>
      </c>
      <c r="P132" s="256" t="str">
        <f>IFERROR(__xludf.DUMMYFUNCTION("IFERROR(
  TEXT(
    DATE(
      INDEX(SPLIT(O132,"" ""),3),
      VLOOKUP(INDEX(SPLIT(O132,"" ""),1),{""jan."",1;""Feb"",2;""mar."",3;""Apr"",4;""May"",5;""jun."",6;""jul."",7;""Aug"",8;""sep"",9;""Oct"",10;""nov."",11;""Dec"",12},2,FALSE),
      INDEX(S"&amp;"PLIT(O132,"" ""),2)
    ),
    ""dd/mm/yyyy""
  ),
"""")"),"10/01/2025")</f>
        <v>10/01/2025</v>
      </c>
      <c r="Q132" s="254"/>
      <c r="R132" s="254"/>
      <c r="S132" s="254"/>
      <c r="T132" s="255"/>
    </row>
    <row r="133">
      <c r="A133" s="253" t="s">
        <v>1282</v>
      </c>
      <c r="B133" s="253" t="s">
        <v>1283</v>
      </c>
      <c r="C133" s="257"/>
      <c r="D133" s="257"/>
      <c r="E133" s="255"/>
      <c r="F133" s="254" t="s">
        <v>118</v>
      </c>
      <c r="G133" s="254" t="s">
        <v>352</v>
      </c>
      <c r="H133" s="255"/>
      <c r="I133" s="255"/>
      <c r="J133" s="254" t="s">
        <v>352</v>
      </c>
      <c r="K133" s="254" t="s">
        <v>353</v>
      </c>
      <c r="L133" s="254" t="s">
        <v>354</v>
      </c>
      <c r="M133" s="254" t="s">
        <v>355</v>
      </c>
      <c r="N133" s="254" t="s">
        <v>1284</v>
      </c>
      <c r="O133" s="254" t="s">
        <v>1250</v>
      </c>
      <c r="P133" s="256" t="str">
        <f>IFERROR(__xludf.DUMMYFUNCTION("IFERROR(
  TEXT(
    DATE(
      INDEX(SPLIT(O133,"" ""),3),
      VLOOKUP(INDEX(SPLIT(O133,"" ""),1),{""jan."",1;""Feb"",2;""mar."",3;""Apr"",4;""May"",5;""jun."",6;""jul."",7;""Aug"",8;""sep"",9;""Oct"",10;""nov."",11;""Dec"",12},2,FALSE),
      INDEX(S"&amp;"PLIT(O133,"" ""),2)
    ),
    ""dd/mm/yyyy""
  ),
"""")"),"19/12/2024")</f>
        <v>19/12/2024</v>
      </c>
      <c r="Q133" s="254"/>
      <c r="R133" s="256"/>
      <c r="S133" s="254"/>
      <c r="T133" s="255"/>
    </row>
    <row r="134">
      <c r="A134" s="253" t="s">
        <v>1285</v>
      </c>
      <c r="B134" s="253" t="s">
        <v>1286</v>
      </c>
      <c r="C134" s="254" t="s">
        <v>900</v>
      </c>
      <c r="D134" s="254" t="s">
        <v>351</v>
      </c>
      <c r="E134" s="255"/>
      <c r="F134" s="254" t="s">
        <v>179</v>
      </c>
      <c r="G134" s="254" t="s">
        <v>352</v>
      </c>
      <c r="H134" s="255"/>
      <c r="I134" s="255"/>
      <c r="J134" s="254" t="s">
        <v>352</v>
      </c>
      <c r="K134" s="254" t="s">
        <v>353</v>
      </c>
      <c r="L134" s="254" t="s">
        <v>354</v>
      </c>
      <c r="M134" s="254" t="s">
        <v>355</v>
      </c>
      <c r="N134" s="254" t="s">
        <v>1287</v>
      </c>
      <c r="O134" s="254" t="s">
        <v>1250</v>
      </c>
      <c r="P134" s="256" t="str">
        <f>IFERROR(__xludf.DUMMYFUNCTION("IFERROR(
  TEXT(
    DATE(
      INDEX(SPLIT(O134,"" ""),3),
      VLOOKUP(INDEX(SPLIT(O134,"" ""),1),{""jan."",1;""Feb"",2;""mar."",3;""Apr"",4;""May"",5;""jun."",6;""jul."",7;""Aug"",8;""sep"",9;""Oct"",10;""nov."",11;""Dec"",12},2,FALSE),
      INDEX(S"&amp;"PLIT(O134,"" ""),2)
    ),
    ""dd/mm/yyyy""
  ),
"""")"),"19/12/2024")</f>
        <v>19/12/2024</v>
      </c>
      <c r="Q134" s="254"/>
      <c r="R134" s="254"/>
      <c r="S134" s="254"/>
      <c r="T134" s="255"/>
    </row>
    <row r="135">
      <c r="A135" s="253" t="s">
        <v>1288</v>
      </c>
      <c r="B135" s="253" t="s">
        <v>1289</v>
      </c>
      <c r="C135" s="254" t="s">
        <v>900</v>
      </c>
      <c r="D135" s="254" t="s">
        <v>351</v>
      </c>
      <c r="E135" s="255"/>
      <c r="F135" s="254" t="s">
        <v>269</v>
      </c>
      <c r="G135" s="254" t="s">
        <v>352</v>
      </c>
      <c r="H135" s="255"/>
      <c r="I135" s="255"/>
      <c r="J135" s="254" t="s">
        <v>352</v>
      </c>
      <c r="K135" s="254" t="s">
        <v>353</v>
      </c>
      <c r="L135" s="254" t="s">
        <v>354</v>
      </c>
      <c r="M135" s="254" t="s">
        <v>355</v>
      </c>
      <c r="N135" s="254" t="s">
        <v>1290</v>
      </c>
      <c r="O135" s="254" t="s">
        <v>1109</v>
      </c>
      <c r="P135" s="256" t="str">
        <f>IFERROR(__xludf.DUMMYFUNCTION("IFERROR(
  TEXT(
    DATE(
      INDEX(SPLIT(O135,"" ""),3),
      VLOOKUP(INDEX(SPLIT(O135,"" ""),1),{""jan."",1;""Feb"",2;""mar."",3;""Apr"",4;""May"",5;""jun."",6;""jul."",7;""Aug"",8;""sep"",9;""Oct"",10;""nov."",11;""Dec"",12},2,FALSE),
      INDEX(S"&amp;"PLIT(O135,"" ""),2)
    ),
    ""dd/mm/yyyy""
  ),
"""")"),"05/05/2026")</f>
        <v>05/05/2026</v>
      </c>
      <c r="Q135" s="254"/>
      <c r="R135" s="254"/>
      <c r="S135" s="254"/>
      <c r="T135" s="255"/>
    </row>
    <row r="136">
      <c r="A136" s="253" t="s">
        <v>1291</v>
      </c>
      <c r="B136" s="253" t="s">
        <v>1292</v>
      </c>
      <c r="C136" s="254" t="s">
        <v>900</v>
      </c>
      <c r="D136" s="254" t="s">
        <v>351</v>
      </c>
      <c r="E136" s="255"/>
      <c r="F136" s="254" t="s">
        <v>245</v>
      </c>
      <c r="G136" s="254" t="s">
        <v>352</v>
      </c>
      <c r="H136" s="255"/>
      <c r="I136" s="255"/>
      <c r="J136" s="254" t="s">
        <v>352</v>
      </c>
      <c r="K136" s="254" t="s">
        <v>353</v>
      </c>
      <c r="L136" s="254" t="s">
        <v>354</v>
      </c>
      <c r="M136" s="254" t="s">
        <v>355</v>
      </c>
      <c r="N136" s="254" t="s">
        <v>1293</v>
      </c>
      <c r="O136" s="254" t="s">
        <v>1113</v>
      </c>
      <c r="P136" s="256" t="str">
        <f>IFERROR(__xludf.DUMMYFUNCTION("IFERROR(
  TEXT(
    DATE(
      INDEX(SPLIT(O136,"" ""),3),
      VLOOKUP(INDEX(SPLIT(O136,"" ""),1),{""jan."",1;""Feb"",2;""mar."",3;""Apr"",4;""May"",5;""jun."",6;""jul."",7;""Aug"",8;""sep"",9;""Oct"",10;""nov."",11;""Dec"",12},2,FALSE),
      INDEX(S"&amp;"PLIT(O136,"" ""),2)
    ),
    ""dd/mm/yyyy""
  ),
"""")"),"03/02/2026")</f>
        <v>03/02/2026</v>
      </c>
      <c r="Q136" s="254"/>
      <c r="R136" s="254"/>
      <c r="S136" s="254"/>
      <c r="T136" s="255"/>
    </row>
    <row r="137">
      <c r="A137" s="253" t="s">
        <v>1294</v>
      </c>
      <c r="B137" s="253" t="s">
        <v>1295</v>
      </c>
      <c r="C137" s="254" t="s">
        <v>900</v>
      </c>
      <c r="D137" s="254" t="s">
        <v>351</v>
      </c>
      <c r="E137" s="255"/>
      <c r="F137" s="254" t="s">
        <v>313</v>
      </c>
      <c r="G137" s="254" t="s">
        <v>352</v>
      </c>
      <c r="H137" s="255"/>
      <c r="I137" s="255"/>
      <c r="J137" s="254" t="s">
        <v>352</v>
      </c>
      <c r="K137" s="254" t="s">
        <v>353</v>
      </c>
      <c r="L137" s="254" t="s">
        <v>354</v>
      </c>
      <c r="M137" s="254" t="s">
        <v>355</v>
      </c>
      <c r="N137" s="254" t="s">
        <v>1296</v>
      </c>
      <c r="O137" s="256">
        <v>46085.62222222222</v>
      </c>
      <c r="P137" s="256" t="str">
        <f>IFERROR(__xludf.DUMMYFUNCTION("IFERROR(
  TEXT(
    DATE(
      INDEX(SPLIT(O137,"" ""),3),
      VLOOKUP(INDEX(SPLIT(O137,"" ""),1),{""jan."",1;""Feb"",2;""mar."",3;""Apr"",4;""May"",5;""jun."",6;""jul."",7;""Aug"",8;""sep"",9;""Oct"",10;""nov."",11;""Dec"",12},2,FALSE),
      INDEX(S"&amp;"PLIT(O137,"" ""),2)
    ),
    ""dd/mm/yyyy""
  ),
"""")"),"04/03/2026")</f>
        <v>04/03/2026</v>
      </c>
      <c r="Q137" s="254"/>
      <c r="R137" s="254"/>
      <c r="S137" s="254"/>
      <c r="T137" s="255"/>
    </row>
    <row r="138">
      <c r="A138" s="253" t="s">
        <v>1297</v>
      </c>
      <c r="B138" s="253" t="s">
        <v>1298</v>
      </c>
      <c r="C138" s="254" t="s">
        <v>900</v>
      </c>
      <c r="D138" s="254" t="s">
        <v>351</v>
      </c>
      <c r="E138" s="255"/>
      <c r="F138" s="254" t="s">
        <v>256</v>
      </c>
      <c r="G138" s="254" t="s">
        <v>352</v>
      </c>
      <c r="H138" s="255"/>
      <c r="I138" s="255"/>
      <c r="J138" s="254" t="s">
        <v>352</v>
      </c>
      <c r="K138" s="254" t="s">
        <v>353</v>
      </c>
      <c r="L138" s="254" t="s">
        <v>354</v>
      </c>
      <c r="M138" s="254" t="s">
        <v>355</v>
      </c>
      <c r="N138" s="254" t="s">
        <v>1299</v>
      </c>
      <c r="O138" s="254" t="s">
        <v>1300</v>
      </c>
      <c r="P138" s="256" t="str">
        <f>IFERROR(__xludf.DUMMYFUNCTION("IFERROR(
  TEXT(
    DATE(
      INDEX(SPLIT(O138,"" ""),3),
      VLOOKUP(INDEX(SPLIT(O138,"" ""),1),{""jan."",1;""Feb"",2;""mar."",3;""Apr"",4;""May"",5;""jun."",6;""jul."",7;""Aug"",8;""sep"",9;""Oct"",10;""nov."",11;""Dec"",12},2,FALSE),
      INDEX(S"&amp;"PLIT(O138,"" ""),2)
    ),
    ""dd/mm/yyyy""
  ),
"""")"),"24/04/2026")</f>
        <v>24/04/2026</v>
      </c>
      <c r="Q138" s="254"/>
      <c r="R138" s="256"/>
      <c r="S138" s="254"/>
      <c r="T138" s="255"/>
    </row>
    <row r="139">
      <c r="A139" s="253" t="s">
        <v>1301</v>
      </c>
      <c r="B139" s="253" t="s">
        <v>1302</v>
      </c>
      <c r="C139" s="254" t="s">
        <v>900</v>
      </c>
      <c r="D139" s="254" t="s">
        <v>351</v>
      </c>
      <c r="E139" s="255"/>
      <c r="F139" s="254" t="s">
        <v>1012</v>
      </c>
      <c r="G139" s="254" t="s">
        <v>352</v>
      </c>
      <c r="H139" s="255"/>
      <c r="I139" s="255"/>
      <c r="J139" s="254" t="s">
        <v>352</v>
      </c>
      <c r="K139" s="254" t="s">
        <v>353</v>
      </c>
      <c r="L139" s="254" t="s">
        <v>354</v>
      </c>
      <c r="M139" s="254" t="s">
        <v>355</v>
      </c>
      <c r="N139" s="254" t="s">
        <v>1303</v>
      </c>
      <c r="O139" s="254" t="s">
        <v>1304</v>
      </c>
      <c r="P139" s="256" t="str">
        <f>IFERROR(__xludf.DUMMYFUNCTION("IFERROR(
  TEXT(
    DATE(
      INDEX(SPLIT(O139,"" ""),3),
      VLOOKUP(INDEX(SPLIT(O139,"" ""),1),{""jan."",1;""Feb"",2;""mar."",3;""Apr"",4;""May"",5;""jun."",6;""jul."",7;""Aug"",8;""sep"",9;""Oct"",10;""nov."",11;""Dec"",12},2,FALSE),
      INDEX(S"&amp;"PLIT(O139,"" ""),2)
    ),
    ""dd/mm/yyyy""
  ),
"""")"),"15/04/2026")</f>
        <v>15/04/2026</v>
      </c>
      <c r="Q139" s="254"/>
      <c r="R139" s="254"/>
      <c r="S139" s="254"/>
      <c r="T139" s="255"/>
    </row>
    <row r="140">
      <c r="A140" s="253" t="s">
        <v>1305</v>
      </c>
      <c r="B140" s="253" t="s">
        <v>1306</v>
      </c>
      <c r="C140" s="254" t="s">
        <v>900</v>
      </c>
      <c r="D140" s="254" t="s">
        <v>351</v>
      </c>
      <c r="E140" s="255"/>
      <c r="F140" s="254" t="s">
        <v>272</v>
      </c>
      <c r="G140" s="254" t="s">
        <v>352</v>
      </c>
      <c r="H140" s="255"/>
      <c r="I140" s="255"/>
      <c r="J140" s="254" t="s">
        <v>352</v>
      </c>
      <c r="K140" s="254" t="s">
        <v>353</v>
      </c>
      <c r="L140" s="254" t="s">
        <v>354</v>
      </c>
      <c r="M140" s="254" t="s">
        <v>355</v>
      </c>
      <c r="N140" s="254" t="s">
        <v>1307</v>
      </c>
      <c r="O140" s="254" t="s">
        <v>1308</v>
      </c>
      <c r="P140" s="256" t="str">
        <f>IFERROR(__xludf.DUMMYFUNCTION("IFERROR(
  TEXT(
    DATE(
      INDEX(SPLIT(O140,"" ""),3),
      VLOOKUP(INDEX(SPLIT(O140,"" ""),1),{""jan."",1;""Feb"",2;""mar."",3;""Apr"",4;""May"",5;""jun."",6;""jul."",7;""Aug"",8;""sep"",9;""Oct"",10;""nov."",11;""Dec"",12},2,FALSE),
      INDEX(S"&amp;"PLIT(O140,"" ""),2)
    ),
    ""dd/mm/yyyy""
  ),
"""")"),"16/04/2026")</f>
        <v>16/04/2026</v>
      </c>
      <c r="Q140" s="254"/>
      <c r="R140" s="256"/>
      <c r="S140" s="254"/>
      <c r="T140" s="255"/>
    </row>
    <row r="141">
      <c r="A141" s="253" t="s">
        <v>1309</v>
      </c>
      <c r="B141" s="253" t="s">
        <v>1310</v>
      </c>
      <c r="C141" s="257"/>
      <c r="D141" s="254" t="s">
        <v>351</v>
      </c>
      <c r="E141" s="255"/>
      <c r="F141" s="254" t="s">
        <v>1311</v>
      </c>
      <c r="G141" s="254" t="s">
        <v>352</v>
      </c>
      <c r="H141" s="255"/>
      <c r="I141" s="255"/>
      <c r="J141" s="254" t="s">
        <v>352</v>
      </c>
      <c r="K141" s="254" t="s">
        <v>353</v>
      </c>
      <c r="L141" s="254" t="s">
        <v>354</v>
      </c>
      <c r="M141" s="254" t="s">
        <v>355</v>
      </c>
      <c r="N141" s="254" t="s">
        <v>1312</v>
      </c>
      <c r="O141" s="254" t="s">
        <v>1313</v>
      </c>
      <c r="P141" s="256" t="str">
        <f>IFERROR(__xludf.DUMMYFUNCTION("IFERROR(
  TEXT(
    DATE(
      INDEX(SPLIT(O141,"" ""),3),
      VLOOKUP(INDEX(SPLIT(O141,"" ""),1),{""jan."",1;""Feb"",2;""mar."",3;""Apr"",4;""May"",5;""jun."",6;""jul."",7;""Aug"",8;""sep"",9;""Oct"",10;""nov."",11;""Dec"",12},2,FALSE),
      INDEX(S"&amp;"PLIT(O141,"" ""),2)
    ),
    ""dd/mm/yyyy""
  ),
"""")"),"30/04/2026")</f>
        <v>30/04/2026</v>
      </c>
      <c r="Q141" s="254"/>
      <c r="R141" s="254"/>
      <c r="S141" s="254"/>
      <c r="T141" s="255"/>
    </row>
    <row r="142">
      <c r="A142" s="253" t="s">
        <v>1314</v>
      </c>
      <c r="B142" s="253" t="s">
        <v>1315</v>
      </c>
      <c r="C142" s="254" t="s">
        <v>900</v>
      </c>
      <c r="D142" s="254" t="s">
        <v>351</v>
      </c>
      <c r="E142" s="255"/>
      <c r="F142" s="254" t="s">
        <v>313</v>
      </c>
      <c r="G142" s="254" t="s">
        <v>352</v>
      </c>
      <c r="H142" s="255"/>
      <c r="I142" s="255"/>
      <c r="J142" s="254" t="s">
        <v>352</v>
      </c>
      <c r="K142" s="254" t="s">
        <v>353</v>
      </c>
      <c r="L142" s="254" t="s">
        <v>354</v>
      </c>
      <c r="M142" s="254" t="s">
        <v>1316</v>
      </c>
      <c r="N142" s="254" t="s">
        <v>1317</v>
      </c>
      <c r="O142" s="256">
        <v>46086.25555555556</v>
      </c>
      <c r="P142" s="256" t="str">
        <f>IFERROR(__xludf.DUMMYFUNCTION("IFERROR(
  TEXT(
    DATE(
      INDEX(SPLIT(O142,"" ""),3),
      VLOOKUP(INDEX(SPLIT(O142,"" ""),1),{""jan."",1;""Feb"",2;""mar."",3;""Apr"",4;""May"",5;""jun."",6;""jul."",7;""Aug"",8;""sep"",9;""Oct"",10;""nov."",11;""Dec"",12},2,FALSE),
      INDEX(S"&amp;"PLIT(O142,"" ""),2)
    ),
    ""dd/mm/yyyy""
  ),
"""")"),"05/03/2026")</f>
        <v>05/03/2026</v>
      </c>
      <c r="Q142" s="254"/>
      <c r="R142" s="254"/>
      <c r="S142" s="254"/>
      <c r="T142" s="255"/>
    </row>
    <row r="143">
      <c r="A143" s="253" t="s">
        <v>1318</v>
      </c>
      <c r="B143" s="253" t="s">
        <v>1319</v>
      </c>
      <c r="C143" s="254" t="s">
        <v>900</v>
      </c>
      <c r="D143" s="254" t="s">
        <v>351</v>
      </c>
      <c r="E143" s="255"/>
      <c r="F143" s="254" t="s">
        <v>996</v>
      </c>
      <c r="G143" s="254" t="s">
        <v>352</v>
      </c>
      <c r="H143" s="255"/>
      <c r="I143" s="255"/>
      <c r="J143" s="254" t="s">
        <v>352</v>
      </c>
      <c r="K143" s="254" t="s">
        <v>353</v>
      </c>
      <c r="L143" s="254" t="s">
        <v>354</v>
      </c>
      <c r="M143" s="254" t="s">
        <v>355</v>
      </c>
      <c r="N143" s="254" t="s">
        <v>1320</v>
      </c>
      <c r="O143" s="254" t="s">
        <v>1321</v>
      </c>
      <c r="P143" s="256" t="str">
        <f>IFERROR(__xludf.DUMMYFUNCTION("IFERROR(
  TEXT(
    DATE(
      INDEX(SPLIT(O143,"" ""),3),
      VLOOKUP(INDEX(SPLIT(O143,"" ""),1),{""jan."",1;""Feb"",2;""mar."",3;""Apr"",4;""May"",5;""jun."",6;""jul."",7;""Aug"",8;""sep"",9;""Oct"",10;""nov."",11;""Dec"",12},2,FALSE),
      INDEX(S"&amp;"PLIT(O143,"" ""),2)
    ),
    ""dd/mm/yyyy""
  ),
"""")"),"12/05/2026")</f>
        <v>12/05/2026</v>
      </c>
      <c r="Q143" s="254"/>
      <c r="R143" s="256"/>
      <c r="S143" s="254"/>
      <c r="T143" s="255"/>
    </row>
    <row r="144">
      <c r="A144" s="253" t="s">
        <v>1322</v>
      </c>
      <c r="B144" s="253" t="s">
        <v>1323</v>
      </c>
      <c r="C144" s="254" t="s">
        <v>900</v>
      </c>
      <c r="D144" s="254" t="s">
        <v>351</v>
      </c>
      <c r="E144" s="255"/>
      <c r="F144" s="254" t="s">
        <v>170</v>
      </c>
      <c r="G144" s="254" t="s">
        <v>352</v>
      </c>
      <c r="H144" s="255"/>
      <c r="I144" s="255"/>
      <c r="J144" s="254" t="s">
        <v>352</v>
      </c>
      <c r="K144" s="254" t="s">
        <v>353</v>
      </c>
      <c r="L144" s="254" t="s">
        <v>354</v>
      </c>
      <c r="M144" s="254" t="s">
        <v>355</v>
      </c>
      <c r="N144" s="254" t="s">
        <v>1324</v>
      </c>
      <c r="O144" s="254" t="s">
        <v>1139</v>
      </c>
      <c r="P144" s="256" t="str">
        <f>IFERROR(__xludf.DUMMYFUNCTION("IFERROR(
  TEXT(
    DATE(
      INDEX(SPLIT(O144,"" ""),3),
      VLOOKUP(INDEX(SPLIT(O144,"" ""),1),{""jan."",1;""Feb"",2;""mar."",3;""Apr"",4;""May"",5;""jun."",6;""jul."",7;""Aug"",8;""sep"",9;""Oct"",10;""nov."",11;""Dec"",12},2,FALSE),
      INDEX(S"&amp;"PLIT(O144,"" ""),2)
    ),
    ""dd/mm/yyyy""
  ),
"""")"),"08/12/2025")</f>
        <v>08/12/2025</v>
      </c>
      <c r="Q144" s="254"/>
      <c r="R144" s="254"/>
      <c r="S144" s="254"/>
      <c r="T144" s="255"/>
    </row>
    <row r="145">
      <c r="A145" s="253" t="s">
        <v>1325</v>
      </c>
      <c r="B145" s="253" t="s">
        <v>1326</v>
      </c>
      <c r="C145" s="254" t="s">
        <v>900</v>
      </c>
      <c r="D145" s="254" t="s">
        <v>351</v>
      </c>
      <c r="E145" s="255"/>
      <c r="F145" s="254" t="s">
        <v>1012</v>
      </c>
      <c r="G145" s="254" t="s">
        <v>352</v>
      </c>
      <c r="H145" s="255"/>
      <c r="I145" s="255"/>
      <c r="J145" s="254" t="s">
        <v>352</v>
      </c>
      <c r="K145" s="254" t="s">
        <v>353</v>
      </c>
      <c r="L145" s="254" t="s">
        <v>354</v>
      </c>
      <c r="M145" s="254" t="s">
        <v>355</v>
      </c>
      <c r="N145" s="254" t="s">
        <v>1327</v>
      </c>
      <c r="O145" s="254" t="s">
        <v>1328</v>
      </c>
      <c r="P145" s="256" t="str">
        <f>IFERROR(__xludf.DUMMYFUNCTION("IFERROR(
  TEXT(
    DATE(
      INDEX(SPLIT(O145,"" ""),3),
      VLOOKUP(INDEX(SPLIT(O145,"" ""),1),{""jan."",1;""Feb"",2;""mar."",3;""Apr"",4;""May"",5;""jun."",6;""jul."",7;""Aug"",8;""sep"",9;""Oct"",10;""nov."",11;""Dec"",12},2,FALSE),
      INDEX(S"&amp;"PLIT(O145,"" ""),2)
    ),
    ""dd/mm/yyyy""
  ),
"""")"),"27/04/2026")</f>
        <v>27/04/2026</v>
      </c>
      <c r="Q145" s="254"/>
      <c r="R145" s="256"/>
      <c r="S145" s="254"/>
      <c r="T145" s="255"/>
    </row>
    <row r="146">
      <c r="A146" s="253" t="s">
        <v>1329</v>
      </c>
      <c r="B146" s="253" t="s">
        <v>1330</v>
      </c>
      <c r="C146" s="254" t="s">
        <v>900</v>
      </c>
      <c r="D146" s="254" t="s">
        <v>351</v>
      </c>
      <c r="E146" s="255"/>
      <c r="F146" s="254" t="s">
        <v>204</v>
      </c>
      <c r="G146" s="254" t="s">
        <v>352</v>
      </c>
      <c r="H146" s="255"/>
      <c r="I146" s="255"/>
      <c r="J146" s="254" t="s">
        <v>352</v>
      </c>
      <c r="K146" s="254" t="s">
        <v>353</v>
      </c>
      <c r="L146" s="254" t="s">
        <v>354</v>
      </c>
      <c r="M146" s="254" t="s">
        <v>355</v>
      </c>
      <c r="N146" s="254" t="s">
        <v>1331</v>
      </c>
      <c r="O146" s="254" t="s">
        <v>1332</v>
      </c>
      <c r="P146" s="256" t="str">
        <f>IFERROR(__xludf.DUMMYFUNCTION("IFERROR(
  TEXT(
    DATE(
      INDEX(SPLIT(O146,"" ""),3),
      VLOOKUP(INDEX(SPLIT(O146,"" ""),1),{""jan."",1;""Feb"",2;""mar."",3;""Apr"",4;""May"",5;""jun."",6;""jul."",7;""Aug"",8;""sep"",9;""Oct"",10;""nov."",11;""Dec"",12},2,FALSE),
      INDEX(S"&amp;"PLIT(O146,"" ""),2)
    ),
    ""dd/mm/yyyy""
  ),
"""")"),"03/02/2026")</f>
        <v>03/02/2026</v>
      </c>
      <c r="Q146" s="254"/>
      <c r="R146" s="256"/>
      <c r="S146" s="254"/>
      <c r="T146" s="255"/>
    </row>
    <row r="147">
      <c r="A147" s="253" t="s">
        <v>1333</v>
      </c>
      <c r="B147" s="253" t="s">
        <v>1334</v>
      </c>
      <c r="C147" s="254" t="s">
        <v>350</v>
      </c>
      <c r="D147" s="254" t="s">
        <v>351</v>
      </c>
      <c r="E147" s="255"/>
      <c r="F147" s="254" t="s">
        <v>971</v>
      </c>
      <c r="G147" s="254" t="s">
        <v>352</v>
      </c>
      <c r="H147" s="255"/>
      <c r="I147" s="255"/>
      <c r="J147" s="254" t="s">
        <v>352</v>
      </c>
      <c r="K147" s="254" t="s">
        <v>353</v>
      </c>
      <c r="L147" s="254" t="s">
        <v>354</v>
      </c>
      <c r="M147" s="254" t="s">
        <v>355</v>
      </c>
      <c r="N147" s="254" t="s">
        <v>1335</v>
      </c>
      <c r="O147" s="254" t="s">
        <v>1336</v>
      </c>
      <c r="P147" s="256" t="str">
        <f>IFERROR(__xludf.DUMMYFUNCTION("IFERROR(
  TEXT(
    DATE(
      INDEX(SPLIT(O147,"" ""),3),
      VLOOKUP(INDEX(SPLIT(O147,"" ""),1),{""jan."",1;""Feb"",2;""mar."",3;""Apr"",4;""May"",5;""jun."",6;""jul."",7;""Aug"",8;""sep"",9;""Oct"",10;""nov."",11;""Dec"",12},2,FALSE),
      INDEX(S"&amp;"PLIT(O147,"" ""),2)
    ),
    ""dd/mm/yyyy""
  ),
"""")"),"15/05/2026")</f>
        <v>15/05/2026</v>
      </c>
      <c r="Q147" s="254"/>
      <c r="R147" s="256"/>
      <c r="S147" s="254"/>
      <c r="T147" s="255"/>
    </row>
    <row r="148">
      <c r="A148" s="253" t="s">
        <v>1337</v>
      </c>
      <c r="B148" s="253" t="s">
        <v>1338</v>
      </c>
      <c r="C148" s="254" t="s">
        <v>900</v>
      </c>
      <c r="D148" s="254" t="s">
        <v>351</v>
      </c>
      <c r="E148" s="255"/>
      <c r="F148" s="254" t="s">
        <v>204</v>
      </c>
      <c r="G148" s="254" t="s">
        <v>352</v>
      </c>
      <c r="H148" s="255"/>
      <c r="I148" s="255"/>
      <c r="J148" s="254" t="s">
        <v>352</v>
      </c>
      <c r="K148" s="254" t="s">
        <v>353</v>
      </c>
      <c r="L148" s="254" t="s">
        <v>354</v>
      </c>
      <c r="M148" s="254" t="s">
        <v>355</v>
      </c>
      <c r="N148" s="254" t="s">
        <v>916</v>
      </c>
      <c r="O148" s="254" t="s">
        <v>1339</v>
      </c>
      <c r="P148" s="256" t="str">
        <f>IFERROR(__xludf.DUMMYFUNCTION("IFERROR(
  TEXT(
    DATE(
      INDEX(SPLIT(O148,"" ""),3),
      VLOOKUP(INDEX(SPLIT(O148,"" ""),1),{""jan."",1;""Feb"",2;""mar."",3;""Apr"",4;""May"",5;""jun."",6;""jul."",7;""Aug"",8;""sep"",9;""Oct"",10;""nov."",11;""Dec"",12},2,FALSE),
      INDEX(S"&amp;"PLIT(O148,"" ""),2)
    ),
    ""dd/mm/yyyy""
  ),
"""")"),"08/05/2026")</f>
        <v>08/05/2026</v>
      </c>
      <c r="Q148" s="254"/>
      <c r="R148" s="256"/>
      <c r="S148" s="254"/>
      <c r="T148" s="255"/>
    </row>
    <row r="149">
      <c r="A149" s="253" t="s">
        <v>1340</v>
      </c>
      <c r="B149" s="253" t="s">
        <v>1341</v>
      </c>
      <c r="C149" s="254" t="s">
        <v>900</v>
      </c>
      <c r="D149" s="254" t="s">
        <v>351</v>
      </c>
      <c r="E149" s="255"/>
      <c r="F149" s="254" t="s">
        <v>196</v>
      </c>
      <c r="G149" s="254" t="s">
        <v>352</v>
      </c>
      <c r="H149" s="255"/>
      <c r="I149" s="255"/>
      <c r="J149" s="254" t="s">
        <v>352</v>
      </c>
      <c r="K149" s="254" t="s">
        <v>353</v>
      </c>
      <c r="L149" s="254" t="s">
        <v>354</v>
      </c>
      <c r="M149" s="254" t="s">
        <v>355</v>
      </c>
      <c r="N149" s="254" t="s">
        <v>1342</v>
      </c>
      <c r="O149" s="254" t="s">
        <v>1343</v>
      </c>
      <c r="P149" s="256" t="str">
        <f>IFERROR(__xludf.DUMMYFUNCTION("IFERROR(
  TEXT(
    DATE(
      INDEX(SPLIT(O149,"" ""),3),
      VLOOKUP(INDEX(SPLIT(O149,"" ""),1),{""jan."",1;""Feb"",2;""mar."",3;""Apr"",4;""May"",5;""jun."",6;""jul."",7;""Aug"",8;""sep"",9;""Oct"",10;""nov."",11;""Dec"",12},2,FALSE),
      INDEX(S"&amp;"PLIT(O149,"" ""),2)
    ),
    ""dd/mm/yyyy""
  ),
"""")"),"14/05/2026")</f>
        <v>14/05/2026</v>
      </c>
      <c r="Q149" s="254"/>
      <c r="R149" s="254"/>
      <c r="S149" s="254"/>
      <c r="T149" s="255"/>
    </row>
    <row r="150">
      <c r="A150" s="253" t="s">
        <v>1344</v>
      </c>
      <c r="B150" s="253" t="s">
        <v>1345</v>
      </c>
      <c r="C150" s="254" t="s">
        <v>900</v>
      </c>
      <c r="D150" s="254" t="s">
        <v>351</v>
      </c>
      <c r="E150" s="255"/>
      <c r="F150" s="254" t="s">
        <v>1000</v>
      </c>
      <c r="G150" s="254" t="s">
        <v>352</v>
      </c>
      <c r="H150" s="255"/>
      <c r="I150" s="255"/>
      <c r="J150" s="254" t="s">
        <v>352</v>
      </c>
      <c r="K150" s="254" t="s">
        <v>353</v>
      </c>
      <c r="L150" s="254" t="s">
        <v>354</v>
      </c>
      <c r="M150" s="254" t="s">
        <v>355</v>
      </c>
      <c r="N150" s="254" t="s">
        <v>1346</v>
      </c>
      <c r="O150" s="254" t="s">
        <v>1347</v>
      </c>
      <c r="P150" s="256" t="str">
        <f>IFERROR(__xludf.DUMMYFUNCTION("IFERROR(
  TEXT(
    DATE(
      INDEX(SPLIT(O150,"" ""),3),
      VLOOKUP(INDEX(SPLIT(O150,"" ""),1),{""jan."",1;""Feb"",2;""mar."",3;""Apr"",4;""May"",5;""jun."",6;""jul."",7;""Aug"",8;""sep"",9;""Oct"",10;""nov."",11;""Dec"",12},2,FALSE),
      INDEX(S"&amp;"PLIT(O150,"" ""),2)
    ),
    ""dd/mm/yyyy""
  ),
"""")"),"14/05/2026")</f>
        <v>14/05/2026</v>
      </c>
      <c r="Q150" s="254"/>
      <c r="R150" s="256"/>
      <c r="S150" s="254"/>
      <c r="T150" s="255"/>
    </row>
    <row r="151">
      <c r="A151" s="253" t="s">
        <v>1348</v>
      </c>
      <c r="B151" s="253" t="s">
        <v>1349</v>
      </c>
      <c r="C151" s="254" t="s">
        <v>900</v>
      </c>
      <c r="D151" s="254" t="s">
        <v>351</v>
      </c>
      <c r="E151" s="255"/>
      <c r="F151" s="254" t="s">
        <v>1000</v>
      </c>
      <c r="G151" s="254" t="s">
        <v>352</v>
      </c>
      <c r="H151" s="255"/>
      <c r="I151" s="255"/>
      <c r="J151" s="254" t="s">
        <v>352</v>
      </c>
      <c r="K151" s="254" t="s">
        <v>353</v>
      </c>
      <c r="L151" s="254" t="s">
        <v>354</v>
      </c>
      <c r="M151" s="254" t="s">
        <v>355</v>
      </c>
      <c r="N151" s="254" t="s">
        <v>943</v>
      </c>
      <c r="O151" s="256">
        <v>46087.711805555555</v>
      </c>
      <c r="P151" s="256" t="str">
        <f>IFERROR(__xludf.DUMMYFUNCTION("IFERROR(
  TEXT(
    DATE(
      INDEX(SPLIT(O151,"" ""),3),
      VLOOKUP(INDEX(SPLIT(O151,"" ""),1),{""jan."",1;""Feb"",2;""mar."",3;""Apr"",4;""May"",5;""jun."",6;""jul."",7;""Aug"",8;""sep"",9;""Oct"",10;""nov."",11;""Dec"",12},2,FALSE),
      INDEX(S"&amp;"PLIT(O151,"" ""),2)
    ),
    ""dd/mm/yyyy""
  ),
"""")"),"06/03/2026")</f>
        <v>06/03/2026</v>
      </c>
      <c r="Q151" s="254"/>
      <c r="R151" s="254"/>
      <c r="S151" s="254"/>
      <c r="T151" s="255"/>
    </row>
    <row r="152">
      <c r="A152" s="253" t="s">
        <v>1350</v>
      </c>
      <c r="B152" s="253" t="s">
        <v>1351</v>
      </c>
      <c r="C152" s="254" t="s">
        <v>900</v>
      </c>
      <c r="D152" s="254" t="s">
        <v>351</v>
      </c>
      <c r="E152" s="255"/>
      <c r="F152" s="254" t="s">
        <v>245</v>
      </c>
      <c r="G152" s="254" t="s">
        <v>352</v>
      </c>
      <c r="H152" s="255"/>
      <c r="I152" s="255"/>
      <c r="J152" s="254" t="s">
        <v>352</v>
      </c>
      <c r="K152" s="254" t="s">
        <v>353</v>
      </c>
      <c r="L152" s="254" t="s">
        <v>354</v>
      </c>
      <c r="M152" s="254" t="s">
        <v>355</v>
      </c>
      <c r="N152" s="254" t="s">
        <v>1352</v>
      </c>
      <c r="O152" s="256">
        <v>46084.36944444444</v>
      </c>
      <c r="P152" s="256" t="str">
        <f>IFERROR(__xludf.DUMMYFUNCTION("IFERROR(
  TEXT(
    DATE(
      INDEX(SPLIT(O152,"" ""),3),
      VLOOKUP(INDEX(SPLIT(O152,"" ""),1),{""jan."",1;""Feb"",2;""mar."",3;""Apr"",4;""May"",5;""jun."",6;""jul."",7;""Aug"",8;""sep"",9;""Oct"",10;""nov."",11;""Dec"",12},2,FALSE),
      INDEX(S"&amp;"PLIT(O152,"" ""),2)
    ),
    ""dd/mm/yyyy""
  ),
"""")"),"03/03/2026")</f>
        <v>03/03/2026</v>
      </c>
      <c r="Q152" s="254"/>
      <c r="R152" s="256"/>
      <c r="S152" s="254"/>
      <c r="T152" s="255"/>
    </row>
    <row r="153">
      <c r="A153" s="253" t="s">
        <v>1353</v>
      </c>
      <c r="B153" s="253" t="s">
        <v>1354</v>
      </c>
      <c r="C153" s="254" t="s">
        <v>900</v>
      </c>
      <c r="D153" s="254" t="s">
        <v>351</v>
      </c>
      <c r="E153" s="255"/>
      <c r="F153" s="254" t="s">
        <v>316</v>
      </c>
      <c r="G153" s="254" t="s">
        <v>352</v>
      </c>
      <c r="H153" s="255"/>
      <c r="I153" s="255"/>
      <c r="J153" s="254" t="s">
        <v>352</v>
      </c>
      <c r="K153" s="254" t="s">
        <v>353</v>
      </c>
      <c r="L153" s="254" t="s">
        <v>354</v>
      </c>
      <c r="M153" s="254" t="s">
        <v>355</v>
      </c>
      <c r="N153" s="254" t="s">
        <v>500</v>
      </c>
      <c r="O153" s="256">
        <v>46105.819444444445</v>
      </c>
      <c r="P153" s="256" t="str">
        <f>IFERROR(__xludf.DUMMYFUNCTION("IFERROR(
  TEXT(
    DATE(
      INDEX(SPLIT(O153,"" ""),3),
      VLOOKUP(INDEX(SPLIT(O153,"" ""),1),{""jan."",1;""Feb"",2;""mar."",3;""Apr"",4;""May"",5;""jun."",6;""jul."",7;""Aug"",8;""sep"",9;""Oct"",10;""nov."",11;""Dec"",12},2,FALSE),
      INDEX(S"&amp;"PLIT(O153,"" ""),2)
    ),
    ""dd/mm/yyyy""
  ),
"""")"),"24/03/2026")</f>
        <v>24/03/2026</v>
      </c>
      <c r="Q153" s="254"/>
      <c r="R153" s="254"/>
      <c r="S153" s="254"/>
      <c r="T153" s="255"/>
    </row>
    <row r="154">
      <c r="A154" s="253" t="s">
        <v>1355</v>
      </c>
      <c r="B154" s="253" t="s">
        <v>1356</v>
      </c>
      <c r="C154" s="254" t="s">
        <v>900</v>
      </c>
      <c r="D154" s="254" t="s">
        <v>351</v>
      </c>
      <c r="E154" s="255"/>
      <c r="F154" s="254" t="s">
        <v>822</v>
      </c>
      <c r="G154" s="254" t="s">
        <v>352</v>
      </c>
      <c r="H154" s="255"/>
      <c r="I154" s="255"/>
      <c r="J154" s="254" t="s">
        <v>352</v>
      </c>
      <c r="K154" s="254" t="s">
        <v>353</v>
      </c>
      <c r="L154" s="254" t="s">
        <v>354</v>
      </c>
      <c r="M154" s="254" t="s">
        <v>355</v>
      </c>
      <c r="N154" s="254" t="s">
        <v>1357</v>
      </c>
      <c r="O154" s="254" t="s">
        <v>1358</v>
      </c>
      <c r="P154" s="256" t="str">
        <f>IFERROR(__xludf.DUMMYFUNCTION("IFERROR(
  TEXT(
    DATE(
      INDEX(SPLIT(O154,"" ""),3),
      VLOOKUP(INDEX(SPLIT(O154,"" ""),1),{""jan."",1;""Feb"",2;""mar."",3;""Apr"",4;""May"",5;""jun."",6;""jul."",7;""Aug"",8;""sep"",9;""Oct"",10;""nov."",11;""Dec"",12},2,FALSE),
      INDEX(S"&amp;"PLIT(O154,"" ""),2)
    ),
    ""dd/mm/yyyy""
  ),
"""")"),"08/04/2026")</f>
        <v>08/04/2026</v>
      </c>
      <c r="Q154" s="254"/>
      <c r="R154" s="256"/>
      <c r="S154" s="254"/>
      <c r="T154" s="255"/>
    </row>
    <row r="155">
      <c r="A155" s="253" t="s">
        <v>1359</v>
      </c>
      <c r="B155" s="253" t="s">
        <v>1360</v>
      </c>
      <c r="C155" s="254" t="s">
        <v>900</v>
      </c>
      <c r="D155" s="254" t="s">
        <v>351</v>
      </c>
      <c r="E155" s="255"/>
      <c r="F155" s="254" t="s">
        <v>294</v>
      </c>
      <c r="G155" s="254" t="s">
        <v>352</v>
      </c>
      <c r="H155" s="255"/>
      <c r="I155" s="255"/>
      <c r="J155" s="254" t="s">
        <v>352</v>
      </c>
      <c r="K155" s="254" t="s">
        <v>353</v>
      </c>
      <c r="L155" s="254" t="s">
        <v>354</v>
      </c>
      <c r="M155" s="254" t="s">
        <v>355</v>
      </c>
      <c r="N155" s="254" t="s">
        <v>1361</v>
      </c>
      <c r="O155" s="254" t="s">
        <v>1362</v>
      </c>
      <c r="P155" s="256" t="str">
        <f>IFERROR(__xludf.DUMMYFUNCTION("IFERROR(
  TEXT(
    DATE(
      INDEX(SPLIT(O155,"" ""),3),
      VLOOKUP(INDEX(SPLIT(O155,"" ""),1),{""jan."",1;""Feb"",2;""mar."",3;""Apr"",4;""May"",5;""jun."",6;""jul."",7;""Aug"",8;""sep"",9;""Oct"",10;""nov."",11;""Dec"",12},2,FALSE),
      INDEX(S"&amp;"PLIT(O155,"" ""),2)
    ),
    ""dd/mm/yyyy""
  ),
"""")"),"08/05/2026")</f>
        <v>08/05/2026</v>
      </c>
      <c r="Q155" s="254"/>
      <c r="R155" s="254"/>
      <c r="S155" s="254"/>
      <c r="T155" s="255"/>
    </row>
    <row r="156">
      <c r="A156" s="253" t="s">
        <v>1363</v>
      </c>
      <c r="B156" s="253" t="s">
        <v>1364</v>
      </c>
      <c r="C156" s="254" t="s">
        <v>900</v>
      </c>
      <c r="D156" s="254" t="s">
        <v>351</v>
      </c>
      <c r="E156" s="255"/>
      <c r="F156" s="254" t="s">
        <v>871</v>
      </c>
      <c r="G156" s="254" t="s">
        <v>352</v>
      </c>
      <c r="H156" s="255"/>
      <c r="I156" s="255"/>
      <c r="J156" s="254" t="s">
        <v>352</v>
      </c>
      <c r="K156" s="254" t="s">
        <v>353</v>
      </c>
      <c r="L156" s="254" t="s">
        <v>354</v>
      </c>
      <c r="M156" s="254" t="s">
        <v>355</v>
      </c>
      <c r="N156" s="254" t="s">
        <v>1365</v>
      </c>
      <c r="O156" s="254" t="s">
        <v>1178</v>
      </c>
      <c r="P156" s="256" t="str">
        <f>IFERROR(__xludf.DUMMYFUNCTION("IFERROR(
  TEXT(
    DATE(
      INDEX(SPLIT(O156,"" ""),3),
      VLOOKUP(INDEX(SPLIT(O156,"" ""),1),{""jan."",1;""Feb"",2;""mar."",3;""Apr"",4;""May"",5;""jun."",6;""jul."",7;""Aug"",8;""sep"",9;""Oct"",10;""nov."",11;""Dec"",12},2,FALSE),
      INDEX(S"&amp;"PLIT(O156,"" ""),2)
    ),
    ""dd/mm/yyyy""
  ),
"""")"),"13/05/2026")</f>
        <v>13/05/2026</v>
      </c>
      <c r="Q156" s="254"/>
      <c r="R156" s="256"/>
      <c r="S156" s="254"/>
      <c r="T156" s="255"/>
    </row>
    <row r="157">
      <c r="A157" s="253" t="s">
        <v>1366</v>
      </c>
      <c r="B157" s="253" t="s">
        <v>1367</v>
      </c>
      <c r="C157" s="254" t="s">
        <v>900</v>
      </c>
      <c r="D157" s="254" t="s">
        <v>351</v>
      </c>
      <c r="E157" s="255"/>
      <c r="F157" s="254" t="s">
        <v>1368</v>
      </c>
      <c r="G157" s="254" t="s">
        <v>352</v>
      </c>
      <c r="H157" s="255"/>
      <c r="I157" s="255"/>
      <c r="J157" s="254" t="s">
        <v>352</v>
      </c>
      <c r="K157" s="254" t="s">
        <v>353</v>
      </c>
      <c r="L157" s="254" t="s">
        <v>354</v>
      </c>
      <c r="M157" s="254" t="s">
        <v>355</v>
      </c>
      <c r="N157" s="254" t="s">
        <v>1369</v>
      </c>
      <c r="O157" s="254" t="s">
        <v>1370</v>
      </c>
      <c r="P157" s="256" t="str">
        <f>IFERROR(__xludf.DUMMYFUNCTION("IFERROR(
  TEXT(
    DATE(
      INDEX(SPLIT(O157,"" ""),3),
      VLOOKUP(INDEX(SPLIT(O157,"" ""),1),{""jan."",1;""Feb"",2;""mar."",3;""Apr"",4;""May"",5;""jun."",6;""jul."",7;""Aug"",8;""sep"",9;""Oct"",10;""nov."",11;""Dec"",12},2,FALSE),
      INDEX(S"&amp;"PLIT(O157,"" ""),2)
    ),
    ""dd/mm/yyyy""
  ),
"""")"),"06/05/2026")</f>
        <v>06/05/2026</v>
      </c>
      <c r="Q157" s="254"/>
      <c r="R157" s="256"/>
      <c r="S157" s="254"/>
      <c r="T157" s="255"/>
    </row>
    <row r="158">
      <c r="A158" s="253" t="s">
        <v>1371</v>
      </c>
      <c r="B158" s="253" t="s">
        <v>1372</v>
      </c>
      <c r="C158" s="254" t="s">
        <v>900</v>
      </c>
      <c r="D158" s="254" t="s">
        <v>351</v>
      </c>
      <c r="E158" s="255"/>
      <c r="F158" s="254" t="s">
        <v>1373</v>
      </c>
      <c r="G158" s="254" t="s">
        <v>352</v>
      </c>
      <c r="H158" s="255"/>
      <c r="I158" s="255"/>
      <c r="J158" s="254" t="s">
        <v>352</v>
      </c>
      <c r="K158" s="254" t="s">
        <v>353</v>
      </c>
      <c r="L158" s="254" t="s">
        <v>354</v>
      </c>
      <c r="M158" s="254" t="s">
        <v>355</v>
      </c>
      <c r="N158" s="254" t="s">
        <v>1374</v>
      </c>
      <c r="O158" s="254" t="s">
        <v>1375</v>
      </c>
      <c r="P158" s="256" t="str">
        <f>IFERROR(__xludf.DUMMYFUNCTION("IFERROR(
  TEXT(
    DATE(
      INDEX(SPLIT(O158,"" ""),3),
      VLOOKUP(INDEX(SPLIT(O158,"" ""),1),{""jan."",1;""Feb"",2;""mar."",3;""Apr"",4;""May"",5;""jun."",6;""jul."",7;""Aug"",8;""sep"",9;""Oct"",10;""nov."",11;""Dec"",12},2,FALSE),
      INDEX(S"&amp;"PLIT(O158,"" ""),2)
    ),
    ""dd/mm/yyyy""
  ),
"""")"),"10/04/2026")</f>
        <v>10/04/2026</v>
      </c>
      <c r="Q158" s="254"/>
      <c r="R158" s="256"/>
      <c r="S158" s="254"/>
      <c r="T158" s="255"/>
    </row>
    <row r="159">
      <c r="A159" s="253" t="s">
        <v>1376</v>
      </c>
      <c r="B159" s="253" t="s">
        <v>1377</v>
      </c>
      <c r="C159" s="257"/>
      <c r="D159" s="257"/>
      <c r="E159" s="255"/>
      <c r="F159" s="254" t="s">
        <v>95</v>
      </c>
      <c r="G159" s="254" t="s">
        <v>352</v>
      </c>
      <c r="H159" s="255"/>
      <c r="I159" s="255"/>
      <c r="J159" s="254" t="s">
        <v>352</v>
      </c>
      <c r="K159" s="254" t="s">
        <v>353</v>
      </c>
      <c r="L159" s="254" t="s">
        <v>354</v>
      </c>
      <c r="M159" s="254" t="s">
        <v>355</v>
      </c>
      <c r="N159" s="254" t="s">
        <v>604</v>
      </c>
      <c r="O159" s="254" t="s">
        <v>1378</v>
      </c>
      <c r="P159" s="256" t="str">
        <f>IFERROR(__xludf.DUMMYFUNCTION("IFERROR(
  TEXT(
    DATE(
      INDEX(SPLIT(O159,"" ""),3),
      VLOOKUP(INDEX(SPLIT(O159,"" ""),1),{""jan."",1;""Feb"",2;""mar."",3;""Apr"",4;""May"",5;""jun."",6;""jul."",7;""Aug"",8;""sep"",9;""Oct"",10;""nov."",11;""Dec"",12},2,FALSE),
      INDEX(S"&amp;"PLIT(O159,"" ""),2)
    ),
    ""dd/mm/yyyy""
  ),
"""")"),"07/05/2026")</f>
        <v>07/05/2026</v>
      </c>
      <c r="Q159" s="254"/>
      <c r="R159" s="254"/>
      <c r="S159" s="254"/>
      <c r="T159" s="255"/>
    </row>
    <row r="160">
      <c r="A160" s="253" t="s">
        <v>1379</v>
      </c>
      <c r="B160" s="253" t="s">
        <v>1380</v>
      </c>
      <c r="C160" s="254" t="s">
        <v>350</v>
      </c>
      <c r="D160" s="254" t="s">
        <v>351</v>
      </c>
      <c r="E160" s="255"/>
      <c r="F160" s="254" t="s">
        <v>95</v>
      </c>
      <c r="G160" s="254" t="s">
        <v>352</v>
      </c>
      <c r="H160" s="255"/>
      <c r="I160" s="255"/>
      <c r="J160" s="254" t="s">
        <v>352</v>
      </c>
      <c r="K160" s="254" t="s">
        <v>353</v>
      </c>
      <c r="L160" s="254" t="s">
        <v>354</v>
      </c>
      <c r="M160" s="254" t="s">
        <v>355</v>
      </c>
      <c r="N160" s="254" t="s">
        <v>1381</v>
      </c>
      <c r="O160" s="254" t="s">
        <v>1378</v>
      </c>
      <c r="P160" s="256" t="str">
        <f>IFERROR(__xludf.DUMMYFUNCTION("IFERROR(
  TEXT(
    DATE(
      INDEX(SPLIT(O160,"" ""),3),
      VLOOKUP(INDEX(SPLIT(O160,"" ""),1),{""jan."",1;""Feb"",2;""mar."",3;""Apr"",4;""May"",5;""jun."",6;""jul."",7;""Aug"",8;""sep"",9;""Oct"",10;""nov."",11;""Dec"",12},2,FALSE),
      INDEX(S"&amp;"PLIT(O160,"" ""),2)
    ),
    ""dd/mm/yyyy""
  ),
"""")"),"07/05/2026")</f>
        <v>07/05/2026</v>
      </c>
      <c r="Q160" s="254"/>
      <c r="R160" s="254"/>
      <c r="S160" s="254"/>
      <c r="T160" s="255"/>
    </row>
    <row r="161">
      <c r="A161" s="253" t="s">
        <v>1382</v>
      </c>
      <c r="B161" s="253" t="s">
        <v>1383</v>
      </c>
      <c r="C161" s="254" t="s">
        <v>900</v>
      </c>
      <c r="D161" s="254" t="s">
        <v>351</v>
      </c>
      <c r="E161" s="255"/>
      <c r="F161" s="254" t="s">
        <v>1099</v>
      </c>
      <c r="G161" s="254" t="s">
        <v>352</v>
      </c>
      <c r="H161" s="255"/>
      <c r="I161" s="255"/>
      <c r="J161" s="254" t="s">
        <v>352</v>
      </c>
      <c r="K161" s="254" t="s">
        <v>353</v>
      </c>
      <c r="L161" s="254" t="s">
        <v>354</v>
      </c>
      <c r="M161" s="254" t="s">
        <v>355</v>
      </c>
      <c r="N161" s="254" t="s">
        <v>1384</v>
      </c>
      <c r="O161" s="256">
        <v>46100.67222222222</v>
      </c>
      <c r="P161" s="256" t="str">
        <f>IFERROR(__xludf.DUMMYFUNCTION("IFERROR(
  TEXT(
    DATE(
      INDEX(SPLIT(O161,"" ""),3),
      VLOOKUP(INDEX(SPLIT(O161,"" ""),1),{""jan."",1;""Feb"",2;""mar."",3;""Apr"",4;""May"",5;""jun."",6;""jul."",7;""Aug"",8;""sep"",9;""Oct"",10;""nov."",11;""Dec"",12},2,FALSE),
      INDEX(S"&amp;"PLIT(O161,"" ""),2)
    ),
    ""dd/mm/yyyy""
  ),
"""")"),"19/03/2026")</f>
        <v>19/03/2026</v>
      </c>
      <c r="Q161" s="254"/>
      <c r="R161" s="256"/>
      <c r="S161" s="254"/>
      <c r="T161" s="255"/>
    </row>
    <row r="162">
      <c r="A162" s="253" t="s">
        <v>1385</v>
      </c>
      <c r="B162" s="253" t="s">
        <v>1386</v>
      </c>
      <c r="C162" s="254" t="s">
        <v>900</v>
      </c>
      <c r="D162" s="254" t="s">
        <v>351</v>
      </c>
      <c r="E162" s="255"/>
      <c r="F162" s="254" t="s">
        <v>1387</v>
      </c>
      <c r="G162" s="254" t="s">
        <v>352</v>
      </c>
      <c r="H162" s="255"/>
      <c r="I162" s="255"/>
      <c r="J162" s="254" t="s">
        <v>352</v>
      </c>
      <c r="K162" s="254" t="s">
        <v>353</v>
      </c>
      <c r="L162" s="254" t="s">
        <v>354</v>
      </c>
      <c r="M162" s="254" t="s">
        <v>355</v>
      </c>
      <c r="N162" s="254" t="s">
        <v>1388</v>
      </c>
      <c r="O162" s="254" t="s">
        <v>1196</v>
      </c>
      <c r="P162" s="256" t="str">
        <f>IFERROR(__xludf.DUMMYFUNCTION("IFERROR(
  TEXT(
    DATE(
      INDEX(SPLIT(O162,"" ""),3),
      VLOOKUP(INDEX(SPLIT(O162,"" ""),1),{""jan."",1;""Feb"",2;""mar."",3;""Apr"",4;""May"",5;""jun."",6;""jul."",7;""Aug"",8;""sep"",9;""Oct"",10;""nov."",11;""Dec"",12},2,FALSE),
      INDEX(S"&amp;"PLIT(O162,"" ""),2)
    ),
    ""dd/mm/yyyy""
  ),
"""")"),"05/05/2026")</f>
        <v>05/05/2026</v>
      </c>
      <c r="Q162" s="254"/>
      <c r="R162" s="254"/>
      <c r="S162" s="254"/>
      <c r="T162" s="255"/>
    </row>
    <row r="163">
      <c r="A163" s="253" t="s">
        <v>1389</v>
      </c>
      <c r="B163" s="253" t="s">
        <v>1390</v>
      </c>
      <c r="C163" s="254" t="s">
        <v>900</v>
      </c>
      <c r="D163" s="254" t="s">
        <v>351</v>
      </c>
      <c r="E163" s="255"/>
      <c r="F163" s="254" t="s">
        <v>1368</v>
      </c>
      <c r="G163" s="254" t="s">
        <v>352</v>
      </c>
      <c r="H163" s="255"/>
      <c r="I163" s="255"/>
      <c r="J163" s="254" t="s">
        <v>352</v>
      </c>
      <c r="K163" s="254" t="s">
        <v>353</v>
      </c>
      <c r="L163" s="254" t="s">
        <v>354</v>
      </c>
      <c r="M163" s="254" t="s">
        <v>355</v>
      </c>
      <c r="N163" s="254" t="s">
        <v>976</v>
      </c>
      <c r="O163" s="254" t="s">
        <v>1391</v>
      </c>
      <c r="P163" s="256" t="str">
        <f>IFERROR(__xludf.DUMMYFUNCTION("IFERROR(
  TEXT(
    DATE(
      INDEX(SPLIT(O163,"" ""),3),
      VLOOKUP(INDEX(SPLIT(O163,"" ""),1),{""jan."",1;""Feb"",2;""mar."",3;""Apr"",4;""May"",5;""jun."",6;""jul."",7;""Aug"",8;""sep"",9;""Oct"",10;""nov."",11;""Dec"",12},2,FALSE),
      INDEX(S"&amp;"PLIT(O163,"" ""),2)
    ),
    ""dd/mm/yyyy""
  ),
"""")"),"10/04/2026")</f>
        <v>10/04/2026</v>
      </c>
      <c r="Q163" s="254"/>
      <c r="R163" s="256"/>
      <c r="S163" s="254"/>
      <c r="T163" s="255"/>
    </row>
    <row r="164">
      <c r="A164" s="253" t="s">
        <v>1392</v>
      </c>
      <c r="B164" s="253" t="s">
        <v>1393</v>
      </c>
      <c r="C164" s="254" t="s">
        <v>900</v>
      </c>
      <c r="D164" s="254" t="s">
        <v>351</v>
      </c>
      <c r="E164" s="255"/>
      <c r="F164" s="254" t="s">
        <v>1099</v>
      </c>
      <c r="G164" s="254" t="s">
        <v>352</v>
      </c>
      <c r="H164" s="255"/>
      <c r="I164" s="255"/>
      <c r="J164" s="254" t="s">
        <v>352</v>
      </c>
      <c r="K164" s="254" t="s">
        <v>353</v>
      </c>
      <c r="L164" s="254" t="s">
        <v>354</v>
      </c>
      <c r="M164" s="254" t="s">
        <v>355</v>
      </c>
      <c r="N164" s="254" t="s">
        <v>1394</v>
      </c>
      <c r="O164" s="254" t="s">
        <v>1395</v>
      </c>
      <c r="P164" s="256" t="str">
        <f>IFERROR(__xludf.DUMMYFUNCTION("IFERROR(
  TEXT(
    DATE(
      INDEX(SPLIT(O164,"" ""),3),
      VLOOKUP(INDEX(SPLIT(O164,"" ""),1),{""jan."",1;""Feb"",2;""mar."",3;""Apr"",4;""May"",5;""jun."",6;""jul."",7;""Aug"",8;""sep"",9;""Oct"",10;""nov."",11;""Dec"",12},2,FALSE),
      INDEX(S"&amp;"PLIT(O164,"" ""),2)
    ),
    ""dd/mm/yyyy""
  ),
"""")"),"12/05/2026")</f>
        <v>12/05/2026</v>
      </c>
      <c r="Q164" s="254"/>
      <c r="R164" s="256"/>
      <c r="S164" s="254"/>
      <c r="T164" s="255"/>
    </row>
    <row r="165">
      <c r="A165" s="253" t="s">
        <v>1396</v>
      </c>
      <c r="B165" s="253" t="s">
        <v>1397</v>
      </c>
      <c r="C165" s="254" t="s">
        <v>900</v>
      </c>
      <c r="D165" s="254" t="s">
        <v>351</v>
      </c>
      <c r="E165" s="255"/>
      <c r="F165" s="254" t="s">
        <v>163</v>
      </c>
      <c r="G165" s="254" t="s">
        <v>352</v>
      </c>
      <c r="H165" s="255"/>
      <c r="I165" s="255"/>
      <c r="J165" s="254" t="s">
        <v>352</v>
      </c>
      <c r="K165" s="254" t="s">
        <v>353</v>
      </c>
      <c r="L165" s="254" t="s">
        <v>354</v>
      </c>
      <c r="M165" s="254" t="s">
        <v>355</v>
      </c>
      <c r="N165" s="254" t="s">
        <v>1398</v>
      </c>
      <c r="O165" s="254" t="s">
        <v>1399</v>
      </c>
      <c r="P165" s="256" t="str">
        <f>IFERROR(__xludf.DUMMYFUNCTION("IFERROR(
  TEXT(
    DATE(
      INDEX(SPLIT(O165,"" ""),3),
      VLOOKUP(INDEX(SPLIT(O165,"" ""),1),{""jan."",1;""Feb"",2;""mar."",3;""Apr"",4;""May"",5;""jun."",6;""jul."",7;""Aug"",8;""sep"",9;""Oct"",10;""nov."",11;""Dec"",12},2,FALSE),
      INDEX(S"&amp;"PLIT(O165,"" ""),2)
    ),
    ""dd/mm/yyyy""
  ),
"""")"),"30/04/2026")</f>
        <v>30/04/2026</v>
      </c>
      <c r="Q165" s="254"/>
      <c r="R165" s="254"/>
      <c r="S165" s="254"/>
      <c r="T165" s="255"/>
    </row>
    <row r="166">
      <c r="A166" s="253" t="s">
        <v>1400</v>
      </c>
      <c r="B166" s="253" t="s">
        <v>1401</v>
      </c>
      <c r="C166" s="254" t="s">
        <v>900</v>
      </c>
      <c r="D166" s="254" t="s">
        <v>351</v>
      </c>
      <c r="E166" s="255"/>
      <c r="F166" s="254" t="s">
        <v>245</v>
      </c>
      <c r="G166" s="254" t="s">
        <v>352</v>
      </c>
      <c r="H166" s="255"/>
      <c r="I166" s="255"/>
      <c r="J166" s="254" t="s">
        <v>352</v>
      </c>
      <c r="K166" s="254" t="s">
        <v>353</v>
      </c>
      <c r="L166" s="254" t="s">
        <v>354</v>
      </c>
      <c r="M166" s="254" t="s">
        <v>355</v>
      </c>
      <c r="N166" s="254" t="s">
        <v>1402</v>
      </c>
      <c r="O166" s="254" t="s">
        <v>1403</v>
      </c>
      <c r="P166" s="256" t="str">
        <f>IFERROR(__xludf.DUMMYFUNCTION("IFERROR(
  TEXT(
    DATE(
      INDEX(SPLIT(O166,"" ""),3),
      VLOOKUP(INDEX(SPLIT(O166,"" ""),1),{""jan."",1;""Feb"",2;""mar."",3;""Apr"",4;""May"",5;""jun."",6;""jul."",7;""Aug"",8;""sep"",9;""Oct"",10;""nov."",11;""Dec"",12},2,FALSE),
      INDEX(S"&amp;"PLIT(O166,"" ""),2)
    ),
    ""dd/mm/yyyy""
  ),
"""")"),"29/04/2026")</f>
        <v>29/04/2026</v>
      </c>
      <c r="Q166" s="254"/>
      <c r="R166" s="254"/>
      <c r="S166" s="254"/>
      <c r="T166" s="255"/>
    </row>
    <row r="167">
      <c r="A167" s="253" t="s">
        <v>1404</v>
      </c>
      <c r="B167" s="253" t="s">
        <v>1405</v>
      </c>
      <c r="C167" s="257"/>
      <c r="D167" s="257"/>
      <c r="E167" s="255"/>
      <c r="F167" s="254" t="s">
        <v>95</v>
      </c>
      <c r="G167" s="254" t="s">
        <v>352</v>
      </c>
      <c r="H167" s="255"/>
      <c r="I167" s="255"/>
      <c r="J167" s="254" t="s">
        <v>352</v>
      </c>
      <c r="K167" s="254" t="s">
        <v>353</v>
      </c>
      <c r="L167" s="254" t="s">
        <v>352</v>
      </c>
      <c r="M167" s="254" t="s">
        <v>352</v>
      </c>
      <c r="N167" s="254" t="s">
        <v>753</v>
      </c>
      <c r="O167" s="256">
        <v>45811.31805555556</v>
      </c>
      <c r="P167" s="256" t="str">
        <f>IFERROR(__xludf.DUMMYFUNCTION("IFERROR(
  TEXT(
    DATE(
      INDEX(SPLIT(O167,"" ""),3),
      VLOOKUP(INDEX(SPLIT(O167,"" ""),1),{""jan."",1;""Feb"",2;""mar."",3;""Apr"",4;""May"",5;""jun."",6;""jul."",7;""Aug"",8;""sep"",9;""Oct"",10;""nov."",11;""Dec"",12},2,FALSE),
      INDEX(S"&amp;"PLIT(O167,"" ""),2)
    ),
    ""dd/mm/yyyy""
  ),
"""")"),"03/06/2025")</f>
        <v>03/06/2025</v>
      </c>
      <c r="Q167" s="254"/>
      <c r="R167" s="254"/>
      <c r="S167" s="254"/>
      <c r="T167" s="255"/>
    </row>
    <row r="168">
      <c r="A168" s="253" t="s">
        <v>1406</v>
      </c>
      <c r="B168" s="253" t="s">
        <v>1407</v>
      </c>
      <c r="C168" s="257"/>
      <c r="D168" s="257"/>
      <c r="E168" s="255"/>
      <c r="F168" s="254" t="s">
        <v>179</v>
      </c>
      <c r="G168" s="254" t="s">
        <v>352</v>
      </c>
      <c r="H168" s="255"/>
      <c r="I168" s="255"/>
      <c r="J168" s="254" t="s">
        <v>352</v>
      </c>
      <c r="K168" s="254" t="s">
        <v>353</v>
      </c>
      <c r="L168" s="254" t="s">
        <v>354</v>
      </c>
      <c r="M168" s="254" t="s">
        <v>355</v>
      </c>
      <c r="N168" s="254" t="s">
        <v>757</v>
      </c>
      <c r="O168" s="256">
        <v>45968.49236111111</v>
      </c>
      <c r="P168" s="256" t="str">
        <f>IFERROR(__xludf.DUMMYFUNCTION("IFERROR(
  TEXT(
    DATE(
      INDEX(SPLIT(O168,"" ""),3),
      VLOOKUP(INDEX(SPLIT(O168,"" ""),1),{""jan."",1;""Feb"",2;""mar."",3;""Apr"",4;""May"",5;""jun."",6;""jul."",7;""Aug"",8;""sep"",9;""Oct"",10;""nov."",11;""Dec"",12},2,FALSE),
      INDEX(S"&amp;"PLIT(O168,"" ""),2)
    ),
    ""dd/mm/yyyy""
  ),
"""")"),"07/11/2025")</f>
        <v>07/11/2025</v>
      </c>
      <c r="Q168" s="254"/>
      <c r="R168" s="254"/>
      <c r="S168" s="254"/>
      <c r="T168" s="255"/>
    </row>
    <row r="169">
      <c r="A169" s="253" t="s">
        <v>1408</v>
      </c>
      <c r="B169" s="253" t="s">
        <v>1409</v>
      </c>
      <c r="C169" s="257"/>
      <c r="D169" s="257"/>
      <c r="E169" s="255"/>
      <c r="F169" s="254" t="s">
        <v>170</v>
      </c>
      <c r="G169" s="254" t="s">
        <v>352</v>
      </c>
      <c r="H169" s="255"/>
      <c r="I169" s="255"/>
      <c r="J169" s="254" t="s">
        <v>352</v>
      </c>
      <c r="K169" s="254" t="s">
        <v>353</v>
      </c>
      <c r="L169" s="254" t="s">
        <v>354</v>
      </c>
      <c r="M169" s="254" t="s">
        <v>355</v>
      </c>
      <c r="N169" s="254" t="s">
        <v>760</v>
      </c>
      <c r="O169" s="256">
        <v>45968.49722222222</v>
      </c>
      <c r="P169" s="256" t="str">
        <f>IFERROR(__xludf.DUMMYFUNCTION("IFERROR(
  TEXT(
    DATE(
      INDEX(SPLIT(O169,"" ""),3),
      VLOOKUP(INDEX(SPLIT(O169,"" ""),1),{""jan."",1;""Feb"",2;""mar."",3;""Apr"",4;""May"",5;""jun."",6;""jul."",7;""Aug"",8;""sep"",9;""Oct"",10;""nov."",11;""Dec"",12},2,FALSE),
      INDEX(S"&amp;"PLIT(O169,"" ""),2)
    ),
    ""dd/mm/yyyy""
  ),
"""")"),"07/11/2025")</f>
        <v>07/11/2025</v>
      </c>
      <c r="Q169" s="254"/>
      <c r="R169" s="254"/>
      <c r="S169" s="254"/>
      <c r="T169" s="255"/>
    </row>
    <row r="170">
      <c r="A170" s="253" t="s">
        <v>1410</v>
      </c>
      <c r="B170" s="253" t="s">
        <v>1411</v>
      </c>
      <c r="C170" s="257"/>
      <c r="D170" s="257"/>
      <c r="E170" s="255"/>
      <c r="F170" s="254" t="s">
        <v>224</v>
      </c>
      <c r="G170" s="254" t="s">
        <v>352</v>
      </c>
      <c r="H170" s="255"/>
      <c r="I170" s="255"/>
      <c r="J170" s="254" t="s">
        <v>352</v>
      </c>
      <c r="K170" s="254" t="s">
        <v>353</v>
      </c>
      <c r="L170" s="254" t="s">
        <v>354</v>
      </c>
      <c r="M170" s="254" t="s">
        <v>355</v>
      </c>
      <c r="N170" s="254" t="s">
        <v>763</v>
      </c>
      <c r="O170" s="256">
        <v>45968.495833333334</v>
      </c>
      <c r="P170" s="256" t="str">
        <f>IFERROR(__xludf.DUMMYFUNCTION("IFERROR(
  TEXT(
    DATE(
      INDEX(SPLIT(O170,"" ""),3),
      VLOOKUP(INDEX(SPLIT(O170,"" ""),1),{""jan."",1;""Feb"",2;""mar."",3;""Apr"",4;""May"",5;""jun."",6;""jul."",7;""Aug"",8;""sep"",9;""Oct"",10;""nov."",11;""Dec"",12},2,FALSE),
      INDEX(S"&amp;"PLIT(O170,"" ""),2)
    ),
    ""dd/mm/yyyy""
  ),
"""")"),"07/11/2025")</f>
        <v>07/11/2025</v>
      </c>
      <c r="Q170" s="254"/>
      <c r="R170" s="254"/>
      <c r="S170" s="254"/>
      <c r="T170" s="255"/>
    </row>
    <row r="171">
      <c r="A171" s="253" t="s">
        <v>1412</v>
      </c>
      <c r="B171" s="253" t="s">
        <v>1413</v>
      </c>
      <c r="C171" s="257"/>
      <c r="D171" s="257"/>
      <c r="E171" s="255"/>
      <c r="F171" s="254" t="s">
        <v>224</v>
      </c>
      <c r="G171" s="254" t="s">
        <v>352</v>
      </c>
      <c r="H171" s="255"/>
      <c r="I171" s="255"/>
      <c r="J171" s="254" t="s">
        <v>352</v>
      </c>
      <c r="K171" s="254" t="s">
        <v>353</v>
      </c>
      <c r="L171" s="254" t="s">
        <v>354</v>
      </c>
      <c r="M171" s="254" t="s">
        <v>355</v>
      </c>
      <c r="N171" s="254" t="s">
        <v>766</v>
      </c>
      <c r="O171" s="256">
        <v>45968.49722222222</v>
      </c>
      <c r="P171" s="256" t="str">
        <f>IFERROR(__xludf.DUMMYFUNCTION("IFERROR(
  TEXT(
    DATE(
      INDEX(SPLIT(O171,"" ""),3),
      VLOOKUP(INDEX(SPLIT(O171,"" ""),1),{""jan."",1;""Feb"",2;""mar."",3;""Apr"",4;""May"",5;""jun."",6;""jul."",7;""Aug"",8;""sep"",9;""Oct"",10;""nov."",11;""Dec"",12},2,FALSE),
      INDEX(S"&amp;"PLIT(O171,"" ""),2)
    ),
    ""dd/mm/yyyy""
  ),
"""")"),"07/11/2025")</f>
        <v>07/11/2025</v>
      </c>
      <c r="Q171" s="254"/>
      <c r="R171" s="254"/>
      <c r="S171" s="254"/>
      <c r="T171" s="255"/>
    </row>
    <row r="172">
      <c r="A172" s="253" t="s">
        <v>1414</v>
      </c>
      <c r="B172" s="253" t="s">
        <v>1415</v>
      </c>
      <c r="C172" s="257"/>
      <c r="D172" s="257"/>
      <c r="E172" s="255"/>
      <c r="F172" s="254" t="s">
        <v>170</v>
      </c>
      <c r="G172" s="254" t="s">
        <v>352</v>
      </c>
      <c r="H172" s="255"/>
      <c r="I172" s="255"/>
      <c r="J172" s="254" t="s">
        <v>352</v>
      </c>
      <c r="K172" s="254" t="s">
        <v>353</v>
      </c>
      <c r="L172" s="254" t="s">
        <v>354</v>
      </c>
      <c r="M172" s="254" t="s">
        <v>355</v>
      </c>
      <c r="N172" s="254" t="s">
        <v>769</v>
      </c>
      <c r="O172" s="254" t="s">
        <v>1416</v>
      </c>
      <c r="P172" s="256" t="str">
        <f>IFERROR(__xludf.DUMMYFUNCTION("IFERROR(
  TEXT(
    DATE(
      INDEX(SPLIT(O172,"" ""),3),
      VLOOKUP(INDEX(SPLIT(O172,"" ""),1),{""jan."",1;""Feb"",2;""mar."",3;""Apr"",4;""May"",5;""jun."",6;""jul."",7;""Aug"",8;""sep"",9;""Oct"",10;""nov."",11;""Dec"",12},2,FALSE),
      INDEX(S"&amp;"PLIT(O172,"" ""),2)
    ),
    ""dd/mm/yyyy""
  ),
"""")"),"05/12/2025")</f>
        <v>05/12/2025</v>
      </c>
      <c r="Q172" s="254"/>
      <c r="R172" s="254"/>
      <c r="S172" s="254"/>
      <c r="T172" s="255"/>
    </row>
    <row r="173">
      <c r="A173" s="253" t="s">
        <v>1417</v>
      </c>
      <c r="B173" s="253" t="s">
        <v>1418</v>
      </c>
      <c r="C173" s="257"/>
      <c r="D173" s="257"/>
      <c r="E173" s="255"/>
      <c r="F173" s="254" t="s">
        <v>224</v>
      </c>
      <c r="G173" s="254" t="s">
        <v>352</v>
      </c>
      <c r="H173" s="255"/>
      <c r="I173" s="255"/>
      <c r="J173" s="254" t="s">
        <v>352</v>
      </c>
      <c r="K173" s="254" t="s">
        <v>353</v>
      </c>
      <c r="L173" s="254" t="s">
        <v>354</v>
      </c>
      <c r="M173" s="254" t="s">
        <v>355</v>
      </c>
      <c r="N173" s="254" t="s">
        <v>577</v>
      </c>
      <c r="O173" s="256">
        <v>45968.49722222222</v>
      </c>
      <c r="P173" s="256" t="str">
        <f>IFERROR(__xludf.DUMMYFUNCTION("IFERROR(
  TEXT(
    DATE(
      INDEX(SPLIT(O173,"" ""),3),
      VLOOKUP(INDEX(SPLIT(O173,"" ""),1),{""jan."",1;""Feb"",2;""mar."",3;""Apr"",4;""May"",5;""jun."",6;""jul."",7;""Aug"",8;""sep"",9;""Oct"",10;""nov."",11;""Dec"",12},2,FALSE),
      INDEX(S"&amp;"PLIT(O173,"" ""),2)
    ),
    ""dd/mm/yyyy""
  ),
"""")"),"07/11/2025")</f>
        <v>07/11/2025</v>
      </c>
      <c r="Q173" s="254"/>
      <c r="R173" s="254"/>
      <c r="S173" s="254"/>
      <c r="T173" s="255"/>
    </row>
    <row r="174">
      <c r="A174" s="253" t="s">
        <v>1419</v>
      </c>
      <c r="B174" s="253" t="s">
        <v>1420</v>
      </c>
      <c r="C174" s="257"/>
      <c r="D174" s="257"/>
      <c r="E174" s="255"/>
      <c r="F174" s="254" t="s">
        <v>224</v>
      </c>
      <c r="G174" s="254" t="s">
        <v>352</v>
      </c>
      <c r="H174" s="255"/>
      <c r="I174" s="255"/>
      <c r="J174" s="254" t="s">
        <v>352</v>
      </c>
      <c r="K174" s="254" t="s">
        <v>353</v>
      </c>
      <c r="L174" s="254" t="s">
        <v>354</v>
      </c>
      <c r="M174" s="254" t="s">
        <v>355</v>
      </c>
      <c r="N174" s="254" t="s">
        <v>774</v>
      </c>
      <c r="O174" s="256">
        <v>45962.40625</v>
      </c>
      <c r="P174" s="256" t="str">
        <f>IFERROR(__xludf.DUMMYFUNCTION("IFERROR(
  TEXT(
    DATE(
      INDEX(SPLIT(O174,"" ""),3),
      VLOOKUP(INDEX(SPLIT(O174,"" ""),1),{""jan."",1;""Feb"",2;""mar."",3;""Apr"",4;""May"",5;""jun."",6;""jul."",7;""Aug"",8;""sep"",9;""Oct"",10;""nov."",11;""Dec"",12},2,FALSE),
      INDEX(S"&amp;"PLIT(O174,"" ""),2)
    ),
    ""dd/mm/yyyy""
  ),
"""")"),"01/11/2025")</f>
        <v>01/11/2025</v>
      </c>
      <c r="Q174" s="254"/>
      <c r="R174" s="256"/>
      <c r="S174" s="254"/>
      <c r="T174" s="255"/>
    </row>
    <row r="175">
      <c r="A175" s="253" t="s">
        <v>1421</v>
      </c>
      <c r="B175" s="253" t="s">
        <v>1422</v>
      </c>
      <c r="C175" s="257"/>
      <c r="D175" s="257"/>
      <c r="E175" s="255"/>
      <c r="F175" s="254" t="s">
        <v>111</v>
      </c>
      <c r="G175" s="254" t="s">
        <v>352</v>
      </c>
      <c r="H175" s="255"/>
      <c r="I175" s="255"/>
      <c r="J175" s="254" t="s">
        <v>352</v>
      </c>
      <c r="K175" s="254" t="s">
        <v>353</v>
      </c>
      <c r="L175" s="254" t="s">
        <v>354</v>
      </c>
      <c r="M175" s="254" t="s">
        <v>355</v>
      </c>
      <c r="N175" s="254" t="s">
        <v>777</v>
      </c>
      <c r="O175" s="254" t="s">
        <v>1423</v>
      </c>
      <c r="P175" s="256" t="str">
        <f>IFERROR(__xludf.DUMMYFUNCTION("IFERROR(
  TEXT(
    DATE(
      INDEX(SPLIT(O175,"" ""),3),
      VLOOKUP(INDEX(SPLIT(O175,"" ""),1),{""jan."",1;""Feb"",2;""mar."",3;""Apr"",4;""May"",5;""jun."",6;""jul."",7;""Aug"",8;""sep"",9;""Oct"",10;""nov."",11;""Dec"",12},2,FALSE),
      INDEX(S"&amp;"PLIT(O175,"" ""),2)
    ),
    ""dd/mm/yyyy""
  ),
"""")"),"31/10/2025")</f>
        <v>31/10/2025</v>
      </c>
      <c r="Q175" s="254"/>
      <c r="R175" s="256"/>
      <c r="S175" s="254"/>
      <c r="T175" s="255"/>
    </row>
    <row r="176">
      <c r="A176" s="253" t="s">
        <v>1424</v>
      </c>
      <c r="B176" s="253" t="s">
        <v>1425</v>
      </c>
      <c r="C176" s="257"/>
      <c r="D176" s="257"/>
      <c r="E176" s="255"/>
      <c r="F176" s="254" t="s">
        <v>224</v>
      </c>
      <c r="G176" s="254" t="s">
        <v>352</v>
      </c>
      <c r="H176" s="255"/>
      <c r="I176" s="255"/>
      <c r="J176" s="254" t="s">
        <v>352</v>
      </c>
      <c r="K176" s="254" t="s">
        <v>353</v>
      </c>
      <c r="L176" s="254" t="s">
        <v>354</v>
      </c>
      <c r="M176" s="254" t="s">
        <v>355</v>
      </c>
      <c r="N176" s="254" t="s">
        <v>780</v>
      </c>
      <c r="O176" s="254" t="s">
        <v>1426</v>
      </c>
      <c r="P176" s="256" t="str">
        <f>IFERROR(__xludf.DUMMYFUNCTION("IFERROR(
  TEXT(
    DATE(
      INDEX(SPLIT(O176,"" ""),3),
      VLOOKUP(INDEX(SPLIT(O176,"" ""),1),{""jan."",1;""Feb"",2;""mar."",3;""Apr"",4;""May"",5;""jun."",6;""jul."",7;""Aug"",8;""sep"",9;""Oct"",10;""nov."",11;""Dec"",12},2,FALSE),
      INDEX(S"&amp;"PLIT(O176,"" ""),2)
    ),
    ""dd/mm/yyyy""
  ),
"""")"),"11/02/2026")</f>
        <v>11/02/2026</v>
      </c>
      <c r="Q176" s="254"/>
      <c r="R176" s="256"/>
      <c r="S176" s="254"/>
      <c r="T176" s="255"/>
    </row>
    <row r="177">
      <c r="A177" s="253" t="s">
        <v>1427</v>
      </c>
      <c r="B177" s="253" t="s">
        <v>1428</v>
      </c>
      <c r="C177" s="257"/>
      <c r="D177" s="257"/>
      <c r="E177" s="255"/>
      <c r="F177" s="254" t="s">
        <v>118</v>
      </c>
      <c r="G177" s="254" t="s">
        <v>352</v>
      </c>
      <c r="H177" s="255"/>
      <c r="I177" s="255"/>
      <c r="J177" s="254" t="s">
        <v>352</v>
      </c>
      <c r="K177" s="254" t="s">
        <v>353</v>
      </c>
      <c r="L177" s="254" t="s">
        <v>352</v>
      </c>
      <c r="M177" s="254" t="s">
        <v>352</v>
      </c>
      <c r="N177" s="254" t="s">
        <v>1429</v>
      </c>
      <c r="O177" s="254" t="s">
        <v>1430</v>
      </c>
      <c r="P177" s="256" t="str">
        <f>IFERROR(__xludf.DUMMYFUNCTION("IFERROR(
  TEXT(
    DATE(
      INDEX(SPLIT(O177,"" ""),3),
      VLOOKUP(INDEX(SPLIT(O177,"" ""),1),{""jan."",1;""Feb"",2;""mar."",3;""Apr"",4;""May"",5;""jun."",6;""jul."",7;""Aug"",8;""sep"",9;""Oct"",10;""nov."",11;""Dec"",12},2,FALSE),
      INDEX(S"&amp;"PLIT(O177,"" ""),2)
    ),
    ""dd/mm/yyyy""
  ),
"""")"),"12/02/2026")</f>
        <v>12/02/2026</v>
      </c>
      <c r="Q177" s="254"/>
      <c r="R177" s="256"/>
      <c r="S177" s="254"/>
      <c r="T177" s="255"/>
    </row>
    <row r="178">
      <c r="A178" s="253" t="s">
        <v>1431</v>
      </c>
      <c r="B178" s="253" t="s">
        <v>1432</v>
      </c>
      <c r="C178" s="254" t="s">
        <v>900</v>
      </c>
      <c r="D178" s="254" t="s">
        <v>351</v>
      </c>
      <c r="E178" s="255"/>
      <c r="F178" s="254" t="s">
        <v>118</v>
      </c>
      <c r="G178" s="254" t="s">
        <v>352</v>
      </c>
      <c r="H178" s="255"/>
      <c r="I178" s="255"/>
      <c r="J178" s="254" t="s">
        <v>352</v>
      </c>
      <c r="K178" s="254" t="s">
        <v>353</v>
      </c>
      <c r="L178" s="254" t="s">
        <v>354</v>
      </c>
      <c r="M178" s="254" t="s">
        <v>355</v>
      </c>
      <c r="N178" s="254" t="s">
        <v>1433</v>
      </c>
      <c r="O178" s="254" t="s">
        <v>1434</v>
      </c>
      <c r="P178" s="256" t="str">
        <f>IFERROR(__xludf.DUMMYFUNCTION("IFERROR(
  TEXT(
    DATE(
      INDEX(SPLIT(O178,"" ""),3),
      VLOOKUP(INDEX(SPLIT(O178,"" ""),1),{""jan."",1;""Feb"",2;""mar."",3;""Apr"",4;""May"",5;""jun."",6;""jul."",7;""Aug"",8;""sep"",9;""Oct"",10;""nov."",11;""Dec"",12},2,FALSE),
      INDEX(S"&amp;"PLIT(O178,"" ""),2)
    ),
    ""dd/mm/yyyy""
  ),
"""")"),"12/02/2026")</f>
        <v>12/02/2026</v>
      </c>
      <c r="Q178" s="254"/>
      <c r="R178" s="256"/>
      <c r="S178" s="254"/>
      <c r="T178" s="255"/>
    </row>
    <row r="179">
      <c r="A179" s="253" t="s">
        <v>1435</v>
      </c>
      <c r="B179" s="253" t="s">
        <v>1436</v>
      </c>
      <c r="C179" s="257"/>
      <c r="D179" s="257"/>
      <c r="E179" s="255"/>
      <c r="F179" s="254" t="s">
        <v>111</v>
      </c>
      <c r="G179" s="254" t="s">
        <v>352</v>
      </c>
      <c r="H179" s="255"/>
      <c r="I179" s="255"/>
      <c r="J179" s="254" t="s">
        <v>352</v>
      </c>
      <c r="K179" s="254" t="s">
        <v>353</v>
      </c>
      <c r="L179" s="254" t="s">
        <v>352</v>
      </c>
      <c r="M179" s="254" t="s">
        <v>352</v>
      </c>
      <c r="N179" s="254" t="s">
        <v>1437</v>
      </c>
      <c r="O179" s="254" t="s">
        <v>1438</v>
      </c>
      <c r="P179" s="256" t="str">
        <f>IFERROR(__xludf.DUMMYFUNCTION("IFERROR(
  TEXT(
    DATE(
      INDEX(SPLIT(O179,"" ""),3),
      VLOOKUP(INDEX(SPLIT(O179,"" ""),1),{""jan."",1;""Feb"",2;""mar."",3;""Apr"",4;""May"",5;""jun."",6;""jul."",7;""Aug"",8;""sep"",9;""Oct"",10;""nov."",11;""Dec"",12},2,FALSE),
      INDEX(S"&amp;"PLIT(O179,"" ""),2)
    ),
    ""dd/mm/yyyy""
  ),
"""")"),"12/02/2026")</f>
        <v>12/02/2026</v>
      </c>
      <c r="Q179" s="254"/>
      <c r="R179" s="256"/>
      <c r="S179" s="254"/>
      <c r="T179" s="255"/>
    </row>
    <row r="180">
      <c r="A180" s="253" t="s">
        <v>1439</v>
      </c>
      <c r="B180" s="253" t="s">
        <v>1440</v>
      </c>
      <c r="C180" s="257"/>
      <c r="D180" s="257"/>
      <c r="E180" s="255"/>
      <c r="F180" s="254" t="s">
        <v>118</v>
      </c>
      <c r="G180" s="254" t="s">
        <v>352</v>
      </c>
      <c r="H180" s="255"/>
      <c r="I180" s="255"/>
      <c r="J180" s="254" t="s">
        <v>352</v>
      </c>
      <c r="K180" s="254" t="s">
        <v>353</v>
      </c>
      <c r="L180" s="254" t="s">
        <v>354</v>
      </c>
      <c r="M180" s="254" t="s">
        <v>355</v>
      </c>
      <c r="N180" s="254" t="s">
        <v>1441</v>
      </c>
      <c r="O180" s="254" t="s">
        <v>1442</v>
      </c>
      <c r="P180" s="256" t="str">
        <f>IFERROR(__xludf.DUMMYFUNCTION("IFERROR(
  TEXT(
    DATE(
      INDEX(SPLIT(O180,"" ""),3),
      VLOOKUP(INDEX(SPLIT(O180,"" ""),1),{""jan."",1;""Feb"",2;""mar."",3;""Apr"",4;""May"",5;""jun."",6;""jul."",7;""Aug"",8;""sep"",9;""Oct"",10;""nov."",11;""Dec"",12},2,FALSE),
      INDEX(S"&amp;"PLIT(O180,"" ""),2)
    ),
    ""dd/mm/yyyy""
  ),
"""")"),"19/02/2025")</f>
        <v>19/02/2025</v>
      </c>
      <c r="Q180" s="254"/>
      <c r="R180" s="256"/>
      <c r="S180" s="254"/>
      <c r="T180" s="255"/>
    </row>
    <row r="181">
      <c r="A181" s="253" t="s">
        <v>1443</v>
      </c>
      <c r="B181" s="253" t="s">
        <v>1444</v>
      </c>
      <c r="C181" s="257"/>
      <c r="D181" s="257"/>
      <c r="E181" s="255"/>
      <c r="F181" s="254" t="s">
        <v>95</v>
      </c>
      <c r="G181" s="254" t="s">
        <v>352</v>
      </c>
      <c r="H181" s="255"/>
      <c r="I181" s="255"/>
      <c r="J181" s="254" t="s">
        <v>352</v>
      </c>
      <c r="K181" s="254" t="s">
        <v>353</v>
      </c>
      <c r="L181" s="254" t="s">
        <v>354</v>
      </c>
      <c r="M181" s="254" t="s">
        <v>355</v>
      </c>
      <c r="N181" s="254" t="s">
        <v>1445</v>
      </c>
      <c r="O181" s="254" t="s">
        <v>1442</v>
      </c>
      <c r="P181" s="256" t="str">
        <f>IFERROR(__xludf.DUMMYFUNCTION("IFERROR(
  TEXT(
    DATE(
      INDEX(SPLIT(O181,"" ""),3),
      VLOOKUP(INDEX(SPLIT(O181,"" ""),1),{""jan."",1;""Feb"",2;""mar."",3;""Apr"",4;""May"",5;""jun."",6;""jul."",7;""Aug"",8;""sep"",9;""Oct"",10;""nov."",11;""Dec"",12},2,FALSE),
      INDEX(S"&amp;"PLIT(O181,"" ""),2)
    ),
    ""dd/mm/yyyy""
  ),
"""")"),"19/02/2025")</f>
        <v>19/02/2025</v>
      </c>
      <c r="Q181" s="254"/>
      <c r="R181" s="256"/>
      <c r="S181" s="254"/>
      <c r="T181" s="255"/>
    </row>
    <row r="182">
      <c r="A182" s="253" t="s">
        <v>1446</v>
      </c>
      <c r="B182" s="253" t="s">
        <v>1447</v>
      </c>
      <c r="C182" s="257"/>
      <c r="D182" s="257"/>
      <c r="E182" s="255"/>
      <c r="F182" s="254" t="s">
        <v>118</v>
      </c>
      <c r="G182" s="254" t="s">
        <v>352</v>
      </c>
      <c r="H182" s="255"/>
      <c r="I182" s="255"/>
      <c r="J182" s="254" t="s">
        <v>352</v>
      </c>
      <c r="K182" s="254" t="s">
        <v>353</v>
      </c>
      <c r="L182" s="254" t="s">
        <v>354</v>
      </c>
      <c r="M182" s="254" t="s">
        <v>355</v>
      </c>
      <c r="N182" s="254" t="s">
        <v>1448</v>
      </c>
      <c r="O182" s="254" t="s">
        <v>1442</v>
      </c>
      <c r="P182" s="256" t="str">
        <f>IFERROR(__xludf.DUMMYFUNCTION("IFERROR(
  TEXT(
    DATE(
      INDEX(SPLIT(O182,"" ""),3),
      VLOOKUP(INDEX(SPLIT(O182,"" ""),1),{""jan."",1;""Feb"",2;""mar."",3;""Apr"",4;""May"",5;""jun."",6;""jul."",7;""Aug"",8;""sep"",9;""Oct"",10;""nov."",11;""Dec"",12},2,FALSE),
      INDEX(S"&amp;"PLIT(O182,"" ""),2)
    ),
    ""dd/mm/yyyy""
  ),
"""")"),"19/02/2025")</f>
        <v>19/02/2025</v>
      </c>
      <c r="Q182" s="254"/>
      <c r="R182" s="256"/>
      <c r="S182" s="254"/>
      <c r="T182" s="255"/>
    </row>
    <row r="183">
      <c r="A183" s="253" t="s">
        <v>1449</v>
      </c>
      <c r="B183" s="253" t="s">
        <v>1450</v>
      </c>
      <c r="C183" s="257"/>
      <c r="D183" s="257"/>
      <c r="E183" s="255"/>
      <c r="F183" s="254" t="s">
        <v>118</v>
      </c>
      <c r="G183" s="254" t="s">
        <v>352</v>
      </c>
      <c r="H183" s="255"/>
      <c r="I183" s="255"/>
      <c r="J183" s="254" t="s">
        <v>352</v>
      </c>
      <c r="K183" s="254" t="s">
        <v>353</v>
      </c>
      <c r="L183" s="254" t="s">
        <v>354</v>
      </c>
      <c r="M183" s="254" t="s">
        <v>355</v>
      </c>
      <c r="N183" s="254" t="s">
        <v>1448</v>
      </c>
      <c r="O183" s="254" t="s">
        <v>1442</v>
      </c>
      <c r="P183" s="256" t="str">
        <f>IFERROR(__xludf.DUMMYFUNCTION("IFERROR(
  TEXT(
    DATE(
      INDEX(SPLIT(O183,"" ""),3),
      VLOOKUP(INDEX(SPLIT(O183,"" ""),1),{""jan."",1;""Feb"",2;""mar."",3;""Apr"",4;""May"",5;""jun."",6;""jul."",7;""Aug"",8;""sep"",9;""Oct"",10;""nov."",11;""Dec"",12},2,FALSE),
      INDEX(S"&amp;"PLIT(O183,"" ""),2)
    ),
    ""dd/mm/yyyy""
  ),
"""")"),"19/02/2025")</f>
        <v>19/02/2025</v>
      </c>
      <c r="Q183" s="254"/>
      <c r="R183" s="256"/>
      <c r="S183" s="254"/>
      <c r="T183" s="255"/>
    </row>
    <row r="184">
      <c r="A184" s="253" t="s">
        <v>1451</v>
      </c>
      <c r="B184" s="253" t="s">
        <v>1452</v>
      </c>
      <c r="C184" s="257"/>
      <c r="D184" s="257"/>
      <c r="E184" s="255"/>
      <c r="F184" s="254" t="s">
        <v>118</v>
      </c>
      <c r="G184" s="254" t="s">
        <v>352</v>
      </c>
      <c r="H184" s="255"/>
      <c r="I184" s="255"/>
      <c r="J184" s="254" t="s">
        <v>352</v>
      </c>
      <c r="K184" s="254" t="s">
        <v>353</v>
      </c>
      <c r="L184" s="254" t="s">
        <v>354</v>
      </c>
      <c r="M184" s="254" t="s">
        <v>355</v>
      </c>
      <c r="N184" s="254" t="s">
        <v>1453</v>
      </c>
      <c r="O184" s="254" t="s">
        <v>1442</v>
      </c>
      <c r="P184" s="256" t="str">
        <f>IFERROR(__xludf.DUMMYFUNCTION("IFERROR(
  TEXT(
    DATE(
      INDEX(SPLIT(O184,"" ""),3),
      VLOOKUP(INDEX(SPLIT(O184,"" ""),1),{""jan."",1;""Feb"",2;""mar."",3;""Apr"",4;""May"",5;""jun."",6;""jul."",7;""Aug"",8;""sep"",9;""Oct"",10;""nov."",11;""Dec"",12},2,FALSE),
      INDEX(S"&amp;"PLIT(O184,"" ""),2)
    ),
    ""dd/mm/yyyy""
  ),
"""")"),"19/02/2025")</f>
        <v>19/02/2025</v>
      </c>
      <c r="Q184" s="254"/>
      <c r="R184" s="256"/>
      <c r="S184" s="254"/>
      <c r="T184" s="255"/>
    </row>
    <row r="185">
      <c r="A185" s="253" t="s">
        <v>1454</v>
      </c>
      <c r="B185" s="253" t="s">
        <v>1455</v>
      </c>
      <c r="C185" s="257"/>
      <c r="D185" s="257"/>
      <c r="E185" s="255"/>
      <c r="F185" s="254" t="s">
        <v>95</v>
      </c>
      <c r="G185" s="254" t="s">
        <v>352</v>
      </c>
      <c r="H185" s="255"/>
      <c r="I185" s="255"/>
      <c r="J185" s="254" t="s">
        <v>352</v>
      </c>
      <c r="K185" s="254" t="s">
        <v>353</v>
      </c>
      <c r="L185" s="254" t="s">
        <v>354</v>
      </c>
      <c r="M185" s="254" t="s">
        <v>355</v>
      </c>
      <c r="N185" s="254" t="s">
        <v>1456</v>
      </c>
      <c r="O185" s="254" t="s">
        <v>1442</v>
      </c>
      <c r="P185" s="256" t="str">
        <f>IFERROR(__xludf.DUMMYFUNCTION("IFERROR(
  TEXT(
    DATE(
      INDEX(SPLIT(O185,"" ""),3),
      VLOOKUP(INDEX(SPLIT(O185,"" ""),1),{""jan."",1;""Feb"",2;""mar."",3;""Apr"",4;""May"",5;""jun."",6;""jul."",7;""Aug"",8;""sep"",9;""Oct"",10;""nov."",11;""Dec"",12},2,FALSE),
      INDEX(S"&amp;"PLIT(O185,"" ""),2)
    ),
    ""dd/mm/yyyy""
  ),
"""")"),"19/02/2025")</f>
        <v>19/02/2025</v>
      </c>
      <c r="Q185" s="254"/>
      <c r="R185" s="256"/>
      <c r="S185" s="254"/>
      <c r="T185" s="255"/>
    </row>
    <row r="186">
      <c r="A186" s="253" t="s">
        <v>1457</v>
      </c>
      <c r="B186" s="253" t="s">
        <v>1458</v>
      </c>
      <c r="C186" s="257"/>
      <c r="D186" s="257"/>
      <c r="E186" s="255"/>
      <c r="F186" s="254" t="s">
        <v>118</v>
      </c>
      <c r="G186" s="254" t="s">
        <v>352</v>
      </c>
      <c r="H186" s="255"/>
      <c r="I186" s="255"/>
      <c r="J186" s="254" t="s">
        <v>352</v>
      </c>
      <c r="K186" s="254" t="s">
        <v>353</v>
      </c>
      <c r="L186" s="254" t="s">
        <v>354</v>
      </c>
      <c r="M186" s="254" t="s">
        <v>355</v>
      </c>
      <c r="N186" s="254" t="s">
        <v>1459</v>
      </c>
      <c r="O186" s="256">
        <v>45841.67013888889</v>
      </c>
      <c r="P186" s="256" t="str">
        <f>IFERROR(__xludf.DUMMYFUNCTION("IFERROR(
  TEXT(
    DATE(
      INDEX(SPLIT(O186,"" ""),3),
      VLOOKUP(INDEX(SPLIT(O186,"" ""),1),{""jan."",1;""Feb"",2;""mar."",3;""Apr"",4;""May"",5;""jun."",6;""jul."",7;""Aug"",8;""sep"",9;""Oct"",10;""nov."",11;""Dec"",12},2,FALSE),
      INDEX(S"&amp;"PLIT(O186,"" ""),2)
    ),
    ""dd/mm/yyyy""
  ),
"""")"),"03/07/2025")</f>
        <v>03/07/2025</v>
      </c>
      <c r="Q186" s="254"/>
      <c r="R186" s="256"/>
      <c r="S186" s="254"/>
      <c r="T186" s="255"/>
    </row>
    <row r="187">
      <c r="A187" s="253" t="s">
        <v>1460</v>
      </c>
      <c r="B187" s="253" t="s">
        <v>1461</v>
      </c>
      <c r="C187" s="257"/>
      <c r="D187" s="257"/>
      <c r="E187" s="255"/>
      <c r="F187" s="254" t="s">
        <v>118</v>
      </c>
      <c r="G187" s="254" t="s">
        <v>352</v>
      </c>
      <c r="H187" s="255"/>
      <c r="I187" s="255"/>
      <c r="J187" s="254" t="s">
        <v>352</v>
      </c>
      <c r="K187" s="254" t="s">
        <v>353</v>
      </c>
      <c r="L187" s="254" t="s">
        <v>354</v>
      </c>
      <c r="M187" s="254" t="s">
        <v>355</v>
      </c>
      <c r="N187" s="254" t="s">
        <v>1462</v>
      </c>
      <c r="O187" s="254" t="s">
        <v>1463</v>
      </c>
      <c r="P187" s="256" t="str">
        <f>IFERROR(__xludf.DUMMYFUNCTION("IFERROR(
  TEXT(
    DATE(
      INDEX(SPLIT(O187,"" ""),3),
      VLOOKUP(INDEX(SPLIT(O187,"" ""),1),{""jan."",1;""Feb"",2;""mar."",3;""Apr"",4;""May"",5;""jun."",6;""jul."",7;""Aug"",8;""sep"",9;""Oct"",10;""nov."",11;""Dec"",12},2,FALSE),
      INDEX(S"&amp;"PLIT(O187,"" ""),2)
    ),
    ""dd/mm/yyyy""
  ),
"""")"),"08/05/2025")</f>
        <v>08/05/2025</v>
      </c>
      <c r="Q187" s="254"/>
      <c r="R187" s="254"/>
      <c r="S187" s="254"/>
      <c r="T187" s="255"/>
    </row>
    <row r="188">
      <c r="A188" s="253" t="s">
        <v>1464</v>
      </c>
      <c r="B188" s="253" t="s">
        <v>1465</v>
      </c>
      <c r="C188" s="257"/>
      <c r="D188" s="257"/>
      <c r="E188" s="255"/>
      <c r="F188" s="254" t="s">
        <v>118</v>
      </c>
      <c r="G188" s="254" t="s">
        <v>352</v>
      </c>
      <c r="H188" s="255"/>
      <c r="I188" s="255"/>
      <c r="J188" s="254" t="s">
        <v>352</v>
      </c>
      <c r="K188" s="254" t="s">
        <v>353</v>
      </c>
      <c r="L188" s="254" t="s">
        <v>354</v>
      </c>
      <c r="M188" s="254" t="s">
        <v>355</v>
      </c>
      <c r="N188" s="254" t="s">
        <v>787</v>
      </c>
      <c r="O188" s="254" t="s">
        <v>1463</v>
      </c>
      <c r="P188" s="256" t="str">
        <f>IFERROR(__xludf.DUMMYFUNCTION("IFERROR(
  TEXT(
    DATE(
      INDEX(SPLIT(O188,"" ""),3),
      VLOOKUP(INDEX(SPLIT(O188,"" ""),1),{""jan."",1;""Feb"",2;""mar."",3;""Apr"",4;""May"",5;""jun."",6;""jul."",7;""Aug"",8;""sep"",9;""Oct"",10;""nov."",11;""Dec"",12},2,FALSE),
      INDEX(S"&amp;"PLIT(O188,"" ""),2)
    ),
    ""dd/mm/yyyy""
  ),
"""")"),"08/05/2025")</f>
        <v>08/05/2025</v>
      </c>
      <c r="Q188" s="254"/>
      <c r="R188" s="254"/>
      <c r="S188" s="254"/>
      <c r="T188" s="255"/>
    </row>
    <row r="189">
      <c r="A189" s="253" t="s">
        <v>1466</v>
      </c>
      <c r="B189" s="253" t="s">
        <v>1467</v>
      </c>
      <c r="C189" s="257"/>
      <c r="D189" s="257"/>
      <c r="E189" s="255"/>
      <c r="F189" s="254" t="s">
        <v>118</v>
      </c>
      <c r="G189" s="254" t="s">
        <v>352</v>
      </c>
      <c r="H189" s="255"/>
      <c r="I189" s="255"/>
      <c r="J189" s="254" t="s">
        <v>352</v>
      </c>
      <c r="K189" s="254" t="s">
        <v>353</v>
      </c>
      <c r="L189" s="254" t="s">
        <v>354</v>
      </c>
      <c r="M189" s="254" t="s">
        <v>355</v>
      </c>
      <c r="N189" s="254" t="s">
        <v>1021</v>
      </c>
      <c r="O189" s="256">
        <v>45841.67013888889</v>
      </c>
      <c r="P189" s="256" t="str">
        <f>IFERROR(__xludf.DUMMYFUNCTION("IFERROR(
  TEXT(
    DATE(
      INDEX(SPLIT(O189,"" ""),3),
      VLOOKUP(INDEX(SPLIT(O189,"" ""),1),{""jan."",1;""Feb"",2;""mar."",3;""Apr"",4;""May"",5;""jun."",6;""jul."",7;""Aug"",8;""sep"",9;""Oct"",10;""nov."",11;""Dec"",12},2,FALSE),
      INDEX(S"&amp;"PLIT(O189,"" ""),2)
    ),
    ""dd/mm/yyyy""
  ),
"""")"),"03/07/2025")</f>
        <v>03/07/2025</v>
      </c>
      <c r="Q189" s="254"/>
      <c r="R189" s="254"/>
      <c r="S189" s="254"/>
      <c r="T189" s="255"/>
    </row>
    <row r="190">
      <c r="A190" s="253" t="s">
        <v>1468</v>
      </c>
      <c r="B190" s="253" t="s">
        <v>1469</v>
      </c>
      <c r="C190" s="257"/>
      <c r="D190" s="257"/>
      <c r="E190" s="255"/>
      <c r="F190" s="254" t="s">
        <v>118</v>
      </c>
      <c r="G190" s="254" t="s">
        <v>352</v>
      </c>
      <c r="H190" s="255"/>
      <c r="I190" s="255"/>
      <c r="J190" s="254" t="s">
        <v>352</v>
      </c>
      <c r="K190" s="254" t="s">
        <v>353</v>
      </c>
      <c r="L190" s="254" t="s">
        <v>354</v>
      </c>
      <c r="M190" s="254" t="s">
        <v>355</v>
      </c>
      <c r="N190" s="254" t="s">
        <v>787</v>
      </c>
      <c r="O190" s="254" t="s">
        <v>1442</v>
      </c>
      <c r="P190" s="256" t="str">
        <f>IFERROR(__xludf.DUMMYFUNCTION("IFERROR(
  TEXT(
    DATE(
      INDEX(SPLIT(O190,"" ""),3),
      VLOOKUP(INDEX(SPLIT(O190,"" ""),1),{""jan."",1;""Feb"",2;""mar."",3;""Apr"",4;""May"",5;""jun."",6;""jul."",7;""Aug"",8;""sep"",9;""Oct"",10;""nov."",11;""Dec"",12},2,FALSE),
      INDEX(S"&amp;"PLIT(O190,"" ""),2)
    ),
    ""dd/mm/yyyy""
  ),
"""")"),"19/02/2025")</f>
        <v>19/02/2025</v>
      </c>
      <c r="Q190" s="254"/>
      <c r="R190" s="254"/>
      <c r="S190" s="254"/>
      <c r="T190" s="255"/>
    </row>
    <row r="191">
      <c r="A191" s="253" t="s">
        <v>1470</v>
      </c>
      <c r="B191" s="253" t="s">
        <v>1471</v>
      </c>
      <c r="C191" s="257"/>
      <c r="D191" s="257"/>
      <c r="E191" s="255"/>
      <c r="F191" s="254" t="s">
        <v>118</v>
      </c>
      <c r="G191" s="254" t="s">
        <v>352</v>
      </c>
      <c r="H191" s="255"/>
      <c r="I191" s="255"/>
      <c r="J191" s="254" t="s">
        <v>352</v>
      </c>
      <c r="K191" s="254" t="s">
        <v>353</v>
      </c>
      <c r="L191" s="254" t="s">
        <v>354</v>
      </c>
      <c r="M191" s="254" t="s">
        <v>355</v>
      </c>
      <c r="N191" s="254" t="s">
        <v>1472</v>
      </c>
      <c r="O191" s="256">
        <v>45664.45</v>
      </c>
      <c r="P191" s="256" t="str">
        <f>IFERROR(__xludf.DUMMYFUNCTION("IFERROR(
  TEXT(
    DATE(
      INDEX(SPLIT(O191,"" ""),3),
      VLOOKUP(INDEX(SPLIT(O191,"" ""),1),{""jan."",1;""Feb"",2;""mar."",3;""Apr"",4;""May"",5;""jun."",6;""jul."",7;""Aug"",8;""sep"",9;""Oct"",10;""nov."",11;""Dec"",12},2,FALSE),
      INDEX(S"&amp;"PLIT(O191,"" ""),2)
    ),
    ""dd/mm/yyyy""
  ),
"""")"),"07/01/2025")</f>
        <v>07/01/2025</v>
      </c>
      <c r="Q191" s="254"/>
      <c r="R191" s="254"/>
      <c r="S191" s="254"/>
      <c r="T191" s="255"/>
    </row>
    <row r="192">
      <c r="A192" s="253" t="s">
        <v>1473</v>
      </c>
      <c r="B192" s="253" t="s">
        <v>1474</v>
      </c>
      <c r="C192" s="257"/>
      <c r="D192" s="257"/>
      <c r="E192" s="255"/>
      <c r="F192" s="254" t="s">
        <v>118</v>
      </c>
      <c r="G192" s="254" t="s">
        <v>352</v>
      </c>
      <c r="H192" s="255"/>
      <c r="I192" s="255"/>
      <c r="J192" s="254" t="s">
        <v>352</v>
      </c>
      <c r="K192" s="254" t="s">
        <v>353</v>
      </c>
      <c r="L192" s="254" t="s">
        <v>354</v>
      </c>
      <c r="M192" s="254" t="s">
        <v>355</v>
      </c>
      <c r="N192" s="254" t="s">
        <v>467</v>
      </c>
      <c r="O192" s="254" t="s">
        <v>1475</v>
      </c>
      <c r="P192" s="256" t="str">
        <f>IFERROR(__xludf.DUMMYFUNCTION("IFERROR(
  TEXT(
    DATE(
      INDEX(SPLIT(O192,"" ""),3),
      VLOOKUP(INDEX(SPLIT(O192,"" ""),1),{""jan."",1;""Feb"",2;""mar."",3;""Apr"",4;""May"",5;""jun."",6;""jul."",7;""Aug"",8;""sep"",9;""Oct"",10;""nov."",11;""Dec"",12},2,FALSE),
      INDEX(S"&amp;"PLIT(O192,"" ""),2)
    ),
    ""dd/mm/yyyy""
  ),
"""")"),"18/12/2024")</f>
        <v>18/12/2024</v>
      </c>
      <c r="Q192" s="254"/>
      <c r="R192" s="254"/>
      <c r="S192" s="254"/>
      <c r="T192" s="255"/>
    </row>
    <row r="193">
      <c r="A193" s="253" t="s">
        <v>1476</v>
      </c>
      <c r="B193" s="253" t="s">
        <v>1477</v>
      </c>
      <c r="C193" s="257"/>
      <c r="D193" s="257"/>
      <c r="E193" s="255"/>
      <c r="F193" s="254" t="s">
        <v>118</v>
      </c>
      <c r="G193" s="254" t="s">
        <v>352</v>
      </c>
      <c r="H193" s="255"/>
      <c r="I193" s="255"/>
      <c r="J193" s="254" t="s">
        <v>352</v>
      </c>
      <c r="K193" s="254" t="s">
        <v>353</v>
      </c>
      <c r="L193" s="254" t="s">
        <v>354</v>
      </c>
      <c r="M193" s="254" t="s">
        <v>355</v>
      </c>
      <c r="N193" s="254" t="s">
        <v>780</v>
      </c>
      <c r="O193" s="254" t="s">
        <v>1475</v>
      </c>
      <c r="P193" s="256" t="str">
        <f>IFERROR(__xludf.DUMMYFUNCTION("IFERROR(
  TEXT(
    DATE(
      INDEX(SPLIT(O193,"" ""),3),
      VLOOKUP(INDEX(SPLIT(O193,"" ""),1),{""jan."",1;""Feb"",2;""mar."",3;""Apr"",4;""May"",5;""jun."",6;""jul."",7;""Aug"",8;""sep"",9;""Oct"",10;""nov."",11;""Dec"",12},2,FALSE),
      INDEX(S"&amp;"PLIT(O193,"" ""),2)
    ),
    ""dd/mm/yyyy""
  ),
"""")"),"18/12/2024")</f>
        <v>18/12/2024</v>
      </c>
      <c r="Q193" s="254"/>
      <c r="R193" s="254"/>
      <c r="S193" s="254"/>
      <c r="T193" s="255"/>
    </row>
    <row r="194">
      <c r="A194" s="253" t="s">
        <v>1478</v>
      </c>
      <c r="B194" s="253" t="s">
        <v>1479</v>
      </c>
      <c r="C194" s="257"/>
      <c r="D194" s="257"/>
      <c r="E194" s="255"/>
      <c r="F194" s="254" t="s">
        <v>118</v>
      </c>
      <c r="G194" s="254" t="s">
        <v>352</v>
      </c>
      <c r="H194" s="255"/>
      <c r="I194" s="255"/>
      <c r="J194" s="254" t="s">
        <v>352</v>
      </c>
      <c r="K194" s="254" t="s">
        <v>353</v>
      </c>
      <c r="L194" s="254" t="s">
        <v>354</v>
      </c>
      <c r="M194" s="254" t="s">
        <v>355</v>
      </c>
      <c r="N194" s="254" t="s">
        <v>1480</v>
      </c>
      <c r="O194" s="256">
        <v>45664.44930555556</v>
      </c>
      <c r="P194" s="256" t="str">
        <f>IFERROR(__xludf.DUMMYFUNCTION("IFERROR(
  TEXT(
    DATE(
      INDEX(SPLIT(O194,"" ""),3),
      VLOOKUP(INDEX(SPLIT(O194,"" ""),1),{""jan."",1;""Feb"",2;""mar."",3;""Apr"",4;""May"",5;""jun."",6;""jul."",7;""Aug"",8;""sep"",9;""Oct"",10;""nov."",11;""Dec"",12},2,FALSE),
      INDEX(S"&amp;"PLIT(O194,"" ""),2)
    ),
    ""dd/mm/yyyy""
  ),
"""")"),"07/01/2025")</f>
        <v>07/01/2025</v>
      </c>
      <c r="Q194" s="254"/>
      <c r="R194" s="254"/>
      <c r="S194" s="254"/>
      <c r="T194" s="255"/>
    </row>
    <row r="195">
      <c r="A195" s="253" t="s">
        <v>1481</v>
      </c>
      <c r="B195" s="253" t="s">
        <v>1482</v>
      </c>
      <c r="C195" s="257"/>
      <c r="D195" s="257"/>
      <c r="E195" s="255"/>
      <c r="F195" s="254" t="s">
        <v>118</v>
      </c>
      <c r="G195" s="254" t="s">
        <v>352</v>
      </c>
      <c r="H195" s="255"/>
      <c r="I195" s="255"/>
      <c r="J195" s="254" t="s">
        <v>352</v>
      </c>
      <c r="K195" s="254" t="s">
        <v>353</v>
      </c>
      <c r="L195" s="254" t="s">
        <v>354</v>
      </c>
      <c r="M195" s="254" t="s">
        <v>355</v>
      </c>
      <c r="N195" s="254" t="s">
        <v>1483</v>
      </c>
      <c r="O195" s="256">
        <v>45664.44861111111</v>
      </c>
      <c r="P195" s="256" t="str">
        <f>IFERROR(__xludf.DUMMYFUNCTION("IFERROR(
  TEXT(
    DATE(
      INDEX(SPLIT(O195,"" ""),3),
      VLOOKUP(INDEX(SPLIT(O195,"" ""),1),{""jan."",1;""Feb"",2;""mar."",3;""Apr"",4;""May"",5;""jun."",6;""jul."",7;""Aug"",8;""sep"",9;""Oct"",10;""nov."",11;""Dec"",12},2,FALSE),
      INDEX(S"&amp;"PLIT(O195,"" ""),2)
    ),
    ""dd/mm/yyyy""
  ),
"""")"),"07/01/2025")</f>
        <v>07/01/2025</v>
      </c>
    </row>
    <row r="196">
      <c r="A196" s="253" t="s">
        <v>1484</v>
      </c>
      <c r="B196" s="253" t="s">
        <v>1485</v>
      </c>
      <c r="C196" s="257"/>
      <c r="D196" s="257"/>
      <c r="E196" s="255"/>
      <c r="F196" s="254" t="s">
        <v>118</v>
      </c>
      <c r="G196" s="254" t="s">
        <v>352</v>
      </c>
      <c r="H196" s="255"/>
      <c r="I196" s="255"/>
      <c r="J196" s="254" t="s">
        <v>352</v>
      </c>
      <c r="K196" s="254" t="s">
        <v>353</v>
      </c>
      <c r="L196" s="254" t="s">
        <v>354</v>
      </c>
      <c r="M196" s="254" t="s">
        <v>355</v>
      </c>
      <c r="N196" s="254" t="s">
        <v>1483</v>
      </c>
      <c r="O196" s="256">
        <v>45664.44861111111</v>
      </c>
      <c r="P196" s="256" t="str">
        <f>IFERROR(__xludf.DUMMYFUNCTION("IFERROR(
  TEXT(
    DATE(
      INDEX(SPLIT(O196,"" ""),3),
      VLOOKUP(INDEX(SPLIT(O196,"" ""),1),{""jan."",1;""Feb"",2;""mar."",3;""Apr"",4;""May"",5;""jun."",6;""jul."",7;""Aug"",8;""sep"",9;""Oct"",10;""nov."",11;""Dec"",12},2,FALSE),
      INDEX(S"&amp;"PLIT(O196,"" ""),2)
    ),
    ""dd/mm/yyyy""
  ),
"""")"),"07/01/2025")</f>
        <v>07/01/2025</v>
      </c>
    </row>
    <row r="197">
      <c r="A197" s="253" t="s">
        <v>1486</v>
      </c>
      <c r="B197" s="253" t="s">
        <v>1487</v>
      </c>
      <c r="C197" s="257"/>
      <c r="D197" s="257"/>
      <c r="E197" s="255"/>
      <c r="F197" s="254" t="s">
        <v>118</v>
      </c>
      <c r="G197" s="254" t="s">
        <v>352</v>
      </c>
      <c r="H197" s="255"/>
      <c r="I197" s="255"/>
      <c r="J197" s="254" t="s">
        <v>352</v>
      </c>
      <c r="K197" s="254" t="s">
        <v>353</v>
      </c>
      <c r="L197" s="254" t="s">
        <v>354</v>
      </c>
      <c r="M197" s="254" t="s">
        <v>355</v>
      </c>
      <c r="N197" s="254" t="s">
        <v>1488</v>
      </c>
      <c r="O197" s="256">
        <v>45664.44930555556</v>
      </c>
      <c r="P197" s="256" t="str">
        <f>IFERROR(__xludf.DUMMYFUNCTION("IFERROR(
  TEXT(
    DATE(
      INDEX(SPLIT(O197,"" ""),3),
      VLOOKUP(INDEX(SPLIT(O197,"" ""),1),{""jan."",1;""Feb"",2;""mar."",3;""Apr"",4;""May"",5;""jun."",6;""jul."",7;""Aug"",8;""sep"",9;""Oct"",10;""nov."",11;""Dec"",12},2,FALSE),
      INDEX(S"&amp;"PLIT(O197,"" ""),2)
    ),
    ""dd/mm/yyyy""
  ),
"""")"),"07/01/2025")</f>
        <v>07/01/2025</v>
      </c>
    </row>
    <row r="198">
      <c r="A198" s="253" t="s">
        <v>1489</v>
      </c>
      <c r="B198" s="253" t="s">
        <v>1490</v>
      </c>
      <c r="C198" s="257"/>
      <c r="D198" s="257"/>
      <c r="E198" s="255"/>
      <c r="F198" s="254" t="s">
        <v>118</v>
      </c>
      <c r="G198" s="254" t="s">
        <v>352</v>
      </c>
      <c r="H198" s="255"/>
      <c r="I198" s="255"/>
      <c r="J198" s="254" t="s">
        <v>352</v>
      </c>
      <c r="K198" s="254" t="s">
        <v>353</v>
      </c>
      <c r="L198" s="254" t="s">
        <v>354</v>
      </c>
      <c r="M198" s="254" t="s">
        <v>355</v>
      </c>
      <c r="N198" s="254" t="s">
        <v>1491</v>
      </c>
      <c r="O198" s="256">
        <v>45664.44930555556</v>
      </c>
      <c r="P198" s="256" t="str">
        <f>IFERROR(__xludf.DUMMYFUNCTION("IFERROR(
  TEXT(
    DATE(
      INDEX(SPLIT(O198,"" ""),3),
      VLOOKUP(INDEX(SPLIT(O198,"" ""),1),{""jan."",1;""Feb"",2;""mar."",3;""Apr"",4;""May"",5;""jun."",6;""jul."",7;""Aug"",8;""sep"",9;""Oct"",10;""nov."",11;""Dec"",12},2,FALSE),
      INDEX(S"&amp;"PLIT(O198,"" ""),2)
    ),
    ""dd/mm/yyyy""
  ),
"""")"),"07/01/2025")</f>
        <v>07/01/2025</v>
      </c>
    </row>
    <row r="199">
      <c r="A199" s="253" t="s">
        <v>1492</v>
      </c>
      <c r="B199" s="253" t="s">
        <v>1493</v>
      </c>
      <c r="C199" s="257"/>
      <c r="D199" s="257"/>
      <c r="E199" s="255"/>
      <c r="F199" s="254" t="s">
        <v>95</v>
      </c>
      <c r="G199" s="254" t="s">
        <v>352</v>
      </c>
      <c r="H199" s="255"/>
      <c r="I199" s="255"/>
      <c r="J199" s="254" t="s">
        <v>352</v>
      </c>
      <c r="K199" s="254" t="s">
        <v>353</v>
      </c>
      <c r="L199" s="254" t="s">
        <v>354</v>
      </c>
      <c r="M199" s="254" t="s">
        <v>355</v>
      </c>
      <c r="N199" s="254" t="s">
        <v>1494</v>
      </c>
      <c r="O199" s="254" t="s">
        <v>1475</v>
      </c>
      <c r="P199" s="256" t="str">
        <f>IFERROR(__xludf.DUMMYFUNCTION("IFERROR(
  TEXT(
    DATE(
      INDEX(SPLIT(O199,"" ""),3),
      VLOOKUP(INDEX(SPLIT(O199,"" ""),1),{""jan."",1;""Feb"",2;""mar."",3;""Apr"",4;""May"",5;""jun."",6;""jul."",7;""Aug"",8;""sep"",9;""Oct"",10;""nov."",11;""Dec"",12},2,FALSE),
      INDEX(S"&amp;"PLIT(O199,"" ""),2)
    ),
    ""dd/mm/yyyy""
  ),
"""")"),"18/12/2024")</f>
        <v>18/12/2024</v>
      </c>
    </row>
    <row r="200">
      <c r="A200" s="253" t="s">
        <v>1495</v>
      </c>
      <c r="B200" s="253" t="s">
        <v>1496</v>
      </c>
      <c r="C200" s="257"/>
      <c r="D200" s="257"/>
      <c r="E200" s="255"/>
      <c r="F200" s="254" t="s">
        <v>118</v>
      </c>
      <c r="G200" s="254" t="s">
        <v>352</v>
      </c>
      <c r="H200" s="255"/>
      <c r="I200" s="255"/>
      <c r="J200" s="254" t="s">
        <v>352</v>
      </c>
      <c r="K200" s="254" t="s">
        <v>353</v>
      </c>
      <c r="L200" s="254" t="s">
        <v>354</v>
      </c>
      <c r="M200" s="254" t="s">
        <v>355</v>
      </c>
      <c r="N200" s="254" t="s">
        <v>1497</v>
      </c>
      <c r="O200" s="254" t="s">
        <v>1475</v>
      </c>
      <c r="P200" s="256" t="str">
        <f>IFERROR(__xludf.DUMMYFUNCTION("IFERROR(
  TEXT(
    DATE(
      INDEX(SPLIT(O200,"" ""),3),
      VLOOKUP(INDEX(SPLIT(O200,"" ""),1),{""jan."",1;""Feb"",2;""mar."",3;""Apr"",4;""May"",5;""jun."",6;""jul."",7;""Aug"",8;""sep"",9;""Oct"",10;""nov."",11;""Dec"",12},2,FALSE),
      INDEX(S"&amp;"PLIT(O200,"" ""),2)
    ),
    ""dd/mm/yyyy""
  ),
"""")"),"18/12/2024")</f>
        <v>18/12/2024</v>
      </c>
    </row>
    <row r="201">
      <c r="A201" s="253" t="s">
        <v>1498</v>
      </c>
      <c r="B201" s="253" t="s">
        <v>1499</v>
      </c>
      <c r="C201" s="257"/>
      <c r="D201" s="257"/>
      <c r="E201" s="255"/>
      <c r="F201" s="254" t="s">
        <v>118</v>
      </c>
      <c r="G201" s="254" t="s">
        <v>352</v>
      </c>
      <c r="H201" s="255"/>
      <c r="I201" s="255"/>
      <c r="J201" s="254" t="s">
        <v>352</v>
      </c>
      <c r="K201" s="254" t="s">
        <v>353</v>
      </c>
      <c r="L201" s="254" t="s">
        <v>354</v>
      </c>
      <c r="M201" s="254" t="s">
        <v>355</v>
      </c>
      <c r="N201" s="254" t="s">
        <v>1500</v>
      </c>
      <c r="O201" s="254" t="s">
        <v>1475</v>
      </c>
      <c r="P201" s="256" t="str">
        <f>IFERROR(__xludf.DUMMYFUNCTION("IFERROR(
  TEXT(
    DATE(
      INDEX(SPLIT(O201,"" ""),3),
      VLOOKUP(INDEX(SPLIT(O201,"" ""),1),{""jan."",1;""Feb"",2;""mar."",3;""Apr"",4;""May"",5;""jun."",6;""jul."",7;""Aug"",8;""sep"",9;""Oct"",10;""nov."",11;""Dec"",12},2,FALSE),
      INDEX(S"&amp;"PLIT(O201,"" ""),2)
    ),
    ""dd/mm/yyyy""
  ),
"""")"),"18/12/2024")</f>
        <v>18/12/2024</v>
      </c>
    </row>
    <row r="202">
      <c r="A202" s="253" t="s">
        <v>1501</v>
      </c>
      <c r="B202" s="253" t="s">
        <v>1502</v>
      </c>
      <c r="C202" s="257"/>
      <c r="D202" s="257"/>
      <c r="E202" s="255"/>
      <c r="F202" s="254" t="s">
        <v>118</v>
      </c>
      <c r="G202" s="254" t="s">
        <v>352</v>
      </c>
      <c r="H202" s="255"/>
      <c r="I202" s="255"/>
      <c r="J202" s="254" t="s">
        <v>352</v>
      </c>
      <c r="K202" s="254" t="s">
        <v>353</v>
      </c>
      <c r="L202" s="254" t="s">
        <v>354</v>
      </c>
      <c r="M202" s="254" t="s">
        <v>355</v>
      </c>
      <c r="N202" s="254" t="s">
        <v>1269</v>
      </c>
      <c r="O202" s="254" t="s">
        <v>1475</v>
      </c>
      <c r="P202" s="256" t="str">
        <f>IFERROR(__xludf.DUMMYFUNCTION("IFERROR(
  TEXT(
    DATE(
      INDEX(SPLIT(O202,"" ""),3),
      VLOOKUP(INDEX(SPLIT(O202,"" ""),1),{""jan."",1;""Feb"",2;""mar."",3;""Apr"",4;""May"",5;""jun."",6;""jul."",7;""Aug"",8;""sep"",9;""Oct"",10;""nov."",11;""Dec"",12},2,FALSE),
      INDEX(S"&amp;"PLIT(O202,"" ""),2)
    ),
    ""dd/mm/yyyy""
  ),
"""")"),"18/12/2024")</f>
        <v>18/12/2024</v>
      </c>
    </row>
    <row r="203">
      <c r="A203" s="253" t="s">
        <v>1503</v>
      </c>
      <c r="B203" s="253" t="s">
        <v>1504</v>
      </c>
      <c r="C203" s="257"/>
      <c r="D203" s="257"/>
      <c r="E203" s="255"/>
      <c r="F203" s="254" t="s">
        <v>118</v>
      </c>
      <c r="G203" s="254" t="s">
        <v>352</v>
      </c>
      <c r="H203" s="255"/>
      <c r="I203" s="255"/>
      <c r="J203" s="254" t="s">
        <v>352</v>
      </c>
      <c r="K203" s="254" t="s">
        <v>353</v>
      </c>
      <c r="L203" s="254" t="s">
        <v>354</v>
      </c>
      <c r="M203" s="254" t="s">
        <v>355</v>
      </c>
      <c r="N203" s="254" t="s">
        <v>1244</v>
      </c>
      <c r="O203" s="254" t="s">
        <v>1475</v>
      </c>
      <c r="P203" s="256" t="str">
        <f>IFERROR(__xludf.DUMMYFUNCTION("IFERROR(
  TEXT(
    DATE(
      INDEX(SPLIT(O203,"" ""),3),
      VLOOKUP(INDEX(SPLIT(O203,"" ""),1),{""jan."",1;""Feb"",2;""mar."",3;""Apr"",4;""May"",5;""jun."",6;""jul."",7;""Aug"",8;""sep"",9;""Oct"",10;""nov."",11;""Dec"",12},2,FALSE),
      INDEX(S"&amp;"PLIT(O203,"" ""),2)
    ),
    ""dd/mm/yyyy""
  ),
"""")"),"18/12/2024")</f>
        <v>18/12/2024</v>
      </c>
    </row>
    <row r="204">
      <c r="A204" s="253" t="s">
        <v>1505</v>
      </c>
      <c r="B204" s="253" t="s">
        <v>1506</v>
      </c>
      <c r="C204" s="254" t="s">
        <v>900</v>
      </c>
      <c r="D204" s="254" t="s">
        <v>351</v>
      </c>
      <c r="E204" s="255"/>
      <c r="F204" s="254" t="s">
        <v>179</v>
      </c>
      <c r="G204" s="254" t="s">
        <v>352</v>
      </c>
      <c r="H204" s="255"/>
      <c r="I204" s="255"/>
      <c r="J204" s="254" t="s">
        <v>352</v>
      </c>
      <c r="K204" s="254" t="s">
        <v>353</v>
      </c>
      <c r="L204" s="254" t="s">
        <v>354</v>
      </c>
      <c r="M204" s="254" t="s">
        <v>355</v>
      </c>
      <c r="N204" s="254" t="s">
        <v>1507</v>
      </c>
      <c r="O204" s="256">
        <v>45965.61388888889</v>
      </c>
      <c r="P204" s="256" t="str">
        <f>IFERROR(__xludf.DUMMYFUNCTION("IFERROR(
  TEXT(
    DATE(
      INDEX(SPLIT(O204,"" ""),3),
      VLOOKUP(INDEX(SPLIT(O204,"" ""),1),{""jan."",1;""Feb"",2;""mar."",3;""Apr"",4;""May"",5;""jun."",6;""jul."",7;""Aug"",8;""sep"",9;""Oct"",10;""nov."",11;""Dec"",12},2,FALSE),
      INDEX(S"&amp;"PLIT(O204,"" ""),2)
    ),
    ""dd/mm/yyyy""
  ),
"""")"),"04/11/2025")</f>
        <v>04/11/2025</v>
      </c>
    </row>
    <row r="205">
      <c r="A205" s="253" t="s">
        <v>1508</v>
      </c>
      <c r="B205" s="253" t="s">
        <v>1509</v>
      </c>
      <c r="C205" s="254" t="s">
        <v>900</v>
      </c>
      <c r="D205" s="254" t="s">
        <v>351</v>
      </c>
      <c r="E205" s="255"/>
      <c r="F205" s="254" t="s">
        <v>192</v>
      </c>
      <c r="G205" s="254" t="s">
        <v>352</v>
      </c>
      <c r="H205" s="255"/>
      <c r="I205" s="255"/>
      <c r="J205" s="254" t="s">
        <v>352</v>
      </c>
      <c r="K205" s="254" t="s">
        <v>353</v>
      </c>
      <c r="L205" s="254" t="s">
        <v>354</v>
      </c>
      <c r="M205" s="254" t="s">
        <v>355</v>
      </c>
      <c r="N205" s="254" t="s">
        <v>1510</v>
      </c>
      <c r="O205" s="256">
        <v>45973.62222222222</v>
      </c>
      <c r="P205" s="256" t="str">
        <f>IFERROR(__xludf.DUMMYFUNCTION("IFERROR(
  TEXT(
    DATE(
      INDEX(SPLIT(O205,"" ""),3),
      VLOOKUP(INDEX(SPLIT(O205,"" ""),1),{""jan."",1;""Feb"",2;""mar."",3;""Apr"",4;""May"",5;""jun."",6;""jul."",7;""Aug"",8;""sep"",9;""Oct"",10;""nov."",11;""Dec"",12},2,FALSE),
      INDEX(S"&amp;"PLIT(O205,"" ""),2)
    ),
    ""dd/mm/yyyy""
  ),
"""")"),"12/11/2025")</f>
        <v>12/11/2025</v>
      </c>
    </row>
    <row r="206">
      <c r="A206" s="253" t="s">
        <v>1511</v>
      </c>
      <c r="B206" s="253" t="s">
        <v>1512</v>
      </c>
      <c r="C206" s="254" t="s">
        <v>900</v>
      </c>
      <c r="D206" s="254" t="s">
        <v>351</v>
      </c>
      <c r="E206" s="255"/>
      <c r="F206" s="254" t="s">
        <v>179</v>
      </c>
      <c r="G206" s="254" t="s">
        <v>352</v>
      </c>
      <c r="H206" s="255"/>
      <c r="I206" s="255"/>
      <c r="J206" s="254" t="s">
        <v>352</v>
      </c>
      <c r="K206" s="254" t="s">
        <v>353</v>
      </c>
      <c r="L206" s="254" t="s">
        <v>354</v>
      </c>
      <c r="M206" s="254" t="s">
        <v>355</v>
      </c>
      <c r="N206" s="254" t="s">
        <v>1513</v>
      </c>
      <c r="O206" s="256">
        <v>45973.63125</v>
      </c>
      <c r="P206" s="256" t="str">
        <f>IFERROR(__xludf.DUMMYFUNCTION("IFERROR(
  TEXT(
    DATE(
      INDEX(SPLIT(O206,"" ""),3),
      VLOOKUP(INDEX(SPLIT(O206,"" ""),1),{""jan."",1;""Feb"",2;""mar."",3;""Apr"",4;""May"",5;""jun."",6;""jul."",7;""Aug"",8;""sep"",9;""Oct"",10;""nov."",11;""Dec"",12},2,FALSE),
      INDEX(S"&amp;"PLIT(O206,"" ""),2)
    ),
    ""dd/mm/yyyy""
  ),
"""")"),"12/11/2025")</f>
        <v>12/11/2025</v>
      </c>
    </row>
    <row r="207">
      <c r="A207" s="253" t="s">
        <v>1514</v>
      </c>
      <c r="B207" s="253" t="s">
        <v>1515</v>
      </c>
      <c r="C207" s="254" t="s">
        <v>900</v>
      </c>
      <c r="D207" s="254" t="s">
        <v>351</v>
      </c>
      <c r="E207" s="255"/>
      <c r="F207" s="254" t="s">
        <v>179</v>
      </c>
      <c r="G207" s="254" t="s">
        <v>352</v>
      </c>
      <c r="H207" s="255"/>
      <c r="I207" s="255"/>
      <c r="J207" s="254" t="s">
        <v>352</v>
      </c>
      <c r="K207" s="254" t="s">
        <v>353</v>
      </c>
      <c r="L207" s="254" t="s">
        <v>354</v>
      </c>
      <c r="M207" s="254" t="s">
        <v>355</v>
      </c>
      <c r="N207" s="254" t="s">
        <v>1516</v>
      </c>
      <c r="O207" s="256">
        <v>45973.62847222222</v>
      </c>
      <c r="P207" s="256" t="str">
        <f>IFERROR(__xludf.DUMMYFUNCTION("IFERROR(
  TEXT(
    DATE(
      INDEX(SPLIT(O207,"" ""),3),
      VLOOKUP(INDEX(SPLIT(O207,"" ""),1),{""jan."",1;""Feb"",2;""mar."",3;""Apr"",4;""May"",5;""jun."",6;""jul."",7;""Aug"",8;""sep"",9;""Oct"",10;""nov."",11;""Dec"",12},2,FALSE),
      INDEX(S"&amp;"PLIT(O207,"" ""),2)
    ),
    ""dd/mm/yyyy""
  ),
"""")"),"12/11/2025")</f>
        <v>12/11/2025</v>
      </c>
    </row>
    <row r="208">
      <c r="A208" s="253" t="s">
        <v>1517</v>
      </c>
      <c r="B208" s="253" t="s">
        <v>1518</v>
      </c>
      <c r="C208" s="254" t="s">
        <v>900</v>
      </c>
      <c r="D208" s="254" t="s">
        <v>351</v>
      </c>
      <c r="E208" s="255"/>
      <c r="F208" s="254" t="s">
        <v>192</v>
      </c>
      <c r="G208" s="254" t="s">
        <v>352</v>
      </c>
      <c r="H208" s="255"/>
      <c r="I208" s="255"/>
      <c r="J208" s="254" t="s">
        <v>352</v>
      </c>
      <c r="K208" s="254" t="s">
        <v>353</v>
      </c>
      <c r="L208" s="254" t="s">
        <v>354</v>
      </c>
      <c r="M208" s="254" t="s">
        <v>355</v>
      </c>
      <c r="N208" s="254" t="s">
        <v>1519</v>
      </c>
      <c r="O208" s="254" t="s">
        <v>1520</v>
      </c>
      <c r="P208" s="256" t="str">
        <f>IFERROR(__xludf.DUMMYFUNCTION("IFERROR(
  TEXT(
    DATE(
      INDEX(SPLIT(O208,"" ""),3),
      VLOOKUP(INDEX(SPLIT(O208,"" ""),1),{""jan."",1;""Feb"",2;""mar."",3;""Apr"",4;""May"",5;""jun."",6;""jul."",7;""Aug"",8;""sep"",9;""Oct"",10;""nov."",11;""Dec"",12},2,FALSE),
      INDEX(S"&amp;"PLIT(O208,"" ""),2)
    ),
    ""dd/mm/yyyy""
  ),
"""")"),"17/12/2025")</f>
        <v>17/12/2025</v>
      </c>
    </row>
    <row r="209">
      <c r="A209" s="253" t="s">
        <v>1521</v>
      </c>
      <c r="B209" s="253" t="s">
        <v>1522</v>
      </c>
      <c r="C209" s="254" t="s">
        <v>900</v>
      </c>
      <c r="D209" s="254" t="s">
        <v>351</v>
      </c>
      <c r="E209" s="255"/>
      <c r="F209" s="254" t="s">
        <v>179</v>
      </c>
      <c r="G209" s="254" t="s">
        <v>352</v>
      </c>
      <c r="H209" s="255"/>
      <c r="I209" s="255"/>
      <c r="J209" s="254" t="s">
        <v>352</v>
      </c>
      <c r="K209" s="254" t="s">
        <v>353</v>
      </c>
      <c r="L209" s="254" t="s">
        <v>354</v>
      </c>
      <c r="M209" s="254" t="s">
        <v>355</v>
      </c>
      <c r="N209" s="254" t="s">
        <v>1523</v>
      </c>
      <c r="O209" s="256">
        <v>45973.63402777778</v>
      </c>
      <c r="P209" s="256" t="str">
        <f>IFERROR(__xludf.DUMMYFUNCTION("IFERROR(
  TEXT(
    DATE(
      INDEX(SPLIT(O209,"" ""),3),
      VLOOKUP(INDEX(SPLIT(O209,"" ""),1),{""jan."",1;""Feb"",2;""mar."",3;""Apr"",4;""May"",5;""jun."",6;""jul."",7;""Aug"",8;""sep"",9;""Oct"",10;""nov."",11;""Dec"",12},2,FALSE),
      INDEX(S"&amp;"PLIT(O209,"" ""),2)
    ),
    ""dd/mm/yyyy""
  ),
"""")"),"12/11/2025")</f>
        <v>12/11/2025</v>
      </c>
    </row>
    <row r="210">
      <c r="A210" s="253" t="s">
        <v>1524</v>
      </c>
      <c r="B210" s="253" t="s">
        <v>1525</v>
      </c>
      <c r="C210" s="254" t="s">
        <v>900</v>
      </c>
      <c r="D210" s="254" t="s">
        <v>351</v>
      </c>
      <c r="E210" s="255"/>
      <c r="F210" s="254" t="s">
        <v>192</v>
      </c>
      <c r="G210" s="254" t="s">
        <v>352</v>
      </c>
      <c r="H210" s="255"/>
      <c r="I210" s="255"/>
      <c r="J210" s="254" t="s">
        <v>352</v>
      </c>
      <c r="K210" s="254" t="s">
        <v>353</v>
      </c>
      <c r="L210" s="254" t="s">
        <v>354</v>
      </c>
      <c r="M210" s="254" t="s">
        <v>355</v>
      </c>
      <c r="N210" s="254" t="s">
        <v>1526</v>
      </c>
      <c r="O210" s="256">
        <v>45965.60972222222</v>
      </c>
      <c r="P210" s="256" t="str">
        <f>IFERROR(__xludf.DUMMYFUNCTION("IFERROR(
  TEXT(
    DATE(
      INDEX(SPLIT(O210,"" ""),3),
      VLOOKUP(INDEX(SPLIT(O210,"" ""),1),{""jan."",1;""Feb"",2;""mar."",3;""Apr"",4;""May"",5;""jun."",6;""jul."",7;""Aug"",8;""sep"",9;""Oct"",10;""nov."",11;""Dec"",12},2,FALSE),
      INDEX(S"&amp;"PLIT(O210,"" ""),2)
    ),
    ""dd/mm/yyyy""
  ),
"""")"),"04/11/2025")</f>
        <v>04/11/2025</v>
      </c>
    </row>
    <row r="211">
      <c r="A211" s="253" t="s">
        <v>1527</v>
      </c>
      <c r="B211" s="253" t="s">
        <v>1528</v>
      </c>
      <c r="C211" s="254" t="s">
        <v>900</v>
      </c>
      <c r="D211" s="254" t="s">
        <v>351</v>
      </c>
      <c r="E211" s="255"/>
      <c r="F211" s="254" t="s">
        <v>170</v>
      </c>
      <c r="G211" s="254" t="s">
        <v>352</v>
      </c>
      <c r="H211" s="255"/>
      <c r="I211" s="255"/>
      <c r="J211" s="254" t="s">
        <v>352</v>
      </c>
      <c r="K211" s="254" t="s">
        <v>353</v>
      </c>
      <c r="L211" s="254" t="s">
        <v>354</v>
      </c>
      <c r="M211" s="254" t="s">
        <v>355</v>
      </c>
      <c r="N211" s="254" t="s">
        <v>1529</v>
      </c>
      <c r="O211" s="256">
        <v>45965.61111111111</v>
      </c>
      <c r="P211" s="256" t="str">
        <f>IFERROR(__xludf.DUMMYFUNCTION("IFERROR(
  TEXT(
    DATE(
      INDEX(SPLIT(O211,"" ""),3),
      VLOOKUP(INDEX(SPLIT(O211,"" ""),1),{""jan."",1;""Feb"",2;""mar."",3;""Apr"",4;""May"",5;""jun."",6;""jul."",7;""Aug"",8;""sep"",9;""Oct"",10;""nov."",11;""Dec"",12},2,FALSE),
      INDEX(S"&amp;"PLIT(O211,"" ""),2)
    ),
    ""dd/mm/yyyy""
  ),
"""")"),"04/11/2025")</f>
        <v>04/11/2025</v>
      </c>
    </row>
    <row r="212">
      <c r="A212" s="253" t="s">
        <v>1530</v>
      </c>
      <c r="B212" s="253" t="s">
        <v>1531</v>
      </c>
      <c r="C212" s="254" t="s">
        <v>900</v>
      </c>
      <c r="D212" s="254" t="s">
        <v>351</v>
      </c>
      <c r="E212" s="255"/>
      <c r="F212" s="254" t="s">
        <v>238</v>
      </c>
      <c r="G212" s="254" t="s">
        <v>352</v>
      </c>
      <c r="H212" s="255"/>
      <c r="I212" s="255"/>
      <c r="J212" s="254" t="s">
        <v>352</v>
      </c>
      <c r="K212" s="254" t="s">
        <v>353</v>
      </c>
      <c r="L212" s="254" t="s">
        <v>354</v>
      </c>
      <c r="M212" s="254" t="s">
        <v>355</v>
      </c>
      <c r="N212" s="254" t="s">
        <v>1532</v>
      </c>
      <c r="O212" s="254" t="s">
        <v>1533</v>
      </c>
      <c r="P212" s="256" t="str">
        <f>IFERROR(__xludf.DUMMYFUNCTION("IFERROR(
  TEXT(
    DATE(
      INDEX(SPLIT(O212,"" ""),3),
      VLOOKUP(INDEX(SPLIT(O212,"" ""),1),{""jan."",1;""Feb"",2;""mar."",3;""Apr"",4;""May"",5;""jun."",6;""jul."",7;""Aug"",8;""sep"",9;""Oct"",10;""nov."",11;""Dec"",12},2,FALSE),
      INDEX(S"&amp;"PLIT(O212,"" ""),2)
    ),
    ""dd/mm/yyyy""
  ),
"""")"),"13/02/2026")</f>
        <v>13/02/2026</v>
      </c>
    </row>
    <row r="213">
      <c r="A213" s="253" t="s">
        <v>1534</v>
      </c>
      <c r="B213" s="253" t="s">
        <v>1535</v>
      </c>
      <c r="C213" s="257"/>
      <c r="D213" s="257"/>
      <c r="E213" s="255"/>
      <c r="F213" s="254" t="s">
        <v>238</v>
      </c>
      <c r="G213" s="254" t="s">
        <v>352</v>
      </c>
      <c r="H213" s="255"/>
      <c r="I213" s="255"/>
      <c r="J213" s="254" t="s">
        <v>352</v>
      </c>
      <c r="K213" s="254" t="s">
        <v>353</v>
      </c>
      <c r="L213" s="254" t="s">
        <v>354</v>
      </c>
      <c r="M213" s="254" t="s">
        <v>355</v>
      </c>
      <c r="N213" s="254" t="s">
        <v>1536</v>
      </c>
      <c r="O213" s="254" t="s">
        <v>1537</v>
      </c>
      <c r="P213" s="256" t="str">
        <f>IFERROR(__xludf.DUMMYFUNCTION("IFERROR(
  TEXT(
    DATE(
      INDEX(SPLIT(O213,"" ""),3),
      VLOOKUP(INDEX(SPLIT(O213,"" ""),1),{""jan."",1;""Feb"",2;""mar."",3;""Apr"",4;""May"",5;""jun."",6;""jul."",7;""Aug"",8;""sep"",9;""Oct"",10;""nov."",11;""Dec"",12},2,FALSE),
      INDEX(S"&amp;"PLIT(O213,"" ""),2)
    ),
    ""dd/mm/yyyy""
  ),
"""")"),"22/04/2026")</f>
        <v>22/04/2026</v>
      </c>
    </row>
    <row r="214">
      <c r="A214" s="253" t="s">
        <v>1538</v>
      </c>
      <c r="B214" s="253" t="s">
        <v>1539</v>
      </c>
      <c r="C214" s="257"/>
      <c r="D214" s="257"/>
      <c r="E214" s="255"/>
      <c r="F214" s="254" t="s">
        <v>196</v>
      </c>
      <c r="G214" s="254" t="s">
        <v>352</v>
      </c>
      <c r="H214" s="255"/>
      <c r="I214" s="255"/>
      <c r="J214" s="254" t="s">
        <v>352</v>
      </c>
      <c r="K214" s="254" t="s">
        <v>353</v>
      </c>
      <c r="L214" s="254" t="s">
        <v>354</v>
      </c>
      <c r="M214" s="254" t="s">
        <v>355</v>
      </c>
      <c r="N214" s="254" t="s">
        <v>1540</v>
      </c>
      <c r="O214" s="254" t="s">
        <v>1541</v>
      </c>
      <c r="P214" s="256" t="str">
        <f>IFERROR(__xludf.DUMMYFUNCTION("IFERROR(
  TEXT(
    DATE(
      INDEX(SPLIT(O214,"" ""),3),
      VLOOKUP(INDEX(SPLIT(O214,"" ""),1),{""jan."",1;""Feb"",2;""mar."",3;""Apr"",4;""May"",5;""jun."",6;""jul."",7;""Aug"",8;""sep"",9;""Oct"",10;""nov."",11;""Dec"",12},2,FALSE),
      INDEX(S"&amp;"PLIT(O214,"" ""),2)
    ),
    ""dd/mm/yyyy""
  ),
"""")"),"12/05/2026")</f>
        <v>12/05/2026</v>
      </c>
    </row>
    <row r="215">
      <c r="A215" s="253" t="s">
        <v>1542</v>
      </c>
      <c r="B215" s="253" t="s">
        <v>1543</v>
      </c>
      <c r="C215" s="257"/>
      <c r="D215" s="257"/>
      <c r="E215" s="255"/>
      <c r="F215" s="254" t="s">
        <v>204</v>
      </c>
      <c r="G215" s="254" t="s">
        <v>352</v>
      </c>
      <c r="H215" s="255"/>
      <c r="I215" s="255"/>
      <c r="J215" s="254" t="s">
        <v>352</v>
      </c>
      <c r="K215" s="254" t="s">
        <v>353</v>
      </c>
      <c r="L215" s="254" t="s">
        <v>354</v>
      </c>
      <c r="M215" s="254" t="s">
        <v>355</v>
      </c>
      <c r="N215" s="254" t="s">
        <v>1544</v>
      </c>
      <c r="O215" s="254" t="s">
        <v>1545</v>
      </c>
      <c r="P215" s="256" t="str">
        <f>IFERROR(__xludf.DUMMYFUNCTION("IFERROR(
  TEXT(
    DATE(
      INDEX(SPLIT(O215,"" ""),3),
      VLOOKUP(INDEX(SPLIT(O215,"" ""),1),{""jan."",1;""Feb"",2;""mar."",3;""Apr"",4;""May"",5;""jun."",6;""jul."",7;""Aug"",8;""sep"",9;""Oct"",10;""nov."",11;""Dec"",12},2,FALSE),
      INDEX(S"&amp;"PLIT(O215,"" ""),2)
    ),
    ""dd/mm/yyyy""
  ),
"""")"),"28/04/2026")</f>
        <v>28/04/2026</v>
      </c>
    </row>
    <row r="216">
      <c r="A216" s="253" t="s">
        <v>1546</v>
      </c>
      <c r="B216" s="253" t="s">
        <v>1547</v>
      </c>
      <c r="C216" s="257"/>
      <c r="D216" s="257"/>
      <c r="E216" s="255"/>
      <c r="F216" s="254" t="s">
        <v>996</v>
      </c>
      <c r="G216" s="254" t="s">
        <v>352</v>
      </c>
      <c r="H216" s="255"/>
      <c r="I216" s="255"/>
      <c r="J216" s="254" t="s">
        <v>352</v>
      </c>
      <c r="K216" s="254" t="s">
        <v>353</v>
      </c>
      <c r="L216" s="254" t="s">
        <v>354</v>
      </c>
      <c r="M216" s="254" t="s">
        <v>355</v>
      </c>
      <c r="N216" s="254" t="s">
        <v>629</v>
      </c>
      <c r="O216" s="254" t="s">
        <v>1541</v>
      </c>
      <c r="P216" s="256" t="str">
        <f>IFERROR(__xludf.DUMMYFUNCTION("IFERROR(
  TEXT(
    DATE(
      INDEX(SPLIT(O216,"" ""),3),
      VLOOKUP(INDEX(SPLIT(O216,"" ""),1),{""jan."",1;""Feb"",2;""mar."",3;""Apr"",4;""May"",5;""jun."",6;""jul."",7;""Aug"",8;""sep"",9;""Oct"",10;""nov."",11;""Dec"",12},2,FALSE),
      INDEX(S"&amp;"PLIT(O216,"" ""),2)
    ),
    ""dd/mm/yyyy""
  ),
"""")"),"12/05/2026")</f>
        <v>12/05/2026</v>
      </c>
    </row>
    <row r="217">
      <c r="A217" s="253" t="s">
        <v>1548</v>
      </c>
      <c r="B217" s="253" t="s">
        <v>1549</v>
      </c>
      <c r="C217" s="257"/>
      <c r="D217" s="257"/>
      <c r="E217" s="255"/>
      <c r="F217" s="254" t="s">
        <v>118</v>
      </c>
      <c r="G217" s="254" t="s">
        <v>352</v>
      </c>
      <c r="H217" s="255"/>
      <c r="I217" s="255"/>
      <c r="J217" s="254" t="s">
        <v>352</v>
      </c>
      <c r="K217" s="254" t="s">
        <v>353</v>
      </c>
      <c r="L217" s="254" t="s">
        <v>354</v>
      </c>
      <c r="M217" s="254" t="s">
        <v>355</v>
      </c>
      <c r="N217" s="254" t="s">
        <v>1550</v>
      </c>
      <c r="O217" s="254" t="s">
        <v>1551</v>
      </c>
      <c r="P217" s="256" t="str">
        <f>IFERROR(__xludf.DUMMYFUNCTION("IFERROR(
  TEXT(
    DATE(
      INDEX(SPLIT(O217,"" ""),3),
      VLOOKUP(INDEX(SPLIT(O217,"" ""),1),{""jan."",1;""Feb"",2;""mar."",3;""Apr"",4;""May"",5;""jun."",6;""jul."",7;""Aug"",8;""sep"",9;""Oct"",10;""nov."",11;""Dec"",12},2,FALSE),
      INDEX(S"&amp;"PLIT(O217,"" ""),2)
    ),
    ""dd/mm/yyyy""
  ),
"""")"),"05/05/2026")</f>
        <v>05/05/2026</v>
      </c>
    </row>
    <row r="218">
      <c r="A218" s="253" t="s">
        <v>1552</v>
      </c>
      <c r="B218" s="253" t="s">
        <v>1553</v>
      </c>
      <c r="C218" s="257"/>
      <c r="D218" s="257"/>
      <c r="E218" s="255"/>
      <c r="F218" s="254" t="s">
        <v>118</v>
      </c>
      <c r="G218" s="254" t="s">
        <v>352</v>
      </c>
      <c r="H218" s="255"/>
      <c r="I218" s="255"/>
      <c r="J218" s="254" t="s">
        <v>352</v>
      </c>
      <c r="K218" s="254" t="s">
        <v>353</v>
      </c>
      <c r="L218" s="254" t="s">
        <v>354</v>
      </c>
      <c r="M218" s="254" t="s">
        <v>355</v>
      </c>
      <c r="N218" s="254" t="s">
        <v>1554</v>
      </c>
      <c r="O218" s="254" t="s">
        <v>1555</v>
      </c>
      <c r="P218" s="256" t="str">
        <f>IFERROR(__xludf.DUMMYFUNCTION("IFERROR(
  TEXT(
    DATE(
      INDEX(SPLIT(O218,"" ""),3),
      VLOOKUP(INDEX(SPLIT(O218,"" ""),1),{""jan."",1;""Feb"",2;""mar."",3;""Apr"",4;""May"",5;""jun."",6;""jul."",7;""Aug"",8;""sep"",9;""Oct"",10;""nov."",11;""Dec"",12},2,FALSE),
      INDEX(S"&amp;"PLIT(O218,"" ""),2)
    ),
    ""dd/mm/yyyy""
  ),
"""")"),"05/05/2026")</f>
        <v>05/05/2026</v>
      </c>
    </row>
    <row r="219">
      <c r="A219" s="253" t="s">
        <v>1556</v>
      </c>
      <c r="B219" s="253" t="s">
        <v>1557</v>
      </c>
      <c r="C219" s="254" t="s">
        <v>900</v>
      </c>
      <c r="D219" s="254" t="s">
        <v>351</v>
      </c>
      <c r="E219" s="255"/>
      <c r="F219" s="254" t="s">
        <v>238</v>
      </c>
      <c r="G219" s="254" t="s">
        <v>352</v>
      </c>
      <c r="H219" s="255"/>
      <c r="I219" s="255"/>
      <c r="J219" s="254" t="s">
        <v>352</v>
      </c>
      <c r="K219" s="254" t="s">
        <v>353</v>
      </c>
      <c r="L219" s="254" t="s">
        <v>354</v>
      </c>
      <c r="M219" s="254" t="s">
        <v>355</v>
      </c>
      <c r="N219" s="254" t="s">
        <v>1558</v>
      </c>
      <c r="O219" s="254" t="s">
        <v>1559</v>
      </c>
      <c r="P219" s="256" t="str">
        <f>IFERROR(__xludf.DUMMYFUNCTION("IFERROR(
  TEXT(
    DATE(
      INDEX(SPLIT(O219,"" ""),3),
      VLOOKUP(INDEX(SPLIT(O219,"" ""),1),{""jan."",1;""Feb"",2;""mar."",3;""Apr"",4;""May"",5;""jun."",6;""jul."",7;""Aug"",8;""sep"",9;""Oct"",10;""nov."",11;""Dec"",12},2,FALSE),
      INDEX(S"&amp;"PLIT(O219,"" ""),2)
    ),
    ""dd/mm/yyyy""
  ),
"""")"),"22/04/2026")</f>
        <v>22/04/2026</v>
      </c>
    </row>
    <row r="220">
      <c r="A220" s="253" t="s">
        <v>1560</v>
      </c>
      <c r="B220" s="253" t="s">
        <v>1561</v>
      </c>
      <c r="C220" s="254" t="s">
        <v>900</v>
      </c>
      <c r="D220" s="254" t="s">
        <v>351</v>
      </c>
      <c r="E220" s="255"/>
      <c r="F220" s="254" t="s">
        <v>196</v>
      </c>
      <c r="G220" s="254" t="s">
        <v>352</v>
      </c>
      <c r="H220" s="255"/>
      <c r="I220" s="255"/>
      <c r="J220" s="254" t="s">
        <v>352</v>
      </c>
      <c r="K220" s="254" t="s">
        <v>353</v>
      </c>
      <c r="L220" s="254" t="s">
        <v>354</v>
      </c>
      <c r="M220" s="254" t="s">
        <v>355</v>
      </c>
      <c r="N220" s="254" t="s">
        <v>561</v>
      </c>
      <c r="O220" s="254" t="s">
        <v>1562</v>
      </c>
      <c r="P220" s="256" t="str">
        <f>IFERROR(__xludf.DUMMYFUNCTION("IFERROR(
  TEXT(
    DATE(
      INDEX(SPLIT(O220,"" ""),3),
      VLOOKUP(INDEX(SPLIT(O220,"" ""),1),{""jan."",1;""Feb"",2;""mar."",3;""Apr"",4;""May"",5;""jun."",6;""jul."",7;""Aug"",8;""sep"",9;""Oct"",10;""nov."",11;""Dec"",12},2,FALSE),
      INDEX(S"&amp;"PLIT(O220,"" ""),2)
    ),
    ""dd/mm/yyyy""
  ),
"""")"),"12/05/2026")</f>
        <v>12/05/2026</v>
      </c>
    </row>
    <row r="221">
      <c r="A221" s="253" t="s">
        <v>1563</v>
      </c>
      <c r="B221" s="253" t="s">
        <v>1564</v>
      </c>
      <c r="C221" s="254" t="s">
        <v>900</v>
      </c>
      <c r="D221" s="254" t="s">
        <v>351</v>
      </c>
      <c r="E221" s="255"/>
      <c r="F221" s="254" t="s">
        <v>204</v>
      </c>
      <c r="G221" s="254" t="s">
        <v>352</v>
      </c>
      <c r="H221" s="255"/>
      <c r="I221" s="255"/>
      <c r="J221" s="254" t="s">
        <v>352</v>
      </c>
      <c r="K221" s="254" t="s">
        <v>353</v>
      </c>
      <c r="L221" s="254" t="s">
        <v>354</v>
      </c>
      <c r="M221" s="254" t="s">
        <v>355</v>
      </c>
      <c r="N221" s="254" t="s">
        <v>427</v>
      </c>
      <c r="O221" s="254" t="s">
        <v>1565</v>
      </c>
      <c r="P221" s="256" t="str">
        <f>IFERROR(__xludf.DUMMYFUNCTION("IFERROR(
  TEXT(
    DATE(
      INDEX(SPLIT(O221,"" ""),3),
      VLOOKUP(INDEX(SPLIT(O221,"" ""),1),{""jan."",1;""Feb"",2;""mar."",3;""Apr"",4;""May"",5;""jun."",6;""jul."",7;""Aug"",8;""sep"",9;""Oct"",10;""nov."",11;""Dec"",12},2,FALSE),
      INDEX(S"&amp;"PLIT(O221,"" ""),2)
    ),
    ""dd/mm/yyyy""
  ),
"""")"),"28/04/2026")</f>
        <v>28/04/2026</v>
      </c>
    </row>
    <row r="222">
      <c r="A222" s="253" t="s">
        <v>1566</v>
      </c>
      <c r="B222" s="253" t="s">
        <v>1567</v>
      </c>
      <c r="C222" s="254" t="s">
        <v>900</v>
      </c>
      <c r="D222" s="254" t="s">
        <v>351</v>
      </c>
      <c r="E222" s="255"/>
      <c r="F222" s="254" t="s">
        <v>996</v>
      </c>
      <c r="G222" s="254" t="s">
        <v>352</v>
      </c>
      <c r="H222" s="255"/>
      <c r="I222" s="255"/>
      <c r="J222" s="254" t="s">
        <v>352</v>
      </c>
      <c r="K222" s="254" t="s">
        <v>353</v>
      </c>
      <c r="L222" s="254" t="s">
        <v>354</v>
      </c>
      <c r="M222" s="254" t="s">
        <v>355</v>
      </c>
      <c r="N222" s="254" t="s">
        <v>1568</v>
      </c>
      <c r="O222" s="254" t="s">
        <v>1541</v>
      </c>
      <c r="P222" s="256" t="str">
        <f>IFERROR(__xludf.DUMMYFUNCTION("IFERROR(
  TEXT(
    DATE(
      INDEX(SPLIT(O222,"" ""),3),
      VLOOKUP(INDEX(SPLIT(O222,"" ""),1),{""jan."",1;""Feb"",2;""mar."",3;""Apr"",4;""May"",5;""jun."",6;""jul."",7;""Aug"",8;""sep"",9;""Oct"",10;""nov."",11;""Dec"",12},2,FALSE),
      INDEX(S"&amp;"PLIT(O222,"" ""),2)
    ),
    ""dd/mm/yyyy""
  ),
"""")"),"12/05/2026")</f>
        <v>12/05/2026</v>
      </c>
    </row>
    <row r="223">
      <c r="A223" s="253" t="s">
        <v>1569</v>
      </c>
      <c r="B223" s="253" t="s">
        <v>1570</v>
      </c>
      <c r="C223" s="254" t="s">
        <v>900</v>
      </c>
      <c r="D223" s="254" t="s">
        <v>351</v>
      </c>
      <c r="E223" s="255"/>
      <c r="F223" s="254" t="s">
        <v>118</v>
      </c>
      <c r="G223" s="254" t="s">
        <v>352</v>
      </c>
      <c r="H223" s="255"/>
      <c r="I223" s="255"/>
      <c r="J223" s="254" t="s">
        <v>352</v>
      </c>
      <c r="K223" s="254" t="s">
        <v>353</v>
      </c>
      <c r="L223" s="254" t="s">
        <v>354</v>
      </c>
      <c r="M223" s="254" t="s">
        <v>355</v>
      </c>
      <c r="N223" s="254" t="s">
        <v>1571</v>
      </c>
      <c r="O223" s="254" t="s">
        <v>1572</v>
      </c>
      <c r="P223" s="256" t="str">
        <f>IFERROR(__xludf.DUMMYFUNCTION("IFERROR(
  TEXT(
    DATE(
      INDEX(SPLIT(O223,"" ""),3),
      VLOOKUP(INDEX(SPLIT(O223,"" ""),1),{""jan."",1;""Feb"",2;""mar."",3;""Apr"",4;""May"",5;""jun."",6;""jul."",7;""Aug"",8;""sep"",9;""Oct"",10;""nov."",11;""Dec"",12},2,FALSE),
      INDEX(S"&amp;"PLIT(O223,"" ""),2)
    ),
    ""dd/mm/yyyy""
  ),
"""")"),"05/05/2026")</f>
        <v>05/05/2026</v>
      </c>
    </row>
    <row r="224">
      <c r="A224" s="253" t="s">
        <v>1573</v>
      </c>
      <c r="B224" s="253" t="s">
        <v>1574</v>
      </c>
      <c r="C224" s="254" t="s">
        <v>900</v>
      </c>
      <c r="D224" s="254" t="s">
        <v>351</v>
      </c>
      <c r="E224" s="255"/>
      <c r="F224" s="254" t="s">
        <v>118</v>
      </c>
      <c r="G224" s="254" t="s">
        <v>352</v>
      </c>
      <c r="H224" s="255"/>
      <c r="I224" s="255"/>
      <c r="J224" s="254" t="s">
        <v>352</v>
      </c>
      <c r="K224" s="254" t="s">
        <v>353</v>
      </c>
      <c r="L224" s="254" t="s">
        <v>354</v>
      </c>
      <c r="M224" s="254" t="s">
        <v>355</v>
      </c>
      <c r="N224" s="254" t="s">
        <v>1575</v>
      </c>
      <c r="O224" s="254" t="s">
        <v>1555</v>
      </c>
      <c r="P224" s="256" t="str">
        <f>IFERROR(__xludf.DUMMYFUNCTION("IFERROR(
  TEXT(
    DATE(
      INDEX(SPLIT(O224,"" ""),3),
      VLOOKUP(INDEX(SPLIT(O224,"" ""),1),{""jan."",1;""Feb"",2;""mar."",3;""Apr"",4;""May"",5;""jun."",6;""jul."",7;""Aug"",8;""sep"",9;""Oct"",10;""nov."",11;""Dec"",12},2,FALSE),
      INDEX(S"&amp;"PLIT(O224,"" ""),2)
    ),
    ""dd/mm/yyyy""
  ),
"""")"),"05/05/2026")</f>
        <v>05/05/2026</v>
      </c>
    </row>
    <row r="225">
      <c r="A225" s="258"/>
      <c r="B225" s="258"/>
      <c r="C225" s="257"/>
      <c r="D225" s="257"/>
      <c r="E225" s="255"/>
      <c r="F225" s="254"/>
      <c r="G225" s="254"/>
      <c r="H225" s="255"/>
      <c r="I225" s="255"/>
      <c r="J225" s="254"/>
      <c r="K225" s="254"/>
      <c r="L225" s="254"/>
      <c r="M225" s="254"/>
      <c r="N225" s="254"/>
      <c r="O225" s="254"/>
      <c r="P225" s="256" t="str">
        <f>IFERROR(__xludf.DUMMYFUNCTION("IFERROR(
  TEXT(
    DATE(
      INDEX(SPLIT(O225,"" ""),3),
      VLOOKUP(INDEX(SPLIT(O225,"" ""),1),{""jan."",1;""Feb"",2;""mar."",3;""Apr"",4;""May"",5;""jun."",6;""jul."",7;""Aug"",8;""sep"",9;""Oct"",10;""nov."",11;""Dec"",12},2,FALSE),
      INDEX(S"&amp;"PLIT(O225,"" ""),2)
    ),
    ""dd/mm/yyyy""
  ),
"""")"),"")</f>
        <v/>
      </c>
    </row>
    <row r="226">
      <c r="A226" s="258"/>
      <c r="B226" s="258"/>
      <c r="C226" s="254"/>
      <c r="D226" s="254"/>
      <c r="E226" s="255"/>
      <c r="F226" s="254"/>
      <c r="G226" s="254"/>
      <c r="H226" s="255"/>
      <c r="I226" s="255"/>
      <c r="J226" s="254"/>
      <c r="K226" s="254"/>
      <c r="L226" s="254"/>
      <c r="M226" s="254"/>
      <c r="N226" s="254"/>
      <c r="O226" s="254"/>
      <c r="P226" s="256" t="str">
        <f>IFERROR(__xludf.DUMMYFUNCTION("IFERROR(
  TEXT(
    DATE(
      INDEX(SPLIT(O226,"" ""),3),
      VLOOKUP(INDEX(SPLIT(O226,"" ""),1),{""jan."",1;""Feb"",2;""mar."",3;""Apr"",4;""May"",5;""jun."",6;""jul."",7;""Aug"",8;""sep"",9;""Oct"",10;""nov."",11;""Dec"",12},2,FALSE),
      INDEX(S"&amp;"PLIT(O226,"" ""),2)
    ),
    ""dd/mm/yyyy""
  ),
"""")"),"")</f>
        <v/>
      </c>
    </row>
    <row r="227">
      <c r="A227" s="258"/>
      <c r="B227" s="258"/>
      <c r="C227" s="257"/>
      <c r="D227" s="257"/>
      <c r="E227" s="255"/>
      <c r="F227" s="254"/>
      <c r="G227" s="254"/>
      <c r="H227" s="255"/>
      <c r="I227" s="255"/>
      <c r="J227" s="254"/>
      <c r="K227" s="254"/>
      <c r="L227" s="254"/>
      <c r="M227" s="254"/>
      <c r="N227" s="254"/>
      <c r="O227" s="254"/>
      <c r="P227" s="256" t="str">
        <f>IFERROR(__xludf.DUMMYFUNCTION("IFERROR(
  TEXT(
    DATE(
      INDEX(SPLIT(O227,"" ""),3),
      VLOOKUP(INDEX(SPLIT(O227,"" ""),1),{""jan."",1;""Feb"",2;""mar."",3;""Apr"",4;""May"",5;""jun."",6;""jul."",7;""Aug"",8;""sep"",9;""Oct"",10;""nov."",11;""Dec"",12},2,FALSE),
      INDEX(S"&amp;"PLIT(O227,"" ""),2)
    ),
    ""dd/mm/yyyy""
  ),
"""")"),"")</f>
        <v/>
      </c>
    </row>
    <row r="228">
      <c r="A228" s="258"/>
      <c r="B228" s="258"/>
      <c r="C228" s="257"/>
      <c r="D228" s="257"/>
      <c r="E228" s="255"/>
      <c r="F228" s="254"/>
      <c r="G228" s="254"/>
      <c r="H228" s="255"/>
      <c r="I228" s="255"/>
      <c r="J228" s="254"/>
      <c r="K228" s="254"/>
      <c r="L228" s="254"/>
      <c r="M228" s="254"/>
      <c r="N228" s="254"/>
      <c r="O228" s="254"/>
      <c r="P228" s="256" t="str">
        <f>IFERROR(__xludf.DUMMYFUNCTION("IFERROR(
  TEXT(
    DATE(
      INDEX(SPLIT(O228,"" ""),3),
      VLOOKUP(INDEX(SPLIT(O228,"" ""),1),{""jan."",1;""Feb"",2;""mar."",3;""Apr"",4;""May"",5;""jun."",6;""jul."",7;""Aug"",8;""sep"",9;""Oct"",10;""nov."",11;""Dec"",12},2,FALSE),
      INDEX(S"&amp;"PLIT(O228,"" ""),2)
    ),
    ""dd/mm/yyyy""
  ),
"""")"),"")</f>
        <v/>
      </c>
    </row>
    <row r="229">
      <c r="A229" s="258"/>
      <c r="B229" s="258"/>
      <c r="C229" s="257"/>
      <c r="D229" s="257"/>
      <c r="E229" s="255"/>
      <c r="F229" s="254"/>
      <c r="G229" s="254"/>
      <c r="H229" s="255"/>
      <c r="I229" s="255"/>
      <c r="J229" s="254"/>
      <c r="K229" s="254"/>
      <c r="L229" s="254"/>
      <c r="M229" s="254"/>
      <c r="N229" s="254"/>
      <c r="O229" s="254"/>
      <c r="P229" s="256" t="str">
        <f>IFERROR(__xludf.DUMMYFUNCTION("IFERROR(
  TEXT(
    DATE(
      INDEX(SPLIT(O229,"" ""),3),
      VLOOKUP(INDEX(SPLIT(O229,"" ""),1),{""jan."",1;""Feb"",2;""mar."",3;""Apr"",4;""May"",5;""jun."",6;""jul."",7;""Aug"",8;""sep"",9;""Oct"",10;""nov."",11;""Dec"",12},2,FALSE),
      INDEX(S"&amp;"PLIT(O229,"" ""),2)
    ),
    ""dd/mm/yyyy""
  ),
"""")"),"")</f>
        <v/>
      </c>
    </row>
    <row r="230">
      <c r="A230" s="258"/>
      <c r="B230" s="258"/>
      <c r="C230" s="257"/>
      <c r="D230" s="257"/>
      <c r="E230" s="255"/>
      <c r="F230" s="254"/>
      <c r="G230" s="254"/>
      <c r="H230" s="255"/>
      <c r="I230" s="255"/>
      <c r="J230" s="254"/>
      <c r="K230" s="254"/>
      <c r="L230" s="254"/>
      <c r="M230" s="254"/>
      <c r="N230" s="254"/>
      <c r="O230" s="254"/>
      <c r="P230" s="256" t="str">
        <f>IFERROR(__xludf.DUMMYFUNCTION("IFERROR(
  TEXT(
    DATE(
      INDEX(SPLIT(O230,"" ""),3),
      VLOOKUP(INDEX(SPLIT(O230,"" ""),1),{""jan."",1;""Feb"",2;""mar."",3;""Apr"",4;""May"",5;""jun."",6;""jul."",7;""Aug"",8;""sep"",9;""Oct"",10;""nov."",11;""Dec"",12},2,FALSE),
      INDEX(S"&amp;"PLIT(O230,"" ""),2)
    ),
    ""dd/mm/yyyy""
  ),
"""")"),"")</f>
        <v/>
      </c>
    </row>
    <row r="231">
      <c r="A231" s="258"/>
      <c r="B231" s="258"/>
      <c r="C231" s="257"/>
      <c r="D231" s="257"/>
      <c r="E231" s="255"/>
      <c r="F231" s="254"/>
      <c r="G231" s="254"/>
      <c r="H231" s="255"/>
      <c r="I231" s="255"/>
      <c r="J231" s="254"/>
      <c r="K231" s="254"/>
      <c r="L231" s="254"/>
      <c r="M231" s="254"/>
      <c r="N231" s="254"/>
      <c r="O231" s="254"/>
      <c r="P231" s="256" t="str">
        <f>IFERROR(__xludf.DUMMYFUNCTION("IFERROR(
  TEXT(
    DATE(
      INDEX(SPLIT(O231,"" ""),3),
      VLOOKUP(INDEX(SPLIT(O231,"" ""),1),{""jan."",1;""Feb"",2;""mar."",3;""Apr"",4;""May"",5;""jun."",6;""jul."",7;""Aug"",8;""sep"",9;""Oct"",10;""nov."",11;""Dec"",12},2,FALSE),
      INDEX(S"&amp;"PLIT(O231,"" ""),2)
    ),
    ""dd/mm/yyyy""
  ),
"""")"),"")</f>
        <v/>
      </c>
    </row>
    <row r="232">
      <c r="A232" s="258"/>
      <c r="B232" s="258"/>
      <c r="C232" s="257"/>
      <c r="D232" s="257"/>
      <c r="E232" s="255"/>
      <c r="F232" s="254"/>
      <c r="G232" s="254"/>
      <c r="H232" s="255"/>
      <c r="I232" s="255"/>
      <c r="J232" s="254"/>
      <c r="K232" s="254"/>
      <c r="L232" s="254"/>
      <c r="M232" s="254"/>
      <c r="N232" s="254"/>
      <c r="O232" s="254"/>
      <c r="P232" s="256" t="str">
        <f>IFERROR(__xludf.DUMMYFUNCTION("IFERROR(
  TEXT(
    DATE(
      INDEX(SPLIT(O232,"" ""),3),
      VLOOKUP(INDEX(SPLIT(O232,"" ""),1),{""jan."",1;""Feb"",2;""mar."",3;""Apr"",4;""May"",5;""jun."",6;""jul."",7;""Aug"",8;""sep"",9;""Oct"",10;""nov."",11;""Dec"",12},2,FALSE),
      INDEX(S"&amp;"PLIT(O232,"" ""),2)
    ),
    ""dd/mm/yyyy""
  ),
"""")"),"")</f>
        <v/>
      </c>
    </row>
    <row r="233">
      <c r="A233" s="258"/>
      <c r="B233" s="258"/>
      <c r="C233" s="254"/>
      <c r="D233" s="254"/>
      <c r="E233" s="255"/>
      <c r="F233" s="254"/>
      <c r="G233" s="254"/>
      <c r="H233" s="255"/>
      <c r="I233" s="255"/>
      <c r="J233" s="254"/>
      <c r="K233" s="254"/>
      <c r="L233" s="254"/>
      <c r="M233" s="254"/>
      <c r="N233" s="254"/>
      <c r="O233" s="254"/>
      <c r="P233" s="256" t="str">
        <f>IFERROR(__xludf.DUMMYFUNCTION("IFERROR(
  TEXT(
    DATE(
      INDEX(SPLIT(O233,"" ""),3),
      VLOOKUP(INDEX(SPLIT(O233,"" ""),1),{""jan."",1;""Feb"",2;""mar."",3;""Apr"",4;""May"",5;""jun."",6;""jul."",7;""Aug"",8;""sep"",9;""Oct"",10;""nov."",11;""Dec"",12},2,FALSE),
      INDEX(S"&amp;"PLIT(O233,"" ""),2)
    ),
    ""dd/mm/yyyy""
  ),
"""")"),"")</f>
        <v/>
      </c>
    </row>
    <row r="234">
      <c r="A234" s="258"/>
      <c r="B234" s="258"/>
      <c r="C234" s="254"/>
      <c r="D234" s="254"/>
      <c r="E234" s="255"/>
      <c r="F234" s="254"/>
      <c r="G234" s="254"/>
      <c r="H234" s="255"/>
      <c r="I234" s="255"/>
      <c r="J234" s="254"/>
      <c r="K234" s="254"/>
      <c r="L234" s="254"/>
      <c r="M234" s="254"/>
      <c r="N234" s="254"/>
      <c r="O234" s="254"/>
      <c r="P234" s="256" t="str">
        <f>IFERROR(__xludf.DUMMYFUNCTION("IFERROR(
  TEXT(
    DATE(
      INDEX(SPLIT(O234,"" ""),3),
      VLOOKUP(INDEX(SPLIT(O234,"" ""),1),{""jan."",1;""Feb"",2;""mar."",3;""Apr"",4;""May"",5;""jun."",6;""jul."",7;""Aug"",8;""sep"",9;""Oct"",10;""nov."",11;""Dec"",12},2,FALSE),
      INDEX(S"&amp;"PLIT(O234,"" ""),2)
    ),
    ""dd/mm/yyyy""
  ),
"""")"),"")</f>
        <v/>
      </c>
    </row>
    <row r="235">
      <c r="A235" s="258"/>
      <c r="B235" s="258"/>
      <c r="C235" s="254"/>
      <c r="D235" s="254"/>
      <c r="E235" s="255"/>
      <c r="F235" s="254"/>
      <c r="G235" s="254"/>
      <c r="H235" s="255"/>
      <c r="I235" s="255"/>
      <c r="J235" s="254"/>
      <c r="K235" s="254"/>
      <c r="L235" s="254"/>
      <c r="M235" s="254"/>
      <c r="N235" s="254"/>
      <c r="O235" s="254"/>
      <c r="P235" s="256" t="str">
        <f>IFERROR(__xludf.DUMMYFUNCTION("IFERROR(
  TEXT(
    DATE(
      INDEX(SPLIT(O235,"" ""),3),
      VLOOKUP(INDEX(SPLIT(O235,"" ""),1),{""jan."",1;""Feb"",2;""mar."",3;""Apr"",4;""May"",5;""jun."",6;""jul."",7;""Aug"",8;""sep"",9;""Oct"",10;""nov."",11;""Dec"",12},2,FALSE),
      INDEX(S"&amp;"PLIT(O235,"" ""),2)
    ),
    ""dd/mm/yyyy""
  ),
"""")"),"")</f>
        <v/>
      </c>
    </row>
    <row r="236">
      <c r="A236" s="258"/>
      <c r="B236" s="258"/>
      <c r="C236" s="254"/>
      <c r="D236" s="254"/>
      <c r="E236" s="255"/>
      <c r="F236" s="254"/>
      <c r="G236" s="254"/>
      <c r="H236" s="255"/>
      <c r="I236" s="255"/>
      <c r="J236" s="254"/>
      <c r="K236" s="254"/>
      <c r="L236" s="254"/>
      <c r="M236" s="254"/>
      <c r="N236" s="254"/>
      <c r="O236" s="254"/>
      <c r="P236" s="256" t="str">
        <f>IFERROR(__xludf.DUMMYFUNCTION("IFERROR(
  TEXT(
    DATE(
      INDEX(SPLIT(O236,"" ""),3),
      VLOOKUP(INDEX(SPLIT(O236,"" ""),1),{""jan."",1;""Feb"",2;""mar."",3;""Apr"",4;""May"",5;""jun."",6;""jul."",7;""Aug"",8;""sep"",9;""Oct"",10;""nov."",11;""Dec"",12},2,FALSE),
      INDEX(S"&amp;"PLIT(O236,"" ""),2)
    ),
    ""dd/mm/yyyy""
  ),
"""")"),"")</f>
        <v/>
      </c>
    </row>
    <row r="237">
      <c r="A237" s="258"/>
      <c r="B237" s="258"/>
      <c r="C237" s="254"/>
      <c r="D237" s="254"/>
      <c r="E237" s="255"/>
      <c r="F237" s="254"/>
      <c r="G237" s="254"/>
      <c r="H237" s="255"/>
      <c r="I237" s="255"/>
      <c r="J237" s="254"/>
      <c r="K237" s="254"/>
      <c r="L237" s="254"/>
      <c r="M237" s="254"/>
      <c r="N237" s="254"/>
      <c r="O237" s="254"/>
      <c r="P237" s="256" t="str">
        <f>IFERROR(__xludf.DUMMYFUNCTION("IFERROR(
  TEXT(
    DATE(
      INDEX(SPLIT(O237,"" ""),3),
      VLOOKUP(INDEX(SPLIT(O237,"" ""),1),{""jan."",1;""Feb"",2;""mar."",3;""Apr"",4;""May"",5;""jun."",6;""jul."",7;""Aug"",8;""sep"",9;""Oct"",10;""nov."",11;""Dec"",12},2,FALSE),
      INDEX(S"&amp;"PLIT(O237,"" ""),2)
    ),
    ""dd/mm/yyyy""
  ),
"""")"),"")</f>
        <v/>
      </c>
    </row>
    <row r="238">
      <c r="A238" s="258"/>
      <c r="B238" s="258"/>
      <c r="C238" s="254"/>
      <c r="D238" s="254"/>
      <c r="E238" s="255"/>
      <c r="F238" s="254"/>
      <c r="G238" s="254"/>
      <c r="H238" s="255"/>
      <c r="I238" s="255"/>
      <c r="J238" s="254"/>
      <c r="K238" s="254"/>
      <c r="L238" s="254"/>
      <c r="M238" s="254"/>
      <c r="N238" s="254"/>
      <c r="O238" s="254"/>
      <c r="P238" s="256" t="str">
        <f>IFERROR(__xludf.DUMMYFUNCTION("IFERROR(
  TEXT(
    DATE(
      INDEX(SPLIT(O238,"" ""),3),
      VLOOKUP(INDEX(SPLIT(O238,"" ""),1),{""jan."",1;""Feb"",2;""mar."",3;""Apr"",4;""May"",5;""jun."",6;""jul."",7;""Aug"",8;""sep"",9;""Oct"",10;""nov."",11;""Dec"",12},2,FALSE),
      INDEX(S"&amp;"PLIT(O238,"" ""),2)
    ),
    ""dd/mm/yyyy""
  ),
"""")"),"")</f>
        <v/>
      </c>
    </row>
    <row r="239">
      <c r="A239" s="258"/>
      <c r="B239" s="258"/>
      <c r="C239" s="254"/>
      <c r="D239" s="254"/>
      <c r="E239" s="255"/>
      <c r="F239" s="254"/>
      <c r="G239" s="254"/>
      <c r="H239" s="255"/>
      <c r="I239" s="255"/>
      <c r="J239" s="254"/>
      <c r="K239" s="254"/>
      <c r="L239" s="254"/>
      <c r="M239" s="254"/>
      <c r="N239" s="254"/>
      <c r="O239" s="254"/>
      <c r="P239" s="256" t="str">
        <f>IFERROR(__xludf.DUMMYFUNCTION("IFERROR(
  TEXT(
    DATE(
      INDEX(SPLIT(O239,"" ""),3),
      VLOOKUP(INDEX(SPLIT(O239,"" ""),1),{""jan."",1;""Feb"",2;""mar."",3;""Apr"",4;""May"",5;""jun."",6;""jul."",7;""Aug"",8;""sep"",9;""Oct"",10;""nov."",11;""Dec"",12},2,FALSE),
      INDEX(S"&amp;"PLIT(O239,"" ""),2)
    ),
    ""dd/mm/yyyy""
  ),
"""")"),"")</f>
        <v/>
      </c>
    </row>
    <row r="240">
      <c r="A240" s="258"/>
      <c r="B240" s="258"/>
      <c r="C240" s="254"/>
      <c r="D240" s="254"/>
      <c r="E240" s="255"/>
      <c r="F240" s="254"/>
      <c r="G240" s="254"/>
      <c r="H240" s="255"/>
      <c r="I240" s="255"/>
      <c r="J240" s="254"/>
      <c r="K240" s="254"/>
      <c r="L240" s="254"/>
      <c r="M240" s="254"/>
      <c r="N240" s="254"/>
      <c r="O240" s="254"/>
      <c r="P240" s="256" t="str">
        <f>IFERROR(__xludf.DUMMYFUNCTION("IFERROR(
  TEXT(
    DATE(
      INDEX(SPLIT(O240,"" ""),3),
      VLOOKUP(INDEX(SPLIT(O240,"" ""),1),{""jan."",1;""Feb"",2;""mar."",3;""Apr"",4;""May"",5;""jun."",6;""jul."",7;""Aug"",8;""sep"",9;""Oct"",10;""nov."",11;""Dec"",12},2,FALSE),
      INDEX(S"&amp;"PLIT(O240,"" ""),2)
    ),
    ""dd/mm/yyyy""
  ),
"""")"),"")</f>
        <v/>
      </c>
    </row>
    <row r="241">
      <c r="A241" s="258"/>
      <c r="B241" s="258"/>
      <c r="C241" s="254"/>
      <c r="D241" s="254"/>
      <c r="E241" s="255"/>
      <c r="F241" s="254"/>
      <c r="G241" s="254"/>
      <c r="H241" s="255"/>
      <c r="I241" s="255"/>
      <c r="J241" s="254"/>
      <c r="K241" s="254"/>
      <c r="L241" s="254"/>
      <c r="M241" s="254"/>
      <c r="N241" s="254"/>
      <c r="O241" s="256"/>
      <c r="P241" s="256" t="str">
        <f>IFERROR(__xludf.DUMMYFUNCTION("IFERROR(
  TEXT(
    DATE(
      INDEX(SPLIT(O241,"" ""),3),
      VLOOKUP(INDEX(SPLIT(O241,"" ""),1),{""jan."",1;""Feb"",2;""mar."",3;""Apr"",4;""May"",5;""jun."",6;""jul."",7;""Aug"",8;""sep"",9;""Oct"",10;""nov."",11;""Dec"",12},2,FALSE),
      INDEX(S"&amp;"PLIT(O241,"" ""),2)
    ),
    ""dd/mm/yyyy""
  ),
"""")"),"")</f>
        <v/>
      </c>
    </row>
    <row r="242">
      <c r="A242" s="258"/>
      <c r="B242" s="258"/>
      <c r="C242" s="254"/>
      <c r="D242" s="254"/>
      <c r="E242" s="255"/>
      <c r="F242" s="254"/>
      <c r="G242" s="254"/>
      <c r="H242" s="255"/>
      <c r="I242" s="255"/>
      <c r="J242" s="254"/>
      <c r="K242" s="254"/>
      <c r="L242" s="254"/>
      <c r="M242" s="254"/>
      <c r="N242" s="254"/>
      <c r="O242" s="254"/>
      <c r="P242" s="256" t="str">
        <f>IFERROR(__xludf.DUMMYFUNCTION("IFERROR(
  TEXT(
    DATE(
      INDEX(SPLIT(O242,"" ""),3),
      VLOOKUP(INDEX(SPLIT(O242,"" ""),1),{""jan."",1;""Feb"",2;""mar."",3;""Apr"",4;""May"",5;""jun."",6;""jul."",7;""Aug"",8;""sep"",9;""Oct"",10;""nov."",11;""Dec"",12},2,FALSE),
      INDEX(S"&amp;"PLIT(O242,"" ""),2)
    ),
    ""dd/mm/yyyy""
  ),
"""")"),"")</f>
        <v/>
      </c>
    </row>
  </sheetData>
  <autoFilter ref="$A$1:$T$242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  <hyperlink r:id="rId317" ref="A160"/>
    <hyperlink r:id="rId318" ref="B160"/>
    <hyperlink r:id="rId319" ref="A161"/>
    <hyperlink r:id="rId320" ref="B161"/>
    <hyperlink r:id="rId321" ref="A162"/>
    <hyperlink r:id="rId322" ref="B162"/>
    <hyperlink r:id="rId323" ref="A163"/>
    <hyperlink r:id="rId324" ref="B163"/>
    <hyperlink r:id="rId325" ref="A164"/>
    <hyperlink r:id="rId326" ref="B164"/>
    <hyperlink r:id="rId327" ref="A165"/>
    <hyperlink r:id="rId328" ref="B165"/>
    <hyperlink r:id="rId329" ref="A166"/>
    <hyperlink r:id="rId330" ref="B166"/>
    <hyperlink r:id="rId331" ref="A167"/>
    <hyperlink r:id="rId332" ref="B167"/>
    <hyperlink r:id="rId333" ref="A168"/>
    <hyperlink r:id="rId334" ref="B168"/>
    <hyperlink r:id="rId335" ref="A169"/>
    <hyperlink r:id="rId336" ref="B169"/>
    <hyperlink r:id="rId337" ref="A170"/>
    <hyperlink r:id="rId338" ref="B170"/>
    <hyperlink r:id="rId339" ref="A171"/>
    <hyperlink r:id="rId340" ref="B171"/>
    <hyperlink r:id="rId341" ref="A172"/>
    <hyperlink r:id="rId342" ref="B172"/>
    <hyperlink r:id="rId343" ref="A173"/>
    <hyperlink r:id="rId344" ref="B173"/>
    <hyperlink r:id="rId345" ref="A174"/>
    <hyperlink r:id="rId346" ref="B174"/>
    <hyperlink r:id="rId347" ref="A175"/>
    <hyperlink r:id="rId348" ref="B175"/>
    <hyperlink r:id="rId349" ref="A176"/>
    <hyperlink r:id="rId350" ref="B176"/>
    <hyperlink r:id="rId351" ref="A177"/>
    <hyperlink r:id="rId352" ref="B177"/>
    <hyperlink r:id="rId353" ref="A178"/>
    <hyperlink r:id="rId354" ref="B178"/>
    <hyperlink r:id="rId355" ref="A179"/>
    <hyperlink r:id="rId356" ref="B179"/>
    <hyperlink r:id="rId357" ref="A180"/>
    <hyperlink r:id="rId358" ref="B180"/>
    <hyperlink r:id="rId359" ref="A181"/>
    <hyperlink r:id="rId360" ref="B181"/>
    <hyperlink r:id="rId361" ref="A182"/>
    <hyperlink r:id="rId362" ref="B182"/>
    <hyperlink r:id="rId363" ref="A183"/>
    <hyperlink r:id="rId364" ref="B183"/>
    <hyperlink r:id="rId365" ref="A184"/>
    <hyperlink r:id="rId366" ref="B184"/>
    <hyperlink r:id="rId367" ref="A185"/>
    <hyperlink r:id="rId368" ref="B185"/>
    <hyperlink r:id="rId369" ref="A186"/>
    <hyperlink r:id="rId370" ref="B186"/>
    <hyperlink r:id="rId371" ref="A187"/>
    <hyperlink r:id="rId372" ref="B187"/>
    <hyperlink r:id="rId373" ref="A188"/>
    <hyperlink r:id="rId374" ref="B188"/>
    <hyperlink r:id="rId375" ref="A189"/>
    <hyperlink r:id="rId376" ref="B189"/>
    <hyperlink r:id="rId377" ref="A190"/>
    <hyperlink r:id="rId378" ref="B190"/>
    <hyperlink r:id="rId379" ref="A191"/>
    <hyperlink r:id="rId380" ref="B191"/>
    <hyperlink r:id="rId381" ref="A192"/>
    <hyperlink r:id="rId382" ref="B192"/>
    <hyperlink r:id="rId383" ref="A193"/>
    <hyperlink r:id="rId384" ref="B193"/>
    <hyperlink r:id="rId385" ref="A194"/>
    <hyperlink r:id="rId386" ref="B194"/>
    <hyperlink r:id="rId387" ref="A195"/>
    <hyperlink r:id="rId388" ref="B195"/>
    <hyperlink r:id="rId389" ref="A196"/>
    <hyperlink r:id="rId390" ref="B196"/>
    <hyperlink r:id="rId391" ref="A197"/>
    <hyperlink r:id="rId392" ref="B197"/>
    <hyperlink r:id="rId393" ref="A198"/>
    <hyperlink r:id="rId394" ref="B198"/>
    <hyperlink r:id="rId395" ref="A199"/>
    <hyperlink r:id="rId396" ref="B199"/>
    <hyperlink r:id="rId397" ref="A200"/>
    <hyperlink r:id="rId398" ref="B200"/>
    <hyperlink r:id="rId399" ref="A201"/>
    <hyperlink r:id="rId400" ref="B201"/>
    <hyperlink r:id="rId401" ref="A202"/>
    <hyperlink r:id="rId402" ref="B202"/>
    <hyperlink r:id="rId403" ref="A203"/>
    <hyperlink r:id="rId404" ref="B203"/>
    <hyperlink r:id="rId405" ref="A204"/>
    <hyperlink r:id="rId406" ref="B204"/>
    <hyperlink r:id="rId407" ref="A205"/>
    <hyperlink r:id="rId408" ref="B205"/>
    <hyperlink r:id="rId409" ref="A206"/>
    <hyperlink r:id="rId410" ref="B206"/>
    <hyperlink r:id="rId411" ref="A207"/>
    <hyperlink r:id="rId412" ref="B207"/>
    <hyperlink r:id="rId413" ref="A208"/>
    <hyperlink r:id="rId414" ref="B208"/>
    <hyperlink r:id="rId415" ref="A209"/>
    <hyperlink r:id="rId416" ref="B209"/>
    <hyperlink r:id="rId417" ref="A210"/>
    <hyperlink r:id="rId418" ref="B210"/>
    <hyperlink r:id="rId419" ref="A211"/>
    <hyperlink r:id="rId420" ref="B211"/>
    <hyperlink r:id="rId421" ref="A212"/>
    <hyperlink r:id="rId422" ref="B212"/>
    <hyperlink r:id="rId423" ref="A213"/>
    <hyperlink r:id="rId424" ref="B213"/>
    <hyperlink r:id="rId425" ref="A214"/>
    <hyperlink r:id="rId426" ref="B214"/>
    <hyperlink r:id="rId427" ref="A215"/>
    <hyperlink r:id="rId428" ref="B215"/>
    <hyperlink r:id="rId429" ref="A216"/>
    <hyperlink r:id="rId430" ref="B216"/>
    <hyperlink r:id="rId431" ref="A217"/>
    <hyperlink r:id="rId432" ref="B217"/>
    <hyperlink r:id="rId433" ref="A218"/>
    <hyperlink r:id="rId434" ref="B218"/>
    <hyperlink r:id="rId435" ref="A219"/>
    <hyperlink r:id="rId436" ref="B219"/>
    <hyperlink r:id="rId437" ref="A220"/>
    <hyperlink r:id="rId438" ref="B220"/>
    <hyperlink r:id="rId439" ref="A221"/>
    <hyperlink r:id="rId440" ref="B221"/>
    <hyperlink r:id="rId441" ref="A222"/>
    <hyperlink r:id="rId442" ref="B222"/>
    <hyperlink r:id="rId443" ref="A223"/>
    <hyperlink r:id="rId444" ref="B223"/>
    <hyperlink r:id="rId445" ref="A224"/>
    <hyperlink r:id="rId446" ref="B224"/>
  </hyperlinks>
  <drawing r:id="rId447"/>
</worksheet>
</file>